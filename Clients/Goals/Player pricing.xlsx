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<sst xmlns="http://schemas.openxmlformats.org/spreadsheetml/2006/main" count="95" uniqueCount="26">
  <si>
    <t>Tier</t>
  </si>
  <si>
    <t>Target rating distribution</t>
  </si>
  <si>
    <t>Upgrade premium</t>
  </si>
  <si>
    <t>Exact Tier value</t>
  </si>
  <si>
    <t>Guarantee</t>
  </si>
  <si>
    <t>Min tier Value</t>
  </si>
  <si>
    <t>Rounded Store Price per player and tier guaratee</t>
  </si>
  <si>
    <t>Discard value</t>
  </si>
  <si>
    <t>Marketplace min</t>
  </si>
  <si>
    <t>Marketplace max</t>
  </si>
  <si>
    <t>Basic</t>
  </si>
  <si>
    <t>Basic+</t>
  </si>
  <si>
    <t>Common</t>
  </si>
  <si>
    <t>Common+</t>
  </si>
  <si>
    <t>Uncommon</t>
  </si>
  <si>
    <t>Uncommon+</t>
  </si>
  <si>
    <t>Rare</t>
  </si>
  <si>
    <t>Rare+</t>
  </si>
  <si>
    <t>Epic</t>
  </si>
  <si>
    <t>Epic+</t>
  </si>
  <si>
    <t>Legendary</t>
  </si>
  <si>
    <t>Legendary+</t>
  </si>
  <si>
    <t>Mythic</t>
  </si>
  <si>
    <t>Target OVR</t>
  </si>
  <si>
    <t>Weight</t>
  </si>
  <si>
    <t>OVR weights check agains Target rating distribution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</si>
</sst>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0.000"/>
  </numFmts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" xfId="0" applyAlignment="1" applyFont="1" applyNumberFormat="1">
      <alignment readingOrder="0" vertical="bottom"/>
    </xf>
    <xf borderId="0" fillId="0" fontId="3" numFmtId="9" xfId="0" applyAlignment="1" applyFont="1" applyNumberFormat="1">
      <alignment horizontal="right" readingOrder="0" vertical="bottom"/>
    </xf>
    <xf borderId="0" fillId="0" fontId="4" numFmtId="1" xfId="0" applyFont="1" applyNumberFormat="1"/>
    <xf borderId="0" fillId="0" fontId="3" numFmtId="0" xfId="0" applyAlignment="1" applyFont="1">
      <alignment horizontal="right" vertical="bottom"/>
    </xf>
    <xf borderId="0" fillId="0" fontId="3" numFmtId="1" xfId="0" applyAlignment="1" applyFont="1" applyNumberFormat="1">
      <alignment horizontal="right" readingOrder="0" vertical="bottom"/>
    </xf>
    <xf borderId="0" fillId="0" fontId="3" numFmtId="1" xfId="0" applyAlignment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3" xfId="0" applyFont="1" applyNumberFormat="1"/>
    <xf borderId="0" fillId="0" fontId="3" numFmtId="3" xfId="0" applyAlignment="1" applyFont="1" applyNumberFormat="1">
      <alignment vertical="bottom"/>
    </xf>
    <xf borderId="0" fillId="0" fontId="4" numFmtId="164" xfId="0" applyFont="1" applyNumberFormat="1"/>
    <xf borderId="0" fillId="0" fontId="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6" width="22.88"/>
    <col customWidth="1" min="7" max="7" width="25.38"/>
    <col customWidth="1" min="8" max="8" width="28.5"/>
    <col customWidth="1" min="9" max="9" width="45.63"/>
    <col customWidth="1" min="10" max="10" width="38.13"/>
    <col customWidth="1" min="11" max="11" width="37.75"/>
    <col customWidth="1" min="12" max="12" width="41.63"/>
    <col customWidth="1" min="13" max="13" width="20.5"/>
    <col customWidth="1" min="14" max="14" width="20.63"/>
    <col customWidth="1" min="15" max="15" width="21.0"/>
    <col customWidth="1" min="16" max="16" width="20.13"/>
    <col customWidth="1" min="17" max="17" width="20.38"/>
    <col customWidth="1" min="18" max="18" width="22.13"/>
    <col customWidth="1" min="19" max="19" width="20.88"/>
    <col customWidth="1" min="20" max="20" width="40.63"/>
    <col customWidth="1" min="22" max="22" width="25.0"/>
    <col customWidth="1" min="24" max="24" width="21.88"/>
    <col customWidth="1" min="25" max="25" width="29.38"/>
  </cols>
  <sheetData>
    <row r="1">
      <c r="A1" s="1" t="s">
        <v>0</v>
      </c>
      <c r="B1" s="2"/>
      <c r="C1" s="2"/>
      <c r="D1" s="2" t="s">
        <v>1</v>
      </c>
      <c r="E1" s="2" t="s">
        <v>2</v>
      </c>
      <c r="F1" s="2" t="s">
        <v>3</v>
      </c>
      <c r="G1" s="1" t="s">
        <v>4</v>
      </c>
      <c r="H1" s="2" t="s">
        <v>5</v>
      </c>
      <c r="I1" s="1" t="s">
        <v>6</v>
      </c>
      <c r="J1" s="2" t="s">
        <v>7</v>
      </c>
      <c r="K1" s="2" t="s">
        <v>8</v>
      </c>
      <c r="L1" s="2" t="s">
        <v>9</v>
      </c>
      <c r="M1" s="2"/>
      <c r="N1" s="2"/>
      <c r="O1" s="2"/>
      <c r="P1" s="3"/>
      <c r="Q1" s="3"/>
      <c r="R1" s="3"/>
      <c r="S1" s="2"/>
      <c r="T1" s="3"/>
      <c r="U1" s="3"/>
      <c r="V1" s="3"/>
      <c r="W1" s="3"/>
      <c r="X1" s="3"/>
      <c r="Y1" s="3"/>
      <c r="Z1" s="3"/>
    </row>
    <row r="2">
      <c r="A2" s="4" t="s">
        <v>10</v>
      </c>
      <c r="B2" s="5"/>
      <c r="C2" s="5"/>
      <c r="D2" s="5">
        <v>100000.0</v>
      </c>
      <c r="E2" s="5">
        <v>0.0</v>
      </c>
      <c r="F2" s="5">
        <v>200.0</v>
      </c>
      <c r="G2" s="4" t="s">
        <v>11</v>
      </c>
      <c r="H2" s="6">
        <f>(D2/D10)*F2+(D3/D10)*F3+(D4/D10)*F4+(D5/D10)*F5+(D6/D10)*F6+(D7/D10)*F7+(D8/D10)*F8</f>
        <v>1207.646889</v>
      </c>
      <c r="I2" s="5">
        <v>1000.0</v>
      </c>
      <c r="J2" s="5">
        <v>100.0</v>
      </c>
      <c r="K2" s="7">
        <v>150.0</v>
      </c>
      <c r="L2" s="8">
        <v>5000.0</v>
      </c>
      <c r="M2" s="9"/>
      <c r="N2" s="4"/>
      <c r="X2" s="10"/>
    </row>
    <row r="3">
      <c r="A3" s="4" t="s">
        <v>12</v>
      </c>
      <c r="B3" s="5"/>
      <c r="C3" s="5"/>
      <c r="D3" s="5">
        <v>50000.0</v>
      </c>
      <c r="E3" s="5">
        <v>300.0</v>
      </c>
      <c r="F3" s="6">
        <f>(D2/D3)*F2+E3</f>
        <v>700</v>
      </c>
      <c r="G3" s="4" t="s">
        <v>13</v>
      </c>
      <c r="H3" s="6">
        <f>(D3/(D10-D2))*F3+(D4/(D10-D2))*F4+(D5/(D10-D2))*F5+(D6/(D10-D2))*F6+(D7/(D10-D2))*F7+(D8/(D10-D2))*F8</f>
        <v>2576.732337</v>
      </c>
      <c r="I3" s="5">
        <v>2500.0</v>
      </c>
      <c r="J3" s="5">
        <v>250.0</v>
      </c>
      <c r="K3" s="7">
        <v>300.0</v>
      </c>
      <c r="L3" s="7">
        <v>10000.0</v>
      </c>
      <c r="M3" s="6"/>
      <c r="N3" s="4"/>
      <c r="X3" s="10"/>
    </row>
    <row r="4">
      <c r="A4" s="4" t="s">
        <v>14</v>
      </c>
      <c r="B4" s="5"/>
      <c r="C4" s="5"/>
      <c r="D4" s="5">
        <v>20000.0</v>
      </c>
      <c r="E4" s="5">
        <v>1100.0</v>
      </c>
      <c r="F4" s="6">
        <f>(D2/D4)*F2+E4</f>
        <v>2100</v>
      </c>
      <c r="G4" s="4" t="s">
        <v>15</v>
      </c>
      <c r="H4" s="6">
        <f>(D4/(D10-D2-D3))*F4+(D5/(D10-D2-D3))*F5+(D6/(D10-D2-D3))*F6+(D7/(D10-D2-D3))*F7+(D8/(D10-D2-D3))*F8</f>
        <v>6552.860169</v>
      </c>
      <c r="I4" s="5">
        <v>6500.0</v>
      </c>
      <c r="J4" s="5">
        <v>650.0</v>
      </c>
      <c r="K4" s="7">
        <v>800.0</v>
      </c>
      <c r="L4" s="7">
        <v>25000.0</v>
      </c>
      <c r="M4" s="11"/>
      <c r="N4" s="4"/>
      <c r="X4" s="10"/>
    </row>
    <row r="5">
      <c r="A5" s="4" t="s">
        <v>16</v>
      </c>
      <c r="B5" s="5"/>
      <c r="C5" s="5"/>
      <c r="D5" s="5">
        <v>3333.0</v>
      </c>
      <c r="E5" s="12">
        <v>7500.0</v>
      </c>
      <c r="F5" s="13">
        <f>(D2/D5)*F2+E5</f>
        <v>13500.60006</v>
      </c>
      <c r="G5" s="4" t="s">
        <v>17</v>
      </c>
      <c r="H5" s="6">
        <f>(D5/(D10-D2-D3-D4))*F5+(D6/(D10-D2-D3-D4))*F6+(D7/(D10-D2-D3-D4))*F7+(D8/(D10-D2-D3-D4))*F8</f>
        <v>31290.97222</v>
      </c>
      <c r="I5" s="5">
        <v>30000.0</v>
      </c>
      <c r="J5" s="5">
        <v>3000.0</v>
      </c>
      <c r="K5" s="7">
        <v>3500.0</v>
      </c>
      <c r="L5" s="7">
        <v>125000.0</v>
      </c>
      <c r="M5" s="6"/>
      <c r="N5" s="4"/>
      <c r="X5" s="10"/>
    </row>
    <row r="6">
      <c r="A6" s="4" t="s">
        <v>18</v>
      </c>
      <c r="B6" s="5"/>
      <c r="C6" s="5"/>
      <c r="D6" s="5">
        <v>250.0</v>
      </c>
      <c r="E6" s="5">
        <v>25000.0</v>
      </c>
      <c r="F6" s="6">
        <f>(D2/D6)*F2+E6</f>
        <v>105000</v>
      </c>
      <c r="G6" s="4" t="s">
        <v>19</v>
      </c>
      <c r="H6" s="6">
        <f>(D6/(D10-D2-D3-D4-D5))*F6+(D7/(D10-D2-D3-D4-D5))*F7+(D8/(D10-D2-D3-D4-D5))*F8</f>
        <v>253370.7865</v>
      </c>
      <c r="I6" s="5">
        <v>250000.0</v>
      </c>
      <c r="J6" s="5">
        <v>25000.0</v>
      </c>
      <c r="K6" s="7">
        <v>30000.0</v>
      </c>
      <c r="L6" s="7">
        <v>1500000.0</v>
      </c>
      <c r="M6" s="6"/>
      <c r="N6" s="4"/>
      <c r="X6" s="10"/>
    </row>
    <row r="7">
      <c r="A7" s="4" t="s">
        <v>20</v>
      </c>
      <c r="B7" s="5"/>
      <c r="C7" s="5"/>
      <c r="D7" s="5">
        <v>16.0</v>
      </c>
      <c r="E7" s="5">
        <v>75000.0</v>
      </c>
      <c r="F7" s="6">
        <f>(D2/D7)*F2+E7</f>
        <v>1325000</v>
      </c>
      <c r="G7" s="4" t="s">
        <v>21</v>
      </c>
      <c r="H7" s="6">
        <f>(D7/(D10-D2-D3-D4-D5-D6))*F7+(D8/(D10-D2-D3-D4-D5-D6))*F8</f>
        <v>2435294.118</v>
      </c>
      <c r="I7" s="5">
        <v>2500000.0</v>
      </c>
      <c r="J7" s="5">
        <v>250000.0</v>
      </c>
      <c r="K7" s="7">
        <v>300000.0</v>
      </c>
      <c r="L7" s="7">
        <v>8000000.0</v>
      </c>
      <c r="M7" s="6"/>
      <c r="N7" s="4"/>
      <c r="X7" s="10"/>
    </row>
    <row r="8">
      <c r="A8" s="4" t="s">
        <v>22</v>
      </c>
      <c r="B8" s="5"/>
      <c r="C8" s="5"/>
      <c r="D8" s="5">
        <v>1.0</v>
      </c>
      <c r="E8" s="5">
        <v>200000.0</v>
      </c>
      <c r="F8" s="6">
        <f>(D2/D8)*F2+E8</f>
        <v>20200000</v>
      </c>
      <c r="G8" s="4" t="s">
        <v>22</v>
      </c>
      <c r="H8" s="6">
        <f>(D8/(D10-D2-D3-D4-D5-D6-D7))*F8</f>
        <v>20200000</v>
      </c>
      <c r="I8" s="5">
        <v>2.0E7</v>
      </c>
      <c r="J8" s="5">
        <v>2000000.0</v>
      </c>
      <c r="K8" s="7">
        <v>2100000.0</v>
      </c>
      <c r="L8" s="7">
        <v>5.0E7</v>
      </c>
      <c r="M8" s="6"/>
      <c r="N8" s="7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>
      <c r="A10" s="4"/>
      <c r="B10" s="6"/>
      <c r="C10" s="6"/>
      <c r="D10" s="6">
        <f>SUM(D2:D8)</f>
        <v>173600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>
      <c r="A15" s="2" t="s">
        <v>0</v>
      </c>
      <c r="B15" s="2" t="s">
        <v>23</v>
      </c>
      <c r="C15" s="2" t="s">
        <v>24</v>
      </c>
      <c r="E15" s="2" t="s">
        <v>25</v>
      </c>
      <c r="F15" s="4"/>
      <c r="G15" s="4"/>
      <c r="H15" s="4"/>
      <c r="I15" s="4"/>
      <c r="J15" s="4"/>
      <c r="K15" s="4"/>
      <c r="L15" s="4"/>
      <c r="M15" s="4"/>
      <c r="N15" s="4"/>
    </row>
    <row r="16">
      <c r="A16" s="14" t="s">
        <v>10</v>
      </c>
      <c r="B16" s="14">
        <v>40.0</v>
      </c>
      <c r="C16" s="15">
        <v>0.0</v>
      </c>
      <c r="E16" s="4"/>
      <c r="F16" s="4"/>
      <c r="G16" s="4"/>
      <c r="H16" s="4"/>
      <c r="I16" s="4"/>
      <c r="J16" s="4"/>
      <c r="K16" s="4"/>
      <c r="L16" s="4"/>
      <c r="M16" s="4"/>
      <c r="N16" s="4"/>
    </row>
    <row r="17">
      <c r="A17" s="14" t="s">
        <v>10</v>
      </c>
      <c r="B17" s="14">
        <v>41.0</v>
      </c>
      <c r="C17" s="15">
        <v>5263.158</v>
      </c>
      <c r="E17" s="4" t="s">
        <v>10</v>
      </c>
      <c r="F17" s="16">
        <f>sum(C16:C35)</f>
        <v>100000</v>
      </c>
    </row>
    <row r="18">
      <c r="A18" s="14" t="s">
        <v>10</v>
      </c>
      <c r="B18" s="14">
        <v>42.0</v>
      </c>
      <c r="C18" s="15">
        <v>5263.158</v>
      </c>
      <c r="E18" s="4" t="s">
        <v>12</v>
      </c>
      <c r="F18" s="16">
        <f>sum(C36:C45)</f>
        <v>50000</v>
      </c>
    </row>
    <row r="19">
      <c r="A19" s="14" t="s">
        <v>10</v>
      </c>
      <c r="B19" s="14">
        <v>43.0</v>
      </c>
      <c r="C19" s="15">
        <v>5263.158</v>
      </c>
      <c r="E19" s="4" t="s">
        <v>14</v>
      </c>
      <c r="F19" s="16">
        <f>sum(C46:C55)</f>
        <v>20000</v>
      </c>
    </row>
    <row r="20">
      <c r="A20" s="14" t="s">
        <v>10</v>
      </c>
      <c r="B20" s="14">
        <v>44.0</v>
      </c>
      <c r="C20" s="15">
        <v>5263.158</v>
      </c>
      <c r="E20" s="4" t="s">
        <v>16</v>
      </c>
      <c r="F20" s="16">
        <f>sum(C56:C60)</f>
        <v>3333</v>
      </c>
    </row>
    <row r="21">
      <c r="A21" s="14" t="s">
        <v>10</v>
      </c>
      <c r="B21" s="14">
        <v>45.0</v>
      </c>
      <c r="C21" s="15">
        <v>5263.158</v>
      </c>
      <c r="E21" s="4" t="s">
        <v>18</v>
      </c>
      <c r="F21" s="16">
        <f>sum(C61:C65)</f>
        <v>250</v>
      </c>
    </row>
    <row r="22">
      <c r="A22" s="14" t="s">
        <v>10</v>
      </c>
      <c r="B22" s="14">
        <v>46.0</v>
      </c>
      <c r="C22" s="15">
        <v>5263.158</v>
      </c>
      <c r="E22" s="4" t="s">
        <v>20</v>
      </c>
      <c r="F22" s="16">
        <f>sum(C66:C70)</f>
        <v>16</v>
      </c>
    </row>
    <row r="23">
      <c r="A23" s="7" t="s">
        <v>10</v>
      </c>
      <c r="B23" s="7">
        <v>47.0</v>
      </c>
      <c r="C23" s="15">
        <v>5263.158</v>
      </c>
      <c r="E23" s="4" t="s">
        <v>22</v>
      </c>
      <c r="F23" s="17">
        <f>sum(C71:C75)</f>
        <v>1</v>
      </c>
      <c r="G23" s="1"/>
      <c r="H23" s="1"/>
      <c r="I23" s="1"/>
      <c r="J23" s="1"/>
      <c r="K23" s="1"/>
      <c r="L23" s="1"/>
      <c r="M23" s="2"/>
      <c r="N23" s="2"/>
      <c r="O23" s="3"/>
    </row>
    <row r="24">
      <c r="A24" s="7" t="s">
        <v>10</v>
      </c>
      <c r="B24" s="7">
        <v>48.0</v>
      </c>
      <c r="C24" s="15">
        <v>5263.158</v>
      </c>
      <c r="D24" s="5"/>
      <c r="E24" s="5"/>
      <c r="F24" s="5"/>
      <c r="G24" s="4"/>
      <c r="H24" s="6"/>
      <c r="I24" s="5"/>
      <c r="J24" s="5"/>
      <c r="K24" s="7"/>
      <c r="L24" s="7"/>
      <c r="M24" s="9"/>
      <c r="N24" s="4"/>
    </row>
    <row r="25">
      <c r="A25" s="7" t="s">
        <v>10</v>
      </c>
      <c r="B25" s="7">
        <v>49.0</v>
      </c>
      <c r="C25" s="15">
        <v>5263.158</v>
      </c>
      <c r="D25" s="5"/>
      <c r="E25" s="6"/>
      <c r="F25" s="6"/>
      <c r="G25" s="4"/>
      <c r="H25" s="6"/>
      <c r="I25" s="5"/>
      <c r="J25" s="5"/>
      <c r="K25" s="7"/>
      <c r="L25" s="7"/>
      <c r="M25" s="6"/>
      <c r="N25" s="4"/>
    </row>
    <row r="26">
      <c r="A26" s="7" t="s">
        <v>10</v>
      </c>
      <c r="B26" s="7">
        <v>50.0</v>
      </c>
      <c r="C26" s="15">
        <v>5263.158</v>
      </c>
      <c r="D26" s="5"/>
      <c r="E26" s="6"/>
      <c r="F26" s="6"/>
      <c r="G26" s="4"/>
      <c r="H26" s="6"/>
      <c r="I26" s="5"/>
      <c r="J26" s="5"/>
      <c r="K26" s="7"/>
      <c r="L26" s="7"/>
      <c r="M26" s="11"/>
      <c r="N26" s="4"/>
    </row>
    <row r="27">
      <c r="A27" s="7" t="s">
        <v>10</v>
      </c>
      <c r="B27" s="7">
        <v>51.0</v>
      </c>
      <c r="C27" s="15">
        <v>5263.158</v>
      </c>
      <c r="D27" s="5"/>
      <c r="E27" s="13"/>
      <c r="F27" s="13"/>
      <c r="G27" s="4"/>
      <c r="H27" s="6"/>
      <c r="I27" s="5"/>
      <c r="J27" s="5"/>
      <c r="K27" s="7"/>
      <c r="L27" s="7"/>
      <c r="M27" s="6"/>
      <c r="N27" s="4"/>
    </row>
    <row r="28">
      <c r="A28" s="7" t="s">
        <v>10</v>
      </c>
      <c r="B28" s="7">
        <v>52.0</v>
      </c>
      <c r="C28" s="15">
        <v>5263.158</v>
      </c>
      <c r="D28" s="5"/>
      <c r="E28" s="6"/>
      <c r="F28" s="6"/>
      <c r="G28" s="4"/>
      <c r="H28" s="6"/>
      <c r="I28" s="5"/>
      <c r="J28" s="5"/>
      <c r="K28" s="7"/>
      <c r="L28" s="7"/>
      <c r="M28" s="6"/>
      <c r="N28" s="4"/>
    </row>
    <row r="29">
      <c r="A29" s="7" t="s">
        <v>10</v>
      </c>
      <c r="B29" s="7">
        <v>53.0</v>
      </c>
      <c r="C29" s="15">
        <v>5263.158</v>
      </c>
      <c r="D29" s="5"/>
      <c r="E29" s="6"/>
      <c r="F29" s="6"/>
      <c r="G29" s="4"/>
      <c r="H29" s="6"/>
      <c r="I29" s="5"/>
      <c r="J29" s="5"/>
      <c r="K29" s="7"/>
      <c r="L29" s="7"/>
      <c r="M29" s="6"/>
      <c r="N29" s="4"/>
    </row>
    <row r="30">
      <c r="A30" s="7" t="s">
        <v>10</v>
      </c>
      <c r="B30" s="7">
        <v>54.0</v>
      </c>
      <c r="C30" s="15">
        <v>5263.158</v>
      </c>
      <c r="D30" s="5"/>
      <c r="E30" s="6"/>
      <c r="F30" s="6"/>
      <c r="G30" s="4"/>
      <c r="H30" s="6"/>
      <c r="I30" s="5"/>
      <c r="J30" s="5"/>
      <c r="K30" s="7"/>
      <c r="L30" s="7"/>
      <c r="M30" s="6"/>
      <c r="N30" s="7"/>
    </row>
    <row r="31">
      <c r="A31" s="7" t="s">
        <v>10</v>
      </c>
      <c r="B31" s="7">
        <v>55.0</v>
      </c>
      <c r="C31" s="15">
        <v>5263.158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>
      <c r="A32" s="7" t="s">
        <v>10</v>
      </c>
      <c r="B32" s="7">
        <v>56.0</v>
      </c>
      <c r="C32" s="15">
        <v>5263.158</v>
      </c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>
      <c r="A33" s="7" t="s">
        <v>10</v>
      </c>
      <c r="B33" s="7">
        <v>57.0</v>
      </c>
      <c r="C33" s="15">
        <v>5263.158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>
      <c r="A34" s="7" t="s">
        <v>10</v>
      </c>
      <c r="B34" s="7">
        <v>58.0</v>
      </c>
      <c r="C34" s="15">
        <v>5263.157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>
      <c r="A35" s="14" t="s">
        <v>10</v>
      </c>
      <c r="B35" s="14">
        <v>59.0</v>
      </c>
      <c r="C35" s="15">
        <v>5263.157</v>
      </c>
    </row>
    <row r="36">
      <c r="A36" s="14" t="s">
        <v>12</v>
      </c>
      <c r="B36" s="14">
        <v>60.0</v>
      </c>
      <c r="C36" s="18">
        <v>5225.0</v>
      </c>
    </row>
    <row r="37">
      <c r="A37" s="14" t="s">
        <v>12</v>
      </c>
      <c r="B37" s="14">
        <v>61.0</v>
      </c>
      <c r="C37" s="18">
        <v>5175.0</v>
      </c>
    </row>
    <row r="38">
      <c r="A38" s="14" t="s">
        <v>12</v>
      </c>
      <c r="B38" s="14">
        <v>62.0</v>
      </c>
      <c r="C38" s="18">
        <v>5125.0</v>
      </c>
    </row>
    <row r="39">
      <c r="A39" s="14" t="s">
        <v>12</v>
      </c>
      <c r="B39" s="14">
        <v>63.0</v>
      </c>
      <c r="C39" s="18">
        <v>5075.0</v>
      </c>
    </row>
    <row r="40">
      <c r="A40" s="14" t="s">
        <v>12</v>
      </c>
      <c r="B40" s="14">
        <v>64.0</v>
      </c>
      <c r="C40" s="18">
        <v>5025.0</v>
      </c>
    </row>
    <row r="41">
      <c r="A41" s="14" t="s">
        <v>12</v>
      </c>
      <c r="B41" s="14">
        <v>65.0</v>
      </c>
      <c r="C41" s="18">
        <v>4975.0</v>
      </c>
    </row>
    <row r="42">
      <c r="A42" s="14" t="s">
        <v>12</v>
      </c>
      <c r="B42" s="14">
        <v>66.0</v>
      </c>
      <c r="C42" s="18">
        <v>4925.0</v>
      </c>
    </row>
    <row r="43">
      <c r="A43" s="14" t="s">
        <v>12</v>
      </c>
      <c r="B43" s="14">
        <v>67.0</v>
      </c>
      <c r="C43" s="18">
        <v>4875.0</v>
      </c>
    </row>
    <row r="44">
      <c r="A44" s="14" t="s">
        <v>12</v>
      </c>
      <c r="B44" s="14">
        <v>68.0</v>
      </c>
      <c r="C44" s="18">
        <v>4825.0</v>
      </c>
    </row>
    <row r="45">
      <c r="A45" s="14" t="s">
        <v>12</v>
      </c>
      <c r="B45" s="14">
        <v>69.0</v>
      </c>
      <c r="C45" s="18">
        <v>4775.0</v>
      </c>
    </row>
    <row r="46">
      <c r="A46" s="14" t="s">
        <v>14</v>
      </c>
      <c r="B46" s="14">
        <v>70.0</v>
      </c>
      <c r="C46" s="18">
        <v>2450.0</v>
      </c>
    </row>
    <row r="47">
      <c r="A47" s="14" t="s">
        <v>14</v>
      </c>
      <c r="B47" s="14">
        <v>71.0</v>
      </c>
      <c r="C47" s="18">
        <v>2350.0</v>
      </c>
    </row>
    <row r="48">
      <c r="A48" s="14" t="s">
        <v>14</v>
      </c>
      <c r="B48" s="14">
        <v>72.0</v>
      </c>
      <c r="C48" s="18">
        <v>2250.0</v>
      </c>
    </row>
    <row r="49">
      <c r="A49" s="14" t="s">
        <v>14</v>
      </c>
      <c r="B49" s="14">
        <v>73.0</v>
      </c>
      <c r="C49" s="18">
        <v>2150.0</v>
      </c>
    </row>
    <row r="50">
      <c r="A50" s="14" t="s">
        <v>14</v>
      </c>
      <c r="B50" s="14">
        <v>74.0</v>
      </c>
      <c r="C50" s="18">
        <v>2050.0</v>
      </c>
    </row>
    <row r="51">
      <c r="A51" s="14" t="s">
        <v>14</v>
      </c>
      <c r="B51" s="14">
        <v>75.0</v>
      </c>
      <c r="C51" s="18">
        <v>1950.0</v>
      </c>
    </row>
    <row r="52">
      <c r="A52" s="14" t="s">
        <v>14</v>
      </c>
      <c r="B52" s="14">
        <v>76.0</v>
      </c>
      <c r="C52" s="18">
        <v>1850.0</v>
      </c>
    </row>
    <row r="53">
      <c r="A53" s="14" t="s">
        <v>14</v>
      </c>
      <c r="B53" s="14">
        <v>77.0</v>
      </c>
      <c r="C53" s="18">
        <v>1750.0</v>
      </c>
    </row>
    <row r="54">
      <c r="A54" s="14" t="s">
        <v>14</v>
      </c>
      <c r="B54" s="14">
        <v>78.0</v>
      </c>
      <c r="C54" s="18">
        <v>1650.0</v>
      </c>
    </row>
    <row r="55">
      <c r="A55" s="14" t="s">
        <v>14</v>
      </c>
      <c r="B55" s="14">
        <v>79.0</v>
      </c>
      <c r="C55" s="18">
        <v>1550.0</v>
      </c>
    </row>
    <row r="56">
      <c r="A56" s="14" t="s">
        <v>16</v>
      </c>
      <c r="B56" s="14">
        <v>80.0</v>
      </c>
      <c r="C56" s="18">
        <v>886.0</v>
      </c>
      <c r="D56" s="6"/>
    </row>
    <row r="57">
      <c r="A57" s="14" t="s">
        <v>16</v>
      </c>
      <c r="B57" s="14">
        <v>81.0</v>
      </c>
      <c r="C57" s="18">
        <v>776.0</v>
      </c>
      <c r="D57" s="6"/>
    </row>
    <row r="58">
      <c r="A58" s="14" t="s">
        <v>16</v>
      </c>
      <c r="B58" s="14">
        <v>82.0</v>
      </c>
      <c r="C58" s="18">
        <v>667.0</v>
      </c>
      <c r="D58" s="6"/>
    </row>
    <row r="59">
      <c r="A59" s="14" t="s">
        <v>16</v>
      </c>
      <c r="B59" s="14">
        <v>83.0</v>
      </c>
      <c r="C59" s="18">
        <v>557.0</v>
      </c>
      <c r="D59" s="6"/>
    </row>
    <row r="60">
      <c r="A60" s="14" t="s">
        <v>16</v>
      </c>
      <c r="B60" s="14">
        <v>84.0</v>
      </c>
      <c r="C60" s="18">
        <v>447.0</v>
      </c>
      <c r="D60" s="6"/>
    </row>
    <row r="61">
      <c r="A61" s="14" t="s">
        <v>18</v>
      </c>
      <c r="B61" s="14">
        <v>85.0</v>
      </c>
      <c r="C61" s="18">
        <v>75.0</v>
      </c>
      <c r="D61" s="6"/>
    </row>
    <row r="62">
      <c r="A62" s="14" t="s">
        <v>18</v>
      </c>
      <c r="B62" s="14">
        <v>86.0</v>
      </c>
      <c r="C62" s="18">
        <v>62.5</v>
      </c>
      <c r="D62" s="6"/>
    </row>
    <row r="63">
      <c r="A63" s="14" t="s">
        <v>18</v>
      </c>
      <c r="B63" s="14">
        <v>87.0</v>
      </c>
      <c r="C63" s="18">
        <v>50.0</v>
      </c>
      <c r="D63" s="6"/>
    </row>
    <row r="64">
      <c r="A64" s="14" t="s">
        <v>18</v>
      </c>
      <c r="B64" s="14">
        <v>88.0</v>
      </c>
      <c r="C64" s="18">
        <v>37.5</v>
      </c>
      <c r="D64" s="6"/>
    </row>
    <row r="65">
      <c r="A65" s="14" t="s">
        <v>18</v>
      </c>
      <c r="B65" s="14">
        <v>89.0</v>
      </c>
      <c r="C65" s="18">
        <v>25.0</v>
      </c>
      <c r="D65" s="6"/>
    </row>
    <row r="66">
      <c r="A66" s="14" t="s">
        <v>20</v>
      </c>
      <c r="B66" s="14">
        <v>90.0</v>
      </c>
      <c r="C66" s="18">
        <v>5.3</v>
      </c>
      <c r="D66" s="6"/>
    </row>
    <row r="67">
      <c r="A67" s="14" t="s">
        <v>20</v>
      </c>
      <c r="B67" s="14">
        <v>91.0</v>
      </c>
      <c r="C67" s="19">
        <v>4.25</v>
      </c>
      <c r="D67" s="6"/>
    </row>
    <row r="68">
      <c r="A68" s="14" t="s">
        <v>20</v>
      </c>
      <c r="B68" s="14">
        <v>92.0</v>
      </c>
      <c r="C68" s="19">
        <v>3.2</v>
      </c>
      <c r="D68" s="6"/>
    </row>
    <row r="69">
      <c r="A69" s="14" t="s">
        <v>20</v>
      </c>
      <c r="B69" s="14">
        <v>93.0</v>
      </c>
      <c r="C69" s="19">
        <v>2.15</v>
      </c>
      <c r="D69" s="6"/>
    </row>
    <row r="70">
      <c r="A70" s="14" t="s">
        <v>20</v>
      </c>
      <c r="B70" s="14">
        <v>94.0</v>
      </c>
      <c r="C70" s="19">
        <v>1.1</v>
      </c>
      <c r="D70" s="6"/>
    </row>
    <row r="71">
      <c r="A71" s="14" t="s">
        <v>22</v>
      </c>
      <c r="B71" s="14">
        <v>95.0</v>
      </c>
      <c r="C71" s="19">
        <v>0.36</v>
      </c>
      <c r="D71" s="6"/>
    </row>
    <row r="72">
      <c r="A72" s="14" t="s">
        <v>22</v>
      </c>
      <c r="B72" s="14">
        <v>96.0</v>
      </c>
      <c r="C72" s="19">
        <v>0.28</v>
      </c>
      <c r="D72" s="6"/>
    </row>
    <row r="73">
      <c r="A73" s="14" t="s">
        <v>22</v>
      </c>
      <c r="B73" s="14">
        <v>97.0</v>
      </c>
      <c r="C73" s="19">
        <v>0.2</v>
      </c>
      <c r="D73" s="6"/>
    </row>
    <row r="74">
      <c r="A74" s="14" t="s">
        <v>22</v>
      </c>
      <c r="B74" s="14">
        <v>98.0</v>
      </c>
      <c r="C74" s="19">
        <v>0.12</v>
      </c>
      <c r="D74" s="6"/>
    </row>
    <row r="75">
      <c r="A75" s="14" t="s">
        <v>22</v>
      </c>
      <c r="B75" s="14">
        <v>99.0</v>
      </c>
      <c r="C75" s="19">
        <v>0.04</v>
      </c>
      <c r="D75" s="6"/>
    </row>
  </sheetData>
  <drawing r:id="rId1"/>
</worksheet>
</file>