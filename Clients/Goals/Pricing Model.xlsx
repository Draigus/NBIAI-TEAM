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Content plan" sheetId="2" r:id="rId5"/>
    <sheet state="visible" name="Conversion rates" sheetId="3" r:id="rId6"/>
    <sheet state="visible" name="Context" sheetId="4" r:id="rId7"/>
    <sheet state="visible" name="Softhard currency comparison" sheetId="5" r:id="rId8"/>
    <sheet state="visible" name="Cosmetics comparison other game" sheetId="6" r:id="rId9"/>
    <sheet state="visible" name="HARD curr comp console" sheetId="7" r:id="rId10"/>
    <sheet state="visible" name="Hard Currency Pricing" sheetId="8" r:id="rId11"/>
    <sheet state="visible" name="Suggestion" sheetId="9" r:id="rId12"/>
    <sheet state="visible" name="Regional Pricing" sheetId="10" r:id="rId13"/>
  </sheets>
  <definedNames/>
  <calcPr/>
  <extLst>
    <ext uri="GoogleSheetsCustomDataVersion2">
      <go:sheetsCustomData xmlns:go="http://customooxmlschemas.google.com/" r:id="rId14" roundtripDataChecksum="B4Dq+5knnpmMDpWUnc0gbc0CXARgmTn0bhLVSRj4E6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
      <text>
        <t xml:space="preserve">======
ID#AAAB3T_yohs
tc={0b8198c3-2640-41a0-88b9-b20e1ae06005}    (2026-04-15 12:51:43)
[Threaded comment]
 Your version of Excel allows you to read this threaded comment; however, any edits to it will get removed if the file is opened in a newer version of Excel. Learn more: https://go.microsoft.com/fwlink/?linkid=870924
Comment:
	Let's reduce to 10.2%
======
ID#AAAB3T_yohY
tc={ec76d79f-fb8f-41e8-acdb-f652938fb95d}    (2026-04-15 12:51:43)
[Threaded comment]
 Your version of Excel allows you to read this threaded comment; however, any edits to it will get removed if the file is opened in a newer version of Excel. Learn more: https://go.microsoft.com/fwlink/?linkid=870924
Comment:
	EAFC25 $ 10.2 as bench
======
ID#AAAB3T_yogs
tc={0b8198c3-2640-41a0-88b9-b20e1ae06005}    (2026-04-15 12:51:43)
[Threaded comment]
 Your version of Excel allows you to read this threaded comment; however, any edits to it will get removed if the file is opened in a newer version of Excel. Learn more: https://go.microsoft.com/fwlink/?linkid=870924
Comment:
	Let's reduce to 10.2%</t>
      </text>
    </comment>
  </commentList>
  <extLst>
    <ext uri="GoogleSheetsCustomDataVersion2">
      <go:sheetsCustomData xmlns:go="http://customooxmlschemas.google.com/" r:id="rId1" roundtripDataSignature="AMtx7miBWa2L9e9ZhPfWpfKtv+cRQ0QL2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
ID#AAAB3T_yohk
tc={5e557ec6-51d1-4ff3-9352-b590d1b75f20}    (2026-04-15 12:51:43)
[Threaded comment]
 Your version of Excel allows you to read this threaded comment; however, any edits to it will get removed if the file is opened in a newer version of Excel. Learn more: https://go.microsoft.com/fwlink/?linkid=870924
Comment:
	Decided on live ops meeting for 3,99
======
ID#AAAB3T_yohc
tc={5e557ec6-51d1-4ff3-9352-b590d1b75f20}    (2026-04-15 12:51:43)
[Threaded comment]
 Your version of Excel allows you to read this threaded comment; however, any edits to it will get removed if the file is opened in a newer version of Excel. Learn more: https://go.microsoft.com/fwlink/?linkid=870924
Comment:
	Decided on live ops meeting for 3,99
======
ID#AAAB3T_yohU
tc={bdcfc75c-c35a-44e9-a4a3-b352c56bd70c}    (2026-04-15 12:51:43)
[Threaded comment]
 Your version of Excel allows you to read this threaded comment; however, any edits to it will get removed if the file is opened in a newer version of Excel. Learn more: https://go.microsoft.com/fwlink/?linkid=870924
Comment:
	@liza@playgoals.com validate the kit prices
Assigned to liza@playgoals.com
Reply:
	I think this is 300 FC points in FC25 = 45 SEK if I understand correctly</t>
      </text>
    </comment>
    <comment authorId="0" ref="F4">
      <text>
        <t xml:space="preserve">======
ID#AAAB3T_yohA
tc={7caa69c3-ccf8-45b8-abac-0a811c05cebb}    (2026-04-15 12:51:43)
[Threaded comment]
 Your version of Excel allows you to read this threaded comment; however, any edits to it will get removed if the file is opened in a newer version of Excel. Learn more: https://go.microsoft.com/fwlink/?linkid=870924
Comment:
	this should be much higher, similar to the Originals Tier 13 or 14</t>
      </text>
    </comment>
    <comment authorId="0" ref="D5">
      <text>
        <t xml:space="preserve">======
ID#AAAB3T_yog8
tc={bb85adab-1009-479e-b337-ef7ac615e1c1}    (2026-04-15 12:51:43)
[Threaded comment]
 Your version of Excel allows you to read this threaded comment; however, any edits to it will get removed if the file is opened in a newer version of Excel. Learn more: https://go.microsoft.com/fwlink/?linkid=870924
Comment:
	Add rev share</t>
      </text>
    </comment>
    <comment authorId="0" ref="D6">
      <text>
        <t xml:space="preserve">======
ID#AAAB3T_yogo
tc={56cfda1f-0a5e-41c4-bfd9-17029cbba085}    (2026-04-15 12:51:43)
[Threaded comment]
 Your version of Excel allows you to read this threaded comment; however, any edits to it will get removed if the file is opened in a newer version of Excel. Learn more: https://go.microsoft.com/fwlink/?linkid=870924
Comment:
	TBD</t>
      </text>
    </comment>
  </commentList>
  <extLst>
    <ext uri="GoogleSheetsCustomDataVersion2">
      <go:sheetsCustomData xmlns:go="http://customooxmlschemas.google.com/" r:id="rId1" roundtripDataSignature="AMtx7mhxvD/JA8vyTBmvRwMKgwg1W4kgt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
ID#AAAB3T_yohg
tc={1fe22e6d-c43f-4511-9dcf-08177b13f1be}    (2026-04-15 12:51:43)
[Threaded comment]
 Your version of Excel allows you to read this threaded comment; however, any edits to it will get removed if the file is opened in a newer version of Excel. Learn more: https://go.microsoft.com/fwlink/?linkid=870924
Comment:
	We should keep the economy simple and clear — ideally $1 = 100 coins, (or 1,000)
so players instantly understand the value of what they’re buying. It builds trust and avoids the confusion of odd ratios. (Valorant)
On the soft currency side, we need to be very careful with how many Player Packs can actually be earned through grinding. At 500 points for a loss / 1,000 for a win, the difference between 25k, 30k, and 40k per pack is huge:
25k → players could grind a pack every 2–3 days
30k → around 1 pack per week for casuals, 2 for heavy players</t>
      </text>
    </comment>
    <comment authorId="0" ref="E25">
      <text>
        <t xml:space="preserve">======
ID#AAAB3T_yohM
tc={8ad394eb-aa9b-4efb-a714-3935ca5ca1d1}    (2026-04-15 12:51:43)
[Threaded comment]
 Your version of Excel allows you to read this threaded comment; however, any edits to it will get removed if the file is opened in a newer version of Excel. Learn more: https://go.microsoft.com/fwlink/?linkid=870924
Comment:
	$2.99  →baseline, no bonus
$5.99 →baseline, no bonus
$9.99 → (+20%)
$19.99 → (+25%) ← decoy
$49.99 →  (+40%)
$99.99 → (+50%)
This way the mid-tier ($19.99) looks less attractive compared to $49.99, nudging players upward, and the top tiers feel like a big step up in value.</t>
      </text>
    </comment>
    <comment authorId="0" ref="A19">
      <text>
        <t xml:space="preserve">======
ID#AAAB3T_yohI
tc={782c0736-bfa9-4a37-818b-73431f0fada7}    (2026-04-15 12:51:43)
[Threaded comment]
 Your version of Excel allows you to read this threaded comment; however, any edits to it will get removed if the file is opened in a newer version of Excel. Learn more: https://go.microsoft.com/fwlink/?linkid=870924
Comment:
	I’d suggest we keep it to a maximum of 5/6 SKUs, starting at $2.99. In past games I’ve seen a lot of player frustration with tiny entry bundles that don’t actually let you buy anything meaningful. If our lowest-priced content is set at $2.99, then our currency packs should align with that. no point in offering smaller SKUs that just create bad sentiment.</t>
      </text>
    </comment>
    <comment authorId="0" ref="E19">
      <text>
        <t xml:space="preserve">======
ID#AAAB3T_yohE
tc={c2c519c9-9be8-49e3-bec4-8faf9b16d142}    (2026-04-15 12:51:43)
[Threaded comment]
 Your version of Excel allows you to read this threaded comment; however, any edits to it will get removed if the file is opened in a newer version of Excel. Learn more: https://go.microsoft.com/fwlink/?linkid=870924
Comment:
	Bonuses should feel more meaningful — right now the % increases between tiers are pretty flat, which doesn’t push players up the ladder. We should also think about anchoring/decoy pricing to make the bigger packs clearly stand out as the best value.</t>
      </text>
    </comment>
    <comment authorId="0" ref="H3">
      <text>
        <t xml:space="preserve">======
ID#AAAB3T_yogk
tc={b3b3f0b3-a078-443e-ac15-4218d9c47ef2}    (2026-04-15 12:51:43)
[Threaded comment]
 Your version of Excel allows you to read this threaded comment; however, any edits to it will get removed if the file is opened in a newer version of Excel. Learn more: https://go.microsoft.com/fwlink/?linkid=870924
Comment:
	might be too generous, I would actually work with a 5:1 ratio
Reply:
	also for simplicity</t>
      </text>
    </comment>
  </commentList>
  <extLst>
    <ext uri="GoogleSheetsCustomDataVersion2">
      <go:sheetsCustomData xmlns:go="http://customooxmlschemas.google.com/" r:id="rId1" roundtripDataSignature="AMtx7mjfVBufkLUtQnWx08GsM8iu31uBz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75">
      <text>
        <t xml:space="preserve">======
ID#AAAB3T_yog0
tc={74b9a36c-f67a-40dd-8ed1-00e8432756e2}    (2026-04-15 12:51:43)
[Threaded comment]
 Your version of Excel allows you to read this threaded comment; however, any edits to it will get removed if the file is opened in a newer version of Excel. Learn more: https://go.microsoft.com/fwlink/?linkid=870924
Comment:
	Price based on tier guarantee and desirability of footballer/celebrity</t>
      </text>
    </comment>
  </commentList>
  <extLst>
    <ext uri="GoogleSheetsCustomDataVersion2">
      <go:sheetsCustomData xmlns:go="http://customooxmlschemas.google.com/" r:id="rId1" roundtripDataSignature="AMtx7mgvOQhfr1yuaxGQWZp3T6IjcLLOTA=="/>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
ID#AAAB3T_yohw
tc={556bd66f-859f-4543-a45c-c0e1b4a10c7e}    (2026-04-15 12:51:43)
[Threaded comment]
 Your version of Excel allows you to read this threaded comment; however, any edits to it will get removed if the file is opened in a newer version of Excel. Learn more: https://go.microsoft.com/fwlink/?linkid=870924
Comment:
	Same conversion as EAFC26 has from USD prices to YEN prices</t>
      </text>
    </comment>
    <comment authorId="0" ref="C2">
      <text>
        <t xml:space="preserve">======
ID#AAAB3T_yoho
tc={6c6a0622-e466-4b97-85d3-b4559ef78eb3}    (2026-04-15 12:51:43)
[Threaded comment]
 Your version of Excel allows you to read this threaded comment; however, any edits to it will get removed if the file is opened in a newer version of Excel. Learn more: https://go.microsoft.com/fwlink/?linkid=870924
Comment:
	Check this is net of platform fees (30%)</t>
      </text>
    </comment>
    <comment authorId="0" ref="L4">
      <text>
        <t xml:space="preserve">======
ID#AAAB3T_yohQ
tc={a68de72d-3ba9-4310-84c0-47bb5eb2d0a2}    (2026-04-15 12:51:43)
[Threaded comment]
 Your version of Excel allows you to read this threaded comment; however, any edits to it will get removed if the file is opened in a newer version of Excel. Learn more: https://go.microsoft.com/fwlink/?linkid=870924
Comment:
	FYI @liza@playgoals.com at this level EAFC26 is much cheaper with a cost of approx $0.0135 per coin
Perhaps intentional but worth a deep dive at some point.
Assigned to liza@playgoals.com</t>
      </text>
    </comment>
    <comment authorId="0" ref="D2">
      <text>
        <t xml:space="preserve">======
ID#AAAB3T_yog4
tc={94b78c10-06e0-4a77-9420-f760fe1b0e94}    (2026-04-15 12:51:43)
[Threaded comment]
 Your version of Excel allows you to read this threaded comment; however, any edits to it will get removed if the file is opened in a newer version of Excel. Learn more: https://go.microsoft.com/fwlink/?linkid=870924
Comment:
	Direct parity: Europe charges the same nominal amounts in euros as the US does in dollars for FC Points packs
Reply:
	https://www.fifplay.com/fc-26-points/?utm_source=chatgpt.com</t>
      </text>
    </comment>
    <comment authorId="0" ref="B2">
      <text>
        <t xml:space="preserve">======
ID#AAAB3T_yogw
tc={e0f4f7da-2bc2-4df9-89ed-cf4f9db7d2ea}    (2026-04-15 12:51:43)
[Threaded comment]
 Your version of Excel allows you to read this threaded comment; however, any edits to it will get removed if the file is opened in a newer version of Excel. Learn more: https://go.microsoft.com/fwlink/?linkid=870924
Comment:
	Check this is ex VAT</t>
      </text>
    </comment>
  </commentList>
  <extLst>
    <ext uri="GoogleSheetsCustomDataVersion2">
      <go:sheetsCustomData xmlns:go="http://customooxmlschemas.google.com/" r:id="rId1" roundtripDataSignature="AMtx7mhh0blK2CJfT25gykehSNdJBqwKmQ=="/>
    </ext>
  </extLst>
</comments>
</file>

<file path=xl/sharedStrings.xml><?xml version="1.0" encoding="utf-8"?>
<sst xmlns="http://schemas.openxmlformats.org/spreadsheetml/2006/main" count="642" uniqueCount="323">
  <si>
    <t>Store points value distribution</t>
  </si>
  <si>
    <t>Input</t>
  </si>
  <si>
    <t>Calculated</t>
  </si>
  <si>
    <t>Pack</t>
  </si>
  <si>
    <t>Kit</t>
  </si>
  <si>
    <t>Celebration</t>
  </si>
  <si>
    <t>Original</t>
  </si>
  <si>
    <t>Per user points value in the store</t>
  </si>
  <si>
    <t>MAU</t>
  </si>
  <si>
    <t>Per user USD value in the store</t>
  </si>
  <si>
    <t>Payers</t>
  </si>
  <si>
    <t>Per user monetization space (points)</t>
  </si>
  <si>
    <t>Acc points grinded by top active players</t>
  </si>
  <si>
    <t>chart data</t>
  </si>
  <si>
    <t>Acc points grinded by most players</t>
  </si>
  <si>
    <t>Points grinded by most</t>
  </si>
  <si>
    <t>Originals rev share</t>
  </si>
  <si>
    <t>Points grinded by top active players</t>
  </si>
  <si>
    <t>Accumulated points available in the Store</t>
  </si>
  <si>
    <t>next steps</t>
  </si>
  <si>
    <t>kolla med frans en draft på packs</t>
  </si>
  <si>
    <t>ARPU</t>
  </si>
  <si>
    <t>kolla med joacim en draft på kits</t>
  </si>
  <si>
    <t>ARPPU</t>
  </si>
  <si>
    <t>kolla celebrtions</t>
  </si>
  <si>
    <t>Store fulfillment vs monetisation space</t>
  </si>
  <si>
    <t>Store fulfillment vs top grinders</t>
  </si>
  <si>
    <t>% of total population</t>
  </si>
  <si>
    <t>Paying %</t>
  </si>
  <si>
    <t>Cohort total users</t>
  </si>
  <si>
    <t>Cohort total paying users</t>
  </si>
  <si>
    <t>Cohort ARPPU</t>
  </si>
  <si>
    <t>Cohort ARPU</t>
  </si>
  <si>
    <t>Persona 1: Core FUT
(every day)</t>
  </si>
  <si>
    <t>Persona 2: Dedicated FUT
(2-3 times / week)</t>
  </si>
  <si>
    <t>Persona 3: Casual FUT
( a few times / month)</t>
  </si>
  <si>
    <t>Category</t>
  </si>
  <si>
    <t>SKU</t>
  </si>
  <si>
    <t>Set Points value</t>
  </si>
  <si>
    <t>or set USD value</t>
  </si>
  <si>
    <t>Units Available</t>
  </si>
  <si>
    <t>calc USD value</t>
  </si>
  <si>
    <t>calc Points value</t>
  </si>
  <si>
    <t>Coins</t>
  </si>
  <si>
    <t>Total value USD</t>
  </si>
  <si>
    <t>Total value Points</t>
  </si>
  <si>
    <t>Total value Coins</t>
  </si>
  <si>
    <t>Standard Packs</t>
  </si>
  <si>
    <t>Standard Packs expensive</t>
  </si>
  <si>
    <t>Kits Internal</t>
  </si>
  <si>
    <t xml:space="preserve">Kits Partnership </t>
  </si>
  <si>
    <t>Celebrations</t>
  </si>
  <si>
    <t>Points value</t>
  </si>
  <si>
    <t>USD</t>
  </si>
  <si>
    <t>points / coin</t>
  </si>
  <si>
    <t>points / USD</t>
  </si>
  <si>
    <t>coins / USD</t>
  </si>
  <si>
    <t>Categories</t>
  </si>
  <si>
    <t>For reference only. Not used in this model</t>
  </si>
  <si>
    <t>1st Party Store</t>
  </si>
  <si>
    <t>coins</t>
  </si>
  <si>
    <t>coins rounded incl bonus</t>
  </si>
  <si>
    <t>value</t>
  </si>
  <si>
    <t>points value</t>
  </si>
  <si>
    <t>$5.99 →baseline. no bonus</t>
  </si>
  <si>
    <t>$9.99 → (+20%)</t>
  </si>
  <si>
    <t>$19.99 → (+25%) ← decoy</t>
  </si>
  <si>
    <t>$29.99 →  (+40%) Best value</t>
  </si>
  <si>
    <t>$49.99 →  (+50%)</t>
  </si>
  <si>
    <t>$99.99 → (+70%) best bargain</t>
  </si>
  <si>
    <t>This way the mid-tier ($19.99) looks less attractive compared to $49.99. nudging players upward. and the top tiers feel like a big step up in value.</t>
  </si>
  <si>
    <t>PLAN</t>
  </si>
  <si>
    <t>Context</t>
  </si>
  <si>
    <t>Provide content plan</t>
  </si>
  <si>
    <t>done</t>
  </si>
  <si>
    <t>create and validate model</t>
  </si>
  <si>
    <t>Set price levels</t>
  </si>
  <si>
    <t>find points needed in store for each category</t>
  </si>
  <si>
    <t>Align with BP -&gt; ARPU / month</t>
  </si>
  <si>
    <t>align ARPPU and ARPU with BP</t>
  </si>
  <si>
    <t>Standar SKUs. not including promos</t>
  </si>
  <si>
    <t>break out kits and celebrations to content plan</t>
  </si>
  <si>
    <t>Not considering marketplace</t>
  </si>
  <si>
    <t>align store pricing points in USD with GL</t>
  </si>
  <si>
    <t>Timespan 1 month</t>
  </si>
  <si>
    <t>Model does not care about which items are SC/HC or HC only wec</t>
  </si>
  <si>
    <t>Gemeni deep research check</t>
  </si>
  <si>
    <t>Gemeni ARRPU</t>
  </si>
  <si>
    <t>$25 - $40</t>
  </si>
  <si>
    <t>$10 - $15</t>
  </si>
  <si>
    <t>$5 - $10</t>
  </si>
  <si>
    <t>GBP -&gt; USD</t>
  </si>
  <si>
    <t>EUR -&gt; SEK</t>
  </si>
  <si>
    <t>EUR -&gt; USD</t>
  </si>
  <si>
    <t>SEK -&gt; USD</t>
  </si>
  <si>
    <t>League of Legends</t>
  </si>
  <si>
    <t>Hard currency</t>
  </si>
  <si>
    <t>EUR</t>
  </si>
  <si>
    <t>USD/Hard Currency</t>
  </si>
  <si>
    <t>Discount</t>
  </si>
  <si>
    <t>Note that League of Legends do not write that more RP = discount, instead they give you "bonus RP", i.e. 13500 RP is 11525 RP + 1975 bonus RP</t>
  </si>
  <si>
    <t>Apex Legends</t>
  </si>
  <si>
    <t>Same as LoL -&gt; bonus coins (i.e 2000 + 150 bonus)</t>
  </si>
  <si>
    <t>The Finals</t>
  </si>
  <si>
    <t>Indonesian Rupiah (IDR)</t>
  </si>
  <si>
    <t>EA FC</t>
  </si>
  <si>
    <t>Indonesia — PlayStation Store (IDR)</t>
  </si>
  <si>
    <t>SEK</t>
  </si>
  <si>
    <t>Price (IDR)</t>
  </si>
  <si>
    <t>Rp 16,000</t>
  </si>
  <si>
    <t>Rp 77,000</t>
  </si>
  <si>
    <t>Rp 151,000</t>
  </si>
  <si>
    <t>Rp 230,000</t>
  </si>
  <si>
    <t>Rp 380,000</t>
  </si>
  <si>
    <t>Rp 760,000</t>
  </si>
  <si>
    <t>Rp 1,510,000</t>
  </si>
  <si>
    <t>Rp 2,260,000</t>
  </si>
  <si>
    <t>If you have EA Play most coin bundles are 10% off</t>
  </si>
  <si>
    <t>Fortnite</t>
  </si>
  <si>
    <t>eFootball</t>
  </si>
  <si>
    <t>GBP</t>
  </si>
  <si>
    <t>Overwatch</t>
  </si>
  <si>
    <t>HC (RP)</t>
  </si>
  <si>
    <t>USD/HC</t>
  </si>
  <si>
    <t>Skin 1</t>
  </si>
  <si>
    <t>Price USD</t>
  </si>
  <si>
    <t>Skin 2</t>
  </si>
  <si>
    <t>Skin 3</t>
  </si>
  <si>
    <t>Fx</t>
  </si>
  <si>
    <t>Most common release price for new skins</t>
  </si>
  <si>
    <t>Top tier skins. very detailed</t>
  </si>
  <si>
    <t>Old skins that are pretty basic and outdated compared to new skins</t>
  </si>
  <si>
    <t>Dance</t>
  </si>
  <si>
    <t>HC (V-bucks)</t>
  </si>
  <si>
    <t>Dance 1</t>
  </si>
  <si>
    <t>Dance 2</t>
  </si>
  <si>
    <t>Dance 3</t>
  </si>
  <si>
    <t>Skin</t>
  </si>
  <si>
    <t>Dark Tricera Ops - own series skins (ie not external partnership)</t>
  </si>
  <si>
    <t>Beavis (from Beavis and Butthead)</t>
  </si>
  <si>
    <t xml:space="preserve">Snoop Dogg </t>
  </si>
  <si>
    <t>In general skins (or Outfits as they are called in Fortnite) seems to be between 1200-1500 Vbucks regardless of partnership or not</t>
  </si>
  <si>
    <t>They work with a lot of bundles where you get outfit, emote and dance</t>
  </si>
  <si>
    <t>Adidas collaboration</t>
  </si>
  <si>
    <t>Adidas Samba shoe</t>
  </si>
  <si>
    <t>Adidas complete outfit</t>
  </si>
  <si>
    <t>Dance/emote</t>
  </si>
  <si>
    <t>HC (Apec Coins)</t>
  </si>
  <si>
    <t>Kawaii Kitty Wattson - a quite detailed kawaii style skin</t>
  </si>
  <si>
    <t>Born of Blood Bundle - character skin + weapon skin + frame + trackers</t>
  </si>
  <si>
    <t>Born of Blood Bundle - character skin + weapon skin + frame + trackers + 40 loot boxes</t>
  </si>
  <si>
    <t>In Apex the most basic skins are unlocked by soft currency only. For mid tier you can unlock using either soft or hard currency. For premium skins it's hard currency only.</t>
  </si>
  <si>
    <t xml:space="preserve">They work a lot with bundles with various cosmetic items, a lot of times also combined with loot boxes. </t>
  </si>
  <si>
    <t>One special thing about Apex is that they have an additional currency - Heirloom Shards. You can only get them in loot boxes (and you can either buy or grind loot boxes). For Heirloom Shards you can buy very rare items.</t>
  </si>
  <si>
    <t>HC (Coins)</t>
  </si>
  <si>
    <t>"Sweden Calling" (or same price for other national skins). You get an outfit, flag, nail polish and emote</t>
  </si>
  <si>
    <t xml:space="preserve">Permafox bundle. Skin and a number of accessories. </t>
  </si>
  <si>
    <t>Emote (300-500 coins). About the same as our celebrations.</t>
  </si>
  <si>
    <t>HC (FC points)</t>
  </si>
  <si>
    <t>Local Currency</t>
  </si>
  <si>
    <t>USD Currency</t>
  </si>
  <si>
    <t>Conversion / PS FX</t>
  </si>
  <si>
    <t>Hong Kong</t>
  </si>
  <si>
    <t>Singapore</t>
  </si>
  <si>
    <t>Indonesia</t>
  </si>
  <si>
    <t>This proves you cannot use pure FX conversion to input prices - Local factor is key</t>
  </si>
  <si>
    <t>PlayStation US Prices</t>
  </si>
  <si>
    <t>Japan — PlayStation Store (JPY)</t>
  </si>
  <si>
    <t>PlayStation Store (SGD)</t>
  </si>
  <si>
    <t>Hong Kong — PlayStation Store (HKD)</t>
  </si>
  <si>
    <t>FC Points Pack</t>
  </si>
  <si>
    <t>US Price (USD)</t>
  </si>
  <si>
    <t>Price (Japanese Yen)</t>
  </si>
  <si>
    <t>Recalc. Singapore Dollars (SGD)</t>
  </si>
  <si>
    <t>Recalc. Hongkong Dollars (HKD)</t>
  </si>
  <si>
    <t>Recalc. Indonesian Rupiah (IDR)</t>
  </si>
  <si>
    <t>Approx. Singapore Dollars (SGD)</t>
  </si>
  <si>
    <t>Price (HKD)</t>
  </si>
  <si>
    <t>¥150</t>
  </si>
  <si>
    <t>SGD 1.60</t>
  </si>
  <si>
    <t>HK$ 9</t>
  </si>
  <si>
    <t>¥690</t>
  </si>
  <si>
    <t>SGD 7.60</t>
  </si>
  <si>
    <t>HK$ 40</t>
  </si>
  <si>
    <t>1 050</t>
  </si>
  <si>
    <t>¥1 400</t>
  </si>
  <si>
    <t>SGD 15.00</t>
  </si>
  <si>
    <t>HK$ 78</t>
  </si>
  <si>
    <t>1 600</t>
  </si>
  <si>
    <t>¥2 100</t>
  </si>
  <si>
    <t>SGD 22.00</t>
  </si>
  <si>
    <t>HK$ 120</t>
  </si>
  <si>
    <t>2 800</t>
  </si>
  <si>
    <t>¥3 400</t>
  </si>
  <si>
    <t>SGD 35.54</t>
  </si>
  <si>
    <t>HK$ 198</t>
  </si>
  <si>
    <t>5 900</t>
  </si>
  <si>
    <t>¥6 600</t>
  </si>
  <si>
    <t>SGD 72.00</t>
  </si>
  <si>
    <t>HK$ 398</t>
  </si>
  <si>
    <t>12 000</t>
  </si>
  <si>
    <t>¥13 300</t>
  </si>
  <si>
    <t>SGD 140.48</t>
  </si>
  <si>
    <t>HK$ 798</t>
  </si>
  <si>
    <t>18 500</t>
  </si>
  <si>
    <t>¥19 900</t>
  </si>
  <si>
    <t>SGD 212.00</t>
  </si>
  <si>
    <t>HK$ 1,180</t>
  </si>
  <si>
    <t>FC Points Price Comparison — US vs EU vs Japan</t>
  </si>
  <si>
    <t>Source Links</t>
  </si>
  <si>
    <t>https://store.playstation.com/en-us/category/2548d67b-59aa-4045-824c-d606e0021672?utm_source=chatgpt.com</t>
  </si>
  <si>
    <t>https://fifauteam.com/fc-points-prices-fc-26/?utm_source=chatgpt.com</t>
  </si>
  <si>
    <t>https://store.playstation.com/ja-jp/category/2548d67b-59aa-4045-824c-d606e0021672?utm_source=chatgpt.com</t>
  </si>
  <si>
    <t>Points Pack</t>
  </si>
  <si>
    <t>US (USD)</t>
  </si>
  <si>
    <t>Europe (EUR)</t>
  </si>
  <si>
    <t>Japan (JPY)</t>
  </si>
  <si>
    <t>GOALS</t>
  </si>
  <si>
    <t>Current</t>
  </si>
  <si>
    <t>Proposal - high discount (56%)</t>
  </si>
  <si>
    <t>500 coins</t>
  </si>
  <si>
    <t>100 coins</t>
  </si>
  <si>
    <t>Not discounted price</t>
  </si>
  <si>
    <t>Bonus</t>
  </si>
  <si>
    <t>Equals soft currency</t>
  </si>
  <si>
    <t>Price per pack</t>
  </si>
  <si>
    <t>Packs possible to buy</t>
  </si>
  <si>
    <t>400 + 100 bonus</t>
  </si>
  <si>
    <t>850 + 150 bonus</t>
  </si>
  <si>
    <t>1700 + 500 bonus</t>
  </si>
  <si>
    <t>2500 + 1000 bonus</t>
  </si>
  <si>
    <t>4000 + 2500 bonus</t>
  </si>
  <si>
    <t>8000 + 6500 bonus</t>
  </si>
  <si>
    <t>Proposal - moderate discount (48%)</t>
  </si>
  <si>
    <t>850 + 100 bonus</t>
  </si>
  <si>
    <t>1700 + 300 bonus</t>
  </si>
  <si>
    <t>2500 + 1250 bonus</t>
  </si>
  <si>
    <t>4000 + 2750 bonus</t>
  </si>
  <si>
    <t>8000 + 4000 bonus</t>
  </si>
  <si>
    <t>Proposal - low discount (30%)</t>
  </si>
  <si>
    <t>375 + 25 bonus</t>
  </si>
  <si>
    <t>635 + 75 bonus</t>
  </si>
  <si>
    <t>1250 + 200 bonus</t>
  </si>
  <si>
    <t>1900 + 350 bonus</t>
  </si>
  <si>
    <t>3100 + 900 bonus</t>
  </si>
  <si>
    <t>6000 + 3000 bonus</t>
  </si>
  <si>
    <t>Proposal - super low discount (19%)</t>
  </si>
  <si>
    <t>None</t>
  </si>
  <si>
    <t>625 + 25 bonus</t>
  </si>
  <si>
    <t>1250 + 125 bonus</t>
  </si>
  <si>
    <t>1900 + 200 bonus</t>
  </si>
  <si>
    <t>3100 + 650 bonus</t>
  </si>
  <si>
    <t>6000 + 1750 bonus</t>
  </si>
  <si>
    <t>Standard packs (WIP)</t>
  </si>
  <si>
    <t>Contains</t>
  </si>
  <si>
    <t>Fair Value</t>
  </si>
  <si>
    <t>Price (SC)</t>
  </si>
  <si>
    <t>Supply/user</t>
  </si>
  <si>
    <t>Price low (USD)</t>
  </si>
  <si>
    <t>Price high (USD)</t>
  </si>
  <si>
    <t>Super low</t>
  </si>
  <si>
    <t>Moderate</t>
  </si>
  <si>
    <t>High</t>
  </si>
  <si>
    <t>Daily Free Pack</t>
  </si>
  <si>
    <t>3x Basic+</t>
  </si>
  <si>
    <t>1 (Daily)</t>
  </si>
  <si>
    <t>4 Basic+ Pack</t>
  </si>
  <si>
    <t>4x Basic+</t>
  </si>
  <si>
    <t>∞</t>
  </si>
  <si>
    <t>1.03-1.27</t>
  </si>
  <si>
    <t>3 Common+ Pack</t>
  </si>
  <si>
    <t>3x Common+</t>
  </si>
  <si>
    <t>1.94-2.39</t>
  </si>
  <si>
    <t>2 Uncommon+ Pack</t>
  </si>
  <si>
    <t>2x Uncommon+</t>
  </si>
  <si>
    <t>3.35-4.13</t>
  </si>
  <si>
    <t>1x Rare+ Pack</t>
  </si>
  <si>
    <t>1x Rare+</t>
  </si>
  <si>
    <t>7.74-9.54</t>
  </si>
  <si>
    <t>Mix Pack</t>
  </si>
  <si>
    <t>1x Uncommon+, 2x Common+, 3x Basic+</t>
  </si>
  <si>
    <t>3.23-3.98</t>
  </si>
  <si>
    <t>Mix Pack Large</t>
  </si>
  <si>
    <t>1x Rare+, 2x Uncommon+, 3x Common+, 4x Basic+</t>
  </si>
  <si>
    <t>13.29-16.38</t>
  </si>
  <si>
    <t>Mix Pack XL</t>
  </si>
  <si>
    <t>2x Rare+, 4x Uncommon+, 6x Common+, 8x Basic+</t>
  </si>
  <si>
    <t>24.51-30.21</t>
  </si>
  <si>
    <t>Time-limited packs (examples)</t>
  </si>
  <si>
    <t>WC Qualifier Pack</t>
  </si>
  <si>
    <t>5x Uncommon+</t>
  </si>
  <si>
    <t>7.48-9.22</t>
  </si>
  <si>
    <t>Samba Pack</t>
  </si>
  <si>
    <t>2x Rare+ Brazilian Strikers (ST)</t>
  </si>
  <si>
    <t>14.19-17.49</t>
  </si>
  <si>
    <t>X-mas Present</t>
  </si>
  <si>
    <t>3x Basic+, 2x Common+</t>
  </si>
  <si>
    <t>Black Weekend Mega Pack</t>
  </si>
  <si>
    <t>5x Rare+, 10x Uncommon+, 15x Common+, 20x Basic+</t>
  </si>
  <si>
    <t>51.35-63.28</t>
  </si>
  <si>
    <t>Originals Rashford</t>
  </si>
  <si>
    <t>1x Rare+ Rashford (stat range guarantees)</t>
  </si>
  <si>
    <t>HC only</t>
  </si>
  <si>
    <t>Originals Messi</t>
  </si>
  <si>
    <t>1x Epic+ Messi (stat range guarantees)</t>
  </si>
  <si>
    <t>63.22-77.91</t>
  </si>
  <si>
    <t>Originals KSI</t>
  </si>
  <si>
    <t>1x Rare+ KSI (fully randomized stats)</t>
  </si>
  <si>
    <t>28.38-34.98</t>
  </si>
  <si>
    <t>USD for North America</t>
  </si>
  <si>
    <t>YEN</t>
  </si>
  <si>
    <t>Asia</t>
  </si>
  <si>
    <t>USD for Asia</t>
  </si>
  <si>
    <t>Retail Price (USD)</t>
  </si>
  <si>
    <t>Wholesale price (console)</t>
  </si>
  <si>
    <t>Retail Price (EUR)</t>
  </si>
  <si>
    <t>Retail Price (YEN)</t>
  </si>
  <si>
    <t>Cost per coin</t>
  </si>
  <si>
    <t>Coins / $</t>
  </si>
  <si>
    <t>Price (USD)</t>
  </si>
  <si>
    <t>"Filler pack"</t>
  </si>
  <si>
    <t>"Main pack"</t>
  </si>
  <si>
    <t>(Price USD)</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</si>
</sst>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0.0%"/>
    <numFmt numFmtId="165" formatCode="[$$]#,##0"/>
    <numFmt numFmtId="166" formatCode="[$$]#,##0.00"/>
    <numFmt numFmtId="167" formatCode="[$$]#,##0.0"/>
    <numFmt numFmtId="168" formatCode="0.0"/>
    <numFmt numFmtId="169" formatCode="0.00000"/>
    <numFmt numFmtId="170" formatCode="&quot;$&quot;#,##0.00"/>
    <numFmt numFmtId="171" formatCode="&quot;$&quot;#,##0"/>
    <numFmt numFmtId="172" formatCode="#,##0.0000"/>
    <numFmt numFmtId="173" formatCode="#,##0.0000000"/>
    <numFmt numFmtId="174" formatCode="#,##0.00000"/>
    <numFmt numFmtId="175" formatCode="#,##0.000000"/>
    <numFmt numFmtId="176" formatCode="0.000"/>
    <numFmt numFmtId="177" formatCode="0.0000"/>
  </numFmts>
  <fonts count="17">
    <font>
      <sz val="10.0"/>
      <color rgb="FF000000"/>
      <name val="Arial"/>
      <scheme val="minor"/>
    </font>
    <font>
      <color theme="1"/>
      <name val="Arial"/>
    </font>
    <font>
      <b/>
      <color theme="1"/>
      <name val="Arial"/>
    </font>
    <font>
      <sz val="10.0"/>
      <color rgb="FF000000"/>
      <name val="Arial"/>
    </font>
    <font>
      <b/>
      <i/>
      <color theme="1"/>
      <name val="Arial"/>
    </font>
    <font>
      <sz val="8.0"/>
      <color theme="1"/>
      <name val="Arial"/>
    </font>
    <font>
      <b/>
      <sz val="10.0"/>
      <color rgb="FF000000"/>
      <name val="Arial"/>
    </font>
    <font>
      <sz val="10.0"/>
      <color theme="1"/>
      <name val="Arial"/>
    </font>
    <font>
      <b/>
      <i/>
      <sz val="10.0"/>
      <color rgb="FF000000"/>
      <name val="Arial"/>
    </font>
    <font>
      <b/>
      <i/>
      <sz val="10.0"/>
      <color theme="1"/>
      <name val="Arial"/>
    </font>
    <font>
      <b/>
      <sz val="10.0"/>
      <color theme="1"/>
      <name val="Arial"/>
    </font>
    <font>
      <b/>
      <sz val="14.0"/>
      <color theme="1"/>
      <name val="Arial"/>
    </font>
    <font>
      <u/>
      <sz val="8.0"/>
      <color rgb="FF0000FF"/>
    </font>
    <font>
      <u/>
      <sz val="8.0"/>
      <color rgb="FF0000FF"/>
    </font>
    <font>
      <u/>
      <sz val="8.0"/>
      <color rgb="FF0000FF"/>
    </font>
    <font/>
    <font>
      <sz val="12.0"/>
      <color rgb="FF001D35"/>
      <name val="Google Sans"/>
    </font>
  </fonts>
  <fills count="14">
    <fill>
      <patternFill patternType="none"/>
    </fill>
    <fill>
      <patternFill patternType="lightGray"/>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
      <patternFill patternType="solid">
        <fgColor rgb="FFC9DAF8"/>
        <bgColor rgb="FFC9DAF8"/>
      </patternFill>
    </fill>
    <fill>
      <patternFill patternType="solid">
        <fgColor rgb="FFD9D2E9"/>
        <bgColor rgb="FFD9D2E9"/>
      </patternFill>
    </fill>
    <fill>
      <patternFill patternType="solid">
        <fgColor rgb="FFD0E0E3"/>
        <bgColor rgb="FFD0E0E3"/>
      </patternFill>
    </fill>
    <fill>
      <patternFill patternType="solid">
        <fgColor rgb="FFCFE2F3"/>
        <bgColor rgb="FFCFE2F3"/>
      </patternFill>
    </fill>
    <fill>
      <patternFill patternType="solid">
        <fgColor rgb="FF00FF00"/>
        <bgColor rgb="FF00FF00"/>
      </patternFill>
    </fill>
    <fill>
      <patternFill patternType="solid">
        <fgColor rgb="FFCCCCCC"/>
        <bgColor rgb="FFCCCCCC"/>
      </patternFill>
    </fill>
    <fill>
      <patternFill patternType="solid">
        <fgColor rgb="FFFFF2CC"/>
        <bgColor rgb="FFFFF2CC"/>
      </patternFill>
    </fill>
    <fill>
      <patternFill patternType="solid">
        <fgColor rgb="FFFFFFFF"/>
        <bgColor rgb="FFFFFFFF"/>
      </patternFill>
    </fill>
    <fill>
      <patternFill patternType="solid">
        <fgColor rgb="FFB6D7A8"/>
        <bgColor rgb="FFB6D7A8"/>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4" xfId="0" applyFont="1" applyNumberFormat="1"/>
    <xf borderId="0" fillId="0" fontId="1" numFmtId="1" xfId="0" applyFont="1" applyNumberFormat="1"/>
    <xf borderId="0" fillId="0" fontId="1" numFmtId="9" xfId="0" applyFont="1" applyNumberFormat="1"/>
    <xf borderId="0" fillId="0" fontId="1" numFmtId="164" xfId="0" applyFont="1" applyNumberFormat="1"/>
    <xf borderId="0" fillId="2" fontId="1" numFmtId="0" xfId="0" applyFill="1" applyFont="1"/>
    <xf borderId="0" fillId="0" fontId="1" numFmtId="165" xfId="0" applyFont="1" applyNumberFormat="1"/>
    <xf borderId="0" fillId="0" fontId="1" numFmtId="166" xfId="0" applyFont="1" applyNumberFormat="1"/>
    <xf borderId="0" fillId="3" fontId="2" numFmtId="0" xfId="0" applyFill="1" applyFont="1"/>
    <xf borderId="0" fillId="4" fontId="2" numFmtId="0" xfId="0" applyFill="1" applyFont="1"/>
    <xf borderId="0" fillId="5" fontId="2" numFmtId="0" xfId="0" applyFill="1" applyFont="1"/>
    <xf borderId="0" fillId="6" fontId="2" numFmtId="0" xfId="0" applyFill="1" applyFont="1"/>
    <xf borderId="0" fillId="6" fontId="1" numFmtId="0" xfId="0" applyFont="1"/>
    <xf borderId="0" fillId="3" fontId="1" numFmtId="0" xfId="0" applyFont="1"/>
    <xf borderId="0" fillId="4" fontId="1" numFmtId="0" xfId="0" applyFont="1"/>
    <xf borderId="0" fillId="5" fontId="1" numFmtId="0" xfId="0" applyFont="1"/>
    <xf borderId="0" fillId="0" fontId="1" numFmtId="10" xfId="0" applyFont="1" applyNumberFormat="1"/>
    <xf borderId="0" fillId="0" fontId="1" numFmtId="167" xfId="0" applyFont="1" applyNumberFormat="1"/>
    <xf borderId="0" fillId="3" fontId="1" numFmtId="167" xfId="0" applyFont="1" applyNumberFormat="1"/>
    <xf borderId="0" fillId="3" fontId="1" numFmtId="165" xfId="0" applyFont="1" applyNumberFormat="1"/>
    <xf borderId="0" fillId="4" fontId="1" numFmtId="167" xfId="0" applyFont="1" applyNumberFormat="1"/>
    <xf borderId="0" fillId="4" fontId="1" numFmtId="165" xfId="0" applyFont="1" applyNumberFormat="1"/>
    <xf borderId="0" fillId="5" fontId="1" numFmtId="167" xfId="0" applyFont="1" applyNumberFormat="1"/>
    <xf borderId="0" fillId="5" fontId="1" numFmtId="165" xfId="0" applyFont="1" applyNumberFormat="1"/>
    <xf borderId="0" fillId="6" fontId="1" numFmtId="167" xfId="0" applyFont="1" applyNumberFormat="1"/>
    <xf borderId="0" fillId="6" fontId="1" numFmtId="165" xfId="0" applyFont="1" applyNumberFormat="1"/>
    <xf borderId="0" fillId="0" fontId="1" numFmtId="3" xfId="0" applyAlignment="1" applyFont="1" applyNumberFormat="1">
      <alignment horizontal="right" vertical="bottom"/>
    </xf>
    <xf borderId="0" fillId="7" fontId="2" numFmtId="0" xfId="0" applyFill="1" applyFont="1"/>
    <xf borderId="0" fillId="7" fontId="1" numFmtId="0" xfId="0" applyFont="1"/>
    <xf borderId="0" fillId="7" fontId="1" numFmtId="168" xfId="0" applyFont="1" applyNumberFormat="1"/>
    <xf borderId="0" fillId="2" fontId="2" numFmtId="0" xfId="0" applyFont="1"/>
    <xf borderId="0" fillId="0" fontId="2" numFmtId="0" xfId="0" applyAlignment="1" applyFont="1">
      <alignment horizontal="right" vertical="bottom"/>
    </xf>
    <xf borderId="0" fillId="8" fontId="2" numFmtId="0" xfId="0" applyAlignment="1" applyFill="1" applyFont="1">
      <alignment horizontal="center"/>
    </xf>
    <xf borderId="0" fillId="8" fontId="2" numFmtId="0" xfId="0" applyFont="1"/>
    <xf borderId="0" fillId="8" fontId="1" numFmtId="0" xfId="0" applyFont="1"/>
    <xf borderId="0" fillId="8" fontId="1" numFmtId="2" xfId="0" applyFont="1" applyNumberFormat="1"/>
    <xf borderId="0" fillId="8" fontId="1" numFmtId="9" xfId="0" applyFont="1" applyNumberFormat="1"/>
    <xf borderId="0" fillId="8" fontId="1" numFmtId="1" xfId="0" applyFont="1" applyNumberFormat="1"/>
    <xf borderId="0" fillId="8" fontId="1" numFmtId="3" xfId="0" applyFont="1" applyNumberFormat="1"/>
    <xf borderId="0" fillId="0" fontId="3" numFmtId="0" xfId="0" applyAlignment="1" applyFont="1">
      <alignment shrinkToFit="0" vertical="bottom" wrapText="0"/>
    </xf>
    <xf borderId="0" fillId="0" fontId="3" numFmtId="0" xfId="0" applyAlignment="1" applyFont="1">
      <alignment horizontal="right" shrinkToFit="0" vertical="bottom" wrapText="0"/>
    </xf>
    <xf borderId="0" fillId="0" fontId="4" numFmtId="0" xfId="0" applyFont="1"/>
    <xf borderId="0" fillId="0" fontId="1" numFmtId="2" xfId="0" applyFont="1" applyNumberFormat="1"/>
    <xf borderId="0" fillId="0" fontId="1" numFmtId="169" xfId="0" applyFont="1" applyNumberFormat="1"/>
    <xf borderId="0" fillId="0" fontId="5" numFmtId="0" xfId="0" applyAlignment="1" applyFont="1">
      <alignment horizontal="center"/>
    </xf>
    <xf borderId="0" fillId="0" fontId="2" numFmtId="0" xfId="0" applyAlignment="1" applyFont="1">
      <alignment horizontal="center"/>
    </xf>
    <xf borderId="0" fillId="0" fontId="1" numFmtId="0" xfId="0" applyAlignment="1" applyFont="1">
      <alignment horizontal="left"/>
    </xf>
    <xf borderId="0" fillId="0" fontId="1" numFmtId="170" xfId="0" applyAlignment="1" applyFont="1" applyNumberFormat="1">
      <alignment horizontal="center"/>
    </xf>
    <xf borderId="0" fillId="0" fontId="1" numFmtId="0" xfId="0" applyAlignment="1" applyFont="1">
      <alignment horizontal="center"/>
    </xf>
    <xf borderId="0" fillId="0" fontId="1" numFmtId="171" xfId="0" applyAlignment="1" applyFont="1" applyNumberFormat="1">
      <alignment horizontal="center"/>
    </xf>
    <xf borderId="0" fillId="0" fontId="1" numFmtId="3" xfId="0" applyFont="1" applyNumberFormat="1"/>
    <xf borderId="0" fillId="0" fontId="2" numFmtId="9" xfId="0" applyFont="1" applyNumberFormat="1"/>
    <xf borderId="0" fillId="9" fontId="3" numFmtId="0" xfId="0" applyAlignment="1" applyFill="1" applyFont="1">
      <alignment shrinkToFit="0" vertical="bottom" wrapText="0"/>
    </xf>
    <xf borderId="0" fillId="9" fontId="6" numFmtId="0" xfId="0" applyAlignment="1" applyFont="1">
      <alignment shrinkToFit="0" vertical="bottom" wrapText="0"/>
    </xf>
    <xf borderId="0" fillId="9" fontId="7" numFmtId="0" xfId="0" applyFont="1"/>
    <xf borderId="0" fillId="0" fontId="7" numFmtId="0" xfId="0" applyFont="1"/>
    <xf borderId="0" fillId="0" fontId="6" numFmtId="0" xfId="0" applyAlignment="1" applyFont="1">
      <alignment shrinkToFit="0" vertical="bottom" wrapText="0"/>
    </xf>
    <xf borderId="0" fillId="0" fontId="3" numFmtId="172" xfId="0" applyAlignment="1" applyFont="1" applyNumberFormat="1">
      <alignment horizontal="right" shrinkToFit="0" vertical="bottom" wrapText="0"/>
    </xf>
    <xf borderId="0" fillId="0" fontId="3" numFmtId="173" xfId="0" applyAlignment="1" applyFont="1" applyNumberFormat="1">
      <alignment horizontal="right" shrinkToFit="0" vertical="bottom" wrapText="0"/>
    </xf>
    <xf borderId="0" fillId="0" fontId="3" numFmtId="174" xfId="0" applyAlignment="1" applyFont="1" applyNumberFormat="1">
      <alignment horizontal="right" shrinkToFit="0" vertical="bottom" wrapText="0"/>
    </xf>
    <xf borderId="0" fillId="0" fontId="3" numFmtId="175" xfId="0" applyAlignment="1" applyFont="1" applyNumberFormat="1">
      <alignment horizontal="right" shrinkToFit="0" vertical="bottom" wrapText="0"/>
    </xf>
    <xf borderId="0" fillId="0" fontId="8" numFmtId="0" xfId="0" applyAlignment="1" applyFont="1">
      <alignment shrinkToFit="0" vertical="bottom" wrapText="0"/>
    </xf>
    <xf borderId="0" fillId="0" fontId="9" numFmtId="0" xfId="0" applyFont="1"/>
    <xf borderId="0" fillId="9" fontId="10" numFmtId="0" xfId="0" applyFont="1"/>
    <xf borderId="0" fillId="10" fontId="4" numFmtId="0" xfId="0" applyFill="1" applyFont="1"/>
    <xf borderId="0" fillId="10" fontId="1" numFmtId="2" xfId="0" applyFont="1" applyNumberFormat="1"/>
    <xf borderId="0" fillId="0" fontId="11" numFmtId="0" xfId="0" applyFont="1"/>
    <xf borderId="0" fillId="0" fontId="12" numFmtId="0" xfId="0" applyFont="1"/>
    <xf borderId="0" fillId="0" fontId="13" numFmtId="2" xfId="0" applyFont="1" applyNumberFormat="1"/>
    <xf borderId="0" fillId="0" fontId="14" numFmtId="0" xfId="0" applyAlignment="1" applyFont="1">
      <alignment horizontal="left"/>
    </xf>
    <xf borderId="0" fillId="0" fontId="5" numFmtId="10" xfId="0" applyFont="1" applyNumberFormat="1"/>
    <xf borderId="0" fillId="0" fontId="11" numFmtId="0" xfId="0" applyAlignment="1" applyFont="1">
      <alignment horizontal="center"/>
    </xf>
    <xf borderId="0" fillId="0" fontId="11" numFmtId="2" xfId="0" applyAlignment="1" applyFont="1" applyNumberFormat="1">
      <alignment horizontal="center"/>
    </xf>
    <xf borderId="0" fillId="0" fontId="11" numFmtId="169" xfId="0" applyAlignment="1" applyFont="1" applyNumberFormat="1">
      <alignment horizontal="center"/>
    </xf>
    <xf borderId="0" fillId="4" fontId="2" numFmtId="0" xfId="0" applyAlignment="1" applyFont="1">
      <alignment horizontal="center"/>
    </xf>
    <xf borderId="0" fillId="11" fontId="2" numFmtId="0" xfId="0" applyAlignment="1" applyFill="1" applyFont="1">
      <alignment horizontal="center"/>
    </xf>
    <xf borderId="0" fillId="11" fontId="2" numFmtId="0" xfId="0" applyFont="1"/>
    <xf borderId="0" fillId="11" fontId="1" numFmtId="176" xfId="0" applyFont="1" applyNumberFormat="1"/>
    <xf borderId="0" fillId="11" fontId="1" numFmtId="1" xfId="0" applyFont="1" applyNumberFormat="1"/>
    <xf borderId="0" fillId="4" fontId="1" numFmtId="2" xfId="0" applyFont="1" applyNumberFormat="1"/>
    <xf borderId="0" fillId="11" fontId="1" numFmtId="0" xfId="0" applyFont="1"/>
    <xf borderId="0" fillId="11" fontId="4" numFmtId="0" xfId="0" applyFont="1"/>
    <xf borderId="0" fillId="11" fontId="1" numFmtId="2" xfId="0" applyFont="1" applyNumberFormat="1"/>
    <xf borderId="1" fillId="4" fontId="2" numFmtId="0" xfId="0" applyAlignment="1" applyBorder="1" applyFont="1">
      <alignment horizontal="center"/>
    </xf>
    <xf borderId="2" fillId="0" fontId="15" numFmtId="0" xfId="0" applyBorder="1" applyFont="1"/>
    <xf borderId="3" fillId="0" fontId="15" numFmtId="0" xfId="0" applyBorder="1" applyFont="1"/>
    <xf borderId="0" fillId="4" fontId="1" numFmtId="3" xfId="0" applyFont="1" applyNumberFormat="1"/>
    <xf borderId="0" fillId="4" fontId="1" numFmtId="0" xfId="0" applyAlignment="1" applyFont="1">
      <alignment horizontal="right"/>
    </xf>
    <xf borderId="4" fillId="4" fontId="4" numFmtId="0" xfId="0" applyBorder="1" applyFont="1"/>
    <xf borderId="0" fillId="4" fontId="4" numFmtId="0" xfId="0" applyFont="1"/>
    <xf borderId="5" fillId="4" fontId="4" numFmtId="0" xfId="0" applyBorder="1" applyFont="1"/>
    <xf borderId="0" fillId="0" fontId="1" numFmtId="0" xfId="0" applyAlignment="1" applyFont="1">
      <alignment horizontal="right"/>
    </xf>
    <xf borderId="4" fillId="0" fontId="1" numFmtId="0" xfId="0" applyBorder="1" applyFont="1"/>
    <xf borderId="5" fillId="0" fontId="1" numFmtId="0" xfId="0" applyBorder="1" applyFont="1"/>
    <xf borderId="0" fillId="12" fontId="16" numFmtId="0" xfId="0" applyAlignment="1" applyFill="1" applyFont="1">
      <alignment horizontal="right"/>
    </xf>
    <xf borderId="4" fillId="0" fontId="1" numFmtId="2" xfId="0" applyBorder="1" applyFont="1" applyNumberFormat="1"/>
    <xf borderId="5" fillId="0" fontId="1" numFmtId="2" xfId="0" applyBorder="1" applyFont="1" applyNumberFormat="1"/>
    <xf borderId="6" fillId="0" fontId="1" numFmtId="2" xfId="0" applyBorder="1" applyFont="1" applyNumberFormat="1"/>
    <xf borderId="7" fillId="0" fontId="1" numFmtId="2" xfId="0" applyBorder="1" applyFont="1" applyNumberFormat="1"/>
    <xf borderId="8" fillId="0" fontId="1" numFmtId="2" xfId="0" applyBorder="1" applyFont="1" applyNumberFormat="1"/>
    <xf borderId="1" fillId="4" fontId="1" numFmtId="0" xfId="0" applyBorder="1" applyFont="1"/>
    <xf borderId="2" fillId="4" fontId="2" numFmtId="0" xfId="0" applyBorder="1" applyFont="1"/>
    <xf borderId="3" fillId="4" fontId="4" numFmtId="0" xfId="0" applyBorder="1" applyFont="1"/>
    <xf borderId="5" fillId="4" fontId="1" numFmtId="2" xfId="0" applyBorder="1" applyFont="1" applyNumberFormat="1"/>
    <xf borderId="0" fillId="13" fontId="4" numFmtId="0" xfId="0" applyFill="1" applyFont="1"/>
    <xf borderId="0" fillId="0" fontId="1" numFmtId="177" xfId="0" applyFont="1" applyNumberFormat="1"/>
    <xf borderId="0" fillId="0" fontId="1" numFmtId="0" xfId="0" applyAlignment="1" applyFont="1">
      <alignment horizontal="right" vertical="bottom"/>
    </xf>
  </cellXfs>
  <cellStyles count="1">
    <cellStyle xfId="0" name="Normal" builtinId="0"/>
  </cellStyles>
  <dxfs count="2">
    <dxf>
      <font/>
      <fill>
        <patternFill patternType="solid">
          <fgColor rgb="FFEA9999"/>
          <bgColor rgb="FFEA9999"/>
        </patternFill>
      </fill>
      <border/>
    </dxf>
    <dxf>
      <font/>
      <fill>
        <patternFill patternType="solid">
          <fgColor rgb="FFF4CCCC"/>
          <bgColor rgb="FFF4CCCC"/>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Points monetisation space</a:t>
            </a:r>
          </a:p>
        </c:rich>
      </c:tx>
      <c:overlay val="0"/>
    </c:title>
    <c:plotArea>
      <c:layout/>
      <c:barChart>
        <c:barDir val="col"/>
        <c:grouping val="stacked"/>
        <c:ser>
          <c:idx val="0"/>
          <c:order val="0"/>
          <c:spPr>
            <a:solidFill>
              <a:schemeClr val="accent1"/>
            </a:solidFill>
            <a:ln cmpd="sng">
              <a:solidFill>
                <a:srgbClr val="000000"/>
              </a:solidFill>
            </a:ln>
          </c:spPr>
          <c:cat>
            <c:strRef>
              <c:f>Overview!$H$9:$H$11</c:f>
            </c:strRef>
          </c:cat>
          <c:val>
            <c:numRef>
              <c:f>Overview!$I$9:$I$11</c:f>
              <c:numCache/>
            </c:numRef>
          </c:val>
        </c:ser>
        <c:overlap val="100"/>
        <c:axId val="1461048904"/>
        <c:axId val="1167790392"/>
      </c:barChart>
      <c:catAx>
        <c:axId val="1461048904"/>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chart data</a:t>
                </a:r>
              </a:p>
            </c:rich>
          </c:tx>
          <c:overlay val="0"/>
        </c:title>
        <c:numFmt formatCode="General" sourceLinked="1"/>
        <c:majorTickMark val="none"/>
        <c:minorTickMark val="none"/>
        <c:spPr/>
        <c:txPr>
          <a:bodyPr/>
          <a:lstStyle/>
          <a:p>
            <a:pPr lvl="0">
              <a:defRPr b="0" i="0">
                <a:solidFill>
                  <a:srgbClr val="000000"/>
                </a:solidFill>
                <a:latin typeface="+mn-lt"/>
              </a:defRPr>
            </a:pPr>
          </a:p>
        </c:txPr>
        <c:crossAx val="1167790392"/>
      </c:catAx>
      <c:valAx>
        <c:axId val="11677903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461048904"/>
      </c:valAx>
    </c:plotArea>
    <c:legend>
      <c:legendPos val="r"/>
      <c:overlay val="0"/>
      <c:txPr>
        <a:bodyPr/>
        <a:lstStyle/>
        <a:p>
          <a:pPr lvl="0">
            <a:defRPr b="0" i="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3</xdr:row>
      <xdr:rowOff>171450</xdr:rowOff>
    </xdr:from>
    <xdr:ext cx="4200525" cy="2600325"/>
    <xdr:graphicFrame>
      <xdr:nvGraphicFramePr>
        <xdr:cNvPr id="324600449"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9</xdr:row>
      <xdr:rowOff>200025</xdr:rowOff>
    </xdr:from>
    <xdr:ext cx="6972300" cy="4933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1476375</xdr:colOff>
      <xdr:row>7</xdr:row>
      <xdr:rowOff>28575</xdr:rowOff>
    </xdr:from>
    <xdr:ext cx="11372850" cy="60293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store.playstation.com/en-us/category/2548d67b-59aa-4045-824c-d606e0021672?utm_source=chatgpt.com" TargetMode="External"/><Relationship Id="rId2" Type="http://schemas.openxmlformats.org/officeDocument/2006/relationships/hyperlink" Target="https://fifauteam.com/fc-points-prices-fc-26/?utm_source=chatgpt.com" TargetMode="External"/><Relationship Id="rId3" Type="http://schemas.openxmlformats.org/officeDocument/2006/relationships/hyperlink" Target="https://store.playstation.com/ja-jp/category/2548d67b-59aa-4045-824c-d606e0021672?utm_source=chatgpt.com"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25"/>
    <col customWidth="1" min="2" max="2" width="15.5"/>
    <col customWidth="1" min="3" max="3" width="12.63"/>
    <col customWidth="1" min="4" max="4" width="30.63"/>
    <col customWidth="1" min="5" max="5" width="14.63"/>
    <col customWidth="1" min="6" max="6" width="23.0"/>
    <col customWidth="1" min="7" max="7" width="15.63"/>
    <col customWidth="1" min="8" max="8" width="12.38"/>
    <col customWidth="1" min="9" max="9" width="13.88"/>
    <col customWidth="1" min="10" max="10" width="23.13"/>
    <col customWidth="1" min="11" max="11" width="13.5"/>
    <col customWidth="1" min="12" max="12" width="23.13"/>
    <col customWidth="1" min="13" max="13" width="14.0"/>
    <col customWidth="1" min="14" max="14" width="23.13"/>
    <col customWidth="1" min="16" max="16" width="23.13"/>
  </cols>
  <sheetData>
    <row r="1" ht="15.75" customHeight="1">
      <c r="B1" s="1"/>
    </row>
    <row r="2" ht="15.75" customHeight="1">
      <c r="B2" s="1"/>
      <c r="F2" s="1" t="s">
        <v>0</v>
      </c>
    </row>
    <row r="3" ht="15.75" customHeight="1">
      <c r="A3" s="2" t="s">
        <v>1</v>
      </c>
      <c r="B3" s="1"/>
      <c r="D3" s="2" t="s">
        <v>2</v>
      </c>
      <c r="F3" s="1" t="s">
        <v>3</v>
      </c>
      <c r="G3" s="1" t="s">
        <v>4</v>
      </c>
      <c r="H3" s="1" t="s">
        <v>5</v>
      </c>
      <c r="I3" s="1" t="s">
        <v>6</v>
      </c>
    </row>
    <row r="4" ht="15.75" customHeight="1">
      <c r="A4" s="3"/>
      <c r="B4" s="1"/>
      <c r="D4" s="1" t="s">
        <v>7</v>
      </c>
      <c r="E4" s="4">
        <f>sum('Content plan'!J:J)</f>
        <v>1686666.667</v>
      </c>
      <c r="F4" s="5">
        <f>SUMIF('Content plan'!$A:$A,F3,'Content plan'!$J:$J)/$E4</f>
        <v>0.6422924901</v>
      </c>
      <c r="G4" s="5">
        <f>SUMIF('Content plan'!$A:$A,G3,'Content plan'!$J:$J)/$E4</f>
        <v>0.2712450593</v>
      </c>
      <c r="H4" s="5">
        <f>SUMIF('Content plan'!$A:$A,H3,'Content plan'!$J:$J)/$E4</f>
        <v>0.08646245059</v>
      </c>
      <c r="I4" s="5">
        <f>SUMIF('Content plan'!$A:$A,I3,'Content plan'!$J:$J)/$E4</f>
        <v>0</v>
      </c>
    </row>
    <row r="5" ht="15.75" customHeight="1"/>
    <row r="6" ht="15.75" customHeight="1">
      <c r="A6" s="3" t="s">
        <v>8</v>
      </c>
      <c r="B6" s="1">
        <v>805250.0</v>
      </c>
      <c r="D6" s="1" t="s">
        <v>9</v>
      </c>
      <c r="E6" s="1">
        <f>SUM('Content plan'!I:I)</f>
        <v>404.8</v>
      </c>
    </row>
    <row r="7" ht="15.75" customHeight="1">
      <c r="A7" s="3" t="s">
        <v>10</v>
      </c>
      <c r="B7" s="6">
        <f>sum(E22:E24)/B6</f>
        <v>0.104</v>
      </c>
      <c r="D7" s="1" t="s">
        <v>11</v>
      </c>
      <c r="E7" s="1">
        <f>B8-B9</f>
        <v>990000</v>
      </c>
    </row>
    <row r="8" ht="15.75" customHeight="1">
      <c r="A8" s="1" t="s">
        <v>12</v>
      </c>
      <c r="B8" s="7">
        <f>35000*30</f>
        <v>1050000</v>
      </c>
      <c r="H8" s="1" t="s">
        <v>13</v>
      </c>
    </row>
    <row r="9" ht="15.75" customHeight="1">
      <c r="A9" s="1" t="s">
        <v>14</v>
      </c>
      <c r="B9" s="7">
        <f>30*2000</f>
        <v>60000</v>
      </c>
      <c r="D9" s="1" t="str">
        <f>"Total rev packs  ("&amp;B6&amp;" MAU)"</f>
        <v>Total rev packs  (805250 MAU)</v>
      </c>
      <c r="E9" s="8">
        <f>sum(J22:J24)</f>
        <v>2508514.8</v>
      </c>
      <c r="H9" s="1" t="s">
        <v>15</v>
      </c>
      <c r="I9" s="1">
        <f>B9</f>
        <v>60000</v>
      </c>
    </row>
    <row r="10" ht="15.75" customHeight="1">
      <c r="A10" s="1" t="s">
        <v>16</v>
      </c>
      <c r="B10" s="1">
        <v>0.7</v>
      </c>
      <c r="D10" s="1" t="str">
        <f>"Total rev kits ("&amp;B6&amp;" MAU)"</f>
        <v>Total rev kits (805250 MAU)</v>
      </c>
      <c r="E10" s="8">
        <f>sum(L22:L24)</f>
        <v>63397.0104</v>
      </c>
      <c r="H10" s="1" t="s">
        <v>17</v>
      </c>
      <c r="I10" s="1">
        <f>B8</f>
        <v>1050000</v>
      </c>
    </row>
    <row r="11" ht="15.75" customHeight="1">
      <c r="D11" s="1" t="str">
        <f>"Total rev celebrations ("&amp;B6&amp;" MAU)"</f>
        <v>Total rev celebrations (805250 MAU)</v>
      </c>
      <c r="E11" s="8">
        <f>sum(N22:N24)</f>
        <v>148528.3625</v>
      </c>
      <c r="H11" s="1" t="s">
        <v>18</v>
      </c>
      <c r="I11" s="4">
        <f>E4</f>
        <v>1686666.667</v>
      </c>
    </row>
    <row r="12" ht="15.75" customHeight="1">
      <c r="D12" s="1" t="str">
        <f>"Total rev originals  ("&amp;B6&amp;" MAU)"</f>
        <v>Total rev originals  (805250 MAU)</v>
      </c>
      <c r="E12" s="8">
        <f>sum(P22:P24)</f>
        <v>0</v>
      </c>
    </row>
    <row r="13" ht="15.75" customHeight="1">
      <c r="A13" s="2"/>
      <c r="D13" s="1" t="str">
        <f>"Total originals after rev share ("&amp;B6&amp;" MAU)"</f>
        <v>Total originals after rev share (805250 MAU)</v>
      </c>
      <c r="E13" s="8">
        <f>E12*B10</f>
        <v>0</v>
      </c>
    </row>
    <row r="14" ht="15.75" customHeight="1">
      <c r="A14" s="2" t="s">
        <v>19</v>
      </c>
      <c r="D14" s="1" t="str">
        <f>"Total rev ("&amp;B6&amp;" MAU)"</f>
        <v>Total rev (805250 MAU)</v>
      </c>
      <c r="E14" s="8">
        <f>sum(E9:E12)</f>
        <v>2720440.173</v>
      </c>
    </row>
    <row r="15" ht="15.75" customHeight="1">
      <c r="A15" s="1" t="s">
        <v>20</v>
      </c>
      <c r="D15" s="1" t="s">
        <v>21</v>
      </c>
      <c r="E15" s="9">
        <f>E14/B6</f>
        <v>3.3783796</v>
      </c>
    </row>
    <row r="16" ht="15.75" customHeight="1">
      <c r="A16" s="1" t="s">
        <v>22</v>
      </c>
      <c r="D16" s="1" t="s">
        <v>23</v>
      </c>
      <c r="E16" s="9">
        <f>E14/sum(E22:E24)</f>
        <v>32.48441923</v>
      </c>
    </row>
    <row r="17" ht="15.75" customHeight="1">
      <c r="A17" s="1" t="s">
        <v>24</v>
      </c>
      <c r="D17" s="1" t="s">
        <v>25</v>
      </c>
      <c r="E17" s="5">
        <f>E4/E7</f>
        <v>1.703703704</v>
      </c>
    </row>
    <row r="18" ht="15.75" customHeight="1">
      <c r="D18" s="1" t="s">
        <v>26</v>
      </c>
      <c r="E18" s="5">
        <f>E4/B8</f>
        <v>1.606349206</v>
      </c>
    </row>
    <row r="19" ht="15.75" customHeight="1"/>
    <row r="20" ht="15.75" customHeight="1">
      <c r="I20" s="10" t="s">
        <v>3</v>
      </c>
      <c r="J20" s="10"/>
      <c r="K20" s="11" t="s">
        <v>4</v>
      </c>
      <c r="L20" s="11"/>
      <c r="M20" s="12" t="s">
        <v>5</v>
      </c>
      <c r="N20" s="12"/>
      <c r="O20" s="13" t="s">
        <v>6</v>
      </c>
      <c r="P20" s="14"/>
    </row>
    <row r="21" ht="15.75" customHeight="1">
      <c r="B21" s="1" t="s">
        <v>27</v>
      </c>
      <c r="C21" s="1" t="s">
        <v>28</v>
      </c>
      <c r="D21" s="1" t="s">
        <v>29</v>
      </c>
      <c r="E21" s="1" t="s">
        <v>30</v>
      </c>
      <c r="F21" s="1" t="str">
        <f>"Cohort total rev ("&amp;B6&amp;" MAU)"</f>
        <v>Cohort total rev (805250 MAU)</v>
      </c>
      <c r="G21" s="1" t="s">
        <v>31</v>
      </c>
      <c r="H21" s="1" t="s">
        <v>32</v>
      </c>
      <c r="I21" s="15" t="s">
        <v>23</v>
      </c>
      <c r="J21" s="15" t="str">
        <f>"Cohort total rev ("&amp;B6&amp;" MAU)"</f>
        <v>Cohort total rev (805250 MAU)</v>
      </c>
      <c r="K21" s="16" t="s">
        <v>23</v>
      </c>
      <c r="L21" s="16" t="str">
        <f>"Cohort total rev ("&amp;B6&amp;" MAU)"</f>
        <v>Cohort total rev (805250 MAU)</v>
      </c>
      <c r="M21" s="17" t="s">
        <v>23</v>
      </c>
      <c r="N21" s="17" t="str">
        <f>"Cohort total rev ("&amp;B6&amp;" MAU)"</f>
        <v>Cohort total rev (805250 MAU)</v>
      </c>
      <c r="O21" s="14" t="s">
        <v>23</v>
      </c>
      <c r="P21" s="14" t="str">
        <f>"Cohort total rev ("&amp;B6&amp;" MAU)"</f>
        <v>Cohort total rev (805250 MAU)</v>
      </c>
    </row>
    <row r="22" ht="15.75" customHeight="1">
      <c r="A22" s="1" t="s">
        <v>33</v>
      </c>
      <c r="B22" s="18">
        <v>0.2</v>
      </c>
      <c r="C22" s="18">
        <v>0.3</v>
      </c>
      <c r="D22" s="1">
        <f t="shared" ref="D22:D24" si="1">$B$6*B22</f>
        <v>161050</v>
      </c>
      <c r="E22" s="1">
        <f t="shared" ref="E22:E24" si="2">C22*D22</f>
        <v>48315</v>
      </c>
      <c r="F22" s="19">
        <f t="shared" ref="F22:F24" si="3">J22+L22+N22+P22</f>
        <v>2222417.528</v>
      </c>
      <c r="G22" s="19">
        <f t="shared" ref="G22:G24" si="4">I22+K22+M22+O22</f>
        <v>45.9985</v>
      </c>
      <c r="H22" s="19">
        <f t="shared" ref="H22:H24" si="5">F22/D22</f>
        <v>13.79955</v>
      </c>
      <c r="I22" s="20">
        <f>SUMPRODUCT(('Content plan'!$A$2:$A1001=I$20)*('Content plan'!$F$2:$F1001)*('Content plan'!$L$2:$L1001))</f>
        <v>43</v>
      </c>
      <c r="J22" s="21">
        <f t="shared" ref="J22:J24" si="6">I22*$E22</f>
        <v>2077545</v>
      </c>
      <c r="K22" s="22">
        <f>SUMPRODUCT(('Content plan'!$A$2:$A1001=K$20)*('Content plan'!$F$2:$F1001)*('Content plan'!$L$2:$L1001))</f>
        <v>0.8985</v>
      </c>
      <c r="L22" s="23">
        <f t="shared" ref="L22:L24" si="7">K22*$E22</f>
        <v>43411.0275</v>
      </c>
      <c r="M22" s="24">
        <f>SUMPRODUCT(('Content plan'!$A$2:$A1001=M$20)*('Content plan'!$F$2:$F1001)*('Content plan'!$L$2:$L1001))</f>
        <v>2.1</v>
      </c>
      <c r="N22" s="25">
        <f t="shared" ref="N22:N24" si="8">M22*$E22</f>
        <v>101461.5</v>
      </c>
      <c r="O22" s="26">
        <f>SUMPRODUCT(('Content plan'!$A$2:$A1001=O$20)*('Content plan'!$F$2:$F1001)*('Content plan'!$L$2:$L1001))</f>
        <v>0</v>
      </c>
      <c r="P22" s="27">
        <f t="shared" ref="P22:P24" si="9">O22*$E22</f>
        <v>0</v>
      </c>
    </row>
    <row r="23" ht="15.75" customHeight="1">
      <c r="A23" s="1" t="s">
        <v>34</v>
      </c>
      <c r="B23" s="18">
        <v>0.35</v>
      </c>
      <c r="C23" s="18">
        <v>0.1</v>
      </c>
      <c r="D23" s="1">
        <f t="shared" si="1"/>
        <v>281837.5</v>
      </c>
      <c r="E23" s="1">
        <f t="shared" si="2"/>
        <v>28183.75</v>
      </c>
      <c r="F23" s="19">
        <f t="shared" si="3"/>
        <v>445556.9038</v>
      </c>
      <c r="G23" s="19">
        <f t="shared" si="4"/>
        <v>15.809</v>
      </c>
      <c r="H23" s="19">
        <f t="shared" si="5"/>
        <v>1.5809</v>
      </c>
      <c r="I23" s="20">
        <f>SUMPRODUCT(('Content plan'!$A$2:$A1001=I$20)*('Content plan'!$F$2:$F1001)*('Content plan'!$M$2:$M1001))</f>
        <v>13.8</v>
      </c>
      <c r="J23" s="21">
        <f t="shared" si="6"/>
        <v>388935.75</v>
      </c>
      <c r="K23" s="22">
        <f>SUMPRODUCT(('Content plan'!$A$2:$A1001=K$20)*('Content plan'!$F$2:$F1001)*('Content plan'!$M$2:$M1001))</f>
        <v>0.609</v>
      </c>
      <c r="L23" s="23">
        <f t="shared" si="7"/>
        <v>17163.90375</v>
      </c>
      <c r="M23" s="24">
        <f>SUMPRODUCT(('Content plan'!$A$2:$A1001=M$20)*('Content plan'!$F$2:$F1001)*('Content plan'!$M$2:$M1001))</f>
        <v>1.4</v>
      </c>
      <c r="N23" s="25">
        <f t="shared" si="8"/>
        <v>39457.25</v>
      </c>
      <c r="O23" s="26">
        <f>SUMPRODUCT(('Content plan'!$A$2:$A1001=O$20)*('Content plan'!$F$2:$F1001)*('Content plan'!$M$2:$M1001))</f>
        <v>0</v>
      </c>
      <c r="P23" s="27">
        <f t="shared" si="9"/>
        <v>0</v>
      </c>
    </row>
    <row r="24" ht="15.75" customHeight="1">
      <c r="A24" s="1" t="s">
        <v>35</v>
      </c>
      <c r="B24" s="18">
        <v>0.45</v>
      </c>
      <c r="C24" s="18">
        <v>0.02</v>
      </c>
      <c r="D24" s="1">
        <f t="shared" si="1"/>
        <v>362362.5</v>
      </c>
      <c r="E24" s="1">
        <f t="shared" si="2"/>
        <v>7247.25</v>
      </c>
      <c r="F24" s="8">
        <f t="shared" si="3"/>
        <v>52465.74165</v>
      </c>
      <c r="G24" s="19">
        <f t="shared" si="4"/>
        <v>7.2394</v>
      </c>
      <c r="H24" s="19">
        <f t="shared" si="5"/>
        <v>0.144788</v>
      </c>
      <c r="I24" s="20">
        <f>SUMPRODUCT(('Content plan'!$A$2:$A1001=I$20)*('Content plan'!$F$2:$F1001)*('Content plan'!$N$2:$N1001))</f>
        <v>5.8</v>
      </c>
      <c r="J24" s="21">
        <f t="shared" si="6"/>
        <v>42034.05</v>
      </c>
      <c r="K24" s="22">
        <f>SUMPRODUCT(('Content plan'!$A$2:$A1001=K$20)*('Content plan'!$F$2:$F1001)*('Content plan'!$N$2:$N1001))</f>
        <v>0.3894</v>
      </c>
      <c r="L24" s="23">
        <f t="shared" si="7"/>
        <v>2822.07915</v>
      </c>
      <c r="M24" s="24">
        <f>SUMPRODUCT(('Content plan'!$A$2:$A1001=M$20)*('Content plan'!$F$2:$F1001)*('Content plan'!$N$2:$N1001))</f>
        <v>1.05</v>
      </c>
      <c r="N24" s="25">
        <f t="shared" si="8"/>
        <v>7609.6125</v>
      </c>
      <c r="O24" s="26">
        <f>SUMPRODUCT(('Content plan'!$A$2:$A1001=O$20)*('Content plan'!$F$2:$F1001)*('Content plan'!$N$2:$N1001))</f>
        <v>0</v>
      </c>
      <c r="P24" s="27">
        <f t="shared" si="9"/>
        <v>0</v>
      </c>
    </row>
    <row r="25" ht="15.75" customHeight="1">
      <c r="F25" s="8"/>
      <c r="H25" s="19"/>
    </row>
    <row r="26" ht="15.75" customHeight="1">
      <c r="H26" s="18"/>
      <c r="I26" s="9"/>
      <c r="K26" s="9"/>
      <c r="M26" s="9"/>
    </row>
    <row r="27" ht="15.75" customHeight="1">
      <c r="H27" s="18"/>
      <c r="I27" s="9"/>
    </row>
    <row r="28" ht="15.75" customHeight="1">
      <c r="H28" s="18"/>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4.38"/>
    <col customWidth="1" min="2" max="2" width="24.5"/>
    <col customWidth="1" min="3" max="3" width="15.13"/>
    <col customWidth="1" min="4" max="4" width="16.5"/>
    <col customWidth="1" min="5" max="5" width="12.63"/>
    <col customWidth="1" min="6" max="6" width="17.75"/>
    <col customWidth="1" min="7" max="7" width="18.63"/>
    <col customWidth="1" min="9" max="9" width="15.25"/>
    <col customWidth="1" min="10" max="11" width="15.75"/>
    <col customWidth="1" min="12" max="12" width="19.25"/>
    <col customWidth="1" min="13" max="13" width="20.75"/>
    <col customWidth="1" min="14" max="14" width="18.63"/>
  </cols>
  <sheetData>
    <row r="1" ht="15.75" customHeight="1">
      <c r="A1" s="16" t="s">
        <v>36</v>
      </c>
      <c r="B1" s="16" t="s">
        <v>37</v>
      </c>
      <c r="C1" s="16" t="s">
        <v>38</v>
      </c>
      <c r="D1" s="16" t="s">
        <v>39</v>
      </c>
      <c r="E1" s="1" t="s">
        <v>40</v>
      </c>
      <c r="F1" s="9" t="s">
        <v>41</v>
      </c>
      <c r="G1" s="1" t="s">
        <v>42</v>
      </c>
      <c r="H1" s="1" t="s">
        <v>43</v>
      </c>
      <c r="I1" s="1" t="s">
        <v>44</v>
      </c>
      <c r="J1" s="4" t="s">
        <v>45</v>
      </c>
      <c r="K1" s="1" t="s">
        <v>46</v>
      </c>
      <c r="L1" s="1" t="s">
        <v>33</v>
      </c>
      <c r="M1" s="1" t="s">
        <v>34</v>
      </c>
      <c r="N1" s="1" t="s">
        <v>35</v>
      </c>
    </row>
    <row r="2" ht="15.75" customHeight="1">
      <c r="A2" s="1" t="s">
        <v>3</v>
      </c>
      <c r="B2" s="1" t="s">
        <v>47</v>
      </c>
      <c r="D2" s="9">
        <v>6.0</v>
      </c>
      <c r="E2" s="1">
        <v>10.0</v>
      </c>
      <c r="F2" s="9">
        <f>IF(C2&gt;0, C2/'Conversion rates'!$I$3, D2)</f>
        <v>6</v>
      </c>
      <c r="G2" s="28">
        <f>IF(C2&gt;0, C2, D2*'Conversion rates'!$I$3)</f>
        <v>25000</v>
      </c>
      <c r="H2" s="28"/>
      <c r="I2" s="9">
        <f t="shared" ref="I2:I976" si="1">E2*F2</f>
        <v>60</v>
      </c>
      <c r="J2" s="4">
        <f t="shared" ref="J2:J976" si="2">E2*G2</f>
        <v>250000</v>
      </c>
      <c r="L2" s="1">
        <v>0.5</v>
      </c>
      <c r="M2" s="1">
        <v>0.3</v>
      </c>
      <c r="N2" s="1">
        <v>0.3</v>
      </c>
      <c r="P2" s="9"/>
    </row>
    <row r="3" ht="15.75" customHeight="1">
      <c r="A3" s="1" t="s">
        <v>3</v>
      </c>
      <c r="B3" s="1" t="s">
        <v>48</v>
      </c>
      <c r="D3" s="9">
        <v>20.0</v>
      </c>
      <c r="E3" s="1">
        <v>10.0</v>
      </c>
      <c r="F3" s="9">
        <f>IF(C3&gt;0, C3/'Conversion rates'!$I$3, D3)</f>
        <v>20</v>
      </c>
      <c r="G3" s="28">
        <f>IF(C3&gt;0, C3, D3*'Conversion rates'!$I$3)</f>
        <v>83333.33333</v>
      </c>
      <c r="H3" s="28"/>
      <c r="I3" s="9">
        <f t="shared" si="1"/>
        <v>200</v>
      </c>
      <c r="J3" s="4">
        <f t="shared" si="2"/>
        <v>833333.3333</v>
      </c>
      <c r="L3" s="1">
        <v>2.0</v>
      </c>
      <c r="M3" s="1">
        <v>0.6</v>
      </c>
      <c r="N3" s="1">
        <v>0.2</v>
      </c>
      <c r="P3" s="9"/>
    </row>
    <row r="4" ht="15.75" customHeight="1">
      <c r="A4" s="1" t="s">
        <v>4</v>
      </c>
      <c r="B4" s="1" t="s">
        <v>49</v>
      </c>
      <c r="C4" s="1"/>
      <c r="D4" s="9">
        <v>3.99</v>
      </c>
      <c r="E4" s="1">
        <v>10.0</v>
      </c>
      <c r="F4" s="9">
        <f>IF(C4&gt;0, C4/'Conversion rates'!$I$3, D4)</f>
        <v>3.99</v>
      </c>
      <c r="G4" s="28">
        <f>IF(C4&gt;0, C4, D4*'Conversion rates'!$I$3)</f>
        <v>16625</v>
      </c>
      <c r="H4" s="28"/>
      <c r="I4" s="9">
        <f t="shared" si="1"/>
        <v>39.9</v>
      </c>
      <c r="J4" s="4">
        <f t="shared" si="2"/>
        <v>166250</v>
      </c>
      <c r="L4" s="1">
        <v>0.05</v>
      </c>
      <c r="M4" s="1">
        <v>0.03</v>
      </c>
      <c r="N4" s="1">
        <v>0.01</v>
      </c>
      <c r="P4" s="9"/>
    </row>
    <row r="5" ht="15.75" customHeight="1">
      <c r="A5" s="1" t="s">
        <v>4</v>
      </c>
      <c r="B5" s="1" t="s">
        <v>50</v>
      </c>
      <c r="C5" s="1"/>
      <c r="D5" s="9">
        <v>6.99</v>
      </c>
      <c r="E5" s="1">
        <v>10.0</v>
      </c>
      <c r="F5" s="9">
        <f>IF(C5&gt;0, C5/'Conversion rates'!$I$3, D5)</f>
        <v>6.99</v>
      </c>
      <c r="G5" s="28">
        <f>IF(C5&gt;0, C5, D5*'Conversion rates'!$I$3)</f>
        <v>29125</v>
      </c>
      <c r="H5" s="28"/>
      <c r="I5" s="9">
        <f t="shared" si="1"/>
        <v>69.9</v>
      </c>
      <c r="J5" s="4">
        <f t="shared" si="2"/>
        <v>291250</v>
      </c>
      <c r="L5" s="1">
        <v>0.1</v>
      </c>
      <c r="M5" s="1">
        <v>0.07</v>
      </c>
      <c r="N5" s="1">
        <v>0.05</v>
      </c>
      <c r="P5" s="9"/>
    </row>
    <row r="6" ht="15.75" customHeight="1">
      <c r="A6" s="1" t="s">
        <v>5</v>
      </c>
      <c r="B6" s="1" t="s">
        <v>51</v>
      </c>
      <c r="C6" s="1"/>
      <c r="D6" s="9">
        <v>7.0</v>
      </c>
      <c r="E6" s="1">
        <v>5.0</v>
      </c>
      <c r="F6" s="9">
        <f>IF(C6&gt;0, C6/'Conversion rates'!$I$3, D6)</f>
        <v>7</v>
      </c>
      <c r="G6" s="28">
        <f>IF(C6&gt;0, C6, D6*'Conversion rates'!$I$3)</f>
        <v>29166.66667</v>
      </c>
      <c r="H6" s="28"/>
      <c r="I6" s="9">
        <f t="shared" si="1"/>
        <v>35</v>
      </c>
      <c r="J6" s="4">
        <f t="shared" si="2"/>
        <v>145833.3333</v>
      </c>
      <c r="L6" s="1">
        <v>0.3</v>
      </c>
      <c r="M6" s="1">
        <v>0.2</v>
      </c>
      <c r="N6" s="1">
        <v>0.15</v>
      </c>
      <c r="P6" s="9"/>
    </row>
    <row r="7" ht="15.75" customHeight="1">
      <c r="A7" s="1"/>
      <c r="D7" s="9"/>
      <c r="F7" s="9" t="str">
        <f>IF(C7&gt;0, C7/'Conversion rates'!$I$3, D7)</f>
        <v/>
      </c>
      <c r="G7" s="28">
        <f>IF(C7&gt;0, C7, D7*'Conversion rates'!$I$3)</f>
        <v>0</v>
      </c>
      <c r="H7" s="28"/>
      <c r="I7" s="9">
        <f t="shared" si="1"/>
        <v>0</v>
      </c>
      <c r="J7" s="4">
        <f t="shared" si="2"/>
        <v>0</v>
      </c>
    </row>
    <row r="8" ht="15.75" customHeight="1">
      <c r="A8" s="1"/>
      <c r="D8" s="9"/>
      <c r="F8" s="9" t="str">
        <f>IF(C8&gt;0, C8/'Conversion rates'!$I$3, D8)</f>
        <v/>
      </c>
      <c r="G8" s="28">
        <f>IF(C8&gt;0, C8, D8*'Conversion rates'!$I$3)</f>
        <v>0</v>
      </c>
      <c r="H8" s="28"/>
      <c r="I8" s="9">
        <f t="shared" si="1"/>
        <v>0</v>
      </c>
      <c r="J8" s="4">
        <f t="shared" si="2"/>
        <v>0</v>
      </c>
    </row>
    <row r="9" ht="15.75" customHeight="1">
      <c r="A9" s="1"/>
      <c r="D9" s="9"/>
      <c r="F9" s="9" t="str">
        <f>IF(C9&gt;0, C9/'Conversion rates'!$I$3, D9)</f>
        <v/>
      </c>
      <c r="G9" s="28">
        <f>IF(C9&gt;0, C9, D9*'Conversion rates'!$I$3)</f>
        <v>0</v>
      </c>
      <c r="H9" s="28"/>
      <c r="I9" s="9">
        <f t="shared" si="1"/>
        <v>0</v>
      </c>
      <c r="J9" s="4">
        <f t="shared" si="2"/>
        <v>0</v>
      </c>
    </row>
    <row r="10" ht="15.75" customHeight="1">
      <c r="A10" s="1"/>
      <c r="D10" s="9"/>
      <c r="F10" s="9" t="str">
        <f>IF(C10&gt;0, C10/'Conversion rates'!$I$3, D10)</f>
        <v/>
      </c>
      <c r="G10" s="28">
        <f>IF(C10&gt;0, C10, D10*'Conversion rates'!$I$3)</f>
        <v>0</v>
      </c>
      <c r="H10" s="28"/>
      <c r="I10" s="9">
        <f t="shared" si="1"/>
        <v>0</v>
      </c>
      <c r="J10" s="4">
        <f t="shared" si="2"/>
        <v>0</v>
      </c>
    </row>
    <row r="11" ht="15.75" customHeight="1">
      <c r="A11" s="1"/>
      <c r="D11" s="9"/>
      <c r="F11" s="9" t="str">
        <f>IF(C11&gt;0, C11/'Conversion rates'!$I$3, D11)</f>
        <v/>
      </c>
      <c r="G11" s="28">
        <f>IF(C11&gt;0, C11, D11*'Conversion rates'!$I$3)</f>
        <v>0</v>
      </c>
      <c r="H11" s="28"/>
      <c r="I11" s="9">
        <f t="shared" si="1"/>
        <v>0</v>
      </c>
      <c r="J11" s="4">
        <f t="shared" si="2"/>
        <v>0</v>
      </c>
    </row>
    <row r="12" ht="15.75" customHeight="1">
      <c r="A12" s="1"/>
      <c r="D12" s="9"/>
      <c r="F12" s="9" t="str">
        <f>IF(C12&gt;0, C12/'Conversion rates'!$I$3, D12)</f>
        <v/>
      </c>
      <c r="G12" s="28">
        <f>IF(C12&gt;0, C12, D12*'Conversion rates'!$I$3)</f>
        <v>0</v>
      </c>
      <c r="H12" s="28"/>
      <c r="I12" s="9">
        <f t="shared" si="1"/>
        <v>0</v>
      </c>
      <c r="J12" s="4">
        <f t="shared" si="2"/>
        <v>0</v>
      </c>
    </row>
    <row r="13" ht="15.75" customHeight="1">
      <c r="A13" s="1"/>
      <c r="D13" s="9"/>
      <c r="F13" s="9" t="str">
        <f>IF(C13&gt;0, C13/'Conversion rates'!$I$3, D13)</f>
        <v/>
      </c>
      <c r="G13" s="28">
        <f>IF(C13&gt;0, C13, D13*'Conversion rates'!$I$3)</f>
        <v>0</v>
      </c>
      <c r="H13" s="28"/>
      <c r="I13" s="9">
        <f t="shared" si="1"/>
        <v>0</v>
      </c>
      <c r="J13" s="4">
        <f t="shared" si="2"/>
        <v>0</v>
      </c>
    </row>
    <row r="14" ht="15.75" customHeight="1">
      <c r="A14" s="1"/>
      <c r="D14" s="9"/>
      <c r="F14" s="9" t="str">
        <f>IF(C14&gt;0, C14/'Conversion rates'!$I$3, D14)</f>
        <v/>
      </c>
      <c r="G14" s="28">
        <f>IF(C14&gt;0, C14, D14*'Conversion rates'!$I$3)</f>
        <v>0</v>
      </c>
      <c r="H14" s="28"/>
      <c r="I14" s="9">
        <f t="shared" si="1"/>
        <v>0</v>
      </c>
      <c r="J14" s="4">
        <f t="shared" si="2"/>
        <v>0</v>
      </c>
    </row>
    <row r="15" ht="15.75" customHeight="1">
      <c r="A15" s="1"/>
      <c r="D15" s="9"/>
      <c r="F15" s="9" t="str">
        <f>IF(C15&gt;0, C15/'Conversion rates'!$I$3, D15)</f>
        <v/>
      </c>
      <c r="G15" s="28">
        <f>IF(C15&gt;0, C15, D15*'Conversion rates'!$I$3)</f>
        <v>0</v>
      </c>
      <c r="H15" s="28"/>
      <c r="I15" s="9">
        <f t="shared" si="1"/>
        <v>0</v>
      </c>
      <c r="J15" s="4">
        <f t="shared" si="2"/>
        <v>0</v>
      </c>
    </row>
    <row r="16" ht="15.75" customHeight="1">
      <c r="A16" s="1"/>
      <c r="D16" s="9"/>
      <c r="F16" s="9" t="str">
        <f>IF(C16&gt;0, C16/'Conversion rates'!$I$3, D16)</f>
        <v/>
      </c>
      <c r="G16" s="28">
        <f>IF(C16&gt;0, C16, D16*'Conversion rates'!$I$3)</f>
        <v>0</v>
      </c>
      <c r="H16" s="28"/>
      <c r="I16" s="9">
        <f t="shared" si="1"/>
        <v>0</v>
      </c>
      <c r="J16" s="4">
        <f t="shared" si="2"/>
        <v>0</v>
      </c>
    </row>
    <row r="17" ht="15.75" customHeight="1">
      <c r="A17" s="1"/>
      <c r="D17" s="9"/>
      <c r="F17" s="9" t="str">
        <f>IF(C17&gt;0, C17/'Conversion rates'!$I$3, D17)</f>
        <v/>
      </c>
      <c r="G17" s="28">
        <f>IF(C17&gt;0, C17, D17*'Conversion rates'!$I$3)</f>
        <v>0</v>
      </c>
      <c r="H17" s="28"/>
      <c r="I17" s="9">
        <f t="shared" si="1"/>
        <v>0</v>
      </c>
      <c r="J17" s="4">
        <f t="shared" si="2"/>
        <v>0</v>
      </c>
    </row>
    <row r="18" ht="15.75" customHeight="1">
      <c r="A18" s="1"/>
      <c r="D18" s="9"/>
      <c r="F18" s="9" t="str">
        <f>IF(C18&gt;0, C18/'Conversion rates'!$I$3, D18)</f>
        <v/>
      </c>
      <c r="G18" s="28">
        <f>IF(C18&gt;0, C18, D18*'Conversion rates'!$I$3)</f>
        <v>0</v>
      </c>
      <c r="H18" s="28"/>
      <c r="I18" s="9">
        <f t="shared" si="1"/>
        <v>0</v>
      </c>
      <c r="J18" s="4">
        <f t="shared" si="2"/>
        <v>0</v>
      </c>
    </row>
    <row r="19" ht="15.75" customHeight="1">
      <c r="A19" s="1"/>
      <c r="D19" s="9"/>
      <c r="F19" s="9" t="str">
        <f>IF(C19&gt;0, C19/'Conversion rates'!$I$3, D19)</f>
        <v/>
      </c>
      <c r="G19" s="28">
        <f>IF(C19&gt;0, C19, D19*'Conversion rates'!$I$3)</f>
        <v>0</v>
      </c>
      <c r="H19" s="28"/>
      <c r="I19" s="9">
        <f t="shared" si="1"/>
        <v>0</v>
      </c>
      <c r="J19" s="4">
        <f t="shared" si="2"/>
        <v>0</v>
      </c>
    </row>
    <row r="20" ht="15.75" customHeight="1">
      <c r="A20" s="1"/>
      <c r="D20" s="9"/>
      <c r="F20" s="9" t="str">
        <f>IF(C20&gt;0, C20/'Conversion rates'!$I$3, D20)</f>
        <v/>
      </c>
      <c r="G20" s="28">
        <f>IF(C20&gt;0, C20, D20*'Conversion rates'!$I$3)</f>
        <v>0</v>
      </c>
      <c r="H20" s="28"/>
      <c r="I20" s="9">
        <f t="shared" si="1"/>
        <v>0</v>
      </c>
      <c r="J20" s="4">
        <f t="shared" si="2"/>
        <v>0</v>
      </c>
    </row>
    <row r="21" ht="15.75" customHeight="1">
      <c r="A21" s="1"/>
      <c r="D21" s="9"/>
      <c r="F21" s="9" t="str">
        <f>IF(C21&gt;0, C21/'Conversion rates'!$I$3, D21)</f>
        <v/>
      </c>
      <c r="G21" s="28">
        <f>F21*'Conversion rates'!$I$3</f>
        <v>0</v>
      </c>
      <c r="H21" s="28"/>
      <c r="I21" s="9">
        <f t="shared" si="1"/>
        <v>0</v>
      </c>
      <c r="J21" s="4">
        <f t="shared" si="2"/>
        <v>0</v>
      </c>
    </row>
    <row r="22" ht="15.75" customHeight="1">
      <c r="A22" s="1"/>
      <c r="D22" s="9"/>
      <c r="F22" s="9" t="str">
        <f>IF(C22&gt;0, C22/'Conversion rates'!$I$3, D22)</f>
        <v/>
      </c>
      <c r="G22" s="28">
        <f>F22*'Conversion rates'!$I$3</f>
        <v>0</v>
      </c>
      <c r="H22" s="28"/>
      <c r="I22" s="9">
        <f t="shared" si="1"/>
        <v>0</v>
      </c>
      <c r="J22" s="4">
        <f t="shared" si="2"/>
        <v>0</v>
      </c>
    </row>
    <row r="23" ht="15.75" customHeight="1">
      <c r="A23" s="1"/>
      <c r="D23" s="9"/>
      <c r="F23" s="9" t="str">
        <f>IF(C23&gt;0, C23/'Conversion rates'!$I$3, D23)</f>
        <v/>
      </c>
      <c r="G23" s="28">
        <f>F23*'Conversion rates'!$I$3</f>
        <v>0</v>
      </c>
      <c r="H23" s="28"/>
      <c r="I23" s="9">
        <f t="shared" si="1"/>
        <v>0</v>
      </c>
      <c r="J23" s="4">
        <f t="shared" si="2"/>
        <v>0</v>
      </c>
    </row>
    <row r="24" ht="15.75" customHeight="1">
      <c r="A24" s="1"/>
      <c r="D24" s="9"/>
      <c r="F24" s="9" t="str">
        <f>IF(C24&gt;0, C24/'Conversion rates'!$I$3, D24)</f>
        <v/>
      </c>
      <c r="G24" s="28">
        <f>F24*'Conversion rates'!$I$3</f>
        <v>0</v>
      </c>
      <c r="H24" s="28"/>
      <c r="I24" s="9">
        <f t="shared" si="1"/>
        <v>0</v>
      </c>
      <c r="J24" s="4">
        <f t="shared" si="2"/>
        <v>0</v>
      </c>
    </row>
    <row r="25" ht="15.75" customHeight="1">
      <c r="A25" s="1"/>
      <c r="D25" s="9"/>
      <c r="F25" s="9" t="str">
        <f>IF(C25&gt;0, C25/'Conversion rates'!$I$3, D25)</f>
        <v/>
      </c>
      <c r="G25" s="28">
        <f>F25*'Conversion rates'!$I$3</f>
        <v>0</v>
      </c>
      <c r="H25" s="28"/>
      <c r="I25" s="9">
        <f t="shared" si="1"/>
        <v>0</v>
      </c>
      <c r="J25" s="4">
        <f t="shared" si="2"/>
        <v>0</v>
      </c>
    </row>
    <row r="26" ht="15.75" customHeight="1">
      <c r="A26" s="1"/>
      <c r="D26" s="9"/>
      <c r="F26" s="9" t="str">
        <f>IF(C26&gt;0, C26/'Conversion rates'!$I$3, D26)</f>
        <v/>
      </c>
      <c r="G26" s="28">
        <f>F26*'Conversion rates'!$I$3</f>
        <v>0</v>
      </c>
      <c r="H26" s="28"/>
      <c r="I26" s="9">
        <f t="shared" si="1"/>
        <v>0</v>
      </c>
      <c r="J26" s="4">
        <f t="shared" si="2"/>
        <v>0</v>
      </c>
    </row>
    <row r="27" ht="15.75" customHeight="1">
      <c r="A27" s="1"/>
      <c r="D27" s="9"/>
      <c r="F27" s="9" t="str">
        <f>IF(C27&gt;0, C27/'Conversion rates'!$I$3, D27)</f>
        <v/>
      </c>
      <c r="G27" s="28">
        <f>F27*'Conversion rates'!$I$3</f>
        <v>0</v>
      </c>
      <c r="H27" s="28"/>
      <c r="I27" s="9">
        <f t="shared" si="1"/>
        <v>0</v>
      </c>
      <c r="J27" s="4">
        <f t="shared" si="2"/>
        <v>0</v>
      </c>
    </row>
    <row r="28" ht="15.75" customHeight="1">
      <c r="A28" s="1"/>
      <c r="D28" s="9"/>
      <c r="F28" s="9" t="str">
        <f>IF(C28&gt;0, C28/'Conversion rates'!$I$3, D28)</f>
        <v/>
      </c>
      <c r="G28" s="28">
        <f>F28*'Conversion rates'!$I$3</f>
        <v>0</v>
      </c>
      <c r="H28" s="28"/>
      <c r="I28" s="9">
        <f t="shared" si="1"/>
        <v>0</v>
      </c>
      <c r="J28" s="4">
        <f t="shared" si="2"/>
        <v>0</v>
      </c>
    </row>
    <row r="29" ht="15.75" customHeight="1">
      <c r="A29" s="1"/>
      <c r="D29" s="9"/>
      <c r="F29" s="9" t="str">
        <f>IF(C29&gt;0, C29/'Conversion rates'!$I$3, D29)</f>
        <v/>
      </c>
      <c r="G29" s="28">
        <f>F29*'Conversion rates'!$I$3</f>
        <v>0</v>
      </c>
      <c r="H29" s="28"/>
      <c r="I29" s="9">
        <f t="shared" si="1"/>
        <v>0</v>
      </c>
      <c r="J29" s="4">
        <f t="shared" si="2"/>
        <v>0</v>
      </c>
    </row>
    <row r="30" ht="15.75" customHeight="1">
      <c r="A30" s="1"/>
      <c r="D30" s="9"/>
      <c r="F30" s="9" t="str">
        <f>IF(C30&gt;0, C30/'Conversion rates'!$I$3, D30)</f>
        <v/>
      </c>
      <c r="G30" s="28">
        <f>F30*'Conversion rates'!$I$3</f>
        <v>0</v>
      </c>
      <c r="H30" s="28"/>
      <c r="I30" s="9">
        <f t="shared" si="1"/>
        <v>0</v>
      </c>
      <c r="J30" s="4">
        <f t="shared" si="2"/>
        <v>0</v>
      </c>
    </row>
    <row r="31" ht="15.75" customHeight="1">
      <c r="A31" s="1"/>
      <c r="D31" s="9"/>
      <c r="F31" s="9" t="str">
        <f>IF(C31&gt;0, C31/'Conversion rates'!$I$3, D31)</f>
        <v/>
      </c>
      <c r="G31" s="28">
        <f>F31*'Conversion rates'!$I$3</f>
        <v>0</v>
      </c>
      <c r="H31" s="28"/>
      <c r="I31" s="9">
        <f t="shared" si="1"/>
        <v>0</v>
      </c>
      <c r="J31" s="4">
        <f t="shared" si="2"/>
        <v>0</v>
      </c>
    </row>
    <row r="32" ht="15.75" customHeight="1">
      <c r="A32" s="1"/>
      <c r="D32" s="9"/>
      <c r="F32" s="9" t="str">
        <f>IF(C32&gt;0, C32/'Conversion rates'!$I$3, D32)</f>
        <v/>
      </c>
      <c r="G32" s="28">
        <f>F32*'Conversion rates'!$I$3</f>
        <v>0</v>
      </c>
      <c r="H32" s="28"/>
      <c r="I32" s="9">
        <f t="shared" si="1"/>
        <v>0</v>
      </c>
      <c r="J32" s="4">
        <f t="shared" si="2"/>
        <v>0</v>
      </c>
    </row>
    <row r="33" ht="15.75" customHeight="1">
      <c r="A33" s="1"/>
      <c r="D33" s="9"/>
      <c r="F33" s="9" t="str">
        <f>IF(C33&gt;0, C33/'Conversion rates'!$I$3, D33)</f>
        <v/>
      </c>
      <c r="G33" s="28">
        <f>F33*'Conversion rates'!$I$3</f>
        <v>0</v>
      </c>
      <c r="H33" s="28"/>
      <c r="I33" s="9">
        <f t="shared" si="1"/>
        <v>0</v>
      </c>
      <c r="J33" s="4">
        <f t="shared" si="2"/>
        <v>0</v>
      </c>
    </row>
    <row r="34" ht="15.75" customHeight="1">
      <c r="A34" s="1"/>
      <c r="D34" s="9"/>
      <c r="F34" s="9" t="str">
        <f>IF(C34&gt;0, C34/'Conversion rates'!$I$3, D34)</f>
        <v/>
      </c>
      <c r="G34" s="28">
        <f>F34*'Conversion rates'!$I$3</f>
        <v>0</v>
      </c>
      <c r="H34" s="28"/>
      <c r="I34" s="9">
        <f t="shared" si="1"/>
        <v>0</v>
      </c>
      <c r="J34" s="4">
        <f t="shared" si="2"/>
        <v>0</v>
      </c>
    </row>
    <row r="35" ht="15.75" customHeight="1">
      <c r="A35" s="1"/>
      <c r="D35" s="9"/>
      <c r="F35" s="9" t="str">
        <f>IF(C35&gt;0, C35/'Conversion rates'!$I$3, D35)</f>
        <v/>
      </c>
      <c r="G35" s="28">
        <f>F35*'Conversion rates'!$I$3</f>
        <v>0</v>
      </c>
      <c r="H35" s="28"/>
      <c r="I35" s="9">
        <f t="shared" si="1"/>
        <v>0</v>
      </c>
      <c r="J35" s="4">
        <f t="shared" si="2"/>
        <v>0</v>
      </c>
    </row>
    <row r="36" ht="15.75" customHeight="1">
      <c r="A36" s="1"/>
      <c r="D36" s="9"/>
      <c r="F36" s="9" t="str">
        <f>IF(C36&gt;0, C36/'Conversion rates'!$I$3, D36)</f>
        <v/>
      </c>
      <c r="G36" s="28">
        <f>F36*'Conversion rates'!$I$3</f>
        <v>0</v>
      </c>
      <c r="H36" s="28"/>
      <c r="I36" s="9">
        <f t="shared" si="1"/>
        <v>0</v>
      </c>
      <c r="J36" s="4">
        <f t="shared" si="2"/>
        <v>0</v>
      </c>
    </row>
    <row r="37" ht="15.75" customHeight="1">
      <c r="A37" s="1"/>
      <c r="D37" s="9"/>
      <c r="F37" s="9" t="str">
        <f>IF(C37&gt;0, C37/'Conversion rates'!$I$3, D37)</f>
        <v/>
      </c>
      <c r="G37" s="28">
        <f>F37*'Conversion rates'!$I$3</f>
        <v>0</v>
      </c>
      <c r="H37" s="28"/>
      <c r="I37" s="9">
        <f t="shared" si="1"/>
        <v>0</v>
      </c>
      <c r="J37" s="4">
        <f t="shared" si="2"/>
        <v>0</v>
      </c>
    </row>
    <row r="38" ht="15.75" customHeight="1">
      <c r="A38" s="1"/>
      <c r="D38" s="9"/>
      <c r="F38" s="9" t="str">
        <f>IF(C38&gt;0, C38/'Conversion rates'!$I$3, D38)</f>
        <v/>
      </c>
      <c r="G38" s="28">
        <f>F38*'Conversion rates'!$I$3</f>
        <v>0</v>
      </c>
      <c r="H38" s="28"/>
      <c r="I38" s="9">
        <f t="shared" si="1"/>
        <v>0</v>
      </c>
      <c r="J38" s="4">
        <f t="shared" si="2"/>
        <v>0</v>
      </c>
    </row>
    <row r="39" ht="15.75" customHeight="1">
      <c r="A39" s="1"/>
      <c r="D39" s="9"/>
      <c r="F39" s="9" t="str">
        <f>IF(C39&gt;0, C39/'Conversion rates'!$I$3, D39)</f>
        <v/>
      </c>
      <c r="G39" s="28">
        <f>F39*'Conversion rates'!$I$3</f>
        <v>0</v>
      </c>
      <c r="H39" s="28"/>
      <c r="I39" s="9">
        <f t="shared" si="1"/>
        <v>0</v>
      </c>
      <c r="J39" s="4">
        <f t="shared" si="2"/>
        <v>0</v>
      </c>
    </row>
    <row r="40" ht="15.75" customHeight="1">
      <c r="A40" s="1"/>
      <c r="D40" s="9"/>
      <c r="F40" s="9" t="str">
        <f>IF(C40&gt;0, C40/'Conversion rates'!$I$3, D40)</f>
        <v/>
      </c>
      <c r="G40" s="28">
        <f>F40*'Conversion rates'!$I$3</f>
        <v>0</v>
      </c>
      <c r="H40" s="28"/>
      <c r="I40" s="9">
        <f t="shared" si="1"/>
        <v>0</v>
      </c>
      <c r="J40" s="4">
        <f t="shared" si="2"/>
        <v>0</v>
      </c>
    </row>
    <row r="41" ht="15.75" customHeight="1">
      <c r="A41" s="1"/>
      <c r="D41" s="9"/>
      <c r="F41" s="9" t="str">
        <f>IF(C41&gt;0, C41/'Conversion rates'!$I$3, D41)</f>
        <v/>
      </c>
      <c r="G41" s="28">
        <f>F41*'Conversion rates'!$I$3</f>
        <v>0</v>
      </c>
      <c r="H41" s="28"/>
      <c r="I41" s="9">
        <f t="shared" si="1"/>
        <v>0</v>
      </c>
      <c r="J41" s="4">
        <f t="shared" si="2"/>
        <v>0</v>
      </c>
    </row>
    <row r="42" ht="15.75" customHeight="1">
      <c r="A42" s="1"/>
      <c r="D42" s="9"/>
      <c r="F42" s="9" t="str">
        <f>IF(C42&gt;0, C42/'Conversion rates'!$I$3, D42)</f>
        <v/>
      </c>
      <c r="G42" s="28">
        <f>F42*'Conversion rates'!$I$3</f>
        <v>0</v>
      </c>
      <c r="H42" s="28"/>
      <c r="I42" s="9">
        <f t="shared" si="1"/>
        <v>0</v>
      </c>
      <c r="J42" s="4">
        <f t="shared" si="2"/>
        <v>0</v>
      </c>
    </row>
    <row r="43" ht="15.75" customHeight="1">
      <c r="A43" s="1"/>
      <c r="D43" s="9"/>
      <c r="F43" s="9" t="str">
        <f>IF(C43&gt;0, C43/'Conversion rates'!$I$3, D43)</f>
        <v/>
      </c>
      <c r="G43" s="28">
        <f>F43*'Conversion rates'!$I$3</f>
        <v>0</v>
      </c>
      <c r="H43" s="28"/>
      <c r="I43" s="9">
        <f t="shared" si="1"/>
        <v>0</v>
      </c>
      <c r="J43" s="4">
        <f t="shared" si="2"/>
        <v>0</v>
      </c>
    </row>
    <row r="44" ht="15.75" customHeight="1">
      <c r="A44" s="1"/>
      <c r="D44" s="9"/>
      <c r="F44" s="9" t="str">
        <f>IF(C44&gt;0, C44/'Conversion rates'!$I$3, D44)</f>
        <v/>
      </c>
      <c r="G44" s="28">
        <f>F44*'Conversion rates'!$I$3</f>
        <v>0</v>
      </c>
      <c r="H44" s="28"/>
      <c r="I44" s="9">
        <f t="shared" si="1"/>
        <v>0</v>
      </c>
      <c r="J44" s="4">
        <f t="shared" si="2"/>
        <v>0</v>
      </c>
    </row>
    <row r="45" ht="15.75" customHeight="1">
      <c r="A45" s="1"/>
      <c r="D45" s="9"/>
      <c r="F45" s="9" t="str">
        <f>IF(C45&gt;0, C45/'Conversion rates'!$I$3, D45)</f>
        <v/>
      </c>
      <c r="G45" s="28">
        <f>F45*'Conversion rates'!$I$3</f>
        <v>0</v>
      </c>
      <c r="H45" s="28"/>
      <c r="I45" s="9">
        <f t="shared" si="1"/>
        <v>0</v>
      </c>
      <c r="J45" s="4">
        <f t="shared" si="2"/>
        <v>0</v>
      </c>
    </row>
    <row r="46" ht="15.75" customHeight="1">
      <c r="A46" s="1"/>
      <c r="D46" s="9"/>
      <c r="F46" s="9" t="str">
        <f>IF(C46&gt;0, C46/'Conversion rates'!$I$3, D46)</f>
        <v/>
      </c>
      <c r="G46" s="28">
        <f>F46*'Conversion rates'!$I$3</f>
        <v>0</v>
      </c>
      <c r="H46" s="28"/>
      <c r="I46" s="9">
        <f t="shared" si="1"/>
        <v>0</v>
      </c>
      <c r="J46" s="4">
        <f t="shared" si="2"/>
        <v>0</v>
      </c>
    </row>
    <row r="47" ht="15.75" customHeight="1">
      <c r="A47" s="1"/>
      <c r="D47" s="9"/>
      <c r="F47" s="9" t="str">
        <f>IF(C47&gt;0, C47/'Conversion rates'!$I$3, D47)</f>
        <v/>
      </c>
      <c r="G47" s="28">
        <f>F47*'Conversion rates'!$I$3</f>
        <v>0</v>
      </c>
      <c r="H47" s="28"/>
      <c r="I47" s="9">
        <f t="shared" si="1"/>
        <v>0</v>
      </c>
      <c r="J47" s="4">
        <f t="shared" si="2"/>
        <v>0</v>
      </c>
    </row>
    <row r="48" ht="15.75" customHeight="1">
      <c r="A48" s="1"/>
      <c r="D48" s="9"/>
      <c r="F48" s="9" t="str">
        <f>IF(C48&gt;0, C48/'Conversion rates'!$I$3, D48)</f>
        <v/>
      </c>
      <c r="G48" s="28">
        <f>F48*'Conversion rates'!$I$3</f>
        <v>0</v>
      </c>
      <c r="H48" s="28"/>
      <c r="I48" s="9">
        <f t="shared" si="1"/>
        <v>0</v>
      </c>
      <c r="J48" s="4">
        <f t="shared" si="2"/>
        <v>0</v>
      </c>
    </row>
    <row r="49" ht="15.75" customHeight="1">
      <c r="A49" s="1"/>
      <c r="D49" s="9"/>
      <c r="F49" s="9" t="str">
        <f>IF(C49&gt;0, C49/'Conversion rates'!$I$3, D49)</f>
        <v/>
      </c>
      <c r="G49" s="28">
        <f>F49*'Conversion rates'!$I$3</f>
        <v>0</v>
      </c>
      <c r="H49" s="28"/>
      <c r="I49" s="9">
        <f t="shared" si="1"/>
        <v>0</v>
      </c>
      <c r="J49" s="4">
        <f t="shared" si="2"/>
        <v>0</v>
      </c>
    </row>
    <row r="50" ht="15.75" customHeight="1">
      <c r="A50" s="1"/>
      <c r="D50" s="9"/>
      <c r="F50" s="9" t="str">
        <f>IF(C50&gt;0, C50/'Conversion rates'!$I$3, D50)</f>
        <v/>
      </c>
      <c r="G50" s="28">
        <f>F50*'Conversion rates'!$I$3</f>
        <v>0</v>
      </c>
      <c r="H50" s="28"/>
      <c r="I50" s="9">
        <f t="shared" si="1"/>
        <v>0</v>
      </c>
      <c r="J50" s="4">
        <f t="shared" si="2"/>
        <v>0</v>
      </c>
    </row>
    <row r="51" ht="15.75" customHeight="1">
      <c r="A51" s="1"/>
      <c r="D51" s="9"/>
      <c r="F51" s="9" t="str">
        <f>IF(C51&gt;0, C51/'Conversion rates'!$I$3, D51)</f>
        <v/>
      </c>
      <c r="G51" s="28">
        <f>F51*'Conversion rates'!$I$3</f>
        <v>0</v>
      </c>
      <c r="H51" s="28"/>
      <c r="I51" s="9">
        <f t="shared" si="1"/>
        <v>0</v>
      </c>
      <c r="J51" s="4">
        <f t="shared" si="2"/>
        <v>0</v>
      </c>
    </row>
    <row r="52" ht="15.75" customHeight="1">
      <c r="A52" s="1"/>
      <c r="D52" s="9"/>
      <c r="F52" s="9" t="str">
        <f>IF(C52&gt;0, C52/'Conversion rates'!$I$3, D52)</f>
        <v/>
      </c>
      <c r="G52" s="28">
        <f>F52*'Conversion rates'!$I$3</f>
        <v>0</v>
      </c>
      <c r="H52" s="28"/>
      <c r="I52" s="9">
        <f t="shared" si="1"/>
        <v>0</v>
      </c>
      <c r="J52" s="4">
        <f t="shared" si="2"/>
        <v>0</v>
      </c>
    </row>
    <row r="53" ht="15.75" customHeight="1">
      <c r="A53" s="1"/>
      <c r="D53" s="9"/>
      <c r="F53" s="9" t="str">
        <f>IF(C53&gt;0, C53/'Conversion rates'!$I$3, D53)</f>
        <v/>
      </c>
      <c r="G53" s="28">
        <f>F53*'Conversion rates'!$I$3</f>
        <v>0</v>
      </c>
      <c r="H53" s="28"/>
      <c r="I53" s="9">
        <f t="shared" si="1"/>
        <v>0</v>
      </c>
      <c r="J53" s="4">
        <f t="shared" si="2"/>
        <v>0</v>
      </c>
    </row>
    <row r="54" ht="15.75" customHeight="1">
      <c r="A54" s="1"/>
      <c r="D54" s="9"/>
      <c r="F54" s="9" t="str">
        <f>IF(C54&gt;0, C54/'Conversion rates'!$I$3, D54)</f>
        <v/>
      </c>
      <c r="G54" s="28">
        <f>F54*'Conversion rates'!$I$3</f>
        <v>0</v>
      </c>
      <c r="H54" s="28"/>
      <c r="I54" s="9">
        <f t="shared" si="1"/>
        <v>0</v>
      </c>
      <c r="J54" s="4">
        <f t="shared" si="2"/>
        <v>0</v>
      </c>
    </row>
    <row r="55" ht="15.75" customHeight="1">
      <c r="A55" s="1"/>
      <c r="D55" s="9"/>
      <c r="F55" s="9" t="str">
        <f>IF(C55&gt;0, C55/'Conversion rates'!$I$3, D55)</f>
        <v/>
      </c>
      <c r="G55" s="28">
        <f>F55*'Conversion rates'!$I$3</f>
        <v>0</v>
      </c>
      <c r="H55" s="28"/>
      <c r="I55" s="9">
        <f t="shared" si="1"/>
        <v>0</v>
      </c>
      <c r="J55" s="4">
        <f t="shared" si="2"/>
        <v>0</v>
      </c>
    </row>
    <row r="56" ht="15.75" customHeight="1">
      <c r="A56" s="1"/>
      <c r="D56" s="9"/>
      <c r="F56" s="9" t="str">
        <f>IF(C56&gt;0, C56/'Conversion rates'!$I$3, D56)</f>
        <v/>
      </c>
      <c r="G56" s="28">
        <f>F56*'Conversion rates'!$I$3</f>
        <v>0</v>
      </c>
      <c r="H56" s="28"/>
      <c r="I56" s="9">
        <f t="shared" si="1"/>
        <v>0</v>
      </c>
      <c r="J56" s="4">
        <f t="shared" si="2"/>
        <v>0</v>
      </c>
    </row>
    <row r="57" ht="15.75" customHeight="1">
      <c r="A57" s="1"/>
      <c r="D57" s="9"/>
      <c r="F57" s="9" t="str">
        <f>IF(C57&gt;0, C57/'Conversion rates'!$I$3, D57)</f>
        <v/>
      </c>
      <c r="G57" s="28">
        <f>F57*'Conversion rates'!$I$3</f>
        <v>0</v>
      </c>
      <c r="H57" s="28"/>
      <c r="I57" s="9">
        <f t="shared" si="1"/>
        <v>0</v>
      </c>
      <c r="J57" s="4">
        <f t="shared" si="2"/>
        <v>0</v>
      </c>
    </row>
    <row r="58" ht="15.75" customHeight="1">
      <c r="A58" s="1"/>
      <c r="D58" s="9"/>
      <c r="F58" s="9" t="str">
        <f>IF(C58&gt;0, C58/'Conversion rates'!$I$3, D58)</f>
        <v/>
      </c>
      <c r="G58" s="28">
        <f>F58*'Conversion rates'!$I$3</f>
        <v>0</v>
      </c>
      <c r="H58" s="28"/>
      <c r="I58" s="9">
        <f t="shared" si="1"/>
        <v>0</v>
      </c>
      <c r="J58" s="4">
        <f t="shared" si="2"/>
        <v>0</v>
      </c>
    </row>
    <row r="59" ht="15.75" customHeight="1">
      <c r="A59" s="1"/>
      <c r="D59" s="9"/>
      <c r="F59" s="9" t="str">
        <f>IF(C59&gt;0, C59/'Conversion rates'!$I$3, D59)</f>
        <v/>
      </c>
      <c r="G59" s="28">
        <f>F59*'Conversion rates'!$I$3</f>
        <v>0</v>
      </c>
      <c r="H59" s="28"/>
      <c r="I59" s="9">
        <f t="shared" si="1"/>
        <v>0</v>
      </c>
      <c r="J59" s="4">
        <f t="shared" si="2"/>
        <v>0</v>
      </c>
    </row>
    <row r="60" ht="15.75" customHeight="1">
      <c r="A60" s="1"/>
      <c r="D60" s="9"/>
      <c r="F60" s="9" t="str">
        <f>IF(C60&gt;0, C60/'Conversion rates'!$I$3, D60)</f>
        <v/>
      </c>
      <c r="G60" s="28">
        <f>F60*'Conversion rates'!$I$3</f>
        <v>0</v>
      </c>
      <c r="H60" s="28"/>
      <c r="I60" s="9">
        <f t="shared" si="1"/>
        <v>0</v>
      </c>
      <c r="J60" s="4">
        <f t="shared" si="2"/>
        <v>0</v>
      </c>
    </row>
    <row r="61" ht="15.75" customHeight="1">
      <c r="A61" s="1"/>
      <c r="D61" s="9"/>
      <c r="F61" s="9" t="str">
        <f>IF(C61&gt;0, C61/'Conversion rates'!$I$3, D61)</f>
        <v/>
      </c>
      <c r="G61" s="28">
        <f>F61*'Conversion rates'!$I$3</f>
        <v>0</v>
      </c>
      <c r="H61" s="28"/>
      <c r="I61" s="9">
        <f t="shared" si="1"/>
        <v>0</v>
      </c>
      <c r="J61" s="4">
        <f t="shared" si="2"/>
        <v>0</v>
      </c>
    </row>
    <row r="62" ht="15.75" customHeight="1">
      <c r="A62" s="1"/>
      <c r="D62" s="9"/>
      <c r="F62" s="9" t="str">
        <f>IF(C62&gt;0, C62/'Conversion rates'!$I$3, D62)</f>
        <v/>
      </c>
      <c r="G62" s="28">
        <f>F62*'Conversion rates'!$I$3</f>
        <v>0</v>
      </c>
      <c r="H62" s="28"/>
      <c r="I62" s="9">
        <f t="shared" si="1"/>
        <v>0</v>
      </c>
      <c r="J62" s="4">
        <f t="shared" si="2"/>
        <v>0</v>
      </c>
    </row>
    <row r="63" ht="15.75" customHeight="1">
      <c r="A63" s="1"/>
      <c r="D63" s="9"/>
      <c r="F63" s="9" t="str">
        <f>IF(C63&gt;0, C63/'Conversion rates'!$I$3, D63)</f>
        <v/>
      </c>
      <c r="G63" s="28">
        <f>F63*'Conversion rates'!$I$3</f>
        <v>0</v>
      </c>
      <c r="H63" s="28"/>
      <c r="I63" s="9">
        <f t="shared" si="1"/>
        <v>0</v>
      </c>
      <c r="J63" s="4">
        <f t="shared" si="2"/>
        <v>0</v>
      </c>
    </row>
    <row r="64" ht="15.75" customHeight="1">
      <c r="A64" s="1"/>
      <c r="D64" s="9"/>
      <c r="F64" s="9" t="str">
        <f>IF(C64&gt;0, C64/'Conversion rates'!$I$3, D64)</f>
        <v/>
      </c>
      <c r="G64" s="28">
        <f>F64*'Conversion rates'!$I$3</f>
        <v>0</v>
      </c>
      <c r="H64" s="28"/>
      <c r="I64" s="9">
        <f t="shared" si="1"/>
        <v>0</v>
      </c>
      <c r="J64" s="4">
        <f t="shared" si="2"/>
        <v>0</v>
      </c>
    </row>
    <row r="65" ht="15.75" customHeight="1">
      <c r="A65" s="1"/>
      <c r="D65" s="9"/>
      <c r="F65" s="9" t="str">
        <f>IF(C65&gt;0, C65/'Conversion rates'!$I$3, D65)</f>
        <v/>
      </c>
      <c r="G65" s="28">
        <f>F65*'Conversion rates'!$I$3</f>
        <v>0</v>
      </c>
      <c r="H65" s="28"/>
      <c r="I65" s="9">
        <f t="shared" si="1"/>
        <v>0</v>
      </c>
      <c r="J65" s="4">
        <f t="shared" si="2"/>
        <v>0</v>
      </c>
    </row>
    <row r="66" ht="15.75" customHeight="1">
      <c r="A66" s="1"/>
      <c r="D66" s="9"/>
      <c r="F66" s="9" t="str">
        <f>IF(C66&gt;0, C66/'Conversion rates'!$I$3, D66)</f>
        <v/>
      </c>
      <c r="G66" s="28">
        <f>F66*'Conversion rates'!$I$3</f>
        <v>0</v>
      </c>
      <c r="H66" s="28"/>
      <c r="I66" s="9">
        <f t="shared" si="1"/>
        <v>0</v>
      </c>
      <c r="J66" s="4">
        <f t="shared" si="2"/>
        <v>0</v>
      </c>
    </row>
    <row r="67" ht="15.75" customHeight="1">
      <c r="A67" s="1"/>
      <c r="D67" s="9"/>
      <c r="F67" s="9" t="str">
        <f>IF(C67&gt;0, C67/'Conversion rates'!$I$3, D67)</f>
        <v/>
      </c>
      <c r="G67" s="28">
        <f>F67*'Conversion rates'!$I$3</f>
        <v>0</v>
      </c>
      <c r="H67" s="28"/>
      <c r="I67" s="9">
        <f t="shared" si="1"/>
        <v>0</v>
      </c>
      <c r="J67" s="4">
        <f t="shared" si="2"/>
        <v>0</v>
      </c>
    </row>
    <row r="68" ht="15.75" customHeight="1">
      <c r="A68" s="1"/>
      <c r="D68" s="9"/>
      <c r="F68" s="9" t="str">
        <f>IF(C68&gt;0, C68/'Conversion rates'!$I$3, D68)</f>
        <v/>
      </c>
      <c r="G68" s="28">
        <f>F68*'Conversion rates'!$I$3</f>
        <v>0</v>
      </c>
      <c r="H68" s="28"/>
      <c r="I68" s="9">
        <f t="shared" si="1"/>
        <v>0</v>
      </c>
      <c r="J68" s="4">
        <f t="shared" si="2"/>
        <v>0</v>
      </c>
    </row>
    <row r="69" ht="15.75" customHeight="1">
      <c r="A69" s="1"/>
      <c r="F69" s="9" t="str">
        <f>IF(C69&gt;0, C69/'Conversion rates'!$I$3, D69)</f>
        <v/>
      </c>
      <c r="G69" s="28">
        <f>F69*'Conversion rates'!$I$3</f>
        <v>0</v>
      </c>
      <c r="H69" s="28"/>
      <c r="I69" s="9">
        <f t="shared" si="1"/>
        <v>0</v>
      </c>
      <c r="J69" s="4">
        <f t="shared" si="2"/>
        <v>0</v>
      </c>
    </row>
    <row r="70" ht="15.75" customHeight="1">
      <c r="A70" s="1"/>
      <c r="F70" s="9" t="str">
        <f>IF(C70&gt;0, C70/'Conversion rates'!$I$3, D70)</f>
        <v/>
      </c>
      <c r="G70" s="28">
        <f>F70*'Conversion rates'!$I$3</f>
        <v>0</v>
      </c>
      <c r="H70" s="28"/>
      <c r="I70" s="9">
        <f t="shared" si="1"/>
        <v>0</v>
      </c>
      <c r="J70" s="4">
        <f t="shared" si="2"/>
        <v>0</v>
      </c>
    </row>
    <row r="71" ht="15.75" customHeight="1">
      <c r="A71" s="1"/>
      <c r="F71" s="9" t="str">
        <f>IF(C71&gt;0, C71/'Conversion rates'!$I$3, D71)</f>
        <v/>
      </c>
      <c r="G71" s="28">
        <f>F71*'Conversion rates'!$I$3</f>
        <v>0</v>
      </c>
      <c r="H71" s="28"/>
      <c r="I71" s="9">
        <f t="shared" si="1"/>
        <v>0</v>
      </c>
      <c r="J71" s="4">
        <f t="shared" si="2"/>
        <v>0</v>
      </c>
    </row>
    <row r="72" ht="15.75" customHeight="1">
      <c r="A72" s="1"/>
      <c r="F72" s="9" t="str">
        <f>IF(C72&gt;0, C72/'Conversion rates'!$I$3, D72)</f>
        <v/>
      </c>
      <c r="G72" s="28">
        <f>F72*'Conversion rates'!$I$3</f>
        <v>0</v>
      </c>
      <c r="H72" s="28"/>
      <c r="I72" s="9">
        <f t="shared" si="1"/>
        <v>0</v>
      </c>
      <c r="J72" s="4">
        <f t="shared" si="2"/>
        <v>0</v>
      </c>
    </row>
    <row r="73" ht="15.75" customHeight="1">
      <c r="A73" s="1"/>
      <c r="F73" s="9" t="str">
        <f>IF(C73&gt;0, C73/'Conversion rates'!$I$3, D73)</f>
        <v/>
      </c>
      <c r="G73" s="28">
        <f>F73*'Conversion rates'!$I$3</f>
        <v>0</v>
      </c>
      <c r="H73" s="28"/>
      <c r="I73" s="9">
        <f t="shared" si="1"/>
        <v>0</v>
      </c>
      <c r="J73" s="4">
        <f t="shared" si="2"/>
        <v>0</v>
      </c>
    </row>
    <row r="74" ht="15.75" customHeight="1">
      <c r="A74" s="1"/>
      <c r="F74" s="9" t="str">
        <f>IF(C74&gt;0, C74/'Conversion rates'!$I$3, D74)</f>
        <v/>
      </c>
      <c r="G74" s="28">
        <f>F74*'Conversion rates'!$I$3</f>
        <v>0</v>
      </c>
      <c r="H74" s="28"/>
      <c r="I74" s="9">
        <f t="shared" si="1"/>
        <v>0</v>
      </c>
      <c r="J74" s="4">
        <f t="shared" si="2"/>
        <v>0</v>
      </c>
    </row>
    <row r="75" ht="15.75" customHeight="1">
      <c r="A75" s="1"/>
      <c r="F75" s="9" t="str">
        <f>IF(C75&gt;0, C75/'Conversion rates'!$I$3, D75)</f>
        <v/>
      </c>
      <c r="G75" s="28">
        <f>F75*'Conversion rates'!$I$3</f>
        <v>0</v>
      </c>
      <c r="H75" s="28"/>
      <c r="I75" s="9">
        <f t="shared" si="1"/>
        <v>0</v>
      </c>
      <c r="J75" s="4">
        <f t="shared" si="2"/>
        <v>0</v>
      </c>
    </row>
    <row r="76" ht="15.75" customHeight="1">
      <c r="A76" s="1"/>
      <c r="F76" s="9" t="str">
        <f>IF(C76&gt;0, C76/'Conversion rates'!$I$3, D76)</f>
        <v/>
      </c>
      <c r="G76" s="28">
        <f>F76*'Conversion rates'!$I$3</f>
        <v>0</v>
      </c>
      <c r="H76" s="28"/>
      <c r="I76" s="9">
        <f t="shared" si="1"/>
        <v>0</v>
      </c>
      <c r="J76" s="4">
        <f t="shared" si="2"/>
        <v>0</v>
      </c>
    </row>
    <row r="77" ht="15.75" customHeight="1">
      <c r="A77" s="1"/>
      <c r="F77" s="9" t="str">
        <f>IF(C77&gt;0, C77/'Conversion rates'!$I$3, D77)</f>
        <v/>
      </c>
      <c r="G77" s="28">
        <f>F77*'Conversion rates'!$I$3</f>
        <v>0</v>
      </c>
      <c r="H77" s="28"/>
      <c r="I77" s="9">
        <f t="shared" si="1"/>
        <v>0</v>
      </c>
      <c r="J77" s="4">
        <f t="shared" si="2"/>
        <v>0</v>
      </c>
    </row>
    <row r="78" ht="15.75" customHeight="1">
      <c r="A78" s="1"/>
      <c r="F78" s="9" t="str">
        <f>IF(C78&gt;0, C78/'Conversion rates'!$I$3, D78)</f>
        <v/>
      </c>
      <c r="G78" s="28">
        <f>F78*'Conversion rates'!$I$3</f>
        <v>0</v>
      </c>
      <c r="H78" s="28"/>
      <c r="I78" s="9">
        <f t="shared" si="1"/>
        <v>0</v>
      </c>
      <c r="J78" s="4">
        <f t="shared" si="2"/>
        <v>0</v>
      </c>
    </row>
    <row r="79" ht="15.75" customHeight="1">
      <c r="A79" s="1"/>
      <c r="F79" s="9" t="str">
        <f>IF(C79&gt;0, C79/'Conversion rates'!$I$3, D79)</f>
        <v/>
      </c>
      <c r="G79" s="28">
        <f>F79*'Conversion rates'!$I$3</f>
        <v>0</v>
      </c>
      <c r="H79" s="28"/>
      <c r="I79" s="9">
        <f t="shared" si="1"/>
        <v>0</v>
      </c>
      <c r="J79" s="4">
        <f t="shared" si="2"/>
        <v>0</v>
      </c>
    </row>
    <row r="80" ht="15.75" customHeight="1">
      <c r="A80" s="1"/>
      <c r="F80" s="9" t="str">
        <f>IF(C80&gt;0, C80/'Conversion rates'!$I$3, D80)</f>
        <v/>
      </c>
      <c r="G80" s="28">
        <f>F80*'Conversion rates'!$I$3</f>
        <v>0</v>
      </c>
      <c r="H80" s="28"/>
      <c r="I80" s="9">
        <f t="shared" si="1"/>
        <v>0</v>
      </c>
      <c r="J80" s="4">
        <f t="shared" si="2"/>
        <v>0</v>
      </c>
    </row>
    <row r="81" ht="15.75" customHeight="1">
      <c r="A81" s="1"/>
      <c r="F81" s="9" t="str">
        <f>IF(C81&gt;0, C81/'Conversion rates'!$I$3, D81)</f>
        <v/>
      </c>
      <c r="G81" s="28">
        <f>F81*'Conversion rates'!$I$3</f>
        <v>0</v>
      </c>
      <c r="H81" s="28"/>
      <c r="I81" s="9">
        <f t="shared" si="1"/>
        <v>0</v>
      </c>
      <c r="J81" s="4">
        <f t="shared" si="2"/>
        <v>0</v>
      </c>
    </row>
    <row r="82" ht="15.75" customHeight="1">
      <c r="A82" s="1"/>
      <c r="F82" s="9" t="str">
        <f>IF(C82&gt;0, C82/'Conversion rates'!$I$3, D82)</f>
        <v/>
      </c>
      <c r="G82" s="28">
        <f>F82*'Conversion rates'!$I$3</f>
        <v>0</v>
      </c>
      <c r="H82" s="28"/>
      <c r="I82" s="9">
        <f t="shared" si="1"/>
        <v>0</v>
      </c>
      <c r="J82" s="4">
        <f t="shared" si="2"/>
        <v>0</v>
      </c>
    </row>
    <row r="83" ht="15.75" customHeight="1">
      <c r="A83" s="1"/>
      <c r="F83" s="9" t="str">
        <f>IF(C83&gt;0, C83/'Conversion rates'!$I$3, D83)</f>
        <v/>
      </c>
      <c r="G83" s="28">
        <f>F83*'Conversion rates'!$I$3</f>
        <v>0</v>
      </c>
      <c r="H83" s="28"/>
      <c r="I83" s="9">
        <f t="shared" si="1"/>
        <v>0</v>
      </c>
      <c r="J83" s="4">
        <f t="shared" si="2"/>
        <v>0</v>
      </c>
    </row>
    <row r="84" ht="15.75" customHeight="1">
      <c r="A84" s="1"/>
      <c r="F84" s="9" t="str">
        <f>IF(C84&gt;0, C84/'Conversion rates'!$I$3, D84)</f>
        <v/>
      </c>
      <c r="G84" s="28">
        <f>F84*'Conversion rates'!$I$3</f>
        <v>0</v>
      </c>
      <c r="H84" s="28"/>
      <c r="I84" s="9">
        <f t="shared" si="1"/>
        <v>0</v>
      </c>
      <c r="J84" s="4">
        <f t="shared" si="2"/>
        <v>0</v>
      </c>
    </row>
    <row r="85" ht="15.75" customHeight="1">
      <c r="A85" s="1"/>
      <c r="F85" s="9" t="str">
        <f>IF(C85&gt;0, C85/'Conversion rates'!$I$3, D85)</f>
        <v/>
      </c>
      <c r="G85" s="28">
        <f>F85*'Conversion rates'!$I$3</f>
        <v>0</v>
      </c>
      <c r="H85" s="28"/>
      <c r="I85" s="9">
        <f t="shared" si="1"/>
        <v>0</v>
      </c>
      <c r="J85" s="4">
        <f t="shared" si="2"/>
        <v>0</v>
      </c>
    </row>
    <row r="86" ht="15.75" customHeight="1">
      <c r="A86" s="1"/>
      <c r="F86" s="9" t="str">
        <f>IF(C86&gt;0, C86/'Conversion rates'!$I$3, D86)</f>
        <v/>
      </c>
      <c r="G86" s="28">
        <f>F86*'Conversion rates'!$I$3</f>
        <v>0</v>
      </c>
      <c r="H86" s="28"/>
      <c r="I86" s="9">
        <f t="shared" si="1"/>
        <v>0</v>
      </c>
      <c r="J86" s="4">
        <f t="shared" si="2"/>
        <v>0</v>
      </c>
    </row>
    <row r="87" ht="15.75" customHeight="1">
      <c r="A87" s="1"/>
      <c r="F87" s="9" t="str">
        <f>IF(C87&gt;0, C87/'Conversion rates'!$I$3, D87)</f>
        <v/>
      </c>
      <c r="G87" s="28">
        <f>F87*'Conversion rates'!$I$3</f>
        <v>0</v>
      </c>
      <c r="H87" s="28"/>
      <c r="I87" s="9">
        <f t="shared" si="1"/>
        <v>0</v>
      </c>
      <c r="J87" s="4">
        <f t="shared" si="2"/>
        <v>0</v>
      </c>
    </row>
    <row r="88" ht="15.75" customHeight="1">
      <c r="A88" s="1"/>
      <c r="F88" s="9" t="str">
        <f>IF(C88&gt;0, C88/'Conversion rates'!$I$3, D88)</f>
        <v/>
      </c>
      <c r="G88" s="28">
        <f>F88*'Conversion rates'!$I$3</f>
        <v>0</v>
      </c>
      <c r="H88" s="28"/>
      <c r="I88" s="9">
        <f t="shared" si="1"/>
        <v>0</v>
      </c>
      <c r="J88" s="4">
        <f t="shared" si="2"/>
        <v>0</v>
      </c>
    </row>
    <row r="89" ht="15.75" customHeight="1">
      <c r="A89" s="1"/>
      <c r="F89" s="9" t="str">
        <f>IF(C89&gt;0, C89/'Conversion rates'!$I$3, D89)</f>
        <v/>
      </c>
      <c r="G89" s="28">
        <f>F89*'Conversion rates'!$I$3</f>
        <v>0</v>
      </c>
      <c r="H89" s="28"/>
      <c r="I89" s="9">
        <f t="shared" si="1"/>
        <v>0</v>
      </c>
      <c r="J89" s="4">
        <f t="shared" si="2"/>
        <v>0</v>
      </c>
    </row>
    <row r="90" ht="15.75" customHeight="1">
      <c r="A90" s="1"/>
      <c r="F90" s="9" t="str">
        <f>IF(C90&gt;0, C90/'Conversion rates'!$I$3, D90)</f>
        <v/>
      </c>
      <c r="G90" s="28">
        <f>F90*'Conversion rates'!$I$3</f>
        <v>0</v>
      </c>
      <c r="H90" s="28"/>
      <c r="I90" s="9">
        <f t="shared" si="1"/>
        <v>0</v>
      </c>
      <c r="J90" s="4">
        <f t="shared" si="2"/>
        <v>0</v>
      </c>
    </row>
    <row r="91" ht="15.75" customHeight="1">
      <c r="A91" s="1"/>
      <c r="F91" s="9" t="str">
        <f>IF(C91&gt;0, C91/'Conversion rates'!$I$3, D91)</f>
        <v/>
      </c>
      <c r="G91" s="28">
        <f>F91*'Conversion rates'!$I$3</f>
        <v>0</v>
      </c>
      <c r="H91" s="28"/>
      <c r="I91" s="9">
        <f t="shared" si="1"/>
        <v>0</v>
      </c>
      <c r="J91" s="4">
        <f t="shared" si="2"/>
        <v>0</v>
      </c>
    </row>
    <row r="92" ht="15.75" customHeight="1">
      <c r="A92" s="1"/>
      <c r="F92" s="9" t="str">
        <f>IF(C92&gt;0, C92/'Conversion rates'!$I$3, D92)</f>
        <v/>
      </c>
      <c r="G92" s="28">
        <f>F92*'Conversion rates'!$I$3</f>
        <v>0</v>
      </c>
      <c r="H92" s="28"/>
      <c r="I92" s="9">
        <f t="shared" si="1"/>
        <v>0</v>
      </c>
      <c r="J92" s="4">
        <f t="shared" si="2"/>
        <v>0</v>
      </c>
    </row>
    <row r="93" ht="15.75" customHeight="1">
      <c r="A93" s="1"/>
      <c r="F93" s="9" t="str">
        <f>IF(C93&gt;0, C93/'Conversion rates'!$I$3, D93)</f>
        <v/>
      </c>
      <c r="G93" s="28">
        <f>F93*'Conversion rates'!$I$3</f>
        <v>0</v>
      </c>
      <c r="H93" s="28"/>
      <c r="I93" s="9">
        <f t="shared" si="1"/>
        <v>0</v>
      </c>
      <c r="J93" s="4">
        <f t="shared" si="2"/>
        <v>0</v>
      </c>
    </row>
    <row r="94" ht="15.75" customHeight="1">
      <c r="A94" s="1"/>
      <c r="F94" s="9" t="str">
        <f>IF(C94&gt;0, C94/'Conversion rates'!$I$3, D94)</f>
        <v/>
      </c>
      <c r="G94" s="28">
        <f>F94*'Conversion rates'!$I$3</f>
        <v>0</v>
      </c>
      <c r="H94" s="28"/>
      <c r="I94" s="9">
        <f t="shared" si="1"/>
        <v>0</v>
      </c>
      <c r="J94" s="4">
        <f t="shared" si="2"/>
        <v>0</v>
      </c>
    </row>
    <row r="95" ht="15.75" customHeight="1">
      <c r="A95" s="1"/>
      <c r="F95" s="9" t="str">
        <f>IF(C95&gt;0, C95/'Conversion rates'!$I$3, D95)</f>
        <v/>
      </c>
      <c r="G95" s="28">
        <f>F95*'Conversion rates'!$I$3</f>
        <v>0</v>
      </c>
      <c r="H95" s="28"/>
      <c r="I95" s="9">
        <f t="shared" si="1"/>
        <v>0</v>
      </c>
      <c r="J95" s="4">
        <f t="shared" si="2"/>
        <v>0</v>
      </c>
    </row>
    <row r="96" ht="15.75" customHeight="1">
      <c r="A96" s="1"/>
      <c r="F96" s="9" t="str">
        <f>IF(C96&gt;0, C96/'Conversion rates'!$I$3, D96)</f>
        <v/>
      </c>
      <c r="G96" s="28">
        <f>F96*'Conversion rates'!$I$3</f>
        <v>0</v>
      </c>
      <c r="H96" s="28"/>
      <c r="I96" s="9">
        <f t="shared" si="1"/>
        <v>0</v>
      </c>
      <c r="J96" s="4">
        <f t="shared" si="2"/>
        <v>0</v>
      </c>
    </row>
    <row r="97" ht="15.75" customHeight="1">
      <c r="A97" s="1"/>
      <c r="F97" s="9" t="str">
        <f>IF(C97&gt;0, C97/'Conversion rates'!$I$3, D97)</f>
        <v/>
      </c>
      <c r="G97" s="28">
        <f>F97*'Conversion rates'!$I$3</f>
        <v>0</v>
      </c>
      <c r="H97" s="28"/>
      <c r="I97" s="9">
        <f t="shared" si="1"/>
        <v>0</v>
      </c>
      <c r="J97" s="4">
        <f t="shared" si="2"/>
        <v>0</v>
      </c>
    </row>
    <row r="98" ht="15.75" customHeight="1">
      <c r="A98" s="1"/>
      <c r="F98" s="9" t="str">
        <f>IF(C98&gt;0, C98/'Conversion rates'!$I$3, D98)</f>
        <v/>
      </c>
      <c r="G98" s="28">
        <f>F98*'Conversion rates'!$I$3</f>
        <v>0</v>
      </c>
      <c r="H98" s="28"/>
      <c r="I98" s="9">
        <f t="shared" si="1"/>
        <v>0</v>
      </c>
      <c r="J98" s="4">
        <f t="shared" si="2"/>
        <v>0</v>
      </c>
    </row>
    <row r="99" ht="15.75" customHeight="1">
      <c r="A99" s="1"/>
      <c r="F99" s="9" t="str">
        <f>IF(C99&gt;0, C99/'Conversion rates'!$I$3, D99)</f>
        <v/>
      </c>
      <c r="G99" s="28">
        <f>F99*'Conversion rates'!$I$3</f>
        <v>0</v>
      </c>
      <c r="H99" s="28"/>
      <c r="I99" s="9">
        <f t="shared" si="1"/>
        <v>0</v>
      </c>
      <c r="J99" s="4">
        <f t="shared" si="2"/>
        <v>0</v>
      </c>
    </row>
    <row r="100" ht="15.75" customHeight="1">
      <c r="A100" s="1"/>
      <c r="F100" s="9" t="str">
        <f>IF(C100&gt;0, C100/'Conversion rates'!$I$3, D100)</f>
        <v/>
      </c>
      <c r="G100" s="28">
        <f>F100*'Conversion rates'!$I$3</f>
        <v>0</v>
      </c>
      <c r="H100" s="28"/>
      <c r="I100" s="9">
        <f t="shared" si="1"/>
        <v>0</v>
      </c>
      <c r="J100" s="4">
        <f t="shared" si="2"/>
        <v>0</v>
      </c>
    </row>
    <row r="101" ht="15.75" customHeight="1">
      <c r="A101" s="1"/>
      <c r="F101" s="9" t="str">
        <f>IF(C101&gt;0, C101/'Conversion rates'!$I$3, D101)</f>
        <v/>
      </c>
      <c r="G101" s="28">
        <f>F101*'Conversion rates'!$I$3</f>
        <v>0</v>
      </c>
      <c r="H101" s="28"/>
      <c r="I101" s="9">
        <f t="shared" si="1"/>
        <v>0</v>
      </c>
      <c r="J101" s="4">
        <f t="shared" si="2"/>
        <v>0</v>
      </c>
    </row>
    <row r="102" ht="15.75" customHeight="1">
      <c r="A102" s="1"/>
      <c r="F102" s="9" t="str">
        <f>IF(C102&gt;0, C102/'Conversion rates'!$I$3, D102)</f>
        <v/>
      </c>
      <c r="G102" s="28">
        <f>F102*'Conversion rates'!$I$3</f>
        <v>0</v>
      </c>
      <c r="H102" s="28"/>
      <c r="I102" s="9">
        <f t="shared" si="1"/>
        <v>0</v>
      </c>
      <c r="J102" s="4">
        <f t="shared" si="2"/>
        <v>0</v>
      </c>
    </row>
    <row r="103" ht="15.75" customHeight="1">
      <c r="A103" s="1"/>
      <c r="F103" s="9" t="str">
        <f>IF(C103&gt;0, C103/'Conversion rates'!$I$3, D103)</f>
        <v/>
      </c>
      <c r="G103" s="28">
        <f>F103*'Conversion rates'!$I$3</f>
        <v>0</v>
      </c>
      <c r="H103" s="28"/>
      <c r="I103" s="9">
        <f t="shared" si="1"/>
        <v>0</v>
      </c>
      <c r="J103" s="4">
        <f t="shared" si="2"/>
        <v>0</v>
      </c>
    </row>
    <row r="104" ht="15.75" customHeight="1">
      <c r="A104" s="1"/>
      <c r="F104" s="9" t="str">
        <f>IF(C104&gt;0, C104/'Conversion rates'!$I$3, D104)</f>
        <v/>
      </c>
      <c r="G104" s="28">
        <f>F104*'Conversion rates'!$I$3</f>
        <v>0</v>
      </c>
      <c r="H104" s="28"/>
      <c r="I104" s="9">
        <f t="shared" si="1"/>
        <v>0</v>
      </c>
      <c r="J104" s="4">
        <f t="shared" si="2"/>
        <v>0</v>
      </c>
    </row>
    <row r="105" ht="15.75" customHeight="1">
      <c r="A105" s="1"/>
      <c r="F105" s="9" t="str">
        <f>IF(C105&gt;0, C105/'Conversion rates'!$I$3, D105)</f>
        <v/>
      </c>
      <c r="G105" s="28">
        <f>F105*'Conversion rates'!$I$3</f>
        <v>0</v>
      </c>
      <c r="H105" s="28"/>
      <c r="I105" s="9">
        <f t="shared" si="1"/>
        <v>0</v>
      </c>
      <c r="J105" s="4">
        <f t="shared" si="2"/>
        <v>0</v>
      </c>
    </row>
    <row r="106" ht="15.75" customHeight="1">
      <c r="A106" s="1"/>
      <c r="F106" s="9" t="str">
        <f>IF(C106&gt;0, C106/'Conversion rates'!$I$3, D106)</f>
        <v/>
      </c>
      <c r="G106" s="28">
        <f>F106*'Conversion rates'!$I$3</f>
        <v>0</v>
      </c>
      <c r="H106" s="28"/>
      <c r="I106" s="9">
        <f t="shared" si="1"/>
        <v>0</v>
      </c>
      <c r="J106" s="4">
        <f t="shared" si="2"/>
        <v>0</v>
      </c>
    </row>
    <row r="107" ht="15.75" customHeight="1">
      <c r="A107" s="1"/>
      <c r="F107" s="9" t="str">
        <f>IF(C107&gt;0, C107/'Conversion rates'!$I$3, D107)</f>
        <v/>
      </c>
      <c r="G107" s="28">
        <f>F107*'Conversion rates'!$I$3</f>
        <v>0</v>
      </c>
      <c r="H107" s="28"/>
      <c r="I107" s="9">
        <f t="shared" si="1"/>
        <v>0</v>
      </c>
      <c r="J107" s="4">
        <f t="shared" si="2"/>
        <v>0</v>
      </c>
    </row>
    <row r="108" ht="15.75" customHeight="1">
      <c r="A108" s="1"/>
      <c r="F108" s="9" t="str">
        <f>IF(C108&gt;0, C108/'Conversion rates'!$I$3, D108)</f>
        <v/>
      </c>
      <c r="G108" s="28">
        <f>F108*'Conversion rates'!$I$3</f>
        <v>0</v>
      </c>
      <c r="H108" s="28"/>
      <c r="I108" s="9">
        <f t="shared" si="1"/>
        <v>0</v>
      </c>
      <c r="J108" s="4">
        <f t="shared" si="2"/>
        <v>0</v>
      </c>
    </row>
    <row r="109" ht="15.75" customHeight="1">
      <c r="A109" s="1"/>
      <c r="F109" s="9" t="str">
        <f>IF(C109&gt;0, C109/'Conversion rates'!$I$3, D109)</f>
        <v/>
      </c>
      <c r="G109" s="28">
        <f>F109*'Conversion rates'!$I$3</f>
        <v>0</v>
      </c>
      <c r="H109" s="28"/>
      <c r="I109" s="9">
        <f t="shared" si="1"/>
        <v>0</v>
      </c>
      <c r="J109" s="4">
        <f t="shared" si="2"/>
        <v>0</v>
      </c>
    </row>
    <row r="110" ht="15.75" customHeight="1">
      <c r="A110" s="1"/>
      <c r="F110" s="9" t="str">
        <f>IF(C110&gt;0, C110/'Conversion rates'!$I$3, D110)</f>
        <v/>
      </c>
      <c r="G110" s="28">
        <f>F110*'Conversion rates'!$I$3</f>
        <v>0</v>
      </c>
      <c r="H110" s="28"/>
      <c r="I110" s="9">
        <f t="shared" si="1"/>
        <v>0</v>
      </c>
      <c r="J110" s="4">
        <f t="shared" si="2"/>
        <v>0</v>
      </c>
    </row>
    <row r="111" ht="15.75" customHeight="1">
      <c r="A111" s="1"/>
      <c r="F111" s="9" t="str">
        <f>IF(C111&gt;0, C111/'Conversion rates'!$I$3, D111)</f>
        <v/>
      </c>
      <c r="G111" s="28">
        <f>F111*'Conversion rates'!$I$3</f>
        <v>0</v>
      </c>
      <c r="H111" s="28"/>
      <c r="I111" s="9">
        <f t="shared" si="1"/>
        <v>0</v>
      </c>
      <c r="J111" s="4">
        <f t="shared" si="2"/>
        <v>0</v>
      </c>
    </row>
    <row r="112" ht="15.75" customHeight="1">
      <c r="A112" s="1"/>
      <c r="F112" s="9" t="str">
        <f>IF(C112&gt;0, C112/'Conversion rates'!$I$3, D112)</f>
        <v/>
      </c>
      <c r="G112" s="28">
        <f>F112*'Conversion rates'!$I$3</f>
        <v>0</v>
      </c>
      <c r="H112" s="28"/>
      <c r="I112" s="9">
        <f t="shared" si="1"/>
        <v>0</v>
      </c>
      <c r="J112" s="4">
        <f t="shared" si="2"/>
        <v>0</v>
      </c>
    </row>
    <row r="113" ht="15.75" customHeight="1">
      <c r="A113" s="1"/>
      <c r="F113" s="9" t="str">
        <f>IF(C113&gt;0, C113/'Conversion rates'!$I$3, D113)</f>
        <v/>
      </c>
      <c r="G113" s="28">
        <f>F113*'Conversion rates'!$I$3</f>
        <v>0</v>
      </c>
      <c r="H113" s="28"/>
      <c r="I113" s="9">
        <f t="shared" si="1"/>
        <v>0</v>
      </c>
      <c r="J113" s="4">
        <f t="shared" si="2"/>
        <v>0</v>
      </c>
    </row>
    <row r="114" ht="15.75" customHeight="1">
      <c r="A114" s="1"/>
      <c r="F114" s="9" t="str">
        <f>IF(C114&gt;0, C114/'Conversion rates'!$I$3, D114)</f>
        <v/>
      </c>
      <c r="G114" s="28">
        <f>F114*'Conversion rates'!$I$3</f>
        <v>0</v>
      </c>
      <c r="H114" s="28"/>
      <c r="I114" s="9">
        <f t="shared" si="1"/>
        <v>0</v>
      </c>
      <c r="J114" s="4">
        <f t="shared" si="2"/>
        <v>0</v>
      </c>
    </row>
    <row r="115" ht="15.75" customHeight="1">
      <c r="A115" s="1"/>
      <c r="F115" s="9" t="str">
        <f>IF(C115&gt;0, C115/'Conversion rates'!$I$3, D115)</f>
        <v/>
      </c>
      <c r="G115" s="28">
        <f>F115*'Conversion rates'!$I$3</f>
        <v>0</v>
      </c>
      <c r="H115" s="28"/>
      <c r="I115" s="9">
        <f t="shared" si="1"/>
        <v>0</v>
      </c>
      <c r="J115" s="4">
        <f t="shared" si="2"/>
        <v>0</v>
      </c>
    </row>
    <row r="116" ht="15.75" customHeight="1">
      <c r="A116" s="1"/>
      <c r="F116" s="9" t="str">
        <f>IF(C116&gt;0, C116/'Conversion rates'!$I$3, D116)</f>
        <v/>
      </c>
      <c r="G116" s="28">
        <f>F116*'Conversion rates'!$I$3</f>
        <v>0</v>
      </c>
      <c r="H116" s="28"/>
      <c r="I116" s="9">
        <f t="shared" si="1"/>
        <v>0</v>
      </c>
      <c r="J116" s="4">
        <f t="shared" si="2"/>
        <v>0</v>
      </c>
    </row>
    <row r="117" ht="15.75" customHeight="1">
      <c r="A117" s="1"/>
      <c r="F117" s="9" t="str">
        <f>IF(C117&gt;0, C117/'Conversion rates'!$I$3, D117)</f>
        <v/>
      </c>
      <c r="G117" s="28">
        <f>F117*'Conversion rates'!$I$3</f>
        <v>0</v>
      </c>
      <c r="H117" s="28"/>
      <c r="I117" s="9">
        <f t="shared" si="1"/>
        <v>0</v>
      </c>
      <c r="J117" s="4">
        <f t="shared" si="2"/>
        <v>0</v>
      </c>
    </row>
    <row r="118" ht="15.75" customHeight="1">
      <c r="A118" s="1"/>
      <c r="F118" s="9" t="str">
        <f>IF(C118&gt;0, C118/'Conversion rates'!$I$3, D118)</f>
        <v/>
      </c>
      <c r="G118" s="28">
        <f>F118*'Conversion rates'!$I$3</f>
        <v>0</v>
      </c>
      <c r="H118" s="28"/>
      <c r="I118" s="9">
        <f t="shared" si="1"/>
        <v>0</v>
      </c>
      <c r="J118" s="4">
        <f t="shared" si="2"/>
        <v>0</v>
      </c>
    </row>
    <row r="119" ht="15.75" customHeight="1">
      <c r="A119" s="1"/>
      <c r="F119" s="9" t="str">
        <f>IF(C119&gt;0, C119/'Conversion rates'!$I$3, D119)</f>
        <v/>
      </c>
      <c r="G119" s="28">
        <f>F119*'Conversion rates'!$I$3</f>
        <v>0</v>
      </c>
      <c r="H119" s="28"/>
      <c r="I119" s="9">
        <f t="shared" si="1"/>
        <v>0</v>
      </c>
      <c r="J119" s="4">
        <f t="shared" si="2"/>
        <v>0</v>
      </c>
    </row>
    <row r="120" ht="15.75" customHeight="1">
      <c r="A120" s="1"/>
      <c r="F120" s="9" t="str">
        <f>IF(C120&gt;0, C120/'Conversion rates'!$I$3, D120)</f>
        <v/>
      </c>
      <c r="G120" s="28">
        <f>F120*'Conversion rates'!$I$3</f>
        <v>0</v>
      </c>
      <c r="H120" s="28"/>
      <c r="I120" s="9">
        <f t="shared" si="1"/>
        <v>0</v>
      </c>
      <c r="J120" s="4">
        <f t="shared" si="2"/>
        <v>0</v>
      </c>
    </row>
    <row r="121" ht="15.75" customHeight="1">
      <c r="A121" s="1"/>
      <c r="F121" s="9" t="str">
        <f>IF(C121&gt;0, C121/'Conversion rates'!$I$3, D121)</f>
        <v/>
      </c>
      <c r="G121" s="28">
        <f>F121*'Conversion rates'!$I$3</f>
        <v>0</v>
      </c>
      <c r="H121" s="28"/>
      <c r="I121" s="9">
        <f t="shared" si="1"/>
        <v>0</v>
      </c>
      <c r="J121" s="4">
        <f t="shared" si="2"/>
        <v>0</v>
      </c>
    </row>
    <row r="122" ht="15.75" customHeight="1">
      <c r="A122" s="1"/>
      <c r="F122" s="9" t="str">
        <f>IF(C122&gt;0, C122/'Conversion rates'!$I$3, D122)</f>
        <v/>
      </c>
      <c r="G122" s="28">
        <f>F122*'Conversion rates'!$I$3</f>
        <v>0</v>
      </c>
      <c r="H122" s="28"/>
      <c r="I122" s="9">
        <f t="shared" si="1"/>
        <v>0</v>
      </c>
      <c r="J122" s="4">
        <f t="shared" si="2"/>
        <v>0</v>
      </c>
    </row>
    <row r="123" ht="15.75" customHeight="1">
      <c r="A123" s="1"/>
      <c r="F123" s="9" t="str">
        <f>IF(C123&gt;0, C123/'Conversion rates'!$I$3, D123)</f>
        <v/>
      </c>
      <c r="G123" s="28">
        <f>F123*'Conversion rates'!$I$3</f>
        <v>0</v>
      </c>
      <c r="H123" s="28"/>
      <c r="I123" s="9">
        <f t="shared" si="1"/>
        <v>0</v>
      </c>
      <c r="J123" s="4">
        <f t="shared" si="2"/>
        <v>0</v>
      </c>
    </row>
    <row r="124" ht="15.75" customHeight="1">
      <c r="A124" s="1"/>
      <c r="F124" s="9" t="str">
        <f>IF(C124&gt;0, C124/'Conversion rates'!$I$3, D124)</f>
        <v/>
      </c>
      <c r="G124" s="28">
        <f>F124*'Conversion rates'!$I$3</f>
        <v>0</v>
      </c>
      <c r="H124" s="28"/>
      <c r="I124" s="9">
        <f t="shared" si="1"/>
        <v>0</v>
      </c>
      <c r="J124" s="4">
        <f t="shared" si="2"/>
        <v>0</v>
      </c>
    </row>
    <row r="125" ht="15.75" customHeight="1">
      <c r="A125" s="1"/>
      <c r="F125" s="9" t="str">
        <f>IF(C125&gt;0, C125/'Conversion rates'!$I$3, D125)</f>
        <v/>
      </c>
      <c r="G125" s="28">
        <f>F125*'Conversion rates'!$I$3</f>
        <v>0</v>
      </c>
      <c r="H125" s="28"/>
      <c r="I125" s="9">
        <f t="shared" si="1"/>
        <v>0</v>
      </c>
      <c r="J125" s="4">
        <f t="shared" si="2"/>
        <v>0</v>
      </c>
    </row>
    <row r="126" ht="15.75" customHeight="1">
      <c r="A126" s="1"/>
      <c r="F126" s="9" t="str">
        <f>IF(C126&gt;0, C126/'Conversion rates'!$I$3, D126)</f>
        <v/>
      </c>
      <c r="G126" s="28">
        <f>F126*'Conversion rates'!$I$3</f>
        <v>0</v>
      </c>
      <c r="H126" s="28"/>
      <c r="I126" s="9">
        <f t="shared" si="1"/>
        <v>0</v>
      </c>
      <c r="J126" s="4">
        <f t="shared" si="2"/>
        <v>0</v>
      </c>
    </row>
    <row r="127" ht="15.75" customHeight="1">
      <c r="A127" s="1"/>
      <c r="F127" s="9" t="str">
        <f>IF(C127&gt;0, C127/'Conversion rates'!$I$3, D127)</f>
        <v/>
      </c>
      <c r="G127" s="28">
        <f>F127*'Conversion rates'!$I$3</f>
        <v>0</v>
      </c>
      <c r="H127" s="28"/>
      <c r="I127" s="9">
        <f t="shared" si="1"/>
        <v>0</v>
      </c>
      <c r="J127" s="4">
        <f t="shared" si="2"/>
        <v>0</v>
      </c>
    </row>
    <row r="128" ht="15.75" customHeight="1">
      <c r="A128" s="1"/>
      <c r="F128" s="9" t="str">
        <f>IF(C128&gt;0, C128/'Conversion rates'!$I$3, D128)</f>
        <v/>
      </c>
      <c r="G128" s="28">
        <f>F128*'Conversion rates'!$I$3</f>
        <v>0</v>
      </c>
      <c r="H128" s="28"/>
      <c r="I128" s="9">
        <f t="shared" si="1"/>
        <v>0</v>
      </c>
      <c r="J128" s="4">
        <f t="shared" si="2"/>
        <v>0</v>
      </c>
    </row>
    <row r="129" ht="15.75" customHeight="1">
      <c r="A129" s="1"/>
      <c r="F129" s="9" t="str">
        <f>IF(C129&gt;0, C129/'Conversion rates'!$I$3, D129)</f>
        <v/>
      </c>
      <c r="G129" s="28">
        <f>F129*'Conversion rates'!$I$3</f>
        <v>0</v>
      </c>
      <c r="H129" s="28"/>
      <c r="I129" s="9">
        <f t="shared" si="1"/>
        <v>0</v>
      </c>
      <c r="J129" s="4">
        <f t="shared" si="2"/>
        <v>0</v>
      </c>
    </row>
    <row r="130" ht="15.75" customHeight="1">
      <c r="A130" s="1"/>
      <c r="F130" s="9" t="str">
        <f>IF(C130&gt;0, C130/'Conversion rates'!$I$3, D130)</f>
        <v/>
      </c>
      <c r="G130" s="28">
        <f>F130*'Conversion rates'!$I$3</f>
        <v>0</v>
      </c>
      <c r="H130" s="28"/>
      <c r="I130" s="9">
        <f t="shared" si="1"/>
        <v>0</v>
      </c>
      <c r="J130" s="4">
        <f t="shared" si="2"/>
        <v>0</v>
      </c>
    </row>
    <row r="131" ht="15.75" customHeight="1">
      <c r="A131" s="1"/>
      <c r="F131" s="9" t="str">
        <f>IF(C131&gt;0, C131/'Conversion rates'!$I$3, D131)</f>
        <v/>
      </c>
      <c r="G131" s="28">
        <f>F131*'Conversion rates'!$I$3</f>
        <v>0</v>
      </c>
      <c r="H131" s="28"/>
      <c r="I131" s="9">
        <f t="shared" si="1"/>
        <v>0</v>
      </c>
      <c r="J131" s="4">
        <f t="shared" si="2"/>
        <v>0</v>
      </c>
    </row>
    <row r="132" ht="15.75" customHeight="1">
      <c r="A132" s="1"/>
      <c r="F132" s="9" t="str">
        <f>IF(C132&gt;0, C132/'Conversion rates'!$I$3, D132)</f>
        <v/>
      </c>
      <c r="G132" s="28">
        <f>F132*'Conversion rates'!$I$3</f>
        <v>0</v>
      </c>
      <c r="H132" s="28"/>
      <c r="I132" s="9">
        <f t="shared" si="1"/>
        <v>0</v>
      </c>
      <c r="J132" s="4">
        <f t="shared" si="2"/>
        <v>0</v>
      </c>
    </row>
    <row r="133" ht="15.75" customHeight="1">
      <c r="A133" s="1"/>
      <c r="F133" s="9" t="str">
        <f>IF(C133&gt;0, C133/'Conversion rates'!$I$3, D133)</f>
        <v/>
      </c>
      <c r="G133" s="28">
        <f>F133*'Conversion rates'!$I$3</f>
        <v>0</v>
      </c>
      <c r="H133" s="28"/>
      <c r="I133" s="9">
        <f t="shared" si="1"/>
        <v>0</v>
      </c>
      <c r="J133" s="4">
        <f t="shared" si="2"/>
        <v>0</v>
      </c>
    </row>
    <row r="134" ht="15.75" customHeight="1">
      <c r="A134" s="1"/>
      <c r="F134" s="9" t="str">
        <f>IF(C134&gt;0, C134/'Conversion rates'!$I$3, D134)</f>
        <v/>
      </c>
      <c r="G134" s="28">
        <f>F134*'Conversion rates'!$I$3</f>
        <v>0</v>
      </c>
      <c r="H134" s="28"/>
      <c r="I134" s="9">
        <f t="shared" si="1"/>
        <v>0</v>
      </c>
      <c r="J134" s="4">
        <f t="shared" si="2"/>
        <v>0</v>
      </c>
    </row>
    <row r="135" ht="15.75" customHeight="1">
      <c r="A135" s="1"/>
      <c r="F135" s="9" t="str">
        <f>IF(C135&gt;0, C135/'Conversion rates'!$I$3, D135)</f>
        <v/>
      </c>
      <c r="G135" s="28">
        <f>F135*'Conversion rates'!$I$3</f>
        <v>0</v>
      </c>
      <c r="H135" s="28"/>
      <c r="I135" s="9">
        <f t="shared" si="1"/>
        <v>0</v>
      </c>
      <c r="J135" s="4">
        <f t="shared" si="2"/>
        <v>0</v>
      </c>
    </row>
    <row r="136" ht="15.75" customHeight="1">
      <c r="A136" s="1"/>
      <c r="F136" s="9" t="str">
        <f>IF(C136&gt;0, C136/'Conversion rates'!$I$3, D136)</f>
        <v/>
      </c>
      <c r="G136" s="28">
        <f>F136*'Conversion rates'!$I$3</f>
        <v>0</v>
      </c>
      <c r="H136" s="28"/>
      <c r="I136" s="9">
        <f t="shared" si="1"/>
        <v>0</v>
      </c>
      <c r="J136" s="4">
        <f t="shared" si="2"/>
        <v>0</v>
      </c>
    </row>
    <row r="137" ht="15.75" customHeight="1">
      <c r="A137" s="1"/>
      <c r="F137" s="9" t="str">
        <f>IF(C137&gt;0, C137/'Conversion rates'!$I$3, D137)</f>
        <v/>
      </c>
      <c r="G137" s="28">
        <f>F137*'Conversion rates'!$I$3</f>
        <v>0</v>
      </c>
      <c r="H137" s="28"/>
      <c r="I137" s="9">
        <f t="shared" si="1"/>
        <v>0</v>
      </c>
      <c r="J137" s="4">
        <f t="shared" si="2"/>
        <v>0</v>
      </c>
    </row>
    <row r="138" ht="15.75" customHeight="1">
      <c r="A138" s="1"/>
      <c r="F138" s="9" t="str">
        <f>IF(C138&gt;0, C138/'Conversion rates'!$I$3, D138)</f>
        <v/>
      </c>
      <c r="G138" s="28">
        <f>F138*'Conversion rates'!$I$3</f>
        <v>0</v>
      </c>
      <c r="H138" s="28"/>
      <c r="I138" s="9">
        <f t="shared" si="1"/>
        <v>0</v>
      </c>
      <c r="J138" s="4">
        <f t="shared" si="2"/>
        <v>0</v>
      </c>
    </row>
    <row r="139" ht="15.75" customHeight="1">
      <c r="A139" s="1"/>
      <c r="F139" s="9" t="str">
        <f>IF(C139&gt;0, C139/'Conversion rates'!$I$3, D139)</f>
        <v/>
      </c>
      <c r="G139" s="28">
        <f>F139*'Conversion rates'!$I$3</f>
        <v>0</v>
      </c>
      <c r="H139" s="28"/>
      <c r="I139" s="9">
        <f t="shared" si="1"/>
        <v>0</v>
      </c>
      <c r="J139" s="4">
        <f t="shared" si="2"/>
        <v>0</v>
      </c>
    </row>
    <row r="140" ht="15.75" customHeight="1">
      <c r="A140" s="1"/>
      <c r="F140" s="9" t="str">
        <f>IF(C140&gt;0, C140/'Conversion rates'!$I$3, D140)</f>
        <v/>
      </c>
      <c r="G140" s="28">
        <f>F140*'Conversion rates'!$I$3</f>
        <v>0</v>
      </c>
      <c r="H140" s="28"/>
      <c r="I140" s="9">
        <f t="shared" si="1"/>
        <v>0</v>
      </c>
      <c r="J140" s="4">
        <f t="shared" si="2"/>
        <v>0</v>
      </c>
    </row>
    <row r="141" ht="15.75" customHeight="1">
      <c r="A141" s="1"/>
      <c r="F141" s="9" t="str">
        <f>IF(C141&gt;0, C141/'Conversion rates'!$I$3, D141)</f>
        <v/>
      </c>
      <c r="G141" s="28">
        <f>F141*'Conversion rates'!$I$3</f>
        <v>0</v>
      </c>
      <c r="H141" s="28"/>
      <c r="I141" s="9">
        <f t="shared" si="1"/>
        <v>0</v>
      </c>
      <c r="J141" s="4">
        <f t="shared" si="2"/>
        <v>0</v>
      </c>
    </row>
    <row r="142" ht="15.75" customHeight="1">
      <c r="A142" s="1"/>
      <c r="F142" s="9" t="str">
        <f>IF(C142&gt;0, C142/'Conversion rates'!$I$3, D142)</f>
        <v/>
      </c>
      <c r="G142" s="28">
        <f>F142*'Conversion rates'!$I$3</f>
        <v>0</v>
      </c>
      <c r="H142" s="28"/>
      <c r="I142" s="9">
        <f t="shared" si="1"/>
        <v>0</v>
      </c>
      <c r="J142" s="4">
        <f t="shared" si="2"/>
        <v>0</v>
      </c>
    </row>
    <row r="143" ht="15.75" customHeight="1">
      <c r="A143" s="1"/>
      <c r="F143" s="9" t="str">
        <f>IF(C143&gt;0, C143/'Conversion rates'!$I$3, D143)</f>
        <v/>
      </c>
      <c r="G143" s="28">
        <f>F143*'Conversion rates'!$I$3</f>
        <v>0</v>
      </c>
      <c r="H143" s="28"/>
      <c r="I143" s="9">
        <f t="shared" si="1"/>
        <v>0</v>
      </c>
      <c r="J143" s="4">
        <f t="shared" si="2"/>
        <v>0</v>
      </c>
    </row>
    <row r="144" ht="15.75" customHeight="1">
      <c r="A144" s="1"/>
      <c r="F144" s="9" t="str">
        <f>IF(C144&gt;0, C144/'Conversion rates'!$I$3, D144)</f>
        <v/>
      </c>
      <c r="G144" s="28">
        <f>F144*'Conversion rates'!$I$3</f>
        <v>0</v>
      </c>
      <c r="H144" s="28"/>
      <c r="I144" s="9">
        <f t="shared" si="1"/>
        <v>0</v>
      </c>
      <c r="J144" s="4">
        <f t="shared" si="2"/>
        <v>0</v>
      </c>
    </row>
    <row r="145" ht="15.75" customHeight="1">
      <c r="A145" s="1"/>
      <c r="F145" s="9" t="str">
        <f>IF(C145&gt;0, C145/'Conversion rates'!$I$3, D145)</f>
        <v/>
      </c>
      <c r="G145" s="28">
        <f>F145*'Conversion rates'!$I$3</f>
        <v>0</v>
      </c>
      <c r="H145" s="28"/>
      <c r="I145" s="9">
        <f t="shared" si="1"/>
        <v>0</v>
      </c>
      <c r="J145" s="4">
        <f t="shared" si="2"/>
        <v>0</v>
      </c>
    </row>
    <row r="146" ht="15.75" customHeight="1">
      <c r="A146" s="1"/>
      <c r="F146" s="9" t="str">
        <f>IF(C146&gt;0, C146/'Conversion rates'!$I$3, D146)</f>
        <v/>
      </c>
      <c r="G146" s="28">
        <f>F146*'Conversion rates'!$I$3</f>
        <v>0</v>
      </c>
      <c r="H146" s="28"/>
      <c r="I146" s="9">
        <f t="shared" si="1"/>
        <v>0</v>
      </c>
      <c r="J146" s="4">
        <f t="shared" si="2"/>
        <v>0</v>
      </c>
    </row>
    <row r="147" ht="15.75" customHeight="1">
      <c r="A147" s="1"/>
      <c r="F147" s="9" t="str">
        <f>IF(C147&gt;0, C147/'Conversion rates'!$I$3, D147)</f>
        <v/>
      </c>
      <c r="G147" s="28">
        <f>F147*'Conversion rates'!$I$3</f>
        <v>0</v>
      </c>
      <c r="H147" s="28"/>
      <c r="I147" s="9">
        <f t="shared" si="1"/>
        <v>0</v>
      </c>
      <c r="J147" s="4">
        <f t="shared" si="2"/>
        <v>0</v>
      </c>
    </row>
    <row r="148" ht="15.75" customHeight="1">
      <c r="A148" s="1"/>
      <c r="F148" s="9" t="str">
        <f>IF(C148&gt;0, C148/'Conversion rates'!$I$3, D148)</f>
        <v/>
      </c>
      <c r="G148" s="28">
        <f>F148*'Conversion rates'!$I$3</f>
        <v>0</v>
      </c>
      <c r="H148" s="28"/>
      <c r="I148" s="9">
        <f t="shared" si="1"/>
        <v>0</v>
      </c>
      <c r="J148" s="4">
        <f t="shared" si="2"/>
        <v>0</v>
      </c>
    </row>
    <row r="149" ht="15.75" customHeight="1">
      <c r="A149" s="1"/>
      <c r="F149" s="9" t="str">
        <f>IF(C149&gt;0, C149/'Conversion rates'!$I$3, D149)</f>
        <v/>
      </c>
      <c r="G149" s="28">
        <f>F149*'Conversion rates'!$I$3</f>
        <v>0</v>
      </c>
      <c r="H149" s="28"/>
      <c r="I149" s="9">
        <f t="shared" si="1"/>
        <v>0</v>
      </c>
      <c r="J149" s="4">
        <f t="shared" si="2"/>
        <v>0</v>
      </c>
    </row>
    <row r="150" ht="15.75" customHeight="1">
      <c r="A150" s="1"/>
      <c r="F150" s="9" t="str">
        <f>IF(C150&gt;0, C150/'Conversion rates'!$I$3, D150)</f>
        <v/>
      </c>
      <c r="G150" s="28">
        <f>F150*'Conversion rates'!$I$3</f>
        <v>0</v>
      </c>
      <c r="H150" s="28"/>
      <c r="I150" s="9">
        <f t="shared" si="1"/>
        <v>0</v>
      </c>
      <c r="J150" s="4">
        <f t="shared" si="2"/>
        <v>0</v>
      </c>
    </row>
    <row r="151" ht="15.75" customHeight="1">
      <c r="A151" s="1"/>
      <c r="F151" s="9" t="str">
        <f>IF(C151&gt;0, C151/'Conversion rates'!$I$3, D151)</f>
        <v/>
      </c>
      <c r="G151" s="28">
        <f>F151*'Conversion rates'!$I$3</f>
        <v>0</v>
      </c>
      <c r="H151" s="28"/>
      <c r="I151" s="9">
        <f t="shared" si="1"/>
        <v>0</v>
      </c>
      <c r="J151" s="4">
        <f t="shared" si="2"/>
        <v>0</v>
      </c>
    </row>
    <row r="152" ht="15.75" customHeight="1">
      <c r="A152" s="1"/>
      <c r="F152" s="9" t="str">
        <f>IF(C152&gt;0, C152/'Conversion rates'!$I$3, D152)</f>
        <v/>
      </c>
      <c r="G152" s="28">
        <f>F152*'Conversion rates'!$I$3</f>
        <v>0</v>
      </c>
      <c r="H152" s="28"/>
      <c r="I152" s="9">
        <f t="shared" si="1"/>
        <v>0</v>
      </c>
      <c r="J152" s="4">
        <f t="shared" si="2"/>
        <v>0</v>
      </c>
    </row>
    <row r="153" ht="15.75" customHeight="1">
      <c r="A153" s="1"/>
      <c r="F153" s="9" t="str">
        <f>IF(C153&gt;0, C153/'Conversion rates'!$I$3, D153)</f>
        <v/>
      </c>
      <c r="G153" s="28">
        <f>F153*'Conversion rates'!$I$3</f>
        <v>0</v>
      </c>
      <c r="H153" s="28"/>
      <c r="I153" s="9">
        <f t="shared" si="1"/>
        <v>0</v>
      </c>
      <c r="J153" s="4">
        <f t="shared" si="2"/>
        <v>0</v>
      </c>
    </row>
    <row r="154" ht="15.75" customHeight="1">
      <c r="A154" s="1"/>
      <c r="F154" s="9" t="str">
        <f>IF(C154&gt;0, C154/'Conversion rates'!$I$3, D154)</f>
        <v/>
      </c>
      <c r="G154" s="28">
        <f>F154*'Conversion rates'!$I$3</f>
        <v>0</v>
      </c>
      <c r="H154" s="28"/>
      <c r="I154" s="9">
        <f t="shared" si="1"/>
        <v>0</v>
      </c>
      <c r="J154" s="4">
        <f t="shared" si="2"/>
        <v>0</v>
      </c>
    </row>
    <row r="155" ht="15.75" customHeight="1">
      <c r="A155" s="1"/>
      <c r="F155" s="9" t="str">
        <f>IF(C155&gt;0, C155/'Conversion rates'!$I$3, D155)</f>
        <v/>
      </c>
      <c r="G155" s="28">
        <f>F155*'Conversion rates'!$I$3</f>
        <v>0</v>
      </c>
      <c r="H155" s="28"/>
      <c r="I155" s="9">
        <f t="shared" si="1"/>
        <v>0</v>
      </c>
      <c r="J155" s="4">
        <f t="shared" si="2"/>
        <v>0</v>
      </c>
    </row>
    <row r="156" ht="15.75" customHeight="1">
      <c r="A156" s="1"/>
      <c r="F156" s="9" t="str">
        <f>IF(C156&gt;0, C156/'Conversion rates'!$I$3, D156)</f>
        <v/>
      </c>
      <c r="G156" s="28">
        <f>F156*'Conversion rates'!$I$3</f>
        <v>0</v>
      </c>
      <c r="H156" s="28"/>
      <c r="I156" s="9">
        <f t="shared" si="1"/>
        <v>0</v>
      </c>
      <c r="J156" s="4">
        <f t="shared" si="2"/>
        <v>0</v>
      </c>
    </row>
    <row r="157" ht="15.75" customHeight="1">
      <c r="A157" s="1"/>
      <c r="F157" s="9" t="str">
        <f>IF(C157&gt;0, C157/'Conversion rates'!$I$3, D157)</f>
        <v/>
      </c>
      <c r="G157" s="28">
        <f>F157*'Conversion rates'!$I$3</f>
        <v>0</v>
      </c>
      <c r="H157" s="28"/>
      <c r="I157" s="9">
        <f t="shared" si="1"/>
        <v>0</v>
      </c>
      <c r="J157" s="4">
        <f t="shared" si="2"/>
        <v>0</v>
      </c>
    </row>
    <row r="158" ht="15.75" customHeight="1">
      <c r="A158" s="1"/>
      <c r="F158" s="9" t="str">
        <f>IF(C158&gt;0, C158/'Conversion rates'!$I$3, D158)</f>
        <v/>
      </c>
      <c r="G158" s="28">
        <f>F158*'Conversion rates'!$I$3</f>
        <v>0</v>
      </c>
      <c r="H158" s="28"/>
      <c r="I158" s="9">
        <f t="shared" si="1"/>
        <v>0</v>
      </c>
      <c r="J158" s="4">
        <f t="shared" si="2"/>
        <v>0</v>
      </c>
    </row>
    <row r="159" ht="15.75" customHeight="1">
      <c r="A159" s="1"/>
      <c r="F159" s="9" t="str">
        <f>IF(C159&gt;0, C159/'Conversion rates'!$I$3, D159)</f>
        <v/>
      </c>
      <c r="G159" s="28">
        <f>F159*'Conversion rates'!$I$3</f>
        <v>0</v>
      </c>
      <c r="H159" s="28"/>
      <c r="I159" s="9">
        <f t="shared" si="1"/>
        <v>0</v>
      </c>
      <c r="J159" s="4">
        <f t="shared" si="2"/>
        <v>0</v>
      </c>
    </row>
    <row r="160" ht="15.75" customHeight="1">
      <c r="A160" s="1"/>
      <c r="F160" s="9" t="str">
        <f>IF(C160&gt;0, C160/'Conversion rates'!$I$3, D160)</f>
        <v/>
      </c>
      <c r="G160" s="28">
        <f>F160*'Conversion rates'!$I$3</f>
        <v>0</v>
      </c>
      <c r="H160" s="28"/>
      <c r="I160" s="9">
        <f t="shared" si="1"/>
        <v>0</v>
      </c>
      <c r="J160" s="4">
        <f t="shared" si="2"/>
        <v>0</v>
      </c>
    </row>
    <row r="161" ht="15.75" customHeight="1">
      <c r="A161" s="1"/>
      <c r="F161" s="9" t="str">
        <f>IF(C161&gt;0, C161/'Conversion rates'!$I$3, D161)</f>
        <v/>
      </c>
      <c r="G161" s="28">
        <f>F161*'Conversion rates'!$I$3</f>
        <v>0</v>
      </c>
      <c r="H161" s="28"/>
      <c r="I161" s="9">
        <f t="shared" si="1"/>
        <v>0</v>
      </c>
      <c r="J161" s="4">
        <f t="shared" si="2"/>
        <v>0</v>
      </c>
    </row>
    <row r="162" ht="15.75" customHeight="1">
      <c r="A162" s="1"/>
      <c r="F162" s="9" t="str">
        <f>IF(C162&gt;0, C162/'Conversion rates'!$I$3, D162)</f>
        <v/>
      </c>
      <c r="G162" s="28">
        <f>F162*'Conversion rates'!$I$3</f>
        <v>0</v>
      </c>
      <c r="H162" s="28"/>
      <c r="I162" s="9">
        <f t="shared" si="1"/>
        <v>0</v>
      </c>
      <c r="J162" s="4">
        <f t="shared" si="2"/>
        <v>0</v>
      </c>
    </row>
    <row r="163" ht="15.75" customHeight="1">
      <c r="A163" s="1"/>
      <c r="F163" s="9" t="str">
        <f>IF(C163&gt;0, C163/'Conversion rates'!$I$3, D163)</f>
        <v/>
      </c>
      <c r="G163" s="28">
        <f>F163*'Conversion rates'!$I$3</f>
        <v>0</v>
      </c>
      <c r="H163" s="28"/>
      <c r="I163" s="9">
        <f t="shared" si="1"/>
        <v>0</v>
      </c>
      <c r="J163" s="4">
        <f t="shared" si="2"/>
        <v>0</v>
      </c>
    </row>
    <row r="164" ht="15.75" customHeight="1">
      <c r="A164" s="1"/>
      <c r="F164" s="9" t="str">
        <f>IF(C164&gt;0, C164/'Conversion rates'!$I$3, D164)</f>
        <v/>
      </c>
      <c r="G164" s="28">
        <f>F164*'Conversion rates'!$I$3</f>
        <v>0</v>
      </c>
      <c r="H164" s="28"/>
      <c r="I164" s="9">
        <f t="shared" si="1"/>
        <v>0</v>
      </c>
      <c r="J164" s="4">
        <f t="shared" si="2"/>
        <v>0</v>
      </c>
    </row>
    <row r="165" ht="15.75" customHeight="1">
      <c r="A165" s="1"/>
      <c r="F165" s="9" t="str">
        <f>IF(C165&gt;0, C165/'Conversion rates'!$I$3, D165)</f>
        <v/>
      </c>
      <c r="G165" s="28">
        <f>F165*'Conversion rates'!$I$3</f>
        <v>0</v>
      </c>
      <c r="H165" s="28"/>
      <c r="I165" s="9">
        <f t="shared" si="1"/>
        <v>0</v>
      </c>
      <c r="J165" s="4">
        <f t="shared" si="2"/>
        <v>0</v>
      </c>
    </row>
    <row r="166" ht="15.75" customHeight="1">
      <c r="A166" s="1"/>
      <c r="F166" s="9" t="str">
        <f>IF(C166&gt;0, C166/'Conversion rates'!$I$3, D166)</f>
        <v/>
      </c>
      <c r="G166" s="28">
        <f>F166*'Conversion rates'!$I$3</f>
        <v>0</v>
      </c>
      <c r="H166" s="28"/>
      <c r="I166" s="9">
        <f t="shared" si="1"/>
        <v>0</v>
      </c>
      <c r="J166" s="4">
        <f t="shared" si="2"/>
        <v>0</v>
      </c>
    </row>
    <row r="167" ht="15.75" customHeight="1">
      <c r="A167" s="1"/>
      <c r="F167" s="9" t="str">
        <f>IF(C167&gt;0, C167/'Conversion rates'!$I$3, D167)</f>
        <v/>
      </c>
      <c r="G167" s="28">
        <f>F167*'Conversion rates'!$I$3</f>
        <v>0</v>
      </c>
      <c r="H167" s="28"/>
      <c r="I167" s="9">
        <f t="shared" si="1"/>
        <v>0</v>
      </c>
      <c r="J167" s="4">
        <f t="shared" si="2"/>
        <v>0</v>
      </c>
    </row>
    <row r="168" ht="15.75" customHeight="1">
      <c r="A168" s="1"/>
      <c r="F168" s="9" t="str">
        <f>IF(C168&gt;0, C168/'Conversion rates'!$I$3, D168)</f>
        <v/>
      </c>
      <c r="G168" s="28">
        <f>F168*'Conversion rates'!$I$3</f>
        <v>0</v>
      </c>
      <c r="H168" s="28"/>
      <c r="I168" s="9">
        <f t="shared" si="1"/>
        <v>0</v>
      </c>
      <c r="J168" s="4">
        <f t="shared" si="2"/>
        <v>0</v>
      </c>
    </row>
    <row r="169" ht="15.75" customHeight="1">
      <c r="A169" s="1"/>
      <c r="F169" s="9" t="str">
        <f>IF(C169&gt;0, C169/'Conversion rates'!$I$3, D169)</f>
        <v/>
      </c>
      <c r="G169" s="28">
        <f>F169*'Conversion rates'!$I$3</f>
        <v>0</v>
      </c>
      <c r="H169" s="28"/>
      <c r="I169" s="9">
        <f t="shared" si="1"/>
        <v>0</v>
      </c>
      <c r="J169" s="4">
        <f t="shared" si="2"/>
        <v>0</v>
      </c>
    </row>
    <row r="170" ht="15.75" customHeight="1">
      <c r="A170" s="1"/>
      <c r="F170" s="9" t="str">
        <f>IF(C170&gt;0, C170/'Conversion rates'!$I$3, D170)</f>
        <v/>
      </c>
      <c r="G170" s="28">
        <f>F170*'Conversion rates'!$I$3</f>
        <v>0</v>
      </c>
      <c r="H170" s="28"/>
      <c r="I170" s="9">
        <f t="shared" si="1"/>
        <v>0</v>
      </c>
      <c r="J170" s="4">
        <f t="shared" si="2"/>
        <v>0</v>
      </c>
    </row>
    <row r="171" ht="15.75" customHeight="1">
      <c r="A171" s="1"/>
      <c r="F171" s="9" t="str">
        <f>IF(C171&gt;0, C171/'Conversion rates'!$I$3, D171)</f>
        <v/>
      </c>
      <c r="G171" s="28">
        <f>F171*'Conversion rates'!$I$3</f>
        <v>0</v>
      </c>
      <c r="H171" s="28"/>
      <c r="I171" s="9">
        <f t="shared" si="1"/>
        <v>0</v>
      </c>
      <c r="J171" s="4">
        <f t="shared" si="2"/>
        <v>0</v>
      </c>
    </row>
    <row r="172" ht="15.75" customHeight="1">
      <c r="A172" s="1"/>
      <c r="F172" s="9" t="str">
        <f>IF(C172&gt;0, C172/'Conversion rates'!$I$3, D172)</f>
        <v/>
      </c>
      <c r="G172" s="28">
        <f>F172*'Conversion rates'!$I$3</f>
        <v>0</v>
      </c>
      <c r="H172" s="28"/>
      <c r="I172" s="9">
        <f t="shared" si="1"/>
        <v>0</v>
      </c>
      <c r="J172" s="4">
        <f t="shared" si="2"/>
        <v>0</v>
      </c>
    </row>
    <row r="173" ht="15.75" customHeight="1">
      <c r="A173" s="1"/>
      <c r="F173" s="9" t="str">
        <f>IF(C173&gt;0, C173/'Conversion rates'!$I$3, D173)</f>
        <v/>
      </c>
      <c r="G173" s="28">
        <f>F173*'Conversion rates'!$I$3</f>
        <v>0</v>
      </c>
      <c r="H173" s="28"/>
      <c r="I173" s="9">
        <f t="shared" si="1"/>
        <v>0</v>
      </c>
      <c r="J173" s="4">
        <f t="shared" si="2"/>
        <v>0</v>
      </c>
    </row>
    <row r="174" ht="15.75" customHeight="1">
      <c r="A174" s="1"/>
      <c r="F174" s="9" t="str">
        <f>IF(C174&gt;0, C174/'Conversion rates'!$I$3, D174)</f>
        <v/>
      </c>
      <c r="G174" s="28">
        <f>F174*'Conversion rates'!$I$3</f>
        <v>0</v>
      </c>
      <c r="H174" s="28"/>
      <c r="I174" s="9">
        <f t="shared" si="1"/>
        <v>0</v>
      </c>
      <c r="J174" s="4">
        <f t="shared" si="2"/>
        <v>0</v>
      </c>
    </row>
    <row r="175" ht="15.75" customHeight="1">
      <c r="A175" s="1"/>
      <c r="F175" s="9" t="str">
        <f>IF(C175&gt;0, C175/'Conversion rates'!$I$3, D175)</f>
        <v/>
      </c>
      <c r="G175" s="28">
        <f>F175*'Conversion rates'!$I$3</f>
        <v>0</v>
      </c>
      <c r="H175" s="28"/>
      <c r="I175" s="9">
        <f t="shared" si="1"/>
        <v>0</v>
      </c>
      <c r="J175" s="4">
        <f t="shared" si="2"/>
        <v>0</v>
      </c>
    </row>
    <row r="176" ht="15.75" customHeight="1">
      <c r="A176" s="1"/>
      <c r="F176" s="9" t="str">
        <f>IF(C176&gt;0, C176/'Conversion rates'!$I$3, D176)</f>
        <v/>
      </c>
      <c r="G176" s="28">
        <f>F176*'Conversion rates'!$I$3</f>
        <v>0</v>
      </c>
      <c r="H176" s="28"/>
      <c r="I176" s="9">
        <f t="shared" si="1"/>
        <v>0</v>
      </c>
      <c r="J176" s="4">
        <f t="shared" si="2"/>
        <v>0</v>
      </c>
    </row>
    <row r="177" ht="15.75" customHeight="1">
      <c r="A177" s="1"/>
      <c r="F177" s="9" t="str">
        <f>IF(C177&gt;0, C177/'Conversion rates'!$I$3, D177)</f>
        <v/>
      </c>
      <c r="G177" s="28">
        <f>F177*'Conversion rates'!$I$3</f>
        <v>0</v>
      </c>
      <c r="H177" s="28"/>
      <c r="I177" s="9">
        <f t="shared" si="1"/>
        <v>0</v>
      </c>
      <c r="J177" s="4">
        <f t="shared" si="2"/>
        <v>0</v>
      </c>
    </row>
    <row r="178" ht="15.75" customHeight="1">
      <c r="A178" s="1"/>
      <c r="F178" s="9" t="str">
        <f>IF(C178&gt;0, C178/'Conversion rates'!$I$3, D178)</f>
        <v/>
      </c>
      <c r="G178" s="28">
        <f>F178*'Conversion rates'!$I$3</f>
        <v>0</v>
      </c>
      <c r="H178" s="28"/>
      <c r="I178" s="9">
        <f t="shared" si="1"/>
        <v>0</v>
      </c>
      <c r="J178" s="4">
        <f t="shared" si="2"/>
        <v>0</v>
      </c>
    </row>
    <row r="179" ht="15.75" customHeight="1">
      <c r="A179" s="1"/>
      <c r="F179" s="9" t="str">
        <f>IF(C179&gt;0, C179/'Conversion rates'!$I$3, D179)</f>
        <v/>
      </c>
      <c r="G179" s="28">
        <f>F179*'Conversion rates'!$I$3</f>
        <v>0</v>
      </c>
      <c r="H179" s="28"/>
      <c r="I179" s="9">
        <f t="shared" si="1"/>
        <v>0</v>
      </c>
      <c r="J179" s="4">
        <f t="shared" si="2"/>
        <v>0</v>
      </c>
    </row>
    <row r="180" ht="15.75" customHeight="1">
      <c r="A180" s="1"/>
      <c r="F180" s="9" t="str">
        <f>IF(C180&gt;0, C180/'Conversion rates'!$I$3, D180)</f>
        <v/>
      </c>
      <c r="G180" s="28">
        <f>F180*'Conversion rates'!$I$3</f>
        <v>0</v>
      </c>
      <c r="H180" s="28"/>
      <c r="I180" s="9">
        <f t="shared" si="1"/>
        <v>0</v>
      </c>
      <c r="J180" s="4">
        <f t="shared" si="2"/>
        <v>0</v>
      </c>
    </row>
    <row r="181" ht="15.75" customHeight="1">
      <c r="A181" s="1"/>
      <c r="F181" s="9" t="str">
        <f>IF(C181&gt;0, C181/'Conversion rates'!$I$3, D181)</f>
        <v/>
      </c>
      <c r="G181" s="28">
        <f>F181*'Conversion rates'!$I$3</f>
        <v>0</v>
      </c>
      <c r="H181" s="28"/>
      <c r="I181" s="9">
        <f t="shared" si="1"/>
        <v>0</v>
      </c>
      <c r="J181" s="4">
        <f t="shared" si="2"/>
        <v>0</v>
      </c>
    </row>
    <row r="182" ht="15.75" customHeight="1">
      <c r="A182" s="1"/>
      <c r="F182" s="9" t="str">
        <f>IF(C182&gt;0, C182/'Conversion rates'!$I$3, D182)</f>
        <v/>
      </c>
      <c r="G182" s="28">
        <f>F182*'Conversion rates'!$I$3</f>
        <v>0</v>
      </c>
      <c r="H182" s="28"/>
      <c r="I182" s="9">
        <f t="shared" si="1"/>
        <v>0</v>
      </c>
      <c r="J182" s="4">
        <f t="shared" si="2"/>
        <v>0</v>
      </c>
    </row>
    <row r="183" ht="15.75" customHeight="1">
      <c r="A183" s="1"/>
      <c r="F183" s="9" t="str">
        <f>IF(C183&gt;0, C183/'Conversion rates'!$I$3, D183)</f>
        <v/>
      </c>
      <c r="G183" s="28">
        <f>F183*'Conversion rates'!$I$3</f>
        <v>0</v>
      </c>
      <c r="H183" s="28"/>
      <c r="I183" s="9">
        <f t="shared" si="1"/>
        <v>0</v>
      </c>
      <c r="J183" s="4">
        <f t="shared" si="2"/>
        <v>0</v>
      </c>
    </row>
    <row r="184" ht="15.75" customHeight="1">
      <c r="A184" s="1"/>
      <c r="F184" s="9" t="str">
        <f>IF(C184&gt;0, C184/'Conversion rates'!$I$3, D184)</f>
        <v/>
      </c>
      <c r="G184" s="28">
        <f>F184*'Conversion rates'!$I$3</f>
        <v>0</v>
      </c>
      <c r="H184" s="28"/>
      <c r="I184" s="9">
        <f t="shared" si="1"/>
        <v>0</v>
      </c>
      <c r="J184" s="4">
        <f t="shared" si="2"/>
        <v>0</v>
      </c>
    </row>
    <row r="185" ht="15.75" customHeight="1">
      <c r="A185" s="1"/>
      <c r="F185" s="9" t="str">
        <f>IF(C185&gt;0, C185/'Conversion rates'!$I$3, D185)</f>
        <v/>
      </c>
      <c r="G185" s="28">
        <f>F185*'Conversion rates'!$I$3</f>
        <v>0</v>
      </c>
      <c r="H185" s="28"/>
      <c r="I185" s="9">
        <f t="shared" si="1"/>
        <v>0</v>
      </c>
      <c r="J185" s="4">
        <f t="shared" si="2"/>
        <v>0</v>
      </c>
    </row>
    <row r="186" ht="15.75" customHeight="1">
      <c r="A186" s="1"/>
      <c r="F186" s="9" t="str">
        <f>IF(C186&gt;0, C186/'Conversion rates'!$I$3, D186)</f>
        <v/>
      </c>
      <c r="G186" s="28">
        <f>F186*'Conversion rates'!$I$3</f>
        <v>0</v>
      </c>
      <c r="H186" s="28"/>
      <c r="I186" s="9">
        <f t="shared" si="1"/>
        <v>0</v>
      </c>
      <c r="J186" s="4">
        <f t="shared" si="2"/>
        <v>0</v>
      </c>
    </row>
    <row r="187" ht="15.75" customHeight="1">
      <c r="A187" s="1"/>
      <c r="F187" s="9" t="str">
        <f>IF(C187&gt;0, C187/'Conversion rates'!$I$3, D187)</f>
        <v/>
      </c>
      <c r="G187" s="28">
        <f>F187*'Conversion rates'!$I$3</f>
        <v>0</v>
      </c>
      <c r="H187" s="28"/>
      <c r="I187" s="9">
        <f t="shared" si="1"/>
        <v>0</v>
      </c>
      <c r="J187" s="4">
        <f t="shared" si="2"/>
        <v>0</v>
      </c>
    </row>
    <row r="188" ht="15.75" customHeight="1">
      <c r="A188" s="1"/>
      <c r="F188" s="9" t="str">
        <f>IF(C188&gt;0, C188/'Conversion rates'!$I$3, D188)</f>
        <v/>
      </c>
      <c r="G188" s="28">
        <f>F188*'Conversion rates'!$I$3</f>
        <v>0</v>
      </c>
      <c r="H188" s="28"/>
      <c r="I188" s="9">
        <f t="shared" si="1"/>
        <v>0</v>
      </c>
      <c r="J188" s="4">
        <f t="shared" si="2"/>
        <v>0</v>
      </c>
    </row>
    <row r="189" ht="15.75" customHeight="1">
      <c r="A189" s="1"/>
      <c r="F189" s="9" t="str">
        <f>IF(C189&gt;0, C189/'Conversion rates'!$I$3, D189)</f>
        <v/>
      </c>
      <c r="G189" s="28">
        <f>F189*'Conversion rates'!$I$3</f>
        <v>0</v>
      </c>
      <c r="H189" s="28"/>
      <c r="I189" s="9">
        <f t="shared" si="1"/>
        <v>0</v>
      </c>
      <c r="J189" s="4">
        <f t="shared" si="2"/>
        <v>0</v>
      </c>
    </row>
    <row r="190" ht="15.75" customHeight="1">
      <c r="A190" s="1"/>
      <c r="F190" s="9" t="str">
        <f>IF(C190&gt;0, C190/'Conversion rates'!$I$3, D190)</f>
        <v/>
      </c>
      <c r="G190" s="28">
        <f>F190*'Conversion rates'!$I$3</f>
        <v>0</v>
      </c>
      <c r="H190" s="28"/>
      <c r="I190" s="9">
        <f t="shared" si="1"/>
        <v>0</v>
      </c>
      <c r="J190" s="4">
        <f t="shared" si="2"/>
        <v>0</v>
      </c>
    </row>
    <row r="191" ht="15.75" customHeight="1">
      <c r="A191" s="1"/>
      <c r="F191" s="9" t="str">
        <f>IF(C191&gt;0, C191/'Conversion rates'!$I$3, D191)</f>
        <v/>
      </c>
      <c r="G191" s="28">
        <f>F191*'Conversion rates'!$I$3</f>
        <v>0</v>
      </c>
      <c r="H191" s="28"/>
      <c r="I191" s="9">
        <f t="shared" si="1"/>
        <v>0</v>
      </c>
      <c r="J191" s="4">
        <f t="shared" si="2"/>
        <v>0</v>
      </c>
    </row>
    <row r="192" ht="15.75" customHeight="1">
      <c r="A192" s="1"/>
      <c r="F192" s="9" t="str">
        <f>IF(C192&gt;0, C192/'Conversion rates'!$I$3, D192)</f>
        <v/>
      </c>
      <c r="G192" s="28">
        <f>F192*'Conversion rates'!$I$3</f>
        <v>0</v>
      </c>
      <c r="H192" s="28"/>
      <c r="I192" s="9">
        <f t="shared" si="1"/>
        <v>0</v>
      </c>
      <c r="J192" s="4">
        <f t="shared" si="2"/>
        <v>0</v>
      </c>
    </row>
    <row r="193" ht="15.75" customHeight="1">
      <c r="A193" s="1"/>
      <c r="F193" s="9" t="str">
        <f>IF(C193&gt;0, C193/'Conversion rates'!$I$3, D193)</f>
        <v/>
      </c>
      <c r="G193" s="28">
        <f>F193*'Conversion rates'!$I$3</f>
        <v>0</v>
      </c>
      <c r="H193" s="28"/>
      <c r="I193" s="9">
        <f t="shared" si="1"/>
        <v>0</v>
      </c>
      <c r="J193" s="4">
        <f t="shared" si="2"/>
        <v>0</v>
      </c>
    </row>
    <row r="194" ht="15.75" customHeight="1">
      <c r="A194" s="1"/>
      <c r="F194" s="9" t="str">
        <f>IF(C194&gt;0, C194/'Conversion rates'!$I$3, D194)</f>
        <v/>
      </c>
      <c r="G194" s="28">
        <f>F194*'Conversion rates'!$I$3</f>
        <v>0</v>
      </c>
      <c r="H194" s="28"/>
      <c r="I194" s="9">
        <f t="shared" si="1"/>
        <v>0</v>
      </c>
      <c r="J194" s="4">
        <f t="shared" si="2"/>
        <v>0</v>
      </c>
    </row>
    <row r="195" ht="15.75" customHeight="1">
      <c r="A195" s="1"/>
      <c r="F195" s="9" t="str">
        <f>IF(C195&gt;0, C195/'Conversion rates'!$I$3, D195)</f>
        <v/>
      </c>
      <c r="G195" s="28">
        <f>F195*'Conversion rates'!$I$3</f>
        <v>0</v>
      </c>
      <c r="H195" s="28"/>
      <c r="I195" s="9">
        <f t="shared" si="1"/>
        <v>0</v>
      </c>
      <c r="J195" s="4">
        <f t="shared" si="2"/>
        <v>0</v>
      </c>
    </row>
    <row r="196" ht="15.75" customHeight="1">
      <c r="A196" s="1"/>
      <c r="F196" s="9" t="str">
        <f>IF(C196&gt;0, C196/'Conversion rates'!$I$3, D196)</f>
        <v/>
      </c>
      <c r="G196" s="28">
        <f>F196*'Conversion rates'!$I$3</f>
        <v>0</v>
      </c>
      <c r="H196" s="28"/>
      <c r="I196" s="9">
        <f t="shared" si="1"/>
        <v>0</v>
      </c>
      <c r="J196" s="4">
        <f t="shared" si="2"/>
        <v>0</v>
      </c>
    </row>
    <row r="197" ht="15.75" customHeight="1">
      <c r="A197" s="1"/>
      <c r="F197" s="9" t="str">
        <f>IF(C197&gt;0, C197/'Conversion rates'!$I$3, D197)</f>
        <v/>
      </c>
      <c r="G197" s="28">
        <f>F197*'Conversion rates'!$I$3</f>
        <v>0</v>
      </c>
      <c r="H197" s="28"/>
      <c r="I197" s="9">
        <f t="shared" si="1"/>
        <v>0</v>
      </c>
      <c r="J197" s="4">
        <f t="shared" si="2"/>
        <v>0</v>
      </c>
    </row>
    <row r="198" ht="15.75" customHeight="1">
      <c r="A198" s="1"/>
      <c r="F198" s="9" t="str">
        <f>IF(C198&gt;0, C198/'Conversion rates'!$I$3, D198)</f>
        <v/>
      </c>
      <c r="G198" s="28">
        <f>F198*'Conversion rates'!$I$3</f>
        <v>0</v>
      </c>
      <c r="H198" s="28"/>
      <c r="I198" s="9">
        <f t="shared" si="1"/>
        <v>0</v>
      </c>
      <c r="J198" s="4">
        <f t="shared" si="2"/>
        <v>0</v>
      </c>
    </row>
    <row r="199" ht="15.75" customHeight="1">
      <c r="A199" s="1"/>
      <c r="F199" s="9" t="str">
        <f>IF(C199&gt;0, C199/'Conversion rates'!$I$3, D199)</f>
        <v/>
      </c>
      <c r="G199" s="28">
        <f>F199*'Conversion rates'!$I$3</f>
        <v>0</v>
      </c>
      <c r="H199" s="28"/>
      <c r="I199" s="9">
        <f t="shared" si="1"/>
        <v>0</v>
      </c>
      <c r="J199" s="4">
        <f t="shared" si="2"/>
        <v>0</v>
      </c>
    </row>
    <row r="200" ht="15.75" customHeight="1">
      <c r="A200" s="1"/>
      <c r="F200" s="9" t="str">
        <f>IF(C200&gt;0, C200/'Conversion rates'!$I$3, D200)</f>
        <v/>
      </c>
      <c r="G200" s="28">
        <f>F200*'Conversion rates'!$I$3</f>
        <v>0</v>
      </c>
      <c r="H200" s="28"/>
      <c r="I200" s="9">
        <f t="shared" si="1"/>
        <v>0</v>
      </c>
      <c r="J200" s="4">
        <f t="shared" si="2"/>
        <v>0</v>
      </c>
    </row>
    <row r="201" ht="15.75" customHeight="1">
      <c r="A201" s="1"/>
      <c r="F201" s="9" t="str">
        <f>IF(C201&gt;0, C201/'Conversion rates'!$I$3, D201)</f>
        <v/>
      </c>
      <c r="G201" s="28">
        <f>F201*'Conversion rates'!$I$3</f>
        <v>0</v>
      </c>
      <c r="H201" s="28"/>
      <c r="I201" s="9">
        <f t="shared" si="1"/>
        <v>0</v>
      </c>
      <c r="J201" s="4">
        <f t="shared" si="2"/>
        <v>0</v>
      </c>
    </row>
    <row r="202" ht="15.75" customHeight="1">
      <c r="A202" s="1"/>
      <c r="F202" s="9" t="str">
        <f>IF(C202&gt;0, C202/'Conversion rates'!$I$3, D202)</f>
        <v/>
      </c>
      <c r="G202" s="28">
        <f>F202*'Conversion rates'!$I$3</f>
        <v>0</v>
      </c>
      <c r="H202" s="28"/>
      <c r="I202" s="9">
        <f t="shared" si="1"/>
        <v>0</v>
      </c>
      <c r="J202" s="4">
        <f t="shared" si="2"/>
        <v>0</v>
      </c>
    </row>
    <row r="203" ht="15.75" customHeight="1">
      <c r="A203" s="1"/>
      <c r="F203" s="9" t="str">
        <f>IF(C203&gt;0, C203/'Conversion rates'!$I$3, D203)</f>
        <v/>
      </c>
      <c r="G203" s="28">
        <f>F203*'Conversion rates'!$I$3</f>
        <v>0</v>
      </c>
      <c r="H203" s="28"/>
      <c r="I203" s="9">
        <f t="shared" si="1"/>
        <v>0</v>
      </c>
      <c r="J203" s="4">
        <f t="shared" si="2"/>
        <v>0</v>
      </c>
    </row>
    <row r="204" ht="15.75" customHeight="1">
      <c r="A204" s="1"/>
      <c r="F204" s="9" t="str">
        <f>IF(C204&gt;0, C204/'Conversion rates'!$I$3, D204)</f>
        <v/>
      </c>
      <c r="G204" s="28">
        <f>F204*'Conversion rates'!$I$3</f>
        <v>0</v>
      </c>
      <c r="H204" s="28"/>
      <c r="I204" s="9">
        <f t="shared" si="1"/>
        <v>0</v>
      </c>
      <c r="J204" s="4">
        <f t="shared" si="2"/>
        <v>0</v>
      </c>
    </row>
    <row r="205" ht="15.75" customHeight="1">
      <c r="A205" s="1"/>
      <c r="F205" s="9" t="str">
        <f>IF(C205&gt;0, C205/'Conversion rates'!$I$3, D205)</f>
        <v/>
      </c>
      <c r="G205" s="28">
        <f>F205*'Conversion rates'!$I$3</f>
        <v>0</v>
      </c>
      <c r="H205" s="28"/>
      <c r="I205" s="9">
        <f t="shared" si="1"/>
        <v>0</v>
      </c>
      <c r="J205" s="4">
        <f t="shared" si="2"/>
        <v>0</v>
      </c>
    </row>
    <row r="206" ht="15.75" customHeight="1">
      <c r="A206" s="1"/>
      <c r="F206" s="9" t="str">
        <f>IF(C206&gt;0, C206/'Conversion rates'!$I$3, D206)</f>
        <v/>
      </c>
      <c r="G206" s="28">
        <f>F206*'Conversion rates'!$I$3</f>
        <v>0</v>
      </c>
      <c r="H206" s="28"/>
      <c r="I206" s="9">
        <f t="shared" si="1"/>
        <v>0</v>
      </c>
      <c r="J206" s="4">
        <f t="shared" si="2"/>
        <v>0</v>
      </c>
    </row>
    <row r="207" ht="15.75" customHeight="1">
      <c r="A207" s="1"/>
      <c r="F207" s="9" t="str">
        <f>IF(C207&gt;0, C207/'Conversion rates'!$I$3, D207)</f>
        <v/>
      </c>
      <c r="G207" s="28">
        <f>F207*'Conversion rates'!$I$3</f>
        <v>0</v>
      </c>
      <c r="H207" s="28"/>
      <c r="I207" s="9">
        <f t="shared" si="1"/>
        <v>0</v>
      </c>
      <c r="J207" s="4">
        <f t="shared" si="2"/>
        <v>0</v>
      </c>
    </row>
    <row r="208" ht="15.75" customHeight="1">
      <c r="A208" s="1"/>
      <c r="F208" s="9" t="str">
        <f>IF(C208&gt;0, C208/'Conversion rates'!$I$3, D208)</f>
        <v/>
      </c>
      <c r="G208" s="28">
        <f>F208*'Conversion rates'!$I$3</f>
        <v>0</v>
      </c>
      <c r="H208" s="28"/>
      <c r="I208" s="9">
        <f t="shared" si="1"/>
        <v>0</v>
      </c>
      <c r="J208" s="4">
        <f t="shared" si="2"/>
        <v>0</v>
      </c>
    </row>
    <row r="209" ht="15.75" customHeight="1">
      <c r="A209" s="1"/>
      <c r="F209" s="9" t="str">
        <f>IF(C209&gt;0, C209/'Conversion rates'!$I$3, D209)</f>
        <v/>
      </c>
      <c r="G209" s="28">
        <f>F209*'Conversion rates'!$I$3</f>
        <v>0</v>
      </c>
      <c r="H209" s="28"/>
      <c r="I209" s="9">
        <f t="shared" si="1"/>
        <v>0</v>
      </c>
      <c r="J209" s="4">
        <f t="shared" si="2"/>
        <v>0</v>
      </c>
    </row>
    <row r="210" ht="15.75" customHeight="1">
      <c r="A210" s="1"/>
      <c r="F210" s="9" t="str">
        <f>IF(C210&gt;0, C210/'Conversion rates'!$I$3, D210)</f>
        <v/>
      </c>
      <c r="G210" s="28">
        <f>F210*'Conversion rates'!$I$3</f>
        <v>0</v>
      </c>
      <c r="H210" s="28"/>
      <c r="I210" s="9">
        <f t="shared" si="1"/>
        <v>0</v>
      </c>
      <c r="J210" s="4">
        <f t="shared" si="2"/>
        <v>0</v>
      </c>
    </row>
    <row r="211" ht="15.75" customHeight="1">
      <c r="A211" s="1"/>
      <c r="F211" s="9" t="str">
        <f>IF(C211&gt;0, C211/'Conversion rates'!$I$3, D211)</f>
        <v/>
      </c>
      <c r="G211" s="28">
        <f>F211*'Conversion rates'!$I$3</f>
        <v>0</v>
      </c>
      <c r="H211" s="28"/>
      <c r="I211" s="9">
        <f t="shared" si="1"/>
        <v>0</v>
      </c>
      <c r="J211" s="4">
        <f t="shared" si="2"/>
        <v>0</v>
      </c>
    </row>
    <row r="212" ht="15.75" customHeight="1">
      <c r="A212" s="1"/>
      <c r="F212" s="9" t="str">
        <f>IF(C212&gt;0, C212/'Conversion rates'!$I$3, D212)</f>
        <v/>
      </c>
      <c r="G212" s="28">
        <f>F212*'Conversion rates'!$I$3</f>
        <v>0</v>
      </c>
      <c r="H212" s="28"/>
      <c r="I212" s="9">
        <f t="shared" si="1"/>
        <v>0</v>
      </c>
      <c r="J212" s="4">
        <f t="shared" si="2"/>
        <v>0</v>
      </c>
    </row>
    <row r="213" ht="15.75" customHeight="1">
      <c r="A213" s="1"/>
      <c r="F213" s="9" t="str">
        <f>IF(C213&gt;0, C213/'Conversion rates'!$I$3, D213)</f>
        <v/>
      </c>
      <c r="G213" s="28">
        <f>F213*'Conversion rates'!$I$3</f>
        <v>0</v>
      </c>
      <c r="H213" s="28"/>
      <c r="I213" s="9">
        <f t="shared" si="1"/>
        <v>0</v>
      </c>
      <c r="J213" s="4">
        <f t="shared" si="2"/>
        <v>0</v>
      </c>
    </row>
    <row r="214" ht="15.75" customHeight="1">
      <c r="A214" s="1"/>
      <c r="F214" s="9" t="str">
        <f>IF(C214&gt;0, C214/'Conversion rates'!$I$3, D214)</f>
        <v/>
      </c>
      <c r="G214" s="28">
        <f>F214*'Conversion rates'!$I$3</f>
        <v>0</v>
      </c>
      <c r="H214" s="28"/>
      <c r="I214" s="9">
        <f t="shared" si="1"/>
        <v>0</v>
      </c>
      <c r="J214" s="4">
        <f t="shared" si="2"/>
        <v>0</v>
      </c>
    </row>
    <row r="215" ht="15.75" customHeight="1">
      <c r="A215" s="1"/>
      <c r="F215" s="9" t="str">
        <f>IF(C215&gt;0, C215/'Conversion rates'!$I$3, D215)</f>
        <v/>
      </c>
      <c r="G215" s="28">
        <f>F215*'Conversion rates'!$I$3</f>
        <v>0</v>
      </c>
      <c r="H215" s="28"/>
      <c r="I215" s="9">
        <f t="shared" si="1"/>
        <v>0</v>
      </c>
      <c r="J215" s="4">
        <f t="shared" si="2"/>
        <v>0</v>
      </c>
    </row>
    <row r="216" ht="15.75" customHeight="1">
      <c r="A216" s="1"/>
      <c r="F216" s="9" t="str">
        <f>IF(C216&gt;0, C216/'Conversion rates'!$I$3, D216)</f>
        <v/>
      </c>
      <c r="G216" s="28">
        <f>F216*'Conversion rates'!$I$3</f>
        <v>0</v>
      </c>
      <c r="H216" s="28"/>
      <c r="I216" s="9">
        <f t="shared" si="1"/>
        <v>0</v>
      </c>
      <c r="J216" s="4">
        <f t="shared" si="2"/>
        <v>0</v>
      </c>
    </row>
    <row r="217" ht="15.75" customHeight="1">
      <c r="A217" s="1"/>
      <c r="F217" s="9" t="str">
        <f>IF(C217&gt;0, C217/'Conversion rates'!$I$3, D217)</f>
        <v/>
      </c>
      <c r="G217" s="28">
        <f>F217*'Conversion rates'!$I$3</f>
        <v>0</v>
      </c>
      <c r="H217" s="28"/>
      <c r="I217" s="9">
        <f t="shared" si="1"/>
        <v>0</v>
      </c>
      <c r="J217" s="4">
        <f t="shared" si="2"/>
        <v>0</v>
      </c>
    </row>
    <row r="218" ht="15.75" customHeight="1">
      <c r="A218" s="1"/>
      <c r="F218" s="9" t="str">
        <f>IF(C218&gt;0, C218/'Conversion rates'!$I$3, D218)</f>
        <v/>
      </c>
      <c r="G218" s="28">
        <f>F218*'Conversion rates'!$I$3</f>
        <v>0</v>
      </c>
      <c r="H218" s="28"/>
      <c r="I218" s="9">
        <f t="shared" si="1"/>
        <v>0</v>
      </c>
      <c r="J218" s="4">
        <f t="shared" si="2"/>
        <v>0</v>
      </c>
    </row>
    <row r="219" ht="15.75" customHeight="1">
      <c r="A219" s="1"/>
      <c r="F219" s="9" t="str">
        <f>IF(C219&gt;0, C219/'Conversion rates'!$I$3, D219)</f>
        <v/>
      </c>
      <c r="G219" s="28">
        <f>F219*'Conversion rates'!$I$3</f>
        <v>0</v>
      </c>
      <c r="H219" s="28"/>
      <c r="I219" s="9">
        <f t="shared" si="1"/>
        <v>0</v>
      </c>
      <c r="J219" s="4">
        <f t="shared" si="2"/>
        <v>0</v>
      </c>
    </row>
    <row r="220" ht="15.75" customHeight="1">
      <c r="A220" s="1"/>
      <c r="F220" s="9" t="str">
        <f>IF(C220&gt;0, C220/'Conversion rates'!$I$3, D220)</f>
        <v/>
      </c>
      <c r="G220" s="28">
        <f>F220*'Conversion rates'!$I$3</f>
        <v>0</v>
      </c>
      <c r="H220" s="28"/>
      <c r="I220" s="9">
        <f t="shared" si="1"/>
        <v>0</v>
      </c>
      <c r="J220" s="4">
        <f t="shared" si="2"/>
        <v>0</v>
      </c>
    </row>
    <row r="221" ht="15.75" customHeight="1">
      <c r="A221" s="1"/>
      <c r="F221" s="9" t="str">
        <f>IF(C221&gt;0, C221/'Conversion rates'!$I$3, D221)</f>
        <v/>
      </c>
      <c r="G221" s="28">
        <f>F221*'Conversion rates'!$I$3</f>
        <v>0</v>
      </c>
      <c r="H221" s="28"/>
      <c r="I221" s="9">
        <f t="shared" si="1"/>
        <v>0</v>
      </c>
      <c r="J221" s="4">
        <f t="shared" si="2"/>
        <v>0</v>
      </c>
    </row>
    <row r="222" ht="15.75" customHeight="1">
      <c r="A222" s="1"/>
      <c r="F222" s="9" t="str">
        <f>IF(C222&gt;0, C222/'Conversion rates'!$I$3, D222)</f>
        <v/>
      </c>
      <c r="G222" s="28">
        <f>F222*'Conversion rates'!$I$3</f>
        <v>0</v>
      </c>
      <c r="H222" s="28"/>
      <c r="I222" s="9">
        <f t="shared" si="1"/>
        <v>0</v>
      </c>
      <c r="J222" s="4">
        <f t="shared" si="2"/>
        <v>0</v>
      </c>
    </row>
    <row r="223" ht="15.75" customHeight="1">
      <c r="A223" s="1"/>
      <c r="F223" s="9" t="str">
        <f>IF(C223&gt;0, C223/'Conversion rates'!$I$3, D223)</f>
        <v/>
      </c>
      <c r="G223" s="28">
        <f>F223*'Conversion rates'!$I$3</f>
        <v>0</v>
      </c>
      <c r="H223" s="28"/>
      <c r="I223" s="9">
        <f t="shared" si="1"/>
        <v>0</v>
      </c>
      <c r="J223" s="4">
        <f t="shared" si="2"/>
        <v>0</v>
      </c>
    </row>
    <row r="224" ht="15.75" customHeight="1">
      <c r="A224" s="1"/>
      <c r="F224" s="9" t="str">
        <f>IF(C224&gt;0, C224/'Conversion rates'!$I$3, D224)</f>
        <v/>
      </c>
      <c r="G224" s="28">
        <f>F224*'Conversion rates'!$I$3</f>
        <v>0</v>
      </c>
      <c r="H224" s="28"/>
      <c r="I224" s="9">
        <f t="shared" si="1"/>
        <v>0</v>
      </c>
      <c r="J224" s="4">
        <f t="shared" si="2"/>
        <v>0</v>
      </c>
    </row>
    <row r="225" ht="15.75" customHeight="1">
      <c r="A225" s="1"/>
      <c r="F225" s="9" t="str">
        <f>IF(C225&gt;0, C225/'Conversion rates'!$I$3, D225)</f>
        <v/>
      </c>
      <c r="G225" s="28">
        <f>F225*'Conversion rates'!$I$3</f>
        <v>0</v>
      </c>
      <c r="H225" s="28"/>
      <c r="I225" s="9">
        <f t="shared" si="1"/>
        <v>0</v>
      </c>
      <c r="J225" s="4">
        <f t="shared" si="2"/>
        <v>0</v>
      </c>
    </row>
    <row r="226" ht="15.75" customHeight="1">
      <c r="A226" s="1"/>
      <c r="F226" s="9" t="str">
        <f>IF(C226&gt;0, C226/'Conversion rates'!$I$3, D226)</f>
        <v/>
      </c>
      <c r="G226" s="28">
        <f>F226*'Conversion rates'!$I$3</f>
        <v>0</v>
      </c>
      <c r="H226" s="28"/>
      <c r="I226" s="9">
        <f t="shared" si="1"/>
        <v>0</v>
      </c>
      <c r="J226" s="4">
        <f t="shared" si="2"/>
        <v>0</v>
      </c>
    </row>
    <row r="227" ht="15.75" customHeight="1">
      <c r="A227" s="1"/>
      <c r="F227" s="9" t="str">
        <f>IF(C227&gt;0, C227/'Conversion rates'!$I$3, D227)</f>
        <v/>
      </c>
      <c r="G227" s="28">
        <f>F227*'Conversion rates'!$I$3</f>
        <v>0</v>
      </c>
      <c r="H227" s="28"/>
      <c r="I227" s="9">
        <f t="shared" si="1"/>
        <v>0</v>
      </c>
      <c r="J227" s="4">
        <f t="shared" si="2"/>
        <v>0</v>
      </c>
    </row>
    <row r="228" ht="15.75" customHeight="1">
      <c r="A228" s="1"/>
      <c r="F228" s="9" t="str">
        <f>IF(C228&gt;0, C228/'Conversion rates'!$I$3, D228)</f>
        <v/>
      </c>
      <c r="G228" s="28">
        <f>F228*'Conversion rates'!$I$3</f>
        <v>0</v>
      </c>
      <c r="H228" s="28"/>
      <c r="I228" s="9">
        <f t="shared" si="1"/>
        <v>0</v>
      </c>
      <c r="J228" s="4">
        <f t="shared" si="2"/>
        <v>0</v>
      </c>
    </row>
    <row r="229" ht="15.75" customHeight="1">
      <c r="A229" s="1"/>
      <c r="F229" s="9" t="str">
        <f>IF(C229&gt;0, C229/'Conversion rates'!$I$3, D229)</f>
        <v/>
      </c>
      <c r="G229" s="28">
        <f>F229*'Conversion rates'!$I$3</f>
        <v>0</v>
      </c>
      <c r="H229" s="28"/>
      <c r="I229" s="9">
        <f t="shared" si="1"/>
        <v>0</v>
      </c>
      <c r="J229" s="4">
        <f t="shared" si="2"/>
        <v>0</v>
      </c>
    </row>
    <row r="230" ht="15.75" customHeight="1">
      <c r="A230" s="1"/>
      <c r="F230" s="9" t="str">
        <f>IF(C230&gt;0, C230/'Conversion rates'!$I$3, D230)</f>
        <v/>
      </c>
      <c r="G230" s="28">
        <f>F230*'Conversion rates'!$I$3</f>
        <v>0</v>
      </c>
      <c r="H230" s="28"/>
      <c r="I230" s="9">
        <f t="shared" si="1"/>
        <v>0</v>
      </c>
      <c r="J230" s="4">
        <f t="shared" si="2"/>
        <v>0</v>
      </c>
    </row>
    <row r="231" ht="15.75" customHeight="1">
      <c r="A231" s="1"/>
      <c r="F231" s="9" t="str">
        <f>IF(C231&gt;0, C231/'Conversion rates'!$I$3, D231)</f>
        <v/>
      </c>
      <c r="G231" s="28">
        <f>F231*'Conversion rates'!$I$3</f>
        <v>0</v>
      </c>
      <c r="H231" s="28"/>
      <c r="I231" s="9">
        <f t="shared" si="1"/>
        <v>0</v>
      </c>
      <c r="J231" s="4">
        <f t="shared" si="2"/>
        <v>0</v>
      </c>
    </row>
    <row r="232" ht="15.75" customHeight="1">
      <c r="A232" s="1"/>
      <c r="F232" s="9" t="str">
        <f>IF(C232&gt;0, C232/'Conversion rates'!$I$3, D232)</f>
        <v/>
      </c>
      <c r="G232" s="28">
        <f>F232*'Conversion rates'!$I$3</f>
        <v>0</v>
      </c>
      <c r="H232" s="28"/>
      <c r="I232" s="9">
        <f t="shared" si="1"/>
        <v>0</v>
      </c>
      <c r="J232" s="4">
        <f t="shared" si="2"/>
        <v>0</v>
      </c>
    </row>
    <row r="233" ht="15.75" customHeight="1">
      <c r="A233" s="1"/>
      <c r="F233" s="9" t="str">
        <f>IF(C233&gt;0, C233/'Conversion rates'!$I$3, D233)</f>
        <v/>
      </c>
      <c r="G233" s="28">
        <f>F233*'Conversion rates'!$I$3</f>
        <v>0</v>
      </c>
      <c r="H233" s="28"/>
      <c r="I233" s="9">
        <f t="shared" si="1"/>
        <v>0</v>
      </c>
      <c r="J233" s="4">
        <f t="shared" si="2"/>
        <v>0</v>
      </c>
    </row>
    <row r="234" ht="15.75" customHeight="1">
      <c r="A234" s="1"/>
      <c r="F234" s="9" t="str">
        <f>IF(C234&gt;0, C234/'Conversion rates'!$I$3, D234)</f>
        <v/>
      </c>
      <c r="G234" s="28">
        <f>F234*'Conversion rates'!$I$3</f>
        <v>0</v>
      </c>
      <c r="H234" s="28"/>
      <c r="I234" s="9">
        <f t="shared" si="1"/>
        <v>0</v>
      </c>
      <c r="J234" s="4">
        <f t="shared" si="2"/>
        <v>0</v>
      </c>
    </row>
    <row r="235" ht="15.75" customHeight="1">
      <c r="A235" s="1"/>
      <c r="F235" s="9" t="str">
        <f>IF(C235&gt;0, C235/'Conversion rates'!$I$3, D235)</f>
        <v/>
      </c>
      <c r="G235" s="28">
        <f>F235*'Conversion rates'!$I$3</f>
        <v>0</v>
      </c>
      <c r="H235" s="28"/>
      <c r="I235" s="9">
        <f t="shared" si="1"/>
        <v>0</v>
      </c>
      <c r="J235" s="4">
        <f t="shared" si="2"/>
        <v>0</v>
      </c>
    </row>
    <row r="236" ht="15.75" customHeight="1">
      <c r="A236" s="1"/>
      <c r="F236" s="9" t="str">
        <f>IF(C236&gt;0, C236/'Conversion rates'!$I$3, D236)</f>
        <v/>
      </c>
      <c r="G236" s="28">
        <f>F236*'Conversion rates'!$I$3</f>
        <v>0</v>
      </c>
      <c r="H236" s="28"/>
      <c r="I236" s="9">
        <f t="shared" si="1"/>
        <v>0</v>
      </c>
      <c r="J236" s="4">
        <f t="shared" si="2"/>
        <v>0</v>
      </c>
    </row>
    <row r="237" ht="15.75" customHeight="1">
      <c r="A237" s="1"/>
      <c r="F237" s="9" t="str">
        <f>IF(C237&gt;0, C237/'Conversion rates'!$I$3, D237)</f>
        <v/>
      </c>
      <c r="G237" s="28">
        <f>F237*'Conversion rates'!$I$3</f>
        <v>0</v>
      </c>
      <c r="H237" s="28"/>
      <c r="I237" s="9">
        <f t="shared" si="1"/>
        <v>0</v>
      </c>
      <c r="J237" s="4">
        <f t="shared" si="2"/>
        <v>0</v>
      </c>
    </row>
    <row r="238" ht="15.75" customHeight="1">
      <c r="A238" s="1"/>
      <c r="F238" s="9" t="str">
        <f>IF(C238&gt;0, C238/'Conversion rates'!$I$3, D238)</f>
        <v/>
      </c>
      <c r="G238" s="28">
        <f>F238*'Conversion rates'!$I$3</f>
        <v>0</v>
      </c>
      <c r="H238" s="28"/>
      <c r="I238" s="9">
        <f t="shared" si="1"/>
        <v>0</v>
      </c>
      <c r="J238" s="4">
        <f t="shared" si="2"/>
        <v>0</v>
      </c>
    </row>
    <row r="239" ht="15.75" customHeight="1">
      <c r="A239" s="1"/>
      <c r="F239" s="9" t="str">
        <f>IF(C239&gt;0, C239/'Conversion rates'!$I$3, D239)</f>
        <v/>
      </c>
      <c r="G239" s="28">
        <f>F239*'Conversion rates'!$I$3</f>
        <v>0</v>
      </c>
      <c r="H239" s="28"/>
      <c r="I239" s="9">
        <f t="shared" si="1"/>
        <v>0</v>
      </c>
      <c r="J239" s="4">
        <f t="shared" si="2"/>
        <v>0</v>
      </c>
    </row>
    <row r="240" ht="15.75" customHeight="1">
      <c r="A240" s="1"/>
      <c r="F240" s="9" t="str">
        <f>IF(C240&gt;0, C240/'Conversion rates'!$I$3, D240)</f>
        <v/>
      </c>
      <c r="G240" s="28">
        <f>F240*'Conversion rates'!$I$3</f>
        <v>0</v>
      </c>
      <c r="H240" s="28"/>
      <c r="I240" s="9">
        <f t="shared" si="1"/>
        <v>0</v>
      </c>
      <c r="J240" s="4">
        <f t="shared" si="2"/>
        <v>0</v>
      </c>
    </row>
    <row r="241" ht="15.75" customHeight="1">
      <c r="A241" s="1"/>
      <c r="F241" s="9" t="str">
        <f>IF(C241&gt;0, C241/'Conversion rates'!$I$3, D241)</f>
        <v/>
      </c>
      <c r="G241" s="28">
        <f>F241*'Conversion rates'!$I$3</f>
        <v>0</v>
      </c>
      <c r="H241" s="28"/>
      <c r="I241" s="9">
        <f t="shared" si="1"/>
        <v>0</v>
      </c>
      <c r="J241" s="4">
        <f t="shared" si="2"/>
        <v>0</v>
      </c>
    </row>
    <row r="242" ht="15.75" customHeight="1">
      <c r="A242" s="1"/>
      <c r="F242" s="9" t="str">
        <f>IF(C242&gt;0, C242/'Conversion rates'!$I$3, D242)</f>
        <v/>
      </c>
      <c r="G242" s="28">
        <f>F242*'Conversion rates'!$I$3</f>
        <v>0</v>
      </c>
      <c r="H242" s="28"/>
      <c r="I242" s="9">
        <f t="shared" si="1"/>
        <v>0</v>
      </c>
      <c r="J242" s="4">
        <f t="shared" si="2"/>
        <v>0</v>
      </c>
    </row>
    <row r="243" ht="15.75" customHeight="1">
      <c r="A243" s="1"/>
      <c r="F243" s="9" t="str">
        <f>IF(C243&gt;0, C243/'Conversion rates'!$I$3, D243)</f>
        <v/>
      </c>
      <c r="G243" s="28">
        <f>F243*'Conversion rates'!$I$3</f>
        <v>0</v>
      </c>
      <c r="H243" s="28"/>
      <c r="I243" s="9">
        <f t="shared" si="1"/>
        <v>0</v>
      </c>
      <c r="J243" s="4">
        <f t="shared" si="2"/>
        <v>0</v>
      </c>
    </row>
    <row r="244" ht="15.75" customHeight="1">
      <c r="A244" s="1"/>
      <c r="F244" s="9" t="str">
        <f>IF(C244&gt;0, C244/'Conversion rates'!$I$3, D244)</f>
        <v/>
      </c>
      <c r="G244" s="28">
        <f>F244*'Conversion rates'!$I$3</f>
        <v>0</v>
      </c>
      <c r="H244" s="28"/>
      <c r="I244" s="9">
        <f t="shared" si="1"/>
        <v>0</v>
      </c>
      <c r="J244" s="4">
        <f t="shared" si="2"/>
        <v>0</v>
      </c>
    </row>
    <row r="245" ht="15.75" customHeight="1">
      <c r="A245" s="1"/>
      <c r="F245" s="9" t="str">
        <f>IF(C245&gt;0, C245/'Conversion rates'!$I$3, D245)</f>
        <v/>
      </c>
      <c r="G245" s="28">
        <f>F245*'Conversion rates'!$I$3</f>
        <v>0</v>
      </c>
      <c r="H245" s="28"/>
      <c r="I245" s="9">
        <f t="shared" si="1"/>
        <v>0</v>
      </c>
      <c r="J245" s="4">
        <f t="shared" si="2"/>
        <v>0</v>
      </c>
    </row>
    <row r="246" ht="15.75" customHeight="1">
      <c r="A246" s="1"/>
      <c r="F246" s="9" t="str">
        <f>IF(C246&gt;0, C246/'Conversion rates'!$I$3, D246)</f>
        <v/>
      </c>
      <c r="G246" s="28">
        <f>F246*'Conversion rates'!$I$3</f>
        <v>0</v>
      </c>
      <c r="H246" s="28"/>
      <c r="I246" s="9">
        <f t="shared" si="1"/>
        <v>0</v>
      </c>
      <c r="J246" s="4">
        <f t="shared" si="2"/>
        <v>0</v>
      </c>
    </row>
    <row r="247" ht="15.75" customHeight="1">
      <c r="A247" s="1"/>
      <c r="F247" s="9" t="str">
        <f>IF(C247&gt;0, C247/'Conversion rates'!$I$3, D247)</f>
        <v/>
      </c>
      <c r="G247" s="28">
        <f>F247*'Conversion rates'!$I$3</f>
        <v>0</v>
      </c>
      <c r="H247" s="28"/>
      <c r="I247" s="9">
        <f t="shared" si="1"/>
        <v>0</v>
      </c>
      <c r="J247" s="4">
        <f t="shared" si="2"/>
        <v>0</v>
      </c>
    </row>
    <row r="248" ht="15.75" customHeight="1">
      <c r="A248" s="1"/>
      <c r="F248" s="9" t="str">
        <f>IF(C248&gt;0, C248/'Conversion rates'!$I$3, D248)</f>
        <v/>
      </c>
      <c r="G248" s="28">
        <f>F248*'Conversion rates'!$I$3</f>
        <v>0</v>
      </c>
      <c r="H248" s="28"/>
      <c r="I248" s="9">
        <f t="shared" si="1"/>
        <v>0</v>
      </c>
      <c r="J248" s="4">
        <f t="shared" si="2"/>
        <v>0</v>
      </c>
    </row>
    <row r="249" ht="15.75" customHeight="1">
      <c r="A249" s="1"/>
      <c r="F249" s="9" t="str">
        <f>IF(C249&gt;0, C249/'Conversion rates'!$I$3, D249)</f>
        <v/>
      </c>
      <c r="G249" s="28">
        <f>F249*'Conversion rates'!$I$3</f>
        <v>0</v>
      </c>
      <c r="H249" s="28"/>
      <c r="I249" s="9">
        <f t="shared" si="1"/>
        <v>0</v>
      </c>
      <c r="J249" s="4">
        <f t="shared" si="2"/>
        <v>0</v>
      </c>
    </row>
    <row r="250" ht="15.75" customHeight="1">
      <c r="A250" s="1"/>
      <c r="F250" s="9" t="str">
        <f>IF(C250&gt;0, C250/'Conversion rates'!$I$3, D250)</f>
        <v/>
      </c>
      <c r="G250" s="28">
        <f>F250*'Conversion rates'!$I$3</f>
        <v>0</v>
      </c>
      <c r="H250" s="28"/>
      <c r="I250" s="9">
        <f t="shared" si="1"/>
        <v>0</v>
      </c>
      <c r="J250" s="4">
        <f t="shared" si="2"/>
        <v>0</v>
      </c>
    </row>
    <row r="251" ht="15.75" customHeight="1">
      <c r="A251" s="1"/>
      <c r="F251" s="9" t="str">
        <f>IF(C251&gt;0, C251/'Conversion rates'!$I$3, D251)</f>
        <v/>
      </c>
      <c r="G251" s="28">
        <f>F251*'Conversion rates'!$I$3</f>
        <v>0</v>
      </c>
      <c r="H251" s="28"/>
      <c r="I251" s="9">
        <f t="shared" si="1"/>
        <v>0</v>
      </c>
      <c r="J251" s="4">
        <f t="shared" si="2"/>
        <v>0</v>
      </c>
    </row>
    <row r="252" ht="15.75" customHeight="1">
      <c r="A252" s="1"/>
      <c r="F252" s="9" t="str">
        <f>IF(C252&gt;0, C252/'Conversion rates'!$I$3, D252)</f>
        <v/>
      </c>
      <c r="G252" s="28">
        <f>F252*'Conversion rates'!$I$3</f>
        <v>0</v>
      </c>
      <c r="H252" s="28"/>
      <c r="I252" s="9">
        <f t="shared" si="1"/>
        <v>0</v>
      </c>
      <c r="J252" s="4">
        <f t="shared" si="2"/>
        <v>0</v>
      </c>
    </row>
    <row r="253" ht="15.75" customHeight="1">
      <c r="A253" s="1"/>
      <c r="F253" s="9" t="str">
        <f>IF(C253&gt;0, C253/'Conversion rates'!$I$3, D253)</f>
        <v/>
      </c>
      <c r="G253" s="28">
        <f>F253*'Conversion rates'!$I$3</f>
        <v>0</v>
      </c>
      <c r="H253" s="28"/>
      <c r="I253" s="9">
        <f t="shared" si="1"/>
        <v>0</v>
      </c>
      <c r="J253" s="4">
        <f t="shared" si="2"/>
        <v>0</v>
      </c>
    </row>
    <row r="254" ht="15.75" customHeight="1">
      <c r="A254" s="1"/>
      <c r="F254" s="9" t="str">
        <f>IF(C254&gt;0, C254/'Conversion rates'!$I$3, D254)</f>
        <v/>
      </c>
      <c r="G254" s="28">
        <f>F254*'Conversion rates'!$I$3</f>
        <v>0</v>
      </c>
      <c r="H254" s="28"/>
      <c r="I254" s="9">
        <f t="shared" si="1"/>
        <v>0</v>
      </c>
      <c r="J254" s="4">
        <f t="shared" si="2"/>
        <v>0</v>
      </c>
    </row>
    <row r="255" ht="15.75" customHeight="1">
      <c r="A255" s="1"/>
      <c r="F255" s="9" t="str">
        <f>IF(C255&gt;0, C255/'Conversion rates'!$I$3, D255)</f>
        <v/>
      </c>
      <c r="G255" s="28">
        <f>F255*'Conversion rates'!$I$3</f>
        <v>0</v>
      </c>
      <c r="H255" s="28"/>
      <c r="I255" s="9">
        <f t="shared" si="1"/>
        <v>0</v>
      </c>
      <c r="J255" s="4">
        <f t="shared" si="2"/>
        <v>0</v>
      </c>
    </row>
    <row r="256" ht="15.75" customHeight="1">
      <c r="A256" s="1"/>
      <c r="F256" s="9" t="str">
        <f>IF(C256&gt;0, C256/'Conversion rates'!$I$3, D256)</f>
        <v/>
      </c>
      <c r="G256" s="28">
        <f>F256*'Conversion rates'!$I$3</f>
        <v>0</v>
      </c>
      <c r="H256" s="28"/>
      <c r="I256" s="9">
        <f t="shared" si="1"/>
        <v>0</v>
      </c>
      <c r="J256" s="4">
        <f t="shared" si="2"/>
        <v>0</v>
      </c>
    </row>
    <row r="257" ht="15.75" customHeight="1">
      <c r="A257" s="1"/>
      <c r="F257" s="9" t="str">
        <f>IF(C257&gt;0, C257/'Conversion rates'!$I$3, D257)</f>
        <v/>
      </c>
      <c r="G257" s="28">
        <f>F257*'Conversion rates'!$I$3</f>
        <v>0</v>
      </c>
      <c r="H257" s="28"/>
      <c r="I257" s="9">
        <f t="shared" si="1"/>
        <v>0</v>
      </c>
      <c r="J257" s="4">
        <f t="shared" si="2"/>
        <v>0</v>
      </c>
    </row>
    <row r="258" ht="15.75" customHeight="1">
      <c r="A258" s="1"/>
      <c r="F258" s="9" t="str">
        <f>IF(C258&gt;0, C258/'Conversion rates'!$I$3, D258)</f>
        <v/>
      </c>
      <c r="G258" s="28">
        <f>F258*'Conversion rates'!$I$3</f>
        <v>0</v>
      </c>
      <c r="H258" s="28"/>
      <c r="I258" s="9">
        <f t="shared" si="1"/>
        <v>0</v>
      </c>
      <c r="J258" s="4">
        <f t="shared" si="2"/>
        <v>0</v>
      </c>
    </row>
    <row r="259" ht="15.75" customHeight="1">
      <c r="A259" s="1"/>
      <c r="F259" s="9" t="str">
        <f>IF(C259&gt;0, C259/'Conversion rates'!$I$3, D259)</f>
        <v/>
      </c>
      <c r="G259" s="28">
        <f>F259*'Conversion rates'!$I$3</f>
        <v>0</v>
      </c>
      <c r="H259" s="28"/>
      <c r="I259" s="9">
        <f t="shared" si="1"/>
        <v>0</v>
      </c>
      <c r="J259" s="4">
        <f t="shared" si="2"/>
        <v>0</v>
      </c>
    </row>
    <row r="260" ht="15.75" customHeight="1">
      <c r="A260" s="1"/>
      <c r="F260" s="9" t="str">
        <f>IF(C260&gt;0, C260/'Conversion rates'!$I$3, D260)</f>
        <v/>
      </c>
      <c r="G260" s="28">
        <f>F260*'Conversion rates'!$I$3</f>
        <v>0</v>
      </c>
      <c r="H260" s="28"/>
      <c r="I260" s="9">
        <f t="shared" si="1"/>
        <v>0</v>
      </c>
      <c r="J260" s="4">
        <f t="shared" si="2"/>
        <v>0</v>
      </c>
    </row>
    <row r="261" ht="15.75" customHeight="1">
      <c r="A261" s="1"/>
      <c r="F261" s="9" t="str">
        <f>IF(C261&gt;0, C261/'Conversion rates'!$I$3, D261)</f>
        <v/>
      </c>
      <c r="G261" s="28">
        <f>F261*'Conversion rates'!$I$3</f>
        <v>0</v>
      </c>
      <c r="H261" s="28"/>
      <c r="I261" s="9">
        <f t="shared" si="1"/>
        <v>0</v>
      </c>
      <c r="J261" s="4">
        <f t="shared" si="2"/>
        <v>0</v>
      </c>
    </row>
    <row r="262" ht="15.75" customHeight="1">
      <c r="A262" s="1"/>
      <c r="F262" s="9" t="str">
        <f>IF(C262&gt;0, C262/'Conversion rates'!$I$3, D262)</f>
        <v/>
      </c>
      <c r="G262" s="28">
        <f>F262*'Conversion rates'!$I$3</f>
        <v>0</v>
      </c>
      <c r="H262" s="28"/>
      <c r="I262" s="9">
        <f t="shared" si="1"/>
        <v>0</v>
      </c>
      <c r="J262" s="4">
        <f t="shared" si="2"/>
        <v>0</v>
      </c>
    </row>
    <row r="263" ht="15.75" customHeight="1">
      <c r="A263" s="1"/>
      <c r="F263" s="9" t="str">
        <f>IF(C263&gt;0, C263/'Conversion rates'!$I$3, D263)</f>
        <v/>
      </c>
      <c r="G263" s="28">
        <f>F263*'Conversion rates'!$I$3</f>
        <v>0</v>
      </c>
      <c r="H263" s="28"/>
      <c r="I263" s="9">
        <f t="shared" si="1"/>
        <v>0</v>
      </c>
      <c r="J263" s="4">
        <f t="shared" si="2"/>
        <v>0</v>
      </c>
    </row>
    <row r="264" ht="15.75" customHeight="1">
      <c r="A264" s="1"/>
      <c r="F264" s="9" t="str">
        <f>IF(C264&gt;0, C264/'Conversion rates'!$I$3, D264)</f>
        <v/>
      </c>
      <c r="G264" s="28">
        <f>F264*'Conversion rates'!$I$3</f>
        <v>0</v>
      </c>
      <c r="H264" s="28"/>
      <c r="I264" s="9">
        <f t="shared" si="1"/>
        <v>0</v>
      </c>
      <c r="J264" s="4">
        <f t="shared" si="2"/>
        <v>0</v>
      </c>
    </row>
    <row r="265" ht="15.75" customHeight="1">
      <c r="A265" s="1"/>
      <c r="F265" s="9" t="str">
        <f>IF(C265&gt;0, C265/'Conversion rates'!$I$3, D265)</f>
        <v/>
      </c>
      <c r="G265" s="28">
        <f>F265*'Conversion rates'!$I$3</f>
        <v>0</v>
      </c>
      <c r="H265" s="28"/>
      <c r="I265" s="9">
        <f t="shared" si="1"/>
        <v>0</v>
      </c>
      <c r="J265" s="4">
        <f t="shared" si="2"/>
        <v>0</v>
      </c>
    </row>
    <row r="266" ht="15.75" customHeight="1">
      <c r="A266" s="1"/>
      <c r="F266" s="9" t="str">
        <f>IF(C266&gt;0, C266/'Conversion rates'!$I$3, D266)</f>
        <v/>
      </c>
      <c r="G266" s="28">
        <f>F266*'Conversion rates'!$I$3</f>
        <v>0</v>
      </c>
      <c r="H266" s="28"/>
      <c r="I266" s="9">
        <f t="shared" si="1"/>
        <v>0</v>
      </c>
      <c r="J266" s="4">
        <f t="shared" si="2"/>
        <v>0</v>
      </c>
    </row>
    <row r="267" ht="15.75" customHeight="1">
      <c r="A267" s="1"/>
      <c r="F267" s="9" t="str">
        <f>IF(C267&gt;0, C267/'Conversion rates'!$I$3, D267)</f>
        <v/>
      </c>
      <c r="G267" s="28">
        <f>F267*'Conversion rates'!$I$3</f>
        <v>0</v>
      </c>
      <c r="H267" s="28"/>
      <c r="I267" s="9">
        <f t="shared" si="1"/>
        <v>0</v>
      </c>
      <c r="J267" s="4">
        <f t="shared" si="2"/>
        <v>0</v>
      </c>
    </row>
    <row r="268" ht="15.75" customHeight="1">
      <c r="A268" s="1"/>
      <c r="F268" s="9" t="str">
        <f>IF(C268&gt;0, C268/'Conversion rates'!$I$3, D268)</f>
        <v/>
      </c>
      <c r="G268" s="28">
        <f>F268*'Conversion rates'!$I$3</f>
        <v>0</v>
      </c>
      <c r="H268" s="28"/>
      <c r="I268" s="9">
        <f t="shared" si="1"/>
        <v>0</v>
      </c>
      <c r="J268" s="4">
        <f t="shared" si="2"/>
        <v>0</v>
      </c>
    </row>
    <row r="269" ht="15.75" customHeight="1">
      <c r="A269" s="1"/>
      <c r="F269" s="9" t="str">
        <f>IF(C269&gt;0, C269/'Conversion rates'!$I$3, D269)</f>
        <v/>
      </c>
      <c r="G269" s="28">
        <f>F269*'Conversion rates'!$I$3</f>
        <v>0</v>
      </c>
      <c r="H269" s="28"/>
      <c r="I269" s="9">
        <f t="shared" si="1"/>
        <v>0</v>
      </c>
      <c r="J269" s="4">
        <f t="shared" si="2"/>
        <v>0</v>
      </c>
    </row>
    <row r="270" ht="15.75" customHeight="1">
      <c r="A270" s="1"/>
      <c r="F270" s="9" t="str">
        <f>IF(C270&gt;0, C270/'Conversion rates'!$I$3, D270)</f>
        <v/>
      </c>
      <c r="G270" s="28">
        <f>F270*'Conversion rates'!$I$3</f>
        <v>0</v>
      </c>
      <c r="H270" s="28"/>
      <c r="I270" s="9">
        <f t="shared" si="1"/>
        <v>0</v>
      </c>
      <c r="J270" s="4">
        <f t="shared" si="2"/>
        <v>0</v>
      </c>
    </row>
    <row r="271" ht="15.75" customHeight="1">
      <c r="A271" s="1"/>
      <c r="F271" s="9" t="str">
        <f>IF(C271&gt;0, C271/'Conversion rates'!$I$3, D271)</f>
        <v/>
      </c>
      <c r="G271" s="28">
        <f>F271*'Conversion rates'!$I$3</f>
        <v>0</v>
      </c>
      <c r="H271" s="28"/>
      <c r="I271" s="9">
        <f t="shared" si="1"/>
        <v>0</v>
      </c>
      <c r="J271" s="4">
        <f t="shared" si="2"/>
        <v>0</v>
      </c>
    </row>
    <row r="272" ht="15.75" customHeight="1">
      <c r="A272" s="1"/>
      <c r="F272" s="9" t="str">
        <f>IF(C272&gt;0, C272/'Conversion rates'!$I$3, D272)</f>
        <v/>
      </c>
      <c r="G272" s="28">
        <f>F272*'Conversion rates'!$I$3</f>
        <v>0</v>
      </c>
      <c r="H272" s="28"/>
      <c r="I272" s="9">
        <f t="shared" si="1"/>
        <v>0</v>
      </c>
      <c r="J272" s="4">
        <f t="shared" si="2"/>
        <v>0</v>
      </c>
    </row>
    <row r="273" ht="15.75" customHeight="1">
      <c r="A273" s="1"/>
      <c r="F273" s="9" t="str">
        <f>IF(C273&gt;0, C273/'Conversion rates'!$I$3, D273)</f>
        <v/>
      </c>
      <c r="G273" s="28">
        <f>F273*'Conversion rates'!$I$3</f>
        <v>0</v>
      </c>
      <c r="H273" s="28"/>
      <c r="I273" s="9">
        <f t="shared" si="1"/>
        <v>0</v>
      </c>
      <c r="J273" s="4">
        <f t="shared" si="2"/>
        <v>0</v>
      </c>
    </row>
    <row r="274" ht="15.75" customHeight="1">
      <c r="A274" s="1"/>
      <c r="F274" s="9" t="str">
        <f>IF(C274&gt;0, C274/'Conversion rates'!$I$3, D274)</f>
        <v/>
      </c>
      <c r="G274" s="28">
        <f>F274*'Conversion rates'!$I$3</f>
        <v>0</v>
      </c>
      <c r="H274" s="28"/>
      <c r="I274" s="9">
        <f t="shared" si="1"/>
        <v>0</v>
      </c>
      <c r="J274" s="4">
        <f t="shared" si="2"/>
        <v>0</v>
      </c>
    </row>
    <row r="275" ht="15.75" customHeight="1">
      <c r="A275" s="1"/>
      <c r="F275" s="9" t="str">
        <f>IF(C275&gt;0, C275/'Conversion rates'!$I$3, D275)</f>
        <v/>
      </c>
      <c r="G275" s="28">
        <f>F275*'Conversion rates'!$I$3</f>
        <v>0</v>
      </c>
      <c r="H275" s="28"/>
      <c r="I275" s="9">
        <f t="shared" si="1"/>
        <v>0</v>
      </c>
      <c r="J275" s="4">
        <f t="shared" si="2"/>
        <v>0</v>
      </c>
    </row>
    <row r="276" ht="15.75" customHeight="1">
      <c r="A276" s="1"/>
      <c r="F276" s="9" t="str">
        <f>IF(C276&gt;0, C276/'Conversion rates'!$I$3, D276)</f>
        <v/>
      </c>
      <c r="G276" s="28">
        <f>F276*'Conversion rates'!$I$3</f>
        <v>0</v>
      </c>
      <c r="H276" s="28"/>
      <c r="I276" s="9">
        <f t="shared" si="1"/>
        <v>0</v>
      </c>
      <c r="J276" s="4">
        <f t="shared" si="2"/>
        <v>0</v>
      </c>
    </row>
    <row r="277" ht="15.75" customHeight="1">
      <c r="A277" s="1"/>
      <c r="F277" s="9" t="str">
        <f>IF(C277&gt;0, C277/'Conversion rates'!$I$3, D277)</f>
        <v/>
      </c>
      <c r="G277" s="28">
        <f>F277*'Conversion rates'!$I$3</f>
        <v>0</v>
      </c>
      <c r="H277" s="28"/>
      <c r="I277" s="9">
        <f t="shared" si="1"/>
        <v>0</v>
      </c>
      <c r="J277" s="4">
        <f t="shared" si="2"/>
        <v>0</v>
      </c>
    </row>
    <row r="278" ht="15.75" customHeight="1">
      <c r="A278" s="1"/>
      <c r="F278" s="9" t="str">
        <f>IF(C278&gt;0, C278/'Conversion rates'!$I$3, D278)</f>
        <v/>
      </c>
      <c r="G278" s="28">
        <f>F278*'Conversion rates'!$I$3</f>
        <v>0</v>
      </c>
      <c r="H278" s="28"/>
      <c r="I278" s="9">
        <f t="shared" si="1"/>
        <v>0</v>
      </c>
      <c r="J278" s="4">
        <f t="shared" si="2"/>
        <v>0</v>
      </c>
    </row>
    <row r="279" ht="15.75" customHeight="1">
      <c r="A279" s="1"/>
      <c r="F279" s="9" t="str">
        <f>IF(C279&gt;0, C279/'Conversion rates'!$I$3, D279)</f>
        <v/>
      </c>
      <c r="G279" s="28">
        <f>F279*'Conversion rates'!$I$3</f>
        <v>0</v>
      </c>
      <c r="H279" s="28"/>
      <c r="I279" s="9">
        <f t="shared" si="1"/>
        <v>0</v>
      </c>
      <c r="J279" s="4">
        <f t="shared" si="2"/>
        <v>0</v>
      </c>
    </row>
    <row r="280" ht="15.75" customHeight="1">
      <c r="A280" s="1"/>
      <c r="F280" s="9" t="str">
        <f>IF(C280&gt;0, C280/'Conversion rates'!$I$3, D280)</f>
        <v/>
      </c>
      <c r="G280" s="28">
        <f>F280*'Conversion rates'!$I$3</f>
        <v>0</v>
      </c>
      <c r="H280" s="28"/>
      <c r="I280" s="9">
        <f t="shared" si="1"/>
        <v>0</v>
      </c>
      <c r="J280" s="4">
        <f t="shared" si="2"/>
        <v>0</v>
      </c>
    </row>
    <row r="281" ht="15.75" customHeight="1">
      <c r="A281" s="1"/>
      <c r="F281" s="9" t="str">
        <f>IF(C281&gt;0, C281/'Conversion rates'!$I$3, D281)</f>
        <v/>
      </c>
      <c r="G281" s="28">
        <f>F281*'Conversion rates'!$I$3</f>
        <v>0</v>
      </c>
      <c r="H281" s="28"/>
      <c r="I281" s="9">
        <f t="shared" si="1"/>
        <v>0</v>
      </c>
      <c r="J281" s="4">
        <f t="shared" si="2"/>
        <v>0</v>
      </c>
    </row>
    <row r="282" ht="15.75" customHeight="1">
      <c r="A282" s="1"/>
      <c r="F282" s="9" t="str">
        <f>IF(C282&gt;0, C282/'Conversion rates'!$I$3, D282)</f>
        <v/>
      </c>
      <c r="G282" s="28">
        <f>F282*'Conversion rates'!$I$3</f>
        <v>0</v>
      </c>
      <c r="H282" s="28"/>
      <c r="I282" s="9">
        <f t="shared" si="1"/>
        <v>0</v>
      </c>
      <c r="J282" s="4">
        <f t="shared" si="2"/>
        <v>0</v>
      </c>
    </row>
    <row r="283" ht="15.75" customHeight="1">
      <c r="A283" s="1"/>
      <c r="F283" s="9" t="str">
        <f>IF(C283&gt;0, C283/'Conversion rates'!$I$3, D283)</f>
        <v/>
      </c>
      <c r="G283" s="28">
        <f>F283*'Conversion rates'!$I$3</f>
        <v>0</v>
      </c>
      <c r="H283" s="28"/>
      <c r="I283" s="9">
        <f t="shared" si="1"/>
        <v>0</v>
      </c>
      <c r="J283" s="4">
        <f t="shared" si="2"/>
        <v>0</v>
      </c>
    </row>
    <row r="284" ht="15.75" customHeight="1">
      <c r="A284" s="1"/>
      <c r="F284" s="9" t="str">
        <f>IF(C284&gt;0, C284/'Conversion rates'!$I$3, D284)</f>
        <v/>
      </c>
      <c r="G284" s="28">
        <f>F284*'Conversion rates'!$I$3</f>
        <v>0</v>
      </c>
      <c r="H284" s="28"/>
      <c r="I284" s="9">
        <f t="shared" si="1"/>
        <v>0</v>
      </c>
      <c r="J284" s="4">
        <f t="shared" si="2"/>
        <v>0</v>
      </c>
    </row>
    <row r="285" ht="15.75" customHeight="1">
      <c r="A285" s="1"/>
      <c r="F285" s="9" t="str">
        <f>IF(C285&gt;0, C285/'Conversion rates'!$I$3, D285)</f>
        <v/>
      </c>
      <c r="G285" s="28">
        <f>F285*'Conversion rates'!$I$3</f>
        <v>0</v>
      </c>
      <c r="H285" s="28"/>
      <c r="I285" s="9">
        <f t="shared" si="1"/>
        <v>0</v>
      </c>
      <c r="J285" s="4">
        <f t="shared" si="2"/>
        <v>0</v>
      </c>
    </row>
    <row r="286" ht="15.75" customHeight="1">
      <c r="A286" s="1"/>
      <c r="F286" s="9" t="str">
        <f>IF(C286&gt;0, C286/'Conversion rates'!$I$3, D286)</f>
        <v/>
      </c>
      <c r="G286" s="28">
        <f>F286*'Conversion rates'!$I$3</f>
        <v>0</v>
      </c>
      <c r="H286" s="28"/>
      <c r="I286" s="9">
        <f t="shared" si="1"/>
        <v>0</v>
      </c>
      <c r="J286" s="4">
        <f t="shared" si="2"/>
        <v>0</v>
      </c>
    </row>
    <row r="287" ht="15.75" customHeight="1">
      <c r="A287" s="1"/>
      <c r="F287" s="9" t="str">
        <f>IF(C287&gt;0, C287/'Conversion rates'!$I$3, D287)</f>
        <v/>
      </c>
      <c r="G287" s="28">
        <f>F287*'Conversion rates'!$I$3</f>
        <v>0</v>
      </c>
      <c r="H287" s="28"/>
      <c r="I287" s="9">
        <f t="shared" si="1"/>
        <v>0</v>
      </c>
      <c r="J287" s="4">
        <f t="shared" si="2"/>
        <v>0</v>
      </c>
    </row>
    <row r="288" ht="15.75" customHeight="1">
      <c r="A288" s="1"/>
      <c r="F288" s="9" t="str">
        <f>IF(C288&gt;0, C288/'Conversion rates'!$I$3, D288)</f>
        <v/>
      </c>
      <c r="G288" s="28">
        <f>F288*'Conversion rates'!$I$3</f>
        <v>0</v>
      </c>
      <c r="H288" s="28"/>
      <c r="I288" s="9">
        <f t="shared" si="1"/>
        <v>0</v>
      </c>
      <c r="J288" s="4">
        <f t="shared" si="2"/>
        <v>0</v>
      </c>
    </row>
    <row r="289" ht="15.75" customHeight="1">
      <c r="A289" s="1"/>
      <c r="F289" s="9" t="str">
        <f>IF(C289&gt;0, C289/'Conversion rates'!$I$3, D289)</f>
        <v/>
      </c>
      <c r="G289" s="28">
        <f>F289*'Conversion rates'!$I$3</f>
        <v>0</v>
      </c>
      <c r="H289" s="28"/>
      <c r="I289" s="9">
        <f t="shared" si="1"/>
        <v>0</v>
      </c>
      <c r="J289" s="4">
        <f t="shared" si="2"/>
        <v>0</v>
      </c>
    </row>
    <row r="290" ht="15.75" customHeight="1">
      <c r="A290" s="1"/>
      <c r="F290" s="9" t="str">
        <f>IF(C290&gt;0, C290/'Conversion rates'!$I$3, D290)</f>
        <v/>
      </c>
      <c r="G290" s="28">
        <f>F290*'Conversion rates'!$I$3</f>
        <v>0</v>
      </c>
      <c r="H290" s="28"/>
      <c r="I290" s="9">
        <f t="shared" si="1"/>
        <v>0</v>
      </c>
      <c r="J290" s="4">
        <f t="shared" si="2"/>
        <v>0</v>
      </c>
    </row>
    <row r="291" ht="15.75" customHeight="1">
      <c r="A291" s="1"/>
      <c r="F291" s="9" t="str">
        <f>IF(C291&gt;0, C291/'Conversion rates'!$I$3, D291)</f>
        <v/>
      </c>
      <c r="G291" s="28">
        <f>F291*'Conversion rates'!$I$3</f>
        <v>0</v>
      </c>
      <c r="H291" s="28"/>
      <c r="I291" s="9">
        <f t="shared" si="1"/>
        <v>0</v>
      </c>
      <c r="J291" s="4">
        <f t="shared" si="2"/>
        <v>0</v>
      </c>
    </row>
    <row r="292" ht="15.75" customHeight="1">
      <c r="A292" s="1"/>
      <c r="F292" s="9" t="str">
        <f>IF(C292&gt;0, C292/'Conversion rates'!$I$3, D292)</f>
        <v/>
      </c>
      <c r="G292" s="28">
        <f>F292*'Conversion rates'!$I$3</f>
        <v>0</v>
      </c>
      <c r="H292" s="28"/>
      <c r="I292" s="9">
        <f t="shared" si="1"/>
        <v>0</v>
      </c>
      <c r="J292" s="4">
        <f t="shared" si="2"/>
        <v>0</v>
      </c>
    </row>
    <row r="293" ht="15.75" customHeight="1">
      <c r="A293" s="1"/>
      <c r="F293" s="9" t="str">
        <f>IF(C293&gt;0, C293/'Conversion rates'!$I$3, D293)</f>
        <v/>
      </c>
      <c r="G293" s="28">
        <f>F293*'Conversion rates'!$I$3</f>
        <v>0</v>
      </c>
      <c r="H293" s="28"/>
      <c r="I293" s="9">
        <f t="shared" si="1"/>
        <v>0</v>
      </c>
      <c r="J293" s="4">
        <f t="shared" si="2"/>
        <v>0</v>
      </c>
    </row>
    <row r="294" ht="15.75" customHeight="1">
      <c r="A294" s="1"/>
      <c r="F294" s="9" t="str">
        <f>IF(C294&gt;0, C294/'Conversion rates'!$I$3, D294)</f>
        <v/>
      </c>
      <c r="G294" s="28">
        <f>F294*'Conversion rates'!$I$3</f>
        <v>0</v>
      </c>
      <c r="H294" s="28"/>
      <c r="I294" s="9">
        <f t="shared" si="1"/>
        <v>0</v>
      </c>
      <c r="J294" s="4">
        <f t="shared" si="2"/>
        <v>0</v>
      </c>
    </row>
    <row r="295" ht="15.75" customHeight="1">
      <c r="A295" s="1"/>
      <c r="F295" s="9" t="str">
        <f>IF(C295&gt;0, C295/'Conversion rates'!$I$3, D295)</f>
        <v/>
      </c>
      <c r="G295" s="28">
        <f>F295*'Conversion rates'!$I$3</f>
        <v>0</v>
      </c>
      <c r="H295" s="28"/>
      <c r="I295" s="9">
        <f t="shared" si="1"/>
        <v>0</v>
      </c>
      <c r="J295" s="4">
        <f t="shared" si="2"/>
        <v>0</v>
      </c>
    </row>
    <row r="296" ht="15.75" customHeight="1">
      <c r="A296" s="1"/>
      <c r="F296" s="9" t="str">
        <f>IF(C296&gt;0, C296/'Conversion rates'!$I$3, D296)</f>
        <v/>
      </c>
      <c r="G296" s="28">
        <f>F296*'Conversion rates'!$I$3</f>
        <v>0</v>
      </c>
      <c r="H296" s="28"/>
      <c r="I296" s="9">
        <f t="shared" si="1"/>
        <v>0</v>
      </c>
      <c r="J296" s="4">
        <f t="shared" si="2"/>
        <v>0</v>
      </c>
    </row>
    <row r="297" ht="15.75" customHeight="1">
      <c r="A297" s="1"/>
      <c r="F297" s="9" t="str">
        <f>IF(C297&gt;0, C297/'Conversion rates'!$I$3, D297)</f>
        <v/>
      </c>
      <c r="G297" s="28">
        <f>F297*'Conversion rates'!$I$3</f>
        <v>0</v>
      </c>
      <c r="H297" s="28"/>
      <c r="I297" s="9">
        <f t="shared" si="1"/>
        <v>0</v>
      </c>
      <c r="J297" s="4">
        <f t="shared" si="2"/>
        <v>0</v>
      </c>
    </row>
    <row r="298" ht="15.75" customHeight="1">
      <c r="A298" s="1"/>
      <c r="F298" s="9" t="str">
        <f>IF(C298&gt;0, C298/'Conversion rates'!$I$3, D298)</f>
        <v/>
      </c>
      <c r="G298" s="28">
        <f>F298*'Conversion rates'!$I$3</f>
        <v>0</v>
      </c>
      <c r="H298" s="28"/>
      <c r="I298" s="9">
        <f t="shared" si="1"/>
        <v>0</v>
      </c>
      <c r="J298" s="4">
        <f t="shared" si="2"/>
        <v>0</v>
      </c>
    </row>
    <row r="299" ht="15.75" customHeight="1">
      <c r="A299" s="1"/>
      <c r="F299" s="9" t="str">
        <f>IF(C299&gt;0, C299/'Conversion rates'!$I$3, D299)</f>
        <v/>
      </c>
      <c r="G299" s="28">
        <f>F299*'Conversion rates'!$I$3</f>
        <v>0</v>
      </c>
      <c r="H299" s="28"/>
      <c r="I299" s="9">
        <f t="shared" si="1"/>
        <v>0</v>
      </c>
      <c r="J299" s="4">
        <f t="shared" si="2"/>
        <v>0</v>
      </c>
    </row>
    <row r="300" ht="15.75" customHeight="1">
      <c r="A300" s="1"/>
      <c r="F300" s="9" t="str">
        <f>IF(C300&gt;0, C300/'Conversion rates'!$I$3, D300)</f>
        <v/>
      </c>
      <c r="G300" s="28">
        <f>F300*'Conversion rates'!$I$3</f>
        <v>0</v>
      </c>
      <c r="H300" s="28"/>
      <c r="I300" s="9">
        <f t="shared" si="1"/>
        <v>0</v>
      </c>
      <c r="J300" s="4">
        <f t="shared" si="2"/>
        <v>0</v>
      </c>
    </row>
    <row r="301" ht="15.75" customHeight="1">
      <c r="A301" s="1"/>
      <c r="F301" s="9" t="str">
        <f>IF(C301&gt;0, C301/'Conversion rates'!$I$3, D301)</f>
        <v/>
      </c>
      <c r="G301" s="28">
        <f>F301*'Conversion rates'!$I$3</f>
        <v>0</v>
      </c>
      <c r="H301" s="28"/>
      <c r="I301" s="9">
        <f t="shared" si="1"/>
        <v>0</v>
      </c>
      <c r="J301" s="4">
        <f t="shared" si="2"/>
        <v>0</v>
      </c>
    </row>
    <row r="302" ht="15.75" customHeight="1">
      <c r="A302" s="1"/>
      <c r="F302" s="9" t="str">
        <f>IF(C302&gt;0, C302/'Conversion rates'!$I$3, D302)</f>
        <v/>
      </c>
      <c r="G302" s="28">
        <f>F302*'Conversion rates'!$I$3</f>
        <v>0</v>
      </c>
      <c r="H302" s="28"/>
      <c r="I302" s="9">
        <f t="shared" si="1"/>
        <v>0</v>
      </c>
      <c r="J302" s="4">
        <f t="shared" si="2"/>
        <v>0</v>
      </c>
    </row>
    <row r="303" ht="15.75" customHeight="1">
      <c r="A303" s="1"/>
      <c r="F303" s="9" t="str">
        <f>IF(C303&gt;0, C303/'Conversion rates'!$I$3, D303)</f>
        <v/>
      </c>
      <c r="G303" s="28">
        <f>F303*'Conversion rates'!$I$3</f>
        <v>0</v>
      </c>
      <c r="H303" s="28"/>
      <c r="I303" s="9">
        <f t="shared" si="1"/>
        <v>0</v>
      </c>
      <c r="J303" s="4">
        <f t="shared" si="2"/>
        <v>0</v>
      </c>
    </row>
    <row r="304" ht="15.75" customHeight="1">
      <c r="A304" s="1"/>
      <c r="F304" s="9" t="str">
        <f>IF(C304&gt;0, C304/'Conversion rates'!$I$3, D304)</f>
        <v/>
      </c>
      <c r="G304" s="28">
        <f>F304*'Conversion rates'!$I$3</f>
        <v>0</v>
      </c>
      <c r="H304" s="28"/>
      <c r="I304" s="9">
        <f t="shared" si="1"/>
        <v>0</v>
      </c>
      <c r="J304" s="4">
        <f t="shared" si="2"/>
        <v>0</v>
      </c>
    </row>
    <row r="305" ht="15.75" customHeight="1">
      <c r="A305" s="1"/>
      <c r="F305" s="9" t="str">
        <f>IF(C305&gt;0, C305/'Conversion rates'!$I$3, D305)</f>
        <v/>
      </c>
      <c r="G305" s="28">
        <f>F305*'Conversion rates'!$I$3</f>
        <v>0</v>
      </c>
      <c r="H305" s="28"/>
      <c r="I305" s="9">
        <f t="shared" si="1"/>
        <v>0</v>
      </c>
      <c r="J305" s="4">
        <f t="shared" si="2"/>
        <v>0</v>
      </c>
    </row>
    <row r="306" ht="15.75" customHeight="1">
      <c r="A306" s="1"/>
      <c r="F306" s="9" t="str">
        <f>IF(C306&gt;0, C306/'Conversion rates'!$I$3, D306)</f>
        <v/>
      </c>
      <c r="G306" s="28">
        <f>F306*'Conversion rates'!$I$3</f>
        <v>0</v>
      </c>
      <c r="H306" s="28"/>
      <c r="I306" s="9">
        <f t="shared" si="1"/>
        <v>0</v>
      </c>
      <c r="J306" s="4">
        <f t="shared" si="2"/>
        <v>0</v>
      </c>
    </row>
    <row r="307" ht="15.75" customHeight="1">
      <c r="A307" s="1"/>
      <c r="F307" s="9" t="str">
        <f>IF(C307&gt;0, C307/'Conversion rates'!$I$3, D307)</f>
        <v/>
      </c>
      <c r="G307" s="28">
        <f>F307*'Conversion rates'!$I$3</f>
        <v>0</v>
      </c>
      <c r="H307" s="28"/>
      <c r="I307" s="9">
        <f t="shared" si="1"/>
        <v>0</v>
      </c>
      <c r="J307" s="4">
        <f t="shared" si="2"/>
        <v>0</v>
      </c>
    </row>
    <row r="308" ht="15.75" customHeight="1">
      <c r="A308" s="1"/>
      <c r="F308" s="9" t="str">
        <f>IF(C308&gt;0, C308/'Conversion rates'!$I$3, D308)</f>
        <v/>
      </c>
      <c r="G308" s="28">
        <f>F308*'Conversion rates'!$I$3</f>
        <v>0</v>
      </c>
      <c r="H308" s="28"/>
      <c r="I308" s="9">
        <f t="shared" si="1"/>
        <v>0</v>
      </c>
      <c r="J308" s="4">
        <f t="shared" si="2"/>
        <v>0</v>
      </c>
    </row>
    <row r="309" ht="15.75" customHeight="1">
      <c r="A309" s="1"/>
      <c r="F309" s="9" t="str">
        <f>IF(C309&gt;0, C309/'Conversion rates'!$I$3, D309)</f>
        <v/>
      </c>
      <c r="G309" s="28">
        <f>F309*'Conversion rates'!$I$3</f>
        <v>0</v>
      </c>
      <c r="H309" s="28"/>
      <c r="I309" s="9">
        <f t="shared" si="1"/>
        <v>0</v>
      </c>
      <c r="J309" s="4">
        <f t="shared" si="2"/>
        <v>0</v>
      </c>
    </row>
    <row r="310" ht="15.75" customHeight="1">
      <c r="A310" s="1"/>
      <c r="F310" s="9" t="str">
        <f>IF(C310&gt;0, C310/'Conversion rates'!$I$3, D310)</f>
        <v/>
      </c>
      <c r="G310" s="28">
        <f>F310*'Conversion rates'!$I$3</f>
        <v>0</v>
      </c>
      <c r="H310" s="28"/>
      <c r="I310" s="9">
        <f t="shared" si="1"/>
        <v>0</v>
      </c>
      <c r="J310" s="4">
        <f t="shared" si="2"/>
        <v>0</v>
      </c>
    </row>
    <row r="311" ht="15.75" customHeight="1">
      <c r="A311" s="1"/>
      <c r="F311" s="9" t="str">
        <f>IF(C311&gt;0, C311/'Conversion rates'!$I$3, D311)</f>
        <v/>
      </c>
      <c r="G311" s="28">
        <f>F311*'Conversion rates'!$I$3</f>
        <v>0</v>
      </c>
      <c r="H311" s="28"/>
      <c r="I311" s="9">
        <f t="shared" si="1"/>
        <v>0</v>
      </c>
      <c r="J311" s="4">
        <f t="shared" si="2"/>
        <v>0</v>
      </c>
    </row>
    <row r="312" ht="15.75" customHeight="1">
      <c r="A312" s="1"/>
      <c r="F312" s="9" t="str">
        <f>IF(C312&gt;0, C312/'Conversion rates'!$I$3, D312)</f>
        <v/>
      </c>
      <c r="G312" s="28">
        <f>F312*'Conversion rates'!$I$3</f>
        <v>0</v>
      </c>
      <c r="H312" s="28"/>
      <c r="I312" s="9">
        <f t="shared" si="1"/>
        <v>0</v>
      </c>
      <c r="J312" s="4">
        <f t="shared" si="2"/>
        <v>0</v>
      </c>
    </row>
    <row r="313" ht="15.75" customHeight="1">
      <c r="A313" s="1"/>
      <c r="F313" s="9" t="str">
        <f>IF(C313&gt;0, C313/'Conversion rates'!$I$3, D313)</f>
        <v/>
      </c>
      <c r="G313" s="28">
        <f>F313*'Conversion rates'!$I$3</f>
        <v>0</v>
      </c>
      <c r="H313" s="28"/>
      <c r="I313" s="9">
        <f t="shared" si="1"/>
        <v>0</v>
      </c>
      <c r="J313" s="4">
        <f t="shared" si="2"/>
        <v>0</v>
      </c>
    </row>
    <row r="314" ht="15.75" customHeight="1">
      <c r="A314" s="1"/>
      <c r="F314" s="9" t="str">
        <f>IF(C314&gt;0, C314/'Conversion rates'!$I$3, D314)</f>
        <v/>
      </c>
      <c r="G314" s="28">
        <f>F314*'Conversion rates'!$I$3</f>
        <v>0</v>
      </c>
      <c r="H314" s="28"/>
      <c r="I314" s="9">
        <f t="shared" si="1"/>
        <v>0</v>
      </c>
      <c r="J314" s="4">
        <f t="shared" si="2"/>
        <v>0</v>
      </c>
    </row>
    <row r="315" ht="15.75" customHeight="1">
      <c r="A315" s="1"/>
      <c r="F315" s="9" t="str">
        <f>IF(C315&gt;0, C315/'Conversion rates'!$I$3, D315)</f>
        <v/>
      </c>
      <c r="G315" s="28">
        <f>F315*'Conversion rates'!$I$3</f>
        <v>0</v>
      </c>
      <c r="H315" s="28"/>
      <c r="I315" s="9">
        <f t="shared" si="1"/>
        <v>0</v>
      </c>
      <c r="J315" s="4">
        <f t="shared" si="2"/>
        <v>0</v>
      </c>
    </row>
    <row r="316" ht="15.75" customHeight="1">
      <c r="A316" s="1"/>
      <c r="F316" s="9" t="str">
        <f>IF(C316&gt;0, C316/'Conversion rates'!$I$3, D316)</f>
        <v/>
      </c>
      <c r="G316" s="28">
        <f>F316*'Conversion rates'!$I$3</f>
        <v>0</v>
      </c>
      <c r="H316" s="28"/>
      <c r="I316" s="9">
        <f t="shared" si="1"/>
        <v>0</v>
      </c>
      <c r="J316" s="4">
        <f t="shared" si="2"/>
        <v>0</v>
      </c>
    </row>
    <row r="317" ht="15.75" customHeight="1">
      <c r="A317" s="1"/>
      <c r="F317" s="9" t="str">
        <f>IF(C317&gt;0, C317/'Conversion rates'!$I$3, D317)</f>
        <v/>
      </c>
      <c r="G317" s="28">
        <f>F317*'Conversion rates'!$I$3</f>
        <v>0</v>
      </c>
      <c r="H317" s="28"/>
      <c r="I317" s="9">
        <f t="shared" si="1"/>
        <v>0</v>
      </c>
      <c r="J317" s="4">
        <f t="shared" si="2"/>
        <v>0</v>
      </c>
    </row>
    <row r="318" ht="15.75" customHeight="1">
      <c r="A318" s="1"/>
      <c r="F318" s="9" t="str">
        <f>IF(C318&gt;0, C318/'Conversion rates'!$I$3, D318)</f>
        <v/>
      </c>
      <c r="G318" s="28">
        <f>F318*'Conversion rates'!$I$3</f>
        <v>0</v>
      </c>
      <c r="H318" s="28"/>
      <c r="I318" s="9">
        <f t="shared" si="1"/>
        <v>0</v>
      </c>
      <c r="J318" s="4">
        <f t="shared" si="2"/>
        <v>0</v>
      </c>
    </row>
    <row r="319" ht="15.75" customHeight="1">
      <c r="A319" s="1"/>
      <c r="F319" s="9" t="str">
        <f>IF(C319&gt;0, C319/'Conversion rates'!$I$3, D319)</f>
        <v/>
      </c>
      <c r="G319" s="28">
        <f>F319*'Conversion rates'!$I$3</f>
        <v>0</v>
      </c>
      <c r="H319" s="28"/>
      <c r="I319" s="9">
        <f t="shared" si="1"/>
        <v>0</v>
      </c>
      <c r="J319" s="4">
        <f t="shared" si="2"/>
        <v>0</v>
      </c>
    </row>
    <row r="320" ht="15.75" customHeight="1">
      <c r="A320" s="1"/>
      <c r="F320" s="9" t="str">
        <f>IF(C320&gt;0, C320/'Conversion rates'!$I$3, D320)</f>
        <v/>
      </c>
      <c r="G320" s="28">
        <f>F320*'Conversion rates'!$I$3</f>
        <v>0</v>
      </c>
      <c r="H320" s="28"/>
      <c r="I320" s="9">
        <f t="shared" si="1"/>
        <v>0</v>
      </c>
      <c r="J320" s="4">
        <f t="shared" si="2"/>
        <v>0</v>
      </c>
    </row>
    <row r="321" ht="15.75" customHeight="1">
      <c r="A321" s="1"/>
      <c r="F321" s="9" t="str">
        <f>IF(C321&gt;0, C321/'Conversion rates'!$I$3, D321)</f>
        <v/>
      </c>
      <c r="G321" s="28">
        <f>F321*'Conversion rates'!$I$3</f>
        <v>0</v>
      </c>
      <c r="H321" s="28"/>
      <c r="I321" s="9">
        <f t="shared" si="1"/>
        <v>0</v>
      </c>
      <c r="J321" s="4">
        <f t="shared" si="2"/>
        <v>0</v>
      </c>
    </row>
    <row r="322" ht="15.75" customHeight="1">
      <c r="A322" s="1"/>
      <c r="F322" s="9" t="str">
        <f>IF(C322&gt;0, C322/'Conversion rates'!$I$3, D322)</f>
        <v/>
      </c>
      <c r="G322" s="28">
        <f>F322*'Conversion rates'!$I$3</f>
        <v>0</v>
      </c>
      <c r="H322" s="28"/>
      <c r="I322" s="9">
        <f t="shared" si="1"/>
        <v>0</v>
      </c>
      <c r="J322" s="4">
        <f t="shared" si="2"/>
        <v>0</v>
      </c>
    </row>
    <row r="323" ht="15.75" customHeight="1">
      <c r="A323" s="1"/>
      <c r="F323" s="9" t="str">
        <f>IF(C323&gt;0, C323/'Conversion rates'!$I$3, D323)</f>
        <v/>
      </c>
      <c r="G323" s="28">
        <f>F323*'Conversion rates'!$I$3</f>
        <v>0</v>
      </c>
      <c r="H323" s="28"/>
      <c r="I323" s="9">
        <f t="shared" si="1"/>
        <v>0</v>
      </c>
      <c r="J323" s="4">
        <f t="shared" si="2"/>
        <v>0</v>
      </c>
    </row>
    <row r="324" ht="15.75" customHeight="1">
      <c r="A324" s="1"/>
      <c r="F324" s="9" t="str">
        <f>IF(C324&gt;0, C324/'Conversion rates'!$I$3, D324)</f>
        <v/>
      </c>
      <c r="G324" s="28">
        <f>F324*'Conversion rates'!$I$3</f>
        <v>0</v>
      </c>
      <c r="H324" s="28"/>
      <c r="I324" s="9">
        <f t="shared" si="1"/>
        <v>0</v>
      </c>
      <c r="J324" s="4">
        <f t="shared" si="2"/>
        <v>0</v>
      </c>
    </row>
    <row r="325" ht="15.75" customHeight="1">
      <c r="A325" s="1"/>
      <c r="F325" s="9" t="str">
        <f>IF(C325&gt;0, C325/'Conversion rates'!$I$3, D325)</f>
        <v/>
      </c>
      <c r="G325" s="28">
        <f>F325*'Conversion rates'!$I$3</f>
        <v>0</v>
      </c>
      <c r="H325" s="28"/>
      <c r="I325" s="9">
        <f t="shared" si="1"/>
        <v>0</v>
      </c>
      <c r="J325" s="4">
        <f t="shared" si="2"/>
        <v>0</v>
      </c>
    </row>
    <row r="326" ht="15.75" customHeight="1">
      <c r="A326" s="1"/>
      <c r="F326" s="9" t="str">
        <f>IF(C326&gt;0, C326/'Conversion rates'!$I$3, D326)</f>
        <v/>
      </c>
      <c r="G326" s="28">
        <f>F326*'Conversion rates'!$I$3</f>
        <v>0</v>
      </c>
      <c r="H326" s="28"/>
      <c r="I326" s="9">
        <f t="shared" si="1"/>
        <v>0</v>
      </c>
      <c r="J326" s="4">
        <f t="shared" si="2"/>
        <v>0</v>
      </c>
    </row>
    <row r="327" ht="15.75" customHeight="1">
      <c r="A327" s="1"/>
      <c r="F327" s="9" t="str">
        <f>IF(C327&gt;0, C327/'Conversion rates'!$I$3, D327)</f>
        <v/>
      </c>
      <c r="G327" s="28">
        <f>F327*'Conversion rates'!$I$3</f>
        <v>0</v>
      </c>
      <c r="H327" s="28"/>
      <c r="I327" s="9">
        <f t="shared" si="1"/>
        <v>0</v>
      </c>
      <c r="J327" s="4">
        <f t="shared" si="2"/>
        <v>0</v>
      </c>
    </row>
    <row r="328" ht="15.75" customHeight="1">
      <c r="A328" s="1"/>
      <c r="F328" s="9" t="str">
        <f>IF(C328&gt;0, C328/'Conversion rates'!$I$3, D328)</f>
        <v/>
      </c>
      <c r="G328" s="28">
        <f>F328*'Conversion rates'!$I$3</f>
        <v>0</v>
      </c>
      <c r="H328" s="28"/>
      <c r="I328" s="9">
        <f t="shared" si="1"/>
        <v>0</v>
      </c>
      <c r="J328" s="4">
        <f t="shared" si="2"/>
        <v>0</v>
      </c>
    </row>
    <row r="329" ht="15.75" customHeight="1">
      <c r="A329" s="1"/>
      <c r="F329" s="9" t="str">
        <f>IF(C329&gt;0, C329/'Conversion rates'!$I$3, D329)</f>
        <v/>
      </c>
      <c r="G329" s="28">
        <f>F329*'Conversion rates'!$I$3</f>
        <v>0</v>
      </c>
      <c r="H329" s="28"/>
      <c r="I329" s="9">
        <f t="shared" si="1"/>
        <v>0</v>
      </c>
      <c r="J329" s="4">
        <f t="shared" si="2"/>
        <v>0</v>
      </c>
    </row>
    <row r="330" ht="15.75" customHeight="1">
      <c r="A330" s="1"/>
      <c r="F330" s="9" t="str">
        <f>IF(C330&gt;0, C330/'Conversion rates'!$I$3, D330)</f>
        <v/>
      </c>
      <c r="G330" s="28">
        <f>F330*'Conversion rates'!$I$3</f>
        <v>0</v>
      </c>
      <c r="H330" s="28"/>
      <c r="I330" s="9">
        <f t="shared" si="1"/>
        <v>0</v>
      </c>
      <c r="J330" s="4">
        <f t="shared" si="2"/>
        <v>0</v>
      </c>
    </row>
    <row r="331" ht="15.75" customHeight="1">
      <c r="A331" s="1"/>
      <c r="F331" s="9" t="str">
        <f>IF(C331&gt;0, C331/'Conversion rates'!$I$3, D331)</f>
        <v/>
      </c>
      <c r="G331" s="28">
        <f>F331*'Conversion rates'!$I$3</f>
        <v>0</v>
      </c>
      <c r="H331" s="28"/>
      <c r="I331" s="9">
        <f t="shared" si="1"/>
        <v>0</v>
      </c>
      <c r="J331" s="4">
        <f t="shared" si="2"/>
        <v>0</v>
      </c>
    </row>
    <row r="332" ht="15.75" customHeight="1">
      <c r="A332" s="1"/>
      <c r="F332" s="9" t="str">
        <f>IF(C332&gt;0, C332/'Conversion rates'!$I$3, D332)</f>
        <v/>
      </c>
      <c r="G332" s="28">
        <f>F332*'Conversion rates'!$I$3</f>
        <v>0</v>
      </c>
      <c r="H332" s="28"/>
      <c r="I332" s="9">
        <f t="shared" si="1"/>
        <v>0</v>
      </c>
      <c r="J332" s="4">
        <f t="shared" si="2"/>
        <v>0</v>
      </c>
    </row>
    <row r="333" ht="15.75" customHeight="1">
      <c r="A333" s="1"/>
      <c r="F333" s="9" t="str">
        <f>IF(C333&gt;0, C333/'Conversion rates'!$I$3, D333)</f>
        <v/>
      </c>
      <c r="G333" s="28">
        <f>F333*'Conversion rates'!$I$3</f>
        <v>0</v>
      </c>
      <c r="H333" s="28"/>
      <c r="I333" s="9">
        <f t="shared" si="1"/>
        <v>0</v>
      </c>
      <c r="J333" s="4">
        <f t="shared" si="2"/>
        <v>0</v>
      </c>
    </row>
    <row r="334" ht="15.75" customHeight="1">
      <c r="A334" s="1"/>
      <c r="F334" s="9" t="str">
        <f>IF(C334&gt;0, C334/'Conversion rates'!$I$3, D334)</f>
        <v/>
      </c>
      <c r="G334" s="28">
        <f>F334*'Conversion rates'!$I$3</f>
        <v>0</v>
      </c>
      <c r="H334" s="28"/>
      <c r="I334" s="9">
        <f t="shared" si="1"/>
        <v>0</v>
      </c>
      <c r="J334" s="4">
        <f t="shared" si="2"/>
        <v>0</v>
      </c>
    </row>
    <row r="335" ht="15.75" customHeight="1">
      <c r="A335" s="1"/>
      <c r="F335" s="9" t="str">
        <f>IF(C335&gt;0, C335/'Conversion rates'!$I$3, D335)</f>
        <v/>
      </c>
      <c r="G335" s="28">
        <f>F335*'Conversion rates'!$I$3</f>
        <v>0</v>
      </c>
      <c r="H335" s="28"/>
      <c r="I335" s="9">
        <f t="shared" si="1"/>
        <v>0</v>
      </c>
      <c r="J335" s="4">
        <f t="shared" si="2"/>
        <v>0</v>
      </c>
    </row>
    <row r="336" ht="15.75" customHeight="1">
      <c r="A336" s="1"/>
      <c r="F336" s="9" t="str">
        <f>IF(C336&gt;0, C336/'Conversion rates'!$I$3, D336)</f>
        <v/>
      </c>
      <c r="G336" s="28">
        <f>F336*'Conversion rates'!$I$3</f>
        <v>0</v>
      </c>
      <c r="H336" s="28"/>
      <c r="I336" s="9">
        <f t="shared" si="1"/>
        <v>0</v>
      </c>
      <c r="J336" s="4">
        <f t="shared" si="2"/>
        <v>0</v>
      </c>
    </row>
    <row r="337" ht="15.75" customHeight="1">
      <c r="A337" s="1"/>
      <c r="F337" s="9" t="str">
        <f>IF(C337&gt;0, C337/'Conversion rates'!$I$3, D337)</f>
        <v/>
      </c>
      <c r="G337" s="28">
        <f>F337*'Conversion rates'!$I$3</f>
        <v>0</v>
      </c>
      <c r="H337" s="28"/>
      <c r="I337" s="9">
        <f t="shared" si="1"/>
        <v>0</v>
      </c>
      <c r="J337" s="4">
        <f t="shared" si="2"/>
        <v>0</v>
      </c>
    </row>
    <row r="338" ht="15.75" customHeight="1">
      <c r="A338" s="1"/>
      <c r="F338" s="9" t="str">
        <f>IF(C338&gt;0, C338/'Conversion rates'!$I$3, D338)</f>
        <v/>
      </c>
      <c r="G338" s="28">
        <f>F338*'Conversion rates'!$I$3</f>
        <v>0</v>
      </c>
      <c r="H338" s="28"/>
      <c r="I338" s="9">
        <f t="shared" si="1"/>
        <v>0</v>
      </c>
      <c r="J338" s="4">
        <f t="shared" si="2"/>
        <v>0</v>
      </c>
    </row>
    <row r="339" ht="15.75" customHeight="1">
      <c r="A339" s="1"/>
      <c r="F339" s="9" t="str">
        <f>IF(C339&gt;0, C339/'Conversion rates'!$I$3, D339)</f>
        <v/>
      </c>
      <c r="G339" s="28">
        <f>F339*'Conversion rates'!$I$3</f>
        <v>0</v>
      </c>
      <c r="H339" s="28"/>
      <c r="I339" s="9">
        <f t="shared" si="1"/>
        <v>0</v>
      </c>
      <c r="J339" s="4">
        <f t="shared" si="2"/>
        <v>0</v>
      </c>
    </row>
    <row r="340" ht="15.75" customHeight="1">
      <c r="A340" s="1"/>
      <c r="F340" s="9" t="str">
        <f>IF(C340&gt;0, C340/'Conversion rates'!$I$3, D340)</f>
        <v/>
      </c>
      <c r="G340" s="28">
        <f>F340*'Conversion rates'!$I$3</f>
        <v>0</v>
      </c>
      <c r="H340" s="28"/>
      <c r="I340" s="9">
        <f t="shared" si="1"/>
        <v>0</v>
      </c>
      <c r="J340" s="4">
        <f t="shared" si="2"/>
        <v>0</v>
      </c>
    </row>
    <row r="341" ht="15.75" customHeight="1">
      <c r="A341" s="1"/>
      <c r="F341" s="9" t="str">
        <f>IF(C341&gt;0, C341/'Conversion rates'!$I$3, D341)</f>
        <v/>
      </c>
      <c r="G341" s="28">
        <f>F341*'Conversion rates'!$I$3</f>
        <v>0</v>
      </c>
      <c r="H341" s="28"/>
      <c r="I341" s="9">
        <f t="shared" si="1"/>
        <v>0</v>
      </c>
      <c r="J341" s="4">
        <f t="shared" si="2"/>
        <v>0</v>
      </c>
    </row>
    <row r="342" ht="15.75" customHeight="1">
      <c r="A342" s="1"/>
      <c r="F342" s="9" t="str">
        <f>IF(C342&gt;0, C342/'Conversion rates'!$I$3, D342)</f>
        <v/>
      </c>
      <c r="G342" s="28">
        <f>F342*'Conversion rates'!$I$3</f>
        <v>0</v>
      </c>
      <c r="H342" s="28"/>
      <c r="I342" s="9">
        <f t="shared" si="1"/>
        <v>0</v>
      </c>
      <c r="J342" s="4">
        <f t="shared" si="2"/>
        <v>0</v>
      </c>
    </row>
    <row r="343" ht="15.75" customHeight="1">
      <c r="A343" s="1"/>
      <c r="F343" s="9" t="str">
        <f>IF(C343&gt;0, C343/'Conversion rates'!$I$3, D343)</f>
        <v/>
      </c>
      <c r="G343" s="28">
        <f>F343*'Conversion rates'!$I$3</f>
        <v>0</v>
      </c>
      <c r="H343" s="28"/>
      <c r="I343" s="9">
        <f t="shared" si="1"/>
        <v>0</v>
      </c>
      <c r="J343" s="4">
        <f t="shared" si="2"/>
        <v>0</v>
      </c>
    </row>
    <row r="344" ht="15.75" customHeight="1">
      <c r="A344" s="1"/>
      <c r="F344" s="9" t="str">
        <f>IF(C344&gt;0, C344/'Conversion rates'!$I$3, D344)</f>
        <v/>
      </c>
      <c r="G344" s="28">
        <f>F344*'Conversion rates'!$I$3</f>
        <v>0</v>
      </c>
      <c r="H344" s="28"/>
      <c r="I344" s="9">
        <f t="shared" si="1"/>
        <v>0</v>
      </c>
      <c r="J344" s="4">
        <f t="shared" si="2"/>
        <v>0</v>
      </c>
    </row>
    <row r="345" ht="15.75" customHeight="1">
      <c r="A345" s="1"/>
      <c r="F345" s="9" t="str">
        <f>IF(C345&gt;0, C345/'Conversion rates'!$I$3, D345)</f>
        <v/>
      </c>
      <c r="G345" s="28">
        <f>F345*'Conversion rates'!$I$3</f>
        <v>0</v>
      </c>
      <c r="H345" s="28"/>
      <c r="I345" s="9">
        <f t="shared" si="1"/>
        <v>0</v>
      </c>
      <c r="J345" s="4">
        <f t="shared" si="2"/>
        <v>0</v>
      </c>
    </row>
    <row r="346" ht="15.75" customHeight="1">
      <c r="A346" s="1"/>
      <c r="F346" s="9" t="str">
        <f>IF(C346&gt;0, C346/'Conversion rates'!$I$3, D346)</f>
        <v/>
      </c>
      <c r="G346" s="28">
        <f>F346*'Conversion rates'!$I$3</f>
        <v>0</v>
      </c>
      <c r="H346" s="28"/>
      <c r="I346" s="9">
        <f t="shared" si="1"/>
        <v>0</v>
      </c>
      <c r="J346" s="4">
        <f t="shared" si="2"/>
        <v>0</v>
      </c>
    </row>
    <row r="347" ht="15.75" customHeight="1">
      <c r="A347" s="1"/>
      <c r="F347" s="9" t="str">
        <f>IF(C347&gt;0, C347/'Conversion rates'!$I$3, D347)</f>
        <v/>
      </c>
      <c r="G347" s="28">
        <f>F347*'Conversion rates'!$I$3</f>
        <v>0</v>
      </c>
      <c r="H347" s="28"/>
      <c r="I347" s="9">
        <f t="shared" si="1"/>
        <v>0</v>
      </c>
      <c r="J347" s="4">
        <f t="shared" si="2"/>
        <v>0</v>
      </c>
    </row>
    <row r="348" ht="15.75" customHeight="1">
      <c r="A348" s="1"/>
      <c r="F348" s="9" t="str">
        <f>IF(C348&gt;0, C348/'Conversion rates'!$I$3, D348)</f>
        <v/>
      </c>
      <c r="G348" s="28">
        <f>F348*'Conversion rates'!$I$3</f>
        <v>0</v>
      </c>
      <c r="H348" s="28"/>
      <c r="I348" s="9">
        <f t="shared" si="1"/>
        <v>0</v>
      </c>
      <c r="J348" s="4">
        <f t="shared" si="2"/>
        <v>0</v>
      </c>
    </row>
    <row r="349" ht="15.75" customHeight="1">
      <c r="A349" s="1"/>
      <c r="F349" s="9" t="str">
        <f>IF(C349&gt;0, C349/'Conversion rates'!$I$3, D349)</f>
        <v/>
      </c>
      <c r="G349" s="28">
        <f>F349*'Conversion rates'!$I$3</f>
        <v>0</v>
      </c>
      <c r="H349" s="28"/>
      <c r="I349" s="9">
        <f t="shared" si="1"/>
        <v>0</v>
      </c>
      <c r="J349" s="4">
        <f t="shared" si="2"/>
        <v>0</v>
      </c>
    </row>
    <row r="350" ht="15.75" customHeight="1">
      <c r="A350" s="1"/>
      <c r="F350" s="9" t="str">
        <f>IF(C350&gt;0, C350/'Conversion rates'!$I$3, D350)</f>
        <v/>
      </c>
      <c r="G350" s="28">
        <f>F350*'Conversion rates'!$I$3</f>
        <v>0</v>
      </c>
      <c r="H350" s="28"/>
      <c r="I350" s="9">
        <f t="shared" si="1"/>
        <v>0</v>
      </c>
      <c r="J350" s="4">
        <f t="shared" si="2"/>
        <v>0</v>
      </c>
    </row>
    <row r="351" ht="15.75" customHeight="1">
      <c r="A351" s="1"/>
      <c r="F351" s="9" t="str">
        <f>IF(C351&gt;0, C351/'Conversion rates'!$I$3, D351)</f>
        <v/>
      </c>
      <c r="G351" s="28">
        <f>F351*'Conversion rates'!$I$3</f>
        <v>0</v>
      </c>
      <c r="H351" s="28"/>
      <c r="I351" s="9">
        <f t="shared" si="1"/>
        <v>0</v>
      </c>
      <c r="J351" s="4">
        <f t="shared" si="2"/>
        <v>0</v>
      </c>
    </row>
    <row r="352" ht="15.75" customHeight="1">
      <c r="A352" s="1"/>
      <c r="F352" s="9" t="str">
        <f>IF(C352&gt;0, C352/'Conversion rates'!$I$3, D352)</f>
        <v/>
      </c>
      <c r="G352" s="28">
        <f>F352*'Conversion rates'!$I$3</f>
        <v>0</v>
      </c>
      <c r="H352" s="28"/>
      <c r="I352" s="9">
        <f t="shared" si="1"/>
        <v>0</v>
      </c>
      <c r="J352" s="4">
        <f t="shared" si="2"/>
        <v>0</v>
      </c>
    </row>
    <row r="353" ht="15.75" customHeight="1">
      <c r="A353" s="1"/>
      <c r="F353" s="9" t="str">
        <f>IF(C353&gt;0, C353/'Conversion rates'!$I$3, D353)</f>
        <v/>
      </c>
      <c r="G353" s="28">
        <f>F353*'Conversion rates'!$I$3</f>
        <v>0</v>
      </c>
      <c r="H353" s="28"/>
      <c r="I353" s="9">
        <f t="shared" si="1"/>
        <v>0</v>
      </c>
      <c r="J353" s="4">
        <f t="shared" si="2"/>
        <v>0</v>
      </c>
    </row>
    <row r="354" ht="15.75" customHeight="1">
      <c r="A354" s="1"/>
      <c r="F354" s="9" t="str">
        <f>IF(C354&gt;0, C354/'Conversion rates'!$I$3, D354)</f>
        <v/>
      </c>
      <c r="G354" s="28">
        <f>F354*'Conversion rates'!$I$3</f>
        <v>0</v>
      </c>
      <c r="H354" s="28"/>
      <c r="I354" s="9">
        <f t="shared" si="1"/>
        <v>0</v>
      </c>
      <c r="J354" s="4">
        <f t="shared" si="2"/>
        <v>0</v>
      </c>
    </row>
    <row r="355" ht="15.75" customHeight="1">
      <c r="A355" s="1"/>
      <c r="F355" s="9" t="str">
        <f>IF(C355&gt;0, C355/'Conversion rates'!$I$3, D355)</f>
        <v/>
      </c>
      <c r="G355" s="28">
        <f>F355*'Conversion rates'!$I$3</f>
        <v>0</v>
      </c>
      <c r="H355" s="28"/>
      <c r="I355" s="9">
        <f t="shared" si="1"/>
        <v>0</v>
      </c>
      <c r="J355" s="4">
        <f t="shared" si="2"/>
        <v>0</v>
      </c>
    </row>
    <row r="356" ht="15.75" customHeight="1">
      <c r="A356" s="1"/>
      <c r="F356" s="9" t="str">
        <f>IF(C356&gt;0, C356/'Conversion rates'!$I$3, D356)</f>
        <v/>
      </c>
      <c r="G356" s="28">
        <f>F356*'Conversion rates'!$I$3</f>
        <v>0</v>
      </c>
      <c r="H356" s="28"/>
      <c r="I356" s="9">
        <f t="shared" si="1"/>
        <v>0</v>
      </c>
      <c r="J356" s="4">
        <f t="shared" si="2"/>
        <v>0</v>
      </c>
    </row>
    <row r="357" ht="15.75" customHeight="1">
      <c r="A357" s="1"/>
      <c r="F357" s="9" t="str">
        <f>IF(C357&gt;0, C357/'Conversion rates'!$I$3, D357)</f>
        <v/>
      </c>
      <c r="G357" s="28">
        <f>F357*'Conversion rates'!$I$3</f>
        <v>0</v>
      </c>
      <c r="H357" s="28"/>
      <c r="I357" s="9">
        <f t="shared" si="1"/>
        <v>0</v>
      </c>
      <c r="J357" s="4">
        <f t="shared" si="2"/>
        <v>0</v>
      </c>
    </row>
    <row r="358" ht="15.75" customHeight="1">
      <c r="A358" s="1"/>
      <c r="F358" s="9" t="str">
        <f>IF(C358&gt;0, C358/'Conversion rates'!$I$3, D358)</f>
        <v/>
      </c>
      <c r="G358" s="28">
        <f>F358*'Conversion rates'!$I$3</f>
        <v>0</v>
      </c>
      <c r="H358" s="28"/>
      <c r="I358" s="9">
        <f t="shared" si="1"/>
        <v>0</v>
      </c>
      <c r="J358" s="4">
        <f t="shared" si="2"/>
        <v>0</v>
      </c>
    </row>
    <row r="359" ht="15.75" customHeight="1">
      <c r="A359" s="1"/>
      <c r="F359" s="9" t="str">
        <f>IF(C359&gt;0, C359/'Conversion rates'!$I$3, D359)</f>
        <v/>
      </c>
      <c r="G359" s="28">
        <f>F359*'Conversion rates'!$I$3</f>
        <v>0</v>
      </c>
      <c r="H359" s="28"/>
      <c r="I359" s="9">
        <f t="shared" si="1"/>
        <v>0</v>
      </c>
      <c r="J359" s="4">
        <f t="shared" si="2"/>
        <v>0</v>
      </c>
    </row>
    <row r="360" ht="15.75" customHeight="1">
      <c r="A360" s="1"/>
      <c r="F360" s="9" t="str">
        <f>IF(C360&gt;0, C360/'Conversion rates'!$I$3, D360)</f>
        <v/>
      </c>
      <c r="G360" s="28">
        <f>F360*'Conversion rates'!$I$3</f>
        <v>0</v>
      </c>
      <c r="H360" s="28"/>
      <c r="I360" s="9">
        <f t="shared" si="1"/>
        <v>0</v>
      </c>
      <c r="J360" s="4">
        <f t="shared" si="2"/>
        <v>0</v>
      </c>
    </row>
    <row r="361" ht="15.75" customHeight="1">
      <c r="A361" s="1"/>
      <c r="F361" s="9" t="str">
        <f>IF(C361&gt;0, C361/'Conversion rates'!$I$3, D361)</f>
        <v/>
      </c>
      <c r="G361" s="28">
        <f>F361*'Conversion rates'!$I$3</f>
        <v>0</v>
      </c>
      <c r="H361" s="28"/>
      <c r="I361" s="9">
        <f t="shared" si="1"/>
        <v>0</v>
      </c>
      <c r="J361" s="4">
        <f t="shared" si="2"/>
        <v>0</v>
      </c>
    </row>
    <row r="362" ht="15.75" customHeight="1">
      <c r="A362" s="1"/>
      <c r="F362" s="9" t="str">
        <f>IF(C362&gt;0, C362/'Conversion rates'!$I$3, D362)</f>
        <v/>
      </c>
      <c r="G362" s="28">
        <f>F362*'Conversion rates'!$I$3</f>
        <v>0</v>
      </c>
      <c r="H362" s="28"/>
      <c r="I362" s="9">
        <f t="shared" si="1"/>
        <v>0</v>
      </c>
      <c r="J362" s="4">
        <f t="shared" si="2"/>
        <v>0</v>
      </c>
    </row>
    <row r="363" ht="15.75" customHeight="1">
      <c r="A363" s="1"/>
      <c r="F363" s="9" t="str">
        <f>IF(C363&gt;0, C363/'Conversion rates'!$I$3, D363)</f>
        <v/>
      </c>
      <c r="G363" s="28">
        <f>F363*'Conversion rates'!$I$3</f>
        <v>0</v>
      </c>
      <c r="H363" s="28"/>
      <c r="I363" s="9">
        <f t="shared" si="1"/>
        <v>0</v>
      </c>
      <c r="J363" s="4">
        <f t="shared" si="2"/>
        <v>0</v>
      </c>
    </row>
    <row r="364" ht="15.75" customHeight="1">
      <c r="A364" s="1"/>
      <c r="F364" s="9" t="str">
        <f>IF(C364&gt;0, C364/'Conversion rates'!$I$3, D364)</f>
        <v/>
      </c>
      <c r="G364" s="28">
        <f>F364*'Conversion rates'!$I$3</f>
        <v>0</v>
      </c>
      <c r="H364" s="28"/>
      <c r="I364" s="9">
        <f t="shared" si="1"/>
        <v>0</v>
      </c>
      <c r="J364" s="4">
        <f t="shared" si="2"/>
        <v>0</v>
      </c>
    </row>
    <row r="365" ht="15.75" customHeight="1">
      <c r="A365" s="1"/>
      <c r="F365" s="9" t="str">
        <f>IF(C365&gt;0, C365/'Conversion rates'!$I$3, D365)</f>
        <v/>
      </c>
      <c r="G365" s="28">
        <f>F365*'Conversion rates'!$I$3</f>
        <v>0</v>
      </c>
      <c r="H365" s="28"/>
      <c r="I365" s="9">
        <f t="shared" si="1"/>
        <v>0</v>
      </c>
      <c r="J365" s="4">
        <f t="shared" si="2"/>
        <v>0</v>
      </c>
    </row>
    <row r="366" ht="15.75" customHeight="1">
      <c r="A366" s="1"/>
      <c r="F366" s="9" t="str">
        <f>IF(C366&gt;0, C366/'Conversion rates'!$I$3, D366)</f>
        <v/>
      </c>
      <c r="G366" s="28">
        <f>F366*'Conversion rates'!$I$3</f>
        <v>0</v>
      </c>
      <c r="H366" s="28"/>
      <c r="I366" s="9">
        <f t="shared" si="1"/>
        <v>0</v>
      </c>
      <c r="J366" s="4">
        <f t="shared" si="2"/>
        <v>0</v>
      </c>
    </row>
    <row r="367" ht="15.75" customHeight="1">
      <c r="A367" s="1"/>
      <c r="F367" s="9" t="str">
        <f>IF(C367&gt;0, C367/'Conversion rates'!$I$3, D367)</f>
        <v/>
      </c>
      <c r="G367" s="28">
        <f>F367*'Conversion rates'!$I$3</f>
        <v>0</v>
      </c>
      <c r="H367" s="28"/>
      <c r="I367" s="9">
        <f t="shared" si="1"/>
        <v>0</v>
      </c>
      <c r="J367" s="4">
        <f t="shared" si="2"/>
        <v>0</v>
      </c>
    </row>
    <row r="368" ht="15.75" customHeight="1">
      <c r="A368" s="1"/>
      <c r="F368" s="9" t="str">
        <f>IF(C368&gt;0, C368/'Conversion rates'!$I$3, D368)</f>
        <v/>
      </c>
      <c r="G368" s="28">
        <f>F368*'Conversion rates'!$I$3</f>
        <v>0</v>
      </c>
      <c r="H368" s="28"/>
      <c r="I368" s="9">
        <f t="shared" si="1"/>
        <v>0</v>
      </c>
      <c r="J368" s="4">
        <f t="shared" si="2"/>
        <v>0</v>
      </c>
    </row>
    <row r="369" ht="15.75" customHeight="1">
      <c r="A369" s="1"/>
      <c r="F369" s="9" t="str">
        <f>IF(C369&gt;0, C369/'Conversion rates'!$I$3, D369)</f>
        <v/>
      </c>
      <c r="G369" s="28">
        <f>F369*'Conversion rates'!$I$3</f>
        <v>0</v>
      </c>
      <c r="H369" s="28"/>
      <c r="I369" s="9">
        <f t="shared" si="1"/>
        <v>0</v>
      </c>
      <c r="J369" s="4">
        <f t="shared" si="2"/>
        <v>0</v>
      </c>
    </row>
    <row r="370" ht="15.75" customHeight="1">
      <c r="A370" s="1"/>
      <c r="F370" s="9" t="str">
        <f>IF(C370&gt;0, C370/'Conversion rates'!$I$3, D370)</f>
        <v/>
      </c>
      <c r="G370" s="28">
        <f>F370*'Conversion rates'!$I$3</f>
        <v>0</v>
      </c>
      <c r="H370" s="28"/>
      <c r="I370" s="9">
        <f t="shared" si="1"/>
        <v>0</v>
      </c>
      <c r="J370" s="4">
        <f t="shared" si="2"/>
        <v>0</v>
      </c>
    </row>
    <row r="371" ht="15.75" customHeight="1">
      <c r="A371" s="1"/>
      <c r="F371" s="9" t="str">
        <f>IF(C371&gt;0, C371/'Conversion rates'!$I$3, D371)</f>
        <v/>
      </c>
      <c r="G371" s="28">
        <f>F371*'Conversion rates'!$I$3</f>
        <v>0</v>
      </c>
      <c r="H371" s="28"/>
      <c r="I371" s="9">
        <f t="shared" si="1"/>
        <v>0</v>
      </c>
      <c r="J371" s="4">
        <f t="shared" si="2"/>
        <v>0</v>
      </c>
    </row>
    <row r="372" ht="15.75" customHeight="1">
      <c r="A372" s="1"/>
      <c r="F372" s="9" t="str">
        <f>IF(C372&gt;0, C372/'Conversion rates'!$I$3, D372)</f>
        <v/>
      </c>
      <c r="G372" s="28">
        <f>F372*'Conversion rates'!$I$3</f>
        <v>0</v>
      </c>
      <c r="H372" s="28"/>
      <c r="I372" s="9">
        <f t="shared" si="1"/>
        <v>0</v>
      </c>
      <c r="J372" s="4">
        <f t="shared" si="2"/>
        <v>0</v>
      </c>
    </row>
    <row r="373" ht="15.75" customHeight="1">
      <c r="A373" s="1"/>
      <c r="F373" s="9" t="str">
        <f>IF(C373&gt;0, C373/'Conversion rates'!$I$3, D373)</f>
        <v/>
      </c>
      <c r="G373" s="28">
        <f>F373*'Conversion rates'!$I$3</f>
        <v>0</v>
      </c>
      <c r="H373" s="28"/>
      <c r="I373" s="9">
        <f t="shared" si="1"/>
        <v>0</v>
      </c>
      <c r="J373" s="4">
        <f t="shared" si="2"/>
        <v>0</v>
      </c>
    </row>
    <row r="374" ht="15.75" customHeight="1">
      <c r="A374" s="1"/>
      <c r="F374" s="9" t="str">
        <f>IF(C374&gt;0, C374/'Conversion rates'!$I$3, D374)</f>
        <v/>
      </c>
      <c r="G374" s="28">
        <f>F374*'Conversion rates'!$I$3</f>
        <v>0</v>
      </c>
      <c r="H374" s="28"/>
      <c r="I374" s="9">
        <f t="shared" si="1"/>
        <v>0</v>
      </c>
      <c r="J374" s="4">
        <f t="shared" si="2"/>
        <v>0</v>
      </c>
    </row>
    <row r="375" ht="15.75" customHeight="1">
      <c r="A375" s="1"/>
      <c r="F375" s="9" t="str">
        <f>IF(C375&gt;0, C375/'Conversion rates'!$I$3, D375)</f>
        <v/>
      </c>
      <c r="G375" s="28">
        <f>F375*'Conversion rates'!$I$3</f>
        <v>0</v>
      </c>
      <c r="H375" s="28"/>
      <c r="I375" s="9">
        <f t="shared" si="1"/>
        <v>0</v>
      </c>
      <c r="J375" s="4">
        <f t="shared" si="2"/>
        <v>0</v>
      </c>
    </row>
    <row r="376" ht="15.75" customHeight="1">
      <c r="A376" s="1"/>
      <c r="F376" s="9" t="str">
        <f>IF(C376&gt;0, C376/'Conversion rates'!$I$3, D376)</f>
        <v/>
      </c>
      <c r="G376" s="28">
        <f>F376*'Conversion rates'!$I$3</f>
        <v>0</v>
      </c>
      <c r="H376" s="28"/>
      <c r="I376" s="9">
        <f t="shared" si="1"/>
        <v>0</v>
      </c>
      <c r="J376" s="4">
        <f t="shared" si="2"/>
        <v>0</v>
      </c>
    </row>
    <row r="377" ht="15.75" customHeight="1">
      <c r="A377" s="1"/>
      <c r="F377" s="9" t="str">
        <f>IF(C377&gt;0, C377/'Conversion rates'!$I$3, D377)</f>
        <v/>
      </c>
      <c r="G377" s="28">
        <f>F377*'Conversion rates'!$I$3</f>
        <v>0</v>
      </c>
      <c r="H377" s="28"/>
      <c r="I377" s="9">
        <f t="shared" si="1"/>
        <v>0</v>
      </c>
      <c r="J377" s="4">
        <f t="shared" si="2"/>
        <v>0</v>
      </c>
    </row>
    <row r="378" ht="15.75" customHeight="1">
      <c r="A378" s="1"/>
      <c r="F378" s="9" t="str">
        <f>IF(C378&gt;0, C378/'Conversion rates'!$I$3, D378)</f>
        <v/>
      </c>
      <c r="G378" s="28">
        <f>F378*'Conversion rates'!$I$3</f>
        <v>0</v>
      </c>
      <c r="H378" s="28"/>
      <c r="I378" s="9">
        <f t="shared" si="1"/>
        <v>0</v>
      </c>
      <c r="J378" s="4">
        <f t="shared" si="2"/>
        <v>0</v>
      </c>
    </row>
    <row r="379" ht="15.75" customHeight="1">
      <c r="A379" s="1"/>
      <c r="F379" s="9" t="str">
        <f>IF(C379&gt;0, C379/'Conversion rates'!$I$3, D379)</f>
        <v/>
      </c>
      <c r="G379" s="28">
        <f>F379*'Conversion rates'!$I$3</f>
        <v>0</v>
      </c>
      <c r="H379" s="28"/>
      <c r="I379" s="9">
        <f t="shared" si="1"/>
        <v>0</v>
      </c>
      <c r="J379" s="4">
        <f t="shared" si="2"/>
        <v>0</v>
      </c>
    </row>
    <row r="380" ht="15.75" customHeight="1">
      <c r="A380" s="1"/>
      <c r="F380" s="9" t="str">
        <f>IF(C380&gt;0, C380/'Conversion rates'!$I$3, D380)</f>
        <v/>
      </c>
      <c r="G380" s="28">
        <f>F380*'Conversion rates'!$I$3</f>
        <v>0</v>
      </c>
      <c r="H380" s="28"/>
      <c r="I380" s="9">
        <f t="shared" si="1"/>
        <v>0</v>
      </c>
      <c r="J380" s="4">
        <f t="shared" si="2"/>
        <v>0</v>
      </c>
    </row>
    <row r="381" ht="15.75" customHeight="1">
      <c r="A381" s="1"/>
      <c r="F381" s="9" t="str">
        <f>IF(C381&gt;0, C381/'Conversion rates'!$I$3, D381)</f>
        <v/>
      </c>
      <c r="G381" s="28">
        <f>F381*'Conversion rates'!$I$3</f>
        <v>0</v>
      </c>
      <c r="H381" s="28"/>
      <c r="I381" s="9">
        <f t="shared" si="1"/>
        <v>0</v>
      </c>
      <c r="J381" s="4">
        <f t="shared" si="2"/>
        <v>0</v>
      </c>
    </row>
    <row r="382" ht="15.75" customHeight="1">
      <c r="A382" s="1"/>
      <c r="F382" s="9" t="str">
        <f>IF(C382&gt;0, C382/'Conversion rates'!$I$3, D382)</f>
        <v/>
      </c>
      <c r="G382" s="28">
        <f>F382*'Conversion rates'!$I$3</f>
        <v>0</v>
      </c>
      <c r="H382" s="28"/>
      <c r="I382" s="9">
        <f t="shared" si="1"/>
        <v>0</v>
      </c>
      <c r="J382" s="4">
        <f t="shared" si="2"/>
        <v>0</v>
      </c>
    </row>
    <row r="383" ht="15.75" customHeight="1">
      <c r="A383" s="1"/>
      <c r="F383" s="9" t="str">
        <f>IF(C383&gt;0, C383/'Conversion rates'!$I$3, D383)</f>
        <v/>
      </c>
      <c r="G383" s="28">
        <f>F383*'Conversion rates'!$I$3</f>
        <v>0</v>
      </c>
      <c r="H383" s="28"/>
      <c r="I383" s="9">
        <f t="shared" si="1"/>
        <v>0</v>
      </c>
      <c r="J383" s="4">
        <f t="shared" si="2"/>
        <v>0</v>
      </c>
    </row>
    <row r="384" ht="15.75" customHeight="1">
      <c r="A384" s="1"/>
      <c r="F384" s="9" t="str">
        <f>IF(C384&gt;0, C384/'Conversion rates'!$I$3, D384)</f>
        <v/>
      </c>
      <c r="G384" s="28">
        <f>F384*'Conversion rates'!$I$3</f>
        <v>0</v>
      </c>
      <c r="H384" s="28"/>
      <c r="I384" s="9">
        <f t="shared" si="1"/>
        <v>0</v>
      </c>
      <c r="J384" s="4">
        <f t="shared" si="2"/>
        <v>0</v>
      </c>
    </row>
    <row r="385" ht="15.75" customHeight="1">
      <c r="A385" s="1"/>
      <c r="F385" s="9" t="str">
        <f>IF(C385&gt;0, C385/'Conversion rates'!$I$3, D385)</f>
        <v/>
      </c>
      <c r="G385" s="28">
        <f>F385*'Conversion rates'!$I$3</f>
        <v>0</v>
      </c>
      <c r="H385" s="28"/>
      <c r="I385" s="9">
        <f t="shared" si="1"/>
        <v>0</v>
      </c>
      <c r="J385" s="4">
        <f t="shared" si="2"/>
        <v>0</v>
      </c>
    </row>
    <row r="386" ht="15.75" customHeight="1">
      <c r="A386" s="1"/>
      <c r="F386" s="9" t="str">
        <f>IF(C386&gt;0, C386/'Conversion rates'!$I$3, D386)</f>
        <v/>
      </c>
      <c r="G386" s="28">
        <f>F386*'Conversion rates'!$I$3</f>
        <v>0</v>
      </c>
      <c r="H386" s="28"/>
      <c r="I386" s="9">
        <f t="shared" si="1"/>
        <v>0</v>
      </c>
      <c r="J386" s="4">
        <f t="shared" si="2"/>
        <v>0</v>
      </c>
    </row>
    <row r="387" ht="15.75" customHeight="1">
      <c r="A387" s="1"/>
      <c r="F387" s="9" t="str">
        <f>IF(C387&gt;0, C387/'Conversion rates'!$I$3, D387)</f>
        <v/>
      </c>
      <c r="G387" s="28">
        <f>F387*'Conversion rates'!$I$3</f>
        <v>0</v>
      </c>
      <c r="H387" s="28"/>
      <c r="I387" s="9">
        <f t="shared" si="1"/>
        <v>0</v>
      </c>
      <c r="J387" s="4">
        <f t="shared" si="2"/>
        <v>0</v>
      </c>
    </row>
    <row r="388" ht="15.75" customHeight="1">
      <c r="A388" s="1"/>
      <c r="F388" s="9" t="str">
        <f>IF(C388&gt;0, C388/'Conversion rates'!$I$3, D388)</f>
        <v/>
      </c>
      <c r="G388" s="28">
        <f>F388*'Conversion rates'!$I$3</f>
        <v>0</v>
      </c>
      <c r="H388" s="28"/>
      <c r="I388" s="9">
        <f t="shared" si="1"/>
        <v>0</v>
      </c>
      <c r="J388" s="4">
        <f t="shared" si="2"/>
        <v>0</v>
      </c>
    </row>
    <row r="389" ht="15.75" customHeight="1">
      <c r="A389" s="1"/>
      <c r="F389" s="9" t="str">
        <f>IF(C389&gt;0, C389/'Conversion rates'!$I$3, D389)</f>
        <v/>
      </c>
      <c r="G389" s="28">
        <f>F389*'Conversion rates'!$I$3</f>
        <v>0</v>
      </c>
      <c r="H389" s="28"/>
      <c r="I389" s="9">
        <f t="shared" si="1"/>
        <v>0</v>
      </c>
      <c r="J389" s="4">
        <f t="shared" si="2"/>
        <v>0</v>
      </c>
    </row>
    <row r="390" ht="15.75" customHeight="1">
      <c r="A390" s="1"/>
      <c r="F390" s="9" t="str">
        <f>IF(C390&gt;0, C390/'Conversion rates'!$I$3, D390)</f>
        <v/>
      </c>
      <c r="G390" s="28">
        <f>F390*'Conversion rates'!$I$3</f>
        <v>0</v>
      </c>
      <c r="H390" s="28"/>
      <c r="I390" s="9">
        <f t="shared" si="1"/>
        <v>0</v>
      </c>
      <c r="J390" s="4">
        <f t="shared" si="2"/>
        <v>0</v>
      </c>
    </row>
    <row r="391" ht="15.75" customHeight="1">
      <c r="A391" s="1"/>
      <c r="F391" s="9" t="str">
        <f>IF(C391&gt;0, C391/'Conversion rates'!$I$3, D391)</f>
        <v/>
      </c>
      <c r="G391" s="28">
        <f>F391*'Conversion rates'!$I$3</f>
        <v>0</v>
      </c>
      <c r="H391" s="28"/>
      <c r="I391" s="9">
        <f t="shared" si="1"/>
        <v>0</v>
      </c>
      <c r="J391" s="4">
        <f t="shared" si="2"/>
        <v>0</v>
      </c>
    </row>
    <row r="392" ht="15.75" customHeight="1">
      <c r="A392" s="1"/>
      <c r="F392" s="9" t="str">
        <f>IF(C392&gt;0, C392/'Conversion rates'!$I$3, D392)</f>
        <v/>
      </c>
      <c r="G392" s="28">
        <f>F392*'Conversion rates'!$I$3</f>
        <v>0</v>
      </c>
      <c r="H392" s="28"/>
      <c r="I392" s="9">
        <f t="shared" si="1"/>
        <v>0</v>
      </c>
      <c r="J392" s="4">
        <f t="shared" si="2"/>
        <v>0</v>
      </c>
    </row>
    <row r="393" ht="15.75" customHeight="1">
      <c r="A393" s="1"/>
      <c r="F393" s="9" t="str">
        <f>IF(C393&gt;0, C393/'Conversion rates'!$I$3, D393)</f>
        <v/>
      </c>
      <c r="G393" s="28">
        <f>F393*'Conversion rates'!$I$3</f>
        <v>0</v>
      </c>
      <c r="H393" s="28"/>
      <c r="I393" s="9">
        <f t="shared" si="1"/>
        <v>0</v>
      </c>
      <c r="J393" s="4">
        <f t="shared" si="2"/>
        <v>0</v>
      </c>
    </row>
    <row r="394" ht="15.75" customHeight="1">
      <c r="A394" s="1"/>
      <c r="F394" s="9" t="str">
        <f>IF(C394&gt;0, C394/'Conversion rates'!$I$3, D394)</f>
        <v/>
      </c>
      <c r="G394" s="28">
        <f>F394*'Conversion rates'!$I$3</f>
        <v>0</v>
      </c>
      <c r="H394" s="28"/>
      <c r="I394" s="9">
        <f t="shared" si="1"/>
        <v>0</v>
      </c>
      <c r="J394" s="4">
        <f t="shared" si="2"/>
        <v>0</v>
      </c>
    </row>
    <row r="395" ht="15.75" customHeight="1">
      <c r="A395" s="1"/>
      <c r="F395" s="9" t="str">
        <f>IF(C395&gt;0, C395/'Conversion rates'!$I$3, D395)</f>
        <v/>
      </c>
      <c r="G395" s="28">
        <f>F395*'Conversion rates'!$I$3</f>
        <v>0</v>
      </c>
      <c r="H395" s="28"/>
      <c r="I395" s="9">
        <f t="shared" si="1"/>
        <v>0</v>
      </c>
      <c r="J395" s="4">
        <f t="shared" si="2"/>
        <v>0</v>
      </c>
    </row>
    <row r="396" ht="15.75" customHeight="1">
      <c r="A396" s="1"/>
      <c r="F396" s="9" t="str">
        <f>IF(C396&gt;0, C396/'Conversion rates'!$I$3, D396)</f>
        <v/>
      </c>
      <c r="G396" s="28">
        <f>F396*'Conversion rates'!$I$3</f>
        <v>0</v>
      </c>
      <c r="H396" s="28"/>
      <c r="I396" s="9">
        <f t="shared" si="1"/>
        <v>0</v>
      </c>
      <c r="J396" s="4">
        <f t="shared" si="2"/>
        <v>0</v>
      </c>
    </row>
    <row r="397" ht="15.75" customHeight="1">
      <c r="A397" s="1"/>
      <c r="F397" s="9" t="str">
        <f>IF(C397&gt;0, C397/'Conversion rates'!$I$3, D397)</f>
        <v/>
      </c>
      <c r="G397" s="28">
        <f>F397*'Conversion rates'!$I$3</f>
        <v>0</v>
      </c>
      <c r="H397" s="28"/>
      <c r="I397" s="9">
        <f t="shared" si="1"/>
        <v>0</v>
      </c>
      <c r="J397" s="4">
        <f t="shared" si="2"/>
        <v>0</v>
      </c>
    </row>
    <row r="398" ht="15.75" customHeight="1">
      <c r="A398" s="1"/>
      <c r="F398" s="9" t="str">
        <f>IF(C398&gt;0, C398/'Conversion rates'!$I$3, D398)</f>
        <v/>
      </c>
      <c r="G398" s="28">
        <f>F398*'Conversion rates'!$I$3</f>
        <v>0</v>
      </c>
      <c r="H398" s="28"/>
      <c r="I398" s="9">
        <f t="shared" si="1"/>
        <v>0</v>
      </c>
      <c r="J398" s="4">
        <f t="shared" si="2"/>
        <v>0</v>
      </c>
    </row>
    <row r="399" ht="15.75" customHeight="1">
      <c r="A399" s="1"/>
      <c r="F399" s="9" t="str">
        <f>IF(C399&gt;0, C399/'Conversion rates'!$I$3, D399)</f>
        <v/>
      </c>
      <c r="G399" s="28">
        <f>F399*'Conversion rates'!$I$3</f>
        <v>0</v>
      </c>
      <c r="H399" s="28"/>
      <c r="I399" s="9">
        <f t="shared" si="1"/>
        <v>0</v>
      </c>
      <c r="J399" s="4">
        <f t="shared" si="2"/>
        <v>0</v>
      </c>
    </row>
    <row r="400" ht="15.75" customHeight="1">
      <c r="A400" s="1"/>
      <c r="F400" s="9" t="str">
        <f>IF(C400&gt;0, C400/'Conversion rates'!$I$3, D400)</f>
        <v/>
      </c>
      <c r="G400" s="28">
        <f>F400*'Conversion rates'!$I$3</f>
        <v>0</v>
      </c>
      <c r="H400" s="28"/>
      <c r="I400" s="9">
        <f t="shared" si="1"/>
        <v>0</v>
      </c>
      <c r="J400" s="4">
        <f t="shared" si="2"/>
        <v>0</v>
      </c>
    </row>
    <row r="401" ht="15.75" customHeight="1">
      <c r="A401" s="1"/>
      <c r="F401" s="9" t="str">
        <f>IF(C401&gt;0, C401/'Conversion rates'!$I$3, D401)</f>
        <v/>
      </c>
      <c r="G401" s="28">
        <f>F401*'Conversion rates'!$I$3</f>
        <v>0</v>
      </c>
      <c r="H401" s="28"/>
      <c r="I401" s="9">
        <f t="shared" si="1"/>
        <v>0</v>
      </c>
      <c r="J401" s="4">
        <f t="shared" si="2"/>
        <v>0</v>
      </c>
    </row>
    <row r="402" ht="15.75" customHeight="1">
      <c r="A402" s="1"/>
      <c r="F402" s="9" t="str">
        <f>IF(C402&gt;0, C402/'Conversion rates'!$I$3, D402)</f>
        <v/>
      </c>
      <c r="G402" s="28">
        <f>F402*'Conversion rates'!$I$3</f>
        <v>0</v>
      </c>
      <c r="H402" s="28"/>
      <c r="I402" s="9">
        <f t="shared" si="1"/>
        <v>0</v>
      </c>
      <c r="J402" s="4">
        <f t="shared" si="2"/>
        <v>0</v>
      </c>
    </row>
    <row r="403" ht="15.75" customHeight="1">
      <c r="A403" s="1"/>
      <c r="F403" s="9" t="str">
        <f>IF(C403&gt;0, C403/'Conversion rates'!$I$3, D403)</f>
        <v/>
      </c>
      <c r="G403" s="28">
        <f>F403*'Conversion rates'!$I$3</f>
        <v>0</v>
      </c>
      <c r="H403" s="28"/>
      <c r="I403" s="9">
        <f t="shared" si="1"/>
        <v>0</v>
      </c>
      <c r="J403" s="4">
        <f t="shared" si="2"/>
        <v>0</v>
      </c>
    </row>
    <row r="404" ht="15.75" customHeight="1">
      <c r="A404" s="1"/>
      <c r="F404" s="9" t="str">
        <f>IF(C404&gt;0, C404/'Conversion rates'!$I$3, D404)</f>
        <v/>
      </c>
      <c r="G404" s="28">
        <f>F404*'Conversion rates'!$I$3</f>
        <v>0</v>
      </c>
      <c r="H404" s="28"/>
      <c r="I404" s="9">
        <f t="shared" si="1"/>
        <v>0</v>
      </c>
      <c r="J404" s="4">
        <f t="shared" si="2"/>
        <v>0</v>
      </c>
    </row>
    <row r="405" ht="15.75" customHeight="1">
      <c r="A405" s="1"/>
      <c r="F405" s="9" t="str">
        <f>IF(C405&gt;0, C405/'Conversion rates'!$I$3, D405)</f>
        <v/>
      </c>
      <c r="G405" s="28">
        <f>F405*'Conversion rates'!$I$3</f>
        <v>0</v>
      </c>
      <c r="H405" s="28"/>
      <c r="I405" s="9">
        <f t="shared" si="1"/>
        <v>0</v>
      </c>
      <c r="J405" s="4">
        <f t="shared" si="2"/>
        <v>0</v>
      </c>
    </row>
    <row r="406" ht="15.75" customHeight="1">
      <c r="A406" s="1"/>
      <c r="F406" s="9" t="str">
        <f>IF(C406&gt;0, C406/'Conversion rates'!$I$3, D406)</f>
        <v/>
      </c>
      <c r="G406" s="28">
        <f>F406*'Conversion rates'!$I$3</f>
        <v>0</v>
      </c>
      <c r="H406" s="28"/>
      <c r="I406" s="9">
        <f t="shared" si="1"/>
        <v>0</v>
      </c>
      <c r="J406" s="4">
        <f t="shared" si="2"/>
        <v>0</v>
      </c>
    </row>
    <row r="407" ht="15.75" customHeight="1">
      <c r="A407" s="1"/>
      <c r="F407" s="9" t="str">
        <f>IF(C407&gt;0, C407/'Conversion rates'!$I$3, D407)</f>
        <v/>
      </c>
      <c r="G407" s="28">
        <f>F407*'Conversion rates'!$I$3</f>
        <v>0</v>
      </c>
      <c r="H407" s="28"/>
      <c r="I407" s="9">
        <f t="shared" si="1"/>
        <v>0</v>
      </c>
      <c r="J407" s="4">
        <f t="shared" si="2"/>
        <v>0</v>
      </c>
    </row>
    <row r="408" ht="15.75" customHeight="1">
      <c r="A408" s="1"/>
      <c r="F408" s="9" t="str">
        <f>IF(C408&gt;0, C408/'Conversion rates'!$I$3, D408)</f>
        <v/>
      </c>
      <c r="G408" s="28">
        <f>F408*'Conversion rates'!$I$3</f>
        <v>0</v>
      </c>
      <c r="H408" s="28"/>
      <c r="I408" s="9">
        <f t="shared" si="1"/>
        <v>0</v>
      </c>
      <c r="J408" s="4">
        <f t="shared" si="2"/>
        <v>0</v>
      </c>
    </row>
    <row r="409" ht="15.75" customHeight="1">
      <c r="A409" s="1"/>
      <c r="F409" s="9" t="str">
        <f>IF(C409&gt;0, C409/'Conversion rates'!$I$3, D409)</f>
        <v/>
      </c>
      <c r="G409" s="28">
        <f>F409*'Conversion rates'!$I$3</f>
        <v>0</v>
      </c>
      <c r="H409" s="28"/>
      <c r="I409" s="9">
        <f t="shared" si="1"/>
        <v>0</v>
      </c>
      <c r="J409" s="4">
        <f t="shared" si="2"/>
        <v>0</v>
      </c>
    </row>
    <row r="410" ht="15.75" customHeight="1">
      <c r="A410" s="1"/>
      <c r="F410" s="9" t="str">
        <f>IF(C410&gt;0, C410/'Conversion rates'!$I$3, D410)</f>
        <v/>
      </c>
      <c r="G410" s="28">
        <f>F410*'Conversion rates'!$I$3</f>
        <v>0</v>
      </c>
      <c r="H410" s="28"/>
      <c r="I410" s="9">
        <f t="shared" si="1"/>
        <v>0</v>
      </c>
      <c r="J410" s="4">
        <f t="shared" si="2"/>
        <v>0</v>
      </c>
    </row>
    <row r="411" ht="15.75" customHeight="1">
      <c r="A411" s="1"/>
      <c r="F411" s="9" t="str">
        <f>IF(C411&gt;0, C411/'Conversion rates'!$I$3, D411)</f>
        <v/>
      </c>
      <c r="G411" s="28">
        <f>F411*'Conversion rates'!$I$3</f>
        <v>0</v>
      </c>
      <c r="H411" s="28"/>
      <c r="I411" s="9">
        <f t="shared" si="1"/>
        <v>0</v>
      </c>
      <c r="J411" s="4">
        <f t="shared" si="2"/>
        <v>0</v>
      </c>
    </row>
    <row r="412" ht="15.75" customHeight="1">
      <c r="A412" s="1"/>
      <c r="F412" s="9" t="str">
        <f>IF(C412&gt;0, C412/'Conversion rates'!$I$3, D412)</f>
        <v/>
      </c>
      <c r="G412" s="28">
        <f>F412*'Conversion rates'!$I$3</f>
        <v>0</v>
      </c>
      <c r="H412" s="28"/>
      <c r="I412" s="9">
        <f t="shared" si="1"/>
        <v>0</v>
      </c>
      <c r="J412" s="4">
        <f t="shared" si="2"/>
        <v>0</v>
      </c>
    </row>
    <row r="413" ht="15.75" customHeight="1">
      <c r="A413" s="1"/>
      <c r="F413" s="9" t="str">
        <f>IF(C413&gt;0, C413/'Conversion rates'!$I$3, D413)</f>
        <v/>
      </c>
      <c r="G413" s="28">
        <f>F413*'Conversion rates'!$I$3</f>
        <v>0</v>
      </c>
      <c r="H413" s="28"/>
      <c r="I413" s="9">
        <f t="shared" si="1"/>
        <v>0</v>
      </c>
      <c r="J413" s="4">
        <f t="shared" si="2"/>
        <v>0</v>
      </c>
    </row>
    <row r="414" ht="15.75" customHeight="1">
      <c r="A414" s="1"/>
      <c r="F414" s="9" t="str">
        <f>IF(C414&gt;0, C414/'Conversion rates'!$I$3, D414)</f>
        <v/>
      </c>
      <c r="G414" s="28">
        <f>F414*'Conversion rates'!$I$3</f>
        <v>0</v>
      </c>
      <c r="H414" s="28"/>
      <c r="I414" s="9">
        <f t="shared" si="1"/>
        <v>0</v>
      </c>
      <c r="J414" s="4">
        <f t="shared" si="2"/>
        <v>0</v>
      </c>
    </row>
    <row r="415" ht="15.75" customHeight="1">
      <c r="A415" s="1"/>
      <c r="F415" s="9" t="str">
        <f>IF(C415&gt;0, C415/'Conversion rates'!$I$3, D415)</f>
        <v/>
      </c>
      <c r="G415" s="28">
        <f>F415*'Conversion rates'!$I$3</f>
        <v>0</v>
      </c>
      <c r="H415" s="28"/>
      <c r="I415" s="9">
        <f t="shared" si="1"/>
        <v>0</v>
      </c>
      <c r="J415" s="4">
        <f t="shared" si="2"/>
        <v>0</v>
      </c>
    </row>
    <row r="416" ht="15.75" customHeight="1">
      <c r="A416" s="1"/>
      <c r="F416" s="9" t="str">
        <f>IF(C416&gt;0, C416/'Conversion rates'!$I$3, D416)</f>
        <v/>
      </c>
      <c r="G416" s="28">
        <f>F416*'Conversion rates'!$I$3</f>
        <v>0</v>
      </c>
      <c r="H416" s="28"/>
      <c r="I416" s="9">
        <f t="shared" si="1"/>
        <v>0</v>
      </c>
      <c r="J416" s="4">
        <f t="shared" si="2"/>
        <v>0</v>
      </c>
    </row>
    <row r="417" ht="15.75" customHeight="1">
      <c r="A417" s="1"/>
      <c r="F417" s="9" t="str">
        <f>IF(C417&gt;0, C417/'Conversion rates'!$I$3, D417)</f>
        <v/>
      </c>
      <c r="G417" s="28">
        <f>F417*'Conversion rates'!$I$3</f>
        <v>0</v>
      </c>
      <c r="H417" s="28"/>
      <c r="I417" s="9">
        <f t="shared" si="1"/>
        <v>0</v>
      </c>
      <c r="J417" s="4">
        <f t="shared" si="2"/>
        <v>0</v>
      </c>
    </row>
    <row r="418" ht="15.75" customHeight="1">
      <c r="A418" s="1"/>
      <c r="F418" s="9" t="str">
        <f>IF(C418&gt;0, C418/'Conversion rates'!$I$3, D418)</f>
        <v/>
      </c>
      <c r="G418" s="28">
        <f>F418*'Conversion rates'!$I$3</f>
        <v>0</v>
      </c>
      <c r="H418" s="28"/>
      <c r="I418" s="9">
        <f t="shared" si="1"/>
        <v>0</v>
      </c>
      <c r="J418" s="4">
        <f t="shared" si="2"/>
        <v>0</v>
      </c>
    </row>
    <row r="419" ht="15.75" customHeight="1">
      <c r="A419" s="1"/>
      <c r="F419" s="9" t="str">
        <f>IF(C419&gt;0, C419/'Conversion rates'!$I$3, D419)</f>
        <v/>
      </c>
      <c r="G419" s="28">
        <f>F419*'Conversion rates'!$I$3</f>
        <v>0</v>
      </c>
      <c r="H419" s="28"/>
      <c r="I419" s="9">
        <f t="shared" si="1"/>
        <v>0</v>
      </c>
      <c r="J419" s="4">
        <f t="shared" si="2"/>
        <v>0</v>
      </c>
    </row>
    <row r="420" ht="15.75" customHeight="1">
      <c r="A420" s="1"/>
      <c r="F420" s="9" t="str">
        <f>IF(C420&gt;0, C420/'Conversion rates'!$I$3, D420)</f>
        <v/>
      </c>
      <c r="G420" s="28">
        <f>F420*'Conversion rates'!$I$3</f>
        <v>0</v>
      </c>
      <c r="H420" s="28"/>
      <c r="I420" s="9">
        <f t="shared" si="1"/>
        <v>0</v>
      </c>
      <c r="J420" s="4">
        <f t="shared" si="2"/>
        <v>0</v>
      </c>
    </row>
    <row r="421" ht="15.75" customHeight="1">
      <c r="A421" s="1"/>
      <c r="F421" s="9" t="str">
        <f>IF(C421&gt;0, C421/'Conversion rates'!$I$3, D421)</f>
        <v/>
      </c>
      <c r="G421" s="28">
        <f>F421*'Conversion rates'!$I$3</f>
        <v>0</v>
      </c>
      <c r="H421" s="28"/>
      <c r="I421" s="9">
        <f t="shared" si="1"/>
        <v>0</v>
      </c>
      <c r="J421" s="4">
        <f t="shared" si="2"/>
        <v>0</v>
      </c>
    </row>
    <row r="422" ht="15.75" customHeight="1">
      <c r="A422" s="1"/>
      <c r="F422" s="9" t="str">
        <f>IF(C422&gt;0, C422/'Conversion rates'!$I$3, D422)</f>
        <v/>
      </c>
      <c r="G422" s="28">
        <f>F422*'Conversion rates'!$I$3</f>
        <v>0</v>
      </c>
      <c r="H422" s="28"/>
      <c r="I422" s="9">
        <f t="shared" si="1"/>
        <v>0</v>
      </c>
      <c r="J422" s="4">
        <f t="shared" si="2"/>
        <v>0</v>
      </c>
    </row>
    <row r="423" ht="15.75" customHeight="1">
      <c r="A423" s="1"/>
      <c r="F423" s="9" t="str">
        <f>IF(C423&gt;0, C423/'Conversion rates'!$I$3, D423)</f>
        <v/>
      </c>
      <c r="G423" s="28">
        <f>F423*'Conversion rates'!$I$3</f>
        <v>0</v>
      </c>
      <c r="H423" s="28"/>
      <c r="I423" s="9">
        <f t="shared" si="1"/>
        <v>0</v>
      </c>
      <c r="J423" s="4">
        <f t="shared" si="2"/>
        <v>0</v>
      </c>
    </row>
    <row r="424" ht="15.75" customHeight="1">
      <c r="A424" s="1"/>
      <c r="F424" s="9" t="str">
        <f>IF(C424&gt;0, C424/'Conversion rates'!$I$3, D424)</f>
        <v/>
      </c>
      <c r="G424" s="28">
        <f>F424*'Conversion rates'!$I$3</f>
        <v>0</v>
      </c>
      <c r="H424" s="28"/>
      <c r="I424" s="9">
        <f t="shared" si="1"/>
        <v>0</v>
      </c>
      <c r="J424" s="4">
        <f t="shared" si="2"/>
        <v>0</v>
      </c>
    </row>
    <row r="425" ht="15.75" customHeight="1">
      <c r="A425" s="1"/>
      <c r="F425" s="9" t="str">
        <f>IF(C425&gt;0, C425/'Conversion rates'!$I$3, D425)</f>
        <v/>
      </c>
      <c r="G425" s="28">
        <f>F425*'Conversion rates'!$I$3</f>
        <v>0</v>
      </c>
      <c r="H425" s="28"/>
      <c r="I425" s="9">
        <f t="shared" si="1"/>
        <v>0</v>
      </c>
      <c r="J425" s="4">
        <f t="shared" si="2"/>
        <v>0</v>
      </c>
    </row>
    <row r="426" ht="15.75" customHeight="1">
      <c r="A426" s="1"/>
      <c r="F426" s="9" t="str">
        <f>IF(C426&gt;0, C426/'Conversion rates'!$I$3, D426)</f>
        <v/>
      </c>
      <c r="G426" s="28">
        <f>F426*'Conversion rates'!$I$3</f>
        <v>0</v>
      </c>
      <c r="H426" s="28"/>
      <c r="I426" s="9">
        <f t="shared" si="1"/>
        <v>0</v>
      </c>
      <c r="J426" s="4">
        <f t="shared" si="2"/>
        <v>0</v>
      </c>
    </row>
    <row r="427" ht="15.75" customHeight="1">
      <c r="A427" s="1"/>
      <c r="F427" s="9" t="str">
        <f>IF(C427&gt;0, C427/'Conversion rates'!$I$3, D427)</f>
        <v/>
      </c>
      <c r="G427" s="28">
        <f>F427*'Conversion rates'!$I$3</f>
        <v>0</v>
      </c>
      <c r="H427" s="28"/>
      <c r="I427" s="9">
        <f t="shared" si="1"/>
        <v>0</v>
      </c>
      <c r="J427" s="4">
        <f t="shared" si="2"/>
        <v>0</v>
      </c>
    </row>
    <row r="428" ht="15.75" customHeight="1">
      <c r="A428" s="1"/>
      <c r="F428" s="9" t="str">
        <f>IF(C428&gt;0, C428/'Conversion rates'!$I$3, D428)</f>
        <v/>
      </c>
      <c r="G428" s="28">
        <f>F428*'Conversion rates'!$I$3</f>
        <v>0</v>
      </c>
      <c r="H428" s="28"/>
      <c r="I428" s="9">
        <f t="shared" si="1"/>
        <v>0</v>
      </c>
      <c r="J428" s="4">
        <f t="shared" si="2"/>
        <v>0</v>
      </c>
    </row>
    <row r="429" ht="15.75" customHeight="1">
      <c r="A429" s="1"/>
      <c r="F429" s="9" t="str">
        <f>IF(C429&gt;0, C429/'Conversion rates'!$I$3, D429)</f>
        <v/>
      </c>
      <c r="G429" s="28">
        <f>F429*'Conversion rates'!$I$3</f>
        <v>0</v>
      </c>
      <c r="H429" s="28"/>
      <c r="I429" s="9">
        <f t="shared" si="1"/>
        <v>0</v>
      </c>
      <c r="J429" s="4">
        <f t="shared" si="2"/>
        <v>0</v>
      </c>
    </row>
    <row r="430" ht="15.75" customHeight="1">
      <c r="A430" s="1"/>
      <c r="F430" s="9" t="str">
        <f>IF(C430&gt;0, C430/'Conversion rates'!$I$3, D430)</f>
        <v/>
      </c>
      <c r="G430" s="28">
        <f>F430*'Conversion rates'!$I$3</f>
        <v>0</v>
      </c>
      <c r="H430" s="28"/>
      <c r="I430" s="9">
        <f t="shared" si="1"/>
        <v>0</v>
      </c>
      <c r="J430" s="4">
        <f t="shared" si="2"/>
        <v>0</v>
      </c>
    </row>
    <row r="431" ht="15.75" customHeight="1">
      <c r="A431" s="1"/>
      <c r="F431" s="9" t="str">
        <f>IF(C431&gt;0, C431/'Conversion rates'!$I$3, D431)</f>
        <v/>
      </c>
      <c r="G431" s="28">
        <f>F431*'Conversion rates'!$I$3</f>
        <v>0</v>
      </c>
      <c r="H431" s="28"/>
      <c r="I431" s="9">
        <f t="shared" si="1"/>
        <v>0</v>
      </c>
      <c r="J431" s="4">
        <f t="shared" si="2"/>
        <v>0</v>
      </c>
    </row>
    <row r="432" ht="15.75" customHeight="1">
      <c r="A432" s="1"/>
      <c r="F432" s="9" t="str">
        <f>IF(C432&gt;0, C432/'Conversion rates'!$I$3, D432)</f>
        <v/>
      </c>
      <c r="G432" s="28">
        <f>F432*'Conversion rates'!$I$3</f>
        <v>0</v>
      </c>
      <c r="H432" s="28"/>
      <c r="I432" s="9">
        <f t="shared" si="1"/>
        <v>0</v>
      </c>
      <c r="J432" s="4">
        <f t="shared" si="2"/>
        <v>0</v>
      </c>
    </row>
    <row r="433" ht="15.75" customHeight="1">
      <c r="A433" s="1"/>
      <c r="F433" s="9" t="str">
        <f>IF(C433&gt;0, C433/'Conversion rates'!$I$3, D433)</f>
        <v/>
      </c>
      <c r="G433" s="28">
        <f>F433*'Conversion rates'!$I$3</f>
        <v>0</v>
      </c>
      <c r="H433" s="28"/>
      <c r="I433" s="9">
        <f t="shared" si="1"/>
        <v>0</v>
      </c>
      <c r="J433" s="4">
        <f t="shared" si="2"/>
        <v>0</v>
      </c>
    </row>
    <row r="434" ht="15.75" customHeight="1">
      <c r="A434" s="1"/>
      <c r="F434" s="9" t="str">
        <f>IF(C434&gt;0, C434/'Conversion rates'!$I$3, D434)</f>
        <v/>
      </c>
      <c r="G434" s="28">
        <f>F434*'Conversion rates'!$I$3</f>
        <v>0</v>
      </c>
      <c r="H434" s="28"/>
      <c r="I434" s="9">
        <f t="shared" si="1"/>
        <v>0</v>
      </c>
      <c r="J434" s="4">
        <f t="shared" si="2"/>
        <v>0</v>
      </c>
    </row>
    <row r="435" ht="15.75" customHeight="1">
      <c r="A435" s="1"/>
      <c r="F435" s="9" t="str">
        <f>IF(C435&gt;0, C435/'Conversion rates'!$I$3, D435)</f>
        <v/>
      </c>
      <c r="G435" s="28">
        <f>F435*'Conversion rates'!$I$3</f>
        <v>0</v>
      </c>
      <c r="H435" s="28"/>
      <c r="I435" s="9">
        <f t="shared" si="1"/>
        <v>0</v>
      </c>
      <c r="J435" s="4">
        <f t="shared" si="2"/>
        <v>0</v>
      </c>
    </row>
    <row r="436" ht="15.75" customHeight="1">
      <c r="A436" s="1"/>
      <c r="F436" s="9" t="str">
        <f>IF(C436&gt;0, C436/'Conversion rates'!$I$3, D436)</f>
        <v/>
      </c>
      <c r="G436" s="28">
        <f>F436*'Conversion rates'!$I$3</f>
        <v>0</v>
      </c>
      <c r="H436" s="28"/>
      <c r="I436" s="9">
        <f t="shared" si="1"/>
        <v>0</v>
      </c>
      <c r="J436" s="4">
        <f t="shared" si="2"/>
        <v>0</v>
      </c>
    </row>
    <row r="437" ht="15.75" customHeight="1">
      <c r="A437" s="1"/>
      <c r="F437" s="9" t="str">
        <f>IF(C437&gt;0, C437/'Conversion rates'!$I$3, D437)</f>
        <v/>
      </c>
      <c r="G437" s="28">
        <f>F437*'Conversion rates'!$I$3</f>
        <v>0</v>
      </c>
      <c r="H437" s="28"/>
      <c r="I437" s="9">
        <f t="shared" si="1"/>
        <v>0</v>
      </c>
      <c r="J437" s="4">
        <f t="shared" si="2"/>
        <v>0</v>
      </c>
    </row>
    <row r="438" ht="15.75" customHeight="1">
      <c r="A438" s="1"/>
      <c r="F438" s="9" t="str">
        <f>IF(C438&gt;0, C438/'Conversion rates'!$I$3, D438)</f>
        <v/>
      </c>
      <c r="G438" s="28">
        <f>F438*'Conversion rates'!$I$3</f>
        <v>0</v>
      </c>
      <c r="H438" s="28"/>
      <c r="I438" s="9">
        <f t="shared" si="1"/>
        <v>0</v>
      </c>
      <c r="J438" s="4">
        <f t="shared" si="2"/>
        <v>0</v>
      </c>
    </row>
    <row r="439" ht="15.75" customHeight="1">
      <c r="A439" s="1"/>
      <c r="F439" s="9" t="str">
        <f>IF(C439&gt;0, C439/'Conversion rates'!$I$3, D439)</f>
        <v/>
      </c>
      <c r="G439" s="28">
        <f>F439*'Conversion rates'!$I$3</f>
        <v>0</v>
      </c>
      <c r="H439" s="28"/>
      <c r="I439" s="9">
        <f t="shared" si="1"/>
        <v>0</v>
      </c>
      <c r="J439" s="4">
        <f t="shared" si="2"/>
        <v>0</v>
      </c>
    </row>
    <row r="440" ht="15.75" customHeight="1">
      <c r="A440" s="1"/>
      <c r="F440" s="9" t="str">
        <f>IF(C440&gt;0, C440/'Conversion rates'!$I$3, D440)</f>
        <v/>
      </c>
      <c r="G440" s="28">
        <f>F440*'Conversion rates'!$I$3</f>
        <v>0</v>
      </c>
      <c r="H440" s="28"/>
      <c r="I440" s="9">
        <f t="shared" si="1"/>
        <v>0</v>
      </c>
      <c r="J440" s="4">
        <f t="shared" si="2"/>
        <v>0</v>
      </c>
    </row>
    <row r="441" ht="15.75" customHeight="1">
      <c r="A441" s="1"/>
      <c r="F441" s="9" t="str">
        <f>IF(C441&gt;0, C441/'Conversion rates'!$I$3, D441)</f>
        <v/>
      </c>
      <c r="G441" s="28">
        <f>F441*'Conversion rates'!$I$3</f>
        <v>0</v>
      </c>
      <c r="H441" s="28"/>
      <c r="I441" s="9">
        <f t="shared" si="1"/>
        <v>0</v>
      </c>
      <c r="J441" s="4">
        <f t="shared" si="2"/>
        <v>0</v>
      </c>
    </row>
    <row r="442" ht="15.75" customHeight="1">
      <c r="A442" s="1"/>
      <c r="F442" s="9" t="str">
        <f>IF(C442&gt;0, C442/'Conversion rates'!$I$3, D442)</f>
        <v/>
      </c>
      <c r="G442" s="28">
        <f>F442*'Conversion rates'!$I$3</f>
        <v>0</v>
      </c>
      <c r="H442" s="28"/>
      <c r="I442" s="9">
        <f t="shared" si="1"/>
        <v>0</v>
      </c>
      <c r="J442" s="4">
        <f t="shared" si="2"/>
        <v>0</v>
      </c>
    </row>
    <row r="443" ht="15.75" customHeight="1">
      <c r="A443" s="1"/>
      <c r="F443" s="9" t="str">
        <f>IF(C443&gt;0, C443/'Conversion rates'!$I$3, D443)</f>
        <v/>
      </c>
      <c r="G443" s="28">
        <f>F443*'Conversion rates'!$I$3</f>
        <v>0</v>
      </c>
      <c r="H443" s="28"/>
      <c r="I443" s="9">
        <f t="shared" si="1"/>
        <v>0</v>
      </c>
      <c r="J443" s="4">
        <f t="shared" si="2"/>
        <v>0</v>
      </c>
    </row>
    <row r="444" ht="15.75" customHeight="1">
      <c r="A444" s="1"/>
      <c r="F444" s="9" t="str">
        <f>IF(C444&gt;0, C444/'Conversion rates'!$I$3, D444)</f>
        <v/>
      </c>
      <c r="G444" s="28">
        <f>F444*'Conversion rates'!$I$3</f>
        <v>0</v>
      </c>
      <c r="H444" s="28"/>
      <c r="I444" s="9">
        <f t="shared" si="1"/>
        <v>0</v>
      </c>
      <c r="J444" s="4">
        <f t="shared" si="2"/>
        <v>0</v>
      </c>
    </row>
    <row r="445" ht="15.75" customHeight="1">
      <c r="A445" s="1"/>
      <c r="F445" s="9" t="str">
        <f>IF(C445&gt;0, C445/'Conversion rates'!$I$3, D445)</f>
        <v/>
      </c>
      <c r="G445" s="28">
        <f>F445*'Conversion rates'!$I$3</f>
        <v>0</v>
      </c>
      <c r="H445" s="28"/>
      <c r="I445" s="9">
        <f t="shared" si="1"/>
        <v>0</v>
      </c>
      <c r="J445" s="4">
        <f t="shared" si="2"/>
        <v>0</v>
      </c>
    </row>
    <row r="446" ht="15.75" customHeight="1">
      <c r="A446" s="1"/>
      <c r="F446" s="9" t="str">
        <f>IF(C446&gt;0, C446/'Conversion rates'!$I$3, D446)</f>
        <v/>
      </c>
      <c r="G446" s="28">
        <f>F446*'Conversion rates'!$I$3</f>
        <v>0</v>
      </c>
      <c r="H446" s="28"/>
      <c r="I446" s="9">
        <f t="shared" si="1"/>
        <v>0</v>
      </c>
      <c r="J446" s="4">
        <f t="shared" si="2"/>
        <v>0</v>
      </c>
    </row>
    <row r="447" ht="15.75" customHeight="1">
      <c r="A447" s="1"/>
      <c r="F447" s="9" t="str">
        <f>IF(C447&gt;0, C447/'Conversion rates'!$I$3, D447)</f>
        <v/>
      </c>
      <c r="G447" s="28">
        <f>F447*'Conversion rates'!$I$3</f>
        <v>0</v>
      </c>
      <c r="H447" s="28"/>
      <c r="I447" s="9">
        <f t="shared" si="1"/>
        <v>0</v>
      </c>
      <c r="J447" s="4">
        <f t="shared" si="2"/>
        <v>0</v>
      </c>
    </row>
    <row r="448" ht="15.75" customHeight="1">
      <c r="A448" s="1"/>
      <c r="F448" s="9" t="str">
        <f>IF(C448&gt;0, C448/'Conversion rates'!$I$3, D448)</f>
        <v/>
      </c>
      <c r="G448" s="28">
        <f>F448*'Conversion rates'!$I$3</f>
        <v>0</v>
      </c>
      <c r="H448" s="28"/>
      <c r="I448" s="9">
        <f t="shared" si="1"/>
        <v>0</v>
      </c>
      <c r="J448" s="4">
        <f t="shared" si="2"/>
        <v>0</v>
      </c>
    </row>
    <row r="449" ht="15.75" customHeight="1">
      <c r="A449" s="1"/>
      <c r="F449" s="9" t="str">
        <f>IF(C449&gt;0, C449/'Conversion rates'!$I$3, D449)</f>
        <v/>
      </c>
      <c r="G449" s="28">
        <f>F449*'Conversion rates'!$I$3</f>
        <v>0</v>
      </c>
      <c r="H449" s="28"/>
      <c r="I449" s="9">
        <f t="shared" si="1"/>
        <v>0</v>
      </c>
      <c r="J449" s="4">
        <f t="shared" si="2"/>
        <v>0</v>
      </c>
    </row>
    <row r="450" ht="15.75" customHeight="1">
      <c r="A450" s="1"/>
      <c r="F450" s="9" t="str">
        <f>IF(C450&gt;0, C450/'Conversion rates'!$I$3, D450)</f>
        <v/>
      </c>
      <c r="G450" s="28">
        <f>F450*'Conversion rates'!$I$3</f>
        <v>0</v>
      </c>
      <c r="H450" s="28"/>
      <c r="I450" s="9">
        <f t="shared" si="1"/>
        <v>0</v>
      </c>
      <c r="J450" s="4">
        <f t="shared" si="2"/>
        <v>0</v>
      </c>
    </row>
    <row r="451" ht="15.75" customHeight="1">
      <c r="A451" s="1"/>
      <c r="F451" s="9" t="str">
        <f>IF(C451&gt;0, C451/'Conversion rates'!$I$3, D451)</f>
        <v/>
      </c>
      <c r="G451" s="28">
        <f>F451*'Conversion rates'!$I$3</f>
        <v>0</v>
      </c>
      <c r="H451" s="28"/>
      <c r="I451" s="9">
        <f t="shared" si="1"/>
        <v>0</v>
      </c>
      <c r="J451" s="4">
        <f t="shared" si="2"/>
        <v>0</v>
      </c>
    </row>
    <row r="452" ht="15.75" customHeight="1">
      <c r="A452" s="1"/>
      <c r="F452" s="9" t="str">
        <f>IF(C452&gt;0, C452/'Conversion rates'!$I$3, D452)</f>
        <v/>
      </c>
      <c r="G452" s="28">
        <f>F452*'Conversion rates'!$I$3</f>
        <v>0</v>
      </c>
      <c r="H452" s="28"/>
      <c r="I452" s="9">
        <f t="shared" si="1"/>
        <v>0</v>
      </c>
      <c r="J452" s="4">
        <f t="shared" si="2"/>
        <v>0</v>
      </c>
    </row>
    <row r="453" ht="15.75" customHeight="1">
      <c r="A453" s="1"/>
      <c r="F453" s="9" t="str">
        <f>IF(C453&gt;0, C453/'Conversion rates'!$I$3, D453)</f>
        <v/>
      </c>
      <c r="G453" s="28">
        <f>F453*'Conversion rates'!$I$3</f>
        <v>0</v>
      </c>
      <c r="H453" s="28"/>
      <c r="I453" s="9">
        <f t="shared" si="1"/>
        <v>0</v>
      </c>
      <c r="J453" s="4">
        <f t="shared" si="2"/>
        <v>0</v>
      </c>
    </row>
    <row r="454" ht="15.75" customHeight="1">
      <c r="A454" s="1"/>
      <c r="F454" s="9" t="str">
        <f>IF(C454&gt;0, C454/'Conversion rates'!$I$3, D454)</f>
        <v/>
      </c>
      <c r="G454" s="28">
        <f>F454*'Conversion rates'!$I$3</f>
        <v>0</v>
      </c>
      <c r="H454" s="28"/>
      <c r="I454" s="9">
        <f t="shared" si="1"/>
        <v>0</v>
      </c>
      <c r="J454" s="4">
        <f t="shared" si="2"/>
        <v>0</v>
      </c>
    </row>
    <row r="455" ht="15.75" customHeight="1">
      <c r="A455" s="1"/>
      <c r="F455" s="9" t="str">
        <f>IF(C455&gt;0, C455/'Conversion rates'!$I$3, D455)</f>
        <v/>
      </c>
      <c r="G455" s="28">
        <f>F455*'Conversion rates'!$I$3</f>
        <v>0</v>
      </c>
      <c r="H455" s="28"/>
      <c r="I455" s="9">
        <f t="shared" si="1"/>
        <v>0</v>
      </c>
      <c r="J455" s="4">
        <f t="shared" si="2"/>
        <v>0</v>
      </c>
    </row>
    <row r="456" ht="15.75" customHeight="1">
      <c r="A456" s="1"/>
      <c r="F456" s="9" t="str">
        <f>IF(C456&gt;0, C456/'Conversion rates'!$I$3, D456)</f>
        <v/>
      </c>
      <c r="G456" s="28">
        <f>F456*'Conversion rates'!$I$3</f>
        <v>0</v>
      </c>
      <c r="H456" s="28"/>
      <c r="I456" s="9">
        <f t="shared" si="1"/>
        <v>0</v>
      </c>
      <c r="J456" s="4">
        <f t="shared" si="2"/>
        <v>0</v>
      </c>
    </row>
    <row r="457" ht="15.75" customHeight="1">
      <c r="A457" s="1"/>
      <c r="F457" s="9" t="str">
        <f>IF(C457&gt;0, C457/'Conversion rates'!$I$3, D457)</f>
        <v/>
      </c>
      <c r="G457" s="28">
        <f>F457*'Conversion rates'!$I$3</f>
        <v>0</v>
      </c>
      <c r="H457" s="28"/>
      <c r="I457" s="9">
        <f t="shared" si="1"/>
        <v>0</v>
      </c>
      <c r="J457" s="4">
        <f t="shared" si="2"/>
        <v>0</v>
      </c>
    </row>
    <row r="458" ht="15.75" customHeight="1">
      <c r="A458" s="1"/>
      <c r="F458" s="9" t="str">
        <f>IF(C458&gt;0, C458/'Conversion rates'!$I$3, D458)</f>
        <v/>
      </c>
      <c r="G458" s="28">
        <f>F458*'Conversion rates'!$I$3</f>
        <v>0</v>
      </c>
      <c r="H458" s="28"/>
      <c r="I458" s="9">
        <f t="shared" si="1"/>
        <v>0</v>
      </c>
      <c r="J458" s="4">
        <f t="shared" si="2"/>
        <v>0</v>
      </c>
    </row>
    <row r="459" ht="15.75" customHeight="1">
      <c r="A459" s="1"/>
      <c r="F459" s="9" t="str">
        <f>IF(C459&gt;0, C459/'Conversion rates'!$I$3, D459)</f>
        <v/>
      </c>
      <c r="G459" s="28">
        <f>F459*'Conversion rates'!$I$3</f>
        <v>0</v>
      </c>
      <c r="H459" s="28"/>
      <c r="I459" s="9">
        <f t="shared" si="1"/>
        <v>0</v>
      </c>
      <c r="J459" s="4">
        <f t="shared" si="2"/>
        <v>0</v>
      </c>
    </row>
    <row r="460" ht="15.75" customHeight="1">
      <c r="A460" s="1"/>
      <c r="F460" s="9" t="str">
        <f>IF(C460&gt;0, C460/'Conversion rates'!$I$3, D460)</f>
        <v/>
      </c>
      <c r="G460" s="28">
        <f>F460*'Conversion rates'!$I$3</f>
        <v>0</v>
      </c>
      <c r="H460" s="28"/>
      <c r="I460" s="9">
        <f t="shared" si="1"/>
        <v>0</v>
      </c>
      <c r="J460" s="4">
        <f t="shared" si="2"/>
        <v>0</v>
      </c>
    </row>
    <row r="461" ht="15.75" customHeight="1">
      <c r="A461" s="1"/>
      <c r="F461" s="9" t="str">
        <f>IF(C461&gt;0, C461/'Conversion rates'!$I$3, D461)</f>
        <v/>
      </c>
      <c r="G461" s="28">
        <f>F461*'Conversion rates'!$I$3</f>
        <v>0</v>
      </c>
      <c r="H461" s="28"/>
      <c r="I461" s="9">
        <f t="shared" si="1"/>
        <v>0</v>
      </c>
      <c r="J461" s="4">
        <f t="shared" si="2"/>
        <v>0</v>
      </c>
    </row>
    <row r="462" ht="15.75" customHeight="1">
      <c r="A462" s="1"/>
      <c r="F462" s="9" t="str">
        <f>IF(C462&gt;0, C462/'Conversion rates'!$I$3, D462)</f>
        <v/>
      </c>
      <c r="G462" s="28">
        <f>F462*'Conversion rates'!$I$3</f>
        <v>0</v>
      </c>
      <c r="H462" s="28"/>
      <c r="I462" s="9">
        <f t="shared" si="1"/>
        <v>0</v>
      </c>
      <c r="J462" s="4">
        <f t="shared" si="2"/>
        <v>0</v>
      </c>
    </row>
    <row r="463" ht="15.75" customHeight="1">
      <c r="A463" s="1"/>
      <c r="F463" s="9" t="str">
        <f>IF(C463&gt;0, C463/'Conversion rates'!$I$3, D463)</f>
        <v/>
      </c>
      <c r="G463" s="28">
        <f>F463*'Conversion rates'!$I$3</f>
        <v>0</v>
      </c>
      <c r="H463" s="28"/>
      <c r="I463" s="9">
        <f t="shared" si="1"/>
        <v>0</v>
      </c>
      <c r="J463" s="4">
        <f t="shared" si="2"/>
        <v>0</v>
      </c>
    </row>
    <row r="464" ht="15.75" customHeight="1">
      <c r="A464" s="1"/>
      <c r="F464" s="9" t="str">
        <f>IF(C464&gt;0, C464/'Conversion rates'!$I$3, D464)</f>
        <v/>
      </c>
      <c r="G464" s="28">
        <f>F464*'Conversion rates'!$I$3</f>
        <v>0</v>
      </c>
      <c r="H464" s="28"/>
      <c r="I464" s="9">
        <f t="shared" si="1"/>
        <v>0</v>
      </c>
      <c r="J464" s="4">
        <f t="shared" si="2"/>
        <v>0</v>
      </c>
    </row>
    <row r="465" ht="15.75" customHeight="1">
      <c r="A465" s="1"/>
      <c r="F465" s="9" t="str">
        <f>IF(C465&gt;0, C465/'Conversion rates'!$I$3, D465)</f>
        <v/>
      </c>
      <c r="G465" s="28">
        <f>F465*'Conversion rates'!$I$3</f>
        <v>0</v>
      </c>
      <c r="H465" s="28"/>
      <c r="I465" s="9">
        <f t="shared" si="1"/>
        <v>0</v>
      </c>
      <c r="J465" s="4">
        <f t="shared" si="2"/>
        <v>0</v>
      </c>
    </row>
    <row r="466" ht="15.75" customHeight="1">
      <c r="A466" s="1"/>
      <c r="F466" s="9" t="str">
        <f>IF(C466&gt;0, C466/'Conversion rates'!$I$3, D466)</f>
        <v/>
      </c>
      <c r="G466" s="28">
        <f>F466*'Conversion rates'!$I$3</f>
        <v>0</v>
      </c>
      <c r="H466" s="28"/>
      <c r="I466" s="9">
        <f t="shared" si="1"/>
        <v>0</v>
      </c>
      <c r="J466" s="4">
        <f t="shared" si="2"/>
        <v>0</v>
      </c>
    </row>
    <row r="467" ht="15.75" customHeight="1">
      <c r="A467" s="1"/>
      <c r="F467" s="9" t="str">
        <f>IF(C467&gt;0, C467/'Conversion rates'!$I$3, D467)</f>
        <v/>
      </c>
      <c r="G467" s="28">
        <f>F467*'Conversion rates'!$I$3</f>
        <v>0</v>
      </c>
      <c r="H467" s="28"/>
      <c r="I467" s="9">
        <f t="shared" si="1"/>
        <v>0</v>
      </c>
      <c r="J467" s="4">
        <f t="shared" si="2"/>
        <v>0</v>
      </c>
    </row>
    <row r="468" ht="15.75" customHeight="1">
      <c r="A468" s="1"/>
      <c r="F468" s="9" t="str">
        <f>IF(C468&gt;0, C468/'Conversion rates'!$I$3, D468)</f>
        <v/>
      </c>
      <c r="G468" s="28">
        <f>F468*'Conversion rates'!$I$3</f>
        <v>0</v>
      </c>
      <c r="H468" s="28"/>
      <c r="I468" s="9">
        <f t="shared" si="1"/>
        <v>0</v>
      </c>
      <c r="J468" s="4">
        <f t="shared" si="2"/>
        <v>0</v>
      </c>
    </row>
    <row r="469" ht="15.75" customHeight="1">
      <c r="A469" s="1"/>
      <c r="F469" s="9" t="str">
        <f>IF(C469&gt;0, C469/'Conversion rates'!$I$3, D469)</f>
        <v/>
      </c>
      <c r="G469" s="28">
        <f>F469*'Conversion rates'!$I$3</f>
        <v>0</v>
      </c>
      <c r="H469" s="28"/>
      <c r="I469" s="9">
        <f t="shared" si="1"/>
        <v>0</v>
      </c>
      <c r="J469" s="4">
        <f t="shared" si="2"/>
        <v>0</v>
      </c>
    </row>
    <row r="470" ht="15.75" customHeight="1">
      <c r="A470" s="1"/>
      <c r="F470" s="9" t="str">
        <f>IF(C470&gt;0, C470/'Conversion rates'!$I$3, D470)</f>
        <v/>
      </c>
      <c r="G470" s="28">
        <f>F470*'Conversion rates'!$I$3</f>
        <v>0</v>
      </c>
      <c r="H470" s="28"/>
      <c r="I470" s="9">
        <f t="shared" si="1"/>
        <v>0</v>
      </c>
      <c r="J470" s="4">
        <f t="shared" si="2"/>
        <v>0</v>
      </c>
    </row>
    <row r="471" ht="15.75" customHeight="1">
      <c r="A471" s="1"/>
      <c r="F471" s="9" t="str">
        <f>IF(C471&gt;0, C471/'Conversion rates'!$I$3, D471)</f>
        <v/>
      </c>
      <c r="G471" s="28">
        <f>F471*'Conversion rates'!$I$3</f>
        <v>0</v>
      </c>
      <c r="H471" s="28"/>
      <c r="I471" s="9">
        <f t="shared" si="1"/>
        <v>0</v>
      </c>
      <c r="J471" s="4">
        <f t="shared" si="2"/>
        <v>0</v>
      </c>
    </row>
    <row r="472" ht="15.75" customHeight="1">
      <c r="A472" s="1"/>
      <c r="F472" s="9" t="str">
        <f>IF(C472&gt;0, C472/'Conversion rates'!$I$3, D472)</f>
        <v/>
      </c>
      <c r="G472" s="28">
        <f>F472*'Conversion rates'!$I$3</f>
        <v>0</v>
      </c>
      <c r="H472" s="28"/>
      <c r="I472" s="9">
        <f t="shared" si="1"/>
        <v>0</v>
      </c>
      <c r="J472" s="4">
        <f t="shared" si="2"/>
        <v>0</v>
      </c>
    </row>
    <row r="473" ht="15.75" customHeight="1">
      <c r="A473" s="1"/>
      <c r="F473" s="9" t="str">
        <f>IF(C473&gt;0, C473/'Conversion rates'!$I$3, D473)</f>
        <v/>
      </c>
      <c r="G473" s="28">
        <f>F473*'Conversion rates'!$I$3</f>
        <v>0</v>
      </c>
      <c r="H473" s="28"/>
      <c r="I473" s="9">
        <f t="shared" si="1"/>
        <v>0</v>
      </c>
      <c r="J473" s="4">
        <f t="shared" si="2"/>
        <v>0</v>
      </c>
    </row>
    <row r="474" ht="15.75" customHeight="1">
      <c r="A474" s="1"/>
      <c r="F474" s="9" t="str">
        <f>IF(C474&gt;0, C474/'Conversion rates'!$I$3, D474)</f>
        <v/>
      </c>
      <c r="G474" s="28">
        <f>F474*'Conversion rates'!$I$3</f>
        <v>0</v>
      </c>
      <c r="H474" s="28"/>
      <c r="I474" s="9">
        <f t="shared" si="1"/>
        <v>0</v>
      </c>
      <c r="J474" s="4">
        <f t="shared" si="2"/>
        <v>0</v>
      </c>
    </row>
    <row r="475" ht="15.75" customHeight="1">
      <c r="A475" s="1"/>
      <c r="F475" s="9" t="str">
        <f>IF(C475&gt;0, C475/'Conversion rates'!$I$3, D475)</f>
        <v/>
      </c>
      <c r="G475" s="28">
        <f>F475*'Conversion rates'!$I$3</f>
        <v>0</v>
      </c>
      <c r="H475" s="28"/>
      <c r="I475" s="9">
        <f t="shared" si="1"/>
        <v>0</v>
      </c>
      <c r="J475" s="4">
        <f t="shared" si="2"/>
        <v>0</v>
      </c>
    </row>
    <row r="476" ht="15.75" customHeight="1">
      <c r="A476" s="1"/>
      <c r="F476" s="9" t="str">
        <f>IF(C476&gt;0, C476/'Conversion rates'!$I$3, D476)</f>
        <v/>
      </c>
      <c r="G476" s="28">
        <f>F476*'Conversion rates'!$I$3</f>
        <v>0</v>
      </c>
      <c r="H476" s="28"/>
      <c r="I476" s="9">
        <f t="shared" si="1"/>
        <v>0</v>
      </c>
      <c r="J476" s="4">
        <f t="shared" si="2"/>
        <v>0</v>
      </c>
    </row>
    <row r="477" ht="15.75" customHeight="1">
      <c r="A477" s="1"/>
      <c r="F477" s="9" t="str">
        <f>IF(C477&gt;0, C477/'Conversion rates'!$I$3, D477)</f>
        <v/>
      </c>
      <c r="G477" s="28">
        <f>F477*'Conversion rates'!$I$3</f>
        <v>0</v>
      </c>
      <c r="H477" s="28"/>
      <c r="I477" s="9">
        <f t="shared" si="1"/>
        <v>0</v>
      </c>
      <c r="J477" s="4">
        <f t="shared" si="2"/>
        <v>0</v>
      </c>
    </row>
    <row r="478" ht="15.75" customHeight="1">
      <c r="A478" s="1"/>
      <c r="F478" s="9" t="str">
        <f>IF(C478&gt;0, C478/'Conversion rates'!$I$3, D478)</f>
        <v/>
      </c>
      <c r="G478" s="28">
        <f>F478*'Conversion rates'!$I$3</f>
        <v>0</v>
      </c>
      <c r="H478" s="28"/>
      <c r="I478" s="9">
        <f t="shared" si="1"/>
        <v>0</v>
      </c>
      <c r="J478" s="4">
        <f t="shared" si="2"/>
        <v>0</v>
      </c>
    </row>
    <row r="479" ht="15.75" customHeight="1">
      <c r="A479" s="1"/>
      <c r="F479" s="9" t="str">
        <f>IF(C479&gt;0, C479/'Conversion rates'!$I$3, D479)</f>
        <v/>
      </c>
      <c r="G479" s="28">
        <f>F479*'Conversion rates'!$I$3</f>
        <v>0</v>
      </c>
      <c r="H479" s="28"/>
      <c r="I479" s="9">
        <f t="shared" si="1"/>
        <v>0</v>
      </c>
      <c r="J479" s="4">
        <f t="shared" si="2"/>
        <v>0</v>
      </c>
    </row>
    <row r="480" ht="15.75" customHeight="1">
      <c r="A480" s="1"/>
      <c r="F480" s="9" t="str">
        <f>IF(C480&gt;0, C480/'Conversion rates'!$I$3, D480)</f>
        <v/>
      </c>
      <c r="G480" s="28">
        <f>F480*'Conversion rates'!$I$3</f>
        <v>0</v>
      </c>
      <c r="H480" s="28"/>
      <c r="I480" s="9">
        <f t="shared" si="1"/>
        <v>0</v>
      </c>
      <c r="J480" s="4">
        <f t="shared" si="2"/>
        <v>0</v>
      </c>
    </row>
    <row r="481" ht="15.75" customHeight="1">
      <c r="A481" s="1"/>
      <c r="F481" s="9" t="str">
        <f>IF(C481&gt;0, C481/'Conversion rates'!$I$3, D481)</f>
        <v/>
      </c>
      <c r="G481" s="28">
        <f>F481*'Conversion rates'!$I$3</f>
        <v>0</v>
      </c>
      <c r="H481" s="28"/>
      <c r="I481" s="9">
        <f t="shared" si="1"/>
        <v>0</v>
      </c>
      <c r="J481" s="4">
        <f t="shared" si="2"/>
        <v>0</v>
      </c>
    </row>
    <row r="482" ht="15.75" customHeight="1">
      <c r="A482" s="1"/>
      <c r="F482" s="9" t="str">
        <f>IF(C482&gt;0, C482/'Conversion rates'!$I$3, D482)</f>
        <v/>
      </c>
      <c r="G482" s="28">
        <f>F482*'Conversion rates'!$I$3</f>
        <v>0</v>
      </c>
      <c r="H482" s="28"/>
      <c r="I482" s="9">
        <f t="shared" si="1"/>
        <v>0</v>
      </c>
      <c r="J482" s="4">
        <f t="shared" si="2"/>
        <v>0</v>
      </c>
    </row>
    <row r="483" ht="15.75" customHeight="1">
      <c r="A483" s="1"/>
      <c r="F483" s="9" t="str">
        <f>IF(C483&gt;0, C483/'Conversion rates'!$I$3, D483)</f>
        <v/>
      </c>
      <c r="G483" s="28">
        <f>F483*'Conversion rates'!$I$3</f>
        <v>0</v>
      </c>
      <c r="H483" s="28"/>
      <c r="I483" s="9">
        <f t="shared" si="1"/>
        <v>0</v>
      </c>
      <c r="J483" s="4">
        <f t="shared" si="2"/>
        <v>0</v>
      </c>
    </row>
    <row r="484" ht="15.75" customHeight="1">
      <c r="A484" s="1"/>
      <c r="F484" s="9" t="str">
        <f>IF(C484&gt;0, C484/'Conversion rates'!$I$3, D484)</f>
        <v/>
      </c>
      <c r="G484" s="28">
        <f>F484*'Conversion rates'!$I$3</f>
        <v>0</v>
      </c>
      <c r="H484" s="28"/>
      <c r="I484" s="9">
        <f t="shared" si="1"/>
        <v>0</v>
      </c>
      <c r="J484" s="4">
        <f t="shared" si="2"/>
        <v>0</v>
      </c>
    </row>
    <row r="485" ht="15.75" customHeight="1">
      <c r="A485" s="1"/>
      <c r="F485" s="9" t="str">
        <f>IF(C485&gt;0, C485/'Conversion rates'!$I$3, D485)</f>
        <v/>
      </c>
      <c r="G485" s="28">
        <f>F485*'Conversion rates'!$I$3</f>
        <v>0</v>
      </c>
      <c r="H485" s="28"/>
      <c r="I485" s="9">
        <f t="shared" si="1"/>
        <v>0</v>
      </c>
      <c r="J485" s="4">
        <f t="shared" si="2"/>
        <v>0</v>
      </c>
    </row>
    <row r="486" ht="15.75" customHeight="1">
      <c r="A486" s="1"/>
      <c r="F486" s="9" t="str">
        <f>IF(C486&gt;0, C486/'Conversion rates'!$I$3, D486)</f>
        <v/>
      </c>
      <c r="G486" s="28">
        <f>F486*'Conversion rates'!$I$3</f>
        <v>0</v>
      </c>
      <c r="H486" s="28"/>
      <c r="I486" s="9">
        <f t="shared" si="1"/>
        <v>0</v>
      </c>
      <c r="J486" s="4">
        <f t="shared" si="2"/>
        <v>0</v>
      </c>
    </row>
    <row r="487" ht="15.75" customHeight="1">
      <c r="A487" s="1"/>
      <c r="F487" s="9" t="str">
        <f>IF(C487&gt;0, C487/'Conversion rates'!$I$3, D487)</f>
        <v/>
      </c>
      <c r="G487" s="28">
        <f>F487*'Conversion rates'!$I$3</f>
        <v>0</v>
      </c>
      <c r="H487" s="28"/>
      <c r="I487" s="9">
        <f t="shared" si="1"/>
        <v>0</v>
      </c>
      <c r="J487" s="4">
        <f t="shared" si="2"/>
        <v>0</v>
      </c>
    </row>
    <row r="488" ht="15.75" customHeight="1">
      <c r="A488" s="1"/>
      <c r="F488" s="9" t="str">
        <f>IF(C488&gt;0, C488/'Conversion rates'!$I$3, D488)</f>
        <v/>
      </c>
      <c r="G488" s="28">
        <f>F488*'Conversion rates'!$I$3</f>
        <v>0</v>
      </c>
      <c r="H488" s="28"/>
      <c r="I488" s="9">
        <f t="shared" si="1"/>
        <v>0</v>
      </c>
      <c r="J488" s="4">
        <f t="shared" si="2"/>
        <v>0</v>
      </c>
    </row>
    <row r="489" ht="15.75" customHeight="1">
      <c r="A489" s="1"/>
      <c r="F489" s="9" t="str">
        <f>IF(C489&gt;0, C489/'Conversion rates'!$I$3, D489)</f>
        <v/>
      </c>
      <c r="G489" s="28">
        <f>F489*'Conversion rates'!$I$3</f>
        <v>0</v>
      </c>
      <c r="H489" s="28"/>
      <c r="I489" s="9">
        <f t="shared" si="1"/>
        <v>0</v>
      </c>
      <c r="J489" s="4">
        <f t="shared" si="2"/>
        <v>0</v>
      </c>
    </row>
    <row r="490" ht="15.75" customHeight="1">
      <c r="A490" s="1"/>
      <c r="F490" s="9" t="str">
        <f>IF(C490&gt;0, C490/'Conversion rates'!$I$3, D490)</f>
        <v/>
      </c>
      <c r="G490" s="28">
        <f>F490*'Conversion rates'!$I$3</f>
        <v>0</v>
      </c>
      <c r="H490" s="28"/>
      <c r="I490" s="9">
        <f t="shared" si="1"/>
        <v>0</v>
      </c>
      <c r="J490" s="4">
        <f t="shared" si="2"/>
        <v>0</v>
      </c>
    </row>
    <row r="491" ht="15.75" customHeight="1">
      <c r="A491" s="1"/>
      <c r="F491" s="9" t="str">
        <f>IF(C491&gt;0, C491/'Conversion rates'!$I$3, D491)</f>
        <v/>
      </c>
      <c r="G491" s="28">
        <f>F491*'Conversion rates'!$I$3</f>
        <v>0</v>
      </c>
      <c r="H491" s="28"/>
      <c r="I491" s="9">
        <f t="shared" si="1"/>
        <v>0</v>
      </c>
      <c r="J491" s="4">
        <f t="shared" si="2"/>
        <v>0</v>
      </c>
    </row>
    <row r="492" ht="15.75" customHeight="1">
      <c r="A492" s="1"/>
      <c r="F492" s="9" t="str">
        <f>IF(C492&gt;0, C492/'Conversion rates'!$I$3, D492)</f>
        <v/>
      </c>
      <c r="G492" s="28">
        <f>F492*'Conversion rates'!$I$3</f>
        <v>0</v>
      </c>
      <c r="H492" s="28"/>
      <c r="I492" s="9">
        <f t="shared" si="1"/>
        <v>0</v>
      </c>
      <c r="J492" s="4">
        <f t="shared" si="2"/>
        <v>0</v>
      </c>
    </row>
    <row r="493" ht="15.75" customHeight="1">
      <c r="A493" s="1"/>
      <c r="F493" s="9" t="str">
        <f>IF(C493&gt;0, C493/'Conversion rates'!$I$3, D493)</f>
        <v/>
      </c>
      <c r="G493" s="28">
        <f>F493*'Conversion rates'!$I$3</f>
        <v>0</v>
      </c>
      <c r="H493" s="28"/>
      <c r="I493" s="9">
        <f t="shared" si="1"/>
        <v>0</v>
      </c>
      <c r="J493" s="4">
        <f t="shared" si="2"/>
        <v>0</v>
      </c>
    </row>
    <row r="494" ht="15.75" customHeight="1">
      <c r="A494" s="1"/>
      <c r="F494" s="9" t="str">
        <f>IF(C494&gt;0, C494/'Conversion rates'!$I$3, D494)</f>
        <v/>
      </c>
      <c r="G494" s="28">
        <f>F494*'Conversion rates'!$I$3</f>
        <v>0</v>
      </c>
      <c r="H494" s="28"/>
      <c r="I494" s="9">
        <f t="shared" si="1"/>
        <v>0</v>
      </c>
      <c r="J494" s="4">
        <f t="shared" si="2"/>
        <v>0</v>
      </c>
    </row>
    <row r="495" ht="15.75" customHeight="1">
      <c r="A495" s="1"/>
      <c r="F495" s="9" t="str">
        <f>IF(C495&gt;0, C495/'Conversion rates'!$I$3, D495)</f>
        <v/>
      </c>
      <c r="G495" s="28">
        <f>F495*'Conversion rates'!$I$3</f>
        <v>0</v>
      </c>
      <c r="H495" s="28"/>
      <c r="I495" s="9">
        <f t="shared" si="1"/>
        <v>0</v>
      </c>
      <c r="J495" s="4">
        <f t="shared" si="2"/>
        <v>0</v>
      </c>
    </row>
    <row r="496" ht="15.75" customHeight="1">
      <c r="A496" s="1"/>
      <c r="F496" s="9" t="str">
        <f>IF(C496&gt;0, C496/'Conversion rates'!$I$3, D496)</f>
        <v/>
      </c>
      <c r="G496" s="28">
        <f>F496*'Conversion rates'!$I$3</f>
        <v>0</v>
      </c>
      <c r="H496" s="28"/>
      <c r="I496" s="9">
        <f t="shared" si="1"/>
        <v>0</v>
      </c>
      <c r="J496" s="4">
        <f t="shared" si="2"/>
        <v>0</v>
      </c>
    </row>
    <row r="497" ht="15.75" customHeight="1">
      <c r="A497" s="1"/>
      <c r="F497" s="9" t="str">
        <f>IF(C497&gt;0, C497/'Conversion rates'!$I$3, D497)</f>
        <v/>
      </c>
      <c r="G497" s="28">
        <f>F497*'Conversion rates'!$I$3</f>
        <v>0</v>
      </c>
      <c r="H497" s="28"/>
      <c r="I497" s="9">
        <f t="shared" si="1"/>
        <v>0</v>
      </c>
      <c r="J497" s="4">
        <f t="shared" si="2"/>
        <v>0</v>
      </c>
    </row>
    <row r="498" ht="15.75" customHeight="1">
      <c r="A498" s="1"/>
      <c r="F498" s="9" t="str">
        <f>IF(C498&gt;0, C498/'Conversion rates'!$I$3, D498)</f>
        <v/>
      </c>
      <c r="G498" s="28">
        <f>F498*'Conversion rates'!$I$3</f>
        <v>0</v>
      </c>
      <c r="H498" s="28"/>
      <c r="I498" s="9">
        <f t="shared" si="1"/>
        <v>0</v>
      </c>
      <c r="J498" s="4">
        <f t="shared" si="2"/>
        <v>0</v>
      </c>
    </row>
    <row r="499" ht="15.75" customHeight="1">
      <c r="A499" s="1"/>
      <c r="F499" s="9" t="str">
        <f>IF(C499&gt;0, C499/'Conversion rates'!$I$3, D499)</f>
        <v/>
      </c>
      <c r="G499" s="28">
        <f>F499*'Conversion rates'!$I$3</f>
        <v>0</v>
      </c>
      <c r="H499" s="28"/>
      <c r="I499" s="9">
        <f t="shared" si="1"/>
        <v>0</v>
      </c>
      <c r="J499" s="4">
        <f t="shared" si="2"/>
        <v>0</v>
      </c>
    </row>
    <row r="500" ht="15.75" customHeight="1">
      <c r="A500" s="1"/>
      <c r="F500" s="9" t="str">
        <f>IF(C500&gt;0, C500/'Conversion rates'!$I$3, D500)</f>
        <v/>
      </c>
      <c r="G500" s="28">
        <f>F500*'Conversion rates'!$I$3</f>
        <v>0</v>
      </c>
      <c r="H500" s="28"/>
      <c r="I500" s="9">
        <f t="shared" si="1"/>
        <v>0</v>
      </c>
      <c r="J500" s="4">
        <f t="shared" si="2"/>
        <v>0</v>
      </c>
    </row>
    <row r="501" ht="15.75" customHeight="1">
      <c r="A501" s="1"/>
      <c r="F501" s="9" t="str">
        <f>IF(C501&gt;0, C501/'Conversion rates'!$I$3, D501)</f>
        <v/>
      </c>
      <c r="G501" s="28">
        <f>F501*'Conversion rates'!$I$3</f>
        <v>0</v>
      </c>
      <c r="H501" s="28"/>
      <c r="I501" s="9">
        <f t="shared" si="1"/>
        <v>0</v>
      </c>
      <c r="J501" s="4">
        <f t="shared" si="2"/>
        <v>0</v>
      </c>
    </row>
    <row r="502" ht="15.75" customHeight="1">
      <c r="A502" s="1"/>
      <c r="F502" s="9" t="str">
        <f>IF(C502&gt;0, C502/'Conversion rates'!$I$3, D502)</f>
        <v/>
      </c>
      <c r="G502" s="28">
        <f>F502*'Conversion rates'!$I$3</f>
        <v>0</v>
      </c>
      <c r="H502" s="28"/>
      <c r="I502" s="9">
        <f t="shared" si="1"/>
        <v>0</v>
      </c>
      <c r="J502" s="4">
        <f t="shared" si="2"/>
        <v>0</v>
      </c>
    </row>
    <row r="503" ht="15.75" customHeight="1">
      <c r="A503" s="1"/>
      <c r="F503" s="9" t="str">
        <f>IF(C503&gt;0, C503/'Conversion rates'!$I$3, D503)</f>
        <v/>
      </c>
      <c r="G503" s="28">
        <f>F503*'Conversion rates'!$I$3</f>
        <v>0</v>
      </c>
      <c r="H503" s="28"/>
      <c r="I503" s="9">
        <f t="shared" si="1"/>
        <v>0</v>
      </c>
      <c r="J503" s="4">
        <f t="shared" si="2"/>
        <v>0</v>
      </c>
    </row>
    <row r="504" ht="15.75" customHeight="1">
      <c r="A504" s="1"/>
      <c r="F504" s="9" t="str">
        <f>IF(C504&gt;0, C504/'Conversion rates'!$I$3, D504)</f>
        <v/>
      </c>
      <c r="G504" s="28">
        <f>F504*'Conversion rates'!$I$3</f>
        <v>0</v>
      </c>
      <c r="H504" s="28"/>
      <c r="I504" s="9">
        <f t="shared" si="1"/>
        <v>0</v>
      </c>
      <c r="J504" s="4">
        <f t="shared" si="2"/>
        <v>0</v>
      </c>
    </row>
    <row r="505" ht="15.75" customHeight="1">
      <c r="A505" s="1"/>
      <c r="F505" s="9" t="str">
        <f>IF(C505&gt;0, C505/'Conversion rates'!$I$3, D505)</f>
        <v/>
      </c>
      <c r="G505" s="28">
        <f>F505*'Conversion rates'!$I$3</f>
        <v>0</v>
      </c>
      <c r="H505" s="28"/>
      <c r="I505" s="9">
        <f t="shared" si="1"/>
        <v>0</v>
      </c>
      <c r="J505" s="4">
        <f t="shared" si="2"/>
        <v>0</v>
      </c>
    </row>
    <row r="506" ht="15.75" customHeight="1">
      <c r="A506" s="1"/>
      <c r="F506" s="9" t="str">
        <f>IF(C506&gt;0, C506/'Conversion rates'!$I$3, D506)</f>
        <v/>
      </c>
      <c r="G506" s="28">
        <f>F506*'Conversion rates'!$I$3</f>
        <v>0</v>
      </c>
      <c r="H506" s="28"/>
      <c r="I506" s="9">
        <f t="shared" si="1"/>
        <v>0</v>
      </c>
      <c r="J506" s="4">
        <f t="shared" si="2"/>
        <v>0</v>
      </c>
    </row>
    <row r="507" ht="15.75" customHeight="1">
      <c r="A507" s="1"/>
      <c r="F507" s="9" t="str">
        <f>IF(C507&gt;0, C507/'Conversion rates'!$I$3, D507)</f>
        <v/>
      </c>
      <c r="G507" s="28">
        <f>F507*'Conversion rates'!$I$3</f>
        <v>0</v>
      </c>
      <c r="H507" s="28"/>
      <c r="I507" s="9">
        <f t="shared" si="1"/>
        <v>0</v>
      </c>
      <c r="J507" s="4">
        <f t="shared" si="2"/>
        <v>0</v>
      </c>
    </row>
    <row r="508" ht="15.75" customHeight="1">
      <c r="A508" s="1"/>
      <c r="F508" s="9" t="str">
        <f>IF(C508&gt;0, C508/'Conversion rates'!$I$3, D508)</f>
        <v/>
      </c>
      <c r="G508" s="28">
        <f>F508*'Conversion rates'!$I$3</f>
        <v>0</v>
      </c>
      <c r="H508" s="28"/>
      <c r="I508" s="9">
        <f t="shared" si="1"/>
        <v>0</v>
      </c>
      <c r="J508" s="4">
        <f t="shared" si="2"/>
        <v>0</v>
      </c>
    </row>
    <row r="509" ht="15.75" customHeight="1">
      <c r="A509" s="1"/>
      <c r="F509" s="9" t="str">
        <f>IF(C509&gt;0, C509/'Conversion rates'!$I$3, D509)</f>
        <v/>
      </c>
      <c r="G509" s="28">
        <f>F509*'Conversion rates'!$I$3</f>
        <v>0</v>
      </c>
      <c r="H509" s="28"/>
      <c r="I509" s="9">
        <f t="shared" si="1"/>
        <v>0</v>
      </c>
      <c r="J509" s="4">
        <f t="shared" si="2"/>
        <v>0</v>
      </c>
    </row>
    <row r="510" ht="15.75" customHeight="1">
      <c r="A510" s="1"/>
      <c r="F510" s="9" t="str">
        <f>IF(C510&gt;0, C510/'Conversion rates'!$I$3, D510)</f>
        <v/>
      </c>
      <c r="G510" s="28">
        <f>F510*'Conversion rates'!$I$3</f>
        <v>0</v>
      </c>
      <c r="H510" s="28"/>
      <c r="I510" s="9">
        <f t="shared" si="1"/>
        <v>0</v>
      </c>
      <c r="J510" s="4">
        <f t="shared" si="2"/>
        <v>0</v>
      </c>
    </row>
    <row r="511" ht="15.75" customHeight="1">
      <c r="A511" s="1"/>
      <c r="F511" s="9" t="str">
        <f>IF(C511&gt;0, C511/'Conversion rates'!$I$3, D511)</f>
        <v/>
      </c>
      <c r="G511" s="28">
        <f>F511*'Conversion rates'!$I$3</f>
        <v>0</v>
      </c>
      <c r="H511" s="28"/>
      <c r="I511" s="9">
        <f t="shared" si="1"/>
        <v>0</v>
      </c>
      <c r="J511" s="4">
        <f t="shared" si="2"/>
        <v>0</v>
      </c>
    </row>
    <row r="512" ht="15.75" customHeight="1">
      <c r="A512" s="1"/>
      <c r="F512" s="9" t="str">
        <f>IF(C512&gt;0, C512/'Conversion rates'!$I$3, D512)</f>
        <v/>
      </c>
      <c r="G512" s="28">
        <f>F512*'Conversion rates'!$I$3</f>
        <v>0</v>
      </c>
      <c r="H512" s="28"/>
      <c r="I512" s="9">
        <f t="shared" si="1"/>
        <v>0</v>
      </c>
      <c r="J512" s="4">
        <f t="shared" si="2"/>
        <v>0</v>
      </c>
    </row>
    <row r="513" ht="15.75" customHeight="1">
      <c r="A513" s="1"/>
      <c r="F513" s="9" t="str">
        <f>IF(C513&gt;0, C513/'Conversion rates'!$I$3, D513)</f>
        <v/>
      </c>
      <c r="G513" s="28">
        <f>F513*'Conversion rates'!$I$3</f>
        <v>0</v>
      </c>
      <c r="H513" s="28"/>
      <c r="I513" s="9">
        <f t="shared" si="1"/>
        <v>0</v>
      </c>
      <c r="J513" s="4">
        <f t="shared" si="2"/>
        <v>0</v>
      </c>
    </row>
    <row r="514" ht="15.75" customHeight="1">
      <c r="A514" s="1"/>
      <c r="F514" s="9" t="str">
        <f>IF(C514&gt;0, C514/'Conversion rates'!$I$3, D514)</f>
        <v/>
      </c>
      <c r="G514" s="28">
        <f>F514*'Conversion rates'!$I$3</f>
        <v>0</v>
      </c>
      <c r="H514" s="28"/>
      <c r="I514" s="9">
        <f t="shared" si="1"/>
        <v>0</v>
      </c>
      <c r="J514" s="4">
        <f t="shared" si="2"/>
        <v>0</v>
      </c>
    </row>
    <row r="515" ht="15.75" customHeight="1">
      <c r="A515" s="1"/>
      <c r="F515" s="9" t="str">
        <f>IF(C515&gt;0, C515/'Conversion rates'!$I$3, D515)</f>
        <v/>
      </c>
      <c r="G515" s="28">
        <f>F515*'Conversion rates'!$I$3</f>
        <v>0</v>
      </c>
      <c r="H515" s="28"/>
      <c r="I515" s="9">
        <f t="shared" si="1"/>
        <v>0</v>
      </c>
      <c r="J515" s="4">
        <f t="shared" si="2"/>
        <v>0</v>
      </c>
    </row>
    <row r="516" ht="15.75" customHeight="1">
      <c r="A516" s="1"/>
      <c r="F516" s="9" t="str">
        <f>IF(C516&gt;0, C516/'Conversion rates'!$I$3, D516)</f>
        <v/>
      </c>
      <c r="G516" s="28">
        <f>F516*'Conversion rates'!$I$3</f>
        <v>0</v>
      </c>
      <c r="H516" s="28"/>
      <c r="I516" s="9">
        <f t="shared" si="1"/>
        <v>0</v>
      </c>
      <c r="J516" s="4">
        <f t="shared" si="2"/>
        <v>0</v>
      </c>
    </row>
    <row r="517" ht="15.75" customHeight="1">
      <c r="A517" s="1"/>
      <c r="F517" s="9" t="str">
        <f>IF(C517&gt;0, C517/'Conversion rates'!$I$3, D517)</f>
        <v/>
      </c>
      <c r="G517" s="28">
        <f>F517*'Conversion rates'!$I$3</f>
        <v>0</v>
      </c>
      <c r="H517" s="28"/>
      <c r="I517" s="9">
        <f t="shared" si="1"/>
        <v>0</v>
      </c>
      <c r="J517" s="4">
        <f t="shared" si="2"/>
        <v>0</v>
      </c>
    </row>
    <row r="518" ht="15.75" customHeight="1">
      <c r="A518" s="1"/>
      <c r="F518" s="9" t="str">
        <f>IF(C518&gt;0, C518/'Conversion rates'!$I$3, D518)</f>
        <v/>
      </c>
      <c r="G518" s="28">
        <f>F518*'Conversion rates'!$I$3</f>
        <v>0</v>
      </c>
      <c r="H518" s="28"/>
      <c r="I518" s="9">
        <f t="shared" si="1"/>
        <v>0</v>
      </c>
      <c r="J518" s="4">
        <f t="shared" si="2"/>
        <v>0</v>
      </c>
    </row>
    <row r="519" ht="15.75" customHeight="1">
      <c r="A519" s="1"/>
      <c r="F519" s="9" t="str">
        <f>IF(C519&gt;0, C519/'Conversion rates'!$I$3, D519)</f>
        <v/>
      </c>
      <c r="G519" s="28">
        <f>F519*'Conversion rates'!$I$3</f>
        <v>0</v>
      </c>
      <c r="H519" s="28"/>
      <c r="I519" s="9">
        <f t="shared" si="1"/>
        <v>0</v>
      </c>
      <c r="J519" s="4">
        <f t="shared" si="2"/>
        <v>0</v>
      </c>
    </row>
    <row r="520" ht="15.75" customHeight="1">
      <c r="A520" s="1"/>
      <c r="F520" s="9" t="str">
        <f>IF(C520&gt;0, C520/'Conversion rates'!$I$3, D520)</f>
        <v/>
      </c>
      <c r="G520" s="28">
        <f>F520*'Conversion rates'!$I$3</f>
        <v>0</v>
      </c>
      <c r="H520" s="28"/>
      <c r="I520" s="9">
        <f t="shared" si="1"/>
        <v>0</v>
      </c>
      <c r="J520" s="4">
        <f t="shared" si="2"/>
        <v>0</v>
      </c>
    </row>
    <row r="521" ht="15.75" customHeight="1">
      <c r="A521" s="1"/>
      <c r="F521" s="9" t="str">
        <f>IF(C521&gt;0, C521/'Conversion rates'!$I$3, D521)</f>
        <v/>
      </c>
      <c r="G521" s="28">
        <f>F521*'Conversion rates'!$I$3</f>
        <v>0</v>
      </c>
      <c r="H521" s="28"/>
      <c r="I521" s="9">
        <f t="shared" si="1"/>
        <v>0</v>
      </c>
      <c r="J521" s="4">
        <f t="shared" si="2"/>
        <v>0</v>
      </c>
    </row>
    <row r="522" ht="15.75" customHeight="1">
      <c r="A522" s="1"/>
      <c r="F522" s="9" t="str">
        <f>IF(C522&gt;0, C522/'Conversion rates'!$I$3, D522)</f>
        <v/>
      </c>
      <c r="G522" s="28">
        <f>F522*'Conversion rates'!$I$3</f>
        <v>0</v>
      </c>
      <c r="H522" s="28"/>
      <c r="I522" s="9">
        <f t="shared" si="1"/>
        <v>0</v>
      </c>
      <c r="J522" s="4">
        <f t="shared" si="2"/>
        <v>0</v>
      </c>
    </row>
    <row r="523" ht="15.75" customHeight="1">
      <c r="A523" s="1"/>
      <c r="F523" s="9" t="str">
        <f>IF(C523&gt;0, C523/'Conversion rates'!$I$3, D523)</f>
        <v/>
      </c>
      <c r="G523" s="28">
        <f>F523*'Conversion rates'!$I$3</f>
        <v>0</v>
      </c>
      <c r="H523" s="28"/>
      <c r="I523" s="9">
        <f t="shared" si="1"/>
        <v>0</v>
      </c>
      <c r="J523" s="4">
        <f t="shared" si="2"/>
        <v>0</v>
      </c>
    </row>
    <row r="524" ht="15.75" customHeight="1">
      <c r="A524" s="1"/>
      <c r="F524" s="9" t="str">
        <f>IF(C524&gt;0, C524/'Conversion rates'!$I$3, D524)</f>
        <v/>
      </c>
      <c r="G524" s="28">
        <f>F524*'Conversion rates'!$I$3</f>
        <v>0</v>
      </c>
      <c r="H524" s="28"/>
      <c r="I524" s="9">
        <f t="shared" si="1"/>
        <v>0</v>
      </c>
      <c r="J524" s="4">
        <f t="shared" si="2"/>
        <v>0</v>
      </c>
    </row>
    <row r="525" ht="15.75" customHeight="1">
      <c r="A525" s="1"/>
      <c r="F525" s="9" t="str">
        <f>IF(C525&gt;0, C525/'Conversion rates'!$I$3, D525)</f>
        <v/>
      </c>
      <c r="G525" s="28">
        <f>F525*'Conversion rates'!$I$3</f>
        <v>0</v>
      </c>
      <c r="H525" s="28"/>
      <c r="I525" s="9">
        <f t="shared" si="1"/>
        <v>0</v>
      </c>
      <c r="J525" s="4">
        <f t="shared" si="2"/>
        <v>0</v>
      </c>
    </row>
    <row r="526" ht="15.75" customHeight="1">
      <c r="A526" s="1"/>
      <c r="F526" s="9" t="str">
        <f>IF(C526&gt;0, C526/'Conversion rates'!$I$3, D526)</f>
        <v/>
      </c>
      <c r="G526" s="28">
        <f>F526*'Conversion rates'!$I$3</f>
        <v>0</v>
      </c>
      <c r="H526" s="28"/>
      <c r="I526" s="9">
        <f t="shared" si="1"/>
        <v>0</v>
      </c>
      <c r="J526" s="4">
        <f t="shared" si="2"/>
        <v>0</v>
      </c>
    </row>
    <row r="527" ht="15.75" customHeight="1">
      <c r="A527" s="1"/>
      <c r="F527" s="9" t="str">
        <f>IF(C527&gt;0, C527/'Conversion rates'!$I$3, D527)</f>
        <v/>
      </c>
      <c r="G527" s="28">
        <f>F527*'Conversion rates'!$I$3</f>
        <v>0</v>
      </c>
      <c r="H527" s="28"/>
      <c r="I527" s="9">
        <f t="shared" si="1"/>
        <v>0</v>
      </c>
      <c r="J527" s="4">
        <f t="shared" si="2"/>
        <v>0</v>
      </c>
    </row>
    <row r="528" ht="15.75" customHeight="1">
      <c r="A528" s="1"/>
      <c r="F528" s="9" t="str">
        <f>IF(C528&gt;0, C528/'Conversion rates'!$I$3, D528)</f>
        <v/>
      </c>
      <c r="G528" s="28">
        <f>F528*'Conversion rates'!$I$3</f>
        <v>0</v>
      </c>
      <c r="H528" s="28"/>
      <c r="I528" s="9">
        <f t="shared" si="1"/>
        <v>0</v>
      </c>
      <c r="J528" s="4">
        <f t="shared" si="2"/>
        <v>0</v>
      </c>
    </row>
    <row r="529" ht="15.75" customHeight="1">
      <c r="A529" s="1"/>
      <c r="F529" s="9" t="str">
        <f>IF(C529&gt;0, C529/'Conversion rates'!$I$3, D529)</f>
        <v/>
      </c>
      <c r="G529" s="28">
        <f>F529*'Conversion rates'!$I$3</f>
        <v>0</v>
      </c>
      <c r="H529" s="28"/>
      <c r="I529" s="9">
        <f t="shared" si="1"/>
        <v>0</v>
      </c>
      <c r="J529" s="4">
        <f t="shared" si="2"/>
        <v>0</v>
      </c>
    </row>
    <row r="530" ht="15.75" customHeight="1">
      <c r="A530" s="1"/>
      <c r="F530" s="9" t="str">
        <f>IF(C530&gt;0, C530/'Conversion rates'!$I$3, D530)</f>
        <v/>
      </c>
      <c r="G530" s="28">
        <f>F530*'Conversion rates'!$I$3</f>
        <v>0</v>
      </c>
      <c r="H530" s="28"/>
      <c r="I530" s="9">
        <f t="shared" si="1"/>
        <v>0</v>
      </c>
      <c r="J530" s="4">
        <f t="shared" si="2"/>
        <v>0</v>
      </c>
    </row>
    <row r="531" ht="15.75" customHeight="1">
      <c r="A531" s="1"/>
      <c r="F531" s="9" t="str">
        <f>IF(C531&gt;0, C531/'Conversion rates'!$I$3, D531)</f>
        <v/>
      </c>
      <c r="G531" s="28">
        <f>F531*'Conversion rates'!$I$3</f>
        <v>0</v>
      </c>
      <c r="H531" s="28"/>
      <c r="I531" s="9">
        <f t="shared" si="1"/>
        <v>0</v>
      </c>
      <c r="J531" s="4">
        <f t="shared" si="2"/>
        <v>0</v>
      </c>
    </row>
    <row r="532" ht="15.75" customHeight="1">
      <c r="A532" s="1"/>
      <c r="F532" s="9" t="str">
        <f>IF(C532&gt;0, C532/'Conversion rates'!$I$3, D532)</f>
        <v/>
      </c>
      <c r="G532" s="28">
        <f>F532*'Conversion rates'!$I$3</f>
        <v>0</v>
      </c>
      <c r="H532" s="28"/>
      <c r="I532" s="9">
        <f t="shared" si="1"/>
        <v>0</v>
      </c>
      <c r="J532" s="4">
        <f t="shared" si="2"/>
        <v>0</v>
      </c>
    </row>
    <row r="533" ht="15.75" customHeight="1">
      <c r="A533" s="1"/>
      <c r="F533" s="9" t="str">
        <f>IF(C533&gt;0, C533/'Conversion rates'!$I$3, D533)</f>
        <v/>
      </c>
      <c r="G533" s="28">
        <f>F533*'Conversion rates'!$I$3</f>
        <v>0</v>
      </c>
      <c r="H533" s="28"/>
      <c r="I533" s="9">
        <f t="shared" si="1"/>
        <v>0</v>
      </c>
      <c r="J533" s="4">
        <f t="shared" si="2"/>
        <v>0</v>
      </c>
    </row>
    <row r="534" ht="15.75" customHeight="1">
      <c r="A534" s="1"/>
      <c r="F534" s="9" t="str">
        <f>IF(C534&gt;0, C534/'Conversion rates'!$I$3, D534)</f>
        <v/>
      </c>
      <c r="G534" s="28">
        <f>F534*'Conversion rates'!$I$3</f>
        <v>0</v>
      </c>
      <c r="H534" s="28"/>
      <c r="I534" s="9">
        <f t="shared" si="1"/>
        <v>0</v>
      </c>
      <c r="J534" s="4">
        <f t="shared" si="2"/>
        <v>0</v>
      </c>
    </row>
    <row r="535" ht="15.75" customHeight="1">
      <c r="A535" s="1"/>
      <c r="F535" s="9" t="str">
        <f>IF(C535&gt;0, C535/'Conversion rates'!$I$3, D535)</f>
        <v/>
      </c>
      <c r="G535" s="28">
        <f>F535*'Conversion rates'!$I$3</f>
        <v>0</v>
      </c>
      <c r="H535" s="28"/>
      <c r="I535" s="9">
        <f t="shared" si="1"/>
        <v>0</v>
      </c>
      <c r="J535" s="4">
        <f t="shared" si="2"/>
        <v>0</v>
      </c>
    </row>
    <row r="536" ht="15.75" customHeight="1">
      <c r="A536" s="1"/>
      <c r="F536" s="9" t="str">
        <f>IF(C536&gt;0, C536/'Conversion rates'!$I$3, D536)</f>
        <v/>
      </c>
      <c r="G536" s="28">
        <f>F536*'Conversion rates'!$I$3</f>
        <v>0</v>
      </c>
      <c r="H536" s="28"/>
      <c r="I536" s="9">
        <f t="shared" si="1"/>
        <v>0</v>
      </c>
      <c r="J536" s="4">
        <f t="shared" si="2"/>
        <v>0</v>
      </c>
    </row>
    <row r="537" ht="15.75" customHeight="1">
      <c r="A537" s="1"/>
      <c r="F537" s="9" t="str">
        <f>IF(C537&gt;0, C537/'Conversion rates'!$I$3, D537)</f>
        <v/>
      </c>
      <c r="G537" s="28">
        <f>F537*'Conversion rates'!$I$3</f>
        <v>0</v>
      </c>
      <c r="H537" s="28"/>
      <c r="I537" s="9">
        <f t="shared" si="1"/>
        <v>0</v>
      </c>
      <c r="J537" s="4">
        <f t="shared" si="2"/>
        <v>0</v>
      </c>
    </row>
    <row r="538" ht="15.75" customHeight="1">
      <c r="A538" s="1"/>
      <c r="F538" s="9" t="str">
        <f>IF(C538&gt;0, C538/'Conversion rates'!$I$3, D538)</f>
        <v/>
      </c>
      <c r="G538" s="28">
        <f>F538*'Conversion rates'!$I$3</f>
        <v>0</v>
      </c>
      <c r="H538" s="28"/>
      <c r="I538" s="9">
        <f t="shared" si="1"/>
        <v>0</v>
      </c>
      <c r="J538" s="4">
        <f t="shared" si="2"/>
        <v>0</v>
      </c>
    </row>
    <row r="539" ht="15.75" customHeight="1">
      <c r="A539" s="1"/>
      <c r="F539" s="9" t="str">
        <f>IF(C539&gt;0, C539/'Conversion rates'!$I$3, D539)</f>
        <v/>
      </c>
      <c r="G539" s="28">
        <f>F539*'Conversion rates'!$I$3</f>
        <v>0</v>
      </c>
      <c r="H539" s="28"/>
      <c r="I539" s="9">
        <f t="shared" si="1"/>
        <v>0</v>
      </c>
      <c r="J539" s="4">
        <f t="shared" si="2"/>
        <v>0</v>
      </c>
    </row>
    <row r="540" ht="15.75" customHeight="1">
      <c r="A540" s="1"/>
      <c r="F540" s="9" t="str">
        <f>IF(C540&gt;0, C540/'Conversion rates'!$I$3, D540)</f>
        <v/>
      </c>
      <c r="G540" s="28">
        <f>F540*'Conversion rates'!$I$3</f>
        <v>0</v>
      </c>
      <c r="H540" s="28"/>
      <c r="I540" s="9">
        <f t="shared" si="1"/>
        <v>0</v>
      </c>
      <c r="J540" s="4">
        <f t="shared" si="2"/>
        <v>0</v>
      </c>
    </row>
    <row r="541" ht="15.75" customHeight="1">
      <c r="A541" s="1"/>
      <c r="F541" s="9" t="str">
        <f>IF(C541&gt;0, C541/'Conversion rates'!$I$3, D541)</f>
        <v/>
      </c>
      <c r="G541" s="28">
        <f>F541*'Conversion rates'!$I$3</f>
        <v>0</v>
      </c>
      <c r="H541" s="28"/>
      <c r="I541" s="9">
        <f t="shared" si="1"/>
        <v>0</v>
      </c>
      <c r="J541" s="4">
        <f t="shared" si="2"/>
        <v>0</v>
      </c>
    </row>
    <row r="542" ht="15.75" customHeight="1">
      <c r="A542" s="1"/>
      <c r="F542" s="9" t="str">
        <f>IF(C542&gt;0, C542/'Conversion rates'!$I$3, D542)</f>
        <v/>
      </c>
      <c r="G542" s="28">
        <f>F542*'Conversion rates'!$I$3</f>
        <v>0</v>
      </c>
      <c r="H542" s="28"/>
      <c r="I542" s="9">
        <f t="shared" si="1"/>
        <v>0</v>
      </c>
      <c r="J542" s="4">
        <f t="shared" si="2"/>
        <v>0</v>
      </c>
    </row>
    <row r="543" ht="15.75" customHeight="1">
      <c r="A543" s="1"/>
      <c r="F543" s="9" t="str">
        <f>IF(C543&gt;0, C543/'Conversion rates'!$I$3, D543)</f>
        <v/>
      </c>
      <c r="G543" s="28">
        <f>F543*'Conversion rates'!$I$3</f>
        <v>0</v>
      </c>
      <c r="H543" s="28"/>
      <c r="I543" s="9">
        <f t="shared" si="1"/>
        <v>0</v>
      </c>
      <c r="J543" s="4">
        <f t="shared" si="2"/>
        <v>0</v>
      </c>
    </row>
    <row r="544" ht="15.75" customHeight="1">
      <c r="A544" s="1"/>
      <c r="F544" s="9" t="str">
        <f>IF(C544&gt;0, C544/'Conversion rates'!$I$3, D544)</f>
        <v/>
      </c>
      <c r="G544" s="28">
        <f>F544*'Conversion rates'!$I$3</f>
        <v>0</v>
      </c>
      <c r="H544" s="28"/>
      <c r="I544" s="9">
        <f t="shared" si="1"/>
        <v>0</v>
      </c>
      <c r="J544" s="4">
        <f t="shared" si="2"/>
        <v>0</v>
      </c>
    </row>
    <row r="545" ht="15.75" customHeight="1">
      <c r="A545" s="1"/>
      <c r="F545" s="9" t="str">
        <f>IF(C545&gt;0, C545/'Conversion rates'!$I$3, D545)</f>
        <v/>
      </c>
      <c r="G545" s="28">
        <f>F545*'Conversion rates'!$I$3</f>
        <v>0</v>
      </c>
      <c r="H545" s="28"/>
      <c r="I545" s="9">
        <f t="shared" si="1"/>
        <v>0</v>
      </c>
      <c r="J545" s="4">
        <f t="shared" si="2"/>
        <v>0</v>
      </c>
    </row>
    <row r="546" ht="15.75" customHeight="1">
      <c r="A546" s="1"/>
      <c r="F546" s="9" t="str">
        <f>IF(C546&gt;0, C546/'Conversion rates'!$I$3, D546)</f>
        <v/>
      </c>
      <c r="G546" s="28">
        <f>F546*'Conversion rates'!$I$3</f>
        <v>0</v>
      </c>
      <c r="H546" s="28"/>
      <c r="I546" s="9">
        <f t="shared" si="1"/>
        <v>0</v>
      </c>
      <c r="J546" s="4">
        <f t="shared" si="2"/>
        <v>0</v>
      </c>
    </row>
    <row r="547" ht="15.75" customHeight="1">
      <c r="A547" s="1"/>
      <c r="F547" s="9" t="str">
        <f>IF(C547&gt;0, C547/'Conversion rates'!$I$3, D547)</f>
        <v/>
      </c>
      <c r="G547" s="28">
        <f>F547*'Conversion rates'!$I$3</f>
        <v>0</v>
      </c>
      <c r="H547" s="28"/>
      <c r="I547" s="9">
        <f t="shared" si="1"/>
        <v>0</v>
      </c>
      <c r="J547" s="4">
        <f t="shared" si="2"/>
        <v>0</v>
      </c>
    </row>
    <row r="548" ht="15.75" customHeight="1">
      <c r="A548" s="1"/>
      <c r="F548" s="9" t="str">
        <f>IF(C548&gt;0, C548/'Conversion rates'!$I$3, D548)</f>
        <v/>
      </c>
      <c r="G548" s="28">
        <f>F548*'Conversion rates'!$I$3</f>
        <v>0</v>
      </c>
      <c r="H548" s="28"/>
      <c r="I548" s="9">
        <f t="shared" si="1"/>
        <v>0</v>
      </c>
      <c r="J548" s="4">
        <f t="shared" si="2"/>
        <v>0</v>
      </c>
    </row>
    <row r="549" ht="15.75" customHeight="1">
      <c r="A549" s="1"/>
      <c r="F549" s="9" t="str">
        <f>IF(C549&gt;0, C549/'Conversion rates'!$I$3, D549)</f>
        <v/>
      </c>
      <c r="G549" s="28">
        <f>F549*'Conversion rates'!$I$3</f>
        <v>0</v>
      </c>
      <c r="H549" s="28"/>
      <c r="I549" s="9">
        <f t="shared" si="1"/>
        <v>0</v>
      </c>
      <c r="J549" s="4">
        <f t="shared" si="2"/>
        <v>0</v>
      </c>
    </row>
    <row r="550" ht="15.75" customHeight="1">
      <c r="A550" s="1"/>
      <c r="F550" s="9" t="str">
        <f>IF(C550&gt;0, C550/'Conversion rates'!$I$3, D550)</f>
        <v/>
      </c>
      <c r="G550" s="28">
        <f>F550*'Conversion rates'!$I$3</f>
        <v>0</v>
      </c>
      <c r="H550" s="28"/>
      <c r="I550" s="9">
        <f t="shared" si="1"/>
        <v>0</v>
      </c>
      <c r="J550" s="4">
        <f t="shared" si="2"/>
        <v>0</v>
      </c>
    </row>
    <row r="551" ht="15.75" customHeight="1">
      <c r="A551" s="1"/>
      <c r="F551" s="9" t="str">
        <f>IF(C551&gt;0, C551/'Conversion rates'!$I$3, D551)</f>
        <v/>
      </c>
      <c r="G551" s="28">
        <f>F551*'Conversion rates'!$I$3</f>
        <v>0</v>
      </c>
      <c r="H551" s="28"/>
      <c r="I551" s="9">
        <f t="shared" si="1"/>
        <v>0</v>
      </c>
      <c r="J551" s="4">
        <f t="shared" si="2"/>
        <v>0</v>
      </c>
    </row>
    <row r="552" ht="15.75" customHeight="1">
      <c r="A552" s="1"/>
      <c r="F552" s="9" t="str">
        <f>IF(C552&gt;0, C552/'Conversion rates'!$I$3, D552)</f>
        <v/>
      </c>
      <c r="G552" s="28">
        <f>F552*'Conversion rates'!$I$3</f>
        <v>0</v>
      </c>
      <c r="H552" s="28"/>
      <c r="I552" s="9">
        <f t="shared" si="1"/>
        <v>0</v>
      </c>
      <c r="J552" s="4">
        <f t="shared" si="2"/>
        <v>0</v>
      </c>
    </row>
    <row r="553" ht="15.75" customHeight="1">
      <c r="A553" s="1"/>
      <c r="F553" s="9" t="str">
        <f>IF(C553&gt;0, C553/'Conversion rates'!$I$3, D553)</f>
        <v/>
      </c>
      <c r="G553" s="28">
        <f>F553*'Conversion rates'!$I$3</f>
        <v>0</v>
      </c>
      <c r="H553" s="28"/>
      <c r="I553" s="9">
        <f t="shared" si="1"/>
        <v>0</v>
      </c>
      <c r="J553" s="4">
        <f t="shared" si="2"/>
        <v>0</v>
      </c>
    </row>
    <row r="554" ht="15.75" customHeight="1">
      <c r="A554" s="1"/>
      <c r="F554" s="9" t="str">
        <f>IF(C554&gt;0, C554/'Conversion rates'!$I$3, D554)</f>
        <v/>
      </c>
      <c r="G554" s="28">
        <f>F554*'Conversion rates'!$I$3</f>
        <v>0</v>
      </c>
      <c r="H554" s="28"/>
      <c r="I554" s="9">
        <f t="shared" si="1"/>
        <v>0</v>
      </c>
      <c r="J554" s="4">
        <f t="shared" si="2"/>
        <v>0</v>
      </c>
    </row>
    <row r="555" ht="15.75" customHeight="1">
      <c r="A555" s="1"/>
      <c r="F555" s="9" t="str">
        <f>IF(C555&gt;0, C555/'Conversion rates'!$I$3, D555)</f>
        <v/>
      </c>
      <c r="G555" s="28">
        <f>F555*'Conversion rates'!$I$3</f>
        <v>0</v>
      </c>
      <c r="H555" s="28"/>
      <c r="I555" s="9">
        <f t="shared" si="1"/>
        <v>0</v>
      </c>
      <c r="J555" s="4">
        <f t="shared" si="2"/>
        <v>0</v>
      </c>
    </row>
    <row r="556" ht="15.75" customHeight="1">
      <c r="A556" s="1"/>
      <c r="F556" s="9" t="str">
        <f>IF(C556&gt;0, C556/'Conversion rates'!$I$3, D556)</f>
        <v/>
      </c>
      <c r="G556" s="28">
        <f>F556*'Conversion rates'!$I$3</f>
        <v>0</v>
      </c>
      <c r="H556" s="28"/>
      <c r="I556" s="9">
        <f t="shared" si="1"/>
        <v>0</v>
      </c>
      <c r="J556" s="4">
        <f t="shared" si="2"/>
        <v>0</v>
      </c>
    </row>
    <row r="557" ht="15.75" customHeight="1">
      <c r="A557" s="1"/>
      <c r="F557" s="9" t="str">
        <f>IF(C557&gt;0, C557/'Conversion rates'!$I$3, D557)</f>
        <v/>
      </c>
      <c r="G557" s="28">
        <f>F557*'Conversion rates'!$I$3</f>
        <v>0</v>
      </c>
      <c r="H557" s="28"/>
      <c r="I557" s="9">
        <f t="shared" si="1"/>
        <v>0</v>
      </c>
      <c r="J557" s="4">
        <f t="shared" si="2"/>
        <v>0</v>
      </c>
    </row>
    <row r="558" ht="15.75" customHeight="1">
      <c r="A558" s="1"/>
      <c r="F558" s="9" t="str">
        <f>IF(C558&gt;0, C558/'Conversion rates'!$I$3, D558)</f>
        <v/>
      </c>
      <c r="G558" s="28">
        <f>F558*'Conversion rates'!$I$3</f>
        <v>0</v>
      </c>
      <c r="H558" s="28"/>
      <c r="I558" s="9">
        <f t="shared" si="1"/>
        <v>0</v>
      </c>
      <c r="J558" s="4">
        <f t="shared" si="2"/>
        <v>0</v>
      </c>
    </row>
    <row r="559" ht="15.75" customHeight="1">
      <c r="A559" s="1"/>
      <c r="F559" s="9" t="str">
        <f>IF(C559&gt;0, C559/'Conversion rates'!$I$3, D559)</f>
        <v/>
      </c>
      <c r="G559" s="28">
        <f>F559*'Conversion rates'!$I$3</f>
        <v>0</v>
      </c>
      <c r="H559" s="28"/>
      <c r="I559" s="9">
        <f t="shared" si="1"/>
        <v>0</v>
      </c>
      <c r="J559" s="4">
        <f t="shared" si="2"/>
        <v>0</v>
      </c>
    </row>
    <row r="560" ht="15.75" customHeight="1">
      <c r="A560" s="1"/>
      <c r="F560" s="9" t="str">
        <f>IF(C560&gt;0, C560/'Conversion rates'!$I$3, D560)</f>
        <v/>
      </c>
      <c r="G560" s="28">
        <f>F560*'Conversion rates'!$I$3</f>
        <v>0</v>
      </c>
      <c r="H560" s="28"/>
      <c r="I560" s="9">
        <f t="shared" si="1"/>
        <v>0</v>
      </c>
      <c r="J560" s="4">
        <f t="shared" si="2"/>
        <v>0</v>
      </c>
    </row>
    <row r="561" ht="15.75" customHeight="1">
      <c r="A561" s="1"/>
      <c r="F561" s="9" t="str">
        <f>IF(C561&gt;0, C561/'Conversion rates'!$I$3, D561)</f>
        <v/>
      </c>
      <c r="G561" s="28">
        <f>F561*'Conversion rates'!$I$3</f>
        <v>0</v>
      </c>
      <c r="H561" s="28"/>
      <c r="I561" s="9">
        <f t="shared" si="1"/>
        <v>0</v>
      </c>
      <c r="J561" s="4">
        <f t="shared" si="2"/>
        <v>0</v>
      </c>
    </row>
    <row r="562" ht="15.75" customHeight="1">
      <c r="A562" s="1"/>
      <c r="F562" s="9" t="str">
        <f>IF(C562&gt;0, C562/'Conversion rates'!$I$3, D562)</f>
        <v/>
      </c>
      <c r="G562" s="28">
        <f>F562*'Conversion rates'!$I$3</f>
        <v>0</v>
      </c>
      <c r="H562" s="28"/>
      <c r="I562" s="9">
        <f t="shared" si="1"/>
        <v>0</v>
      </c>
      <c r="J562" s="4">
        <f t="shared" si="2"/>
        <v>0</v>
      </c>
    </row>
    <row r="563" ht="15.75" customHeight="1">
      <c r="A563" s="1"/>
      <c r="F563" s="9" t="str">
        <f>IF(C563&gt;0, C563/'Conversion rates'!$I$3, D563)</f>
        <v/>
      </c>
      <c r="G563" s="28">
        <f>F563*'Conversion rates'!$I$3</f>
        <v>0</v>
      </c>
      <c r="H563" s="28"/>
      <c r="I563" s="9">
        <f t="shared" si="1"/>
        <v>0</v>
      </c>
      <c r="J563" s="4">
        <f t="shared" si="2"/>
        <v>0</v>
      </c>
    </row>
    <row r="564" ht="15.75" customHeight="1">
      <c r="A564" s="1"/>
      <c r="F564" s="9" t="str">
        <f>IF(C564&gt;0, C564/'Conversion rates'!$I$3, D564)</f>
        <v/>
      </c>
      <c r="G564" s="28">
        <f>F564*'Conversion rates'!$I$3</f>
        <v>0</v>
      </c>
      <c r="H564" s="28"/>
      <c r="I564" s="9">
        <f t="shared" si="1"/>
        <v>0</v>
      </c>
      <c r="J564" s="4">
        <f t="shared" si="2"/>
        <v>0</v>
      </c>
    </row>
    <row r="565" ht="15.75" customHeight="1">
      <c r="A565" s="1"/>
      <c r="F565" s="9" t="str">
        <f>IF(C565&gt;0, C565/'Conversion rates'!$I$3, D565)</f>
        <v/>
      </c>
      <c r="G565" s="28">
        <f>F565*'Conversion rates'!$I$3</f>
        <v>0</v>
      </c>
      <c r="H565" s="28"/>
      <c r="I565" s="9">
        <f t="shared" si="1"/>
        <v>0</v>
      </c>
      <c r="J565" s="4">
        <f t="shared" si="2"/>
        <v>0</v>
      </c>
    </row>
    <row r="566" ht="15.75" customHeight="1">
      <c r="A566" s="1"/>
      <c r="F566" s="9" t="str">
        <f>IF(C566&gt;0, C566/'Conversion rates'!$I$3, D566)</f>
        <v/>
      </c>
      <c r="G566" s="28">
        <f>F566*'Conversion rates'!$I$3</f>
        <v>0</v>
      </c>
      <c r="H566" s="28"/>
      <c r="I566" s="9">
        <f t="shared" si="1"/>
        <v>0</v>
      </c>
      <c r="J566" s="4">
        <f t="shared" si="2"/>
        <v>0</v>
      </c>
    </row>
    <row r="567" ht="15.75" customHeight="1">
      <c r="A567" s="1"/>
      <c r="F567" s="9" t="str">
        <f>IF(C567&gt;0, C567/'Conversion rates'!$I$3, D567)</f>
        <v/>
      </c>
      <c r="G567" s="28">
        <f>F567*'Conversion rates'!$I$3</f>
        <v>0</v>
      </c>
      <c r="H567" s="28"/>
      <c r="I567" s="9">
        <f t="shared" si="1"/>
        <v>0</v>
      </c>
      <c r="J567" s="4">
        <f t="shared" si="2"/>
        <v>0</v>
      </c>
    </row>
    <row r="568" ht="15.75" customHeight="1">
      <c r="A568" s="1"/>
      <c r="F568" s="9" t="str">
        <f>IF(C568&gt;0, C568/'Conversion rates'!$I$3, D568)</f>
        <v/>
      </c>
      <c r="G568" s="28">
        <f>F568*'Conversion rates'!$I$3</f>
        <v>0</v>
      </c>
      <c r="H568" s="28"/>
      <c r="I568" s="9">
        <f t="shared" si="1"/>
        <v>0</v>
      </c>
      <c r="J568" s="4">
        <f t="shared" si="2"/>
        <v>0</v>
      </c>
    </row>
    <row r="569" ht="15.75" customHeight="1">
      <c r="A569" s="1"/>
      <c r="F569" s="9" t="str">
        <f>IF(C569&gt;0, C569/'Conversion rates'!$I$3, D569)</f>
        <v/>
      </c>
      <c r="G569" s="28">
        <f>F569*'Conversion rates'!$I$3</f>
        <v>0</v>
      </c>
      <c r="H569" s="28"/>
      <c r="I569" s="9">
        <f t="shared" si="1"/>
        <v>0</v>
      </c>
      <c r="J569" s="4">
        <f t="shared" si="2"/>
        <v>0</v>
      </c>
    </row>
    <row r="570" ht="15.75" customHeight="1">
      <c r="A570" s="1"/>
      <c r="F570" s="9" t="str">
        <f>IF(C570&gt;0, C570/'Conversion rates'!$I$3, D570)</f>
        <v/>
      </c>
      <c r="G570" s="28">
        <f>F570*'Conversion rates'!$I$3</f>
        <v>0</v>
      </c>
      <c r="H570" s="28"/>
      <c r="I570" s="9">
        <f t="shared" si="1"/>
        <v>0</v>
      </c>
      <c r="J570" s="4">
        <f t="shared" si="2"/>
        <v>0</v>
      </c>
    </row>
    <row r="571" ht="15.75" customHeight="1">
      <c r="A571" s="1"/>
      <c r="F571" s="9" t="str">
        <f>IF(C571&gt;0, C571/'Conversion rates'!$I$3, D571)</f>
        <v/>
      </c>
      <c r="G571" s="28">
        <f>F571*'Conversion rates'!$I$3</f>
        <v>0</v>
      </c>
      <c r="H571" s="28"/>
      <c r="I571" s="9">
        <f t="shared" si="1"/>
        <v>0</v>
      </c>
      <c r="J571" s="4">
        <f t="shared" si="2"/>
        <v>0</v>
      </c>
    </row>
    <row r="572" ht="15.75" customHeight="1">
      <c r="A572" s="1"/>
      <c r="F572" s="9" t="str">
        <f>IF(C572&gt;0, C572/'Conversion rates'!$I$3, D572)</f>
        <v/>
      </c>
      <c r="G572" s="28">
        <f>F572*'Conversion rates'!$I$3</f>
        <v>0</v>
      </c>
      <c r="H572" s="28"/>
      <c r="I572" s="9">
        <f t="shared" si="1"/>
        <v>0</v>
      </c>
      <c r="J572" s="4">
        <f t="shared" si="2"/>
        <v>0</v>
      </c>
    </row>
    <row r="573" ht="15.75" customHeight="1">
      <c r="A573" s="1"/>
      <c r="F573" s="9" t="str">
        <f>IF(C573&gt;0, C573/'Conversion rates'!$I$3, D573)</f>
        <v/>
      </c>
      <c r="G573" s="28">
        <f>F573*'Conversion rates'!$I$3</f>
        <v>0</v>
      </c>
      <c r="H573" s="28"/>
      <c r="I573" s="9">
        <f t="shared" si="1"/>
        <v>0</v>
      </c>
      <c r="J573" s="4">
        <f t="shared" si="2"/>
        <v>0</v>
      </c>
    </row>
    <row r="574" ht="15.75" customHeight="1">
      <c r="A574" s="1"/>
      <c r="F574" s="9" t="str">
        <f>IF(C574&gt;0, C574/'Conversion rates'!$I$3, D574)</f>
        <v/>
      </c>
      <c r="G574" s="28">
        <f>F574*'Conversion rates'!$I$3</f>
        <v>0</v>
      </c>
      <c r="H574" s="28"/>
      <c r="I574" s="9">
        <f t="shared" si="1"/>
        <v>0</v>
      </c>
      <c r="J574" s="4">
        <f t="shared" si="2"/>
        <v>0</v>
      </c>
    </row>
    <row r="575" ht="15.75" customHeight="1">
      <c r="A575" s="1"/>
      <c r="F575" s="9" t="str">
        <f>IF(C575&gt;0, C575/'Conversion rates'!$I$3, D575)</f>
        <v/>
      </c>
      <c r="G575" s="28">
        <f>F575*'Conversion rates'!$I$3</f>
        <v>0</v>
      </c>
      <c r="H575" s="28"/>
      <c r="I575" s="9">
        <f t="shared" si="1"/>
        <v>0</v>
      </c>
      <c r="J575" s="4">
        <f t="shared" si="2"/>
        <v>0</v>
      </c>
    </row>
    <row r="576" ht="15.75" customHeight="1">
      <c r="A576" s="1"/>
      <c r="F576" s="9" t="str">
        <f>IF(C576&gt;0, C576/'Conversion rates'!$I$3, D576)</f>
        <v/>
      </c>
      <c r="G576" s="28">
        <f>F576*'Conversion rates'!$I$3</f>
        <v>0</v>
      </c>
      <c r="H576" s="28"/>
      <c r="I576" s="9">
        <f t="shared" si="1"/>
        <v>0</v>
      </c>
      <c r="J576" s="4">
        <f t="shared" si="2"/>
        <v>0</v>
      </c>
    </row>
    <row r="577" ht="15.75" customHeight="1">
      <c r="A577" s="1"/>
      <c r="F577" s="9" t="str">
        <f>IF(C577&gt;0, C577/'Conversion rates'!$I$3, D577)</f>
        <v/>
      </c>
      <c r="G577" s="28">
        <f>F577*'Conversion rates'!$I$3</f>
        <v>0</v>
      </c>
      <c r="H577" s="28"/>
      <c r="I577" s="9">
        <f t="shared" si="1"/>
        <v>0</v>
      </c>
      <c r="J577" s="4">
        <f t="shared" si="2"/>
        <v>0</v>
      </c>
    </row>
    <row r="578" ht="15.75" customHeight="1">
      <c r="A578" s="1"/>
      <c r="F578" s="9" t="str">
        <f>IF(C578&gt;0, C578/'Conversion rates'!$I$3, D578)</f>
        <v/>
      </c>
      <c r="G578" s="28">
        <f>F578*'Conversion rates'!$I$3</f>
        <v>0</v>
      </c>
      <c r="H578" s="28"/>
      <c r="I578" s="9">
        <f t="shared" si="1"/>
        <v>0</v>
      </c>
      <c r="J578" s="4">
        <f t="shared" si="2"/>
        <v>0</v>
      </c>
    </row>
    <row r="579" ht="15.75" customHeight="1">
      <c r="A579" s="1"/>
      <c r="F579" s="9" t="str">
        <f>IF(C579&gt;0, C579/'Conversion rates'!$I$3, D579)</f>
        <v/>
      </c>
      <c r="G579" s="28">
        <f>F579*'Conversion rates'!$I$3</f>
        <v>0</v>
      </c>
      <c r="H579" s="28"/>
      <c r="I579" s="9">
        <f t="shared" si="1"/>
        <v>0</v>
      </c>
      <c r="J579" s="4">
        <f t="shared" si="2"/>
        <v>0</v>
      </c>
    </row>
    <row r="580" ht="15.75" customHeight="1">
      <c r="A580" s="1"/>
      <c r="F580" s="9" t="str">
        <f>IF(C580&gt;0, C580/'Conversion rates'!$I$3, D580)</f>
        <v/>
      </c>
      <c r="G580" s="28">
        <f>F580*'Conversion rates'!$I$3</f>
        <v>0</v>
      </c>
      <c r="H580" s="28"/>
      <c r="I580" s="9">
        <f t="shared" si="1"/>
        <v>0</v>
      </c>
      <c r="J580" s="4">
        <f t="shared" si="2"/>
        <v>0</v>
      </c>
    </row>
    <row r="581" ht="15.75" customHeight="1">
      <c r="A581" s="1"/>
      <c r="F581" s="9" t="str">
        <f>IF(C581&gt;0, C581/'Conversion rates'!$I$3, D581)</f>
        <v/>
      </c>
      <c r="G581" s="28">
        <f>F581*'Conversion rates'!$I$3</f>
        <v>0</v>
      </c>
      <c r="H581" s="28"/>
      <c r="I581" s="9">
        <f t="shared" si="1"/>
        <v>0</v>
      </c>
      <c r="J581" s="4">
        <f t="shared" si="2"/>
        <v>0</v>
      </c>
    </row>
    <row r="582" ht="15.75" customHeight="1">
      <c r="A582" s="1"/>
      <c r="F582" s="9" t="str">
        <f>IF(C582&gt;0, C582/'Conversion rates'!$I$3, D582)</f>
        <v/>
      </c>
      <c r="G582" s="28">
        <f>F582*'Conversion rates'!$I$3</f>
        <v>0</v>
      </c>
      <c r="H582" s="28"/>
      <c r="I582" s="9">
        <f t="shared" si="1"/>
        <v>0</v>
      </c>
      <c r="J582" s="4">
        <f t="shared" si="2"/>
        <v>0</v>
      </c>
    </row>
    <row r="583" ht="15.75" customHeight="1">
      <c r="A583" s="1"/>
      <c r="F583" s="9" t="str">
        <f>IF(C583&gt;0, C583/'Conversion rates'!$I$3, D583)</f>
        <v/>
      </c>
      <c r="G583" s="28">
        <f>F583*'Conversion rates'!$I$3</f>
        <v>0</v>
      </c>
      <c r="H583" s="28"/>
      <c r="I583" s="9">
        <f t="shared" si="1"/>
        <v>0</v>
      </c>
      <c r="J583" s="4">
        <f t="shared" si="2"/>
        <v>0</v>
      </c>
    </row>
    <row r="584" ht="15.75" customHeight="1">
      <c r="A584" s="1"/>
      <c r="F584" s="9" t="str">
        <f>IF(C584&gt;0, C584/'Conversion rates'!$I$3, D584)</f>
        <v/>
      </c>
      <c r="G584" s="28">
        <f>F584*'Conversion rates'!$I$3</f>
        <v>0</v>
      </c>
      <c r="H584" s="28"/>
      <c r="I584" s="9">
        <f t="shared" si="1"/>
        <v>0</v>
      </c>
      <c r="J584" s="4">
        <f t="shared" si="2"/>
        <v>0</v>
      </c>
    </row>
    <row r="585" ht="15.75" customHeight="1">
      <c r="A585" s="1"/>
      <c r="F585" s="9" t="str">
        <f>IF(C585&gt;0, C585/'Conversion rates'!$I$3, D585)</f>
        <v/>
      </c>
      <c r="G585" s="28">
        <f>F585*'Conversion rates'!$I$3</f>
        <v>0</v>
      </c>
      <c r="H585" s="28"/>
      <c r="I585" s="9">
        <f t="shared" si="1"/>
        <v>0</v>
      </c>
      <c r="J585" s="4">
        <f t="shared" si="2"/>
        <v>0</v>
      </c>
    </row>
    <row r="586" ht="15.75" customHeight="1">
      <c r="A586" s="1"/>
      <c r="F586" s="9" t="str">
        <f>IF(C586&gt;0, C586/'Conversion rates'!$I$3, D586)</f>
        <v/>
      </c>
      <c r="G586" s="28">
        <f>F586*'Conversion rates'!$I$3</f>
        <v>0</v>
      </c>
      <c r="H586" s="28"/>
      <c r="I586" s="9">
        <f t="shared" si="1"/>
        <v>0</v>
      </c>
      <c r="J586" s="4">
        <f t="shared" si="2"/>
        <v>0</v>
      </c>
    </row>
    <row r="587" ht="15.75" customHeight="1">
      <c r="A587" s="1"/>
      <c r="F587" s="9" t="str">
        <f>IF(C587&gt;0, C587/'Conversion rates'!$I$3, D587)</f>
        <v/>
      </c>
      <c r="G587" s="28">
        <f>F587*'Conversion rates'!$I$3</f>
        <v>0</v>
      </c>
      <c r="H587" s="28"/>
      <c r="I587" s="9">
        <f t="shared" si="1"/>
        <v>0</v>
      </c>
      <c r="J587" s="4">
        <f t="shared" si="2"/>
        <v>0</v>
      </c>
    </row>
    <row r="588" ht="15.75" customHeight="1">
      <c r="A588" s="1"/>
      <c r="F588" s="9" t="str">
        <f>IF(C588&gt;0, C588/'Conversion rates'!$I$3, D588)</f>
        <v/>
      </c>
      <c r="G588" s="28">
        <f>F588*'Conversion rates'!$I$3</f>
        <v>0</v>
      </c>
      <c r="H588" s="28"/>
      <c r="I588" s="9">
        <f t="shared" si="1"/>
        <v>0</v>
      </c>
      <c r="J588" s="4">
        <f t="shared" si="2"/>
        <v>0</v>
      </c>
    </row>
    <row r="589" ht="15.75" customHeight="1">
      <c r="A589" s="1"/>
      <c r="F589" s="9" t="str">
        <f>IF(C589&gt;0, C589/'Conversion rates'!$I$3, D589)</f>
        <v/>
      </c>
      <c r="G589" s="28">
        <f>F589*'Conversion rates'!$I$3</f>
        <v>0</v>
      </c>
      <c r="H589" s="28"/>
      <c r="I589" s="9">
        <f t="shared" si="1"/>
        <v>0</v>
      </c>
      <c r="J589" s="4">
        <f t="shared" si="2"/>
        <v>0</v>
      </c>
    </row>
    <row r="590" ht="15.75" customHeight="1">
      <c r="A590" s="1"/>
      <c r="F590" s="9" t="str">
        <f>IF(C590&gt;0, C590/'Conversion rates'!$I$3, D590)</f>
        <v/>
      </c>
      <c r="G590" s="28">
        <f>F590*'Conversion rates'!$I$3</f>
        <v>0</v>
      </c>
      <c r="H590" s="28"/>
      <c r="I590" s="9">
        <f t="shared" si="1"/>
        <v>0</v>
      </c>
      <c r="J590" s="4">
        <f t="shared" si="2"/>
        <v>0</v>
      </c>
    </row>
    <row r="591" ht="15.75" customHeight="1">
      <c r="A591" s="1"/>
      <c r="F591" s="9" t="str">
        <f>IF(C591&gt;0, C591/'Conversion rates'!$I$3, D591)</f>
        <v/>
      </c>
      <c r="G591" s="28">
        <f>F591*'Conversion rates'!$I$3</f>
        <v>0</v>
      </c>
      <c r="H591" s="28"/>
      <c r="I591" s="9">
        <f t="shared" si="1"/>
        <v>0</v>
      </c>
      <c r="J591" s="4">
        <f t="shared" si="2"/>
        <v>0</v>
      </c>
    </row>
    <row r="592" ht="15.75" customHeight="1">
      <c r="A592" s="1"/>
      <c r="F592" s="9" t="str">
        <f>IF(C592&gt;0, C592/'Conversion rates'!$I$3, D592)</f>
        <v/>
      </c>
      <c r="G592" s="28">
        <f>F592*'Conversion rates'!$I$3</f>
        <v>0</v>
      </c>
      <c r="H592" s="28"/>
      <c r="I592" s="9">
        <f t="shared" si="1"/>
        <v>0</v>
      </c>
      <c r="J592" s="4">
        <f t="shared" si="2"/>
        <v>0</v>
      </c>
    </row>
    <row r="593" ht="15.75" customHeight="1">
      <c r="A593" s="1"/>
      <c r="F593" s="9" t="str">
        <f>IF(C593&gt;0, C593/'Conversion rates'!$I$3, D593)</f>
        <v/>
      </c>
      <c r="G593" s="28">
        <f>F593*'Conversion rates'!$I$3</f>
        <v>0</v>
      </c>
      <c r="H593" s="28"/>
      <c r="I593" s="9">
        <f t="shared" si="1"/>
        <v>0</v>
      </c>
      <c r="J593" s="4">
        <f t="shared" si="2"/>
        <v>0</v>
      </c>
    </row>
    <row r="594" ht="15.75" customHeight="1">
      <c r="A594" s="1"/>
      <c r="F594" s="9" t="str">
        <f>IF(C594&gt;0, C594/'Conversion rates'!$I$3, D594)</f>
        <v/>
      </c>
      <c r="G594" s="28">
        <f>F594*'Conversion rates'!$I$3</f>
        <v>0</v>
      </c>
      <c r="H594" s="28"/>
      <c r="I594" s="9">
        <f t="shared" si="1"/>
        <v>0</v>
      </c>
      <c r="J594" s="4">
        <f t="shared" si="2"/>
        <v>0</v>
      </c>
    </row>
    <row r="595" ht="15.75" customHeight="1">
      <c r="A595" s="1"/>
      <c r="F595" s="9" t="str">
        <f>IF(C595&gt;0, C595/'Conversion rates'!$I$3, D595)</f>
        <v/>
      </c>
      <c r="G595" s="28">
        <f>F595*'Conversion rates'!$I$3</f>
        <v>0</v>
      </c>
      <c r="H595" s="28"/>
      <c r="I595" s="9">
        <f t="shared" si="1"/>
        <v>0</v>
      </c>
      <c r="J595" s="4">
        <f t="shared" si="2"/>
        <v>0</v>
      </c>
    </row>
    <row r="596" ht="15.75" customHeight="1">
      <c r="A596" s="1"/>
      <c r="F596" s="9" t="str">
        <f>IF(C596&gt;0, C596/'Conversion rates'!$I$3, D596)</f>
        <v/>
      </c>
      <c r="G596" s="28">
        <f>F596*'Conversion rates'!$I$3</f>
        <v>0</v>
      </c>
      <c r="H596" s="28"/>
      <c r="I596" s="9">
        <f t="shared" si="1"/>
        <v>0</v>
      </c>
      <c r="J596" s="4">
        <f t="shared" si="2"/>
        <v>0</v>
      </c>
    </row>
    <row r="597" ht="15.75" customHeight="1">
      <c r="A597" s="1"/>
      <c r="F597" s="9" t="str">
        <f>IF(C597&gt;0, C597/'Conversion rates'!$I$3, D597)</f>
        <v/>
      </c>
      <c r="G597" s="28">
        <f>F597*'Conversion rates'!$I$3</f>
        <v>0</v>
      </c>
      <c r="H597" s="28"/>
      <c r="I597" s="9">
        <f t="shared" si="1"/>
        <v>0</v>
      </c>
      <c r="J597" s="4">
        <f t="shared" si="2"/>
        <v>0</v>
      </c>
    </row>
    <row r="598" ht="15.75" customHeight="1">
      <c r="A598" s="1"/>
      <c r="F598" s="9" t="str">
        <f>IF(C598&gt;0, C598/'Conversion rates'!$I$3, D598)</f>
        <v/>
      </c>
      <c r="G598" s="28">
        <f>F598*'Conversion rates'!$I$3</f>
        <v>0</v>
      </c>
      <c r="H598" s="28"/>
      <c r="I598" s="9">
        <f t="shared" si="1"/>
        <v>0</v>
      </c>
      <c r="J598" s="4">
        <f t="shared" si="2"/>
        <v>0</v>
      </c>
    </row>
    <row r="599" ht="15.75" customHeight="1">
      <c r="A599" s="1"/>
      <c r="F599" s="9" t="str">
        <f>IF(C599&gt;0, C599/'Conversion rates'!$I$3, D599)</f>
        <v/>
      </c>
      <c r="G599" s="28">
        <f>F599*'Conversion rates'!$I$3</f>
        <v>0</v>
      </c>
      <c r="H599" s="28"/>
      <c r="I599" s="9">
        <f t="shared" si="1"/>
        <v>0</v>
      </c>
      <c r="J599" s="4">
        <f t="shared" si="2"/>
        <v>0</v>
      </c>
    </row>
    <row r="600" ht="15.75" customHeight="1">
      <c r="A600" s="1"/>
      <c r="F600" s="9" t="str">
        <f>IF(C600&gt;0, C600/'Conversion rates'!$I$3, D600)</f>
        <v/>
      </c>
      <c r="G600" s="28">
        <f>F600*'Conversion rates'!$I$3</f>
        <v>0</v>
      </c>
      <c r="H600" s="28"/>
      <c r="I600" s="9">
        <f t="shared" si="1"/>
        <v>0</v>
      </c>
      <c r="J600" s="4">
        <f t="shared" si="2"/>
        <v>0</v>
      </c>
    </row>
    <row r="601" ht="15.75" customHeight="1">
      <c r="A601" s="1"/>
      <c r="F601" s="9" t="str">
        <f>IF(C601&gt;0, C601/'Conversion rates'!$I$3, D601)</f>
        <v/>
      </c>
      <c r="G601" s="28">
        <f>F601*'Conversion rates'!$I$3</f>
        <v>0</v>
      </c>
      <c r="H601" s="28"/>
      <c r="I601" s="9">
        <f t="shared" si="1"/>
        <v>0</v>
      </c>
      <c r="J601" s="4">
        <f t="shared" si="2"/>
        <v>0</v>
      </c>
    </row>
    <row r="602" ht="15.75" customHeight="1">
      <c r="A602" s="1"/>
      <c r="F602" s="9" t="str">
        <f>IF(C602&gt;0, C602/'Conversion rates'!$I$3, D602)</f>
        <v/>
      </c>
      <c r="G602" s="28">
        <f>F602*'Conversion rates'!$I$3</f>
        <v>0</v>
      </c>
      <c r="H602" s="28"/>
      <c r="I602" s="9">
        <f t="shared" si="1"/>
        <v>0</v>
      </c>
      <c r="J602" s="4">
        <f t="shared" si="2"/>
        <v>0</v>
      </c>
    </row>
    <row r="603" ht="15.75" customHeight="1">
      <c r="A603" s="1"/>
      <c r="F603" s="9" t="str">
        <f>IF(C603&gt;0, C603/'Conversion rates'!$I$3, D603)</f>
        <v/>
      </c>
      <c r="G603" s="28">
        <f>F603*'Conversion rates'!$I$3</f>
        <v>0</v>
      </c>
      <c r="H603" s="28"/>
      <c r="I603" s="9">
        <f t="shared" si="1"/>
        <v>0</v>
      </c>
      <c r="J603" s="4">
        <f t="shared" si="2"/>
        <v>0</v>
      </c>
    </row>
    <row r="604" ht="15.75" customHeight="1">
      <c r="A604" s="1"/>
      <c r="F604" s="9" t="str">
        <f>IF(C604&gt;0, C604/'Conversion rates'!$I$3, D604)</f>
        <v/>
      </c>
      <c r="G604" s="28">
        <f>F604*'Conversion rates'!$I$3</f>
        <v>0</v>
      </c>
      <c r="H604" s="28"/>
      <c r="I604" s="9">
        <f t="shared" si="1"/>
        <v>0</v>
      </c>
      <c r="J604" s="4">
        <f t="shared" si="2"/>
        <v>0</v>
      </c>
    </row>
    <row r="605" ht="15.75" customHeight="1">
      <c r="A605" s="1"/>
      <c r="F605" s="9" t="str">
        <f>IF(C605&gt;0, C605/'Conversion rates'!$I$3, D605)</f>
        <v/>
      </c>
      <c r="G605" s="28">
        <f>F605*'Conversion rates'!$I$3</f>
        <v>0</v>
      </c>
      <c r="H605" s="28"/>
      <c r="I605" s="9">
        <f t="shared" si="1"/>
        <v>0</v>
      </c>
      <c r="J605" s="4">
        <f t="shared" si="2"/>
        <v>0</v>
      </c>
    </row>
    <row r="606" ht="15.75" customHeight="1">
      <c r="A606" s="1"/>
      <c r="F606" s="9" t="str">
        <f>IF(C606&gt;0, C606/'Conversion rates'!$I$3, D606)</f>
        <v/>
      </c>
      <c r="G606" s="28">
        <f>F606*'Conversion rates'!$I$3</f>
        <v>0</v>
      </c>
      <c r="H606" s="28"/>
      <c r="I606" s="9">
        <f t="shared" si="1"/>
        <v>0</v>
      </c>
      <c r="J606" s="4">
        <f t="shared" si="2"/>
        <v>0</v>
      </c>
    </row>
    <row r="607" ht="15.75" customHeight="1">
      <c r="A607" s="1"/>
      <c r="F607" s="9" t="str">
        <f>IF(C607&gt;0, C607/'Conversion rates'!$I$3, D607)</f>
        <v/>
      </c>
      <c r="G607" s="28">
        <f>F607*'Conversion rates'!$I$3</f>
        <v>0</v>
      </c>
      <c r="H607" s="28"/>
      <c r="I607" s="9">
        <f t="shared" si="1"/>
        <v>0</v>
      </c>
      <c r="J607" s="4">
        <f t="shared" si="2"/>
        <v>0</v>
      </c>
    </row>
    <row r="608" ht="15.75" customHeight="1">
      <c r="A608" s="1"/>
      <c r="F608" s="9" t="str">
        <f>IF(C608&gt;0, C608/'Conversion rates'!$I$3, D608)</f>
        <v/>
      </c>
      <c r="G608" s="28">
        <f>F608*'Conversion rates'!$I$3</f>
        <v>0</v>
      </c>
      <c r="H608" s="28"/>
      <c r="I608" s="9">
        <f t="shared" si="1"/>
        <v>0</v>
      </c>
      <c r="J608" s="4">
        <f t="shared" si="2"/>
        <v>0</v>
      </c>
    </row>
    <row r="609" ht="15.75" customHeight="1">
      <c r="A609" s="1"/>
      <c r="F609" s="9" t="str">
        <f>IF(C609&gt;0, C609/'Conversion rates'!$I$3, D609)</f>
        <v/>
      </c>
      <c r="G609" s="28">
        <f>F609*'Conversion rates'!$I$3</f>
        <v>0</v>
      </c>
      <c r="H609" s="28"/>
      <c r="I609" s="9">
        <f t="shared" si="1"/>
        <v>0</v>
      </c>
      <c r="J609" s="4">
        <f t="shared" si="2"/>
        <v>0</v>
      </c>
    </row>
    <row r="610" ht="15.75" customHeight="1">
      <c r="A610" s="1"/>
      <c r="F610" s="9" t="str">
        <f>IF(C610&gt;0, C610/'Conversion rates'!$I$3, D610)</f>
        <v/>
      </c>
      <c r="G610" s="28">
        <f>F610*'Conversion rates'!$I$3</f>
        <v>0</v>
      </c>
      <c r="H610" s="28"/>
      <c r="I610" s="9">
        <f t="shared" si="1"/>
        <v>0</v>
      </c>
      <c r="J610" s="4">
        <f t="shared" si="2"/>
        <v>0</v>
      </c>
    </row>
    <row r="611" ht="15.75" customHeight="1">
      <c r="A611" s="1"/>
      <c r="F611" s="9" t="str">
        <f>IF(C611&gt;0, C611/'Conversion rates'!$I$3, D611)</f>
        <v/>
      </c>
      <c r="G611" s="28">
        <f>F611*'Conversion rates'!$I$3</f>
        <v>0</v>
      </c>
      <c r="H611" s="28"/>
      <c r="I611" s="9">
        <f t="shared" si="1"/>
        <v>0</v>
      </c>
      <c r="J611" s="4">
        <f t="shared" si="2"/>
        <v>0</v>
      </c>
    </row>
    <row r="612" ht="15.75" customHeight="1">
      <c r="A612" s="1"/>
      <c r="F612" s="9" t="str">
        <f>IF(C612&gt;0, C612/'Conversion rates'!$I$3, D612)</f>
        <v/>
      </c>
      <c r="G612" s="28">
        <f>F612*'Conversion rates'!$I$3</f>
        <v>0</v>
      </c>
      <c r="H612" s="28"/>
      <c r="I612" s="9">
        <f t="shared" si="1"/>
        <v>0</v>
      </c>
      <c r="J612" s="4">
        <f t="shared" si="2"/>
        <v>0</v>
      </c>
    </row>
    <row r="613" ht="15.75" customHeight="1">
      <c r="A613" s="1"/>
      <c r="F613" s="9" t="str">
        <f>IF(C613&gt;0, C613/'Conversion rates'!$I$3, D613)</f>
        <v/>
      </c>
      <c r="G613" s="28">
        <f>F613*'Conversion rates'!$I$3</f>
        <v>0</v>
      </c>
      <c r="H613" s="28"/>
      <c r="I613" s="9">
        <f t="shared" si="1"/>
        <v>0</v>
      </c>
      <c r="J613" s="4">
        <f t="shared" si="2"/>
        <v>0</v>
      </c>
    </row>
    <row r="614" ht="15.75" customHeight="1">
      <c r="A614" s="1"/>
      <c r="F614" s="9" t="str">
        <f>IF(C614&gt;0, C614/'Conversion rates'!$I$3, D614)</f>
        <v/>
      </c>
      <c r="G614" s="28">
        <f>F614*'Conversion rates'!$I$3</f>
        <v>0</v>
      </c>
      <c r="H614" s="28"/>
      <c r="I614" s="9">
        <f t="shared" si="1"/>
        <v>0</v>
      </c>
      <c r="J614" s="4">
        <f t="shared" si="2"/>
        <v>0</v>
      </c>
    </row>
    <row r="615" ht="15.75" customHeight="1">
      <c r="A615" s="1"/>
      <c r="F615" s="9" t="str">
        <f>IF(C615&gt;0, C615/'Conversion rates'!$I$3, D615)</f>
        <v/>
      </c>
      <c r="G615" s="28">
        <f>F615*'Conversion rates'!$I$3</f>
        <v>0</v>
      </c>
      <c r="H615" s="28"/>
      <c r="I615" s="9">
        <f t="shared" si="1"/>
        <v>0</v>
      </c>
      <c r="J615" s="4">
        <f t="shared" si="2"/>
        <v>0</v>
      </c>
    </row>
    <row r="616" ht="15.75" customHeight="1">
      <c r="A616" s="1"/>
      <c r="F616" s="9" t="str">
        <f>IF(C616&gt;0, C616/'Conversion rates'!$I$3, D616)</f>
        <v/>
      </c>
      <c r="G616" s="28">
        <f>F616*'Conversion rates'!$I$3</f>
        <v>0</v>
      </c>
      <c r="H616" s="28"/>
      <c r="I616" s="9">
        <f t="shared" si="1"/>
        <v>0</v>
      </c>
      <c r="J616" s="4">
        <f t="shared" si="2"/>
        <v>0</v>
      </c>
    </row>
    <row r="617" ht="15.75" customHeight="1">
      <c r="A617" s="1"/>
      <c r="F617" s="9" t="str">
        <f>IF(C617&gt;0, C617/'Conversion rates'!$I$3, D617)</f>
        <v/>
      </c>
      <c r="G617" s="28">
        <f>F617*'Conversion rates'!$I$3</f>
        <v>0</v>
      </c>
      <c r="H617" s="28"/>
      <c r="I617" s="9">
        <f t="shared" si="1"/>
        <v>0</v>
      </c>
      <c r="J617" s="4">
        <f t="shared" si="2"/>
        <v>0</v>
      </c>
    </row>
    <row r="618" ht="15.75" customHeight="1">
      <c r="A618" s="1"/>
      <c r="F618" s="9" t="str">
        <f>IF(C618&gt;0, C618/'Conversion rates'!$I$3, D618)</f>
        <v/>
      </c>
      <c r="G618" s="28">
        <f>F618*'Conversion rates'!$I$3</f>
        <v>0</v>
      </c>
      <c r="H618" s="28"/>
      <c r="I618" s="9">
        <f t="shared" si="1"/>
        <v>0</v>
      </c>
      <c r="J618" s="4">
        <f t="shared" si="2"/>
        <v>0</v>
      </c>
    </row>
    <row r="619" ht="15.75" customHeight="1">
      <c r="A619" s="1"/>
      <c r="F619" s="9" t="str">
        <f>IF(C619&gt;0, C619/'Conversion rates'!$I$3, D619)</f>
        <v/>
      </c>
      <c r="G619" s="28">
        <f>F619*'Conversion rates'!$I$3</f>
        <v>0</v>
      </c>
      <c r="H619" s="28"/>
      <c r="I619" s="9">
        <f t="shared" si="1"/>
        <v>0</v>
      </c>
      <c r="J619" s="4">
        <f t="shared" si="2"/>
        <v>0</v>
      </c>
    </row>
    <row r="620" ht="15.75" customHeight="1">
      <c r="A620" s="1"/>
      <c r="F620" s="9" t="str">
        <f>IF(C620&gt;0, C620/'Conversion rates'!$I$3, D620)</f>
        <v/>
      </c>
      <c r="G620" s="28">
        <f>F620*'Conversion rates'!$I$3</f>
        <v>0</v>
      </c>
      <c r="H620" s="28"/>
      <c r="I620" s="9">
        <f t="shared" si="1"/>
        <v>0</v>
      </c>
      <c r="J620" s="4">
        <f t="shared" si="2"/>
        <v>0</v>
      </c>
    </row>
    <row r="621" ht="15.75" customHeight="1">
      <c r="A621" s="1"/>
      <c r="F621" s="9" t="str">
        <f>IF(C621&gt;0, C621/'Conversion rates'!$I$3, D621)</f>
        <v/>
      </c>
      <c r="G621" s="28">
        <f>F621*'Conversion rates'!$I$3</f>
        <v>0</v>
      </c>
      <c r="H621" s="28"/>
      <c r="I621" s="9">
        <f t="shared" si="1"/>
        <v>0</v>
      </c>
      <c r="J621" s="4">
        <f t="shared" si="2"/>
        <v>0</v>
      </c>
    </row>
    <row r="622" ht="15.75" customHeight="1">
      <c r="A622" s="1"/>
      <c r="F622" s="9" t="str">
        <f>IF(C622&gt;0, C622/'Conversion rates'!$I$3, D622)</f>
        <v/>
      </c>
      <c r="G622" s="28">
        <f>F622*'Conversion rates'!$I$3</f>
        <v>0</v>
      </c>
      <c r="H622" s="28"/>
      <c r="I622" s="9">
        <f t="shared" si="1"/>
        <v>0</v>
      </c>
      <c r="J622" s="4">
        <f t="shared" si="2"/>
        <v>0</v>
      </c>
    </row>
    <row r="623" ht="15.75" customHeight="1">
      <c r="A623" s="1"/>
      <c r="F623" s="9" t="str">
        <f>IF(C623&gt;0, C623/'Conversion rates'!$I$3, D623)</f>
        <v/>
      </c>
      <c r="G623" s="28">
        <f>F623*'Conversion rates'!$I$3</f>
        <v>0</v>
      </c>
      <c r="H623" s="28"/>
      <c r="I623" s="9">
        <f t="shared" si="1"/>
        <v>0</v>
      </c>
      <c r="J623" s="4">
        <f t="shared" si="2"/>
        <v>0</v>
      </c>
    </row>
    <row r="624" ht="15.75" customHeight="1">
      <c r="A624" s="1"/>
      <c r="F624" s="9" t="str">
        <f>IF(C624&gt;0, C624/'Conversion rates'!$I$3, D624)</f>
        <v/>
      </c>
      <c r="G624" s="28">
        <f>F624*'Conversion rates'!$I$3</f>
        <v>0</v>
      </c>
      <c r="H624" s="28"/>
      <c r="I624" s="9">
        <f t="shared" si="1"/>
        <v>0</v>
      </c>
      <c r="J624" s="4">
        <f t="shared" si="2"/>
        <v>0</v>
      </c>
    </row>
    <row r="625" ht="15.75" customHeight="1">
      <c r="A625" s="1"/>
      <c r="F625" s="9" t="str">
        <f>IF(C625&gt;0, C625/'Conversion rates'!$I$3, D625)</f>
        <v/>
      </c>
      <c r="G625" s="28">
        <f>F625*'Conversion rates'!$I$3</f>
        <v>0</v>
      </c>
      <c r="H625" s="28"/>
      <c r="I625" s="9">
        <f t="shared" si="1"/>
        <v>0</v>
      </c>
      <c r="J625" s="4">
        <f t="shared" si="2"/>
        <v>0</v>
      </c>
    </row>
    <row r="626" ht="15.75" customHeight="1">
      <c r="A626" s="1"/>
      <c r="F626" s="9" t="str">
        <f>IF(C626&gt;0, C626/'Conversion rates'!$I$3, D626)</f>
        <v/>
      </c>
      <c r="G626" s="28">
        <f>F626*'Conversion rates'!$I$3</f>
        <v>0</v>
      </c>
      <c r="H626" s="28"/>
      <c r="I626" s="9">
        <f t="shared" si="1"/>
        <v>0</v>
      </c>
      <c r="J626" s="4">
        <f t="shared" si="2"/>
        <v>0</v>
      </c>
    </row>
    <row r="627" ht="15.75" customHeight="1">
      <c r="A627" s="1"/>
      <c r="F627" s="9" t="str">
        <f>IF(C627&gt;0, C627/'Conversion rates'!$I$3, D627)</f>
        <v/>
      </c>
      <c r="G627" s="28">
        <f>F627*'Conversion rates'!$I$3</f>
        <v>0</v>
      </c>
      <c r="H627" s="28"/>
      <c r="I627" s="9">
        <f t="shared" si="1"/>
        <v>0</v>
      </c>
      <c r="J627" s="4">
        <f t="shared" si="2"/>
        <v>0</v>
      </c>
    </row>
    <row r="628" ht="15.75" customHeight="1">
      <c r="A628" s="1"/>
      <c r="F628" s="9" t="str">
        <f>IF(C628&gt;0, C628/'Conversion rates'!$I$3, D628)</f>
        <v/>
      </c>
      <c r="G628" s="28">
        <f>F628*'Conversion rates'!$I$3</f>
        <v>0</v>
      </c>
      <c r="H628" s="28"/>
      <c r="I628" s="9">
        <f t="shared" si="1"/>
        <v>0</v>
      </c>
      <c r="J628" s="4">
        <f t="shared" si="2"/>
        <v>0</v>
      </c>
    </row>
    <row r="629" ht="15.75" customHeight="1">
      <c r="A629" s="1"/>
      <c r="F629" s="9" t="str">
        <f>IF(C629&gt;0, C629/'Conversion rates'!$I$3, D629)</f>
        <v/>
      </c>
      <c r="G629" s="28">
        <f>F629*'Conversion rates'!$I$3</f>
        <v>0</v>
      </c>
      <c r="H629" s="28"/>
      <c r="I629" s="9">
        <f t="shared" si="1"/>
        <v>0</v>
      </c>
      <c r="J629" s="4">
        <f t="shared" si="2"/>
        <v>0</v>
      </c>
    </row>
    <row r="630" ht="15.75" customHeight="1">
      <c r="A630" s="1"/>
      <c r="F630" s="9" t="str">
        <f>IF(C630&gt;0, C630/'Conversion rates'!$I$3, D630)</f>
        <v/>
      </c>
      <c r="G630" s="28">
        <f>F630*'Conversion rates'!$I$3</f>
        <v>0</v>
      </c>
      <c r="H630" s="28"/>
      <c r="I630" s="9">
        <f t="shared" si="1"/>
        <v>0</v>
      </c>
      <c r="J630" s="4">
        <f t="shared" si="2"/>
        <v>0</v>
      </c>
    </row>
    <row r="631" ht="15.75" customHeight="1">
      <c r="A631" s="1"/>
      <c r="F631" s="9" t="str">
        <f>IF(C631&gt;0, C631/'Conversion rates'!$I$3, D631)</f>
        <v/>
      </c>
      <c r="G631" s="28">
        <f>F631*'Conversion rates'!$I$3</f>
        <v>0</v>
      </c>
      <c r="H631" s="28"/>
      <c r="I631" s="9">
        <f t="shared" si="1"/>
        <v>0</v>
      </c>
      <c r="J631" s="4">
        <f t="shared" si="2"/>
        <v>0</v>
      </c>
    </row>
    <row r="632" ht="15.75" customHeight="1">
      <c r="A632" s="1"/>
      <c r="F632" s="9" t="str">
        <f>IF(C632&gt;0, C632/'Conversion rates'!$I$3, D632)</f>
        <v/>
      </c>
      <c r="G632" s="28">
        <f>F632*'Conversion rates'!$I$3</f>
        <v>0</v>
      </c>
      <c r="H632" s="28"/>
      <c r="I632" s="9">
        <f t="shared" si="1"/>
        <v>0</v>
      </c>
      <c r="J632" s="4">
        <f t="shared" si="2"/>
        <v>0</v>
      </c>
    </row>
    <row r="633" ht="15.75" customHeight="1">
      <c r="A633" s="1"/>
      <c r="F633" s="9" t="str">
        <f>IF(C633&gt;0, C633/'Conversion rates'!$I$3, D633)</f>
        <v/>
      </c>
      <c r="G633" s="28">
        <f>F633*'Conversion rates'!$I$3</f>
        <v>0</v>
      </c>
      <c r="H633" s="28"/>
      <c r="I633" s="9">
        <f t="shared" si="1"/>
        <v>0</v>
      </c>
      <c r="J633" s="4">
        <f t="shared" si="2"/>
        <v>0</v>
      </c>
    </row>
    <row r="634" ht="15.75" customHeight="1">
      <c r="A634" s="1"/>
      <c r="F634" s="9" t="str">
        <f>IF(C634&gt;0, C634/'Conversion rates'!$I$3, D634)</f>
        <v/>
      </c>
      <c r="G634" s="28">
        <f>F634*'Conversion rates'!$I$3</f>
        <v>0</v>
      </c>
      <c r="H634" s="28"/>
      <c r="I634" s="9">
        <f t="shared" si="1"/>
        <v>0</v>
      </c>
      <c r="J634" s="4">
        <f t="shared" si="2"/>
        <v>0</v>
      </c>
    </row>
    <row r="635" ht="15.75" customHeight="1">
      <c r="A635" s="1"/>
      <c r="F635" s="9" t="str">
        <f>IF(C635&gt;0, C635/'Conversion rates'!$I$3, D635)</f>
        <v/>
      </c>
      <c r="G635" s="28">
        <f>F635*'Conversion rates'!$I$3</f>
        <v>0</v>
      </c>
      <c r="H635" s="28"/>
      <c r="I635" s="9">
        <f t="shared" si="1"/>
        <v>0</v>
      </c>
      <c r="J635" s="4">
        <f t="shared" si="2"/>
        <v>0</v>
      </c>
    </row>
    <row r="636" ht="15.75" customHeight="1">
      <c r="A636" s="1"/>
      <c r="F636" s="9" t="str">
        <f>IF(C636&gt;0, C636/'Conversion rates'!$I$3, D636)</f>
        <v/>
      </c>
      <c r="G636" s="28">
        <f>F636*'Conversion rates'!$I$3</f>
        <v>0</v>
      </c>
      <c r="H636" s="28"/>
      <c r="I636" s="9">
        <f t="shared" si="1"/>
        <v>0</v>
      </c>
      <c r="J636" s="4">
        <f t="shared" si="2"/>
        <v>0</v>
      </c>
    </row>
    <row r="637" ht="15.75" customHeight="1">
      <c r="A637" s="1"/>
      <c r="F637" s="9" t="str">
        <f>IF(C637&gt;0, C637/'Conversion rates'!$I$3, D637)</f>
        <v/>
      </c>
      <c r="G637" s="28">
        <f>F637*'Conversion rates'!$I$3</f>
        <v>0</v>
      </c>
      <c r="H637" s="28"/>
      <c r="I637" s="9">
        <f t="shared" si="1"/>
        <v>0</v>
      </c>
      <c r="J637" s="4">
        <f t="shared" si="2"/>
        <v>0</v>
      </c>
    </row>
    <row r="638" ht="15.75" customHeight="1">
      <c r="A638" s="1"/>
      <c r="F638" s="9" t="str">
        <f>IF(C638&gt;0, C638/'Conversion rates'!$I$3, D638)</f>
        <v/>
      </c>
      <c r="G638" s="28">
        <f>F638*'Conversion rates'!$I$3</f>
        <v>0</v>
      </c>
      <c r="H638" s="28"/>
      <c r="I638" s="9">
        <f t="shared" si="1"/>
        <v>0</v>
      </c>
      <c r="J638" s="4">
        <f t="shared" si="2"/>
        <v>0</v>
      </c>
    </row>
    <row r="639" ht="15.75" customHeight="1">
      <c r="A639" s="1"/>
      <c r="F639" s="9" t="str">
        <f>IF(C639&gt;0, C639/'Conversion rates'!$I$3, D639)</f>
        <v/>
      </c>
      <c r="G639" s="28">
        <f>F639*'Conversion rates'!$I$3</f>
        <v>0</v>
      </c>
      <c r="H639" s="28"/>
      <c r="I639" s="9">
        <f t="shared" si="1"/>
        <v>0</v>
      </c>
      <c r="J639" s="4">
        <f t="shared" si="2"/>
        <v>0</v>
      </c>
    </row>
    <row r="640" ht="15.75" customHeight="1">
      <c r="A640" s="1"/>
      <c r="F640" s="9" t="str">
        <f>IF(C640&gt;0, C640/'Conversion rates'!$I$3, D640)</f>
        <v/>
      </c>
      <c r="G640" s="28">
        <f>F640*'Conversion rates'!$I$3</f>
        <v>0</v>
      </c>
      <c r="H640" s="28"/>
      <c r="I640" s="9">
        <f t="shared" si="1"/>
        <v>0</v>
      </c>
      <c r="J640" s="4">
        <f t="shared" si="2"/>
        <v>0</v>
      </c>
    </row>
    <row r="641" ht="15.75" customHeight="1">
      <c r="A641" s="1"/>
      <c r="F641" s="9" t="str">
        <f>IF(C641&gt;0, C641/'Conversion rates'!$I$3, D641)</f>
        <v/>
      </c>
      <c r="G641" s="28">
        <f>F641*'Conversion rates'!$I$3</f>
        <v>0</v>
      </c>
      <c r="H641" s="28"/>
      <c r="I641" s="9">
        <f t="shared" si="1"/>
        <v>0</v>
      </c>
      <c r="J641" s="4">
        <f t="shared" si="2"/>
        <v>0</v>
      </c>
    </row>
    <row r="642" ht="15.75" customHeight="1">
      <c r="A642" s="1"/>
      <c r="F642" s="9" t="str">
        <f>IF(C642&gt;0, C642/'Conversion rates'!$I$3, D642)</f>
        <v/>
      </c>
      <c r="G642" s="28">
        <f>F642*'Conversion rates'!$I$3</f>
        <v>0</v>
      </c>
      <c r="H642" s="28"/>
      <c r="I642" s="9">
        <f t="shared" si="1"/>
        <v>0</v>
      </c>
      <c r="J642" s="4">
        <f t="shared" si="2"/>
        <v>0</v>
      </c>
    </row>
    <row r="643" ht="15.75" customHeight="1">
      <c r="A643" s="1"/>
      <c r="F643" s="9" t="str">
        <f>IF(C643&gt;0, C643/'Conversion rates'!$I$3, D643)</f>
        <v/>
      </c>
      <c r="G643" s="28">
        <f>F643*'Conversion rates'!$I$3</f>
        <v>0</v>
      </c>
      <c r="H643" s="28"/>
      <c r="I643" s="9">
        <f t="shared" si="1"/>
        <v>0</v>
      </c>
      <c r="J643" s="4">
        <f t="shared" si="2"/>
        <v>0</v>
      </c>
    </row>
    <row r="644" ht="15.75" customHeight="1">
      <c r="A644" s="1"/>
      <c r="F644" s="9" t="str">
        <f>IF(C644&gt;0, C644/'Conversion rates'!$I$3, D644)</f>
        <v/>
      </c>
      <c r="G644" s="28">
        <f>F644*'Conversion rates'!$I$3</f>
        <v>0</v>
      </c>
      <c r="H644" s="28"/>
      <c r="I644" s="9">
        <f t="shared" si="1"/>
        <v>0</v>
      </c>
      <c r="J644" s="4">
        <f t="shared" si="2"/>
        <v>0</v>
      </c>
    </row>
    <row r="645" ht="15.75" customHeight="1">
      <c r="A645" s="1"/>
      <c r="F645" s="9" t="str">
        <f>IF(C645&gt;0, C645/'Conversion rates'!$I$3, D645)</f>
        <v/>
      </c>
      <c r="G645" s="28">
        <f>F645*'Conversion rates'!$I$3</f>
        <v>0</v>
      </c>
      <c r="H645" s="28"/>
      <c r="I645" s="9">
        <f t="shared" si="1"/>
        <v>0</v>
      </c>
      <c r="J645" s="4">
        <f t="shared" si="2"/>
        <v>0</v>
      </c>
    </row>
    <row r="646" ht="15.75" customHeight="1">
      <c r="A646" s="1"/>
      <c r="F646" s="9" t="str">
        <f>IF(C646&gt;0, C646/'Conversion rates'!$I$3, D646)</f>
        <v/>
      </c>
      <c r="G646" s="28">
        <f>F646*'Conversion rates'!$I$3</f>
        <v>0</v>
      </c>
      <c r="H646" s="28"/>
      <c r="I646" s="9">
        <f t="shared" si="1"/>
        <v>0</v>
      </c>
      <c r="J646" s="4">
        <f t="shared" si="2"/>
        <v>0</v>
      </c>
    </row>
    <row r="647" ht="15.75" customHeight="1">
      <c r="A647" s="1"/>
      <c r="F647" s="9" t="str">
        <f>IF(C647&gt;0, C647/'Conversion rates'!$I$3, D647)</f>
        <v/>
      </c>
      <c r="G647" s="28">
        <f>F647*'Conversion rates'!$I$3</f>
        <v>0</v>
      </c>
      <c r="H647" s="28"/>
      <c r="I647" s="9">
        <f t="shared" si="1"/>
        <v>0</v>
      </c>
      <c r="J647" s="4">
        <f t="shared" si="2"/>
        <v>0</v>
      </c>
    </row>
    <row r="648" ht="15.75" customHeight="1">
      <c r="A648" s="1"/>
      <c r="F648" s="9" t="str">
        <f>IF(C648&gt;0, C648/'Conversion rates'!$I$3, D648)</f>
        <v/>
      </c>
      <c r="G648" s="28">
        <f>F648*'Conversion rates'!$I$3</f>
        <v>0</v>
      </c>
      <c r="H648" s="28"/>
      <c r="I648" s="9">
        <f t="shared" si="1"/>
        <v>0</v>
      </c>
      <c r="J648" s="4">
        <f t="shared" si="2"/>
        <v>0</v>
      </c>
    </row>
    <row r="649" ht="15.75" customHeight="1">
      <c r="A649" s="1"/>
      <c r="F649" s="9" t="str">
        <f>IF(C649&gt;0, C649/'Conversion rates'!$I$3, D649)</f>
        <v/>
      </c>
      <c r="G649" s="28">
        <f>F649*'Conversion rates'!$I$3</f>
        <v>0</v>
      </c>
      <c r="H649" s="28"/>
      <c r="I649" s="9">
        <f t="shared" si="1"/>
        <v>0</v>
      </c>
      <c r="J649" s="4">
        <f t="shared" si="2"/>
        <v>0</v>
      </c>
    </row>
    <row r="650" ht="15.75" customHeight="1">
      <c r="A650" s="1"/>
      <c r="F650" s="9" t="str">
        <f>IF(C650&gt;0, C650/'Conversion rates'!$I$3, D650)</f>
        <v/>
      </c>
      <c r="G650" s="28">
        <f>F650*'Conversion rates'!$I$3</f>
        <v>0</v>
      </c>
      <c r="H650" s="28"/>
      <c r="I650" s="9">
        <f t="shared" si="1"/>
        <v>0</v>
      </c>
      <c r="J650" s="4">
        <f t="shared" si="2"/>
        <v>0</v>
      </c>
    </row>
    <row r="651" ht="15.75" customHeight="1">
      <c r="A651" s="1"/>
      <c r="F651" s="9" t="str">
        <f>IF(C651&gt;0, C651/'Conversion rates'!$I$3, D651)</f>
        <v/>
      </c>
      <c r="G651" s="28">
        <f>F651*'Conversion rates'!$I$3</f>
        <v>0</v>
      </c>
      <c r="H651" s="28"/>
      <c r="I651" s="9">
        <f t="shared" si="1"/>
        <v>0</v>
      </c>
      <c r="J651" s="4">
        <f t="shared" si="2"/>
        <v>0</v>
      </c>
    </row>
    <row r="652" ht="15.75" customHeight="1">
      <c r="A652" s="1"/>
      <c r="F652" s="9" t="str">
        <f>IF(C652&gt;0, C652/'Conversion rates'!$I$3, D652)</f>
        <v/>
      </c>
      <c r="G652" s="28">
        <f>F652*'Conversion rates'!$I$3</f>
        <v>0</v>
      </c>
      <c r="H652" s="28"/>
      <c r="I652" s="9">
        <f t="shared" si="1"/>
        <v>0</v>
      </c>
      <c r="J652" s="4">
        <f t="shared" si="2"/>
        <v>0</v>
      </c>
    </row>
    <row r="653" ht="15.75" customHeight="1">
      <c r="A653" s="1"/>
      <c r="F653" s="9" t="str">
        <f>IF(C653&gt;0, C653/'Conversion rates'!$I$3, D653)</f>
        <v/>
      </c>
      <c r="G653" s="28">
        <f>F653*'Conversion rates'!$I$3</f>
        <v>0</v>
      </c>
      <c r="H653" s="28"/>
      <c r="I653" s="9">
        <f t="shared" si="1"/>
        <v>0</v>
      </c>
      <c r="J653" s="4">
        <f t="shared" si="2"/>
        <v>0</v>
      </c>
    </row>
    <row r="654" ht="15.75" customHeight="1">
      <c r="A654" s="1"/>
      <c r="F654" s="9" t="str">
        <f>IF(C654&gt;0, C654/'Conversion rates'!$I$3, D654)</f>
        <v/>
      </c>
      <c r="G654" s="28">
        <f>F654*'Conversion rates'!$I$3</f>
        <v>0</v>
      </c>
      <c r="H654" s="28"/>
      <c r="I654" s="9">
        <f t="shared" si="1"/>
        <v>0</v>
      </c>
      <c r="J654" s="4">
        <f t="shared" si="2"/>
        <v>0</v>
      </c>
    </row>
    <row r="655" ht="15.75" customHeight="1">
      <c r="A655" s="1"/>
      <c r="F655" s="9" t="str">
        <f>IF(C655&gt;0, C655/'Conversion rates'!$I$3, D655)</f>
        <v/>
      </c>
      <c r="G655" s="28">
        <f>F655*'Conversion rates'!$I$3</f>
        <v>0</v>
      </c>
      <c r="H655" s="28"/>
      <c r="I655" s="9">
        <f t="shared" si="1"/>
        <v>0</v>
      </c>
      <c r="J655" s="4">
        <f t="shared" si="2"/>
        <v>0</v>
      </c>
    </row>
    <row r="656" ht="15.75" customHeight="1">
      <c r="A656" s="1"/>
      <c r="F656" s="9" t="str">
        <f>IF(C656&gt;0, C656/'Conversion rates'!$I$3, D656)</f>
        <v/>
      </c>
      <c r="G656" s="28">
        <f>F656*'Conversion rates'!$I$3</f>
        <v>0</v>
      </c>
      <c r="H656" s="28"/>
      <c r="I656" s="9">
        <f t="shared" si="1"/>
        <v>0</v>
      </c>
      <c r="J656" s="4">
        <f t="shared" si="2"/>
        <v>0</v>
      </c>
    </row>
    <row r="657" ht="15.75" customHeight="1">
      <c r="A657" s="1"/>
      <c r="F657" s="9" t="str">
        <f>IF(C657&gt;0, C657/'Conversion rates'!$I$3, D657)</f>
        <v/>
      </c>
      <c r="G657" s="28">
        <f>F657*'Conversion rates'!$I$3</f>
        <v>0</v>
      </c>
      <c r="H657" s="28"/>
      <c r="I657" s="9">
        <f t="shared" si="1"/>
        <v>0</v>
      </c>
      <c r="J657" s="4">
        <f t="shared" si="2"/>
        <v>0</v>
      </c>
    </row>
    <row r="658" ht="15.75" customHeight="1">
      <c r="A658" s="1"/>
      <c r="F658" s="9" t="str">
        <f>IF(C658&gt;0, C658/'Conversion rates'!$I$3, D658)</f>
        <v/>
      </c>
      <c r="G658" s="28">
        <f>F658*'Conversion rates'!$I$3</f>
        <v>0</v>
      </c>
      <c r="H658" s="28"/>
      <c r="I658" s="9">
        <f t="shared" si="1"/>
        <v>0</v>
      </c>
      <c r="J658" s="4">
        <f t="shared" si="2"/>
        <v>0</v>
      </c>
    </row>
    <row r="659" ht="15.75" customHeight="1">
      <c r="A659" s="1"/>
      <c r="F659" s="9" t="str">
        <f>IF(C659&gt;0, C659/'Conversion rates'!$I$3, D659)</f>
        <v/>
      </c>
      <c r="G659" s="28">
        <f>F659*'Conversion rates'!$I$3</f>
        <v>0</v>
      </c>
      <c r="H659" s="28"/>
      <c r="I659" s="9">
        <f t="shared" si="1"/>
        <v>0</v>
      </c>
      <c r="J659" s="4">
        <f t="shared" si="2"/>
        <v>0</v>
      </c>
    </row>
    <row r="660" ht="15.75" customHeight="1">
      <c r="A660" s="1"/>
      <c r="F660" s="9" t="str">
        <f>IF(C660&gt;0, C660/'Conversion rates'!$I$3, D660)</f>
        <v/>
      </c>
      <c r="G660" s="28">
        <f>F660*'Conversion rates'!$I$3</f>
        <v>0</v>
      </c>
      <c r="H660" s="28"/>
      <c r="I660" s="9">
        <f t="shared" si="1"/>
        <v>0</v>
      </c>
      <c r="J660" s="4">
        <f t="shared" si="2"/>
        <v>0</v>
      </c>
    </row>
    <row r="661" ht="15.75" customHeight="1">
      <c r="A661" s="1"/>
      <c r="F661" s="9" t="str">
        <f>IF(C661&gt;0, C661/'Conversion rates'!$I$3, D661)</f>
        <v/>
      </c>
      <c r="G661" s="28">
        <f>F661*'Conversion rates'!$I$3</f>
        <v>0</v>
      </c>
      <c r="H661" s="28"/>
      <c r="I661" s="9">
        <f t="shared" si="1"/>
        <v>0</v>
      </c>
      <c r="J661" s="4">
        <f t="shared" si="2"/>
        <v>0</v>
      </c>
    </row>
    <row r="662" ht="15.75" customHeight="1">
      <c r="A662" s="1"/>
      <c r="F662" s="9" t="str">
        <f>IF(C662&gt;0, C662/'Conversion rates'!$I$3, D662)</f>
        <v/>
      </c>
      <c r="G662" s="28">
        <f>F662*'Conversion rates'!$I$3</f>
        <v>0</v>
      </c>
      <c r="H662" s="28"/>
      <c r="I662" s="9">
        <f t="shared" si="1"/>
        <v>0</v>
      </c>
      <c r="J662" s="4">
        <f t="shared" si="2"/>
        <v>0</v>
      </c>
    </row>
    <row r="663" ht="15.75" customHeight="1">
      <c r="A663" s="1"/>
      <c r="F663" s="9" t="str">
        <f>IF(C663&gt;0, C663/'Conversion rates'!$I$3, D663)</f>
        <v/>
      </c>
      <c r="G663" s="28">
        <f>F663*'Conversion rates'!$I$3</f>
        <v>0</v>
      </c>
      <c r="H663" s="28"/>
      <c r="I663" s="9">
        <f t="shared" si="1"/>
        <v>0</v>
      </c>
      <c r="J663" s="4">
        <f t="shared" si="2"/>
        <v>0</v>
      </c>
    </row>
    <row r="664" ht="15.75" customHeight="1">
      <c r="A664" s="1"/>
      <c r="F664" s="9" t="str">
        <f>IF(C664&gt;0, C664/'Conversion rates'!$I$3, D664)</f>
        <v/>
      </c>
      <c r="G664" s="28">
        <f>F664*'Conversion rates'!$I$3</f>
        <v>0</v>
      </c>
      <c r="H664" s="28"/>
      <c r="I664" s="9">
        <f t="shared" si="1"/>
        <v>0</v>
      </c>
      <c r="J664" s="4">
        <f t="shared" si="2"/>
        <v>0</v>
      </c>
    </row>
    <row r="665" ht="15.75" customHeight="1">
      <c r="A665" s="1"/>
      <c r="F665" s="9" t="str">
        <f>IF(C665&gt;0, C665/'Conversion rates'!$I$3, D665)</f>
        <v/>
      </c>
      <c r="G665" s="28">
        <f>F665*'Conversion rates'!$I$3</f>
        <v>0</v>
      </c>
      <c r="H665" s="28"/>
      <c r="I665" s="9">
        <f t="shared" si="1"/>
        <v>0</v>
      </c>
      <c r="J665" s="4">
        <f t="shared" si="2"/>
        <v>0</v>
      </c>
    </row>
    <row r="666" ht="15.75" customHeight="1">
      <c r="A666" s="1"/>
      <c r="F666" s="9" t="str">
        <f>IF(C666&gt;0, C666/'Conversion rates'!$I$3, D666)</f>
        <v/>
      </c>
      <c r="G666" s="28">
        <f>F666*'Conversion rates'!$I$3</f>
        <v>0</v>
      </c>
      <c r="H666" s="28"/>
      <c r="I666" s="9">
        <f t="shared" si="1"/>
        <v>0</v>
      </c>
      <c r="J666" s="4">
        <f t="shared" si="2"/>
        <v>0</v>
      </c>
    </row>
    <row r="667" ht="15.75" customHeight="1">
      <c r="A667" s="1"/>
      <c r="F667" s="9" t="str">
        <f>IF(C667&gt;0, C667/'Conversion rates'!$I$3, D667)</f>
        <v/>
      </c>
      <c r="G667" s="28">
        <f>F667*'Conversion rates'!$I$3</f>
        <v>0</v>
      </c>
      <c r="H667" s="28"/>
      <c r="I667" s="9">
        <f t="shared" si="1"/>
        <v>0</v>
      </c>
      <c r="J667" s="4">
        <f t="shared" si="2"/>
        <v>0</v>
      </c>
    </row>
    <row r="668" ht="15.75" customHeight="1">
      <c r="A668" s="1"/>
      <c r="F668" s="9" t="str">
        <f>IF(C668&gt;0, C668/'Conversion rates'!$I$3, D668)</f>
        <v/>
      </c>
      <c r="G668" s="28">
        <f>F668*'Conversion rates'!$I$3</f>
        <v>0</v>
      </c>
      <c r="H668" s="28"/>
      <c r="I668" s="9">
        <f t="shared" si="1"/>
        <v>0</v>
      </c>
      <c r="J668" s="4">
        <f t="shared" si="2"/>
        <v>0</v>
      </c>
    </row>
    <row r="669" ht="15.75" customHeight="1">
      <c r="A669" s="1"/>
      <c r="F669" s="9" t="str">
        <f>IF(C669&gt;0, C669/'Conversion rates'!$I$3, D669)</f>
        <v/>
      </c>
      <c r="G669" s="28">
        <f>F669*'Conversion rates'!$I$3</f>
        <v>0</v>
      </c>
      <c r="H669" s="28"/>
      <c r="I669" s="9">
        <f t="shared" si="1"/>
        <v>0</v>
      </c>
      <c r="J669" s="4">
        <f t="shared" si="2"/>
        <v>0</v>
      </c>
    </row>
    <row r="670" ht="15.75" customHeight="1">
      <c r="A670" s="1"/>
      <c r="F670" s="9" t="str">
        <f>IF(C670&gt;0, C670/'Conversion rates'!$I$3, D670)</f>
        <v/>
      </c>
      <c r="G670" s="28">
        <f>F670*'Conversion rates'!$I$3</f>
        <v>0</v>
      </c>
      <c r="H670" s="28"/>
      <c r="I670" s="9">
        <f t="shared" si="1"/>
        <v>0</v>
      </c>
      <c r="J670" s="4">
        <f t="shared" si="2"/>
        <v>0</v>
      </c>
    </row>
    <row r="671" ht="15.75" customHeight="1">
      <c r="A671" s="1"/>
      <c r="F671" s="9" t="str">
        <f>IF(C671&gt;0, C671/'Conversion rates'!$I$3, D671)</f>
        <v/>
      </c>
      <c r="G671" s="28">
        <f>F671*'Conversion rates'!$I$3</f>
        <v>0</v>
      </c>
      <c r="H671" s="28"/>
      <c r="I671" s="9">
        <f t="shared" si="1"/>
        <v>0</v>
      </c>
      <c r="J671" s="4">
        <f t="shared" si="2"/>
        <v>0</v>
      </c>
    </row>
    <row r="672" ht="15.75" customHeight="1">
      <c r="A672" s="1"/>
      <c r="F672" s="9" t="str">
        <f>IF(C672&gt;0, C672/'Conversion rates'!$I$3, D672)</f>
        <v/>
      </c>
      <c r="G672" s="28">
        <f>F672*'Conversion rates'!$I$3</f>
        <v>0</v>
      </c>
      <c r="H672" s="28"/>
      <c r="I672" s="9">
        <f t="shared" si="1"/>
        <v>0</v>
      </c>
      <c r="J672" s="4">
        <f t="shared" si="2"/>
        <v>0</v>
      </c>
    </row>
    <row r="673" ht="15.75" customHeight="1">
      <c r="A673" s="1"/>
      <c r="F673" s="9" t="str">
        <f>IF(C673&gt;0, C673/'Conversion rates'!$I$3, D673)</f>
        <v/>
      </c>
      <c r="G673" s="28">
        <f>F673*'Conversion rates'!$I$3</f>
        <v>0</v>
      </c>
      <c r="H673" s="28"/>
      <c r="I673" s="9">
        <f t="shared" si="1"/>
        <v>0</v>
      </c>
      <c r="J673" s="4">
        <f t="shared" si="2"/>
        <v>0</v>
      </c>
    </row>
    <row r="674" ht="15.75" customHeight="1">
      <c r="A674" s="1"/>
      <c r="F674" s="9" t="str">
        <f>IF(C674&gt;0, C674/'Conversion rates'!$I$3, D674)</f>
        <v/>
      </c>
      <c r="G674" s="28">
        <f>F674*'Conversion rates'!$I$3</f>
        <v>0</v>
      </c>
      <c r="H674" s="28"/>
      <c r="I674" s="9">
        <f t="shared" si="1"/>
        <v>0</v>
      </c>
      <c r="J674" s="4">
        <f t="shared" si="2"/>
        <v>0</v>
      </c>
    </row>
    <row r="675" ht="15.75" customHeight="1">
      <c r="A675" s="1"/>
      <c r="F675" s="9" t="str">
        <f>IF(C675&gt;0, C675/'Conversion rates'!$I$3, D675)</f>
        <v/>
      </c>
      <c r="G675" s="28">
        <f>F675*'Conversion rates'!$I$3</f>
        <v>0</v>
      </c>
      <c r="H675" s="28"/>
      <c r="I675" s="9">
        <f t="shared" si="1"/>
        <v>0</v>
      </c>
      <c r="J675" s="4">
        <f t="shared" si="2"/>
        <v>0</v>
      </c>
    </row>
    <row r="676" ht="15.75" customHeight="1">
      <c r="A676" s="1"/>
      <c r="F676" s="9" t="str">
        <f>IF(C676&gt;0, C676/'Conversion rates'!$I$3, D676)</f>
        <v/>
      </c>
      <c r="G676" s="28">
        <f>F676*'Conversion rates'!$I$3</f>
        <v>0</v>
      </c>
      <c r="H676" s="28"/>
      <c r="I676" s="9">
        <f t="shared" si="1"/>
        <v>0</v>
      </c>
      <c r="J676" s="4">
        <f t="shared" si="2"/>
        <v>0</v>
      </c>
    </row>
    <row r="677" ht="15.75" customHeight="1">
      <c r="A677" s="1"/>
      <c r="F677" s="9" t="str">
        <f>IF(C677&gt;0, C677/'Conversion rates'!$I$3, D677)</f>
        <v/>
      </c>
      <c r="G677" s="28">
        <f>F677*'Conversion rates'!$I$3</f>
        <v>0</v>
      </c>
      <c r="H677" s="28"/>
      <c r="I677" s="9">
        <f t="shared" si="1"/>
        <v>0</v>
      </c>
      <c r="J677" s="4">
        <f t="shared" si="2"/>
        <v>0</v>
      </c>
    </row>
    <row r="678" ht="15.75" customHeight="1">
      <c r="A678" s="1"/>
      <c r="F678" s="9" t="str">
        <f>IF(C678&gt;0, C678/'Conversion rates'!$I$3, D678)</f>
        <v/>
      </c>
      <c r="G678" s="28">
        <f>F678*'Conversion rates'!$I$3</f>
        <v>0</v>
      </c>
      <c r="H678" s="28"/>
      <c r="I678" s="9">
        <f t="shared" si="1"/>
        <v>0</v>
      </c>
      <c r="J678" s="4">
        <f t="shared" si="2"/>
        <v>0</v>
      </c>
    </row>
    <row r="679" ht="15.75" customHeight="1">
      <c r="A679" s="1"/>
      <c r="F679" s="9" t="str">
        <f>IF(C679&gt;0, C679/'Conversion rates'!$I$3, D679)</f>
        <v/>
      </c>
      <c r="G679" s="28">
        <f>F679*'Conversion rates'!$I$3</f>
        <v>0</v>
      </c>
      <c r="H679" s="28"/>
      <c r="I679" s="9">
        <f t="shared" si="1"/>
        <v>0</v>
      </c>
      <c r="J679" s="4">
        <f t="shared" si="2"/>
        <v>0</v>
      </c>
    </row>
    <row r="680" ht="15.75" customHeight="1">
      <c r="A680" s="1"/>
      <c r="F680" s="9" t="str">
        <f>IF(C680&gt;0, C680/'Conversion rates'!$I$3, D680)</f>
        <v/>
      </c>
      <c r="G680" s="28">
        <f>F680*'Conversion rates'!$I$3</f>
        <v>0</v>
      </c>
      <c r="H680" s="28"/>
      <c r="I680" s="9">
        <f t="shared" si="1"/>
        <v>0</v>
      </c>
      <c r="J680" s="4">
        <f t="shared" si="2"/>
        <v>0</v>
      </c>
    </row>
    <row r="681" ht="15.75" customHeight="1">
      <c r="A681" s="1"/>
      <c r="F681" s="9" t="str">
        <f>IF(C681&gt;0, C681/'Conversion rates'!$I$3, D681)</f>
        <v/>
      </c>
      <c r="G681" s="28">
        <f>F681*'Conversion rates'!$I$3</f>
        <v>0</v>
      </c>
      <c r="H681" s="28"/>
      <c r="I681" s="9">
        <f t="shared" si="1"/>
        <v>0</v>
      </c>
      <c r="J681" s="4">
        <f t="shared" si="2"/>
        <v>0</v>
      </c>
    </row>
    <row r="682" ht="15.75" customHeight="1">
      <c r="A682" s="1"/>
      <c r="F682" s="9" t="str">
        <f>IF(C682&gt;0, C682/'Conversion rates'!$I$3, D682)</f>
        <v/>
      </c>
      <c r="G682" s="28">
        <f>F682*'Conversion rates'!$I$3</f>
        <v>0</v>
      </c>
      <c r="H682" s="28"/>
      <c r="I682" s="9">
        <f t="shared" si="1"/>
        <v>0</v>
      </c>
      <c r="J682" s="4">
        <f t="shared" si="2"/>
        <v>0</v>
      </c>
    </row>
    <row r="683" ht="15.75" customHeight="1">
      <c r="A683" s="1"/>
      <c r="F683" s="9" t="str">
        <f>IF(C683&gt;0, C683/'Conversion rates'!$I$3, D683)</f>
        <v/>
      </c>
      <c r="G683" s="28">
        <f>F683*'Conversion rates'!$I$3</f>
        <v>0</v>
      </c>
      <c r="H683" s="28"/>
      <c r="I683" s="9">
        <f t="shared" si="1"/>
        <v>0</v>
      </c>
      <c r="J683" s="4">
        <f t="shared" si="2"/>
        <v>0</v>
      </c>
    </row>
    <row r="684" ht="15.75" customHeight="1">
      <c r="A684" s="1"/>
      <c r="F684" s="9" t="str">
        <f>IF(C684&gt;0, C684/'Conversion rates'!$I$3, D684)</f>
        <v/>
      </c>
      <c r="G684" s="28">
        <f>F684*'Conversion rates'!$I$3</f>
        <v>0</v>
      </c>
      <c r="H684" s="28"/>
      <c r="I684" s="9">
        <f t="shared" si="1"/>
        <v>0</v>
      </c>
      <c r="J684" s="4">
        <f t="shared" si="2"/>
        <v>0</v>
      </c>
    </row>
    <row r="685" ht="15.75" customHeight="1">
      <c r="A685" s="1"/>
      <c r="F685" s="9" t="str">
        <f>IF(C685&gt;0, C685/'Conversion rates'!$I$3, D685)</f>
        <v/>
      </c>
      <c r="G685" s="28">
        <f>F685*'Conversion rates'!$I$3</f>
        <v>0</v>
      </c>
      <c r="H685" s="28"/>
      <c r="I685" s="9">
        <f t="shared" si="1"/>
        <v>0</v>
      </c>
      <c r="J685" s="4">
        <f t="shared" si="2"/>
        <v>0</v>
      </c>
    </row>
    <row r="686" ht="15.75" customHeight="1">
      <c r="A686" s="1"/>
      <c r="F686" s="9" t="str">
        <f>IF(C686&gt;0, C686/'Conversion rates'!$I$3, D686)</f>
        <v/>
      </c>
      <c r="G686" s="28">
        <f>F686*'Conversion rates'!$I$3</f>
        <v>0</v>
      </c>
      <c r="H686" s="28"/>
      <c r="I686" s="9">
        <f t="shared" si="1"/>
        <v>0</v>
      </c>
      <c r="J686" s="4">
        <f t="shared" si="2"/>
        <v>0</v>
      </c>
    </row>
    <row r="687" ht="15.75" customHeight="1">
      <c r="A687" s="1"/>
      <c r="F687" s="9" t="str">
        <f>IF(C687&gt;0, C687/'Conversion rates'!$I$3, D687)</f>
        <v/>
      </c>
      <c r="G687" s="28">
        <f>F687*'Conversion rates'!$I$3</f>
        <v>0</v>
      </c>
      <c r="H687" s="28"/>
      <c r="I687" s="9">
        <f t="shared" si="1"/>
        <v>0</v>
      </c>
      <c r="J687" s="4">
        <f t="shared" si="2"/>
        <v>0</v>
      </c>
    </row>
    <row r="688" ht="15.75" customHeight="1">
      <c r="A688" s="1"/>
      <c r="F688" s="9" t="str">
        <f>IF(C688&gt;0, C688/'Conversion rates'!$I$3, D688)</f>
        <v/>
      </c>
      <c r="G688" s="28">
        <f>F688*'Conversion rates'!$I$3</f>
        <v>0</v>
      </c>
      <c r="H688" s="28"/>
      <c r="I688" s="9">
        <f t="shared" si="1"/>
        <v>0</v>
      </c>
      <c r="J688" s="4">
        <f t="shared" si="2"/>
        <v>0</v>
      </c>
    </row>
    <row r="689" ht="15.75" customHeight="1">
      <c r="A689" s="1"/>
      <c r="F689" s="9" t="str">
        <f>IF(C689&gt;0, C689/'Conversion rates'!$I$3, D689)</f>
        <v/>
      </c>
      <c r="G689" s="28">
        <f>F689*'Conversion rates'!$I$3</f>
        <v>0</v>
      </c>
      <c r="H689" s="28"/>
      <c r="I689" s="9">
        <f t="shared" si="1"/>
        <v>0</v>
      </c>
      <c r="J689" s="4">
        <f t="shared" si="2"/>
        <v>0</v>
      </c>
    </row>
    <row r="690" ht="15.75" customHeight="1">
      <c r="A690" s="1"/>
      <c r="F690" s="9" t="str">
        <f>IF(C690&gt;0, C690/'Conversion rates'!$I$3, D690)</f>
        <v/>
      </c>
      <c r="G690" s="28">
        <f>F690*'Conversion rates'!$I$3</f>
        <v>0</v>
      </c>
      <c r="H690" s="28"/>
      <c r="I690" s="9">
        <f t="shared" si="1"/>
        <v>0</v>
      </c>
      <c r="J690" s="4">
        <f t="shared" si="2"/>
        <v>0</v>
      </c>
    </row>
    <row r="691" ht="15.75" customHeight="1">
      <c r="A691" s="1"/>
      <c r="F691" s="9" t="str">
        <f>IF(C691&gt;0, C691/'Conversion rates'!$I$3, D691)</f>
        <v/>
      </c>
      <c r="G691" s="28">
        <f>F691*'Conversion rates'!$I$3</f>
        <v>0</v>
      </c>
      <c r="H691" s="28"/>
      <c r="I691" s="9">
        <f t="shared" si="1"/>
        <v>0</v>
      </c>
      <c r="J691" s="4">
        <f t="shared" si="2"/>
        <v>0</v>
      </c>
    </row>
    <row r="692" ht="15.75" customHeight="1">
      <c r="A692" s="1"/>
      <c r="F692" s="9" t="str">
        <f>IF(C692&gt;0, C692/'Conversion rates'!$I$3, D692)</f>
        <v/>
      </c>
      <c r="G692" s="28">
        <f>F692*'Conversion rates'!$I$3</f>
        <v>0</v>
      </c>
      <c r="H692" s="28"/>
      <c r="I692" s="9">
        <f t="shared" si="1"/>
        <v>0</v>
      </c>
      <c r="J692" s="4">
        <f t="shared" si="2"/>
        <v>0</v>
      </c>
    </row>
    <row r="693" ht="15.75" customHeight="1">
      <c r="A693" s="1"/>
      <c r="F693" s="9" t="str">
        <f>IF(C693&gt;0, C693/'Conversion rates'!$I$3, D693)</f>
        <v/>
      </c>
      <c r="G693" s="28">
        <f>F693*'Conversion rates'!$I$3</f>
        <v>0</v>
      </c>
      <c r="H693" s="28"/>
      <c r="I693" s="9">
        <f t="shared" si="1"/>
        <v>0</v>
      </c>
      <c r="J693" s="4">
        <f t="shared" si="2"/>
        <v>0</v>
      </c>
    </row>
    <row r="694" ht="15.75" customHeight="1">
      <c r="A694" s="1"/>
      <c r="F694" s="9" t="str">
        <f>IF(C694&gt;0, C694/'Conversion rates'!$I$3, D694)</f>
        <v/>
      </c>
      <c r="G694" s="28">
        <f>F694*'Conversion rates'!$I$3</f>
        <v>0</v>
      </c>
      <c r="H694" s="28"/>
      <c r="I694" s="9">
        <f t="shared" si="1"/>
        <v>0</v>
      </c>
      <c r="J694" s="4">
        <f t="shared" si="2"/>
        <v>0</v>
      </c>
    </row>
    <row r="695" ht="15.75" customHeight="1">
      <c r="A695" s="1"/>
      <c r="F695" s="9" t="str">
        <f>IF(C695&gt;0, C695/'Conversion rates'!$I$3, D695)</f>
        <v/>
      </c>
      <c r="G695" s="28">
        <f>F695*'Conversion rates'!$I$3</f>
        <v>0</v>
      </c>
      <c r="H695" s="28"/>
      <c r="I695" s="9">
        <f t="shared" si="1"/>
        <v>0</v>
      </c>
      <c r="J695" s="4">
        <f t="shared" si="2"/>
        <v>0</v>
      </c>
    </row>
    <row r="696" ht="15.75" customHeight="1">
      <c r="A696" s="1"/>
      <c r="F696" s="9" t="str">
        <f>IF(C696&gt;0, C696/'Conversion rates'!$I$3, D696)</f>
        <v/>
      </c>
      <c r="G696" s="28">
        <f>F696*'Conversion rates'!$I$3</f>
        <v>0</v>
      </c>
      <c r="H696" s="28"/>
      <c r="I696" s="9">
        <f t="shared" si="1"/>
        <v>0</v>
      </c>
      <c r="J696" s="4">
        <f t="shared" si="2"/>
        <v>0</v>
      </c>
    </row>
    <row r="697" ht="15.75" customHeight="1">
      <c r="A697" s="1"/>
      <c r="F697" s="9" t="str">
        <f>IF(C697&gt;0, C697/'Conversion rates'!$I$3, D697)</f>
        <v/>
      </c>
      <c r="G697" s="28">
        <f>F697*'Conversion rates'!$I$3</f>
        <v>0</v>
      </c>
      <c r="H697" s="28"/>
      <c r="I697" s="9">
        <f t="shared" si="1"/>
        <v>0</v>
      </c>
      <c r="J697" s="4">
        <f t="shared" si="2"/>
        <v>0</v>
      </c>
    </row>
    <row r="698" ht="15.75" customHeight="1">
      <c r="A698" s="1"/>
      <c r="F698" s="9" t="str">
        <f>IF(C698&gt;0, C698/'Conversion rates'!$I$3, D698)</f>
        <v/>
      </c>
      <c r="G698" s="28">
        <f>F698*'Conversion rates'!$I$3</f>
        <v>0</v>
      </c>
      <c r="H698" s="28"/>
      <c r="I698" s="9">
        <f t="shared" si="1"/>
        <v>0</v>
      </c>
      <c r="J698" s="4">
        <f t="shared" si="2"/>
        <v>0</v>
      </c>
    </row>
    <row r="699" ht="15.75" customHeight="1">
      <c r="A699" s="1"/>
      <c r="F699" s="9" t="str">
        <f>IF(C699&gt;0, C699/'Conversion rates'!$I$3, D699)</f>
        <v/>
      </c>
      <c r="G699" s="28">
        <f>F699*'Conversion rates'!$I$3</f>
        <v>0</v>
      </c>
      <c r="H699" s="28"/>
      <c r="I699" s="9">
        <f t="shared" si="1"/>
        <v>0</v>
      </c>
      <c r="J699" s="4">
        <f t="shared" si="2"/>
        <v>0</v>
      </c>
    </row>
    <row r="700" ht="15.75" customHeight="1">
      <c r="A700" s="1"/>
      <c r="F700" s="9" t="str">
        <f>IF(C700&gt;0, C700/'Conversion rates'!$I$3, D700)</f>
        <v/>
      </c>
      <c r="G700" s="28">
        <f>F700*'Conversion rates'!$I$3</f>
        <v>0</v>
      </c>
      <c r="H700" s="28"/>
      <c r="I700" s="9">
        <f t="shared" si="1"/>
        <v>0</v>
      </c>
      <c r="J700" s="4">
        <f t="shared" si="2"/>
        <v>0</v>
      </c>
    </row>
    <row r="701" ht="15.75" customHeight="1">
      <c r="A701" s="1"/>
      <c r="F701" s="9" t="str">
        <f>IF(C701&gt;0, C701/'Conversion rates'!$I$3, D701)</f>
        <v/>
      </c>
      <c r="G701" s="28">
        <f>F701*'Conversion rates'!$I$3</f>
        <v>0</v>
      </c>
      <c r="H701" s="28"/>
      <c r="I701" s="9">
        <f t="shared" si="1"/>
        <v>0</v>
      </c>
      <c r="J701" s="4">
        <f t="shared" si="2"/>
        <v>0</v>
      </c>
    </row>
    <row r="702" ht="15.75" customHeight="1">
      <c r="A702" s="1"/>
      <c r="F702" s="9" t="str">
        <f>IF(C702&gt;0, C702/'Conversion rates'!$I$3, D702)</f>
        <v/>
      </c>
      <c r="G702" s="28">
        <f>F702*'Conversion rates'!$I$3</f>
        <v>0</v>
      </c>
      <c r="H702" s="28"/>
      <c r="I702" s="9">
        <f t="shared" si="1"/>
        <v>0</v>
      </c>
      <c r="J702" s="4">
        <f t="shared" si="2"/>
        <v>0</v>
      </c>
    </row>
    <row r="703" ht="15.75" customHeight="1">
      <c r="A703" s="1"/>
      <c r="F703" s="9" t="str">
        <f>IF(C703&gt;0, C703/'Conversion rates'!$I$3, D703)</f>
        <v/>
      </c>
      <c r="G703" s="28">
        <f>F703*'Conversion rates'!$I$3</f>
        <v>0</v>
      </c>
      <c r="H703" s="28"/>
      <c r="I703" s="9">
        <f t="shared" si="1"/>
        <v>0</v>
      </c>
      <c r="J703" s="4">
        <f t="shared" si="2"/>
        <v>0</v>
      </c>
    </row>
    <row r="704" ht="15.75" customHeight="1">
      <c r="A704" s="1"/>
      <c r="F704" s="9" t="str">
        <f>IF(C704&gt;0, C704/'Conversion rates'!$I$3, D704)</f>
        <v/>
      </c>
      <c r="G704" s="28">
        <f>F704*'Conversion rates'!$I$3</f>
        <v>0</v>
      </c>
      <c r="H704" s="28"/>
      <c r="I704" s="9">
        <f t="shared" si="1"/>
        <v>0</v>
      </c>
      <c r="J704" s="4">
        <f t="shared" si="2"/>
        <v>0</v>
      </c>
    </row>
    <row r="705" ht="15.75" customHeight="1">
      <c r="A705" s="1"/>
      <c r="F705" s="9" t="str">
        <f>IF(C705&gt;0, C705/'Conversion rates'!$I$3, D705)</f>
        <v/>
      </c>
      <c r="G705" s="28">
        <f>F705*'Conversion rates'!$I$3</f>
        <v>0</v>
      </c>
      <c r="H705" s="28"/>
      <c r="I705" s="9">
        <f t="shared" si="1"/>
        <v>0</v>
      </c>
      <c r="J705" s="4">
        <f t="shared" si="2"/>
        <v>0</v>
      </c>
    </row>
    <row r="706" ht="15.75" customHeight="1">
      <c r="A706" s="1"/>
      <c r="F706" s="9" t="str">
        <f>IF(C706&gt;0, C706/'Conversion rates'!$I$3, D706)</f>
        <v/>
      </c>
      <c r="G706" s="28">
        <f>F706*'Conversion rates'!$I$3</f>
        <v>0</v>
      </c>
      <c r="H706" s="28"/>
      <c r="I706" s="9">
        <f t="shared" si="1"/>
        <v>0</v>
      </c>
      <c r="J706" s="4">
        <f t="shared" si="2"/>
        <v>0</v>
      </c>
    </row>
    <row r="707" ht="15.75" customHeight="1">
      <c r="A707" s="1"/>
      <c r="F707" s="9" t="str">
        <f>IF(C707&gt;0, C707/'Conversion rates'!$I$3, D707)</f>
        <v/>
      </c>
      <c r="G707" s="28">
        <f>F707*'Conversion rates'!$I$3</f>
        <v>0</v>
      </c>
      <c r="H707" s="28"/>
      <c r="I707" s="9">
        <f t="shared" si="1"/>
        <v>0</v>
      </c>
      <c r="J707" s="4">
        <f t="shared" si="2"/>
        <v>0</v>
      </c>
    </row>
    <row r="708" ht="15.75" customHeight="1">
      <c r="A708" s="1"/>
      <c r="F708" s="9" t="str">
        <f>IF(C708&gt;0, C708/'Conversion rates'!$I$3, D708)</f>
        <v/>
      </c>
      <c r="G708" s="28">
        <f>F708*'Conversion rates'!$I$3</f>
        <v>0</v>
      </c>
      <c r="H708" s="28"/>
      <c r="I708" s="9">
        <f t="shared" si="1"/>
        <v>0</v>
      </c>
      <c r="J708" s="4">
        <f t="shared" si="2"/>
        <v>0</v>
      </c>
    </row>
    <row r="709" ht="15.75" customHeight="1">
      <c r="A709" s="1"/>
      <c r="F709" s="9" t="str">
        <f>IF(C709&gt;0, C709/'Conversion rates'!$I$3, D709)</f>
        <v/>
      </c>
      <c r="G709" s="28">
        <f>F709*'Conversion rates'!$I$3</f>
        <v>0</v>
      </c>
      <c r="H709" s="28"/>
      <c r="I709" s="9">
        <f t="shared" si="1"/>
        <v>0</v>
      </c>
      <c r="J709" s="4">
        <f t="shared" si="2"/>
        <v>0</v>
      </c>
    </row>
    <row r="710" ht="15.75" customHeight="1">
      <c r="A710" s="1"/>
      <c r="F710" s="9" t="str">
        <f>IF(C710&gt;0, C710/'Conversion rates'!$I$3, D710)</f>
        <v/>
      </c>
      <c r="G710" s="28">
        <f>F710*'Conversion rates'!$I$3</f>
        <v>0</v>
      </c>
      <c r="H710" s="28"/>
      <c r="I710" s="9">
        <f t="shared" si="1"/>
        <v>0</v>
      </c>
      <c r="J710" s="4">
        <f t="shared" si="2"/>
        <v>0</v>
      </c>
    </row>
    <row r="711" ht="15.75" customHeight="1">
      <c r="A711" s="1"/>
      <c r="F711" s="9" t="str">
        <f>IF(C711&gt;0, C711/'Conversion rates'!$I$3, D711)</f>
        <v/>
      </c>
      <c r="G711" s="28">
        <f>F711*'Conversion rates'!$I$3</f>
        <v>0</v>
      </c>
      <c r="H711" s="28"/>
      <c r="I711" s="9">
        <f t="shared" si="1"/>
        <v>0</v>
      </c>
      <c r="J711" s="4">
        <f t="shared" si="2"/>
        <v>0</v>
      </c>
    </row>
    <row r="712" ht="15.75" customHeight="1">
      <c r="A712" s="1"/>
      <c r="F712" s="9" t="str">
        <f>IF(C712&gt;0, C712/'Conversion rates'!$I$3, D712)</f>
        <v/>
      </c>
      <c r="G712" s="28">
        <f>F712*'Conversion rates'!$I$3</f>
        <v>0</v>
      </c>
      <c r="H712" s="28"/>
      <c r="I712" s="9">
        <f t="shared" si="1"/>
        <v>0</v>
      </c>
      <c r="J712" s="4">
        <f t="shared" si="2"/>
        <v>0</v>
      </c>
    </row>
    <row r="713" ht="15.75" customHeight="1">
      <c r="A713" s="1"/>
      <c r="F713" s="9" t="str">
        <f>IF(C713&gt;0, C713/'Conversion rates'!$I$3, D713)</f>
        <v/>
      </c>
      <c r="G713" s="28">
        <f>F713*'Conversion rates'!$I$3</f>
        <v>0</v>
      </c>
      <c r="H713" s="28"/>
      <c r="I713" s="9">
        <f t="shared" si="1"/>
        <v>0</v>
      </c>
      <c r="J713" s="4">
        <f t="shared" si="2"/>
        <v>0</v>
      </c>
    </row>
    <row r="714" ht="15.75" customHeight="1">
      <c r="A714" s="1"/>
      <c r="F714" s="9" t="str">
        <f>IF(C714&gt;0, C714/'Conversion rates'!$I$3, D714)</f>
        <v/>
      </c>
      <c r="G714" s="28">
        <f>F714*'Conversion rates'!$I$3</f>
        <v>0</v>
      </c>
      <c r="H714" s="28"/>
      <c r="I714" s="9">
        <f t="shared" si="1"/>
        <v>0</v>
      </c>
      <c r="J714" s="4">
        <f t="shared" si="2"/>
        <v>0</v>
      </c>
    </row>
    <row r="715" ht="15.75" customHeight="1">
      <c r="A715" s="1"/>
      <c r="F715" s="9" t="str">
        <f>IF(C715&gt;0, C715/'Conversion rates'!$I$3, D715)</f>
        <v/>
      </c>
      <c r="G715" s="28">
        <f>F715*'Conversion rates'!$I$3</f>
        <v>0</v>
      </c>
      <c r="H715" s="28"/>
      <c r="I715" s="9">
        <f t="shared" si="1"/>
        <v>0</v>
      </c>
      <c r="J715" s="4">
        <f t="shared" si="2"/>
        <v>0</v>
      </c>
    </row>
    <row r="716" ht="15.75" customHeight="1">
      <c r="A716" s="1"/>
      <c r="F716" s="9" t="str">
        <f>IF(C716&gt;0, C716/'Conversion rates'!$I$3, D716)</f>
        <v/>
      </c>
      <c r="G716" s="28">
        <f>F716*'Conversion rates'!$I$3</f>
        <v>0</v>
      </c>
      <c r="H716" s="28"/>
      <c r="I716" s="9">
        <f t="shared" si="1"/>
        <v>0</v>
      </c>
      <c r="J716" s="4">
        <f t="shared" si="2"/>
        <v>0</v>
      </c>
    </row>
    <row r="717" ht="15.75" customHeight="1">
      <c r="A717" s="1"/>
      <c r="F717" s="9" t="str">
        <f>IF(C717&gt;0, C717/'Conversion rates'!$I$3, D717)</f>
        <v/>
      </c>
      <c r="G717" s="28">
        <f>F717*'Conversion rates'!$I$3</f>
        <v>0</v>
      </c>
      <c r="H717" s="28"/>
      <c r="I717" s="9">
        <f t="shared" si="1"/>
        <v>0</v>
      </c>
      <c r="J717" s="4">
        <f t="shared" si="2"/>
        <v>0</v>
      </c>
    </row>
    <row r="718" ht="15.75" customHeight="1">
      <c r="A718" s="1"/>
      <c r="F718" s="9" t="str">
        <f>IF(C718&gt;0, C718/'Conversion rates'!$I$3, D718)</f>
        <v/>
      </c>
      <c r="G718" s="28">
        <f>F718*'Conversion rates'!$I$3</f>
        <v>0</v>
      </c>
      <c r="H718" s="28"/>
      <c r="I718" s="9">
        <f t="shared" si="1"/>
        <v>0</v>
      </c>
      <c r="J718" s="4">
        <f t="shared" si="2"/>
        <v>0</v>
      </c>
    </row>
    <row r="719" ht="15.75" customHeight="1">
      <c r="A719" s="1"/>
      <c r="F719" s="9" t="str">
        <f>IF(C719&gt;0, C719/'Conversion rates'!$I$3, D719)</f>
        <v/>
      </c>
      <c r="G719" s="28">
        <f>F719*'Conversion rates'!$I$3</f>
        <v>0</v>
      </c>
      <c r="H719" s="28"/>
      <c r="I719" s="9">
        <f t="shared" si="1"/>
        <v>0</v>
      </c>
      <c r="J719" s="4">
        <f t="shared" si="2"/>
        <v>0</v>
      </c>
    </row>
    <row r="720" ht="15.75" customHeight="1">
      <c r="A720" s="1"/>
      <c r="F720" s="9" t="str">
        <f>IF(C720&gt;0, C720/'Conversion rates'!$I$3, D720)</f>
        <v/>
      </c>
      <c r="G720" s="28">
        <f>F720*'Conversion rates'!$I$3</f>
        <v>0</v>
      </c>
      <c r="H720" s="28"/>
      <c r="I720" s="9">
        <f t="shared" si="1"/>
        <v>0</v>
      </c>
      <c r="J720" s="4">
        <f t="shared" si="2"/>
        <v>0</v>
      </c>
    </row>
    <row r="721" ht="15.75" customHeight="1">
      <c r="A721" s="1"/>
      <c r="F721" s="9" t="str">
        <f>IF(C721&gt;0, C721/'Conversion rates'!$I$3, D721)</f>
        <v/>
      </c>
      <c r="G721" s="28">
        <f>F721*'Conversion rates'!$I$3</f>
        <v>0</v>
      </c>
      <c r="H721" s="28"/>
      <c r="I721" s="9">
        <f t="shared" si="1"/>
        <v>0</v>
      </c>
      <c r="J721" s="4">
        <f t="shared" si="2"/>
        <v>0</v>
      </c>
    </row>
    <row r="722" ht="15.75" customHeight="1">
      <c r="A722" s="1"/>
      <c r="F722" s="9" t="str">
        <f>IF(C722&gt;0, C722/'Conversion rates'!$I$3, D722)</f>
        <v/>
      </c>
      <c r="G722" s="28">
        <f>F722*'Conversion rates'!$I$3</f>
        <v>0</v>
      </c>
      <c r="H722" s="28"/>
      <c r="I722" s="9">
        <f t="shared" si="1"/>
        <v>0</v>
      </c>
      <c r="J722" s="4">
        <f t="shared" si="2"/>
        <v>0</v>
      </c>
    </row>
    <row r="723" ht="15.75" customHeight="1">
      <c r="A723" s="1"/>
      <c r="F723" s="9" t="str">
        <f>IF(C723&gt;0, C723/'Conversion rates'!$I$3, D723)</f>
        <v/>
      </c>
      <c r="G723" s="28">
        <f>F723*'Conversion rates'!$I$3</f>
        <v>0</v>
      </c>
      <c r="H723" s="28"/>
      <c r="I723" s="9">
        <f t="shared" si="1"/>
        <v>0</v>
      </c>
      <c r="J723" s="4">
        <f t="shared" si="2"/>
        <v>0</v>
      </c>
    </row>
    <row r="724" ht="15.75" customHeight="1">
      <c r="A724" s="1"/>
      <c r="F724" s="9" t="str">
        <f>IF(C724&gt;0, C724/'Conversion rates'!$I$3, D724)</f>
        <v/>
      </c>
      <c r="G724" s="28">
        <f>F724*'Conversion rates'!$I$3</f>
        <v>0</v>
      </c>
      <c r="H724" s="28"/>
      <c r="I724" s="9">
        <f t="shared" si="1"/>
        <v>0</v>
      </c>
      <c r="J724" s="4">
        <f t="shared" si="2"/>
        <v>0</v>
      </c>
    </row>
    <row r="725" ht="15.75" customHeight="1">
      <c r="A725" s="1"/>
      <c r="F725" s="9" t="str">
        <f>IF(C725&gt;0, C725/'Conversion rates'!$I$3, D725)</f>
        <v/>
      </c>
      <c r="G725" s="28">
        <f>F725*'Conversion rates'!$I$3</f>
        <v>0</v>
      </c>
      <c r="H725" s="28"/>
      <c r="I725" s="9">
        <f t="shared" si="1"/>
        <v>0</v>
      </c>
      <c r="J725" s="4">
        <f t="shared" si="2"/>
        <v>0</v>
      </c>
    </row>
    <row r="726" ht="15.75" customHeight="1">
      <c r="A726" s="1"/>
      <c r="F726" s="9" t="str">
        <f>IF(C726&gt;0, C726/'Conversion rates'!$I$3, D726)</f>
        <v/>
      </c>
      <c r="G726" s="28">
        <f>F726*'Conversion rates'!$I$3</f>
        <v>0</v>
      </c>
      <c r="H726" s="28"/>
      <c r="I726" s="9">
        <f t="shared" si="1"/>
        <v>0</v>
      </c>
      <c r="J726" s="4">
        <f t="shared" si="2"/>
        <v>0</v>
      </c>
    </row>
    <row r="727" ht="15.75" customHeight="1">
      <c r="A727" s="1"/>
      <c r="F727" s="9" t="str">
        <f>IF(C727&gt;0, C727/'Conversion rates'!$I$3, D727)</f>
        <v/>
      </c>
      <c r="G727" s="28">
        <f>F727*'Conversion rates'!$I$3</f>
        <v>0</v>
      </c>
      <c r="H727" s="28"/>
      <c r="I727" s="9">
        <f t="shared" si="1"/>
        <v>0</v>
      </c>
      <c r="J727" s="4">
        <f t="shared" si="2"/>
        <v>0</v>
      </c>
    </row>
    <row r="728" ht="15.75" customHeight="1">
      <c r="A728" s="1"/>
      <c r="F728" s="9" t="str">
        <f>IF(C728&gt;0, C728/'Conversion rates'!$I$3, D728)</f>
        <v/>
      </c>
      <c r="G728" s="28">
        <f>F728*'Conversion rates'!$I$3</f>
        <v>0</v>
      </c>
      <c r="H728" s="28"/>
      <c r="I728" s="9">
        <f t="shared" si="1"/>
        <v>0</v>
      </c>
      <c r="J728" s="4">
        <f t="shared" si="2"/>
        <v>0</v>
      </c>
    </row>
    <row r="729" ht="15.75" customHeight="1">
      <c r="A729" s="1"/>
      <c r="F729" s="9" t="str">
        <f>IF(C729&gt;0, C729/'Conversion rates'!$I$3, D729)</f>
        <v/>
      </c>
      <c r="G729" s="28">
        <f>F729*'Conversion rates'!$I$3</f>
        <v>0</v>
      </c>
      <c r="H729" s="28"/>
      <c r="I729" s="9">
        <f t="shared" si="1"/>
        <v>0</v>
      </c>
      <c r="J729" s="4">
        <f t="shared" si="2"/>
        <v>0</v>
      </c>
    </row>
    <row r="730" ht="15.75" customHeight="1">
      <c r="A730" s="1"/>
      <c r="F730" s="9" t="str">
        <f>IF(C730&gt;0, C730/'Conversion rates'!$I$3, D730)</f>
        <v/>
      </c>
      <c r="G730" s="28">
        <f>F730*'Conversion rates'!$I$3</f>
        <v>0</v>
      </c>
      <c r="H730" s="28"/>
      <c r="I730" s="9">
        <f t="shared" si="1"/>
        <v>0</v>
      </c>
      <c r="J730" s="4">
        <f t="shared" si="2"/>
        <v>0</v>
      </c>
    </row>
    <row r="731" ht="15.75" customHeight="1">
      <c r="A731" s="1"/>
      <c r="F731" s="9" t="str">
        <f>IF(C731&gt;0, C731/'Conversion rates'!$I$3, D731)</f>
        <v/>
      </c>
      <c r="G731" s="28">
        <f>F731*'Conversion rates'!$I$3</f>
        <v>0</v>
      </c>
      <c r="H731" s="28"/>
      <c r="I731" s="9">
        <f t="shared" si="1"/>
        <v>0</v>
      </c>
      <c r="J731" s="4">
        <f t="shared" si="2"/>
        <v>0</v>
      </c>
    </row>
    <row r="732" ht="15.75" customHeight="1">
      <c r="A732" s="1"/>
      <c r="F732" s="9" t="str">
        <f>IF(C732&gt;0, C732/'Conversion rates'!$I$3, D732)</f>
        <v/>
      </c>
      <c r="G732" s="28">
        <f>F732*'Conversion rates'!$I$3</f>
        <v>0</v>
      </c>
      <c r="H732" s="28"/>
      <c r="I732" s="9">
        <f t="shared" si="1"/>
        <v>0</v>
      </c>
      <c r="J732" s="4">
        <f t="shared" si="2"/>
        <v>0</v>
      </c>
    </row>
    <row r="733" ht="15.75" customHeight="1">
      <c r="A733" s="1"/>
      <c r="F733" s="9" t="str">
        <f>IF(C733&gt;0, C733/'Conversion rates'!$I$3, D733)</f>
        <v/>
      </c>
      <c r="G733" s="28">
        <f>F733*'Conversion rates'!$I$3</f>
        <v>0</v>
      </c>
      <c r="H733" s="28"/>
      <c r="I733" s="9">
        <f t="shared" si="1"/>
        <v>0</v>
      </c>
      <c r="J733" s="4">
        <f t="shared" si="2"/>
        <v>0</v>
      </c>
    </row>
    <row r="734" ht="15.75" customHeight="1">
      <c r="A734" s="1"/>
      <c r="F734" s="9" t="str">
        <f>IF(C734&gt;0, C734/'Conversion rates'!$I$3, D734)</f>
        <v/>
      </c>
      <c r="G734" s="28">
        <f>F734*'Conversion rates'!$I$3</f>
        <v>0</v>
      </c>
      <c r="H734" s="28"/>
      <c r="I734" s="9">
        <f t="shared" si="1"/>
        <v>0</v>
      </c>
      <c r="J734" s="4">
        <f t="shared" si="2"/>
        <v>0</v>
      </c>
    </row>
    <row r="735" ht="15.75" customHeight="1">
      <c r="A735" s="1"/>
      <c r="F735" s="9" t="str">
        <f>IF(C735&gt;0, C735/'Conversion rates'!$I$3, D735)</f>
        <v/>
      </c>
      <c r="G735" s="28">
        <f>F735*'Conversion rates'!$I$3</f>
        <v>0</v>
      </c>
      <c r="H735" s="28"/>
      <c r="I735" s="9">
        <f t="shared" si="1"/>
        <v>0</v>
      </c>
      <c r="J735" s="4">
        <f t="shared" si="2"/>
        <v>0</v>
      </c>
    </row>
    <row r="736" ht="15.75" customHeight="1">
      <c r="A736" s="1"/>
      <c r="F736" s="9" t="str">
        <f>IF(C736&gt;0, C736/'Conversion rates'!$I$3, D736)</f>
        <v/>
      </c>
      <c r="G736" s="28">
        <f>F736*'Conversion rates'!$I$3</f>
        <v>0</v>
      </c>
      <c r="H736" s="28"/>
      <c r="I736" s="9">
        <f t="shared" si="1"/>
        <v>0</v>
      </c>
      <c r="J736" s="4">
        <f t="shared" si="2"/>
        <v>0</v>
      </c>
    </row>
    <row r="737" ht="15.75" customHeight="1">
      <c r="A737" s="1"/>
      <c r="F737" s="9" t="str">
        <f>IF(C737&gt;0, C737/'Conversion rates'!$I$3, D737)</f>
        <v/>
      </c>
      <c r="G737" s="28">
        <f>F737*'Conversion rates'!$I$3</f>
        <v>0</v>
      </c>
      <c r="H737" s="28"/>
      <c r="I737" s="9">
        <f t="shared" si="1"/>
        <v>0</v>
      </c>
      <c r="J737" s="4">
        <f t="shared" si="2"/>
        <v>0</v>
      </c>
    </row>
    <row r="738" ht="15.75" customHeight="1">
      <c r="A738" s="1"/>
      <c r="F738" s="9" t="str">
        <f>IF(C738&gt;0, C738/'Conversion rates'!$I$3, D738)</f>
        <v/>
      </c>
      <c r="G738" s="28">
        <f>F738*'Conversion rates'!$I$3</f>
        <v>0</v>
      </c>
      <c r="H738" s="28"/>
      <c r="I738" s="9">
        <f t="shared" si="1"/>
        <v>0</v>
      </c>
      <c r="J738" s="4">
        <f t="shared" si="2"/>
        <v>0</v>
      </c>
    </row>
    <row r="739" ht="15.75" customHeight="1">
      <c r="A739" s="1"/>
      <c r="F739" s="9" t="str">
        <f>IF(C739&gt;0, C739/'Conversion rates'!$I$3, D739)</f>
        <v/>
      </c>
      <c r="G739" s="28">
        <f>F739*'Conversion rates'!$I$3</f>
        <v>0</v>
      </c>
      <c r="H739" s="28"/>
      <c r="I739" s="9">
        <f t="shared" si="1"/>
        <v>0</v>
      </c>
      <c r="J739" s="4">
        <f t="shared" si="2"/>
        <v>0</v>
      </c>
    </row>
    <row r="740" ht="15.75" customHeight="1">
      <c r="A740" s="1"/>
      <c r="F740" s="9" t="str">
        <f>IF(C740&gt;0, C740/'Conversion rates'!$I$3, D740)</f>
        <v/>
      </c>
      <c r="G740" s="28">
        <f>F740*'Conversion rates'!$I$3</f>
        <v>0</v>
      </c>
      <c r="H740" s="28"/>
      <c r="I740" s="9">
        <f t="shared" si="1"/>
        <v>0</v>
      </c>
      <c r="J740" s="4">
        <f t="shared" si="2"/>
        <v>0</v>
      </c>
    </row>
    <row r="741" ht="15.75" customHeight="1">
      <c r="A741" s="1"/>
      <c r="F741" s="9" t="str">
        <f>IF(C741&gt;0, C741/'Conversion rates'!$I$3, D741)</f>
        <v/>
      </c>
      <c r="G741" s="28">
        <f>F741*'Conversion rates'!$I$3</f>
        <v>0</v>
      </c>
      <c r="H741" s="28"/>
      <c r="I741" s="9">
        <f t="shared" si="1"/>
        <v>0</v>
      </c>
      <c r="J741" s="4">
        <f t="shared" si="2"/>
        <v>0</v>
      </c>
    </row>
    <row r="742" ht="15.75" customHeight="1">
      <c r="A742" s="1"/>
      <c r="F742" s="9" t="str">
        <f>IF(C742&gt;0, C742/'Conversion rates'!$I$3, D742)</f>
        <v/>
      </c>
      <c r="G742" s="28">
        <f>F742*'Conversion rates'!$I$3</f>
        <v>0</v>
      </c>
      <c r="H742" s="28"/>
      <c r="I742" s="9">
        <f t="shared" si="1"/>
        <v>0</v>
      </c>
      <c r="J742" s="4">
        <f t="shared" si="2"/>
        <v>0</v>
      </c>
    </row>
    <row r="743" ht="15.75" customHeight="1">
      <c r="A743" s="1"/>
      <c r="F743" s="9" t="str">
        <f>IF(C743&gt;0, C743/'Conversion rates'!$I$3, D743)</f>
        <v/>
      </c>
      <c r="G743" s="28">
        <f>F743*'Conversion rates'!$I$3</f>
        <v>0</v>
      </c>
      <c r="H743" s="28"/>
      <c r="I743" s="9">
        <f t="shared" si="1"/>
        <v>0</v>
      </c>
      <c r="J743" s="4">
        <f t="shared" si="2"/>
        <v>0</v>
      </c>
    </row>
    <row r="744" ht="15.75" customHeight="1">
      <c r="A744" s="1"/>
      <c r="F744" s="9" t="str">
        <f>IF(C744&gt;0, C744/'Conversion rates'!$I$3, D744)</f>
        <v/>
      </c>
      <c r="G744" s="28">
        <f>F744*'Conversion rates'!$I$3</f>
        <v>0</v>
      </c>
      <c r="H744" s="28"/>
      <c r="I744" s="9">
        <f t="shared" si="1"/>
        <v>0</v>
      </c>
      <c r="J744" s="4">
        <f t="shared" si="2"/>
        <v>0</v>
      </c>
    </row>
    <row r="745" ht="15.75" customHeight="1">
      <c r="A745" s="1"/>
      <c r="F745" s="9" t="str">
        <f>IF(C745&gt;0, C745/'Conversion rates'!$I$3, D745)</f>
        <v/>
      </c>
      <c r="G745" s="28">
        <f>F745*'Conversion rates'!$I$3</f>
        <v>0</v>
      </c>
      <c r="H745" s="28"/>
      <c r="I745" s="9">
        <f t="shared" si="1"/>
        <v>0</v>
      </c>
      <c r="J745" s="4">
        <f t="shared" si="2"/>
        <v>0</v>
      </c>
    </row>
    <row r="746" ht="15.75" customHeight="1">
      <c r="A746" s="1"/>
      <c r="F746" s="9" t="str">
        <f>IF(C746&gt;0, C746/'Conversion rates'!$I$3, D746)</f>
        <v/>
      </c>
      <c r="G746" s="28">
        <f>F746*'Conversion rates'!$I$3</f>
        <v>0</v>
      </c>
      <c r="H746" s="28"/>
      <c r="I746" s="9">
        <f t="shared" si="1"/>
        <v>0</v>
      </c>
      <c r="J746" s="4">
        <f t="shared" si="2"/>
        <v>0</v>
      </c>
    </row>
    <row r="747" ht="15.75" customHeight="1">
      <c r="A747" s="1"/>
      <c r="F747" s="9" t="str">
        <f>IF(C747&gt;0, C747/'Conversion rates'!$I$3, D747)</f>
        <v/>
      </c>
      <c r="G747" s="28">
        <f>F747*'Conversion rates'!$I$3</f>
        <v>0</v>
      </c>
      <c r="H747" s="28"/>
      <c r="I747" s="9">
        <f t="shared" si="1"/>
        <v>0</v>
      </c>
      <c r="J747" s="4">
        <f t="shared" si="2"/>
        <v>0</v>
      </c>
    </row>
    <row r="748" ht="15.75" customHeight="1">
      <c r="A748" s="1"/>
      <c r="F748" s="9" t="str">
        <f>IF(C748&gt;0, C748/'Conversion rates'!$I$3, D748)</f>
        <v/>
      </c>
      <c r="G748" s="28">
        <f>F748*'Conversion rates'!$I$3</f>
        <v>0</v>
      </c>
      <c r="H748" s="28"/>
      <c r="I748" s="9">
        <f t="shared" si="1"/>
        <v>0</v>
      </c>
      <c r="J748" s="4">
        <f t="shared" si="2"/>
        <v>0</v>
      </c>
    </row>
    <row r="749" ht="15.75" customHeight="1">
      <c r="A749" s="1"/>
      <c r="F749" s="9" t="str">
        <f>IF(C749&gt;0, C749/'Conversion rates'!$I$3, D749)</f>
        <v/>
      </c>
      <c r="G749" s="28">
        <f>F749*'Conversion rates'!$I$3</f>
        <v>0</v>
      </c>
      <c r="H749" s="28"/>
      <c r="I749" s="9">
        <f t="shared" si="1"/>
        <v>0</v>
      </c>
      <c r="J749" s="4">
        <f t="shared" si="2"/>
        <v>0</v>
      </c>
    </row>
    <row r="750" ht="15.75" customHeight="1">
      <c r="A750" s="1"/>
      <c r="F750" s="9" t="str">
        <f>IF(C750&gt;0, C750/'Conversion rates'!$I$3, D750)</f>
        <v/>
      </c>
      <c r="G750" s="28">
        <f>F750*'Conversion rates'!$I$3</f>
        <v>0</v>
      </c>
      <c r="H750" s="28"/>
      <c r="I750" s="9">
        <f t="shared" si="1"/>
        <v>0</v>
      </c>
      <c r="J750" s="4">
        <f t="shared" si="2"/>
        <v>0</v>
      </c>
    </row>
    <row r="751" ht="15.75" customHeight="1">
      <c r="A751" s="1"/>
      <c r="F751" s="9" t="str">
        <f>IF(C751&gt;0, C751/'Conversion rates'!$I$3, D751)</f>
        <v/>
      </c>
      <c r="G751" s="28">
        <f>F751*'Conversion rates'!$I$3</f>
        <v>0</v>
      </c>
      <c r="H751" s="28"/>
      <c r="I751" s="9">
        <f t="shared" si="1"/>
        <v>0</v>
      </c>
      <c r="J751" s="4">
        <f t="shared" si="2"/>
        <v>0</v>
      </c>
    </row>
    <row r="752" ht="15.75" customHeight="1">
      <c r="A752" s="1"/>
      <c r="F752" s="9" t="str">
        <f>IF(C752&gt;0, C752/'Conversion rates'!$I$3, D752)</f>
        <v/>
      </c>
      <c r="G752" s="28">
        <f>F752*'Conversion rates'!$I$3</f>
        <v>0</v>
      </c>
      <c r="H752" s="28"/>
      <c r="I752" s="9">
        <f t="shared" si="1"/>
        <v>0</v>
      </c>
      <c r="J752" s="4">
        <f t="shared" si="2"/>
        <v>0</v>
      </c>
    </row>
    <row r="753" ht="15.75" customHeight="1">
      <c r="A753" s="1"/>
      <c r="F753" s="9" t="str">
        <f>IF(C753&gt;0, C753/'Conversion rates'!$I$3, D753)</f>
        <v/>
      </c>
      <c r="G753" s="28">
        <f>F753*'Conversion rates'!$I$3</f>
        <v>0</v>
      </c>
      <c r="H753" s="28"/>
      <c r="I753" s="9">
        <f t="shared" si="1"/>
        <v>0</v>
      </c>
      <c r="J753" s="4">
        <f t="shared" si="2"/>
        <v>0</v>
      </c>
    </row>
    <row r="754" ht="15.75" customHeight="1">
      <c r="A754" s="1"/>
      <c r="F754" s="9" t="str">
        <f>IF(C754&gt;0, C754/'Conversion rates'!$I$3, D754)</f>
        <v/>
      </c>
      <c r="G754" s="28">
        <f>F754*'Conversion rates'!$I$3</f>
        <v>0</v>
      </c>
      <c r="H754" s="28"/>
      <c r="I754" s="9">
        <f t="shared" si="1"/>
        <v>0</v>
      </c>
      <c r="J754" s="4">
        <f t="shared" si="2"/>
        <v>0</v>
      </c>
    </row>
    <row r="755" ht="15.75" customHeight="1">
      <c r="A755" s="1"/>
      <c r="F755" s="9" t="str">
        <f>IF(C755&gt;0, C755/'Conversion rates'!$I$3, D755)</f>
        <v/>
      </c>
      <c r="G755" s="28">
        <f>F755*'Conversion rates'!$I$3</f>
        <v>0</v>
      </c>
      <c r="H755" s="28"/>
      <c r="I755" s="9">
        <f t="shared" si="1"/>
        <v>0</v>
      </c>
      <c r="J755" s="4">
        <f t="shared" si="2"/>
        <v>0</v>
      </c>
    </row>
    <row r="756" ht="15.75" customHeight="1">
      <c r="A756" s="1"/>
      <c r="F756" s="9" t="str">
        <f>IF(C756&gt;0, C756/'Conversion rates'!$I$3, D756)</f>
        <v/>
      </c>
      <c r="G756" s="28">
        <f>F756*'Conversion rates'!$I$3</f>
        <v>0</v>
      </c>
      <c r="H756" s="28"/>
      <c r="I756" s="9">
        <f t="shared" si="1"/>
        <v>0</v>
      </c>
      <c r="J756" s="4">
        <f t="shared" si="2"/>
        <v>0</v>
      </c>
    </row>
    <row r="757" ht="15.75" customHeight="1">
      <c r="A757" s="1"/>
      <c r="F757" s="9" t="str">
        <f>IF(C757&gt;0, C757/'Conversion rates'!$I$3, D757)</f>
        <v/>
      </c>
      <c r="G757" s="28">
        <f>F757*'Conversion rates'!$I$3</f>
        <v>0</v>
      </c>
      <c r="H757" s="28"/>
      <c r="I757" s="9">
        <f t="shared" si="1"/>
        <v>0</v>
      </c>
      <c r="J757" s="4">
        <f t="shared" si="2"/>
        <v>0</v>
      </c>
    </row>
    <row r="758" ht="15.75" customHeight="1">
      <c r="A758" s="1"/>
      <c r="F758" s="9" t="str">
        <f>IF(C758&gt;0, C758/'Conversion rates'!$I$3, D758)</f>
        <v/>
      </c>
      <c r="G758" s="28">
        <f>F758*'Conversion rates'!$I$3</f>
        <v>0</v>
      </c>
      <c r="H758" s="28"/>
      <c r="I758" s="9">
        <f t="shared" si="1"/>
        <v>0</v>
      </c>
      <c r="J758" s="4">
        <f t="shared" si="2"/>
        <v>0</v>
      </c>
    </row>
    <row r="759" ht="15.75" customHeight="1">
      <c r="A759" s="1"/>
      <c r="F759" s="9" t="str">
        <f>IF(C759&gt;0, C759/'Conversion rates'!$I$3, D759)</f>
        <v/>
      </c>
      <c r="G759" s="28">
        <f>F759*'Conversion rates'!$I$3</f>
        <v>0</v>
      </c>
      <c r="H759" s="28"/>
      <c r="I759" s="9">
        <f t="shared" si="1"/>
        <v>0</v>
      </c>
      <c r="J759" s="4">
        <f t="shared" si="2"/>
        <v>0</v>
      </c>
    </row>
    <row r="760" ht="15.75" customHeight="1">
      <c r="A760" s="1"/>
      <c r="F760" s="9" t="str">
        <f>IF(C760&gt;0, C760/'Conversion rates'!$I$3, D760)</f>
        <v/>
      </c>
      <c r="G760" s="28">
        <f>F760*'Conversion rates'!$I$3</f>
        <v>0</v>
      </c>
      <c r="H760" s="28"/>
      <c r="I760" s="9">
        <f t="shared" si="1"/>
        <v>0</v>
      </c>
      <c r="J760" s="4">
        <f t="shared" si="2"/>
        <v>0</v>
      </c>
    </row>
    <row r="761" ht="15.75" customHeight="1">
      <c r="A761" s="1"/>
      <c r="F761" s="9" t="str">
        <f>IF(C761&gt;0, C761/'Conversion rates'!$I$3, D761)</f>
        <v/>
      </c>
      <c r="G761" s="28">
        <f>F761*'Conversion rates'!$I$3</f>
        <v>0</v>
      </c>
      <c r="H761" s="28"/>
      <c r="I761" s="9">
        <f t="shared" si="1"/>
        <v>0</v>
      </c>
      <c r="J761" s="4">
        <f t="shared" si="2"/>
        <v>0</v>
      </c>
    </row>
    <row r="762" ht="15.75" customHeight="1">
      <c r="A762" s="1"/>
      <c r="F762" s="9" t="str">
        <f>IF(C762&gt;0, C762/'Conversion rates'!$I$3, D762)</f>
        <v/>
      </c>
      <c r="G762" s="28">
        <f>F762*'Conversion rates'!$I$3</f>
        <v>0</v>
      </c>
      <c r="H762" s="28"/>
      <c r="I762" s="9">
        <f t="shared" si="1"/>
        <v>0</v>
      </c>
      <c r="J762" s="4">
        <f t="shared" si="2"/>
        <v>0</v>
      </c>
    </row>
    <row r="763" ht="15.75" customHeight="1">
      <c r="A763" s="1"/>
      <c r="F763" s="9" t="str">
        <f>IF(C763&gt;0, C763/'Conversion rates'!$I$3, D763)</f>
        <v/>
      </c>
      <c r="G763" s="28">
        <f>F763*'Conversion rates'!$I$3</f>
        <v>0</v>
      </c>
      <c r="H763" s="28"/>
      <c r="I763" s="9">
        <f t="shared" si="1"/>
        <v>0</v>
      </c>
      <c r="J763" s="4">
        <f t="shared" si="2"/>
        <v>0</v>
      </c>
    </row>
    <row r="764" ht="15.75" customHeight="1">
      <c r="A764" s="1"/>
      <c r="F764" s="9" t="str">
        <f>IF(C764&gt;0, C764/'Conversion rates'!$I$3, D764)</f>
        <v/>
      </c>
      <c r="G764" s="28">
        <f>F764*'Conversion rates'!$I$3</f>
        <v>0</v>
      </c>
      <c r="H764" s="28"/>
      <c r="I764" s="9">
        <f t="shared" si="1"/>
        <v>0</v>
      </c>
      <c r="J764" s="4">
        <f t="shared" si="2"/>
        <v>0</v>
      </c>
    </row>
    <row r="765" ht="15.75" customHeight="1">
      <c r="A765" s="1"/>
      <c r="F765" s="9" t="str">
        <f>IF(C765&gt;0, C765/'Conversion rates'!$I$3, D765)</f>
        <v/>
      </c>
      <c r="G765" s="28">
        <f>F765*'Conversion rates'!$I$3</f>
        <v>0</v>
      </c>
      <c r="H765" s="28"/>
      <c r="I765" s="9">
        <f t="shared" si="1"/>
        <v>0</v>
      </c>
      <c r="J765" s="4">
        <f t="shared" si="2"/>
        <v>0</v>
      </c>
    </row>
    <row r="766" ht="15.75" customHeight="1">
      <c r="A766" s="1"/>
      <c r="F766" s="9" t="str">
        <f>IF(C766&gt;0, C766/'Conversion rates'!$I$3, D766)</f>
        <v/>
      </c>
      <c r="G766" s="28">
        <f>F766*'Conversion rates'!$I$3</f>
        <v>0</v>
      </c>
      <c r="H766" s="28"/>
      <c r="I766" s="9">
        <f t="shared" si="1"/>
        <v>0</v>
      </c>
      <c r="J766" s="4">
        <f t="shared" si="2"/>
        <v>0</v>
      </c>
    </row>
    <row r="767" ht="15.75" customHeight="1">
      <c r="A767" s="1"/>
      <c r="F767" s="9" t="str">
        <f>IF(C767&gt;0, C767/'Conversion rates'!$I$3, D767)</f>
        <v/>
      </c>
      <c r="G767" s="28">
        <f>F767*'Conversion rates'!$I$3</f>
        <v>0</v>
      </c>
      <c r="H767" s="28"/>
      <c r="I767" s="9">
        <f t="shared" si="1"/>
        <v>0</v>
      </c>
      <c r="J767" s="4">
        <f t="shared" si="2"/>
        <v>0</v>
      </c>
    </row>
    <row r="768" ht="15.75" customHeight="1">
      <c r="A768" s="1"/>
      <c r="F768" s="9" t="str">
        <f>IF(C768&gt;0, C768/'Conversion rates'!$I$3, D768)</f>
        <v/>
      </c>
      <c r="G768" s="28">
        <f>F768*'Conversion rates'!$I$3</f>
        <v>0</v>
      </c>
      <c r="H768" s="28"/>
      <c r="I768" s="9">
        <f t="shared" si="1"/>
        <v>0</v>
      </c>
      <c r="J768" s="4">
        <f t="shared" si="2"/>
        <v>0</v>
      </c>
    </row>
    <row r="769" ht="15.75" customHeight="1">
      <c r="A769" s="1"/>
      <c r="F769" s="9" t="str">
        <f>IF(C769&gt;0, C769/'Conversion rates'!$I$3, D769)</f>
        <v/>
      </c>
      <c r="G769" s="28">
        <f>F769*'Conversion rates'!$I$3</f>
        <v>0</v>
      </c>
      <c r="H769" s="28"/>
      <c r="I769" s="9">
        <f t="shared" si="1"/>
        <v>0</v>
      </c>
      <c r="J769" s="4">
        <f t="shared" si="2"/>
        <v>0</v>
      </c>
    </row>
    <row r="770" ht="15.75" customHeight="1">
      <c r="A770" s="1"/>
      <c r="F770" s="9" t="str">
        <f>IF(C770&gt;0, C770/'Conversion rates'!$I$3, D770)</f>
        <v/>
      </c>
      <c r="G770" s="28">
        <f>F770*'Conversion rates'!$I$3</f>
        <v>0</v>
      </c>
      <c r="H770" s="28"/>
      <c r="I770" s="9">
        <f t="shared" si="1"/>
        <v>0</v>
      </c>
      <c r="J770" s="4">
        <f t="shared" si="2"/>
        <v>0</v>
      </c>
    </row>
    <row r="771" ht="15.75" customHeight="1">
      <c r="A771" s="1"/>
      <c r="F771" s="9" t="str">
        <f>IF(C771&gt;0, C771/'Conversion rates'!$I$3, D771)</f>
        <v/>
      </c>
      <c r="G771" s="28">
        <f>F771*'Conversion rates'!$I$3</f>
        <v>0</v>
      </c>
      <c r="H771" s="28"/>
      <c r="I771" s="9">
        <f t="shared" si="1"/>
        <v>0</v>
      </c>
      <c r="J771" s="4">
        <f t="shared" si="2"/>
        <v>0</v>
      </c>
    </row>
    <row r="772" ht="15.75" customHeight="1">
      <c r="A772" s="1"/>
      <c r="F772" s="9" t="str">
        <f>IF(C772&gt;0, C772/'Conversion rates'!$I$3, D772)</f>
        <v/>
      </c>
      <c r="G772" s="28">
        <f>F772*'Conversion rates'!$I$3</f>
        <v>0</v>
      </c>
      <c r="H772" s="28"/>
      <c r="I772" s="9">
        <f t="shared" si="1"/>
        <v>0</v>
      </c>
      <c r="J772" s="4">
        <f t="shared" si="2"/>
        <v>0</v>
      </c>
    </row>
    <row r="773" ht="15.75" customHeight="1">
      <c r="A773" s="1"/>
      <c r="F773" s="9" t="str">
        <f>IF(C773&gt;0, C773/'Conversion rates'!$I$3, D773)</f>
        <v/>
      </c>
      <c r="G773" s="28">
        <f>F773*'Conversion rates'!$I$3</f>
        <v>0</v>
      </c>
      <c r="H773" s="28"/>
      <c r="I773" s="9">
        <f t="shared" si="1"/>
        <v>0</v>
      </c>
      <c r="J773" s="4">
        <f t="shared" si="2"/>
        <v>0</v>
      </c>
    </row>
    <row r="774" ht="15.75" customHeight="1">
      <c r="A774" s="1"/>
      <c r="F774" s="9" t="str">
        <f>IF(C774&gt;0, C774/'Conversion rates'!$I$3, D774)</f>
        <v/>
      </c>
      <c r="G774" s="28">
        <f>F774*'Conversion rates'!$I$3</f>
        <v>0</v>
      </c>
      <c r="H774" s="28"/>
      <c r="I774" s="9">
        <f t="shared" si="1"/>
        <v>0</v>
      </c>
      <c r="J774" s="4">
        <f t="shared" si="2"/>
        <v>0</v>
      </c>
    </row>
    <row r="775" ht="15.75" customHeight="1">
      <c r="A775" s="1"/>
      <c r="F775" s="9" t="str">
        <f>IF(C775&gt;0, C775/'Conversion rates'!$I$3, D775)</f>
        <v/>
      </c>
      <c r="G775" s="28">
        <f>F775*'Conversion rates'!$I$3</f>
        <v>0</v>
      </c>
      <c r="H775" s="28"/>
      <c r="I775" s="9">
        <f t="shared" si="1"/>
        <v>0</v>
      </c>
      <c r="J775" s="4">
        <f t="shared" si="2"/>
        <v>0</v>
      </c>
    </row>
    <row r="776" ht="15.75" customHeight="1">
      <c r="A776" s="1"/>
      <c r="F776" s="9" t="str">
        <f>IF(C776&gt;0, C776/'Conversion rates'!$I$3, D776)</f>
        <v/>
      </c>
      <c r="G776" s="28">
        <f>F776*'Conversion rates'!$I$3</f>
        <v>0</v>
      </c>
      <c r="H776" s="28"/>
      <c r="I776" s="9">
        <f t="shared" si="1"/>
        <v>0</v>
      </c>
      <c r="J776" s="4">
        <f t="shared" si="2"/>
        <v>0</v>
      </c>
    </row>
    <row r="777" ht="15.75" customHeight="1">
      <c r="A777" s="1"/>
      <c r="F777" s="9" t="str">
        <f>IF(C777&gt;0, C777/'Conversion rates'!$I$3, D777)</f>
        <v/>
      </c>
      <c r="G777" s="28">
        <f>F777*'Conversion rates'!$I$3</f>
        <v>0</v>
      </c>
      <c r="H777" s="28"/>
      <c r="I777" s="9">
        <f t="shared" si="1"/>
        <v>0</v>
      </c>
      <c r="J777" s="4">
        <f t="shared" si="2"/>
        <v>0</v>
      </c>
    </row>
    <row r="778" ht="15.75" customHeight="1">
      <c r="A778" s="1"/>
      <c r="F778" s="9" t="str">
        <f>IF(C778&gt;0, C778/'Conversion rates'!$I$3, D778)</f>
        <v/>
      </c>
      <c r="G778" s="28">
        <f>F778*'Conversion rates'!$I$3</f>
        <v>0</v>
      </c>
      <c r="H778" s="28"/>
      <c r="I778" s="9">
        <f t="shared" si="1"/>
        <v>0</v>
      </c>
      <c r="J778" s="4">
        <f t="shared" si="2"/>
        <v>0</v>
      </c>
    </row>
    <row r="779" ht="15.75" customHeight="1">
      <c r="A779" s="1"/>
      <c r="F779" s="9" t="str">
        <f>IF(C779&gt;0, C779/'Conversion rates'!$I$3, D779)</f>
        <v/>
      </c>
      <c r="G779" s="28">
        <f>F779*'Conversion rates'!$I$3</f>
        <v>0</v>
      </c>
      <c r="H779" s="28"/>
      <c r="I779" s="9">
        <f t="shared" si="1"/>
        <v>0</v>
      </c>
      <c r="J779" s="4">
        <f t="shared" si="2"/>
        <v>0</v>
      </c>
    </row>
    <row r="780" ht="15.75" customHeight="1">
      <c r="A780" s="1"/>
      <c r="F780" s="9" t="str">
        <f>IF(C780&gt;0, C780/'Conversion rates'!$I$3, D780)</f>
        <v/>
      </c>
      <c r="G780" s="28">
        <f>F780*'Conversion rates'!$I$3</f>
        <v>0</v>
      </c>
      <c r="H780" s="28"/>
      <c r="I780" s="9">
        <f t="shared" si="1"/>
        <v>0</v>
      </c>
      <c r="J780" s="4">
        <f t="shared" si="2"/>
        <v>0</v>
      </c>
    </row>
    <row r="781" ht="15.75" customHeight="1">
      <c r="A781" s="1"/>
      <c r="F781" s="9" t="str">
        <f>IF(C781&gt;0, C781/'Conversion rates'!$I$3, D781)</f>
        <v/>
      </c>
      <c r="G781" s="28">
        <f>F781*'Conversion rates'!$I$3</f>
        <v>0</v>
      </c>
      <c r="H781" s="28"/>
      <c r="I781" s="9">
        <f t="shared" si="1"/>
        <v>0</v>
      </c>
      <c r="J781" s="4">
        <f t="shared" si="2"/>
        <v>0</v>
      </c>
    </row>
    <row r="782" ht="15.75" customHeight="1">
      <c r="A782" s="1"/>
      <c r="F782" s="9" t="str">
        <f>IF(C782&gt;0, C782/'Conversion rates'!$I$3, D782)</f>
        <v/>
      </c>
      <c r="G782" s="28">
        <f>F782*'Conversion rates'!$I$3</f>
        <v>0</v>
      </c>
      <c r="H782" s="28"/>
      <c r="I782" s="9">
        <f t="shared" si="1"/>
        <v>0</v>
      </c>
      <c r="J782" s="4">
        <f t="shared" si="2"/>
        <v>0</v>
      </c>
    </row>
    <row r="783" ht="15.75" customHeight="1">
      <c r="A783" s="1"/>
      <c r="F783" s="9" t="str">
        <f>IF(C783&gt;0, C783/'Conversion rates'!$I$3, D783)</f>
        <v/>
      </c>
      <c r="G783" s="28">
        <f>F783*'Conversion rates'!$I$3</f>
        <v>0</v>
      </c>
      <c r="H783" s="28"/>
      <c r="I783" s="9">
        <f t="shared" si="1"/>
        <v>0</v>
      </c>
      <c r="J783" s="4">
        <f t="shared" si="2"/>
        <v>0</v>
      </c>
    </row>
    <row r="784" ht="15.75" customHeight="1">
      <c r="A784" s="1"/>
      <c r="F784" s="9" t="str">
        <f>IF(C784&gt;0, C784/'Conversion rates'!$I$3, D784)</f>
        <v/>
      </c>
      <c r="G784" s="28">
        <f>F784*'Conversion rates'!$I$3</f>
        <v>0</v>
      </c>
      <c r="H784" s="28"/>
      <c r="I784" s="9">
        <f t="shared" si="1"/>
        <v>0</v>
      </c>
      <c r="J784" s="4">
        <f t="shared" si="2"/>
        <v>0</v>
      </c>
    </row>
    <row r="785" ht="15.75" customHeight="1">
      <c r="A785" s="1"/>
      <c r="F785" s="9" t="str">
        <f>IF(C785&gt;0, C785/'Conversion rates'!$I$3, D785)</f>
        <v/>
      </c>
      <c r="G785" s="28">
        <f>F785*'Conversion rates'!$I$3</f>
        <v>0</v>
      </c>
      <c r="H785" s="28"/>
      <c r="I785" s="9">
        <f t="shared" si="1"/>
        <v>0</v>
      </c>
      <c r="J785" s="4">
        <f t="shared" si="2"/>
        <v>0</v>
      </c>
    </row>
    <row r="786" ht="15.75" customHeight="1">
      <c r="A786" s="1"/>
      <c r="F786" s="9" t="str">
        <f>IF(C786&gt;0, C786/'Conversion rates'!$I$3, D786)</f>
        <v/>
      </c>
      <c r="G786" s="28">
        <f>F786*'Conversion rates'!$I$3</f>
        <v>0</v>
      </c>
      <c r="H786" s="28"/>
      <c r="I786" s="9">
        <f t="shared" si="1"/>
        <v>0</v>
      </c>
      <c r="J786" s="4">
        <f t="shared" si="2"/>
        <v>0</v>
      </c>
    </row>
    <row r="787" ht="15.75" customHeight="1">
      <c r="A787" s="1"/>
      <c r="F787" s="9" t="str">
        <f>IF(C787&gt;0, C787/'Conversion rates'!$I$3, D787)</f>
        <v/>
      </c>
      <c r="G787" s="28">
        <f>F787*'Conversion rates'!$I$3</f>
        <v>0</v>
      </c>
      <c r="H787" s="28"/>
      <c r="I787" s="9">
        <f t="shared" si="1"/>
        <v>0</v>
      </c>
      <c r="J787" s="4">
        <f t="shared" si="2"/>
        <v>0</v>
      </c>
    </row>
    <row r="788" ht="15.75" customHeight="1">
      <c r="A788" s="1"/>
      <c r="F788" s="9" t="str">
        <f>IF(C788&gt;0, C788/'Conversion rates'!$I$3, D788)</f>
        <v/>
      </c>
      <c r="G788" s="28">
        <f>F788*'Conversion rates'!$I$3</f>
        <v>0</v>
      </c>
      <c r="H788" s="28"/>
      <c r="I788" s="9">
        <f t="shared" si="1"/>
        <v>0</v>
      </c>
      <c r="J788" s="4">
        <f t="shared" si="2"/>
        <v>0</v>
      </c>
    </row>
    <row r="789" ht="15.75" customHeight="1">
      <c r="A789" s="1"/>
      <c r="F789" s="9" t="str">
        <f>IF(C789&gt;0, C789/'Conversion rates'!$I$3, D789)</f>
        <v/>
      </c>
      <c r="G789" s="28">
        <f>F789*'Conversion rates'!$I$3</f>
        <v>0</v>
      </c>
      <c r="H789" s="28"/>
      <c r="I789" s="9">
        <f t="shared" si="1"/>
        <v>0</v>
      </c>
      <c r="J789" s="4">
        <f t="shared" si="2"/>
        <v>0</v>
      </c>
    </row>
    <row r="790" ht="15.75" customHeight="1">
      <c r="A790" s="1"/>
      <c r="F790" s="9" t="str">
        <f>IF(C790&gt;0, C790/'Conversion rates'!$I$3, D790)</f>
        <v/>
      </c>
      <c r="G790" s="28">
        <f>F790*'Conversion rates'!$I$3</f>
        <v>0</v>
      </c>
      <c r="H790" s="28"/>
      <c r="I790" s="9">
        <f t="shared" si="1"/>
        <v>0</v>
      </c>
      <c r="J790" s="4">
        <f t="shared" si="2"/>
        <v>0</v>
      </c>
    </row>
    <row r="791" ht="15.75" customHeight="1">
      <c r="A791" s="1"/>
      <c r="F791" s="9" t="str">
        <f>IF(C791&gt;0, C791/'Conversion rates'!$I$3, D791)</f>
        <v/>
      </c>
      <c r="G791" s="28">
        <f>F791*'Conversion rates'!$I$3</f>
        <v>0</v>
      </c>
      <c r="H791" s="28"/>
      <c r="I791" s="9">
        <f t="shared" si="1"/>
        <v>0</v>
      </c>
      <c r="J791" s="4">
        <f t="shared" si="2"/>
        <v>0</v>
      </c>
    </row>
    <row r="792" ht="15.75" customHeight="1">
      <c r="A792" s="1"/>
      <c r="F792" s="9" t="str">
        <f>IF(C792&gt;0, C792/'Conversion rates'!$I$3, D792)</f>
        <v/>
      </c>
      <c r="G792" s="28">
        <f>F792*'Conversion rates'!$I$3</f>
        <v>0</v>
      </c>
      <c r="H792" s="28"/>
      <c r="I792" s="9">
        <f t="shared" si="1"/>
        <v>0</v>
      </c>
      <c r="J792" s="4">
        <f t="shared" si="2"/>
        <v>0</v>
      </c>
    </row>
    <row r="793" ht="15.75" customHeight="1">
      <c r="A793" s="1"/>
      <c r="F793" s="9" t="str">
        <f>IF(C793&gt;0, C793/'Conversion rates'!$I$3, D793)</f>
        <v/>
      </c>
      <c r="G793" s="28">
        <f>F793*'Conversion rates'!$I$3</f>
        <v>0</v>
      </c>
      <c r="H793" s="28"/>
      <c r="I793" s="9">
        <f t="shared" si="1"/>
        <v>0</v>
      </c>
      <c r="J793" s="4">
        <f t="shared" si="2"/>
        <v>0</v>
      </c>
    </row>
    <row r="794" ht="15.75" customHeight="1">
      <c r="A794" s="1"/>
      <c r="F794" s="9" t="str">
        <f>IF(C794&gt;0, C794/'Conversion rates'!$I$3, D794)</f>
        <v/>
      </c>
      <c r="G794" s="28">
        <f>F794*'Conversion rates'!$I$3</f>
        <v>0</v>
      </c>
      <c r="H794" s="28"/>
      <c r="I794" s="9">
        <f t="shared" si="1"/>
        <v>0</v>
      </c>
      <c r="J794" s="4">
        <f t="shared" si="2"/>
        <v>0</v>
      </c>
    </row>
    <row r="795" ht="15.75" customHeight="1">
      <c r="A795" s="1"/>
      <c r="F795" s="9" t="str">
        <f>IF(C795&gt;0, C795/'Conversion rates'!$I$3, D795)</f>
        <v/>
      </c>
      <c r="G795" s="28">
        <f>F795*'Conversion rates'!$I$3</f>
        <v>0</v>
      </c>
      <c r="H795" s="28"/>
      <c r="I795" s="9">
        <f t="shared" si="1"/>
        <v>0</v>
      </c>
      <c r="J795" s="4">
        <f t="shared" si="2"/>
        <v>0</v>
      </c>
    </row>
    <row r="796" ht="15.75" customHeight="1">
      <c r="A796" s="1"/>
      <c r="F796" s="9" t="str">
        <f>IF(C796&gt;0, C796/'Conversion rates'!$I$3, D796)</f>
        <v/>
      </c>
      <c r="G796" s="28">
        <f>F796*'Conversion rates'!$I$3</f>
        <v>0</v>
      </c>
      <c r="H796" s="28"/>
      <c r="I796" s="9">
        <f t="shared" si="1"/>
        <v>0</v>
      </c>
      <c r="J796" s="4">
        <f t="shared" si="2"/>
        <v>0</v>
      </c>
    </row>
    <row r="797" ht="15.75" customHeight="1">
      <c r="A797" s="1"/>
      <c r="F797" s="9" t="str">
        <f>IF(C797&gt;0, C797/'Conversion rates'!$I$3, D797)</f>
        <v/>
      </c>
      <c r="G797" s="28">
        <f>F797*'Conversion rates'!$I$3</f>
        <v>0</v>
      </c>
      <c r="H797" s="28"/>
      <c r="I797" s="9">
        <f t="shared" si="1"/>
        <v>0</v>
      </c>
      <c r="J797" s="4">
        <f t="shared" si="2"/>
        <v>0</v>
      </c>
    </row>
    <row r="798" ht="15.75" customHeight="1">
      <c r="A798" s="1"/>
      <c r="F798" s="9" t="str">
        <f>IF(C798&gt;0, C798/'Conversion rates'!$I$3, D798)</f>
        <v/>
      </c>
      <c r="G798" s="28">
        <f>F798*'Conversion rates'!$I$3</f>
        <v>0</v>
      </c>
      <c r="H798" s="28"/>
      <c r="I798" s="9">
        <f t="shared" si="1"/>
        <v>0</v>
      </c>
      <c r="J798" s="4">
        <f t="shared" si="2"/>
        <v>0</v>
      </c>
    </row>
    <row r="799" ht="15.75" customHeight="1">
      <c r="A799" s="1"/>
      <c r="F799" s="9" t="str">
        <f>IF(C799&gt;0, C799/'Conversion rates'!$I$3, D799)</f>
        <v/>
      </c>
      <c r="G799" s="28">
        <f>F799*'Conversion rates'!$I$3</f>
        <v>0</v>
      </c>
      <c r="H799" s="28"/>
      <c r="I799" s="9">
        <f t="shared" si="1"/>
        <v>0</v>
      </c>
      <c r="J799" s="4">
        <f t="shared" si="2"/>
        <v>0</v>
      </c>
    </row>
    <row r="800" ht="15.75" customHeight="1">
      <c r="A800" s="1"/>
      <c r="F800" s="9" t="str">
        <f>IF(C800&gt;0, C800/'Conversion rates'!$I$3, D800)</f>
        <v/>
      </c>
      <c r="G800" s="28">
        <f>F800*'Conversion rates'!$I$3</f>
        <v>0</v>
      </c>
      <c r="H800" s="28"/>
      <c r="I800" s="9">
        <f t="shared" si="1"/>
        <v>0</v>
      </c>
      <c r="J800" s="4">
        <f t="shared" si="2"/>
        <v>0</v>
      </c>
    </row>
    <row r="801" ht="15.75" customHeight="1">
      <c r="A801" s="1"/>
      <c r="F801" s="9" t="str">
        <f>IF(C801&gt;0, C801/'Conversion rates'!$I$3, D801)</f>
        <v/>
      </c>
      <c r="G801" s="28">
        <f>F801*'Conversion rates'!$I$3</f>
        <v>0</v>
      </c>
      <c r="H801" s="28"/>
      <c r="I801" s="9">
        <f t="shared" si="1"/>
        <v>0</v>
      </c>
      <c r="J801" s="4">
        <f t="shared" si="2"/>
        <v>0</v>
      </c>
    </row>
    <row r="802" ht="15.75" customHeight="1">
      <c r="A802" s="1"/>
      <c r="F802" s="9" t="str">
        <f>IF(C802&gt;0, C802/'Conversion rates'!$I$3, D802)</f>
        <v/>
      </c>
      <c r="G802" s="28">
        <f>F802*'Conversion rates'!$I$3</f>
        <v>0</v>
      </c>
      <c r="H802" s="28"/>
      <c r="I802" s="9">
        <f t="shared" si="1"/>
        <v>0</v>
      </c>
      <c r="J802" s="4">
        <f t="shared" si="2"/>
        <v>0</v>
      </c>
    </row>
    <row r="803" ht="15.75" customHeight="1">
      <c r="A803" s="1"/>
      <c r="F803" s="9" t="str">
        <f>IF(C803&gt;0, C803/'Conversion rates'!$I$3, D803)</f>
        <v/>
      </c>
      <c r="G803" s="28">
        <f>F803*'Conversion rates'!$I$3</f>
        <v>0</v>
      </c>
      <c r="H803" s="28"/>
      <c r="I803" s="9">
        <f t="shared" si="1"/>
        <v>0</v>
      </c>
      <c r="J803" s="4">
        <f t="shared" si="2"/>
        <v>0</v>
      </c>
    </row>
    <row r="804" ht="15.75" customHeight="1">
      <c r="A804" s="1"/>
      <c r="F804" s="9" t="str">
        <f>IF(C804&gt;0, C804/'Conversion rates'!$I$3, D804)</f>
        <v/>
      </c>
      <c r="G804" s="28">
        <f>F804*'Conversion rates'!$I$3</f>
        <v>0</v>
      </c>
      <c r="H804" s="28"/>
      <c r="I804" s="9">
        <f t="shared" si="1"/>
        <v>0</v>
      </c>
      <c r="J804" s="4">
        <f t="shared" si="2"/>
        <v>0</v>
      </c>
    </row>
    <row r="805" ht="15.75" customHeight="1">
      <c r="A805" s="1"/>
      <c r="F805" s="9" t="str">
        <f>IF(C805&gt;0, C805/'Conversion rates'!$I$3, D805)</f>
        <v/>
      </c>
      <c r="G805" s="28">
        <f>F805*'Conversion rates'!$I$3</f>
        <v>0</v>
      </c>
      <c r="H805" s="28"/>
      <c r="I805" s="9">
        <f t="shared" si="1"/>
        <v>0</v>
      </c>
      <c r="J805" s="4">
        <f t="shared" si="2"/>
        <v>0</v>
      </c>
    </row>
    <row r="806" ht="15.75" customHeight="1">
      <c r="A806" s="1"/>
      <c r="F806" s="9" t="str">
        <f>IF(C806&gt;0, C806/'Conversion rates'!$I$3, D806)</f>
        <v/>
      </c>
      <c r="G806" s="28">
        <f>F806*'Conversion rates'!$I$3</f>
        <v>0</v>
      </c>
      <c r="H806" s="28"/>
      <c r="I806" s="9">
        <f t="shared" si="1"/>
        <v>0</v>
      </c>
      <c r="J806" s="4">
        <f t="shared" si="2"/>
        <v>0</v>
      </c>
    </row>
    <row r="807" ht="15.75" customHeight="1">
      <c r="A807" s="1"/>
      <c r="F807" s="9" t="str">
        <f>IF(C807&gt;0, C807/'Conversion rates'!$I$3, D807)</f>
        <v/>
      </c>
      <c r="G807" s="28">
        <f>F807*'Conversion rates'!$I$3</f>
        <v>0</v>
      </c>
      <c r="H807" s="28"/>
      <c r="I807" s="9">
        <f t="shared" si="1"/>
        <v>0</v>
      </c>
      <c r="J807" s="4">
        <f t="shared" si="2"/>
        <v>0</v>
      </c>
    </row>
    <row r="808" ht="15.75" customHeight="1">
      <c r="A808" s="1"/>
      <c r="F808" s="9" t="str">
        <f>IF(C808&gt;0, C808/'Conversion rates'!$I$3, D808)</f>
        <v/>
      </c>
      <c r="G808" s="28">
        <f>F808*'Conversion rates'!$I$3</f>
        <v>0</v>
      </c>
      <c r="H808" s="28"/>
      <c r="I808" s="9">
        <f t="shared" si="1"/>
        <v>0</v>
      </c>
      <c r="J808" s="4">
        <f t="shared" si="2"/>
        <v>0</v>
      </c>
    </row>
    <row r="809" ht="15.75" customHeight="1">
      <c r="A809" s="1"/>
      <c r="F809" s="9" t="str">
        <f>IF(C809&gt;0, C809/'Conversion rates'!$I$3, D809)</f>
        <v/>
      </c>
      <c r="G809" s="28">
        <f>F809*'Conversion rates'!$I$3</f>
        <v>0</v>
      </c>
      <c r="H809" s="28"/>
      <c r="I809" s="9">
        <f t="shared" si="1"/>
        <v>0</v>
      </c>
      <c r="J809" s="4">
        <f t="shared" si="2"/>
        <v>0</v>
      </c>
    </row>
    <row r="810" ht="15.75" customHeight="1">
      <c r="A810" s="1"/>
      <c r="F810" s="9" t="str">
        <f>IF(C810&gt;0, C810/'Conversion rates'!$I$3, D810)</f>
        <v/>
      </c>
      <c r="G810" s="28">
        <f>F810*'Conversion rates'!$I$3</f>
        <v>0</v>
      </c>
      <c r="H810" s="28"/>
      <c r="I810" s="9">
        <f t="shared" si="1"/>
        <v>0</v>
      </c>
      <c r="J810" s="4">
        <f t="shared" si="2"/>
        <v>0</v>
      </c>
    </row>
    <row r="811" ht="15.75" customHeight="1">
      <c r="A811" s="1"/>
      <c r="F811" s="9" t="str">
        <f>IF(C811&gt;0, C811/'Conversion rates'!$I$3, D811)</f>
        <v/>
      </c>
      <c r="G811" s="28">
        <f>F811*'Conversion rates'!$I$3</f>
        <v>0</v>
      </c>
      <c r="H811" s="28"/>
      <c r="I811" s="9">
        <f t="shared" si="1"/>
        <v>0</v>
      </c>
      <c r="J811" s="4">
        <f t="shared" si="2"/>
        <v>0</v>
      </c>
    </row>
    <row r="812" ht="15.75" customHeight="1">
      <c r="A812" s="1"/>
      <c r="F812" s="9" t="str">
        <f>IF(C812&gt;0, C812/'Conversion rates'!$I$3, D812)</f>
        <v/>
      </c>
      <c r="G812" s="28">
        <f>F812*'Conversion rates'!$I$3</f>
        <v>0</v>
      </c>
      <c r="H812" s="28"/>
      <c r="I812" s="9">
        <f t="shared" si="1"/>
        <v>0</v>
      </c>
      <c r="J812" s="4">
        <f t="shared" si="2"/>
        <v>0</v>
      </c>
    </row>
    <row r="813" ht="15.75" customHeight="1">
      <c r="A813" s="1"/>
      <c r="F813" s="9" t="str">
        <f>IF(C813&gt;0, C813/'Conversion rates'!$I$3, D813)</f>
        <v/>
      </c>
      <c r="G813" s="28">
        <f>F813*'Conversion rates'!$I$3</f>
        <v>0</v>
      </c>
      <c r="H813" s="28"/>
      <c r="I813" s="9">
        <f t="shared" si="1"/>
        <v>0</v>
      </c>
      <c r="J813" s="4">
        <f t="shared" si="2"/>
        <v>0</v>
      </c>
    </row>
    <row r="814" ht="15.75" customHeight="1">
      <c r="A814" s="1"/>
      <c r="F814" s="9" t="str">
        <f>IF(C814&gt;0, C814/'Conversion rates'!$I$3, D814)</f>
        <v/>
      </c>
      <c r="G814" s="28">
        <f>F814*'Conversion rates'!$I$3</f>
        <v>0</v>
      </c>
      <c r="H814" s="28"/>
      <c r="I814" s="9">
        <f t="shared" si="1"/>
        <v>0</v>
      </c>
      <c r="J814" s="4">
        <f t="shared" si="2"/>
        <v>0</v>
      </c>
    </row>
    <row r="815" ht="15.75" customHeight="1">
      <c r="A815" s="1"/>
      <c r="F815" s="9" t="str">
        <f>IF(C815&gt;0, C815/'Conversion rates'!$I$3, D815)</f>
        <v/>
      </c>
      <c r="G815" s="28">
        <f>F815*'Conversion rates'!$I$3</f>
        <v>0</v>
      </c>
      <c r="H815" s="28"/>
      <c r="I815" s="9">
        <f t="shared" si="1"/>
        <v>0</v>
      </c>
      <c r="J815" s="4">
        <f t="shared" si="2"/>
        <v>0</v>
      </c>
    </row>
    <row r="816" ht="15.75" customHeight="1">
      <c r="A816" s="1"/>
      <c r="F816" s="9" t="str">
        <f>IF(C816&gt;0, C816/'Conversion rates'!$I$3, D816)</f>
        <v/>
      </c>
      <c r="G816" s="28">
        <f>F816*'Conversion rates'!$I$3</f>
        <v>0</v>
      </c>
      <c r="H816" s="28"/>
      <c r="I816" s="9">
        <f t="shared" si="1"/>
        <v>0</v>
      </c>
      <c r="J816" s="4">
        <f t="shared" si="2"/>
        <v>0</v>
      </c>
    </row>
    <row r="817" ht="15.75" customHeight="1">
      <c r="A817" s="1"/>
      <c r="F817" s="9" t="str">
        <f>IF(C817&gt;0, C817/'Conversion rates'!$I$3, D817)</f>
        <v/>
      </c>
      <c r="G817" s="28">
        <f>F817*'Conversion rates'!$I$3</f>
        <v>0</v>
      </c>
      <c r="H817" s="28"/>
      <c r="I817" s="9">
        <f t="shared" si="1"/>
        <v>0</v>
      </c>
      <c r="J817" s="4">
        <f t="shared" si="2"/>
        <v>0</v>
      </c>
    </row>
    <row r="818" ht="15.75" customHeight="1">
      <c r="A818" s="1"/>
      <c r="F818" s="9" t="str">
        <f>IF(C818&gt;0, C818/'Conversion rates'!$I$3, D818)</f>
        <v/>
      </c>
      <c r="G818" s="28">
        <f>F818*'Conversion rates'!$I$3</f>
        <v>0</v>
      </c>
      <c r="H818" s="28"/>
      <c r="I818" s="9">
        <f t="shared" si="1"/>
        <v>0</v>
      </c>
      <c r="J818" s="4">
        <f t="shared" si="2"/>
        <v>0</v>
      </c>
    </row>
    <row r="819" ht="15.75" customHeight="1">
      <c r="A819" s="1"/>
      <c r="F819" s="9" t="str">
        <f>IF(C819&gt;0, C819/'Conversion rates'!$I$3, D819)</f>
        <v/>
      </c>
      <c r="G819" s="28">
        <f>F819*'Conversion rates'!$I$3</f>
        <v>0</v>
      </c>
      <c r="H819" s="28"/>
      <c r="I819" s="9">
        <f t="shared" si="1"/>
        <v>0</v>
      </c>
      <c r="J819" s="4">
        <f t="shared" si="2"/>
        <v>0</v>
      </c>
    </row>
    <row r="820" ht="15.75" customHeight="1">
      <c r="A820" s="1"/>
      <c r="F820" s="9" t="str">
        <f>IF(C820&gt;0, C820/'Conversion rates'!$I$3, D820)</f>
        <v/>
      </c>
      <c r="G820" s="28">
        <f>F820*'Conversion rates'!$I$3</f>
        <v>0</v>
      </c>
      <c r="H820" s="28"/>
      <c r="I820" s="9">
        <f t="shared" si="1"/>
        <v>0</v>
      </c>
      <c r="J820" s="4">
        <f t="shared" si="2"/>
        <v>0</v>
      </c>
    </row>
    <row r="821" ht="15.75" customHeight="1">
      <c r="A821" s="1"/>
      <c r="F821" s="9" t="str">
        <f>IF(C821&gt;0, C821/'Conversion rates'!$I$3, D821)</f>
        <v/>
      </c>
      <c r="G821" s="28">
        <f>F821*'Conversion rates'!$I$3</f>
        <v>0</v>
      </c>
      <c r="H821" s="28"/>
      <c r="I821" s="9">
        <f t="shared" si="1"/>
        <v>0</v>
      </c>
      <c r="J821" s="4">
        <f t="shared" si="2"/>
        <v>0</v>
      </c>
    </row>
    <row r="822" ht="15.75" customHeight="1">
      <c r="A822" s="1"/>
      <c r="F822" s="9" t="str">
        <f>IF(C822&gt;0, C822/'Conversion rates'!$I$3, D822)</f>
        <v/>
      </c>
      <c r="G822" s="28">
        <f>F822*'Conversion rates'!$I$3</f>
        <v>0</v>
      </c>
      <c r="H822" s="28"/>
      <c r="I822" s="9">
        <f t="shared" si="1"/>
        <v>0</v>
      </c>
      <c r="J822" s="4">
        <f t="shared" si="2"/>
        <v>0</v>
      </c>
    </row>
    <row r="823" ht="15.75" customHeight="1">
      <c r="A823" s="1"/>
      <c r="F823" s="9" t="str">
        <f>IF(C823&gt;0, C823/'Conversion rates'!$I$3, D823)</f>
        <v/>
      </c>
      <c r="G823" s="28">
        <f>F823*'Conversion rates'!$I$3</f>
        <v>0</v>
      </c>
      <c r="H823" s="28"/>
      <c r="I823" s="9">
        <f t="shared" si="1"/>
        <v>0</v>
      </c>
      <c r="J823" s="4">
        <f t="shared" si="2"/>
        <v>0</v>
      </c>
    </row>
    <row r="824" ht="15.75" customHeight="1">
      <c r="A824" s="1"/>
      <c r="F824" s="9" t="str">
        <f>IF(C824&gt;0, C824/'Conversion rates'!$I$3, D824)</f>
        <v/>
      </c>
      <c r="G824" s="28">
        <f>F824*'Conversion rates'!$I$3</f>
        <v>0</v>
      </c>
      <c r="H824" s="28"/>
      <c r="I824" s="9">
        <f t="shared" si="1"/>
        <v>0</v>
      </c>
      <c r="J824" s="4">
        <f t="shared" si="2"/>
        <v>0</v>
      </c>
    </row>
    <row r="825" ht="15.75" customHeight="1">
      <c r="A825" s="1"/>
      <c r="F825" s="9" t="str">
        <f>IF(C825&gt;0, C825/'Conversion rates'!$I$3, D825)</f>
        <v/>
      </c>
      <c r="G825" s="28">
        <f>F825*'Conversion rates'!$I$3</f>
        <v>0</v>
      </c>
      <c r="H825" s="28"/>
      <c r="I825" s="9">
        <f t="shared" si="1"/>
        <v>0</v>
      </c>
      <c r="J825" s="4">
        <f t="shared" si="2"/>
        <v>0</v>
      </c>
    </row>
    <row r="826" ht="15.75" customHeight="1">
      <c r="A826" s="1"/>
      <c r="F826" s="9" t="str">
        <f>IF(C826&gt;0, C826/'Conversion rates'!$I$3, D826)</f>
        <v/>
      </c>
      <c r="G826" s="28">
        <f>F826*'Conversion rates'!$I$3</f>
        <v>0</v>
      </c>
      <c r="H826" s="28"/>
      <c r="I826" s="9">
        <f t="shared" si="1"/>
        <v>0</v>
      </c>
      <c r="J826" s="4">
        <f t="shared" si="2"/>
        <v>0</v>
      </c>
    </row>
    <row r="827" ht="15.75" customHeight="1">
      <c r="A827" s="1"/>
      <c r="F827" s="9" t="str">
        <f>IF(C827&gt;0, C827/'Conversion rates'!$I$3, D827)</f>
        <v/>
      </c>
      <c r="G827" s="28">
        <f>F827*'Conversion rates'!$I$3</f>
        <v>0</v>
      </c>
      <c r="H827" s="28"/>
      <c r="I827" s="9">
        <f t="shared" si="1"/>
        <v>0</v>
      </c>
      <c r="J827" s="4">
        <f t="shared" si="2"/>
        <v>0</v>
      </c>
    </row>
    <row r="828" ht="15.75" customHeight="1">
      <c r="A828" s="1"/>
      <c r="F828" s="9" t="str">
        <f>IF(C828&gt;0, C828/'Conversion rates'!$I$3, D828)</f>
        <v/>
      </c>
      <c r="G828" s="28">
        <f>F828*'Conversion rates'!$I$3</f>
        <v>0</v>
      </c>
      <c r="H828" s="28"/>
      <c r="I828" s="9">
        <f t="shared" si="1"/>
        <v>0</v>
      </c>
      <c r="J828" s="4">
        <f t="shared" si="2"/>
        <v>0</v>
      </c>
    </row>
    <row r="829" ht="15.75" customHeight="1">
      <c r="A829" s="1"/>
      <c r="F829" s="9" t="str">
        <f>IF(C829&gt;0, C829/'Conversion rates'!$I$3, D829)</f>
        <v/>
      </c>
      <c r="G829" s="28">
        <f>F829*'Conversion rates'!$I$3</f>
        <v>0</v>
      </c>
      <c r="H829" s="28"/>
      <c r="I829" s="9">
        <f t="shared" si="1"/>
        <v>0</v>
      </c>
      <c r="J829" s="4">
        <f t="shared" si="2"/>
        <v>0</v>
      </c>
    </row>
    <row r="830" ht="15.75" customHeight="1">
      <c r="A830" s="1"/>
      <c r="F830" s="9" t="str">
        <f>IF(C830&gt;0, C830/'Conversion rates'!$I$3, D830)</f>
        <v/>
      </c>
      <c r="G830" s="28">
        <f>F830*'Conversion rates'!$I$3</f>
        <v>0</v>
      </c>
      <c r="H830" s="28"/>
      <c r="I830" s="9">
        <f t="shared" si="1"/>
        <v>0</v>
      </c>
      <c r="J830" s="4">
        <f t="shared" si="2"/>
        <v>0</v>
      </c>
    </row>
    <row r="831" ht="15.75" customHeight="1">
      <c r="A831" s="1"/>
      <c r="F831" s="9" t="str">
        <f>IF(C831&gt;0, C831/'Conversion rates'!$I$3, D831)</f>
        <v/>
      </c>
      <c r="G831" s="28">
        <f>F831*'Conversion rates'!$I$3</f>
        <v>0</v>
      </c>
      <c r="H831" s="28"/>
      <c r="I831" s="9">
        <f t="shared" si="1"/>
        <v>0</v>
      </c>
      <c r="J831" s="4">
        <f t="shared" si="2"/>
        <v>0</v>
      </c>
    </row>
    <row r="832" ht="15.75" customHeight="1">
      <c r="A832" s="1"/>
      <c r="F832" s="9" t="str">
        <f>IF(C832&gt;0, C832/'Conversion rates'!$I$3, D832)</f>
        <v/>
      </c>
      <c r="G832" s="28">
        <f>F832*'Conversion rates'!$I$3</f>
        <v>0</v>
      </c>
      <c r="H832" s="28"/>
      <c r="I832" s="9">
        <f t="shared" si="1"/>
        <v>0</v>
      </c>
      <c r="J832" s="4">
        <f t="shared" si="2"/>
        <v>0</v>
      </c>
    </row>
    <row r="833" ht="15.75" customHeight="1">
      <c r="A833" s="1"/>
      <c r="F833" s="9" t="str">
        <f>IF(C833&gt;0, C833/'Conversion rates'!$I$3, D833)</f>
        <v/>
      </c>
      <c r="G833" s="28">
        <f>F833*'Conversion rates'!$I$3</f>
        <v>0</v>
      </c>
      <c r="H833" s="28"/>
      <c r="I833" s="9">
        <f t="shared" si="1"/>
        <v>0</v>
      </c>
      <c r="J833" s="4">
        <f t="shared" si="2"/>
        <v>0</v>
      </c>
    </row>
    <row r="834" ht="15.75" customHeight="1">
      <c r="A834" s="1"/>
      <c r="F834" s="9" t="str">
        <f>IF(C834&gt;0, C834/'Conversion rates'!$I$3, D834)</f>
        <v/>
      </c>
      <c r="G834" s="28">
        <f>F834*'Conversion rates'!$I$3</f>
        <v>0</v>
      </c>
      <c r="H834" s="28"/>
      <c r="I834" s="9">
        <f t="shared" si="1"/>
        <v>0</v>
      </c>
      <c r="J834" s="4">
        <f t="shared" si="2"/>
        <v>0</v>
      </c>
    </row>
    <row r="835" ht="15.75" customHeight="1">
      <c r="A835" s="1"/>
      <c r="F835" s="9" t="str">
        <f>IF(C835&gt;0, C835/'Conversion rates'!$I$3, D835)</f>
        <v/>
      </c>
      <c r="G835" s="28">
        <f>F835*'Conversion rates'!$I$3</f>
        <v>0</v>
      </c>
      <c r="H835" s="28"/>
      <c r="I835" s="9">
        <f t="shared" si="1"/>
        <v>0</v>
      </c>
      <c r="J835" s="4">
        <f t="shared" si="2"/>
        <v>0</v>
      </c>
    </row>
    <row r="836" ht="15.75" customHeight="1">
      <c r="A836" s="1"/>
      <c r="F836" s="9" t="str">
        <f>IF(C836&gt;0, C836/'Conversion rates'!$I$3, D836)</f>
        <v/>
      </c>
      <c r="G836" s="28">
        <f>F836*'Conversion rates'!$I$3</f>
        <v>0</v>
      </c>
      <c r="H836" s="28"/>
      <c r="I836" s="9">
        <f t="shared" si="1"/>
        <v>0</v>
      </c>
      <c r="J836" s="4">
        <f t="shared" si="2"/>
        <v>0</v>
      </c>
    </row>
    <row r="837" ht="15.75" customHeight="1">
      <c r="A837" s="1"/>
      <c r="F837" s="9" t="str">
        <f>IF(C837&gt;0, C837/'Conversion rates'!$I$3, D837)</f>
        <v/>
      </c>
      <c r="G837" s="28">
        <f>F837*'Conversion rates'!$I$3</f>
        <v>0</v>
      </c>
      <c r="H837" s="28"/>
      <c r="I837" s="9">
        <f t="shared" si="1"/>
        <v>0</v>
      </c>
      <c r="J837" s="4">
        <f t="shared" si="2"/>
        <v>0</v>
      </c>
    </row>
    <row r="838" ht="15.75" customHeight="1">
      <c r="A838" s="1"/>
      <c r="F838" s="9" t="str">
        <f>IF(C838&gt;0, C838/'Conversion rates'!$I$3, D838)</f>
        <v/>
      </c>
      <c r="G838" s="28">
        <f>F838*'Conversion rates'!$I$3</f>
        <v>0</v>
      </c>
      <c r="H838" s="28"/>
      <c r="I838" s="9">
        <f t="shared" si="1"/>
        <v>0</v>
      </c>
      <c r="J838" s="4">
        <f t="shared" si="2"/>
        <v>0</v>
      </c>
    </row>
    <row r="839" ht="15.75" customHeight="1">
      <c r="A839" s="1"/>
      <c r="F839" s="9" t="str">
        <f>IF(C839&gt;0, C839/'Conversion rates'!$I$3, D839)</f>
        <v/>
      </c>
      <c r="G839" s="28">
        <f>F839*'Conversion rates'!$I$3</f>
        <v>0</v>
      </c>
      <c r="H839" s="28"/>
      <c r="I839" s="9">
        <f t="shared" si="1"/>
        <v>0</v>
      </c>
      <c r="J839" s="4">
        <f t="shared" si="2"/>
        <v>0</v>
      </c>
    </row>
    <row r="840" ht="15.75" customHeight="1">
      <c r="A840" s="1"/>
      <c r="F840" s="9" t="str">
        <f>IF(C840&gt;0, C840/'Conversion rates'!$I$3, D840)</f>
        <v/>
      </c>
      <c r="G840" s="28">
        <f>F840*'Conversion rates'!$I$3</f>
        <v>0</v>
      </c>
      <c r="H840" s="28"/>
      <c r="I840" s="9">
        <f t="shared" si="1"/>
        <v>0</v>
      </c>
      <c r="J840" s="4">
        <f t="shared" si="2"/>
        <v>0</v>
      </c>
    </row>
    <row r="841" ht="15.75" customHeight="1">
      <c r="A841" s="1"/>
      <c r="F841" s="9" t="str">
        <f>IF(C841&gt;0, C841/'Conversion rates'!$I$3, D841)</f>
        <v/>
      </c>
      <c r="G841" s="28">
        <f>F841*'Conversion rates'!$I$3</f>
        <v>0</v>
      </c>
      <c r="H841" s="28"/>
      <c r="I841" s="9">
        <f t="shared" si="1"/>
        <v>0</v>
      </c>
      <c r="J841" s="4">
        <f t="shared" si="2"/>
        <v>0</v>
      </c>
    </row>
    <row r="842" ht="15.75" customHeight="1">
      <c r="A842" s="1"/>
      <c r="F842" s="9" t="str">
        <f>IF(C842&gt;0, C842/'Conversion rates'!$I$3, D842)</f>
        <v/>
      </c>
      <c r="G842" s="28">
        <f>F842*'Conversion rates'!$I$3</f>
        <v>0</v>
      </c>
      <c r="H842" s="28"/>
      <c r="I842" s="9">
        <f t="shared" si="1"/>
        <v>0</v>
      </c>
      <c r="J842" s="4">
        <f t="shared" si="2"/>
        <v>0</v>
      </c>
    </row>
    <row r="843" ht="15.75" customHeight="1">
      <c r="A843" s="1"/>
      <c r="F843" s="9" t="str">
        <f>IF(C843&gt;0, C843/'Conversion rates'!$I$3, D843)</f>
        <v/>
      </c>
      <c r="G843" s="28">
        <f>F843*'Conversion rates'!$I$3</f>
        <v>0</v>
      </c>
      <c r="H843" s="28"/>
      <c r="I843" s="9">
        <f t="shared" si="1"/>
        <v>0</v>
      </c>
      <c r="J843" s="4">
        <f t="shared" si="2"/>
        <v>0</v>
      </c>
    </row>
    <row r="844" ht="15.75" customHeight="1">
      <c r="A844" s="1"/>
      <c r="F844" s="9" t="str">
        <f>IF(C844&gt;0, C844/'Conversion rates'!$I$3, D844)</f>
        <v/>
      </c>
      <c r="G844" s="28">
        <f>F844*'Conversion rates'!$I$3</f>
        <v>0</v>
      </c>
      <c r="H844" s="28"/>
      <c r="I844" s="9">
        <f t="shared" si="1"/>
        <v>0</v>
      </c>
      <c r="J844" s="4">
        <f t="shared" si="2"/>
        <v>0</v>
      </c>
    </row>
    <row r="845" ht="15.75" customHeight="1">
      <c r="A845" s="1"/>
      <c r="F845" s="9" t="str">
        <f>IF(C845&gt;0, C845/'Conversion rates'!$I$3, D845)</f>
        <v/>
      </c>
      <c r="G845" s="28">
        <f>F845*'Conversion rates'!$I$3</f>
        <v>0</v>
      </c>
      <c r="H845" s="28"/>
      <c r="I845" s="9">
        <f t="shared" si="1"/>
        <v>0</v>
      </c>
      <c r="J845" s="4">
        <f t="shared" si="2"/>
        <v>0</v>
      </c>
    </row>
    <row r="846" ht="15.75" customHeight="1">
      <c r="A846" s="1"/>
      <c r="F846" s="9" t="str">
        <f>IF(C846&gt;0, C846/'Conversion rates'!$I$3, D846)</f>
        <v/>
      </c>
      <c r="G846" s="28">
        <f>F846*'Conversion rates'!$I$3</f>
        <v>0</v>
      </c>
      <c r="H846" s="28"/>
      <c r="I846" s="9">
        <f t="shared" si="1"/>
        <v>0</v>
      </c>
      <c r="J846" s="4">
        <f t="shared" si="2"/>
        <v>0</v>
      </c>
    </row>
    <row r="847" ht="15.75" customHeight="1">
      <c r="A847" s="1"/>
      <c r="F847" s="9" t="str">
        <f>IF(C847&gt;0, C847/'Conversion rates'!$I$3, D847)</f>
        <v/>
      </c>
      <c r="G847" s="28">
        <f>F847*'Conversion rates'!$I$3</f>
        <v>0</v>
      </c>
      <c r="H847" s="28"/>
      <c r="I847" s="9">
        <f t="shared" si="1"/>
        <v>0</v>
      </c>
      <c r="J847" s="4">
        <f t="shared" si="2"/>
        <v>0</v>
      </c>
    </row>
    <row r="848" ht="15.75" customHeight="1">
      <c r="A848" s="1"/>
      <c r="F848" s="9" t="str">
        <f>IF(C848&gt;0, C848/'Conversion rates'!$I$3, D848)</f>
        <v/>
      </c>
      <c r="G848" s="28">
        <f>F848*'Conversion rates'!$I$3</f>
        <v>0</v>
      </c>
      <c r="H848" s="28"/>
      <c r="I848" s="9">
        <f t="shared" si="1"/>
        <v>0</v>
      </c>
      <c r="J848" s="4">
        <f t="shared" si="2"/>
        <v>0</v>
      </c>
    </row>
    <row r="849" ht="15.75" customHeight="1">
      <c r="A849" s="1"/>
      <c r="F849" s="9" t="str">
        <f>IF(C849&gt;0, C849/'Conversion rates'!$I$3, D849)</f>
        <v/>
      </c>
      <c r="G849" s="28">
        <f>F849*'Conversion rates'!$I$3</f>
        <v>0</v>
      </c>
      <c r="H849" s="28"/>
      <c r="I849" s="9">
        <f t="shared" si="1"/>
        <v>0</v>
      </c>
      <c r="J849" s="4">
        <f t="shared" si="2"/>
        <v>0</v>
      </c>
    </row>
    <row r="850" ht="15.75" customHeight="1">
      <c r="A850" s="1"/>
      <c r="F850" s="9" t="str">
        <f>IF(C850&gt;0, C850/'Conversion rates'!$I$3, D850)</f>
        <v/>
      </c>
      <c r="G850" s="28">
        <f>F850*'Conversion rates'!$I$3</f>
        <v>0</v>
      </c>
      <c r="H850" s="28"/>
      <c r="I850" s="9">
        <f t="shared" si="1"/>
        <v>0</v>
      </c>
      <c r="J850" s="4">
        <f t="shared" si="2"/>
        <v>0</v>
      </c>
    </row>
    <row r="851" ht="15.75" customHeight="1">
      <c r="A851" s="1"/>
      <c r="F851" s="9" t="str">
        <f>IF(C851&gt;0, C851/'Conversion rates'!$I$3, D851)</f>
        <v/>
      </c>
      <c r="G851" s="28">
        <f>F851*'Conversion rates'!$I$3</f>
        <v>0</v>
      </c>
      <c r="H851" s="28"/>
      <c r="I851" s="9">
        <f t="shared" si="1"/>
        <v>0</v>
      </c>
      <c r="J851" s="4">
        <f t="shared" si="2"/>
        <v>0</v>
      </c>
    </row>
    <row r="852" ht="15.75" customHeight="1">
      <c r="A852" s="1"/>
      <c r="F852" s="9" t="str">
        <f>IF(C852&gt;0, C852/'Conversion rates'!$I$3, D852)</f>
        <v/>
      </c>
      <c r="G852" s="28">
        <f>F852*'Conversion rates'!$I$3</f>
        <v>0</v>
      </c>
      <c r="H852" s="28"/>
      <c r="I852" s="9">
        <f t="shared" si="1"/>
        <v>0</v>
      </c>
      <c r="J852" s="4">
        <f t="shared" si="2"/>
        <v>0</v>
      </c>
    </row>
    <row r="853" ht="15.75" customHeight="1">
      <c r="A853" s="1"/>
      <c r="F853" s="9" t="str">
        <f>IF(C853&gt;0, C853/'Conversion rates'!$I$3, D853)</f>
        <v/>
      </c>
      <c r="G853" s="28">
        <f>F853*'Conversion rates'!$I$3</f>
        <v>0</v>
      </c>
      <c r="H853" s="28"/>
      <c r="I853" s="9">
        <f t="shared" si="1"/>
        <v>0</v>
      </c>
      <c r="J853" s="4">
        <f t="shared" si="2"/>
        <v>0</v>
      </c>
    </row>
    <row r="854" ht="15.75" customHeight="1">
      <c r="A854" s="1"/>
      <c r="F854" s="9" t="str">
        <f>IF(C854&gt;0, C854/'Conversion rates'!$I$3, D854)</f>
        <v/>
      </c>
      <c r="G854" s="28">
        <f>F854*'Conversion rates'!$I$3</f>
        <v>0</v>
      </c>
      <c r="H854" s="28"/>
      <c r="I854" s="9">
        <f t="shared" si="1"/>
        <v>0</v>
      </c>
      <c r="J854" s="4">
        <f t="shared" si="2"/>
        <v>0</v>
      </c>
    </row>
    <row r="855" ht="15.75" customHeight="1">
      <c r="A855" s="1"/>
      <c r="F855" s="9" t="str">
        <f>IF(C855&gt;0, C855/'Conversion rates'!$I$3, D855)</f>
        <v/>
      </c>
      <c r="G855" s="28">
        <f>F855*'Conversion rates'!$I$3</f>
        <v>0</v>
      </c>
      <c r="H855" s="28"/>
      <c r="I855" s="9">
        <f t="shared" si="1"/>
        <v>0</v>
      </c>
      <c r="J855" s="4">
        <f t="shared" si="2"/>
        <v>0</v>
      </c>
    </row>
    <row r="856" ht="15.75" customHeight="1">
      <c r="A856" s="1"/>
      <c r="F856" s="9" t="str">
        <f>IF(C856&gt;0, C856/'Conversion rates'!$I$3, D856)</f>
        <v/>
      </c>
      <c r="G856" s="28">
        <f>F856*'Conversion rates'!$I$3</f>
        <v>0</v>
      </c>
      <c r="H856" s="28"/>
      <c r="I856" s="9">
        <f t="shared" si="1"/>
        <v>0</v>
      </c>
      <c r="J856" s="4">
        <f t="shared" si="2"/>
        <v>0</v>
      </c>
    </row>
    <row r="857" ht="15.75" customHeight="1">
      <c r="A857" s="1"/>
      <c r="F857" s="9" t="str">
        <f>IF(C857&gt;0, C857/'Conversion rates'!$I$3, D857)</f>
        <v/>
      </c>
      <c r="G857" s="28">
        <f>F857*'Conversion rates'!$I$3</f>
        <v>0</v>
      </c>
      <c r="H857" s="28"/>
      <c r="I857" s="9">
        <f t="shared" si="1"/>
        <v>0</v>
      </c>
      <c r="J857" s="4">
        <f t="shared" si="2"/>
        <v>0</v>
      </c>
    </row>
    <row r="858" ht="15.75" customHeight="1">
      <c r="A858" s="1"/>
      <c r="F858" s="9" t="str">
        <f>IF(C858&gt;0, C858/'Conversion rates'!$I$3, D858)</f>
        <v/>
      </c>
      <c r="G858" s="28">
        <f>F858*'Conversion rates'!$I$3</f>
        <v>0</v>
      </c>
      <c r="H858" s="28"/>
      <c r="I858" s="9">
        <f t="shared" si="1"/>
        <v>0</v>
      </c>
      <c r="J858" s="4">
        <f t="shared" si="2"/>
        <v>0</v>
      </c>
    </row>
    <row r="859" ht="15.75" customHeight="1">
      <c r="A859" s="1"/>
      <c r="F859" s="9" t="str">
        <f>IF(C859&gt;0, C859/'Conversion rates'!$I$3, D859)</f>
        <v/>
      </c>
      <c r="G859" s="28">
        <f>F859*'Conversion rates'!$I$3</f>
        <v>0</v>
      </c>
      <c r="H859" s="28"/>
      <c r="I859" s="9">
        <f t="shared" si="1"/>
        <v>0</v>
      </c>
      <c r="J859" s="4">
        <f t="shared" si="2"/>
        <v>0</v>
      </c>
    </row>
    <row r="860" ht="15.75" customHeight="1">
      <c r="A860" s="1"/>
      <c r="F860" s="9" t="str">
        <f>IF(C860&gt;0, C860/'Conversion rates'!$I$3, D860)</f>
        <v/>
      </c>
      <c r="G860" s="28">
        <f>F860*'Conversion rates'!$I$3</f>
        <v>0</v>
      </c>
      <c r="H860" s="28"/>
      <c r="I860" s="9">
        <f t="shared" si="1"/>
        <v>0</v>
      </c>
      <c r="J860" s="4">
        <f t="shared" si="2"/>
        <v>0</v>
      </c>
    </row>
    <row r="861" ht="15.75" customHeight="1">
      <c r="A861" s="1"/>
      <c r="F861" s="9" t="str">
        <f>IF(C861&gt;0, C861/'Conversion rates'!$I$3, D861)</f>
        <v/>
      </c>
      <c r="G861" s="28">
        <f>F861*'Conversion rates'!$I$3</f>
        <v>0</v>
      </c>
      <c r="H861" s="28"/>
      <c r="I861" s="9">
        <f t="shared" si="1"/>
        <v>0</v>
      </c>
      <c r="J861" s="4">
        <f t="shared" si="2"/>
        <v>0</v>
      </c>
    </row>
    <row r="862" ht="15.75" customHeight="1">
      <c r="A862" s="1"/>
      <c r="F862" s="9" t="str">
        <f>IF(C862&gt;0, C862/'Conversion rates'!$I$3, D862)</f>
        <v/>
      </c>
      <c r="G862" s="28">
        <f>F862*'Conversion rates'!$I$3</f>
        <v>0</v>
      </c>
      <c r="H862" s="28"/>
      <c r="I862" s="9">
        <f t="shared" si="1"/>
        <v>0</v>
      </c>
      <c r="J862" s="4">
        <f t="shared" si="2"/>
        <v>0</v>
      </c>
    </row>
    <row r="863" ht="15.75" customHeight="1">
      <c r="A863" s="1"/>
      <c r="F863" s="9" t="str">
        <f>IF(C863&gt;0, C863/'Conversion rates'!$I$3, D863)</f>
        <v/>
      </c>
      <c r="G863" s="28">
        <f>F863*'Conversion rates'!$I$3</f>
        <v>0</v>
      </c>
      <c r="H863" s="28"/>
      <c r="I863" s="9">
        <f t="shared" si="1"/>
        <v>0</v>
      </c>
      <c r="J863" s="4">
        <f t="shared" si="2"/>
        <v>0</v>
      </c>
    </row>
    <row r="864" ht="15.75" customHeight="1">
      <c r="A864" s="1"/>
      <c r="F864" s="9" t="str">
        <f>IF(C864&gt;0, C864/'Conversion rates'!$I$3, D864)</f>
        <v/>
      </c>
      <c r="G864" s="28">
        <f>F864*'Conversion rates'!$I$3</f>
        <v>0</v>
      </c>
      <c r="H864" s="28"/>
      <c r="I864" s="9">
        <f t="shared" si="1"/>
        <v>0</v>
      </c>
      <c r="J864" s="4">
        <f t="shared" si="2"/>
        <v>0</v>
      </c>
    </row>
    <row r="865" ht="15.75" customHeight="1">
      <c r="A865" s="1"/>
      <c r="F865" s="9" t="str">
        <f>IF(C865&gt;0, C865/'Conversion rates'!$I$3, D865)</f>
        <v/>
      </c>
      <c r="G865" s="28">
        <f>F865*'Conversion rates'!$I$3</f>
        <v>0</v>
      </c>
      <c r="H865" s="28"/>
      <c r="I865" s="9">
        <f t="shared" si="1"/>
        <v>0</v>
      </c>
      <c r="J865" s="4">
        <f t="shared" si="2"/>
        <v>0</v>
      </c>
    </row>
    <row r="866" ht="15.75" customHeight="1">
      <c r="A866" s="1"/>
      <c r="F866" s="9" t="str">
        <f>IF(C866&gt;0, C866/'Conversion rates'!$I$3, D866)</f>
        <v/>
      </c>
      <c r="G866" s="28">
        <f>F866*'Conversion rates'!$I$3</f>
        <v>0</v>
      </c>
      <c r="H866" s="28"/>
      <c r="I866" s="9">
        <f t="shared" si="1"/>
        <v>0</v>
      </c>
      <c r="J866" s="4">
        <f t="shared" si="2"/>
        <v>0</v>
      </c>
    </row>
    <row r="867" ht="15.75" customHeight="1">
      <c r="A867" s="1"/>
      <c r="F867" s="9" t="str">
        <f>IF(C867&gt;0, C867/'Conversion rates'!$I$3, D867)</f>
        <v/>
      </c>
      <c r="G867" s="28">
        <f>F867*'Conversion rates'!$I$3</f>
        <v>0</v>
      </c>
      <c r="H867" s="28"/>
      <c r="I867" s="9">
        <f t="shared" si="1"/>
        <v>0</v>
      </c>
      <c r="J867" s="4">
        <f t="shared" si="2"/>
        <v>0</v>
      </c>
    </row>
    <row r="868" ht="15.75" customHeight="1">
      <c r="A868" s="1"/>
      <c r="F868" s="9" t="str">
        <f>IF(C868&gt;0, C868/'Conversion rates'!$I$3, D868)</f>
        <v/>
      </c>
      <c r="G868" s="28">
        <f>F868*'Conversion rates'!$I$3</f>
        <v>0</v>
      </c>
      <c r="H868" s="28"/>
      <c r="I868" s="9">
        <f t="shared" si="1"/>
        <v>0</v>
      </c>
      <c r="J868" s="4">
        <f t="shared" si="2"/>
        <v>0</v>
      </c>
    </row>
    <row r="869" ht="15.75" customHeight="1">
      <c r="A869" s="1"/>
      <c r="F869" s="9" t="str">
        <f>IF(C869&gt;0, C869/'Conversion rates'!$I$3, D869)</f>
        <v/>
      </c>
      <c r="G869" s="28">
        <f>F869*'Conversion rates'!$I$3</f>
        <v>0</v>
      </c>
      <c r="H869" s="28"/>
      <c r="I869" s="9">
        <f t="shared" si="1"/>
        <v>0</v>
      </c>
      <c r="J869" s="4">
        <f t="shared" si="2"/>
        <v>0</v>
      </c>
    </row>
    <row r="870" ht="15.75" customHeight="1">
      <c r="A870" s="1"/>
      <c r="F870" s="9" t="str">
        <f>IF(C870&gt;0, C870/'Conversion rates'!$I$3, D870)</f>
        <v/>
      </c>
      <c r="G870" s="28">
        <f>F870*'Conversion rates'!$I$3</f>
        <v>0</v>
      </c>
      <c r="H870" s="28"/>
      <c r="I870" s="9">
        <f t="shared" si="1"/>
        <v>0</v>
      </c>
      <c r="J870" s="4">
        <f t="shared" si="2"/>
        <v>0</v>
      </c>
    </row>
    <row r="871" ht="15.75" customHeight="1">
      <c r="A871" s="1"/>
      <c r="F871" s="9" t="str">
        <f>IF(C871&gt;0, C871/'Conversion rates'!$I$3, D871)</f>
        <v/>
      </c>
      <c r="G871" s="28">
        <f>F871*'Conversion rates'!$I$3</f>
        <v>0</v>
      </c>
      <c r="H871" s="28"/>
      <c r="I871" s="9">
        <f t="shared" si="1"/>
        <v>0</v>
      </c>
      <c r="J871" s="4">
        <f t="shared" si="2"/>
        <v>0</v>
      </c>
    </row>
    <row r="872" ht="15.75" customHeight="1">
      <c r="A872" s="1"/>
      <c r="F872" s="9" t="str">
        <f>IF(C872&gt;0, C872/'Conversion rates'!$I$3, D872)</f>
        <v/>
      </c>
      <c r="G872" s="28">
        <f>F872*'Conversion rates'!$I$3</f>
        <v>0</v>
      </c>
      <c r="H872" s="28"/>
      <c r="I872" s="9">
        <f t="shared" si="1"/>
        <v>0</v>
      </c>
      <c r="J872" s="4">
        <f t="shared" si="2"/>
        <v>0</v>
      </c>
    </row>
    <row r="873" ht="15.75" customHeight="1">
      <c r="A873" s="1"/>
      <c r="F873" s="9" t="str">
        <f>IF(C873&gt;0, C873/'Conversion rates'!$I$3, D873)</f>
        <v/>
      </c>
      <c r="G873" s="28">
        <f>F873*'Conversion rates'!$I$3</f>
        <v>0</v>
      </c>
      <c r="H873" s="28"/>
      <c r="I873" s="9">
        <f t="shared" si="1"/>
        <v>0</v>
      </c>
      <c r="J873" s="4">
        <f t="shared" si="2"/>
        <v>0</v>
      </c>
    </row>
    <row r="874" ht="15.75" customHeight="1">
      <c r="A874" s="1"/>
      <c r="F874" s="9" t="str">
        <f>IF(C874&gt;0, C874/'Conversion rates'!$I$3, D874)</f>
        <v/>
      </c>
      <c r="G874" s="28">
        <f>F874*'Conversion rates'!$I$3</f>
        <v>0</v>
      </c>
      <c r="H874" s="28"/>
      <c r="I874" s="9">
        <f t="shared" si="1"/>
        <v>0</v>
      </c>
      <c r="J874" s="4">
        <f t="shared" si="2"/>
        <v>0</v>
      </c>
    </row>
    <row r="875" ht="15.75" customHeight="1">
      <c r="A875" s="1"/>
      <c r="F875" s="9" t="str">
        <f>IF(C875&gt;0, C875/'Conversion rates'!$I$3, D875)</f>
        <v/>
      </c>
      <c r="G875" s="28">
        <f>F875*'Conversion rates'!$I$3</f>
        <v>0</v>
      </c>
      <c r="H875" s="28"/>
      <c r="I875" s="9">
        <f t="shared" si="1"/>
        <v>0</v>
      </c>
      <c r="J875" s="4">
        <f t="shared" si="2"/>
        <v>0</v>
      </c>
    </row>
    <row r="876" ht="15.75" customHeight="1">
      <c r="A876" s="1"/>
      <c r="F876" s="9" t="str">
        <f>IF(C876&gt;0, C876/'Conversion rates'!$I$3, D876)</f>
        <v/>
      </c>
      <c r="G876" s="28">
        <f>F876*'Conversion rates'!$I$3</f>
        <v>0</v>
      </c>
      <c r="H876" s="28"/>
      <c r="I876" s="9">
        <f t="shared" si="1"/>
        <v>0</v>
      </c>
      <c r="J876" s="4">
        <f t="shared" si="2"/>
        <v>0</v>
      </c>
    </row>
    <row r="877" ht="15.75" customHeight="1">
      <c r="A877" s="1"/>
      <c r="F877" s="9" t="str">
        <f>IF(C877&gt;0, C877/'Conversion rates'!$I$3, D877)</f>
        <v/>
      </c>
      <c r="G877" s="28">
        <f>F877*'Conversion rates'!$I$3</f>
        <v>0</v>
      </c>
      <c r="H877" s="28"/>
      <c r="I877" s="9">
        <f t="shared" si="1"/>
        <v>0</v>
      </c>
      <c r="J877" s="4">
        <f t="shared" si="2"/>
        <v>0</v>
      </c>
    </row>
    <row r="878" ht="15.75" customHeight="1">
      <c r="A878" s="1"/>
      <c r="F878" s="9" t="str">
        <f>IF(C878&gt;0, C878/'Conversion rates'!$I$3, D878)</f>
        <v/>
      </c>
      <c r="G878" s="28">
        <f>F878*'Conversion rates'!$I$3</f>
        <v>0</v>
      </c>
      <c r="H878" s="28"/>
      <c r="I878" s="9">
        <f t="shared" si="1"/>
        <v>0</v>
      </c>
      <c r="J878" s="4">
        <f t="shared" si="2"/>
        <v>0</v>
      </c>
    </row>
    <row r="879" ht="15.75" customHeight="1">
      <c r="A879" s="1"/>
      <c r="F879" s="9" t="str">
        <f>IF(C879&gt;0, C879/'Conversion rates'!$I$3, D879)</f>
        <v/>
      </c>
      <c r="G879" s="28">
        <f>F879*'Conversion rates'!$I$3</f>
        <v>0</v>
      </c>
      <c r="H879" s="28"/>
      <c r="I879" s="9">
        <f t="shared" si="1"/>
        <v>0</v>
      </c>
      <c r="J879" s="4">
        <f t="shared" si="2"/>
        <v>0</v>
      </c>
    </row>
    <row r="880" ht="15.75" customHeight="1">
      <c r="A880" s="1"/>
      <c r="F880" s="9" t="str">
        <f>IF(C880&gt;0, C880/'Conversion rates'!$I$3, D880)</f>
        <v/>
      </c>
      <c r="G880" s="28">
        <f>F880*'Conversion rates'!$I$3</f>
        <v>0</v>
      </c>
      <c r="H880" s="28"/>
      <c r="I880" s="9">
        <f t="shared" si="1"/>
        <v>0</v>
      </c>
      <c r="J880" s="4">
        <f t="shared" si="2"/>
        <v>0</v>
      </c>
    </row>
    <row r="881" ht="15.75" customHeight="1">
      <c r="A881" s="1"/>
      <c r="F881" s="9" t="str">
        <f>IF(C881&gt;0, C881/'Conversion rates'!$I$3, D881)</f>
        <v/>
      </c>
      <c r="G881" s="28">
        <f>F881*'Conversion rates'!$I$3</f>
        <v>0</v>
      </c>
      <c r="H881" s="28"/>
      <c r="I881" s="9">
        <f t="shared" si="1"/>
        <v>0</v>
      </c>
      <c r="J881" s="4">
        <f t="shared" si="2"/>
        <v>0</v>
      </c>
    </row>
    <row r="882" ht="15.75" customHeight="1">
      <c r="A882" s="1"/>
      <c r="F882" s="9" t="str">
        <f>IF(C882&gt;0, C882/'Conversion rates'!$I$3, D882)</f>
        <v/>
      </c>
      <c r="G882" s="28">
        <f>F882*'Conversion rates'!$I$3</f>
        <v>0</v>
      </c>
      <c r="H882" s="28"/>
      <c r="I882" s="9">
        <f t="shared" si="1"/>
        <v>0</v>
      </c>
      <c r="J882" s="4">
        <f t="shared" si="2"/>
        <v>0</v>
      </c>
    </row>
    <row r="883" ht="15.75" customHeight="1">
      <c r="A883" s="1"/>
      <c r="F883" s="9" t="str">
        <f>IF(C883&gt;0, C883/'Conversion rates'!$I$3, D883)</f>
        <v/>
      </c>
      <c r="G883" s="28">
        <f>F883*'Conversion rates'!$I$3</f>
        <v>0</v>
      </c>
      <c r="H883" s="28"/>
      <c r="I883" s="9">
        <f t="shared" si="1"/>
        <v>0</v>
      </c>
      <c r="J883" s="4">
        <f t="shared" si="2"/>
        <v>0</v>
      </c>
    </row>
    <row r="884" ht="15.75" customHeight="1">
      <c r="A884" s="1"/>
      <c r="F884" s="9" t="str">
        <f>IF(C884&gt;0, C884/'Conversion rates'!$I$3, D884)</f>
        <v/>
      </c>
      <c r="G884" s="28">
        <f>F884*'Conversion rates'!$I$3</f>
        <v>0</v>
      </c>
      <c r="H884" s="28"/>
      <c r="I884" s="9">
        <f t="shared" si="1"/>
        <v>0</v>
      </c>
      <c r="J884" s="4">
        <f t="shared" si="2"/>
        <v>0</v>
      </c>
    </row>
    <row r="885" ht="15.75" customHeight="1">
      <c r="A885" s="1"/>
      <c r="F885" s="9" t="str">
        <f>IF(C885&gt;0, C885/'Conversion rates'!$I$3, D885)</f>
        <v/>
      </c>
      <c r="G885" s="28">
        <f>F885*'Conversion rates'!$I$3</f>
        <v>0</v>
      </c>
      <c r="H885" s="28"/>
      <c r="I885" s="9">
        <f t="shared" si="1"/>
        <v>0</v>
      </c>
      <c r="J885" s="4">
        <f t="shared" si="2"/>
        <v>0</v>
      </c>
    </row>
    <row r="886" ht="15.75" customHeight="1">
      <c r="A886" s="1"/>
      <c r="F886" s="9" t="str">
        <f>IF(C886&gt;0, C886/'Conversion rates'!$I$3, D886)</f>
        <v/>
      </c>
      <c r="G886" s="28">
        <f>F886*'Conversion rates'!$I$3</f>
        <v>0</v>
      </c>
      <c r="H886" s="28"/>
      <c r="I886" s="9">
        <f t="shared" si="1"/>
        <v>0</v>
      </c>
      <c r="J886" s="4">
        <f t="shared" si="2"/>
        <v>0</v>
      </c>
    </row>
    <row r="887" ht="15.75" customHeight="1">
      <c r="A887" s="1"/>
      <c r="F887" s="9" t="str">
        <f>IF(C887&gt;0, C887/'Conversion rates'!$I$3, D887)</f>
        <v/>
      </c>
      <c r="G887" s="28">
        <f>F887*'Conversion rates'!$I$3</f>
        <v>0</v>
      </c>
      <c r="H887" s="28"/>
      <c r="I887" s="9">
        <f t="shared" si="1"/>
        <v>0</v>
      </c>
      <c r="J887" s="4">
        <f t="shared" si="2"/>
        <v>0</v>
      </c>
    </row>
    <row r="888" ht="15.75" customHeight="1">
      <c r="A888" s="1"/>
      <c r="F888" s="9" t="str">
        <f>IF(C888&gt;0, C888/'Conversion rates'!$I$3, D888)</f>
        <v/>
      </c>
      <c r="G888" s="28">
        <f>F888*'Conversion rates'!$I$3</f>
        <v>0</v>
      </c>
      <c r="H888" s="28"/>
      <c r="I888" s="9">
        <f t="shared" si="1"/>
        <v>0</v>
      </c>
      <c r="J888" s="4">
        <f t="shared" si="2"/>
        <v>0</v>
      </c>
    </row>
    <row r="889" ht="15.75" customHeight="1">
      <c r="A889" s="1"/>
      <c r="F889" s="9" t="str">
        <f>IF(C889&gt;0, C889/'Conversion rates'!$I$3, D889)</f>
        <v/>
      </c>
      <c r="G889" s="28">
        <f>F889*'Conversion rates'!$I$3</f>
        <v>0</v>
      </c>
      <c r="H889" s="28"/>
      <c r="I889" s="9">
        <f t="shared" si="1"/>
        <v>0</v>
      </c>
      <c r="J889" s="4">
        <f t="shared" si="2"/>
        <v>0</v>
      </c>
    </row>
    <row r="890" ht="15.75" customHeight="1">
      <c r="A890" s="1"/>
      <c r="F890" s="9" t="str">
        <f>IF(C890&gt;0, C890/'Conversion rates'!$I$3, D890)</f>
        <v/>
      </c>
      <c r="G890" s="28">
        <f>F890*'Conversion rates'!$I$3</f>
        <v>0</v>
      </c>
      <c r="H890" s="28"/>
      <c r="I890" s="9">
        <f t="shared" si="1"/>
        <v>0</v>
      </c>
      <c r="J890" s="4">
        <f t="shared" si="2"/>
        <v>0</v>
      </c>
    </row>
    <row r="891" ht="15.75" customHeight="1">
      <c r="A891" s="1"/>
      <c r="F891" s="9" t="str">
        <f>IF(C891&gt;0, C891/'Conversion rates'!$I$3, D891)</f>
        <v/>
      </c>
      <c r="G891" s="28">
        <f>F891*'Conversion rates'!$I$3</f>
        <v>0</v>
      </c>
      <c r="H891" s="28"/>
      <c r="I891" s="9">
        <f t="shared" si="1"/>
        <v>0</v>
      </c>
      <c r="J891" s="4">
        <f t="shared" si="2"/>
        <v>0</v>
      </c>
    </row>
    <row r="892" ht="15.75" customHeight="1">
      <c r="A892" s="1"/>
      <c r="F892" s="9" t="str">
        <f>IF(C892&gt;0, C892/'Conversion rates'!$I$3, D892)</f>
        <v/>
      </c>
      <c r="G892" s="28">
        <f>F892*'Conversion rates'!$I$3</f>
        <v>0</v>
      </c>
      <c r="H892" s="28"/>
      <c r="I892" s="9">
        <f t="shared" si="1"/>
        <v>0</v>
      </c>
      <c r="J892" s="4">
        <f t="shared" si="2"/>
        <v>0</v>
      </c>
    </row>
    <row r="893" ht="15.75" customHeight="1">
      <c r="A893" s="1"/>
      <c r="F893" s="9" t="str">
        <f>IF(C893&gt;0, C893/'Conversion rates'!$I$3, D893)</f>
        <v/>
      </c>
      <c r="G893" s="28">
        <f>F893*'Conversion rates'!$I$3</f>
        <v>0</v>
      </c>
      <c r="H893" s="28"/>
      <c r="I893" s="9">
        <f t="shared" si="1"/>
        <v>0</v>
      </c>
      <c r="J893" s="4">
        <f t="shared" si="2"/>
        <v>0</v>
      </c>
    </row>
    <row r="894" ht="15.75" customHeight="1">
      <c r="A894" s="1"/>
      <c r="F894" s="9" t="str">
        <f>IF(C894&gt;0, C894/'Conversion rates'!$I$3, D894)</f>
        <v/>
      </c>
      <c r="G894" s="28">
        <f>F894*'Conversion rates'!$I$3</f>
        <v>0</v>
      </c>
      <c r="H894" s="28"/>
      <c r="I894" s="9">
        <f t="shared" si="1"/>
        <v>0</v>
      </c>
      <c r="J894" s="4">
        <f t="shared" si="2"/>
        <v>0</v>
      </c>
    </row>
    <row r="895" ht="15.75" customHeight="1">
      <c r="A895" s="1"/>
      <c r="F895" s="9" t="str">
        <f>IF(C895&gt;0, C895/'Conversion rates'!$I$3, D895)</f>
        <v/>
      </c>
      <c r="G895" s="28">
        <f>F895*'Conversion rates'!$I$3</f>
        <v>0</v>
      </c>
      <c r="H895" s="28"/>
      <c r="I895" s="9">
        <f t="shared" si="1"/>
        <v>0</v>
      </c>
      <c r="J895" s="4">
        <f t="shared" si="2"/>
        <v>0</v>
      </c>
    </row>
    <row r="896" ht="15.75" customHeight="1">
      <c r="A896" s="1"/>
      <c r="F896" s="9" t="str">
        <f>IF(C896&gt;0, C896/'Conversion rates'!$I$3, D896)</f>
        <v/>
      </c>
      <c r="G896" s="28">
        <f>F896*'Conversion rates'!$I$3</f>
        <v>0</v>
      </c>
      <c r="H896" s="28"/>
      <c r="I896" s="9">
        <f t="shared" si="1"/>
        <v>0</v>
      </c>
      <c r="J896" s="4">
        <f t="shared" si="2"/>
        <v>0</v>
      </c>
    </row>
    <row r="897" ht="15.75" customHeight="1">
      <c r="A897" s="1"/>
      <c r="F897" s="9" t="str">
        <f>IF(C897&gt;0, C897/'Conversion rates'!$I$3, D897)</f>
        <v/>
      </c>
      <c r="G897" s="28">
        <f>F897*'Conversion rates'!$I$3</f>
        <v>0</v>
      </c>
      <c r="H897" s="28"/>
      <c r="I897" s="9">
        <f t="shared" si="1"/>
        <v>0</v>
      </c>
      <c r="J897" s="4">
        <f t="shared" si="2"/>
        <v>0</v>
      </c>
    </row>
    <row r="898" ht="15.75" customHeight="1">
      <c r="A898" s="1"/>
      <c r="F898" s="9" t="str">
        <f>IF(C898&gt;0, C898/'Conversion rates'!$I$3, D898)</f>
        <v/>
      </c>
      <c r="G898" s="28">
        <f>F898*'Conversion rates'!$I$3</f>
        <v>0</v>
      </c>
      <c r="H898" s="28"/>
      <c r="I898" s="9">
        <f t="shared" si="1"/>
        <v>0</v>
      </c>
      <c r="J898" s="4">
        <f t="shared" si="2"/>
        <v>0</v>
      </c>
    </row>
    <row r="899" ht="15.75" customHeight="1">
      <c r="A899" s="1"/>
      <c r="F899" s="9" t="str">
        <f>IF(C899&gt;0, C899/'Conversion rates'!$I$3, D899)</f>
        <v/>
      </c>
      <c r="G899" s="28">
        <f>F899*'Conversion rates'!$I$3</f>
        <v>0</v>
      </c>
      <c r="H899" s="28"/>
      <c r="I899" s="9">
        <f t="shared" si="1"/>
        <v>0</v>
      </c>
      <c r="J899" s="4">
        <f t="shared" si="2"/>
        <v>0</v>
      </c>
    </row>
    <row r="900" ht="15.75" customHeight="1">
      <c r="A900" s="1"/>
      <c r="F900" s="9" t="str">
        <f>IF(C900&gt;0, C900/'Conversion rates'!$I$3, D900)</f>
        <v/>
      </c>
      <c r="G900" s="28">
        <f>F900*'Conversion rates'!$I$3</f>
        <v>0</v>
      </c>
      <c r="H900" s="28"/>
      <c r="I900" s="9">
        <f t="shared" si="1"/>
        <v>0</v>
      </c>
      <c r="J900" s="4">
        <f t="shared" si="2"/>
        <v>0</v>
      </c>
    </row>
    <row r="901" ht="15.75" customHeight="1">
      <c r="A901" s="1"/>
      <c r="F901" s="9" t="str">
        <f>IF(C901&gt;0, C901/'Conversion rates'!$I$3, D901)</f>
        <v/>
      </c>
      <c r="G901" s="28">
        <f>F901*'Conversion rates'!$I$3</f>
        <v>0</v>
      </c>
      <c r="H901" s="28"/>
      <c r="I901" s="9">
        <f t="shared" si="1"/>
        <v>0</v>
      </c>
      <c r="J901" s="4">
        <f t="shared" si="2"/>
        <v>0</v>
      </c>
    </row>
    <row r="902" ht="15.75" customHeight="1">
      <c r="A902" s="1"/>
      <c r="F902" s="9" t="str">
        <f>IF(C902&gt;0, C902/'Conversion rates'!$I$3, D902)</f>
        <v/>
      </c>
      <c r="G902" s="28">
        <f>F902*'Conversion rates'!$I$3</f>
        <v>0</v>
      </c>
      <c r="H902" s="28"/>
      <c r="I902" s="9">
        <f t="shared" si="1"/>
        <v>0</v>
      </c>
      <c r="J902" s="4">
        <f t="shared" si="2"/>
        <v>0</v>
      </c>
    </row>
    <row r="903" ht="15.75" customHeight="1">
      <c r="A903" s="1"/>
      <c r="F903" s="9" t="str">
        <f>IF(C903&gt;0, C903/'Conversion rates'!$I$3, D903)</f>
        <v/>
      </c>
      <c r="G903" s="28">
        <f>F903*'Conversion rates'!$I$3</f>
        <v>0</v>
      </c>
      <c r="H903" s="28"/>
      <c r="I903" s="9">
        <f t="shared" si="1"/>
        <v>0</v>
      </c>
      <c r="J903" s="4">
        <f t="shared" si="2"/>
        <v>0</v>
      </c>
    </row>
    <row r="904" ht="15.75" customHeight="1">
      <c r="A904" s="1"/>
      <c r="F904" s="9" t="str">
        <f>IF(C904&gt;0, C904/'Conversion rates'!$I$3, D904)</f>
        <v/>
      </c>
      <c r="G904" s="28">
        <f>F904*'Conversion rates'!$I$3</f>
        <v>0</v>
      </c>
      <c r="H904" s="28"/>
      <c r="I904" s="9">
        <f t="shared" si="1"/>
        <v>0</v>
      </c>
      <c r="J904" s="4">
        <f t="shared" si="2"/>
        <v>0</v>
      </c>
    </row>
    <row r="905" ht="15.75" customHeight="1">
      <c r="A905" s="1"/>
      <c r="F905" s="9" t="str">
        <f>IF(C905&gt;0, C905/'Conversion rates'!$I$3, D905)</f>
        <v/>
      </c>
      <c r="G905" s="28">
        <f>F905*'Conversion rates'!$I$3</f>
        <v>0</v>
      </c>
      <c r="H905" s="28"/>
      <c r="I905" s="9">
        <f t="shared" si="1"/>
        <v>0</v>
      </c>
      <c r="J905" s="4">
        <f t="shared" si="2"/>
        <v>0</v>
      </c>
    </row>
    <row r="906" ht="15.75" customHeight="1">
      <c r="A906" s="1"/>
      <c r="F906" s="9" t="str">
        <f>IF(C906&gt;0, C906/'Conversion rates'!$I$3, D906)</f>
        <v/>
      </c>
      <c r="G906" s="28">
        <f>F906*'Conversion rates'!$I$3</f>
        <v>0</v>
      </c>
      <c r="H906" s="28"/>
      <c r="I906" s="9">
        <f t="shared" si="1"/>
        <v>0</v>
      </c>
      <c r="J906" s="4">
        <f t="shared" si="2"/>
        <v>0</v>
      </c>
    </row>
    <row r="907" ht="15.75" customHeight="1">
      <c r="A907" s="1"/>
      <c r="F907" s="9" t="str">
        <f>IF(C907&gt;0, C907/'Conversion rates'!$I$3, D907)</f>
        <v/>
      </c>
      <c r="G907" s="28">
        <f>F907*'Conversion rates'!$I$3</f>
        <v>0</v>
      </c>
      <c r="H907" s="28"/>
      <c r="I907" s="9">
        <f t="shared" si="1"/>
        <v>0</v>
      </c>
      <c r="J907" s="4">
        <f t="shared" si="2"/>
        <v>0</v>
      </c>
    </row>
    <row r="908" ht="15.75" customHeight="1">
      <c r="A908" s="1"/>
      <c r="F908" s="9" t="str">
        <f>IF(C908&gt;0, C908/'Conversion rates'!$I$3, D908)</f>
        <v/>
      </c>
      <c r="G908" s="28">
        <f>F908*'Conversion rates'!$I$3</f>
        <v>0</v>
      </c>
      <c r="H908" s="28"/>
      <c r="I908" s="9">
        <f t="shared" si="1"/>
        <v>0</v>
      </c>
      <c r="J908" s="4">
        <f t="shared" si="2"/>
        <v>0</v>
      </c>
    </row>
    <row r="909" ht="15.75" customHeight="1">
      <c r="A909" s="1"/>
      <c r="F909" s="9" t="str">
        <f>IF(C909&gt;0, C909/'Conversion rates'!$I$3, D909)</f>
        <v/>
      </c>
      <c r="G909" s="28">
        <f>F909*'Conversion rates'!$I$3</f>
        <v>0</v>
      </c>
      <c r="H909" s="28"/>
      <c r="I909" s="9">
        <f t="shared" si="1"/>
        <v>0</v>
      </c>
      <c r="J909" s="4">
        <f t="shared" si="2"/>
        <v>0</v>
      </c>
    </row>
    <row r="910" ht="15.75" customHeight="1">
      <c r="A910" s="1"/>
      <c r="F910" s="9" t="str">
        <f>IF(C910&gt;0, C910/'Conversion rates'!$I$3, D910)</f>
        <v/>
      </c>
      <c r="G910" s="28">
        <f>F910*'Conversion rates'!$I$3</f>
        <v>0</v>
      </c>
      <c r="H910" s="28"/>
      <c r="I910" s="9">
        <f t="shared" si="1"/>
        <v>0</v>
      </c>
      <c r="J910" s="4">
        <f t="shared" si="2"/>
        <v>0</v>
      </c>
    </row>
    <row r="911" ht="15.75" customHeight="1">
      <c r="A911" s="1"/>
      <c r="F911" s="9" t="str">
        <f>IF(C911&gt;0, C911/'Conversion rates'!$I$3, D911)</f>
        <v/>
      </c>
      <c r="G911" s="28">
        <f>F911*'Conversion rates'!$I$3</f>
        <v>0</v>
      </c>
      <c r="H911" s="28"/>
      <c r="I911" s="9">
        <f t="shared" si="1"/>
        <v>0</v>
      </c>
      <c r="J911" s="4">
        <f t="shared" si="2"/>
        <v>0</v>
      </c>
    </row>
    <row r="912" ht="15.75" customHeight="1">
      <c r="A912" s="1"/>
      <c r="F912" s="9" t="str">
        <f>IF(C912&gt;0, C912/'Conversion rates'!$I$3, D912)</f>
        <v/>
      </c>
      <c r="G912" s="28">
        <f>F912*'Conversion rates'!$I$3</f>
        <v>0</v>
      </c>
      <c r="H912" s="28"/>
      <c r="I912" s="9">
        <f t="shared" si="1"/>
        <v>0</v>
      </c>
      <c r="J912" s="4">
        <f t="shared" si="2"/>
        <v>0</v>
      </c>
    </row>
    <row r="913" ht="15.75" customHeight="1">
      <c r="A913" s="1"/>
      <c r="F913" s="9" t="str">
        <f>IF(C913&gt;0, C913/'Conversion rates'!$I$3, D913)</f>
        <v/>
      </c>
      <c r="G913" s="28">
        <f>F913*'Conversion rates'!$I$3</f>
        <v>0</v>
      </c>
      <c r="H913" s="28"/>
      <c r="I913" s="9">
        <f t="shared" si="1"/>
        <v>0</v>
      </c>
      <c r="J913" s="4">
        <f t="shared" si="2"/>
        <v>0</v>
      </c>
    </row>
    <row r="914" ht="15.75" customHeight="1">
      <c r="A914" s="1"/>
      <c r="F914" s="9" t="str">
        <f>IF(C914&gt;0, C914/'Conversion rates'!$I$3, D914)</f>
        <v/>
      </c>
      <c r="G914" s="28">
        <f>F914*'Conversion rates'!$I$3</f>
        <v>0</v>
      </c>
      <c r="H914" s="28"/>
      <c r="I914" s="9">
        <f t="shared" si="1"/>
        <v>0</v>
      </c>
      <c r="J914" s="4">
        <f t="shared" si="2"/>
        <v>0</v>
      </c>
    </row>
    <row r="915" ht="15.75" customHeight="1">
      <c r="A915" s="1"/>
      <c r="F915" s="9" t="str">
        <f>IF(C915&gt;0, C915/'Conversion rates'!$I$3, D915)</f>
        <v/>
      </c>
      <c r="G915" s="28">
        <f>F915*'Conversion rates'!$I$3</f>
        <v>0</v>
      </c>
      <c r="H915" s="28"/>
      <c r="I915" s="9">
        <f t="shared" si="1"/>
        <v>0</v>
      </c>
      <c r="J915" s="4">
        <f t="shared" si="2"/>
        <v>0</v>
      </c>
    </row>
    <row r="916" ht="15.75" customHeight="1">
      <c r="A916" s="1"/>
      <c r="F916" s="9" t="str">
        <f>IF(C916&gt;0, C916/'Conversion rates'!$I$3, D916)</f>
        <v/>
      </c>
      <c r="G916" s="28">
        <f>F916*'Conversion rates'!$I$3</f>
        <v>0</v>
      </c>
      <c r="H916" s="28"/>
      <c r="I916" s="9">
        <f t="shared" si="1"/>
        <v>0</v>
      </c>
      <c r="J916" s="4">
        <f t="shared" si="2"/>
        <v>0</v>
      </c>
    </row>
    <row r="917" ht="15.75" customHeight="1">
      <c r="A917" s="1"/>
      <c r="F917" s="9" t="str">
        <f>IF(C917&gt;0, C917/'Conversion rates'!$I$3, D917)</f>
        <v/>
      </c>
      <c r="G917" s="28">
        <f>F917*'Conversion rates'!$I$3</f>
        <v>0</v>
      </c>
      <c r="H917" s="28"/>
      <c r="I917" s="9">
        <f t="shared" si="1"/>
        <v>0</v>
      </c>
      <c r="J917" s="4">
        <f t="shared" si="2"/>
        <v>0</v>
      </c>
    </row>
    <row r="918" ht="15.75" customHeight="1">
      <c r="A918" s="1"/>
      <c r="F918" s="9" t="str">
        <f>IF(C918&gt;0, C918/'Conversion rates'!$I$3, D918)</f>
        <v/>
      </c>
      <c r="G918" s="28">
        <f>F918*'Conversion rates'!$I$3</f>
        <v>0</v>
      </c>
      <c r="H918" s="28"/>
      <c r="I918" s="9">
        <f t="shared" si="1"/>
        <v>0</v>
      </c>
      <c r="J918" s="4">
        <f t="shared" si="2"/>
        <v>0</v>
      </c>
    </row>
    <row r="919" ht="15.75" customHeight="1">
      <c r="A919" s="1"/>
      <c r="F919" s="9" t="str">
        <f>IF(C919&gt;0, C919/'Conversion rates'!$I$3, D919)</f>
        <v/>
      </c>
      <c r="G919" s="28">
        <f>F919*'Conversion rates'!$I$3</f>
        <v>0</v>
      </c>
      <c r="H919" s="28"/>
      <c r="I919" s="9">
        <f t="shared" si="1"/>
        <v>0</v>
      </c>
      <c r="J919" s="4">
        <f t="shared" si="2"/>
        <v>0</v>
      </c>
    </row>
    <row r="920" ht="15.75" customHeight="1">
      <c r="A920" s="1"/>
      <c r="F920" s="9" t="str">
        <f>IF(C920&gt;0, C920/'Conversion rates'!$I$3, D920)</f>
        <v/>
      </c>
      <c r="G920" s="28">
        <f>F920*'Conversion rates'!$I$3</f>
        <v>0</v>
      </c>
      <c r="H920" s="28"/>
      <c r="I920" s="9">
        <f t="shared" si="1"/>
        <v>0</v>
      </c>
      <c r="J920" s="4">
        <f t="shared" si="2"/>
        <v>0</v>
      </c>
    </row>
    <row r="921" ht="15.75" customHeight="1">
      <c r="A921" s="1"/>
      <c r="F921" s="9" t="str">
        <f>IF(C921&gt;0, C921/'Conversion rates'!$I$3, D921)</f>
        <v/>
      </c>
      <c r="G921" s="28">
        <f>F921*'Conversion rates'!$I$3</f>
        <v>0</v>
      </c>
      <c r="H921" s="28"/>
      <c r="I921" s="9">
        <f t="shared" si="1"/>
        <v>0</v>
      </c>
      <c r="J921" s="4">
        <f t="shared" si="2"/>
        <v>0</v>
      </c>
    </row>
    <row r="922" ht="15.75" customHeight="1">
      <c r="A922" s="1"/>
      <c r="F922" s="9" t="str">
        <f>IF(C922&gt;0, C922/'Conversion rates'!$I$3, D922)</f>
        <v/>
      </c>
      <c r="G922" s="28">
        <f>F922*'Conversion rates'!$I$3</f>
        <v>0</v>
      </c>
      <c r="H922" s="28"/>
      <c r="I922" s="9">
        <f t="shared" si="1"/>
        <v>0</v>
      </c>
      <c r="J922" s="4">
        <f t="shared" si="2"/>
        <v>0</v>
      </c>
    </row>
    <row r="923" ht="15.75" customHeight="1">
      <c r="A923" s="1"/>
      <c r="F923" s="9" t="str">
        <f>IF(C923&gt;0, C923/'Conversion rates'!$I$3, D923)</f>
        <v/>
      </c>
      <c r="G923" s="28">
        <f>F923*'Conversion rates'!$I$3</f>
        <v>0</v>
      </c>
      <c r="H923" s="28"/>
      <c r="I923" s="9">
        <f t="shared" si="1"/>
        <v>0</v>
      </c>
      <c r="J923" s="4">
        <f t="shared" si="2"/>
        <v>0</v>
      </c>
    </row>
    <row r="924" ht="15.75" customHeight="1">
      <c r="A924" s="1"/>
      <c r="F924" s="9" t="str">
        <f>IF(C924&gt;0, C924/'Conversion rates'!$I$3, D924)</f>
        <v/>
      </c>
      <c r="G924" s="28">
        <f>F924*'Conversion rates'!$I$3</f>
        <v>0</v>
      </c>
      <c r="H924" s="28"/>
      <c r="I924" s="9">
        <f t="shared" si="1"/>
        <v>0</v>
      </c>
      <c r="J924" s="4">
        <f t="shared" si="2"/>
        <v>0</v>
      </c>
    </row>
    <row r="925" ht="15.75" customHeight="1">
      <c r="A925" s="1"/>
      <c r="F925" s="9" t="str">
        <f>IF(C925&gt;0, C925/'Conversion rates'!$I$3, D925)</f>
        <v/>
      </c>
      <c r="G925" s="28">
        <f>F925*'Conversion rates'!$I$3</f>
        <v>0</v>
      </c>
      <c r="H925" s="28"/>
      <c r="I925" s="9">
        <f t="shared" si="1"/>
        <v>0</v>
      </c>
      <c r="J925" s="4">
        <f t="shared" si="2"/>
        <v>0</v>
      </c>
    </row>
    <row r="926" ht="15.75" customHeight="1">
      <c r="A926" s="1"/>
      <c r="F926" s="9" t="str">
        <f>IF(C926&gt;0, C926/'Conversion rates'!$I$3, D926)</f>
        <v/>
      </c>
      <c r="G926" s="28">
        <f>F926*'Conversion rates'!$I$3</f>
        <v>0</v>
      </c>
      <c r="H926" s="28"/>
      <c r="I926" s="9">
        <f t="shared" si="1"/>
        <v>0</v>
      </c>
      <c r="J926" s="4">
        <f t="shared" si="2"/>
        <v>0</v>
      </c>
    </row>
    <row r="927" ht="15.75" customHeight="1">
      <c r="A927" s="1"/>
      <c r="F927" s="9" t="str">
        <f>IF(C927&gt;0, C927/'Conversion rates'!$I$3, D927)</f>
        <v/>
      </c>
      <c r="G927" s="28">
        <f>F927*'Conversion rates'!$I$3</f>
        <v>0</v>
      </c>
      <c r="H927" s="28"/>
      <c r="I927" s="9">
        <f t="shared" si="1"/>
        <v>0</v>
      </c>
      <c r="J927" s="4">
        <f t="shared" si="2"/>
        <v>0</v>
      </c>
    </row>
    <row r="928" ht="15.75" customHeight="1">
      <c r="A928" s="1"/>
      <c r="F928" s="9" t="str">
        <f>IF(C928&gt;0, C928/'Conversion rates'!$I$3, D928)</f>
        <v/>
      </c>
      <c r="G928" s="28">
        <f>F928*'Conversion rates'!$I$3</f>
        <v>0</v>
      </c>
      <c r="H928" s="28"/>
      <c r="I928" s="9">
        <f t="shared" si="1"/>
        <v>0</v>
      </c>
      <c r="J928" s="4">
        <f t="shared" si="2"/>
        <v>0</v>
      </c>
    </row>
    <row r="929" ht="15.75" customHeight="1">
      <c r="A929" s="1"/>
      <c r="F929" s="9" t="str">
        <f>IF(C929&gt;0, C929/'Conversion rates'!$I$3, D929)</f>
        <v/>
      </c>
      <c r="G929" s="28">
        <f>F929*'Conversion rates'!$I$3</f>
        <v>0</v>
      </c>
      <c r="H929" s="28"/>
      <c r="I929" s="9">
        <f t="shared" si="1"/>
        <v>0</v>
      </c>
      <c r="J929" s="4">
        <f t="shared" si="2"/>
        <v>0</v>
      </c>
    </row>
    <row r="930" ht="15.75" customHeight="1">
      <c r="A930" s="1"/>
      <c r="F930" s="9" t="str">
        <f>IF(C930&gt;0, C930/'Conversion rates'!$I$3, D930)</f>
        <v/>
      </c>
      <c r="G930" s="28">
        <f>F930*'Conversion rates'!$I$3</f>
        <v>0</v>
      </c>
      <c r="H930" s="28"/>
      <c r="I930" s="9">
        <f t="shared" si="1"/>
        <v>0</v>
      </c>
      <c r="J930" s="4">
        <f t="shared" si="2"/>
        <v>0</v>
      </c>
    </row>
    <row r="931" ht="15.75" customHeight="1">
      <c r="A931" s="1"/>
      <c r="F931" s="9" t="str">
        <f>IF(C931&gt;0, C931/'Conversion rates'!$I$3, D931)</f>
        <v/>
      </c>
      <c r="G931" s="28">
        <f>F931*'Conversion rates'!$I$3</f>
        <v>0</v>
      </c>
      <c r="H931" s="28"/>
      <c r="I931" s="9">
        <f t="shared" si="1"/>
        <v>0</v>
      </c>
      <c r="J931" s="4">
        <f t="shared" si="2"/>
        <v>0</v>
      </c>
    </row>
    <row r="932" ht="15.75" customHeight="1">
      <c r="A932" s="1"/>
      <c r="F932" s="9" t="str">
        <f>IF(C932&gt;0, C932/'Conversion rates'!$I$3, D932)</f>
        <v/>
      </c>
      <c r="G932" s="28">
        <f>F932*'Conversion rates'!$I$3</f>
        <v>0</v>
      </c>
      <c r="H932" s="28"/>
      <c r="I932" s="9">
        <f t="shared" si="1"/>
        <v>0</v>
      </c>
      <c r="J932" s="4">
        <f t="shared" si="2"/>
        <v>0</v>
      </c>
    </row>
    <row r="933" ht="15.75" customHeight="1">
      <c r="A933" s="1"/>
      <c r="F933" s="9" t="str">
        <f>IF(C933&gt;0, C933/'Conversion rates'!$I$3, D933)</f>
        <v/>
      </c>
      <c r="G933" s="28">
        <f>F933*'Conversion rates'!$I$3</f>
        <v>0</v>
      </c>
      <c r="H933" s="28"/>
      <c r="I933" s="9">
        <f t="shared" si="1"/>
        <v>0</v>
      </c>
      <c r="J933" s="4">
        <f t="shared" si="2"/>
        <v>0</v>
      </c>
    </row>
    <row r="934" ht="15.75" customHeight="1">
      <c r="A934" s="1"/>
      <c r="F934" s="9" t="str">
        <f>IF(C934&gt;0, C934/'Conversion rates'!$I$3, D934)</f>
        <v/>
      </c>
      <c r="G934" s="28">
        <f>F934*'Conversion rates'!$I$3</f>
        <v>0</v>
      </c>
      <c r="H934" s="28"/>
      <c r="I934" s="9">
        <f t="shared" si="1"/>
        <v>0</v>
      </c>
      <c r="J934" s="4">
        <f t="shared" si="2"/>
        <v>0</v>
      </c>
    </row>
    <row r="935" ht="15.75" customHeight="1">
      <c r="A935" s="1"/>
      <c r="F935" s="9" t="str">
        <f>IF(C935&gt;0, C935/'Conversion rates'!$I$3, D935)</f>
        <v/>
      </c>
      <c r="G935" s="28">
        <f>F935*'Conversion rates'!$I$3</f>
        <v>0</v>
      </c>
      <c r="H935" s="28"/>
      <c r="I935" s="9">
        <f t="shared" si="1"/>
        <v>0</v>
      </c>
      <c r="J935" s="4">
        <f t="shared" si="2"/>
        <v>0</v>
      </c>
    </row>
    <row r="936" ht="15.75" customHeight="1">
      <c r="A936" s="1"/>
      <c r="F936" s="9" t="str">
        <f>IF(C936&gt;0, C936/'Conversion rates'!$I$3, D936)</f>
        <v/>
      </c>
      <c r="G936" s="28">
        <f>F936*'Conversion rates'!$I$3</f>
        <v>0</v>
      </c>
      <c r="H936" s="28"/>
      <c r="I936" s="9">
        <f t="shared" si="1"/>
        <v>0</v>
      </c>
      <c r="J936" s="4">
        <f t="shared" si="2"/>
        <v>0</v>
      </c>
    </row>
    <row r="937" ht="15.75" customHeight="1">
      <c r="A937" s="1"/>
      <c r="F937" s="9" t="str">
        <f>IF(C937&gt;0, C937/'Conversion rates'!$I$3, D937)</f>
        <v/>
      </c>
      <c r="G937" s="28">
        <f>F937*'Conversion rates'!$I$3</f>
        <v>0</v>
      </c>
      <c r="H937" s="28"/>
      <c r="I937" s="9">
        <f t="shared" si="1"/>
        <v>0</v>
      </c>
      <c r="J937" s="4">
        <f t="shared" si="2"/>
        <v>0</v>
      </c>
    </row>
    <row r="938" ht="15.75" customHeight="1">
      <c r="A938" s="1"/>
      <c r="F938" s="9" t="str">
        <f>IF(C938&gt;0, C938/'Conversion rates'!$I$3, D938)</f>
        <v/>
      </c>
      <c r="G938" s="28">
        <f>F938*'Conversion rates'!$I$3</f>
        <v>0</v>
      </c>
      <c r="H938" s="28"/>
      <c r="I938" s="9">
        <f t="shared" si="1"/>
        <v>0</v>
      </c>
      <c r="J938" s="4">
        <f t="shared" si="2"/>
        <v>0</v>
      </c>
    </row>
    <row r="939" ht="15.75" customHeight="1">
      <c r="A939" s="1"/>
      <c r="F939" s="9" t="str">
        <f>IF(C939&gt;0, C939/'Conversion rates'!$I$3, D939)</f>
        <v/>
      </c>
      <c r="G939" s="28">
        <f>F939*'Conversion rates'!$I$3</f>
        <v>0</v>
      </c>
      <c r="H939" s="28"/>
      <c r="I939" s="9">
        <f t="shared" si="1"/>
        <v>0</v>
      </c>
      <c r="J939" s="4">
        <f t="shared" si="2"/>
        <v>0</v>
      </c>
    </row>
    <row r="940" ht="15.75" customHeight="1">
      <c r="A940" s="1"/>
      <c r="F940" s="9" t="str">
        <f>IF(C940&gt;0, C940/'Conversion rates'!$I$3, D940)</f>
        <v/>
      </c>
      <c r="G940" s="28">
        <f>F940*'Conversion rates'!$I$3</f>
        <v>0</v>
      </c>
      <c r="H940" s="28"/>
      <c r="I940" s="9">
        <f t="shared" si="1"/>
        <v>0</v>
      </c>
      <c r="J940" s="4">
        <f t="shared" si="2"/>
        <v>0</v>
      </c>
    </row>
    <row r="941" ht="15.75" customHeight="1">
      <c r="A941" s="1"/>
      <c r="F941" s="9" t="str">
        <f>IF(C941&gt;0, C941/'Conversion rates'!$I$3, D941)</f>
        <v/>
      </c>
      <c r="G941" s="28">
        <f>F941*'Conversion rates'!$I$3</f>
        <v>0</v>
      </c>
      <c r="H941" s="28"/>
      <c r="I941" s="9">
        <f t="shared" si="1"/>
        <v>0</v>
      </c>
      <c r="J941" s="4">
        <f t="shared" si="2"/>
        <v>0</v>
      </c>
    </row>
    <row r="942" ht="15.75" customHeight="1">
      <c r="A942" s="1"/>
      <c r="F942" s="9" t="str">
        <f>IF(C942&gt;0, C942/'Conversion rates'!$I$3, D942)</f>
        <v/>
      </c>
      <c r="G942" s="28">
        <f>F942*'Conversion rates'!$I$3</f>
        <v>0</v>
      </c>
      <c r="H942" s="28"/>
      <c r="I942" s="9">
        <f t="shared" si="1"/>
        <v>0</v>
      </c>
      <c r="J942" s="4">
        <f t="shared" si="2"/>
        <v>0</v>
      </c>
    </row>
    <row r="943" ht="15.75" customHeight="1">
      <c r="A943" s="1"/>
      <c r="F943" s="9" t="str">
        <f>IF(C943&gt;0, C943/'Conversion rates'!$I$3, D943)</f>
        <v/>
      </c>
      <c r="G943" s="28">
        <f>F943*'Conversion rates'!$I$3</f>
        <v>0</v>
      </c>
      <c r="H943" s="28"/>
      <c r="I943" s="9">
        <f t="shared" si="1"/>
        <v>0</v>
      </c>
      <c r="J943" s="4">
        <f t="shared" si="2"/>
        <v>0</v>
      </c>
    </row>
    <row r="944" ht="15.75" customHeight="1">
      <c r="A944" s="1"/>
      <c r="F944" s="9" t="str">
        <f>IF(C944&gt;0, C944/'Conversion rates'!$I$3, D944)</f>
        <v/>
      </c>
      <c r="G944" s="28">
        <f>F944*'Conversion rates'!$I$3</f>
        <v>0</v>
      </c>
      <c r="H944" s="28"/>
      <c r="I944" s="9">
        <f t="shared" si="1"/>
        <v>0</v>
      </c>
      <c r="J944" s="4">
        <f t="shared" si="2"/>
        <v>0</v>
      </c>
    </row>
    <row r="945" ht="15.75" customHeight="1">
      <c r="A945" s="1"/>
      <c r="F945" s="9" t="str">
        <f>IF(C945&gt;0, C945/'Conversion rates'!$I$3, D945)</f>
        <v/>
      </c>
      <c r="G945" s="28">
        <f>F945*'Conversion rates'!$I$3</f>
        <v>0</v>
      </c>
      <c r="H945" s="28"/>
      <c r="I945" s="9">
        <f t="shared" si="1"/>
        <v>0</v>
      </c>
      <c r="J945" s="4">
        <f t="shared" si="2"/>
        <v>0</v>
      </c>
    </row>
    <row r="946" ht="15.75" customHeight="1">
      <c r="A946" s="1"/>
      <c r="F946" s="9" t="str">
        <f>IF(C946&gt;0, C946/'Conversion rates'!$I$3, D946)</f>
        <v/>
      </c>
      <c r="G946" s="28">
        <f>F946*'Conversion rates'!$I$3</f>
        <v>0</v>
      </c>
      <c r="H946" s="28"/>
      <c r="I946" s="9">
        <f t="shared" si="1"/>
        <v>0</v>
      </c>
      <c r="J946" s="4">
        <f t="shared" si="2"/>
        <v>0</v>
      </c>
    </row>
    <row r="947" ht="15.75" customHeight="1">
      <c r="A947" s="1"/>
      <c r="F947" s="9" t="str">
        <f>IF(C947&gt;0, C947/'Conversion rates'!$I$3, D947)</f>
        <v/>
      </c>
      <c r="G947" s="28">
        <f>F947*'Conversion rates'!$I$3</f>
        <v>0</v>
      </c>
      <c r="H947" s="28"/>
      <c r="I947" s="9">
        <f t="shared" si="1"/>
        <v>0</v>
      </c>
      <c r="J947" s="4">
        <f t="shared" si="2"/>
        <v>0</v>
      </c>
    </row>
    <row r="948" ht="15.75" customHeight="1">
      <c r="A948" s="1"/>
      <c r="F948" s="9" t="str">
        <f>IF(C948&gt;0, C948/'Conversion rates'!$I$3, D948)</f>
        <v/>
      </c>
      <c r="G948" s="28">
        <f>F948*'Conversion rates'!$I$3</f>
        <v>0</v>
      </c>
      <c r="H948" s="28"/>
      <c r="I948" s="9">
        <f t="shared" si="1"/>
        <v>0</v>
      </c>
      <c r="J948" s="4">
        <f t="shared" si="2"/>
        <v>0</v>
      </c>
    </row>
    <row r="949" ht="15.75" customHeight="1">
      <c r="A949" s="1"/>
      <c r="F949" s="9" t="str">
        <f>IF(C949&gt;0, C949/'Conversion rates'!$I$3, D949)</f>
        <v/>
      </c>
      <c r="G949" s="28">
        <f>F949*'Conversion rates'!$I$3</f>
        <v>0</v>
      </c>
      <c r="H949" s="28"/>
      <c r="I949" s="9">
        <f t="shared" si="1"/>
        <v>0</v>
      </c>
      <c r="J949" s="4">
        <f t="shared" si="2"/>
        <v>0</v>
      </c>
    </row>
    <row r="950" ht="15.75" customHeight="1">
      <c r="A950" s="1"/>
      <c r="F950" s="9" t="str">
        <f>IF(C950&gt;0, C950/'Conversion rates'!$I$3, D950)</f>
        <v/>
      </c>
      <c r="G950" s="28">
        <f>F950*'Conversion rates'!$I$3</f>
        <v>0</v>
      </c>
      <c r="H950" s="28"/>
      <c r="I950" s="9">
        <f t="shared" si="1"/>
        <v>0</v>
      </c>
      <c r="J950" s="4">
        <f t="shared" si="2"/>
        <v>0</v>
      </c>
    </row>
    <row r="951" ht="15.75" customHeight="1">
      <c r="A951" s="1"/>
      <c r="F951" s="9" t="str">
        <f>IF(C951&gt;0, C951/'Conversion rates'!$I$3, D951)</f>
        <v/>
      </c>
      <c r="G951" s="28">
        <f>F951*'Conversion rates'!$I$3</f>
        <v>0</v>
      </c>
      <c r="H951" s="28"/>
      <c r="I951" s="9">
        <f t="shared" si="1"/>
        <v>0</v>
      </c>
      <c r="J951" s="4">
        <f t="shared" si="2"/>
        <v>0</v>
      </c>
    </row>
    <row r="952" ht="15.75" customHeight="1">
      <c r="A952" s="1"/>
      <c r="F952" s="9" t="str">
        <f>IF(C952&gt;0, C952/'Conversion rates'!$I$3, D952)</f>
        <v/>
      </c>
      <c r="G952" s="28">
        <f>F952*'Conversion rates'!$I$3</f>
        <v>0</v>
      </c>
      <c r="H952" s="28"/>
      <c r="I952" s="9">
        <f t="shared" si="1"/>
        <v>0</v>
      </c>
      <c r="J952" s="4">
        <f t="shared" si="2"/>
        <v>0</v>
      </c>
    </row>
    <row r="953" ht="15.75" customHeight="1">
      <c r="A953" s="1"/>
      <c r="F953" s="9" t="str">
        <f>IF(C953&gt;0, C953/'Conversion rates'!$I$3, D953)</f>
        <v/>
      </c>
      <c r="G953" s="28">
        <f>F953*'Conversion rates'!$I$3</f>
        <v>0</v>
      </c>
      <c r="H953" s="28"/>
      <c r="I953" s="9">
        <f t="shared" si="1"/>
        <v>0</v>
      </c>
      <c r="J953" s="4">
        <f t="shared" si="2"/>
        <v>0</v>
      </c>
    </row>
    <row r="954" ht="15.75" customHeight="1">
      <c r="A954" s="1"/>
      <c r="F954" s="9" t="str">
        <f>IF(C954&gt;0, C954/'Conversion rates'!$I$3, D954)</f>
        <v/>
      </c>
      <c r="G954" s="28">
        <f>F954*'Conversion rates'!$I$3</f>
        <v>0</v>
      </c>
      <c r="H954" s="28"/>
      <c r="I954" s="9">
        <f t="shared" si="1"/>
        <v>0</v>
      </c>
      <c r="J954" s="4">
        <f t="shared" si="2"/>
        <v>0</v>
      </c>
    </row>
    <row r="955" ht="15.75" customHeight="1">
      <c r="A955" s="1"/>
      <c r="F955" s="9" t="str">
        <f>IF(C955&gt;0, C955/'Conversion rates'!$I$3, D955)</f>
        <v/>
      </c>
      <c r="G955" s="28">
        <f>F955*'Conversion rates'!$I$3</f>
        <v>0</v>
      </c>
      <c r="H955" s="28"/>
      <c r="I955" s="9">
        <f t="shared" si="1"/>
        <v>0</v>
      </c>
      <c r="J955" s="4">
        <f t="shared" si="2"/>
        <v>0</v>
      </c>
    </row>
    <row r="956" ht="15.75" customHeight="1">
      <c r="A956" s="1"/>
      <c r="F956" s="9" t="str">
        <f>IF(C956&gt;0, C956/'Conversion rates'!$I$3, D956)</f>
        <v/>
      </c>
      <c r="G956" s="28">
        <f>F956*'Conversion rates'!$I$3</f>
        <v>0</v>
      </c>
      <c r="H956" s="28"/>
      <c r="I956" s="9">
        <f t="shared" si="1"/>
        <v>0</v>
      </c>
      <c r="J956" s="4">
        <f t="shared" si="2"/>
        <v>0</v>
      </c>
    </row>
    <row r="957" ht="15.75" customHeight="1">
      <c r="A957" s="1"/>
      <c r="F957" s="9" t="str">
        <f>IF(C957&gt;0, C957/'Conversion rates'!$I$3, D957)</f>
        <v/>
      </c>
      <c r="G957" s="28">
        <f>F957*'Conversion rates'!$I$3</f>
        <v>0</v>
      </c>
      <c r="H957" s="28"/>
      <c r="I957" s="9">
        <f t="shared" si="1"/>
        <v>0</v>
      </c>
      <c r="J957" s="4">
        <f t="shared" si="2"/>
        <v>0</v>
      </c>
    </row>
    <row r="958" ht="15.75" customHeight="1">
      <c r="A958" s="1"/>
      <c r="F958" s="9" t="str">
        <f>IF(C958&gt;0, C958/'Conversion rates'!$I$3, D958)</f>
        <v/>
      </c>
      <c r="G958" s="28">
        <f>F958*'Conversion rates'!$I$3</f>
        <v>0</v>
      </c>
      <c r="H958" s="28"/>
      <c r="I958" s="9">
        <f t="shared" si="1"/>
        <v>0</v>
      </c>
      <c r="J958" s="4">
        <f t="shared" si="2"/>
        <v>0</v>
      </c>
    </row>
    <row r="959" ht="15.75" customHeight="1">
      <c r="A959" s="1"/>
      <c r="F959" s="9" t="str">
        <f>IF(C959&gt;0, C959/'Conversion rates'!$I$3, D959)</f>
        <v/>
      </c>
      <c r="G959" s="28">
        <f>F959*'Conversion rates'!$I$3</f>
        <v>0</v>
      </c>
      <c r="H959" s="28"/>
      <c r="I959" s="9">
        <f t="shared" si="1"/>
        <v>0</v>
      </c>
      <c r="J959" s="4">
        <f t="shared" si="2"/>
        <v>0</v>
      </c>
    </row>
    <row r="960" ht="15.75" customHeight="1">
      <c r="A960" s="1"/>
      <c r="F960" s="9" t="str">
        <f>IF(C960&gt;0, C960/'Conversion rates'!$I$3, D960)</f>
        <v/>
      </c>
      <c r="G960" s="28">
        <f>F960*'Conversion rates'!$I$3</f>
        <v>0</v>
      </c>
      <c r="H960" s="28"/>
      <c r="I960" s="9">
        <f t="shared" si="1"/>
        <v>0</v>
      </c>
      <c r="J960" s="4">
        <f t="shared" si="2"/>
        <v>0</v>
      </c>
    </row>
    <row r="961" ht="15.75" customHeight="1">
      <c r="A961" s="1"/>
      <c r="F961" s="9" t="str">
        <f>IF(C961&gt;0, C961/'Conversion rates'!$I$3, D961)</f>
        <v/>
      </c>
      <c r="G961" s="28">
        <f>F961*'Conversion rates'!$I$3</f>
        <v>0</v>
      </c>
      <c r="H961" s="28"/>
      <c r="I961" s="9">
        <f t="shared" si="1"/>
        <v>0</v>
      </c>
      <c r="J961" s="4">
        <f t="shared" si="2"/>
        <v>0</v>
      </c>
    </row>
    <row r="962" ht="15.75" customHeight="1">
      <c r="A962" s="1"/>
      <c r="F962" s="9" t="str">
        <f>IF(C962&gt;0, C962/'Conversion rates'!$I$3, D962)</f>
        <v/>
      </c>
      <c r="G962" s="28">
        <f>F962*'Conversion rates'!$I$3</f>
        <v>0</v>
      </c>
      <c r="H962" s="28"/>
      <c r="I962" s="9">
        <f t="shared" si="1"/>
        <v>0</v>
      </c>
      <c r="J962" s="4">
        <f t="shared" si="2"/>
        <v>0</v>
      </c>
    </row>
    <row r="963" ht="15.75" customHeight="1">
      <c r="A963" s="1"/>
      <c r="F963" s="9" t="str">
        <f>IF(C963&gt;0, C963/'Conversion rates'!$I$3, D963)</f>
        <v/>
      </c>
      <c r="G963" s="28">
        <f>F963*'Conversion rates'!$I$3</f>
        <v>0</v>
      </c>
      <c r="H963" s="28"/>
      <c r="I963" s="9">
        <f t="shared" si="1"/>
        <v>0</v>
      </c>
      <c r="J963" s="4">
        <f t="shared" si="2"/>
        <v>0</v>
      </c>
    </row>
    <row r="964" ht="15.75" customHeight="1">
      <c r="A964" s="1"/>
      <c r="F964" s="9" t="str">
        <f>IF(C964&gt;0, C964/'Conversion rates'!$I$3, D964)</f>
        <v/>
      </c>
      <c r="G964" s="28">
        <f>F964*'Conversion rates'!$I$3</f>
        <v>0</v>
      </c>
      <c r="H964" s="28"/>
      <c r="I964" s="9">
        <f t="shared" si="1"/>
        <v>0</v>
      </c>
      <c r="J964" s="4">
        <f t="shared" si="2"/>
        <v>0</v>
      </c>
    </row>
    <row r="965" ht="15.75" customHeight="1">
      <c r="A965" s="1"/>
      <c r="F965" s="9" t="str">
        <f>IF(C965&gt;0, C965/'Conversion rates'!$I$3, D965)</f>
        <v/>
      </c>
      <c r="G965" s="28">
        <f>F965*'Conversion rates'!$I$3</f>
        <v>0</v>
      </c>
      <c r="H965" s="28"/>
      <c r="I965" s="9">
        <f t="shared" si="1"/>
        <v>0</v>
      </c>
      <c r="J965" s="4">
        <f t="shared" si="2"/>
        <v>0</v>
      </c>
    </row>
    <row r="966" ht="15.75" customHeight="1">
      <c r="A966" s="1"/>
      <c r="F966" s="9" t="str">
        <f>IF(C966&gt;0, C966/'Conversion rates'!$I$3, D966)</f>
        <v/>
      </c>
      <c r="G966" s="28">
        <f>F966*'Conversion rates'!$I$3</f>
        <v>0</v>
      </c>
      <c r="H966" s="28"/>
      <c r="I966" s="9">
        <f t="shared" si="1"/>
        <v>0</v>
      </c>
      <c r="J966" s="4">
        <f t="shared" si="2"/>
        <v>0</v>
      </c>
    </row>
    <row r="967" ht="15.75" customHeight="1">
      <c r="A967" s="1"/>
      <c r="F967" s="9" t="str">
        <f>IF(C967&gt;0, C967/'Conversion rates'!$I$3, D967)</f>
        <v/>
      </c>
      <c r="G967" s="28">
        <f>F967*'Conversion rates'!$I$3</f>
        <v>0</v>
      </c>
      <c r="H967" s="28"/>
      <c r="I967" s="9">
        <f t="shared" si="1"/>
        <v>0</v>
      </c>
      <c r="J967" s="4">
        <f t="shared" si="2"/>
        <v>0</v>
      </c>
    </row>
    <row r="968" ht="15.75" customHeight="1">
      <c r="A968" s="1"/>
      <c r="F968" s="9" t="str">
        <f>IF(C968&gt;0, C968/'Conversion rates'!$I$3, D968)</f>
        <v/>
      </c>
      <c r="G968" s="28">
        <f>F968*'Conversion rates'!$I$3</f>
        <v>0</v>
      </c>
      <c r="H968" s="28"/>
      <c r="I968" s="9">
        <f t="shared" si="1"/>
        <v>0</v>
      </c>
      <c r="J968" s="4">
        <f t="shared" si="2"/>
        <v>0</v>
      </c>
    </row>
    <row r="969" ht="15.75" customHeight="1">
      <c r="A969" s="1"/>
      <c r="F969" s="9" t="str">
        <f>IF(C969&gt;0, C969/'Conversion rates'!$I$3, D969)</f>
        <v/>
      </c>
      <c r="G969" s="28">
        <f>F969*'Conversion rates'!$I$3</f>
        <v>0</v>
      </c>
      <c r="H969" s="28"/>
      <c r="I969" s="9">
        <f t="shared" si="1"/>
        <v>0</v>
      </c>
      <c r="J969" s="4">
        <f t="shared" si="2"/>
        <v>0</v>
      </c>
    </row>
    <row r="970" ht="15.75" customHeight="1">
      <c r="A970" s="1"/>
      <c r="F970" s="9" t="str">
        <f>IF(C970&gt;0, C970/'Conversion rates'!$I$3, D970)</f>
        <v/>
      </c>
      <c r="G970" s="28">
        <f>F970*'Conversion rates'!$I$3</f>
        <v>0</v>
      </c>
      <c r="H970" s="28"/>
      <c r="I970" s="9">
        <f t="shared" si="1"/>
        <v>0</v>
      </c>
      <c r="J970" s="4">
        <f t="shared" si="2"/>
        <v>0</v>
      </c>
    </row>
    <row r="971" ht="15.75" customHeight="1">
      <c r="A971" s="1"/>
      <c r="F971" s="9" t="str">
        <f>IF(C971&gt;0, C971/'Conversion rates'!$I$3, D971)</f>
        <v/>
      </c>
      <c r="G971" s="28">
        <f>F971*'Conversion rates'!$I$3</f>
        <v>0</v>
      </c>
      <c r="H971" s="28"/>
      <c r="I971" s="9">
        <f t="shared" si="1"/>
        <v>0</v>
      </c>
      <c r="J971" s="4">
        <f t="shared" si="2"/>
        <v>0</v>
      </c>
    </row>
    <row r="972" ht="15.75" customHeight="1">
      <c r="A972" s="1"/>
      <c r="F972" s="9" t="str">
        <f>IF(C972&gt;0, C972/'Conversion rates'!$I$3, D972)</f>
        <v/>
      </c>
      <c r="G972" s="28">
        <f>F972*'Conversion rates'!$I$3</f>
        <v>0</v>
      </c>
      <c r="H972" s="28"/>
      <c r="I972" s="9">
        <f t="shared" si="1"/>
        <v>0</v>
      </c>
      <c r="J972" s="4">
        <f t="shared" si="2"/>
        <v>0</v>
      </c>
    </row>
    <row r="973" ht="15.75" customHeight="1">
      <c r="A973" s="1"/>
      <c r="F973" s="9" t="str">
        <f>IF(C973&gt;0, C973/'Conversion rates'!$I$3, D973)</f>
        <v/>
      </c>
      <c r="G973" s="28">
        <f>F973*'Conversion rates'!$I$3</f>
        <v>0</v>
      </c>
      <c r="H973" s="28"/>
      <c r="I973" s="9">
        <f t="shared" si="1"/>
        <v>0</v>
      </c>
      <c r="J973" s="4">
        <f t="shared" si="2"/>
        <v>0</v>
      </c>
    </row>
    <row r="974" ht="15.75" customHeight="1">
      <c r="A974" s="1"/>
      <c r="F974" s="9" t="str">
        <f>IF(C974&gt;0, C974/'Conversion rates'!$I$3, D974)</f>
        <v/>
      </c>
      <c r="G974" s="28">
        <f>F974*'Conversion rates'!$I$3</f>
        <v>0</v>
      </c>
      <c r="H974" s="28"/>
      <c r="I974" s="9">
        <f t="shared" si="1"/>
        <v>0</v>
      </c>
      <c r="J974" s="4">
        <f t="shared" si="2"/>
        <v>0</v>
      </c>
    </row>
    <row r="975" ht="15.75" customHeight="1">
      <c r="A975" s="1"/>
      <c r="F975" s="9" t="str">
        <f>IF(C975&gt;0, C975/'Conversion rates'!$I$3, D975)</f>
        <v/>
      </c>
      <c r="G975" s="28">
        <f>F975*'Conversion rates'!$I$3</f>
        <v>0</v>
      </c>
      <c r="H975" s="28"/>
      <c r="I975" s="9">
        <f t="shared" si="1"/>
        <v>0</v>
      </c>
      <c r="J975" s="4">
        <f t="shared" si="2"/>
        <v>0</v>
      </c>
    </row>
    <row r="976" ht="15.75" customHeight="1">
      <c r="A976" s="1"/>
      <c r="F976" s="9" t="str">
        <f>IF(C976&gt;0, C976/'Conversion rates'!$I$3, D976)</f>
        <v/>
      </c>
      <c r="G976" s="28">
        <f>F976*'Conversion rates'!$I$3</f>
        <v>0</v>
      </c>
      <c r="H976" s="28"/>
      <c r="I976" s="9">
        <f t="shared" si="1"/>
        <v>0</v>
      </c>
      <c r="J976" s="4">
        <f t="shared" si="2"/>
        <v>0</v>
      </c>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L2:N976">
    <cfRule type="cellIs" dxfId="0" priority="1" operator="greaterThan">
      <formula>$E2</formula>
    </cfRule>
  </conditionalFormatting>
  <conditionalFormatting sqref="C2:D976">
    <cfRule type="expression" dxfId="1" priority="2">
      <formula>AND($C2&lt;&gt;"", $D2&lt;&gt;"")</formula>
    </cfRule>
  </conditionalFormatting>
  <dataValidations>
    <dataValidation type="list" allowBlank="1" showErrorMessage="1" sqref="A2:A976">
      <formula1>'Conversion rates'!$C$6:$C$10</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5.25"/>
    <col customWidth="1" min="3" max="6" width="12.63"/>
    <col customWidth="1" min="7" max="7" width="16.13"/>
    <col customWidth="1" min="8" max="8" width="15.38"/>
    <col customWidth="1" min="10" max="10" width="17.88"/>
  </cols>
  <sheetData>
    <row r="1" ht="15.75" customHeight="1">
      <c r="E1" s="29" t="str">
        <f>"Base conversion ( " &amp; E3 &amp; " points = " &amp; G3 &amp; " $ = " &amp; F3 &amp; " coins)"</f>
        <v>Base conversion ( 25000 points = 6 $ = 500 coins)</v>
      </c>
      <c r="F1" s="30"/>
      <c r="G1" s="30"/>
      <c r="H1" s="30"/>
      <c r="I1" s="30"/>
      <c r="J1" s="30"/>
    </row>
    <row r="2" ht="15.75" customHeight="1">
      <c r="B2" s="2"/>
      <c r="C2" s="2"/>
      <c r="E2" s="30" t="s">
        <v>52</v>
      </c>
      <c r="F2" s="30" t="s">
        <v>43</v>
      </c>
      <c r="G2" s="30" t="s">
        <v>53</v>
      </c>
      <c r="H2" s="30" t="s">
        <v>54</v>
      </c>
      <c r="I2" s="30" t="s">
        <v>55</v>
      </c>
      <c r="J2" s="30" t="s">
        <v>56</v>
      </c>
    </row>
    <row r="3" ht="15.75" customHeight="1">
      <c r="B3" s="2"/>
      <c r="C3" s="2"/>
      <c r="E3" s="30">
        <v>25000.0</v>
      </c>
      <c r="F3" s="30">
        <v>500.0</v>
      </c>
      <c r="G3" s="30">
        <v>6.0</v>
      </c>
      <c r="H3" s="30">
        <f>E3/F3</f>
        <v>50</v>
      </c>
      <c r="I3" s="31">
        <f>E3/G3</f>
        <v>4166.666667</v>
      </c>
      <c r="J3" s="31">
        <f>F3/G3</f>
        <v>83.33333333</v>
      </c>
    </row>
    <row r="4" ht="15.75" customHeight="1">
      <c r="B4" s="2"/>
      <c r="C4" s="2"/>
      <c r="F4" s="1"/>
      <c r="H4" s="1"/>
      <c r="I4" s="1"/>
      <c r="J4" s="1"/>
    </row>
    <row r="5" ht="15.75" customHeight="1">
      <c r="B5" s="2"/>
      <c r="C5" s="32" t="s">
        <v>57</v>
      </c>
      <c r="E5" s="1"/>
      <c r="F5" s="1"/>
      <c r="H5" s="1"/>
      <c r="I5" s="1"/>
    </row>
    <row r="6" ht="15.75" customHeight="1">
      <c r="C6" s="7" t="s">
        <v>4</v>
      </c>
      <c r="E6" s="33"/>
      <c r="F6" s="1"/>
      <c r="G6" s="5"/>
      <c r="I6" s="2"/>
      <c r="J6" s="4"/>
    </row>
    <row r="7" ht="15.75" customHeight="1">
      <c r="C7" s="7" t="s">
        <v>3</v>
      </c>
      <c r="E7" s="33"/>
      <c r="F7" s="1"/>
      <c r="G7" s="5"/>
      <c r="I7" s="2"/>
      <c r="J7" s="4"/>
    </row>
    <row r="8" ht="15.75" customHeight="1">
      <c r="C8" s="7" t="s">
        <v>5</v>
      </c>
      <c r="E8" s="33"/>
      <c r="F8" s="1"/>
      <c r="G8" s="5"/>
      <c r="I8" s="2"/>
      <c r="J8" s="4"/>
    </row>
    <row r="9" ht="15.75" customHeight="1">
      <c r="C9" s="7" t="s">
        <v>6</v>
      </c>
      <c r="E9" s="33"/>
      <c r="F9" s="1"/>
      <c r="G9" s="5"/>
      <c r="I9" s="2"/>
      <c r="J9" s="4"/>
    </row>
    <row r="10" ht="15.75" customHeight="1">
      <c r="E10" s="33"/>
      <c r="F10" s="1"/>
      <c r="G10" s="5"/>
      <c r="I10" s="2"/>
      <c r="J10" s="4"/>
    </row>
    <row r="11" ht="15.75" customHeight="1">
      <c r="E11" s="33"/>
      <c r="F11" s="1"/>
      <c r="G11" s="5"/>
      <c r="I11" s="2"/>
      <c r="J11" s="4"/>
    </row>
    <row r="12" ht="15.75" customHeight="1">
      <c r="E12" s="33"/>
      <c r="F12" s="1"/>
      <c r="G12" s="5"/>
      <c r="I12" s="2"/>
      <c r="J12" s="4"/>
    </row>
    <row r="13" ht="15.75" customHeight="1">
      <c r="E13" s="33"/>
      <c r="F13" s="1"/>
      <c r="I13" s="2"/>
    </row>
    <row r="14" ht="15.75" customHeight="1">
      <c r="E14" s="33"/>
      <c r="F14" s="1"/>
      <c r="I14" s="2"/>
    </row>
    <row r="15" ht="15.75" customHeight="1">
      <c r="E15" s="33"/>
      <c r="F15" s="1"/>
      <c r="I15" s="2"/>
    </row>
    <row r="16" ht="15.75" customHeight="1">
      <c r="E16" s="33"/>
      <c r="F16" s="1"/>
      <c r="I16" s="2"/>
    </row>
    <row r="17" ht="15.75" customHeight="1">
      <c r="A17" s="34" t="s">
        <v>58</v>
      </c>
    </row>
    <row r="18" ht="15.75" customHeight="1">
      <c r="E18" s="33"/>
      <c r="F18" s="1"/>
      <c r="I18" s="2"/>
    </row>
    <row r="19" ht="15.75" customHeight="1">
      <c r="A19" s="35" t="s">
        <v>59</v>
      </c>
      <c r="B19" s="35" t="s">
        <v>53</v>
      </c>
      <c r="C19" s="35" t="s">
        <v>60</v>
      </c>
      <c r="D19" s="35" t="s">
        <v>61</v>
      </c>
      <c r="E19" s="35" t="s">
        <v>62</v>
      </c>
      <c r="F19" s="35" t="s">
        <v>63</v>
      </c>
      <c r="I19" s="2"/>
    </row>
    <row r="20" ht="15.75" customHeight="1">
      <c r="A20" s="36"/>
      <c r="B20" s="36">
        <v>5.99</v>
      </c>
      <c r="C20" s="37">
        <f t="shared" ref="C20:C25" si="1">B20*$J$3</f>
        <v>499.1666667</v>
      </c>
      <c r="D20" s="36">
        <v>500.0</v>
      </c>
      <c r="E20" s="38">
        <f t="shared" ref="E20:E25" si="2">D20/(B20*$J$3)</f>
        <v>1.001669449</v>
      </c>
      <c r="F20" s="39">
        <f t="shared" ref="F20:F25" si="3">B20*$I$3</f>
        <v>24958.33333</v>
      </c>
      <c r="H20" s="1" t="s">
        <v>64</v>
      </c>
    </row>
    <row r="21" ht="15.75" customHeight="1">
      <c r="A21" s="36"/>
      <c r="B21" s="36">
        <v>9.99</v>
      </c>
      <c r="C21" s="37">
        <f t="shared" si="1"/>
        <v>832.5</v>
      </c>
      <c r="D21" s="36">
        <v>1000.0</v>
      </c>
      <c r="E21" s="38">
        <f t="shared" si="2"/>
        <v>1.201201201</v>
      </c>
      <c r="F21" s="39">
        <f t="shared" si="3"/>
        <v>41625</v>
      </c>
      <c r="H21" s="1" t="s">
        <v>65</v>
      </c>
    </row>
    <row r="22" ht="15.75" customHeight="1">
      <c r="A22" s="36"/>
      <c r="B22" s="36">
        <v>19.99</v>
      </c>
      <c r="C22" s="37">
        <f t="shared" si="1"/>
        <v>1665.833333</v>
      </c>
      <c r="D22" s="36">
        <v>2050.0</v>
      </c>
      <c r="E22" s="38">
        <f t="shared" si="2"/>
        <v>1.230615308</v>
      </c>
      <c r="F22" s="39">
        <f t="shared" si="3"/>
        <v>83291.66667</v>
      </c>
      <c r="H22" s="1" t="s">
        <v>66</v>
      </c>
    </row>
    <row r="23" ht="15.75" customHeight="1">
      <c r="A23" s="36"/>
      <c r="B23" s="36">
        <v>29.99</v>
      </c>
      <c r="C23" s="37">
        <f t="shared" si="1"/>
        <v>2499.166667</v>
      </c>
      <c r="D23" s="40">
        <v>3500.0</v>
      </c>
      <c r="E23" s="38">
        <f t="shared" si="2"/>
        <v>1.400466822</v>
      </c>
      <c r="F23" s="39">
        <f t="shared" si="3"/>
        <v>124958.3333</v>
      </c>
      <c r="H23" s="1" t="s">
        <v>67</v>
      </c>
    </row>
    <row r="24" ht="15.75" customHeight="1">
      <c r="A24" s="36"/>
      <c r="B24" s="36">
        <v>49.99</v>
      </c>
      <c r="C24" s="37">
        <f t="shared" si="1"/>
        <v>4165.833333</v>
      </c>
      <c r="D24" s="40">
        <v>6500.0</v>
      </c>
      <c r="E24" s="38">
        <f t="shared" si="2"/>
        <v>1.560312062</v>
      </c>
      <c r="F24" s="39">
        <f t="shared" si="3"/>
        <v>208291.6667</v>
      </c>
      <c r="H24" s="1" t="s">
        <v>68</v>
      </c>
    </row>
    <row r="25" ht="15.75" customHeight="1">
      <c r="A25" s="36"/>
      <c r="B25" s="36">
        <v>99.99</v>
      </c>
      <c r="C25" s="37">
        <f t="shared" si="1"/>
        <v>8332.5</v>
      </c>
      <c r="D25" s="40">
        <v>14500.0</v>
      </c>
      <c r="E25" s="38">
        <f t="shared" si="2"/>
        <v>1.740174017</v>
      </c>
      <c r="F25" s="39">
        <f t="shared" si="3"/>
        <v>416625</v>
      </c>
      <c r="H25" s="1" t="s">
        <v>69</v>
      </c>
    </row>
    <row r="26" ht="15.75" customHeight="1">
      <c r="C26" s="1"/>
      <c r="D26" s="1"/>
      <c r="E26" s="5"/>
      <c r="H26" s="1" t="s">
        <v>70</v>
      </c>
    </row>
    <row r="27" ht="15.75" customHeight="1">
      <c r="C27" s="1"/>
      <c r="D27" s="1"/>
      <c r="E27" s="5"/>
    </row>
    <row r="28" ht="15.75" customHeight="1">
      <c r="C28" s="1"/>
      <c r="D28" s="1"/>
      <c r="E28" s="5"/>
    </row>
    <row r="29" ht="15.75" customHeight="1">
      <c r="C29" s="1"/>
      <c r="D29" s="1"/>
      <c r="E29" s="5"/>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7:I17"/>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30.5"/>
  </cols>
  <sheetData>
    <row r="1" ht="15.75" customHeight="1"/>
    <row r="2" ht="15.75" customHeight="1"/>
    <row r="3" ht="15.75" customHeight="1">
      <c r="B3" s="1" t="s">
        <v>71</v>
      </c>
      <c r="G3" s="2" t="s">
        <v>72</v>
      </c>
    </row>
    <row r="4" ht="15.75" customHeight="1">
      <c r="G4" s="1" t="s">
        <v>73</v>
      </c>
    </row>
    <row r="5" ht="15.75" customHeight="1">
      <c r="A5" s="1" t="s">
        <v>74</v>
      </c>
      <c r="B5" s="1" t="s">
        <v>75</v>
      </c>
      <c r="G5" s="1" t="s">
        <v>76</v>
      </c>
    </row>
    <row r="6" ht="15.75" customHeight="1">
      <c r="B6" s="1" t="s">
        <v>77</v>
      </c>
      <c r="G6" s="1" t="s">
        <v>78</v>
      </c>
    </row>
    <row r="7" ht="15.75" customHeight="1">
      <c r="B7" s="1" t="s">
        <v>79</v>
      </c>
      <c r="G7" s="1" t="s">
        <v>80</v>
      </c>
    </row>
    <row r="8" ht="15.75" customHeight="1">
      <c r="B8" s="1" t="s">
        <v>81</v>
      </c>
      <c r="G8" s="1" t="s">
        <v>82</v>
      </c>
    </row>
    <row r="9" ht="15.75" customHeight="1">
      <c r="B9" s="1" t="s">
        <v>83</v>
      </c>
      <c r="G9" s="1" t="s">
        <v>84</v>
      </c>
    </row>
    <row r="10" ht="15.75" customHeight="1">
      <c r="G10" s="1" t="s">
        <v>85</v>
      </c>
    </row>
    <row r="11" ht="15.75" customHeight="1"/>
    <row r="12" ht="15.75" customHeight="1"/>
    <row r="13" ht="15.75" customHeight="1"/>
    <row r="14" ht="15.75" customHeight="1"/>
    <row r="15" ht="15.75" customHeight="1"/>
    <row r="16" ht="15.75" customHeight="1">
      <c r="G16" s="1" t="s">
        <v>86</v>
      </c>
    </row>
    <row r="17" ht="15.75" customHeight="1">
      <c r="H17" s="1" t="s">
        <v>27</v>
      </c>
      <c r="I17" s="1" t="s">
        <v>28</v>
      </c>
      <c r="J17" s="1" t="s">
        <v>87</v>
      </c>
    </row>
    <row r="18" ht="15.75" customHeight="1">
      <c r="G18" s="1" t="s">
        <v>33</v>
      </c>
      <c r="H18" s="1">
        <v>0.2</v>
      </c>
      <c r="I18" s="1">
        <v>0.3</v>
      </c>
      <c r="J18" s="1" t="s">
        <v>88</v>
      </c>
    </row>
    <row r="19" ht="15.75" customHeight="1">
      <c r="G19" s="1" t="s">
        <v>34</v>
      </c>
      <c r="H19" s="1">
        <v>0.35</v>
      </c>
      <c r="I19" s="1">
        <v>0.15</v>
      </c>
      <c r="J19" s="1" t="s">
        <v>89</v>
      </c>
    </row>
    <row r="20" ht="15.75" customHeight="1">
      <c r="G20" s="1" t="s">
        <v>35</v>
      </c>
      <c r="H20" s="1">
        <v>0.45</v>
      </c>
      <c r="I20" s="1">
        <v>0.03</v>
      </c>
      <c r="J20" s="1" t="s">
        <v>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88"/>
    <col customWidth="1" min="2" max="2" width="12.63"/>
    <col customWidth="1" min="3" max="3" width="16.75"/>
    <col customWidth="1" min="4" max="5" width="18.0"/>
    <col customWidth="1" min="6" max="6" width="20.88"/>
    <col customWidth="1" min="7" max="7" width="13.13"/>
    <col customWidth="1" min="8" max="8" width="22.63"/>
    <col customWidth="1" min="9" max="9" width="20.75"/>
    <col customWidth="1" min="10" max="13" width="27.25"/>
    <col customWidth="1" min="14" max="14" width="24.13"/>
    <col customWidth="1" min="15" max="15" width="22.75"/>
  </cols>
  <sheetData>
    <row r="1" ht="15.75" customHeight="1"/>
    <row r="2" ht="15.75" customHeight="1">
      <c r="A2" s="1" t="s">
        <v>91</v>
      </c>
      <c r="B2" s="1">
        <v>1.34</v>
      </c>
    </row>
    <row r="3" ht="15.75" customHeight="1">
      <c r="A3" s="41" t="s">
        <v>92</v>
      </c>
      <c r="B3" s="42">
        <v>9.36</v>
      </c>
    </row>
    <row r="4" ht="15.75" customHeight="1">
      <c r="A4" s="41" t="s">
        <v>93</v>
      </c>
      <c r="B4" s="42">
        <v>1.17</v>
      </c>
    </row>
    <row r="5" ht="15.75" customHeight="1">
      <c r="A5" s="41" t="s">
        <v>94</v>
      </c>
      <c r="B5" s="42">
        <v>0.11</v>
      </c>
    </row>
    <row r="6" ht="15.75" customHeight="1"/>
    <row r="7" ht="15.75" customHeight="1"/>
    <row r="8" ht="15.75" customHeight="1">
      <c r="A8" s="2" t="s">
        <v>95</v>
      </c>
    </row>
    <row r="9" ht="15.75" customHeight="1">
      <c r="A9" s="43" t="s">
        <v>96</v>
      </c>
      <c r="B9" s="43" t="s">
        <v>97</v>
      </c>
      <c r="C9" s="43" t="s">
        <v>53</v>
      </c>
      <c r="D9" s="43" t="s">
        <v>98</v>
      </c>
      <c r="E9" s="43" t="s">
        <v>99</v>
      </c>
    </row>
    <row r="10" ht="15.75" customHeight="1">
      <c r="A10" s="1">
        <v>575.0</v>
      </c>
      <c r="B10" s="1">
        <v>4.99</v>
      </c>
      <c r="C10" s="44">
        <f t="shared" ref="C10:C17" si="1">B10*B$4</f>
        <v>5.8383</v>
      </c>
      <c r="D10" s="45">
        <f t="shared" ref="D10:D17" si="2">C10/A10</f>
        <v>0.01015356522</v>
      </c>
      <c r="E10" s="18">
        <f t="shared" ref="E10:E17" si="3">(D$10-D10)/D$10</f>
        <v>0</v>
      </c>
    </row>
    <row r="11" ht="15.75" customHeight="1">
      <c r="A11" s="1">
        <v>1380.0</v>
      </c>
      <c r="B11" s="1">
        <v>10.99</v>
      </c>
      <c r="C11" s="44">
        <f t="shared" si="1"/>
        <v>12.8583</v>
      </c>
      <c r="D11" s="45">
        <f t="shared" si="2"/>
        <v>0.009317608696</v>
      </c>
      <c r="E11" s="18">
        <f t="shared" si="3"/>
        <v>0.08233132933</v>
      </c>
    </row>
    <row r="12" ht="15.75" customHeight="1">
      <c r="A12" s="1">
        <v>2800.0</v>
      </c>
      <c r="B12" s="1">
        <v>21.99</v>
      </c>
      <c r="C12" s="44">
        <f t="shared" si="1"/>
        <v>25.7283</v>
      </c>
      <c r="D12" s="45">
        <f t="shared" si="2"/>
        <v>0.009188678571</v>
      </c>
      <c r="E12" s="18">
        <f t="shared" si="3"/>
        <v>0.0950293444</v>
      </c>
    </row>
    <row r="13" ht="15.75" customHeight="1">
      <c r="A13" s="1">
        <v>4500.0</v>
      </c>
      <c r="B13" s="1">
        <v>34.99</v>
      </c>
      <c r="C13" s="44">
        <f t="shared" si="1"/>
        <v>40.9383</v>
      </c>
      <c r="D13" s="45">
        <f t="shared" si="2"/>
        <v>0.0090974</v>
      </c>
      <c r="E13" s="18">
        <f t="shared" si="3"/>
        <v>0.1040191494</v>
      </c>
    </row>
    <row r="14" ht="15.75" customHeight="1">
      <c r="A14" s="1">
        <v>6500.0</v>
      </c>
      <c r="B14" s="1">
        <v>49.99</v>
      </c>
      <c r="C14" s="44">
        <f t="shared" si="1"/>
        <v>58.4883</v>
      </c>
      <c r="D14" s="45">
        <f t="shared" si="2"/>
        <v>0.0089982</v>
      </c>
      <c r="E14" s="18">
        <f t="shared" si="3"/>
        <v>0.1137891167</v>
      </c>
    </row>
    <row r="15" ht="15.75" customHeight="1">
      <c r="A15" s="1">
        <v>13500.0</v>
      </c>
      <c r="B15" s="1">
        <v>99.99</v>
      </c>
      <c r="C15" s="44">
        <f t="shared" si="1"/>
        <v>116.9883</v>
      </c>
      <c r="D15" s="45">
        <f t="shared" si="2"/>
        <v>0.0086658</v>
      </c>
      <c r="E15" s="18">
        <f t="shared" si="3"/>
        <v>0.1465263861</v>
      </c>
    </row>
    <row r="16" ht="15.75" customHeight="1">
      <c r="A16" s="1">
        <v>33500.0</v>
      </c>
      <c r="B16" s="1">
        <v>244.99</v>
      </c>
      <c r="C16" s="44">
        <f t="shared" si="1"/>
        <v>286.6383</v>
      </c>
      <c r="D16" s="45">
        <f t="shared" si="2"/>
        <v>0.008556367164</v>
      </c>
      <c r="E16" s="18">
        <f t="shared" si="3"/>
        <v>0.1573041606</v>
      </c>
    </row>
    <row r="17" ht="15.75" customHeight="1">
      <c r="A17" s="1">
        <v>60200.0</v>
      </c>
      <c r="B17" s="1">
        <v>429.99</v>
      </c>
      <c r="C17" s="44">
        <f t="shared" si="1"/>
        <v>503.0883</v>
      </c>
      <c r="D17" s="45">
        <f t="shared" si="2"/>
        <v>0.008356948505</v>
      </c>
      <c r="E17" s="18">
        <f t="shared" si="3"/>
        <v>0.1769444204</v>
      </c>
    </row>
    <row r="18" ht="15.75" customHeight="1"/>
    <row r="19" ht="15.75" customHeight="1">
      <c r="A19" s="1" t="s">
        <v>100</v>
      </c>
    </row>
    <row r="20" ht="15.75" customHeight="1"/>
    <row r="21" ht="15.75" customHeight="1"/>
    <row r="22" ht="15.75" customHeight="1">
      <c r="A22" s="2" t="s">
        <v>101</v>
      </c>
    </row>
    <row r="23" ht="15.75" customHeight="1">
      <c r="A23" s="43" t="s">
        <v>96</v>
      </c>
      <c r="B23" s="43" t="s">
        <v>97</v>
      </c>
      <c r="C23" s="43" t="s">
        <v>53</v>
      </c>
      <c r="D23" s="43" t="s">
        <v>98</v>
      </c>
      <c r="E23" s="43" t="s">
        <v>99</v>
      </c>
    </row>
    <row r="24" ht="15.75" customHeight="1">
      <c r="A24" s="1">
        <v>500.0</v>
      </c>
      <c r="B24" s="1">
        <v>4.99</v>
      </c>
      <c r="C24" s="44">
        <f t="shared" ref="C24:C29" si="4">B24*B$4</f>
        <v>5.8383</v>
      </c>
      <c r="D24" s="45">
        <f t="shared" ref="D24:D29" si="5">C24/A24</f>
        <v>0.0116766</v>
      </c>
      <c r="E24" s="18">
        <f t="shared" ref="E24:E29" si="6">(D$24-D24)/D$24</f>
        <v>0</v>
      </c>
    </row>
    <row r="25" ht="15.75" customHeight="1">
      <c r="A25" s="1">
        <v>1000.0</v>
      </c>
      <c r="B25" s="1">
        <v>9.99</v>
      </c>
      <c r="C25" s="44">
        <f t="shared" si="4"/>
        <v>11.6883</v>
      </c>
      <c r="D25" s="45">
        <f t="shared" si="5"/>
        <v>0.0116883</v>
      </c>
      <c r="E25" s="18">
        <f t="shared" si="6"/>
        <v>-0.001002004008</v>
      </c>
    </row>
    <row r="26" ht="15.75" customHeight="1">
      <c r="A26" s="1">
        <v>2150.0</v>
      </c>
      <c r="B26" s="1">
        <v>19.99</v>
      </c>
      <c r="C26" s="44">
        <f t="shared" si="4"/>
        <v>23.3883</v>
      </c>
      <c r="D26" s="45">
        <f t="shared" si="5"/>
        <v>0.01087827907</v>
      </c>
      <c r="E26" s="18">
        <f t="shared" si="6"/>
        <v>0.06836929673</v>
      </c>
    </row>
    <row r="27" ht="15.75" customHeight="1">
      <c r="A27" s="1">
        <v>4350.0</v>
      </c>
      <c r="B27" s="1">
        <v>39.99</v>
      </c>
      <c r="C27" s="44">
        <f t="shared" si="4"/>
        <v>46.7883</v>
      </c>
      <c r="D27" s="45">
        <f t="shared" si="5"/>
        <v>0.01075593103</v>
      </c>
      <c r="E27" s="18">
        <f t="shared" si="6"/>
        <v>0.07884734987</v>
      </c>
    </row>
    <row r="28" ht="15.75" customHeight="1">
      <c r="A28" s="1">
        <v>6700.0</v>
      </c>
      <c r="B28" s="1">
        <v>59.99</v>
      </c>
      <c r="C28" s="44">
        <f t="shared" si="4"/>
        <v>70.1883</v>
      </c>
      <c r="D28" s="45">
        <f t="shared" si="5"/>
        <v>0.01047586567</v>
      </c>
      <c r="E28" s="18">
        <f t="shared" si="6"/>
        <v>0.1028325307</v>
      </c>
    </row>
    <row r="29" ht="15.75" customHeight="1">
      <c r="A29" s="1">
        <v>11500.0</v>
      </c>
      <c r="B29" s="1">
        <v>99.99</v>
      </c>
      <c r="C29" s="44">
        <f t="shared" si="4"/>
        <v>116.9883</v>
      </c>
      <c r="D29" s="45">
        <f t="shared" si="5"/>
        <v>0.01017289565</v>
      </c>
      <c r="E29" s="18">
        <f t="shared" si="6"/>
        <v>0.1287792977</v>
      </c>
    </row>
    <row r="30" ht="15.75" customHeight="1">
      <c r="C30" s="44"/>
      <c r="D30" s="45"/>
      <c r="E30" s="18"/>
    </row>
    <row r="31" ht="15.75" customHeight="1">
      <c r="A31" s="1" t="s">
        <v>102</v>
      </c>
      <c r="C31" s="44"/>
      <c r="D31" s="45"/>
      <c r="E31" s="18"/>
    </row>
    <row r="32" ht="15.75" customHeight="1"/>
    <row r="33" ht="15.75" customHeight="1">
      <c r="A33" s="2" t="s">
        <v>103</v>
      </c>
    </row>
    <row r="34" ht="15.75" customHeight="1">
      <c r="A34" s="43" t="s">
        <v>96</v>
      </c>
      <c r="B34" s="43" t="s">
        <v>97</v>
      </c>
      <c r="C34" s="43" t="s">
        <v>53</v>
      </c>
      <c r="D34" s="43" t="s">
        <v>98</v>
      </c>
      <c r="E34" s="43" t="s">
        <v>99</v>
      </c>
    </row>
    <row r="35" ht="15.75" customHeight="1">
      <c r="A35" s="1">
        <v>500.0</v>
      </c>
      <c r="B35" s="1">
        <v>4.99</v>
      </c>
      <c r="C35" s="44">
        <f t="shared" ref="C35:C39" si="7">B35*B$4</f>
        <v>5.8383</v>
      </c>
      <c r="D35" s="45">
        <f t="shared" ref="D35:D39" si="8">C35/A35</f>
        <v>0.0116766</v>
      </c>
      <c r="E35" s="18">
        <f t="shared" ref="E35:E39" si="9">(D$24-D35)/D$24</f>
        <v>0</v>
      </c>
    </row>
    <row r="36" ht="15.75" customHeight="1">
      <c r="A36" s="1">
        <v>1150.0</v>
      </c>
      <c r="B36" s="1">
        <v>9.99</v>
      </c>
      <c r="C36" s="44">
        <f t="shared" si="7"/>
        <v>11.6883</v>
      </c>
      <c r="D36" s="45">
        <f t="shared" si="8"/>
        <v>0.01016373913</v>
      </c>
      <c r="E36" s="18">
        <f t="shared" si="9"/>
        <v>0.1295634748</v>
      </c>
    </row>
    <row r="37" ht="15.75" customHeight="1">
      <c r="A37" s="1">
        <v>2400.0</v>
      </c>
      <c r="B37" s="1">
        <v>19.99</v>
      </c>
      <c r="C37" s="44">
        <f t="shared" si="7"/>
        <v>23.3883</v>
      </c>
      <c r="D37" s="45">
        <f t="shared" si="8"/>
        <v>0.009745125</v>
      </c>
      <c r="E37" s="18">
        <f t="shared" si="9"/>
        <v>0.1654141617</v>
      </c>
    </row>
    <row r="38" ht="15.75" customHeight="1">
      <c r="A38" s="1">
        <v>6250.0</v>
      </c>
      <c r="B38" s="1">
        <v>49.99</v>
      </c>
      <c r="C38" s="44">
        <f t="shared" si="7"/>
        <v>58.4883</v>
      </c>
      <c r="D38" s="45">
        <f t="shared" si="8"/>
        <v>0.009358128</v>
      </c>
      <c r="E38" s="18">
        <f t="shared" si="9"/>
        <v>0.1985571142</v>
      </c>
    </row>
    <row r="39" ht="15.75" customHeight="1">
      <c r="A39" s="1">
        <v>13000.0</v>
      </c>
      <c r="B39" s="1">
        <v>99.99</v>
      </c>
      <c r="C39" s="44">
        <f t="shared" si="7"/>
        <v>116.9883</v>
      </c>
      <c r="D39" s="45">
        <f t="shared" si="8"/>
        <v>0.0089991</v>
      </c>
      <c r="E39" s="18">
        <f t="shared" si="9"/>
        <v>0.2293047634</v>
      </c>
    </row>
    <row r="40" ht="15.75" customHeight="1">
      <c r="C40" s="44"/>
      <c r="D40" s="45"/>
      <c r="E40" s="18"/>
      <c r="O40" s="46" t="s">
        <v>104</v>
      </c>
    </row>
    <row r="41" ht="15.75" customHeight="1">
      <c r="A41" s="2" t="s">
        <v>105</v>
      </c>
      <c r="H41" s="46"/>
      <c r="I41" s="46"/>
      <c r="J41" s="46"/>
      <c r="K41" s="46"/>
      <c r="L41" s="46"/>
      <c r="M41" s="46"/>
      <c r="N41" s="46"/>
      <c r="O41" s="46" t="s">
        <v>106</v>
      </c>
    </row>
    <row r="42" ht="15.75" customHeight="1">
      <c r="A42" s="43" t="s">
        <v>96</v>
      </c>
      <c r="B42" s="43" t="s">
        <v>107</v>
      </c>
      <c r="C42" s="43" t="s">
        <v>53</v>
      </c>
      <c r="D42" s="43" t="s">
        <v>98</v>
      </c>
      <c r="E42" s="43" t="s">
        <v>99</v>
      </c>
      <c r="G42" s="47"/>
      <c r="H42" s="47"/>
      <c r="I42" s="47"/>
      <c r="J42" s="47"/>
      <c r="K42" s="47"/>
      <c r="L42" s="47"/>
      <c r="M42" s="47"/>
      <c r="N42" s="47"/>
      <c r="O42" s="47" t="s">
        <v>108</v>
      </c>
    </row>
    <row r="43" ht="15.75" customHeight="1">
      <c r="A43" s="1">
        <v>100.0</v>
      </c>
      <c r="B43" s="1">
        <v>15.0</v>
      </c>
      <c r="C43" s="44">
        <f t="shared" ref="C43:C50" si="10">B43*B$5</f>
        <v>1.65</v>
      </c>
      <c r="D43" s="45">
        <f t="shared" ref="D43:D50" si="11">C43/A43</f>
        <v>0.0165</v>
      </c>
      <c r="E43" s="18">
        <f t="shared" ref="E43:E50" si="12">(D$43-D43)/D$43</f>
        <v>0</v>
      </c>
      <c r="G43" s="48"/>
      <c r="H43" s="49"/>
      <c r="I43" s="50"/>
      <c r="J43" s="50"/>
      <c r="K43" s="50"/>
      <c r="L43" s="51"/>
      <c r="M43" s="50"/>
      <c r="N43" s="50"/>
      <c r="O43" s="50" t="s">
        <v>109</v>
      </c>
    </row>
    <row r="44" ht="15.75" customHeight="1">
      <c r="A44" s="1">
        <v>500.0</v>
      </c>
      <c r="B44" s="1">
        <v>65.0</v>
      </c>
      <c r="C44" s="44">
        <f t="shared" si="10"/>
        <v>7.15</v>
      </c>
      <c r="D44" s="45">
        <f t="shared" si="11"/>
        <v>0.0143</v>
      </c>
      <c r="E44" s="18">
        <f t="shared" si="12"/>
        <v>0.1333333333</v>
      </c>
      <c r="G44" s="48"/>
      <c r="H44" s="49"/>
      <c r="I44" s="50"/>
      <c r="J44" s="50"/>
      <c r="K44" s="50"/>
      <c r="L44" s="51"/>
      <c r="M44" s="50"/>
      <c r="N44" s="50"/>
      <c r="O44" s="50" t="s">
        <v>110</v>
      </c>
    </row>
    <row r="45" ht="15.75" customHeight="1">
      <c r="A45" s="1">
        <v>1050.0</v>
      </c>
      <c r="B45" s="1">
        <v>120.0</v>
      </c>
      <c r="C45" s="44">
        <f t="shared" si="10"/>
        <v>13.2</v>
      </c>
      <c r="D45" s="45">
        <f t="shared" si="11"/>
        <v>0.01257142857</v>
      </c>
      <c r="E45" s="18">
        <f t="shared" si="12"/>
        <v>0.2380952381</v>
      </c>
      <c r="H45" s="49"/>
      <c r="I45" s="50"/>
      <c r="J45" s="50"/>
      <c r="K45" s="50"/>
      <c r="L45" s="51"/>
      <c r="M45" s="50"/>
      <c r="N45" s="50"/>
      <c r="O45" s="50" t="s">
        <v>111</v>
      </c>
    </row>
    <row r="46" ht="15.75" customHeight="1">
      <c r="A46" s="1">
        <v>1600.0</v>
      </c>
      <c r="B46" s="1">
        <v>180.0</v>
      </c>
      <c r="C46" s="44">
        <f t="shared" si="10"/>
        <v>19.8</v>
      </c>
      <c r="D46" s="45">
        <f t="shared" si="11"/>
        <v>0.012375</v>
      </c>
      <c r="E46" s="18">
        <f t="shared" si="12"/>
        <v>0.25</v>
      </c>
      <c r="H46" s="49"/>
      <c r="I46" s="50"/>
      <c r="J46" s="50"/>
      <c r="K46" s="50"/>
      <c r="L46" s="51"/>
      <c r="M46" s="50"/>
      <c r="N46" s="50"/>
      <c r="O46" s="50" t="s">
        <v>112</v>
      </c>
    </row>
    <row r="47" ht="15.75" customHeight="1">
      <c r="A47" s="1">
        <v>2800.0</v>
      </c>
      <c r="B47" s="1">
        <v>279.0</v>
      </c>
      <c r="C47" s="44">
        <f t="shared" si="10"/>
        <v>30.69</v>
      </c>
      <c r="D47" s="45">
        <f t="shared" si="11"/>
        <v>0.01096071429</v>
      </c>
      <c r="E47" s="18">
        <f t="shared" si="12"/>
        <v>0.3357142857</v>
      </c>
      <c r="H47" s="49"/>
      <c r="I47" s="50"/>
      <c r="J47" s="50"/>
      <c r="K47" s="50"/>
      <c r="L47" s="51"/>
      <c r="M47" s="50"/>
      <c r="N47" s="50"/>
      <c r="O47" s="50" t="s">
        <v>113</v>
      </c>
    </row>
    <row r="48" ht="15.75" customHeight="1">
      <c r="A48" s="1">
        <v>5900.0</v>
      </c>
      <c r="B48" s="1">
        <v>580.0</v>
      </c>
      <c r="C48" s="44">
        <f t="shared" si="10"/>
        <v>63.8</v>
      </c>
      <c r="D48" s="45">
        <f t="shared" si="11"/>
        <v>0.01081355932</v>
      </c>
      <c r="E48" s="18">
        <f t="shared" si="12"/>
        <v>0.3446327684</v>
      </c>
      <c r="H48" s="49"/>
      <c r="I48" s="50"/>
      <c r="J48" s="50"/>
      <c r="K48" s="50"/>
      <c r="L48" s="51"/>
      <c r="M48" s="50"/>
      <c r="N48" s="50"/>
      <c r="O48" s="50" t="s">
        <v>114</v>
      </c>
    </row>
    <row r="49" ht="15.75" customHeight="1">
      <c r="A49" s="1">
        <v>12000.0</v>
      </c>
      <c r="B49" s="1">
        <v>1099.0</v>
      </c>
      <c r="C49" s="44">
        <f t="shared" si="10"/>
        <v>120.89</v>
      </c>
      <c r="D49" s="45">
        <f t="shared" si="11"/>
        <v>0.01007416667</v>
      </c>
      <c r="E49" s="18">
        <f t="shared" si="12"/>
        <v>0.3894444444</v>
      </c>
      <c r="H49" s="49"/>
      <c r="I49" s="50"/>
      <c r="J49" s="50"/>
      <c r="K49" s="50"/>
      <c r="L49" s="51"/>
      <c r="M49" s="50"/>
      <c r="N49" s="50"/>
      <c r="O49" s="50" t="s">
        <v>115</v>
      </c>
    </row>
    <row r="50" ht="15.75" customHeight="1">
      <c r="A50" s="1">
        <v>18500.0</v>
      </c>
      <c r="B50" s="1">
        <v>1649.0</v>
      </c>
      <c r="C50" s="44">
        <f t="shared" si="10"/>
        <v>181.39</v>
      </c>
      <c r="D50" s="45">
        <f t="shared" si="11"/>
        <v>0.009804864865</v>
      </c>
      <c r="E50" s="18">
        <f t="shared" si="12"/>
        <v>0.4057657658</v>
      </c>
      <c r="H50" s="49"/>
      <c r="I50" s="50"/>
      <c r="J50" s="50"/>
      <c r="K50" s="50"/>
      <c r="L50" s="51"/>
      <c r="M50" s="50"/>
      <c r="N50" s="50"/>
      <c r="O50" s="50" t="s">
        <v>116</v>
      </c>
    </row>
    <row r="51" ht="15.75" customHeight="1"/>
    <row r="52" ht="15.75" customHeight="1">
      <c r="A52" s="1" t="s">
        <v>117</v>
      </c>
    </row>
    <row r="53" ht="15.75" customHeight="1"/>
    <row r="54" ht="15.75" customHeight="1">
      <c r="A54" s="2" t="s">
        <v>118</v>
      </c>
    </row>
    <row r="55" ht="15.75" customHeight="1">
      <c r="A55" s="43" t="s">
        <v>96</v>
      </c>
      <c r="B55" s="43" t="s">
        <v>107</v>
      </c>
      <c r="C55" s="43" t="s">
        <v>53</v>
      </c>
      <c r="D55" s="43" t="s">
        <v>98</v>
      </c>
      <c r="E55" s="43" t="s">
        <v>99</v>
      </c>
    </row>
    <row r="56" ht="15.75" customHeight="1">
      <c r="A56" s="1">
        <v>1000.0</v>
      </c>
      <c r="B56" s="1">
        <v>82.99</v>
      </c>
      <c r="C56" s="44">
        <f t="shared" ref="C56:C59" si="13">B56*B$5</f>
        <v>9.1289</v>
      </c>
      <c r="D56" s="45">
        <f t="shared" ref="D56:D59" si="14">C56/A56</f>
        <v>0.0091289</v>
      </c>
      <c r="E56" s="18">
        <f t="shared" ref="E56:E59" si="15">(D$56-D56)/D$56</f>
        <v>0</v>
      </c>
    </row>
    <row r="57" ht="15.75" customHeight="1">
      <c r="A57" s="1">
        <v>2800.0</v>
      </c>
      <c r="B57" s="1">
        <v>214.99</v>
      </c>
      <c r="C57" s="44">
        <f t="shared" si="13"/>
        <v>23.6489</v>
      </c>
      <c r="D57" s="45">
        <f t="shared" si="14"/>
        <v>0.008446035714</v>
      </c>
      <c r="E57" s="18">
        <f t="shared" si="15"/>
        <v>0.0748024719</v>
      </c>
    </row>
    <row r="58" ht="15.75" customHeight="1">
      <c r="A58" s="1">
        <v>5000.0</v>
      </c>
      <c r="B58" s="1">
        <v>349.99</v>
      </c>
      <c r="C58" s="44">
        <f t="shared" si="13"/>
        <v>38.4989</v>
      </c>
      <c r="D58" s="45">
        <f t="shared" si="14"/>
        <v>0.00769978</v>
      </c>
      <c r="E58" s="18">
        <f t="shared" si="15"/>
        <v>0.1565489818</v>
      </c>
    </row>
    <row r="59" ht="15.75" customHeight="1">
      <c r="A59" s="1">
        <v>13500.0</v>
      </c>
      <c r="B59" s="1">
        <v>849.99</v>
      </c>
      <c r="C59" s="44">
        <f t="shared" si="13"/>
        <v>93.4989</v>
      </c>
      <c r="D59" s="45">
        <f t="shared" si="14"/>
        <v>0.006925844444</v>
      </c>
      <c r="E59" s="18">
        <f t="shared" si="15"/>
        <v>0.2413276031</v>
      </c>
    </row>
    <row r="60" ht="15.75" customHeight="1">
      <c r="C60" s="44"/>
      <c r="D60" s="45"/>
      <c r="E60" s="18"/>
    </row>
    <row r="61" ht="15.75" customHeight="1"/>
    <row r="62" ht="15.75" customHeight="1">
      <c r="A62" s="2" t="s">
        <v>119</v>
      </c>
    </row>
    <row r="63" ht="15.75" customHeight="1">
      <c r="A63" s="1" t="s">
        <v>96</v>
      </c>
      <c r="B63" s="1" t="s">
        <v>120</v>
      </c>
      <c r="C63" s="1" t="s">
        <v>53</v>
      </c>
      <c r="D63" s="43" t="s">
        <v>98</v>
      </c>
      <c r="E63" s="43" t="s">
        <v>99</v>
      </c>
    </row>
    <row r="64" ht="15.75" customHeight="1">
      <c r="A64" s="1">
        <v>100.0</v>
      </c>
      <c r="B64" s="1">
        <v>0.89</v>
      </c>
      <c r="C64" s="44">
        <f t="shared" ref="C64:C70" si="16">B64*B$2</f>
        <v>1.1926</v>
      </c>
      <c r="D64" s="45">
        <f t="shared" ref="D64:D70" si="17">C64/A64</f>
        <v>0.011926</v>
      </c>
      <c r="E64" s="18">
        <f t="shared" ref="E64:E70" si="18">(D$64-D64)/D$64</f>
        <v>0</v>
      </c>
    </row>
    <row r="65" ht="15.75" customHeight="1">
      <c r="A65" s="1">
        <v>520.0</v>
      </c>
      <c r="B65" s="1">
        <v>4.49</v>
      </c>
      <c r="C65" s="44">
        <f t="shared" si="16"/>
        <v>6.0166</v>
      </c>
      <c r="D65" s="45">
        <f t="shared" si="17"/>
        <v>0.01157038462</v>
      </c>
      <c r="E65" s="18">
        <f t="shared" si="18"/>
        <v>0.02981849611</v>
      </c>
    </row>
    <row r="66" ht="15.75" customHeight="1">
      <c r="A66" s="1">
        <v>1050.0</v>
      </c>
      <c r="B66" s="1">
        <v>8.99</v>
      </c>
      <c r="C66" s="44">
        <f t="shared" si="16"/>
        <v>12.0466</v>
      </c>
      <c r="D66" s="45">
        <f t="shared" si="17"/>
        <v>0.01147295238</v>
      </c>
      <c r="E66" s="18">
        <f t="shared" si="18"/>
        <v>0.037988229</v>
      </c>
    </row>
    <row r="67" ht="15.75" customHeight="1">
      <c r="A67" s="1">
        <v>2150.0</v>
      </c>
      <c r="B67" s="1">
        <v>17.99</v>
      </c>
      <c r="C67" s="44">
        <f t="shared" si="16"/>
        <v>24.1066</v>
      </c>
      <c r="D67" s="45">
        <f t="shared" si="17"/>
        <v>0.01121237209</v>
      </c>
      <c r="E67" s="18">
        <f t="shared" si="18"/>
        <v>0.05983799321</v>
      </c>
    </row>
    <row r="68" ht="15.75" customHeight="1">
      <c r="A68" s="1">
        <v>3300.0</v>
      </c>
      <c r="B68" s="1">
        <v>25.99</v>
      </c>
      <c r="C68" s="44">
        <f t="shared" si="16"/>
        <v>34.8266</v>
      </c>
      <c r="D68" s="45">
        <f t="shared" si="17"/>
        <v>0.01055351515</v>
      </c>
      <c r="E68" s="18">
        <f t="shared" si="18"/>
        <v>0.1150834185</v>
      </c>
    </row>
    <row r="69" ht="15.75" customHeight="1">
      <c r="A69" s="1">
        <v>5800.0</v>
      </c>
      <c r="B69" s="1">
        <v>44.99</v>
      </c>
      <c r="C69" s="44">
        <f t="shared" si="16"/>
        <v>60.2866</v>
      </c>
      <c r="D69" s="45">
        <f t="shared" si="17"/>
        <v>0.01039424138</v>
      </c>
      <c r="E69" s="18">
        <f t="shared" si="18"/>
        <v>0.1284385897</v>
      </c>
    </row>
    <row r="70" ht="15.75" customHeight="1">
      <c r="A70" s="1">
        <v>12000.0</v>
      </c>
      <c r="B70" s="1">
        <v>89.99</v>
      </c>
      <c r="C70" s="44">
        <f t="shared" si="16"/>
        <v>120.5866</v>
      </c>
      <c r="D70" s="45">
        <f t="shared" si="17"/>
        <v>0.01004888333</v>
      </c>
      <c r="E70" s="18">
        <f t="shared" si="18"/>
        <v>0.1573970037</v>
      </c>
    </row>
    <row r="71" ht="15.75" customHeight="1"/>
    <row r="72" ht="15.75" customHeight="1"/>
    <row r="73" ht="15.75" customHeight="1">
      <c r="A73" s="2" t="s">
        <v>121</v>
      </c>
    </row>
    <row r="74" ht="15.75" customHeight="1">
      <c r="A74" s="1" t="s">
        <v>96</v>
      </c>
      <c r="B74" s="1" t="s">
        <v>120</v>
      </c>
      <c r="C74" s="1" t="s">
        <v>53</v>
      </c>
      <c r="D74" s="43" t="s">
        <v>98</v>
      </c>
      <c r="E74" s="43" t="s">
        <v>99</v>
      </c>
    </row>
    <row r="75" ht="15.75" customHeight="1">
      <c r="A75" s="1">
        <v>500.0</v>
      </c>
      <c r="B75" s="1">
        <v>4.39</v>
      </c>
      <c r="C75" s="44">
        <f t="shared" ref="C75:C80" si="19">B75*B$2</f>
        <v>5.8826</v>
      </c>
      <c r="D75" s="45">
        <f t="shared" ref="D75:D80" si="20">C75/A75</f>
        <v>0.0117652</v>
      </c>
      <c r="E75" s="18">
        <f t="shared" ref="E75:E80" si="21">(D$75-D75)/D$75</f>
        <v>0</v>
      </c>
    </row>
    <row r="76" ht="15.75" customHeight="1">
      <c r="A76" s="1">
        <v>1000.0</v>
      </c>
      <c r="B76" s="1">
        <v>8.39</v>
      </c>
      <c r="C76" s="44">
        <f t="shared" si="19"/>
        <v>11.2426</v>
      </c>
      <c r="D76" s="45">
        <f t="shared" si="20"/>
        <v>0.0112426</v>
      </c>
      <c r="E76" s="18">
        <f t="shared" si="21"/>
        <v>0.0444191344</v>
      </c>
    </row>
    <row r="77" ht="15.75" customHeight="1">
      <c r="A77" s="1">
        <v>2000.0</v>
      </c>
      <c r="B77" s="1">
        <v>16.79</v>
      </c>
      <c r="C77" s="44">
        <f t="shared" si="19"/>
        <v>22.4986</v>
      </c>
      <c r="D77" s="45">
        <f t="shared" si="20"/>
        <v>0.0112493</v>
      </c>
      <c r="E77" s="18">
        <f t="shared" si="21"/>
        <v>0.04384965831</v>
      </c>
    </row>
    <row r="78" ht="15.75" customHeight="1">
      <c r="A78" s="1">
        <v>4000.0</v>
      </c>
      <c r="B78" s="1">
        <v>34.99</v>
      </c>
      <c r="C78" s="44">
        <f t="shared" si="19"/>
        <v>46.8866</v>
      </c>
      <c r="D78" s="45">
        <f t="shared" si="20"/>
        <v>0.01172165</v>
      </c>
      <c r="E78" s="18">
        <f t="shared" si="21"/>
        <v>0.003701594533</v>
      </c>
    </row>
    <row r="79" ht="15.75" customHeight="1">
      <c r="A79" s="1">
        <v>6000.0</v>
      </c>
      <c r="B79" s="1">
        <v>50.39</v>
      </c>
      <c r="C79" s="44">
        <f t="shared" si="19"/>
        <v>67.5226</v>
      </c>
      <c r="D79" s="45">
        <f t="shared" si="20"/>
        <v>0.01125376667</v>
      </c>
      <c r="E79" s="18">
        <f t="shared" si="21"/>
        <v>0.04347000759</v>
      </c>
    </row>
    <row r="80" ht="15.75" customHeight="1">
      <c r="A80" s="1">
        <v>10000.0</v>
      </c>
      <c r="B80" s="1">
        <v>84.99</v>
      </c>
      <c r="C80" s="44">
        <f t="shared" si="19"/>
        <v>113.8866</v>
      </c>
      <c r="D80" s="45">
        <f t="shared" si="20"/>
        <v>0.01138866</v>
      </c>
      <c r="E80" s="18">
        <f t="shared" si="21"/>
        <v>0.03200455581</v>
      </c>
    </row>
    <row r="81" ht="15.75" customHeight="1"/>
    <row r="82" ht="15.75" customHeight="1">
      <c r="A82" s="2"/>
    </row>
    <row r="83" ht="15.75" customHeight="1">
      <c r="C83" s="9"/>
    </row>
    <row r="84" ht="15.75" customHeight="1">
      <c r="C84" s="9"/>
    </row>
    <row r="85" ht="15.75" customHeight="1">
      <c r="C85" s="9"/>
    </row>
    <row r="86" ht="15.75" customHeight="1">
      <c r="C86" s="9"/>
    </row>
    <row r="87" ht="15.75" customHeight="1">
      <c r="C87" s="9"/>
    </row>
    <row r="88" ht="15.75" customHeight="1"/>
    <row r="89" ht="15.75" customHeight="1">
      <c r="A89" s="43"/>
    </row>
    <row r="90" ht="15.75" customHeight="1">
      <c r="A90" s="43"/>
      <c r="B90" s="43"/>
      <c r="C90" s="43"/>
      <c r="D90" s="43"/>
    </row>
    <row r="91" ht="15.75" customHeight="1">
      <c r="A91" s="52"/>
      <c r="C91" s="45"/>
      <c r="D91" s="18"/>
    </row>
    <row r="92" ht="15.75" customHeight="1">
      <c r="A92" s="52"/>
      <c r="C92" s="45"/>
      <c r="D92" s="18"/>
    </row>
    <row r="93" ht="15.75" customHeight="1">
      <c r="A93" s="52"/>
      <c r="C93" s="45"/>
      <c r="D93" s="18"/>
    </row>
    <row r="94" ht="15.75" customHeight="1">
      <c r="A94" s="52"/>
      <c r="C94" s="45"/>
      <c r="D94" s="18"/>
    </row>
    <row r="95" ht="15.75" customHeight="1">
      <c r="A95" s="52"/>
      <c r="C95" s="45"/>
      <c r="D95" s="18"/>
    </row>
    <row r="96" ht="15.75" customHeight="1">
      <c r="A96" s="52"/>
      <c r="C96" s="45"/>
      <c r="D96" s="18"/>
    </row>
    <row r="97" ht="15.75" customHeight="1">
      <c r="B97" s="44"/>
      <c r="C97" s="45"/>
      <c r="D97" s="18"/>
    </row>
    <row r="98" ht="15.75" customHeight="1">
      <c r="A98" s="43"/>
      <c r="B98" s="53"/>
    </row>
    <row r="99" ht="15.75" customHeight="1">
      <c r="A99" s="43"/>
      <c r="B99" s="43"/>
      <c r="C99" s="43"/>
      <c r="D99" s="43"/>
      <c r="E99" s="2"/>
      <c r="G99" s="2"/>
      <c r="H99" s="2"/>
    </row>
    <row r="100" ht="15.75" customHeight="1">
      <c r="A100" s="52"/>
      <c r="C100" s="45"/>
      <c r="D100" s="18"/>
    </row>
    <row r="101" ht="15.75" customHeight="1">
      <c r="A101" s="52"/>
      <c r="C101" s="45"/>
      <c r="D101" s="18"/>
      <c r="E101" s="4"/>
    </row>
    <row r="102" ht="15.75" customHeight="1">
      <c r="A102" s="52"/>
      <c r="C102" s="45"/>
      <c r="D102" s="18"/>
      <c r="E102" s="4"/>
      <c r="H102" s="44"/>
    </row>
    <row r="103" ht="15.75" customHeight="1">
      <c r="A103" s="52"/>
      <c r="C103" s="45"/>
      <c r="D103" s="18"/>
      <c r="E103" s="4"/>
      <c r="H103" s="44"/>
    </row>
    <row r="104" ht="15.75" customHeight="1">
      <c r="A104" s="52"/>
      <c r="C104" s="45"/>
      <c r="D104" s="18"/>
      <c r="E104" s="4"/>
      <c r="H104" s="44"/>
    </row>
    <row r="105" ht="15.75" customHeight="1">
      <c r="A105" s="52"/>
      <c r="C105" s="45"/>
      <c r="D105" s="18"/>
      <c r="E105" s="4"/>
      <c r="H105" s="44"/>
    </row>
    <row r="106" ht="15.75" customHeight="1">
      <c r="A106" s="52"/>
      <c r="C106" s="45"/>
      <c r="D106" s="18"/>
      <c r="E106" s="4"/>
      <c r="H106" s="44"/>
    </row>
    <row r="107" ht="15.75" customHeight="1">
      <c r="H107" s="44"/>
    </row>
    <row r="108" ht="15.75" customHeight="1">
      <c r="A108" s="43"/>
      <c r="B108" s="5"/>
      <c r="H108" s="44"/>
    </row>
    <row r="109" ht="15.75" customHeight="1">
      <c r="A109" s="43"/>
      <c r="B109" s="43"/>
      <c r="C109" s="43"/>
      <c r="D109" s="43"/>
      <c r="E109" s="2"/>
      <c r="H109" s="44"/>
    </row>
    <row r="110" ht="15.75" customHeight="1">
      <c r="A110" s="52"/>
      <c r="C110" s="45"/>
      <c r="D110" s="18"/>
      <c r="H110" s="44"/>
    </row>
    <row r="111" ht="15.75" customHeight="1">
      <c r="A111" s="52"/>
      <c r="C111" s="45"/>
      <c r="D111" s="18"/>
      <c r="E111" s="4"/>
      <c r="H111" s="44"/>
    </row>
    <row r="112" ht="15.75" customHeight="1">
      <c r="A112" s="52"/>
      <c r="C112" s="45"/>
      <c r="D112" s="18"/>
      <c r="E112" s="4"/>
      <c r="H112" s="44"/>
    </row>
    <row r="113" ht="15.75" customHeight="1">
      <c r="A113" s="52"/>
      <c r="C113" s="45"/>
      <c r="D113" s="18"/>
      <c r="E113" s="4"/>
      <c r="H113" s="44"/>
    </row>
    <row r="114" ht="15.75" customHeight="1">
      <c r="A114" s="52"/>
      <c r="C114" s="45"/>
      <c r="D114" s="18"/>
      <c r="E114" s="4"/>
      <c r="H114" s="44"/>
    </row>
    <row r="115" ht="15.75" customHeight="1">
      <c r="A115" s="52"/>
      <c r="C115" s="45"/>
      <c r="D115" s="18"/>
      <c r="E115" s="4"/>
      <c r="H115" s="44"/>
    </row>
    <row r="116" ht="15.75" customHeight="1">
      <c r="A116" s="52"/>
      <c r="C116" s="45"/>
      <c r="D116" s="18"/>
      <c r="E116" s="4"/>
      <c r="H116" s="44"/>
    </row>
    <row r="117" ht="15.75" customHeight="1"/>
    <row r="118" ht="15.75" customHeight="1">
      <c r="A118" s="43"/>
      <c r="H118" s="44"/>
    </row>
    <row r="119" ht="15.75" customHeight="1">
      <c r="A119" s="43"/>
      <c r="B119" s="43"/>
      <c r="C119" s="43"/>
      <c r="D119" s="43"/>
      <c r="E119" s="2"/>
      <c r="H119" s="44"/>
    </row>
    <row r="120" ht="15.75" customHeight="1">
      <c r="A120" s="52"/>
      <c r="C120" s="45"/>
      <c r="D120" s="18"/>
      <c r="E120" s="4"/>
      <c r="H120" s="44"/>
    </row>
    <row r="121" ht="15.75" customHeight="1">
      <c r="A121" s="52"/>
      <c r="C121" s="45"/>
      <c r="D121" s="18"/>
      <c r="E121" s="4"/>
      <c r="H121" s="44"/>
    </row>
    <row r="122" ht="15.75" customHeight="1">
      <c r="A122" s="52"/>
      <c r="C122" s="45"/>
      <c r="D122" s="18"/>
      <c r="E122" s="4"/>
      <c r="H122" s="44"/>
    </row>
    <row r="123" ht="15.75" customHeight="1">
      <c r="A123" s="52"/>
      <c r="C123" s="45"/>
      <c r="D123" s="18"/>
      <c r="E123" s="4"/>
      <c r="H123" s="44"/>
    </row>
    <row r="124" ht="15.75" customHeight="1">
      <c r="A124" s="52"/>
      <c r="C124" s="45"/>
      <c r="D124" s="18"/>
      <c r="E124" s="4"/>
      <c r="H124" s="44"/>
    </row>
    <row r="125" ht="15.75" customHeight="1">
      <c r="A125" s="52"/>
      <c r="C125" s="45"/>
      <c r="D125" s="18"/>
      <c r="E125" s="4"/>
      <c r="H125" s="44"/>
    </row>
    <row r="126" ht="15.75" customHeight="1">
      <c r="A126" s="52"/>
      <c r="C126" s="45"/>
      <c r="D126" s="18"/>
      <c r="E126" s="4"/>
      <c r="H126" s="44"/>
    </row>
    <row r="127" ht="15.75" customHeight="1">
      <c r="A127" s="2"/>
      <c r="B127" s="2"/>
      <c r="C127" s="2"/>
      <c r="D127" s="2"/>
      <c r="E127" s="2"/>
      <c r="F127" s="2"/>
    </row>
    <row r="128" ht="15.75" customHeight="1">
      <c r="A128" s="43"/>
      <c r="H128" s="44"/>
    </row>
    <row r="129" ht="15.75" customHeight="1">
      <c r="A129" s="43"/>
      <c r="B129" s="43"/>
      <c r="C129" s="43"/>
      <c r="D129" s="43"/>
      <c r="E129" s="2"/>
      <c r="H129" s="44"/>
    </row>
    <row r="130" ht="15.75" customHeight="1">
      <c r="A130" s="52"/>
      <c r="C130" s="45"/>
      <c r="D130" s="18"/>
      <c r="E130" s="4"/>
      <c r="H130" s="44"/>
    </row>
    <row r="131" ht="15.75" customHeight="1">
      <c r="A131" s="52"/>
      <c r="C131" s="45"/>
      <c r="D131" s="18"/>
      <c r="E131" s="4"/>
      <c r="H131" s="44"/>
    </row>
    <row r="132" ht="15.75" customHeight="1">
      <c r="A132" s="52"/>
      <c r="C132" s="45"/>
      <c r="D132" s="18"/>
      <c r="E132" s="4"/>
      <c r="H132" s="44"/>
    </row>
    <row r="133" ht="15.75" customHeight="1">
      <c r="A133" s="52"/>
      <c r="C133" s="45"/>
      <c r="D133" s="18"/>
      <c r="E133" s="4"/>
      <c r="H133" s="44"/>
    </row>
    <row r="134" ht="15.75" customHeight="1">
      <c r="A134" s="52"/>
      <c r="C134" s="45"/>
      <c r="D134" s="18"/>
      <c r="E134" s="4"/>
      <c r="H134" s="44"/>
    </row>
    <row r="135" ht="15.75" customHeight="1">
      <c r="A135" s="52"/>
      <c r="C135" s="45"/>
      <c r="D135" s="18"/>
      <c r="E135" s="4"/>
      <c r="H135" s="44"/>
    </row>
    <row r="136" ht="15.75" customHeight="1">
      <c r="A136" s="52"/>
      <c r="C136" s="45"/>
      <c r="D136" s="18"/>
      <c r="E136" s="4"/>
      <c r="H136" s="44"/>
    </row>
    <row r="137" ht="15.75" customHeight="1"/>
    <row r="138" ht="15.75" customHeight="1"/>
    <row r="139" ht="15.75" customHeight="1">
      <c r="A139" s="2"/>
      <c r="B139" s="2"/>
      <c r="C139" s="2"/>
      <c r="D139" s="2"/>
      <c r="E139" s="2"/>
      <c r="F139" s="2"/>
    </row>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83:C87">
    <cfRule type="expression" dxfId="1" priority="1">
      <formula>AND($C83&lt;&gt;"", $D83&lt;&gt;"")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54"/>
      <c r="B1" s="55" t="s">
        <v>95</v>
      </c>
      <c r="D1" s="54"/>
      <c r="E1" s="54"/>
      <c r="F1" s="54"/>
      <c r="G1" s="54"/>
      <c r="H1" s="54"/>
      <c r="I1" s="54"/>
      <c r="J1" s="54"/>
      <c r="K1" s="54"/>
      <c r="L1" s="54"/>
      <c r="M1" s="54"/>
      <c r="N1" s="54"/>
      <c r="O1" s="54"/>
      <c r="P1" s="56"/>
      <c r="Q1" s="56"/>
      <c r="R1" s="56"/>
      <c r="S1" s="56"/>
      <c r="T1" s="56"/>
      <c r="U1" s="56"/>
      <c r="V1" s="56"/>
      <c r="W1" s="56"/>
      <c r="X1" s="56"/>
      <c r="Y1" s="56"/>
      <c r="Z1" s="56"/>
    </row>
    <row r="2" ht="15.75" customHeight="1">
      <c r="A2" s="41"/>
      <c r="B2" s="41"/>
      <c r="C2" s="41"/>
      <c r="D2" s="41"/>
      <c r="E2" s="41"/>
      <c r="F2" s="41"/>
      <c r="G2" s="41"/>
      <c r="H2" s="41"/>
      <c r="I2" s="41"/>
      <c r="J2" s="41"/>
      <c r="K2" s="41"/>
      <c r="L2" s="41"/>
      <c r="M2" s="41"/>
      <c r="N2" s="41"/>
      <c r="O2" s="41"/>
      <c r="P2" s="57"/>
      <c r="Q2" s="57"/>
      <c r="R2" s="57"/>
      <c r="S2" s="57"/>
      <c r="T2" s="57"/>
      <c r="U2" s="57"/>
      <c r="V2" s="57"/>
      <c r="W2" s="57"/>
      <c r="X2" s="57"/>
      <c r="Y2" s="57"/>
      <c r="Z2" s="57"/>
    </row>
    <row r="3" ht="15.75" customHeight="1">
      <c r="A3" s="41"/>
      <c r="B3" s="58" t="s">
        <v>122</v>
      </c>
      <c r="C3" s="58" t="s">
        <v>97</v>
      </c>
      <c r="D3" s="58" t="s">
        <v>53</v>
      </c>
      <c r="E3" s="58" t="s">
        <v>123</v>
      </c>
      <c r="F3" s="58" t="s">
        <v>124</v>
      </c>
      <c r="G3" s="58" t="s">
        <v>125</v>
      </c>
      <c r="H3" s="58" t="s">
        <v>126</v>
      </c>
      <c r="I3" s="58" t="s">
        <v>125</v>
      </c>
      <c r="J3" s="58" t="s">
        <v>127</v>
      </c>
      <c r="K3" s="58" t="s">
        <v>125</v>
      </c>
      <c r="M3" s="41"/>
      <c r="N3" s="41" t="s">
        <v>128</v>
      </c>
      <c r="O3" s="41"/>
      <c r="P3" s="57"/>
      <c r="Q3" s="57"/>
      <c r="R3" s="57"/>
      <c r="S3" s="57"/>
      <c r="T3" s="57"/>
      <c r="U3" s="57"/>
      <c r="V3" s="57"/>
      <c r="W3" s="57"/>
      <c r="X3" s="57"/>
      <c r="Y3" s="57"/>
      <c r="Z3" s="57"/>
    </row>
    <row r="4" ht="15.75" customHeight="1">
      <c r="A4" s="41"/>
      <c r="B4" s="42">
        <v>1380.0</v>
      </c>
      <c r="C4" s="42">
        <v>10.99</v>
      </c>
      <c r="D4" s="59">
        <f t="shared" ref="D4:D6" si="1">C4*O$6</f>
        <v>12.8583</v>
      </c>
      <c r="E4" s="60">
        <f t="shared" ref="E4:E6" si="2">D4/B4</f>
        <v>0.009317608696</v>
      </c>
      <c r="F4" s="42">
        <v>1350.0</v>
      </c>
      <c r="G4" s="61">
        <f t="shared" ref="G4:G6" si="3">E4*F4</f>
        <v>12.57877174</v>
      </c>
      <c r="H4" s="42">
        <v>3250.0</v>
      </c>
      <c r="I4" s="61">
        <f t="shared" ref="I4:I6" si="4">H4*E4</f>
        <v>30.28222826</v>
      </c>
      <c r="J4" s="42">
        <v>450.0</v>
      </c>
      <c r="K4" s="62">
        <f t="shared" ref="K4:K6" si="5">J4*E4</f>
        <v>4.192923913</v>
      </c>
      <c r="L4" s="41"/>
      <c r="M4" s="41"/>
      <c r="N4" s="41"/>
      <c r="O4" s="42"/>
      <c r="P4" s="57"/>
      <c r="Q4" s="57"/>
      <c r="R4" s="57"/>
      <c r="S4" s="57"/>
      <c r="T4" s="57"/>
      <c r="U4" s="57"/>
      <c r="V4" s="57"/>
      <c r="W4" s="57"/>
      <c r="X4" s="57"/>
      <c r="Y4" s="57"/>
      <c r="Z4" s="57"/>
    </row>
    <row r="5" ht="15.75" customHeight="1">
      <c r="A5" s="41"/>
      <c r="B5" s="42">
        <v>2800.0</v>
      </c>
      <c r="C5" s="42">
        <v>21.99</v>
      </c>
      <c r="D5" s="59">
        <f t="shared" si="1"/>
        <v>25.7283</v>
      </c>
      <c r="E5" s="60">
        <f t="shared" si="2"/>
        <v>0.009188678571</v>
      </c>
      <c r="F5" s="42">
        <v>1350.0</v>
      </c>
      <c r="G5" s="61">
        <f t="shared" si="3"/>
        <v>12.40471607</v>
      </c>
      <c r="H5" s="42">
        <v>3250.0</v>
      </c>
      <c r="I5" s="61">
        <f t="shared" si="4"/>
        <v>29.86320536</v>
      </c>
      <c r="J5" s="42">
        <v>450.0</v>
      </c>
      <c r="K5" s="62">
        <f t="shared" si="5"/>
        <v>4.134905357</v>
      </c>
      <c r="L5" s="41"/>
      <c r="M5" s="41"/>
      <c r="N5" s="41" t="s">
        <v>92</v>
      </c>
      <c r="O5" s="42">
        <v>9.36</v>
      </c>
      <c r="P5" s="57"/>
      <c r="Q5" s="57"/>
      <c r="R5" s="57"/>
      <c r="S5" s="57"/>
      <c r="T5" s="57"/>
      <c r="U5" s="57"/>
      <c r="V5" s="57"/>
      <c r="W5" s="57"/>
      <c r="X5" s="57"/>
      <c r="Y5" s="57"/>
      <c r="Z5" s="57"/>
    </row>
    <row r="6" ht="15.75" customHeight="1">
      <c r="A6" s="41"/>
      <c r="B6" s="42">
        <v>33500.0</v>
      </c>
      <c r="C6" s="42">
        <v>244.99</v>
      </c>
      <c r="D6" s="59">
        <f t="shared" si="1"/>
        <v>286.6383</v>
      </c>
      <c r="E6" s="60">
        <f t="shared" si="2"/>
        <v>0.008556367164</v>
      </c>
      <c r="F6" s="42">
        <v>1350.0</v>
      </c>
      <c r="G6" s="61">
        <f t="shared" si="3"/>
        <v>11.55109567</v>
      </c>
      <c r="H6" s="42">
        <v>3250.0</v>
      </c>
      <c r="I6" s="61">
        <f t="shared" si="4"/>
        <v>27.80819328</v>
      </c>
      <c r="J6" s="42">
        <v>450.0</v>
      </c>
      <c r="K6" s="62">
        <f t="shared" si="5"/>
        <v>3.850365224</v>
      </c>
      <c r="L6" s="41"/>
      <c r="M6" s="41"/>
      <c r="N6" s="41" t="s">
        <v>93</v>
      </c>
      <c r="O6" s="42">
        <v>1.17</v>
      </c>
      <c r="P6" s="57"/>
      <c r="Q6" s="57"/>
      <c r="R6" s="57"/>
      <c r="S6" s="57"/>
      <c r="T6" s="57"/>
      <c r="U6" s="57"/>
      <c r="V6" s="57"/>
      <c r="W6" s="57"/>
      <c r="X6" s="57"/>
      <c r="Y6" s="57"/>
      <c r="Z6" s="57"/>
    </row>
    <row r="7" ht="15.75" customHeight="1">
      <c r="A7" s="41"/>
      <c r="B7" s="57"/>
      <c r="C7" s="57"/>
      <c r="D7" s="57"/>
      <c r="E7" s="57"/>
      <c r="F7" s="57"/>
      <c r="G7" s="57"/>
      <c r="H7" s="57"/>
      <c r="I7" s="57"/>
      <c r="J7" s="57"/>
      <c r="K7" s="57"/>
      <c r="L7" s="41"/>
      <c r="M7" s="41"/>
      <c r="N7" s="41" t="s">
        <v>94</v>
      </c>
      <c r="O7" s="42">
        <v>0.11</v>
      </c>
      <c r="P7" s="57"/>
      <c r="Q7" s="57"/>
      <c r="R7" s="57"/>
      <c r="S7" s="57"/>
      <c r="T7" s="57"/>
      <c r="U7" s="57"/>
      <c r="V7" s="57"/>
      <c r="W7" s="57"/>
      <c r="X7" s="57"/>
      <c r="Y7" s="57"/>
      <c r="Z7" s="57"/>
    </row>
    <row r="8" ht="15.75" customHeight="1">
      <c r="A8" s="41"/>
      <c r="B8" s="41" t="s">
        <v>124</v>
      </c>
      <c r="C8" s="41" t="s">
        <v>129</v>
      </c>
      <c r="G8" s="41"/>
      <c r="H8" s="41"/>
      <c r="I8" s="41"/>
      <c r="J8" s="41"/>
      <c r="K8" s="41"/>
      <c r="L8" s="41"/>
      <c r="M8" s="41"/>
      <c r="N8" s="41"/>
      <c r="O8" s="41"/>
      <c r="P8" s="57"/>
      <c r="Q8" s="57"/>
      <c r="R8" s="57"/>
      <c r="S8" s="57"/>
      <c r="T8" s="57"/>
      <c r="U8" s="57"/>
      <c r="V8" s="57"/>
      <c r="W8" s="57"/>
      <c r="X8" s="57"/>
      <c r="Y8" s="57"/>
      <c r="Z8" s="57"/>
    </row>
    <row r="9" ht="15.75" customHeight="1">
      <c r="A9" s="41"/>
      <c r="B9" s="41" t="s">
        <v>126</v>
      </c>
      <c r="C9" s="41" t="s">
        <v>130</v>
      </c>
      <c r="F9" s="41"/>
      <c r="G9" s="41"/>
      <c r="H9" s="41"/>
      <c r="I9" s="41"/>
      <c r="J9" s="41"/>
      <c r="K9" s="41"/>
      <c r="L9" s="41"/>
      <c r="M9" s="41"/>
      <c r="N9" s="41"/>
      <c r="O9" s="41"/>
      <c r="P9" s="57"/>
      <c r="Q9" s="57"/>
      <c r="R9" s="57"/>
      <c r="S9" s="57"/>
      <c r="T9" s="57"/>
      <c r="U9" s="57"/>
      <c r="V9" s="57"/>
      <c r="W9" s="57"/>
      <c r="X9" s="57"/>
      <c r="Y9" s="57"/>
      <c r="Z9" s="57"/>
    </row>
    <row r="10" ht="15.75" customHeight="1">
      <c r="A10" s="41"/>
      <c r="B10" s="41" t="s">
        <v>127</v>
      </c>
      <c r="C10" s="41" t="s">
        <v>131</v>
      </c>
      <c r="J10" s="41"/>
      <c r="K10" s="41"/>
      <c r="L10" s="41"/>
      <c r="M10" s="41"/>
      <c r="N10" s="41"/>
      <c r="O10" s="41"/>
      <c r="P10" s="57"/>
      <c r="Q10" s="57"/>
      <c r="R10" s="57"/>
      <c r="S10" s="57"/>
      <c r="T10" s="57"/>
      <c r="U10" s="57"/>
      <c r="V10" s="57"/>
      <c r="W10" s="57"/>
      <c r="X10" s="57"/>
      <c r="Y10" s="57"/>
      <c r="Z10" s="57"/>
    </row>
    <row r="11" ht="15.75" customHeight="1">
      <c r="A11" s="41"/>
      <c r="B11" s="57"/>
      <c r="C11" s="57"/>
      <c r="D11" s="57"/>
      <c r="E11" s="57"/>
      <c r="F11" s="57"/>
      <c r="G11" s="57"/>
      <c r="H11" s="57"/>
      <c r="I11" s="57"/>
      <c r="J11" s="41"/>
      <c r="K11" s="41"/>
      <c r="L11" s="41"/>
      <c r="M11" s="41"/>
      <c r="N11" s="41"/>
      <c r="O11" s="41"/>
      <c r="P11" s="57"/>
      <c r="Q11" s="57"/>
      <c r="R11" s="57"/>
      <c r="S11" s="57"/>
      <c r="T11" s="57"/>
      <c r="U11" s="57"/>
      <c r="V11" s="57"/>
      <c r="W11" s="57"/>
      <c r="X11" s="57"/>
      <c r="Y11" s="57"/>
      <c r="Z11" s="57"/>
    </row>
    <row r="12" ht="15.75" customHeight="1">
      <c r="A12" s="41"/>
      <c r="B12" s="41"/>
      <c r="C12" s="41"/>
      <c r="D12" s="41"/>
      <c r="E12" s="41"/>
      <c r="F12" s="41"/>
      <c r="G12" s="41"/>
      <c r="H12" s="41"/>
      <c r="I12" s="41"/>
      <c r="J12" s="41"/>
      <c r="K12" s="41"/>
      <c r="L12" s="41"/>
      <c r="M12" s="41"/>
      <c r="N12" s="41"/>
      <c r="O12" s="41"/>
      <c r="P12" s="57"/>
      <c r="Q12" s="57"/>
      <c r="R12" s="57"/>
      <c r="S12" s="57"/>
      <c r="T12" s="57"/>
      <c r="U12" s="57"/>
      <c r="V12" s="57"/>
      <c r="W12" s="57"/>
      <c r="X12" s="57"/>
      <c r="Y12" s="57"/>
      <c r="Z12" s="57"/>
    </row>
    <row r="13" ht="15.75" customHeight="1">
      <c r="A13" s="54"/>
      <c r="B13" s="55" t="s">
        <v>118</v>
      </c>
      <c r="C13" s="54"/>
      <c r="D13" s="54"/>
      <c r="E13" s="54"/>
      <c r="F13" s="54"/>
      <c r="G13" s="54"/>
      <c r="H13" s="54"/>
      <c r="I13" s="54"/>
      <c r="J13" s="54"/>
      <c r="K13" s="54"/>
      <c r="L13" s="54"/>
      <c r="M13" s="54"/>
      <c r="N13" s="54"/>
      <c r="O13" s="54"/>
      <c r="P13" s="56"/>
      <c r="Q13" s="56"/>
      <c r="R13" s="56"/>
      <c r="S13" s="56"/>
      <c r="T13" s="56"/>
      <c r="U13" s="56"/>
      <c r="V13" s="56"/>
      <c r="W13" s="56"/>
      <c r="X13" s="56"/>
      <c r="Y13" s="56"/>
      <c r="Z13" s="56"/>
    </row>
    <row r="14" ht="15.75" customHeight="1">
      <c r="A14" s="41"/>
      <c r="B14" s="63" t="s">
        <v>132</v>
      </c>
      <c r="C14" s="41"/>
      <c r="D14" s="41"/>
      <c r="E14" s="41"/>
      <c r="F14" s="41"/>
      <c r="G14" s="41"/>
      <c r="H14" s="41"/>
      <c r="I14" s="41"/>
      <c r="J14" s="41"/>
      <c r="K14" s="41"/>
      <c r="L14" s="41"/>
      <c r="M14" s="41"/>
      <c r="N14" s="41"/>
      <c r="O14" s="41"/>
      <c r="P14" s="57"/>
      <c r="Q14" s="57"/>
      <c r="R14" s="57"/>
      <c r="S14" s="57"/>
      <c r="T14" s="57"/>
      <c r="U14" s="57"/>
      <c r="V14" s="57"/>
      <c r="W14" s="57"/>
      <c r="X14" s="57"/>
      <c r="Y14" s="57"/>
      <c r="Z14" s="57"/>
    </row>
    <row r="15" ht="15.75" customHeight="1">
      <c r="A15" s="41"/>
      <c r="B15" s="58" t="s">
        <v>133</v>
      </c>
      <c r="C15" s="58" t="s">
        <v>107</v>
      </c>
      <c r="D15" s="58" t="s">
        <v>53</v>
      </c>
      <c r="E15" s="58" t="s">
        <v>123</v>
      </c>
      <c r="F15" s="58" t="s">
        <v>134</v>
      </c>
      <c r="G15" s="58" t="s">
        <v>125</v>
      </c>
      <c r="H15" s="58" t="s">
        <v>135</v>
      </c>
      <c r="I15" s="58" t="s">
        <v>125</v>
      </c>
      <c r="J15" s="58" t="s">
        <v>136</v>
      </c>
      <c r="K15" s="58" t="s">
        <v>125</v>
      </c>
      <c r="M15" s="41"/>
      <c r="N15" s="41"/>
      <c r="O15" s="41"/>
      <c r="P15" s="57"/>
      <c r="Q15" s="57"/>
      <c r="R15" s="57"/>
      <c r="S15" s="57"/>
      <c r="T15" s="57"/>
      <c r="U15" s="57"/>
      <c r="V15" s="57"/>
      <c r="W15" s="57"/>
      <c r="X15" s="57"/>
      <c r="Y15" s="57"/>
      <c r="Z15" s="57"/>
    </row>
    <row r="16" ht="15.75" customHeight="1">
      <c r="A16" s="41"/>
      <c r="B16" s="42">
        <v>2800.0</v>
      </c>
      <c r="C16" s="42">
        <v>214.99</v>
      </c>
      <c r="D16" s="59">
        <f t="shared" ref="D16:D18" si="6">C16*O$7</f>
        <v>23.6489</v>
      </c>
      <c r="E16" s="62">
        <f t="shared" ref="E16:E18" si="7">D16/B16</f>
        <v>0.008446035714</v>
      </c>
      <c r="F16" s="42">
        <v>200.0</v>
      </c>
      <c r="G16" s="60">
        <f t="shared" ref="G16:G18" si="8">F16*E16</f>
        <v>1.689207143</v>
      </c>
      <c r="H16" s="42">
        <v>500.0</v>
      </c>
      <c r="I16" s="62">
        <f t="shared" ref="I16:I18" si="9">H16*E16</f>
        <v>4.223017857</v>
      </c>
      <c r="J16" s="42">
        <v>800.0</v>
      </c>
      <c r="K16" s="62">
        <f t="shared" ref="K16:K18" si="10">J16*E16</f>
        <v>6.756828571</v>
      </c>
      <c r="L16" s="41"/>
      <c r="M16" s="41"/>
      <c r="N16" s="41"/>
      <c r="O16" s="41"/>
      <c r="P16" s="57"/>
      <c r="Q16" s="57"/>
      <c r="R16" s="57"/>
      <c r="S16" s="57"/>
      <c r="T16" s="57"/>
      <c r="U16" s="57"/>
      <c r="V16" s="57"/>
      <c r="W16" s="57"/>
      <c r="X16" s="57"/>
      <c r="Y16" s="57"/>
      <c r="Z16" s="57"/>
    </row>
    <row r="17" ht="15.75" customHeight="1">
      <c r="A17" s="41"/>
      <c r="B17" s="42">
        <v>5000.0</v>
      </c>
      <c r="C17" s="42">
        <v>349.99</v>
      </c>
      <c r="D17" s="59">
        <f t="shared" si="6"/>
        <v>38.4989</v>
      </c>
      <c r="E17" s="62">
        <f t="shared" si="7"/>
        <v>0.00769978</v>
      </c>
      <c r="F17" s="42">
        <v>200.0</v>
      </c>
      <c r="G17" s="60">
        <f t="shared" si="8"/>
        <v>1.539956</v>
      </c>
      <c r="H17" s="42">
        <v>500.0</v>
      </c>
      <c r="I17" s="62">
        <f t="shared" si="9"/>
        <v>3.84989</v>
      </c>
      <c r="J17" s="42">
        <v>800.0</v>
      </c>
      <c r="K17" s="62">
        <f t="shared" si="10"/>
        <v>6.159824</v>
      </c>
      <c r="L17" s="41"/>
      <c r="M17" s="41"/>
      <c r="N17" s="41"/>
      <c r="O17" s="41"/>
      <c r="P17" s="57"/>
      <c r="Q17" s="57"/>
      <c r="R17" s="57"/>
      <c r="S17" s="57"/>
      <c r="T17" s="57"/>
      <c r="U17" s="57"/>
      <c r="V17" s="57"/>
      <c r="W17" s="57"/>
      <c r="X17" s="57"/>
      <c r="Y17" s="57"/>
      <c r="Z17" s="57"/>
    </row>
    <row r="18" ht="15.75" customHeight="1">
      <c r="A18" s="41"/>
      <c r="B18" s="42">
        <v>13500.0</v>
      </c>
      <c r="C18" s="42">
        <v>849.99</v>
      </c>
      <c r="D18" s="59">
        <f t="shared" si="6"/>
        <v>93.4989</v>
      </c>
      <c r="E18" s="62">
        <f t="shared" si="7"/>
        <v>0.006925844444</v>
      </c>
      <c r="F18" s="42">
        <v>200.0</v>
      </c>
      <c r="G18" s="60">
        <f t="shared" si="8"/>
        <v>1.385168889</v>
      </c>
      <c r="H18" s="42">
        <v>500.0</v>
      </c>
      <c r="I18" s="62">
        <f t="shared" si="9"/>
        <v>3.462922222</v>
      </c>
      <c r="J18" s="42">
        <v>800.0</v>
      </c>
      <c r="K18" s="62">
        <f t="shared" si="10"/>
        <v>5.540675556</v>
      </c>
      <c r="L18" s="41"/>
      <c r="M18" s="41"/>
      <c r="N18" s="41"/>
      <c r="O18" s="41"/>
      <c r="P18" s="57"/>
      <c r="Q18" s="57"/>
      <c r="R18" s="57"/>
      <c r="S18" s="57"/>
      <c r="T18" s="57"/>
      <c r="U18" s="57"/>
      <c r="V18" s="57"/>
      <c r="W18" s="57"/>
      <c r="X18" s="57"/>
      <c r="Y18" s="57"/>
      <c r="Z18" s="57"/>
    </row>
    <row r="19" ht="15.75" customHeight="1">
      <c r="A19" s="57"/>
      <c r="C19" s="57"/>
      <c r="D19" s="57"/>
      <c r="E19" s="57"/>
      <c r="F19" s="57"/>
      <c r="G19" s="57"/>
      <c r="H19" s="57"/>
      <c r="I19" s="57"/>
      <c r="J19" s="57"/>
      <c r="K19" s="57"/>
      <c r="L19" s="57"/>
      <c r="M19" s="57"/>
      <c r="N19" s="57"/>
      <c r="O19" s="57"/>
      <c r="P19" s="57"/>
      <c r="Q19" s="57"/>
      <c r="R19" s="57"/>
      <c r="S19" s="57"/>
      <c r="T19" s="57"/>
      <c r="U19" s="57"/>
      <c r="V19" s="57"/>
      <c r="W19" s="57"/>
      <c r="X19" s="57"/>
      <c r="Y19" s="57"/>
      <c r="Z19" s="57"/>
    </row>
    <row r="20" ht="15.75" customHeight="1">
      <c r="A20" s="57"/>
      <c r="B20" s="64" t="s">
        <v>137</v>
      </c>
      <c r="C20" s="57"/>
      <c r="D20" s="57"/>
      <c r="E20" s="57"/>
      <c r="F20" s="57"/>
      <c r="G20" s="57"/>
      <c r="H20" s="57"/>
      <c r="I20" s="57"/>
      <c r="J20" s="57"/>
      <c r="K20" s="57"/>
      <c r="L20" s="57"/>
      <c r="M20" s="57"/>
      <c r="N20" s="57"/>
      <c r="O20" s="57"/>
      <c r="P20" s="57"/>
      <c r="Q20" s="57"/>
      <c r="R20" s="57"/>
      <c r="S20" s="57"/>
      <c r="T20" s="57"/>
      <c r="U20" s="57"/>
      <c r="V20" s="57"/>
      <c r="W20" s="57"/>
      <c r="X20" s="57"/>
      <c r="Y20" s="57"/>
      <c r="Z20" s="57"/>
    </row>
    <row r="21" ht="15.75" customHeight="1">
      <c r="A21" s="57"/>
      <c r="B21" s="58" t="s">
        <v>133</v>
      </c>
      <c r="C21" s="58" t="s">
        <v>107</v>
      </c>
      <c r="D21" s="58" t="s">
        <v>53</v>
      </c>
      <c r="E21" s="58" t="s">
        <v>123</v>
      </c>
      <c r="F21" s="58" t="s">
        <v>124</v>
      </c>
      <c r="G21" s="58" t="s">
        <v>125</v>
      </c>
      <c r="H21" s="58" t="s">
        <v>126</v>
      </c>
      <c r="I21" s="58" t="s">
        <v>125</v>
      </c>
      <c r="J21" s="58" t="s">
        <v>127</v>
      </c>
      <c r="K21" s="58" t="s">
        <v>125</v>
      </c>
      <c r="M21" s="57"/>
      <c r="N21" s="57"/>
      <c r="O21" s="57"/>
      <c r="P21" s="57"/>
      <c r="Q21" s="57"/>
      <c r="R21" s="57"/>
      <c r="S21" s="57"/>
      <c r="T21" s="57"/>
      <c r="U21" s="57"/>
      <c r="V21" s="57"/>
      <c r="W21" s="57"/>
      <c r="X21" s="57"/>
      <c r="Y21" s="57"/>
      <c r="Z21" s="57"/>
    </row>
    <row r="22" ht="15.75" customHeight="1">
      <c r="A22" s="57"/>
      <c r="B22" s="42">
        <v>2800.0</v>
      </c>
      <c r="C22" s="42">
        <v>214.99</v>
      </c>
      <c r="D22" s="59">
        <f t="shared" ref="D22:D24" si="11">C22*O$7</f>
        <v>23.6489</v>
      </c>
      <c r="E22" s="62">
        <f t="shared" ref="E22:E24" si="12">D22/B22</f>
        <v>0.008446035714</v>
      </c>
      <c r="F22" s="42">
        <v>1200.0</v>
      </c>
      <c r="G22" s="60">
        <f t="shared" ref="G22:G24" si="13">F22*E22</f>
        <v>10.13524286</v>
      </c>
      <c r="H22" s="42">
        <v>1500.0</v>
      </c>
      <c r="I22" s="62">
        <f t="shared" ref="I22:I24" si="14">H22*E22</f>
        <v>12.66905357</v>
      </c>
      <c r="J22" s="42">
        <v>1800.0</v>
      </c>
      <c r="K22" s="62">
        <f t="shared" ref="K22:K24" si="15">J22*E22</f>
        <v>15.20286429</v>
      </c>
      <c r="L22" s="41"/>
      <c r="M22" s="57"/>
      <c r="N22" s="57"/>
      <c r="O22" s="57"/>
      <c r="P22" s="57"/>
      <c r="Q22" s="57"/>
      <c r="R22" s="57"/>
      <c r="S22" s="57"/>
      <c r="T22" s="57"/>
      <c r="U22" s="57"/>
      <c r="V22" s="57"/>
      <c r="W22" s="57"/>
      <c r="X22" s="57"/>
      <c r="Y22" s="57"/>
      <c r="Z22" s="57"/>
    </row>
    <row r="23" ht="15.75" customHeight="1">
      <c r="A23" s="57"/>
      <c r="B23" s="42">
        <v>5000.0</v>
      </c>
      <c r="C23" s="42">
        <v>349.99</v>
      </c>
      <c r="D23" s="59">
        <f t="shared" si="11"/>
        <v>38.4989</v>
      </c>
      <c r="E23" s="62">
        <f t="shared" si="12"/>
        <v>0.00769978</v>
      </c>
      <c r="F23" s="42">
        <v>1200.0</v>
      </c>
      <c r="G23" s="60">
        <f t="shared" si="13"/>
        <v>9.239736</v>
      </c>
      <c r="H23" s="42">
        <v>1500.0</v>
      </c>
      <c r="I23" s="62">
        <f t="shared" si="14"/>
        <v>11.54967</v>
      </c>
      <c r="J23" s="42">
        <v>1800.0</v>
      </c>
      <c r="K23" s="62">
        <f t="shared" si="15"/>
        <v>13.859604</v>
      </c>
      <c r="L23" s="41"/>
      <c r="M23" s="57"/>
      <c r="N23" s="57"/>
      <c r="O23" s="57"/>
      <c r="P23" s="57"/>
      <c r="Q23" s="57"/>
      <c r="R23" s="57"/>
      <c r="S23" s="57"/>
      <c r="T23" s="57"/>
      <c r="U23" s="57"/>
      <c r="V23" s="57"/>
      <c r="W23" s="57"/>
      <c r="X23" s="57"/>
      <c r="Y23" s="57"/>
      <c r="Z23" s="57"/>
    </row>
    <row r="24" ht="15.75" customHeight="1">
      <c r="A24" s="57"/>
      <c r="B24" s="42">
        <v>13500.0</v>
      </c>
      <c r="C24" s="42">
        <v>849.99</v>
      </c>
      <c r="D24" s="59">
        <f t="shared" si="11"/>
        <v>93.4989</v>
      </c>
      <c r="E24" s="62">
        <f t="shared" si="12"/>
        <v>0.006925844444</v>
      </c>
      <c r="F24" s="42">
        <v>1200.0</v>
      </c>
      <c r="G24" s="60">
        <f t="shared" si="13"/>
        <v>8.311013333</v>
      </c>
      <c r="H24" s="42">
        <v>1500.0</v>
      </c>
      <c r="I24" s="62">
        <f t="shared" si="14"/>
        <v>10.38876667</v>
      </c>
      <c r="J24" s="42">
        <v>1800.0</v>
      </c>
      <c r="K24" s="62">
        <f t="shared" si="15"/>
        <v>12.46652</v>
      </c>
      <c r="L24" s="41"/>
      <c r="M24" s="57"/>
      <c r="N24" s="57"/>
      <c r="O24" s="57"/>
      <c r="P24" s="57"/>
      <c r="Q24" s="57"/>
      <c r="R24" s="57"/>
      <c r="S24" s="57"/>
      <c r="T24" s="57"/>
      <c r="U24" s="57"/>
      <c r="V24" s="57"/>
      <c r="W24" s="57"/>
      <c r="X24" s="57"/>
      <c r="Y24" s="57"/>
      <c r="Z24" s="57"/>
    </row>
    <row r="25" ht="15.75" customHeight="1">
      <c r="A25" s="57"/>
      <c r="B25" s="57"/>
      <c r="C25" s="57"/>
      <c r="D25" s="57"/>
      <c r="E25" s="57"/>
      <c r="F25" s="57"/>
      <c r="G25" s="57"/>
      <c r="H25" s="57"/>
      <c r="I25" s="57"/>
      <c r="J25" s="57"/>
      <c r="K25" s="57"/>
      <c r="L25" s="57"/>
      <c r="M25" s="57"/>
      <c r="N25" s="57"/>
      <c r="O25" s="57"/>
      <c r="P25" s="57"/>
      <c r="Q25" s="57"/>
      <c r="R25" s="57"/>
      <c r="S25" s="57"/>
      <c r="T25" s="57"/>
      <c r="U25" s="57"/>
      <c r="V25" s="57"/>
      <c r="W25" s="57"/>
      <c r="X25" s="57"/>
      <c r="Y25" s="57"/>
      <c r="Z25" s="57"/>
    </row>
    <row r="26" ht="15.75" customHeight="1">
      <c r="A26" s="57"/>
      <c r="B26" s="57" t="s">
        <v>124</v>
      </c>
      <c r="C26" s="57" t="s">
        <v>138</v>
      </c>
      <c r="D26" s="57"/>
      <c r="E26" s="57"/>
      <c r="F26" s="57"/>
      <c r="G26" s="57"/>
      <c r="H26" s="57"/>
      <c r="I26" s="57"/>
      <c r="J26" s="57"/>
      <c r="K26" s="57"/>
      <c r="L26" s="57"/>
      <c r="M26" s="57"/>
      <c r="N26" s="57"/>
      <c r="O26" s="57"/>
      <c r="P26" s="57"/>
      <c r="Q26" s="57"/>
      <c r="R26" s="57"/>
      <c r="S26" s="57"/>
      <c r="T26" s="57"/>
      <c r="U26" s="57"/>
      <c r="V26" s="57"/>
      <c r="W26" s="57"/>
      <c r="X26" s="57"/>
      <c r="Y26" s="57"/>
      <c r="Z26" s="57"/>
    </row>
    <row r="27" ht="15.75" customHeight="1">
      <c r="A27" s="57"/>
      <c r="B27" s="57" t="s">
        <v>126</v>
      </c>
      <c r="C27" s="57" t="s">
        <v>139</v>
      </c>
      <c r="D27" s="57"/>
      <c r="E27" s="57"/>
      <c r="F27" s="57"/>
      <c r="G27" s="57"/>
      <c r="H27" s="57"/>
      <c r="I27" s="57"/>
      <c r="J27" s="57"/>
      <c r="K27" s="57"/>
      <c r="L27" s="57"/>
      <c r="M27" s="57"/>
      <c r="N27" s="57"/>
      <c r="O27" s="57"/>
      <c r="P27" s="57"/>
      <c r="Q27" s="57"/>
      <c r="R27" s="57"/>
      <c r="S27" s="57"/>
      <c r="T27" s="57"/>
      <c r="U27" s="57"/>
      <c r="V27" s="57"/>
      <c r="W27" s="57"/>
      <c r="X27" s="57"/>
      <c r="Y27" s="57"/>
      <c r="Z27" s="57"/>
    </row>
    <row r="28" ht="15.75" customHeight="1">
      <c r="A28" s="57"/>
      <c r="B28" s="57" t="s">
        <v>127</v>
      </c>
      <c r="C28" s="57" t="s">
        <v>140</v>
      </c>
      <c r="D28" s="57"/>
      <c r="E28" s="57"/>
      <c r="F28" s="57"/>
      <c r="G28" s="57"/>
      <c r="H28" s="57"/>
      <c r="I28" s="57"/>
      <c r="J28" s="57"/>
      <c r="K28" s="57"/>
      <c r="L28" s="57"/>
      <c r="M28" s="57"/>
      <c r="N28" s="57"/>
      <c r="O28" s="57"/>
      <c r="P28" s="57"/>
      <c r="Q28" s="57"/>
      <c r="R28" s="57"/>
      <c r="S28" s="57"/>
      <c r="T28" s="57"/>
      <c r="U28" s="57"/>
      <c r="V28" s="57"/>
      <c r="W28" s="57"/>
      <c r="X28" s="57"/>
      <c r="Y28" s="57"/>
      <c r="Z28" s="57"/>
    </row>
    <row r="29" ht="15.75" customHeight="1">
      <c r="A29" s="57"/>
      <c r="B29" s="57"/>
      <c r="C29" s="57"/>
      <c r="D29" s="57"/>
      <c r="E29" s="57"/>
      <c r="F29" s="57"/>
      <c r="G29" s="57"/>
      <c r="H29" s="57"/>
      <c r="I29" s="57"/>
      <c r="J29" s="57"/>
      <c r="K29" s="57"/>
      <c r="L29" s="57"/>
      <c r="M29" s="57"/>
      <c r="N29" s="57"/>
      <c r="O29" s="57"/>
      <c r="P29" s="57"/>
      <c r="Q29" s="57"/>
      <c r="R29" s="57"/>
      <c r="S29" s="57"/>
      <c r="T29" s="57"/>
      <c r="U29" s="57"/>
      <c r="V29" s="57"/>
      <c r="W29" s="57"/>
      <c r="X29" s="57"/>
      <c r="Y29" s="57"/>
      <c r="Z29" s="57"/>
    </row>
    <row r="30" ht="15.75" customHeight="1">
      <c r="A30" s="57"/>
      <c r="B30" s="57" t="s">
        <v>141</v>
      </c>
      <c r="C30" s="57"/>
      <c r="D30" s="57"/>
      <c r="E30" s="57"/>
      <c r="F30" s="57"/>
      <c r="G30" s="57"/>
      <c r="H30" s="57"/>
      <c r="I30" s="57"/>
      <c r="J30" s="57"/>
      <c r="K30" s="57"/>
      <c r="L30" s="57"/>
      <c r="M30" s="57"/>
      <c r="N30" s="57"/>
      <c r="O30" s="57"/>
      <c r="P30" s="57"/>
      <c r="Q30" s="57"/>
      <c r="R30" s="57"/>
      <c r="S30" s="57"/>
      <c r="T30" s="57"/>
      <c r="U30" s="57"/>
      <c r="V30" s="57"/>
      <c r="W30" s="57"/>
      <c r="X30" s="57"/>
      <c r="Y30" s="57"/>
      <c r="Z30" s="57"/>
    </row>
    <row r="31" ht="15.75" customHeight="1">
      <c r="A31" s="57"/>
      <c r="B31" s="57" t="s">
        <v>142</v>
      </c>
      <c r="C31" s="57"/>
      <c r="D31" s="57"/>
      <c r="E31" s="57"/>
      <c r="F31" s="57"/>
      <c r="G31" s="57"/>
      <c r="H31" s="57"/>
      <c r="I31" s="57"/>
      <c r="J31" s="57"/>
      <c r="K31" s="57"/>
      <c r="L31" s="57"/>
      <c r="M31" s="57"/>
      <c r="N31" s="57"/>
      <c r="O31" s="57"/>
      <c r="P31" s="57"/>
      <c r="Q31" s="57"/>
      <c r="R31" s="57"/>
      <c r="S31" s="57"/>
      <c r="T31" s="57"/>
      <c r="U31" s="57"/>
      <c r="V31" s="57"/>
      <c r="W31" s="57"/>
      <c r="X31" s="57"/>
      <c r="Y31" s="57"/>
      <c r="Z31" s="57"/>
    </row>
    <row r="32" ht="15.75" customHeight="1">
      <c r="A32" s="57"/>
      <c r="B32" s="57"/>
      <c r="C32" s="57"/>
      <c r="D32" s="57"/>
      <c r="E32" s="57"/>
      <c r="F32" s="57"/>
      <c r="G32" s="57"/>
      <c r="H32" s="57"/>
      <c r="I32" s="57"/>
      <c r="J32" s="57"/>
      <c r="K32" s="57"/>
      <c r="L32" s="57"/>
      <c r="M32" s="57"/>
      <c r="N32" s="57"/>
      <c r="O32" s="57"/>
      <c r="P32" s="57"/>
      <c r="Q32" s="57"/>
      <c r="R32" s="57"/>
      <c r="S32" s="57"/>
      <c r="T32" s="57"/>
      <c r="U32" s="57"/>
      <c r="V32" s="57"/>
      <c r="W32" s="57"/>
      <c r="X32" s="57"/>
      <c r="Y32" s="57"/>
      <c r="Z32" s="57"/>
    </row>
    <row r="33" ht="15.75" customHeight="1">
      <c r="A33" s="57"/>
      <c r="B33" s="64" t="s">
        <v>143</v>
      </c>
      <c r="C33" s="57"/>
      <c r="D33" s="57"/>
      <c r="E33" s="57"/>
      <c r="F33" s="57"/>
      <c r="G33" s="57"/>
      <c r="H33" s="57"/>
      <c r="I33" s="57"/>
      <c r="J33" s="57"/>
      <c r="K33" s="57"/>
      <c r="L33" s="57"/>
      <c r="M33" s="57"/>
      <c r="N33" s="57"/>
      <c r="O33" s="57"/>
      <c r="P33" s="57"/>
      <c r="Q33" s="57"/>
      <c r="R33" s="57"/>
      <c r="S33" s="57"/>
      <c r="T33" s="57"/>
      <c r="U33" s="57"/>
      <c r="V33" s="57"/>
      <c r="W33" s="57"/>
      <c r="X33" s="57"/>
      <c r="Y33" s="57"/>
      <c r="Z33" s="57"/>
    </row>
    <row r="34" ht="15.75" customHeight="1">
      <c r="A34" s="57"/>
      <c r="B34" s="58" t="s">
        <v>133</v>
      </c>
      <c r="C34" s="58" t="s">
        <v>107</v>
      </c>
      <c r="D34" s="58" t="s">
        <v>53</v>
      </c>
      <c r="E34" s="58" t="s">
        <v>123</v>
      </c>
      <c r="F34" s="58" t="s">
        <v>124</v>
      </c>
      <c r="G34" s="58" t="s">
        <v>125</v>
      </c>
      <c r="H34" s="58" t="s">
        <v>126</v>
      </c>
      <c r="I34" s="58" t="s">
        <v>125</v>
      </c>
      <c r="J34" s="58" t="s">
        <v>127</v>
      </c>
      <c r="K34" s="58" t="s">
        <v>125</v>
      </c>
      <c r="M34" s="57"/>
      <c r="N34" s="57"/>
      <c r="O34" s="57"/>
      <c r="P34" s="57"/>
      <c r="Q34" s="57"/>
      <c r="R34" s="57"/>
      <c r="S34" s="57"/>
      <c r="T34" s="57"/>
      <c r="U34" s="57"/>
      <c r="V34" s="57"/>
      <c r="W34" s="57"/>
      <c r="X34" s="57"/>
      <c r="Y34" s="57"/>
      <c r="Z34" s="57"/>
    </row>
    <row r="35" ht="15.75" customHeight="1">
      <c r="A35" s="57"/>
      <c r="B35" s="42">
        <v>2800.0</v>
      </c>
      <c r="C35" s="42">
        <v>214.99</v>
      </c>
      <c r="D35" s="59">
        <f t="shared" ref="D35:D37" si="16">C35*O$7</f>
        <v>23.6489</v>
      </c>
      <c r="E35" s="62">
        <f t="shared" ref="E35:E37" si="17">D35/B35</f>
        <v>0.008446035714</v>
      </c>
      <c r="F35" s="42">
        <v>800.0</v>
      </c>
      <c r="G35" s="60">
        <f t="shared" ref="G35:G37" si="18">F35*E35</f>
        <v>6.756828571</v>
      </c>
      <c r="H35" s="42">
        <v>1500.0</v>
      </c>
      <c r="I35" s="62">
        <f t="shared" ref="I35:I37" si="19">H35*E35</f>
        <v>12.66905357</v>
      </c>
      <c r="J35" s="42">
        <v>500.0</v>
      </c>
      <c r="K35" s="62">
        <f t="shared" ref="K35:K37" si="20">J35*E35</f>
        <v>4.223017857</v>
      </c>
      <c r="L35" s="41"/>
      <c r="M35" s="57"/>
      <c r="N35" s="57"/>
      <c r="O35" s="57"/>
      <c r="P35" s="57"/>
      <c r="Q35" s="57"/>
      <c r="R35" s="57"/>
      <c r="S35" s="57"/>
      <c r="T35" s="57"/>
      <c r="U35" s="57"/>
      <c r="V35" s="57"/>
      <c r="W35" s="57"/>
      <c r="X35" s="57"/>
      <c r="Y35" s="57"/>
      <c r="Z35" s="57"/>
    </row>
    <row r="36" ht="15.75" customHeight="1">
      <c r="A36" s="57"/>
      <c r="B36" s="42">
        <v>5000.0</v>
      </c>
      <c r="C36" s="42">
        <v>349.99</v>
      </c>
      <c r="D36" s="59">
        <f t="shared" si="16"/>
        <v>38.4989</v>
      </c>
      <c r="E36" s="62">
        <f t="shared" si="17"/>
        <v>0.00769978</v>
      </c>
      <c r="F36" s="42">
        <v>800.0</v>
      </c>
      <c r="G36" s="60">
        <f t="shared" si="18"/>
        <v>6.159824</v>
      </c>
      <c r="H36" s="42">
        <v>1500.0</v>
      </c>
      <c r="I36" s="62">
        <f t="shared" si="19"/>
        <v>11.54967</v>
      </c>
      <c r="J36" s="42">
        <v>500.0</v>
      </c>
      <c r="K36" s="62">
        <f t="shared" si="20"/>
        <v>3.84989</v>
      </c>
      <c r="L36" s="41"/>
      <c r="M36" s="57"/>
      <c r="N36" s="57"/>
      <c r="O36" s="57"/>
      <c r="P36" s="57"/>
      <c r="Q36" s="57"/>
      <c r="R36" s="57"/>
      <c r="S36" s="57"/>
      <c r="T36" s="57"/>
      <c r="U36" s="57"/>
      <c r="V36" s="57"/>
      <c r="W36" s="57"/>
      <c r="X36" s="57"/>
      <c r="Y36" s="57"/>
      <c r="Z36" s="57"/>
    </row>
    <row r="37" ht="15.75" customHeight="1">
      <c r="A37" s="57"/>
      <c r="B37" s="42">
        <v>13500.0</v>
      </c>
      <c r="C37" s="42">
        <v>849.99</v>
      </c>
      <c r="D37" s="59">
        <f t="shared" si="16"/>
        <v>93.4989</v>
      </c>
      <c r="E37" s="62">
        <f t="shared" si="17"/>
        <v>0.006925844444</v>
      </c>
      <c r="F37" s="42">
        <v>800.0</v>
      </c>
      <c r="G37" s="60">
        <f t="shared" si="18"/>
        <v>5.540675556</v>
      </c>
      <c r="H37" s="42">
        <v>1500.0</v>
      </c>
      <c r="I37" s="62">
        <f t="shared" si="19"/>
        <v>10.38876667</v>
      </c>
      <c r="J37" s="42">
        <v>500.0</v>
      </c>
      <c r="K37" s="62">
        <f t="shared" si="20"/>
        <v>3.462922222</v>
      </c>
      <c r="L37" s="41"/>
      <c r="M37" s="57"/>
      <c r="N37" s="57"/>
      <c r="O37" s="57"/>
      <c r="P37" s="57"/>
      <c r="Q37" s="57"/>
      <c r="R37" s="57"/>
      <c r="S37" s="57"/>
      <c r="T37" s="57"/>
      <c r="U37" s="57"/>
      <c r="V37" s="57"/>
      <c r="W37" s="57"/>
      <c r="X37" s="57"/>
      <c r="Y37" s="57"/>
      <c r="Z37" s="57"/>
    </row>
    <row r="38" ht="15.75" customHeight="1">
      <c r="A38" s="57"/>
      <c r="B38" s="57"/>
      <c r="C38" s="57"/>
      <c r="D38" s="57"/>
      <c r="E38" s="57"/>
      <c r="F38" s="57"/>
      <c r="G38" s="57"/>
      <c r="H38" s="57"/>
      <c r="I38" s="57"/>
      <c r="J38" s="57"/>
      <c r="K38" s="57"/>
      <c r="L38" s="57"/>
      <c r="M38" s="57"/>
      <c r="N38" s="57"/>
      <c r="O38" s="57"/>
      <c r="P38" s="57"/>
      <c r="Q38" s="57"/>
      <c r="R38" s="57"/>
      <c r="S38" s="57"/>
      <c r="T38" s="57"/>
      <c r="U38" s="57"/>
      <c r="V38" s="57"/>
      <c r="W38" s="57"/>
      <c r="X38" s="57"/>
      <c r="Y38" s="57"/>
      <c r="Z38" s="57"/>
    </row>
    <row r="39" ht="15.75" customHeight="1">
      <c r="A39" s="57"/>
      <c r="B39" s="57" t="s">
        <v>124</v>
      </c>
      <c r="C39" s="57" t="s">
        <v>144</v>
      </c>
      <c r="D39" s="57"/>
      <c r="E39" s="57"/>
      <c r="F39" s="57"/>
      <c r="G39" s="57"/>
      <c r="H39" s="57"/>
      <c r="I39" s="57"/>
      <c r="J39" s="57"/>
      <c r="K39" s="57"/>
      <c r="L39" s="57"/>
      <c r="M39" s="57"/>
      <c r="N39" s="57"/>
      <c r="O39" s="57"/>
      <c r="P39" s="57"/>
      <c r="Q39" s="57"/>
      <c r="R39" s="57"/>
      <c r="S39" s="57"/>
      <c r="T39" s="57"/>
      <c r="U39" s="57"/>
      <c r="V39" s="57"/>
      <c r="W39" s="57"/>
      <c r="X39" s="57"/>
      <c r="Y39" s="57"/>
      <c r="Z39" s="57"/>
    </row>
    <row r="40" ht="15.75" customHeight="1">
      <c r="A40" s="57"/>
      <c r="B40" s="57" t="s">
        <v>126</v>
      </c>
      <c r="C40" s="57" t="s">
        <v>145</v>
      </c>
      <c r="D40" s="57"/>
      <c r="E40" s="57"/>
      <c r="F40" s="57"/>
      <c r="G40" s="57"/>
      <c r="H40" s="57"/>
      <c r="I40" s="57"/>
      <c r="J40" s="57"/>
      <c r="K40" s="57"/>
      <c r="L40" s="57"/>
      <c r="M40" s="57"/>
      <c r="N40" s="57"/>
      <c r="O40" s="57"/>
      <c r="P40" s="57"/>
      <c r="Q40" s="57"/>
      <c r="R40" s="57"/>
      <c r="S40" s="57"/>
      <c r="T40" s="57"/>
      <c r="U40" s="57"/>
      <c r="V40" s="57"/>
      <c r="W40" s="57"/>
      <c r="X40" s="57"/>
      <c r="Y40" s="57"/>
      <c r="Z40" s="57"/>
    </row>
    <row r="41" ht="15.75" customHeight="1">
      <c r="A41" s="57"/>
      <c r="B41" s="57" t="s">
        <v>127</v>
      </c>
      <c r="C41" s="57" t="s">
        <v>146</v>
      </c>
      <c r="D41" s="57"/>
      <c r="E41" s="57"/>
      <c r="F41" s="57"/>
      <c r="G41" s="57"/>
      <c r="H41" s="57"/>
      <c r="I41" s="57"/>
      <c r="J41" s="57"/>
      <c r="K41" s="57"/>
      <c r="L41" s="57"/>
      <c r="M41" s="57"/>
      <c r="N41" s="57"/>
      <c r="O41" s="57"/>
      <c r="P41" s="57"/>
      <c r="Q41" s="57"/>
      <c r="R41" s="57"/>
      <c r="S41" s="57"/>
      <c r="T41" s="57"/>
      <c r="U41" s="57"/>
      <c r="V41" s="57"/>
      <c r="W41" s="57"/>
      <c r="X41" s="57"/>
      <c r="Y41" s="57"/>
      <c r="Z41" s="57"/>
    </row>
    <row r="42" ht="15.75" customHeight="1">
      <c r="A42" s="57"/>
      <c r="B42" s="57"/>
      <c r="C42" s="57"/>
      <c r="D42" s="57"/>
      <c r="E42" s="57"/>
      <c r="F42" s="57"/>
      <c r="G42" s="57"/>
      <c r="H42" s="57"/>
      <c r="I42" s="57"/>
      <c r="J42" s="57"/>
      <c r="K42" s="57"/>
      <c r="L42" s="57"/>
      <c r="M42" s="57"/>
      <c r="N42" s="57"/>
      <c r="O42" s="57"/>
      <c r="P42" s="57"/>
      <c r="Q42" s="57"/>
      <c r="R42" s="57"/>
      <c r="S42" s="57"/>
      <c r="T42" s="57"/>
      <c r="U42" s="57"/>
      <c r="V42" s="57"/>
      <c r="W42" s="57"/>
      <c r="X42" s="57"/>
      <c r="Y42" s="57"/>
      <c r="Z42" s="57"/>
    </row>
    <row r="43" ht="15.75" customHeight="1">
      <c r="A43" s="56"/>
      <c r="B43" s="65" t="s">
        <v>101</v>
      </c>
      <c r="C43" s="56"/>
      <c r="D43" s="56"/>
      <c r="E43" s="56"/>
      <c r="F43" s="56"/>
      <c r="G43" s="56"/>
      <c r="H43" s="56"/>
      <c r="I43" s="56"/>
      <c r="J43" s="56"/>
      <c r="K43" s="56"/>
      <c r="L43" s="56"/>
      <c r="M43" s="56"/>
      <c r="N43" s="56"/>
      <c r="O43" s="56"/>
      <c r="P43" s="56"/>
      <c r="Q43" s="56"/>
      <c r="R43" s="56"/>
      <c r="S43" s="56"/>
      <c r="T43" s="56"/>
      <c r="U43" s="56"/>
      <c r="V43" s="56"/>
      <c r="W43" s="56"/>
      <c r="X43" s="56"/>
      <c r="Y43" s="56"/>
      <c r="Z43" s="56"/>
    </row>
    <row r="44" ht="15.75" customHeight="1">
      <c r="A44" s="57"/>
      <c r="B44" s="57"/>
      <c r="C44" s="57"/>
      <c r="D44" s="57"/>
      <c r="E44" s="57"/>
      <c r="F44" s="57"/>
      <c r="G44" s="57"/>
      <c r="H44" s="57"/>
      <c r="I44" s="57"/>
      <c r="J44" s="57"/>
      <c r="K44" s="57"/>
      <c r="L44" s="57"/>
      <c r="M44" s="57"/>
      <c r="N44" s="57"/>
      <c r="O44" s="57"/>
      <c r="P44" s="57"/>
      <c r="Q44" s="57"/>
      <c r="R44" s="57"/>
      <c r="S44" s="57"/>
      <c r="T44" s="57"/>
      <c r="U44" s="57"/>
      <c r="V44" s="57"/>
      <c r="W44" s="57"/>
      <c r="X44" s="57"/>
      <c r="Y44" s="57"/>
      <c r="Z44" s="57"/>
    </row>
    <row r="45" ht="15.75" customHeight="1">
      <c r="A45" s="57"/>
      <c r="B45" s="58" t="s">
        <v>147</v>
      </c>
      <c r="C45" s="58" t="s">
        <v>97</v>
      </c>
      <c r="D45" s="58" t="s">
        <v>53</v>
      </c>
      <c r="E45" s="58" t="s">
        <v>123</v>
      </c>
      <c r="F45" s="58" t="s">
        <v>124</v>
      </c>
      <c r="G45" s="58" t="s">
        <v>125</v>
      </c>
      <c r="H45" s="58" t="s">
        <v>126</v>
      </c>
      <c r="I45" s="58" t="s">
        <v>125</v>
      </c>
      <c r="J45" s="58" t="s">
        <v>127</v>
      </c>
      <c r="K45" s="58" t="s">
        <v>125</v>
      </c>
      <c r="M45" s="57"/>
      <c r="N45" s="57"/>
      <c r="O45" s="57"/>
      <c r="P45" s="57"/>
      <c r="Q45" s="57"/>
      <c r="R45" s="57"/>
      <c r="S45" s="57"/>
      <c r="T45" s="57"/>
      <c r="U45" s="57"/>
      <c r="V45" s="57"/>
      <c r="W45" s="57"/>
      <c r="X45" s="57"/>
      <c r="Y45" s="57"/>
      <c r="Z45" s="57"/>
    </row>
    <row r="46" ht="15.75" customHeight="1">
      <c r="A46" s="57"/>
      <c r="B46" s="42">
        <v>2150.0</v>
      </c>
      <c r="C46" s="42">
        <v>19.99</v>
      </c>
      <c r="D46" s="59">
        <f t="shared" ref="D46:D48" si="21">C46*O$6</f>
        <v>23.3883</v>
      </c>
      <c r="E46" s="62">
        <f t="shared" ref="E46:E48" si="22">D46/B46</f>
        <v>0.01087827907</v>
      </c>
      <c r="F46" s="42">
        <v>1800.0</v>
      </c>
      <c r="G46" s="60">
        <f t="shared" ref="G46:G48" si="23">F46*E46</f>
        <v>19.58090233</v>
      </c>
      <c r="H46" s="42">
        <v>3000.0</v>
      </c>
      <c r="I46" s="62">
        <f t="shared" ref="I46:I48" si="24">H46*E46</f>
        <v>32.63483721</v>
      </c>
      <c r="J46" s="42">
        <v>6000.0</v>
      </c>
      <c r="K46" s="62">
        <f t="shared" ref="K46:K48" si="25">J46*E46</f>
        <v>65.26967442</v>
      </c>
      <c r="L46" s="41"/>
      <c r="M46" s="57"/>
      <c r="N46" s="57"/>
      <c r="O46" s="57"/>
      <c r="P46" s="57"/>
      <c r="Q46" s="57"/>
      <c r="R46" s="57"/>
      <c r="S46" s="57"/>
      <c r="T46" s="57"/>
      <c r="U46" s="57"/>
      <c r="V46" s="57"/>
      <c r="W46" s="57"/>
      <c r="X46" s="57"/>
      <c r="Y46" s="57"/>
      <c r="Z46" s="57"/>
    </row>
    <row r="47" ht="15.75" customHeight="1">
      <c r="A47" s="57"/>
      <c r="B47" s="42">
        <v>4350.0</v>
      </c>
      <c r="C47" s="42">
        <v>39.99</v>
      </c>
      <c r="D47" s="59">
        <f t="shared" si="21"/>
        <v>46.7883</v>
      </c>
      <c r="E47" s="62">
        <f t="shared" si="22"/>
        <v>0.01075593103</v>
      </c>
      <c r="F47" s="42">
        <v>1800.0</v>
      </c>
      <c r="G47" s="60">
        <f t="shared" si="23"/>
        <v>19.36067586</v>
      </c>
      <c r="H47" s="42">
        <v>3000.0</v>
      </c>
      <c r="I47" s="62">
        <f t="shared" si="24"/>
        <v>32.2677931</v>
      </c>
      <c r="J47" s="42">
        <v>6000.0</v>
      </c>
      <c r="K47" s="62">
        <f t="shared" si="25"/>
        <v>64.53558621</v>
      </c>
      <c r="L47" s="41"/>
      <c r="M47" s="57"/>
      <c r="N47" s="57"/>
      <c r="O47" s="57"/>
      <c r="P47" s="57"/>
      <c r="Q47" s="57"/>
      <c r="R47" s="57"/>
      <c r="S47" s="57"/>
      <c r="T47" s="57"/>
      <c r="U47" s="57"/>
      <c r="V47" s="57"/>
      <c r="W47" s="57"/>
      <c r="X47" s="57"/>
      <c r="Y47" s="57"/>
      <c r="Z47" s="57"/>
    </row>
    <row r="48" ht="15.75" customHeight="1">
      <c r="A48" s="57"/>
      <c r="B48" s="42">
        <v>6700.0</v>
      </c>
      <c r="C48" s="42">
        <v>59.99</v>
      </c>
      <c r="D48" s="59">
        <f t="shared" si="21"/>
        <v>70.1883</v>
      </c>
      <c r="E48" s="62">
        <f t="shared" si="22"/>
        <v>0.01047586567</v>
      </c>
      <c r="F48" s="42">
        <v>1800.0</v>
      </c>
      <c r="G48" s="60">
        <f t="shared" si="23"/>
        <v>18.85655821</v>
      </c>
      <c r="H48" s="42">
        <v>3000.0</v>
      </c>
      <c r="I48" s="62">
        <f t="shared" si="24"/>
        <v>31.42759701</v>
      </c>
      <c r="J48" s="42">
        <v>6000.0</v>
      </c>
      <c r="K48" s="62">
        <f t="shared" si="25"/>
        <v>62.85519403</v>
      </c>
      <c r="L48" s="41"/>
      <c r="M48" s="57"/>
      <c r="N48" s="57"/>
      <c r="O48" s="57"/>
      <c r="P48" s="57"/>
      <c r="Q48" s="57"/>
      <c r="R48" s="57"/>
      <c r="S48" s="57"/>
      <c r="T48" s="57"/>
      <c r="U48" s="57"/>
      <c r="V48" s="57"/>
      <c r="W48" s="57"/>
      <c r="X48" s="57"/>
      <c r="Y48" s="57"/>
      <c r="Z48" s="57"/>
    </row>
    <row r="49" ht="15.75" customHeight="1">
      <c r="A49" s="57"/>
      <c r="B49" s="57"/>
      <c r="C49" s="57"/>
      <c r="D49" s="57"/>
      <c r="E49" s="57"/>
      <c r="F49" s="57"/>
      <c r="G49" s="57"/>
      <c r="H49" s="57"/>
      <c r="I49" s="57"/>
      <c r="J49" s="57"/>
      <c r="K49" s="57"/>
      <c r="L49" s="57"/>
      <c r="M49" s="57"/>
      <c r="N49" s="57"/>
      <c r="O49" s="57"/>
      <c r="P49" s="57"/>
      <c r="Q49" s="57"/>
      <c r="R49" s="57"/>
      <c r="S49" s="57"/>
      <c r="T49" s="57"/>
      <c r="U49" s="57"/>
      <c r="V49" s="57"/>
      <c r="W49" s="57"/>
      <c r="X49" s="57"/>
      <c r="Y49" s="57"/>
      <c r="Z49" s="57"/>
    </row>
    <row r="50" ht="15.75" customHeight="1">
      <c r="A50" s="57"/>
      <c r="B50" s="57" t="s">
        <v>124</v>
      </c>
      <c r="C50" s="57" t="s">
        <v>148</v>
      </c>
      <c r="D50" s="57"/>
      <c r="E50" s="57"/>
      <c r="F50" s="57"/>
      <c r="G50" s="57"/>
      <c r="H50" s="57"/>
      <c r="I50" s="57"/>
      <c r="J50" s="57"/>
      <c r="K50" s="57"/>
      <c r="L50" s="57"/>
      <c r="M50" s="57"/>
      <c r="N50" s="57"/>
      <c r="O50" s="57"/>
      <c r="P50" s="57"/>
      <c r="Q50" s="57"/>
      <c r="R50" s="57"/>
      <c r="S50" s="57"/>
      <c r="T50" s="57"/>
      <c r="U50" s="57"/>
      <c r="V50" s="57"/>
      <c r="W50" s="57"/>
      <c r="X50" s="57"/>
      <c r="Y50" s="57"/>
      <c r="Z50" s="57"/>
    </row>
    <row r="51" ht="15.75" customHeight="1">
      <c r="A51" s="57"/>
      <c r="B51" s="57" t="s">
        <v>126</v>
      </c>
      <c r="C51" s="57" t="s">
        <v>149</v>
      </c>
      <c r="D51" s="57"/>
      <c r="E51" s="57"/>
      <c r="F51" s="57"/>
      <c r="G51" s="57"/>
      <c r="H51" s="57"/>
      <c r="I51" s="57"/>
      <c r="J51" s="57"/>
      <c r="K51" s="57"/>
      <c r="L51" s="57"/>
      <c r="M51" s="57"/>
      <c r="N51" s="57"/>
      <c r="O51" s="57"/>
      <c r="P51" s="57"/>
      <c r="Q51" s="57"/>
      <c r="R51" s="57"/>
      <c r="S51" s="57"/>
      <c r="T51" s="57"/>
      <c r="U51" s="57"/>
      <c r="V51" s="57"/>
      <c r="W51" s="57"/>
      <c r="X51" s="57"/>
      <c r="Y51" s="57"/>
      <c r="Z51" s="57"/>
    </row>
    <row r="52" ht="15.75" customHeight="1">
      <c r="A52" s="57"/>
      <c r="B52" s="57" t="s">
        <v>127</v>
      </c>
      <c r="C52" s="57" t="s">
        <v>150</v>
      </c>
      <c r="D52" s="57"/>
      <c r="E52" s="57"/>
      <c r="F52" s="57"/>
      <c r="G52" s="57"/>
      <c r="H52" s="57"/>
      <c r="I52" s="57"/>
      <c r="J52" s="57"/>
      <c r="K52" s="57"/>
      <c r="L52" s="57"/>
      <c r="M52" s="57"/>
      <c r="N52" s="57"/>
      <c r="O52" s="57"/>
      <c r="P52" s="57"/>
      <c r="Q52" s="57"/>
      <c r="R52" s="57"/>
      <c r="S52" s="57"/>
      <c r="T52" s="57"/>
      <c r="U52" s="57"/>
      <c r="V52" s="57"/>
      <c r="W52" s="57"/>
      <c r="X52" s="57"/>
      <c r="Y52" s="57"/>
      <c r="Z52" s="57"/>
    </row>
    <row r="53" ht="15.75" customHeight="1">
      <c r="A53" s="57"/>
      <c r="B53" s="57"/>
      <c r="C53" s="57"/>
      <c r="D53" s="57"/>
      <c r="E53" s="57"/>
      <c r="F53" s="57"/>
      <c r="G53" s="57"/>
      <c r="H53" s="57"/>
      <c r="I53" s="57"/>
      <c r="J53" s="57"/>
      <c r="K53" s="57"/>
      <c r="L53" s="57"/>
      <c r="M53" s="57"/>
      <c r="N53" s="57"/>
      <c r="O53" s="57"/>
      <c r="P53" s="57"/>
      <c r="Q53" s="57"/>
      <c r="R53" s="57"/>
      <c r="S53" s="57"/>
      <c r="T53" s="57"/>
      <c r="U53" s="57"/>
      <c r="V53" s="57"/>
      <c r="W53" s="57"/>
      <c r="X53" s="57"/>
      <c r="Y53" s="57"/>
      <c r="Z53" s="57"/>
    </row>
    <row r="54" ht="15.75" customHeight="1">
      <c r="A54" s="57"/>
      <c r="B54" s="57" t="s">
        <v>151</v>
      </c>
      <c r="C54" s="57"/>
      <c r="D54" s="57"/>
      <c r="E54" s="57"/>
      <c r="F54" s="57"/>
      <c r="G54" s="57"/>
      <c r="H54" s="57"/>
      <c r="I54" s="57"/>
      <c r="J54" s="57"/>
      <c r="K54" s="57"/>
      <c r="L54" s="57"/>
      <c r="M54" s="57"/>
      <c r="N54" s="57"/>
      <c r="O54" s="57"/>
      <c r="P54" s="57"/>
      <c r="Q54" s="57"/>
      <c r="R54" s="57"/>
      <c r="S54" s="57"/>
      <c r="T54" s="57"/>
      <c r="U54" s="57"/>
      <c r="V54" s="57"/>
      <c r="W54" s="57"/>
      <c r="X54" s="57"/>
      <c r="Y54" s="57"/>
      <c r="Z54" s="57"/>
    </row>
    <row r="55" ht="15.75" customHeight="1">
      <c r="A55" s="57"/>
      <c r="B55" s="57" t="s">
        <v>152</v>
      </c>
      <c r="C55" s="57"/>
      <c r="D55" s="57"/>
      <c r="E55" s="57"/>
      <c r="F55" s="57"/>
      <c r="G55" s="57"/>
      <c r="H55" s="57"/>
      <c r="I55" s="57"/>
      <c r="J55" s="57"/>
      <c r="K55" s="57"/>
      <c r="L55" s="57"/>
      <c r="M55" s="57"/>
      <c r="N55" s="57"/>
      <c r="O55" s="57"/>
      <c r="P55" s="57"/>
      <c r="Q55" s="57"/>
      <c r="R55" s="57"/>
      <c r="S55" s="57"/>
      <c r="T55" s="57"/>
      <c r="U55" s="57"/>
      <c r="V55" s="57"/>
      <c r="W55" s="57"/>
      <c r="X55" s="57"/>
      <c r="Y55" s="57"/>
      <c r="Z55" s="57"/>
    </row>
    <row r="56" ht="15.75" customHeight="1">
      <c r="A56" s="57"/>
      <c r="B56" s="57" t="s">
        <v>153</v>
      </c>
      <c r="C56" s="57"/>
      <c r="D56" s="57"/>
      <c r="E56" s="57"/>
      <c r="F56" s="57"/>
      <c r="G56" s="57"/>
      <c r="H56" s="57"/>
      <c r="I56" s="57"/>
      <c r="J56" s="57"/>
      <c r="K56" s="57"/>
      <c r="L56" s="57"/>
      <c r="M56" s="57"/>
      <c r="N56" s="57"/>
      <c r="O56" s="57"/>
      <c r="P56" s="57"/>
      <c r="Q56" s="57"/>
      <c r="R56" s="57"/>
      <c r="S56" s="57"/>
      <c r="T56" s="57"/>
      <c r="U56" s="57"/>
      <c r="V56" s="57"/>
      <c r="W56" s="57"/>
      <c r="X56" s="57"/>
      <c r="Y56" s="57"/>
      <c r="Z56" s="57"/>
    </row>
    <row r="57" ht="15.75" customHeight="1">
      <c r="A57" s="57"/>
      <c r="B57" s="57"/>
      <c r="C57" s="57"/>
      <c r="D57" s="57"/>
      <c r="E57" s="57"/>
      <c r="F57" s="57"/>
      <c r="G57" s="57"/>
      <c r="H57" s="57"/>
      <c r="I57" s="57"/>
      <c r="J57" s="57"/>
      <c r="K57" s="57"/>
      <c r="L57" s="57"/>
      <c r="M57" s="57"/>
      <c r="N57" s="57"/>
      <c r="O57" s="57"/>
      <c r="P57" s="57"/>
      <c r="Q57" s="57"/>
      <c r="R57" s="57"/>
      <c r="S57" s="57"/>
      <c r="T57" s="57"/>
      <c r="U57" s="57"/>
      <c r="V57" s="57"/>
      <c r="W57" s="57"/>
      <c r="X57" s="57"/>
      <c r="Y57" s="57"/>
      <c r="Z57" s="57"/>
    </row>
    <row r="58" ht="15.75" customHeight="1">
      <c r="A58" s="56"/>
      <c r="B58" s="65" t="s">
        <v>103</v>
      </c>
      <c r="C58" s="56"/>
      <c r="D58" s="56"/>
      <c r="E58" s="56"/>
      <c r="F58" s="56"/>
      <c r="G58" s="56"/>
      <c r="H58" s="56"/>
      <c r="I58" s="56"/>
      <c r="J58" s="56"/>
      <c r="K58" s="56"/>
      <c r="L58" s="56"/>
      <c r="M58" s="56"/>
      <c r="N58" s="56"/>
      <c r="O58" s="56"/>
      <c r="P58" s="56"/>
      <c r="Q58" s="56"/>
      <c r="R58" s="56"/>
      <c r="S58" s="56"/>
      <c r="T58" s="56"/>
      <c r="U58" s="56"/>
      <c r="V58" s="56"/>
      <c r="W58" s="56"/>
      <c r="X58" s="56"/>
      <c r="Y58" s="56"/>
      <c r="Z58" s="56"/>
    </row>
    <row r="59" ht="15.75" customHeight="1">
      <c r="A59" s="57"/>
      <c r="B59" s="57"/>
      <c r="C59" s="57"/>
      <c r="D59" s="57"/>
      <c r="E59" s="57"/>
      <c r="F59" s="57"/>
      <c r="G59" s="57"/>
      <c r="H59" s="57"/>
      <c r="I59" s="57"/>
      <c r="J59" s="57"/>
      <c r="K59" s="57"/>
      <c r="L59" s="57"/>
      <c r="M59" s="57"/>
      <c r="N59" s="57"/>
      <c r="O59" s="57"/>
      <c r="P59" s="57"/>
      <c r="Q59" s="57"/>
      <c r="R59" s="57"/>
      <c r="S59" s="57"/>
      <c r="T59" s="57"/>
      <c r="U59" s="57"/>
      <c r="V59" s="57"/>
      <c r="W59" s="57"/>
      <c r="X59" s="57"/>
      <c r="Y59" s="57"/>
      <c r="Z59" s="57"/>
    </row>
    <row r="60" ht="15.75" customHeight="1">
      <c r="A60" s="57"/>
      <c r="B60" s="58" t="s">
        <v>154</v>
      </c>
      <c r="C60" s="58" t="s">
        <v>97</v>
      </c>
      <c r="D60" s="58" t="s">
        <v>53</v>
      </c>
      <c r="E60" s="58" t="s">
        <v>123</v>
      </c>
      <c r="F60" s="58" t="s">
        <v>124</v>
      </c>
      <c r="G60" s="58" t="s">
        <v>125</v>
      </c>
      <c r="H60" s="58" t="s">
        <v>126</v>
      </c>
      <c r="I60" s="58" t="s">
        <v>125</v>
      </c>
      <c r="J60" s="58" t="s">
        <v>127</v>
      </c>
      <c r="K60" s="58" t="s">
        <v>125</v>
      </c>
      <c r="M60" s="57"/>
      <c r="N60" s="57"/>
      <c r="O60" s="57"/>
      <c r="P60" s="57"/>
      <c r="Q60" s="57"/>
      <c r="R60" s="57"/>
      <c r="S60" s="57"/>
      <c r="T60" s="57"/>
      <c r="U60" s="57"/>
      <c r="V60" s="57"/>
      <c r="W60" s="57"/>
      <c r="X60" s="57"/>
      <c r="Y60" s="57"/>
      <c r="Z60" s="57"/>
    </row>
    <row r="61" ht="15.75" customHeight="1">
      <c r="A61" s="57"/>
      <c r="B61" s="42">
        <v>1150.0</v>
      </c>
      <c r="C61" s="42">
        <v>9.99</v>
      </c>
      <c r="D61" s="59">
        <f t="shared" ref="D61:D63" si="26">C61*O$6</f>
        <v>11.6883</v>
      </c>
      <c r="E61" s="62">
        <f t="shared" ref="E61:E63" si="27">D61/B61</f>
        <v>0.01016373913</v>
      </c>
      <c r="F61" s="42">
        <v>400.0</v>
      </c>
      <c r="G61" s="60">
        <f t="shared" ref="G61:G63" si="28">F61*E61</f>
        <v>4.065495652</v>
      </c>
      <c r="H61" s="42">
        <v>2400.0</v>
      </c>
      <c r="I61" s="62">
        <f t="shared" ref="I61:I63" si="29">H61*E61</f>
        <v>24.39297391</v>
      </c>
      <c r="J61" s="42">
        <v>500.0</v>
      </c>
      <c r="K61" s="62">
        <f t="shared" ref="K61:K63" si="30">J61*E61</f>
        <v>5.081869565</v>
      </c>
      <c r="L61" s="41"/>
      <c r="M61" s="57"/>
      <c r="N61" s="57"/>
      <c r="O61" s="57"/>
      <c r="P61" s="57"/>
      <c r="Q61" s="57"/>
      <c r="R61" s="57"/>
      <c r="S61" s="57"/>
      <c r="T61" s="57"/>
      <c r="U61" s="57"/>
      <c r="V61" s="57"/>
      <c r="W61" s="57"/>
      <c r="X61" s="57"/>
      <c r="Y61" s="57"/>
      <c r="Z61" s="57"/>
    </row>
    <row r="62" ht="15.75" customHeight="1">
      <c r="A62" s="57"/>
      <c r="B62" s="42">
        <v>2400.0</v>
      </c>
      <c r="C62" s="42">
        <v>19.99</v>
      </c>
      <c r="D62" s="59">
        <f t="shared" si="26"/>
        <v>23.3883</v>
      </c>
      <c r="E62" s="62">
        <f t="shared" si="27"/>
        <v>0.009745125</v>
      </c>
      <c r="F62" s="42">
        <v>400.0</v>
      </c>
      <c r="G62" s="60">
        <f t="shared" si="28"/>
        <v>3.89805</v>
      </c>
      <c r="H62" s="42">
        <v>2400.0</v>
      </c>
      <c r="I62" s="62">
        <f t="shared" si="29"/>
        <v>23.3883</v>
      </c>
      <c r="J62" s="42">
        <v>500.0</v>
      </c>
      <c r="K62" s="62">
        <f t="shared" si="30"/>
        <v>4.8725625</v>
      </c>
      <c r="L62" s="41"/>
      <c r="M62" s="57"/>
      <c r="N62" s="57"/>
      <c r="O62" s="57"/>
      <c r="P62" s="57"/>
      <c r="Q62" s="57"/>
      <c r="R62" s="57"/>
      <c r="S62" s="57"/>
      <c r="T62" s="57"/>
      <c r="U62" s="57"/>
      <c r="V62" s="57"/>
      <c r="W62" s="57"/>
      <c r="X62" s="57"/>
      <c r="Y62" s="57"/>
      <c r="Z62" s="57"/>
    </row>
    <row r="63" ht="15.75" customHeight="1">
      <c r="A63" s="57"/>
      <c r="B63" s="42">
        <v>6250.0</v>
      </c>
      <c r="C63" s="42">
        <v>49.99</v>
      </c>
      <c r="D63" s="59">
        <f t="shared" si="26"/>
        <v>58.4883</v>
      </c>
      <c r="E63" s="62">
        <f t="shared" si="27"/>
        <v>0.009358128</v>
      </c>
      <c r="F63" s="42">
        <v>400.0</v>
      </c>
      <c r="G63" s="60">
        <f t="shared" si="28"/>
        <v>3.7432512</v>
      </c>
      <c r="H63" s="42">
        <v>2400.0</v>
      </c>
      <c r="I63" s="62">
        <f t="shared" si="29"/>
        <v>22.4595072</v>
      </c>
      <c r="J63" s="42">
        <v>500.0</v>
      </c>
      <c r="K63" s="62">
        <f t="shared" si="30"/>
        <v>4.679064</v>
      </c>
      <c r="L63" s="41"/>
      <c r="M63" s="57"/>
      <c r="N63" s="57"/>
      <c r="O63" s="57"/>
      <c r="P63" s="57"/>
      <c r="Q63" s="57"/>
      <c r="R63" s="57"/>
      <c r="S63" s="57"/>
      <c r="T63" s="57"/>
      <c r="U63" s="57"/>
      <c r="V63" s="57"/>
      <c r="W63" s="57"/>
      <c r="X63" s="57"/>
      <c r="Y63" s="57"/>
      <c r="Z63" s="57"/>
    </row>
    <row r="64" ht="15.75" customHeight="1">
      <c r="A64" s="57"/>
      <c r="B64" s="57"/>
      <c r="C64" s="57"/>
      <c r="D64" s="57"/>
      <c r="E64" s="57"/>
      <c r="F64" s="57"/>
      <c r="G64" s="57"/>
      <c r="H64" s="57"/>
      <c r="I64" s="57"/>
      <c r="J64" s="57"/>
      <c r="K64" s="57"/>
      <c r="L64" s="57"/>
      <c r="M64" s="57"/>
      <c r="N64" s="57"/>
      <c r="O64" s="57"/>
      <c r="P64" s="57"/>
      <c r="Q64" s="57"/>
      <c r="R64" s="57"/>
      <c r="S64" s="57"/>
      <c r="T64" s="57"/>
      <c r="U64" s="57"/>
      <c r="V64" s="57"/>
      <c r="W64" s="57"/>
      <c r="X64" s="57"/>
      <c r="Y64" s="57"/>
      <c r="Z64" s="57"/>
    </row>
    <row r="65" ht="15.75" customHeight="1">
      <c r="A65" s="57"/>
      <c r="B65" s="57" t="s">
        <v>124</v>
      </c>
      <c r="C65" s="57" t="s">
        <v>155</v>
      </c>
      <c r="D65" s="57"/>
      <c r="E65" s="57"/>
      <c r="F65" s="57"/>
      <c r="G65" s="57"/>
      <c r="H65" s="57"/>
      <c r="I65" s="57"/>
      <c r="J65" s="57"/>
      <c r="K65" s="57"/>
      <c r="L65" s="57"/>
      <c r="M65" s="57"/>
      <c r="N65" s="57"/>
      <c r="O65" s="57"/>
      <c r="P65" s="57"/>
      <c r="Q65" s="57"/>
      <c r="R65" s="57"/>
      <c r="S65" s="57"/>
      <c r="T65" s="57"/>
      <c r="U65" s="57"/>
      <c r="V65" s="57"/>
      <c r="W65" s="57"/>
      <c r="X65" s="57"/>
      <c r="Y65" s="57"/>
      <c r="Z65" s="57"/>
    </row>
    <row r="66" ht="15.75" customHeight="1">
      <c r="A66" s="57"/>
      <c r="B66" s="57" t="s">
        <v>126</v>
      </c>
      <c r="C66" s="57" t="s">
        <v>156</v>
      </c>
      <c r="D66" s="57"/>
      <c r="E66" s="57"/>
      <c r="F66" s="57"/>
      <c r="G66" s="57"/>
      <c r="H66" s="57"/>
      <c r="I66" s="57"/>
      <c r="J66" s="57"/>
      <c r="K66" s="57"/>
      <c r="L66" s="57"/>
      <c r="M66" s="57"/>
      <c r="N66" s="57"/>
      <c r="O66" s="57"/>
      <c r="P66" s="57"/>
      <c r="Q66" s="57"/>
      <c r="R66" s="57"/>
      <c r="S66" s="57"/>
      <c r="T66" s="57"/>
      <c r="U66" s="57"/>
      <c r="V66" s="57"/>
      <c r="W66" s="57"/>
      <c r="X66" s="57"/>
      <c r="Y66" s="57"/>
      <c r="Z66" s="57"/>
    </row>
    <row r="67" ht="15.75" customHeight="1">
      <c r="A67" s="57"/>
      <c r="B67" s="57" t="s">
        <v>127</v>
      </c>
      <c r="C67" s="57" t="s">
        <v>157</v>
      </c>
      <c r="D67" s="57"/>
      <c r="E67" s="57"/>
      <c r="F67" s="57"/>
      <c r="G67" s="57"/>
      <c r="H67" s="57"/>
      <c r="I67" s="57"/>
      <c r="J67" s="57"/>
      <c r="K67" s="57"/>
      <c r="L67" s="57"/>
      <c r="M67" s="57"/>
      <c r="N67" s="57"/>
      <c r="O67" s="57"/>
      <c r="P67" s="57"/>
      <c r="Q67" s="57"/>
      <c r="R67" s="57"/>
      <c r="S67" s="57"/>
      <c r="T67" s="57"/>
      <c r="U67" s="57"/>
      <c r="V67" s="57"/>
      <c r="W67" s="57"/>
      <c r="X67" s="57"/>
      <c r="Y67" s="57"/>
      <c r="Z67" s="57"/>
    </row>
    <row r="68" ht="15.75" customHeight="1">
      <c r="A68" s="57"/>
      <c r="B68" s="57"/>
      <c r="C68" s="57"/>
      <c r="D68" s="57"/>
      <c r="E68" s="57"/>
      <c r="F68" s="57"/>
      <c r="G68" s="57"/>
      <c r="H68" s="57"/>
      <c r="I68" s="57"/>
      <c r="J68" s="57"/>
      <c r="K68" s="57"/>
      <c r="L68" s="57"/>
      <c r="M68" s="57"/>
      <c r="N68" s="57"/>
      <c r="O68" s="57"/>
      <c r="P68" s="57"/>
      <c r="Q68" s="57"/>
      <c r="R68" s="57"/>
      <c r="S68" s="57"/>
      <c r="T68" s="57"/>
      <c r="U68" s="57"/>
      <c r="V68" s="57"/>
      <c r="W68" s="57"/>
      <c r="X68" s="57"/>
      <c r="Y68" s="57"/>
      <c r="Z68" s="57"/>
    </row>
    <row r="69" ht="15.75" customHeight="1">
      <c r="A69" s="56"/>
      <c r="B69" s="65" t="s">
        <v>105</v>
      </c>
      <c r="C69" s="56"/>
      <c r="D69" s="56"/>
      <c r="E69" s="56"/>
      <c r="F69" s="56"/>
      <c r="G69" s="56"/>
      <c r="H69" s="56"/>
      <c r="I69" s="56"/>
      <c r="J69" s="56"/>
      <c r="K69" s="56"/>
      <c r="L69" s="56"/>
      <c r="M69" s="56"/>
      <c r="N69" s="56"/>
      <c r="O69" s="56"/>
      <c r="P69" s="56"/>
      <c r="Q69" s="56"/>
      <c r="R69" s="56"/>
      <c r="S69" s="56"/>
      <c r="T69" s="56"/>
      <c r="U69" s="56"/>
      <c r="V69" s="56"/>
      <c r="W69" s="56"/>
      <c r="X69" s="56"/>
      <c r="Y69" s="56"/>
      <c r="Z69" s="56"/>
    </row>
    <row r="70" ht="15.75" customHeight="1">
      <c r="A70" s="57"/>
      <c r="B70" s="57"/>
      <c r="C70" s="57"/>
      <c r="D70" s="57"/>
      <c r="E70" s="57"/>
      <c r="F70" s="57"/>
      <c r="G70" s="57"/>
      <c r="H70" s="57"/>
      <c r="I70" s="57"/>
      <c r="J70" s="57"/>
      <c r="K70" s="57"/>
      <c r="L70" s="57"/>
      <c r="M70" s="57"/>
      <c r="N70" s="57"/>
      <c r="O70" s="57"/>
      <c r="P70" s="57"/>
      <c r="Q70" s="57"/>
      <c r="R70" s="57"/>
      <c r="S70" s="57"/>
      <c r="T70" s="57"/>
      <c r="U70" s="57"/>
      <c r="V70" s="57"/>
      <c r="W70" s="57"/>
      <c r="X70" s="57"/>
      <c r="Y70" s="57"/>
      <c r="Z70" s="57"/>
    </row>
    <row r="71" ht="15.75" customHeight="1">
      <c r="A71" s="57"/>
      <c r="B71" s="64" t="s">
        <v>137</v>
      </c>
      <c r="C71" s="57"/>
      <c r="D71" s="57"/>
      <c r="E71" s="57"/>
      <c r="F71" s="57"/>
      <c r="G71" s="57"/>
      <c r="H71" s="57"/>
      <c r="I71" s="57"/>
      <c r="J71" s="57"/>
      <c r="K71" s="57"/>
      <c r="L71" s="57"/>
      <c r="M71" s="57"/>
      <c r="N71" s="57"/>
      <c r="O71" s="57"/>
      <c r="P71" s="57"/>
      <c r="Q71" s="57"/>
      <c r="R71" s="57"/>
      <c r="S71" s="57"/>
      <c r="T71" s="57"/>
      <c r="U71" s="57"/>
      <c r="V71" s="57"/>
      <c r="W71" s="57"/>
      <c r="X71" s="57"/>
      <c r="Y71" s="57"/>
      <c r="Z71" s="57"/>
    </row>
    <row r="72" ht="15.75" customHeight="1">
      <c r="A72" s="57"/>
      <c r="B72" s="58" t="s">
        <v>158</v>
      </c>
      <c r="C72" s="58" t="s">
        <v>107</v>
      </c>
      <c r="D72" s="58" t="s">
        <v>53</v>
      </c>
      <c r="E72" s="58" t="s">
        <v>123</v>
      </c>
      <c r="F72" s="58" t="s">
        <v>124</v>
      </c>
      <c r="G72" s="58" t="s">
        <v>125</v>
      </c>
      <c r="H72" s="58" t="s">
        <v>126</v>
      </c>
      <c r="I72" s="58" t="s">
        <v>125</v>
      </c>
      <c r="J72" s="58" t="s">
        <v>127</v>
      </c>
      <c r="K72" s="58" t="s">
        <v>125</v>
      </c>
      <c r="M72" s="57"/>
      <c r="N72" s="57"/>
      <c r="O72" s="57"/>
      <c r="P72" s="57"/>
      <c r="Q72" s="57"/>
      <c r="R72" s="57"/>
      <c r="S72" s="57"/>
      <c r="T72" s="57"/>
      <c r="U72" s="57"/>
      <c r="V72" s="57"/>
      <c r="W72" s="57"/>
      <c r="X72" s="57"/>
      <c r="Y72" s="57"/>
      <c r="Z72" s="57"/>
    </row>
    <row r="73" ht="15.75" customHeight="1">
      <c r="A73" s="57"/>
      <c r="B73" s="42">
        <v>500.0</v>
      </c>
      <c r="C73" s="42">
        <v>58.5</v>
      </c>
      <c r="D73" s="59">
        <f t="shared" ref="D73:D75" si="31">C73*O$7</f>
        <v>6.435</v>
      </c>
      <c r="E73" s="62">
        <f t="shared" ref="E73:E75" si="32">D73/B73</f>
        <v>0.01287</v>
      </c>
      <c r="F73" s="42">
        <v>300.0</v>
      </c>
      <c r="G73" s="60">
        <f t="shared" ref="G73:G75" si="33">F73*E73</f>
        <v>3.861</v>
      </c>
      <c r="H73" s="42">
        <v>450.0</v>
      </c>
      <c r="I73" s="62">
        <f t="shared" ref="I73:I75" si="34">H73*E73</f>
        <v>5.7915</v>
      </c>
      <c r="J73" s="42"/>
      <c r="K73" s="62">
        <f t="shared" ref="K73:K75" si="35">J73*E73</f>
        <v>0</v>
      </c>
      <c r="L73" s="41"/>
      <c r="M73" s="57"/>
      <c r="N73" s="57"/>
      <c r="O73" s="57"/>
      <c r="P73" s="57"/>
      <c r="Q73" s="57"/>
      <c r="R73" s="57"/>
      <c r="S73" s="57"/>
      <c r="T73" s="57"/>
      <c r="U73" s="57"/>
      <c r="V73" s="57"/>
      <c r="W73" s="57"/>
      <c r="X73" s="57"/>
      <c r="Y73" s="57"/>
      <c r="Z73" s="57"/>
    </row>
    <row r="74" ht="15.75" customHeight="1">
      <c r="A74" s="57"/>
      <c r="B74" s="42">
        <v>2800.0</v>
      </c>
      <c r="C74" s="42">
        <v>252.0</v>
      </c>
      <c r="D74" s="59">
        <f t="shared" si="31"/>
        <v>27.72</v>
      </c>
      <c r="E74" s="62">
        <f t="shared" si="32"/>
        <v>0.0099</v>
      </c>
      <c r="F74" s="42">
        <v>300.0</v>
      </c>
      <c r="G74" s="60">
        <f t="shared" si="33"/>
        <v>2.97</v>
      </c>
      <c r="H74" s="42">
        <v>450.0</v>
      </c>
      <c r="I74" s="62">
        <f t="shared" si="34"/>
        <v>4.455</v>
      </c>
      <c r="J74" s="42"/>
      <c r="K74" s="62">
        <f t="shared" si="35"/>
        <v>0</v>
      </c>
      <c r="L74" s="41"/>
      <c r="M74" s="57"/>
      <c r="N74" s="57"/>
      <c r="O74" s="57"/>
      <c r="P74" s="57"/>
      <c r="Q74" s="57"/>
      <c r="R74" s="57"/>
      <c r="S74" s="57"/>
      <c r="T74" s="57"/>
      <c r="U74" s="57"/>
      <c r="V74" s="57"/>
      <c r="W74" s="57"/>
      <c r="X74" s="57"/>
      <c r="Y74" s="57"/>
      <c r="Z74" s="57"/>
    </row>
    <row r="75" ht="15.75" customHeight="1">
      <c r="A75" s="57"/>
      <c r="B75" s="42">
        <v>5900.0</v>
      </c>
      <c r="C75" s="42">
        <v>522.0</v>
      </c>
      <c r="D75" s="59">
        <f t="shared" si="31"/>
        <v>57.42</v>
      </c>
      <c r="E75" s="62">
        <f t="shared" si="32"/>
        <v>0.00973220339</v>
      </c>
      <c r="F75" s="42">
        <v>300.0</v>
      </c>
      <c r="G75" s="60">
        <f t="shared" si="33"/>
        <v>2.919661017</v>
      </c>
      <c r="H75" s="42">
        <v>450.0</v>
      </c>
      <c r="I75" s="62">
        <f t="shared" si="34"/>
        <v>4.379491525</v>
      </c>
      <c r="J75" s="42"/>
      <c r="K75" s="62">
        <f t="shared" si="35"/>
        <v>0</v>
      </c>
      <c r="L75" s="41"/>
      <c r="M75" s="57"/>
      <c r="N75" s="57"/>
      <c r="O75" s="57"/>
      <c r="P75" s="57"/>
      <c r="Q75" s="57"/>
      <c r="R75" s="57"/>
      <c r="S75" s="57"/>
      <c r="T75" s="57"/>
      <c r="U75" s="57"/>
      <c r="V75" s="57"/>
      <c r="W75" s="57"/>
      <c r="X75" s="57"/>
      <c r="Y75" s="57"/>
      <c r="Z75" s="57"/>
    </row>
    <row r="76" ht="15.75" customHeight="1">
      <c r="A76" s="57"/>
      <c r="B76" s="57"/>
      <c r="C76" s="57"/>
      <c r="D76" s="57"/>
      <c r="E76" s="57"/>
      <c r="F76" s="57"/>
      <c r="G76" s="57"/>
      <c r="H76" s="57"/>
      <c r="I76" s="57"/>
      <c r="J76" s="57"/>
      <c r="K76" s="57"/>
      <c r="L76" s="57"/>
      <c r="M76" s="57"/>
      <c r="N76" s="57"/>
      <c r="O76" s="57"/>
      <c r="P76" s="57"/>
      <c r="Q76" s="57"/>
      <c r="R76" s="57"/>
      <c r="S76" s="57"/>
      <c r="T76" s="57"/>
      <c r="U76" s="57"/>
      <c r="V76" s="57"/>
      <c r="W76" s="57"/>
      <c r="X76" s="57"/>
      <c r="Y76" s="57"/>
      <c r="Z76" s="57"/>
    </row>
    <row r="77" ht="15.75" customHeight="1">
      <c r="A77" s="57"/>
      <c r="B77" s="57"/>
      <c r="C77" s="57"/>
      <c r="D77" s="57"/>
      <c r="E77" s="57"/>
      <c r="F77" s="57"/>
      <c r="G77" s="57"/>
      <c r="H77" s="57"/>
      <c r="I77" s="57"/>
      <c r="J77" s="57"/>
      <c r="K77" s="57"/>
      <c r="L77" s="57"/>
      <c r="M77" s="57"/>
      <c r="N77" s="57"/>
      <c r="O77" s="57"/>
      <c r="P77" s="57"/>
      <c r="Q77" s="57"/>
      <c r="R77" s="57"/>
      <c r="S77" s="57"/>
      <c r="T77" s="57"/>
      <c r="U77" s="57"/>
      <c r="V77" s="57"/>
      <c r="W77" s="57"/>
      <c r="X77" s="57"/>
      <c r="Y77" s="57"/>
      <c r="Z77" s="57"/>
    </row>
    <row r="78" ht="15.75" customHeight="1">
      <c r="A78" s="57"/>
      <c r="B78" s="57"/>
      <c r="C78" s="57"/>
      <c r="D78" s="57"/>
      <c r="E78" s="57"/>
      <c r="F78" s="57"/>
      <c r="G78" s="57"/>
      <c r="H78" s="57"/>
      <c r="I78" s="57"/>
      <c r="J78" s="57"/>
      <c r="K78" s="57"/>
      <c r="L78" s="57"/>
      <c r="M78" s="57"/>
      <c r="N78" s="57"/>
      <c r="O78" s="57"/>
      <c r="P78" s="57"/>
      <c r="Q78" s="57"/>
      <c r="R78" s="57"/>
      <c r="S78" s="57"/>
      <c r="T78" s="57"/>
      <c r="U78" s="57"/>
      <c r="V78" s="57"/>
      <c r="W78" s="57"/>
      <c r="X78" s="57"/>
      <c r="Y78" s="57"/>
      <c r="Z78" s="57"/>
    </row>
    <row r="79" ht="15.75" customHeight="1">
      <c r="A79" s="57"/>
      <c r="B79" s="57"/>
      <c r="C79" s="57"/>
      <c r="D79" s="57"/>
      <c r="E79" s="57"/>
      <c r="F79" s="57"/>
      <c r="G79" s="57"/>
      <c r="H79" s="57"/>
      <c r="I79" s="57"/>
      <c r="J79" s="57"/>
      <c r="K79" s="57"/>
      <c r="L79" s="57"/>
      <c r="M79" s="57"/>
      <c r="N79" s="57"/>
      <c r="O79" s="57"/>
      <c r="P79" s="57"/>
      <c r="Q79" s="57"/>
      <c r="R79" s="57"/>
      <c r="S79" s="57"/>
      <c r="T79" s="57"/>
      <c r="U79" s="57"/>
      <c r="V79" s="57"/>
      <c r="W79" s="57"/>
      <c r="X79" s="57"/>
      <c r="Y79" s="57"/>
      <c r="Z79" s="57"/>
    </row>
    <row r="80" ht="15.75" customHeight="1">
      <c r="A80" s="57"/>
      <c r="B80" s="57"/>
      <c r="C80" s="57"/>
      <c r="D80" s="57"/>
      <c r="E80" s="57"/>
      <c r="F80" s="57"/>
      <c r="G80" s="57"/>
      <c r="H80" s="57"/>
      <c r="I80" s="57"/>
      <c r="J80" s="57"/>
      <c r="K80" s="57"/>
      <c r="L80" s="57"/>
      <c r="M80" s="57"/>
      <c r="N80" s="57"/>
      <c r="O80" s="57"/>
      <c r="P80" s="57"/>
      <c r="Q80" s="57"/>
      <c r="R80" s="57"/>
      <c r="S80" s="57"/>
      <c r="T80" s="57"/>
      <c r="U80" s="57"/>
      <c r="V80" s="57"/>
      <c r="W80" s="57"/>
      <c r="X80" s="57"/>
      <c r="Y80" s="57"/>
      <c r="Z80" s="57"/>
    </row>
    <row r="81" ht="15.75" customHeight="1">
      <c r="A81" s="57"/>
      <c r="B81" s="57"/>
      <c r="C81" s="57"/>
      <c r="D81" s="57"/>
      <c r="E81" s="57"/>
      <c r="F81" s="57"/>
      <c r="G81" s="57"/>
      <c r="H81" s="57"/>
      <c r="I81" s="57"/>
      <c r="J81" s="57"/>
      <c r="K81" s="57"/>
      <c r="L81" s="57"/>
      <c r="M81" s="57"/>
      <c r="N81" s="57"/>
      <c r="O81" s="57"/>
      <c r="P81" s="57"/>
      <c r="Q81" s="57"/>
      <c r="R81" s="57"/>
      <c r="S81" s="57"/>
      <c r="T81" s="57"/>
      <c r="U81" s="57"/>
      <c r="V81" s="57"/>
      <c r="W81" s="57"/>
      <c r="X81" s="57"/>
      <c r="Y81" s="57"/>
      <c r="Z81" s="57"/>
    </row>
    <row r="82" ht="15.75" customHeight="1">
      <c r="A82" s="57"/>
      <c r="B82" s="57"/>
      <c r="C82" s="57"/>
      <c r="D82" s="57"/>
      <c r="E82" s="57"/>
      <c r="F82" s="57"/>
      <c r="G82" s="57"/>
      <c r="H82" s="57"/>
      <c r="I82" s="57"/>
      <c r="J82" s="57"/>
      <c r="K82" s="57"/>
      <c r="L82" s="57"/>
      <c r="M82" s="57"/>
      <c r="N82" s="57"/>
      <c r="O82" s="57"/>
      <c r="P82" s="57"/>
      <c r="Q82" s="57"/>
      <c r="R82" s="57"/>
      <c r="S82" s="57"/>
      <c r="T82" s="57"/>
      <c r="U82" s="57"/>
      <c r="V82" s="57"/>
      <c r="W82" s="57"/>
      <c r="X82" s="57"/>
      <c r="Y82" s="57"/>
      <c r="Z82" s="57"/>
    </row>
    <row r="83" ht="15.75" customHeight="1">
      <c r="A83" s="57"/>
      <c r="B83" s="57"/>
      <c r="C83" s="57"/>
      <c r="D83" s="57"/>
      <c r="E83" s="57"/>
      <c r="F83" s="57"/>
      <c r="G83" s="57"/>
      <c r="H83" s="57"/>
      <c r="I83" s="57"/>
      <c r="J83" s="57"/>
      <c r="K83" s="57"/>
      <c r="L83" s="57"/>
      <c r="M83" s="57"/>
      <c r="N83" s="57"/>
      <c r="O83" s="57"/>
      <c r="P83" s="57"/>
      <c r="Q83" s="57"/>
      <c r="R83" s="57"/>
      <c r="S83" s="57"/>
      <c r="T83" s="57"/>
      <c r="U83" s="57"/>
      <c r="V83" s="57"/>
      <c r="W83" s="57"/>
      <c r="X83" s="57"/>
      <c r="Y83" s="57"/>
      <c r="Z83" s="57"/>
    </row>
    <row r="84" ht="15.75" customHeight="1">
      <c r="A84" s="57"/>
      <c r="B84" s="57"/>
      <c r="C84" s="57"/>
      <c r="D84" s="57"/>
      <c r="E84" s="57"/>
      <c r="F84" s="57"/>
      <c r="G84" s="57"/>
      <c r="H84" s="57"/>
      <c r="I84" s="57"/>
      <c r="J84" s="57"/>
      <c r="K84" s="57"/>
      <c r="L84" s="57"/>
      <c r="M84" s="57"/>
      <c r="N84" s="57"/>
      <c r="O84" s="57"/>
      <c r="P84" s="57"/>
      <c r="Q84" s="57"/>
      <c r="R84" s="57"/>
      <c r="S84" s="57"/>
      <c r="T84" s="57"/>
      <c r="U84" s="57"/>
      <c r="V84" s="57"/>
      <c r="W84" s="57"/>
      <c r="X84" s="57"/>
      <c r="Y84" s="57"/>
      <c r="Z84" s="57"/>
    </row>
    <row r="85" ht="15.75" customHeight="1">
      <c r="A85" s="57"/>
      <c r="B85" s="57"/>
      <c r="C85" s="57"/>
      <c r="D85" s="57"/>
      <c r="E85" s="57"/>
      <c r="F85" s="57"/>
      <c r="G85" s="57"/>
      <c r="H85" s="57"/>
      <c r="I85" s="57"/>
      <c r="J85" s="57"/>
      <c r="K85" s="57"/>
      <c r="L85" s="57"/>
      <c r="M85" s="57"/>
      <c r="N85" s="57"/>
      <c r="O85" s="57"/>
      <c r="P85" s="57"/>
      <c r="Q85" s="57"/>
      <c r="R85" s="57"/>
      <c r="S85" s="57"/>
      <c r="T85" s="57"/>
      <c r="U85" s="57"/>
      <c r="V85" s="57"/>
      <c r="W85" s="57"/>
      <c r="X85" s="57"/>
      <c r="Y85" s="57"/>
      <c r="Z85" s="57"/>
    </row>
    <row r="86" ht="15.75" customHeight="1">
      <c r="A86" s="57"/>
      <c r="B86" s="57"/>
      <c r="C86" s="57"/>
      <c r="D86" s="57"/>
      <c r="E86" s="57"/>
      <c r="F86" s="57"/>
      <c r="G86" s="57"/>
      <c r="H86" s="57"/>
      <c r="I86" s="57"/>
      <c r="J86" s="57"/>
      <c r="K86" s="57"/>
      <c r="L86" s="57"/>
      <c r="M86" s="57"/>
      <c r="N86" s="57"/>
      <c r="O86" s="57"/>
      <c r="P86" s="57"/>
      <c r="Q86" s="57"/>
      <c r="R86" s="57"/>
      <c r="S86" s="57"/>
      <c r="T86" s="57"/>
      <c r="U86" s="57"/>
      <c r="V86" s="57"/>
      <c r="W86" s="57"/>
      <c r="X86" s="57"/>
      <c r="Y86" s="57"/>
      <c r="Z86" s="57"/>
    </row>
    <row r="87" ht="15.75" customHeight="1">
      <c r="A87" s="57"/>
      <c r="B87" s="57"/>
      <c r="C87" s="57"/>
      <c r="D87" s="57"/>
      <c r="E87" s="57"/>
      <c r="F87" s="57"/>
      <c r="G87" s="57"/>
      <c r="H87" s="57"/>
      <c r="I87" s="57"/>
      <c r="J87" s="57"/>
      <c r="K87" s="57"/>
      <c r="L87" s="57"/>
      <c r="M87" s="57"/>
      <c r="N87" s="57"/>
      <c r="O87" s="57"/>
      <c r="P87" s="57"/>
      <c r="Q87" s="57"/>
      <c r="R87" s="57"/>
      <c r="S87" s="57"/>
      <c r="T87" s="57"/>
      <c r="U87" s="57"/>
      <c r="V87" s="57"/>
      <c r="W87" s="57"/>
      <c r="X87" s="57"/>
      <c r="Y87" s="57"/>
      <c r="Z87" s="57"/>
    </row>
    <row r="88" ht="15.75" customHeight="1">
      <c r="A88" s="57"/>
      <c r="B88" s="57"/>
      <c r="C88" s="57"/>
      <c r="D88" s="57"/>
      <c r="E88" s="57"/>
      <c r="F88" s="57"/>
      <c r="G88" s="57"/>
      <c r="H88" s="57"/>
      <c r="I88" s="57"/>
      <c r="J88" s="57"/>
      <c r="K88" s="57"/>
      <c r="L88" s="57"/>
      <c r="M88" s="57"/>
      <c r="N88" s="57"/>
      <c r="O88" s="57"/>
      <c r="P88" s="57"/>
      <c r="Q88" s="57"/>
      <c r="R88" s="57"/>
      <c r="S88" s="57"/>
      <c r="T88" s="57"/>
      <c r="U88" s="57"/>
      <c r="V88" s="57"/>
      <c r="W88" s="57"/>
      <c r="X88" s="57"/>
      <c r="Y88" s="57"/>
      <c r="Z88" s="57"/>
    </row>
    <row r="89" ht="15.75" customHeight="1">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row>
    <row r="90" ht="15.75" customHeight="1">
      <c r="A90" s="57"/>
      <c r="B90" s="57"/>
      <c r="C90" s="57"/>
      <c r="D90" s="57"/>
      <c r="E90" s="57"/>
      <c r="F90" s="57"/>
      <c r="G90" s="57"/>
      <c r="H90" s="57"/>
      <c r="I90" s="57"/>
      <c r="J90" s="57"/>
      <c r="K90" s="57"/>
      <c r="L90" s="57"/>
      <c r="M90" s="57"/>
      <c r="N90" s="57"/>
      <c r="O90" s="57"/>
      <c r="P90" s="57"/>
      <c r="Q90" s="57"/>
      <c r="R90" s="57"/>
      <c r="S90" s="57"/>
      <c r="T90" s="57"/>
      <c r="U90" s="57"/>
      <c r="V90" s="57"/>
      <c r="W90" s="57"/>
      <c r="X90" s="57"/>
      <c r="Y90" s="57"/>
      <c r="Z90" s="57"/>
    </row>
    <row r="91" ht="15.75" customHeight="1">
      <c r="A91" s="57"/>
      <c r="B91" s="57"/>
      <c r="C91" s="57"/>
      <c r="D91" s="57"/>
      <c r="E91" s="57"/>
      <c r="F91" s="57"/>
      <c r="G91" s="57"/>
      <c r="H91" s="57"/>
      <c r="I91" s="57"/>
      <c r="J91" s="57"/>
      <c r="K91" s="57"/>
      <c r="L91" s="57"/>
      <c r="M91" s="57"/>
      <c r="N91" s="57"/>
      <c r="O91" s="57"/>
      <c r="P91" s="57"/>
      <c r="Q91" s="57"/>
      <c r="R91" s="57"/>
      <c r="S91" s="57"/>
      <c r="T91" s="57"/>
      <c r="U91" s="57"/>
      <c r="V91" s="57"/>
      <c r="W91" s="57"/>
      <c r="X91" s="57"/>
      <c r="Y91" s="57"/>
      <c r="Z91" s="57"/>
    </row>
    <row r="92" ht="15.75" customHeight="1">
      <c r="A92" s="57"/>
      <c r="B92" s="57"/>
      <c r="C92" s="57"/>
      <c r="D92" s="57"/>
      <c r="E92" s="57"/>
      <c r="F92" s="57"/>
      <c r="G92" s="57"/>
      <c r="H92" s="57"/>
      <c r="I92" s="57"/>
      <c r="J92" s="57"/>
      <c r="K92" s="57"/>
      <c r="L92" s="57"/>
      <c r="M92" s="57"/>
      <c r="N92" s="57"/>
      <c r="O92" s="57"/>
      <c r="P92" s="57"/>
      <c r="Q92" s="57"/>
      <c r="R92" s="57"/>
      <c r="S92" s="57"/>
      <c r="T92" s="57"/>
      <c r="U92" s="57"/>
      <c r="V92" s="57"/>
      <c r="W92" s="57"/>
      <c r="X92" s="57"/>
      <c r="Y92" s="57"/>
      <c r="Z92" s="57"/>
    </row>
    <row r="93" ht="15.75" customHeight="1">
      <c r="A93" s="57"/>
      <c r="B93" s="57"/>
      <c r="C93" s="57"/>
      <c r="D93" s="57"/>
      <c r="E93" s="57"/>
      <c r="F93" s="57"/>
      <c r="G93" s="57"/>
      <c r="H93" s="57"/>
      <c r="I93" s="57"/>
      <c r="J93" s="57"/>
      <c r="K93" s="57"/>
      <c r="L93" s="57"/>
      <c r="M93" s="57"/>
      <c r="N93" s="57"/>
      <c r="O93" s="57"/>
      <c r="P93" s="57"/>
      <c r="Q93" s="57"/>
      <c r="R93" s="57"/>
      <c r="S93" s="57"/>
      <c r="T93" s="57"/>
      <c r="U93" s="57"/>
      <c r="V93" s="57"/>
      <c r="W93" s="57"/>
      <c r="X93" s="57"/>
      <c r="Y93" s="57"/>
      <c r="Z93" s="57"/>
    </row>
    <row r="94" ht="15.75" customHeight="1">
      <c r="A94" s="57"/>
      <c r="B94" s="57"/>
      <c r="C94" s="57"/>
      <c r="D94" s="57"/>
      <c r="E94" s="57"/>
      <c r="F94" s="57"/>
      <c r="G94" s="57"/>
      <c r="H94" s="57"/>
      <c r="I94" s="57"/>
      <c r="J94" s="57"/>
      <c r="K94" s="57"/>
      <c r="L94" s="57"/>
      <c r="M94" s="57"/>
      <c r="N94" s="57"/>
      <c r="O94" s="57"/>
      <c r="P94" s="57"/>
      <c r="Q94" s="57"/>
      <c r="R94" s="57"/>
      <c r="S94" s="57"/>
      <c r="T94" s="57"/>
      <c r="U94" s="57"/>
      <c r="V94" s="57"/>
      <c r="W94" s="57"/>
      <c r="X94" s="57"/>
      <c r="Y94" s="57"/>
      <c r="Z94" s="57"/>
    </row>
    <row r="95" ht="15.75" customHeight="1">
      <c r="A95" s="57"/>
      <c r="B95" s="57"/>
      <c r="C95" s="57"/>
      <c r="D95" s="57"/>
      <c r="E95" s="57"/>
      <c r="F95" s="57"/>
      <c r="G95" s="57"/>
      <c r="H95" s="57"/>
      <c r="I95" s="57"/>
      <c r="J95" s="57"/>
      <c r="K95" s="57"/>
      <c r="L95" s="57"/>
      <c r="M95" s="57"/>
      <c r="N95" s="57"/>
      <c r="O95" s="57"/>
      <c r="P95" s="57"/>
      <c r="Q95" s="57"/>
      <c r="R95" s="57"/>
      <c r="S95" s="57"/>
      <c r="T95" s="57"/>
      <c r="U95" s="57"/>
      <c r="V95" s="57"/>
      <c r="W95" s="57"/>
      <c r="X95" s="57"/>
      <c r="Y95" s="57"/>
      <c r="Z95" s="57"/>
    </row>
    <row r="96" ht="15.75" customHeight="1">
      <c r="A96" s="57"/>
      <c r="B96" s="57"/>
      <c r="C96" s="57"/>
      <c r="D96" s="57"/>
      <c r="E96" s="57"/>
      <c r="F96" s="57"/>
      <c r="G96" s="57"/>
      <c r="H96" s="57"/>
      <c r="I96" s="57"/>
      <c r="J96" s="57"/>
      <c r="K96" s="57"/>
      <c r="L96" s="57"/>
      <c r="M96" s="57"/>
      <c r="N96" s="57"/>
      <c r="O96" s="57"/>
      <c r="P96" s="57"/>
      <c r="Q96" s="57"/>
      <c r="R96" s="57"/>
      <c r="S96" s="57"/>
      <c r="T96" s="57"/>
      <c r="U96" s="57"/>
      <c r="V96" s="57"/>
      <c r="W96" s="57"/>
      <c r="X96" s="57"/>
      <c r="Y96" s="57"/>
      <c r="Z96" s="57"/>
    </row>
    <row r="97" ht="15.75" customHeight="1">
      <c r="A97" s="57"/>
      <c r="B97" s="57"/>
      <c r="C97" s="57"/>
      <c r="D97" s="57"/>
      <c r="E97" s="57"/>
      <c r="F97" s="57"/>
      <c r="G97" s="57"/>
      <c r="H97" s="57"/>
      <c r="I97" s="57"/>
      <c r="J97" s="57"/>
      <c r="K97" s="57"/>
      <c r="L97" s="57"/>
      <c r="M97" s="57"/>
      <c r="N97" s="57"/>
      <c r="O97" s="57"/>
      <c r="P97" s="57"/>
      <c r="Q97" s="57"/>
      <c r="R97" s="57"/>
      <c r="S97" s="57"/>
      <c r="T97" s="57"/>
      <c r="U97" s="57"/>
      <c r="V97" s="57"/>
      <c r="W97" s="57"/>
      <c r="X97" s="57"/>
      <c r="Y97" s="57"/>
      <c r="Z97" s="57"/>
    </row>
    <row r="98" ht="15.75" customHeight="1">
      <c r="A98" s="57"/>
      <c r="B98" s="57"/>
      <c r="C98" s="57"/>
      <c r="D98" s="57"/>
      <c r="E98" s="57"/>
      <c r="F98" s="57"/>
      <c r="G98" s="57"/>
      <c r="H98" s="57"/>
      <c r="I98" s="57"/>
      <c r="J98" s="57"/>
      <c r="K98" s="57"/>
      <c r="L98" s="57"/>
      <c r="M98" s="57"/>
      <c r="N98" s="57"/>
      <c r="O98" s="57"/>
      <c r="P98" s="57"/>
      <c r="Q98" s="57"/>
      <c r="R98" s="57"/>
      <c r="S98" s="57"/>
      <c r="T98" s="57"/>
      <c r="U98" s="57"/>
      <c r="V98" s="57"/>
      <c r="W98" s="57"/>
      <c r="X98" s="57"/>
      <c r="Y98" s="57"/>
      <c r="Z98" s="57"/>
    </row>
    <row r="99" ht="15.75" customHeight="1">
      <c r="A99" s="57"/>
      <c r="B99" s="57"/>
      <c r="C99" s="57"/>
      <c r="D99" s="57"/>
      <c r="E99" s="57"/>
      <c r="F99" s="57"/>
      <c r="G99" s="57"/>
      <c r="H99" s="57"/>
      <c r="I99" s="57"/>
      <c r="J99" s="57"/>
      <c r="K99" s="57"/>
      <c r="L99" s="57"/>
      <c r="M99" s="57"/>
      <c r="N99" s="57"/>
      <c r="O99" s="57"/>
      <c r="P99" s="57"/>
      <c r="Q99" s="57"/>
      <c r="R99" s="57"/>
      <c r="S99" s="57"/>
      <c r="T99" s="57"/>
      <c r="U99" s="57"/>
      <c r="V99" s="57"/>
      <c r="W99" s="57"/>
      <c r="X99" s="57"/>
      <c r="Y99" s="57"/>
      <c r="Z99" s="57"/>
    </row>
    <row r="100" ht="15.75" customHeight="1">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row>
    <row r="101" ht="15.75" customHeight="1">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row>
    <row r="102" ht="15.75" customHeight="1">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row>
    <row r="103" ht="15.75" customHeight="1">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row>
    <row r="104" ht="15.75" customHeight="1">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row>
    <row r="105" ht="15.75" customHeight="1">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row>
    <row r="106" ht="15.75" customHeight="1">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row>
    <row r="107" ht="15.75" customHeight="1">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row>
    <row r="108" ht="15.75" customHeight="1">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row>
    <row r="109" ht="15.75" customHeight="1">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row>
    <row r="110" ht="15.75" customHeight="1">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row>
    <row r="111" ht="15.75" customHeight="1">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row>
    <row r="112" ht="15.75" customHeight="1">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row>
    <row r="113" ht="15.75" customHeight="1">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row>
    <row r="114" ht="15.75" customHeight="1">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row>
    <row r="115" ht="15.75" customHeight="1">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row>
    <row r="116" ht="15.75" customHeight="1">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row>
    <row r="117" ht="15.75" customHeight="1">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row>
    <row r="118" ht="15.75" customHeight="1">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row>
    <row r="119" ht="15.75" customHeight="1">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row>
    <row r="120" ht="15.75" customHeight="1">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row>
    <row r="121" ht="15.75" customHeight="1">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row>
    <row r="122" ht="15.75" customHeight="1">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row>
    <row r="123" ht="15.75" customHeight="1">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row>
    <row r="124" ht="15.75" customHeight="1">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row>
    <row r="125" ht="15.75" customHeight="1">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row>
    <row r="126" ht="15.75" customHeight="1">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row>
    <row r="127" ht="15.75" customHeight="1">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row>
    <row r="128" ht="15.75" customHeight="1">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row>
    <row r="129" ht="15.75" customHeight="1">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row>
    <row r="130" ht="15.75" customHeight="1">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row>
    <row r="131" ht="15.75" customHeight="1">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row>
    <row r="132" ht="15.75" customHeight="1">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row>
    <row r="133" ht="15.75" customHeight="1">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row>
    <row r="134" ht="15.75" customHeight="1">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row>
    <row r="135" ht="15.75" customHeight="1">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row>
    <row r="136" ht="15.75" customHeight="1">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row>
    <row r="137" ht="15.75" customHeight="1">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row>
    <row r="138" ht="15.75" customHeight="1">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row>
    <row r="139" ht="15.75" customHeight="1">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row>
    <row r="140" ht="15.75" customHeight="1">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row>
    <row r="141" ht="15.75" customHeight="1">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row>
    <row r="142" ht="15.75" customHeight="1">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row>
    <row r="143" ht="15.75" customHeight="1">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row>
    <row r="144" ht="15.75" customHeight="1">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row>
    <row r="145" ht="15.75" customHeight="1">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row>
    <row r="146" ht="15.75" customHeight="1">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row>
    <row r="147" ht="15.75" customHeight="1">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row>
    <row r="148" ht="15.75" customHeight="1">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row>
    <row r="149" ht="15.75" customHeight="1">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row>
    <row r="150" ht="15.75" customHeight="1">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row>
    <row r="151" ht="15.75" customHeight="1">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row>
    <row r="152" ht="15.75" customHeight="1">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row>
    <row r="153" ht="15.75" customHeight="1">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row>
    <row r="154" ht="15.75" customHeight="1">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row>
    <row r="155" ht="15.75" customHeight="1">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row>
    <row r="156" ht="15.75" customHeight="1">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row>
    <row r="157" ht="15.75" customHeight="1">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row>
    <row r="158" ht="15.75" customHeight="1">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row>
    <row r="159" ht="15.75" customHeight="1">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row>
    <row r="160" ht="15.75" customHeight="1">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row>
    <row r="161" ht="15.75" customHeight="1">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row>
    <row r="162" ht="15.75" customHeight="1">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row>
    <row r="163" ht="15.75" customHeight="1">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row>
    <row r="164" ht="15.75" customHeight="1">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row>
    <row r="165" ht="15.75" customHeight="1">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row>
    <row r="166" ht="15.75" customHeight="1">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row>
    <row r="167" ht="15.75" customHeight="1">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row>
    <row r="168" ht="15.75" customHeight="1">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row>
    <row r="169" ht="15.75" customHeight="1">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row>
    <row r="170" ht="15.75" customHeight="1">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row>
    <row r="171" ht="15.75" customHeight="1">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row>
    <row r="172" ht="15.75" customHeight="1">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row>
    <row r="173" ht="15.75" customHeight="1">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row>
    <row r="174" ht="15.75" customHeight="1">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row>
    <row r="175" ht="15.75" customHeight="1">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row>
    <row r="176" ht="15.75" customHeight="1">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row>
    <row r="177" ht="15.75" customHeight="1">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row>
    <row r="178" ht="15.75" customHeight="1">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row>
    <row r="179" ht="15.75" customHeight="1">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row>
    <row r="180" ht="15.75" customHeight="1">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row>
    <row r="181" ht="15.75" customHeight="1">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row>
    <row r="182" ht="15.75" customHeight="1">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row>
    <row r="183" ht="15.75" customHeight="1">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row>
    <row r="184" ht="15.75" customHeight="1">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row>
    <row r="185" ht="15.75" customHeight="1">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row>
    <row r="186" ht="15.75" customHeight="1">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row>
    <row r="187" ht="15.75" customHeight="1">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row>
    <row r="188" ht="15.75" customHeight="1">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row>
    <row r="189" ht="15.75" customHeight="1">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row>
    <row r="190" ht="15.75" customHeight="1">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row>
    <row r="191" ht="15.75" customHeight="1">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row>
    <row r="192" ht="15.75" customHeight="1">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row>
    <row r="193" ht="15.75" customHeight="1">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row>
    <row r="194" ht="15.75" customHeight="1">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row>
    <row r="195" ht="15.75" customHeight="1">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row>
    <row r="196" ht="15.75" customHeight="1">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row>
    <row r="197" ht="15.75" customHeight="1">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row>
    <row r="198" ht="15.75" customHeight="1">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row>
    <row r="199" ht="15.75" customHeight="1">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row>
    <row r="200" ht="15.75" customHeight="1">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row>
    <row r="201" ht="15.75" customHeight="1">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row>
    <row r="202" ht="15.75" customHeight="1">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row>
    <row r="203" ht="15.75" customHeight="1">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row>
    <row r="204" ht="15.75" customHeight="1">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row>
    <row r="205" ht="15.75" customHeight="1">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row>
    <row r="206" ht="15.75" customHeight="1">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row>
    <row r="207" ht="15.75" customHeight="1">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row>
    <row r="208" ht="15.75" customHeight="1">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row>
    <row r="209" ht="15.75" customHeight="1">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row>
    <row r="210" ht="15.75" customHeight="1">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row>
    <row r="211" ht="15.75" customHeight="1">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row>
    <row r="212" ht="15.75" customHeight="1">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row>
    <row r="213" ht="15.75" customHeight="1">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row>
    <row r="214" ht="15.75" customHeight="1">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row>
    <row r="215" ht="15.75" customHeight="1">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row>
    <row r="216" ht="15.75" customHeight="1">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row>
    <row r="217" ht="15.75" customHeight="1">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row>
    <row r="218" ht="15.75" customHeight="1">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row>
    <row r="219" ht="15.75" customHeight="1">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row>
    <row r="220" ht="15.75" customHeight="1">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row>
    <row r="221" ht="15.75" customHeight="1">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row>
    <row r="222" ht="15.75" customHeight="1">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row>
    <row r="223" ht="15.75" customHeight="1">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row>
    <row r="224" ht="15.75" customHeight="1">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row>
    <row r="225" ht="15.75" customHeight="1">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row>
    <row r="226" ht="15.75" customHeight="1">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row>
    <row r="227" ht="15.75" customHeight="1">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row>
    <row r="228" ht="15.75" customHeight="1">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row>
    <row r="229" ht="15.75" customHeight="1">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row>
    <row r="230" ht="15.75" customHeight="1">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row>
    <row r="231" ht="15.75" customHeight="1">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row>
    <row r="232" ht="15.75" customHeight="1">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row>
    <row r="233" ht="15.75" customHeight="1">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row>
    <row r="234" ht="15.75" customHeight="1">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row>
    <row r="235" ht="15.75" customHeight="1">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row>
    <row r="236" ht="15.75" customHeight="1">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row>
    <row r="237" ht="15.75" customHeight="1">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row>
    <row r="238" ht="15.75" customHeight="1">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row>
    <row r="239" ht="15.75" customHeight="1">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row>
    <row r="240" ht="15.75" customHeight="1">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row>
    <row r="241" ht="15.75" customHeight="1">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row>
    <row r="242" ht="15.75" customHeight="1">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row>
    <row r="243" ht="15.75" customHeight="1">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row>
    <row r="244" ht="15.75" customHeight="1">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row>
    <row r="245" ht="15.75" customHeight="1">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row>
    <row r="246" ht="15.75" customHeight="1">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row>
    <row r="247" ht="15.75" customHeight="1">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row>
    <row r="248" ht="15.75" customHeight="1">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row>
    <row r="249" ht="15.75" customHeight="1">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row>
    <row r="250" ht="15.75" customHeight="1">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row>
    <row r="251" ht="15.75" customHeight="1">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row>
    <row r="252" ht="15.75" customHeight="1">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row>
    <row r="253" ht="15.75" customHeight="1">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row>
    <row r="254" ht="15.75" customHeight="1">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row>
    <row r="255" ht="15.75" customHeight="1">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row>
    <row r="256" ht="15.75" customHeight="1">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row>
    <row r="257" ht="15.75" customHeight="1">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row>
    <row r="258" ht="15.75" customHeight="1">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row>
    <row r="259" ht="15.75" customHeight="1">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row>
    <row r="260" ht="15.75" customHeight="1">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row>
    <row r="261" ht="15.75" customHeight="1">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row>
    <row r="262" ht="15.75" customHeight="1">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row>
    <row r="263" ht="15.75" customHeight="1">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row>
    <row r="264" ht="15.75" customHeight="1">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row>
    <row r="265" ht="15.75" customHeight="1">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row>
    <row r="266" ht="15.75" customHeight="1">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row>
    <row r="267" ht="15.75" customHeight="1">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row>
    <row r="268" ht="15.75" customHeight="1">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row>
    <row r="269" ht="15.75" customHeight="1">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row>
    <row r="270" ht="15.75" customHeight="1">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row>
    <row r="271" ht="15.75" customHeight="1">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row>
    <row r="272" ht="15.75" customHeight="1">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row>
    <row r="273" ht="15.75" customHeight="1">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row>
    <row r="274" ht="15.75" customHeight="1">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row>
    <row r="275" ht="15.75" customHeight="1">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row>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K34:L34"/>
    <mergeCell ref="K45:L45"/>
    <mergeCell ref="K60:L60"/>
    <mergeCell ref="K72:L72"/>
    <mergeCell ref="B1:C1"/>
    <mergeCell ref="K3:L3"/>
    <mergeCell ref="C8:F8"/>
    <mergeCell ref="C9:E9"/>
    <mergeCell ref="C10:I10"/>
    <mergeCell ref="K15:L15"/>
    <mergeCell ref="K21:L2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88"/>
    <col customWidth="1" min="2" max="2" width="12.63"/>
    <col customWidth="1" min="3" max="3" width="16.75"/>
    <col customWidth="1" min="4" max="5" width="18.0"/>
    <col customWidth="1" min="6" max="6" width="20.88"/>
    <col customWidth="1" min="7" max="7" width="13.13"/>
    <col customWidth="1" min="8" max="8" width="22.63"/>
    <col customWidth="1" min="9" max="9" width="20.75"/>
    <col customWidth="1" min="10" max="13" width="27.25"/>
    <col customWidth="1" min="14" max="14" width="24.13"/>
    <col customWidth="1" min="15" max="15" width="22.75"/>
  </cols>
  <sheetData>
    <row r="1" ht="15.75" customHeight="1"/>
    <row r="2" ht="15.75" customHeight="1">
      <c r="A2" s="1" t="s">
        <v>91</v>
      </c>
      <c r="B2" s="1">
        <v>1.34</v>
      </c>
    </row>
    <row r="3" ht="15.75" customHeight="1">
      <c r="A3" s="41" t="s">
        <v>92</v>
      </c>
      <c r="B3" s="42">
        <v>9.36</v>
      </c>
    </row>
    <row r="4" ht="15.75" customHeight="1">
      <c r="A4" s="41" t="s">
        <v>93</v>
      </c>
      <c r="B4" s="42">
        <v>1.17</v>
      </c>
    </row>
    <row r="5" ht="15.75" customHeight="1">
      <c r="A5" s="41" t="s">
        <v>94</v>
      </c>
      <c r="B5" s="42">
        <v>0.11</v>
      </c>
    </row>
    <row r="6" ht="15.75" customHeight="1"/>
    <row r="7" ht="15.75" customHeight="1"/>
    <row r="8" ht="15.75" customHeight="1">
      <c r="A8" s="2"/>
    </row>
    <row r="9" ht="15.75" customHeight="1">
      <c r="A9" s="43"/>
      <c r="B9" s="43"/>
      <c r="C9" s="43"/>
      <c r="D9" s="43"/>
      <c r="E9" s="43"/>
    </row>
    <row r="10" ht="15.75" customHeight="1">
      <c r="C10" s="44"/>
      <c r="D10" s="45"/>
      <c r="E10" s="18"/>
    </row>
    <row r="11" ht="15.75" customHeight="1">
      <c r="C11" s="44"/>
      <c r="D11" s="45"/>
      <c r="E11" s="18"/>
    </row>
    <row r="12" ht="15.75" customHeight="1">
      <c r="C12" s="44"/>
      <c r="D12" s="45"/>
      <c r="E12" s="18"/>
    </row>
    <row r="13" ht="15.75" customHeight="1">
      <c r="C13" s="44"/>
      <c r="D13" s="45"/>
      <c r="E13" s="18"/>
    </row>
    <row r="14" ht="15.75" customHeight="1">
      <c r="C14" s="44"/>
      <c r="D14" s="45"/>
      <c r="E14" s="18"/>
    </row>
    <row r="15" ht="15.75" customHeight="1">
      <c r="C15" s="44"/>
      <c r="D15" s="45"/>
      <c r="E15" s="18"/>
    </row>
    <row r="16" ht="15.75" customHeight="1">
      <c r="C16" s="44"/>
      <c r="D16" s="45"/>
      <c r="E16" s="18"/>
    </row>
    <row r="17" ht="15.75" customHeight="1">
      <c r="C17" s="44"/>
      <c r="D17" s="45"/>
      <c r="E17" s="18"/>
    </row>
    <row r="18" ht="15.75" customHeight="1"/>
    <row r="19" ht="15.75" customHeight="1"/>
    <row r="20" ht="15.75" customHeight="1"/>
    <row r="21" ht="15.75" customHeight="1">
      <c r="K21" s="50" t="s">
        <v>159</v>
      </c>
      <c r="L21" s="50" t="s">
        <v>160</v>
      </c>
      <c r="M21" s="50" t="s">
        <v>161</v>
      </c>
    </row>
    <row r="22" ht="15.75" customHeight="1">
      <c r="A22" s="2"/>
      <c r="J22" s="1" t="s">
        <v>162</v>
      </c>
      <c r="K22" s="50">
        <v>12.6</v>
      </c>
      <c r="L22" s="50">
        <v>1.39</v>
      </c>
      <c r="M22" s="50">
        <f t="shared" ref="M22:M24" si="1">K22/L22</f>
        <v>9.064748201</v>
      </c>
    </row>
    <row r="23" ht="15.75" customHeight="1">
      <c r="A23" s="43"/>
      <c r="B23" s="43"/>
      <c r="C23" s="43"/>
      <c r="D23" s="43"/>
      <c r="E23" s="43"/>
      <c r="J23" s="1" t="s">
        <v>163</v>
      </c>
      <c r="K23" s="50">
        <v>1.9</v>
      </c>
      <c r="L23" s="50">
        <v>1.39</v>
      </c>
      <c r="M23" s="50">
        <f t="shared" si="1"/>
        <v>1.366906475</v>
      </c>
    </row>
    <row r="24" ht="15.75" customHeight="1">
      <c r="C24" s="44"/>
      <c r="D24" s="45"/>
      <c r="E24" s="18"/>
      <c r="J24" s="1" t="s">
        <v>164</v>
      </c>
      <c r="K24" s="50">
        <v>20300.0</v>
      </c>
      <c r="L24" s="50">
        <v>1.39</v>
      </c>
      <c r="M24" s="50">
        <f t="shared" si="1"/>
        <v>14604.31655</v>
      </c>
    </row>
    <row r="25" ht="15.75" customHeight="1">
      <c r="C25" s="44"/>
      <c r="D25" s="45"/>
      <c r="E25" s="18"/>
    </row>
    <row r="26" ht="15.75" customHeight="1">
      <c r="C26" s="44"/>
      <c r="D26" s="45"/>
      <c r="E26" s="18"/>
    </row>
    <row r="27" ht="15.75" customHeight="1">
      <c r="C27" s="44"/>
      <c r="D27" s="45"/>
      <c r="E27" s="18"/>
    </row>
    <row r="28" ht="15.75" customHeight="1">
      <c r="C28" s="44"/>
      <c r="D28" s="45"/>
      <c r="E28" s="18"/>
    </row>
    <row r="29" ht="15.75" customHeight="1">
      <c r="C29" s="44"/>
      <c r="D29" s="45"/>
      <c r="E29" s="18"/>
    </row>
    <row r="30" ht="15.75" customHeight="1">
      <c r="C30" s="44"/>
      <c r="D30" s="45"/>
      <c r="E30" s="18"/>
    </row>
    <row r="31" ht="15.75" customHeight="1">
      <c r="C31" s="44"/>
      <c r="D31" s="45"/>
      <c r="E31" s="18"/>
    </row>
    <row r="32" ht="15.75" customHeight="1"/>
    <row r="33" ht="15.75" customHeight="1">
      <c r="A33" s="2"/>
    </row>
    <row r="34" ht="15.75" customHeight="1">
      <c r="A34" s="43"/>
      <c r="B34" s="43"/>
      <c r="C34" s="43"/>
      <c r="D34" s="43"/>
      <c r="E34" s="43"/>
    </row>
    <row r="35" ht="15.75" customHeight="1">
      <c r="C35" s="44"/>
      <c r="D35" s="45"/>
      <c r="E35" s="18"/>
    </row>
    <row r="36" ht="15.75" customHeight="1">
      <c r="C36" s="44"/>
      <c r="D36" s="45"/>
      <c r="E36" s="18"/>
    </row>
    <row r="37" ht="15.75" customHeight="1">
      <c r="C37" s="44"/>
      <c r="D37" s="45"/>
      <c r="E37" s="18"/>
    </row>
    <row r="38" ht="15.75" customHeight="1">
      <c r="C38" s="44"/>
      <c r="D38" s="45"/>
      <c r="E38" s="18"/>
    </row>
    <row r="39" ht="15.75" customHeight="1">
      <c r="C39" s="44"/>
      <c r="D39" s="45"/>
      <c r="E39" s="18"/>
    </row>
    <row r="40" ht="15.75" customHeight="1">
      <c r="C40" s="44"/>
      <c r="D40" s="45"/>
      <c r="E40" s="18"/>
      <c r="O40" s="46" t="s">
        <v>104</v>
      </c>
    </row>
    <row r="41" ht="15.75" customHeight="1">
      <c r="A41" s="2" t="s">
        <v>105</v>
      </c>
      <c r="C41" s="1" t="s">
        <v>165</v>
      </c>
      <c r="H41" s="46" t="s">
        <v>166</v>
      </c>
      <c r="I41" s="46" t="s">
        <v>167</v>
      </c>
      <c r="J41" s="46">
        <v>1.26</v>
      </c>
      <c r="K41" s="46">
        <v>7.82</v>
      </c>
      <c r="L41" s="46">
        <v>16820.0</v>
      </c>
      <c r="M41" s="46" t="s">
        <v>168</v>
      </c>
      <c r="N41" s="46" t="s">
        <v>169</v>
      </c>
      <c r="O41" s="46" t="s">
        <v>106</v>
      </c>
    </row>
    <row r="42" ht="15.75" customHeight="1">
      <c r="A42" s="43" t="s">
        <v>96</v>
      </c>
      <c r="B42" s="43" t="s">
        <v>107</v>
      </c>
      <c r="C42" s="66" t="s">
        <v>53</v>
      </c>
      <c r="D42" s="43" t="s">
        <v>98</v>
      </c>
      <c r="E42" s="43" t="s">
        <v>99</v>
      </c>
      <c r="G42" s="47" t="s">
        <v>170</v>
      </c>
      <c r="H42" s="47" t="s">
        <v>171</v>
      </c>
      <c r="I42" s="47" t="s">
        <v>172</v>
      </c>
      <c r="J42" s="47" t="s">
        <v>173</v>
      </c>
      <c r="K42" s="47" t="s">
        <v>174</v>
      </c>
      <c r="L42" s="47" t="s">
        <v>175</v>
      </c>
      <c r="M42" s="47" t="s">
        <v>176</v>
      </c>
      <c r="N42" s="47" t="s">
        <v>177</v>
      </c>
      <c r="O42" s="47" t="s">
        <v>108</v>
      </c>
    </row>
    <row r="43" ht="15.75" customHeight="1">
      <c r="A43" s="1">
        <v>100.0</v>
      </c>
      <c r="B43" s="1">
        <v>15.0</v>
      </c>
      <c r="C43" s="67">
        <f t="shared" ref="C43:C50" si="2">B43*B$5</f>
        <v>1.65</v>
      </c>
      <c r="D43" s="45">
        <f t="shared" ref="D43:D50" si="3">C43/A43</f>
        <v>0.0165</v>
      </c>
      <c r="E43" s="18">
        <f t="shared" ref="E43:E50" si="4">(D$43-D43)/D$43</f>
        <v>0</v>
      </c>
      <c r="G43" s="48">
        <v>100.0</v>
      </c>
      <c r="H43" s="49">
        <v>0.99</v>
      </c>
      <c r="I43" s="50" t="s">
        <v>178</v>
      </c>
      <c r="J43" s="49">
        <f t="shared" ref="J43:J50" si="5">H43*$J$41</f>
        <v>1.2474</v>
      </c>
      <c r="K43" s="49">
        <f t="shared" ref="K43:K50" si="6">H43*$K$41</f>
        <v>7.7418</v>
      </c>
      <c r="L43" s="51">
        <f t="shared" ref="L43:L50" si="7">H43*$L$41</f>
        <v>16651.8</v>
      </c>
      <c r="M43" s="50" t="s">
        <v>179</v>
      </c>
      <c r="N43" s="50" t="s">
        <v>180</v>
      </c>
      <c r="O43" s="50" t="s">
        <v>109</v>
      </c>
    </row>
    <row r="44" ht="15.75" customHeight="1">
      <c r="A44" s="1">
        <v>500.0</v>
      </c>
      <c r="B44" s="1">
        <v>65.0</v>
      </c>
      <c r="C44" s="67">
        <f t="shared" si="2"/>
        <v>7.15</v>
      </c>
      <c r="D44" s="45">
        <f t="shared" si="3"/>
        <v>0.0143</v>
      </c>
      <c r="E44" s="18">
        <f t="shared" si="4"/>
        <v>0.1333333333</v>
      </c>
      <c r="G44" s="48">
        <v>500.0</v>
      </c>
      <c r="H44" s="49">
        <v>4.99</v>
      </c>
      <c r="I44" s="50" t="s">
        <v>181</v>
      </c>
      <c r="J44" s="49">
        <f t="shared" si="5"/>
        <v>6.2874</v>
      </c>
      <c r="K44" s="49">
        <f t="shared" si="6"/>
        <v>39.0218</v>
      </c>
      <c r="L44" s="51">
        <f t="shared" si="7"/>
        <v>83931.8</v>
      </c>
      <c r="M44" s="50" t="s">
        <v>182</v>
      </c>
      <c r="N44" s="50" t="s">
        <v>183</v>
      </c>
      <c r="O44" s="50" t="s">
        <v>110</v>
      </c>
    </row>
    <row r="45" ht="15.75" customHeight="1">
      <c r="A45" s="1">
        <v>1050.0</v>
      </c>
      <c r="B45" s="1">
        <v>120.0</v>
      </c>
      <c r="C45" s="67">
        <f t="shared" si="2"/>
        <v>13.2</v>
      </c>
      <c r="D45" s="45">
        <f t="shared" si="3"/>
        <v>0.01257142857</v>
      </c>
      <c r="E45" s="18">
        <f t="shared" si="4"/>
        <v>0.2380952381</v>
      </c>
      <c r="G45" s="1" t="s">
        <v>184</v>
      </c>
      <c r="H45" s="49">
        <v>9.99</v>
      </c>
      <c r="I45" s="50" t="s">
        <v>185</v>
      </c>
      <c r="J45" s="49">
        <f t="shared" si="5"/>
        <v>12.5874</v>
      </c>
      <c r="K45" s="49">
        <f t="shared" si="6"/>
        <v>78.1218</v>
      </c>
      <c r="L45" s="51">
        <f t="shared" si="7"/>
        <v>168031.8</v>
      </c>
      <c r="M45" s="50" t="s">
        <v>186</v>
      </c>
      <c r="N45" s="50" t="s">
        <v>187</v>
      </c>
      <c r="O45" s="50" t="s">
        <v>111</v>
      </c>
    </row>
    <row r="46" ht="15.75" customHeight="1">
      <c r="A46" s="1">
        <v>1600.0</v>
      </c>
      <c r="B46" s="1">
        <v>180.0</v>
      </c>
      <c r="C46" s="67">
        <f t="shared" si="2"/>
        <v>19.8</v>
      </c>
      <c r="D46" s="45">
        <f t="shared" si="3"/>
        <v>0.012375</v>
      </c>
      <c r="E46" s="18">
        <f t="shared" si="4"/>
        <v>0.25</v>
      </c>
      <c r="G46" s="1" t="s">
        <v>188</v>
      </c>
      <c r="H46" s="49">
        <v>14.99</v>
      </c>
      <c r="I46" s="50" t="s">
        <v>189</v>
      </c>
      <c r="J46" s="49">
        <f t="shared" si="5"/>
        <v>18.8874</v>
      </c>
      <c r="K46" s="49">
        <f t="shared" si="6"/>
        <v>117.2218</v>
      </c>
      <c r="L46" s="51">
        <f t="shared" si="7"/>
        <v>252131.8</v>
      </c>
      <c r="M46" s="50" t="s">
        <v>190</v>
      </c>
      <c r="N46" s="50" t="s">
        <v>191</v>
      </c>
      <c r="O46" s="50" t="s">
        <v>112</v>
      </c>
    </row>
    <row r="47" ht="15.75" customHeight="1">
      <c r="A47" s="1">
        <v>2800.0</v>
      </c>
      <c r="B47" s="1">
        <v>279.0</v>
      </c>
      <c r="C47" s="67">
        <f t="shared" si="2"/>
        <v>30.69</v>
      </c>
      <c r="D47" s="45">
        <f t="shared" si="3"/>
        <v>0.01096071429</v>
      </c>
      <c r="E47" s="18">
        <f t="shared" si="4"/>
        <v>0.3357142857</v>
      </c>
      <c r="G47" s="1" t="s">
        <v>192</v>
      </c>
      <c r="H47" s="49">
        <v>24.99</v>
      </c>
      <c r="I47" s="50" t="s">
        <v>193</v>
      </c>
      <c r="J47" s="49">
        <f t="shared" si="5"/>
        <v>31.4874</v>
      </c>
      <c r="K47" s="49">
        <f t="shared" si="6"/>
        <v>195.4218</v>
      </c>
      <c r="L47" s="51">
        <f t="shared" si="7"/>
        <v>420331.8</v>
      </c>
      <c r="M47" s="50" t="s">
        <v>194</v>
      </c>
      <c r="N47" s="50" t="s">
        <v>195</v>
      </c>
      <c r="O47" s="50" t="s">
        <v>113</v>
      </c>
    </row>
    <row r="48" ht="15.75" customHeight="1">
      <c r="A48" s="1">
        <v>5900.0</v>
      </c>
      <c r="B48" s="1">
        <v>580.0</v>
      </c>
      <c r="C48" s="67">
        <f t="shared" si="2"/>
        <v>63.8</v>
      </c>
      <c r="D48" s="45">
        <f t="shared" si="3"/>
        <v>0.01081355932</v>
      </c>
      <c r="E48" s="18">
        <f t="shared" si="4"/>
        <v>0.3446327684</v>
      </c>
      <c r="G48" s="1" t="s">
        <v>196</v>
      </c>
      <c r="H48" s="49">
        <v>49.99</v>
      </c>
      <c r="I48" s="50" t="s">
        <v>197</v>
      </c>
      <c r="J48" s="49">
        <f t="shared" si="5"/>
        <v>62.9874</v>
      </c>
      <c r="K48" s="49">
        <f t="shared" si="6"/>
        <v>390.9218</v>
      </c>
      <c r="L48" s="51">
        <f t="shared" si="7"/>
        <v>840831.8</v>
      </c>
      <c r="M48" s="50" t="s">
        <v>198</v>
      </c>
      <c r="N48" s="50" t="s">
        <v>199</v>
      </c>
      <c r="O48" s="50" t="s">
        <v>114</v>
      </c>
    </row>
    <row r="49" ht="15.75" customHeight="1">
      <c r="A49" s="1">
        <v>12000.0</v>
      </c>
      <c r="B49" s="1">
        <v>1099.0</v>
      </c>
      <c r="C49" s="67">
        <f t="shared" si="2"/>
        <v>120.89</v>
      </c>
      <c r="D49" s="45">
        <f t="shared" si="3"/>
        <v>0.01007416667</v>
      </c>
      <c r="E49" s="18">
        <f t="shared" si="4"/>
        <v>0.3894444444</v>
      </c>
      <c r="G49" s="1" t="s">
        <v>200</v>
      </c>
      <c r="H49" s="49">
        <v>99.99</v>
      </c>
      <c r="I49" s="50" t="s">
        <v>201</v>
      </c>
      <c r="J49" s="49">
        <f t="shared" si="5"/>
        <v>125.9874</v>
      </c>
      <c r="K49" s="49">
        <f t="shared" si="6"/>
        <v>781.9218</v>
      </c>
      <c r="L49" s="51">
        <f t="shared" si="7"/>
        <v>1681831.8</v>
      </c>
      <c r="M49" s="50" t="s">
        <v>202</v>
      </c>
      <c r="N49" s="50" t="s">
        <v>203</v>
      </c>
      <c r="O49" s="50" t="s">
        <v>115</v>
      </c>
    </row>
    <row r="50" ht="15.75" customHeight="1">
      <c r="A50" s="1">
        <v>18500.0</v>
      </c>
      <c r="B50" s="1">
        <v>1649.0</v>
      </c>
      <c r="C50" s="67">
        <f t="shared" si="2"/>
        <v>181.39</v>
      </c>
      <c r="D50" s="45">
        <f t="shared" si="3"/>
        <v>0.009804864865</v>
      </c>
      <c r="E50" s="18">
        <f t="shared" si="4"/>
        <v>0.4057657658</v>
      </c>
      <c r="G50" s="1" t="s">
        <v>204</v>
      </c>
      <c r="H50" s="49">
        <v>149.99</v>
      </c>
      <c r="I50" s="50" t="s">
        <v>205</v>
      </c>
      <c r="J50" s="49">
        <f t="shared" si="5"/>
        <v>188.9874</v>
      </c>
      <c r="K50" s="49">
        <f t="shared" si="6"/>
        <v>1172.9218</v>
      </c>
      <c r="L50" s="51">
        <f t="shared" si="7"/>
        <v>2522831.8</v>
      </c>
      <c r="M50" s="50" t="s">
        <v>206</v>
      </c>
      <c r="N50" s="50" t="s">
        <v>207</v>
      </c>
      <c r="O50" s="50" t="s">
        <v>116</v>
      </c>
    </row>
    <row r="51" ht="15.75" customHeight="1"/>
    <row r="52" ht="15.75" customHeight="1">
      <c r="A52" s="1" t="s">
        <v>117</v>
      </c>
    </row>
    <row r="53" ht="15.75" customHeight="1"/>
    <row r="54" ht="15.75" customHeight="1">
      <c r="A54" s="2"/>
    </row>
    <row r="55" ht="15.75" customHeight="1">
      <c r="A55" s="68" t="s">
        <v>208</v>
      </c>
      <c r="C55" s="44"/>
      <c r="D55" s="45"/>
      <c r="E55" s="18"/>
    </row>
    <row r="56" ht="15.75" customHeight="1">
      <c r="A56" s="1" t="s">
        <v>209</v>
      </c>
      <c r="B56" s="69" t="s">
        <v>210</v>
      </c>
      <c r="C56" s="70" t="s">
        <v>211</v>
      </c>
      <c r="D56" s="71" t="s">
        <v>212</v>
      </c>
      <c r="E56" s="72"/>
    </row>
    <row r="57" ht="15.75" customHeight="1">
      <c r="A57" s="73" t="s">
        <v>213</v>
      </c>
      <c r="B57" s="73" t="s">
        <v>214</v>
      </c>
      <c r="C57" s="74" t="s">
        <v>215</v>
      </c>
      <c r="D57" s="75" t="s">
        <v>216</v>
      </c>
      <c r="E57" s="47" t="s">
        <v>172</v>
      </c>
    </row>
    <row r="58" ht="15.75" customHeight="1">
      <c r="A58" s="1">
        <v>100.0</v>
      </c>
      <c r="B58" s="1">
        <v>0.99</v>
      </c>
      <c r="C58" s="1">
        <v>0.99</v>
      </c>
      <c r="D58" s="1">
        <v>150.0</v>
      </c>
      <c r="E58" s="50" t="s">
        <v>178</v>
      </c>
      <c r="F58" s="1">
        <f t="shared" ref="F58:F65" si="8">D58/C58</f>
        <v>151.5151515</v>
      </c>
    </row>
    <row r="59" ht="15.75" customHeight="1">
      <c r="A59" s="1">
        <v>500.0</v>
      </c>
      <c r="B59" s="1">
        <v>4.99</v>
      </c>
      <c r="C59" s="1">
        <v>4.99</v>
      </c>
      <c r="D59" s="1">
        <v>690.0</v>
      </c>
      <c r="E59" s="50" t="s">
        <v>181</v>
      </c>
      <c r="F59" s="1">
        <f t="shared" si="8"/>
        <v>138.2765531</v>
      </c>
      <c r="H59" s="1">
        <f t="shared" ref="H59:I59" si="9">C59/C58</f>
        <v>5.04040404</v>
      </c>
      <c r="I59" s="1">
        <f t="shared" si="9"/>
        <v>4.6</v>
      </c>
    </row>
    <row r="60" ht="15.75" customHeight="1">
      <c r="A60" s="1">
        <v>1050.0</v>
      </c>
      <c r="B60" s="1">
        <v>9.99</v>
      </c>
      <c r="C60" s="1">
        <v>9.99</v>
      </c>
      <c r="D60" s="1">
        <v>1400.0</v>
      </c>
      <c r="E60" s="50" t="s">
        <v>185</v>
      </c>
      <c r="F60" s="1">
        <f t="shared" si="8"/>
        <v>140.1401401</v>
      </c>
      <c r="H60" s="1">
        <f t="shared" ref="H60:I60" si="10">C60/C59</f>
        <v>2.002004008</v>
      </c>
      <c r="I60" s="1">
        <f t="shared" si="10"/>
        <v>2.028985507</v>
      </c>
    </row>
    <row r="61" ht="15.75" customHeight="1">
      <c r="A61" s="1">
        <v>1600.0</v>
      </c>
      <c r="B61" s="1">
        <v>14.99</v>
      </c>
      <c r="C61" s="1">
        <v>14.99</v>
      </c>
      <c r="D61" s="1">
        <v>2100.0</v>
      </c>
      <c r="E61" s="50" t="s">
        <v>189</v>
      </c>
      <c r="F61" s="1">
        <f t="shared" si="8"/>
        <v>140.0933956</v>
      </c>
      <c r="H61" s="1">
        <f t="shared" ref="H61:I61" si="11">C61/C60</f>
        <v>1.500500501</v>
      </c>
      <c r="I61" s="1">
        <f t="shared" si="11"/>
        <v>1.5</v>
      </c>
    </row>
    <row r="62" ht="15.75" customHeight="1">
      <c r="A62" s="1">
        <v>2800.0</v>
      </c>
      <c r="B62" s="1">
        <v>24.99</v>
      </c>
      <c r="C62" s="1">
        <v>24.99</v>
      </c>
      <c r="D62" s="1">
        <v>3400.0</v>
      </c>
      <c r="E62" s="50" t="s">
        <v>193</v>
      </c>
      <c r="F62" s="1">
        <f t="shared" si="8"/>
        <v>136.0544218</v>
      </c>
      <c r="H62" s="1">
        <f t="shared" ref="H62:I62" si="12">C62/C61</f>
        <v>1.667111408</v>
      </c>
      <c r="I62" s="1">
        <f t="shared" si="12"/>
        <v>1.619047619</v>
      </c>
    </row>
    <row r="63" ht="15.75" customHeight="1">
      <c r="A63" s="1">
        <v>5900.0</v>
      </c>
      <c r="B63" s="1">
        <v>49.99</v>
      </c>
      <c r="C63" s="1">
        <v>49.99</v>
      </c>
      <c r="D63" s="1">
        <v>6600.0</v>
      </c>
      <c r="E63" s="50" t="s">
        <v>197</v>
      </c>
      <c r="F63" s="1">
        <f t="shared" si="8"/>
        <v>132.0264053</v>
      </c>
      <c r="H63" s="1">
        <f t="shared" ref="H63:I63" si="13">C63/C62</f>
        <v>2.00040016</v>
      </c>
      <c r="I63" s="1">
        <f t="shared" si="13"/>
        <v>1.941176471</v>
      </c>
    </row>
    <row r="64" ht="15.75" customHeight="1">
      <c r="A64" s="1">
        <v>12000.0</v>
      </c>
      <c r="B64" s="1">
        <v>99.99</v>
      </c>
      <c r="C64" s="1">
        <v>99.99</v>
      </c>
      <c r="D64" s="1">
        <v>13300.0</v>
      </c>
      <c r="E64" s="50" t="s">
        <v>201</v>
      </c>
      <c r="F64" s="1">
        <f t="shared" si="8"/>
        <v>133.0133013</v>
      </c>
      <c r="H64" s="1">
        <f t="shared" ref="H64:I64" si="14">C64/C63</f>
        <v>2.00020004</v>
      </c>
      <c r="I64" s="1">
        <f t="shared" si="14"/>
        <v>2.015151515</v>
      </c>
    </row>
    <row r="65" ht="15.75" customHeight="1">
      <c r="A65" s="1">
        <v>18500.0</v>
      </c>
      <c r="B65" s="1">
        <v>149.99</v>
      </c>
      <c r="C65" s="1">
        <v>149.99</v>
      </c>
      <c r="D65" s="1">
        <v>19900.0</v>
      </c>
      <c r="E65" s="50" t="s">
        <v>205</v>
      </c>
      <c r="F65" s="1">
        <f t="shared" si="8"/>
        <v>132.6755117</v>
      </c>
      <c r="H65" s="1">
        <f t="shared" ref="H65:I65" si="15">C65/C64</f>
        <v>1.500050005</v>
      </c>
      <c r="I65" s="1">
        <f t="shared" si="15"/>
        <v>1.496240602</v>
      </c>
    </row>
    <row r="66" ht="15.75" customHeight="1">
      <c r="C66" s="44"/>
      <c r="D66" s="45"/>
      <c r="E66" s="18"/>
    </row>
    <row r="67" ht="15.75" customHeight="1">
      <c r="C67" s="44"/>
      <c r="D67" s="45"/>
      <c r="E67" s="18"/>
    </row>
    <row r="68" ht="15.75" customHeight="1">
      <c r="C68" s="44"/>
      <c r="D68" s="45"/>
      <c r="E68" s="18"/>
    </row>
    <row r="69" ht="15.75" customHeight="1"/>
    <row r="70" ht="15.75" customHeight="1">
      <c r="A70" s="2"/>
    </row>
    <row r="71" ht="15.75" customHeight="1">
      <c r="C71" s="9"/>
    </row>
    <row r="72" ht="15.75" customHeight="1">
      <c r="C72" s="9"/>
    </row>
    <row r="73" ht="15.75" customHeight="1">
      <c r="C73" s="9"/>
    </row>
    <row r="74" ht="15.75" customHeight="1">
      <c r="C74" s="9"/>
    </row>
    <row r="75" ht="15.75" customHeight="1">
      <c r="C75" s="9"/>
    </row>
    <row r="76" ht="15.75" customHeight="1"/>
    <row r="77" ht="15.75" customHeight="1">
      <c r="A77" s="43"/>
    </row>
    <row r="78" ht="15.75" customHeight="1">
      <c r="A78" s="43"/>
      <c r="B78" s="43"/>
      <c r="C78" s="43"/>
      <c r="D78" s="43"/>
    </row>
    <row r="79" ht="15.75" customHeight="1">
      <c r="A79" s="52"/>
      <c r="C79" s="45"/>
      <c r="D79" s="18"/>
    </row>
    <row r="80" ht="15.75" customHeight="1">
      <c r="A80" s="52"/>
      <c r="C80" s="45"/>
      <c r="D80" s="18"/>
    </row>
    <row r="81" ht="15.75" customHeight="1">
      <c r="A81" s="52"/>
      <c r="C81" s="45"/>
      <c r="D81" s="18"/>
    </row>
    <row r="82" ht="15.75" customHeight="1">
      <c r="A82" s="52"/>
      <c r="C82" s="45"/>
      <c r="D82" s="18"/>
    </row>
    <row r="83" ht="15.75" customHeight="1">
      <c r="A83" s="52"/>
      <c r="C83" s="45"/>
      <c r="D83" s="18"/>
    </row>
    <row r="84" ht="15.75" customHeight="1">
      <c r="A84" s="52"/>
      <c r="C84" s="45"/>
      <c r="D84" s="18"/>
    </row>
    <row r="85" ht="15.75" customHeight="1">
      <c r="B85" s="44"/>
      <c r="C85" s="45"/>
      <c r="D85" s="18"/>
    </row>
    <row r="86" ht="15.75" customHeight="1">
      <c r="A86" s="43"/>
      <c r="B86" s="53"/>
    </row>
    <row r="87" ht="15.75" customHeight="1">
      <c r="A87" s="43"/>
      <c r="B87" s="43"/>
      <c r="C87" s="43"/>
      <c r="D87" s="43"/>
      <c r="E87" s="2"/>
      <c r="G87" s="2"/>
      <c r="H87" s="2"/>
    </row>
    <row r="88" ht="15.75" customHeight="1">
      <c r="A88" s="52"/>
      <c r="C88" s="45"/>
      <c r="D88" s="18"/>
    </row>
    <row r="89" ht="15.75" customHeight="1">
      <c r="A89" s="52"/>
      <c r="C89" s="45"/>
      <c r="D89" s="18"/>
      <c r="E89" s="4"/>
    </row>
    <row r="90" ht="15.75" customHeight="1">
      <c r="A90" s="52"/>
      <c r="C90" s="45"/>
      <c r="D90" s="18"/>
      <c r="E90" s="4"/>
      <c r="H90" s="44"/>
    </row>
    <row r="91" ht="15.75" customHeight="1">
      <c r="A91" s="52"/>
      <c r="C91" s="45"/>
      <c r="D91" s="18"/>
      <c r="E91" s="4"/>
      <c r="H91" s="44"/>
    </row>
    <row r="92" ht="15.75" customHeight="1">
      <c r="A92" s="52"/>
      <c r="C92" s="45"/>
      <c r="D92" s="18"/>
      <c r="E92" s="4"/>
      <c r="H92" s="44"/>
    </row>
    <row r="93" ht="15.75" customHeight="1">
      <c r="A93" s="52"/>
      <c r="C93" s="45"/>
      <c r="D93" s="18"/>
      <c r="E93" s="4"/>
      <c r="H93" s="44"/>
    </row>
    <row r="94" ht="15.75" customHeight="1">
      <c r="A94" s="52"/>
      <c r="C94" s="45"/>
      <c r="D94" s="18"/>
      <c r="E94" s="4"/>
      <c r="H94" s="44"/>
    </row>
    <row r="95" ht="15.75" customHeight="1">
      <c r="H95" s="44"/>
    </row>
    <row r="96" ht="15.75" customHeight="1">
      <c r="A96" s="43"/>
      <c r="B96" s="5"/>
      <c r="H96" s="44"/>
    </row>
    <row r="97" ht="15.75" customHeight="1">
      <c r="A97" s="43"/>
      <c r="B97" s="43"/>
      <c r="C97" s="43"/>
      <c r="D97" s="43"/>
      <c r="E97" s="2"/>
      <c r="H97" s="44"/>
    </row>
    <row r="98" ht="15.75" customHeight="1">
      <c r="A98" s="52"/>
      <c r="C98" s="45"/>
      <c r="D98" s="18"/>
      <c r="H98" s="44"/>
    </row>
    <row r="99" ht="15.75" customHeight="1">
      <c r="A99" s="52"/>
      <c r="C99" s="45"/>
      <c r="D99" s="18"/>
      <c r="E99" s="4"/>
      <c r="H99" s="44"/>
    </row>
    <row r="100" ht="15.75" customHeight="1">
      <c r="A100" s="52"/>
      <c r="C100" s="45"/>
      <c r="D100" s="18"/>
      <c r="E100" s="4"/>
      <c r="H100" s="44"/>
    </row>
    <row r="101" ht="15.75" customHeight="1">
      <c r="A101" s="52"/>
      <c r="C101" s="45"/>
      <c r="D101" s="18"/>
      <c r="E101" s="4"/>
      <c r="H101" s="44"/>
    </row>
    <row r="102" ht="15.75" customHeight="1">
      <c r="A102" s="52"/>
      <c r="C102" s="45"/>
      <c r="D102" s="18"/>
      <c r="E102" s="4"/>
      <c r="H102" s="44"/>
    </row>
    <row r="103" ht="15.75" customHeight="1">
      <c r="A103" s="52"/>
      <c r="C103" s="45"/>
      <c r="D103" s="18"/>
      <c r="E103" s="4"/>
      <c r="H103" s="44"/>
    </row>
    <row r="104" ht="15.75" customHeight="1">
      <c r="A104" s="52"/>
      <c r="C104" s="45"/>
      <c r="D104" s="18"/>
      <c r="E104" s="4"/>
      <c r="H104" s="44"/>
    </row>
    <row r="105" ht="15.75" customHeight="1"/>
    <row r="106" ht="15.75" customHeight="1">
      <c r="A106" s="43"/>
      <c r="H106" s="44"/>
    </row>
    <row r="107" ht="15.75" customHeight="1">
      <c r="A107" s="43"/>
      <c r="B107" s="43"/>
      <c r="C107" s="43"/>
      <c r="D107" s="43"/>
      <c r="E107" s="2"/>
      <c r="H107" s="44"/>
    </row>
    <row r="108" ht="15.75" customHeight="1">
      <c r="A108" s="52"/>
      <c r="C108" s="45"/>
      <c r="D108" s="18"/>
      <c r="E108" s="4"/>
      <c r="H108" s="44"/>
    </row>
    <row r="109" ht="15.75" customHeight="1">
      <c r="A109" s="52"/>
      <c r="C109" s="45"/>
      <c r="D109" s="18"/>
      <c r="E109" s="4"/>
      <c r="H109" s="44"/>
    </row>
    <row r="110" ht="15.75" customHeight="1">
      <c r="A110" s="52"/>
      <c r="C110" s="45"/>
      <c r="D110" s="18"/>
      <c r="E110" s="4"/>
      <c r="H110" s="44"/>
    </row>
    <row r="111" ht="15.75" customHeight="1">
      <c r="A111" s="52"/>
      <c r="C111" s="45"/>
      <c r="D111" s="18"/>
      <c r="E111" s="4"/>
      <c r="H111" s="44"/>
    </row>
    <row r="112" ht="15.75" customHeight="1">
      <c r="A112" s="52"/>
      <c r="C112" s="45"/>
      <c r="D112" s="18"/>
      <c r="E112" s="4"/>
      <c r="H112" s="44"/>
    </row>
    <row r="113" ht="15.75" customHeight="1">
      <c r="A113" s="52"/>
      <c r="C113" s="45"/>
      <c r="D113" s="18"/>
      <c r="E113" s="4"/>
      <c r="H113" s="44"/>
    </row>
    <row r="114" ht="15.75" customHeight="1">
      <c r="A114" s="52"/>
      <c r="C114" s="45"/>
      <c r="D114" s="18"/>
      <c r="E114" s="4"/>
      <c r="H114" s="44"/>
    </row>
    <row r="115" ht="15.75" customHeight="1">
      <c r="A115" s="2"/>
      <c r="B115" s="2"/>
      <c r="C115" s="2"/>
      <c r="D115" s="2"/>
      <c r="E115" s="2"/>
      <c r="F115" s="2"/>
    </row>
    <row r="116" ht="15.75" customHeight="1">
      <c r="A116" s="43"/>
      <c r="H116" s="44"/>
    </row>
    <row r="117" ht="15.75" customHeight="1">
      <c r="A117" s="43"/>
      <c r="B117" s="43"/>
      <c r="C117" s="43"/>
      <c r="D117" s="43"/>
      <c r="E117" s="2"/>
      <c r="H117" s="44"/>
    </row>
    <row r="118" ht="15.75" customHeight="1">
      <c r="A118" s="52"/>
      <c r="C118" s="45"/>
      <c r="D118" s="18"/>
      <c r="E118" s="4"/>
      <c r="H118" s="44"/>
    </row>
    <row r="119" ht="15.75" customHeight="1">
      <c r="A119" s="52"/>
      <c r="C119" s="45"/>
      <c r="D119" s="18"/>
      <c r="E119" s="4"/>
      <c r="H119" s="44"/>
    </row>
    <row r="120" ht="15.75" customHeight="1">
      <c r="A120" s="52"/>
      <c r="C120" s="45"/>
      <c r="D120" s="18"/>
      <c r="E120" s="4"/>
      <c r="H120" s="44"/>
    </row>
    <row r="121" ht="15.75" customHeight="1">
      <c r="A121" s="52"/>
      <c r="C121" s="45"/>
      <c r="D121" s="18"/>
      <c r="E121" s="4"/>
      <c r="H121" s="44"/>
    </row>
    <row r="122" ht="15.75" customHeight="1">
      <c r="A122" s="52"/>
      <c r="C122" s="45"/>
      <c r="D122" s="18"/>
      <c r="E122" s="4"/>
      <c r="H122" s="44"/>
    </row>
    <row r="123" ht="15.75" customHeight="1">
      <c r="A123" s="52"/>
      <c r="C123" s="45"/>
      <c r="D123" s="18"/>
      <c r="E123" s="4"/>
      <c r="H123" s="44"/>
    </row>
    <row r="124" ht="15.75" customHeight="1">
      <c r="A124" s="52"/>
      <c r="C124" s="45"/>
      <c r="D124" s="18"/>
      <c r="E124" s="4"/>
      <c r="H124" s="44"/>
    </row>
    <row r="125" ht="15.75" customHeight="1"/>
    <row r="126" ht="15.75" customHeight="1"/>
    <row r="127" ht="15.75" customHeight="1">
      <c r="A127" s="2"/>
      <c r="B127" s="2"/>
      <c r="C127" s="2"/>
      <c r="D127" s="2"/>
      <c r="E127" s="2"/>
      <c r="F127" s="2"/>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71:C75">
    <cfRule type="expression" dxfId="1" priority="1">
      <formula>AND($C71&lt;&gt;"", $D71&lt;&gt;"")</formula>
    </cfRule>
  </conditionalFormatting>
  <hyperlinks>
    <hyperlink r:id="rId1" ref="B56"/>
    <hyperlink r:id="rId2" ref="C56"/>
    <hyperlink r:id="rId3" ref="D56"/>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25"/>
    <col customWidth="1" min="2" max="2" width="48.0"/>
    <col customWidth="1" min="3" max="4" width="12.63"/>
    <col customWidth="1" min="5" max="5" width="17.88"/>
    <col customWidth="1" min="6" max="6" width="17.75"/>
    <col customWidth="1" min="7" max="7" width="18.63"/>
    <col customWidth="1" min="8" max="8" width="17.13"/>
    <col customWidth="1" min="9" max="9" width="18.5"/>
    <col customWidth="1" min="10" max="10" width="18.75"/>
    <col customWidth="1" min="11" max="11" width="20.25"/>
    <col customWidth="1" min="12" max="12" width="15.63"/>
    <col customWidth="1" min="13" max="13" width="21.0"/>
    <col customWidth="1" min="14" max="14" width="36.25"/>
  </cols>
  <sheetData>
    <row r="1" ht="15.75" customHeight="1">
      <c r="A1" s="2" t="s">
        <v>217</v>
      </c>
    </row>
    <row r="2" ht="15.75" customHeight="1">
      <c r="A2" s="1" t="s">
        <v>47</v>
      </c>
      <c r="E2" s="9">
        <v>6.0</v>
      </c>
    </row>
    <row r="3" ht="15.75" customHeight="1">
      <c r="A3" s="1" t="s">
        <v>48</v>
      </c>
      <c r="E3" s="9">
        <v>20.0</v>
      </c>
    </row>
    <row r="4" ht="15.75" customHeight="1">
      <c r="A4" s="1" t="s">
        <v>49</v>
      </c>
      <c r="B4" s="1"/>
      <c r="C4" s="1"/>
      <c r="D4" s="1"/>
      <c r="E4" s="9">
        <v>3.99</v>
      </c>
    </row>
    <row r="5" ht="15.75" customHeight="1">
      <c r="A5" s="1" t="s">
        <v>50</v>
      </c>
      <c r="B5" s="1"/>
      <c r="C5" s="1"/>
      <c r="D5" s="1"/>
      <c r="E5" s="9">
        <v>6.99</v>
      </c>
    </row>
    <row r="6" ht="15.75" customHeight="1">
      <c r="A6" s="1" t="s">
        <v>51</v>
      </c>
      <c r="B6" s="1"/>
      <c r="C6" s="1"/>
      <c r="D6" s="1"/>
      <c r="E6" s="9">
        <v>7.0</v>
      </c>
    </row>
    <row r="7" ht="15.75" customHeight="1"/>
    <row r="8" ht="15.75" customHeight="1">
      <c r="A8" s="43" t="s">
        <v>218</v>
      </c>
    </row>
    <row r="9" ht="15.75" customHeight="1">
      <c r="A9" s="43" t="s">
        <v>96</v>
      </c>
      <c r="B9" s="43"/>
      <c r="C9" s="43"/>
      <c r="D9" s="43" t="s">
        <v>53</v>
      </c>
      <c r="E9" s="43" t="s">
        <v>98</v>
      </c>
      <c r="F9" s="43" t="s">
        <v>99</v>
      </c>
    </row>
    <row r="10" ht="15.75" customHeight="1">
      <c r="A10" s="52">
        <v>5000.0</v>
      </c>
      <c r="B10" s="1"/>
      <c r="C10" s="1"/>
      <c r="D10" s="1">
        <v>5.99</v>
      </c>
      <c r="E10" s="45">
        <f t="shared" ref="E10:E15" si="1">D10/A10</f>
        <v>0.001198</v>
      </c>
      <c r="F10" s="18">
        <f t="shared" ref="F10:F15" si="2">(E$10-E10)/E$10</f>
        <v>0</v>
      </c>
    </row>
    <row r="11" ht="15.75" customHeight="1">
      <c r="A11" s="52">
        <v>10000.0</v>
      </c>
      <c r="B11" s="1"/>
      <c r="C11" s="1"/>
      <c r="D11" s="1">
        <v>9.99</v>
      </c>
      <c r="E11" s="45">
        <f t="shared" si="1"/>
        <v>0.000999</v>
      </c>
      <c r="F11" s="18">
        <f t="shared" si="2"/>
        <v>0.1661101836</v>
      </c>
    </row>
    <row r="12" ht="15.75" customHeight="1">
      <c r="A12" s="52">
        <v>20500.0</v>
      </c>
      <c r="B12" s="1"/>
      <c r="C12" s="1"/>
      <c r="D12" s="1">
        <v>19.99</v>
      </c>
      <c r="E12" s="45">
        <f t="shared" si="1"/>
        <v>0.0009751219512</v>
      </c>
      <c r="F12" s="18">
        <f t="shared" si="2"/>
        <v>0.1860417769</v>
      </c>
    </row>
    <row r="13" ht="15.75" customHeight="1">
      <c r="A13" s="52">
        <v>35000.0</v>
      </c>
      <c r="B13" s="1"/>
      <c r="C13" s="1"/>
      <c r="D13" s="1">
        <v>29.99</v>
      </c>
      <c r="E13" s="45">
        <f t="shared" si="1"/>
        <v>0.0008568571429</v>
      </c>
      <c r="F13" s="18">
        <f t="shared" si="2"/>
        <v>0.2847603148</v>
      </c>
    </row>
    <row r="14" ht="15.75" customHeight="1">
      <c r="A14" s="52">
        <v>65000.0</v>
      </c>
      <c r="B14" s="1"/>
      <c r="C14" s="1"/>
      <c r="D14" s="1">
        <v>49.99</v>
      </c>
      <c r="E14" s="45">
        <f t="shared" si="1"/>
        <v>0.0007690769231</v>
      </c>
      <c r="F14" s="18">
        <f t="shared" si="2"/>
        <v>0.3580326185</v>
      </c>
      <c r="I14" s="1">
        <f>25000/500</f>
        <v>50</v>
      </c>
    </row>
    <row r="15" ht="15.75" customHeight="1">
      <c r="A15" s="52">
        <v>145000.0</v>
      </c>
      <c r="B15" s="1"/>
      <c r="C15" s="1"/>
      <c r="D15" s="1">
        <v>99.99</v>
      </c>
      <c r="E15" s="45">
        <f t="shared" si="1"/>
        <v>0.0006895862069</v>
      </c>
      <c r="F15" s="18">
        <f t="shared" si="2"/>
        <v>0.42438547</v>
      </c>
    </row>
    <row r="16" ht="15.75" customHeight="1">
      <c r="B16" s="44"/>
      <c r="C16" s="44"/>
      <c r="D16" s="44"/>
      <c r="E16" s="45"/>
      <c r="F16" s="18"/>
    </row>
    <row r="17" ht="15.75" customHeight="1">
      <c r="A17" s="43" t="s">
        <v>219</v>
      </c>
      <c r="B17" s="53"/>
      <c r="C17" s="53"/>
      <c r="D17" s="53"/>
      <c r="J17" s="76" t="s">
        <v>220</v>
      </c>
      <c r="L17" s="77" t="s">
        <v>221</v>
      </c>
    </row>
    <row r="18" ht="15.75" customHeight="1">
      <c r="A18" s="43" t="s">
        <v>96</v>
      </c>
      <c r="B18" s="43"/>
      <c r="C18" s="43"/>
      <c r="D18" s="43" t="s">
        <v>53</v>
      </c>
      <c r="E18" s="43" t="s">
        <v>98</v>
      </c>
      <c r="F18" s="43" t="s">
        <v>99</v>
      </c>
      <c r="G18" s="2" t="s">
        <v>222</v>
      </c>
      <c r="H18" s="2" t="s">
        <v>223</v>
      </c>
      <c r="I18" s="2" t="s">
        <v>224</v>
      </c>
      <c r="J18" s="11" t="s">
        <v>225</v>
      </c>
      <c r="K18" s="11" t="s">
        <v>226</v>
      </c>
      <c r="L18" s="78" t="s">
        <v>225</v>
      </c>
      <c r="M18" s="78" t="s">
        <v>226</v>
      </c>
    </row>
    <row r="19" ht="15.75" customHeight="1">
      <c r="A19" s="52">
        <v>100.0</v>
      </c>
      <c r="B19" s="1"/>
      <c r="C19" s="1"/>
      <c r="D19" s="1">
        <v>1.59</v>
      </c>
      <c r="E19" s="45">
        <f t="shared" ref="E19:E25" si="3">D19/A19</f>
        <v>0.0159</v>
      </c>
      <c r="F19" s="18">
        <f t="shared" ref="F19:F25" si="4">(E$19-E19)/E$19</f>
        <v>0</v>
      </c>
      <c r="G19" s="1">
        <v>100.0</v>
      </c>
      <c r="I19" s="1">
        <f t="shared" ref="I19:I25" si="5">A19*50</f>
        <v>5000</v>
      </c>
      <c r="J19" s="16"/>
      <c r="K19" s="16">
        <v>0.0</v>
      </c>
      <c r="L19" s="79">
        <f>D19</f>
        <v>1.59</v>
      </c>
      <c r="M19" s="80">
        <f t="shared" ref="M19:M25" si="6">A19/100</f>
        <v>1</v>
      </c>
    </row>
    <row r="20" ht="15.75" customHeight="1">
      <c r="A20" s="52">
        <v>500.0</v>
      </c>
      <c r="B20" s="1"/>
      <c r="C20" s="1"/>
      <c r="D20" s="1">
        <v>5.99</v>
      </c>
      <c r="E20" s="45">
        <f t="shared" si="3"/>
        <v>0.01198</v>
      </c>
      <c r="F20" s="18">
        <f t="shared" si="4"/>
        <v>0.2465408805</v>
      </c>
      <c r="G20" s="4">
        <f t="shared" ref="G20:G25" si="7">D20/E$19</f>
        <v>376.7295597</v>
      </c>
      <c r="H20" s="1" t="s">
        <v>227</v>
      </c>
      <c r="I20" s="1">
        <f t="shared" si="5"/>
        <v>25000</v>
      </c>
      <c r="J20" s="16">
        <v>5.99</v>
      </c>
      <c r="K20" s="16">
        <f t="shared" ref="K20:K25" si="8">A20/500</f>
        <v>1</v>
      </c>
      <c r="L20" s="79">
        <f t="shared" ref="L20:L25" si="9">100*E20</f>
        <v>1.198</v>
      </c>
      <c r="M20" s="80">
        <f t="shared" si="6"/>
        <v>5</v>
      </c>
    </row>
    <row r="21" ht="15.75" customHeight="1">
      <c r="A21" s="52">
        <v>1000.0</v>
      </c>
      <c r="B21" s="1"/>
      <c r="C21" s="1"/>
      <c r="D21" s="1">
        <v>9.99</v>
      </c>
      <c r="E21" s="45">
        <f t="shared" si="3"/>
        <v>0.00999</v>
      </c>
      <c r="F21" s="18">
        <f t="shared" si="4"/>
        <v>0.3716981132</v>
      </c>
      <c r="G21" s="4">
        <f t="shared" si="7"/>
        <v>628.3018868</v>
      </c>
      <c r="H21" s="1" t="s">
        <v>228</v>
      </c>
      <c r="I21" s="1">
        <f t="shared" si="5"/>
        <v>50000</v>
      </c>
      <c r="J21" s="81">
        <f t="shared" ref="J21:J25" si="10">500*E21</f>
        <v>4.995</v>
      </c>
      <c r="K21" s="16">
        <f t="shared" si="8"/>
        <v>2</v>
      </c>
      <c r="L21" s="79">
        <f t="shared" si="9"/>
        <v>0.999</v>
      </c>
      <c r="M21" s="80">
        <f t="shared" si="6"/>
        <v>10</v>
      </c>
    </row>
    <row r="22" ht="15.75" customHeight="1">
      <c r="A22" s="52">
        <v>2200.0</v>
      </c>
      <c r="B22" s="1"/>
      <c r="C22" s="1"/>
      <c r="D22" s="1">
        <v>19.99</v>
      </c>
      <c r="E22" s="45">
        <f t="shared" si="3"/>
        <v>0.009086363636</v>
      </c>
      <c r="F22" s="18">
        <f t="shared" si="4"/>
        <v>0.4285305889</v>
      </c>
      <c r="G22" s="4">
        <f t="shared" si="7"/>
        <v>1257.232704</v>
      </c>
      <c r="H22" s="1" t="s">
        <v>229</v>
      </c>
      <c r="I22" s="1">
        <f t="shared" si="5"/>
        <v>110000</v>
      </c>
      <c r="J22" s="81">
        <f t="shared" si="10"/>
        <v>4.543181818</v>
      </c>
      <c r="K22" s="16">
        <f t="shared" si="8"/>
        <v>4.4</v>
      </c>
      <c r="L22" s="79">
        <f t="shared" si="9"/>
        <v>0.9086363636</v>
      </c>
      <c r="M22" s="80">
        <f t="shared" si="6"/>
        <v>22</v>
      </c>
    </row>
    <row r="23" ht="15.75" customHeight="1">
      <c r="A23" s="52">
        <v>3500.0</v>
      </c>
      <c r="B23" s="1"/>
      <c r="C23" s="1"/>
      <c r="D23" s="1">
        <v>29.99</v>
      </c>
      <c r="E23" s="45">
        <f t="shared" si="3"/>
        <v>0.008568571429</v>
      </c>
      <c r="F23" s="18">
        <f t="shared" si="4"/>
        <v>0.4610961366</v>
      </c>
      <c r="G23" s="4">
        <f t="shared" si="7"/>
        <v>1886.163522</v>
      </c>
      <c r="H23" s="1" t="s">
        <v>230</v>
      </c>
      <c r="I23" s="1">
        <f t="shared" si="5"/>
        <v>175000</v>
      </c>
      <c r="J23" s="81">
        <f t="shared" si="10"/>
        <v>4.284285714</v>
      </c>
      <c r="K23" s="16">
        <f t="shared" si="8"/>
        <v>7</v>
      </c>
      <c r="L23" s="79">
        <f t="shared" si="9"/>
        <v>0.8568571429</v>
      </c>
      <c r="M23" s="80">
        <f t="shared" si="6"/>
        <v>35</v>
      </c>
    </row>
    <row r="24" ht="15.75" customHeight="1">
      <c r="A24" s="52">
        <v>6500.0</v>
      </c>
      <c r="B24" s="1"/>
      <c r="C24" s="1"/>
      <c r="D24" s="1">
        <v>49.99</v>
      </c>
      <c r="E24" s="45">
        <f t="shared" si="3"/>
        <v>0.007690769231</v>
      </c>
      <c r="F24" s="18">
        <f t="shared" si="4"/>
        <v>0.516303822</v>
      </c>
      <c r="G24" s="4">
        <f t="shared" si="7"/>
        <v>3144.025157</v>
      </c>
      <c r="H24" s="1" t="s">
        <v>231</v>
      </c>
      <c r="I24" s="1">
        <f t="shared" si="5"/>
        <v>325000</v>
      </c>
      <c r="J24" s="81">
        <f t="shared" si="10"/>
        <v>3.845384615</v>
      </c>
      <c r="K24" s="16">
        <f t="shared" si="8"/>
        <v>13</v>
      </c>
      <c r="L24" s="79">
        <f t="shared" si="9"/>
        <v>0.7690769231</v>
      </c>
      <c r="M24" s="80">
        <f t="shared" si="6"/>
        <v>65</v>
      </c>
    </row>
    <row r="25" ht="15.75" customHeight="1">
      <c r="A25" s="52">
        <v>14500.0</v>
      </c>
      <c r="B25" s="1"/>
      <c r="C25" s="1"/>
      <c r="D25" s="1">
        <v>99.99</v>
      </c>
      <c r="E25" s="45">
        <f t="shared" si="3"/>
        <v>0.006895862069</v>
      </c>
      <c r="F25" s="18">
        <f t="shared" si="4"/>
        <v>0.5662979831</v>
      </c>
      <c r="G25" s="4">
        <f t="shared" si="7"/>
        <v>6288.679245</v>
      </c>
      <c r="H25" s="1" t="s">
        <v>232</v>
      </c>
      <c r="I25" s="1">
        <f t="shared" si="5"/>
        <v>725000</v>
      </c>
      <c r="J25" s="81">
        <f t="shared" si="10"/>
        <v>3.447931034</v>
      </c>
      <c r="K25" s="16">
        <f t="shared" si="8"/>
        <v>29</v>
      </c>
      <c r="L25" s="79">
        <f t="shared" si="9"/>
        <v>0.6895862069</v>
      </c>
      <c r="M25" s="80">
        <f t="shared" si="6"/>
        <v>145</v>
      </c>
    </row>
    <row r="26" ht="15.75" customHeight="1">
      <c r="J26" s="81"/>
      <c r="K26" s="16"/>
      <c r="L26" s="82"/>
      <c r="M26" s="82"/>
    </row>
    <row r="27" ht="15.75" customHeight="1">
      <c r="A27" s="43" t="s">
        <v>233</v>
      </c>
      <c r="B27" s="5"/>
      <c r="C27" s="5"/>
      <c r="D27" s="5"/>
      <c r="J27" s="81"/>
      <c r="K27" s="16"/>
      <c r="L27" s="82"/>
      <c r="M27" s="82"/>
    </row>
    <row r="28" ht="15.75" customHeight="1">
      <c r="A28" s="43" t="s">
        <v>96</v>
      </c>
      <c r="B28" s="43"/>
      <c r="C28" s="43"/>
      <c r="D28" s="43" t="s">
        <v>53</v>
      </c>
      <c r="E28" s="43" t="s">
        <v>98</v>
      </c>
      <c r="F28" s="43" t="s">
        <v>99</v>
      </c>
      <c r="G28" s="2" t="s">
        <v>222</v>
      </c>
      <c r="H28" s="2" t="s">
        <v>223</v>
      </c>
      <c r="J28" s="81"/>
      <c r="K28" s="16"/>
      <c r="L28" s="82"/>
      <c r="M28" s="82"/>
    </row>
    <row r="29" ht="15.75" customHeight="1">
      <c r="A29" s="52">
        <v>100.0</v>
      </c>
      <c r="B29" s="1"/>
      <c r="C29" s="1"/>
      <c r="D29" s="1">
        <v>1.59</v>
      </c>
      <c r="E29" s="45">
        <f t="shared" ref="E29:E35" si="11">D29/A29</f>
        <v>0.0159</v>
      </c>
      <c r="F29" s="18">
        <f t="shared" ref="F29:F35" si="12">(E$29-E29)/E$29</f>
        <v>0</v>
      </c>
      <c r="G29" s="1">
        <v>100.0</v>
      </c>
      <c r="I29" s="1">
        <f t="shared" ref="I29:I35" si="13">A29*50</f>
        <v>5000</v>
      </c>
      <c r="J29" s="81"/>
      <c r="K29" s="16">
        <v>0.0</v>
      </c>
      <c r="L29" s="79">
        <f t="shared" ref="L29:L35" si="14">100*E29</f>
        <v>1.59</v>
      </c>
      <c r="M29" s="82">
        <f t="shared" ref="M29:M35" si="15">A29/100</f>
        <v>1</v>
      </c>
    </row>
    <row r="30" ht="15.75" customHeight="1">
      <c r="A30" s="52">
        <v>500.0</v>
      </c>
      <c r="B30" s="1"/>
      <c r="C30" s="1"/>
      <c r="D30" s="1">
        <v>5.99</v>
      </c>
      <c r="E30" s="45">
        <f t="shared" si="11"/>
        <v>0.01198</v>
      </c>
      <c r="F30" s="18">
        <f t="shared" si="12"/>
        <v>0.2465408805</v>
      </c>
      <c r="G30" s="4">
        <f t="shared" ref="G30:G35" si="16">D30/E$19</f>
        <v>376.7295597</v>
      </c>
      <c r="H30" s="1" t="s">
        <v>227</v>
      </c>
      <c r="I30" s="1">
        <f t="shared" si="13"/>
        <v>25000</v>
      </c>
      <c r="J30" s="81">
        <f t="shared" ref="J30:J35" si="17">500*E30</f>
        <v>5.99</v>
      </c>
      <c r="K30" s="16">
        <f t="shared" ref="K30:K35" si="18">A30/500</f>
        <v>1</v>
      </c>
      <c r="L30" s="79">
        <f t="shared" si="14"/>
        <v>1.198</v>
      </c>
      <c r="M30" s="82">
        <f t="shared" si="15"/>
        <v>5</v>
      </c>
    </row>
    <row r="31" ht="15.75" customHeight="1">
      <c r="A31" s="52">
        <v>950.0</v>
      </c>
      <c r="B31" s="1"/>
      <c r="C31" s="1"/>
      <c r="D31" s="1">
        <v>9.99</v>
      </c>
      <c r="E31" s="45">
        <f t="shared" si="11"/>
        <v>0.01051578947</v>
      </c>
      <c r="F31" s="18">
        <f t="shared" si="12"/>
        <v>0.3386295929</v>
      </c>
      <c r="G31" s="4">
        <f t="shared" si="16"/>
        <v>628.3018868</v>
      </c>
      <c r="H31" s="1" t="s">
        <v>234</v>
      </c>
      <c r="I31" s="1">
        <f t="shared" si="13"/>
        <v>47500</v>
      </c>
      <c r="J31" s="81">
        <f t="shared" si="17"/>
        <v>5.257894737</v>
      </c>
      <c r="K31" s="16">
        <f t="shared" si="18"/>
        <v>1.9</v>
      </c>
      <c r="L31" s="79">
        <f t="shared" si="14"/>
        <v>1.051578947</v>
      </c>
      <c r="M31" s="82">
        <f t="shared" si="15"/>
        <v>9.5</v>
      </c>
    </row>
    <row r="32" ht="15.75" customHeight="1">
      <c r="A32" s="52">
        <v>2000.0</v>
      </c>
      <c r="B32" s="1"/>
      <c r="C32" s="1"/>
      <c r="D32" s="1">
        <v>19.99</v>
      </c>
      <c r="E32" s="45">
        <f t="shared" si="11"/>
        <v>0.009995</v>
      </c>
      <c r="F32" s="18">
        <f t="shared" si="12"/>
        <v>0.3713836478</v>
      </c>
      <c r="G32" s="4">
        <f t="shared" si="16"/>
        <v>1257.232704</v>
      </c>
      <c r="H32" s="1" t="s">
        <v>235</v>
      </c>
      <c r="I32" s="1">
        <f t="shared" si="13"/>
        <v>100000</v>
      </c>
      <c r="J32" s="81">
        <f t="shared" si="17"/>
        <v>4.9975</v>
      </c>
      <c r="K32" s="16">
        <f t="shared" si="18"/>
        <v>4</v>
      </c>
      <c r="L32" s="79">
        <f t="shared" si="14"/>
        <v>0.9995</v>
      </c>
      <c r="M32" s="82">
        <f t="shared" si="15"/>
        <v>20</v>
      </c>
    </row>
    <row r="33" ht="15.75" customHeight="1">
      <c r="A33" s="52">
        <v>3250.0</v>
      </c>
      <c r="B33" s="1"/>
      <c r="C33" s="1"/>
      <c r="D33" s="1">
        <v>29.99</v>
      </c>
      <c r="E33" s="45">
        <f t="shared" si="11"/>
        <v>0.009227692308</v>
      </c>
      <c r="F33" s="18">
        <f t="shared" si="12"/>
        <v>0.4196419932</v>
      </c>
      <c r="G33" s="4">
        <f t="shared" si="16"/>
        <v>1886.163522</v>
      </c>
      <c r="H33" s="1" t="s">
        <v>236</v>
      </c>
      <c r="I33" s="1">
        <f t="shared" si="13"/>
        <v>162500</v>
      </c>
      <c r="J33" s="81">
        <f t="shared" si="17"/>
        <v>4.613846154</v>
      </c>
      <c r="K33" s="16">
        <f t="shared" si="18"/>
        <v>6.5</v>
      </c>
      <c r="L33" s="79">
        <f t="shared" si="14"/>
        <v>0.9227692308</v>
      </c>
      <c r="M33" s="82">
        <f t="shared" si="15"/>
        <v>32.5</v>
      </c>
    </row>
    <row r="34" ht="15.75" customHeight="1">
      <c r="A34" s="52">
        <v>5750.0</v>
      </c>
      <c r="B34" s="1"/>
      <c r="C34" s="1"/>
      <c r="D34" s="1">
        <v>49.99</v>
      </c>
      <c r="E34" s="45">
        <f t="shared" si="11"/>
        <v>0.008693913043</v>
      </c>
      <c r="F34" s="18">
        <f t="shared" si="12"/>
        <v>0.4532130161</v>
      </c>
      <c r="G34" s="4">
        <f t="shared" si="16"/>
        <v>3144.025157</v>
      </c>
      <c r="H34" s="1" t="s">
        <v>237</v>
      </c>
      <c r="I34" s="1">
        <f t="shared" si="13"/>
        <v>287500</v>
      </c>
      <c r="J34" s="81">
        <f t="shared" si="17"/>
        <v>4.346956522</v>
      </c>
      <c r="K34" s="16">
        <f t="shared" si="18"/>
        <v>11.5</v>
      </c>
      <c r="L34" s="79">
        <f t="shared" si="14"/>
        <v>0.8693913043</v>
      </c>
      <c r="M34" s="82">
        <f t="shared" si="15"/>
        <v>57.5</v>
      </c>
    </row>
    <row r="35" ht="15.75" customHeight="1">
      <c r="A35" s="52">
        <v>12000.0</v>
      </c>
      <c r="B35" s="1"/>
      <c r="C35" s="1"/>
      <c r="D35" s="1">
        <v>99.99</v>
      </c>
      <c r="E35" s="45">
        <f t="shared" si="11"/>
        <v>0.0083325</v>
      </c>
      <c r="F35" s="18">
        <f t="shared" si="12"/>
        <v>0.4759433962</v>
      </c>
      <c r="G35" s="4">
        <f t="shared" si="16"/>
        <v>6288.679245</v>
      </c>
      <c r="H35" s="1" t="s">
        <v>238</v>
      </c>
      <c r="I35" s="1">
        <f t="shared" si="13"/>
        <v>600000</v>
      </c>
      <c r="J35" s="81">
        <f t="shared" si="17"/>
        <v>4.16625</v>
      </c>
      <c r="K35" s="16">
        <f t="shared" si="18"/>
        <v>24</v>
      </c>
      <c r="L35" s="79">
        <f t="shared" si="14"/>
        <v>0.83325</v>
      </c>
      <c r="M35" s="82">
        <f t="shared" si="15"/>
        <v>120</v>
      </c>
    </row>
    <row r="36" ht="15.75" customHeight="1">
      <c r="J36" s="16"/>
      <c r="K36" s="16"/>
      <c r="L36" s="82"/>
      <c r="M36" s="82"/>
    </row>
    <row r="37" ht="15.75" customHeight="1">
      <c r="A37" s="43" t="s">
        <v>239</v>
      </c>
      <c r="J37" s="81"/>
      <c r="K37" s="16"/>
      <c r="L37" s="82"/>
      <c r="M37" s="82"/>
    </row>
    <row r="38" ht="15.75" customHeight="1">
      <c r="A38" s="43" t="s">
        <v>96</v>
      </c>
      <c r="B38" s="43"/>
      <c r="C38" s="43"/>
      <c r="D38" s="43" t="s">
        <v>53</v>
      </c>
      <c r="E38" s="43" t="s">
        <v>98</v>
      </c>
      <c r="F38" s="43" t="s">
        <v>99</v>
      </c>
      <c r="G38" s="2" t="s">
        <v>222</v>
      </c>
      <c r="H38" s="2" t="s">
        <v>223</v>
      </c>
      <c r="J38" s="81"/>
      <c r="K38" s="16"/>
      <c r="L38" s="82"/>
      <c r="M38" s="82"/>
    </row>
    <row r="39" ht="15.75" customHeight="1">
      <c r="A39" s="52">
        <v>100.0</v>
      </c>
      <c r="B39" s="1"/>
      <c r="C39" s="1"/>
      <c r="D39" s="1">
        <v>1.59</v>
      </c>
      <c r="E39" s="45">
        <f t="shared" ref="E39:E45" si="19">D39/A39</f>
        <v>0.0159</v>
      </c>
      <c r="F39" s="18">
        <f t="shared" ref="F39:F45" si="20">(E$39-E39)/E$39</f>
        <v>0</v>
      </c>
      <c r="G39" s="4">
        <v>100.0</v>
      </c>
      <c r="I39" s="1">
        <f t="shared" ref="I39:I45" si="21">A39*50</f>
        <v>5000</v>
      </c>
      <c r="J39" s="81"/>
      <c r="K39" s="16">
        <v>0.0</v>
      </c>
      <c r="L39" s="79">
        <f t="shared" ref="L39:L45" si="22">100*E39</f>
        <v>1.59</v>
      </c>
      <c r="M39" s="82">
        <f t="shared" ref="M39:M45" si="23">A39/100</f>
        <v>1</v>
      </c>
    </row>
    <row r="40" ht="15.75" customHeight="1">
      <c r="A40" s="52">
        <v>400.0</v>
      </c>
      <c r="B40" s="1"/>
      <c r="C40" s="1"/>
      <c r="D40" s="1">
        <v>5.99</v>
      </c>
      <c r="E40" s="45">
        <f t="shared" si="19"/>
        <v>0.014975</v>
      </c>
      <c r="F40" s="18">
        <f t="shared" si="20"/>
        <v>0.05817610063</v>
      </c>
      <c r="G40" s="4">
        <f t="shared" ref="G40:G45" si="24">D40/E$19</f>
        <v>376.7295597</v>
      </c>
      <c r="H40" s="1" t="s">
        <v>240</v>
      </c>
      <c r="I40" s="1">
        <f t="shared" si="21"/>
        <v>20000</v>
      </c>
      <c r="J40" s="81">
        <f t="shared" ref="J40:J45" si="25">500*E40</f>
        <v>7.4875</v>
      </c>
      <c r="K40" s="16">
        <f t="shared" ref="K40:K45" si="26">A40/500</f>
        <v>0.8</v>
      </c>
      <c r="L40" s="79">
        <f t="shared" si="22"/>
        <v>1.4975</v>
      </c>
      <c r="M40" s="82">
        <f t="shared" si="23"/>
        <v>4</v>
      </c>
    </row>
    <row r="41" ht="15.75" customHeight="1">
      <c r="A41" s="52">
        <v>700.0</v>
      </c>
      <c r="B41" s="1"/>
      <c r="C41" s="1"/>
      <c r="D41" s="1">
        <v>9.99</v>
      </c>
      <c r="E41" s="45">
        <f t="shared" si="19"/>
        <v>0.01427142857</v>
      </c>
      <c r="F41" s="18">
        <f t="shared" si="20"/>
        <v>0.102425876</v>
      </c>
      <c r="G41" s="4">
        <f t="shared" si="24"/>
        <v>628.3018868</v>
      </c>
      <c r="H41" s="1" t="s">
        <v>241</v>
      </c>
      <c r="I41" s="1">
        <f t="shared" si="21"/>
        <v>35000</v>
      </c>
      <c r="J41" s="81">
        <f t="shared" si="25"/>
        <v>7.135714286</v>
      </c>
      <c r="K41" s="16">
        <f t="shared" si="26"/>
        <v>1.4</v>
      </c>
      <c r="L41" s="79">
        <f t="shared" si="22"/>
        <v>1.427142857</v>
      </c>
      <c r="M41" s="82">
        <f t="shared" si="23"/>
        <v>7</v>
      </c>
    </row>
    <row r="42" ht="15.75" customHeight="1">
      <c r="A42" s="52">
        <v>1450.0</v>
      </c>
      <c r="B42" s="1"/>
      <c r="C42" s="1"/>
      <c r="D42" s="1">
        <v>19.99</v>
      </c>
      <c r="E42" s="45">
        <f t="shared" si="19"/>
        <v>0.0137862069</v>
      </c>
      <c r="F42" s="18">
        <f t="shared" si="20"/>
        <v>0.1329429625</v>
      </c>
      <c r="G42" s="4">
        <f t="shared" si="24"/>
        <v>1257.232704</v>
      </c>
      <c r="H42" s="1" t="s">
        <v>242</v>
      </c>
      <c r="I42" s="1">
        <f t="shared" si="21"/>
        <v>72500</v>
      </c>
      <c r="J42" s="81">
        <f t="shared" si="25"/>
        <v>6.893103448</v>
      </c>
      <c r="K42" s="16">
        <f t="shared" si="26"/>
        <v>2.9</v>
      </c>
      <c r="L42" s="79">
        <f t="shared" si="22"/>
        <v>1.37862069</v>
      </c>
      <c r="M42" s="82">
        <f t="shared" si="23"/>
        <v>14.5</v>
      </c>
    </row>
    <row r="43" ht="15.75" customHeight="1">
      <c r="A43" s="52">
        <v>2250.0</v>
      </c>
      <c r="B43" s="1"/>
      <c r="C43" s="1"/>
      <c r="D43" s="1">
        <v>29.99</v>
      </c>
      <c r="E43" s="45">
        <f t="shared" si="19"/>
        <v>0.01332888889</v>
      </c>
      <c r="F43" s="18">
        <f t="shared" si="20"/>
        <v>0.1617051013</v>
      </c>
      <c r="G43" s="4">
        <f t="shared" si="24"/>
        <v>1886.163522</v>
      </c>
      <c r="H43" s="1" t="s">
        <v>243</v>
      </c>
      <c r="I43" s="1">
        <f t="shared" si="21"/>
        <v>112500</v>
      </c>
      <c r="J43" s="81">
        <f t="shared" si="25"/>
        <v>6.664444444</v>
      </c>
      <c r="K43" s="16">
        <f t="shared" si="26"/>
        <v>4.5</v>
      </c>
      <c r="L43" s="79">
        <f t="shared" si="22"/>
        <v>1.332888889</v>
      </c>
      <c r="M43" s="82">
        <f t="shared" si="23"/>
        <v>22.5</v>
      </c>
    </row>
    <row r="44" ht="15.75" customHeight="1">
      <c r="A44" s="52">
        <v>4000.0</v>
      </c>
      <c r="B44" s="1"/>
      <c r="C44" s="1"/>
      <c r="D44" s="1">
        <v>49.99</v>
      </c>
      <c r="E44" s="45">
        <f t="shared" si="19"/>
        <v>0.0124975</v>
      </c>
      <c r="F44" s="18">
        <f t="shared" si="20"/>
        <v>0.2139937107</v>
      </c>
      <c r="G44" s="4">
        <f t="shared" si="24"/>
        <v>3144.025157</v>
      </c>
      <c r="H44" s="1" t="s">
        <v>244</v>
      </c>
      <c r="I44" s="1">
        <f t="shared" si="21"/>
        <v>200000</v>
      </c>
      <c r="J44" s="81">
        <f t="shared" si="25"/>
        <v>6.24875</v>
      </c>
      <c r="K44" s="16">
        <f t="shared" si="26"/>
        <v>8</v>
      </c>
      <c r="L44" s="79">
        <f t="shared" si="22"/>
        <v>1.24975</v>
      </c>
      <c r="M44" s="82">
        <f t="shared" si="23"/>
        <v>40</v>
      </c>
    </row>
    <row r="45" ht="15.75" customHeight="1">
      <c r="A45" s="52">
        <v>9000.0</v>
      </c>
      <c r="B45" s="1"/>
      <c r="C45" s="1"/>
      <c r="D45" s="1">
        <v>99.99</v>
      </c>
      <c r="E45" s="45">
        <f t="shared" si="19"/>
        <v>0.01111</v>
      </c>
      <c r="F45" s="18">
        <f t="shared" si="20"/>
        <v>0.3012578616</v>
      </c>
      <c r="G45" s="4">
        <f t="shared" si="24"/>
        <v>6288.679245</v>
      </c>
      <c r="H45" s="1" t="s">
        <v>245</v>
      </c>
      <c r="I45" s="1">
        <f t="shared" si="21"/>
        <v>450000</v>
      </c>
      <c r="J45" s="81">
        <f t="shared" si="25"/>
        <v>5.555</v>
      </c>
      <c r="K45" s="16">
        <f t="shared" si="26"/>
        <v>18</v>
      </c>
      <c r="L45" s="79">
        <f t="shared" si="22"/>
        <v>1.111</v>
      </c>
      <c r="M45" s="82">
        <f t="shared" si="23"/>
        <v>90</v>
      </c>
    </row>
    <row r="46" ht="15.75" customHeight="1">
      <c r="A46" s="2"/>
      <c r="B46" s="2"/>
      <c r="C46" s="2"/>
      <c r="D46" s="2"/>
      <c r="E46" s="2"/>
      <c r="F46" s="2"/>
      <c r="G46" s="2"/>
      <c r="H46" s="2"/>
      <c r="J46" s="16"/>
      <c r="K46" s="16"/>
      <c r="L46" s="82"/>
      <c r="M46" s="82"/>
    </row>
    <row r="47" ht="15.75" customHeight="1">
      <c r="A47" s="83" t="s">
        <v>246</v>
      </c>
      <c r="B47" s="82"/>
      <c r="C47" s="82"/>
      <c r="D47" s="82"/>
      <c r="E47" s="82"/>
      <c r="F47" s="82"/>
      <c r="G47" s="82"/>
      <c r="H47" s="82"/>
      <c r="I47" s="82"/>
      <c r="J47" s="84"/>
      <c r="K47" s="82"/>
      <c r="L47" s="82"/>
      <c r="M47" s="82"/>
      <c r="N47" s="82"/>
      <c r="O47" s="82"/>
      <c r="P47" s="82"/>
      <c r="Q47" s="82"/>
      <c r="R47" s="82"/>
      <c r="S47" s="82"/>
      <c r="T47" s="82"/>
      <c r="U47" s="82"/>
      <c r="V47" s="82"/>
      <c r="W47" s="82"/>
      <c r="X47" s="82"/>
      <c r="Y47" s="82"/>
      <c r="Z47" s="82"/>
      <c r="AA47" s="82"/>
      <c r="AB47" s="82"/>
      <c r="AC47" s="82"/>
    </row>
    <row r="48" ht="15.75" customHeight="1">
      <c r="A48" s="43" t="s">
        <v>96</v>
      </c>
      <c r="B48" s="43"/>
      <c r="C48" s="43"/>
      <c r="D48" s="43" t="s">
        <v>53</v>
      </c>
      <c r="E48" s="43" t="s">
        <v>98</v>
      </c>
      <c r="F48" s="43" t="s">
        <v>99</v>
      </c>
      <c r="G48" s="2" t="s">
        <v>222</v>
      </c>
      <c r="H48" s="2" t="s">
        <v>223</v>
      </c>
      <c r="J48" s="81"/>
      <c r="K48" s="16"/>
      <c r="L48" s="82"/>
      <c r="M48" s="82"/>
    </row>
    <row r="49" ht="15.75" customHeight="1">
      <c r="A49" s="52">
        <v>100.0</v>
      </c>
      <c r="B49" s="1"/>
      <c r="C49" s="1"/>
      <c r="D49" s="1">
        <v>1.59</v>
      </c>
      <c r="E49" s="45">
        <f t="shared" ref="E49:E55" si="27">D49/A49</f>
        <v>0.0159</v>
      </c>
      <c r="F49" s="18">
        <f t="shared" ref="F49:F55" si="28">(E$49-E49)/E$49</f>
        <v>0</v>
      </c>
      <c r="G49" s="4">
        <v>100.0</v>
      </c>
      <c r="H49" s="1" t="s">
        <v>247</v>
      </c>
      <c r="I49" s="1">
        <f t="shared" ref="I49:I55" si="29">A49*50</f>
        <v>5000</v>
      </c>
      <c r="J49" s="81"/>
      <c r="K49" s="16">
        <v>0.0</v>
      </c>
      <c r="L49" s="79">
        <f t="shared" ref="L49:L55" si="30">100*E49</f>
        <v>1.59</v>
      </c>
      <c r="M49" s="82">
        <f t="shared" ref="M49:M55" si="31">A49/100</f>
        <v>1</v>
      </c>
    </row>
    <row r="50" ht="15.75" customHeight="1">
      <c r="A50" s="52">
        <v>380.0</v>
      </c>
      <c r="B50" s="1"/>
      <c r="C50" s="1"/>
      <c r="D50" s="1">
        <v>5.99</v>
      </c>
      <c r="E50" s="45">
        <f t="shared" si="27"/>
        <v>0.01576315789</v>
      </c>
      <c r="F50" s="18">
        <f t="shared" si="28"/>
        <v>0.008606421715</v>
      </c>
      <c r="G50" s="4">
        <f t="shared" ref="G50:G55" si="32">D50/E$19</f>
        <v>376.7295597</v>
      </c>
      <c r="H50" s="1" t="s">
        <v>247</v>
      </c>
      <c r="I50" s="1">
        <f t="shared" si="29"/>
        <v>19000</v>
      </c>
      <c r="J50" s="81">
        <f t="shared" ref="J50:J55" si="33">500*E50</f>
        <v>7.881578947</v>
      </c>
      <c r="K50" s="16">
        <f t="shared" ref="K50:K55" si="34">A50/500</f>
        <v>0.76</v>
      </c>
      <c r="L50" s="79">
        <f t="shared" si="30"/>
        <v>1.576315789</v>
      </c>
      <c r="M50" s="82">
        <f t="shared" si="31"/>
        <v>3.8</v>
      </c>
    </row>
    <row r="51" ht="15.75" customHeight="1">
      <c r="A51" s="52">
        <v>650.0</v>
      </c>
      <c r="B51" s="1"/>
      <c r="C51" s="1"/>
      <c r="D51" s="1">
        <v>9.99</v>
      </c>
      <c r="E51" s="45">
        <f t="shared" si="27"/>
        <v>0.01536923077</v>
      </c>
      <c r="F51" s="18">
        <f t="shared" si="28"/>
        <v>0.03338171263</v>
      </c>
      <c r="G51" s="4">
        <f t="shared" si="32"/>
        <v>628.3018868</v>
      </c>
      <c r="H51" s="1" t="s">
        <v>248</v>
      </c>
      <c r="I51" s="1">
        <f t="shared" si="29"/>
        <v>32500</v>
      </c>
      <c r="J51" s="81">
        <f t="shared" si="33"/>
        <v>7.684615385</v>
      </c>
      <c r="K51" s="16">
        <f t="shared" si="34"/>
        <v>1.3</v>
      </c>
      <c r="L51" s="79">
        <f t="shared" si="30"/>
        <v>1.536923077</v>
      </c>
      <c r="M51" s="82">
        <f t="shared" si="31"/>
        <v>6.5</v>
      </c>
    </row>
    <row r="52" ht="15.75" customHeight="1">
      <c r="A52" s="52">
        <v>1375.0</v>
      </c>
      <c r="B52" s="1"/>
      <c r="C52" s="1"/>
      <c r="D52" s="1">
        <v>19.99</v>
      </c>
      <c r="E52" s="45">
        <f t="shared" si="27"/>
        <v>0.01453818182</v>
      </c>
      <c r="F52" s="18">
        <f t="shared" si="28"/>
        <v>0.08564894225</v>
      </c>
      <c r="G52" s="4">
        <f t="shared" si="32"/>
        <v>1257.232704</v>
      </c>
      <c r="H52" s="1" t="s">
        <v>249</v>
      </c>
      <c r="I52" s="1">
        <f t="shared" si="29"/>
        <v>68750</v>
      </c>
      <c r="J52" s="81">
        <f t="shared" si="33"/>
        <v>7.269090909</v>
      </c>
      <c r="K52" s="16">
        <f t="shared" si="34"/>
        <v>2.75</v>
      </c>
      <c r="L52" s="79">
        <f t="shared" si="30"/>
        <v>1.453818182</v>
      </c>
      <c r="M52" s="82">
        <f t="shared" si="31"/>
        <v>13.75</v>
      </c>
    </row>
    <row r="53" ht="15.75" customHeight="1">
      <c r="A53" s="52">
        <v>2100.0</v>
      </c>
      <c r="B53" s="1"/>
      <c r="C53" s="1"/>
      <c r="D53" s="1">
        <v>29.99</v>
      </c>
      <c r="E53" s="45">
        <f t="shared" si="27"/>
        <v>0.01428095238</v>
      </c>
      <c r="F53" s="18">
        <f t="shared" si="28"/>
        <v>0.1018268943</v>
      </c>
      <c r="G53" s="4">
        <f t="shared" si="32"/>
        <v>1886.163522</v>
      </c>
      <c r="H53" s="1" t="s">
        <v>250</v>
      </c>
      <c r="I53" s="1">
        <f t="shared" si="29"/>
        <v>105000</v>
      </c>
      <c r="J53" s="81">
        <f t="shared" si="33"/>
        <v>7.14047619</v>
      </c>
      <c r="K53" s="16">
        <f t="shared" si="34"/>
        <v>4.2</v>
      </c>
      <c r="L53" s="79">
        <f t="shared" si="30"/>
        <v>1.428095238</v>
      </c>
      <c r="M53" s="82">
        <f t="shared" si="31"/>
        <v>21</v>
      </c>
    </row>
    <row r="54" ht="15.75" customHeight="1">
      <c r="A54" s="52">
        <v>3750.0</v>
      </c>
      <c r="B54" s="1"/>
      <c r="C54" s="1"/>
      <c r="D54" s="1">
        <v>49.99</v>
      </c>
      <c r="E54" s="45">
        <f t="shared" si="27"/>
        <v>0.01333066667</v>
      </c>
      <c r="F54" s="18">
        <f t="shared" si="28"/>
        <v>0.1615932914</v>
      </c>
      <c r="G54" s="4">
        <f t="shared" si="32"/>
        <v>3144.025157</v>
      </c>
      <c r="H54" s="1" t="s">
        <v>251</v>
      </c>
      <c r="I54" s="1">
        <f t="shared" si="29"/>
        <v>187500</v>
      </c>
      <c r="J54" s="81">
        <f t="shared" si="33"/>
        <v>6.665333333</v>
      </c>
      <c r="K54" s="16">
        <f t="shared" si="34"/>
        <v>7.5</v>
      </c>
      <c r="L54" s="79">
        <f t="shared" si="30"/>
        <v>1.333066667</v>
      </c>
      <c r="M54" s="82">
        <f t="shared" si="31"/>
        <v>37.5</v>
      </c>
    </row>
    <row r="55" ht="15.75" customHeight="1">
      <c r="A55" s="52">
        <v>7750.0</v>
      </c>
      <c r="B55" s="1"/>
      <c r="C55" s="1"/>
      <c r="D55" s="1">
        <v>99.99</v>
      </c>
      <c r="E55" s="45">
        <f t="shared" si="27"/>
        <v>0.01290193548</v>
      </c>
      <c r="F55" s="18">
        <f t="shared" si="28"/>
        <v>0.1885575167</v>
      </c>
      <c r="G55" s="4">
        <f t="shared" si="32"/>
        <v>6288.679245</v>
      </c>
      <c r="H55" s="1" t="s">
        <v>252</v>
      </c>
      <c r="I55" s="1">
        <f t="shared" si="29"/>
        <v>387500</v>
      </c>
      <c r="J55" s="81">
        <f t="shared" si="33"/>
        <v>6.450967742</v>
      </c>
      <c r="K55" s="16">
        <f t="shared" si="34"/>
        <v>15.5</v>
      </c>
      <c r="L55" s="79">
        <f t="shared" si="30"/>
        <v>1.290193548</v>
      </c>
      <c r="M55" s="82">
        <f t="shared" si="31"/>
        <v>77.5</v>
      </c>
    </row>
    <row r="56" ht="15.75" customHeight="1"/>
    <row r="57" ht="15.75" customHeight="1"/>
    <row r="58" ht="15.75" customHeight="1">
      <c r="A58" s="11" t="s">
        <v>253</v>
      </c>
      <c r="B58" s="11" t="s">
        <v>254</v>
      </c>
      <c r="C58" s="11" t="s">
        <v>255</v>
      </c>
      <c r="D58" s="11" t="s">
        <v>256</v>
      </c>
      <c r="E58" s="11" t="s">
        <v>96</v>
      </c>
      <c r="F58" s="11" t="s">
        <v>257</v>
      </c>
      <c r="G58" s="85" t="s">
        <v>258</v>
      </c>
      <c r="H58" s="86"/>
      <c r="I58" s="87"/>
      <c r="J58" s="85" t="s">
        <v>259</v>
      </c>
      <c r="K58" s="86"/>
      <c r="L58" s="87"/>
    </row>
    <row r="59" ht="15.75" customHeight="1">
      <c r="A59" s="16"/>
      <c r="B59" s="88"/>
      <c r="C59" s="88"/>
      <c r="D59" s="88"/>
      <c r="E59" s="16"/>
      <c r="F59" s="89"/>
      <c r="G59" s="90" t="s">
        <v>260</v>
      </c>
      <c r="H59" s="91" t="s">
        <v>261</v>
      </c>
      <c r="I59" s="92" t="s">
        <v>262</v>
      </c>
      <c r="J59" s="90" t="s">
        <v>260</v>
      </c>
      <c r="K59" s="91" t="s">
        <v>261</v>
      </c>
      <c r="L59" s="92" t="s">
        <v>262</v>
      </c>
    </row>
    <row r="60" ht="15.75" customHeight="1">
      <c r="A60" s="1" t="s">
        <v>263</v>
      </c>
      <c r="B60" s="52" t="s">
        <v>264</v>
      </c>
      <c r="C60" s="52">
        <v>3000.0</v>
      </c>
      <c r="D60" s="52">
        <v>0.0</v>
      </c>
      <c r="E60" s="1">
        <v>0.0</v>
      </c>
      <c r="F60" s="93" t="s">
        <v>265</v>
      </c>
      <c r="G60" s="94">
        <v>0.0</v>
      </c>
      <c r="H60" s="1">
        <v>0.0</v>
      </c>
      <c r="I60" s="95">
        <v>0.0</v>
      </c>
      <c r="J60" s="94">
        <v>0.0</v>
      </c>
      <c r="K60" s="1">
        <v>0.0</v>
      </c>
      <c r="L60" s="95">
        <v>0.0</v>
      </c>
    </row>
    <row r="61" ht="15.75" customHeight="1">
      <c r="A61" s="1" t="s">
        <v>266</v>
      </c>
      <c r="B61" s="52" t="s">
        <v>267</v>
      </c>
      <c r="C61" s="52">
        <v>4000.0</v>
      </c>
      <c r="D61" s="52">
        <v>4000.0</v>
      </c>
      <c r="E61" s="1">
        <f t="shared" ref="E61:E67" si="35">D61/50</f>
        <v>80</v>
      </c>
      <c r="F61" s="96" t="s">
        <v>268</v>
      </c>
      <c r="G61" s="97">
        <f t="shared" ref="G61:G67" si="36">E61*E$55</f>
        <v>1.032154839</v>
      </c>
      <c r="H61" s="44">
        <f t="shared" ref="H61:H67" si="37">E61*E$35</f>
        <v>0.6666</v>
      </c>
      <c r="I61" s="98">
        <f t="shared" ref="I61:I67" si="38">E61*E$25</f>
        <v>0.5516689655</v>
      </c>
      <c r="J61" s="97">
        <f t="shared" ref="J61:J67" si="39">E61*E$49</f>
        <v>1.272</v>
      </c>
      <c r="K61" s="44">
        <f t="shared" ref="K61:K67" si="40">E61*E$29</f>
        <v>1.272</v>
      </c>
      <c r="L61" s="98">
        <f t="shared" ref="L61:L67" si="41">E61*E$19</f>
        <v>1.272</v>
      </c>
      <c r="M61" s="1" t="s">
        <v>269</v>
      </c>
    </row>
    <row r="62" ht="15.75" customHeight="1">
      <c r="A62" s="1" t="s">
        <v>270</v>
      </c>
      <c r="B62" s="52" t="s">
        <v>271</v>
      </c>
      <c r="C62" s="52">
        <v>7500.0</v>
      </c>
      <c r="D62" s="52">
        <v>7500.0</v>
      </c>
      <c r="E62" s="1">
        <f t="shared" si="35"/>
        <v>150</v>
      </c>
      <c r="F62" s="96" t="s">
        <v>268</v>
      </c>
      <c r="G62" s="97">
        <f t="shared" si="36"/>
        <v>1.935290323</v>
      </c>
      <c r="H62" s="44">
        <f t="shared" si="37"/>
        <v>1.249875</v>
      </c>
      <c r="I62" s="98">
        <f t="shared" si="38"/>
        <v>1.03437931</v>
      </c>
      <c r="J62" s="97">
        <f t="shared" si="39"/>
        <v>2.385</v>
      </c>
      <c r="K62" s="44">
        <f t="shared" si="40"/>
        <v>2.385</v>
      </c>
      <c r="L62" s="98">
        <f t="shared" si="41"/>
        <v>2.385</v>
      </c>
      <c r="M62" s="1" t="s">
        <v>272</v>
      </c>
    </row>
    <row r="63" ht="15.75" customHeight="1">
      <c r="A63" s="1" t="s">
        <v>273</v>
      </c>
      <c r="B63" s="52" t="s">
        <v>274</v>
      </c>
      <c r="C63" s="52">
        <v>13000.0</v>
      </c>
      <c r="D63" s="52">
        <v>13000.0</v>
      </c>
      <c r="E63" s="1">
        <f t="shared" si="35"/>
        <v>260</v>
      </c>
      <c r="F63" s="96" t="s">
        <v>268</v>
      </c>
      <c r="G63" s="97">
        <f t="shared" si="36"/>
        <v>3.354503226</v>
      </c>
      <c r="H63" s="44">
        <f t="shared" si="37"/>
        <v>2.16645</v>
      </c>
      <c r="I63" s="98">
        <f t="shared" si="38"/>
        <v>1.792924138</v>
      </c>
      <c r="J63" s="97">
        <f t="shared" si="39"/>
        <v>4.134</v>
      </c>
      <c r="K63" s="44">
        <f t="shared" si="40"/>
        <v>4.134</v>
      </c>
      <c r="L63" s="98">
        <f t="shared" si="41"/>
        <v>4.134</v>
      </c>
      <c r="M63" s="1" t="s">
        <v>275</v>
      </c>
    </row>
    <row r="64" ht="15.75" customHeight="1">
      <c r="A64" s="1" t="s">
        <v>276</v>
      </c>
      <c r="B64" s="52" t="s">
        <v>277</v>
      </c>
      <c r="C64" s="52">
        <v>30000.0</v>
      </c>
      <c r="D64" s="52">
        <v>30000.0</v>
      </c>
      <c r="E64" s="1">
        <f t="shared" si="35"/>
        <v>600</v>
      </c>
      <c r="F64" s="96" t="s">
        <v>268</v>
      </c>
      <c r="G64" s="97">
        <f t="shared" si="36"/>
        <v>7.74116129</v>
      </c>
      <c r="H64" s="44">
        <f t="shared" si="37"/>
        <v>4.9995</v>
      </c>
      <c r="I64" s="98">
        <f t="shared" si="38"/>
        <v>4.137517241</v>
      </c>
      <c r="J64" s="97">
        <f t="shared" si="39"/>
        <v>9.54</v>
      </c>
      <c r="K64" s="44">
        <f t="shared" si="40"/>
        <v>9.54</v>
      </c>
      <c r="L64" s="98">
        <f t="shared" si="41"/>
        <v>9.54</v>
      </c>
      <c r="M64" s="1" t="s">
        <v>278</v>
      </c>
    </row>
    <row r="65" ht="15.75" customHeight="1">
      <c r="A65" s="1" t="s">
        <v>279</v>
      </c>
      <c r="B65" s="1" t="s">
        <v>280</v>
      </c>
      <c r="C65" s="52">
        <v>12500.0</v>
      </c>
      <c r="D65" s="52">
        <v>12500.0</v>
      </c>
      <c r="E65" s="1">
        <f t="shared" si="35"/>
        <v>250</v>
      </c>
      <c r="F65" s="96" t="s">
        <v>268</v>
      </c>
      <c r="G65" s="97">
        <f t="shared" si="36"/>
        <v>3.225483871</v>
      </c>
      <c r="H65" s="44">
        <f t="shared" si="37"/>
        <v>2.083125</v>
      </c>
      <c r="I65" s="98">
        <f t="shared" si="38"/>
        <v>1.723965517</v>
      </c>
      <c r="J65" s="97">
        <f t="shared" si="39"/>
        <v>3.975</v>
      </c>
      <c r="K65" s="44">
        <f t="shared" si="40"/>
        <v>3.975</v>
      </c>
      <c r="L65" s="98">
        <f t="shared" si="41"/>
        <v>3.975</v>
      </c>
      <c r="M65" s="1" t="s">
        <v>281</v>
      </c>
    </row>
    <row r="66" ht="15.75" customHeight="1">
      <c r="A66" s="1" t="s">
        <v>282</v>
      </c>
      <c r="B66" s="1" t="s">
        <v>283</v>
      </c>
      <c r="C66" s="52">
        <v>54500.0</v>
      </c>
      <c r="D66" s="52">
        <v>51500.0</v>
      </c>
      <c r="E66" s="1">
        <f t="shared" si="35"/>
        <v>1030</v>
      </c>
      <c r="F66" s="96" t="s">
        <v>268</v>
      </c>
      <c r="G66" s="97">
        <f t="shared" si="36"/>
        <v>13.28899355</v>
      </c>
      <c r="H66" s="44">
        <f t="shared" si="37"/>
        <v>8.582475</v>
      </c>
      <c r="I66" s="98">
        <f t="shared" si="38"/>
        <v>7.102737931</v>
      </c>
      <c r="J66" s="97">
        <f t="shared" si="39"/>
        <v>16.377</v>
      </c>
      <c r="K66" s="44">
        <f t="shared" si="40"/>
        <v>16.377</v>
      </c>
      <c r="L66" s="98">
        <f t="shared" si="41"/>
        <v>16.377</v>
      </c>
      <c r="M66" s="1" t="s">
        <v>284</v>
      </c>
    </row>
    <row r="67" ht="15.75" customHeight="1">
      <c r="A67" s="1" t="s">
        <v>285</v>
      </c>
      <c r="B67" s="1" t="s">
        <v>286</v>
      </c>
      <c r="C67" s="52">
        <v>109000.0</v>
      </c>
      <c r="D67" s="52">
        <v>95000.0</v>
      </c>
      <c r="E67" s="1">
        <f t="shared" si="35"/>
        <v>1900</v>
      </c>
      <c r="F67" s="96" t="s">
        <v>268</v>
      </c>
      <c r="G67" s="99">
        <f t="shared" si="36"/>
        <v>24.51367742</v>
      </c>
      <c r="H67" s="100">
        <f t="shared" si="37"/>
        <v>15.83175</v>
      </c>
      <c r="I67" s="101">
        <f t="shared" si="38"/>
        <v>13.10213793</v>
      </c>
      <c r="J67" s="99">
        <f t="shared" si="39"/>
        <v>30.21</v>
      </c>
      <c r="K67" s="100">
        <f t="shared" si="40"/>
        <v>30.21</v>
      </c>
      <c r="L67" s="101">
        <f t="shared" si="41"/>
        <v>30.21</v>
      </c>
      <c r="M67" s="1" t="s">
        <v>287</v>
      </c>
    </row>
    <row r="68" ht="15.75" customHeight="1">
      <c r="G68" s="44"/>
      <c r="H68" s="44"/>
      <c r="I68" s="44"/>
      <c r="L68" s="44"/>
    </row>
    <row r="69" ht="15.75" customHeight="1">
      <c r="A69" s="11" t="s">
        <v>288</v>
      </c>
      <c r="B69" s="11" t="s">
        <v>254</v>
      </c>
      <c r="C69" s="11" t="s">
        <v>255</v>
      </c>
      <c r="D69" s="11" t="s">
        <v>256</v>
      </c>
      <c r="E69" s="11" t="s">
        <v>96</v>
      </c>
      <c r="F69" s="11" t="s">
        <v>257</v>
      </c>
      <c r="G69" s="85" t="s">
        <v>258</v>
      </c>
      <c r="H69" s="86"/>
      <c r="I69" s="87"/>
      <c r="J69" s="102"/>
      <c r="K69" s="103" t="s">
        <v>259</v>
      </c>
      <c r="L69" s="104" t="s">
        <v>262</v>
      </c>
    </row>
    <row r="70" ht="15.75" customHeight="1">
      <c r="A70" s="16"/>
      <c r="B70" s="16"/>
      <c r="C70" s="88"/>
      <c r="D70" s="16"/>
      <c r="E70" s="16"/>
      <c r="F70" s="16"/>
      <c r="G70" s="90" t="s">
        <v>260</v>
      </c>
      <c r="H70" s="91" t="s">
        <v>261</v>
      </c>
      <c r="I70" s="92" t="s">
        <v>262</v>
      </c>
      <c r="J70" s="90" t="s">
        <v>260</v>
      </c>
      <c r="K70" s="91" t="s">
        <v>261</v>
      </c>
      <c r="L70" s="105"/>
    </row>
    <row r="71" ht="15.75" customHeight="1">
      <c r="A71" s="1" t="s">
        <v>289</v>
      </c>
      <c r="B71" s="1" t="s">
        <v>290</v>
      </c>
      <c r="C71" s="52">
        <v>33500.0</v>
      </c>
      <c r="D71" s="1">
        <v>29000.0</v>
      </c>
      <c r="E71" s="1">
        <f t="shared" ref="E71:E74" si="42">D71/50</f>
        <v>580</v>
      </c>
      <c r="F71" s="1">
        <v>3.0</v>
      </c>
      <c r="G71" s="97">
        <f t="shared" ref="G71:G77" si="43">E71*E$55</f>
        <v>7.483122581</v>
      </c>
      <c r="H71" s="44">
        <f t="shared" ref="H71:H77" si="44">E71*E$35</f>
        <v>4.83285</v>
      </c>
      <c r="I71" s="98">
        <f t="shared" ref="I71:I77" si="45">E71*E$25</f>
        <v>3.9996</v>
      </c>
      <c r="J71" s="97">
        <f t="shared" ref="J71:J77" si="46">E71*E$49</f>
        <v>9.222</v>
      </c>
      <c r="K71" s="44">
        <f t="shared" ref="K71:K77" si="47">E71*E$29</f>
        <v>9.222</v>
      </c>
      <c r="L71" s="98">
        <f t="shared" ref="L71:L77" si="48">E71*E$19</f>
        <v>9.222</v>
      </c>
      <c r="M71" s="1" t="s">
        <v>291</v>
      </c>
    </row>
    <row r="72" ht="15.75" customHeight="1">
      <c r="A72" s="1" t="s">
        <v>292</v>
      </c>
      <c r="B72" s="1" t="s">
        <v>293</v>
      </c>
      <c r="C72" s="52">
        <v>60000.0</v>
      </c>
      <c r="D72" s="52">
        <v>55000.0</v>
      </c>
      <c r="E72" s="1">
        <f t="shared" si="42"/>
        <v>1100</v>
      </c>
      <c r="F72" s="1">
        <v>1.0</v>
      </c>
      <c r="G72" s="97">
        <f t="shared" si="43"/>
        <v>14.19212903</v>
      </c>
      <c r="H72" s="44">
        <f t="shared" si="44"/>
        <v>9.16575</v>
      </c>
      <c r="I72" s="98">
        <f t="shared" si="45"/>
        <v>7.585448276</v>
      </c>
      <c r="J72" s="97">
        <f t="shared" si="46"/>
        <v>17.49</v>
      </c>
      <c r="K72" s="44">
        <f t="shared" si="47"/>
        <v>17.49</v>
      </c>
      <c r="L72" s="98">
        <f t="shared" si="48"/>
        <v>17.49</v>
      </c>
      <c r="M72" s="1" t="s">
        <v>294</v>
      </c>
    </row>
    <row r="73" ht="15.75" customHeight="1">
      <c r="A73" s="1" t="s">
        <v>295</v>
      </c>
      <c r="B73" s="1" t="s">
        <v>296</v>
      </c>
      <c r="C73" s="52">
        <v>8000.0</v>
      </c>
      <c r="D73" s="1">
        <v>0.0</v>
      </c>
      <c r="E73" s="1">
        <f t="shared" si="42"/>
        <v>0</v>
      </c>
      <c r="F73" s="1">
        <v>1.0</v>
      </c>
      <c r="G73" s="97">
        <f t="shared" si="43"/>
        <v>0</v>
      </c>
      <c r="H73" s="44">
        <f t="shared" si="44"/>
        <v>0</v>
      </c>
      <c r="I73" s="98">
        <f t="shared" si="45"/>
        <v>0</v>
      </c>
      <c r="J73" s="97">
        <f t="shared" si="46"/>
        <v>0</v>
      </c>
      <c r="K73" s="44">
        <f t="shared" si="47"/>
        <v>0</v>
      </c>
      <c r="L73" s="98">
        <f t="shared" si="48"/>
        <v>0</v>
      </c>
      <c r="M73" s="1">
        <v>0.0</v>
      </c>
    </row>
    <row r="74" ht="15.75" customHeight="1">
      <c r="A74" s="1" t="s">
        <v>297</v>
      </c>
      <c r="B74" s="1" t="s">
        <v>298</v>
      </c>
      <c r="C74" s="52">
        <v>272500.0</v>
      </c>
      <c r="D74" s="52">
        <v>199000.0</v>
      </c>
      <c r="E74" s="1">
        <f t="shared" si="42"/>
        <v>3980</v>
      </c>
      <c r="F74" s="1">
        <v>5.0</v>
      </c>
      <c r="G74" s="97">
        <f t="shared" si="43"/>
        <v>51.34970323</v>
      </c>
      <c r="H74" s="44">
        <f t="shared" si="44"/>
        <v>33.16335</v>
      </c>
      <c r="I74" s="98">
        <f t="shared" si="45"/>
        <v>27.44553103</v>
      </c>
      <c r="J74" s="97">
        <f t="shared" si="46"/>
        <v>63.282</v>
      </c>
      <c r="K74" s="44">
        <f t="shared" si="47"/>
        <v>63.282</v>
      </c>
      <c r="L74" s="98">
        <f t="shared" si="48"/>
        <v>63.282</v>
      </c>
      <c r="M74" s="1" t="s">
        <v>299</v>
      </c>
    </row>
    <row r="75" ht="15.75" customHeight="1">
      <c r="A75" s="1" t="s">
        <v>300</v>
      </c>
      <c r="B75" s="1" t="s">
        <v>301</v>
      </c>
      <c r="C75" s="52">
        <v>30000.0</v>
      </c>
      <c r="D75" s="1" t="s">
        <v>302</v>
      </c>
      <c r="E75" s="1">
        <v>1900.0</v>
      </c>
      <c r="F75" s="96" t="s">
        <v>268</v>
      </c>
      <c r="G75" s="97">
        <f t="shared" si="43"/>
        <v>24.51367742</v>
      </c>
      <c r="H75" s="44">
        <f t="shared" si="44"/>
        <v>15.83175</v>
      </c>
      <c r="I75" s="98">
        <f t="shared" si="45"/>
        <v>13.10213793</v>
      </c>
      <c r="J75" s="97">
        <f t="shared" si="46"/>
        <v>30.21</v>
      </c>
      <c r="K75" s="44">
        <f t="shared" si="47"/>
        <v>30.21</v>
      </c>
      <c r="L75" s="98">
        <f t="shared" si="48"/>
        <v>30.21</v>
      </c>
      <c r="M75" s="1" t="s">
        <v>287</v>
      </c>
    </row>
    <row r="76" ht="15.75" customHeight="1">
      <c r="A76" s="1" t="s">
        <v>303</v>
      </c>
      <c r="B76" s="1" t="s">
        <v>304</v>
      </c>
      <c r="C76" s="52">
        <v>250000.0</v>
      </c>
      <c r="D76" s="1" t="s">
        <v>302</v>
      </c>
      <c r="E76" s="1">
        <v>4900.0</v>
      </c>
      <c r="F76" s="96" t="s">
        <v>268</v>
      </c>
      <c r="G76" s="97">
        <f t="shared" si="43"/>
        <v>63.21948387</v>
      </c>
      <c r="H76" s="44">
        <f t="shared" si="44"/>
        <v>40.82925</v>
      </c>
      <c r="I76" s="98">
        <f t="shared" si="45"/>
        <v>33.78972414</v>
      </c>
      <c r="J76" s="97">
        <f t="shared" si="46"/>
        <v>77.91</v>
      </c>
      <c r="K76" s="44">
        <f t="shared" si="47"/>
        <v>77.91</v>
      </c>
      <c r="L76" s="98">
        <f t="shared" si="48"/>
        <v>77.91</v>
      </c>
      <c r="M76" s="1" t="s">
        <v>305</v>
      </c>
    </row>
    <row r="77" ht="15.75" customHeight="1">
      <c r="A77" s="1" t="s">
        <v>306</v>
      </c>
      <c r="B77" s="1" t="s">
        <v>307</v>
      </c>
      <c r="C77" s="52">
        <v>30000.0</v>
      </c>
      <c r="D77" s="1" t="s">
        <v>302</v>
      </c>
      <c r="E77" s="1">
        <v>2200.0</v>
      </c>
      <c r="F77" s="96" t="s">
        <v>268</v>
      </c>
      <c r="G77" s="99">
        <f t="shared" si="43"/>
        <v>28.38425806</v>
      </c>
      <c r="H77" s="100">
        <f t="shared" si="44"/>
        <v>18.3315</v>
      </c>
      <c r="I77" s="101">
        <f t="shared" si="45"/>
        <v>15.17089655</v>
      </c>
      <c r="J77" s="99">
        <f t="shared" si="46"/>
        <v>34.98</v>
      </c>
      <c r="K77" s="100">
        <f t="shared" si="47"/>
        <v>34.98</v>
      </c>
      <c r="L77" s="101">
        <f t="shared" si="48"/>
        <v>34.98</v>
      </c>
      <c r="M77" s="1" t="s">
        <v>308</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J17:K17"/>
    <mergeCell ref="L17:M17"/>
    <mergeCell ref="G58:I58"/>
    <mergeCell ref="J58:L58"/>
    <mergeCell ref="G69:I69"/>
  </mergeCells>
  <conditionalFormatting sqref="B2:E6">
    <cfRule type="expression" dxfId="1" priority="1">
      <formula>AND($E2&lt;&gt;"", $F2&lt;&gt;"")</formula>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13"/>
    <col customWidth="1" min="2" max="2" width="19.63"/>
    <col customWidth="1" min="3" max="3" width="21.5"/>
    <col customWidth="1" min="4" max="4" width="15.13"/>
    <col customWidth="1" min="5" max="5" width="21.5"/>
    <col customWidth="1" min="6" max="6" width="15.13"/>
    <col customWidth="1" min="7" max="7" width="21.5"/>
    <col customWidth="1" min="8" max="8" width="15.13"/>
    <col customWidth="1" min="9" max="9" width="21.5"/>
    <col customWidth="1" min="10" max="10" width="17.5"/>
    <col customWidth="1" min="11" max="11" width="15.38"/>
    <col customWidth="1" min="12" max="12" width="11.63"/>
    <col customWidth="1" min="13" max="13" width="10.13"/>
    <col customWidth="1" min="14" max="14" width="8.13"/>
    <col customWidth="1" min="15" max="15" width="9.75"/>
  </cols>
  <sheetData>
    <row r="1" ht="15.75" customHeight="1">
      <c r="A1" s="91"/>
      <c r="B1" s="91" t="s">
        <v>309</v>
      </c>
      <c r="C1" s="91" t="s">
        <v>309</v>
      </c>
      <c r="D1" s="91" t="s">
        <v>97</v>
      </c>
      <c r="E1" s="91" t="s">
        <v>97</v>
      </c>
      <c r="F1" s="91" t="s">
        <v>310</v>
      </c>
      <c r="G1" s="91" t="s">
        <v>310</v>
      </c>
      <c r="H1" s="91" t="s">
        <v>311</v>
      </c>
      <c r="I1" s="91" t="s">
        <v>312</v>
      </c>
      <c r="J1" s="91"/>
      <c r="K1" s="11"/>
      <c r="L1" s="11"/>
      <c r="M1" s="11"/>
      <c r="N1" s="11"/>
    </row>
    <row r="2" ht="15.75" customHeight="1">
      <c r="A2" s="91" t="s">
        <v>96</v>
      </c>
      <c r="B2" s="91" t="s">
        <v>313</v>
      </c>
      <c r="C2" s="106" t="s">
        <v>314</v>
      </c>
      <c r="D2" s="91" t="s">
        <v>315</v>
      </c>
      <c r="E2" s="106" t="s">
        <v>314</v>
      </c>
      <c r="F2" s="91" t="s">
        <v>316</v>
      </c>
      <c r="G2" s="106" t="s">
        <v>314</v>
      </c>
      <c r="H2" s="91" t="s">
        <v>313</v>
      </c>
      <c r="I2" s="106" t="s">
        <v>314</v>
      </c>
      <c r="J2" s="91" t="s">
        <v>224</v>
      </c>
      <c r="K2" s="11" t="s">
        <v>223</v>
      </c>
      <c r="L2" s="11" t="s">
        <v>317</v>
      </c>
      <c r="M2" s="11" t="s">
        <v>318</v>
      </c>
      <c r="N2" s="11" t="s">
        <v>99</v>
      </c>
    </row>
    <row r="3" ht="15.75" customHeight="1">
      <c r="A3" s="52">
        <v>380.0</v>
      </c>
      <c r="B3" s="1">
        <v>5.99</v>
      </c>
      <c r="C3" s="1">
        <v>4.19</v>
      </c>
      <c r="D3" s="1">
        <v>5.99</v>
      </c>
      <c r="E3" s="1">
        <v>3.49</v>
      </c>
      <c r="F3" s="1">
        <v>880.0</v>
      </c>
      <c r="G3" s="52">
        <v>560.0</v>
      </c>
      <c r="H3" s="1">
        <v>4.99</v>
      </c>
      <c r="I3" s="1">
        <v>3.49</v>
      </c>
      <c r="J3" s="1">
        <v>19000.0</v>
      </c>
      <c r="K3" s="1" t="s">
        <v>247</v>
      </c>
      <c r="L3" s="107">
        <f t="shared" ref="L3:L8" si="1">B3/A3</f>
        <v>0.01576315789</v>
      </c>
      <c r="M3" s="44">
        <f t="shared" ref="M3:M8" si="2">A3/B3</f>
        <v>63.43906511</v>
      </c>
      <c r="N3" s="1">
        <v>0.0</v>
      </c>
      <c r="P3" s="108">
        <v>138.2765531</v>
      </c>
    </row>
    <row r="4" ht="15.75" customHeight="1">
      <c r="A4" s="52">
        <v>650.0</v>
      </c>
      <c r="B4" s="1">
        <v>9.99</v>
      </c>
      <c r="C4" s="1">
        <v>6.99</v>
      </c>
      <c r="D4" s="1">
        <v>9.99</v>
      </c>
      <c r="E4" s="1">
        <v>5.82</v>
      </c>
      <c r="F4" s="1">
        <v>1540.0</v>
      </c>
      <c r="G4" s="52">
        <v>980.0</v>
      </c>
      <c r="H4" s="1">
        <v>9.99</v>
      </c>
      <c r="I4" s="1">
        <v>6.99</v>
      </c>
      <c r="J4" s="1">
        <v>32500.0</v>
      </c>
      <c r="K4" s="1" t="s">
        <v>248</v>
      </c>
      <c r="L4" s="107">
        <f t="shared" si="1"/>
        <v>0.01536923077</v>
      </c>
      <c r="M4" s="44">
        <f t="shared" si="2"/>
        <v>65.06506507</v>
      </c>
      <c r="N4" s="6">
        <f t="shared" ref="N4:N8" si="3">(M4-$M$3)/$M$3</f>
        <v>0.02563089405</v>
      </c>
      <c r="P4" s="108">
        <v>140.1401401</v>
      </c>
    </row>
    <row r="5" ht="15.75" customHeight="1">
      <c r="A5" s="52">
        <v>1375.0</v>
      </c>
      <c r="B5" s="1">
        <v>19.99</v>
      </c>
      <c r="C5" s="1">
        <v>13.99</v>
      </c>
      <c r="D5" s="1">
        <v>19.99</v>
      </c>
      <c r="E5" s="1">
        <v>11.66</v>
      </c>
      <c r="F5" s="1">
        <v>2860.0</v>
      </c>
      <c r="G5" s="52">
        <v>1820.0</v>
      </c>
      <c r="H5" s="1">
        <v>19.99</v>
      </c>
      <c r="I5" s="1">
        <v>13.99</v>
      </c>
      <c r="J5" s="1">
        <v>68750.0</v>
      </c>
      <c r="K5" s="1" t="s">
        <v>249</v>
      </c>
      <c r="L5" s="107">
        <f t="shared" si="1"/>
        <v>0.01453818182</v>
      </c>
      <c r="M5" s="44">
        <f t="shared" si="2"/>
        <v>68.7843922</v>
      </c>
      <c r="N5" s="6">
        <f t="shared" si="3"/>
        <v>0.08425923488</v>
      </c>
      <c r="P5" s="108">
        <v>140.0933956</v>
      </c>
    </row>
    <row r="6" ht="15.75" customHeight="1">
      <c r="A6" s="52">
        <v>2100.0</v>
      </c>
      <c r="B6" s="1">
        <v>29.99</v>
      </c>
      <c r="C6" s="1">
        <v>20.99</v>
      </c>
      <c r="D6" s="1">
        <v>29.99</v>
      </c>
      <c r="E6" s="1">
        <v>17.49</v>
      </c>
      <c r="F6" s="1">
        <v>4180.0</v>
      </c>
      <c r="G6" s="52">
        <v>2660.0</v>
      </c>
      <c r="H6" s="1">
        <v>29.99</v>
      </c>
      <c r="I6" s="1">
        <v>20.99</v>
      </c>
      <c r="J6" s="1">
        <v>105000.0</v>
      </c>
      <c r="K6" s="1" t="s">
        <v>250</v>
      </c>
      <c r="L6" s="107">
        <f t="shared" si="1"/>
        <v>0.01428095238</v>
      </c>
      <c r="M6" s="44">
        <f t="shared" si="2"/>
        <v>70.02334111</v>
      </c>
      <c r="N6" s="6">
        <f t="shared" si="3"/>
        <v>0.1037889823</v>
      </c>
      <c r="P6" s="108">
        <v>136.0544218</v>
      </c>
    </row>
    <row r="7" ht="15.75" customHeight="1">
      <c r="A7" s="52">
        <v>3750.0</v>
      </c>
      <c r="B7" s="1">
        <v>49.99</v>
      </c>
      <c r="C7" s="1">
        <v>34.99</v>
      </c>
      <c r="D7" s="1">
        <v>49.99</v>
      </c>
      <c r="E7" s="1">
        <v>29.16</v>
      </c>
      <c r="F7" s="1">
        <v>6589.0</v>
      </c>
      <c r="G7" s="52">
        <v>4193.0</v>
      </c>
      <c r="H7" s="1">
        <v>49.99</v>
      </c>
      <c r="I7" s="1">
        <v>34.99</v>
      </c>
      <c r="J7" s="1">
        <v>187500.0</v>
      </c>
      <c r="K7" s="1" t="s">
        <v>251</v>
      </c>
      <c r="L7" s="107">
        <f t="shared" si="1"/>
        <v>0.01333066667</v>
      </c>
      <c r="M7" s="44">
        <f t="shared" si="2"/>
        <v>75.015003</v>
      </c>
      <c r="N7" s="6">
        <f t="shared" si="3"/>
        <v>0.1824733368</v>
      </c>
      <c r="P7" s="108">
        <v>132.0264053</v>
      </c>
    </row>
    <row r="8" ht="15.75" customHeight="1">
      <c r="A8" s="52">
        <v>7750.0</v>
      </c>
      <c r="B8" s="1">
        <v>99.99</v>
      </c>
      <c r="C8" s="1">
        <v>69.99</v>
      </c>
      <c r="D8" s="1">
        <v>99.99</v>
      </c>
      <c r="E8" s="1">
        <v>58.32</v>
      </c>
      <c r="F8" s="1">
        <v>13310.0</v>
      </c>
      <c r="G8" s="52">
        <v>8470.0</v>
      </c>
      <c r="H8" s="1">
        <v>99.99</v>
      </c>
      <c r="I8" s="1">
        <v>69.99</v>
      </c>
      <c r="J8" s="1">
        <v>387500.0</v>
      </c>
      <c r="K8" s="1" t="s">
        <v>252</v>
      </c>
      <c r="L8" s="107">
        <f t="shared" si="1"/>
        <v>0.01290193548</v>
      </c>
      <c r="M8" s="44">
        <f t="shared" si="2"/>
        <v>77.50775078</v>
      </c>
      <c r="N8" s="6">
        <f t="shared" si="3"/>
        <v>0.2217669135</v>
      </c>
      <c r="P8" s="108">
        <v>133.0133013</v>
      </c>
    </row>
    <row r="9" ht="15.75" customHeight="1">
      <c r="P9" s="108"/>
    </row>
    <row r="10" ht="15.75" customHeight="1">
      <c r="A10" s="11" t="s">
        <v>253</v>
      </c>
      <c r="B10" s="11" t="s">
        <v>254</v>
      </c>
      <c r="C10" s="11" t="s">
        <v>255</v>
      </c>
      <c r="D10" s="11"/>
      <c r="E10" s="11"/>
      <c r="F10" s="11"/>
      <c r="G10" s="11"/>
      <c r="H10" s="11"/>
      <c r="I10" s="11"/>
      <c r="J10" s="11" t="s">
        <v>256</v>
      </c>
      <c r="K10" s="11" t="s">
        <v>96</v>
      </c>
      <c r="L10" s="11" t="s">
        <v>257</v>
      </c>
      <c r="M10" s="11" t="s">
        <v>319</v>
      </c>
    </row>
    <row r="11" ht="15.75" customHeight="1">
      <c r="A11" s="16"/>
      <c r="B11" s="88"/>
      <c r="C11" s="88"/>
      <c r="D11" s="88"/>
      <c r="E11" s="88"/>
      <c r="F11" s="88"/>
      <c r="G11" s="88"/>
      <c r="H11" s="88"/>
      <c r="I11" s="88"/>
      <c r="J11" s="88"/>
      <c r="K11" s="16"/>
      <c r="L11" s="89"/>
      <c r="M11" s="16"/>
    </row>
    <row r="12" ht="15.75" customHeight="1">
      <c r="A12" s="1" t="s">
        <v>263</v>
      </c>
      <c r="B12" s="52" t="s">
        <v>264</v>
      </c>
      <c r="C12" s="52">
        <v>3000.0</v>
      </c>
      <c r="D12" s="52"/>
      <c r="E12" s="52"/>
      <c r="F12" s="52"/>
      <c r="G12" s="52"/>
      <c r="H12" s="52"/>
      <c r="I12" s="52"/>
      <c r="J12" s="52">
        <v>0.0</v>
      </c>
      <c r="K12" s="1">
        <v>0.0</v>
      </c>
      <c r="L12" s="93" t="s">
        <v>265</v>
      </c>
    </row>
    <row r="13" ht="15.75" customHeight="1">
      <c r="A13" s="1" t="s">
        <v>266</v>
      </c>
      <c r="B13" s="52" t="s">
        <v>267</v>
      </c>
      <c r="C13" s="52">
        <v>4000.0</v>
      </c>
      <c r="D13" s="52"/>
      <c r="E13" s="52"/>
      <c r="F13" s="52"/>
      <c r="G13" s="52"/>
      <c r="H13" s="52"/>
      <c r="I13" s="52"/>
      <c r="J13" s="52">
        <v>4000.0</v>
      </c>
      <c r="K13" s="1">
        <f t="shared" ref="K13:K19" si="4">J13/50</f>
        <v>80</v>
      </c>
      <c r="L13" s="96" t="s">
        <v>268</v>
      </c>
      <c r="M13" s="1" t="s">
        <v>269</v>
      </c>
      <c r="N13" s="1"/>
      <c r="O13" s="1" t="s">
        <v>320</v>
      </c>
    </row>
    <row r="14" ht="15.75" customHeight="1">
      <c r="A14" s="1" t="s">
        <v>270</v>
      </c>
      <c r="B14" s="52" t="s">
        <v>271</v>
      </c>
      <c r="C14" s="52">
        <v>7500.0</v>
      </c>
      <c r="D14" s="52"/>
      <c r="E14" s="18">
        <f t="shared" ref="E14:E19" si="5">C3/B3</f>
        <v>0.6994991653</v>
      </c>
      <c r="F14" s="52"/>
      <c r="G14" s="52"/>
      <c r="H14" s="52"/>
      <c r="I14" s="52"/>
      <c r="J14" s="52">
        <v>7500.0</v>
      </c>
      <c r="K14" s="1">
        <f t="shared" si="4"/>
        <v>150</v>
      </c>
      <c r="L14" s="96" t="s">
        <v>268</v>
      </c>
      <c r="M14" s="1" t="s">
        <v>272</v>
      </c>
      <c r="N14" s="1"/>
      <c r="O14" s="1" t="s">
        <v>321</v>
      </c>
    </row>
    <row r="15" ht="15.75" customHeight="1">
      <c r="A15" s="1" t="s">
        <v>273</v>
      </c>
      <c r="B15" s="52" t="s">
        <v>274</v>
      </c>
      <c r="C15" s="52">
        <v>13000.0</v>
      </c>
      <c r="D15" s="52"/>
      <c r="E15" s="18">
        <f t="shared" si="5"/>
        <v>0.6996996997</v>
      </c>
      <c r="F15" s="52"/>
      <c r="G15" s="52"/>
      <c r="H15" s="52"/>
      <c r="I15" s="52"/>
      <c r="J15" s="52">
        <v>13000.0</v>
      </c>
      <c r="K15" s="1">
        <f t="shared" si="4"/>
        <v>260</v>
      </c>
      <c r="L15" s="96" t="s">
        <v>268</v>
      </c>
      <c r="M15" s="1" t="s">
        <v>275</v>
      </c>
    </row>
    <row r="16" ht="15.75" customHeight="1">
      <c r="A16" s="1" t="s">
        <v>276</v>
      </c>
      <c r="B16" s="52" t="s">
        <v>277</v>
      </c>
      <c r="C16" s="52">
        <v>30000.0</v>
      </c>
      <c r="D16" s="52"/>
      <c r="E16" s="18">
        <f t="shared" si="5"/>
        <v>0.699849925</v>
      </c>
      <c r="F16" s="52"/>
      <c r="G16" s="52"/>
      <c r="H16" s="52"/>
      <c r="I16" s="52"/>
      <c r="J16" s="52">
        <v>30000.0</v>
      </c>
      <c r="K16" s="1">
        <f t="shared" si="4"/>
        <v>600</v>
      </c>
      <c r="L16" s="96" t="s">
        <v>268</v>
      </c>
      <c r="M16" s="1" t="s">
        <v>278</v>
      </c>
    </row>
    <row r="17" ht="15.75" customHeight="1">
      <c r="A17" s="1" t="s">
        <v>279</v>
      </c>
      <c r="B17" s="1" t="s">
        <v>280</v>
      </c>
      <c r="C17" s="52">
        <v>12500.0</v>
      </c>
      <c r="D17" s="52"/>
      <c r="E17" s="18">
        <f t="shared" si="5"/>
        <v>0.6998999667</v>
      </c>
      <c r="F17" s="52"/>
      <c r="G17" s="52"/>
      <c r="H17" s="52"/>
      <c r="I17" s="52"/>
      <c r="J17" s="52">
        <v>12500.0</v>
      </c>
      <c r="K17" s="1">
        <f t="shared" si="4"/>
        <v>250</v>
      </c>
      <c r="L17" s="96" t="s">
        <v>268</v>
      </c>
      <c r="M17" s="1" t="s">
        <v>281</v>
      </c>
    </row>
    <row r="18" ht="15.75" customHeight="1">
      <c r="A18" s="1" t="s">
        <v>282</v>
      </c>
      <c r="B18" s="1" t="s">
        <v>283</v>
      </c>
      <c r="C18" s="52">
        <v>54500.0</v>
      </c>
      <c r="D18" s="52"/>
      <c r="E18" s="18">
        <f t="shared" si="5"/>
        <v>0.699939988</v>
      </c>
      <c r="F18" s="52"/>
      <c r="G18" s="52"/>
      <c r="H18" s="52"/>
      <c r="I18" s="52"/>
      <c r="J18" s="52">
        <v>51500.0</v>
      </c>
      <c r="K18" s="1">
        <f t="shared" si="4"/>
        <v>1030</v>
      </c>
      <c r="L18" s="96" t="s">
        <v>268</v>
      </c>
      <c r="M18" s="1" t="s">
        <v>284</v>
      </c>
    </row>
    <row r="19" ht="15.75" customHeight="1">
      <c r="A19" s="1" t="s">
        <v>285</v>
      </c>
      <c r="B19" s="1" t="s">
        <v>286</v>
      </c>
      <c r="C19" s="52">
        <v>109000.0</v>
      </c>
      <c r="D19" s="52"/>
      <c r="E19" s="18">
        <f t="shared" si="5"/>
        <v>0.699969997</v>
      </c>
      <c r="F19" s="52"/>
      <c r="G19" s="52"/>
      <c r="H19" s="52"/>
      <c r="I19" s="52"/>
      <c r="J19" s="52">
        <v>95000.0</v>
      </c>
      <c r="K19" s="1">
        <f t="shared" si="4"/>
        <v>1900</v>
      </c>
      <c r="L19" s="96" t="s">
        <v>268</v>
      </c>
      <c r="M19" s="1" t="s">
        <v>287</v>
      </c>
    </row>
    <row r="20" ht="15.75" customHeight="1"/>
    <row r="21" ht="15.75" customHeight="1">
      <c r="A21" s="11" t="s">
        <v>288</v>
      </c>
      <c r="B21" s="11" t="s">
        <v>254</v>
      </c>
      <c r="C21" s="11" t="s">
        <v>255</v>
      </c>
      <c r="D21" s="11"/>
      <c r="E21" s="11"/>
      <c r="F21" s="11"/>
      <c r="G21" s="11"/>
      <c r="H21" s="11"/>
      <c r="I21" s="11"/>
      <c r="J21" s="11" t="s">
        <v>256</v>
      </c>
      <c r="K21" s="11" t="s">
        <v>96</v>
      </c>
      <c r="L21" s="11" t="s">
        <v>257</v>
      </c>
      <c r="M21" s="11" t="s">
        <v>322</v>
      </c>
    </row>
    <row r="22" ht="15.75" customHeight="1">
      <c r="A22" s="16"/>
      <c r="B22" s="16"/>
      <c r="C22" s="88"/>
      <c r="D22" s="88"/>
      <c r="E22" s="88"/>
      <c r="F22" s="88"/>
      <c r="G22" s="88"/>
      <c r="H22" s="88"/>
      <c r="I22" s="88"/>
      <c r="J22" s="16"/>
      <c r="K22" s="16"/>
      <c r="L22" s="16"/>
      <c r="M22" s="16"/>
    </row>
    <row r="23" ht="15.75" customHeight="1">
      <c r="A23" s="1" t="s">
        <v>289</v>
      </c>
      <c r="B23" s="1" t="s">
        <v>290</v>
      </c>
      <c r="C23" s="52">
        <v>33500.0</v>
      </c>
      <c r="D23" s="52"/>
      <c r="E23" s="52"/>
      <c r="F23" s="52"/>
      <c r="G23" s="52"/>
      <c r="H23" s="52"/>
      <c r="I23" s="52"/>
      <c r="J23" s="1">
        <v>29000.0</v>
      </c>
      <c r="K23" s="1">
        <f t="shared" ref="K23:K26" si="6">J23/50</f>
        <v>580</v>
      </c>
      <c r="L23" s="1">
        <v>3.0</v>
      </c>
      <c r="M23" s="1" t="s">
        <v>291</v>
      </c>
    </row>
    <row r="24" ht="15.75" customHeight="1">
      <c r="A24" s="1" t="s">
        <v>292</v>
      </c>
      <c r="B24" s="1" t="s">
        <v>293</v>
      </c>
      <c r="C24" s="52">
        <v>60000.0</v>
      </c>
      <c r="D24" s="52"/>
      <c r="E24" s="52"/>
      <c r="F24" s="52"/>
      <c r="G24" s="52"/>
      <c r="H24" s="52"/>
      <c r="I24" s="52"/>
      <c r="J24" s="52">
        <v>55000.0</v>
      </c>
      <c r="K24" s="1">
        <f t="shared" si="6"/>
        <v>1100</v>
      </c>
      <c r="L24" s="1">
        <v>1.0</v>
      </c>
      <c r="M24" s="1" t="s">
        <v>294</v>
      </c>
    </row>
    <row r="25" ht="15.75" customHeight="1">
      <c r="A25" s="1" t="s">
        <v>295</v>
      </c>
      <c r="B25" s="1" t="s">
        <v>296</v>
      </c>
      <c r="C25" s="52">
        <v>8000.0</v>
      </c>
      <c r="D25" s="52"/>
      <c r="E25" s="52"/>
      <c r="F25" s="52"/>
      <c r="G25" s="52"/>
      <c r="H25" s="52"/>
      <c r="I25" s="52"/>
      <c r="J25" s="1">
        <v>0.0</v>
      </c>
      <c r="K25" s="1">
        <f t="shared" si="6"/>
        <v>0</v>
      </c>
      <c r="L25" s="1">
        <v>1.0</v>
      </c>
      <c r="M25" s="1">
        <v>0.0</v>
      </c>
    </row>
    <row r="26" ht="15.75" customHeight="1">
      <c r="A26" s="1" t="s">
        <v>297</v>
      </c>
      <c r="B26" s="1" t="s">
        <v>298</v>
      </c>
      <c r="C26" s="52">
        <v>272500.0</v>
      </c>
      <c r="D26" s="52"/>
      <c r="E26" s="52"/>
      <c r="F26" s="52"/>
      <c r="G26" s="52"/>
      <c r="H26" s="52"/>
      <c r="I26" s="52"/>
      <c r="J26" s="52">
        <v>199000.0</v>
      </c>
      <c r="K26" s="1">
        <f t="shared" si="6"/>
        <v>3980</v>
      </c>
      <c r="L26" s="1">
        <v>5.0</v>
      </c>
      <c r="M26" s="1" t="s">
        <v>299</v>
      </c>
    </row>
    <row r="27" ht="15.75" customHeight="1">
      <c r="A27" s="1" t="s">
        <v>300</v>
      </c>
      <c r="B27" s="1" t="s">
        <v>301</v>
      </c>
      <c r="C27" s="52">
        <v>30000.0</v>
      </c>
      <c r="D27" s="52"/>
      <c r="E27" s="52"/>
      <c r="F27" s="52"/>
      <c r="G27" s="52"/>
      <c r="H27" s="52"/>
      <c r="I27" s="52"/>
      <c r="J27" s="1" t="s">
        <v>302</v>
      </c>
      <c r="K27" s="1">
        <v>1900.0</v>
      </c>
      <c r="L27" s="96" t="s">
        <v>268</v>
      </c>
      <c r="M27" s="1" t="s">
        <v>287</v>
      </c>
    </row>
    <row r="28" ht="15.75" customHeight="1">
      <c r="A28" s="1" t="s">
        <v>303</v>
      </c>
      <c r="B28" s="1" t="s">
        <v>304</v>
      </c>
      <c r="C28" s="52">
        <v>250000.0</v>
      </c>
      <c r="D28" s="52"/>
      <c r="E28" s="52"/>
      <c r="F28" s="52"/>
      <c r="G28" s="52"/>
      <c r="H28" s="52"/>
      <c r="I28" s="52"/>
      <c r="J28" s="1" t="s">
        <v>302</v>
      </c>
      <c r="K28" s="1">
        <v>4900.0</v>
      </c>
      <c r="L28" s="96" t="s">
        <v>268</v>
      </c>
      <c r="M28" s="1" t="s">
        <v>305</v>
      </c>
    </row>
    <row r="29" ht="15.75" customHeight="1">
      <c r="A29" s="1" t="s">
        <v>306</v>
      </c>
      <c r="B29" s="1" t="s">
        <v>307</v>
      </c>
      <c r="C29" s="52">
        <v>30000.0</v>
      </c>
      <c r="D29" s="52"/>
      <c r="E29" s="52"/>
      <c r="F29" s="52"/>
      <c r="G29" s="52"/>
      <c r="H29" s="52"/>
      <c r="I29" s="52"/>
      <c r="J29" s="1" t="s">
        <v>302</v>
      </c>
      <c r="K29" s="1">
        <v>2200.0</v>
      </c>
      <c r="L29" s="96" t="s">
        <v>268</v>
      </c>
      <c r="M29" s="1" t="s">
        <v>308</v>
      </c>
    </row>
    <row r="30" ht="15.75" customHeight="1"/>
    <row r="31" ht="15.75" customHeight="1"/>
    <row r="32" ht="15.75" customHeight="1"/>
    <row r="33" ht="15.75" customHeight="1"/>
    <row r="34" ht="15.75" customHeight="1">
      <c r="C34" s="1">
        <f t="shared" ref="C34:C39" si="7">C3/1.25</f>
        <v>3.352</v>
      </c>
    </row>
    <row r="35" ht="15.75" customHeight="1">
      <c r="C35" s="1">
        <f t="shared" si="7"/>
        <v>5.592</v>
      </c>
    </row>
    <row r="36" ht="15.75" customHeight="1">
      <c r="C36" s="1">
        <f t="shared" si="7"/>
        <v>11.192</v>
      </c>
    </row>
    <row r="37" ht="15.75" customHeight="1">
      <c r="C37" s="1">
        <f t="shared" si="7"/>
        <v>16.792</v>
      </c>
    </row>
    <row r="38" ht="15.75" customHeight="1">
      <c r="C38" s="1">
        <f t="shared" si="7"/>
        <v>27.992</v>
      </c>
    </row>
    <row r="39" ht="15.75" customHeight="1">
      <c r="C39" s="1">
        <f t="shared" si="7"/>
        <v>55.992</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