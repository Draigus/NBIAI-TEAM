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c6b05486c1a2e41/Claude_code/NBIAI_TEAM/Clients/Couch Heroes/production/"/>
    </mc:Choice>
  </mc:AlternateContent>
  <xr:revisionPtr revIDLastSave="33" documentId="11_92C6FB3CDA54CA7518CDD3F87AFFFF35D0326756" xr6:coauthVersionLast="47" xr6:coauthVersionMax="47" xr10:uidLastSave="{5F561141-3792-4F8E-B62D-76718F440A69}"/>
  <bookViews>
    <workbookView xWindow="-120" yWindow="-120" windowWidth="51840" windowHeight="21120" xr2:uid="{00000000-000D-0000-FFFF-FFFF00000000}"/>
  </bookViews>
  <sheets>
    <sheet name="Plan" sheetId="1" r:id="rId1"/>
    <sheet name="Summary" sheetId="2" r:id="rId2"/>
    <sheet name="Epics &amp; Features" sheetId="3" r:id="rId3"/>
    <sheet name="Roles" sheetId="4" r:id="rId4"/>
    <sheet name="Gates" sheetId="5" r:id="rId5"/>
    <sheet name="Tiers" sheetId="6" r:id="rId6"/>
    <sheet name="Legen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L14" i="2"/>
  <c r="K14" i="2"/>
  <c r="N14" i="2" s="1"/>
  <c r="J14" i="2"/>
  <c r="I14" i="2"/>
  <c r="H14" i="2"/>
  <c r="G14" i="2"/>
  <c r="F14" i="2"/>
  <c r="E14" i="2"/>
  <c r="D14" i="2"/>
  <c r="C14" i="2"/>
  <c r="M13" i="2"/>
  <c r="L13" i="2"/>
  <c r="K13" i="2"/>
  <c r="J13" i="2"/>
  <c r="I13" i="2"/>
  <c r="H13" i="2"/>
  <c r="G13" i="2"/>
  <c r="F13" i="2"/>
  <c r="E13" i="2"/>
  <c r="D13" i="2"/>
  <c r="C13" i="2"/>
  <c r="N13" i="2" s="1"/>
  <c r="M12" i="2"/>
  <c r="L12" i="2"/>
  <c r="K12" i="2"/>
  <c r="J12" i="2"/>
  <c r="I12" i="2"/>
  <c r="H12" i="2"/>
  <c r="G12" i="2"/>
  <c r="F12" i="2"/>
  <c r="E12" i="2"/>
  <c r="D12" i="2"/>
  <c r="C12" i="2"/>
  <c r="N12" i="2" s="1"/>
  <c r="M11" i="2"/>
  <c r="L11" i="2"/>
  <c r="K11" i="2"/>
  <c r="J11" i="2"/>
  <c r="I11" i="2"/>
  <c r="H11" i="2"/>
  <c r="G11" i="2"/>
  <c r="F11" i="2"/>
  <c r="E11" i="2"/>
  <c r="D11" i="2"/>
  <c r="C11" i="2"/>
  <c r="N11" i="2" s="1"/>
  <c r="M10" i="2"/>
  <c r="L10" i="2"/>
  <c r="K10" i="2"/>
  <c r="N10" i="2" s="1"/>
  <c r="J10" i="2"/>
  <c r="I10" i="2"/>
  <c r="H10" i="2"/>
  <c r="G10" i="2"/>
  <c r="F10" i="2"/>
  <c r="E10" i="2"/>
  <c r="D10" i="2"/>
  <c r="C10" i="2"/>
  <c r="M9" i="2"/>
  <c r="L9" i="2"/>
  <c r="K9" i="2"/>
  <c r="J9" i="2"/>
  <c r="I9" i="2"/>
  <c r="H9" i="2"/>
  <c r="G9" i="2"/>
  <c r="N9" i="2" s="1"/>
  <c r="F9" i="2"/>
  <c r="E9" i="2"/>
  <c r="D9" i="2"/>
  <c r="C9" i="2"/>
  <c r="M8" i="2"/>
  <c r="L8" i="2"/>
  <c r="K8" i="2"/>
  <c r="J8" i="2"/>
  <c r="I8" i="2"/>
  <c r="H8" i="2"/>
  <c r="G8" i="2"/>
  <c r="F8" i="2"/>
  <c r="E8" i="2"/>
  <c r="D8" i="2"/>
  <c r="C8" i="2"/>
  <c r="N8" i="2" s="1"/>
  <c r="M7" i="2"/>
  <c r="L7" i="2"/>
  <c r="K7" i="2"/>
  <c r="J7" i="2"/>
  <c r="I7" i="2"/>
  <c r="H7" i="2"/>
  <c r="G7" i="2"/>
  <c r="F7" i="2"/>
  <c r="E7" i="2"/>
  <c r="D7" i="2"/>
  <c r="C7" i="2"/>
  <c r="N7" i="2" s="1"/>
  <c r="M6" i="2"/>
  <c r="L6" i="2"/>
  <c r="K6" i="2"/>
  <c r="N6" i="2" s="1"/>
  <c r="J6" i="2"/>
  <c r="I6" i="2"/>
  <c r="H6" i="2"/>
  <c r="G6" i="2"/>
  <c r="F6" i="2"/>
  <c r="E6" i="2"/>
  <c r="D6" i="2"/>
  <c r="C6" i="2"/>
  <c r="M5" i="2"/>
  <c r="L5" i="2"/>
  <c r="K5" i="2"/>
  <c r="J5" i="2"/>
  <c r="I5" i="2"/>
  <c r="H5" i="2"/>
  <c r="G5" i="2"/>
  <c r="N5" i="2" s="1"/>
  <c r="F5" i="2"/>
  <c r="E5" i="2"/>
  <c r="D5" i="2"/>
  <c r="C5" i="2"/>
  <c r="M4" i="2"/>
  <c r="L4" i="2"/>
  <c r="K4" i="2"/>
  <c r="J4" i="2"/>
  <c r="I4" i="2"/>
  <c r="H4" i="2"/>
  <c r="G4" i="2"/>
  <c r="F4" i="2"/>
  <c r="E4" i="2"/>
  <c r="D4" i="2"/>
  <c r="C4" i="2"/>
  <c r="N4" i="2" s="1"/>
  <c r="M3" i="2"/>
  <c r="L3" i="2"/>
  <c r="K3" i="2"/>
  <c r="J3" i="2"/>
  <c r="I3" i="2"/>
  <c r="H3" i="2"/>
  <c r="G3" i="2"/>
  <c r="F3" i="2"/>
  <c r="E3" i="2"/>
  <c r="D3" i="2"/>
  <c r="C3" i="2"/>
  <c r="N3" i="2" s="1"/>
  <c r="M2" i="2"/>
  <c r="M16" i="2" s="1"/>
  <c r="L2" i="2"/>
  <c r="L16" i="2" s="1"/>
  <c r="K2" i="2"/>
  <c r="K16" i="2" s="1"/>
  <c r="J2" i="2"/>
  <c r="J16" i="2" s="1"/>
  <c r="I2" i="2"/>
  <c r="I16" i="2" s="1"/>
  <c r="H2" i="2"/>
  <c r="H16" i="2" s="1"/>
  <c r="G2" i="2"/>
  <c r="G16" i="2" s="1"/>
  <c r="F2" i="2"/>
  <c r="F16" i="2" s="1"/>
  <c r="E2" i="2"/>
  <c r="E16" i="2" s="1"/>
  <c r="D2" i="2"/>
  <c r="D16" i="2" s="1"/>
  <c r="C2" i="2"/>
  <c r="C16" i="2" s="1"/>
  <c r="N2" i="2" l="1"/>
  <c r="N16" i="2" s="1"/>
</calcChain>
</file>

<file path=xl/sharedStrings.xml><?xml version="1.0" encoding="utf-8"?>
<sst xmlns="http://schemas.openxmlformats.org/spreadsheetml/2006/main" count="3589" uniqueCount="1305">
  <si>
    <t>WORK STREAMS</t>
  </si>
  <si>
    <t>CONCEPT</t>
  </si>
  <si>
    <t>PRE-PRODUCTION</t>
  </si>
  <si>
    <t>PRODUCTION</t>
  </si>
  <si>
    <t>RELEASE</t>
  </si>
  <si>
    <t>LIVE SERVICE</t>
  </si>
  <si>
    <t>EARLY PROD — MIN</t>
  </si>
  <si>
    <t>EARLY PROD — MAX</t>
  </si>
  <si>
    <t>GATE
0</t>
  </si>
  <si>
    <t>CONCEPT
~2 months
Target: T0 Ideation</t>
  </si>
  <si>
    <t>GATE
1</t>
  </si>
  <si>
    <t>PRE-PRODUCTION
Target: T1-T2 R&amp;D / GDD-TDD-Brief</t>
  </si>
  <si>
    <t>GATE
2</t>
  </si>
  <si>
    <t>EARLY PROD
Target: T3 Prototype</t>
  </si>
  <si>
    <t>GATE
3</t>
  </si>
  <si>
    <t>MID PRO
Target: T4 MVP</t>
  </si>
  <si>
    <t>GATE
4</t>
  </si>
  <si>
    <t>END PROD
Target: T5 Feature Complete</t>
  </si>
  <si>
    <t>GATE
5</t>
  </si>
  <si>
    <t>ALPHA
Target: T6 Player Tested</t>
  </si>
  <si>
    <t>GATE
6</t>
  </si>
  <si>
    <t>BETA
Target: T6 Player Tested</t>
  </si>
  <si>
    <t>GATE
7</t>
  </si>
  <si>
    <t>LAUNCH
Target: T6 Player Ready</t>
  </si>
  <si>
    <t>GATE
8</t>
  </si>
  <si>
    <t>FIRST RELEASE
~1.5 months
Target: T6-T7 Player Ready / Expand</t>
  </si>
  <si>
    <t>GATE
9</t>
  </si>
  <si>
    <t>LS 1
Live
Target: T7 Expand</t>
  </si>
  <si>
    <t>GATE
10</t>
  </si>
  <si>
    <t>LS 2
Live
Target: T8 Scale</t>
  </si>
  <si>
    <t>Epic</t>
  </si>
  <si>
    <t>Feature</t>
  </si>
  <si>
    <t>Size</t>
  </si>
  <si>
    <t>Current Tier</t>
  </si>
  <si>
    <t>Notes</t>
  </si>
  <si>
    <t>CEO</t>
  </si>
  <si>
    <t>Creative Director</t>
  </si>
  <si>
    <t>Head of Legal</t>
  </si>
  <si>
    <t>COO</t>
  </si>
  <si>
    <t>HR Manager</t>
  </si>
  <si>
    <t>Executive Producer</t>
  </si>
  <si>
    <t>Producer</t>
  </si>
  <si>
    <t>Game Producer</t>
  </si>
  <si>
    <t>Tech Producer</t>
  </si>
  <si>
    <t>Art Producer</t>
  </si>
  <si>
    <t>Game Director</t>
  </si>
  <si>
    <t>Game Design Lead</t>
  </si>
  <si>
    <t>Level Design Lead</t>
  </si>
  <si>
    <t>Game Designer</t>
  </si>
  <si>
    <t>Combat Designer</t>
  </si>
  <si>
    <t>Level Designer</t>
  </si>
  <si>
    <t>Technical Designer</t>
  </si>
  <si>
    <t>Writer</t>
  </si>
  <si>
    <t>Art Director</t>
  </si>
  <si>
    <t>Concept Artist</t>
  </si>
  <si>
    <t>UI/UX Designer</t>
  </si>
  <si>
    <t>Graphic Designer</t>
  </si>
  <si>
    <t>Character Artist</t>
  </si>
  <si>
    <t>Environment Artist</t>
  </si>
  <si>
    <t>Prop Artist</t>
  </si>
  <si>
    <t>Animator</t>
  </si>
  <si>
    <t>Character Rigger</t>
  </si>
  <si>
    <t>VFX Artist</t>
  </si>
  <si>
    <t>Technical Artist</t>
  </si>
  <si>
    <t>CTO</t>
  </si>
  <si>
    <t>Tech Lead</t>
  </si>
  <si>
    <t>Gameplay Developer</t>
  </si>
  <si>
    <t>Full Stack Developer</t>
  </si>
  <si>
    <t>Backend Developer</t>
  </si>
  <si>
    <t>Network Engineer</t>
  </si>
  <si>
    <t>QA</t>
  </si>
  <si>
    <t>Sound Designer</t>
  </si>
  <si>
    <t>Platform Team</t>
  </si>
  <si>
    <t>Player Build</t>
  </si>
  <si>
    <t>Player Progression</t>
  </si>
  <si>
    <t>L</t>
  </si>
  <si>
    <t>T1: R&amp;D</t>
  </si>
  <si>
    <t>Design / Game design</t>
  </si>
  <si>
    <t xml:space="preserve">  Character stats UI</t>
  </si>
  <si>
    <t>Art / UX/UI</t>
  </si>
  <si>
    <t xml:space="preserve">    Level up &amp; Stats QA</t>
  </si>
  <si>
    <t>QA / QA</t>
  </si>
  <si>
    <t xml:space="preserve">  Character stats configuration in connection with other systems</t>
  </si>
  <si>
    <t xml:space="preserve">  Character stats documentation</t>
  </si>
  <si>
    <t xml:space="preserve">  Character stats implementation</t>
  </si>
  <si>
    <t>Engineering / Gameplay Engineering</t>
  </si>
  <si>
    <t xml:space="preserve">    Increase stat when player level up</t>
  </si>
  <si>
    <t xml:space="preserve">    Integrate stat system with other systems</t>
  </si>
  <si>
    <t xml:space="preserve">    Items give u stats</t>
  </si>
  <si>
    <t xml:space="preserve">    Update player stats in backend (player data service)</t>
  </si>
  <si>
    <t>Engineering / Backend Engineering</t>
  </si>
  <si>
    <t xml:space="preserve">    Update stats UI</t>
  </si>
  <si>
    <t xml:space="preserve">    fetch player stats from backend service (player data service)</t>
  </si>
  <si>
    <t xml:space="preserve">  Player level up UI</t>
  </si>
  <si>
    <t xml:space="preserve">  Player level up configuration</t>
  </si>
  <si>
    <t xml:space="preserve">  Player level up documentation</t>
  </si>
  <si>
    <t xml:space="preserve">  player level up integration</t>
  </si>
  <si>
    <t xml:space="preserve">    Earn different types of EXP depending on objective</t>
  </si>
  <si>
    <t xml:space="preserve">    Fetch and update UI for player level and exp</t>
  </si>
  <si>
    <t xml:space="preserve">    Fetch player level and exp from (player data service)</t>
  </si>
  <si>
    <t xml:space="preserve">    Update player level and exp with (player data service)</t>
  </si>
  <si>
    <t>Garment System</t>
  </si>
  <si>
    <t>M</t>
  </si>
  <si>
    <t>T0: Ideation</t>
  </si>
  <si>
    <t xml:space="preserve">  Equiment Concepts</t>
  </si>
  <si>
    <t>Art / Concept Art</t>
  </si>
  <si>
    <t xml:space="preserve">  Equipment Concepts</t>
  </si>
  <si>
    <t xml:space="preserve">  Equipment Models</t>
  </si>
  <si>
    <t>Art / Character Art</t>
  </si>
  <si>
    <t xml:space="preserve">    Garment Type SFX</t>
  </si>
  <si>
    <t>Audio / Audio</t>
  </si>
  <si>
    <t xml:space="preserve">  Equipment Stats integrated with character stats</t>
  </si>
  <si>
    <t xml:space="preserve">    Equipment QA</t>
  </si>
  <si>
    <t xml:space="preserve">    Garment System QA</t>
  </si>
  <si>
    <t xml:space="preserve">  Garment System GDD/TDD</t>
  </si>
  <si>
    <t xml:space="preserve">    Vertical Slice garments</t>
  </si>
  <si>
    <t xml:space="preserve">  Garment System Integration</t>
  </si>
  <si>
    <t xml:space="preserve">    Equip and unequped based on garment system</t>
  </si>
  <si>
    <t xml:space="preserve">  Garment System UI</t>
  </si>
  <si>
    <t xml:space="preserve">  Player equips clothing</t>
  </si>
  <si>
    <t xml:space="preserve">    Cull occluded body parts</t>
  </si>
  <si>
    <t>Art / TechArt</t>
  </si>
  <si>
    <t xml:space="preserve">    Freeze cloth sim</t>
  </si>
  <si>
    <t>Art / Animation &amp; Rigging</t>
  </si>
  <si>
    <t xml:space="preserve">    Maya tool to represent cloth sim like unreal</t>
  </si>
  <si>
    <t xml:space="preserve">    Move socket based on clothing type</t>
  </si>
  <si>
    <t xml:space="preserve">    Setup budget for skining and cloth sim</t>
  </si>
  <si>
    <t xml:space="preserve">    Setup capsules for cloth collision on character</t>
  </si>
  <si>
    <t>In-game Tutorial</t>
  </si>
  <si>
    <t>Skill System (1 skill tree active)</t>
  </si>
  <si>
    <t xml:space="preserve">  Controls UI</t>
  </si>
  <si>
    <t>Art / VFX</t>
  </si>
  <si>
    <t xml:space="preserve">    Narrative</t>
  </si>
  <si>
    <t>Design / Narrative</t>
  </si>
  <si>
    <t xml:space="preserve">    Tutorial QA check</t>
  </si>
  <si>
    <t xml:space="preserve">    Tutorial cave contents</t>
  </si>
  <si>
    <t xml:space="preserve">  Skill System Configuration</t>
  </si>
  <si>
    <t xml:space="preserve">  Skill System Documentation</t>
  </si>
  <si>
    <t xml:space="preserve">  Skill System Implementation</t>
  </si>
  <si>
    <t xml:space="preserve">    Add new abilities to skill tree</t>
  </si>
  <si>
    <t xml:space="preserve">    Add new weapons to skill tree</t>
  </si>
  <si>
    <t xml:space="preserve">    Connect skill tree to UI</t>
  </si>
  <si>
    <t xml:space="preserve">    Create frontend for skill tree in internal dashboard</t>
  </si>
  <si>
    <t xml:space="preserve">    Create new collection for weapon skill tree (player data service)</t>
  </si>
  <si>
    <t xml:space="preserve">    Create weapon skill tree / nodes in (internal dashboard service)</t>
  </si>
  <si>
    <t xml:space="preserve">    Fetch player skill tree per weapon (player data service)</t>
  </si>
  <si>
    <t xml:space="preserve">    Fetch weapon skill tree / nodes in (internal dashboard service)</t>
  </si>
  <si>
    <t xml:space="preserve">    Fetech all skill trees from backend</t>
  </si>
  <si>
    <t xml:space="preserve">    Remove weapon skill tree / nodes in (internal dashboard service)</t>
  </si>
  <si>
    <t xml:space="preserve">    Sync all skill trees to backend, tool</t>
  </si>
  <si>
    <t xml:space="preserve">    Update all skill trees from backend</t>
  </si>
  <si>
    <t xml:space="preserve">    Update player skill tree per weapon (player data service)</t>
  </si>
  <si>
    <t xml:space="preserve">    Update weapon skill tree / nodes in (internal dashboard service)</t>
  </si>
  <si>
    <t xml:space="preserve">    endpoint to reset skill tree for weapons</t>
  </si>
  <si>
    <t xml:space="preserve">  Skill System UI</t>
  </si>
  <si>
    <t xml:space="preserve">    Skill system QA</t>
  </si>
  <si>
    <t xml:space="preserve">  Skill Tree UI Audio</t>
  </si>
  <si>
    <t xml:space="preserve">  Skills in-game audio</t>
  </si>
  <si>
    <t xml:space="preserve">  Tutorial Cave Layout Fixes</t>
  </si>
  <si>
    <t>Design / Level design</t>
  </si>
  <si>
    <t xml:space="preserve">  Tutorial Cave lighting</t>
  </si>
  <si>
    <t>Art / Environment Art</t>
  </si>
  <si>
    <t xml:space="preserve">  Tutorial Configuration/set up/texts</t>
  </si>
  <si>
    <t xml:space="preserve">  Tutorial UI</t>
  </si>
  <si>
    <t xml:space="preserve">  Tutorial VFX</t>
  </si>
  <si>
    <t xml:space="preserve">  Tutorial cave Ambience &amp; SFX</t>
  </si>
  <si>
    <t xml:space="preserve">  Tutorial cave set dressing fixes</t>
  </si>
  <si>
    <t>World Systems</t>
  </si>
  <si>
    <t>Advanced Traversal</t>
  </si>
  <si>
    <t xml:space="preserve">  Glider Stamina UI</t>
  </si>
  <si>
    <t xml:space="preserve">  Gliding Animations</t>
  </si>
  <si>
    <t xml:space="preserve">  Gliding Concepts</t>
  </si>
  <si>
    <t xml:space="preserve">    Check if ability is unlock to glide</t>
  </si>
  <si>
    <t xml:space="preserve">    Convert gliding to blend space</t>
  </si>
  <si>
    <t xml:space="preserve">    Spawn gliding actor</t>
  </si>
  <si>
    <t xml:space="preserve">  Gliding Device</t>
  </si>
  <si>
    <t xml:space="preserve">    Gliding QA</t>
  </si>
  <si>
    <t xml:space="preserve">  Gliding Integration</t>
  </si>
  <si>
    <t xml:space="preserve">  Gliding SFX</t>
  </si>
  <si>
    <t xml:space="preserve">  Gliding VFX</t>
  </si>
  <si>
    <t xml:space="preserve">  Portals spawning &amp; Xyron moving through portals</t>
  </si>
  <si>
    <t xml:space="preserve">    5 or 6 mini quests</t>
  </si>
  <si>
    <t xml:space="preserve">    Narrative for Xyron quests</t>
  </si>
  <si>
    <t xml:space="preserve">    Spawning portals SFX</t>
  </si>
  <si>
    <t xml:space="preserve">    Xyron voiceover narrative</t>
  </si>
  <si>
    <t xml:space="preserve">    Xyron/portals spawning QA</t>
  </si>
  <si>
    <t xml:space="preserve">  Xyron voiceover</t>
  </si>
  <si>
    <t>Navigation</t>
  </si>
  <si>
    <t xml:space="preserve">  Compass</t>
  </si>
  <si>
    <t xml:space="preserve">    Compass Integration</t>
  </si>
  <si>
    <t xml:space="preserve">    Compass QA check</t>
  </si>
  <si>
    <t xml:space="preserve">    Compass UI</t>
  </si>
  <si>
    <t xml:space="preserve">    Party player distance</t>
  </si>
  <si>
    <t xml:space="preserve">    Rotate compass with camera</t>
  </si>
  <si>
    <t xml:space="preserve">    Show POI distance</t>
  </si>
  <si>
    <t xml:space="preserve">    Show distance to objective</t>
  </si>
  <si>
    <t xml:space="preserve">    Show or hide compass from options menu</t>
  </si>
  <si>
    <t xml:space="preserve">    Show quest distance</t>
  </si>
  <si>
    <t xml:space="preserve">    Special NPCs distance</t>
  </si>
  <si>
    <t xml:space="preserve">  Fog-of-war</t>
  </si>
  <si>
    <t xml:space="preserve">    Create fog of war grid</t>
  </si>
  <si>
    <t xml:space="preserve">    Fog of war QA check</t>
  </si>
  <si>
    <t xml:space="preserve">    Fog of war changes based on player visited locations</t>
  </si>
  <si>
    <t xml:space="preserve">    Fog of war shader</t>
  </si>
  <si>
    <t xml:space="preserve">    Hide/Unhide markers that are in fog of war</t>
  </si>
  <si>
    <t xml:space="preserve">    Sync fog of war to backend</t>
  </si>
  <si>
    <t xml:space="preserve">    fetch fog of war and update it from unreal side</t>
  </si>
  <si>
    <t xml:space="preserve">  Minimap</t>
  </si>
  <si>
    <t xml:space="preserve">    Minimap Levels</t>
  </si>
  <si>
    <t xml:space="preserve">    Minimap QA check</t>
  </si>
  <si>
    <t xml:space="preserve">    Minimap UI</t>
  </si>
  <si>
    <t xml:space="preserve">    Minimap assets</t>
  </si>
  <si>
    <t xml:space="preserve">    Minimap quest navigation support</t>
  </si>
  <si>
    <t xml:space="preserve">    Party player position</t>
  </si>
  <si>
    <t xml:space="preserve">    Special NPCs positions</t>
  </si>
  <si>
    <t xml:space="preserve">    Zoom out/in</t>
  </si>
  <si>
    <t xml:space="preserve">  World Map</t>
  </si>
  <si>
    <t xml:space="preserve">    Indoor Map</t>
  </si>
  <si>
    <t xml:space="preserve">    Map QA check</t>
  </si>
  <si>
    <t xml:space="preserve">    Map markers sfx</t>
  </si>
  <si>
    <t xml:space="preserve">    POI names</t>
  </si>
  <si>
    <t xml:space="preserve">    Quest markers and objectives support</t>
  </si>
  <si>
    <t xml:space="preserve">    Quest markers support</t>
  </si>
  <si>
    <t xml:space="preserve">    World Map UI</t>
  </si>
  <si>
    <t xml:space="preserve">    World Map asset integration</t>
  </si>
  <si>
    <t xml:space="preserve">    World Map background asset</t>
  </si>
  <si>
    <t>Instancing</t>
  </si>
  <si>
    <t xml:space="preserve">  Create a queue service</t>
  </si>
  <si>
    <t xml:space="preserve">    Create Nodejs service</t>
  </si>
  <si>
    <t xml:space="preserve">    Instancing QA</t>
  </si>
  <si>
    <t xml:space="preserve">  Custom HPA for Kubernetes</t>
  </si>
  <si>
    <t xml:space="preserve">    Create metrics to scale up and down</t>
  </si>
  <si>
    <t xml:space="preserve">    Create rules when to merge instances</t>
  </si>
  <si>
    <t xml:space="preserve">    Integrate Kubernetes API</t>
  </si>
  <si>
    <t xml:space="preserve">  Custom service for overworld zones</t>
  </si>
  <si>
    <t xml:space="preserve">    Call backend to figure out which  overworld zones to connect to</t>
  </si>
  <si>
    <t xml:space="preserve">    Create  overworld zones instance</t>
  </si>
  <si>
    <t xml:space="preserve">    Create a list of all overworld zones that are currently running in redis</t>
  </si>
  <si>
    <t xml:space="preserve">    Create a service in nodejs</t>
  </si>
  <si>
    <t xml:space="preserve">    Delete  overworld zones instance</t>
  </si>
  <si>
    <t xml:space="preserve">    Fetch  overworld zones ip by id</t>
  </si>
  <si>
    <t xml:space="preserve">    Inform UE server that a player is getting migrated to another UE server</t>
  </si>
  <si>
    <t xml:space="preserve">    Search for  overworld zones by id</t>
  </si>
  <si>
    <t xml:space="preserve">  Custom service to handle dungeons</t>
  </si>
  <si>
    <t xml:space="preserve">    Call backend to figure out which dungeon to connect to</t>
  </si>
  <si>
    <t xml:space="preserve">    Create a list of all dungeons that are currently running in redis</t>
  </si>
  <si>
    <t xml:space="preserve">    Create dungeon instance</t>
  </si>
  <si>
    <t xml:space="preserve">    Delete dungeon instance</t>
  </si>
  <si>
    <t xml:space="preserve">    Fetch dungeon ip by id</t>
  </si>
  <si>
    <t xml:space="preserve">    Search for dungeon by id</t>
  </si>
  <si>
    <t xml:space="preserve">  Dungeon Instancing</t>
  </si>
  <si>
    <t xml:space="preserve">  GDD Documentation</t>
  </si>
  <si>
    <t xml:space="preserve">  Guild House instancing support</t>
  </si>
  <si>
    <t xml:space="preserve">  Instancing Documentation</t>
  </si>
  <si>
    <t xml:space="preserve">  Player general stat before disconnecting service</t>
  </si>
  <si>
    <t xml:space="preserve">    Create a way to save player stat (which server they were connected to last, which party were they connected to, etc..) before disconnecting</t>
  </si>
  <si>
    <t xml:space="preserve">  Setup Kubernetes on Azure</t>
  </si>
  <si>
    <t xml:space="preserve">    Setup azure</t>
  </si>
  <si>
    <t xml:space="preserve">  User Space Instancing support</t>
  </si>
  <si>
    <t xml:space="preserve">  Zones Instancing</t>
  </si>
  <si>
    <t>Full Motion Video (FMV)</t>
  </si>
  <si>
    <t>Static pictures intro + voiceover</t>
  </si>
  <si>
    <t>In-game cutscenes</t>
  </si>
  <si>
    <t>Basic movement system</t>
  </si>
  <si>
    <t>World Resources</t>
  </si>
  <si>
    <t>Corruption</t>
  </si>
  <si>
    <t>Forge</t>
  </si>
  <si>
    <t>Dungeons mechanics</t>
  </si>
  <si>
    <t>Puzzles</t>
  </si>
  <si>
    <t>Downtime Final set dressing (L)</t>
  </si>
  <si>
    <t>Speedup Archway</t>
  </si>
  <si>
    <t>Portal Peak (Medium)</t>
  </si>
  <si>
    <t>POI: The Two Hills (S)</t>
  </si>
  <si>
    <t>POI: Portal Dimension (XS)</t>
  </si>
  <si>
    <t>POI: Final Tower</t>
  </si>
  <si>
    <t>POI: Waterfall Beauty Spot (S)</t>
  </si>
  <si>
    <t>Wolves</t>
  </si>
  <si>
    <t>Goblins</t>
  </si>
  <si>
    <t>Skeletons</t>
  </si>
  <si>
    <t>Slimes</t>
  </si>
  <si>
    <t>Corrupted Guardian</t>
  </si>
  <si>
    <t>Carapax (Hero, but one type)</t>
  </si>
  <si>
    <t>World/buiding scale design</t>
  </si>
  <si>
    <t>Camera behavior</t>
  </si>
  <si>
    <t>Create a system to allow a player to interact with the world and have event only happen for that player in a multiplayer setting</t>
  </si>
  <si>
    <t>Session</t>
  </si>
  <si>
    <t>Portal Dimension (XS)</t>
  </si>
  <si>
    <t>Corrupted enemies</t>
  </si>
  <si>
    <t>Sync last known player position</t>
  </si>
  <si>
    <t xml:space="preserve">    Create phasing system</t>
  </si>
  <si>
    <t xml:space="preserve">    Document phasing system</t>
  </si>
  <si>
    <t xml:space="preserve">    Research phasing system</t>
  </si>
  <si>
    <t xml:space="preserve">  Animation</t>
  </si>
  <si>
    <t xml:space="preserve">    Create animation graph</t>
  </si>
  <si>
    <t xml:space="preserve">    Create control rig</t>
  </si>
  <si>
    <t xml:space="preserve">    Custom death sequance</t>
  </si>
  <si>
    <t xml:space="preserve">    RBF setup</t>
  </si>
  <si>
    <t xml:space="preserve">    Seperate clothing from body</t>
  </si>
  <si>
    <t xml:space="preserve">  Archway Models</t>
  </si>
  <si>
    <t xml:space="preserve">  Archway Placement</t>
  </si>
  <si>
    <t xml:space="preserve">  Archway SFX</t>
  </si>
  <si>
    <t xml:space="preserve">    Archway QA</t>
  </si>
  <si>
    <t xml:space="preserve">  Archway VFX</t>
  </si>
  <si>
    <t xml:space="preserve">    Win Fanfare VFX</t>
  </si>
  <si>
    <t xml:space="preserve">  Archway race design</t>
  </si>
  <si>
    <t xml:space="preserve">  Camera behavior implementation/fixes</t>
  </si>
  <si>
    <t xml:space="preserve">    Camera QA</t>
  </si>
  <si>
    <t xml:space="preserve">    Implement camera according to design</t>
  </si>
  <si>
    <t xml:space="preserve">  Carapax AI design</t>
  </si>
  <si>
    <t xml:space="preserve">  Combat Behavior</t>
  </si>
  <si>
    <t xml:space="preserve">    Make combat moves</t>
  </si>
  <si>
    <t xml:space="preserve">  Combat Camera</t>
  </si>
  <si>
    <t xml:space="preserve">  Component System Design</t>
  </si>
  <si>
    <t xml:space="preserve">  Concept</t>
  </si>
  <si>
    <t xml:space="preserve">  Corrupted Vines</t>
  </si>
  <si>
    <t xml:space="preserve">    Corrupted VFX</t>
  </si>
  <si>
    <t xml:space="preserve">    Corrupted texture</t>
  </si>
  <si>
    <t xml:space="preserve">    Corrupted vines behavior &amp; visual QA</t>
  </si>
  <si>
    <t xml:space="preserve">    Vine NPC Narrative</t>
  </si>
  <si>
    <t xml:space="preserve">    Vines Foliage</t>
  </si>
  <si>
    <t xml:space="preserve">  Crafted Weapon Parts in-game Audio</t>
  </si>
  <si>
    <t xml:space="preserve">  Crafting Desk</t>
  </si>
  <si>
    <t xml:space="preserve">  Cutscene content</t>
  </si>
  <si>
    <t xml:space="preserve">  DA combination setup</t>
  </si>
  <si>
    <t xml:space="preserve">  Design</t>
  </si>
  <si>
    <t xml:space="preserve">    Quest structure</t>
  </si>
  <si>
    <t xml:space="preserve">  Downtime Auction House storefront model</t>
  </si>
  <si>
    <t xml:space="preserve">  Downtime Bank storefront model</t>
  </si>
  <si>
    <t xml:space="preserve">  Downtime Barbersmith storefront model</t>
  </si>
  <si>
    <t xml:space="preserve">    Downtime QA</t>
  </si>
  <si>
    <t xml:space="preserve">  Downtime NPC placement</t>
  </si>
  <si>
    <t xml:space="preserve">  Downtime Shops closed area</t>
  </si>
  <si>
    <t xml:space="preserve">  Downtime Social Hub Area Blockout</t>
  </si>
  <si>
    <t xml:space="preserve">  Downtime Tavern Blockout</t>
  </si>
  <si>
    <t xml:space="preserve">  Downtime Tavern Concept</t>
  </si>
  <si>
    <t xml:space="preserve">  Downtime Tavern Model</t>
  </si>
  <si>
    <t xml:space="preserve">  Downtime Tavern Props</t>
  </si>
  <si>
    <t xml:space="preserve">  Downtime shops storefronts models</t>
  </si>
  <si>
    <t xml:space="preserve">  Dungeon impelmenation</t>
  </si>
  <si>
    <t xml:space="preserve">    Dungeon UI</t>
  </si>
  <si>
    <t xml:space="preserve">    Dungeon character</t>
  </si>
  <si>
    <t xml:space="preserve">    Dungeon end reward and condition</t>
  </si>
  <si>
    <t xml:space="preserve">    Dungeon gameplay loop</t>
  </si>
  <si>
    <t xml:space="preserve">    Join dungeon</t>
  </si>
  <si>
    <t xml:space="preserve">    Transition to dungeon</t>
  </si>
  <si>
    <t xml:space="preserve">    dungeon character respawn</t>
  </si>
  <si>
    <t xml:space="preserve">    dungeon transition to out of dungeon</t>
  </si>
  <si>
    <t xml:space="preserve">  Dungeons documentation</t>
  </si>
  <si>
    <t xml:space="preserve">    Equipment Stats integrated with character stats</t>
  </si>
  <si>
    <t xml:space="preserve">    QA check</t>
  </si>
  <si>
    <t xml:space="preserve">  Final Tower Audio</t>
  </si>
  <si>
    <t xml:space="preserve">    Portal Dimension QA</t>
  </si>
  <si>
    <t xml:space="preserve">  Final Tower Blockout</t>
  </si>
  <si>
    <t xml:space="preserve">  Final Tower Concept</t>
  </si>
  <si>
    <t xml:space="preserve">  Final Tower Design</t>
  </si>
  <si>
    <t xml:space="preserve">  Final Tower Foliage</t>
  </si>
  <si>
    <t xml:space="preserve">  Final Tower Props Build</t>
  </si>
  <si>
    <t xml:space="preserve">  Final Tower layout</t>
  </si>
  <si>
    <t xml:space="preserve">  Foam Corruption</t>
  </si>
  <si>
    <t xml:space="preserve">    Foam Corruption QA</t>
  </si>
  <si>
    <t xml:space="preserve">    Foam Corruption SFX</t>
  </si>
  <si>
    <t xml:space="preserve">    Foam Corruption SFX, VFX design</t>
  </si>
  <si>
    <t xml:space="preserve">    Foam Corruption Techart</t>
  </si>
  <si>
    <t xml:space="preserve">    Foam Corruption VFX</t>
  </si>
  <si>
    <t xml:space="preserve">    Foam Corruption cleansing animations</t>
  </si>
  <si>
    <t xml:space="preserve">    Foam Corruption cleansing weapon</t>
  </si>
  <si>
    <t xml:space="preserve">    Foam Corruption integration</t>
  </si>
  <si>
    <t xml:space="preserve">    Link with corruption gun</t>
  </si>
  <si>
    <t xml:space="preserve">    Make corruption come back after a set time</t>
  </si>
  <si>
    <t xml:space="preserve">    Quest tracking system</t>
  </si>
  <si>
    <t xml:space="preserve">    Trigger objective when clean is done</t>
  </si>
  <si>
    <t xml:space="preserve">  Forge Concepts</t>
  </si>
  <si>
    <t xml:space="preserve">  Forge Crafting Audio</t>
  </si>
  <si>
    <t xml:space="preserve">  Forge Documentation</t>
  </si>
  <si>
    <t xml:space="preserve">  Forge Integration</t>
  </si>
  <si>
    <t xml:space="preserve">  Forge Props</t>
  </si>
  <si>
    <t xml:space="preserve">    Forge QA</t>
  </si>
  <si>
    <t xml:space="preserve">    DA combination setup</t>
  </si>
  <si>
    <t xml:space="preserve">  Forge UI</t>
  </si>
  <si>
    <t xml:space="preserve">  Forge VFX</t>
  </si>
  <si>
    <t xml:space="preserve">  Goblin AI behaviour</t>
  </si>
  <si>
    <t xml:space="preserve">  Goblin montages</t>
  </si>
  <si>
    <t xml:space="preserve">    Asset Validation</t>
  </si>
  <si>
    <t xml:space="preserve">  Intro sequence plays 3 slides with voiceover</t>
  </si>
  <si>
    <t xml:space="preserve">    Allow this to be triggered from quest</t>
  </si>
  <si>
    <t xml:space="preserve">    Create a system to disallow the player from moving while in FMV</t>
  </si>
  <si>
    <t xml:space="preserve">    Create intro sequence controller</t>
  </si>
  <si>
    <t xml:space="preserve">    Display static slides full-screen</t>
  </si>
  <si>
    <t xml:space="preserve">    Display subtitles synced to VO</t>
  </si>
  <si>
    <t xml:space="preserve">    Final art production</t>
  </si>
  <si>
    <t xml:space="preserve">    Implement skip behavior</t>
  </si>
  <si>
    <t xml:space="preserve">    Implement transition to gameplay/menu</t>
  </si>
  <si>
    <t xml:space="preserve">    Integrate final art + VO assets</t>
  </si>
  <si>
    <t xml:space="preserve">    Play voiceover synced to sequence</t>
  </si>
  <si>
    <t xml:space="preserve">    QA + fix blockers</t>
  </si>
  <si>
    <t xml:space="preserve">    Subtitles production</t>
  </si>
  <si>
    <t xml:space="preserve">    Tool for designers</t>
  </si>
  <si>
    <t xml:space="preserve">    UI Design</t>
  </si>
  <si>
    <t xml:space="preserve">    VO production</t>
  </si>
  <si>
    <t xml:space="preserve">  Intro supports FMV</t>
  </si>
  <si>
    <t xml:space="preserve">    Create placeholder FMV playback flow</t>
  </si>
  <si>
    <t xml:space="preserve">    Create placeholder FMV playback flow and allow designers to set the FMV easily</t>
  </si>
  <si>
    <t xml:space="preserve">    FMV Production</t>
  </si>
  <si>
    <t xml:space="preserve">    Fix FMV blocker bugs</t>
  </si>
  <si>
    <t xml:space="preserve">    Implement FMV skip behavior</t>
  </si>
  <si>
    <t xml:space="preserve">    Implement transition after FMV</t>
  </si>
  <si>
    <t xml:space="preserve">    Implement transition after FMV - Fade in/Fade out system</t>
  </si>
  <si>
    <t xml:space="preserve">    Integrate final/near-final FMV asset</t>
  </si>
  <si>
    <t xml:space="preserve">    Narrative - Cinematic scripting</t>
  </si>
  <si>
    <t xml:space="preserve">    QA playback across target builds</t>
  </si>
  <si>
    <t xml:space="preserve">  Locomotion Integration</t>
  </si>
  <si>
    <t xml:space="preserve">    Double Jump</t>
  </si>
  <si>
    <t xml:space="preserve">    Iteration</t>
  </si>
  <si>
    <t xml:space="preserve">    Jump</t>
  </si>
  <si>
    <t xml:space="preserve">    Locomotion QA check</t>
  </si>
  <si>
    <t xml:space="preserve">    Run</t>
  </si>
  <si>
    <t xml:space="preserve">    Sprint</t>
  </si>
  <si>
    <t xml:space="preserve">    Walk</t>
  </si>
  <si>
    <t xml:space="preserve">  Manage player session</t>
  </si>
  <si>
    <t xml:space="preserve">    Create a session service</t>
  </si>
  <si>
    <t xml:space="preserve">    Record if player is online in redis</t>
  </si>
  <si>
    <t xml:space="preserve">  Model</t>
  </si>
  <si>
    <t xml:space="preserve">  Multiplayer enviromental puzzle design</t>
  </si>
  <si>
    <t xml:space="preserve">  Multiplayer enviromental puzzle integration</t>
  </si>
  <si>
    <t xml:space="preserve">    Make puzzle</t>
  </si>
  <si>
    <t xml:space="preserve">    Puzzles QA</t>
  </si>
  <si>
    <t xml:space="preserve">  Multiplayer enviromental puzzle layout</t>
  </si>
  <si>
    <t xml:space="preserve">  Multiplayer interactions (toasts)</t>
  </si>
  <si>
    <t xml:space="preserve">  NPC behaviour document</t>
  </si>
  <si>
    <t xml:space="preserve">  Narrative</t>
  </si>
  <si>
    <t xml:space="preserve">  PP Audio</t>
  </si>
  <si>
    <t xml:space="preserve">    Portal Peak QA</t>
  </si>
  <si>
    <t xml:space="preserve">  PP Blockout</t>
  </si>
  <si>
    <t xml:space="preserve">  PP Concept</t>
  </si>
  <si>
    <t xml:space="preserve">  PP Design</t>
  </si>
  <si>
    <t xml:space="preserve">  PP Foliage</t>
  </si>
  <si>
    <t xml:space="preserve">  PP Props Build</t>
  </si>
  <si>
    <t xml:space="preserve">  PP layout</t>
  </si>
  <si>
    <t xml:space="preserve">  Persistent leaderboards</t>
  </si>
  <si>
    <t xml:space="preserve">  Player can server travel between zones semlessly</t>
  </si>
  <si>
    <t xml:space="preserve">    For network engineer to figure out</t>
  </si>
  <si>
    <t xml:space="preserve">  Player can server travel between zones with loading screen</t>
  </si>
  <si>
    <t xml:space="preserve">    Pass entrance parameters from one server to another</t>
  </si>
  <si>
    <t xml:space="preserve">    Set entrace points on map</t>
  </si>
  <si>
    <t xml:space="preserve">    Set spawn position according to entrance paramters</t>
  </si>
  <si>
    <t xml:space="preserve">  Portal Dimension Audio</t>
  </si>
  <si>
    <t xml:space="preserve">  Portal Dimension Blockout</t>
  </si>
  <si>
    <t xml:space="preserve">  Portal Dimension Concept</t>
  </si>
  <si>
    <t xml:space="preserve">  Portal Dimension Design</t>
  </si>
  <si>
    <t xml:space="preserve">  Portal Dimension Foliage</t>
  </si>
  <si>
    <t xml:space="preserve">  Portal Dimension Props Build</t>
  </si>
  <si>
    <t xml:space="preserve">  Portal Dimension layout</t>
  </si>
  <si>
    <t xml:space="preserve">  Rigging</t>
  </si>
  <si>
    <t xml:space="preserve">  SFX</t>
  </si>
  <si>
    <t xml:space="preserve">    Carapax QA</t>
  </si>
  <si>
    <t xml:space="preserve">    Corrupted Enemies QA</t>
  </si>
  <si>
    <t xml:space="preserve">    Goblins QA</t>
  </si>
  <si>
    <t xml:space="preserve">    Skeletons QA</t>
  </si>
  <si>
    <t xml:space="preserve">    Slimes QA</t>
  </si>
  <si>
    <t xml:space="preserve">  Safety System</t>
  </si>
  <si>
    <t xml:space="preserve">  Shield</t>
  </si>
  <si>
    <t xml:space="preserve">    Shield Asset</t>
  </si>
  <si>
    <t xml:space="preserve">    Shield animations</t>
  </si>
  <si>
    <t xml:space="preserve">  Skeleton AI behaviour</t>
  </si>
  <si>
    <t xml:space="preserve">  Skeleton montages</t>
  </si>
  <si>
    <t xml:space="preserve">  Slimes AI behaviour</t>
  </si>
  <si>
    <t xml:space="preserve">  Starting Chest</t>
  </si>
  <si>
    <t xml:space="preserve">    Chest VFX</t>
  </si>
  <si>
    <t xml:space="preserve">    Chest animation</t>
  </si>
  <si>
    <t xml:space="preserve">    Chest concept</t>
  </si>
  <si>
    <t xml:space="preserve">    Chest model</t>
  </si>
  <si>
    <t xml:space="preserve">  Starting Sword</t>
  </si>
  <si>
    <t xml:space="preserve">    Sword VFX</t>
  </si>
  <si>
    <t xml:space="preserve">    Sword animations</t>
  </si>
  <si>
    <t xml:space="preserve">    Sword concept</t>
  </si>
  <si>
    <t xml:space="preserve">    Sword model</t>
  </si>
  <si>
    <t xml:space="preserve">  The Two Hills Audio</t>
  </si>
  <si>
    <t xml:space="preserve">    The Two Hills QA</t>
  </si>
  <si>
    <t xml:space="preserve">  The Two Hills Blockout</t>
  </si>
  <si>
    <t xml:space="preserve">  The Two Hills Concept</t>
  </si>
  <si>
    <t xml:space="preserve">  The Two Hills Design</t>
  </si>
  <si>
    <t xml:space="preserve">  The Two Hills Foliage</t>
  </si>
  <si>
    <t xml:space="preserve">  The Two Hills Props Build</t>
  </si>
  <si>
    <t xml:space="preserve">  The Two Hills layout</t>
  </si>
  <si>
    <t xml:space="preserve">  The game supports cutscenes</t>
  </si>
  <si>
    <t xml:space="preserve">    Basic cutscene sequencing (timeline)</t>
  </si>
  <si>
    <t xml:space="preserve">    Camera control during cutscene</t>
  </si>
  <si>
    <t xml:space="preserve">    Custom camera animations</t>
  </si>
  <si>
    <t xml:space="preserve">    Custom camera position and rotation</t>
  </si>
  <si>
    <t xml:space="preserve">    Cutscene skip functionality</t>
  </si>
  <si>
    <t xml:space="preserve">    Cutscene stability (QA &amp; fixes)</t>
  </si>
  <si>
    <t xml:space="preserve">    Cutscene trigger system</t>
  </si>
  <si>
    <t xml:space="preserve">    Dialogue playback (in-cutscene)</t>
  </si>
  <si>
    <t xml:space="preserve">    NPC/character sequencing</t>
  </si>
  <si>
    <t xml:space="preserve">    Player control lock/unlock</t>
  </si>
  <si>
    <t xml:space="preserve">    Stream camera position (world partition)</t>
  </si>
  <si>
    <t xml:space="preserve">    Transition in/out of cutscene</t>
  </si>
  <si>
    <t xml:space="preserve">  Timed Corruption</t>
  </si>
  <si>
    <t xml:space="preserve">    Replicate animation</t>
  </si>
  <si>
    <t xml:space="preserve">    Timed Corruption 3D Assets</t>
  </si>
  <si>
    <t xml:space="preserve">    Timed Corruption Design</t>
  </si>
  <si>
    <t xml:space="preserve">    Timed Corruption Integration</t>
  </si>
  <si>
    <t xml:space="preserve">    Timed Corruption QA</t>
  </si>
  <si>
    <t xml:space="preserve">    Timed Corruption SFX</t>
  </si>
  <si>
    <t xml:space="preserve">    Timed Corruption Server &amp; Multiplayer</t>
  </si>
  <si>
    <t xml:space="preserve">    Timed Corruption TechArt</t>
  </si>
  <si>
    <t xml:space="preserve">    Timed Corruption VFX</t>
  </si>
  <si>
    <t xml:space="preserve">    Timer to revert bridge to broken state</t>
  </si>
  <si>
    <t xml:space="preserve">    Toggle path once puzzle is completed to allow or disallow player from crossing the bridge by replicating collision</t>
  </si>
  <si>
    <t xml:space="preserve">    Trigger VFX when effect is completed</t>
  </si>
  <si>
    <t xml:space="preserve">    Trigger building the bridge</t>
  </si>
  <si>
    <t xml:space="preserve">  VFX</t>
  </si>
  <si>
    <t xml:space="preserve">    Wolves QA</t>
  </si>
  <si>
    <t xml:space="preserve">  Waterfall Beauty Spot Audio</t>
  </si>
  <si>
    <t xml:space="preserve">    Waterfall Spot QA</t>
  </si>
  <si>
    <t xml:space="preserve">  Waterfall Beauty Spot Blockout</t>
  </si>
  <si>
    <t xml:space="preserve">  Waterfall Beauty Spot Concept</t>
  </si>
  <si>
    <t xml:space="preserve">  Waterfall Beauty Spot Design</t>
  </si>
  <si>
    <t xml:space="preserve">  Waterfall Beauty Spot Foliage</t>
  </si>
  <si>
    <t xml:space="preserve">  Waterfall Beauty Spot Props Build</t>
  </si>
  <si>
    <t xml:space="preserve">  Waterfall Beauty Spot layout</t>
  </si>
  <si>
    <t xml:space="preserve">  When the player login he should be in the same last spot he logged out (player data service)</t>
  </si>
  <si>
    <t xml:space="preserve">    Conect to last server player left from</t>
  </si>
  <si>
    <t xml:space="preserve">    Create an endpoint to fetch player position, rotation and IP address</t>
  </si>
  <si>
    <t xml:space="preserve">    Create an endpoint to store player X, Y, Z corrdinates and rotation and server ip address</t>
  </si>
  <si>
    <t xml:space="preserve">    Create unit test for update and fetch endpoint</t>
  </si>
  <si>
    <t xml:space="preserve">    List of servers and their ip address</t>
  </si>
  <si>
    <t xml:space="preserve">    Save player position and rotation and ip every X seconds on server, so if the server crashes we can retrieve this information later</t>
  </si>
  <si>
    <t xml:space="preserve">    Set player position, rotation, when spawning player</t>
  </si>
  <si>
    <t xml:space="preserve">  Wolf AI behaviour</t>
  </si>
  <si>
    <t xml:space="preserve">  Wolf montages</t>
  </si>
  <si>
    <t xml:space="preserve">  Wolfy noises</t>
  </si>
  <si>
    <t>Combat</t>
  </si>
  <si>
    <t>Melee Combat Framework</t>
  </si>
  <si>
    <t>Ranged (Corruption Gun)</t>
  </si>
  <si>
    <t>Combat abilities</t>
  </si>
  <si>
    <t>Basic Magic system</t>
  </si>
  <si>
    <t>Consumables</t>
  </si>
  <si>
    <t>PVP Combat</t>
  </si>
  <si>
    <t>Combat director</t>
  </si>
  <si>
    <t>Combat component</t>
  </si>
  <si>
    <t xml:space="preserve">  Abilities Design</t>
  </si>
  <si>
    <t xml:space="preserve">    4 Abilities designed (2 weapons)</t>
  </si>
  <si>
    <t xml:space="preserve">    Weapon attribute system</t>
  </si>
  <si>
    <t xml:space="preserve">  Aim offset implementation</t>
  </si>
  <si>
    <t xml:space="preserve">  Aimed offsets</t>
  </si>
  <si>
    <t xml:space="preserve">  Area implementation</t>
  </si>
  <si>
    <t xml:space="preserve">    Create UI/UX</t>
  </si>
  <si>
    <t xml:space="preserve">    Create fight timer and declare draw</t>
  </si>
  <si>
    <t xml:space="preserve">    Implement player prediction algorithm for networking</t>
  </si>
  <si>
    <t xml:space="preserve">    Kick players that are in the area who are not fighting when you and someone else decide to start a fight</t>
  </si>
  <si>
    <t xml:space="preserve">    PVP Combat support</t>
  </si>
  <si>
    <t xml:space="preserve">    PVP area blocks player from entering and leaving</t>
  </si>
  <si>
    <t xml:space="preserve">    PVP only available in Arena</t>
  </si>
  <si>
    <t xml:space="preserve">    Reward player who won and display a message to the loser</t>
  </si>
  <si>
    <t xml:space="preserve">    Show damage numbers between players on hit</t>
  </si>
  <si>
    <t xml:space="preserve">    Show other player HP in area fight</t>
  </si>
  <si>
    <t xml:space="preserve">    Sign up for arena fight actor</t>
  </si>
  <si>
    <t xml:space="preserve">    declare player who is connected as winner</t>
  </si>
  <si>
    <t xml:space="preserve">  Attacks Design Doc - per weapon (Combo + off-hand attacks)</t>
  </si>
  <si>
    <t xml:space="preserve">  Check the health potion usage</t>
  </si>
  <si>
    <t xml:space="preserve">  Combat Abilities SFX</t>
  </si>
  <si>
    <t xml:space="preserve">  Combat Abilities UI</t>
  </si>
  <si>
    <t xml:space="preserve">  Combat Abilities integrated with skill path</t>
  </si>
  <si>
    <t xml:space="preserve">  Combat Animations</t>
  </si>
  <si>
    <t xml:space="preserve">  Combat Design</t>
  </si>
  <si>
    <t xml:space="preserve">  Combat Montages</t>
  </si>
  <si>
    <t xml:space="preserve">  Combat SFX</t>
  </si>
  <si>
    <t xml:space="preserve">  Combat Tech anim?</t>
  </si>
  <si>
    <t xml:space="preserve">  Combat VFX</t>
  </si>
  <si>
    <t xml:space="preserve">    Melee Combat QA</t>
  </si>
  <si>
    <t xml:space="preserve">  Combat abilities casting animations</t>
  </si>
  <si>
    <t xml:space="preserve">    Combat Abilities QA</t>
  </si>
  <si>
    <t xml:space="preserve">  Combat integration</t>
  </si>
  <si>
    <t xml:space="preserve">  Death sequance system</t>
  </si>
  <si>
    <t xml:space="preserve">  Dual Wielding Ranged</t>
  </si>
  <si>
    <t xml:space="preserve">  Ensure combat system works</t>
  </si>
  <si>
    <t xml:space="preserve">  HUD Combat Abilities UI</t>
  </si>
  <si>
    <t xml:space="preserve">    HUD design</t>
  </si>
  <si>
    <t xml:space="preserve">  Impelment all ai decision</t>
  </si>
  <si>
    <t xml:space="preserve">    AI vs AI</t>
  </si>
  <si>
    <t xml:space="preserve">    Distance based agro</t>
  </si>
  <si>
    <t xml:space="preserve">    Execution check</t>
  </si>
  <si>
    <t xml:space="preserve">    Health based agro</t>
  </si>
  <si>
    <t xml:space="preserve">    Player feedback</t>
  </si>
  <si>
    <t xml:space="preserve">    Pressure based agro</t>
  </si>
  <si>
    <t xml:space="preserve">    Reflex check</t>
  </si>
  <si>
    <t xml:space="preserve">    Safety check</t>
  </si>
  <si>
    <t xml:space="preserve">    Scaling</t>
  </si>
  <si>
    <t xml:space="preserve">    Social check</t>
  </si>
  <si>
    <t xml:space="preserve">    Survival check</t>
  </si>
  <si>
    <t xml:space="preserve">    Utility managment</t>
  </si>
  <si>
    <t xml:space="preserve">    attack abilities (attack etc...)</t>
  </si>
  <si>
    <t xml:space="preserve">    decision tick</t>
  </si>
  <si>
    <t xml:space="preserve">    different types of movements</t>
  </si>
  <si>
    <t xml:space="preserve">    utility abilities (healthing etc...)</t>
  </si>
  <si>
    <t xml:space="preserve">  Integrate abilities with skill path</t>
  </si>
  <si>
    <t xml:space="preserve">  Magic SFX</t>
  </si>
  <si>
    <t xml:space="preserve">  Magic UI (1 skill tree mapped out)</t>
  </si>
  <si>
    <t xml:space="preserve">  Magic VFX</t>
  </si>
  <si>
    <t xml:space="preserve">    Magic QA</t>
  </si>
  <si>
    <t xml:space="preserve">  Magic Weapon (e.g. wand)</t>
  </si>
  <si>
    <t xml:space="preserve">    Weapon</t>
  </si>
  <si>
    <t xml:space="preserve">  Magic casting animations</t>
  </si>
  <si>
    <t xml:space="preserve">  Magic implementation</t>
  </si>
  <si>
    <t xml:space="preserve">  Magic system design (3-4 spells)</t>
  </si>
  <si>
    <t xml:space="preserve">  Magic system design (5 spells)</t>
  </si>
  <si>
    <t xml:space="preserve">  Make the abilities</t>
  </si>
  <si>
    <t xml:space="preserve">  PVP Arena Audio</t>
  </si>
  <si>
    <t xml:space="preserve">    PVP combat QA</t>
  </si>
  <si>
    <t xml:space="preserve">  PVP Arena Design</t>
  </si>
  <si>
    <t xml:space="preserve">  PVP Arena Foliage</t>
  </si>
  <si>
    <t xml:space="preserve">  PVP Arena blockout</t>
  </si>
  <si>
    <t xml:space="preserve">  PVP Arena concept</t>
  </si>
  <si>
    <t xml:space="preserve">  PVP Arena props</t>
  </si>
  <si>
    <t xml:space="preserve">  PVP Arena set dressing</t>
  </si>
  <si>
    <t xml:space="preserve">  PVP Combat Setup</t>
  </si>
  <si>
    <t xml:space="preserve">  PVP Combat design</t>
  </si>
  <si>
    <t xml:space="preserve">  PVP Combat support</t>
  </si>
  <si>
    <t xml:space="preserve">  PVP only available in Arena</t>
  </si>
  <si>
    <t xml:space="preserve">  Player should be able to drink a potion</t>
  </si>
  <si>
    <t xml:space="preserve">    Implement drinking animation</t>
  </si>
  <si>
    <t xml:space="preserve">  Ranged Attributes</t>
  </si>
  <si>
    <t xml:space="preserve">  Review the combat with networking engineer</t>
  </si>
  <si>
    <t xml:space="preserve">  Weapon Attributes (per weapon)</t>
  </si>
  <si>
    <t xml:space="preserve">  Weapon spesific hand poses</t>
  </si>
  <si>
    <t xml:space="preserve">  Weapons models</t>
  </si>
  <si>
    <t xml:space="preserve">  equipd wand</t>
  </si>
  <si>
    <t xml:space="preserve">  make wand abilities 4</t>
  </si>
  <si>
    <t xml:space="preserve">  make wand an item type</t>
  </si>
  <si>
    <t xml:space="preserve">  wand skill tree</t>
  </si>
  <si>
    <t>User Space</t>
  </si>
  <si>
    <t>User Space Server &amp; Instance</t>
  </si>
  <si>
    <t>T2: GDD/TDD/Brief</t>
  </si>
  <si>
    <t xml:space="preserve">    Drinking design</t>
  </si>
  <si>
    <t xml:space="preserve">    Drunken UI</t>
  </si>
  <si>
    <t xml:space="preserve">    FTUE Design</t>
  </si>
  <si>
    <t xml:space="preserve">    FTUE UI</t>
  </si>
  <si>
    <t xml:space="preserve">    Mutual Activity Design</t>
  </si>
  <si>
    <t xml:space="preserve">    Mutual Activity UI</t>
  </si>
  <si>
    <t xml:space="preserve">    User Space Editor audio</t>
  </si>
  <si>
    <t xml:space="preserve">  User Space Ambience</t>
  </si>
  <si>
    <t xml:space="preserve">    Island ambient audio</t>
  </si>
  <si>
    <t xml:space="preserve">    Item SFX</t>
  </si>
  <si>
    <t xml:space="preserve">  User Space editor &amp; UI</t>
  </si>
  <si>
    <t xml:space="preserve">    Implement interaction animation with userspace items (snap)</t>
  </si>
  <si>
    <t xml:space="preserve">    Setup animation for userspace editing tool</t>
  </si>
  <si>
    <t xml:space="preserve">  User Space editor VFX</t>
  </si>
  <si>
    <t xml:space="preserve">    User Space functionality QA</t>
  </si>
  <si>
    <t xml:space="preserve">  User Space is a separate instance</t>
  </si>
  <si>
    <t xml:space="preserve">    DevOps</t>
  </si>
  <si>
    <t xml:space="preserve">    Edit mode improvmeents</t>
  </si>
  <si>
    <t xml:space="preserve">    Enable fishing in userspace</t>
  </si>
  <si>
    <t xml:space="preserve">    Fetch userspace furniture from backend</t>
  </si>
  <si>
    <t xml:space="preserve">    Figure out friend ip address to join his server when invited</t>
  </si>
  <si>
    <t xml:space="preserve">    Host permissions</t>
  </si>
  <si>
    <t xml:space="preserve">    IP address list service</t>
  </si>
  <si>
    <t xml:space="preserve">    Load userspace from save data</t>
  </si>
  <si>
    <t xml:space="preserve">    Multiple players join one server and only show what is relevent to current player</t>
  </si>
  <si>
    <t xml:space="preserve">    Player joining friends userspace</t>
  </si>
  <si>
    <t xml:space="preserve">    Save userspace furniture location in userspace</t>
  </si>
  <si>
    <t xml:space="preserve">    Update userspace furniture and tell that to all players</t>
  </si>
  <si>
    <t>User Space Decoration</t>
  </si>
  <si>
    <t xml:space="preserve">  User Space House concept</t>
  </si>
  <si>
    <t xml:space="preserve">  User Space House model</t>
  </si>
  <si>
    <t xml:space="preserve">  User Space furniture props</t>
  </si>
  <si>
    <t>Anywhere door placement</t>
  </si>
  <si>
    <t>User Space Island (S)</t>
  </si>
  <si>
    <t>Pets (mechanical parrot reuse)</t>
  </si>
  <si>
    <t>Fishing</t>
  </si>
  <si>
    <t xml:space="preserve">  Create an ability to place anywhere door in the world</t>
  </si>
  <si>
    <t xml:space="preserve">  Create anywhere door as item in backend service.</t>
  </si>
  <si>
    <t xml:space="preserve">  Create anywhere door as item.</t>
  </si>
  <si>
    <t xml:space="preserve">  Create endpoint to update the position, rotation and zone name of MULTIPLE anywhere door in backend (player data service)</t>
  </si>
  <si>
    <t xml:space="preserve">  Create fetech anywhere door endpoint (player data service)</t>
  </si>
  <si>
    <t xml:space="preserve">  Fish model</t>
  </si>
  <si>
    <t xml:space="preserve">  Fishing Integration</t>
  </si>
  <si>
    <t xml:space="preserve">  Fishing Rod model</t>
  </si>
  <si>
    <t xml:space="preserve">  Fishing Spot SFX</t>
  </si>
  <si>
    <t xml:space="preserve">  Fishing Spot VFX</t>
  </si>
  <si>
    <t xml:space="preserve">    Fishing QA</t>
  </si>
  <si>
    <t xml:space="preserve">  Fishing UI</t>
  </si>
  <si>
    <t xml:space="preserve">  Fishing VFX</t>
  </si>
  <si>
    <t xml:space="preserve">  Fishing spot sign model</t>
  </si>
  <si>
    <t xml:space="preserve">  Make anywhere door as an actor</t>
  </si>
  <si>
    <t xml:space="preserve">  Make spesific regions where anywhere door can be placed</t>
  </si>
  <si>
    <t xml:space="preserve">    Anywhere Door QA</t>
  </si>
  <si>
    <t xml:space="preserve">  Pet VFX</t>
  </si>
  <si>
    <t xml:space="preserve">  Pet animation grpah setup</t>
  </si>
  <si>
    <t xml:space="preserve">    Pet QA</t>
  </si>
  <si>
    <t xml:space="preserve">  Pet animations</t>
  </si>
  <si>
    <t xml:space="preserve">  Pet behavior</t>
  </si>
  <si>
    <t xml:space="preserve">  Pet concepts</t>
  </si>
  <si>
    <t xml:space="preserve">  Pet integration</t>
  </si>
  <si>
    <t xml:space="preserve">  Pet maya rig setup</t>
  </si>
  <si>
    <t xml:space="preserve">  Pet model</t>
  </si>
  <si>
    <t xml:space="preserve">  Pet system design</t>
  </si>
  <si>
    <t xml:space="preserve">  Remove anywhere door</t>
  </si>
  <si>
    <t xml:space="preserve">  Review fishing code</t>
  </si>
  <si>
    <t xml:space="preserve">  Review pet system code</t>
  </si>
  <si>
    <t xml:space="preserve">  Show anywhere door on compass</t>
  </si>
  <si>
    <t xml:space="preserve">  Show anywhere door on map</t>
  </si>
  <si>
    <t xml:space="preserve">  Show anywhere door on minimap</t>
  </si>
  <si>
    <t xml:space="preserve">  Show if the anywhere door is placed or not placed to remove it if needed</t>
  </si>
  <si>
    <t xml:space="preserve">  Teleport pet to player when pet is stuck</t>
  </si>
  <si>
    <t xml:space="preserve">  Update anywhere door position, rotation, zone name after fethcing anywhere door info from (player data serivce)</t>
  </si>
  <si>
    <t xml:space="preserve">  User Space GDD VS page</t>
  </si>
  <si>
    <t xml:space="preserve">  User Space location blockout</t>
  </si>
  <si>
    <t xml:space="preserve">  User Space location concepts</t>
  </si>
  <si>
    <t xml:space="preserve">  User Space location foliage</t>
  </si>
  <si>
    <t xml:space="preserve">    User Space visuals QA</t>
  </si>
  <si>
    <t xml:space="preserve">  User Space location props</t>
  </si>
  <si>
    <t xml:space="preserve">  User Space location set dressing</t>
  </si>
  <si>
    <t xml:space="preserve">  User space door can be placed at predefined spots</t>
  </si>
  <si>
    <t xml:space="preserve">  fetch anywhere door info from backend service and place it in the world</t>
  </si>
  <si>
    <t>Items &amp; Inventory</t>
  </si>
  <si>
    <t>Sync hotbar to db</t>
  </si>
  <si>
    <t xml:space="preserve">  The player should be able to login into the game and have all his abilties and items stored where he left them on the hotbar</t>
  </si>
  <si>
    <t xml:space="preserve">    Create an endpoint to euip items</t>
  </si>
  <si>
    <t xml:space="preserve">    Create an endpoint to fetch abilities internal dashboard</t>
  </si>
  <si>
    <t xml:space="preserve">    Create an endpoint to fetch equiped items</t>
  </si>
  <si>
    <t xml:space="preserve">    Create an endpoint to remove ability internal dashboard</t>
  </si>
  <si>
    <t xml:space="preserve">    Create an endpoint to store abilities in internal dashboard</t>
  </si>
  <si>
    <t xml:space="preserve">    Create endpoint to fetch hotbar items and abilities</t>
  </si>
  <si>
    <t xml:space="preserve">    Create unit test for updating, fetching</t>
  </si>
  <si>
    <t xml:space="preserve">    Fetch and set equiped items</t>
  </si>
  <si>
    <t xml:space="preserve">    Get hotbar item and abiltitie positions and set them</t>
  </si>
  <si>
    <t xml:space="preserve">    Send an HTTP reuqest only after 2 seconds after not moving any items or abilities in hotbar</t>
  </si>
  <si>
    <t xml:space="preserve">    an endpoint to all items equiped (batch requests only send what changed)</t>
  </si>
  <si>
    <t xml:space="preserve">    an endpoint to update all item and abilities position in the hotbar (batch requests only send what changed)</t>
  </si>
  <si>
    <t>Player Economy</t>
  </si>
  <si>
    <t>Trading System</t>
  </si>
  <si>
    <t xml:space="preserve">    Clothing Shop Basic Contents</t>
  </si>
  <si>
    <t xml:space="preserve">    Shop Fake Fascia Design</t>
  </si>
  <si>
    <t xml:space="preserve">  Currency Integration</t>
  </si>
  <si>
    <t xml:space="preserve">  P2G Transactions Support</t>
  </si>
  <si>
    <t xml:space="preserve">    Trading System QA</t>
  </si>
  <si>
    <t xml:space="preserve">  Premium currency icon</t>
  </si>
  <si>
    <t xml:space="preserve">  Shop props</t>
  </si>
  <si>
    <t xml:space="preserve">  Shops Concepts</t>
  </si>
  <si>
    <t xml:space="preserve">  Shops Models &amp; Set dressing</t>
  </si>
  <si>
    <t xml:space="preserve">  Soft Currency (gold) icon</t>
  </si>
  <si>
    <t xml:space="preserve">  Trading UX/UI</t>
  </si>
  <si>
    <t xml:space="preserve">  Vendor backend support</t>
  </si>
  <si>
    <t xml:space="preserve">    Create a list of sold items (redis / server) ??? fetch, create buyback endpoint, update endpoint, pipeline</t>
  </si>
  <si>
    <t xml:space="preserve">    Create buy endpoint</t>
  </si>
  <si>
    <t xml:space="preserve">    Create fresh cron job to refresh item stacks for vendors (internal dashboard managment service)</t>
  </si>
  <si>
    <t xml:space="preserve">    Create sell endpoint</t>
  </si>
  <si>
    <t xml:space="preserve">    Create vendor collection ( internal dashboard managment service)</t>
  </si>
  <si>
    <t xml:space="preserve">    Fetch a list of sold items</t>
  </si>
  <si>
    <t xml:space="preserve">    Fetch vendor collection (internal dashboard managment service)</t>
  </si>
  <si>
    <t xml:space="preserve">    Release vendor in game from tempate to release</t>
  </si>
  <si>
    <t xml:space="preserve">    Update NPC tool to match vendor in unreal engine</t>
  </si>
  <si>
    <t xml:space="preserve">    Update UI</t>
  </si>
  <si>
    <t xml:space="preserve">    Update vendor collection ( internal dashboard managment service)</t>
  </si>
  <si>
    <t xml:space="preserve">    Use buy endpoint</t>
  </si>
  <si>
    <t xml:space="preserve">    Use sell endpoint</t>
  </si>
  <si>
    <t xml:space="preserve">    delete items and vendor (internal dashboard managment service)</t>
  </si>
  <si>
    <t xml:space="preserve">    fetch last 20 items sold, buyback item, Create buyback functionality</t>
  </si>
  <si>
    <t xml:space="preserve">  Vendors Concepts</t>
  </si>
  <si>
    <t xml:space="preserve">  Vendors Models</t>
  </si>
  <si>
    <t xml:space="preserve">  Vendors animation</t>
  </si>
  <si>
    <t>Auction House economy</t>
  </si>
  <si>
    <t>In-game economy</t>
  </si>
  <si>
    <t xml:space="preserve">  Basic Economy configuration</t>
  </si>
  <si>
    <t xml:space="preserve">    In-game economy QA check</t>
  </si>
  <si>
    <t>Quest System</t>
  </si>
  <si>
    <t>Various Quest Types Support</t>
  </si>
  <si>
    <t>Quest Integration</t>
  </si>
  <si>
    <t>Quest Tools</t>
  </si>
  <si>
    <t>Quest Rewards System</t>
  </si>
  <si>
    <t>Main Questline: Critical Path</t>
  </si>
  <si>
    <t xml:space="preserve">    Quest UI Audio</t>
  </si>
  <si>
    <t xml:space="preserve">  Arena Fight</t>
  </si>
  <si>
    <t xml:space="preserve">    Docs, Implement, Revise</t>
  </si>
  <si>
    <t xml:space="preserve">  Cave Intro Quest</t>
  </si>
  <si>
    <t xml:space="preserve">    Quest Design Doc</t>
  </si>
  <si>
    <t xml:space="preserve">    Quest Implementation</t>
  </si>
  <si>
    <t xml:space="preserve">    Quest Narrative Doc</t>
  </si>
  <si>
    <t xml:space="preserve">    Quest Playtesting &amp; Revision</t>
  </si>
  <si>
    <t xml:space="preserve">  Complete PG &amp; Last Boss Quest</t>
  </si>
  <si>
    <t xml:space="preserve">  Corruption Tower &amp; Glide Quest</t>
  </si>
  <si>
    <t xml:space="preserve">  Design interface for quest types</t>
  </si>
  <si>
    <t xml:space="preserve">  Dialogue System</t>
  </si>
  <si>
    <t xml:space="preserve">  Dialogue System Design</t>
  </si>
  <si>
    <t xml:space="preserve">  Dialogue UI</t>
  </si>
  <si>
    <t xml:space="preserve">  Downtime Race Quest</t>
  </si>
  <si>
    <t xml:space="preserve">  Gear Up &amp; User Space Quest</t>
  </si>
  <si>
    <t xml:space="preserve">  Green Faction Hill Quest</t>
  </si>
  <si>
    <t xml:space="preserve">  Green Faction NPC Concepts</t>
  </si>
  <si>
    <t xml:space="preserve">  Green Faction NPC Models</t>
  </si>
  <si>
    <t xml:space="preserve">  Green Faction NPC animations</t>
  </si>
  <si>
    <t xml:space="preserve">  Green Faction NPC dialogue setup</t>
  </si>
  <si>
    <t xml:space="preserve">  Green Faction NPCs placement</t>
  </si>
  <si>
    <t xml:space="preserve">  Lockpicking</t>
  </si>
  <si>
    <t xml:space="preserve">    Check if lockpicking solution is correct</t>
  </si>
  <si>
    <t xml:space="preserve">    Create a system to modify ball proaprties while traveling</t>
  </si>
  <si>
    <t xml:space="preserve">    Create an actor with a grid for all tiles</t>
  </si>
  <si>
    <t xml:space="preserve">    Create ball entity actor to compelete the game</t>
  </si>
  <si>
    <t xml:space="preserve">    Create data asset</t>
  </si>
  <si>
    <t xml:space="preserve">    Create magnatic enitity actor</t>
  </si>
  <si>
    <t xml:space="preserve">    Create pipe entity actor</t>
  </si>
  <si>
    <t xml:space="preserve">    Implement VFX and SFX</t>
  </si>
  <si>
    <t xml:space="preserve">    Lockpicking Concept</t>
  </si>
  <si>
    <t xml:space="preserve">    Lockpicking Integration</t>
  </si>
  <si>
    <t xml:space="preserve">    Lockpicking QA check</t>
  </si>
  <si>
    <t xml:space="preserve">    Lockpicking Techart</t>
  </si>
  <si>
    <t xml:space="preserve">    Lockpicking UI</t>
  </si>
  <si>
    <t xml:space="preserve">    SFX</t>
  </si>
  <si>
    <t xml:space="preserve">    Start and end condition</t>
  </si>
  <si>
    <t xml:space="preserve">    VFX</t>
  </si>
  <si>
    <t xml:space="preserve">  Other quest types support?</t>
  </si>
  <si>
    <t xml:space="preserve">    Create quest system backend service</t>
  </si>
  <si>
    <t xml:space="preserve">    Create quest tool</t>
  </si>
  <si>
    <t xml:space="preserve">  Party Up &amp; MP Dungeon Quest</t>
  </si>
  <si>
    <t xml:space="preserve">  Quest Editor</t>
  </si>
  <si>
    <t xml:space="preserve">  Quest Flow Design &amp; Narrative Overview</t>
  </si>
  <si>
    <t xml:space="preserve">  Quest Log</t>
  </si>
  <si>
    <t xml:space="preserve">    Make quest system</t>
  </si>
  <si>
    <t xml:space="preserve">    Quest Log QA</t>
  </si>
  <si>
    <t xml:space="preserve">  Quest Reward List</t>
  </si>
  <si>
    <t xml:space="preserve">  Quest Reward System design doc</t>
  </si>
  <si>
    <t xml:space="preserve">  Quest Reward UI</t>
  </si>
  <si>
    <t xml:space="preserve">  Rewards Choice</t>
  </si>
  <si>
    <t xml:space="preserve">    Quest Rewards QA</t>
  </si>
  <si>
    <t xml:space="preserve">  Social Hub &amp; Partnership Quest</t>
  </si>
  <si>
    <t xml:space="preserve">  Tutorial Quest Chain Configuration &amp; Setup</t>
  </si>
  <si>
    <t xml:space="preserve">  Weapon Upgrade Quest</t>
  </si>
  <si>
    <t xml:space="preserve">  Xyron narrative</t>
  </si>
  <si>
    <t>Social &amp; Multiplayer</t>
  </si>
  <si>
    <t>In-game Mail</t>
  </si>
  <si>
    <t>S</t>
  </si>
  <si>
    <t xml:space="preserve">  Claim currancy and increase ingame gold</t>
  </si>
  <si>
    <t xml:space="preserve">  Claim items from mail</t>
  </si>
  <si>
    <t xml:space="preserve">  Delete mail</t>
  </si>
  <si>
    <t xml:space="preserve">  In-game Mail backend</t>
  </si>
  <si>
    <t xml:space="preserve">  In-game Mail frontend/UI</t>
  </si>
  <si>
    <t xml:space="preserve">    Mail QA</t>
  </si>
  <si>
    <t xml:space="preserve">    Mail UI Audio</t>
  </si>
  <si>
    <t xml:space="preserve">  In-game UI</t>
  </si>
  <si>
    <t xml:space="preserve">  Mark mail as read</t>
  </si>
  <si>
    <t xml:space="preserve">  Postbox Concept</t>
  </si>
  <si>
    <t xml:space="preserve">  Postbox Model</t>
  </si>
  <si>
    <t xml:space="preserve">  Postbox SFX</t>
  </si>
  <si>
    <t xml:space="preserve">  Postbox VFX</t>
  </si>
  <si>
    <t xml:space="preserve">  Restore trash mail</t>
  </si>
  <si>
    <t xml:space="preserve">  Send mail from one player to another with items</t>
  </si>
  <si>
    <t xml:space="preserve">    Create mail SFX</t>
  </si>
  <si>
    <t xml:space="preserve">    Create mail UI/UX</t>
  </si>
  <si>
    <t xml:space="preserve">    Create new mail model</t>
  </si>
  <si>
    <t>Guilds (S)</t>
  </si>
  <si>
    <t>Co-op - Party</t>
  </si>
  <si>
    <t>Loot Distribution</t>
  </si>
  <si>
    <t>Leaderboard system</t>
  </si>
  <si>
    <t>Chat system</t>
  </si>
  <si>
    <t>Dungeon finder</t>
  </si>
  <si>
    <t>Party system</t>
  </si>
  <si>
    <t xml:space="preserve">  As a player if I play a mini game the leaderboard should update with my score</t>
  </si>
  <si>
    <t xml:space="preserve">    Create UI for leaderboard in (internal dashboard)</t>
  </si>
  <si>
    <t xml:space="preserve">    Create a leaderboard in dashboard (internal dashboard)</t>
  </si>
  <si>
    <t xml:space="preserve">    Create leaderboard collection</t>
  </si>
  <si>
    <t xml:space="preserve">    Delete a leaderboard from dashboard (internal dashboard)</t>
  </si>
  <si>
    <t xml:space="preserve">    Delete an entry from the leaderboard from dashboard (internal dashboard)</t>
  </si>
  <si>
    <t xml:space="preserve">    Fetch all leaderboards (internal dashboard)</t>
  </si>
  <si>
    <t xml:space="preserve">    Fetch leaderboard from (social service)</t>
  </si>
  <si>
    <t xml:space="preserve">    Fetch leaderboard in unreal</t>
  </si>
  <si>
    <t xml:space="preserve">    Update leaderboard from (social service)</t>
  </si>
  <si>
    <t xml:space="preserve">    Update leaderboard in unreal</t>
  </si>
  <si>
    <t xml:space="preserve">  As a player queue up for dungeon</t>
  </si>
  <si>
    <t xml:space="preserve">    Add player to dungeon finder list</t>
  </si>
  <si>
    <t xml:space="preserve">    Connect dungeons to UI</t>
  </si>
  <si>
    <t xml:space="preserve">    Connect to redis</t>
  </si>
  <si>
    <t xml:space="preserve">    Create Dungeon finder UI/UX</t>
  </si>
  <si>
    <t xml:space="preserve">    Create dungeon finder service</t>
  </si>
  <si>
    <t xml:space="preserve">    Create pipeline and deploy</t>
  </si>
  <si>
    <t xml:space="preserve">    Fetch a list of players queued up for dungeon by dungon id</t>
  </si>
  <si>
    <t xml:space="preserve">    Get player status in dungeon finder</t>
  </si>
  <si>
    <t xml:space="preserve">    Invite player to party</t>
  </si>
  <si>
    <t xml:space="preserve">    Queue group for dungeon</t>
  </si>
  <si>
    <t xml:space="preserve">    Remove party from queue after party is full</t>
  </si>
  <si>
    <t xml:space="preserve">    Remove player from dungeon queue</t>
  </si>
  <si>
    <t xml:space="preserve">    Send player status in dungeon finder</t>
  </si>
  <si>
    <t xml:space="preserve">    Send request to add player to dungeon</t>
  </si>
  <si>
    <t xml:space="preserve">    Send request to fetch player from dungeon</t>
  </si>
  <si>
    <t xml:space="preserve">    Send request to remove player from dungeon</t>
  </si>
  <si>
    <t xml:space="preserve">  Chat UI</t>
  </si>
  <si>
    <t xml:space="preserve">    Auto scroll incomming chat messages</t>
  </si>
  <si>
    <t xml:space="preserve">    Different colours for different type of message</t>
  </si>
  <si>
    <t xml:space="preserve">  Chat spam filter</t>
  </si>
  <si>
    <t xml:space="preserve">    Create a system to rate limit messages</t>
  </si>
  <si>
    <t xml:space="preserve">  Chat text limit</t>
  </si>
  <si>
    <t xml:space="preserve">    Create a system to limit the amount of text sent</t>
  </si>
  <si>
    <t xml:space="preserve">  Connect Guild UI</t>
  </si>
  <si>
    <t xml:space="preserve">  Create party puzzle</t>
  </si>
  <si>
    <t xml:space="preserve">    Make a puzzle</t>
  </si>
  <si>
    <t xml:space="preserve">    Party QA</t>
  </si>
  <si>
    <t xml:space="preserve">  General systems</t>
  </si>
  <si>
    <t xml:space="preserve">    Create a custom protocol using TCP</t>
  </si>
  <si>
    <t xml:space="preserve">    Create a heartbeat system</t>
  </si>
  <si>
    <t xml:space="preserve">    Create a list of users info such as server ip and usernames</t>
  </si>
  <si>
    <t xml:space="preserve">    Create a multithreaded system</t>
  </si>
  <si>
    <t xml:space="preserve">    Create a packet system</t>
  </si>
  <si>
    <t xml:space="preserve">    Create a serialization/deserialization system</t>
  </si>
  <si>
    <t xml:space="preserve">    Create chat service in go</t>
  </si>
  <si>
    <t xml:space="preserve">  Guild NPCs</t>
  </si>
  <si>
    <t xml:space="preserve">    Guild house blockout</t>
  </si>
  <si>
    <t xml:space="preserve">    Sitting NPCs</t>
  </si>
  <si>
    <t xml:space="preserve">  Guild UI</t>
  </si>
  <si>
    <t xml:space="preserve">  Guild chat</t>
  </si>
  <si>
    <t xml:space="preserve">    Guild Chat design</t>
  </si>
  <si>
    <t xml:space="preserve">    Guild QA</t>
  </si>
  <si>
    <t xml:space="preserve">    Send a message to your guild</t>
  </si>
  <si>
    <t xml:space="preserve">  Guild house</t>
  </si>
  <si>
    <t xml:space="preserve">    Guild house entry</t>
  </si>
  <si>
    <t xml:space="preserve">    Guild house leave</t>
  </si>
  <si>
    <t xml:space="preserve">    Guild house server</t>
  </si>
  <si>
    <t xml:space="preserve">  Guild house TV + video</t>
  </si>
  <si>
    <t xml:space="preserve">  Guild house concept</t>
  </si>
  <si>
    <t xml:space="preserve">  Guild house is an instance</t>
  </si>
  <si>
    <t xml:space="preserve">  Guild house model</t>
  </si>
  <si>
    <t xml:space="preserve">  Guild house props</t>
  </si>
  <si>
    <t xml:space="preserve">  Guilds system design</t>
  </si>
  <si>
    <t xml:space="preserve">  Loot distribution design</t>
  </si>
  <si>
    <t xml:space="preserve">  Loot is distributed after the raid</t>
  </si>
  <si>
    <t xml:space="preserve">    Create a new loot table in tool</t>
  </si>
  <si>
    <t xml:space="preserve">    Create a system for actors to referance loot table</t>
  </si>
  <si>
    <t xml:space="preserve">    Create loot distribution collection ( internal dashboard managment service)</t>
  </si>
  <si>
    <t xml:space="preserve">    Create loot distribution system which lets Actors inherit from multiple templates</t>
  </si>
  <si>
    <t xml:space="preserve">    Delete loot table in CH tool</t>
  </si>
  <si>
    <t xml:space="preserve">    Edit loot table in CH tool</t>
  </si>
  <si>
    <t xml:space="preserve">    Enemies drop item when they are killed</t>
  </si>
  <si>
    <t xml:space="preserve">    Fetch current loot tables in CH tool</t>
  </si>
  <si>
    <t xml:space="preserve">    Fetch loot distribution collection (internal dashboard managment service)</t>
  </si>
  <si>
    <t xml:space="preserve">    Loot distribution QA</t>
  </si>
  <si>
    <t xml:space="preserve">    Refreance loot table in enemy/actor in tool</t>
  </si>
  <si>
    <t xml:space="preserve">    Release loot table in CH tool</t>
  </si>
  <si>
    <t xml:space="preserve">    Save temp loot table in tool</t>
  </si>
  <si>
    <t xml:space="preserve">    Update loot distribution collection ( internal dashboard managment service)</t>
  </si>
  <si>
    <t xml:space="preserve">    distrubute loot according to dungeon rules</t>
  </si>
  <si>
    <t xml:space="preserve">  Party UI</t>
  </si>
  <si>
    <t xml:space="preserve">  Party chat</t>
  </si>
  <si>
    <t xml:space="preserve">    Send a party message to your party</t>
  </si>
  <si>
    <t xml:space="preserve">  Party formation</t>
  </si>
  <si>
    <t xml:space="preserve">    Party chat</t>
  </si>
  <si>
    <t xml:space="preserve">    Party system design</t>
  </si>
  <si>
    <t xml:space="preserve">  Party supports real players and bots</t>
  </si>
  <si>
    <t xml:space="preserve">  Player can join/invite to party</t>
  </si>
  <si>
    <t xml:space="preserve">    Change leadership</t>
  </si>
  <si>
    <t xml:space="preserve">    Create a party</t>
  </si>
  <si>
    <t xml:space="preserve">    Create party service</t>
  </si>
  <si>
    <t xml:space="preserve">    Disband party</t>
  </si>
  <si>
    <t xml:space="preserve">    Invite someone to party</t>
  </si>
  <si>
    <t xml:space="preserve">    Kick someone from party</t>
  </si>
  <si>
    <t xml:space="preserve">    Leave party</t>
  </si>
  <si>
    <t xml:space="preserve">    Roll check in party</t>
  </si>
  <si>
    <t xml:space="preserve">    Update party player position on map, mana, health</t>
  </si>
  <si>
    <t xml:space="preserve">  Private message</t>
  </si>
  <si>
    <t xml:space="preserve">    Send a private message to user</t>
  </si>
  <si>
    <t xml:space="preserve">  Profanity filter</t>
  </si>
  <si>
    <t xml:space="preserve">    Create a system to filter a set of words</t>
  </si>
  <si>
    <t xml:space="preserve">  Proximity chat</t>
  </si>
  <si>
    <t xml:space="preserve">    Send chat message only to people near you</t>
  </si>
  <si>
    <t xml:space="preserve">  System chat</t>
  </si>
  <si>
    <t xml:space="preserve">    Create a system chat which will warn you on if the server is shutting down or if Show invites, kicks, bans in chat</t>
  </si>
  <si>
    <t xml:space="preserve">  Zone channel</t>
  </si>
  <si>
    <t xml:space="preserve">    Create a way to send a chat to entire zone</t>
  </si>
  <si>
    <t xml:space="preserve">  integraet chat service in unreal using websockets</t>
  </si>
  <si>
    <t xml:space="preserve">    Create a way to receive messages on unreal server and pass that to client</t>
  </si>
  <si>
    <t xml:space="preserve">    Create a way to send a message from unreal server to chat server</t>
  </si>
  <si>
    <t xml:space="preserve">    Create a websocket connection</t>
  </si>
  <si>
    <t>Platform</t>
  </si>
  <si>
    <t>Partner Loop</t>
  </si>
  <si>
    <t xml:space="preserve">  Create Partner Store</t>
  </si>
  <si>
    <t xml:space="preserve">  Full partner loop definition/design</t>
  </si>
  <si>
    <t xml:space="preserve">  Integrate partner loop</t>
  </si>
  <si>
    <t xml:space="preserve">    Buy CH virtual currency</t>
  </si>
  <si>
    <t xml:space="preserve">    Buy game subscription time from website and/or from game</t>
  </si>
  <si>
    <t xml:space="preserve">    Claim partner item from CH mailbox</t>
  </si>
  <si>
    <t xml:space="preserve">    Complete partner quest</t>
  </si>
  <si>
    <t xml:space="preserve">    Download Partner game</t>
  </si>
  <si>
    <t xml:space="preserve">    Purchase partner game from in-game store</t>
  </si>
  <si>
    <t xml:space="preserve">    Redeem Partner Steam key</t>
  </si>
  <si>
    <t xml:space="preserve">    Run partner game from same exe as CH</t>
  </si>
  <si>
    <t xml:space="preserve">    Unlock partner item in CH by playing partner game</t>
  </si>
  <si>
    <t xml:space="preserve">  Partner functionality QA</t>
  </si>
  <si>
    <t xml:space="preserve">  Run partner game from same exe as CH</t>
  </si>
  <si>
    <t xml:space="preserve">    Create IPC between exe launcher and unreal and partner game</t>
  </si>
  <si>
    <t xml:space="preserve">    Create exe launcher</t>
  </si>
  <si>
    <t xml:space="preserve">    Run CH in exe launcher</t>
  </si>
  <si>
    <t xml:space="preserve">    Run partner in exe launcher</t>
  </si>
  <si>
    <t xml:space="preserve">    Transition to lightweight map before launching partner game from exe launcher</t>
  </si>
  <si>
    <t>Bugged Dungeon Integration</t>
  </si>
  <si>
    <t>Partner Portal</t>
  </si>
  <si>
    <t xml:space="preserve">  BD Quest design</t>
  </si>
  <si>
    <t xml:space="preserve">    BD Quest narrative design</t>
  </si>
  <si>
    <t xml:space="preserve">  BD Quest integration</t>
  </si>
  <si>
    <t xml:space="preserve">  BD Quest themed reward model</t>
  </si>
  <si>
    <t xml:space="preserve">  BD quest special macguffin reward</t>
  </si>
  <si>
    <t xml:space="preserve">    Audio</t>
  </si>
  <si>
    <t xml:space="preserve">    Behavior implementation</t>
  </si>
  <si>
    <t xml:space="preserve">    Concept</t>
  </si>
  <si>
    <t xml:space="preserve">    Model</t>
  </si>
  <si>
    <t xml:space="preserve">    QA</t>
  </si>
  <si>
    <t xml:space="preserve">    Special item design</t>
  </si>
  <si>
    <t xml:space="preserve">    Tech art</t>
  </si>
  <si>
    <t xml:space="preserve">    UI</t>
  </si>
  <si>
    <t xml:space="preserve">  Partner Portal Enviro Art</t>
  </si>
  <si>
    <t xml:space="preserve">  Partner Portal Integration</t>
  </si>
  <si>
    <t xml:space="preserve">  Partner Portal VFX</t>
  </si>
  <si>
    <t xml:space="preserve">  Partner Shop Blockout</t>
  </si>
  <si>
    <t xml:space="preserve">  Partner shop portal placement</t>
  </si>
  <si>
    <t xml:space="preserve">  Partner themed shop concept</t>
  </si>
  <si>
    <t xml:space="preserve">  Partner themed shop model</t>
  </si>
  <si>
    <t xml:space="preserve">  Partner themed shop props</t>
  </si>
  <si>
    <t xml:space="preserve">  Portals design</t>
  </si>
  <si>
    <t xml:space="preserve">  Used Partner Portals</t>
  </si>
  <si>
    <t xml:space="preserve">    Assets &amp; Portals Models</t>
  </si>
  <si>
    <t xml:space="preserve">    Portals Placement in the shop</t>
  </si>
  <si>
    <t>Live Game</t>
  </si>
  <si>
    <t>In game RMT Store</t>
  </si>
  <si>
    <t>Subscription page on the website</t>
  </si>
  <si>
    <t>Virtual currency balance and items</t>
  </si>
  <si>
    <t xml:space="preserve">    Change play button from subscribe to play when a subscription is active</t>
  </si>
  <si>
    <t xml:space="preserve">    Create UI to display web browser inside the game launcher</t>
  </si>
  <si>
    <t xml:space="preserve">    Create a subscription page in the store</t>
  </si>
  <si>
    <t xml:space="preserve">    Create an endpoint to cancel subsciption</t>
  </si>
  <si>
    <t xml:space="preserve">    Create an endpoint to fetch current subscription information from account managment service</t>
  </si>
  <si>
    <t xml:space="preserve">    Create subscription endpoint in store service with tier rewards / different time lengths (30  , 90  , 180  , 360  )</t>
  </si>
  <si>
    <t xml:space="preserve">    Fetch subscription information from backend service</t>
  </si>
  <si>
    <t xml:space="preserve">    New UI/UX for game launcher to support web browser</t>
  </si>
  <si>
    <t xml:space="preserve">    Pass data between in-launcher browswer and launcher</t>
  </si>
  <si>
    <t xml:space="preserve">    Virtual currency balance and items</t>
  </si>
  <si>
    <t xml:space="preserve">  Basic RMT balance config</t>
  </si>
  <si>
    <t xml:space="preserve">  Call purchase item endpoint in unreal and sned item to player mailbox when item is purchased</t>
  </si>
  <si>
    <t xml:space="preserve">  Call purchase virtual currnacy endpoint from Unreal</t>
  </si>
  <si>
    <t xml:space="preserve">  Connect UI with code</t>
  </si>
  <si>
    <t xml:space="preserve">  Create a purchase virtual currancy endpoint in store service</t>
  </si>
  <si>
    <t xml:space="preserve">  Create an endpoint to add items to in-game store in dashboard management service</t>
  </si>
  <si>
    <t xml:space="preserve">  Create an endpoint to fetch all store items, prices, images, titles from store service</t>
  </si>
  <si>
    <t xml:space="preserve">  Create an endpoint to fetch total owned virtual currancy from store service</t>
  </si>
  <si>
    <t xml:space="preserve">  Create an endpoint to pause the purcahsing of an item from in-game store in dashboard managment serivce</t>
  </si>
  <si>
    <t xml:space="preserve">  Create an endpoint to remove items from in-game store in dashboard management service</t>
  </si>
  <si>
    <t xml:space="preserve">  Create an endpoint to update items to in-game store in dashboard management service</t>
  </si>
  <si>
    <t xml:space="preserve">  Create purcahse item endpoint in store service</t>
  </si>
  <si>
    <t xml:space="preserve">  Display paused banner on paused items with a tooltip explaining why the item is paused</t>
  </si>
  <si>
    <t xml:space="preserve">  Fetch total owned virtual currancy</t>
  </si>
  <si>
    <t xml:space="preserve">  RMT Store SFX</t>
  </si>
  <si>
    <t xml:space="preserve">    RMT Store QA</t>
  </si>
  <si>
    <t xml:space="preserve">  RMT Store UI</t>
  </si>
  <si>
    <t xml:space="preserve">  RMT store design</t>
  </si>
  <si>
    <t xml:space="preserve">  RMT store integration</t>
  </si>
  <si>
    <t xml:space="preserve">  RMT subscription design</t>
  </si>
  <si>
    <t xml:space="preserve">  RMT virtual currency page</t>
  </si>
  <si>
    <t xml:space="preserve">  RNT partner store</t>
  </si>
  <si>
    <t xml:space="preserve">  Set a limit on items. example gun only 100 people can buy it. first come first serve</t>
  </si>
  <si>
    <t xml:space="preserve">  Update in-game store when fetching store items</t>
  </si>
  <si>
    <t>Features</t>
  </si>
  <si>
    <t>Concept
~2 months
T0</t>
  </si>
  <si>
    <t>Pre-production
~4 months
T1-T2</t>
  </si>
  <si>
    <t>Early Prod
~4 months
T3</t>
  </si>
  <si>
    <t>Mid Prod
~6 months
T4</t>
  </si>
  <si>
    <t>End Prod
~4 months
T5</t>
  </si>
  <si>
    <t>Alpha
~2 months
T6</t>
  </si>
  <si>
    <t>Beta
~1.5 months
T6</t>
  </si>
  <si>
    <t>Launch
~1 month
T6</t>
  </si>
  <si>
    <t>First Release
~1.5 months
T6-T7</t>
  </si>
  <si>
    <t>LS 1
Live
T7</t>
  </si>
  <si>
    <t>LS 2
Live
T8</t>
  </si>
  <si>
    <t>Total PW</t>
  </si>
  <si>
    <t>Game Bibles</t>
  </si>
  <si>
    <t>Partner Build</t>
  </si>
  <si>
    <t>Product Publishing</t>
  </si>
  <si>
    <t>GRAND TOTAL</t>
  </si>
  <si>
    <t>Sizing</t>
  </si>
  <si>
    <t>Skill System</t>
  </si>
  <si>
    <t>Achievements &amp; Trophies</t>
  </si>
  <si>
    <t>Factions / Reputation</t>
  </si>
  <si>
    <t>FTUE</t>
  </si>
  <si>
    <t>Professions</t>
  </si>
  <si>
    <t>Character Management</t>
  </si>
  <si>
    <t>Character Creation &amp; Customization</t>
  </si>
  <si>
    <t>Persona System</t>
  </si>
  <si>
    <t>Emote System</t>
  </si>
  <si>
    <t>Foam Corruption</t>
  </si>
  <si>
    <t>Miasma Corruption</t>
  </si>
  <si>
    <t>Water Corruption</t>
  </si>
  <si>
    <t>Crystal Corruption</t>
  </si>
  <si>
    <t>Time Corruption</t>
  </si>
  <si>
    <t>Enemy Corruption</t>
  </si>
  <si>
    <t>Oil Corruption</t>
  </si>
  <si>
    <t>Texture Corruption</t>
  </si>
  <si>
    <t>Environmental Elemental Effects (combination states)</t>
  </si>
  <si>
    <t>Basic Movement System</t>
  </si>
  <si>
    <t>Day/Night Cycle</t>
  </si>
  <si>
    <t>Dynamic Weather</t>
  </si>
  <si>
    <t>Dungeon Mechanics</t>
  </si>
  <si>
    <t>The Dungeon</t>
  </si>
  <si>
    <t>World Bosses</t>
  </si>
  <si>
    <t>Corruption Heatmap</t>
  </si>
  <si>
    <t>Biome - Portal Peak</t>
  </si>
  <si>
    <t>T4: MVP</t>
  </si>
  <si>
    <t>Biome - Hidden Hills</t>
  </si>
  <si>
    <t>Biome - Farmlands</t>
  </si>
  <si>
    <t>Biome - Mistrun Shore</t>
  </si>
  <si>
    <t>Biome - Whispering Woods</t>
  </si>
  <si>
    <t>Biome - Tranquil Sands</t>
  </si>
  <si>
    <t>Biome - Torrential Vale</t>
  </si>
  <si>
    <t>Biome - Clockwork</t>
  </si>
  <si>
    <t>Biome - Downtime</t>
  </si>
  <si>
    <t>Combat Framework</t>
  </si>
  <si>
    <t>Ranged Combat</t>
  </si>
  <si>
    <t>Combat AI Behavior</t>
  </si>
  <si>
    <t>Enemies Art</t>
  </si>
  <si>
    <t>PvP Combat</t>
  </si>
  <si>
    <t>Combat Balance &amp; Telemetry</t>
  </si>
  <si>
    <t>Combat Abilities</t>
  </si>
  <si>
    <t>Magic</t>
  </si>
  <si>
    <t>P2P / P2G User Space Connection</t>
  </si>
  <si>
    <t>Building Houses</t>
  </si>
  <si>
    <t>Saving House Layouts</t>
  </si>
  <si>
    <t>Partner Portal System (player house)</t>
  </si>
  <si>
    <t>Arcade Cabinet</t>
  </si>
  <si>
    <t>Anywhere Door Placement</t>
  </si>
  <si>
    <t>Item Core System</t>
  </si>
  <si>
    <t>Inventory System</t>
  </si>
  <si>
    <t>Equipment System</t>
  </si>
  <si>
    <t>Mounts / Pets</t>
  </si>
  <si>
    <t>Banks</t>
  </si>
  <si>
    <t>P2P Item Transfer</t>
  </si>
  <si>
    <t>Durable Items</t>
  </si>
  <si>
    <t>Currency System</t>
  </si>
  <si>
    <t>Auction House</t>
  </si>
  <si>
    <t>In-game Store</t>
  </si>
  <si>
    <t>In-game Economy</t>
  </si>
  <si>
    <t>RMT Game Economy</t>
  </si>
  <si>
    <t>IG / RMT Monitoring System</t>
  </si>
  <si>
    <t>Quests Backend / Tooling</t>
  </si>
  <si>
    <t>Quests as Events</t>
  </si>
  <si>
    <t>Quest Multiplayer</t>
  </si>
  <si>
    <t>Quest Types - Courier / Escort / Kill / Collect / Mystery / Time / Partner / Lockpicking</t>
  </si>
  <si>
    <t>Quest Reward System</t>
  </si>
  <si>
    <t>Quest Log</t>
  </si>
  <si>
    <t>Quest Dialog GUI</t>
  </si>
  <si>
    <t>Quest Narrative Content</t>
  </si>
  <si>
    <t>In Game Cinematic (IGC)</t>
  </si>
  <si>
    <t>Meta Quest System</t>
  </si>
  <si>
    <t>Quest Generator System</t>
  </si>
  <si>
    <t>Targeted VO</t>
  </si>
  <si>
    <t>Game Chat System</t>
  </si>
  <si>
    <t>Friends</t>
  </si>
  <si>
    <t>Guilds</t>
  </si>
  <si>
    <t>Co-op / Party</t>
  </si>
  <si>
    <t>Co-op / Raids</t>
  </si>
  <si>
    <t>Dueling</t>
  </si>
  <si>
    <t>Notifications</t>
  </si>
  <si>
    <t>Player Config PvP Server</t>
  </si>
  <si>
    <t>LFG / Pick-up Groups</t>
  </si>
  <si>
    <t>UX/UI Bible</t>
  </si>
  <si>
    <t>Accessibility Guidelines</t>
  </si>
  <si>
    <t>Brand Bible</t>
  </si>
  <si>
    <t>Art Bible</t>
  </si>
  <si>
    <t>T3: Prototype</t>
  </si>
  <si>
    <t>Monetization Bible</t>
  </si>
  <si>
    <t>Red Books (Live Service emergency guidelines)</t>
  </si>
  <si>
    <t>Player Account Creation / Deletion</t>
  </si>
  <si>
    <t>Player Account Authentication</t>
  </si>
  <si>
    <t>Player Account Privacy Settings &amp; Legal</t>
  </si>
  <si>
    <t>Player Dashboard - Account Features</t>
  </si>
  <si>
    <t>Player Dashboard - Game Dashboard</t>
  </si>
  <si>
    <t>Player Dashboard - Friends</t>
  </si>
  <si>
    <t>Player Dashboard - Search &amp; Notifications</t>
  </si>
  <si>
    <t>Player Dashboard - Marketplace</t>
  </si>
  <si>
    <t>Developer Dashboard - Developer Account</t>
  </si>
  <si>
    <t>Developer Dashboard - Game Dashboard</t>
  </si>
  <si>
    <t>Developer Dashboard - Settings &amp; Support</t>
  </si>
  <si>
    <t>Quest Tracking</t>
  </si>
  <si>
    <t>Payment Processing (incl. Refunds)</t>
  </si>
  <si>
    <t>Online Services &amp; Backend</t>
  </si>
  <si>
    <t>Launcher &amp; Distribution</t>
  </si>
  <si>
    <t>Game Tool Integration (incl. Game Key Generation)</t>
  </si>
  <si>
    <t>Account Level Settings</t>
  </si>
  <si>
    <t>Social Media Support</t>
  </si>
  <si>
    <t>Live GDD</t>
  </si>
  <si>
    <t>Content</t>
  </si>
  <si>
    <t>Forecast</t>
  </si>
  <si>
    <t>Analytics &amp; BI</t>
  </si>
  <si>
    <t>Sales Dashboard</t>
  </si>
  <si>
    <t>Telemetry</t>
  </si>
  <si>
    <t>Live Service Event Plan</t>
  </si>
  <si>
    <t>Partner = Feature definition</t>
  </si>
  <si>
    <t>Sign Partner</t>
  </si>
  <si>
    <t>Partner Brief</t>
  </si>
  <si>
    <t>Partner Design Doc</t>
  </si>
  <si>
    <t>Partner TDD</t>
  </si>
  <si>
    <t>Partner Art Brief</t>
  </si>
  <si>
    <t>Partner Integration</t>
  </si>
  <si>
    <t>Web Presence</t>
  </si>
  <si>
    <t>Website</t>
  </si>
  <si>
    <t>Community Persona</t>
  </si>
  <si>
    <t>Title Identity</t>
  </si>
  <si>
    <t>Player Support</t>
  </si>
  <si>
    <t>Go-To-Market Strategy &amp; Implementation</t>
  </si>
  <si>
    <t>3rd-party Store Publishing</t>
  </si>
  <si>
    <t>Role</t>
  </si>
  <si>
    <t>Discipline</t>
  </si>
  <si>
    <t>Leadership</t>
  </si>
  <si>
    <t>Production</t>
  </si>
  <si>
    <t>Design</t>
  </si>
  <si>
    <t>Art</t>
  </si>
  <si>
    <t>Engineering</t>
  </si>
  <si>
    <t>Audio</t>
  </si>
  <si>
    <t>Gate</t>
  </si>
  <si>
    <t>Phase</t>
  </si>
  <si>
    <t>Target Tier</t>
  </si>
  <si>
    <t>Tier Name</t>
  </si>
  <si>
    <t>Concept</t>
  </si>
  <si>
    <t>T0</t>
  </si>
  <si>
    <t>Ideation</t>
  </si>
  <si>
    <t>Y-doc, pitch, vision lock; all features captured at T0</t>
  </si>
  <si>
    <t>Pre-production</t>
  </si>
  <si>
    <t>T1-T2</t>
  </si>
  <si>
    <t>R&amp;D / GDD-TDD-Brief</t>
  </si>
  <si>
    <t>GDD/TDD/Art briefs for all greenlit features (T2)</t>
  </si>
  <si>
    <t>Early Prod</t>
  </si>
  <si>
    <t>T3</t>
  </si>
  <si>
    <t>Prototype</t>
  </si>
  <si>
    <t>Prototype every feature; many bugs allowed (T3)</t>
  </si>
  <si>
    <t>Mid Prod</t>
  </si>
  <si>
    <t>T4</t>
  </si>
  <si>
    <t>MVP</t>
  </si>
  <si>
    <t>Full MVP scope - heaviest production gate (T4)</t>
  </si>
  <si>
    <t>End Prod</t>
  </si>
  <si>
    <t>T5</t>
  </si>
  <si>
    <t>Feature Complete</t>
  </si>
  <si>
    <t>Feature complete, polish to ship quality (T5)</t>
  </si>
  <si>
    <t>Alpha</t>
  </si>
  <si>
    <t>T6</t>
  </si>
  <si>
    <t>Player Tested</t>
  </si>
  <si>
    <t>Playtest, telemetry, balance pass; gating bugs only</t>
  </si>
  <si>
    <t>Beta</t>
  </si>
  <si>
    <t>External player feedback, cert prep, content lock</t>
  </si>
  <si>
    <t>Launch</t>
  </si>
  <si>
    <t>Player Ready</t>
  </si>
  <si>
    <t>Day-0 readiness, marketing, store, support</t>
  </si>
  <si>
    <t>First Release</t>
  </si>
  <si>
    <t>T6-T7</t>
  </si>
  <si>
    <t>Player Ready / Expand</t>
  </si>
  <si>
    <t>Live monitoring, hotfixes, day-1/7/30 patches</t>
  </si>
  <si>
    <t>LS 1</t>
  </si>
  <si>
    <t>T7</t>
  </si>
  <si>
    <t>Expand</t>
  </si>
  <si>
    <t>Expansions, new content drops, season cadence (T7)</t>
  </si>
  <si>
    <t>LS 2</t>
  </si>
  <si>
    <t>T8</t>
  </si>
  <si>
    <t>Scale</t>
  </si>
  <si>
    <t>Optimize / scale post-load, sustain plan (T8)</t>
  </si>
  <si>
    <t>Tier</t>
  </si>
  <si>
    <t>Name</t>
  </si>
  <si>
    <t>Definition</t>
  </si>
  <si>
    <t>Idea captured, no commitment</t>
  </si>
  <si>
    <t>T1</t>
  </si>
  <si>
    <t>R&amp;D</t>
  </si>
  <si>
    <t>Research, prototyping intent, technical feasibility</t>
  </si>
  <si>
    <t>T2</t>
  </si>
  <si>
    <t>GDD / TDD / Brief ready</t>
  </si>
  <si>
    <t>GDD done, TDD done, art brief done</t>
  </si>
  <si>
    <t>Functional with no skins, can be bugged</t>
  </si>
  <si>
    <t>Limited quality, but full-featured</t>
  </si>
  <si>
    <t>Feature Complete (at quality)</t>
  </si>
  <si>
    <t>Final assets, polished, no scope cuts left</t>
  </si>
  <si>
    <t>Player Ready / Tested</t>
  </si>
  <si>
    <t>Playtest, alpha, beta, telemetry feedback applied</t>
  </si>
  <si>
    <t>Add to feature / content</t>
  </si>
  <si>
    <t>Productional optimization post-load</t>
  </si>
  <si>
    <t>Cell Color / Section</t>
  </si>
  <si>
    <t>Meaning</t>
  </si>
  <si>
    <t>Phase super-headers (row 1 of Plan)</t>
  </si>
  <si>
    <t>Concept gate (T0 Ideation)</t>
  </si>
  <si>
    <t>Pre-production gate (T1-T2)</t>
  </si>
  <si>
    <t>Early / Mid / End Prod gates (T3-T5)</t>
  </si>
  <si>
    <t>Release</t>
  </si>
  <si>
    <t>Alpha / Beta / Launch / First Release</t>
  </si>
  <si>
    <t>Live Service</t>
  </si>
  <si>
    <t>LS 1 / LS 2</t>
  </si>
  <si>
    <t>Role group color (row 3 of Plan)</t>
  </si>
  <si>
    <t>CEO, Head of Legal, Head of Finance &amp; Ops, HR Manager</t>
  </si>
  <si>
    <t>Executive / Producer / Game / Tech / Art Producer</t>
  </si>
  <si>
    <t>Game Director, Design Leads, Designers, Writer</t>
  </si>
  <si>
    <t>Art Director, Concept, UI/UX, Character/Env/Prop, Anim, Rig, VFX, TA</t>
  </si>
  <si>
    <t>CTO, Tech Lead, Gameplay/Full Stack/Backend/Network</t>
  </si>
  <si>
    <t>Sizing key (col C)</t>
  </si>
  <si>
    <t>Small feature</t>
  </si>
  <si>
    <t>Medium feature</t>
  </si>
  <si>
    <t>Large feature</t>
  </si>
  <si>
    <t>How to use</t>
  </si>
  <si>
    <t>Plan sheet</t>
  </si>
  <si>
    <t>Fill in man-days per (feature, gate, role). Cells are blank by default.</t>
  </si>
  <si>
    <t>Totals row</t>
  </si>
  <si>
    <t>Bottom of Plan: SUMs each role column per gate.</t>
  </si>
  <si>
    <t>Headcount row</t>
  </si>
  <si>
    <t>Total PW / (gate months * 20 working days). Edit GATE_MONTHS in the script if your durations change.</t>
  </si>
  <si>
    <t>Summary sheet</t>
  </si>
  <si>
    <t>Auto-rolls up Plan totals per epic per gate.</t>
  </si>
  <si>
    <t>Adding rows</t>
  </si>
  <si>
    <t>Insert rows inside an epic block on Plan. Update Total PW SUM ranges if you extend past the current last data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</si>
</sst>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;\-0.##;\-"/>
  </numFmts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b/>
      <sz val="10"/>
      <name val="Calibri"/>
    </font>
    <font>
      <b/>
      <sz val="10"/>
      <color rgb="FFFFFFFF"/>
      <name val="Calibri"/>
      <family val="2"/>
    </font>
    <font>
      <b/>
      <sz val="10"/>
      <color rgb="FFFFFFFF"/>
      <name val="Calibri"/>
    </font>
    <font>
      <b/>
      <sz val="8"/>
      <name val="Calibri"/>
    </font>
    <font>
      <b/>
      <sz val="11"/>
      <name val="Calibri"/>
    </font>
    <font>
      <sz val="10"/>
      <name val="Calibri"/>
    </font>
    <font>
      <b/>
      <sz val="9"/>
      <name val="Calibri"/>
    </font>
    <font>
      <sz val="9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BF8F00"/>
      </patternFill>
    </fill>
    <fill>
      <patternFill patternType="solid">
        <fgColor rgb="FFC65911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375623"/>
      </patternFill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FFD966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E4DFEC"/>
      </patternFill>
    </fill>
    <fill>
      <patternFill patternType="solid">
        <fgColor rgb="FFFFE699"/>
      </patternFill>
    </fill>
    <fill>
      <patternFill patternType="solid">
        <fgColor rgb="FFB4C7E7"/>
      </patternFill>
    </fill>
    <fill>
      <patternFill patternType="solid">
        <fgColor rgb="FFA9D08E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9DC3E6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D966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6" fillId="18" borderId="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left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left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left"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left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left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8" fillId="26" borderId="0" xfId="0" applyFont="1" applyFill="1"/>
    <xf numFmtId="0" fontId="9" fillId="27" borderId="0" xfId="0" applyFont="1" applyFill="1" applyAlignment="1">
      <alignment horizontal="center" textRotation="90" wrapText="1"/>
    </xf>
    <xf numFmtId="0" fontId="9" fillId="28" borderId="0" xfId="0" applyFont="1" applyFill="1" applyAlignment="1">
      <alignment horizontal="center" textRotation="90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11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0" fillId="29" borderId="0" xfId="0" applyFont="1" applyFill="1"/>
    <xf numFmtId="0" fontId="0" fillId="0" borderId="0" xfId="0"/>
    <xf numFmtId="0" fontId="4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10" borderId="0" xfId="0" applyFill="1" applyBorder="1"/>
    <xf numFmtId="0" fontId="4" fillId="19" borderId="10" xfId="0" applyFont="1" applyFill="1" applyBorder="1" applyAlignment="1">
      <alignment horizontal="center" vertical="center" wrapText="1"/>
    </xf>
    <xf numFmtId="0" fontId="0" fillId="10" borderId="10" xfId="0" applyFill="1" applyBorder="1"/>
    <xf numFmtId="0" fontId="5" fillId="3" borderId="11" xfId="0" applyFont="1" applyFill="1" applyBorder="1" applyAlignment="1">
      <alignment horizontal="left" vertical="top" textRotation="90"/>
    </xf>
    <xf numFmtId="0" fontId="5" fillId="12" borderId="11" xfId="0" applyFont="1" applyFill="1" applyBorder="1" applyAlignment="1">
      <alignment horizontal="left" vertical="top" textRotation="90"/>
    </xf>
    <xf numFmtId="0" fontId="5" fillId="4" borderId="11" xfId="0" applyFont="1" applyFill="1" applyBorder="1" applyAlignment="1">
      <alignment horizontal="left" vertical="top" textRotation="90"/>
    </xf>
    <xf numFmtId="0" fontId="5" fillId="13" borderId="11" xfId="0" applyFont="1" applyFill="1" applyBorder="1" applyAlignment="1">
      <alignment horizontal="left" vertical="top" textRotation="90"/>
    </xf>
    <xf numFmtId="0" fontId="5" fillId="14" borderId="11" xfId="0" applyFont="1" applyFill="1" applyBorder="1" applyAlignment="1">
      <alignment horizontal="left" vertical="top" textRotation="90"/>
    </xf>
    <xf numFmtId="0" fontId="5" fillId="15" borderId="11" xfId="0" applyFont="1" applyFill="1" applyBorder="1" applyAlignment="1">
      <alignment horizontal="left" vertical="top" textRotation="90"/>
    </xf>
    <xf numFmtId="0" fontId="5" fillId="16" borderId="11" xfId="0" applyFont="1" applyFill="1" applyBorder="1" applyAlignment="1">
      <alignment horizontal="left" vertical="top" textRotation="90"/>
    </xf>
    <xf numFmtId="0" fontId="5" fillId="17" borderId="11" xfId="0" applyFont="1" applyFill="1" applyBorder="1" applyAlignment="1">
      <alignment horizontal="left" vertical="top" textRotation="90"/>
    </xf>
    <xf numFmtId="0" fontId="10" fillId="29" borderId="0" xfId="0" applyFont="1" applyFill="1" applyBorder="1"/>
    <xf numFmtId="0" fontId="0" fillId="0" borderId="0" xfId="0" applyBorder="1"/>
    <xf numFmtId="0" fontId="0" fillId="0" borderId="0" xfId="0" applyBorder="1"/>
    <xf numFmtId="0" fontId="11" fillId="0" borderId="0" xfId="0" applyFont="1" applyBorder="1"/>
    <xf numFmtId="0" fontId="12" fillId="0" borderId="0" xfId="0" applyFont="1" applyBorder="1"/>
  </cellXfs>
  <cellStyles count="1">
    <cellStyle name="Normal" xfId="0" builtinId="0"/>
  </cellStyles>
  <dxfs count="9">
    <dxf>
      <font>
        <b/>
        <sz val="10"/>
        <color rgb="FFFFFFFF"/>
        <name val="Calibri"/>
      </font>
      <fill>
        <patternFill patternType="solid">
          <fgColor rgb="FF38761D"/>
        </patternFill>
      </fill>
    </dxf>
    <dxf>
      <font>
        <b/>
        <sz val="10"/>
        <color rgb="FFFFFFFF"/>
        <name val="Calibri"/>
      </font>
      <fill>
        <patternFill patternType="solid">
          <fgColor rgb="FF6AA84F"/>
        </patternFill>
      </fill>
    </dxf>
    <dxf>
      <font>
        <b/>
        <sz val="10"/>
        <color rgb="FF000000"/>
        <name val="Calibri"/>
      </font>
      <fill>
        <patternFill patternType="solid">
          <fgColor rgb="FFB6D7A8"/>
        </patternFill>
      </fill>
    </dxf>
    <dxf>
      <font>
        <b/>
        <sz val="10"/>
        <color rgb="FFFFFFFF"/>
        <name val="Calibri"/>
      </font>
      <fill>
        <patternFill patternType="solid">
          <fgColor rgb="FF1F4E79"/>
        </patternFill>
      </fill>
    </dxf>
    <dxf>
      <font>
        <b/>
        <sz val="10"/>
        <color rgb="FF000000"/>
        <name val="Calibri"/>
      </font>
      <fill>
        <patternFill patternType="solid">
          <fgColor rgb="FF6FA8DC"/>
        </patternFill>
      </fill>
    </dxf>
    <dxf>
      <font>
        <b/>
        <sz val="10"/>
        <color rgb="FF000000"/>
        <name val="Calibri"/>
      </font>
      <fill>
        <patternFill patternType="solid">
          <fgColor rgb="FFBDD7EE"/>
        </patternFill>
      </fill>
    </dxf>
    <dxf>
      <font>
        <b/>
        <sz val="10"/>
        <color rgb="FF000000"/>
        <name val="Calibri"/>
      </font>
      <fill>
        <patternFill patternType="solid">
          <fgColor rgb="FFD9D9D9"/>
        </patternFill>
      </fill>
    </dxf>
    <dxf>
      <font>
        <b/>
        <sz val="10"/>
        <color rgb="FF000000"/>
        <name val="Calibri"/>
      </font>
      <fill>
        <patternFill patternType="solid">
          <fgColor rgb="FFFCB97D"/>
        </patternFill>
      </fill>
    </dxf>
    <dxf>
      <font>
        <b/>
        <sz val="10"/>
        <color rgb="FF000000"/>
        <name val="Calibri"/>
      </font>
      <fill>
        <patternFill patternType="solid">
          <fgColor rgb="FFFFFAB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R1144"/>
  <sheetViews>
    <sheetView tabSelected="1" zoomScale="85" zoomScaleNormal="85" workbookViewId="0">
      <pane xSplit="5" ySplit="4" topLeftCell="QS5" activePane="bottomRight" state="frozen"/>
      <selection pane="topRight"/>
      <selection pane="bottomLeft"/>
      <selection pane="bottomRight" activeCell="DT1" sqref="DT1:SR1048576"/>
    </sheetView>
  </sheetViews>
  <sheetFormatPr defaultRowHeight="15" x14ac:dyDescent="0.25"/>
  <cols>
    <col min="1" max="1" width="18" customWidth="1"/>
    <col min="2" max="2" width="113" bestFit="1" customWidth="1"/>
    <col min="3" max="3" width="4" bestFit="1" customWidth="1"/>
    <col min="4" max="4" width="17.7109375" bestFit="1" customWidth="1"/>
    <col min="5" max="5" width="42.5703125" customWidth="1"/>
    <col min="6" max="6" width="5" hidden="1" customWidth="1"/>
    <col min="7" max="44" width="3.85546875" hidden="1" customWidth="1"/>
    <col min="45" max="45" width="5" hidden="1" customWidth="1"/>
    <col min="46" max="83" width="3.85546875" hidden="1" customWidth="1"/>
    <col min="84" max="84" width="5" hidden="1" customWidth="1"/>
    <col min="85" max="434" width="5" customWidth="1"/>
    <col min="436" max="473" width="5" customWidth="1"/>
    <col min="475" max="512" width="5" customWidth="1"/>
  </cols>
  <sheetData>
    <row r="2" spans="1:512" x14ac:dyDescent="0.25">
      <c r="A2" s="57" t="s">
        <v>0</v>
      </c>
      <c r="B2" s="58"/>
      <c r="C2" s="58"/>
      <c r="D2" s="58"/>
      <c r="E2" s="59"/>
      <c r="F2" s="65" t="s">
        <v>1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66" t="s">
        <v>2</v>
      </c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3"/>
      <c r="CF2" s="67" t="s">
        <v>3</v>
      </c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3"/>
      <c r="GS2" s="63" t="s">
        <v>4</v>
      </c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3"/>
      <c r="MS2" s="64" t="s">
        <v>5</v>
      </c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3"/>
      <c r="PT2" s="45" t="s">
        <v>6</v>
      </c>
      <c r="RG2" s="45" t="s">
        <v>7</v>
      </c>
    </row>
    <row r="3" spans="1:512" ht="60" customHeight="1" thickBot="1" x14ac:dyDescent="0.3">
      <c r="A3" s="60"/>
      <c r="B3" s="61"/>
      <c r="C3" s="61"/>
      <c r="D3" s="61"/>
      <c r="E3" s="62"/>
      <c r="F3" s="2" t="s">
        <v>8</v>
      </c>
      <c r="G3" s="56" t="s">
        <v>9</v>
      </c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3"/>
      <c r="AS3" s="2" t="s">
        <v>10</v>
      </c>
      <c r="AT3" s="56" t="s">
        <v>11</v>
      </c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3"/>
      <c r="CF3" s="2" t="s">
        <v>12</v>
      </c>
      <c r="CG3" s="56" t="s">
        <v>13</v>
      </c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3"/>
      <c r="DS3" s="2" t="s">
        <v>14</v>
      </c>
      <c r="DT3" s="51" t="s">
        <v>15</v>
      </c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3"/>
      <c r="FF3" s="2" t="s">
        <v>16</v>
      </c>
      <c r="FG3" s="51" t="s">
        <v>17</v>
      </c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3"/>
      <c r="GS3" s="2" t="s">
        <v>18</v>
      </c>
      <c r="GT3" s="51" t="s">
        <v>19</v>
      </c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3"/>
      <c r="IF3" s="2" t="s">
        <v>20</v>
      </c>
      <c r="IG3" s="51" t="s">
        <v>21</v>
      </c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3"/>
      <c r="JS3" s="2" t="s">
        <v>22</v>
      </c>
      <c r="JT3" s="51" t="s">
        <v>23</v>
      </c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3"/>
      <c r="LF3" s="2" t="s">
        <v>24</v>
      </c>
      <c r="LG3" s="56" t="s">
        <v>25</v>
      </c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3"/>
      <c r="MS3" s="2" t="s">
        <v>26</v>
      </c>
      <c r="MT3" s="56" t="s">
        <v>27</v>
      </c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3"/>
      <c r="OF3" s="2" t="s">
        <v>28</v>
      </c>
      <c r="OG3" s="56" t="s">
        <v>29</v>
      </c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3"/>
    </row>
    <row r="4" spans="1:512" ht="84" x14ac:dyDescent="0.25">
      <c r="A4" s="69" t="s">
        <v>30</v>
      </c>
      <c r="B4" s="69" t="s">
        <v>31</v>
      </c>
      <c r="C4" s="69" t="s">
        <v>32</v>
      </c>
      <c r="D4" s="69" t="s">
        <v>33</v>
      </c>
      <c r="E4" s="69" t="s">
        <v>34</v>
      </c>
      <c r="F4" s="70"/>
      <c r="G4" s="71" t="s">
        <v>35</v>
      </c>
      <c r="H4" s="71" t="s">
        <v>36</v>
      </c>
      <c r="I4" s="71" t="s">
        <v>37</v>
      </c>
      <c r="J4" s="71" t="s">
        <v>38</v>
      </c>
      <c r="K4" s="71" t="s">
        <v>39</v>
      </c>
      <c r="L4" s="72" t="s">
        <v>40</v>
      </c>
      <c r="M4" s="72" t="s">
        <v>41</v>
      </c>
      <c r="N4" s="72" t="s">
        <v>42</v>
      </c>
      <c r="O4" s="72" t="s">
        <v>43</v>
      </c>
      <c r="P4" s="72" t="s">
        <v>44</v>
      </c>
      <c r="Q4" s="73" t="s">
        <v>45</v>
      </c>
      <c r="R4" s="73" t="s">
        <v>46</v>
      </c>
      <c r="S4" s="73" t="s">
        <v>47</v>
      </c>
      <c r="T4" s="73" t="s">
        <v>48</v>
      </c>
      <c r="U4" s="73" t="s">
        <v>49</v>
      </c>
      <c r="V4" s="73" t="s">
        <v>50</v>
      </c>
      <c r="W4" s="73" t="s">
        <v>51</v>
      </c>
      <c r="X4" s="73" t="s">
        <v>52</v>
      </c>
      <c r="Y4" s="74" t="s">
        <v>53</v>
      </c>
      <c r="Z4" s="74" t="s">
        <v>54</v>
      </c>
      <c r="AA4" s="74" t="s">
        <v>55</v>
      </c>
      <c r="AB4" s="74" t="s">
        <v>56</v>
      </c>
      <c r="AC4" s="74" t="s">
        <v>57</v>
      </c>
      <c r="AD4" s="74" t="s">
        <v>58</v>
      </c>
      <c r="AE4" s="74" t="s">
        <v>59</v>
      </c>
      <c r="AF4" s="74" t="s">
        <v>60</v>
      </c>
      <c r="AG4" s="74" t="s">
        <v>61</v>
      </c>
      <c r="AH4" s="74" t="s">
        <v>62</v>
      </c>
      <c r="AI4" s="74" t="s">
        <v>63</v>
      </c>
      <c r="AJ4" s="75" t="s">
        <v>64</v>
      </c>
      <c r="AK4" s="75" t="s">
        <v>65</v>
      </c>
      <c r="AL4" s="75" t="s">
        <v>66</v>
      </c>
      <c r="AM4" s="75" t="s">
        <v>67</v>
      </c>
      <c r="AN4" s="75" t="s">
        <v>68</v>
      </c>
      <c r="AO4" s="75" t="s">
        <v>69</v>
      </c>
      <c r="AP4" s="76" t="s">
        <v>70</v>
      </c>
      <c r="AQ4" s="77" t="s">
        <v>71</v>
      </c>
      <c r="AR4" s="78" t="s">
        <v>72</v>
      </c>
      <c r="AS4" s="70"/>
      <c r="AT4" s="71" t="s">
        <v>35</v>
      </c>
      <c r="AU4" s="71" t="s">
        <v>36</v>
      </c>
      <c r="AV4" s="71" t="s">
        <v>37</v>
      </c>
      <c r="AW4" s="71" t="s">
        <v>38</v>
      </c>
      <c r="AX4" s="71" t="s">
        <v>39</v>
      </c>
      <c r="AY4" s="72" t="s">
        <v>40</v>
      </c>
      <c r="AZ4" s="72" t="s">
        <v>41</v>
      </c>
      <c r="BA4" s="72" t="s">
        <v>42</v>
      </c>
      <c r="BB4" s="72" t="s">
        <v>43</v>
      </c>
      <c r="BC4" s="72" t="s">
        <v>44</v>
      </c>
      <c r="BD4" s="73" t="s">
        <v>45</v>
      </c>
      <c r="BE4" s="73" t="s">
        <v>46</v>
      </c>
      <c r="BF4" s="73" t="s">
        <v>47</v>
      </c>
      <c r="BG4" s="73" t="s">
        <v>48</v>
      </c>
      <c r="BH4" s="73" t="s">
        <v>49</v>
      </c>
      <c r="BI4" s="73" t="s">
        <v>50</v>
      </c>
      <c r="BJ4" s="73" t="s">
        <v>51</v>
      </c>
      <c r="BK4" s="73" t="s">
        <v>52</v>
      </c>
      <c r="BL4" s="74" t="s">
        <v>53</v>
      </c>
      <c r="BM4" s="74" t="s">
        <v>54</v>
      </c>
      <c r="BN4" s="74" t="s">
        <v>55</v>
      </c>
      <c r="BO4" s="74" t="s">
        <v>56</v>
      </c>
      <c r="BP4" s="74" t="s">
        <v>57</v>
      </c>
      <c r="BQ4" s="74" t="s">
        <v>58</v>
      </c>
      <c r="BR4" s="74" t="s">
        <v>59</v>
      </c>
      <c r="BS4" s="74" t="s">
        <v>60</v>
      </c>
      <c r="BT4" s="74" t="s">
        <v>61</v>
      </c>
      <c r="BU4" s="74" t="s">
        <v>62</v>
      </c>
      <c r="BV4" s="74" t="s">
        <v>63</v>
      </c>
      <c r="BW4" s="75" t="s">
        <v>64</v>
      </c>
      <c r="BX4" s="75" t="s">
        <v>65</v>
      </c>
      <c r="BY4" s="75" t="s">
        <v>66</v>
      </c>
      <c r="BZ4" s="75" t="s">
        <v>67</v>
      </c>
      <c r="CA4" s="75" t="s">
        <v>68</v>
      </c>
      <c r="CB4" s="75" t="s">
        <v>69</v>
      </c>
      <c r="CC4" s="76" t="s">
        <v>70</v>
      </c>
      <c r="CD4" s="77" t="s">
        <v>71</v>
      </c>
      <c r="CE4" s="78" t="s">
        <v>72</v>
      </c>
      <c r="CF4" s="70"/>
      <c r="CG4" s="71" t="s">
        <v>35</v>
      </c>
      <c r="CH4" s="71" t="s">
        <v>36</v>
      </c>
      <c r="CI4" s="71" t="s">
        <v>37</v>
      </c>
      <c r="CJ4" s="71" t="s">
        <v>38</v>
      </c>
      <c r="CK4" s="71" t="s">
        <v>39</v>
      </c>
      <c r="CL4" s="72" t="s">
        <v>40</v>
      </c>
      <c r="CM4" s="72" t="s">
        <v>41</v>
      </c>
      <c r="CN4" s="72" t="s">
        <v>42</v>
      </c>
      <c r="CO4" s="72" t="s">
        <v>43</v>
      </c>
      <c r="CP4" s="72" t="s">
        <v>44</v>
      </c>
      <c r="CQ4" s="73" t="s">
        <v>45</v>
      </c>
      <c r="CR4" s="73" t="s">
        <v>46</v>
      </c>
      <c r="CS4" s="73" t="s">
        <v>47</v>
      </c>
      <c r="CT4" s="73" t="s">
        <v>48</v>
      </c>
      <c r="CU4" s="73" t="s">
        <v>49</v>
      </c>
      <c r="CV4" s="73" t="s">
        <v>50</v>
      </c>
      <c r="CW4" s="73" t="s">
        <v>51</v>
      </c>
      <c r="CX4" s="73" t="s">
        <v>52</v>
      </c>
      <c r="CY4" s="74" t="s">
        <v>53</v>
      </c>
      <c r="CZ4" s="74" t="s">
        <v>54</v>
      </c>
      <c r="DA4" s="74" t="s">
        <v>55</v>
      </c>
      <c r="DB4" s="74" t="s">
        <v>56</v>
      </c>
      <c r="DC4" s="74" t="s">
        <v>57</v>
      </c>
      <c r="DD4" s="74" t="s">
        <v>58</v>
      </c>
      <c r="DE4" s="74" t="s">
        <v>59</v>
      </c>
      <c r="DF4" s="74" t="s">
        <v>60</v>
      </c>
      <c r="DG4" s="74" t="s">
        <v>61</v>
      </c>
      <c r="DH4" s="74" t="s">
        <v>62</v>
      </c>
      <c r="DI4" s="74" t="s">
        <v>63</v>
      </c>
      <c r="DJ4" s="75" t="s">
        <v>64</v>
      </c>
      <c r="DK4" s="75" t="s">
        <v>65</v>
      </c>
      <c r="DL4" s="75" t="s">
        <v>66</v>
      </c>
      <c r="DM4" s="75" t="s">
        <v>67</v>
      </c>
      <c r="DN4" s="75" t="s">
        <v>68</v>
      </c>
      <c r="DO4" s="75" t="s">
        <v>69</v>
      </c>
      <c r="DP4" s="76" t="s">
        <v>70</v>
      </c>
      <c r="DQ4" s="77" t="s">
        <v>71</v>
      </c>
      <c r="DR4" s="78" t="s">
        <v>72</v>
      </c>
      <c r="DS4" s="70"/>
      <c r="DT4" s="71" t="s">
        <v>35</v>
      </c>
      <c r="DU4" s="71" t="s">
        <v>36</v>
      </c>
      <c r="DV4" s="71" t="s">
        <v>37</v>
      </c>
      <c r="DW4" s="71" t="s">
        <v>38</v>
      </c>
      <c r="DX4" s="71" t="s">
        <v>39</v>
      </c>
      <c r="DY4" s="72" t="s">
        <v>40</v>
      </c>
      <c r="DZ4" s="72" t="s">
        <v>41</v>
      </c>
      <c r="EA4" s="72" t="s">
        <v>42</v>
      </c>
      <c r="EB4" s="72" t="s">
        <v>43</v>
      </c>
      <c r="EC4" s="72" t="s">
        <v>44</v>
      </c>
      <c r="ED4" s="73" t="s">
        <v>45</v>
      </c>
      <c r="EE4" s="73" t="s">
        <v>46</v>
      </c>
      <c r="EF4" s="73" t="s">
        <v>47</v>
      </c>
      <c r="EG4" s="73" t="s">
        <v>48</v>
      </c>
      <c r="EH4" s="73" t="s">
        <v>49</v>
      </c>
      <c r="EI4" s="73" t="s">
        <v>50</v>
      </c>
      <c r="EJ4" s="73" t="s">
        <v>51</v>
      </c>
      <c r="EK4" s="73" t="s">
        <v>52</v>
      </c>
      <c r="EL4" s="74" t="s">
        <v>53</v>
      </c>
      <c r="EM4" s="74" t="s">
        <v>54</v>
      </c>
      <c r="EN4" s="74" t="s">
        <v>55</v>
      </c>
      <c r="EO4" s="74" t="s">
        <v>56</v>
      </c>
      <c r="EP4" s="74" t="s">
        <v>57</v>
      </c>
      <c r="EQ4" s="74" t="s">
        <v>58</v>
      </c>
      <c r="ER4" s="74" t="s">
        <v>59</v>
      </c>
      <c r="ES4" s="74" t="s">
        <v>60</v>
      </c>
      <c r="ET4" s="74" t="s">
        <v>61</v>
      </c>
      <c r="EU4" s="74" t="s">
        <v>62</v>
      </c>
      <c r="EV4" s="74" t="s">
        <v>63</v>
      </c>
      <c r="EW4" s="75" t="s">
        <v>64</v>
      </c>
      <c r="EX4" s="75" t="s">
        <v>65</v>
      </c>
      <c r="EY4" s="75" t="s">
        <v>66</v>
      </c>
      <c r="EZ4" s="75" t="s">
        <v>67</v>
      </c>
      <c r="FA4" s="75" t="s">
        <v>68</v>
      </c>
      <c r="FB4" s="75" t="s">
        <v>69</v>
      </c>
      <c r="FC4" s="76" t="s">
        <v>70</v>
      </c>
      <c r="FD4" s="77" t="s">
        <v>71</v>
      </c>
      <c r="FE4" s="78" t="s">
        <v>72</v>
      </c>
      <c r="FF4" s="70"/>
      <c r="FG4" s="71" t="s">
        <v>35</v>
      </c>
      <c r="FH4" s="71" t="s">
        <v>36</v>
      </c>
      <c r="FI4" s="71" t="s">
        <v>37</v>
      </c>
      <c r="FJ4" s="71" t="s">
        <v>38</v>
      </c>
      <c r="FK4" s="71" t="s">
        <v>39</v>
      </c>
      <c r="FL4" s="72" t="s">
        <v>40</v>
      </c>
      <c r="FM4" s="72" t="s">
        <v>41</v>
      </c>
      <c r="FN4" s="72" t="s">
        <v>42</v>
      </c>
      <c r="FO4" s="72" t="s">
        <v>43</v>
      </c>
      <c r="FP4" s="72" t="s">
        <v>44</v>
      </c>
      <c r="FQ4" s="73" t="s">
        <v>45</v>
      </c>
      <c r="FR4" s="73" t="s">
        <v>46</v>
      </c>
      <c r="FS4" s="73" t="s">
        <v>47</v>
      </c>
      <c r="FT4" s="73" t="s">
        <v>48</v>
      </c>
      <c r="FU4" s="73" t="s">
        <v>49</v>
      </c>
      <c r="FV4" s="73" t="s">
        <v>50</v>
      </c>
      <c r="FW4" s="73" t="s">
        <v>51</v>
      </c>
      <c r="FX4" s="73" t="s">
        <v>52</v>
      </c>
      <c r="FY4" s="74" t="s">
        <v>53</v>
      </c>
      <c r="FZ4" s="74" t="s">
        <v>54</v>
      </c>
      <c r="GA4" s="74" t="s">
        <v>55</v>
      </c>
      <c r="GB4" s="74" t="s">
        <v>56</v>
      </c>
      <c r="GC4" s="74" t="s">
        <v>57</v>
      </c>
      <c r="GD4" s="74" t="s">
        <v>58</v>
      </c>
      <c r="GE4" s="74" t="s">
        <v>59</v>
      </c>
      <c r="GF4" s="74" t="s">
        <v>60</v>
      </c>
      <c r="GG4" s="74" t="s">
        <v>61</v>
      </c>
      <c r="GH4" s="74" t="s">
        <v>62</v>
      </c>
      <c r="GI4" s="74" t="s">
        <v>63</v>
      </c>
      <c r="GJ4" s="75" t="s">
        <v>64</v>
      </c>
      <c r="GK4" s="75" t="s">
        <v>65</v>
      </c>
      <c r="GL4" s="75" t="s">
        <v>66</v>
      </c>
      <c r="GM4" s="75" t="s">
        <v>67</v>
      </c>
      <c r="GN4" s="75" t="s">
        <v>68</v>
      </c>
      <c r="GO4" s="75" t="s">
        <v>69</v>
      </c>
      <c r="GP4" s="76" t="s">
        <v>70</v>
      </c>
      <c r="GQ4" s="77" t="s">
        <v>71</v>
      </c>
      <c r="GR4" s="78" t="s">
        <v>72</v>
      </c>
      <c r="GS4" s="70"/>
      <c r="GT4" s="71" t="s">
        <v>35</v>
      </c>
      <c r="GU4" s="71" t="s">
        <v>36</v>
      </c>
      <c r="GV4" s="71" t="s">
        <v>37</v>
      </c>
      <c r="GW4" s="71" t="s">
        <v>38</v>
      </c>
      <c r="GX4" s="71" t="s">
        <v>39</v>
      </c>
      <c r="GY4" s="72" t="s">
        <v>40</v>
      </c>
      <c r="GZ4" s="72" t="s">
        <v>41</v>
      </c>
      <c r="HA4" s="72" t="s">
        <v>42</v>
      </c>
      <c r="HB4" s="72" t="s">
        <v>43</v>
      </c>
      <c r="HC4" s="72" t="s">
        <v>44</v>
      </c>
      <c r="HD4" s="73" t="s">
        <v>45</v>
      </c>
      <c r="HE4" s="73" t="s">
        <v>46</v>
      </c>
      <c r="HF4" s="73" t="s">
        <v>47</v>
      </c>
      <c r="HG4" s="73" t="s">
        <v>48</v>
      </c>
      <c r="HH4" s="73" t="s">
        <v>49</v>
      </c>
      <c r="HI4" s="73" t="s">
        <v>50</v>
      </c>
      <c r="HJ4" s="73" t="s">
        <v>51</v>
      </c>
      <c r="HK4" s="73" t="s">
        <v>52</v>
      </c>
      <c r="HL4" s="74" t="s">
        <v>53</v>
      </c>
      <c r="HM4" s="74" t="s">
        <v>54</v>
      </c>
      <c r="HN4" s="74" t="s">
        <v>55</v>
      </c>
      <c r="HO4" s="74" t="s">
        <v>56</v>
      </c>
      <c r="HP4" s="74" t="s">
        <v>57</v>
      </c>
      <c r="HQ4" s="74" t="s">
        <v>58</v>
      </c>
      <c r="HR4" s="74" t="s">
        <v>59</v>
      </c>
      <c r="HS4" s="74" t="s">
        <v>60</v>
      </c>
      <c r="HT4" s="74" t="s">
        <v>61</v>
      </c>
      <c r="HU4" s="74" t="s">
        <v>62</v>
      </c>
      <c r="HV4" s="74" t="s">
        <v>63</v>
      </c>
      <c r="HW4" s="75" t="s">
        <v>64</v>
      </c>
      <c r="HX4" s="75" t="s">
        <v>65</v>
      </c>
      <c r="HY4" s="75" t="s">
        <v>66</v>
      </c>
      <c r="HZ4" s="75" t="s">
        <v>67</v>
      </c>
      <c r="IA4" s="75" t="s">
        <v>68</v>
      </c>
      <c r="IB4" s="75" t="s">
        <v>69</v>
      </c>
      <c r="IC4" s="76" t="s">
        <v>70</v>
      </c>
      <c r="ID4" s="77" t="s">
        <v>71</v>
      </c>
      <c r="IE4" s="78" t="s">
        <v>72</v>
      </c>
      <c r="IF4" s="70"/>
      <c r="IG4" s="71" t="s">
        <v>35</v>
      </c>
      <c r="IH4" s="71" t="s">
        <v>36</v>
      </c>
      <c r="II4" s="71" t="s">
        <v>37</v>
      </c>
      <c r="IJ4" s="71" t="s">
        <v>38</v>
      </c>
      <c r="IK4" s="71" t="s">
        <v>39</v>
      </c>
      <c r="IL4" s="72" t="s">
        <v>40</v>
      </c>
      <c r="IM4" s="72" t="s">
        <v>41</v>
      </c>
      <c r="IN4" s="72" t="s">
        <v>42</v>
      </c>
      <c r="IO4" s="72" t="s">
        <v>43</v>
      </c>
      <c r="IP4" s="72" t="s">
        <v>44</v>
      </c>
      <c r="IQ4" s="73" t="s">
        <v>45</v>
      </c>
      <c r="IR4" s="73" t="s">
        <v>46</v>
      </c>
      <c r="IS4" s="73" t="s">
        <v>47</v>
      </c>
      <c r="IT4" s="73" t="s">
        <v>48</v>
      </c>
      <c r="IU4" s="73" t="s">
        <v>49</v>
      </c>
      <c r="IV4" s="73" t="s">
        <v>50</v>
      </c>
      <c r="IW4" s="73" t="s">
        <v>51</v>
      </c>
      <c r="IX4" s="73" t="s">
        <v>52</v>
      </c>
      <c r="IY4" s="74" t="s">
        <v>53</v>
      </c>
      <c r="IZ4" s="74" t="s">
        <v>54</v>
      </c>
      <c r="JA4" s="74" t="s">
        <v>55</v>
      </c>
      <c r="JB4" s="74" t="s">
        <v>56</v>
      </c>
      <c r="JC4" s="74" t="s">
        <v>57</v>
      </c>
      <c r="JD4" s="74" t="s">
        <v>58</v>
      </c>
      <c r="JE4" s="74" t="s">
        <v>59</v>
      </c>
      <c r="JF4" s="74" t="s">
        <v>60</v>
      </c>
      <c r="JG4" s="74" t="s">
        <v>61</v>
      </c>
      <c r="JH4" s="74" t="s">
        <v>62</v>
      </c>
      <c r="JI4" s="74" t="s">
        <v>63</v>
      </c>
      <c r="JJ4" s="75" t="s">
        <v>64</v>
      </c>
      <c r="JK4" s="75" t="s">
        <v>65</v>
      </c>
      <c r="JL4" s="75" t="s">
        <v>66</v>
      </c>
      <c r="JM4" s="75" t="s">
        <v>67</v>
      </c>
      <c r="JN4" s="75" t="s">
        <v>68</v>
      </c>
      <c r="JO4" s="75" t="s">
        <v>69</v>
      </c>
      <c r="JP4" s="76" t="s">
        <v>70</v>
      </c>
      <c r="JQ4" s="77" t="s">
        <v>71</v>
      </c>
      <c r="JR4" s="78" t="s">
        <v>72</v>
      </c>
      <c r="JS4" s="70"/>
      <c r="JT4" s="71" t="s">
        <v>35</v>
      </c>
      <c r="JU4" s="71" t="s">
        <v>36</v>
      </c>
      <c r="JV4" s="71" t="s">
        <v>37</v>
      </c>
      <c r="JW4" s="71" t="s">
        <v>38</v>
      </c>
      <c r="JX4" s="71" t="s">
        <v>39</v>
      </c>
      <c r="JY4" s="72" t="s">
        <v>40</v>
      </c>
      <c r="JZ4" s="72" t="s">
        <v>41</v>
      </c>
      <c r="KA4" s="72" t="s">
        <v>42</v>
      </c>
      <c r="KB4" s="72" t="s">
        <v>43</v>
      </c>
      <c r="KC4" s="72" t="s">
        <v>44</v>
      </c>
      <c r="KD4" s="73" t="s">
        <v>45</v>
      </c>
      <c r="KE4" s="73" t="s">
        <v>46</v>
      </c>
      <c r="KF4" s="73" t="s">
        <v>47</v>
      </c>
      <c r="KG4" s="73" t="s">
        <v>48</v>
      </c>
      <c r="KH4" s="73" t="s">
        <v>49</v>
      </c>
      <c r="KI4" s="73" t="s">
        <v>50</v>
      </c>
      <c r="KJ4" s="73" t="s">
        <v>51</v>
      </c>
      <c r="KK4" s="73" t="s">
        <v>52</v>
      </c>
      <c r="KL4" s="74" t="s">
        <v>53</v>
      </c>
      <c r="KM4" s="74" t="s">
        <v>54</v>
      </c>
      <c r="KN4" s="74" t="s">
        <v>55</v>
      </c>
      <c r="KO4" s="74" t="s">
        <v>56</v>
      </c>
      <c r="KP4" s="74" t="s">
        <v>57</v>
      </c>
      <c r="KQ4" s="74" t="s">
        <v>58</v>
      </c>
      <c r="KR4" s="74" t="s">
        <v>59</v>
      </c>
      <c r="KS4" s="74" t="s">
        <v>60</v>
      </c>
      <c r="KT4" s="74" t="s">
        <v>61</v>
      </c>
      <c r="KU4" s="74" t="s">
        <v>62</v>
      </c>
      <c r="KV4" s="74" t="s">
        <v>63</v>
      </c>
      <c r="KW4" s="75" t="s">
        <v>64</v>
      </c>
      <c r="KX4" s="75" t="s">
        <v>65</v>
      </c>
      <c r="KY4" s="75" t="s">
        <v>66</v>
      </c>
      <c r="KZ4" s="75" t="s">
        <v>67</v>
      </c>
      <c r="LA4" s="75" t="s">
        <v>68</v>
      </c>
      <c r="LB4" s="75" t="s">
        <v>69</v>
      </c>
      <c r="LC4" s="76" t="s">
        <v>70</v>
      </c>
      <c r="LD4" s="77" t="s">
        <v>71</v>
      </c>
      <c r="LE4" s="78" t="s">
        <v>72</v>
      </c>
      <c r="LF4" s="70"/>
      <c r="LG4" s="71" t="s">
        <v>35</v>
      </c>
      <c r="LH4" s="71" t="s">
        <v>36</v>
      </c>
      <c r="LI4" s="71" t="s">
        <v>37</v>
      </c>
      <c r="LJ4" s="71" t="s">
        <v>38</v>
      </c>
      <c r="LK4" s="71" t="s">
        <v>39</v>
      </c>
      <c r="LL4" s="72" t="s">
        <v>40</v>
      </c>
      <c r="LM4" s="72" t="s">
        <v>41</v>
      </c>
      <c r="LN4" s="72" t="s">
        <v>42</v>
      </c>
      <c r="LO4" s="72" t="s">
        <v>43</v>
      </c>
      <c r="LP4" s="72" t="s">
        <v>44</v>
      </c>
      <c r="LQ4" s="73" t="s">
        <v>45</v>
      </c>
      <c r="LR4" s="73" t="s">
        <v>46</v>
      </c>
      <c r="LS4" s="73" t="s">
        <v>47</v>
      </c>
      <c r="LT4" s="73" t="s">
        <v>48</v>
      </c>
      <c r="LU4" s="73" t="s">
        <v>49</v>
      </c>
      <c r="LV4" s="73" t="s">
        <v>50</v>
      </c>
      <c r="LW4" s="73" t="s">
        <v>51</v>
      </c>
      <c r="LX4" s="73" t="s">
        <v>52</v>
      </c>
      <c r="LY4" s="74" t="s">
        <v>53</v>
      </c>
      <c r="LZ4" s="74" t="s">
        <v>54</v>
      </c>
      <c r="MA4" s="74" t="s">
        <v>55</v>
      </c>
      <c r="MB4" s="74" t="s">
        <v>56</v>
      </c>
      <c r="MC4" s="74" t="s">
        <v>57</v>
      </c>
      <c r="MD4" s="74" t="s">
        <v>58</v>
      </c>
      <c r="ME4" s="74" t="s">
        <v>59</v>
      </c>
      <c r="MF4" s="74" t="s">
        <v>60</v>
      </c>
      <c r="MG4" s="74" t="s">
        <v>61</v>
      </c>
      <c r="MH4" s="74" t="s">
        <v>62</v>
      </c>
      <c r="MI4" s="74" t="s">
        <v>63</v>
      </c>
      <c r="MJ4" s="75" t="s">
        <v>64</v>
      </c>
      <c r="MK4" s="75" t="s">
        <v>65</v>
      </c>
      <c r="ML4" s="75" t="s">
        <v>66</v>
      </c>
      <c r="MM4" s="75" t="s">
        <v>67</v>
      </c>
      <c r="MN4" s="75" t="s">
        <v>68</v>
      </c>
      <c r="MO4" s="75" t="s">
        <v>69</v>
      </c>
      <c r="MP4" s="76" t="s">
        <v>70</v>
      </c>
      <c r="MQ4" s="77" t="s">
        <v>71</v>
      </c>
      <c r="MR4" s="78" t="s">
        <v>72</v>
      </c>
      <c r="MS4" s="70"/>
      <c r="MT4" s="71" t="s">
        <v>35</v>
      </c>
      <c r="MU4" s="71" t="s">
        <v>36</v>
      </c>
      <c r="MV4" s="71" t="s">
        <v>37</v>
      </c>
      <c r="MW4" s="71" t="s">
        <v>38</v>
      </c>
      <c r="MX4" s="71" t="s">
        <v>39</v>
      </c>
      <c r="MY4" s="72" t="s">
        <v>40</v>
      </c>
      <c r="MZ4" s="72" t="s">
        <v>41</v>
      </c>
      <c r="NA4" s="72" t="s">
        <v>42</v>
      </c>
      <c r="NB4" s="72" t="s">
        <v>43</v>
      </c>
      <c r="NC4" s="72" t="s">
        <v>44</v>
      </c>
      <c r="ND4" s="73" t="s">
        <v>45</v>
      </c>
      <c r="NE4" s="73" t="s">
        <v>46</v>
      </c>
      <c r="NF4" s="73" t="s">
        <v>47</v>
      </c>
      <c r="NG4" s="73" t="s">
        <v>48</v>
      </c>
      <c r="NH4" s="73" t="s">
        <v>49</v>
      </c>
      <c r="NI4" s="73" t="s">
        <v>50</v>
      </c>
      <c r="NJ4" s="73" t="s">
        <v>51</v>
      </c>
      <c r="NK4" s="73" t="s">
        <v>52</v>
      </c>
      <c r="NL4" s="74" t="s">
        <v>53</v>
      </c>
      <c r="NM4" s="74" t="s">
        <v>54</v>
      </c>
      <c r="NN4" s="74" t="s">
        <v>55</v>
      </c>
      <c r="NO4" s="74" t="s">
        <v>56</v>
      </c>
      <c r="NP4" s="74" t="s">
        <v>57</v>
      </c>
      <c r="NQ4" s="74" t="s">
        <v>58</v>
      </c>
      <c r="NR4" s="74" t="s">
        <v>59</v>
      </c>
      <c r="NS4" s="74" t="s">
        <v>60</v>
      </c>
      <c r="NT4" s="74" t="s">
        <v>61</v>
      </c>
      <c r="NU4" s="74" t="s">
        <v>62</v>
      </c>
      <c r="NV4" s="74" t="s">
        <v>63</v>
      </c>
      <c r="NW4" s="75" t="s">
        <v>64</v>
      </c>
      <c r="NX4" s="75" t="s">
        <v>65</v>
      </c>
      <c r="NY4" s="75" t="s">
        <v>66</v>
      </c>
      <c r="NZ4" s="75" t="s">
        <v>67</v>
      </c>
      <c r="OA4" s="75" t="s">
        <v>68</v>
      </c>
      <c r="OB4" s="75" t="s">
        <v>69</v>
      </c>
      <c r="OC4" s="76" t="s">
        <v>70</v>
      </c>
      <c r="OD4" s="77" t="s">
        <v>71</v>
      </c>
      <c r="OE4" s="78" t="s">
        <v>72</v>
      </c>
      <c r="OF4" s="70"/>
      <c r="OG4" s="71" t="s">
        <v>35</v>
      </c>
      <c r="OH4" s="71" t="s">
        <v>36</v>
      </c>
      <c r="OI4" s="71" t="s">
        <v>37</v>
      </c>
      <c r="OJ4" s="71" t="s">
        <v>38</v>
      </c>
      <c r="OK4" s="71" t="s">
        <v>39</v>
      </c>
      <c r="OL4" s="72" t="s">
        <v>40</v>
      </c>
      <c r="OM4" s="72" t="s">
        <v>41</v>
      </c>
      <c r="ON4" s="72" t="s">
        <v>42</v>
      </c>
      <c r="OO4" s="72" t="s">
        <v>43</v>
      </c>
      <c r="OP4" s="72" t="s">
        <v>44</v>
      </c>
      <c r="OQ4" s="73" t="s">
        <v>45</v>
      </c>
      <c r="OR4" s="73" t="s">
        <v>46</v>
      </c>
      <c r="OS4" s="73" t="s">
        <v>47</v>
      </c>
      <c r="OT4" s="73" t="s">
        <v>48</v>
      </c>
      <c r="OU4" s="73" t="s">
        <v>49</v>
      </c>
      <c r="OV4" s="73" t="s">
        <v>50</v>
      </c>
      <c r="OW4" s="73" t="s">
        <v>51</v>
      </c>
      <c r="OX4" s="73" t="s">
        <v>52</v>
      </c>
      <c r="OY4" s="74" t="s">
        <v>53</v>
      </c>
      <c r="OZ4" s="74" t="s">
        <v>54</v>
      </c>
      <c r="PA4" s="74" t="s">
        <v>55</v>
      </c>
      <c r="PB4" s="74" t="s">
        <v>56</v>
      </c>
      <c r="PC4" s="74" t="s">
        <v>57</v>
      </c>
      <c r="PD4" s="74" t="s">
        <v>58</v>
      </c>
      <c r="PE4" s="74" t="s">
        <v>59</v>
      </c>
      <c r="PF4" s="74" t="s">
        <v>60</v>
      </c>
      <c r="PG4" s="74" t="s">
        <v>61</v>
      </c>
      <c r="PH4" s="74" t="s">
        <v>62</v>
      </c>
      <c r="PI4" s="74" t="s">
        <v>63</v>
      </c>
      <c r="PJ4" s="75" t="s">
        <v>64</v>
      </c>
      <c r="PK4" s="75" t="s">
        <v>65</v>
      </c>
      <c r="PL4" s="75" t="s">
        <v>66</v>
      </c>
      <c r="PM4" s="75" t="s">
        <v>67</v>
      </c>
      <c r="PN4" s="75" t="s">
        <v>68</v>
      </c>
      <c r="PO4" s="75" t="s">
        <v>69</v>
      </c>
      <c r="PP4" s="76" t="s">
        <v>70</v>
      </c>
      <c r="PQ4" s="77" t="s">
        <v>71</v>
      </c>
      <c r="PR4" s="78" t="s">
        <v>72</v>
      </c>
      <c r="PT4" s="46" t="s">
        <v>35</v>
      </c>
      <c r="PU4" s="46" t="s">
        <v>36</v>
      </c>
      <c r="PV4" s="46" t="s">
        <v>37</v>
      </c>
      <c r="PW4" s="46" t="s">
        <v>38</v>
      </c>
      <c r="PX4" s="46" t="s">
        <v>39</v>
      </c>
      <c r="PY4" s="46" t="s">
        <v>40</v>
      </c>
      <c r="PZ4" s="46" t="s">
        <v>41</v>
      </c>
      <c r="QA4" s="46" t="s">
        <v>42</v>
      </c>
      <c r="QB4" s="46" t="s">
        <v>43</v>
      </c>
      <c r="QC4" s="46" t="s">
        <v>44</v>
      </c>
      <c r="QD4" s="46" t="s">
        <v>45</v>
      </c>
      <c r="QE4" s="46" t="s">
        <v>46</v>
      </c>
      <c r="QF4" s="46" t="s">
        <v>47</v>
      </c>
      <c r="QG4" s="46" t="s">
        <v>48</v>
      </c>
      <c r="QH4" s="46" t="s">
        <v>49</v>
      </c>
      <c r="QI4" s="46" t="s">
        <v>50</v>
      </c>
      <c r="QJ4" s="46" t="s">
        <v>51</v>
      </c>
      <c r="QK4" s="46" t="s">
        <v>52</v>
      </c>
      <c r="QL4" s="46" t="s">
        <v>53</v>
      </c>
      <c r="QM4" s="46" t="s">
        <v>54</v>
      </c>
      <c r="QN4" s="46" t="s">
        <v>55</v>
      </c>
      <c r="QO4" s="46" t="s">
        <v>56</v>
      </c>
      <c r="QP4" s="46" t="s">
        <v>57</v>
      </c>
      <c r="QQ4" s="46" t="s">
        <v>58</v>
      </c>
      <c r="QR4" s="46" t="s">
        <v>59</v>
      </c>
      <c r="QS4" s="46" t="s">
        <v>60</v>
      </c>
      <c r="QT4" s="46" t="s">
        <v>61</v>
      </c>
      <c r="QU4" s="46" t="s">
        <v>62</v>
      </c>
      <c r="QV4" s="46" t="s">
        <v>63</v>
      </c>
      <c r="QW4" s="46" t="s">
        <v>64</v>
      </c>
      <c r="QX4" s="46" t="s">
        <v>65</v>
      </c>
      <c r="QY4" s="46" t="s">
        <v>66</v>
      </c>
      <c r="QZ4" s="46" t="s">
        <v>67</v>
      </c>
      <c r="RA4" s="46" t="s">
        <v>68</v>
      </c>
      <c r="RB4" s="46" t="s">
        <v>69</v>
      </c>
      <c r="RC4" s="46" t="s">
        <v>70</v>
      </c>
      <c r="RD4" s="46" t="s">
        <v>71</v>
      </c>
      <c r="RE4" s="46" t="s">
        <v>72</v>
      </c>
      <c r="RG4" s="47" t="s">
        <v>35</v>
      </c>
      <c r="RH4" s="47" t="s">
        <v>36</v>
      </c>
      <c r="RI4" s="47" t="s">
        <v>37</v>
      </c>
      <c r="RJ4" s="47" t="s">
        <v>38</v>
      </c>
      <c r="RK4" s="47" t="s">
        <v>39</v>
      </c>
      <c r="RL4" s="47" t="s">
        <v>40</v>
      </c>
      <c r="RM4" s="47" t="s">
        <v>41</v>
      </c>
      <c r="RN4" s="47" t="s">
        <v>42</v>
      </c>
      <c r="RO4" s="47" t="s">
        <v>43</v>
      </c>
      <c r="RP4" s="47" t="s">
        <v>44</v>
      </c>
      <c r="RQ4" s="47" t="s">
        <v>45</v>
      </c>
      <c r="RR4" s="47" t="s">
        <v>46</v>
      </c>
      <c r="RS4" s="47" t="s">
        <v>47</v>
      </c>
      <c r="RT4" s="47" t="s">
        <v>48</v>
      </c>
      <c r="RU4" s="47" t="s">
        <v>49</v>
      </c>
      <c r="RV4" s="47" t="s">
        <v>50</v>
      </c>
      <c r="RW4" s="47" t="s">
        <v>51</v>
      </c>
      <c r="RX4" s="47" t="s">
        <v>52</v>
      </c>
      <c r="RY4" s="47" t="s">
        <v>53</v>
      </c>
      <c r="RZ4" s="47" t="s">
        <v>54</v>
      </c>
      <c r="SA4" s="47" t="s">
        <v>55</v>
      </c>
      <c r="SB4" s="47" t="s">
        <v>56</v>
      </c>
      <c r="SC4" s="47" t="s">
        <v>57</v>
      </c>
      <c r="SD4" s="47" t="s">
        <v>58</v>
      </c>
      <c r="SE4" s="47" t="s">
        <v>59</v>
      </c>
      <c r="SF4" s="47" t="s">
        <v>60</v>
      </c>
      <c r="SG4" s="47" t="s">
        <v>61</v>
      </c>
      <c r="SH4" s="47" t="s">
        <v>62</v>
      </c>
      <c r="SI4" s="47" t="s">
        <v>63</v>
      </c>
      <c r="SJ4" s="47" t="s">
        <v>64</v>
      </c>
      <c r="SK4" s="47" t="s">
        <v>65</v>
      </c>
      <c r="SL4" s="47" t="s">
        <v>66</v>
      </c>
      <c r="SM4" s="47" t="s">
        <v>67</v>
      </c>
      <c r="SN4" s="47" t="s">
        <v>68</v>
      </c>
      <c r="SO4" s="47" t="s">
        <v>69</v>
      </c>
      <c r="SP4" s="47" t="s">
        <v>70</v>
      </c>
      <c r="SQ4" s="47" t="s">
        <v>71</v>
      </c>
      <c r="SR4" s="47" t="s">
        <v>72</v>
      </c>
    </row>
    <row r="5" spans="1:512" ht="18" customHeight="1" x14ac:dyDescent="0.25">
      <c r="A5" s="79" t="s">
        <v>73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  <c r="FH5" s="80"/>
      <c r="FI5" s="80"/>
      <c r="FJ5" s="80"/>
      <c r="FK5" s="80"/>
      <c r="FL5" s="80"/>
      <c r="FM5" s="80"/>
      <c r="FN5" s="80"/>
      <c r="FO5" s="80"/>
      <c r="FP5" s="80"/>
      <c r="FQ5" s="80"/>
      <c r="FR5" s="80"/>
      <c r="FS5" s="80"/>
      <c r="FT5" s="80"/>
      <c r="FU5" s="80"/>
      <c r="FV5" s="80"/>
      <c r="FW5" s="80"/>
      <c r="FX5" s="80"/>
      <c r="FY5" s="80"/>
      <c r="FZ5" s="80"/>
      <c r="GA5" s="80"/>
      <c r="GB5" s="80"/>
      <c r="GC5" s="80"/>
      <c r="GD5" s="80"/>
      <c r="GE5" s="80"/>
      <c r="GF5" s="80"/>
      <c r="GG5" s="80"/>
      <c r="GH5" s="80"/>
      <c r="GI5" s="80"/>
      <c r="GJ5" s="80"/>
      <c r="GK5" s="80"/>
      <c r="GL5" s="80"/>
      <c r="GM5" s="80"/>
      <c r="GN5" s="80"/>
      <c r="GO5" s="80"/>
      <c r="GP5" s="80"/>
      <c r="GQ5" s="80"/>
      <c r="GR5" s="80"/>
      <c r="GS5" s="80"/>
      <c r="GT5" s="80"/>
      <c r="GU5" s="80"/>
      <c r="GV5" s="80"/>
      <c r="GW5" s="80"/>
      <c r="GX5" s="80"/>
      <c r="GY5" s="80"/>
      <c r="GZ5" s="80"/>
      <c r="HA5" s="80"/>
      <c r="HB5" s="80"/>
      <c r="HC5" s="80"/>
      <c r="HD5" s="80"/>
      <c r="HE5" s="80"/>
      <c r="HF5" s="80"/>
      <c r="HG5" s="80"/>
      <c r="HH5" s="80"/>
      <c r="HI5" s="80"/>
      <c r="HJ5" s="80"/>
      <c r="HK5" s="80"/>
      <c r="HL5" s="80"/>
      <c r="HM5" s="80"/>
      <c r="HN5" s="80"/>
      <c r="HO5" s="80"/>
      <c r="HP5" s="80"/>
      <c r="HQ5" s="80"/>
      <c r="HR5" s="80"/>
      <c r="HS5" s="80"/>
      <c r="HT5" s="80"/>
      <c r="HU5" s="80"/>
      <c r="HV5" s="80"/>
      <c r="HW5" s="80"/>
      <c r="HX5" s="80"/>
      <c r="HY5" s="80"/>
      <c r="HZ5" s="80"/>
      <c r="IA5" s="80"/>
      <c r="IB5" s="80"/>
      <c r="IC5" s="80"/>
      <c r="ID5" s="80"/>
      <c r="IE5" s="80"/>
      <c r="IF5" s="80"/>
      <c r="IG5" s="80"/>
      <c r="IH5" s="80"/>
      <c r="II5" s="80"/>
      <c r="IJ5" s="80"/>
      <c r="IK5" s="80"/>
      <c r="IL5" s="80"/>
      <c r="IM5" s="80"/>
      <c r="IN5" s="80"/>
      <c r="IO5" s="80"/>
      <c r="IP5" s="80"/>
      <c r="IQ5" s="80"/>
      <c r="IR5" s="80"/>
      <c r="IS5" s="80"/>
      <c r="IT5" s="80"/>
      <c r="IU5" s="80"/>
      <c r="IV5" s="80"/>
      <c r="IW5" s="80"/>
      <c r="IX5" s="80"/>
      <c r="IY5" s="80"/>
      <c r="IZ5" s="80"/>
      <c r="JA5" s="80"/>
      <c r="JB5" s="80"/>
      <c r="JC5" s="80"/>
      <c r="JD5" s="80"/>
      <c r="JE5" s="80"/>
      <c r="JF5" s="80"/>
      <c r="JG5" s="80"/>
      <c r="JH5" s="80"/>
      <c r="JI5" s="80"/>
      <c r="JJ5" s="80"/>
      <c r="JK5" s="80"/>
      <c r="JL5" s="80"/>
      <c r="JM5" s="80"/>
      <c r="JN5" s="80"/>
      <c r="JO5" s="80"/>
      <c r="JP5" s="80"/>
      <c r="JQ5" s="80"/>
      <c r="JR5" s="80"/>
      <c r="JS5" s="80"/>
      <c r="JT5" s="80"/>
      <c r="JU5" s="80"/>
      <c r="JV5" s="80"/>
      <c r="JW5" s="80"/>
      <c r="JX5" s="80"/>
      <c r="JY5" s="80"/>
      <c r="JZ5" s="80"/>
      <c r="KA5" s="80"/>
      <c r="KB5" s="80"/>
      <c r="KC5" s="80"/>
      <c r="KD5" s="80"/>
      <c r="KE5" s="80"/>
      <c r="KF5" s="80"/>
      <c r="KG5" s="80"/>
      <c r="KH5" s="80"/>
      <c r="KI5" s="80"/>
      <c r="KJ5" s="80"/>
      <c r="KK5" s="80"/>
      <c r="KL5" s="80"/>
      <c r="KM5" s="80"/>
      <c r="KN5" s="80"/>
      <c r="KO5" s="80"/>
      <c r="KP5" s="80"/>
      <c r="KQ5" s="80"/>
      <c r="KR5" s="80"/>
      <c r="KS5" s="80"/>
      <c r="KT5" s="80"/>
      <c r="KU5" s="80"/>
      <c r="KV5" s="80"/>
      <c r="KW5" s="80"/>
      <c r="KX5" s="80"/>
      <c r="KY5" s="80"/>
      <c r="KZ5" s="80"/>
      <c r="LA5" s="80"/>
      <c r="LB5" s="80"/>
      <c r="LC5" s="80"/>
      <c r="LD5" s="80"/>
      <c r="LE5" s="80"/>
      <c r="LF5" s="80"/>
      <c r="LG5" s="80"/>
      <c r="LH5" s="80"/>
      <c r="LI5" s="80"/>
      <c r="LJ5" s="80"/>
      <c r="LK5" s="80"/>
      <c r="LL5" s="80"/>
      <c r="LM5" s="80"/>
      <c r="LN5" s="80"/>
      <c r="LO5" s="80"/>
      <c r="LP5" s="80"/>
      <c r="LQ5" s="80"/>
      <c r="LR5" s="80"/>
      <c r="LS5" s="80"/>
      <c r="LT5" s="80"/>
      <c r="LU5" s="80"/>
      <c r="LV5" s="80"/>
      <c r="LW5" s="80"/>
      <c r="LX5" s="80"/>
      <c r="LY5" s="80"/>
      <c r="LZ5" s="80"/>
      <c r="MA5" s="80"/>
      <c r="MB5" s="80"/>
      <c r="MC5" s="80"/>
      <c r="MD5" s="80"/>
      <c r="ME5" s="80"/>
      <c r="MF5" s="80"/>
      <c r="MG5" s="80"/>
      <c r="MH5" s="80"/>
      <c r="MI5" s="80"/>
      <c r="MJ5" s="80"/>
      <c r="MK5" s="80"/>
      <c r="ML5" s="80"/>
      <c r="MM5" s="80"/>
      <c r="MN5" s="80"/>
      <c r="MO5" s="80"/>
      <c r="MP5" s="80"/>
      <c r="MQ5" s="80"/>
      <c r="MR5" s="80"/>
      <c r="MS5" s="80"/>
      <c r="MT5" s="80"/>
      <c r="MU5" s="80"/>
      <c r="MV5" s="80"/>
      <c r="MW5" s="80"/>
      <c r="MX5" s="80"/>
      <c r="MY5" s="80"/>
      <c r="MZ5" s="80"/>
      <c r="NA5" s="80"/>
      <c r="NB5" s="80"/>
      <c r="NC5" s="80"/>
      <c r="ND5" s="80"/>
      <c r="NE5" s="80"/>
      <c r="NF5" s="80"/>
      <c r="NG5" s="80"/>
      <c r="NH5" s="80"/>
      <c r="NI5" s="80"/>
      <c r="NJ5" s="80"/>
      <c r="NK5" s="80"/>
      <c r="NL5" s="80"/>
      <c r="NM5" s="80"/>
      <c r="NN5" s="80"/>
      <c r="NO5" s="80"/>
      <c r="NP5" s="80"/>
      <c r="NQ5" s="80"/>
      <c r="NR5" s="80"/>
      <c r="NS5" s="80"/>
      <c r="NT5" s="80"/>
      <c r="NU5" s="80"/>
      <c r="NV5" s="80"/>
      <c r="NW5" s="80"/>
      <c r="NX5" s="80"/>
      <c r="NY5" s="80"/>
      <c r="NZ5" s="80"/>
      <c r="OA5" s="80"/>
      <c r="OB5" s="80"/>
      <c r="OC5" s="80"/>
      <c r="OD5" s="80"/>
      <c r="OE5" s="80"/>
      <c r="OF5" s="80"/>
      <c r="OG5" s="80"/>
      <c r="OH5" s="80"/>
      <c r="OI5" s="80"/>
      <c r="OJ5" s="80"/>
      <c r="OK5" s="80"/>
      <c r="OL5" s="80"/>
      <c r="OM5" s="80"/>
      <c r="ON5" s="80"/>
      <c r="OO5" s="80"/>
      <c r="OP5" s="80"/>
      <c r="OQ5" s="80"/>
      <c r="OR5" s="80"/>
      <c r="OS5" s="80"/>
      <c r="OT5" s="80"/>
      <c r="OU5" s="80"/>
      <c r="OV5" s="80"/>
      <c r="OW5" s="80"/>
      <c r="OX5" s="80"/>
      <c r="OY5" s="80"/>
      <c r="OZ5" s="80"/>
      <c r="PA5" s="80"/>
      <c r="PB5" s="80"/>
      <c r="PC5" s="80"/>
      <c r="PD5" s="80"/>
      <c r="PE5" s="80"/>
      <c r="PF5" s="80"/>
      <c r="PG5" s="80"/>
      <c r="PH5" s="80"/>
      <c r="PI5" s="80"/>
      <c r="PJ5" s="80"/>
      <c r="PK5" s="80"/>
      <c r="PL5" s="80"/>
      <c r="PM5" s="80"/>
      <c r="PN5" s="80"/>
      <c r="PO5" s="80"/>
      <c r="PP5" s="80"/>
      <c r="PQ5" s="80"/>
      <c r="PR5" s="80"/>
      <c r="PS5" s="80"/>
      <c r="PT5" s="80"/>
      <c r="PU5" s="80"/>
      <c r="PV5" s="80"/>
      <c r="PW5" s="80"/>
      <c r="PX5" s="80"/>
      <c r="PY5" s="80"/>
      <c r="PZ5" s="80"/>
      <c r="QA5" s="80"/>
      <c r="QB5" s="80"/>
      <c r="QC5" s="80"/>
      <c r="QD5" s="80"/>
      <c r="QE5" s="80"/>
      <c r="QF5" s="80"/>
      <c r="QG5" s="80"/>
      <c r="QH5" s="80"/>
      <c r="QI5" s="80"/>
      <c r="QJ5" s="80"/>
      <c r="QK5" s="80"/>
      <c r="QL5" s="80"/>
      <c r="QM5" s="80"/>
      <c r="QN5" s="80"/>
      <c r="QO5" s="80"/>
      <c r="QP5" s="80"/>
      <c r="QQ5" s="80"/>
      <c r="QR5" s="80"/>
      <c r="QS5" s="80"/>
      <c r="QT5" s="80"/>
      <c r="QU5" s="80"/>
      <c r="QV5" s="80"/>
      <c r="QW5" s="80"/>
      <c r="QX5" s="80"/>
      <c r="QY5" s="80"/>
      <c r="QZ5" s="80"/>
      <c r="RA5" s="80"/>
      <c r="RB5" s="80"/>
      <c r="RC5" s="80"/>
      <c r="RD5" s="80"/>
      <c r="RE5" s="80"/>
      <c r="RF5" s="80"/>
      <c r="RG5" s="80"/>
      <c r="RH5" s="80"/>
      <c r="RI5" s="80"/>
      <c r="RJ5" s="80"/>
      <c r="RK5" s="80"/>
      <c r="RL5" s="80"/>
      <c r="RM5" s="80"/>
      <c r="RN5" s="80"/>
      <c r="RO5" s="80"/>
      <c r="RP5" s="80"/>
      <c r="RQ5" s="80"/>
      <c r="RR5" s="80"/>
      <c r="RS5" s="80"/>
      <c r="RT5" s="80"/>
      <c r="RU5" s="80"/>
      <c r="RV5" s="80"/>
      <c r="RW5" s="80"/>
      <c r="RX5" s="80"/>
      <c r="RY5" s="80"/>
      <c r="RZ5" s="80"/>
      <c r="SA5" s="80"/>
      <c r="SB5" s="80"/>
      <c r="SC5" s="80"/>
      <c r="SD5" s="80"/>
      <c r="SE5" s="80"/>
      <c r="SF5" s="80"/>
      <c r="SG5" s="80"/>
      <c r="SH5" s="80"/>
      <c r="SI5" s="80"/>
      <c r="SJ5" s="80"/>
      <c r="SK5" s="80"/>
      <c r="SL5" s="80"/>
      <c r="SM5" s="80"/>
      <c r="SN5" s="80"/>
      <c r="SO5" s="80"/>
      <c r="SP5" s="80"/>
      <c r="SQ5" s="80"/>
      <c r="SR5" s="80"/>
    </row>
    <row r="6" spans="1:512" ht="18" customHeight="1" x14ac:dyDescent="0.25">
      <c r="A6" s="81"/>
      <c r="B6" s="82" t="s">
        <v>74</v>
      </c>
      <c r="C6" s="81" t="s">
        <v>75</v>
      </c>
      <c r="D6" s="81" t="s">
        <v>76</v>
      </c>
      <c r="E6" s="81" t="s">
        <v>77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68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>
        <v>7</v>
      </c>
      <c r="CU6" s="81"/>
      <c r="CV6" s="81"/>
      <c r="CW6" s="81"/>
      <c r="CX6" s="81"/>
      <c r="CY6" s="81"/>
      <c r="CZ6" s="81"/>
      <c r="DA6" s="81">
        <v>3</v>
      </c>
      <c r="DB6" s="81"/>
      <c r="DC6" s="81"/>
      <c r="DD6" s="81"/>
      <c r="DE6" s="81"/>
      <c r="DF6" s="81"/>
      <c r="DG6" s="81"/>
      <c r="DH6" s="81">
        <v>2</v>
      </c>
      <c r="DI6" s="81"/>
      <c r="DJ6" s="81"/>
      <c r="DK6" s="81"/>
      <c r="DL6" s="81">
        <v>20</v>
      </c>
      <c r="DM6" s="81"/>
      <c r="DN6" s="81"/>
      <c r="DO6" s="81"/>
      <c r="DP6" s="81"/>
      <c r="DQ6" s="81">
        <v>2</v>
      </c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  <c r="FU6" s="81"/>
      <c r="FV6" s="81"/>
      <c r="FW6" s="81"/>
      <c r="FX6" s="81"/>
      <c r="FY6" s="81"/>
      <c r="FZ6" s="81"/>
      <c r="GA6" s="81"/>
      <c r="GB6" s="81"/>
      <c r="GC6" s="81"/>
      <c r="GD6" s="81"/>
      <c r="GE6" s="81"/>
      <c r="GF6" s="81"/>
      <c r="GG6" s="81"/>
      <c r="GH6" s="81"/>
      <c r="GI6" s="81"/>
      <c r="GJ6" s="81"/>
      <c r="GK6" s="81"/>
      <c r="GL6" s="81"/>
      <c r="GM6" s="81"/>
      <c r="GN6" s="81"/>
      <c r="GO6" s="81"/>
      <c r="GP6" s="81"/>
      <c r="GQ6" s="81"/>
      <c r="GR6" s="81"/>
      <c r="GS6" s="81"/>
      <c r="GT6" s="81"/>
      <c r="GU6" s="81"/>
      <c r="GV6" s="81"/>
      <c r="GW6" s="81"/>
      <c r="GX6" s="81"/>
      <c r="GY6" s="81"/>
      <c r="GZ6" s="81"/>
      <c r="HA6" s="81"/>
      <c r="HB6" s="81"/>
      <c r="HC6" s="81"/>
      <c r="HD6" s="81"/>
      <c r="HE6" s="81"/>
      <c r="HF6" s="81"/>
      <c r="HG6" s="81"/>
      <c r="HH6" s="81"/>
      <c r="HI6" s="81"/>
      <c r="HJ6" s="81"/>
      <c r="HK6" s="81"/>
      <c r="HL6" s="81"/>
      <c r="HM6" s="81"/>
      <c r="HN6" s="81"/>
      <c r="HO6" s="81"/>
      <c r="HP6" s="81"/>
      <c r="HQ6" s="81"/>
      <c r="HR6" s="81"/>
      <c r="HS6" s="81"/>
      <c r="HT6" s="81"/>
      <c r="HU6" s="81"/>
      <c r="HV6" s="81"/>
      <c r="HW6" s="81"/>
      <c r="HX6" s="81"/>
      <c r="HY6" s="81"/>
      <c r="HZ6" s="81"/>
      <c r="IA6" s="81"/>
      <c r="IB6" s="81"/>
      <c r="IC6" s="81"/>
      <c r="ID6" s="81"/>
      <c r="IE6" s="81"/>
      <c r="IF6" s="81"/>
      <c r="IG6" s="81"/>
      <c r="IH6" s="81"/>
      <c r="II6" s="81"/>
      <c r="IJ6" s="81"/>
      <c r="IK6" s="81"/>
      <c r="IL6" s="81"/>
      <c r="IM6" s="81"/>
      <c r="IN6" s="81"/>
      <c r="IO6" s="81"/>
      <c r="IP6" s="81"/>
      <c r="IQ6" s="81"/>
      <c r="IR6" s="81"/>
      <c r="IS6" s="81"/>
      <c r="IT6" s="81"/>
      <c r="IU6" s="81"/>
      <c r="IV6" s="81"/>
      <c r="IW6" s="81"/>
      <c r="IX6" s="81"/>
      <c r="IY6" s="81"/>
      <c r="IZ6" s="81"/>
      <c r="JA6" s="81"/>
      <c r="JB6" s="81"/>
      <c r="JC6" s="81"/>
      <c r="JD6" s="81"/>
      <c r="JE6" s="81"/>
      <c r="JF6" s="81"/>
      <c r="JG6" s="81"/>
      <c r="JH6" s="81"/>
      <c r="JI6" s="81"/>
      <c r="JJ6" s="81"/>
      <c r="JK6" s="81"/>
      <c r="JL6" s="81"/>
      <c r="JM6" s="81"/>
      <c r="JN6" s="81"/>
      <c r="JO6" s="81"/>
      <c r="JP6" s="81"/>
      <c r="JQ6" s="81"/>
      <c r="JR6" s="81"/>
      <c r="JS6" s="81"/>
      <c r="JT6" s="81"/>
      <c r="JU6" s="81"/>
      <c r="JV6" s="81"/>
      <c r="JW6" s="81"/>
      <c r="JX6" s="81"/>
      <c r="JY6" s="81"/>
      <c r="JZ6" s="81"/>
      <c r="KA6" s="81"/>
      <c r="KB6" s="81"/>
      <c r="KC6" s="81"/>
      <c r="KD6" s="81"/>
      <c r="KE6" s="81"/>
      <c r="KF6" s="81"/>
      <c r="KG6" s="81"/>
      <c r="KH6" s="81"/>
      <c r="KI6" s="81"/>
      <c r="KJ6" s="81"/>
      <c r="KK6" s="81"/>
      <c r="KL6" s="81"/>
      <c r="KM6" s="81"/>
      <c r="KN6" s="81"/>
      <c r="KO6" s="81"/>
      <c r="KP6" s="81"/>
      <c r="KQ6" s="81"/>
      <c r="KR6" s="81"/>
      <c r="KS6" s="81"/>
      <c r="KT6" s="81"/>
      <c r="KU6" s="81"/>
      <c r="KV6" s="81"/>
      <c r="KW6" s="81"/>
      <c r="KX6" s="81"/>
      <c r="KY6" s="81"/>
      <c r="KZ6" s="81"/>
      <c r="LA6" s="81"/>
      <c r="LB6" s="81"/>
      <c r="LC6" s="81"/>
      <c r="LD6" s="81"/>
      <c r="LE6" s="81"/>
      <c r="LF6" s="81"/>
      <c r="LG6" s="81"/>
      <c r="LH6" s="81"/>
      <c r="LI6" s="81"/>
      <c r="LJ6" s="81"/>
      <c r="LK6" s="81"/>
      <c r="LL6" s="81"/>
      <c r="LM6" s="81"/>
      <c r="LN6" s="81"/>
      <c r="LO6" s="81"/>
      <c r="LP6" s="81"/>
      <c r="LQ6" s="81"/>
      <c r="LR6" s="81"/>
      <c r="LS6" s="81"/>
      <c r="LT6" s="81"/>
      <c r="LU6" s="81"/>
      <c r="LV6" s="81"/>
      <c r="LW6" s="81"/>
      <c r="LX6" s="81"/>
      <c r="LY6" s="81"/>
      <c r="LZ6" s="81"/>
      <c r="MA6" s="81"/>
      <c r="MB6" s="81"/>
      <c r="MC6" s="81"/>
      <c r="MD6" s="81"/>
      <c r="ME6" s="81"/>
      <c r="MF6" s="81"/>
      <c r="MG6" s="81"/>
      <c r="MH6" s="81"/>
      <c r="MI6" s="81"/>
      <c r="MJ6" s="81"/>
      <c r="MK6" s="81"/>
      <c r="ML6" s="81"/>
      <c r="MM6" s="81"/>
      <c r="MN6" s="81"/>
      <c r="MO6" s="81"/>
      <c r="MP6" s="81"/>
      <c r="MQ6" s="81"/>
      <c r="MR6" s="81"/>
      <c r="MS6" s="81"/>
      <c r="MT6" s="81"/>
      <c r="MU6" s="81"/>
      <c r="MV6" s="81"/>
      <c r="MW6" s="81"/>
      <c r="MX6" s="81"/>
      <c r="MY6" s="81"/>
      <c r="MZ6" s="81"/>
      <c r="NA6" s="81"/>
      <c r="NB6" s="81"/>
      <c r="NC6" s="81"/>
      <c r="ND6" s="81"/>
      <c r="NE6" s="81"/>
      <c r="NF6" s="81"/>
      <c r="NG6" s="81"/>
      <c r="NH6" s="81"/>
      <c r="NI6" s="81"/>
      <c r="NJ6" s="81"/>
      <c r="NK6" s="81"/>
      <c r="NL6" s="81"/>
      <c r="NM6" s="81"/>
      <c r="NN6" s="81"/>
      <c r="NO6" s="81"/>
      <c r="NP6" s="81"/>
      <c r="NQ6" s="81"/>
      <c r="NR6" s="81"/>
      <c r="NS6" s="81"/>
      <c r="NT6" s="81"/>
      <c r="NU6" s="81"/>
      <c r="NV6" s="81"/>
      <c r="NW6" s="81"/>
      <c r="NX6" s="81"/>
      <c r="NY6" s="81"/>
      <c r="NZ6" s="81"/>
      <c r="OA6" s="81"/>
      <c r="OB6" s="81"/>
      <c r="OC6" s="81"/>
      <c r="OD6" s="81"/>
      <c r="OE6" s="81"/>
      <c r="OF6" s="81"/>
      <c r="OG6" s="81"/>
      <c r="OH6" s="81"/>
      <c r="OI6" s="81"/>
      <c r="OJ6" s="81"/>
      <c r="OK6" s="81"/>
      <c r="OL6" s="81"/>
      <c r="OM6" s="81"/>
      <c r="ON6" s="81"/>
      <c r="OO6" s="81"/>
      <c r="OP6" s="81"/>
      <c r="OQ6" s="81"/>
      <c r="OR6" s="81"/>
      <c r="OS6" s="81"/>
      <c r="OT6" s="81"/>
      <c r="OU6" s="81"/>
      <c r="OV6" s="81"/>
      <c r="OW6" s="81"/>
      <c r="OX6" s="81"/>
      <c r="OY6" s="81"/>
      <c r="OZ6" s="81"/>
      <c r="PA6" s="81"/>
      <c r="PB6" s="81"/>
      <c r="PC6" s="81"/>
      <c r="PD6" s="81"/>
      <c r="PE6" s="81"/>
      <c r="PF6" s="81"/>
      <c r="PG6" s="81"/>
      <c r="PH6" s="81"/>
      <c r="PI6" s="81"/>
      <c r="PJ6" s="81"/>
      <c r="PK6" s="81"/>
      <c r="PL6" s="81"/>
      <c r="PM6" s="81"/>
      <c r="PN6" s="81"/>
      <c r="PO6" s="81"/>
      <c r="PP6" s="81"/>
      <c r="PQ6" s="81"/>
      <c r="PR6" s="81"/>
      <c r="PS6" s="81"/>
      <c r="PT6" s="81"/>
      <c r="PU6" s="81"/>
      <c r="PV6" s="81"/>
      <c r="PW6" s="81"/>
      <c r="PX6" s="81"/>
      <c r="PY6" s="81"/>
      <c r="PZ6" s="81"/>
      <c r="QA6" s="81"/>
      <c r="QB6" s="81"/>
      <c r="QC6" s="81"/>
      <c r="QD6" s="81"/>
      <c r="QE6" s="81"/>
      <c r="QF6" s="81"/>
      <c r="QG6" s="81">
        <v>7</v>
      </c>
      <c r="QH6" s="81"/>
      <c r="QI6" s="81"/>
      <c r="QJ6" s="81"/>
      <c r="QK6" s="81"/>
      <c r="QL6" s="81"/>
      <c r="QM6" s="81"/>
      <c r="QN6" s="81">
        <v>3</v>
      </c>
      <c r="QO6" s="81"/>
      <c r="QP6" s="81"/>
      <c r="QQ6" s="81"/>
      <c r="QR6" s="81"/>
      <c r="QS6" s="81"/>
      <c r="QT6" s="81"/>
      <c r="QU6" s="81">
        <v>2</v>
      </c>
      <c r="QV6" s="81"/>
      <c r="QW6" s="81"/>
      <c r="QX6" s="81"/>
      <c r="QY6" s="81">
        <v>20</v>
      </c>
      <c r="QZ6" s="81"/>
      <c r="RA6" s="81"/>
      <c r="RB6" s="81"/>
      <c r="RC6" s="81"/>
      <c r="RD6" s="81">
        <v>2</v>
      </c>
      <c r="RE6" s="81"/>
      <c r="RF6" s="81"/>
      <c r="RG6" s="81"/>
      <c r="RH6" s="81"/>
      <c r="RI6" s="81"/>
      <c r="RJ6" s="81"/>
      <c r="RK6" s="81"/>
      <c r="RL6" s="81"/>
      <c r="RM6" s="81"/>
      <c r="RN6" s="81"/>
      <c r="RO6" s="81"/>
      <c r="RP6" s="81"/>
      <c r="RQ6" s="81"/>
      <c r="RR6" s="81"/>
      <c r="RS6" s="81"/>
      <c r="RT6" s="81">
        <v>7</v>
      </c>
      <c r="RU6" s="81"/>
      <c r="RV6" s="81"/>
      <c r="RW6" s="81"/>
      <c r="RX6" s="81"/>
      <c r="RY6" s="81"/>
      <c r="RZ6" s="81"/>
      <c r="SA6" s="81">
        <v>3</v>
      </c>
      <c r="SB6" s="81"/>
      <c r="SC6" s="81"/>
      <c r="SD6" s="81"/>
      <c r="SE6" s="81"/>
      <c r="SF6" s="81"/>
      <c r="SG6" s="81"/>
      <c r="SH6" s="81">
        <v>2</v>
      </c>
      <c r="SI6" s="81"/>
      <c r="SJ6" s="81"/>
      <c r="SK6" s="81"/>
      <c r="SL6" s="81">
        <v>20</v>
      </c>
      <c r="SM6" s="81"/>
      <c r="SN6" s="81"/>
      <c r="SO6" s="81"/>
      <c r="SP6" s="81"/>
      <c r="SQ6" s="81">
        <v>2</v>
      </c>
      <c r="SR6" s="81"/>
    </row>
    <row r="7" spans="1:512" ht="18" customHeight="1" x14ac:dyDescent="0.25">
      <c r="A7" s="81"/>
      <c r="B7" s="83" t="s">
        <v>78</v>
      </c>
      <c r="C7" s="81"/>
      <c r="D7" s="81"/>
      <c r="E7" s="81" t="s">
        <v>79</v>
      </c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68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>
        <v>15</v>
      </c>
      <c r="DB7" s="81"/>
      <c r="DC7" s="81"/>
      <c r="DD7" s="81"/>
      <c r="DE7" s="81"/>
      <c r="DF7" s="81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81"/>
      <c r="DT7" s="81"/>
      <c r="DU7" s="81"/>
      <c r="DV7" s="81"/>
      <c r="DW7" s="81"/>
      <c r="DX7" s="81"/>
      <c r="DY7" s="81"/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  <c r="FU7" s="81"/>
      <c r="FV7" s="81"/>
      <c r="FW7" s="81"/>
      <c r="FX7" s="81"/>
      <c r="FY7" s="81"/>
      <c r="FZ7" s="81"/>
      <c r="GA7" s="81"/>
      <c r="GB7" s="81"/>
      <c r="GC7" s="81"/>
      <c r="GD7" s="81"/>
      <c r="GE7" s="81"/>
      <c r="GF7" s="81"/>
      <c r="GG7" s="81"/>
      <c r="GH7" s="81"/>
      <c r="GI7" s="81"/>
      <c r="GJ7" s="81"/>
      <c r="GK7" s="81"/>
      <c r="GL7" s="81"/>
      <c r="GM7" s="81"/>
      <c r="GN7" s="81"/>
      <c r="GO7" s="81"/>
      <c r="GP7" s="81"/>
      <c r="GQ7" s="81"/>
      <c r="GR7" s="81"/>
      <c r="GS7" s="81"/>
      <c r="GT7" s="81"/>
      <c r="GU7" s="81"/>
      <c r="GV7" s="81"/>
      <c r="GW7" s="81"/>
      <c r="GX7" s="81"/>
      <c r="GY7" s="81"/>
      <c r="GZ7" s="81"/>
      <c r="HA7" s="81"/>
      <c r="HB7" s="81"/>
      <c r="HC7" s="81"/>
      <c r="HD7" s="81"/>
      <c r="HE7" s="81"/>
      <c r="HF7" s="81"/>
      <c r="HG7" s="81"/>
      <c r="HH7" s="81"/>
      <c r="HI7" s="81"/>
      <c r="HJ7" s="81"/>
      <c r="HK7" s="81"/>
      <c r="HL7" s="81"/>
      <c r="HM7" s="81"/>
      <c r="HN7" s="81"/>
      <c r="HO7" s="81"/>
      <c r="HP7" s="81"/>
      <c r="HQ7" s="81"/>
      <c r="HR7" s="81"/>
      <c r="HS7" s="81"/>
      <c r="HT7" s="81"/>
      <c r="HU7" s="81"/>
      <c r="HV7" s="81"/>
      <c r="HW7" s="81"/>
      <c r="HX7" s="81"/>
      <c r="HY7" s="81"/>
      <c r="HZ7" s="81"/>
      <c r="IA7" s="81"/>
      <c r="IB7" s="81"/>
      <c r="IC7" s="81"/>
      <c r="ID7" s="81"/>
      <c r="IE7" s="81"/>
      <c r="IF7" s="81"/>
      <c r="IG7" s="81"/>
      <c r="IH7" s="81"/>
      <c r="II7" s="81"/>
      <c r="IJ7" s="81"/>
      <c r="IK7" s="81"/>
      <c r="IL7" s="81"/>
      <c r="IM7" s="81"/>
      <c r="IN7" s="81"/>
      <c r="IO7" s="81"/>
      <c r="IP7" s="81"/>
      <c r="IQ7" s="81"/>
      <c r="IR7" s="81"/>
      <c r="IS7" s="81"/>
      <c r="IT7" s="81"/>
      <c r="IU7" s="81"/>
      <c r="IV7" s="81"/>
      <c r="IW7" s="81"/>
      <c r="IX7" s="81"/>
      <c r="IY7" s="81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  <c r="JX7" s="81"/>
      <c r="JY7" s="81"/>
      <c r="JZ7" s="81"/>
      <c r="KA7" s="81"/>
      <c r="KB7" s="81"/>
      <c r="KC7" s="81"/>
      <c r="KD7" s="81"/>
      <c r="KE7" s="81"/>
      <c r="KF7" s="81"/>
      <c r="KG7" s="81"/>
      <c r="KH7" s="81"/>
      <c r="KI7" s="81"/>
      <c r="KJ7" s="81"/>
      <c r="KK7" s="81"/>
      <c r="KL7" s="81"/>
      <c r="KM7" s="81"/>
      <c r="KN7" s="81"/>
      <c r="KO7" s="81"/>
      <c r="KP7" s="81"/>
      <c r="KQ7" s="81"/>
      <c r="KR7" s="81"/>
      <c r="KS7" s="81"/>
      <c r="KT7" s="81"/>
      <c r="KU7" s="81"/>
      <c r="KV7" s="81"/>
      <c r="KW7" s="81"/>
      <c r="KX7" s="81"/>
      <c r="KY7" s="81"/>
      <c r="KZ7" s="81"/>
      <c r="LA7" s="81"/>
      <c r="LB7" s="81"/>
      <c r="LC7" s="81"/>
      <c r="LD7" s="81"/>
      <c r="LE7" s="81"/>
      <c r="LF7" s="81"/>
      <c r="LG7" s="81"/>
      <c r="LH7" s="81"/>
      <c r="LI7" s="81"/>
      <c r="LJ7" s="81"/>
      <c r="LK7" s="81"/>
      <c r="LL7" s="81"/>
      <c r="LM7" s="81"/>
      <c r="LN7" s="81"/>
      <c r="LO7" s="81"/>
      <c r="LP7" s="81"/>
      <c r="LQ7" s="81"/>
      <c r="LR7" s="81"/>
      <c r="LS7" s="81"/>
      <c r="LT7" s="81"/>
      <c r="LU7" s="81"/>
      <c r="LV7" s="81"/>
      <c r="LW7" s="81"/>
      <c r="LX7" s="81"/>
      <c r="LY7" s="81"/>
      <c r="LZ7" s="81"/>
      <c r="MA7" s="81"/>
      <c r="MB7" s="81"/>
      <c r="MC7" s="81"/>
      <c r="MD7" s="81"/>
      <c r="ME7" s="81"/>
      <c r="MF7" s="81"/>
      <c r="MG7" s="81"/>
      <c r="MH7" s="81"/>
      <c r="MI7" s="81"/>
      <c r="MJ7" s="81"/>
      <c r="MK7" s="81"/>
      <c r="ML7" s="81"/>
      <c r="MM7" s="81"/>
      <c r="MN7" s="81"/>
      <c r="MO7" s="81"/>
      <c r="MP7" s="81"/>
      <c r="MQ7" s="81"/>
      <c r="MR7" s="81"/>
      <c r="MS7" s="81"/>
      <c r="MT7" s="81"/>
      <c r="MU7" s="81"/>
      <c r="MV7" s="81"/>
      <c r="MW7" s="81"/>
      <c r="MX7" s="81"/>
      <c r="MY7" s="81"/>
      <c r="MZ7" s="81"/>
      <c r="NA7" s="81"/>
      <c r="NB7" s="81"/>
      <c r="NC7" s="81"/>
      <c r="ND7" s="81"/>
      <c r="NE7" s="81"/>
      <c r="NF7" s="81"/>
      <c r="NG7" s="81"/>
      <c r="NH7" s="81"/>
      <c r="NI7" s="81"/>
      <c r="NJ7" s="81"/>
      <c r="NK7" s="81"/>
      <c r="NL7" s="81"/>
      <c r="NM7" s="81"/>
      <c r="NN7" s="81"/>
      <c r="NO7" s="81"/>
      <c r="NP7" s="81"/>
      <c r="NQ7" s="81"/>
      <c r="NR7" s="81"/>
      <c r="NS7" s="81"/>
      <c r="NT7" s="81"/>
      <c r="NU7" s="81"/>
      <c r="NV7" s="81"/>
      <c r="NW7" s="81"/>
      <c r="NX7" s="81"/>
      <c r="NY7" s="81"/>
      <c r="NZ7" s="81"/>
      <c r="OA7" s="81"/>
      <c r="OB7" s="81"/>
      <c r="OC7" s="81"/>
      <c r="OD7" s="81"/>
      <c r="OE7" s="81"/>
      <c r="OF7" s="81"/>
      <c r="OG7" s="81"/>
      <c r="OH7" s="81"/>
      <c r="OI7" s="81"/>
      <c r="OJ7" s="81"/>
      <c r="OK7" s="81"/>
      <c r="OL7" s="81"/>
      <c r="OM7" s="81"/>
      <c r="ON7" s="81"/>
      <c r="OO7" s="81"/>
      <c r="OP7" s="81"/>
      <c r="OQ7" s="81"/>
      <c r="OR7" s="81"/>
      <c r="OS7" s="81"/>
      <c r="OT7" s="81"/>
      <c r="OU7" s="81"/>
      <c r="OV7" s="81"/>
      <c r="OW7" s="81"/>
      <c r="OX7" s="81"/>
      <c r="OY7" s="81"/>
      <c r="OZ7" s="81"/>
      <c r="PA7" s="81"/>
      <c r="PB7" s="81"/>
      <c r="PC7" s="81"/>
      <c r="PD7" s="81"/>
      <c r="PE7" s="81"/>
      <c r="PF7" s="81"/>
      <c r="PG7" s="81"/>
      <c r="PH7" s="81"/>
      <c r="PI7" s="81"/>
      <c r="PJ7" s="81"/>
      <c r="PK7" s="81"/>
      <c r="PL7" s="81"/>
      <c r="PM7" s="81"/>
      <c r="PN7" s="81"/>
      <c r="PO7" s="81"/>
      <c r="PP7" s="81"/>
      <c r="PQ7" s="81"/>
      <c r="PR7" s="81"/>
      <c r="PS7" s="81"/>
      <c r="PT7" s="81"/>
      <c r="PU7" s="81"/>
      <c r="PV7" s="81"/>
      <c r="PW7" s="81"/>
      <c r="PX7" s="81"/>
      <c r="PY7" s="81"/>
      <c r="PZ7" s="81"/>
      <c r="QA7" s="81"/>
      <c r="QB7" s="81"/>
      <c r="QC7" s="81"/>
      <c r="QD7" s="81"/>
      <c r="QE7" s="81"/>
      <c r="QF7" s="81"/>
      <c r="QG7" s="81"/>
      <c r="QH7" s="81"/>
      <c r="QI7" s="81"/>
      <c r="QJ7" s="81"/>
      <c r="QK7" s="81"/>
      <c r="QL7" s="81"/>
      <c r="QM7" s="81"/>
      <c r="QN7" s="81"/>
      <c r="QO7" s="81"/>
      <c r="QP7" s="81"/>
      <c r="QQ7" s="81"/>
      <c r="QR7" s="81"/>
      <c r="QS7" s="81"/>
      <c r="QT7" s="81"/>
      <c r="QU7" s="81"/>
      <c r="QV7" s="81"/>
      <c r="QW7" s="81"/>
      <c r="QX7" s="81"/>
      <c r="QY7" s="81"/>
      <c r="QZ7" s="81"/>
      <c r="RA7" s="81"/>
      <c r="RB7" s="81"/>
      <c r="RC7" s="81"/>
      <c r="RD7" s="81"/>
      <c r="RE7" s="81"/>
      <c r="RF7" s="81"/>
      <c r="RG7" s="81"/>
      <c r="RH7" s="81"/>
      <c r="RI7" s="81"/>
      <c r="RJ7" s="81"/>
      <c r="RK7" s="81"/>
      <c r="RL7" s="81"/>
      <c r="RM7" s="81"/>
      <c r="RN7" s="81"/>
      <c r="RO7" s="81"/>
      <c r="RP7" s="81"/>
      <c r="RQ7" s="81"/>
      <c r="RR7" s="81"/>
      <c r="RS7" s="81"/>
      <c r="RT7" s="81"/>
      <c r="RU7" s="81"/>
      <c r="RV7" s="81"/>
      <c r="RW7" s="81"/>
      <c r="RX7" s="81"/>
      <c r="RY7" s="81"/>
      <c r="RZ7" s="81"/>
      <c r="SA7" s="81"/>
      <c r="SB7" s="81"/>
      <c r="SC7" s="81"/>
      <c r="SD7" s="81"/>
      <c r="SE7" s="81"/>
      <c r="SF7" s="81"/>
      <c r="SG7" s="81"/>
      <c r="SH7" s="81"/>
      <c r="SI7" s="81"/>
      <c r="SJ7" s="81"/>
      <c r="SK7" s="81"/>
      <c r="SL7" s="81"/>
      <c r="SM7" s="81"/>
      <c r="SN7" s="81"/>
      <c r="SO7" s="81"/>
      <c r="SP7" s="81"/>
      <c r="SQ7" s="81"/>
      <c r="SR7" s="81"/>
    </row>
    <row r="8" spans="1:512" ht="18" customHeight="1" x14ac:dyDescent="0.25">
      <c r="B8" s="50" t="s">
        <v>80</v>
      </c>
      <c r="E8" t="s">
        <v>81</v>
      </c>
      <c r="AS8" s="68"/>
    </row>
    <row r="9" spans="1:512" ht="18" customHeight="1" x14ac:dyDescent="0.25">
      <c r="B9" s="49" t="s">
        <v>82</v>
      </c>
      <c r="E9" t="s">
        <v>77</v>
      </c>
      <c r="AS9" s="68"/>
      <c r="CT9">
        <v>10</v>
      </c>
      <c r="QG9">
        <v>1</v>
      </c>
      <c r="RT9">
        <v>25</v>
      </c>
    </row>
    <row r="10" spans="1:512" ht="18" customHeight="1" x14ac:dyDescent="0.25">
      <c r="B10" s="49" t="s">
        <v>83</v>
      </c>
      <c r="E10" t="s">
        <v>77</v>
      </c>
      <c r="AS10" s="68"/>
      <c r="CT10">
        <v>5</v>
      </c>
      <c r="QG10">
        <v>5</v>
      </c>
      <c r="RT10">
        <v>12</v>
      </c>
    </row>
    <row r="11" spans="1:512" ht="18" customHeight="1" x14ac:dyDescent="0.25">
      <c r="B11" s="49" t="s">
        <v>84</v>
      </c>
      <c r="E11" t="s">
        <v>85</v>
      </c>
      <c r="AS11" s="68"/>
    </row>
    <row r="12" spans="1:512" ht="18" customHeight="1" x14ac:dyDescent="0.25">
      <c r="B12" s="50" t="s">
        <v>86</v>
      </c>
      <c r="E12" t="s">
        <v>85</v>
      </c>
      <c r="AS12" s="68"/>
      <c r="DL12">
        <v>4</v>
      </c>
      <c r="QY12">
        <v>3</v>
      </c>
      <c r="SL12">
        <v>4</v>
      </c>
    </row>
    <row r="13" spans="1:512" ht="18" customHeight="1" x14ac:dyDescent="0.25">
      <c r="B13" s="50" t="s">
        <v>87</v>
      </c>
      <c r="E13" t="s">
        <v>85</v>
      </c>
      <c r="AS13" s="68"/>
      <c r="DL13">
        <v>20</v>
      </c>
      <c r="QY13">
        <v>1</v>
      </c>
      <c r="SL13">
        <v>20</v>
      </c>
    </row>
    <row r="14" spans="1:512" ht="18" customHeight="1" x14ac:dyDescent="0.25">
      <c r="B14" s="50" t="s">
        <v>88</v>
      </c>
      <c r="E14" t="s">
        <v>85</v>
      </c>
      <c r="AS14" s="68"/>
      <c r="DL14">
        <v>5</v>
      </c>
      <c r="QY14">
        <v>3</v>
      </c>
      <c r="SL14">
        <v>5</v>
      </c>
    </row>
    <row r="15" spans="1:512" ht="18" customHeight="1" x14ac:dyDescent="0.25">
      <c r="B15" s="50" t="s">
        <v>89</v>
      </c>
      <c r="E15" t="s">
        <v>90</v>
      </c>
      <c r="AS15" s="68"/>
      <c r="DN15">
        <v>2</v>
      </c>
      <c r="RA15">
        <v>1</v>
      </c>
      <c r="SN15">
        <v>2</v>
      </c>
    </row>
    <row r="16" spans="1:512" ht="18" customHeight="1" x14ac:dyDescent="0.25">
      <c r="B16" s="50" t="s">
        <v>91</v>
      </c>
      <c r="E16" t="s">
        <v>85</v>
      </c>
      <c r="AS16" s="68"/>
      <c r="DL16">
        <v>5</v>
      </c>
      <c r="QY16">
        <v>3</v>
      </c>
      <c r="SL16">
        <v>5</v>
      </c>
    </row>
    <row r="17" spans="2:511" ht="18" customHeight="1" x14ac:dyDescent="0.25">
      <c r="B17" s="50" t="s">
        <v>92</v>
      </c>
      <c r="E17" t="s">
        <v>90</v>
      </c>
      <c r="AS17" s="68"/>
      <c r="DN17">
        <v>2</v>
      </c>
      <c r="RA17">
        <v>1</v>
      </c>
      <c r="SN17">
        <v>2</v>
      </c>
    </row>
    <row r="18" spans="2:511" ht="18" customHeight="1" x14ac:dyDescent="0.25">
      <c r="B18" s="49" t="s">
        <v>93</v>
      </c>
      <c r="E18" t="s">
        <v>79</v>
      </c>
      <c r="AS18" s="68"/>
      <c r="DA18">
        <v>3</v>
      </c>
      <c r="QN18">
        <v>2</v>
      </c>
      <c r="SA18">
        <v>10</v>
      </c>
    </row>
    <row r="19" spans="2:511" ht="18" customHeight="1" x14ac:dyDescent="0.25">
      <c r="B19" s="49" t="s">
        <v>94</v>
      </c>
      <c r="E19" t="s">
        <v>77</v>
      </c>
      <c r="AS19" s="68"/>
      <c r="CT19">
        <v>15</v>
      </c>
      <c r="QG19">
        <v>0.5</v>
      </c>
      <c r="RT19">
        <v>20</v>
      </c>
    </row>
    <row r="20" spans="2:511" ht="18" customHeight="1" x14ac:dyDescent="0.25">
      <c r="B20" s="49" t="s">
        <v>95</v>
      </c>
      <c r="E20" t="s">
        <v>77</v>
      </c>
      <c r="AS20" s="68"/>
      <c r="CT20">
        <v>14</v>
      </c>
      <c r="QG20">
        <v>1</v>
      </c>
      <c r="RT20">
        <v>18</v>
      </c>
    </row>
    <row r="21" spans="2:511" ht="18" customHeight="1" x14ac:dyDescent="0.25">
      <c r="B21" s="49" t="s">
        <v>96</v>
      </c>
      <c r="E21" t="s">
        <v>85</v>
      </c>
      <c r="AS21" s="68"/>
    </row>
    <row r="22" spans="2:511" ht="18" customHeight="1" x14ac:dyDescent="0.25">
      <c r="B22" s="50" t="s">
        <v>97</v>
      </c>
      <c r="E22" t="s">
        <v>85</v>
      </c>
      <c r="AS22" s="68"/>
      <c r="DL22">
        <v>3</v>
      </c>
      <c r="QY22">
        <v>2</v>
      </c>
      <c r="SL22">
        <v>3</v>
      </c>
    </row>
    <row r="23" spans="2:511" ht="18" customHeight="1" x14ac:dyDescent="0.25">
      <c r="B23" s="50" t="s">
        <v>98</v>
      </c>
      <c r="E23" t="s">
        <v>85</v>
      </c>
      <c r="AS23" s="68"/>
      <c r="DL23">
        <v>2</v>
      </c>
      <c r="QY23">
        <v>1</v>
      </c>
      <c r="SL23">
        <v>2</v>
      </c>
    </row>
    <row r="24" spans="2:511" ht="18" customHeight="1" x14ac:dyDescent="0.25">
      <c r="B24" s="50" t="s">
        <v>99</v>
      </c>
      <c r="E24" t="s">
        <v>90</v>
      </c>
      <c r="AS24" s="68"/>
      <c r="DN24">
        <v>2</v>
      </c>
      <c r="RA24">
        <v>1</v>
      </c>
      <c r="SN24">
        <v>2</v>
      </c>
    </row>
    <row r="25" spans="2:511" ht="18" customHeight="1" x14ac:dyDescent="0.25">
      <c r="B25" s="50" t="s">
        <v>100</v>
      </c>
      <c r="E25" t="s">
        <v>90</v>
      </c>
      <c r="AS25" s="68"/>
      <c r="DN25">
        <v>2</v>
      </c>
      <c r="RA25">
        <v>1</v>
      </c>
      <c r="SN25">
        <v>2</v>
      </c>
    </row>
    <row r="26" spans="2:511" ht="18" customHeight="1" x14ac:dyDescent="0.25">
      <c r="B26" s="48" t="s">
        <v>101</v>
      </c>
      <c r="C26" t="s">
        <v>102</v>
      </c>
      <c r="D26" t="s">
        <v>103</v>
      </c>
      <c r="E26" t="s">
        <v>77</v>
      </c>
      <c r="AS26" s="68"/>
      <c r="CT26">
        <v>20</v>
      </c>
      <c r="DA26">
        <v>20</v>
      </c>
      <c r="DI26">
        <v>10</v>
      </c>
      <c r="DL26">
        <v>60</v>
      </c>
      <c r="QG26">
        <v>7</v>
      </c>
      <c r="QN26">
        <v>20</v>
      </c>
      <c r="QV26">
        <v>10</v>
      </c>
      <c r="QY26">
        <v>60</v>
      </c>
      <c r="RT26">
        <v>10</v>
      </c>
      <c r="SA26">
        <v>20</v>
      </c>
      <c r="SI26">
        <v>10</v>
      </c>
      <c r="SL26">
        <v>60</v>
      </c>
    </row>
    <row r="27" spans="2:511" ht="18" customHeight="1" x14ac:dyDescent="0.25">
      <c r="B27" s="49" t="s">
        <v>104</v>
      </c>
      <c r="E27" t="s">
        <v>105</v>
      </c>
      <c r="AS27" s="68"/>
    </row>
    <row r="28" spans="2:511" ht="18" customHeight="1" x14ac:dyDescent="0.25">
      <c r="B28" s="49" t="s">
        <v>106</v>
      </c>
      <c r="E28" t="s">
        <v>105</v>
      </c>
      <c r="AS28" s="68"/>
    </row>
    <row r="29" spans="2:511" ht="18" customHeight="1" x14ac:dyDescent="0.25">
      <c r="B29" s="49" t="s">
        <v>107</v>
      </c>
      <c r="E29" t="s">
        <v>108</v>
      </c>
      <c r="AS29" s="68"/>
    </row>
    <row r="30" spans="2:511" ht="18" customHeight="1" x14ac:dyDescent="0.25">
      <c r="B30" s="50" t="s">
        <v>109</v>
      </c>
      <c r="E30" t="s">
        <v>110</v>
      </c>
      <c r="AS30" s="68"/>
      <c r="DQ30">
        <v>3</v>
      </c>
      <c r="RD30">
        <v>2</v>
      </c>
      <c r="SQ30">
        <v>4</v>
      </c>
    </row>
    <row r="31" spans="2:511" ht="18" customHeight="1" x14ac:dyDescent="0.25">
      <c r="B31" s="49" t="s">
        <v>111</v>
      </c>
      <c r="E31" t="s">
        <v>85</v>
      </c>
      <c r="AS31" s="68"/>
      <c r="DL31">
        <v>3</v>
      </c>
      <c r="QY31">
        <v>2</v>
      </c>
      <c r="SL31">
        <v>3</v>
      </c>
    </row>
    <row r="32" spans="2:511" ht="18" customHeight="1" x14ac:dyDescent="0.25">
      <c r="B32" s="50" t="s">
        <v>112</v>
      </c>
      <c r="E32" t="s">
        <v>81</v>
      </c>
      <c r="AS32" s="68"/>
    </row>
    <row r="33" spans="2:511" ht="18" customHeight="1" x14ac:dyDescent="0.25">
      <c r="B33" s="50" t="s">
        <v>113</v>
      </c>
      <c r="E33" t="s">
        <v>81</v>
      </c>
      <c r="AS33" s="68"/>
    </row>
    <row r="34" spans="2:511" ht="18" customHeight="1" x14ac:dyDescent="0.25">
      <c r="B34" s="49" t="s">
        <v>114</v>
      </c>
      <c r="E34" t="s">
        <v>77</v>
      </c>
      <c r="AS34" s="68"/>
      <c r="CT34">
        <v>7</v>
      </c>
      <c r="QG34">
        <v>4</v>
      </c>
      <c r="RT34">
        <v>10</v>
      </c>
    </row>
    <row r="35" spans="2:511" ht="18" customHeight="1" x14ac:dyDescent="0.25">
      <c r="B35" s="50" t="s">
        <v>115</v>
      </c>
      <c r="E35" t="s">
        <v>77</v>
      </c>
      <c r="AS35" s="68"/>
      <c r="CT35">
        <v>5</v>
      </c>
      <c r="QG35">
        <v>5</v>
      </c>
      <c r="RT35">
        <v>7</v>
      </c>
    </row>
    <row r="36" spans="2:511" ht="18" customHeight="1" x14ac:dyDescent="0.25">
      <c r="B36" s="49" t="s">
        <v>116</v>
      </c>
      <c r="E36" t="s">
        <v>85</v>
      </c>
      <c r="AS36" s="68"/>
    </row>
    <row r="37" spans="2:511" ht="18" customHeight="1" x14ac:dyDescent="0.25">
      <c r="B37" s="50" t="s">
        <v>117</v>
      </c>
      <c r="E37" t="s">
        <v>85</v>
      </c>
      <c r="AS37" s="68"/>
      <c r="DL37">
        <v>3</v>
      </c>
      <c r="QY37">
        <v>2</v>
      </c>
      <c r="SL37">
        <v>3</v>
      </c>
    </row>
    <row r="38" spans="2:511" ht="18" customHeight="1" x14ac:dyDescent="0.25">
      <c r="B38" s="49" t="s">
        <v>118</v>
      </c>
      <c r="E38" t="s">
        <v>79</v>
      </c>
      <c r="AS38" s="68"/>
      <c r="DA38">
        <v>14</v>
      </c>
      <c r="QN38">
        <v>10</v>
      </c>
      <c r="SA38">
        <v>15</v>
      </c>
    </row>
    <row r="39" spans="2:511" ht="18" customHeight="1" x14ac:dyDescent="0.25">
      <c r="B39" s="49" t="s">
        <v>119</v>
      </c>
      <c r="AS39" s="68"/>
    </row>
    <row r="40" spans="2:511" ht="18" customHeight="1" x14ac:dyDescent="0.25">
      <c r="B40" s="50" t="s">
        <v>120</v>
      </c>
      <c r="E40" t="s">
        <v>121</v>
      </c>
      <c r="AS40" s="68"/>
    </row>
    <row r="41" spans="2:511" ht="18" customHeight="1" x14ac:dyDescent="0.25">
      <c r="B41" s="50" t="s">
        <v>112</v>
      </c>
      <c r="E41" t="s">
        <v>81</v>
      </c>
      <c r="AS41" s="68"/>
    </row>
    <row r="42" spans="2:511" ht="18" customHeight="1" x14ac:dyDescent="0.25">
      <c r="B42" s="50" t="s">
        <v>122</v>
      </c>
      <c r="E42" t="s">
        <v>123</v>
      </c>
      <c r="AS42" s="68"/>
      <c r="DF42">
        <v>5</v>
      </c>
      <c r="QS42">
        <v>3</v>
      </c>
      <c r="SF42">
        <v>5</v>
      </c>
    </row>
    <row r="43" spans="2:511" ht="18" customHeight="1" x14ac:dyDescent="0.25">
      <c r="B43" s="50" t="s">
        <v>113</v>
      </c>
      <c r="E43" t="s">
        <v>81</v>
      </c>
      <c r="AS43" s="68"/>
    </row>
    <row r="44" spans="2:511" ht="18" customHeight="1" x14ac:dyDescent="0.25">
      <c r="B44" s="50" t="s">
        <v>124</v>
      </c>
      <c r="E44" t="s">
        <v>123</v>
      </c>
      <c r="AS44" s="68"/>
      <c r="DF44">
        <v>15</v>
      </c>
      <c r="QS44">
        <v>10</v>
      </c>
      <c r="SF44">
        <v>15</v>
      </c>
    </row>
    <row r="45" spans="2:511" ht="18" customHeight="1" x14ac:dyDescent="0.25">
      <c r="B45" s="50" t="s">
        <v>125</v>
      </c>
      <c r="E45" t="s">
        <v>123</v>
      </c>
      <c r="AS45" s="68"/>
      <c r="DF45">
        <v>10</v>
      </c>
      <c r="QS45">
        <v>5</v>
      </c>
      <c r="SF45">
        <v>10</v>
      </c>
    </row>
    <row r="46" spans="2:511" ht="18" customHeight="1" x14ac:dyDescent="0.25">
      <c r="B46" s="50" t="s">
        <v>126</v>
      </c>
      <c r="E46" t="s">
        <v>123</v>
      </c>
      <c r="AS46" s="68"/>
      <c r="DF46">
        <v>7</v>
      </c>
      <c r="QS46">
        <v>5</v>
      </c>
      <c r="SF46">
        <v>7</v>
      </c>
    </row>
    <row r="47" spans="2:511" ht="18" customHeight="1" x14ac:dyDescent="0.25">
      <c r="B47" s="50" t="s">
        <v>127</v>
      </c>
      <c r="E47" t="s">
        <v>123</v>
      </c>
      <c r="AS47" s="68"/>
      <c r="DF47">
        <v>2</v>
      </c>
      <c r="QS47">
        <v>1</v>
      </c>
      <c r="SF47">
        <v>2</v>
      </c>
    </row>
    <row r="48" spans="2:511" ht="18" customHeight="1" x14ac:dyDescent="0.25">
      <c r="B48" s="48" t="s">
        <v>128</v>
      </c>
      <c r="E48" t="s">
        <v>77</v>
      </c>
      <c r="AS48" s="68"/>
      <c r="CT48">
        <v>16</v>
      </c>
      <c r="CZ48">
        <v>5</v>
      </c>
      <c r="DA48">
        <v>5</v>
      </c>
      <c r="DD48">
        <v>15</v>
      </c>
      <c r="DF48">
        <v>5</v>
      </c>
      <c r="DH48">
        <v>12</v>
      </c>
      <c r="DI48">
        <v>10</v>
      </c>
      <c r="DL48">
        <v>15</v>
      </c>
      <c r="DQ48">
        <v>2</v>
      </c>
      <c r="QG48">
        <v>16</v>
      </c>
      <c r="QM48">
        <v>5</v>
      </c>
      <c r="QN48">
        <v>5</v>
      </c>
      <c r="QQ48">
        <v>15</v>
      </c>
      <c r="QS48">
        <v>5</v>
      </c>
      <c r="QU48">
        <v>12</v>
      </c>
      <c r="QV48">
        <v>10</v>
      </c>
      <c r="QY48">
        <v>15</v>
      </c>
      <c r="RD48">
        <v>2</v>
      </c>
      <c r="RT48">
        <v>16</v>
      </c>
      <c r="RZ48">
        <v>5</v>
      </c>
      <c r="SA48">
        <v>5</v>
      </c>
      <c r="SD48">
        <v>15</v>
      </c>
      <c r="SF48">
        <v>5</v>
      </c>
      <c r="SH48">
        <v>12</v>
      </c>
      <c r="SI48">
        <v>10</v>
      </c>
      <c r="SL48">
        <v>15</v>
      </c>
      <c r="SQ48">
        <v>2</v>
      </c>
    </row>
    <row r="49" spans="2:511" ht="18" customHeight="1" x14ac:dyDescent="0.25">
      <c r="B49" s="48" t="s">
        <v>129</v>
      </c>
      <c r="E49" t="s">
        <v>77</v>
      </c>
      <c r="AS49" s="68"/>
      <c r="CT49">
        <v>20</v>
      </c>
      <c r="DA49">
        <v>15</v>
      </c>
      <c r="DH49">
        <v>5</v>
      </c>
      <c r="DL49">
        <v>35</v>
      </c>
      <c r="DQ49">
        <v>7</v>
      </c>
      <c r="QG49">
        <v>20</v>
      </c>
      <c r="QN49">
        <v>15</v>
      </c>
      <c r="QU49">
        <v>5</v>
      </c>
      <c r="QY49">
        <v>35</v>
      </c>
      <c r="RD49">
        <v>7</v>
      </c>
      <c r="RT49">
        <v>20</v>
      </c>
      <c r="SA49">
        <v>15</v>
      </c>
      <c r="SH49">
        <v>5</v>
      </c>
      <c r="SL49">
        <v>35</v>
      </c>
      <c r="SQ49">
        <v>7</v>
      </c>
    </row>
    <row r="50" spans="2:511" ht="18" customHeight="1" x14ac:dyDescent="0.25">
      <c r="B50" s="49" t="s">
        <v>130</v>
      </c>
      <c r="E50" t="s">
        <v>79</v>
      </c>
      <c r="AS50" s="68"/>
      <c r="CT50">
        <v>16</v>
      </c>
      <c r="CZ50">
        <v>5</v>
      </c>
      <c r="DA50">
        <v>4</v>
      </c>
      <c r="DD50">
        <v>15</v>
      </c>
      <c r="DF50">
        <v>5</v>
      </c>
      <c r="DH50">
        <v>12</v>
      </c>
      <c r="DI50">
        <v>10</v>
      </c>
      <c r="DL50">
        <v>15</v>
      </c>
      <c r="DQ50">
        <v>2</v>
      </c>
      <c r="QG50">
        <v>16</v>
      </c>
      <c r="QM50">
        <v>5</v>
      </c>
      <c r="QN50">
        <v>2</v>
      </c>
      <c r="QQ50">
        <v>15</v>
      </c>
      <c r="QS50">
        <v>5</v>
      </c>
      <c r="QU50">
        <v>12</v>
      </c>
      <c r="QV50">
        <v>10</v>
      </c>
      <c r="QY50">
        <v>15</v>
      </c>
      <c r="RD50">
        <v>2</v>
      </c>
      <c r="RT50">
        <v>16</v>
      </c>
      <c r="RZ50">
        <v>5</v>
      </c>
      <c r="SA50">
        <v>4</v>
      </c>
      <c r="SD50">
        <v>15</v>
      </c>
      <c r="SF50">
        <v>5</v>
      </c>
      <c r="SH50">
        <v>12</v>
      </c>
      <c r="SI50">
        <v>10</v>
      </c>
      <c r="SL50">
        <v>15</v>
      </c>
      <c r="SQ50">
        <v>2</v>
      </c>
    </row>
    <row r="51" spans="2:511" ht="18" customHeight="1" x14ac:dyDescent="0.25">
      <c r="B51" s="49" t="s">
        <v>130</v>
      </c>
      <c r="E51" t="s">
        <v>131</v>
      </c>
      <c r="AS51" s="68"/>
    </row>
    <row r="52" spans="2:511" ht="18" customHeight="1" x14ac:dyDescent="0.25">
      <c r="B52" s="50" t="s">
        <v>132</v>
      </c>
      <c r="E52" t="s">
        <v>133</v>
      </c>
      <c r="AS52" s="68"/>
      <c r="CX52">
        <v>1</v>
      </c>
      <c r="QK52">
        <v>0.5</v>
      </c>
      <c r="RX52">
        <v>1</v>
      </c>
    </row>
    <row r="53" spans="2:511" ht="18" customHeight="1" x14ac:dyDescent="0.25">
      <c r="B53" s="50" t="s">
        <v>134</v>
      </c>
      <c r="E53" t="s">
        <v>81</v>
      </c>
      <c r="AS53" s="68"/>
    </row>
    <row r="54" spans="2:511" ht="18" customHeight="1" x14ac:dyDescent="0.25">
      <c r="B54" s="50" t="s">
        <v>135</v>
      </c>
      <c r="E54" t="s">
        <v>77</v>
      </c>
      <c r="AS54" s="68"/>
      <c r="CT54">
        <v>2</v>
      </c>
      <c r="QG54">
        <v>1</v>
      </c>
      <c r="RT54">
        <v>5</v>
      </c>
    </row>
    <row r="55" spans="2:511" ht="18" customHeight="1" x14ac:dyDescent="0.25">
      <c r="B55" s="49" t="s">
        <v>136</v>
      </c>
      <c r="E55" t="s">
        <v>77</v>
      </c>
      <c r="AS55" s="68"/>
      <c r="CT55">
        <v>5</v>
      </c>
      <c r="DA55">
        <v>15</v>
      </c>
      <c r="DH55">
        <v>5</v>
      </c>
      <c r="DL55">
        <v>35</v>
      </c>
      <c r="DQ55">
        <v>7</v>
      </c>
      <c r="QG55">
        <v>4</v>
      </c>
      <c r="QN55">
        <v>15</v>
      </c>
      <c r="QU55">
        <v>5</v>
      </c>
      <c r="QY55">
        <v>35</v>
      </c>
      <c r="RD55">
        <v>7</v>
      </c>
      <c r="RT55">
        <v>25</v>
      </c>
      <c r="SA55">
        <v>15</v>
      </c>
      <c r="SH55">
        <v>5</v>
      </c>
      <c r="SL55">
        <v>35</v>
      </c>
      <c r="SQ55">
        <v>7</v>
      </c>
    </row>
    <row r="56" spans="2:511" ht="18" customHeight="1" x14ac:dyDescent="0.25">
      <c r="B56" s="49" t="s">
        <v>137</v>
      </c>
      <c r="E56" t="s">
        <v>77</v>
      </c>
      <c r="AS56" s="68"/>
      <c r="CT56">
        <v>15</v>
      </c>
      <c r="QG56">
        <v>4</v>
      </c>
      <c r="RT56">
        <v>13</v>
      </c>
    </row>
    <row r="57" spans="2:511" ht="18" customHeight="1" x14ac:dyDescent="0.25">
      <c r="B57" s="49" t="s">
        <v>138</v>
      </c>
      <c r="E57" t="s">
        <v>85</v>
      </c>
      <c r="AS57" s="68"/>
    </row>
    <row r="58" spans="2:511" ht="18" customHeight="1" x14ac:dyDescent="0.25">
      <c r="B58" s="50" t="s">
        <v>139</v>
      </c>
      <c r="E58" t="s">
        <v>85</v>
      </c>
      <c r="AS58" s="68"/>
      <c r="DL58">
        <v>4</v>
      </c>
      <c r="QY58">
        <v>2</v>
      </c>
      <c r="SL58">
        <v>4</v>
      </c>
    </row>
    <row r="59" spans="2:511" ht="18" customHeight="1" x14ac:dyDescent="0.25">
      <c r="B59" s="50" t="s">
        <v>140</v>
      </c>
      <c r="E59" t="s">
        <v>85</v>
      </c>
      <c r="AS59" s="68"/>
      <c r="DL59">
        <v>2</v>
      </c>
      <c r="QY59">
        <v>1</v>
      </c>
      <c r="SL59">
        <v>2</v>
      </c>
    </row>
    <row r="60" spans="2:511" ht="18" customHeight="1" x14ac:dyDescent="0.25">
      <c r="B60" s="50" t="s">
        <v>141</v>
      </c>
      <c r="E60" t="s">
        <v>85</v>
      </c>
      <c r="AS60" s="68"/>
      <c r="DL60">
        <v>6</v>
      </c>
      <c r="QY60">
        <v>4</v>
      </c>
      <c r="SL60">
        <v>6</v>
      </c>
    </row>
    <row r="61" spans="2:511" ht="18" customHeight="1" x14ac:dyDescent="0.25">
      <c r="B61" s="50" t="s">
        <v>142</v>
      </c>
      <c r="E61" t="s">
        <v>90</v>
      </c>
      <c r="AS61" s="68"/>
      <c r="DN61">
        <v>7</v>
      </c>
      <c r="RA61">
        <v>5</v>
      </c>
      <c r="SN61">
        <v>7</v>
      </c>
    </row>
    <row r="62" spans="2:511" ht="18" customHeight="1" x14ac:dyDescent="0.25">
      <c r="B62" s="50" t="s">
        <v>143</v>
      </c>
      <c r="E62" t="s">
        <v>90</v>
      </c>
      <c r="AS62" s="68"/>
      <c r="DN62">
        <v>4</v>
      </c>
      <c r="RA62">
        <v>3</v>
      </c>
      <c r="SN62">
        <v>4</v>
      </c>
    </row>
    <row r="63" spans="2:511" ht="18" customHeight="1" x14ac:dyDescent="0.25">
      <c r="B63" s="50" t="s">
        <v>144</v>
      </c>
      <c r="E63" t="s">
        <v>90</v>
      </c>
      <c r="AS63" s="68"/>
      <c r="DN63">
        <v>4</v>
      </c>
      <c r="RA63">
        <v>3</v>
      </c>
      <c r="SN63">
        <v>4</v>
      </c>
    </row>
    <row r="64" spans="2:511" ht="18" customHeight="1" x14ac:dyDescent="0.25">
      <c r="B64" s="50" t="s">
        <v>145</v>
      </c>
      <c r="E64" t="s">
        <v>90</v>
      </c>
      <c r="AS64" s="68"/>
      <c r="DN64">
        <v>2</v>
      </c>
      <c r="RA64">
        <v>1</v>
      </c>
      <c r="SN64">
        <v>2</v>
      </c>
    </row>
    <row r="65" spans="2:511" ht="18" customHeight="1" x14ac:dyDescent="0.25">
      <c r="B65" s="50" t="s">
        <v>146</v>
      </c>
      <c r="E65" t="s">
        <v>90</v>
      </c>
      <c r="AS65" s="68"/>
      <c r="DN65">
        <v>2</v>
      </c>
      <c r="RA65">
        <v>1</v>
      </c>
      <c r="SN65">
        <v>2</v>
      </c>
    </row>
    <row r="66" spans="2:511" ht="18" customHeight="1" x14ac:dyDescent="0.25">
      <c r="B66" s="50" t="s">
        <v>147</v>
      </c>
      <c r="E66" t="s">
        <v>85</v>
      </c>
      <c r="AS66" s="68"/>
      <c r="DL66">
        <v>2</v>
      </c>
      <c r="QY66">
        <v>1</v>
      </c>
      <c r="SL66">
        <v>2</v>
      </c>
    </row>
    <row r="67" spans="2:511" ht="18" customHeight="1" x14ac:dyDescent="0.25">
      <c r="B67" s="50" t="s">
        <v>148</v>
      </c>
      <c r="E67" t="s">
        <v>90</v>
      </c>
      <c r="AS67" s="68"/>
      <c r="DN67">
        <v>2</v>
      </c>
      <c r="RA67">
        <v>1</v>
      </c>
      <c r="SN67">
        <v>2</v>
      </c>
    </row>
    <row r="68" spans="2:511" ht="18" customHeight="1" x14ac:dyDescent="0.25">
      <c r="B68" s="50" t="s">
        <v>149</v>
      </c>
      <c r="E68" t="s">
        <v>85</v>
      </c>
      <c r="AS68" s="68"/>
      <c r="DL68">
        <v>10</v>
      </c>
      <c r="QY68">
        <v>5</v>
      </c>
      <c r="SL68">
        <v>10</v>
      </c>
    </row>
    <row r="69" spans="2:511" ht="18" customHeight="1" x14ac:dyDescent="0.25">
      <c r="B69" s="50" t="s">
        <v>150</v>
      </c>
      <c r="E69" t="s">
        <v>85</v>
      </c>
      <c r="AS69" s="68"/>
      <c r="DL69">
        <v>2</v>
      </c>
      <c r="QY69">
        <v>1</v>
      </c>
      <c r="SL69">
        <v>2</v>
      </c>
    </row>
    <row r="70" spans="2:511" ht="18" customHeight="1" x14ac:dyDescent="0.25">
      <c r="B70" s="50" t="s">
        <v>151</v>
      </c>
      <c r="E70" t="s">
        <v>90</v>
      </c>
      <c r="AS70" s="68"/>
      <c r="DN70">
        <v>2</v>
      </c>
      <c r="RA70">
        <v>1</v>
      </c>
      <c r="SN70">
        <v>2</v>
      </c>
    </row>
    <row r="71" spans="2:511" ht="18" customHeight="1" x14ac:dyDescent="0.25">
      <c r="B71" s="50" t="s">
        <v>152</v>
      </c>
      <c r="E71" t="s">
        <v>90</v>
      </c>
      <c r="AS71" s="68"/>
      <c r="DN71">
        <v>2</v>
      </c>
      <c r="RA71">
        <v>1</v>
      </c>
      <c r="SN71">
        <v>2</v>
      </c>
    </row>
    <row r="72" spans="2:511" ht="18" customHeight="1" x14ac:dyDescent="0.25">
      <c r="B72" s="50" t="s">
        <v>153</v>
      </c>
      <c r="E72" t="s">
        <v>90</v>
      </c>
      <c r="AS72" s="68"/>
      <c r="DN72">
        <v>3</v>
      </c>
      <c r="RA72">
        <v>2</v>
      </c>
      <c r="SN72">
        <v>3</v>
      </c>
    </row>
    <row r="73" spans="2:511" ht="18" customHeight="1" x14ac:dyDescent="0.25">
      <c r="B73" s="49" t="s">
        <v>154</v>
      </c>
      <c r="E73" t="s">
        <v>79</v>
      </c>
      <c r="AS73" s="68"/>
    </row>
    <row r="74" spans="2:511" ht="18" customHeight="1" x14ac:dyDescent="0.25">
      <c r="B74" s="50" t="s">
        <v>155</v>
      </c>
      <c r="E74" t="s">
        <v>81</v>
      </c>
      <c r="AS74" s="68"/>
    </row>
    <row r="75" spans="2:511" ht="18" customHeight="1" x14ac:dyDescent="0.25">
      <c r="B75" s="49" t="s">
        <v>156</v>
      </c>
      <c r="E75" t="s">
        <v>110</v>
      </c>
      <c r="AS75" s="68"/>
      <c r="DQ75">
        <v>8</v>
      </c>
      <c r="RD75">
        <v>7</v>
      </c>
      <c r="SQ75">
        <v>14</v>
      </c>
    </row>
    <row r="76" spans="2:511" ht="18" customHeight="1" x14ac:dyDescent="0.25">
      <c r="B76" s="49" t="s">
        <v>157</v>
      </c>
      <c r="E76" t="s">
        <v>110</v>
      </c>
      <c r="AS76" s="68"/>
      <c r="DQ76">
        <v>8</v>
      </c>
      <c r="RD76">
        <v>7</v>
      </c>
      <c r="SQ76">
        <v>14</v>
      </c>
    </row>
    <row r="77" spans="2:511" ht="18" customHeight="1" x14ac:dyDescent="0.25">
      <c r="B77" s="49" t="s">
        <v>158</v>
      </c>
      <c r="E77" t="s">
        <v>159</v>
      </c>
      <c r="AS77" s="68"/>
      <c r="CT77">
        <v>16</v>
      </c>
      <c r="CV77">
        <v>10</v>
      </c>
      <c r="CZ77">
        <v>5</v>
      </c>
      <c r="DA77">
        <v>5</v>
      </c>
      <c r="DD77">
        <v>15</v>
      </c>
      <c r="DF77">
        <v>5</v>
      </c>
      <c r="DH77">
        <v>12</v>
      </c>
      <c r="DI77">
        <v>10</v>
      </c>
      <c r="DL77">
        <v>15</v>
      </c>
      <c r="DQ77">
        <v>2</v>
      </c>
      <c r="QG77">
        <v>16</v>
      </c>
      <c r="QI77">
        <v>7</v>
      </c>
      <c r="QM77">
        <v>5</v>
      </c>
      <c r="QN77">
        <v>5</v>
      </c>
      <c r="QQ77">
        <v>15</v>
      </c>
      <c r="QS77">
        <v>5</v>
      </c>
      <c r="QU77">
        <v>12</v>
      </c>
      <c r="QV77">
        <v>10</v>
      </c>
      <c r="QY77">
        <v>15</v>
      </c>
      <c r="RD77">
        <v>2</v>
      </c>
      <c r="RT77">
        <v>16</v>
      </c>
      <c r="RV77">
        <v>15</v>
      </c>
      <c r="RZ77">
        <v>5</v>
      </c>
      <c r="SA77">
        <v>5</v>
      </c>
      <c r="SD77">
        <v>15</v>
      </c>
      <c r="SF77">
        <v>5</v>
      </c>
      <c r="SH77">
        <v>12</v>
      </c>
      <c r="SI77">
        <v>10</v>
      </c>
      <c r="SL77">
        <v>15</v>
      </c>
      <c r="SQ77">
        <v>2</v>
      </c>
    </row>
    <row r="78" spans="2:511" ht="18" customHeight="1" x14ac:dyDescent="0.25">
      <c r="B78" s="49" t="s">
        <v>160</v>
      </c>
      <c r="E78" t="s">
        <v>161</v>
      </c>
      <c r="AS78" s="68"/>
    </row>
    <row r="79" spans="2:511" ht="18" customHeight="1" x14ac:dyDescent="0.25">
      <c r="B79" s="49" t="s">
        <v>162</v>
      </c>
      <c r="E79" t="s">
        <v>77</v>
      </c>
      <c r="AS79" s="68"/>
      <c r="CT79">
        <v>3</v>
      </c>
      <c r="QG79">
        <v>2</v>
      </c>
      <c r="RT79">
        <v>20</v>
      </c>
    </row>
    <row r="80" spans="2:511" ht="18" customHeight="1" x14ac:dyDescent="0.25">
      <c r="B80" s="49" t="s">
        <v>163</v>
      </c>
      <c r="E80" t="s">
        <v>79</v>
      </c>
      <c r="AS80" s="68"/>
      <c r="DA80">
        <v>6</v>
      </c>
      <c r="QN80">
        <v>4</v>
      </c>
      <c r="SA80">
        <v>10</v>
      </c>
    </row>
    <row r="81" spans="1:512" ht="18" customHeight="1" x14ac:dyDescent="0.25">
      <c r="B81" s="49" t="s">
        <v>164</v>
      </c>
      <c r="E81" t="s">
        <v>131</v>
      </c>
      <c r="AS81" s="68"/>
    </row>
    <row r="82" spans="1:512" ht="18" customHeight="1" x14ac:dyDescent="0.25">
      <c r="B82" s="49" t="s">
        <v>165</v>
      </c>
      <c r="E82" t="s">
        <v>110</v>
      </c>
      <c r="AS82" s="68"/>
      <c r="DQ82">
        <v>7</v>
      </c>
      <c r="RD82">
        <v>5</v>
      </c>
      <c r="SQ82">
        <v>10</v>
      </c>
    </row>
    <row r="83" spans="1:512" ht="18" customHeight="1" x14ac:dyDescent="0.25">
      <c r="B83" s="49" t="s">
        <v>166</v>
      </c>
      <c r="E83" t="s">
        <v>161</v>
      </c>
      <c r="AS83" s="68"/>
    </row>
    <row r="84" spans="1:512" ht="18" customHeight="1" x14ac:dyDescent="0.25">
      <c r="A84" s="54" t="s">
        <v>167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/>
      <c r="CF84" s="55"/>
      <c r="CG84" s="55"/>
      <c r="CH84" s="55"/>
      <c r="CI84" s="55"/>
      <c r="CJ84" s="55"/>
      <c r="CK84" s="55"/>
      <c r="CL84" s="55"/>
      <c r="CM84" s="55"/>
      <c r="CN84" s="55"/>
      <c r="CO84" s="55"/>
      <c r="CP84" s="55"/>
      <c r="CQ84" s="55"/>
      <c r="CR84" s="55"/>
      <c r="CS84" s="55"/>
      <c r="CT84" s="55"/>
      <c r="CU84" s="55"/>
      <c r="CV84" s="55"/>
      <c r="CW84" s="55"/>
      <c r="CX84" s="55"/>
      <c r="CY84" s="55"/>
      <c r="CZ84" s="55"/>
      <c r="DA84" s="55"/>
      <c r="DB84" s="55"/>
      <c r="DC84" s="55"/>
      <c r="DD84" s="55"/>
      <c r="DE84" s="55"/>
      <c r="DF84" s="55"/>
      <c r="DG84" s="55"/>
      <c r="DH84" s="55"/>
      <c r="DI84" s="55"/>
      <c r="DJ84" s="55"/>
      <c r="DK84" s="55"/>
      <c r="DL84" s="55"/>
      <c r="DM84" s="55"/>
      <c r="DN84" s="55"/>
      <c r="DO84" s="55"/>
      <c r="DP84" s="55"/>
      <c r="DQ84" s="55"/>
      <c r="DR84" s="55"/>
      <c r="DS84" s="55"/>
      <c r="DT84" s="55"/>
      <c r="DU84" s="55"/>
      <c r="DV84" s="55"/>
      <c r="DW84" s="55"/>
      <c r="DX84" s="55"/>
      <c r="DY84" s="55"/>
      <c r="DZ84" s="55"/>
      <c r="EA84" s="55"/>
      <c r="EB84" s="55"/>
      <c r="EC84" s="55"/>
      <c r="ED84" s="55"/>
      <c r="EE84" s="55"/>
      <c r="EF84" s="55"/>
      <c r="EG84" s="55"/>
      <c r="EH84" s="55"/>
      <c r="EI84" s="55"/>
      <c r="EJ84" s="55"/>
      <c r="EK84" s="55"/>
      <c r="EL84" s="55"/>
      <c r="EM84" s="55"/>
      <c r="EN84" s="55"/>
      <c r="EO84" s="55"/>
      <c r="EP84" s="55"/>
      <c r="EQ84" s="55"/>
      <c r="ER84" s="55"/>
      <c r="ES84" s="55"/>
      <c r="ET84" s="55"/>
      <c r="EU84" s="55"/>
      <c r="EV84" s="55"/>
      <c r="EW84" s="55"/>
      <c r="EX84" s="55"/>
      <c r="EY84" s="55"/>
      <c r="EZ84" s="55"/>
      <c r="FA84" s="55"/>
      <c r="FB84" s="55"/>
      <c r="FC84" s="55"/>
      <c r="FD84" s="55"/>
      <c r="FE84" s="55"/>
      <c r="FF84" s="55"/>
      <c r="FG84" s="55"/>
      <c r="FH84" s="55"/>
      <c r="FI84" s="55"/>
      <c r="FJ84" s="55"/>
      <c r="FK84" s="55"/>
      <c r="FL84" s="55"/>
      <c r="FM84" s="55"/>
      <c r="FN84" s="55"/>
      <c r="FO84" s="55"/>
      <c r="FP84" s="55"/>
      <c r="FQ84" s="55"/>
      <c r="FR84" s="55"/>
      <c r="FS84" s="55"/>
      <c r="FT84" s="55"/>
      <c r="FU84" s="55"/>
      <c r="FV84" s="55"/>
      <c r="FW84" s="55"/>
      <c r="FX84" s="55"/>
      <c r="FY84" s="55"/>
      <c r="FZ84" s="55"/>
      <c r="GA84" s="55"/>
      <c r="GB84" s="55"/>
      <c r="GC84" s="55"/>
      <c r="GD84" s="55"/>
      <c r="GE84" s="55"/>
      <c r="GF84" s="55"/>
      <c r="GG84" s="55"/>
      <c r="GH84" s="55"/>
      <c r="GI84" s="55"/>
      <c r="GJ84" s="55"/>
      <c r="GK84" s="55"/>
      <c r="GL84" s="55"/>
      <c r="GM84" s="55"/>
      <c r="GN84" s="55"/>
      <c r="GO84" s="55"/>
      <c r="GP84" s="55"/>
      <c r="GQ84" s="55"/>
      <c r="GR84" s="55"/>
      <c r="GS84" s="55"/>
      <c r="GT84" s="55"/>
      <c r="GU84" s="55"/>
      <c r="GV84" s="55"/>
      <c r="GW84" s="55"/>
      <c r="GX84" s="55"/>
      <c r="GY84" s="55"/>
      <c r="GZ84" s="55"/>
      <c r="HA84" s="55"/>
      <c r="HB84" s="55"/>
      <c r="HC84" s="55"/>
      <c r="HD84" s="55"/>
      <c r="HE84" s="55"/>
      <c r="HF84" s="55"/>
      <c r="HG84" s="55"/>
      <c r="HH84" s="55"/>
      <c r="HI84" s="55"/>
      <c r="HJ84" s="55"/>
      <c r="HK84" s="55"/>
      <c r="HL84" s="55"/>
      <c r="HM84" s="55"/>
      <c r="HN84" s="55"/>
      <c r="HO84" s="55"/>
      <c r="HP84" s="55"/>
      <c r="HQ84" s="55"/>
      <c r="HR84" s="55"/>
      <c r="HS84" s="55"/>
      <c r="HT84" s="55"/>
      <c r="HU84" s="55"/>
      <c r="HV84" s="55"/>
      <c r="HW84" s="55"/>
      <c r="HX84" s="55"/>
      <c r="HY84" s="55"/>
      <c r="HZ84" s="55"/>
      <c r="IA84" s="55"/>
      <c r="IB84" s="55"/>
      <c r="IC84" s="55"/>
      <c r="ID84" s="55"/>
      <c r="IE84" s="55"/>
      <c r="IF84" s="55"/>
      <c r="IG84" s="55"/>
      <c r="IH84" s="55"/>
      <c r="II84" s="55"/>
      <c r="IJ84" s="55"/>
      <c r="IK84" s="55"/>
      <c r="IL84" s="55"/>
      <c r="IM84" s="55"/>
      <c r="IN84" s="55"/>
      <c r="IO84" s="55"/>
      <c r="IP84" s="55"/>
      <c r="IQ84" s="55"/>
      <c r="IR84" s="55"/>
      <c r="IS84" s="55"/>
      <c r="IT84" s="55"/>
      <c r="IU84" s="55"/>
      <c r="IV84" s="55"/>
      <c r="IW84" s="55"/>
      <c r="IX84" s="55"/>
      <c r="IY84" s="55"/>
      <c r="IZ84" s="55"/>
      <c r="JA84" s="55"/>
      <c r="JB84" s="55"/>
      <c r="JC84" s="55"/>
      <c r="JD84" s="55"/>
      <c r="JE84" s="55"/>
      <c r="JF84" s="55"/>
      <c r="JG84" s="55"/>
      <c r="JH84" s="55"/>
      <c r="JI84" s="55"/>
      <c r="JJ84" s="55"/>
      <c r="JK84" s="55"/>
      <c r="JL84" s="55"/>
      <c r="JM84" s="55"/>
      <c r="JN84" s="55"/>
      <c r="JO84" s="55"/>
      <c r="JP84" s="55"/>
      <c r="JQ84" s="55"/>
      <c r="JR84" s="55"/>
      <c r="JS84" s="55"/>
      <c r="JT84" s="55"/>
      <c r="JU84" s="55"/>
      <c r="JV84" s="55"/>
      <c r="JW84" s="55"/>
      <c r="JX84" s="55"/>
      <c r="JY84" s="55"/>
      <c r="JZ84" s="55"/>
      <c r="KA84" s="55"/>
      <c r="KB84" s="55"/>
      <c r="KC84" s="55"/>
      <c r="KD84" s="55"/>
      <c r="KE84" s="55"/>
      <c r="KF84" s="55"/>
      <c r="KG84" s="55"/>
      <c r="KH84" s="55"/>
      <c r="KI84" s="55"/>
      <c r="KJ84" s="55"/>
      <c r="KK84" s="55"/>
      <c r="KL84" s="55"/>
      <c r="KM84" s="55"/>
      <c r="KN84" s="55"/>
      <c r="KO84" s="55"/>
      <c r="KP84" s="55"/>
      <c r="KQ84" s="55"/>
      <c r="KR84" s="55"/>
      <c r="KS84" s="55"/>
      <c r="KT84" s="55"/>
      <c r="KU84" s="55"/>
      <c r="KV84" s="55"/>
      <c r="KW84" s="55"/>
      <c r="KX84" s="55"/>
      <c r="KY84" s="55"/>
      <c r="KZ84" s="55"/>
      <c r="LA84" s="55"/>
      <c r="LB84" s="55"/>
      <c r="LC84" s="55"/>
      <c r="LD84" s="55"/>
      <c r="LE84" s="55"/>
      <c r="LF84" s="55"/>
      <c r="LG84" s="55"/>
      <c r="LH84" s="55"/>
      <c r="LI84" s="55"/>
      <c r="LJ84" s="55"/>
      <c r="LK84" s="55"/>
      <c r="LL84" s="55"/>
      <c r="LM84" s="55"/>
      <c r="LN84" s="55"/>
      <c r="LO84" s="55"/>
      <c r="LP84" s="55"/>
      <c r="LQ84" s="55"/>
      <c r="LR84" s="55"/>
      <c r="LS84" s="55"/>
      <c r="LT84" s="55"/>
      <c r="LU84" s="55"/>
      <c r="LV84" s="55"/>
      <c r="LW84" s="55"/>
      <c r="LX84" s="55"/>
      <c r="LY84" s="55"/>
      <c r="LZ84" s="55"/>
      <c r="MA84" s="55"/>
      <c r="MB84" s="55"/>
      <c r="MC84" s="55"/>
      <c r="MD84" s="55"/>
      <c r="ME84" s="55"/>
      <c r="MF84" s="55"/>
      <c r="MG84" s="55"/>
      <c r="MH84" s="55"/>
      <c r="MI84" s="55"/>
      <c r="MJ84" s="55"/>
      <c r="MK84" s="55"/>
      <c r="ML84" s="55"/>
      <c r="MM84" s="55"/>
      <c r="MN84" s="55"/>
      <c r="MO84" s="55"/>
      <c r="MP84" s="55"/>
      <c r="MQ84" s="55"/>
      <c r="MR84" s="55"/>
      <c r="MS84" s="55"/>
      <c r="MT84" s="55"/>
      <c r="MU84" s="55"/>
      <c r="MV84" s="55"/>
      <c r="MW84" s="55"/>
      <c r="MX84" s="55"/>
      <c r="MY84" s="55"/>
      <c r="MZ84" s="55"/>
      <c r="NA84" s="55"/>
      <c r="NB84" s="55"/>
      <c r="NC84" s="55"/>
      <c r="ND84" s="55"/>
      <c r="NE84" s="55"/>
      <c r="NF84" s="55"/>
      <c r="NG84" s="55"/>
      <c r="NH84" s="55"/>
      <c r="NI84" s="55"/>
      <c r="NJ84" s="55"/>
      <c r="NK84" s="55"/>
      <c r="NL84" s="55"/>
      <c r="NM84" s="55"/>
      <c r="NN84" s="55"/>
      <c r="NO84" s="55"/>
      <c r="NP84" s="55"/>
      <c r="NQ84" s="55"/>
      <c r="NR84" s="55"/>
      <c r="NS84" s="55"/>
      <c r="NT84" s="55"/>
      <c r="NU84" s="55"/>
      <c r="NV84" s="55"/>
      <c r="NW84" s="55"/>
      <c r="NX84" s="55"/>
      <c r="NY84" s="55"/>
      <c r="NZ84" s="55"/>
      <c r="OA84" s="55"/>
      <c r="OB84" s="55"/>
      <c r="OC84" s="55"/>
      <c r="OD84" s="55"/>
      <c r="OE84" s="55"/>
      <c r="OF84" s="55"/>
      <c r="OG84" s="55"/>
      <c r="OH84" s="55"/>
      <c r="OI84" s="55"/>
      <c r="OJ84" s="55"/>
      <c r="OK84" s="55"/>
      <c r="OL84" s="55"/>
      <c r="OM84" s="55"/>
      <c r="ON84" s="55"/>
      <c r="OO84" s="55"/>
      <c r="OP84" s="55"/>
      <c r="OQ84" s="55"/>
      <c r="OR84" s="55"/>
      <c r="OS84" s="55"/>
      <c r="OT84" s="55"/>
      <c r="OU84" s="55"/>
      <c r="OV84" s="55"/>
      <c r="OW84" s="55"/>
      <c r="OX84" s="55"/>
      <c r="OY84" s="55"/>
      <c r="OZ84" s="55"/>
      <c r="PA84" s="55"/>
      <c r="PB84" s="55"/>
      <c r="PC84" s="55"/>
      <c r="PD84" s="55"/>
      <c r="PE84" s="55"/>
      <c r="PF84" s="55"/>
      <c r="PG84" s="55"/>
      <c r="PH84" s="55"/>
      <c r="PI84" s="55"/>
      <c r="PJ84" s="55"/>
      <c r="PK84" s="55"/>
      <c r="PL84" s="55"/>
      <c r="PM84" s="55"/>
      <c r="PN84" s="55"/>
      <c r="PO84" s="55"/>
      <c r="PP84" s="55"/>
      <c r="PQ84" s="55"/>
      <c r="PR84" s="55"/>
      <c r="PS84" s="55"/>
      <c r="PT84" s="55"/>
      <c r="PU84" s="55"/>
      <c r="PV84" s="55"/>
      <c r="PW84" s="55"/>
      <c r="PX84" s="55"/>
      <c r="PY84" s="55"/>
      <c r="PZ84" s="55"/>
      <c r="QA84" s="55"/>
      <c r="QB84" s="55"/>
      <c r="QC84" s="55"/>
      <c r="QD84" s="55"/>
      <c r="QE84" s="55"/>
      <c r="QF84" s="55"/>
      <c r="QG84" s="55"/>
      <c r="QH84" s="55"/>
      <c r="QI84" s="55"/>
      <c r="QJ84" s="55"/>
      <c r="QK84" s="55"/>
      <c r="QL84" s="55"/>
      <c r="QM84" s="55"/>
      <c r="QN84" s="55"/>
      <c r="QO84" s="55"/>
      <c r="QP84" s="55"/>
      <c r="QQ84" s="55"/>
      <c r="QR84" s="55"/>
      <c r="QS84" s="55"/>
      <c r="QT84" s="55"/>
      <c r="QU84" s="55"/>
      <c r="QV84" s="55"/>
      <c r="QW84" s="55"/>
      <c r="QX84" s="55"/>
      <c r="QY84" s="55"/>
      <c r="QZ84" s="55"/>
      <c r="RA84" s="55"/>
      <c r="RB84" s="55"/>
      <c r="RC84" s="55"/>
      <c r="RD84" s="55"/>
      <c r="RE84" s="55"/>
      <c r="RF84" s="55"/>
      <c r="RG84" s="55"/>
      <c r="RH84" s="55"/>
      <c r="RI84" s="55"/>
      <c r="RJ84" s="55"/>
      <c r="RK84" s="55"/>
      <c r="RL84" s="55"/>
      <c r="RM84" s="55"/>
      <c r="RN84" s="55"/>
      <c r="RO84" s="55"/>
      <c r="RP84" s="55"/>
      <c r="RQ84" s="55"/>
      <c r="RR84" s="55"/>
      <c r="RS84" s="55"/>
      <c r="RT84" s="55"/>
      <c r="RU84" s="55"/>
      <c r="RV84" s="55"/>
      <c r="RW84" s="55"/>
      <c r="RX84" s="55"/>
      <c r="RY84" s="55"/>
      <c r="RZ84" s="55"/>
      <c r="SA84" s="55"/>
      <c r="SB84" s="55"/>
      <c r="SC84" s="55"/>
      <c r="SD84" s="55"/>
      <c r="SE84" s="55"/>
      <c r="SF84" s="55"/>
      <c r="SG84" s="55"/>
      <c r="SH84" s="55"/>
      <c r="SI84" s="55"/>
      <c r="SJ84" s="55"/>
      <c r="SK84" s="55"/>
      <c r="SL84" s="55"/>
      <c r="SM84" s="55"/>
      <c r="SN84" s="55"/>
      <c r="SO84" s="55"/>
      <c r="SP84" s="55"/>
      <c r="SQ84" s="55"/>
      <c r="SR84" s="55"/>
    </row>
    <row r="85" spans="1:512" ht="18" customHeight="1" x14ac:dyDescent="0.25">
      <c r="B85" s="48" t="s">
        <v>168</v>
      </c>
      <c r="C85" t="s">
        <v>75</v>
      </c>
      <c r="D85" t="s">
        <v>76</v>
      </c>
      <c r="E85" t="s">
        <v>77</v>
      </c>
      <c r="AS85" s="68"/>
      <c r="CT85">
        <v>2</v>
      </c>
      <c r="QG85">
        <v>5</v>
      </c>
      <c r="RT85">
        <v>25</v>
      </c>
    </row>
    <row r="86" spans="1:512" ht="18" customHeight="1" x14ac:dyDescent="0.25">
      <c r="B86" s="49" t="s">
        <v>169</v>
      </c>
      <c r="E86" t="s">
        <v>79</v>
      </c>
      <c r="AS86" s="68"/>
      <c r="DA86">
        <v>2</v>
      </c>
      <c r="QN86">
        <v>2</v>
      </c>
      <c r="SA86">
        <v>3</v>
      </c>
    </row>
    <row r="87" spans="1:512" ht="18" customHeight="1" x14ac:dyDescent="0.25">
      <c r="B87" s="49" t="s">
        <v>170</v>
      </c>
      <c r="E87" t="s">
        <v>123</v>
      </c>
      <c r="AS87" s="68"/>
      <c r="DF87">
        <v>1</v>
      </c>
      <c r="QS87">
        <v>1</v>
      </c>
      <c r="SF87">
        <v>1</v>
      </c>
    </row>
    <row r="88" spans="1:512" ht="18" customHeight="1" x14ac:dyDescent="0.25">
      <c r="B88" s="49" t="s">
        <v>171</v>
      </c>
      <c r="E88" t="s">
        <v>105</v>
      </c>
      <c r="AS88" s="68"/>
    </row>
    <row r="89" spans="1:512" ht="18" customHeight="1" x14ac:dyDescent="0.25">
      <c r="B89" s="50" t="s">
        <v>172</v>
      </c>
      <c r="E89" t="s">
        <v>85</v>
      </c>
      <c r="AS89" s="68"/>
      <c r="DL89">
        <v>1</v>
      </c>
      <c r="QY89">
        <v>1</v>
      </c>
      <c r="SL89">
        <v>1</v>
      </c>
    </row>
    <row r="90" spans="1:512" ht="18" customHeight="1" x14ac:dyDescent="0.25">
      <c r="B90" s="50" t="s">
        <v>173</v>
      </c>
      <c r="E90" t="s">
        <v>123</v>
      </c>
      <c r="AS90" s="68"/>
      <c r="DF90">
        <v>1</v>
      </c>
      <c r="QS90">
        <v>1</v>
      </c>
      <c r="SF90">
        <v>1</v>
      </c>
    </row>
    <row r="91" spans="1:512" ht="18" customHeight="1" x14ac:dyDescent="0.25">
      <c r="B91" s="50" t="s">
        <v>174</v>
      </c>
      <c r="E91" t="s">
        <v>85</v>
      </c>
      <c r="AS91" s="68"/>
      <c r="DL91">
        <v>3</v>
      </c>
      <c r="QY91">
        <v>2</v>
      </c>
      <c r="SL91">
        <v>3</v>
      </c>
    </row>
    <row r="92" spans="1:512" ht="18" customHeight="1" x14ac:dyDescent="0.25">
      <c r="B92" s="49" t="s">
        <v>175</v>
      </c>
      <c r="E92" t="s">
        <v>108</v>
      </c>
      <c r="AS92" s="68"/>
    </row>
    <row r="93" spans="1:512" ht="18" customHeight="1" x14ac:dyDescent="0.25">
      <c r="B93" s="50" t="s">
        <v>176</v>
      </c>
      <c r="E93" t="s">
        <v>81</v>
      </c>
      <c r="AS93" s="68"/>
    </row>
    <row r="94" spans="1:512" ht="18" customHeight="1" x14ac:dyDescent="0.25">
      <c r="B94" s="49" t="s">
        <v>177</v>
      </c>
      <c r="E94" t="s">
        <v>85</v>
      </c>
      <c r="AS94" s="68"/>
    </row>
    <row r="95" spans="1:512" ht="18" customHeight="1" x14ac:dyDescent="0.25">
      <c r="B95" s="49" t="s">
        <v>178</v>
      </c>
      <c r="E95" t="s">
        <v>110</v>
      </c>
      <c r="AS95" s="68"/>
      <c r="DQ95">
        <v>2</v>
      </c>
      <c r="RD95">
        <v>1</v>
      </c>
      <c r="SQ95">
        <v>2</v>
      </c>
    </row>
    <row r="96" spans="1:512" ht="18" customHeight="1" x14ac:dyDescent="0.25">
      <c r="B96" s="49" t="s">
        <v>179</v>
      </c>
      <c r="E96" t="s">
        <v>131</v>
      </c>
      <c r="AS96" s="68"/>
    </row>
    <row r="97" spans="2:511" ht="18" customHeight="1" x14ac:dyDescent="0.25">
      <c r="B97" s="49" t="s">
        <v>180</v>
      </c>
      <c r="E97" t="s">
        <v>85</v>
      </c>
      <c r="AS97" s="68"/>
      <c r="DL97">
        <v>4</v>
      </c>
      <c r="QY97">
        <v>2</v>
      </c>
      <c r="SL97">
        <v>4</v>
      </c>
    </row>
    <row r="98" spans="2:511" ht="18" customHeight="1" x14ac:dyDescent="0.25">
      <c r="B98" s="50" t="s">
        <v>181</v>
      </c>
      <c r="E98" t="s">
        <v>77</v>
      </c>
      <c r="AS98" s="68"/>
      <c r="CT98">
        <v>8</v>
      </c>
      <c r="QG98">
        <v>5</v>
      </c>
      <c r="RT98">
        <v>20</v>
      </c>
    </row>
    <row r="99" spans="2:511" ht="18" customHeight="1" x14ac:dyDescent="0.25">
      <c r="B99" s="50" t="s">
        <v>182</v>
      </c>
      <c r="E99" t="s">
        <v>133</v>
      </c>
      <c r="AS99" s="68"/>
      <c r="CX99">
        <v>2</v>
      </c>
      <c r="QK99">
        <v>1</v>
      </c>
      <c r="RX99">
        <v>10</v>
      </c>
    </row>
    <row r="100" spans="2:511" ht="18" customHeight="1" x14ac:dyDescent="0.25">
      <c r="B100" s="50" t="s">
        <v>183</v>
      </c>
      <c r="E100" t="s">
        <v>110</v>
      </c>
      <c r="AS100" s="68"/>
      <c r="DQ100">
        <v>4</v>
      </c>
      <c r="RD100">
        <v>2</v>
      </c>
      <c r="SQ100">
        <v>4</v>
      </c>
    </row>
    <row r="101" spans="2:511" ht="18" customHeight="1" x14ac:dyDescent="0.25">
      <c r="B101" s="50" t="s">
        <v>184</v>
      </c>
      <c r="E101" t="s">
        <v>133</v>
      </c>
      <c r="AS101" s="68"/>
      <c r="CX101">
        <v>2</v>
      </c>
      <c r="QK101">
        <v>0.5</v>
      </c>
      <c r="RX101">
        <v>5</v>
      </c>
    </row>
    <row r="102" spans="2:511" ht="18" customHeight="1" x14ac:dyDescent="0.25">
      <c r="B102" s="50" t="s">
        <v>185</v>
      </c>
      <c r="E102" t="s">
        <v>81</v>
      </c>
      <c r="AS102" s="68"/>
    </row>
    <row r="103" spans="2:511" ht="18" customHeight="1" x14ac:dyDescent="0.25">
      <c r="B103" s="49" t="s">
        <v>186</v>
      </c>
      <c r="E103" t="s">
        <v>110</v>
      </c>
      <c r="AS103" s="68"/>
      <c r="DQ103">
        <v>8</v>
      </c>
      <c r="RD103">
        <v>7</v>
      </c>
      <c r="SQ103">
        <v>14</v>
      </c>
    </row>
    <row r="104" spans="2:511" ht="18" customHeight="1" x14ac:dyDescent="0.25">
      <c r="B104" s="50" t="s">
        <v>185</v>
      </c>
      <c r="E104" t="s">
        <v>81</v>
      </c>
      <c r="AS104" s="68"/>
    </row>
    <row r="105" spans="2:511" ht="18" customHeight="1" x14ac:dyDescent="0.25">
      <c r="B105" s="48" t="s">
        <v>187</v>
      </c>
      <c r="C105" t="s">
        <v>102</v>
      </c>
      <c r="D105" t="s">
        <v>103</v>
      </c>
      <c r="E105" t="s">
        <v>77</v>
      </c>
      <c r="AS105" s="68"/>
    </row>
    <row r="106" spans="2:511" ht="18" customHeight="1" x14ac:dyDescent="0.25">
      <c r="B106" s="49" t="s">
        <v>188</v>
      </c>
      <c r="E106" t="s">
        <v>85</v>
      </c>
      <c r="AS106" s="68"/>
    </row>
    <row r="107" spans="2:511" ht="18" customHeight="1" x14ac:dyDescent="0.25">
      <c r="B107" s="50" t="s">
        <v>189</v>
      </c>
      <c r="E107" t="s">
        <v>85</v>
      </c>
      <c r="AS107" s="68"/>
    </row>
    <row r="108" spans="2:511" ht="18" customHeight="1" x14ac:dyDescent="0.25">
      <c r="B108" s="50" t="s">
        <v>190</v>
      </c>
      <c r="E108" t="s">
        <v>81</v>
      </c>
      <c r="AS108" s="68"/>
    </row>
    <row r="109" spans="2:511" ht="18" customHeight="1" x14ac:dyDescent="0.25">
      <c r="B109" s="50" t="s">
        <v>191</v>
      </c>
      <c r="E109" t="s">
        <v>79</v>
      </c>
      <c r="AS109" s="68"/>
      <c r="DA109">
        <v>10</v>
      </c>
      <c r="QN109">
        <v>2</v>
      </c>
      <c r="SA109">
        <v>5</v>
      </c>
    </row>
    <row r="110" spans="2:511" ht="18" customHeight="1" x14ac:dyDescent="0.25">
      <c r="B110" s="50" t="s">
        <v>192</v>
      </c>
      <c r="E110" t="s">
        <v>85</v>
      </c>
      <c r="AS110" s="68"/>
      <c r="DL110">
        <v>2</v>
      </c>
      <c r="QY110">
        <v>1</v>
      </c>
      <c r="SL110">
        <v>2</v>
      </c>
    </row>
    <row r="111" spans="2:511" ht="18" customHeight="1" x14ac:dyDescent="0.25">
      <c r="B111" s="50" t="s">
        <v>193</v>
      </c>
      <c r="E111" t="s">
        <v>85</v>
      </c>
      <c r="AS111" s="68"/>
      <c r="DL111">
        <v>5</v>
      </c>
      <c r="QY111">
        <v>3</v>
      </c>
      <c r="SL111">
        <v>5</v>
      </c>
    </row>
    <row r="112" spans="2:511" ht="18" customHeight="1" x14ac:dyDescent="0.25">
      <c r="B112" s="50" t="s">
        <v>194</v>
      </c>
      <c r="E112" t="s">
        <v>85</v>
      </c>
      <c r="AS112" s="68"/>
      <c r="DL112">
        <v>2</v>
      </c>
      <c r="QY112">
        <v>1</v>
      </c>
      <c r="SL112">
        <v>2</v>
      </c>
    </row>
    <row r="113" spans="2:508" ht="18" customHeight="1" x14ac:dyDescent="0.25">
      <c r="B113" s="50" t="s">
        <v>195</v>
      </c>
      <c r="E113" t="s">
        <v>85</v>
      </c>
      <c r="AS113" s="68"/>
      <c r="DL113">
        <v>5</v>
      </c>
      <c r="QY113">
        <v>3</v>
      </c>
      <c r="SL113">
        <v>5</v>
      </c>
    </row>
    <row r="114" spans="2:508" ht="18" customHeight="1" x14ac:dyDescent="0.25">
      <c r="B114" s="50" t="s">
        <v>196</v>
      </c>
      <c r="E114" t="s">
        <v>85</v>
      </c>
      <c r="AS114" s="68"/>
      <c r="DL114">
        <v>2</v>
      </c>
      <c r="QY114">
        <v>1</v>
      </c>
      <c r="SL114">
        <v>2</v>
      </c>
    </row>
    <row r="115" spans="2:508" ht="18" customHeight="1" x14ac:dyDescent="0.25">
      <c r="B115" s="50" t="s">
        <v>197</v>
      </c>
      <c r="E115" t="s">
        <v>85</v>
      </c>
      <c r="AS115" s="68"/>
      <c r="DL115">
        <v>2</v>
      </c>
      <c r="QY115">
        <v>1</v>
      </c>
      <c r="SL115">
        <v>2</v>
      </c>
    </row>
    <row r="116" spans="2:508" ht="18" customHeight="1" x14ac:dyDescent="0.25">
      <c r="B116" s="50" t="s">
        <v>198</v>
      </c>
      <c r="E116" t="s">
        <v>85</v>
      </c>
      <c r="AS116" s="68"/>
      <c r="DL116">
        <v>2</v>
      </c>
      <c r="QY116">
        <v>1</v>
      </c>
      <c r="SL116">
        <v>2</v>
      </c>
    </row>
    <row r="117" spans="2:508" ht="18" customHeight="1" x14ac:dyDescent="0.25">
      <c r="B117" s="49" t="s">
        <v>199</v>
      </c>
      <c r="E117" t="s">
        <v>85</v>
      </c>
      <c r="AS117" s="68"/>
    </row>
    <row r="118" spans="2:508" ht="18" customHeight="1" x14ac:dyDescent="0.25">
      <c r="B118" s="50" t="s">
        <v>200</v>
      </c>
      <c r="E118" t="s">
        <v>85</v>
      </c>
      <c r="AS118" s="68"/>
      <c r="DL118">
        <v>3</v>
      </c>
      <c r="QY118">
        <v>2</v>
      </c>
      <c r="SL118">
        <v>3</v>
      </c>
    </row>
    <row r="119" spans="2:508" ht="18" customHeight="1" x14ac:dyDescent="0.25">
      <c r="B119" s="50" t="s">
        <v>201</v>
      </c>
      <c r="E119" t="s">
        <v>81</v>
      </c>
      <c r="AS119" s="68"/>
    </row>
    <row r="120" spans="2:508" ht="18" customHeight="1" x14ac:dyDescent="0.25">
      <c r="B120" s="50" t="s">
        <v>202</v>
      </c>
      <c r="E120" t="s">
        <v>85</v>
      </c>
      <c r="AS120" s="68"/>
      <c r="DL120">
        <v>3</v>
      </c>
      <c r="QY120">
        <v>2</v>
      </c>
      <c r="SL120">
        <v>3</v>
      </c>
    </row>
    <row r="121" spans="2:508" ht="18" customHeight="1" x14ac:dyDescent="0.25">
      <c r="B121" s="50" t="s">
        <v>203</v>
      </c>
      <c r="E121" t="s">
        <v>121</v>
      </c>
      <c r="AS121" s="68"/>
    </row>
    <row r="122" spans="2:508" ht="18" customHeight="1" x14ac:dyDescent="0.25">
      <c r="B122" s="50" t="s">
        <v>204</v>
      </c>
      <c r="E122" t="s">
        <v>85</v>
      </c>
      <c r="AS122" s="68"/>
      <c r="DL122">
        <v>3</v>
      </c>
      <c r="QY122">
        <v>2</v>
      </c>
      <c r="SL122">
        <v>3</v>
      </c>
    </row>
    <row r="123" spans="2:508" ht="18" customHeight="1" x14ac:dyDescent="0.25">
      <c r="B123" s="50" t="s">
        <v>205</v>
      </c>
      <c r="E123" t="s">
        <v>90</v>
      </c>
      <c r="AS123" s="68"/>
      <c r="DN123">
        <v>5</v>
      </c>
      <c r="RA123">
        <v>5</v>
      </c>
      <c r="SN123">
        <v>5</v>
      </c>
    </row>
    <row r="124" spans="2:508" ht="18" customHeight="1" x14ac:dyDescent="0.25">
      <c r="B124" s="50" t="s">
        <v>206</v>
      </c>
      <c r="E124" t="s">
        <v>85</v>
      </c>
      <c r="AS124" s="68"/>
      <c r="DL124">
        <v>2</v>
      </c>
      <c r="QY124">
        <v>1</v>
      </c>
      <c r="SL124">
        <v>2</v>
      </c>
    </row>
    <row r="125" spans="2:508" ht="18" customHeight="1" x14ac:dyDescent="0.25">
      <c r="B125" s="49" t="s">
        <v>207</v>
      </c>
      <c r="E125" t="s">
        <v>85</v>
      </c>
      <c r="AS125" s="68"/>
    </row>
    <row r="126" spans="2:508" ht="18" customHeight="1" x14ac:dyDescent="0.25">
      <c r="B126" s="50" t="s">
        <v>208</v>
      </c>
      <c r="E126" t="s">
        <v>77</v>
      </c>
      <c r="AS126" s="68"/>
      <c r="CT126">
        <v>5</v>
      </c>
      <c r="QG126">
        <v>5</v>
      </c>
      <c r="RT126">
        <v>20</v>
      </c>
    </row>
    <row r="127" spans="2:508" ht="18" customHeight="1" x14ac:dyDescent="0.25">
      <c r="B127" s="50" t="s">
        <v>209</v>
      </c>
      <c r="E127" t="s">
        <v>81</v>
      </c>
      <c r="AS127" s="68"/>
    </row>
    <row r="128" spans="2:508" ht="18" customHeight="1" x14ac:dyDescent="0.25">
      <c r="B128" s="50" t="s">
        <v>210</v>
      </c>
      <c r="E128" t="s">
        <v>79</v>
      </c>
      <c r="AS128" s="68"/>
      <c r="DA128">
        <v>10</v>
      </c>
    </row>
    <row r="129" spans="2:511" ht="18" customHeight="1" x14ac:dyDescent="0.25">
      <c r="B129" s="50" t="s">
        <v>211</v>
      </c>
      <c r="E129" t="s">
        <v>105</v>
      </c>
      <c r="AS129" s="68"/>
    </row>
    <row r="130" spans="2:511" ht="18" customHeight="1" x14ac:dyDescent="0.25">
      <c r="B130" s="50" t="s">
        <v>212</v>
      </c>
      <c r="E130" t="s">
        <v>85</v>
      </c>
      <c r="AS130" s="68"/>
      <c r="DL130">
        <v>4</v>
      </c>
      <c r="QY130">
        <v>3</v>
      </c>
      <c r="SL130">
        <v>4</v>
      </c>
    </row>
    <row r="131" spans="2:511" ht="18" customHeight="1" x14ac:dyDescent="0.25">
      <c r="B131" s="50" t="s">
        <v>213</v>
      </c>
      <c r="E131" t="s">
        <v>85</v>
      </c>
      <c r="AS131" s="68"/>
      <c r="DL131">
        <v>2</v>
      </c>
      <c r="QY131">
        <v>1</v>
      </c>
      <c r="SL131">
        <v>2</v>
      </c>
    </row>
    <row r="132" spans="2:511" ht="18" customHeight="1" x14ac:dyDescent="0.25">
      <c r="B132" s="50" t="s">
        <v>214</v>
      </c>
      <c r="E132" t="s">
        <v>85</v>
      </c>
      <c r="AS132" s="68"/>
      <c r="DL132">
        <v>3</v>
      </c>
      <c r="QY132">
        <v>2</v>
      </c>
      <c r="SL132">
        <v>3</v>
      </c>
    </row>
    <row r="133" spans="2:511" ht="18" customHeight="1" x14ac:dyDescent="0.25">
      <c r="B133" s="50" t="s">
        <v>215</v>
      </c>
      <c r="E133" t="s">
        <v>85</v>
      </c>
      <c r="AS133" s="68"/>
      <c r="DL133">
        <v>1</v>
      </c>
      <c r="QY133">
        <v>1</v>
      </c>
      <c r="SL133">
        <v>1</v>
      </c>
    </row>
    <row r="134" spans="2:511" ht="18" customHeight="1" x14ac:dyDescent="0.25">
      <c r="B134" s="49" t="s">
        <v>216</v>
      </c>
      <c r="E134" t="s">
        <v>77</v>
      </c>
      <c r="AS134" s="68"/>
      <c r="CT134">
        <v>10</v>
      </c>
      <c r="QG134">
        <v>10</v>
      </c>
      <c r="RT134">
        <v>25</v>
      </c>
    </row>
    <row r="135" spans="2:511" ht="18" customHeight="1" x14ac:dyDescent="0.25">
      <c r="B135" s="50" t="s">
        <v>217</v>
      </c>
      <c r="E135" t="s">
        <v>85</v>
      </c>
      <c r="AS135" s="68"/>
      <c r="DL135">
        <v>7</v>
      </c>
      <c r="QY135">
        <v>5</v>
      </c>
      <c r="SL135">
        <v>7</v>
      </c>
    </row>
    <row r="136" spans="2:511" ht="18" customHeight="1" x14ac:dyDescent="0.25">
      <c r="B136" s="50" t="s">
        <v>218</v>
      </c>
      <c r="E136" t="s">
        <v>81</v>
      </c>
      <c r="AS136" s="68"/>
    </row>
    <row r="137" spans="2:511" ht="18" customHeight="1" x14ac:dyDescent="0.25">
      <c r="B137" s="50" t="s">
        <v>219</v>
      </c>
      <c r="E137" t="s">
        <v>110</v>
      </c>
      <c r="AS137" s="68"/>
      <c r="DQ137">
        <v>1</v>
      </c>
      <c r="RD137">
        <v>0.5</v>
      </c>
      <c r="SQ137">
        <v>1</v>
      </c>
    </row>
    <row r="138" spans="2:511" ht="18" customHeight="1" x14ac:dyDescent="0.25">
      <c r="B138" s="50" t="s">
        <v>220</v>
      </c>
      <c r="E138" t="s">
        <v>85</v>
      </c>
      <c r="AS138" s="68"/>
      <c r="DL138">
        <v>1</v>
      </c>
      <c r="QY138">
        <v>1</v>
      </c>
      <c r="SL138">
        <v>1</v>
      </c>
    </row>
    <row r="139" spans="2:511" ht="18" customHeight="1" x14ac:dyDescent="0.25">
      <c r="B139" s="50" t="s">
        <v>213</v>
      </c>
      <c r="E139" t="s">
        <v>85</v>
      </c>
      <c r="AS139" s="68"/>
      <c r="DL139">
        <v>2</v>
      </c>
      <c r="QY139">
        <v>1</v>
      </c>
      <c r="SL139">
        <v>2</v>
      </c>
    </row>
    <row r="140" spans="2:511" ht="18" customHeight="1" x14ac:dyDescent="0.25">
      <c r="B140" s="50" t="s">
        <v>221</v>
      </c>
      <c r="E140" t="s">
        <v>85</v>
      </c>
      <c r="AS140" s="68"/>
      <c r="DL140">
        <v>4</v>
      </c>
      <c r="QY140">
        <v>3</v>
      </c>
      <c r="SL140">
        <v>4</v>
      </c>
    </row>
    <row r="141" spans="2:511" ht="18" customHeight="1" x14ac:dyDescent="0.25">
      <c r="B141" s="50" t="s">
        <v>222</v>
      </c>
      <c r="E141" t="s">
        <v>85</v>
      </c>
      <c r="AS141" s="68"/>
    </row>
    <row r="142" spans="2:511" ht="18" customHeight="1" x14ac:dyDescent="0.25">
      <c r="B142" s="50" t="s">
        <v>214</v>
      </c>
      <c r="E142" t="s">
        <v>85</v>
      </c>
      <c r="AS142" s="68"/>
      <c r="DL142">
        <v>3</v>
      </c>
      <c r="QY142">
        <v>2</v>
      </c>
      <c r="SL142">
        <v>3</v>
      </c>
    </row>
    <row r="143" spans="2:511" ht="18" customHeight="1" x14ac:dyDescent="0.25">
      <c r="B143" s="50" t="s">
        <v>223</v>
      </c>
      <c r="E143" t="s">
        <v>79</v>
      </c>
      <c r="AS143" s="68"/>
      <c r="DA143">
        <v>10</v>
      </c>
    </row>
    <row r="144" spans="2:511" ht="18" customHeight="1" x14ac:dyDescent="0.25">
      <c r="B144" s="50" t="s">
        <v>224</v>
      </c>
      <c r="E144" t="s">
        <v>85</v>
      </c>
      <c r="AS144" s="68"/>
      <c r="DL144">
        <v>2</v>
      </c>
      <c r="QY144">
        <v>1</v>
      </c>
      <c r="SL144">
        <v>2</v>
      </c>
    </row>
    <row r="145" spans="2:508" ht="18" customHeight="1" x14ac:dyDescent="0.25">
      <c r="B145" s="50" t="s">
        <v>225</v>
      </c>
      <c r="E145" t="s">
        <v>105</v>
      </c>
      <c r="AS145" s="68"/>
    </row>
    <row r="146" spans="2:508" ht="18" customHeight="1" x14ac:dyDescent="0.25">
      <c r="B146" s="50" t="s">
        <v>215</v>
      </c>
      <c r="E146" t="s">
        <v>85</v>
      </c>
      <c r="AS146" s="68"/>
      <c r="DL146">
        <v>2</v>
      </c>
      <c r="QY146">
        <v>1</v>
      </c>
      <c r="SL146">
        <v>2</v>
      </c>
    </row>
    <row r="147" spans="2:508" ht="18" customHeight="1" x14ac:dyDescent="0.25">
      <c r="B147" s="48" t="s">
        <v>226</v>
      </c>
      <c r="C147" t="s">
        <v>75</v>
      </c>
      <c r="D147" t="s">
        <v>103</v>
      </c>
      <c r="E147" t="s">
        <v>90</v>
      </c>
      <c r="AS147" s="68"/>
      <c r="CT147">
        <v>5</v>
      </c>
      <c r="DI147">
        <v>10</v>
      </c>
      <c r="DL147">
        <v>120</v>
      </c>
      <c r="QG147">
        <v>5</v>
      </c>
      <c r="QV147">
        <v>10</v>
      </c>
      <c r="QY147">
        <v>120</v>
      </c>
      <c r="RT147">
        <v>5</v>
      </c>
      <c r="SI147">
        <v>10</v>
      </c>
      <c r="SL147">
        <v>120</v>
      </c>
    </row>
    <row r="148" spans="2:508" ht="18" customHeight="1" x14ac:dyDescent="0.25">
      <c r="B148" s="49" t="s">
        <v>227</v>
      </c>
      <c r="E148" t="s">
        <v>90</v>
      </c>
      <c r="AS148" s="68"/>
    </row>
    <row r="149" spans="2:508" ht="18" customHeight="1" x14ac:dyDescent="0.25">
      <c r="B149" s="50" t="s">
        <v>228</v>
      </c>
      <c r="E149" t="s">
        <v>90</v>
      </c>
      <c r="AS149" s="68"/>
      <c r="DN149">
        <v>4</v>
      </c>
      <c r="RA149">
        <v>3</v>
      </c>
      <c r="SN149">
        <v>4</v>
      </c>
    </row>
    <row r="150" spans="2:508" ht="18" customHeight="1" x14ac:dyDescent="0.25">
      <c r="B150" s="50" t="s">
        <v>229</v>
      </c>
      <c r="E150" t="s">
        <v>81</v>
      </c>
      <c r="AS150" s="68"/>
    </row>
    <row r="151" spans="2:508" ht="18" customHeight="1" x14ac:dyDescent="0.25">
      <c r="B151" s="49" t="s">
        <v>230</v>
      </c>
      <c r="E151" t="s">
        <v>90</v>
      </c>
      <c r="AS151" s="68"/>
    </row>
    <row r="152" spans="2:508" ht="18" customHeight="1" x14ac:dyDescent="0.25">
      <c r="B152" s="50" t="s">
        <v>228</v>
      </c>
      <c r="E152" t="s">
        <v>90</v>
      </c>
      <c r="AS152" s="68"/>
      <c r="DN152">
        <v>2</v>
      </c>
      <c r="RA152">
        <v>1</v>
      </c>
      <c r="SN152">
        <v>2</v>
      </c>
    </row>
    <row r="153" spans="2:508" ht="18" customHeight="1" x14ac:dyDescent="0.25">
      <c r="B153" s="50" t="s">
        <v>231</v>
      </c>
      <c r="E153" t="s">
        <v>90</v>
      </c>
      <c r="AS153" s="68"/>
      <c r="DN153">
        <v>6</v>
      </c>
      <c r="RA153">
        <v>4</v>
      </c>
      <c r="SN153">
        <v>6</v>
      </c>
    </row>
    <row r="154" spans="2:508" ht="18" customHeight="1" x14ac:dyDescent="0.25">
      <c r="B154" s="50" t="s">
        <v>232</v>
      </c>
      <c r="E154" t="s">
        <v>90</v>
      </c>
      <c r="AS154" s="68"/>
      <c r="DN154">
        <v>6</v>
      </c>
      <c r="RA154">
        <v>4</v>
      </c>
      <c r="SN154">
        <v>6</v>
      </c>
    </row>
    <row r="155" spans="2:508" ht="18" customHeight="1" x14ac:dyDescent="0.25">
      <c r="B155" s="50" t="s">
        <v>233</v>
      </c>
      <c r="E155" t="s">
        <v>90</v>
      </c>
      <c r="AS155" s="68"/>
      <c r="DN155">
        <v>5</v>
      </c>
      <c r="RA155">
        <v>3</v>
      </c>
      <c r="SN155">
        <v>5</v>
      </c>
    </row>
    <row r="156" spans="2:508" ht="18" customHeight="1" x14ac:dyDescent="0.25">
      <c r="B156" s="49" t="s">
        <v>234</v>
      </c>
      <c r="E156" t="s">
        <v>90</v>
      </c>
      <c r="AS156" s="68"/>
    </row>
    <row r="157" spans="2:508" ht="18" customHeight="1" x14ac:dyDescent="0.25">
      <c r="B157" s="50" t="s">
        <v>235</v>
      </c>
      <c r="E157" t="s">
        <v>85</v>
      </c>
      <c r="AS157" s="68"/>
      <c r="DL157">
        <v>3</v>
      </c>
      <c r="QY157">
        <v>2</v>
      </c>
      <c r="SL157">
        <v>3</v>
      </c>
    </row>
    <row r="158" spans="2:508" ht="18" customHeight="1" x14ac:dyDescent="0.25">
      <c r="B158" s="50" t="s">
        <v>236</v>
      </c>
      <c r="E158" t="s">
        <v>90</v>
      </c>
      <c r="AS158" s="68"/>
      <c r="DN158">
        <v>3</v>
      </c>
      <c r="RA158">
        <v>2</v>
      </c>
      <c r="SN158">
        <v>3</v>
      </c>
    </row>
    <row r="159" spans="2:508" ht="18" customHeight="1" x14ac:dyDescent="0.25">
      <c r="B159" s="50" t="s">
        <v>237</v>
      </c>
      <c r="E159" t="s">
        <v>90</v>
      </c>
      <c r="AS159" s="68"/>
      <c r="DN159">
        <v>4</v>
      </c>
      <c r="RA159">
        <v>3</v>
      </c>
      <c r="SN159">
        <v>4</v>
      </c>
    </row>
    <row r="160" spans="2:508" ht="18" customHeight="1" x14ac:dyDescent="0.25">
      <c r="B160" s="50" t="s">
        <v>238</v>
      </c>
      <c r="E160" t="s">
        <v>90</v>
      </c>
      <c r="AS160" s="68"/>
      <c r="DN160">
        <v>2</v>
      </c>
      <c r="RA160">
        <v>1</v>
      </c>
      <c r="SN160">
        <v>2</v>
      </c>
    </row>
    <row r="161" spans="2:508" ht="18" customHeight="1" x14ac:dyDescent="0.25">
      <c r="B161" s="50" t="s">
        <v>239</v>
      </c>
      <c r="E161" t="s">
        <v>90</v>
      </c>
      <c r="AS161" s="68"/>
      <c r="DN161">
        <v>3</v>
      </c>
      <c r="RA161">
        <v>2</v>
      </c>
      <c r="SN161">
        <v>3</v>
      </c>
    </row>
    <row r="162" spans="2:508" ht="18" customHeight="1" x14ac:dyDescent="0.25">
      <c r="B162" s="50" t="s">
        <v>240</v>
      </c>
      <c r="E162" t="s">
        <v>90</v>
      </c>
      <c r="AS162" s="68"/>
      <c r="DN162">
        <v>3</v>
      </c>
      <c r="RA162">
        <v>2</v>
      </c>
      <c r="SN162">
        <v>3</v>
      </c>
    </row>
    <row r="163" spans="2:508" ht="18" customHeight="1" x14ac:dyDescent="0.25">
      <c r="B163" s="50" t="s">
        <v>241</v>
      </c>
      <c r="E163" t="s">
        <v>85</v>
      </c>
      <c r="AS163" s="68"/>
      <c r="DL163">
        <v>3</v>
      </c>
      <c r="QY163">
        <v>2</v>
      </c>
      <c r="SL163">
        <v>3</v>
      </c>
    </row>
    <row r="164" spans="2:508" ht="18" customHeight="1" x14ac:dyDescent="0.25">
      <c r="B164" s="50" t="s">
        <v>241</v>
      </c>
      <c r="E164" t="s">
        <v>90</v>
      </c>
      <c r="AS164" s="68"/>
      <c r="DN164">
        <v>4</v>
      </c>
      <c r="RA164">
        <v>3</v>
      </c>
      <c r="SN164">
        <v>4</v>
      </c>
    </row>
    <row r="165" spans="2:508" ht="18" customHeight="1" x14ac:dyDescent="0.25">
      <c r="B165" s="50" t="s">
        <v>242</v>
      </c>
      <c r="E165" t="s">
        <v>90</v>
      </c>
      <c r="AS165" s="68"/>
      <c r="DN165">
        <v>3</v>
      </c>
      <c r="RA165">
        <v>2</v>
      </c>
      <c r="SN165">
        <v>3</v>
      </c>
    </row>
    <row r="166" spans="2:508" ht="18" customHeight="1" x14ac:dyDescent="0.25">
      <c r="B166" s="49" t="s">
        <v>243</v>
      </c>
      <c r="E166" t="s">
        <v>90</v>
      </c>
      <c r="AS166" s="68"/>
    </row>
    <row r="167" spans="2:508" ht="18" customHeight="1" x14ac:dyDescent="0.25">
      <c r="B167" s="50" t="s">
        <v>244</v>
      </c>
      <c r="E167" t="s">
        <v>85</v>
      </c>
      <c r="AS167" s="68"/>
      <c r="DL167">
        <v>2</v>
      </c>
      <c r="QY167">
        <v>1</v>
      </c>
      <c r="SL167">
        <v>2</v>
      </c>
    </row>
    <row r="168" spans="2:508" ht="18" customHeight="1" x14ac:dyDescent="0.25">
      <c r="B168" s="50" t="s">
        <v>245</v>
      </c>
      <c r="E168" t="s">
        <v>90</v>
      </c>
      <c r="AS168" s="68"/>
      <c r="DN168">
        <v>4</v>
      </c>
      <c r="RA168">
        <v>3</v>
      </c>
      <c r="SN168">
        <v>4</v>
      </c>
    </row>
    <row r="169" spans="2:508" ht="18" customHeight="1" x14ac:dyDescent="0.25">
      <c r="B169" s="50" t="s">
        <v>238</v>
      </c>
      <c r="E169" t="s">
        <v>90</v>
      </c>
      <c r="AS169" s="68"/>
      <c r="DN169">
        <v>2</v>
      </c>
      <c r="RA169">
        <v>1</v>
      </c>
      <c r="SN169">
        <v>2</v>
      </c>
    </row>
    <row r="170" spans="2:508" ht="18" customHeight="1" x14ac:dyDescent="0.25">
      <c r="B170" s="50" t="s">
        <v>246</v>
      </c>
      <c r="E170" t="s">
        <v>90</v>
      </c>
      <c r="AS170" s="68"/>
      <c r="DN170">
        <v>2</v>
      </c>
      <c r="RA170">
        <v>1</v>
      </c>
      <c r="SN170">
        <v>2</v>
      </c>
    </row>
    <row r="171" spans="2:508" ht="18" customHeight="1" x14ac:dyDescent="0.25">
      <c r="B171" s="50" t="s">
        <v>247</v>
      </c>
      <c r="E171" t="s">
        <v>90</v>
      </c>
      <c r="AS171" s="68"/>
      <c r="DN171">
        <v>3</v>
      </c>
      <c r="RA171">
        <v>2</v>
      </c>
      <c r="SN171">
        <v>3</v>
      </c>
    </row>
    <row r="172" spans="2:508" ht="18" customHeight="1" x14ac:dyDescent="0.25">
      <c r="B172" s="50" t="s">
        <v>248</v>
      </c>
      <c r="E172" t="s">
        <v>90</v>
      </c>
      <c r="AS172" s="68"/>
      <c r="DN172">
        <v>3</v>
      </c>
      <c r="RA172">
        <v>2</v>
      </c>
      <c r="SN172">
        <v>3</v>
      </c>
    </row>
    <row r="173" spans="2:508" ht="18" customHeight="1" x14ac:dyDescent="0.25">
      <c r="B173" s="50" t="s">
        <v>249</v>
      </c>
      <c r="E173" t="s">
        <v>90</v>
      </c>
      <c r="AS173" s="68"/>
      <c r="DN173">
        <v>3</v>
      </c>
      <c r="RA173">
        <v>2</v>
      </c>
      <c r="SN173">
        <v>3</v>
      </c>
    </row>
    <row r="174" spans="2:508" ht="18" customHeight="1" x14ac:dyDescent="0.25">
      <c r="B174" s="49" t="s">
        <v>250</v>
      </c>
      <c r="E174" t="s">
        <v>90</v>
      </c>
      <c r="AS174" s="68"/>
    </row>
    <row r="175" spans="2:508" ht="18" customHeight="1" x14ac:dyDescent="0.25">
      <c r="B175" s="49" t="s">
        <v>251</v>
      </c>
      <c r="E175" t="s">
        <v>77</v>
      </c>
      <c r="AS175" s="68"/>
      <c r="CT175">
        <v>2</v>
      </c>
      <c r="QG175">
        <v>3</v>
      </c>
      <c r="RT175">
        <v>20</v>
      </c>
    </row>
    <row r="176" spans="2:508" ht="18" customHeight="1" x14ac:dyDescent="0.25">
      <c r="B176" s="49" t="s">
        <v>252</v>
      </c>
      <c r="E176" t="s">
        <v>90</v>
      </c>
      <c r="AS176" s="68"/>
    </row>
    <row r="177" spans="2:508" ht="18" customHeight="1" x14ac:dyDescent="0.25">
      <c r="B177" s="49" t="s">
        <v>253</v>
      </c>
      <c r="E177" t="s">
        <v>90</v>
      </c>
      <c r="AS177" s="68"/>
      <c r="DN177">
        <v>3</v>
      </c>
      <c r="RA177">
        <v>2</v>
      </c>
      <c r="SN177">
        <v>3</v>
      </c>
    </row>
    <row r="178" spans="2:508" ht="18" customHeight="1" x14ac:dyDescent="0.25">
      <c r="B178" s="49" t="s">
        <v>254</v>
      </c>
      <c r="E178" t="s">
        <v>90</v>
      </c>
      <c r="AS178" s="68"/>
    </row>
    <row r="179" spans="2:508" ht="18" customHeight="1" x14ac:dyDescent="0.25">
      <c r="B179" s="50" t="s">
        <v>238</v>
      </c>
      <c r="E179" t="s">
        <v>90</v>
      </c>
      <c r="AS179" s="68"/>
      <c r="DN179">
        <v>2</v>
      </c>
      <c r="RA179">
        <v>1</v>
      </c>
      <c r="SN179">
        <v>2</v>
      </c>
    </row>
    <row r="180" spans="2:508" ht="18" customHeight="1" x14ac:dyDescent="0.25">
      <c r="B180" s="50" t="s">
        <v>255</v>
      </c>
      <c r="E180" t="s">
        <v>90</v>
      </c>
      <c r="AS180" s="68"/>
      <c r="DN180">
        <v>4</v>
      </c>
      <c r="RA180">
        <v>3</v>
      </c>
      <c r="SN180">
        <v>4</v>
      </c>
    </row>
    <row r="181" spans="2:508" ht="18" customHeight="1" x14ac:dyDescent="0.25">
      <c r="B181" s="49" t="s">
        <v>256</v>
      </c>
      <c r="E181" t="s">
        <v>90</v>
      </c>
      <c r="AS181" s="68"/>
    </row>
    <row r="182" spans="2:508" ht="18" customHeight="1" x14ac:dyDescent="0.25">
      <c r="B182" s="50" t="s">
        <v>257</v>
      </c>
      <c r="E182" t="s">
        <v>90</v>
      </c>
      <c r="AS182" s="68"/>
      <c r="DN182">
        <v>3</v>
      </c>
      <c r="RA182">
        <v>2</v>
      </c>
      <c r="SN182">
        <v>3</v>
      </c>
    </row>
    <row r="183" spans="2:508" ht="18" customHeight="1" x14ac:dyDescent="0.25">
      <c r="B183" s="49" t="s">
        <v>258</v>
      </c>
      <c r="E183" t="s">
        <v>90</v>
      </c>
      <c r="AS183" s="68"/>
    </row>
    <row r="184" spans="2:508" ht="18" customHeight="1" x14ac:dyDescent="0.25">
      <c r="B184" s="49" t="s">
        <v>259</v>
      </c>
      <c r="E184" t="s">
        <v>90</v>
      </c>
      <c r="AS184" s="68"/>
    </row>
    <row r="185" spans="2:508" ht="18" customHeight="1" x14ac:dyDescent="0.25">
      <c r="B185" s="50" t="s">
        <v>229</v>
      </c>
      <c r="E185" t="s">
        <v>81</v>
      </c>
      <c r="AS185" s="68"/>
    </row>
    <row r="186" spans="2:508" ht="18" customHeight="1" x14ac:dyDescent="0.25">
      <c r="B186" s="48" t="s">
        <v>260</v>
      </c>
      <c r="E186" t="s">
        <v>77</v>
      </c>
      <c r="AS186" s="68"/>
      <c r="CT186">
        <v>1</v>
      </c>
    </row>
    <row r="187" spans="2:508" ht="18" customHeight="1" x14ac:dyDescent="0.25">
      <c r="B187" s="48" t="s">
        <v>261</v>
      </c>
      <c r="E187" t="s">
        <v>77</v>
      </c>
      <c r="AS187" s="68"/>
      <c r="CT187">
        <v>10</v>
      </c>
      <c r="QG187">
        <v>8</v>
      </c>
      <c r="RT187">
        <v>30</v>
      </c>
    </row>
    <row r="188" spans="2:508" ht="18" customHeight="1" x14ac:dyDescent="0.25">
      <c r="B188" s="48" t="s">
        <v>262</v>
      </c>
      <c r="E188" t="s">
        <v>85</v>
      </c>
      <c r="AS188" s="68"/>
    </row>
    <row r="189" spans="2:508" ht="18" customHeight="1" x14ac:dyDescent="0.25">
      <c r="B189" s="48" t="s">
        <v>263</v>
      </c>
      <c r="E189" t="s">
        <v>77</v>
      </c>
      <c r="AS189" s="68"/>
    </row>
    <row r="190" spans="2:508" ht="18" customHeight="1" x14ac:dyDescent="0.25">
      <c r="B190" s="48" t="s">
        <v>264</v>
      </c>
      <c r="E190" t="s">
        <v>77</v>
      </c>
      <c r="AS190" s="68"/>
    </row>
    <row r="191" spans="2:508" ht="18" customHeight="1" x14ac:dyDescent="0.25">
      <c r="B191" s="48" t="s">
        <v>265</v>
      </c>
      <c r="E191" t="s">
        <v>77</v>
      </c>
      <c r="AS191" s="68"/>
      <c r="CQ191">
        <v>2</v>
      </c>
      <c r="CT191">
        <v>3</v>
      </c>
      <c r="DL191">
        <v>30</v>
      </c>
      <c r="QD191">
        <v>2</v>
      </c>
      <c r="QG191">
        <v>3</v>
      </c>
      <c r="QY191">
        <v>30</v>
      </c>
      <c r="RQ191">
        <v>2</v>
      </c>
      <c r="RT191">
        <v>3</v>
      </c>
      <c r="SL191">
        <v>30</v>
      </c>
    </row>
    <row r="192" spans="2:508" ht="18" customHeight="1" x14ac:dyDescent="0.25">
      <c r="B192" s="48" t="s">
        <v>266</v>
      </c>
      <c r="E192" t="s">
        <v>77</v>
      </c>
      <c r="AS192" s="68"/>
      <c r="CT192">
        <v>12</v>
      </c>
      <c r="QG192">
        <v>5</v>
      </c>
      <c r="RT192">
        <v>20</v>
      </c>
    </row>
    <row r="193" spans="2:506" ht="18" customHeight="1" x14ac:dyDescent="0.25">
      <c r="B193" s="48" t="s">
        <v>267</v>
      </c>
      <c r="E193" t="s">
        <v>77</v>
      </c>
      <c r="AS193" s="68"/>
      <c r="DL193">
        <v>20</v>
      </c>
      <c r="QG193">
        <v>5</v>
      </c>
      <c r="QY193">
        <v>20</v>
      </c>
      <c r="RT193">
        <v>15</v>
      </c>
      <c r="SL193">
        <v>20</v>
      </c>
    </row>
    <row r="194" spans="2:506" ht="18" customHeight="1" x14ac:dyDescent="0.25">
      <c r="B194" s="48" t="s">
        <v>268</v>
      </c>
      <c r="E194" t="s">
        <v>77</v>
      </c>
      <c r="AS194" s="68"/>
      <c r="CT194">
        <v>5</v>
      </c>
      <c r="QG194">
        <v>10</v>
      </c>
      <c r="RT194">
        <v>15</v>
      </c>
    </row>
    <row r="195" spans="2:506" ht="18" customHeight="1" x14ac:dyDescent="0.25">
      <c r="B195" s="48" t="s">
        <v>269</v>
      </c>
      <c r="E195" t="s">
        <v>161</v>
      </c>
      <c r="AS195" s="68"/>
    </row>
    <row r="196" spans="2:506" ht="18" customHeight="1" x14ac:dyDescent="0.25">
      <c r="B196" s="48" t="s">
        <v>270</v>
      </c>
      <c r="E196" t="s">
        <v>77</v>
      </c>
      <c r="AS196" s="68"/>
      <c r="QG196">
        <v>3</v>
      </c>
      <c r="RT196">
        <v>10</v>
      </c>
    </row>
    <row r="197" spans="2:506" ht="18" customHeight="1" x14ac:dyDescent="0.25">
      <c r="B197" s="48" t="s">
        <v>271</v>
      </c>
      <c r="E197" t="s">
        <v>77</v>
      </c>
      <c r="AS197" s="68"/>
    </row>
    <row r="198" spans="2:506" ht="18" customHeight="1" x14ac:dyDescent="0.25">
      <c r="B198" s="48" t="s">
        <v>272</v>
      </c>
      <c r="E198" t="s">
        <v>77</v>
      </c>
      <c r="AS198" s="68"/>
    </row>
    <row r="199" spans="2:506" ht="18" customHeight="1" x14ac:dyDescent="0.25">
      <c r="B199" s="48" t="s">
        <v>273</v>
      </c>
      <c r="E199" t="s">
        <v>77</v>
      </c>
      <c r="AS199" s="68"/>
    </row>
    <row r="200" spans="2:506" ht="18" customHeight="1" x14ac:dyDescent="0.25">
      <c r="B200" s="48" t="s">
        <v>274</v>
      </c>
      <c r="E200" t="s">
        <v>77</v>
      </c>
      <c r="AS200" s="68"/>
    </row>
    <row r="201" spans="2:506" ht="18" customHeight="1" x14ac:dyDescent="0.25">
      <c r="B201" s="48" t="s">
        <v>275</v>
      </c>
      <c r="E201" t="s">
        <v>77</v>
      </c>
      <c r="AS201" s="68"/>
    </row>
    <row r="202" spans="2:506" ht="18" customHeight="1" x14ac:dyDescent="0.25">
      <c r="B202" s="48" t="s">
        <v>276</v>
      </c>
      <c r="E202" t="s">
        <v>77</v>
      </c>
      <c r="AS202" s="68"/>
    </row>
    <row r="203" spans="2:506" ht="18" customHeight="1" x14ac:dyDescent="0.25">
      <c r="B203" s="48" t="s">
        <v>277</v>
      </c>
      <c r="E203" t="s">
        <v>77</v>
      </c>
      <c r="AS203" s="68"/>
    </row>
    <row r="204" spans="2:506" ht="18" customHeight="1" x14ac:dyDescent="0.25">
      <c r="B204" s="48" t="s">
        <v>278</v>
      </c>
      <c r="E204" t="s">
        <v>77</v>
      </c>
      <c r="AS204" s="68"/>
    </row>
    <row r="205" spans="2:506" ht="18" customHeight="1" x14ac:dyDescent="0.25">
      <c r="B205" s="48" t="s">
        <v>279</v>
      </c>
      <c r="E205" t="s">
        <v>77</v>
      </c>
      <c r="AS205" s="68"/>
    </row>
    <row r="206" spans="2:506" ht="18" customHeight="1" x14ac:dyDescent="0.25">
      <c r="B206" s="48" t="s">
        <v>280</v>
      </c>
      <c r="E206" t="s">
        <v>77</v>
      </c>
      <c r="AS206" s="68"/>
    </row>
    <row r="207" spans="2:506" ht="18" customHeight="1" x14ac:dyDescent="0.25">
      <c r="B207" s="48" t="s">
        <v>281</v>
      </c>
      <c r="E207" t="s">
        <v>77</v>
      </c>
      <c r="AS207" s="68"/>
    </row>
    <row r="208" spans="2:506" ht="18" customHeight="1" x14ac:dyDescent="0.25">
      <c r="B208" s="48" t="s">
        <v>282</v>
      </c>
      <c r="E208" t="s">
        <v>77</v>
      </c>
      <c r="AS208" s="68"/>
      <c r="CT208">
        <v>21</v>
      </c>
    </row>
    <row r="209" spans="2:488" ht="18" customHeight="1" x14ac:dyDescent="0.25">
      <c r="B209" s="48" t="s">
        <v>283</v>
      </c>
      <c r="E209" t="s">
        <v>77</v>
      </c>
      <c r="AS209" s="68"/>
      <c r="CT209">
        <v>5</v>
      </c>
      <c r="QG209">
        <v>2</v>
      </c>
      <c r="RT209">
        <v>14</v>
      </c>
    </row>
    <row r="210" spans="2:488" ht="18" customHeight="1" x14ac:dyDescent="0.25">
      <c r="B210" s="48" t="s">
        <v>284</v>
      </c>
      <c r="AS210" s="68"/>
    </row>
    <row r="211" spans="2:488" ht="18" customHeight="1" x14ac:dyDescent="0.25">
      <c r="B211" s="48" t="s">
        <v>285</v>
      </c>
      <c r="E211" t="s">
        <v>90</v>
      </c>
      <c r="AS211" s="68"/>
    </row>
    <row r="212" spans="2:488" ht="18" customHeight="1" x14ac:dyDescent="0.25">
      <c r="B212" s="48" t="s">
        <v>286</v>
      </c>
      <c r="E212" t="s">
        <v>77</v>
      </c>
      <c r="AS212" s="68"/>
    </row>
    <row r="213" spans="2:488" ht="18" customHeight="1" x14ac:dyDescent="0.25">
      <c r="B213" s="48" t="s">
        <v>287</v>
      </c>
      <c r="E213" t="s">
        <v>77</v>
      </c>
      <c r="AS213" s="68"/>
    </row>
    <row r="214" spans="2:488" ht="18" customHeight="1" x14ac:dyDescent="0.25">
      <c r="B214" s="48" t="s">
        <v>288</v>
      </c>
      <c r="AS214" s="68"/>
    </row>
    <row r="215" spans="2:488" ht="18" customHeight="1" x14ac:dyDescent="0.25">
      <c r="B215" s="50" t="s">
        <v>289</v>
      </c>
      <c r="E215" t="s">
        <v>85</v>
      </c>
      <c r="AS215" s="68"/>
    </row>
    <row r="216" spans="2:488" ht="18" customHeight="1" x14ac:dyDescent="0.25">
      <c r="B216" s="50" t="s">
        <v>289</v>
      </c>
      <c r="E216" t="s">
        <v>90</v>
      </c>
      <c r="AS216" s="68"/>
    </row>
    <row r="217" spans="2:488" ht="18" customHeight="1" x14ac:dyDescent="0.25">
      <c r="B217" s="50" t="s">
        <v>290</v>
      </c>
      <c r="E217" t="s">
        <v>90</v>
      </c>
      <c r="AS217" s="68"/>
    </row>
    <row r="218" spans="2:488" ht="18" customHeight="1" x14ac:dyDescent="0.25">
      <c r="B218" s="50" t="s">
        <v>290</v>
      </c>
      <c r="E218" t="s">
        <v>90</v>
      </c>
      <c r="AS218" s="68"/>
    </row>
    <row r="219" spans="2:488" ht="18" customHeight="1" x14ac:dyDescent="0.25">
      <c r="B219" s="50" t="s">
        <v>291</v>
      </c>
      <c r="E219" t="s">
        <v>90</v>
      </c>
      <c r="AS219" s="68"/>
    </row>
    <row r="220" spans="2:488" ht="18" customHeight="1" x14ac:dyDescent="0.25">
      <c r="B220" s="50" t="s">
        <v>291</v>
      </c>
      <c r="E220" t="s">
        <v>85</v>
      </c>
      <c r="AS220" s="68"/>
    </row>
    <row r="221" spans="2:488" ht="18" customHeight="1" x14ac:dyDescent="0.25">
      <c r="B221" s="49" t="s">
        <v>292</v>
      </c>
      <c r="E221" t="s">
        <v>123</v>
      </c>
      <c r="AS221" s="68"/>
    </row>
    <row r="222" spans="2:488" ht="18" customHeight="1" x14ac:dyDescent="0.25">
      <c r="B222" s="49" t="s">
        <v>292</v>
      </c>
      <c r="E222" t="s">
        <v>123</v>
      </c>
      <c r="AS222" s="68"/>
    </row>
    <row r="223" spans="2:488" ht="18" customHeight="1" x14ac:dyDescent="0.25">
      <c r="B223" s="49" t="s">
        <v>292</v>
      </c>
      <c r="E223" t="s">
        <v>123</v>
      </c>
      <c r="AS223" s="68"/>
    </row>
    <row r="224" spans="2:488" ht="18" customHeight="1" x14ac:dyDescent="0.25">
      <c r="B224" s="49" t="s">
        <v>292</v>
      </c>
      <c r="E224" t="s">
        <v>123</v>
      </c>
      <c r="AS224" s="68"/>
    </row>
    <row r="225" spans="2:500" ht="18" customHeight="1" x14ac:dyDescent="0.25">
      <c r="B225" s="49" t="s">
        <v>292</v>
      </c>
      <c r="E225" t="s">
        <v>123</v>
      </c>
      <c r="AS225" s="68"/>
    </row>
    <row r="226" spans="2:500" ht="18" customHeight="1" x14ac:dyDescent="0.25">
      <c r="B226" s="49" t="s">
        <v>292</v>
      </c>
      <c r="E226" t="s">
        <v>123</v>
      </c>
      <c r="AS226" s="68"/>
    </row>
    <row r="227" spans="2:500" ht="18" customHeight="1" x14ac:dyDescent="0.25">
      <c r="B227" s="49" t="s">
        <v>292</v>
      </c>
      <c r="E227" t="s">
        <v>123</v>
      </c>
      <c r="AS227" s="68"/>
    </row>
    <row r="228" spans="2:500" ht="18" customHeight="1" x14ac:dyDescent="0.25">
      <c r="B228" s="50" t="s">
        <v>293</v>
      </c>
      <c r="E228" t="s">
        <v>123</v>
      </c>
      <c r="AS228" s="68"/>
      <c r="DF228">
        <v>5</v>
      </c>
      <c r="QS228">
        <v>3</v>
      </c>
      <c r="SF228">
        <v>5</v>
      </c>
    </row>
    <row r="229" spans="2:500" ht="18" customHeight="1" x14ac:dyDescent="0.25">
      <c r="B229" s="50" t="s">
        <v>293</v>
      </c>
      <c r="E229" t="s">
        <v>123</v>
      </c>
      <c r="AS229" s="68"/>
      <c r="DF229">
        <v>5</v>
      </c>
      <c r="QS229">
        <v>3</v>
      </c>
      <c r="SF229">
        <v>5</v>
      </c>
    </row>
    <row r="230" spans="2:500" ht="18" customHeight="1" x14ac:dyDescent="0.25">
      <c r="B230" s="50" t="s">
        <v>293</v>
      </c>
      <c r="E230" t="s">
        <v>123</v>
      </c>
      <c r="AS230" s="68"/>
      <c r="DF230">
        <v>5</v>
      </c>
      <c r="QS230">
        <v>3</v>
      </c>
      <c r="SF230">
        <v>5</v>
      </c>
    </row>
    <row r="231" spans="2:500" ht="18" customHeight="1" x14ac:dyDescent="0.25">
      <c r="B231" s="50" t="s">
        <v>293</v>
      </c>
      <c r="E231" t="s">
        <v>123</v>
      </c>
      <c r="AS231" s="68"/>
      <c r="DF231">
        <v>2</v>
      </c>
      <c r="QS231">
        <v>2</v>
      </c>
      <c r="SF231">
        <v>2</v>
      </c>
    </row>
    <row r="232" spans="2:500" ht="18" customHeight="1" x14ac:dyDescent="0.25">
      <c r="B232" s="50" t="s">
        <v>293</v>
      </c>
      <c r="E232" t="s">
        <v>123</v>
      </c>
      <c r="AS232" s="68"/>
      <c r="DF232">
        <v>5</v>
      </c>
      <c r="QS232">
        <v>3</v>
      </c>
      <c r="SF232">
        <v>5</v>
      </c>
    </row>
    <row r="233" spans="2:500" ht="18" customHeight="1" x14ac:dyDescent="0.25">
      <c r="B233" s="50" t="s">
        <v>294</v>
      </c>
      <c r="E233" t="s">
        <v>123</v>
      </c>
      <c r="AS233" s="68"/>
      <c r="DF233">
        <v>2</v>
      </c>
      <c r="QS233">
        <v>1</v>
      </c>
      <c r="SF233">
        <v>2</v>
      </c>
    </row>
    <row r="234" spans="2:500" ht="18" customHeight="1" x14ac:dyDescent="0.25">
      <c r="B234" s="50" t="s">
        <v>294</v>
      </c>
      <c r="E234" t="s">
        <v>123</v>
      </c>
      <c r="AS234" s="68"/>
      <c r="DF234">
        <v>2</v>
      </c>
      <c r="QS234">
        <v>1</v>
      </c>
      <c r="SF234">
        <v>2</v>
      </c>
    </row>
    <row r="235" spans="2:500" ht="18" customHeight="1" x14ac:dyDescent="0.25">
      <c r="B235" s="50" t="s">
        <v>294</v>
      </c>
      <c r="E235" t="s">
        <v>123</v>
      </c>
      <c r="AS235" s="68"/>
      <c r="DF235">
        <v>2</v>
      </c>
      <c r="QS235">
        <v>1</v>
      </c>
      <c r="SF235">
        <v>2</v>
      </c>
    </row>
    <row r="236" spans="2:500" ht="18" customHeight="1" x14ac:dyDescent="0.25">
      <c r="B236" s="50" t="s">
        <v>294</v>
      </c>
      <c r="E236" t="s">
        <v>123</v>
      </c>
      <c r="AS236" s="68"/>
      <c r="DF236">
        <v>2</v>
      </c>
      <c r="QS236">
        <v>1</v>
      </c>
      <c r="SF236">
        <v>2</v>
      </c>
    </row>
    <row r="237" spans="2:500" ht="18" customHeight="1" x14ac:dyDescent="0.25">
      <c r="B237" s="50" t="s">
        <v>295</v>
      </c>
      <c r="E237" t="s">
        <v>123</v>
      </c>
      <c r="AS237" s="68"/>
      <c r="DF237">
        <v>7</v>
      </c>
      <c r="QS237">
        <v>5</v>
      </c>
      <c r="SF237">
        <v>7</v>
      </c>
    </row>
    <row r="238" spans="2:500" ht="18" customHeight="1" x14ac:dyDescent="0.25">
      <c r="B238" s="50" t="s">
        <v>295</v>
      </c>
      <c r="E238" t="s">
        <v>123</v>
      </c>
      <c r="AS238" s="68"/>
      <c r="DF238">
        <v>2</v>
      </c>
      <c r="QS238">
        <v>1</v>
      </c>
      <c r="SF238">
        <v>2</v>
      </c>
    </row>
    <row r="239" spans="2:500" ht="18" customHeight="1" x14ac:dyDescent="0.25">
      <c r="B239" s="50" t="s">
        <v>296</v>
      </c>
      <c r="E239" t="s">
        <v>123</v>
      </c>
      <c r="AS239" s="68"/>
      <c r="DF239">
        <v>4</v>
      </c>
      <c r="QS239">
        <v>2</v>
      </c>
      <c r="SF239">
        <v>4</v>
      </c>
    </row>
    <row r="240" spans="2:500" ht="18" customHeight="1" x14ac:dyDescent="0.25">
      <c r="B240" s="50" t="s">
        <v>297</v>
      </c>
      <c r="E240" t="s">
        <v>123</v>
      </c>
      <c r="AS240" s="68"/>
      <c r="DF240">
        <v>7</v>
      </c>
      <c r="QS240">
        <v>5</v>
      </c>
      <c r="SF240">
        <v>7</v>
      </c>
    </row>
    <row r="241" spans="2:511" ht="18" customHeight="1" x14ac:dyDescent="0.25">
      <c r="B241" s="50" t="s">
        <v>297</v>
      </c>
      <c r="E241" t="s">
        <v>123</v>
      </c>
      <c r="AS241" s="68"/>
      <c r="DF241">
        <v>2</v>
      </c>
      <c r="QS241">
        <v>2</v>
      </c>
      <c r="SF241">
        <v>2</v>
      </c>
    </row>
    <row r="242" spans="2:511" ht="18" customHeight="1" x14ac:dyDescent="0.25">
      <c r="B242" s="49" t="s">
        <v>298</v>
      </c>
      <c r="E242" t="s">
        <v>161</v>
      </c>
      <c r="AS242" s="68"/>
    </row>
    <row r="243" spans="2:511" ht="18" customHeight="1" x14ac:dyDescent="0.25">
      <c r="B243" s="49" t="s">
        <v>299</v>
      </c>
      <c r="E243" t="s">
        <v>77</v>
      </c>
      <c r="AS243" s="68"/>
      <c r="QG243">
        <v>1</v>
      </c>
      <c r="RT243">
        <v>7</v>
      </c>
    </row>
    <row r="244" spans="2:511" ht="18" customHeight="1" x14ac:dyDescent="0.25">
      <c r="B244" s="49" t="s">
        <v>300</v>
      </c>
      <c r="E244" t="s">
        <v>110</v>
      </c>
      <c r="AS244" s="68"/>
      <c r="DQ244">
        <v>0</v>
      </c>
      <c r="RD244">
        <v>0</v>
      </c>
      <c r="SQ244">
        <v>0</v>
      </c>
    </row>
    <row r="245" spans="2:511" ht="18" customHeight="1" x14ac:dyDescent="0.25">
      <c r="B245" s="50" t="s">
        <v>301</v>
      </c>
      <c r="E245" t="s">
        <v>81</v>
      </c>
      <c r="AS245" s="68"/>
    </row>
    <row r="246" spans="2:511" ht="18" customHeight="1" x14ac:dyDescent="0.25">
      <c r="B246" s="49" t="s">
        <v>302</v>
      </c>
      <c r="E246" t="s">
        <v>131</v>
      </c>
      <c r="AS246" s="68"/>
    </row>
    <row r="247" spans="2:511" ht="18" customHeight="1" x14ac:dyDescent="0.25">
      <c r="B247" s="50" t="s">
        <v>303</v>
      </c>
      <c r="E247" t="s">
        <v>131</v>
      </c>
      <c r="AS247" s="68"/>
    </row>
    <row r="248" spans="2:511" ht="18" customHeight="1" x14ac:dyDescent="0.25">
      <c r="B248" s="49" t="s">
        <v>304</v>
      </c>
      <c r="E248" t="s">
        <v>77</v>
      </c>
      <c r="AS248" s="68"/>
      <c r="CT248">
        <v>3</v>
      </c>
    </row>
    <row r="249" spans="2:511" ht="18" customHeight="1" x14ac:dyDescent="0.25">
      <c r="B249" s="49" t="s">
        <v>305</v>
      </c>
      <c r="E249" t="s">
        <v>85</v>
      </c>
      <c r="AS249" s="68"/>
    </row>
    <row r="250" spans="2:511" ht="18" customHeight="1" x14ac:dyDescent="0.25">
      <c r="B250" s="50" t="s">
        <v>306</v>
      </c>
      <c r="E250" t="s">
        <v>81</v>
      </c>
      <c r="AS250" s="68"/>
    </row>
    <row r="251" spans="2:511" ht="18" customHeight="1" x14ac:dyDescent="0.25">
      <c r="B251" s="50" t="s">
        <v>307</v>
      </c>
      <c r="E251" t="s">
        <v>85</v>
      </c>
      <c r="AS251" s="68"/>
      <c r="DL251">
        <v>7</v>
      </c>
      <c r="QY251">
        <v>6</v>
      </c>
      <c r="SL251">
        <v>7</v>
      </c>
    </row>
    <row r="252" spans="2:511" ht="18" customHeight="1" x14ac:dyDescent="0.25">
      <c r="B252" s="49" t="s">
        <v>308</v>
      </c>
      <c r="E252" t="s">
        <v>77</v>
      </c>
      <c r="AS252" s="68"/>
      <c r="CT252">
        <v>4</v>
      </c>
    </row>
    <row r="253" spans="2:511" ht="18" customHeight="1" x14ac:dyDescent="0.25">
      <c r="B253" s="49" t="s">
        <v>309</v>
      </c>
      <c r="E253" t="s">
        <v>85</v>
      </c>
      <c r="AS253" s="68"/>
    </row>
    <row r="254" spans="2:511" ht="18" customHeight="1" x14ac:dyDescent="0.25">
      <c r="B254" s="49" t="s">
        <v>309</v>
      </c>
      <c r="E254" t="s">
        <v>85</v>
      </c>
      <c r="AS254" s="68"/>
    </row>
    <row r="255" spans="2:511" ht="18" customHeight="1" x14ac:dyDescent="0.25">
      <c r="B255" s="49" t="s">
        <v>309</v>
      </c>
      <c r="E255" t="s">
        <v>85</v>
      </c>
      <c r="AS255" s="68"/>
    </row>
    <row r="256" spans="2:511" ht="18" customHeight="1" x14ac:dyDescent="0.25">
      <c r="B256" s="49" t="s">
        <v>309</v>
      </c>
      <c r="E256" t="s">
        <v>85</v>
      </c>
      <c r="AS256" s="68"/>
    </row>
    <row r="257" spans="2:506" ht="18" customHeight="1" x14ac:dyDescent="0.25">
      <c r="B257" s="49" t="s">
        <v>309</v>
      </c>
      <c r="E257" t="s">
        <v>85</v>
      </c>
      <c r="AS257" s="68"/>
    </row>
    <row r="258" spans="2:506" ht="18" customHeight="1" x14ac:dyDescent="0.25">
      <c r="B258" s="49" t="s">
        <v>309</v>
      </c>
      <c r="E258" t="s">
        <v>85</v>
      </c>
      <c r="AS258" s="68"/>
    </row>
    <row r="259" spans="2:506" ht="18" customHeight="1" x14ac:dyDescent="0.25">
      <c r="B259" s="50" t="s">
        <v>310</v>
      </c>
      <c r="E259" t="s">
        <v>85</v>
      </c>
      <c r="AS259" s="68"/>
      <c r="DL259">
        <v>10</v>
      </c>
      <c r="QY259">
        <v>5</v>
      </c>
      <c r="SL259">
        <v>10</v>
      </c>
    </row>
    <row r="260" spans="2:506" ht="18" customHeight="1" x14ac:dyDescent="0.25">
      <c r="B260" s="50" t="s">
        <v>310</v>
      </c>
      <c r="E260" t="s">
        <v>85</v>
      </c>
      <c r="AS260" s="68"/>
      <c r="DL260">
        <v>10</v>
      </c>
      <c r="QY260">
        <v>5</v>
      </c>
      <c r="SL260">
        <v>10</v>
      </c>
    </row>
    <row r="261" spans="2:506" ht="18" customHeight="1" x14ac:dyDescent="0.25">
      <c r="B261" s="50" t="s">
        <v>310</v>
      </c>
      <c r="E261" t="s">
        <v>85</v>
      </c>
      <c r="AS261" s="68"/>
      <c r="DL261">
        <v>10</v>
      </c>
      <c r="QY261">
        <v>5</v>
      </c>
      <c r="SL261">
        <v>10</v>
      </c>
    </row>
    <row r="262" spans="2:506" ht="18" customHeight="1" x14ac:dyDescent="0.25">
      <c r="B262" s="50" t="s">
        <v>310</v>
      </c>
      <c r="E262" t="s">
        <v>85</v>
      </c>
      <c r="AS262" s="68"/>
      <c r="DL262">
        <v>10</v>
      </c>
      <c r="QY262">
        <v>5</v>
      </c>
      <c r="SL262">
        <v>10</v>
      </c>
    </row>
    <row r="263" spans="2:506" ht="18" customHeight="1" x14ac:dyDescent="0.25">
      <c r="B263" s="50" t="s">
        <v>310</v>
      </c>
      <c r="E263" t="s">
        <v>85</v>
      </c>
      <c r="AS263" s="68"/>
      <c r="DL263">
        <v>10</v>
      </c>
      <c r="QY263">
        <v>5</v>
      </c>
      <c r="SL263">
        <v>10</v>
      </c>
    </row>
    <row r="264" spans="2:506" ht="18" customHeight="1" x14ac:dyDescent="0.25">
      <c r="B264" s="50" t="s">
        <v>310</v>
      </c>
      <c r="E264" t="s">
        <v>85</v>
      </c>
      <c r="AS264" s="68"/>
      <c r="DL264">
        <v>10</v>
      </c>
      <c r="QY264">
        <v>5</v>
      </c>
      <c r="SL264">
        <v>10</v>
      </c>
    </row>
    <row r="265" spans="2:506" ht="18" customHeight="1" x14ac:dyDescent="0.25">
      <c r="B265" s="49" t="s">
        <v>311</v>
      </c>
      <c r="E265" t="s">
        <v>77</v>
      </c>
      <c r="AS265" s="68"/>
      <c r="CT265">
        <v>9</v>
      </c>
      <c r="QG265">
        <v>4</v>
      </c>
      <c r="RT265">
        <v>10</v>
      </c>
    </row>
    <row r="266" spans="2:506" ht="18" customHeight="1" x14ac:dyDescent="0.25">
      <c r="B266" s="50" t="s">
        <v>306</v>
      </c>
      <c r="E266" t="s">
        <v>81</v>
      </c>
      <c r="AS266" s="68"/>
    </row>
    <row r="267" spans="2:506" ht="18" customHeight="1" x14ac:dyDescent="0.25">
      <c r="B267" s="49" t="s">
        <v>312</v>
      </c>
      <c r="E267" t="s">
        <v>77</v>
      </c>
      <c r="AS267" s="68"/>
      <c r="CT267">
        <v>5</v>
      </c>
      <c r="QG267">
        <v>2</v>
      </c>
      <c r="RT267">
        <v>12</v>
      </c>
    </row>
    <row r="268" spans="2:506" ht="18" customHeight="1" x14ac:dyDescent="0.25">
      <c r="B268" s="49" t="s">
        <v>313</v>
      </c>
      <c r="E268" t="s">
        <v>105</v>
      </c>
      <c r="AS268" s="68"/>
    </row>
    <row r="269" spans="2:506" ht="18" customHeight="1" x14ac:dyDescent="0.25">
      <c r="B269" s="49" t="s">
        <v>313</v>
      </c>
      <c r="E269" t="s">
        <v>105</v>
      </c>
      <c r="AS269" s="68"/>
    </row>
    <row r="270" spans="2:506" ht="18" customHeight="1" x14ac:dyDescent="0.25">
      <c r="B270" s="49" t="s">
        <v>313</v>
      </c>
      <c r="E270" t="s">
        <v>105</v>
      </c>
      <c r="AS270" s="68"/>
    </row>
    <row r="271" spans="2:506" ht="18" customHeight="1" x14ac:dyDescent="0.25">
      <c r="B271" s="49" t="s">
        <v>313</v>
      </c>
      <c r="E271" t="s">
        <v>105</v>
      </c>
      <c r="AS271" s="68"/>
    </row>
    <row r="272" spans="2:506" ht="18" customHeight="1" x14ac:dyDescent="0.25">
      <c r="B272" s="49" t="s">
        <v>313</v>
      </c>
      <c r="E272" t="s">
        <v>105</v>
      </c>
      <c r="AS272" s="68"/>
    </row>
    <row r="273" spans="2:511" ht="18" customHeight="1" x14ac:dyDescent="0.25">
      <c r="B273" s="49" t="s">
        <v>313</v>
      </c>
      <c r="E273" t="s">
        <v>105</v>
      </c>
      <c r="AS273" s="68"/>
    </row>
    <row r="274" spans="2:511" ht="18" customHeight="1" x14ac:dyDescent="0.25">
      <c r="B274" s="49" t="s">
        <v>313</v>
      </c>
      <c r="E274" t="s">
        <v>105</v>
      </c>
      <c r="AS274" s="68"/>
    </row>
    <row r="275" spans="2:511" ht="18" customHeight="1" x14ac:dyDescent="0.25">
      <c r="B275" s="49" t="s">
        <v>314</v>
      </c>
      <c r="E275" t="s">
        <v>77</v>
      </c>
      <c r="AS275" s="68"/>
      <c r="CQ275">
        <v>2</v>
      </c>
      <c r="CT275">
        <v>1</v>
      </c>
      <c r="DL275">
        <v>30</v>
      </c>
      <c r="QD275">
        <v>2</v>
      </c>
      <c r="QG275">
        <v>0.5</v>
      </c>
      <c r="QY275">
        <v>30</v>
      </c>
      <c r="RQ275">
        <v>2</v>
      </c>
      <c r="RT275">
        <v>5</v>
      </c>
      <c r="SL275">
        <v>30</v>
      </c>
    </row>
    <row r="276" spans="2:511" ht="18" customHeight="1" x14ac:dyDescent="0.25">
      <c r="B276" s="50" t="s">
        <v>315</v>
      </c>
      <c r="E276" t="s">
        <v>131</v>
      </c>
      <c r="AS276" s="68"/>
    </row>
    <row r="277" spans="2:511" ht="18" customHeight="1" x14ac:dyDescent="0.25">
      <c r="B277" s="50" t="s">
        <v>316</v>
      </c>
      <c r="E277" t="s">
        <v>121</v>
      </c>
      <c r="AS277" s="68"/>
    </row>
    <row r="278" spans="2:511" ht="18" customHeight="1" x14ac:dyDescent="0.25">
      <c r="B278" s="50" t="s">
        <v>317</v>
      </c>
      <c r="E278" t="s">
        <v>81</v>
      </c>
      <c r="AS278" s="68"/>
    </row>
    <row r="279" spans="2:511" ht="18" customHeight="1" x14ac:dyDescent="0.25">
      <c r="B279" s="50" t="s">
        <v>318</v>
      </c>
      <c r="E279" t="s">
        <v>133</v>
      </c>
      <c r="AS279" s="68"/>
      <c r="CX279">
        <v>1</v>
      </c>
    </row>
    <row r="280" spans="2:511" ht="18" customHeight="1" x14ac:dyDescent="0.25">
      <c r="B280" s="50" t="s">
        <v>319</v>
      </c>
      <c r="E280" t="s">
        <v>161</v>
      </c>
      <c r="AS280" s="68"/>
    </row>
    <row r="281" spans="2:511" ht="18" customHeight="1" x14ac:dyDescent="0.25">
      <c r="B281" s="49" t="s">
        <v>320</v>
      </c>
      <c r="E281" t="s">
        <v>110</v>
      </c>
      <c r="AS281" s="68"/>
      <c r="DQ281">
        <v>5</v>
      </c>
      <c r="RD281">
        <v>5</v>
      </c>
      <c r="SQ281">
        <v>10</v>
      </c>
    </row>
    <row r="282" spans="2:511" ht="18" customHeight="1" x14ac:dyDescent="0.25">
      <c r="B282" s="49" t="s">
        <v>321</v>
      </c>
      <c r="E282" t="s">
        <v>161</v>
      </c>
      <c r="AS282" s="68"/>
    </row>
    <row r="283" spans="2:511" ht="18" customHeight="1" x14ac:dyDescent="0.25">
      <c r="B283" s="49" t="s">
        <v>322</v>
      </c>
      <c r="E283" t="s">
        <v>77</v>
      </c>
      <c r="AS283" s="68"/>
      <c r="CT283">
        <v>5</v>
      </c>
      <c r="QG283">
        <v>5</v>
      </c>
      <c r="RT283">
        <v>20</v>
      </c>
    </row>
    <row r="284" spans="2:511" ht="18" customHeight="1" x14ac:dyDescent="0.25">
      <c r="B284" s="50" t="s">
        <v>132</v>
      </c>
      <c r="E284" t="s">
        <v>133</v>
      </c>
      <c r="AS284" s="68"/>
      <c r="CX284">
        <v>1</v>
      </c>
      <c r="QK284">
        <v>0.5</v>
      </c>
      <c r="RX284">
        <v>1</v>
      </c>
    </row>
    <row r="285" spans="2:511" ht="18" customHeight="1" x14ac:dyDescent="0.25">
      <c r="B285" s="49" t="s">
        <v>323</v>
      </c>
      <c r="E285" t="s">
        <v>121</v>
      </c>
      <c r="AS285" s="68"/>
    </row>
    <row r="286" spans="2:511" ht="18" customHeight="1" x14ac:dyDescent="0.25">
      <c r="B286" s="49" t="s">
        <v>324</v>
      </c>
      <c r="E286" t="s">
        <v>77</v>
      </c>
      <c r="AS286" s="68"/>
      <c r="CT286">
        <v>5</v>
      </c>
      <c r="QG286">
        <v>3</v>
      </c>
      <c r="RT286">
        <v>10</v>
      </c>
    </row>
    <row r="287" spans="2:511" ht="18" customHeight="1" x14ac:dyDescent="0.25">
      <c r="B287" s="49" t="s">
        <v>324</v>
      </c>
      <c r="E287" t="s">
        <v>77</v>
      </c>
      <c r="AS287" s="68"/>
      <c r="CT287">
        <v>9</v>
      </c>
      <c r="QG287">
        <v>3</v>
      </c>
      <c r="RT287">
        <v>10</v>
      </c>
    </row>
    <row r="288" spans="2:511" ht="18" customHeight="1" x14ac:dyDescent="0.25">
      <c r="B288" s="49" t="s">
        <v>324</v>
      </c>
      <c r="E288" t="s">
        <v>77</v>
      </c>
      <c r="AS288" s="68"/>
      <c r="CT288">
        <v>9</v>
      </c>
      <c r="QG288">
        <v>3</v>
      </c>
      <c r="RT288">
        <v>10</v>
      </c>
    </row>
    <row r="289" spans="2:490" ht="18" customHeight="1" x14ac:dyDescent="0.25">
      <c r="B289" s="49" t="s">
        <v>324</v>
      </c>
      <c r="E289" t="s">
        <v>77</v>
      </c>
      <c r="AS289" s="68"/>
      <c r="CT289">
        <v>5</v>
      </c>
      <c r="QG289">
        <v>3</v>
      </c>
      <c r="RT289">
        <v>10</v>
      </c>
    </row>
    <row r="290" spans="2:490" ht="18" customHeight="1" x14ac:dyDescent="0.25">
      <c r="B290" s="49" t="s">
        <v>324</v>
      </c>
      <c r="E290" t="s">
        <v>77</v>
      </c>
      <c r="AS290" s="68"/>
      <c r="CT290">
        <v>2</v>
      </c>
      <c r="QG290">
        <v>2</v>
      </c>
      <c r="RT290">
        <v>10</v>
      </c>
    </row>
    <row r="291" spans="2:490" ht="18" customHeight="1" x14ac:dyDescent="0.25">
      <c r="B291" s="49" t="s">
        <v>324</v>
      </c>
      <c r="E291" t="s">
        <v>77</v>
      </c>
      <c r="AS291" s="68"/>
      <c r="CT291">
        <v>5</v>
      </c>
      <c r="QG291">
        <v>2</v>
      </c>
      <c r="RT291">
        <v>5</v>
      </c>
    </row>
    <row r="292" spans="2:490" ht="18" customHeight="1" x14ac:dyDescent="0.25">
      <c r="B292" s="49" t="s">
        <v>324</v>
      </c>
      <c r="E292" t="s">
        <v>77</v>
      </c>
      <c r="AS292" s="68"/>
    </row>
    <row r="293" spans="2:490" ht="18" customHeight="1" x14ac:dyDescent="0.25">
      <c r="B293" s="50" t="s">
        <v>325</v>
      </c>
      <c r="E293" t="s">
        <v>77</v>
      </c>
      <c r="AS293" s="68"/>
      <c r="CT293">
        <v>4</v>
      </c>
      <c r="QG293">
        <v>1</v>
      </c>
      <c r="RT293">
        <v>3</v>
      </c>
    </row>
    <row r="294" spans="2:490" ht="18" customHeight="1" x14ac:dyDescent="0.25">
      <c r="B294" s="49" t="s">
        <v>326</v>
      </c>
      <c r="E294" t="s">
        <v>161</v>
      </c>
      <c r="AS294" s="68"/>
    </row>
    <row r="295" spans="2:490" ht="18" customHeight="1" x14ac:dyDescent="0.25">
      <c r="B295" s="49" t="s">
        <v>327</v>
      </c>
      <c r="E295" t="s">
        <v>161</v>
      </c>
      <c r="AS295" s="68"/>
    </row>
    <row r="296" spans="2:490" ht="18" customHeight="1" x14ac:dyDescent="0.25">
      <c r="B296" s="49" t="s">
        <v>328</v>
      </c>
      <c r="E296" t="s">
        <v>161</v>
      </c>
      <c r="AS296" s="68"/>
    </row>
    <row r="297" spans="2:490" ht="18" customHeight="1" x14ac:dyDescent="0.25">
      <c r="B297" s="50" t="s">
        <v>329</v>
      </c>
      <c r="E297" t="s">
        <v>81</v>
      </c>
      <c r="AS297" s="68"/>
    </row>
    <row r="298" spans="2:490" ht="18" customHeight="1" x14ac:dyDescent="0.25">
      <c r="B298" s="49" t="s">
        <v>330</v>
      </c>
      <c r="E298" t="s">
        <v>77</v>
      </c>
      <c r="AS298" s="68"/>
      <c r="CT298">
        <v>5</v>
      </c>
      <c r="QG298">
        <v>4</v>
      </c>
      <c r="RT298">
        <v>10</v>
      </c>
    </row>
    <row r="299" spans="2:490" ht="18" customHeight="1" x14ac:dyDescent="0.25">
      <c r="B299" s="49" t="s">
        <v>331</v>
      </c>
      <c r="E299" t="s">
        <v>77</v>
      </c>
      <c r="AS299" s="68"/>
      <c r="CT299">
        <v>2</v>
      </c>
      <c r="QG299">
        <v>2</v>
      </c>
      <c r="RT299">
        <v>5</v>
      </c>
    </row>
    <row r="300" spans="2:490" ht="18" customHeight="1" x14ac:dyDescent="0.25">
      <c r="B300" s="49" t="s">
        <v>332</v>
      </c>
      <c r="E300" t="s">
        <v>159</v>
      </c>
      <c r="AS300" s="68"/>
      <c r="CV300">
        <v>6</v>
      </c>
      <c r="QI300">
        <v>6</v>
      </c>
      <c r="RV300">
        <v>15</v>
      </c>
    </row>
    <row r="301" spans="2:490" ht="18" customHeight="1" x14ac:dyDescent="0.25">
      <c r="B301" s="49" t="s">
        <v>333</v>
      </c>
      <c r="E301" t="s">
        <v>159</v>
      </c>
      <c r="AS301" s="68"/>
      <c r="CV301">
        <v>7</v>
      </c>
      <c r="QI301">
        <v>3</v>
      </c>
      <c r="RV301">
        <v>15</v>
      </c>
    </row>
    <row r="302" spans="2:490" ht="18" customHeight="1" x14ac:dyDescent="0.25">
      <c r="B302" s="49" t="s">
        <v>334</v>
      </c>
      <c r="E302" t="s">
        <v>105</v>
      </c>
      <c r="AS302" s="68"/>
    </row>
    <row r="303" spans="2:490" ht="18" customHeight="1" x14ac:dyDescent="0.25">
      <c r="B303" s="49" t="s">
        <v>335</v>
      </c>
      <c r="E303" t="s">
        <v>161</v>
      </c>
      <c r="AS303" s="68"/>
    </row>
    <row r="304" spans="2:490" ht="18" customHeight="1" x14ac:dyDescent="0.25">
      <c r="B304" s="49" t="s">
        <v>336</v>
      </c>
      <c r="E304" t="s">
        <v>161</v>
      </c>
      <c r="AS304" s="68"/>
    </row>
    <row r="305" spans="2:511" ht="18" customHeight="1" x14ac:dyDescent="0.25">
      <c r="B305" s="49" t="s">
        <v>337</v>
      </c>
      <c r="E305" t="s">
        <v>161</v>
      </c>
      <c r="AS305" s="68"/>
    </row>
    <row r="306" spans="2:511" ht="18" customHeight="1" x14ac:dyDescent="0.25">
      <c r="B306" s="49" t="s">
        <v>338</v>
      </c>
      <c r="AS306" s="68"/>
      <c r="DL306">
        <v>20</v>
      </c>
      <c r="QY306">
        <v>20</v>
      </c>
      <c r="SL306">
        <v>20</v>
      </c>
    </row>
    <row r="307" spans="2:511" ht="18" customHeight="1" x14ac:dyDescent="0.25">
      <c r="B307" s="50" t="s">
        <v>339</v>
      </c>
      <c r="E307" t="s">
        <v>85</v>
      </c>
      <c r="AS307" s="68"/>
      <c r="DL307">
        <v>5</v>
      </c>
      <c r="QY307">
        <v>3</v>
      </c>
      <c r="SL307">
        <v>5</v>
      </c>
    </row>
    <row r="308" spans="2:511" ht="18" customHeight="1" x14ac:dyDescent="0.25">
      <c r="B308" s="50" t="s">
        <v>340</v>
      </c>
      <c r="E308" t="s">
        <v>85</v>
      </c>
      <c r="AS308" s="68"/>
      <c r="DL308">
        <v>4</v>
      </c>
      <c r="QY308">
        <v>3</v>
      </c>
      <c r="SL308">
        <v>4</v>
      </c>
    </row>
    <row r="309" spans="2:511" ht="18" customHeight="1" x14ac:dyDescent="0.25">
      <c r="B309" s="50" t="s">
        <v>341</v>
      </c>
      <c r="E309" t="s">
        <v>85</v>
      </c>
      <c r="AS309" s="68"/>
      <c r="DL309">
        <v>5</v>
      </c>
      <c r="QY309">
        <v>3</v>
      </c>
      <c r="SL309">
        <v>5</v>
      </c>
    </row>
    <row r="310" spans="2:511" ht="18" customHeight="1" x14ac:dyDescent="0.25">
      <c r="B310" s="50" t="s">
        <v>342</v>
      </c>
      <c r="E310" t="s">
        <v>85</v>
      </c>
      <c r="AS310" s="68"/>
      <c r="DL310">
        <v>20</v>
      </c>
      <c r="QY310">
        <v>10</v>
      </c>
      <c r="SL310">
        <v>20</v>
      </c>
    </row>
    <row r="311" spans="2:511" ht="18" customHeight="1" x14ac:dyDescent="0.25">
      <c r="B311" s="50" t="s">
        <v>343</v>
      </c>
      <c r="E311" t="s">
        <v>85</v>
      </c>
      <c r="AS311" s="68"/>
      <c r="DL311">
        <v>2</v>
      </c>
      <c r="QY311">
        <v>1</v>
      </c>
      <c r="SL311">
        <v>2</v>
      </c>
    </row>
    <row r="312" spans="2:511" ht="18" customHeight="1" x14ac:dyDescent="0.25">
      <c r="B312" s="50" t="s">
        <v>344</v>
      </c>
      <c r="E312" t="s">
        <v>85</v>
      </c>
      <c r="AS312" s="68"/>
      <c r="DL312">
        <v>2</v>
      </c>
      <c r="QY312">
        <v>1</v>
      </c>
      <c r="SL312">
        <v>2</v>
      </c>
    </row>
    <row r="313" spans="2:511" ht="18" customHeight="1" x14ac:dyDescent="0.25">
      <c r="B313" s="50" t="s">
        <v>345</v>
      </c>
      <c r="E313" t="s">
        <v>85</v>
      </c>
      <c r="AS313" s="68"/>
      <c r="DL313">
        <v>3</v>
      </c>
      <c r="QY313">
        <v>2</v>
      </c>
      <c r="SL313">
        <v>3</v>
      </c>
    </row>
    <row r="314" spans="2:511" ht="18" customHeight="1" x14ac:dyDescent="0.25">
      <c r="B314" s="50" t="s">
        <v>346</v>
      </c>
      <c r="E314" t="s">
        <v>85</v>
      </c>
      <c r="AS314" s="68"/>
      <c r="DL314">
        <v>2</v>
      </c>
      <c r="QY314">
        <v>1</v>
      </c>
      <c r="SL314">
        <v>2</v>
      </c>
    </row>
    <row r="315" spans="2:511" ht="18" customHeight="1" x14ac:dyDescent="0.25">
      <c r="B315" s="49" t="s">
        <v>347</v>
      </c>
      <c r="E315" t="s">
        <v>77</v>
      </c>
      <c r="AS315" s="68"/>
      <c r="CT315">
        <v>5</v>
      </c>
      <c r="QG315">
        <v>2</v>
      </c>
      <c r="RT315">
        <v>15</v>
      </c>
    </row>
    <row r="316" spans="2:511" ht="18" customHeight="1" x14ac:dyDescent="0.25">
      <c r="B316" s="50" t="s">
        <v>132</v>
      </c>
      <c r="E316" t="s">
        <v>133</v>
      </c>
      <c r="AS316" s="68"/>
      <c r="CX316">
        <v>1</v>
      </c>
      <c r="QK316">
        <v>0.5</v>
      </c>
      <c r="RX316">
        <v>2</v>
      </c>
    </row>
    <row r="317" spans="2:511" ht="18" customHeight="1" x14ac:dyDescent="0.25">
      <c r="B317" s="49" t="s">
        <v>111</v>
      </c>
      <c r="E317" t="s">
        <v>77</v>
      </c>
      <c r="AS317" s="68"/>
      <c r="CT317">
        <v>5</v>
      </c>
      <c r="QG317">
        <v>5</v>
      </c>
      <c r="RT317">
        <v>10</v>
      </c>
    </row>
    <row r="318" spans="2:511" ht="18" customHeight="1" x14ac:dyDescent="0.25">
      <c r="B318" s="50" t="s">
        <v>348</v>
      </c>
      <c r="E318" t="s">
        <v>85</v>
      </c>
      <c r="AS318" s="68"/>
    </row>
    <row r="319" spans="2:511" ht="18" customHeight="1" x14ac:dyDescent="0.25">
      <c r="B319" s="50" t="s">
        <v>349</v>
      </c>
      <c r="E319" t="s">
        <v>81</v>
      </c>
      <c r="AS319" s="68"/>
    </row>
    <row r="320" spans="2:511" ht="18" customHeight="1" x14ac:dyDescent="0.25">
      <c r="B320" s="49" t="s">
        <v>350</v>
      </c>
      <c r="E320" t="s">
        <v>110</v>
      </c>
      <c r="AS320" s="68"/>
      <c r="DQ320">
        <v>2</v>
      </c>
      <c r="RD320">
        <v>3</v>
      </c>
      <c r="SQ320">
        <v>5</v>
      </c>
    </row>
    <row r="321" spans="2:511" ht="18" customHeight="1" x14ac:dyDescent="0.25">
      <c r="B321" s="50" t="s">
        <v>351</v>
      </c>
      <c r="E321" t="s">
        <v>81</v>
      </c>
      <c r="AS321" s="68"/>
    </row>
    <row r="322" spans="2:511" ht="18" customHeight="1" x14ac:dyDescent="0.25">
      <c r="B322" s="49" t="s">
        <v>352</v>
      </c>
      <c r="E322" t="s">
        <v>159</v>
      </c>
      <c r="AS322" s="68"/>
      <c r="CV322">
        <v>5</v>
      </c>
      <c r="QI322">
        <v>1</v>
      </c>
      <c r="RV322">
        <v>15</v>
      </c>
    </row>
    <row r="323" spans="2:511" ht="18" customHeight="1" x14ac:dyDescent="0.25">
      <c r="B323" s="49" t="s">
        <v>353</v>
      </c>
      <c r="E323" t="s">
        <v>105</v>
      </c>
      <c r="AS323" s="68"/>
    </row>
    <row r="324" spans="2:511" ht="18" customHeight="1" x14ac:dyDescent="0.25">
      <c r="B324" s="49" t="s">
        <v>354</v>
      </c>
      <c r="E324" t="s">
        <v>77</v>
      </c>
      <c r="AS324" s="68"/>
      <c r="CT324">
        <v>1</v>
      </c>
      <c r="QG324">
        <v>1</v>
      </c>
      <c r="RT324">
        <v>4</v>
      </c>
    </row>
    <row r="325" spans="2:511" ht="18" customHeight="1" x14ac:dyDescent="0.25">
      <c r="B325" s="49" t="s">
        <v>355</v>
      </c>
      <c r="E325" t="s">
        <v>161</v>
      </c>
      <c r="AS325" s="68"/>
    </row>
    <row r="326" spans="2:511" ht="18" customHeight="1" x14ac:dyDescent="0.25">
      <c r="B326" s="49" t="s">
        <v>356</v>
      </c>
      <c r="E326" t="s">
        <v>161</v>
      </c>
      <c r="AS326" s="68"/>
    </row>
    <row r="327" spans="2:511" ht="18" customHeight="1" x14ac:dyDescent="0.25">
      <c r="B327" s="49" t="s">
        <v>357</v>
      </c>
      <c r="E327" t="s">
        <v>161</v>
      </c>
      <c r="AS327" s="68"/>
    </row>
    <row r="328" spans="2:511" ht="18" customHeight="1" x14ac:dyDescent="0.25">
      <c r="B328" s="49" t="s">
        <v>358</v>
      </c>
      <c r="E328" t="s">
        <v>77</v>
      </c>
      <c r="AS328" s="68"/>
      <c r="CQ328">
        <v>2</v>
      </c>
      <c r="CT328">
        <v>3</v>
      </c>
      <c r="DL328">
        <v>30</v>
      </c>
      <c r="QD328">
        <v>2</v>
      </c>
      <c r="QG328">
        <v>3</v>
      </c>
      <c r="QY328">
        <v>30</v>
      </c>
      <c r="RQ328">
        <v>2</v>
      </c>
      <c r="RT328">
        <v>3</v>
      </c>
      <c r="SL328">
        <v>30</v>
      </c>
    </row>
    <row r="329" spans="2:511" ht="18" customHeight="1" x14ac:dyDescent="0.25">
      <c r="B329" s="50" t="s">
        <v>359</v>
      </c>
      <c r="E329" t="s">
        <v>81</v>
      </c>
      <c r="AS329" s="68"/>
    </row>
    <row r="330" spans="2:511" ht="18" customHeight="1" x14ac:dyDescent="0.25">
      <c r="B330" s="50" t="s">
        <v>360</v>
      </c>
      <c r="E330" t="s">
        <v>110</v>
      </c>
      <c r="AS330" s="68"/>
      <c r="DQ330">
        <v>2</v>
      </c>
      <c r="RD330">
        <v>2</v>
      </c>
      <c r="SQ330">
        <v>3</v>
      </c>
    </row>
    <row r="331" spans="2:511" ht="18" customHeight="1" x14ac:dyDescent="0.25">
      <c r="B331" s="50" t="s">
        <v>361</v>
      </c>
      <c r="E331" t="s">
        <v>77</v>
      </c>
      <c r="AS331" s="68"/>
      <c r="CT331">
        <v>3</v>
      </c>
      <c r="QG331">
        <v>3</v>
      </c>
      <c r="RT331">
        <v>10</v>
      </c>
    </row>
    <row r="332" spans="2:511" ht="18" customHeight="1" x14ac:dyDescent="0.25">
      <c r="B332" s="50" t="s">
        <v>362</v>
      </c>
      <c r="E332" t="s">
        <v>121</v>
      </c>
      <c r="AS332" s="68"/>
    </row>
    <row r="333" spans="2:511" ht="18" customHeight="1" x14ac:dyDescent="0.25">
      <c r="B333" s="50" t="s">
        <v>363</v>
      </c>
      <c r="E333" t="s">
        <v>131</v>
      </c>
      <c r="AS333" s="68"/>
    </row>
    <row r="334" spans="2:511" ht="18" customHeight="1" x14ac:dyDescent="0.25">
      <c r="B334" s="50" t="s">
        <v>364</v>
      </c>
      <c r="E334" t="s">
        <v>123</v>
      </c>
      <c r="AS334" s="68"/>
      <c r="DF334">
        <v>3</v>
      </c>
      <c r="QS334">
        <v>2</v>
      </c>
      <c r="SF334">
        <v>3</v>
      </c>
    </row>
    <row r="335" spans="2:511" ht="18" customHeight="1" x14ac:dyDescent="0.25">
      <c r="B335" s="50" t="s">
        <v>365</v>
      </c>
      <c r="E335" t="s">
        <v>108</v>
      </c>
      <c r="AS335" s="68"/>
    </row>
    <row r="336" spans="2:511" ht="18" customHeight="1" x14ac:dyDescent="0.25">
      <c r="B336" s="50" t="s">
        <v>366</v>
      </c>
      <c r="E336" t="s">
        <v>85</v>
      </c>
      <c r="AS336" s="68"/>
      <c r="DL336">
        <v>5</v>
      </c>
      <c r="QY336">
        <v>4</v>
      </c>
      <c r="SL336">
        <v>5</v>
      </c>
    </row>
    <row r="337" spans="2:511" ht="18" customHeight="1" x14ac:dyDescent="0.25">
      <c r="B337" s="50" t="s">
        <v>367</v>
      </c>
      <c r="E337" t="s">
        <v>85</v>
      </c>
      <c r="AS337" s="68"/>
      <c r="DL337">
        <v>4</v>
      </c>
      <c r="QY337">
        <v>2</v>
      </c>
      <c r="SL337">
        <v>4</v>
      </c>
    </row>
    <row r="338" spans="2:511" ht="18" customHeight="1" x14ac:dyDescent="0.25">
      <c r="B338" s="50" t="s">
        <v>368</v>
      </c>
      <c r="E338" t="s">
        <v>85</v>
      </c>
      <c r="AS338" s="68"/>
      <c r="DL338">
        <v>2</v>
      </c>
      <c r="QY338">
        <v>1</v>
      </c>
      <c r="SL338">
        <v>2</v>
      </c>
    </row>
    <row r="339" spans="2:511" ht="18" customHeight="1" x14ac:dyDescent="0.25">
      <c r="B339" s="50" t="s">
        <v>369</v>
      </c>
      <c r="E339" t="s">
        <v>85</v>
      </c>
      <c r="AS339" s="68"/>
      <c r="DL339">
        <v>2</v>
      </c>
      <c r="QY339">
        <v>1</v>
      </c>
      <c r="SL339">
        <v>2</v>
      </c>
    </row>
    <row r="340" spans="2:511" ht="18" customHeight="1" x14ac:dyDescent="0.25">
      <c r="B340" s="50" t="s">
        <v>370</v>
      </c>
      <c r="E340" t="s">
        <v>85</v>
      </c>
      <c r="AS340" s="68"/>
      <c r="DL340">
        <v>2</v>
      </c>
      <c r="QY340">
        <v>1</v>
      </c>
      <c r="SL340">
        <v>2</v>
      </c>
    </row>
    <row r="341" spans="2:511" ht="18" customHeight="1" x14ac:dyDescent="0.25">
      <c r="B341" s="49" t="s">
        <v>371</v>
      </c>
      <c r="E341" t="s">
        <v>105</v>
      </c>
      <c r="AS341" s="68"/>
    </row>
    <row r="342" spans="2:511" ht="18" customHeight="1" x14ac:dyDescent="0.25">
      <c r="B342" s="49" t="s">
        <v>372</v>
      </c>
      <c r="E342" t="s">
        <v>110</v>
      </c>
      <c r="AS342" s="68"/>
      <c r="DQ342">
        <v>5</v>
      </c>
      <c r="RD342">
        <v>3</v>
      </c>
      <c r="SQ342">
        <v>7</v>
      </c>
    </row>
    <row r="343" spans="2:511" ht="18" customHeight="1" x14ac:dyDescent="0.25">
      <c r="B343" s="49" t="s">
        <v>373</v>
      </c>
      <c r="E343" t="s">
        <v>77</v>
      </c>
      <c r="AS343" s="68"/>
      <c r="CT343">
        <v>5</v>
      </c>
      <c r="QG343">
        <v>3</v>
      </c>
      <c r="RT343">
        <v>10</v>
      </c>
    </row>
    <row r="344" spans="2:511" ht="18" customHeight="1" x14ac:dyDescent="0.25">
      <c r="B344" s="49" t="s">
        <v>374</v>
      </c>
      <c r="E344" t="s">
        <v>85</v>
      </c>
      <c r="AS344" s="68"/>
    </row>
    <row r="345" spans="2:511" ht="18" customHeight="1" x14ac:dyDescent="0.25">
      <c r="B345" s="49" t="s">
        <v>375</v>
      </c>
      <c r="E345" t="s">
        <v>108</v>
      </c>
      <c r="AS345" s="68"/>
    </row>
    <row r="346" spans="2:511" ht="18" customHeight="1" x14ac:dyDescent="0.25">
      <c r="B346" s="50" t="s">
        <v>376</v>
      </c>
      <c r="E346" t="s">
        <v>81</v>
      </c>
      <c r="AS346" s="68"/>
    </row>
    <row r="347" spans="2:511" ht="18" customHeight="1" x14ac:dyDescent="0.25">
      <c r="B347" s="50" t="s">
        <v>377</v>
      </c>
      <c r="E347" t="s">
        <v>121</v>
      </c>
      <c r="AS347" s="68"/>
    </row>
    <row r="348" spans="2:511" ht="18" customHeight="1" x14ac:dyDescent="0.25">
      <c r="B348" s="49" t="s">
        <v>378</v>
      </c>
      <c r="E348" t="s">
        <v>79</v>
      </c>
      <c r="AS348" s="68"/>
      <c r="DA348">
        <v>10</v>
      </c>
      <c r="QN348">
        <v>5</v>
      </c>
      <c r="SA348">
        <v>15</v>
      </c>
    </row>
    <row r="349" spans="2:511" ht="18" customHeight="1" x14ac:dyDescent="0.25">
      <c r="B349" s="49" t="s">
        <v>379</v>
      </c>
      <c r="E349" t="s">
        <v>131</v>
      </c>
      <c r="AS349" s="68"/>
    </row>
    <row r="350" spans="2:511" ht="18" customHeight="1" x14ac:dyDescent="0.25">
      <c r="B350" s="49" t="s">
        <v>380</v>
      </c>
      <c r="E350" t="s">
        <v>77</v>
      </c>
      <c r="AS350" s="68"/>
      <c r="CT350">
        <v>4</v>
      </c>
    </row>
    <row r="351" spans="2:511" ht="18" customHeight="1" x14ac:dyDescent="0.25">
      <c r="B351" s="49" t="s">
        <v>381</v>
      </c>
      <c r="E351" t="s">
        <v>123</v>
      </c>
      <c r="AS351" s="68"/>
    </row>
    <row r="352" spans="2:511" ht="18" customHeight="1" x14ac:dyDescent="0.25">
      <c r="B352" s="50" t="s">
        <v>382</v>
      </c>
      <c r="E352" t="s">
        <v>121</v>
      </c>
      <c r="AS352" s="68"/>
    </row>
    <row r="353" spans="2:506" ht="18" customHeight="1" x14ac:dyDescent="0.25">
      <c r="B353" s="50" t="s">
        <v>382</v>
      </c>
      <c r="E353" t="s">
        <v>121</v>
      </c>
      <c r="AS353" s="68"/>
    </row>
    <row r="354" spans="2:506" ht="18" customHeight="1" x14ac:dyDescent="0.25">
      <c r="B354" s="50" t="s">
        <v>382</v>
      </c>
      <c r="E354" t="s">
        <v>121</v>
      </c>
      <c r="AS354" s="68"/>
    </row>
    <row r="355" spans="2:506" ht="18" customHeight="1" x14ac:dyDescent="0.25">
      <c r="B355" s="50" t="s">
        <v>382</v>
      </c>
      <c r="E355" t="s">
        <v>121</v>
      </c>
      <c r="AS355" s="68"/>
    </row>
    <row r="356" spans="2:506" ht="18" customHeight="1" x14ac:dyDescent="0.25">
      <c r="B356" s="50" t="s">
        <v>382</v>
      </c>
      <c r="E356" t="s">
        <v>121</v>
      </c>
      <c r="AS356" s="68"/>
    </row>
    <row r="357" spans="2:506" ht="18" customHeight="1" x14ac:dyDescent="0.25">
      <c r="B357" s="50" t="s">
        <v>382</v>
      </c>
      <c r="E357" t="s">
        <v>121</v>
      </c>
      <c r="AS357" s="68"/>
    </row>
    <row r="358" spans="2:506" ht="18" customHeight="1" x14ac:dyDescent="0.25">
      <c r="B358" s="50" t="s">
        <v>382</v>
      </c>
      <c r="E358" t="s">
        <v>121</v>
      </c>
      <c r="AS358" s="68"/>
    </row>
    <row r="359" spans="2:506" ht="18" customHeight="1" x14ac:dyDescent="0.25">
      <c r="B359" s="49" t="s">
        <v>383</v>
      </c>
      <c r="E359" t="s">
        <v>90</v>
      </c>
      <c r="AS359" s="68"/>
    </row>
    <row r="360" spans="2:506" ht="18" customHeight="1" x14ac:dyDescent="0.25">
      <c r="B360" s="49" t="s">
        <v>383</v>
      </c>
      <c r="E360" t="s">
        <v>85</v>
      </c>
      <c r="AS360" s="68"/>
    </row>
    <row r="361" spans="2:506" ht="18" customHeight="1" x14ac:dyDescent="0.25">
      <c r="B361" s="50" t="s">
        <v>384</v>
      </c>
      <c r="E361" t="s">
        <v>85</v>
      </c>
      <c r="AS361" s="68"/>
      <c r="DL361">
        <v>3</v>
      </c>
      <c r="QY361">
        <v>2</v>
      </c>
      <c r="SL361">
        <v>3</v>
      </c>
    </row>
    <row r="362" spans="2:506" ht="18" customHeight="1" x14ac:dyDescent="0.25">
      <c r="B362" s="50" t="s">
        <v>385</v>
      </c>
      <c r="E362" t="s">
        <v>85</v>
      </c>
      <c r="AS362" s="68"/>
      <c r="DL362">
        <v>1</v>
      </c>
      <c r="QY362">
        <v>0.5</v>
      </c>
      <c r="SL362">
        <v>1</v>
      </c>
    </row>
    <row r="363" spans="2:506" ht="18" customHeight="1" x14ac:dyDescent="0.25">
      <c r="B363" s="50" t="s">
        <v>386</v>
      </c>
      <c r="E363" t="s">
        <v>90</v>
      </c>
      <c r="AS363" s="68"/>
    </row>
    <row r="364" spans="2:506" ht="18" customHeight="1" x14ac:dyDescent="0.25">
      <c r="B364" s="50" t="s">
        <v>386</v>
      </c>
      <c r="E364" t="s">
        <v>85</v>
      </c>
      <c r="AS364" s="68"/>
    </row>
    <row r="365" spans="2:506" ht="18" customHeight="1" x14ac:dyDescent="0.25">
      <c r="B365" s="50" t="s">
        <v>387</v>
      </c>
      <c r="E365" t="s">
        <v>90</v>
      </c>
      <c r="AS365" s="68"/>
    </row>
    <row r="366" spans="2:506" ht="18" customHeight="1" x14ac:dyDescent="0.25">
      <c r="B366" s="50" t="s">
        <v>387</v>
      </c>
      <c r="E366" t="s">
        <v>85</v>
      </c>
      <c r="AS366" s="68"/>
      <c r="DL366">
        <v>5</v>
      </c>
      <c r="QY366">
        <v>3</v>
      </c>
      <c r="SL366">
        <v>5</v>
      </c>
    </row>
    <row r="367" spans="2:506" ht="18" customHeight="1" x14ac:dyDescent="0.25">
      <c r="B367" s="50" t="s">
        <v>388</v>
      </c>
      <c r="E367" t="s">
        <v>90</v>
      </c>
      <c r="AS367" s="68"/>
    </row>
    <row r="368" spans="2:506" ht="18" customHeight="1" x14ac:dyDescent="0.25">
      <c r="B368" s="50" t="s">
        <v>388</v>
      </c>
      <c r="E368" t="s">
        <v>85</v>
      </c>
      <c r="AS368" s="68"/>
      <c r="DL368">
        <v>3</v>
      </c>
      <c r="QY368">
        <v>2</v>
      </c>
      <c r="SL368">
        <v>3</v>
      </c>
    </row>
    <row r="369" spans="2:511" ht="18" customHeight="1" x14ac:dyDescent="0.25">
      <c r="B369" s="50" t="s">
        <v>389</v>
      </c>
      <c r="E369" t="s">
        <v>105</v>
      </c>
      <c r="AS369" s="68"/>
    </row>
    <row r="370" spans="2:511" ht="18" customHeight="1" x14ac:dyDescent="0.25">
      <c r="B370" s="50" t="s">
        <v>390</v>
      </c>
      <c r="E370" t="s">
        <v>90</v>
      </c>
      <c r="AS370" s="68"/>
    </row>
    <row r="371" spans="2:511" ht="18" customHeight="1" x14ac:dyDescent="0.25">
      <c r="B371" s="50" t="s">
        <v>390</v>
      </c>
      <c r="E371" t="s">
        <v>85</v>
      </c>
      <c r="AS371" s="68"/>
      <c r="DL371">
        <v>2</v>
      </c>
      <c r="QY371">
        <v>1</v>
      </c>
      <c r="SL371">
        <v>2</v>
      </c>
    </row>
    <row r="372" spans="2:511" ht="18" customHeight="1" x14ac:dyDescent="0.25">
      <c r="B372" s="50" t="s">
        <v>391</v>
      </c>
      <c r="E372" t="s">
        <v>90</v>
      </c>
      <c r="AS372" s="68"/>
    </row>
    <row r="373" spans="2:511" ht="18" customHeight="1" x14ac:dyDescent="0.25">
      <c r="B373" s="50" t="s">
        <v>391</v>
      </c>
      <c r="E373" t="s">
        <v>85</v>
      </c>
      <c r="AS373" s="68"/>
      <c r="DL373">
        <v>2</v>
      </c>
      <c r="QY373">
        <v>1</v>
      </c>
      <c r="SL373">
        <v>2</v>
      </c>
    </row>
    <row r="374" spans="2:511" ht="18" customHeight="1" x14ac:dyDescent="0.25">
      <c r="B374" s="50" t="s">
        <v>392</v>
      </c>
      <c r="E374" t="s">
        <v>90</v>
      </c>
      <c r="AS374" s="68"/>
    </row>
    <row r="375" spans="2:511" ht="18" customHeight="1" x14ac:dyDescent="0.25">
      <c r="B375" s="50" t="s">
        <v>392</v>
      </c>
      <c r="E375" t="s">
        <v>77</v>
      </c>
      <c r="AS375" s="68"/>
    </row>
    <row r="376" spans="2:511" ht="18" customHeight="1" x14ac:dyDescent="0.25">
      <c r="B376" s="50" t="s">
        <v>393</v>
      </c>
      <c r="E376" t="s">
        <v>90</v>
      </c>
      <c r="AS376" s="68"/>
    </row>
    <row r="377" spans="2:511" ht="18" customHeight="1" x14ac:dyDescent="0.25">
      <c r="B377" s="50" t="s">
        <v>393</v>
      </c>
      <c r="E377" t="s">
        <v>85</v>
      </c>
      <c r="AS377" s="68"/>
      <c r="DL377">
        <v>2</v>
      </c>
      <c r="QY377">
        <v>1</v>
      </c>
      <c r="SL377">
        <v>2</v>
      </c>
    </row>
    <row r="378" spans="2:511" ht="18" customHeight="1" x14ac:dyDescent="0.25">
      <c r="B378" s="50" t="s">
        <v>394</v>
      </c>
      <c r="E378" t="s">
        <v>81</v>
      </c>
      <c r="AS378" s="68"/>
    </row>
    <row r="379" spans="2:511" ht="18" customHeight="1" x14ac:dyDescent="0.25">
      <c r="B379" s="50" t="s">
        <v>395</v>
      </c>
      <c r="E379" t="s">
        <v>77</v>
      </c>
      <c r="AS379" s="68"/>
      <c r="CT379">
        <v>1</v>
      </c>
      <c r="QG379">
        <v>0.5</v>
      </c>
      <c r="RT379">
        <v>5</v>
      </c>
    </row>
    <row r="380" spans="2:511" ht="18" customHeight="1" x14ac:dyDescent="0.25">
      <c r="B380" s="50" t="s">
        <v>396</v>
      </c>
      <c r="E380" t="s">
        <v>85</v>
      </c>
      <c r="AS380" s="68"/>
      <c r="DL380">
        <v>10</v>
      </c>
      <c r="QY380">
        <v>5</v>
      </c>
      <c r="SL380">
        <v>10</v>
      </c>
    </row>
    <row r="381" spans="2:511" ht="18" customHeight="1" x14ac:dyDescent="0.25">
      <c r="B381" s="50" t="s">
        <v>397</v>
      </c>
      <c r="E381" t="s">
        <v>79</v>
      </c>
      <c r="AS381" s="68"/>
    </row>
    <row r="382" spans="2:511" ht="18" customHeight="1" x14ac:dyDescent="0.25">
      <c r="B382" s="50" t="s">
        <v>398</v>
      </c>
      <c r="E382" t="s">
        <v>110</v>
      </c>
      <c r="AS382" s="68"/>
      <c r="DQ382">
        <v>3</v>
      </c>
      <c r="RD382">
        <v>6</v>
      </c>
      <c r="SQ382">
        <v>10</v>
      </c>
    </row>
    <row r="383" spans="2:511" ht="18" customHeight="1" x14ac:dyDescent="0.25">
      <c r="B383" s="50" t="s">
        <v>398</v>
      </c>
      <c r="E383" t="s">
        <v>77</v>
      </c>
      <c r="AS383" s="68"/>
    </row>
    <row r="384" spans="2:511" ht="18" customHeight="1" x14ac:dyDescent="0.25">
      <c r="B384" s="49" t="s">
        <v>399</v>
      </c>
      <c r="E384" t="s">
        <v>90</v>
      </c>
      <c r="AS384" s="68"/>
    </row>
    <row r="385" spans="2:506" ht="18" customHeight="1" x14ac:dyDescent="0.25">
      <c r="B385" s="49" t="s">
        <v>399</v>
      </c>
      <c r="E385" t="s">
        <v>85</v>
      </c>
      <c r="AS385" s="68"/>
    </row>
    <row r="386" spans="2:506" ht="18" customHeight="1" x14ac:dyDescent="0.25">
      <c r="B386" s="50" t="s">
        <v>385</v>
      </c>
      <c r="E386" t="s">
        <v>85</v>
      </c>
      <c r="AS386" s="68"/>
      <c r="DL386">
        <v>1</v>
      </c>
      <c r="QY386">
        <v>0.5</v>
      </c>
      <c r="SL386">
        <v>1</v>
      </c>
    </row>
    <row r="387" spans="2:506" ht="18" customHeight="1" x14ac:dyDescent="0.25">
      <c r="B387" s="50" t="s">
        <v>400</v>
      </c>
      <c r="E387" t="s">
        <v>90</v>
      </c>
      <c r="AS387" s="68"/>
    </row>
    <row r="388" spans="2:506" ht="18" customHeight="1" x14ac:dyDescent="0.25">
      <c r="B388" s="50" t="s">
        <v>401</v>
      </c>
      <c r="E388" t="s">
        <v>85</v>
      </c>
      <c r="AS388" s="68"/>
      <c r="DL388">
        <v>4</v>
      </c>
      <c r="QY388">
        <v>2</v>
      </c>
      <c r="SL388">
        <v>4</v>
      </c>
    </row>
    <row r="389" spans="2:506" ht="18" customHeight="1" x14ac:dyDescent="0.25">
      <c r="B389" s="50" t="s">
        <v>402</v>
      </c>
      <c r="E389" t="s">
        <v>161</v>
      </c>
      <c r="AS389" s="68"/>
    </row>
    <row r="390" spans="2:506" ht="18" customHeight="1" x14ac:dyDescent="0.25">
      <c r="B390" s="50" t="s">
        <v>403</v>
      </c>
      <c r="E390" t="s">
        <v>90</v>
      </c>
      <c r="AS390" s="68"/>
    </row>
    <row r="391" spans="2:506" ht="18" customHeight="1" x14ac:dyDescent="0.25">
      <c r="B391" s="50" t="s">
        <v>404</v>
      </c>
      <c r="E391" t="s">
        <v>90</v>
      </c>
      <c r="AS391" s="68"/>
    </row>
    <row r="392" spans="2:506" ht="18" customHeight="1" x14ac:dyDescent="0.25">
      <c r="B392" s="50" t="s">
        <v>404</v>
      </c>
      <c r="E392" t="s">
        <v>85</v>
      </c>
      <c r="AS392" s="68"/>
      <c r="DL392">
        <v>2</v>
      </c>
      <c r="QY392">
        <v>1</v>
      </c>
      <c r="SL392">
        <v>2</v>
      </c>
    </row>
    <row r="393" spans="2:506" ht="18" customHeight="1" x14ac:dyDescent="0.25">
      <c r="B393" s="50" t="s">
        <v>405</v>
      </c>
      <c r="E393" t="s">
        <v>90</v>
      </c>
      <c r="AS393" s="68"/>
    </row>
    <row r="394" spans="2:506" ht="18" customHeight="1" x14ac:dyDescent="0.25">
      <c r="B394" s="50" t="s">
        <v>406</v>
      </c>
      <c r="E394" t="s">
        <v>85</v>
      </c>
      <c r="AS394" s="68"/>
      <c r="DL394">
        <v>2</v>
      </c>
      <c r="QY394">
        <v>1</v>
      </c>
      <c r="SL394">
        <v>2</v>
      </c>
    </row>
    <row r="395" spans="2:506" ht="18" customHeight="1" x14ac:dyDescent="0.25">
      <c r="B395" s="50" t="s">
        <v>407</v>
      </c>
      <c r="E395" t="s">
        <v>90</v>
      </c>
      <c r="AS395" s="68"/>
    </row>
    <row r="396" spans="2:506" ht="18" customHeight="1" x14ac:dyDescent="0.25">
      <c r="B396" s="50" t="s">
        <v>407</v>
      </c>
      <c r="E396" t="s">
        <v>85</v>
      </c>
      <c r="AS396" s="68"/>
    </row>
    <row r="397" spans="2:506" ht="18" customHeight="1" x14ac:dyDescent="0.25">
      <c r="B397" s="50" t="s">
        <v>408</v>
      </c>
      <c r="E397" t="s">
        <v>133</v>
      </c>
      <c r="AS397" s="68"/>
      <c r="CX397">
        <v>1</v>
      </c>
      <c r="QK397">
        <v>1</v>
      </c>
      <c r="RX397">
        <v>3</v>
      </c>
    </row>
    <row r="398" spans="2:506" ht="18" customHeight="1" x14ac:dyDescent="0.25">
      <c r="B398" s="50" t="s">
        <v>409</v>
      </c>
      <c r="E398" t="s">
        <v>81</v>
      </c>
      <c r="AS398" s="68"/>
    </row>
    <row r="399" spans="2:506" ht="18" customHeight="1" x14ac:dyDescent="0.25">
      <c r="B399" s="49" t="s">
        <v>410</v>
      </c>
      <c r="E399" t="s">
        <v>85</v>
      </c>
      <c r="AS399" s="68"/>
    </row>
    <row r="400" spans="2:506" ht="18" customHeight="1" x14ac:dyDescent="0.25">
      <c r="B400" s="50" t="s">
        <v>411</v>
      </c>
      <c r="E400" t="s">
        <v>85</v>
      </c>
      <c r="AS400" s="68"/>
      <c r="DL400">
        <v>1</v>
      </c>
      <c r="QY400">
        <v>0.5</v>
      </c>
      <c r="SL400">
        <v>1</v>
      </c>
    </row>
    <row r="401" spans="2:508" ht="18" customHeight="1" x14ac:dyDescent="0.25">
      <c r="B401" s="50" t="s">
        <v>412</v>
      </c>
      <c r="E401" t="s">
        <v>77</v>
      </c>
      <c r="AS401" s="68"/>
      <c r="CT401">
        <v>5</v>
      </c>
    </row>
    <row r="402" spans="2:508" ht="18" customHeight="1" x14ac:dyDescent="0.25">
      <c r="B402" s="50" t="s">
        <v>413</v>
      </c>
      <c r="E402" t="s">
        <v>85</v>
      </c>
      <c r="AS402" s="68"/>
      <c r="DL402">
        <v>1</v>
      </c>
      <c r="QY402">
        <v>0.5</v>
      </c>
      <c r="SL402">
        <v>1</v>
      </c>
    </row>
    <row r="403" spans="2:508" ht="18" customHeight="1" x14ac:dyDescent="0.25">
      <c r="B403" s="50" t="s">
        <v>414</v>
      </c>
      <c r="E403" t="s">
        <v>81</v>
      </c>
      <c r="AS403" s="68"/>
    </row>
    <row r="404" spans="2:508" ht="18" customHeight="1" x14ac:dyDescent="0.25">
      <c r="B404" s="50" t="s">
        <v>415</v>
      </c>
      <c r="E404" t="s">
        <v>85</v>
      </c>
      <c r="AS404" s="68"/>
      <c r="DL404">
        <v>1</v>
      </c>
      <c r="QY404">
        <v>0.5</v>
      </c>
      <c r="SL404">
        <v>1</v>
      </c>
    </row>
    <row r="405" spans="2:508" ht="18" customHeight="1" x14ac:dyDescent="0.25">
      <c r="B405" s="50" t="s">
        <v>416</v>
      </c>
      <c r="E405" t="s">
        <v>85</v>
      </c>
      <c r="AS405" s="68"/>
      <c r="DL405">
        <v>1</v>
      </c>
      <c r="QY405">
        <v>0.5</v>
      </c>
      <c r="SL405">
        <v>1</v>
      </c>
    </row>
    <row r="406" spans="2:508" ht="18" customHeight="1" x14ac:dyDescent="0.25">
      <c r="B406" s="50" t="s">
        <v>417</v>
      </c>
      <c r="E406" t="s">
        <v>85</v>
      </c>
      <c r="AS406" s="68"/>
      <c r="DL406">
        <v>1</v>
      </c>
      <c r="QY406">
        <v>0.5</v>
      </c>
      <c r="SL406">
        <v>1</v>
      </c>
    </row>
    <row r="407" spans="2:508" ht="18" customHeight="1" x14ac:dyDescent="0.25">
      <c r="B407" s="49" t="s">
        <v>418</v>
      </c>
      <c r="E407" t="s">
        <v>90</v>
      </c>
      <c r="AS407" s="68"/>
    </row>
    <row r="408" spans="2:508" ht="18" customHeight="1" x14ac:dyDescent="0.25">
      <c r="B408" s="50" t="s">
        <v>419</v>
      </c>
      <c r="E408" t="s">
        <v>90</v>
      </c>
      <c r="AS408" s="68"/>
      <c r="DN408">
        <v>2</v>
      </c>
      <c r="RA408">
        <v>1</v>
      </c>
      <c r="SN408">
        <v>2</v>
      </c>
    </row>
    <row r="409" spans="2:508" ht="18" customHeight="1" x14ac:dyDescent="0.25">
      <c r="B409" s="50" t="s">
        <v>420</v>
      </c>
      <c r="E409" t="s">
        <v>90</v>
      </c>
      <c r="AS409" s="68"/>
      <c r="DN409">
        <v>4</v>
      </c>
      <c r="RA409">
        <v>3</v>
      </c>
      <c r="SN409">
        <v>4</v>
      </c>
    </row>
    <row r="410" spans="2:508" ht="18" customHeight="1" x14ac:dyDescent="0.25">
      <c r="B410" s="49" t="s">
        <v>421</v>
      </c>
      <c r="E410" t="s">
        <v>108</v>
      </c>
      <c r="AS410" s="68"/>
    </row>
    <row r="411" spans="2:508" ht="18" customHeight="1" x14ac:dyDescent="0.25">
      <c r="B411" s="49" t="s">
        <v>421</v>
      </c>
      <c r="E411" t="s">
        <v>108</v>
      </c>
      <c r="AS411" s="68"/>
    </row>
    <row r="412" spans="2:508" ht="18" customHeight="1" x14ac:dyDescent="0.25">
      <c r="B412" s="49" t="s">
        <v>421</v>
      </c>
      <c r="E412" t="s">
        <v>108</v>
      </c>
      <c r="AS412" s="68"/>
    </row>
    <row r="413" spans="2:508" ht="18" customHeight="1" x14ac:dyDescent="0.25">
      <c r="B413" s="49" t="s">
        <v>421</v>
      </c>
      <c r="E413" t="s">
        <v>108</v>
      </c>
      <c r="AS413" s="68"/>
    </row>
    <row r="414" spans="2:508" ht="18" customHeight="1" x14ac:dyDescent="0.25">
      <c r="B414" s="49" t="s">
        <v>421</v>
      </c>
      <c r="E414" t="s">
        <v>108</v>
      </c>
      <c r="AS414" s="68"/>
    </row>
    <row r="415" spans="2:508" ht="18" customHeight="1" x14ac:dyDescent="0.25">
      <c r="B415" s="49" t="s">
        <v>421</v>
      </c>
      <c r="E415" t="s">
        <v>108</v>
      </c>
      <c r="AS415" s="68"/>
    </row>
    <row r="416" spans="2:508" ht="18" customHeight="1" x14ac:dyDescent="0.25">
      <c r="B416" s="49" t="s">
        <v>421</v>
      </c>
      <c r="E416" t="s">
        <v>108</v>
      </c>
      <c r="AS416" s="68"/>
    </row>
    <row r="417" spans="2:511" ht="18" customHeight="1" x14ac:dyDescent="0.25">
      <c r="B417" s="49" t="s">
        <v>422</v>
      </c>
      <c r="E417" t="s">
        <v>77</v>
      </c>
      <c r="AS417" s="68"/>
      <c r="CT417">
        <v>12</v>
      </c>
      <c r="QG417">
        <v>5</v>
      </c>
      <c r="RT417">
        <v>20</v>
      </c>
    </row>
    <row r="418" spans="2:511" ht="18" customHeight="1" x14ac:dyDescent="0.25">
      <c r="B418" s="49" t="s">
        <v>423</v>
      </c>
      <c r="E418" t="s">
        <v>85</v>
      </c>
      <c r="AS418" s="68"/>
    </row>
    <row r="419" spans="2:511" ht="18" customHeight="1" x14ac:dyDescent="0.25">
      <c r="B419" s="50" t="s">
        <v>424</v>
      </c>
      <c r="E419" t="s">
        <v>85</v>
      </c>
      <c r="AS419" s="68"/>
      <c r="DL419">
        <v>10</v>
      </c>
      <c r="QY419">
        <v>5</v>
      </c>
      <c r="SL419">
        <v>10</v>
      </c>
    </row>
    <row r="420" spans="2:511" ht="18" customHeight="1" x14ac:dyDescent="0.25">
      <c r="B420" s="50" t="s">
        <v>425</v>
      </c>
      <c r="E420" t="s">
        <v>81</v>
      </c>
      <c r="AS420" s="68"/>
    </row>
    <row r="421" spans="2:511" ht="18" customHeight="1" x14ac:dyDescent="0.25">
      <c r="B421" s="49" t="s">
        <v>426</v>
      </c>
      <c r="E421" t="s">
        <v>159</v>
      </c>
      <c r="AS421" s="68"/>
      <c r="CV421">
        <v>10</v>
      </c>
      <c r="QI421">
        <v>4</v>
      </c>
      <c r="RV421">
        <v>20</v>
      </c>
    </row>
    <row r="422" spans="2:511" ht="18" customHeight="1" x14ac:dyDescent="0.25">
      <c r="B422" s="49" t="s">
        <v>427</v>
      </c>
      <c r="E422" t="s">
        <v>77</v>
      </c>
      <c r="AS422" s="68"/>
      <c r="CT422">
        <v>2</v>
      </c>
      <c r="QG422">
        <v>2</v>
      </c>
      <c r="RT422">
        <v>15</v>
      </c>
    </row>
    <row r="423" spans="2:511" ht="18" customHeight="1" x14ac:dyDescent="0.25">
      <c r="B423" s="49" t="s">
        <v>428</v>
      </c>
      <c r="E423" t="s">
        <v>77</v>
      </c>
      <c r="AS423" s="68"/>
      <c r="CT423">
        <v>2</v>
      </c>
    </row>
    <row r="424" spans="2:511" ht="18" customHeight="1" x14ac:dyDescent="0.25">
      <c r="B424" s="49" t="s">
        <v>429</v>
      </c>
      <c r="E424" t="s">
        <v>77</v>
      </c>
      <c r="AS424" s="68"/>
      <c r="CT424">
        <v>1</v>
      </c>
      <c r="QG424">
        <v>2</v>
      </c>
      <c r="RT424">
        <v>5</v>
      </c>
    </row>
    <row r="425" spans="2:511" ht="18" customHeight="1" x14ac:dyDescent="0.25">
      <c r="B425" s="49" t="s">
        <v>430</v>
      </c>
      <c r="E425" t="s">
        <v>110</v>
      </c>
      <c r="AS425" s="68"/>
      <c r="DQ425">
        <v>15</v>
      </c>
      <c r="RD425">
        <v>14</v>
      </c>
      <c r="SQ425">
        <v>18</v>
      </c>
    </row>
    <row r="426" spans="2:511" ht="18" customHeight="1" x14ac:dyDescent="0.25">
      <c r="B426" s="50" t="s">
        <v>431</v>
      </c>
      <c r="E426" t="s">
        <v>81</v>
      </c>
      <c r="AS426" s="68"/>
    </row>
    <row r="427" spans="2:511" ht="18" customHeight="1" x14ac:dyDescent="0.25">
      <c r="B427" s="49" t="s">
        <v>432</v>
      </c>
      <c r="E427" t="s">
        <v>159</v>
      </c>
      <c r="AS427" s="68"/>
      <c r="CV427">
        <v>20</v>
      </c>
      <c r="QI427">
        <v>10</v>
      </c>
      <c r="RV427">
        <v>30</v>
      </c>
    </row>
    <row r="428" spans="2:511" ht="18" customHeight="1" x14ac:dyDescent="0.25">
      <c r="B428" s="49" t="s">
        <v>433</v>
      </c>
      <c r="E428" t="s">
        <v>105</v>
      </c>
      <c r="AS428" s="68"/>
    </row>
    <row r="429" spans="2:511" ht="18" customHeight="1" x14ac:dyDescent="0.25">
      <c r="B429" s="49" t="s">
        <v>434</v>
      </c>
      <c r="E429" t="s">
        <v>77</v>
      </c>
      <c r="AS429" s="68"/>
      <c r="CT429">
        <v>5</v>
      </c>
      <c r="QG429">
        <v>3</v>
      </c>
      <c r="RT429">
        <v>10</v>
      </c>
    </row>
    <row r="430" spans="2:511" ht="18" customHeight="1" x14ac:dyDescent="0.25">
      <c r="B430" s="49" t="s">
        <v>435</v>
      </c>
      <c r="E430" t="s">
        <v>161</v>
      </c>
      <c r="AS430" s="68"/>
    </row>
    <row r="431" spans="2:511" ht="18" customHeight="1" x14ac:dyDescent="0.25">
      <c r="B431" s="49" t="s">
        <v>436</v>
      </c>
      <c r="E431" t="s">
        <v>161</v>
      </c>
      <c r="AS431" s="68"/>
    </row>
    <row r="432" spans="2:511" ht="18" customHeight="1" x14ac:dyDescent="0.25">
      <c r="B432" s="49" t="s">
        <v>437</v>
      </c>
      <c r="E432" t="s">
        <v>161</v>
      </c>
      <c r="AS432" s="68"/>
    </row>
    <row r="433" spans="2:511" ht="18" customHeight="1" x14ac:dyDescent="0.25">
      <c r="B433" s="49" t="s">
        <v>438</v>
      </c>
      <c r="E433" t="s">
        <v>90</v>
      </c>
      <c r="AS433" s="68"/>
      <c r="DN433">
        <v>2</v>
      </c>
      <c r="RA433">
        <v>1</v>
      </c>
      <c r="SN433">
        <v>2</v>
      </c>
    </row>
    <row r="434" spans="2:511" ht="18" customHeight="1" x14ac:dyDescent="0.25">
      <c r="B434" s="49" t="s">
        <v>439</v>
      </c>
      <c r="AS434" s="68"/>
    </row>
    <row r="435" spans="2:511" ht="18" customHeight="1" x14ac:dyDescent="0.25">
      <c r="B435" s="50" t="s">
        <v>440</v>
      </c>
      <c r="E435" t="s">
        <v>85</v>
      </c>
      <c r="AS435" s="68"/>
    </row>
    <row r="436" spans="2:511" ht="18" customHeight="1" x14ac:dyDescent="0.25">
      <c r="B436" s="49" t="s">
        <v>441</v>
      </c>
      <c r="AS436" s="68"/>
    </row>
    <row r="437" spans="2:511" ht="18" customHeight="1" x14ac:dyDescent="0.25">
      <c r="B437" s="50" t="s">
        <v>442</v>
      </c>
      <c r="E437" t="s">
        <v>85</v>
      </c>
      <c r="AS437" s="68"/>
      <c r="DL437">
        <v>5</v>
      </c>
      <c r="QY437">
        <v>3</v>
      </c>
      <c r="SL437">
        <v>5</v>
      </c>
    </row>
    <row r="438" spans="2:511" ht="18" customHeight="1" x14ac:dyDescent="0.25">
      <c r="B438" s="50" t="s">
        <v>443</v>
      </c>
      <c r="E438" t="s">
        <v>77</v>
      </c>
      <c r="AS438" s="68"/>
    </row>
    <row r="439" spans="2:511" ht="18" customHeight="1" x14ac:dyDescent="0.25">
      <c r="B439" s="50" t="s">
        <v>444</v>
      </c>
      <c r="E439" t="s">
        <v>85</v>
      </c>
      <c r="AS439" s="68"/>
      <c r="DL439">
        <v>5</v>
      </c>
      <c r="QY439">
        <v>3</v>
      </c>
      <c r="SL439">
        <v>5</v>
      </c>
    </row>
    <row r="440" spans="2:511" ht="18" customHeight="1" x14ac:dyDescent="0.25">
      <c r="B440" s="49" t="s">
        <v>445</v>
      </c>
      <c r="E440" t="s">
        <v>110</v>
      </c>
      <c r="AS440" s="68"/>
      <c r="DQ440">
        <v>1</v>
      </c>
      <c r="RD440">
        <v>0.5</v>
      </c>
      <c r="SQ440">
        <v>1</v>
      </c>
    </row>
    <row r="441" spans="2:511" ht="18" customHeight="1" x14ac:dyDescent="0.25">
      <c r="B441" s="49" t="s">
        <v>445</v>
      </c>
      <c r="E441" t="s">
        <v>110</v>
      </c>
      <c r="AS441" s="68"/>
    </row>
    <row r="442" spans="2:511" ht="18" customHeight="1" x14ac:dyDescent="0.25">
      <c r="B442" s="50" t="s">
        <v>351</v>
      </c>
      <c r="E442" t="s">
        <v>81</v>
      </c>
      <c r="AS442" s="68"/>
    </row>
    <row r="443" spans="2:511" ht="18" customHeight="1" x14ac:dyDescent="0.25">
      <c r="B443" s="50" t="s">
        <v>351</v>
      </c>
      <c r="E443" t="s">
        <v>81</v>
      </c>
      <c r="AS443" s="68"/>
    </row>
    <row r="444" spans="2:511" ht="18" customHeight="1" x14ac:dyDescent="0.25">
      <c r="B444" s="49" t="s">
        <v>446</v>
      </c>
      <c r="E444" t="s">
        <v>159</v>
      </c>
      <c r="AS444" s="68"/>
      <c r="QI444">
        <v>1</v>
      </c>
      <c r="RV444">
        <v>15</v>
      </c>
    </row>
    <row r="445" spans="2:511" ht="18" customHeight="1" x14ac:dyDescent="0.25">
      <c r="B445" s="49" t="s">
        <v>446</v>
      </c>
      <c r="E445" t="s">
        <v>159</v>
      </c>
      <c r="AS445" s="68"/>
    </row>
    <row r="446" spans="2:511" ht="18" customHeight="1" x14ac:dyDescent="0.25">
      <c r="B446" s="49" t="s">
        <v>447</v>
      </c>
      <c r="E446" t="s">
        <v>105</v>
      </c>
      <c r="AS446" s="68"/>
    </row>
    <row r="447" spans="2:511" ht="18" customHeight="1" x14ac:dyDescent="0.25">
      <c r="B447" s="49" t="s">
        <v>447</v>
      </c>
      <c r="E447" t="s">
        <v>105</v>
      </c>
      <c r="AS447" s="68"/>
    </row>
    <row r="448" spans="2:511" ht="18" customHeight="1" x14ac:dyDescent="0.25">
      <c r="B448" s="49" t="s">
        <v>448</v>
      </c>
      <c r="E448" t="s">
        <v>77</v>
      </c>
      <c r="AS448" s="68"/>
      <c r="CT448">
        <v>1</v>
      </c>
      <c r="QG448">
        <v>1</v>
      </c>
      <c r="RT448">
        <v>4</v>
      </c>
    </row>
    <row r="449" spans="2:511" ht="18" customHeight="1" x14ac:dyDescent="0.25">
      <c r="B449" s="49" t="s">
        <v>448</v>
      </c>
      <c r="E449" t="s">
        <v>77</v>
      </c>
      <c r="AS449" s="68"/>
    </row>
    <row r="450" spans="2:511" ht="18" customHeight="1" x14ac:dyDescent="0.25">
      <c r="B450" s="49" t="s">
        <v>449</v>
      </c>
      <c r="E450" t="s">
        <v>161</v>
      </c>
      <c r="AS450" s="68"/>
    </row>
    <row r="451" spans="2:511" ht="18" customHeight="1" x14ac:dyDescent="0.25">
      <c r="B451" s="49" t="s">
        <v>449</v>
      </c>
      <c r="E451" t="s">
        <v>161</v>
      </c>
      <c r="AS451" s="68"/>
    </row>
    <row r="452" spans="2:511" ht="18" customHeight="1" x14ac:dyDescent="0.25">
      <c r="B452" s="49" t="s">
        <v>450</v>
      </c>
      <c r="E452" t="s">
        <v>161</v>
      </c>
      <c r="AS452" s="68"/>
    </row>
    <row r="453" spans="2:511" ht="18" customHeight="1" x14ac:dyDescent="0.25">
      <c r="B453" s="49" t="s">
        <v>450</v>
      </c>
      <c r="E453" t="s">
        <v>161</v>
      </c>
      <c r="AS453" s="68"/>
    </row>
    <row r="454" spans="2:511" ht="18" customHeight="1" x14ac:dyDescent="0.25">
      <c r="B454" s="49" t="s">
        <v>451</v>
      </c>
      <c r="E454" t="s">
        <v>161</v>
      </c>
      <c r="AS454" s="68"/>
    </row>
    <row r="455" spans="2:511" ht="18" customHeight="1" x14ac:dyDescent="0.25">
      <c r="B455" s="49" t="s">
        <v>451</v>
      </c>
      <c r="E455" t="s">
        <v>161</v>
      </c>
      <c r="AS455" s="68"/>
    </row>
    <row r="456" spans="2:511" ht="18" customHeight="1" x14ac:dyDescent="0.25">
      <c r="B456" s="49" t="s">
        <v>452</v>
      </c>
      <c r="E456" t="s">
        <v>123</v>
      </c>
      <c r="AS456" s="68"/>
      <c r="DF456">
        <v>10</v>
      </c>
      <c r="QS456">
        <v>10</v>
      </c>
      <c r="SF456">
        <v>10</v>
      </c>
    </row>
    <row r="457" spans="2:511" ht="18" customHeight="1" x14ac:dyDescent="0.25">
      <c r="B457" s="49" t="s">
        <v>452</v>
      </c>
      <c r="E457" t="s">
        <v>123</v>
      </c>
      <c r="AS457" s="68"/>
      <c r="DF457">
        <v>10</v>
      </c>
      <c r="QS457">
        <v>10</v>
      </c>
      <c r="SF457">
        <v>10</v>
      </c>
    </row>
    <row r="458" spans="2:511" ht="18" customHeight="1" x14ac:dyDescent="0.25">
      <c r="B458" s="49" t="s">
        <v>452</v>
      </c>
      <c r="E458" t="s">
        <v>123</v>
      </c>
      <c r="AS458" s="68"/>
      <c r="DF458">
        <v>10</v>
      </c>
      <c r="QS458">
        <v>10</v>
      </c>
      <c r="SF458">
        <v>10</v>
      </c>
    </row>
    <row r="459" spans="2:511" ht="18" customHeight="1" x14ac:dyDescent="0.25">
      <c r="B459" s="49" t="s">
        <v>452</v>
      </c>
      <c r="E459" t="s">
        <v>123</v>
      </c>
      <c r="AS459" s="68"/>
      <c r="DF459">
        <v>2</v>
      </c>
      <c r="QS459">
        <v>2</v>
      </c>
      <c r="SF459">
        <v>2</v>
      </c>
    </row>
    <row r="460" spans="2:511" ht="18" customHeight="1" x14ac:dyDescent="0.25">
      <c r="B460" s="49" t="s">
        <v>452</v>
      </c>
      <c r="E460" t="s">
        <v>123</v>
      </c>
      <c r="AS460" s="68"/>
    </row>
    <row r="461" spans="2:511" ht="18" customHeight="1" x14ac:dyDescent="0.25">
      <c r="B461" s="49" t="s">
        <v>452</v>
      </c>
      <c r="E461" t="s">
        <v>123</v>
      </c>
      <c r="AS461" s="68"/>
      <c r="DF461">
        <v>10</v>
      </c>
      <c r="QS461">
        <v>10</v>
      </c>
      <c r="SF461">
        <v>10</v>
      </c>
    </row>
    <row r="462" spans="2:511" ht="18" customHeight="1" x14ac:dyDescent="0.25">
      <c r="B462" s="49" t="s">
        <v>452</v>
      </c>
      <c r="E462" t="s">
        <v>123</v>
      </c>
      <c r="AS462" s="68"/>
      <c r="DF462">
        <v>15</v>
      </c>
      <c r="QS462">
        <v>5</v>
      </c>
      <c r="SF462">
        <v>15</v>
      </c>
    </row>
    <row r="463" spans="2:511" ht="18" customHeight="1" x14ac:dyDescent="0.25">
      <c r="B463" s="49" t="s">
        <v>453</v>
      </c>
      <c r="E463" t="s">
        <v>110</v>
      </c>
      <c r="AS463" s="68"/>
      <c r="DQ463">
        <v>7</v>
      </c>
      <c r="RD463">
        <v>7</v>
      </c>
      <c r="SQ463">
        <v>14</v>
      </c>
    </row>
    <row r="464" spans="2:511" ht="18" customHeight="1" x14ac:dyDescent="0.25">
      <c r="B464" s="49" t="s">
        <v>453</v>
      </c>
      <c r="E464" t="s">
        <v>110</v>
      </c>
      <c r="AS464" s="68"/>
      <c r="DQ464">
        <v>0</v>
      </c>
      <c r="RD464">
        <v>0</v>
      </c>
      <c r="SQ464">
        <v>0</v>
      </c>
    </row>
    <row r="465" spans="2:511" ht="18" customHeight="1" x14ac:dyDescent="0.25">
      <c r="B465" s="49" t="s">
        <v>453</v>
      </c>
      <c r="E465" t="s">
        <v>110</v>
      </c>
      <c r="AS465" s="68"/>
      <c r="DQ465">
        <v>0</v>
      </c>
      <c r="RD465">
        <v>0</v>
      </c>
      <c r="SQ465">
        <v>0</v>
      </c>
    </row>
    <row r="466" spans="2:511" ht="18" customHeight="1" x14ac:dyDescent="0.25">
      <c r="B466" s="49" t="s">
        <v>453</v>
      </c>
      <c r="E466" t="s">
        <v>110</v>
      </c>
      <c r="AS466" s="68"/>
      <c r="DQ466">
        <v>3</v>
      </c>
      <c r="RD466">
        <v>3</v>
      </c>
      <c r="SQ466">
        <v>7</v>
      </c>
    </row>
    <row r="467" spans="2:511" ht="18" customHeight="1" x14ac:dyDescent="0.25">
      <c r="B467" s="49" t="s">
        <v>453</v>
      </c>
      <c r="E467" t="s">
        <v>110</v>
      </c>
      <c r="AS467" s="68"/>
      <c r="DQ467">
        <v>7</v>
      </c>
      <c r="RD467">
        <v>5</v>
      </c>
      <c r="SQ467">
        <v>8</v>
      </c>
    </row>
    <row r="468" spans="2:511" ht="18" customHeight="1" x14ac:dyDescent="0.25">
      <c r="B468" s="50" t="s">
        <v>454</v>
      </c>
      <c r="E468" t="s">
        <v>81</v>
      </c>
      <c r="AS468" s="68"/>
    </row>
    <row r="469" spans="2:511" ht="18" customHeight="1" x14ac:dyDescent="0.25">
      <c r="B469" s="50" t="s">
        <v>455</v>
      </c>
      <c r="E469" t="s">
        <v>81</v>
      </c>
      <c r="AS469" s="68"/>
    </row>
    <row r="470" spans="2:511" ht="18" customHeight="1" x14ac:dyDescent="0.25">
      <c r="B470" s="50" t="s">
        <v>456</v>
      </c>
      <c r="E470" t="s">
        <v>81</v>
      </c>
      <c r="AS470" s="68"/>
    </row>
    <row r="471" spans="2:511" ht="18" customHeight="1" x14ac:dyDescent="0.25">
      <c r="B471" s="50" t="s">
        <v>457</v>
      </c>
      <c r="E471" t="s">
        <v>81</v>
      </c>
      <c r="AS471" s="68"/>
    </row>
    <row r="472" spans="2:511" ht="18" customHeight="1" x14ac:dyDescent="0.25">
      <c r="B472" s="50" t="s">
        <v>458</v>
      </c>
      <c r="E472" t="s">
        <v>81</v>
      </c>
      <c r="AS472" s="68"/>
    </row>
    <row r="473" spans="2:511" ht="18" customHeight="1" x14ac:dyDescent="0.25">
      <c r="B473" s="49" t="s">
        <v>459</v>
      </c>
      <c r="E473" t="s">
        <v>77</v>
      </c>
      <c r="AS473" s="68"/>
      <c r="CT473">
        <v>3</v>
      </c>
      <c r="QG473">
        <v>3</v>
      </c>
      <c r="RT473">
        <v>5</v>
      </c>
    </row>
    <row r="474" spans="2:511" ht="18" customHeight="1" x14ac:dyDescent="0.25">
      <c r="B474" s="49" t="s">
        <v>460</v>
      </c>
      <c r="E474" t="s">
        <v>77</v>
      </c>
      <c r="AS474" s="68"/>
      <c r="CT474">
        <v>4</v>
      </c>
      <c r="QG474">
        <v>2</v>
      </c>
      <c r="RT474">
        <v>6</v>
      </c>
    </row>
    <row r="475" spans="2:511" ht="18" customHeight="1" x14ac:dyDescent="0.25">
      <c r="B475" s="50" t="s">
        <v>461</v>
      </c>
      <c r="E475" t="s">
        <v>161</v>
      </c>
      <c r="AS475" s="68"/>
    </row>
    <row r="476" spans="2:511" ht="18" customHeight="1" x14ac:dyDescent="0.25">
      <c r="B476" s="50" t="s">
        <v>462</v>
      </c>
      <c r="E476" t="s">
        <v>123</v>
      </c>
      <c r="AS476" s="68"/>
    </row>
    <row r="477" spans="2:511" ht="18" customHeight="1" x14ac:dyDescent="0.25">
      <c r="B477" s="49" t="s">
        <v>463</v>
      </c>
      <c r="E477" t="s">
        <v>77</v>
      </c>
      <c r="AS477" s="68"/>
      <c r="CT477">
        <v>4</v>
      </c>
    </row>
    <row r="478" spans="2:511" ht="18" customHeight="1" x14ac:dyDescent="0.25">
      <c r="B478" s="49" t="s">
        <v>464</v>
      </c>
      <c r="E478" t="s">
        <v>123</v>
      </c>
      <c r="AS478" s="68"/>
    </row>
    <row r="479" spans="2:511" ht="18" customHeight="1" x14ac:dyDescent="0.25">
      <c r="B479" s="49" t="s">
        <v>465</v>
      </c>
      <c r="E479" t="s">
        <v>77</v>
      </c>
      <c r="AS479" s="68"/>
      <c r="CT479">
        <v>2</v>
      </c>
    </row>
    <row r="480" spans="2:511" ht="18" customHeight="1" x14ac:dyDescent="0.25">
      <c r="B480" s="49" t="s">
        <v>466</v>
      </c>
      <c r="E480" t="s">
        <v>77</v>
      </c>
      <c r="AS480" s="68"/>
      <c r="QG480">
        <v>0.5</v>
      </c>
      <c r="RT480">
        <v>5</v>
      </c>
    </row>
    <row r="481" spans="2:511" ht="18" customHeight="1" x14ac:dyDescent="0.25">
      <c r="B481" s="50" t="s">
        <v>467</v>
      </c>
      <c r="E481" t="s">
        <v>131</v>
      </c>
      <c r="AS481" s="68"/>
    </row>
    <row r="482" spans="2:511" ht="18" customHeight="1" x14ac:dyDescent="0.25">
      <c r="B482" s="50" t="s">
        <v>468</v>
      </c>
      <c r="E482" t="s">
        <v>123</v>
      </c>
      <c r="AS482" s="68"/>
      <c r="DF482">
        <v>1</v>
      </c>
      <c r="QS482">
        <v>1</v>
      </c>
      <c r="SF482">
        <v>1</v>
      </c>
    </row>
    <row r="483" spans="2:511" ht="18" customHeight="1" x14ac:dyDescent="0.25">
      <c r="B483" s="50" t="s">
        <v>469</v>
      </c>
      <c r="E483" t="s">
        <v>105</v>
      </c>
      <c r="AS483" s="68"/>
    </row>
    <row r="484" spans="2:511" ht="18" customHeight="1" x14ac:dyDescent="0.25">
      <c r="B484" s="50" t="s">
        <v>470</v>
      </c>
      <c r="E484" t="s">
        <v>161</v>
      </c>
      <c r="AS484" s="68"/>
    </row>
    <row r="485" spans="2:511" ht="18" customHeight="1" x14ac:dyDescent="0.25">
      <c r="B485" s="50" t="s">
        <v>349</v>
      </c>
      <c r="E485" t="s">
        <v>81</v>
      </c>
      <c r="AS485" s="68"/>
    </row>
    <row r="486" spans="2:511" ht="18" customHeight="1" x14ac:dyDescent="0.25">
      <c r="B486" s="49" t="s">
        <v>471</v>
      </c>
      <c r="E486" t="s">
        <v>77</v>
      </c>
      <c r="AS486" s="68"/>
      <c r="CT486">
        <v>4</v>
      </c>
      <c r="QG486">
        <v>0.5</v>
      </c>
      <c r="RT486">
        <v>5</v>
      </c>
    </row>
    <row r="487" spans="2:511" ht="18" customHeight="1" x14ac:dyDescent="0.25">
      <c r="B487" s="50" t="s">
        <v>348</v>
      </c>
      <c r="E487" t="s">
        <v>85</v>
      </c>
      <c r="AS487" s="68"/>
    </row>
    <row r="488" spans="2:511" ht="18" customHeight="1" x14ac:dyDescent="0.25">
      <c r="B488" s="50" t="s">
        <v>349</v>
      </c>
      <c r="E488" t="s">
        <v>81</v>
      </c>
      <c r="AS488" s="68"/>
    </row>
    <row r="489" spans="2:511" ht="18" customHeight="1" x14ac:dyDescent="0.25">
      <c r="B489" s="50" t="s">
        <v>472</v>
      </c>
      <c r="E489" t="s">
        <v>131</v>
      </c>
      <c r="AS489" s="68"/>
    </row>
    <row r="490" spans="2:511" ht="18" customHeight="1" x14ac:dyDescent="0.25">
      <c r="B490" s="50" t="s">
        <v>473</v>
      </c>
      <c r="E490" t="s">
        <v>123</v>
      </c>
      <c r="AS490" s="68"/>
      <c r="DF490">
        <v>10</v>
      </c>
      <c r="QS490">
        <v>5</v>
      </c>
      <c r="SF490">
        <v>10</v>
      </c>
    </row>
    <row r="491" spans="2:511" ht="18" customHeight="1" x14ac:dyDescent="0.25">
      <c r="B491" s="50" t="s">
        <v>474</v>
      </c>
      <c r="E491" t="s">
        <v>105</v>
      </c>
      <c r="AS491" s="68"/>
    </row>
    <row r="492" spans="2:511" ht="18" customHeight="1" x14ac:dyDescent="0.25">
      <c r="B492" s="50" t="s">
        <v>475</v>
      </c>
      <c r="E492" t="s">
        <v>108</v>
      </c>
      <c r="AS492" s="68"/>
    </row>
    <row r="493" spans="2:511" ht="18" customHeight="1" x14ac:dyDescent="0.25">
      <c r="B493" s="49" t="s">
        <v>476</v>
      </c>
      <c r="E493" t="s">
        <v>110</v>
      </c>
      <c r="AS493" s="68"/>
      <c r="DQ493">
        <v>4</v>
      </c>
      <c r="RD493">
        <v>4</v>
      </c>
      <c r="SQ493">
        <v>6</v>
      </c>
    </row>
    <row r="494" spans="2:511" ht="18" customHeight="1" x14ac:dyDescent="0.25">
      <c r="B494" s="50" t="s">
        <v>477</v>
      </c>
      <c r="E494" t="s">
        <v>81</v>
      </c>
      <c r="AS494" s="68"/>
    </row>
    <row r="495" spans="2:511" ht="18" customHeight="1" x14ac:dyDescent="0.25">
      <c r="B495" s="49" t="s">
        <v>478</v>
      </c>
      <c r="E495" t="s">
        <v>159</v>
      </c>
      <c r="AS495" s="68"/>
      <c r="CV495">
        <v>15</v>
      </c>
      <c r="QI495">
        <v>3</v>
      </c>
      <c r="RV495">
        <v>15</v>
      </c>
    </row>
    <row r="496" spans="2:511" ht="18" customHeight="1" x14ac:dyDescent="0.25">
      <c r="B496" s="49" t="s">
        <v>479</v>
      </c>
      <c r="E496" t="s">
        <v>105</v>
      </c>
      <c r="AS496" s="68"/>
    </row>
    <row r="497" spans="2:506" ht="18" customHeight="1" x14ac:dyDescent="0.25">
      <c r="B497" s="49" t="s">
        <v>480</v>
      </c>
      <c r="E497" t="s">
        <v>77</v>
      </c>
      <c r="AS497" s="68"/>
      <c r="CT497">
        <v>5</v>
      </c>
      <c r="QG497">
        <v>4</v>
      </c>
      <c r="RT497">
        <v>10</v>
      </c>
    </row>
    <row r="498" spans="2:506" ht="18" customHeight="1" x14ac:dyDescent="0.25">
      <c r="B498" s="49" t="s">
        <v>481</v>
      </c>
      <c r="E498" t="s">
        <v>161</v>
      </c>
      <c r="AS498" s="68"/>
    </row>
    <row r="499" spans="2:506" ht="18" customHeight="1" x14ac:dyDescent="0.25">
      <c r="B499" s="49" t="s">
        <v>482</v>
      </c>
      <c r="E499" t="s">
        <v>161</v>
      </c>
      <c r="AS499" s="68"/>
    </row>
    <row r="500" spans="2:506" ht="18" customHeight="1" x14ac:dyDescent="0.25">
      <c r="B500" s="49" t="s">
        <v>483</v>
      </c>
      <c r="E500" t="s">
        <v>161</v>
      </c>
      <c r="AS500" s="68"/>
    </row>
    <row r="501" spans="2:506" ht="18" customHeight="1" x14ac:dyDescent="0.25">
      <c r="B501" s="49" t="s">
        <v>484</v>
      </c>
      <c r="E501" t="s">
        <v>85</v>
      </c>
      <c r="AS501" s="68"/>
    </row>
    <row r="502" spans="2:506" ht="18" customHeight="1" x14ac:dyDescent="0.25">
      <c r="B502" s="50" t="s">
        <v>485</v>
      </c>
      <c r="E502" t="s">
        <v>85</v>
      </c>
      <c r="AS502" s="68"/>
    </row>
    <row r="503" spans="2:506" ht="18" customHeight="1" x14ac:dyDescent="0.25">
      <c r="B503" s="50" t="s">
        <v>486</v>
      </c>
      <c r="E503" t="s">
        <v>85</v>
      </c>
      <c r="AS503" s="68"/>
    </row>
    <row r="504" spans="2:506" ht="18" customHeight="1" x14ac:dyDescent="0.25">
      <c r="B504" s="50" t="s">
        <v>487</v>
      </c>
      <c r="E504" t="s">
        <v>85</v>
      </c>
      <c r="AS504" s="68"/>
      <c r="DL504">
        <v>2</v>
      </c>
      <c r="QY504">
        <v>1</v>
      </c>
      <c r="SL504">
        <v>2</v>
      </c>
    </row>
    <row r="505" spans="2:506" ht="18" customHeight="1" x14ac:dyDescent="0.25">
      <c r="B505" s="50" t="s">
        <v>488</v>
      </c>
      <c r="E505" t="s">
        <v>85</v>
      </c>
      <c r="AS505" s="68"/>
      <c r="DL505">
        <v>2</v>
      </c>
      <c r="QY505">
        <v>1</v>
      </c>
      <c r="SL505">
        <v>2</v>
      </c>
    </row>
    <row r="506" spans="2:506" ht="18" customHeight="1" x14ac:dyDescent="0.25">
      <c r="B506" s="50" t="s">
        <v>489</v>
      </c>
      <c r="E506" t="s">
        <v>85</v>
      </c>
      <c r="AS506" s="68"/>
    </row>
    <row r="507" spans="2:506" ht="18" customHeight="1" x14ac:dyDescent="0.25">
      <c r="B507" s="50" t="s">
        <v>490</v>
      </c>
      <c r="E507" t="s">
        <v>81</v>
      </c>
      <c r="AS507" s="68"/>
    </row>
    <row r="508" spans="2:506" ht="18" customHeight="1" x14ac:dyDescent="0.25">
      <c r="B508" s="50" t="s">
        <v>491</v>
      </c>
      <c r="E508" t="s">
        <v>85</v>
      </c>
      <c r="AS508" s="68"/>
    </row>
    <row r="509" spans="2:506" ht="18" customHeight="1" x14ac:dyDescent="0.25">
      <c r="B509" s="50" t="s">
        <v>492</v>
      </c>
      <c r="E509" t="s">
        <v>85</v>
      </c>
      <c r="AS509" s="68"/>
    </row>
    <row r="510" spans="2:506" ht="18" customHeight="1" x14ac:dyDescent="0.25">
      <c r="B510" s="50" t="s">
        <v>493</v>
      </c>
      <c r="E510" t="s">
        <v>85</v>
      </c>
      <c r="AS510" s="68"/>
    </row>
    <row r="511" spans="2:506" ht="18" customHeight="1" x14ac:dyDescent="0.25">
      <c r="B511" s="50" t="s">
        <v>494</v>
      </c>
      <c r="E511" t="s">
        <v>85</v>
      </c>
      <c r="AS511" s="68"/>
    </row>
    <row r="512" spans="2:506" ht="18" customHeight="1" x14ac:dyDescent="0.25">
      <c r="B512" s="50" t="s">
        <v>495</v>
      </c>
      <c r="E512" t="s">
        <v>85</v>
      </c>
      <c r="AS512" s="68"/>
      <c r="DL512">
        <v>5</v>
      </c>
      <c r="QY512">
        <v>3</v>
      </c>
      <c r="SL512">
        <v>5</v>
      </c>
    </row>
    <row r="513" spans="2:511" ht="18" customHeight="1" x14ac:dyDescent="0.25">
      <c r="B513" s="50" t="s">
        <v>496</v>
      </c>
      <c r="E513" t="s">
        <v>85</v>
      </c>
      <c r="AS513" s="68"/>
    </row>
    <row r="514" spans="2:511" ht="18" customHeight="1" x14ac:dyDescent="0.25">
      <c r="B514" s="49" t="s">
        <v>497</v>
      </c>
      <c r="E514" t="s">
        <v>77</v>
      </c>
      <c r="AS514" s="68"/>
      <c r="CQ514">
        <v>2</v>
      </c>
      <c r="CT514">
        <v>3</v>
      </c>
      <c r="DL514">
        <v>30</v>
      </c>
      <c r="QD514">
        <v>2</v>
      </c>
      <c r="QG514">
        <v>10</v>
      </c>
      <c r="QY514">
        <v>30</v>
      </c>
      <c r="RQ514">
        <v>2</v>
      </c>
      <c r="RT514">
        <v>40</v>
      </c>
      <c r="SL514">
        <v>30</v>
      </c>
    </row>
    <row r="515" spans="2:511" ht="18" customHeight="1" x14ac:dyDescent="0.25">
      <c r="B515" s="50" t="s">
        <v>498</v>
      </c>
      <c r="E515" t="s">
        <v>85</v>
      </c>
      <c r="AS515" s="68"/>
      <c r="DL515">
        <v>2</v>
      </c>
      <c r="QY515">
        <v>1</v>
      </c>
      <c r="SL515">
        <v>2</v>
      </c>
    </row>
    <row r="516" spans="2:511" ht="18" customHeight="1" x14ac:dyDescent="0.25">
      <c r="B516" s="50" t="s">
        <v>499</v>
      </c>
      <c r="E516" t="s">
        <v>161</v>
      </c>
      <c r="AS516" s="68"/>
    </row>
    <row r="517" spans="2:511" ht="18" customHeight="1" x14ac:dyDescent="0.25">
      <c r="B517" s="50" t="s">
        <v>500</v>
      </c>
      <c r="E517" t="s">
        <v>77</v>
      </c>
      <c r="AS517" s="68"/>
      <c r="CT517">
        <v>10</v>
      </c>
      <c r="QG517">
        <v>2</v>
      </c>
      <c r="RT517">
        <v>15</v>
      </c>
    </row>
    <row r="518" spans="2:511" ht="18" customHeight="1" x14ac:dyDescent="0.25">
      <c r="B518" s="50" t="s">
        <v>501</v>
      </c>
      <c r="E518" t="s">
        <v>85</v>
      </c>
      <c r="AS518" s="68"/>
    </row>
    <row r="519" spans="2:511" ht="18" customHeight="1" x14ac:dyDescent="0.25">
      <c r="B519" s="50" t="s">
        <v>502</v>
      </c>
      <c r="E519" t="s">
        <v>81</v>
      </c>
      <c r="AS519" s="68"/>
    </row>
    <row r="520" spans="2:511" ht="18" customHeight="1" x14ac:dyDescent="0.25">
      <c r="B520" s="50" t="s">
        <v>503</v>
      </c>
      <c r="E520" t="s">
        <v>110</v>
      </c>
      <c r="AS520" s="68"/>
      <c r="DQ520">
        <v>5</v>
      </c>
      <c r="RD520">
        <v>3</v>
      </c>
      <c r="SQ520">
        <v>6</v>
      </c>
    </row>
    <row r="521" spans="2:511" ht="18" customHeight="1" x14ac:dyDescent="0.25">
      <c r="B521" s="50" t="s">
        <v>504</v>
      </c>
      <c r="E521" t="s">
        <v>90</v>
      </c>
      <c r="AS521" s="68"/>
    </row>
    <row r="522" spans="2:511" ht="18" customHeight="1" x14ac:dyDescent="0.25">
      <c r="B522" s="50" t="s">
        <v>505</v>
      </c>
      <c r="E522" t="s">
        <v>121</v>
      </c>
      <c r="AS522" s="68"/>
    </row>
    <row r="523" spans="2:511" ht="18" customHeight="1" x14ac:dyDescent="0.25">
      <c r="B523" s="50" t="s">
        <v>506</v>
      </c>
      <c r="E523" t="s">
        <v>131</v>
      </c>
      <c r="AS523" s="68"/>
    </row>
    <row r="524" spans="2:511" ht="18" customHeight="1" x14ac:dyDescent="0.25">
      <c r="B524" s="50" t="s">
        <v>507</v>
      </c>
      <c r="E524" t="s">
        <v>85</v>
      </c>
      <c r="AS524" s="68"/>
      <c r="DL524">
        <v>2</v>
      </c>
      <c r="QY524">
        <v>1</v>
      </c>
      <c r="SL524">
        <v>2</v>
      </c>
    </row>
    <row r="525" spans="2:511" ht="18" customHeight="1" x14ac:dyDescent="0.25">
      <c r="B525" s="50" t="s">
        <v>508</v>
      </c>
      <c r="E525" t="s">
        <v>85</v>
      </c>
      <c r="AS525" s="68"/>
      <c r="DL525">
        <v>1</v>
      </c>
      <c r="QY525">
        <v>1</v>
      </c>
      <c r="SL525">
        <v>1</v>
      </c>
    </row>
    <row r="526" spans="2:511" ht="18" customHeight="1" x14ac:dyDescent="0.25">
      <c r="B526" s="50" t="s">
        <v>509</v>
      </c>
      <c r="E526" t="s">
        <v>85</v>
      </c>
      <c r="AS526" s="68"/>
      <c r="DL526">
        <v>2</v>
      </c>
      <c r="QY526">
        <v>1</v>
      </c>
      <c r="SL526">
        <v>2</v>
      </c>
    </row>
    <row r="527" spans="2:511" ht="18" customHeight="1" x14ac:dyDescent="0.25">
      <c r="B527" s="50" t="s">
        <v>510</v>
      </c>
      <c r="E527" t="s">
        <v>85</v>
      </c>
      <c r="AS527" s="68"/>
      <c r="DL527">
        <v>3</v>
      </c>
      <c r="QY527">
        <v>2</v>
      </c>
      <c r="SL527">
        <v>3</v>
      </c>
    </row>
    <row r="528" spans="2:511" ht="18" customHeight="1" x14ac:dyDescent="0.25">
      <c r="B528" s="49" t="s">
        <v>511</v>
      </c>
      <c r="E528" t="s">
        <v>131</v>
      </c>
      <c r="AS528" s="68"/>
    </row>
    <row r="529" spans="2:511" ht="18" customHeight="1" x14ac:dyDescent="0.25">
      <c r="B529" s="49" t="s">
        <v>511</v>
      </c>
      <c r="E529" t="s">
        <v>131</v>
      </c>
      <c r="AS529" s="68"/>
    </row>
    <row r="530" spans="2:511" ht="18" customHeight="1" x14ac:dyDescent="0.25">
      <c r="B530" s="49" t="s">
        <v>511</v>
      </c>
      <c r="E530" t="s">
        <v>131</v>
      </c>
      <c r="AS530" s="68"/>
    </row>
    <row r="531" spans="2:511" ht="18" customHeight="1" x14ac:dyDescent="0.25">
      <c r="B531" s="49" t="s">
        <v>511</v>
      </c>
      <c r="E531" t="s">
        <v>131</v>
      </c>
      <c r="AS531" s="68"/>
    </row>
    <row r="532" spans="2:511" ht="18" customHeight="1" x14ac:dyDescent="0.25">
      <c r="B532" s="49" t="s">
        <v>511</v>
      </c>
      <c r="E532" t="s">
        <v>131</v>
      </c>
      <c r="AS532" s="68"/>
    </row>
    <row r="533" spans="2:511" ht="18" customHeight="1" x14ac:dyDescent="0.25">
      <c r="B533" s="49" t="s">
        <v>511</v>
      </c>
      <c r="E533" t="s">
        <v>131</v>
      </c>
      <c r="AS533" s="68"/>
    </row>
    <row r="534" spans="2:511" ht="18" customHeight="1" x14ac:dyDescent="0.25">
      <c r="B534" s="49" t="s">
        <v>511</v>
      </c>
      <c r="E534" t="s">
        <v>131</v>
      </c>
      <c r="AS534" s="68"/>
    </row>
    <row r="535" spans="2:511" ht="18" customHeight="1" x14ac:dyDescent="0.25">
      <c r="B535" s="50" t="s">
        <v>454</v>
      </c>
      <c r="E535" t="s">
        <v>81</v>
      </c>
      <c r="AS535" s="68"/>
    </row>
    <row r="536" spans="2:511" ht="18" customHeight="1" x14ac:dyDescent="0.25">
      <c r="B536" s="50" t="s">
        <v>455</v>
      </c>
      <c r="E536" t="s">
        <v>81</v>
      </c>
      <c r="AS536" s="68"/>
    </row>
    <row r="537" spans="2:511" ht="18" customHeight="1" x14ac:dyDescent="0.25">
      <c r="B537" s="50" t="s">
        <v>456</v>
      </c>
      <c r="E537" t="s">
        <v>81</v>
      </c>
      <c r="AS537" s="68"/>
    </row>
    <row r="538" spans="2:511" ht="18" customHeight="1" x14ac:dyDescent="0.25">
      <c r="B538" s="50" t="s">
        <v>457</v>
      </c>
      <c r="E538" t="s">
        <v>81</v>
      </c>
      <c r="AS538" s="68"/>
    </row>
    <row r="539" spans="2:511" ht="18" customHeight="1" x14ac:dyDescent="0.25">
      <c r="B539" s="50" t="s">
        <v>458</v>
      </c>
      <c r="E539" t="s">
        <v>81</v>
      </c>
      <c r="AS539" s="68"/>
    </row>
    <row r="540" spans="2:511" ht="18" customHeight="1" x14ac:dyDescent="0.25">
      <c r="B540" s="50" t="s">
        <v>512</v>
      </c>
      <c r="E540" t="s">
        <v>81</v>
      </c>
      <c r="AS540" s="68"/>
    </row>
    <row r="541" spans="2:511" ht="18" customHeight="1" x14ac:dyDescent="0.25">
      <c r="B541" s="49" t="s">
        <v>513</v>
      </c>
      <c r="E541" t="s">
        <v>110</v>
      </c>
      <c r="AS541" s="68"/>
      <c r="DQ541">
        <v>3</v>
      </c>
      <c r="RD541">
        <v>4</v>
      </c>
      <c r="SQ541">
        <v>6</v>
      </c>
    </row>
    <row r="542" spans="2:511" ht="18" customHeight="1" x14ac:dyDescent="0.25">
      <c r="B542" s="50" t="s">
        <v>514</v>
      </c>
      <c r="E542" t="s">
        <v>81</v>
      </c>
      <c r="AS542" s="68"/>
    </row>
    <row r="543" spans="2:511" ht="18" customHeight="1" x14ac:dyDescent="0.25">
      <c r="B543" s="49" t="s">
        <v>515</v>
      </c>
      <c r="E543" t="s">
        <v>159</v>
      </c>
      <c r="AS543" s="68"/>
      <c r="CV543">
        <v>4</v>
      </c>
      <c r="QI543">
        <v>1</v>
      </c>
      <c r="RV543">
        <v>6</v>
      </c>
    </row>
    <row r="544" spans="2:511" ht="18" customHeight="1" x14ac:dyDescent="0.25">
      <c r="B544" s="49" t="s">
        <v>516</v>
      </c>
      <c r="E544" t="s">
        <v>105</v>
      </c>
      <c r="AS544" s="68"/>
    </row>
    <row r="545" spans="2:511" ht="18" customHeight="1" x14ac:dyDescent="0.25">
      <c r="B545" s="49" t="s">
        <v>517</v>
      </c>
      <c r="E545" t="s">
        <v>77</v>
      </c>
      <c r="AS545" s="68"/>
      <c r="CT545">
        <v>2</v>
      </c>
      <c r="QG545">
        <v>2</v>
      </c>
      <c r="RT545">
        <v>5</v>
      </c>
    </row>
    <row r="546" spans="2:511" ht="18" customHeight="1" x14ac:dyDescent="0.25">
      <c r="B546" s="49" t="s">
        <v>518</v>
      </c>
      <c r="E546" t="s">
        <v>161</v>
      </c>
      <c r="AS546" s="68"/>
    </row>
    <row r="547" spans="2:511" ht="18" customHeight="1" x14ac:dyDescent="0.25">
      <c r="B547" s="49" t="s">
        <v>519</v>
      </c>
      <c r="E547" t="s">
        <v>161</v>
      </c>
      <c r="AS547" s="68"/>
    </row>
    <row r="548" spans="2:511" ht="18" customHeight="1" x14ac:dyDescent="0.25">
      <c r="B548" s="49" t="s">
        <v>520</v>
      </c>
      <c r="E548" t="s">
        <v>161</v>
      </c>
      <c r="AS548" s="68"/>
    </row>
    <row r="549" spans="2:511" ht="18" customHeight="1" x14ac:dyDescent="0.25">
      <c r="B549" s="49" t="s">
        <v>521</v>
      </c>
      <c r="AS549" s="68"/>
    </row>
    <row r="550" spans="2:511" ht="18" customHeight="1" x14ac:dyDescent="0.25">
      <c r="B550" s="50" t="s">
        <v>522</v>
      </c>
      <c r="E550" t="s">
        <v>85</v>
      </c>
      <c r="AS550" s="68"/>
      <c r="DL550">
        <v>2</v>
      </c>
      <c r="QY550">
        <v>1</v>
      </c>
      <c r="SL550">
        <v>2</v>
      </c>
    </row>
    <row r="551" spans="2:511" ht="18" customHeight="1" x14ac:dyDescent="0.25">
      <c r="B551" s="50" t="s">
        <v>523</v>
      </c>
      <c r="E551" t="s">
        <v>90</v>
      </c>
      <c r="AS551" s="68"/>
      <c r="DN551">
        <v>2</v>
      </c>
      <c r="RA551">
        <v>1</v>
      </c>
      <c r="SN551">
        <v>2</v>
      </c>
    </row>
    <row r="552" spans="2:511" ht="18" customHeight="1" x14ac:dyDescent="0.25">
      <c r="B552" s="50" t="s">
        <v>524</v>
      </c>
      <c r="E552" t="s">
        <v>90</v>
      </c>
      <c r="AS552" s="68"/>
      <c r="DN552">
        <v>3</v>
      </c>
      <c r="RA552">
        <v>2</v>
      </c>
      <c r="SN552">
        <v>3</v>
      </c>
    </row>
    <row r="553" spans="2:511" ht="18" customHeight="1" x14ac:dyDescent="0.25">
      <c r="B553" s="50" t="s">
        <v>525</v>
      </c>
      <c r="E553" t="s">
        <v>90</v>
      </c>
      <c r="AS553" s="68"/>
      <c r="DN553">
        <v>2</v>
      </c>
      <c r="RA553">
        <v>1</v>
      </c>
      <c r="SN553">
        <v>2</v>
      </c>
    </row>
    <row r="554" spans="2:511" ht="18" customHeight="1" x14ac:dyDescent="0.25">
      <c r="B554" s="50" t="s">
        <v>526</v>
      </c>
      <c r="E554" t="s">
        <v>90</v>
      </c>
      <c r="AS554" s="68"/>
      <c r="DN554">
        <v>5</v>
      </c>
      <c r="RA554">
        <v>4</v>
      </c>
      <c r="SN554">
        <v>5</v>
      </c>
    </row>
    <row r="555" spans="2:511" ht="18" customHeight="1" x14ac:dyDescent="0.25">
      <c r="B555" s="50" t="s">
        <v>527</v>
      </c>
      <c r="E555" t="s">
        <v>85</v>
      </c>
      <c r="AS555" s="68"/>
      <c r="DL555">
        <v>4</v>
      </c>
      <c r="QY555">
        <v>3</v>
      </c>
      <c r="SL555">
        <v>4</v>
      </c>
    </row>
    <row r="556" spans="2:511" ht="18" customHeight="1" x14ac:dyDescent="0.25">
      <c r="B556" s="50" t="s">
        <v>528</v>
      </c>
      <c r="E556" t="s">
        <v>85</v>
      </c>
      <c r="AS556" s="68"/>
      <c r="DL556">
        <v>2</v>
      </c>
      <c r="QY556">
        <v>1</v>
      </c>
      <c r="SL556">
        <v>2</v>
      </c>
    </row>
    <row r="557" spans="2:511" ht="18" customHeight="1" x14ac:dyDescent="0.25">
      <c r="B557" s="49" t="s">
        <v>529</v>
      </c>
      <c r="E557" t="s">
        <v>77</v>
      </c>
      <c r="AS557" s="68"/>
      <c r="CT557">
        <v>2</v>
      </c>
    </row>
    <row r="558" spans="2:511" ht="18" customHeight="1" x14ac:dyDescent="0.25">
      <c r="B558" s="49" t="s">
        <v>530</v>
      </c>
      <c r="E558" t="s">
        <v>123</v>
      </c>
      <c r="AS558" s="68"/>
    </row>
    <row r="559" spans="2:511" ht="18" customHeight="1" x14ac:dyDescent="0.25">
      <c r="B559" s="49" t="s">
        <v>531</v>
      </c>
      <c r="E559" t="s">
        <v>110</v>
      </c>
      <c r="AS559" s="68"/>
      <c r="DQ559">
        <v>0</v>
      </c>
      <c r="RD559">
        <v>0</v>
      </c>
      <c r="SQ559">
        <v>0</v>
      </c>
    </row>
    <row r="560" spans="2:511" ht="18" customHeight="1" x14ac:dyDescent="0.25">
      <c r="B560" s="50" t="s">
        <v>512</v>
      </c>
      <c r="E560" t="s">
        <v>81</v>
      </c>
      <c r="AS560" s="68"/>
    </row>
    <row r="561" spans="1:512" ht="18" customHeight="1" x14ac:dyDescent="0.25">
      <c r="A561" s="54" t="s">
        <v>532</v>
      </c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  <c r="BG561" s="55"/>
      <c r="BH561" s="55"/>
      <c r="BI561" s="55"/>
      <c r="BJ561" s="55"/>
      <c r="BK561" s="55"/>
      <c r="BL561" s="55"/>
      <c r="BM561" s="55"/>
      <c r="BN561" s="55"/>
      <c r="BO561" s="55"/>
      <c r="BP561" s="55"/>
      <c r="BQ561" s="55"/>
      <c r="BR561" s="55"/>
      <c r="BS561" s="55"/>
      <c r="BT561" s="55"/>
      <c r="BU561" s="55"/>
      <c r="BV561" s="55"/>
      <c r="BW561" s="55"/>
      <c r="BX561" s="55"/>
      <c r="BY561" s="55"/>
      <c r="BZ561" s="55"/>
      <c r="CA561" s="55"/>
      <c r="CB561" s="55"/>
      <c r="CC561" s="55"/>
      <c r="CD561" s="55"/>
      <c r="CE561" s="55"/>
      <c r="CF561" s="55"/>
      <c r="CG561" s="55"/>
      <c r="CH561" s="55"/>
      <c r="CI561" s="55"/>
      <c r="CJ561" s="55"/>
      <c r="CK561" s="55"/>
      <c r="CL561" s="55"/>
      <c r="CM561" s="55"/>
      <c r="CN561" s="55"/>
      <c r="CO561" s="55"/>
      <c r="CP561" s="55"/>
      <c r="CQ561" s="55"/>
      <c r="CR561" s="55"/>
      <c r="CS561" s="55"/>
      <c r="CT561" s="55"/>
      <c r="CU561" s="55"/>
      <c r="CV561" s="55"/>
      <c r="CW561" s="55"/>
      <c r="CX561" s="55"/>
      <c r="CY561" s="55"/>
      <c r="CZ561" s="55"/>
      <c r="DA561" s="55"/>
      <c r="DB561" s="55"/>
      <c r="DC561" s="55"/>
      <c r="DD561" s="55"/>
      <c r="DE561" s="55"/>
      <c r="DF561" s="55"/>
      <c r="DG561" s="55"/>
      <c r="DH561" s="55"/>
      <c r="DI561" s="55"/>
      <c r="DJ561" s="55"/>
      <c r="DK561" s="55"/>
      <c r="DL561" s="55"/>
      <c r="DM561" s="55"/>
      <c r="DN561" s="55"/>
      <c r="DO561" s="55"/>
      <c r="DP561" s="55"/>
      <c r="DQ561" s="55"/>
      <c r="DR561" s="55"/>
      <c r="DS561" s="55"/>
      <c r="DT561" s="55"/>
      <c r="DU561" s="55"/>
      <c r="DV561" s="55"/>
      <c r="DW561" s="55"/>
      <c r="DX561" s="55"/>
      <c r="DY561" s="55"/>
      <c r="DZ561" s="55"/>
      <c r="EA561" s="55"/>
      <c r="EB561" s="55"/>
      <c r="EC561" s="55"/>
      <c r="ED561" s="55"/>
      <c r="EE561" s="55"/>
      <c r="EF561" s="55"/>
      <c r="EG561" s="55"/>
      <c r="EH561" s="55"/>
      <c r="EI561" s="55"/>
      <c r="EJ561" s="55"/>
      <c r="EK561" s="55"/>
      <c r="EL561" s="55"/>
      <c r="EM561" s="55"/>
      <c r="EN561" s="55"/>
      <c r="EO561" s="55"/>
      <c r="EP561" s="55"/>
      <c r="EQ561" s="55"/>
      <c r="ER561" s="55"/>
      <c r="ES561" s="55"/>
      <c r="ET561" s="55"/>
      <c r="EU561" s="55"/>
      <c r="EV561" s="55"/>
      <c r="EW561" s="55"/>
      <c r="EX561" s="55"/>
      <c r="EY561" s="55"/>
      <c r="EZ561" s="55"/>
      <c r="FA561" s="55"/>
      <c r="FB561" s="55"/>
      <c r="FC561" s="55"/>
      <c r="FD561" s="55"/>
      <c r="FE561" s="55"/>
      <c r="FF561" s="55"/>
      <c r="FG561" s="55"/>
      <c r="FH561" s="55"/>
      <c r="FI561" s="55"/>
      <c r="FJ561" s="55"/>
      <c r="FK561" s="55"/>
      <c r="FL561" s="55"/>
      <c r="FM561" s="55"/>
      <c r="FN561" s="55"/>
      <c r="FO561" s="55"/>
      <c r="FP561" s="55"/>
      <c r="FQ561" s="55"/>
      <c r="FR561" s="55"/>
      <c r="FS561" s="55"/>
      <c r="FT561" s="55"/>
      <c r="FU561" s="55"/>
      <c r="FV561" s="55"/>
      <c r="FW561" s="55"/>
      <c r="FX561" s="55"/>
      <c r="FY561" s="55"/>
      <c r="FZ561" s="55"/>
      <c r="GA561" s="55"/>
      <c r="GB561" s="55"/>
      <c r="GC561" s="55"/>
      <c r="GD561" s="55"/>
      <c r="GE561" s="55"/>
      <c r="GF561" s="55"/>
      <c r="GG561" s="55"/>
      <c r="GH561" s="55"/>
      <c r="GI561" s="55"/>
      <c r="GJ561" s="55"/>
      <c r="GK561" s="55"/>
      <c r="GL561" s="55"/>
      <c r="GM561" s="55"/>
      <c r="GN561" s="55"/>
      <c r="GO561" s="55"/>
      <c r="GP561" s="55"/>
      <c r="GQ561" s="55"/>
      <c r="GR561" s="55"/>
      <c r="GS561" s="55"/>
      <c r="GT561" s="55"/>
      <c r="GU561" s="55"/>
      <c r="GV561" s="55"/>
      <c r="GW561" s="55"/>
      <c r="GX561" s="55"/>
      <c r="GY561" s="55"/>
      <c r="GZ561" s="55"/>
      <c r="HA561" s="55"/>
      <c r="HB561" s="55"/>
      <c r="HC561" s="55"/>
      <c r="HD561" s="55"/>
      <c r="HE561" s="55"/>
      <c r="HF561" s="55"/>
      <c r="HG561" s="55"/>
      <c r="HH561" s="55"/>
      <c r="HI561" s="55"/>
      <c r="HJ561" s="55"/>
      <c r="HK561" s="55"/>
      <c r="HL561" s="55"/>
      <c r="HM561" s="55"/>
      <c r="HN561" s="55"/>
      <c r="HO561" s="55"/>
      <c r="HP561" s="55"/>
      <c r="HQ561" s="55"/>
      <c r="HR561" s="55"/>
      <c r="HS561" s="55"/>
      <c r="HT561" s="55"/>
      <c r="HU561" s="55"/>
      <c r="HV561" s="55"/>
      <c r="HW561" s="55"/>
      <c r="HX561" s="55"/>
      <c r="HY561" s="55"/>
      <c r="HZ561" s="55"/>
      <c r="IA561" s="55"/>
      <c r="IB561" s="55"/>
      <c r="IC561" s="55"/>
      <c r="ID561" s="55"/>
      <c r="IE561" s="55"/>
      <c r="IF561" s="55"/>
      <c r="IG561" s="55"/>
      <c r="IH561" s="55"/>
      <c r="II561" s="55"/>
      <c r="IJ561" s="55"/>
      <c r="IK561" s="55"/>
      <c r="IL561" s="55"/>
      <c r="IM561" s="55"/>
      <c r="IN561" s="55"/>
      <c r="IO561" s="55"/>
      <c r="IP561" s="55"/>
      <c r="IQ561" s="55"/>
      <c r="IR561" s="55"/>
      <c r="IS561" s="55"/>
      <c r="IT561" s="55"/>
      <c r="IU561" s="55"/>
      <c r="IV561" s="55"/>
      <c r="IW561" s="55"/>
      <c r="IX561" s="55"/>
      <c r="IY561" s="55"/>
      <c r="IZ561" s="55"/>
      <c r="JA561" s="55"/>
      <c r="JB561" s="55"/>
      <c r="JC561" s="55"/>
      <c r="JD561" s="55"/>
      <c r="JE561" s="55"/>
      <c r="JF561" s="55"/>
      <c r="JG561" s="55"/>
      <c r="JH561" s="55"/>
      <c r="JI561" s="55"/>
      <c r="JJ561" s="55"/>
      <c r="JK561" s="55"/>
      <c r="JL561" s="55"/>
      <c r="JM561" s="55"/>
      <c r="JN561" s="55"/>
      <c r="JO561" s="55"/>
      <c r="JP561" s="55"/>
      <c r="JQ561" s="55"/>
      <c r="JR561" s="55"/>
      <c r="JS561" s="55"/>
      <c r="JT561" s="55"/>
      <c r="JU561" s="55"/>
      <c r="JV561" s="55"/>
      <c r="JW561" s="55"/>
      <c r="JX561" s="55"/>
      <c r="JY561" s="55"/>
      <c r="JZ561" s="55"/>
      <c r="KA561" s="55"/>
      <c r="KB561" s="55"/>
      <c r="KC561" s="55"/>
      <c r="KD561" s="55"/>
      <c r="KE561" s="55"/>
      <c r="KF561" s="55"/>
      <c r="KG561" s="55"/>
      <c r="KH561" s="55"/>
      <c r="KI561" s="55"/>
      <c r="KJ561" s="55"/>
      <c r="KK561" s="55"/>
      <c r="KL561" s="55"/>
      <c r="KM561" s="55"/>
      <c r="KN561" s="55"/>
      <c r="KO561" s="55"/>
      <c r="KP561" s="55"/>
      <c r="KQ561" s="55"/>
      <c r="KR561" s="55"/>
      <c r="KS561" s="55"/>
      <c r="KT561" s="55"/>
      <c r="KU561" s="55"/>
      <c r="KV561" s="55"/>
      <c r="KW561" s="55"/>
      <c r="KX561" s="55"/>
      <c r="KY561" s="55"/>
      <c r="KZ561" s="55"/>
      <c r="LA561" s="55"/>
      <c r="LB561" s="55"/>
      <c r="LC561" s="55"/>
      <c r="LD561" s="55"/>
      <c r="LE561" s="55"/>
      <c r="LF561" s="55"/>
      <c r="LG561" s="55"/>
      <c r="LH561" s="55"/>
      <c r="LI561" s="55"/>
      <c r="LJ561" s="55"/>
      <c r="LK561" s="55"/>
      <c r="LL561" s="55"/>
      <c r="LM561" s="55"/>
      <c r="LN561" s="55"/>
      <c r="LO561" s="55"/>
      <c r="LP561" s="55"/>
      <c r="LQ561" s="55"/>
      <c r="LR561" s="55"/>
      <c r="LS561" s="55"/>
      <c r="LT561" s="55"/>
      <c r="LU561" s="55"/>
      <c r="LV561" s="55"/>
      <c r="LW561" s="55"/>
      <c r="LX561" s="55"/>
      <c r="LY561" s="55"/>
      <c r="LZ561" s="55"/>
      <c r="MA561" s="55"/>
      <c r="MB561" s="55"/>
      <c r="MC561" s="55"/>
      <c r="MD561" s="55"/>
      <c r="ME561" s="55"/>
      <c r="MF561" s="55"/>
      <c r="MG561" s="55"/>
      <c r="MH561" s="55"/>
      <c r="MI561" s="55"/>
      <c r="MJ561" s="55"/>
      <c r="MK561" s="55"/>
      <c r="ML561" s="55"/>
      <c r="MM561" s="55"/>
      <c r="MN561" s="55"/>
      <c r="MO561" s="55"/>
      <c r="MP561" s="55"/>
      <c r="MQ561" s="55"/>
      <c r="MR561" s="55"/>
      <c r="MS561" s="55"/>
      <c r="MT561" s="55"/>
      <c r="MU561" s="55"/>
      <c r="MV561" s="55"/>
      <c r="MW561" s="55"/>
      <c r="MX561" s="55"/>
      <c r="MY561" s="55"/>
      <c r="MZ561" s="55"/>
      <c r="NA561" s="55"/>
      <c r="NB561" s="55"/>
      <c r="NC561" s="55"/>
      <c r="ND561" s="55"/>
      <c r="NE561" s="55"/>
      <c r="NF561" s="55"/>
      <c r="NG561" s="55"/>
      <c r="NH561" s="55"/>
      <c r="NI561" s="55"/>
      <c r="NJ561" s="55"/>
      <c r="NK561" s="55"/>
      <c r="NL561" s="55"/>
      <c r="NM561" s="55"/>
      <c r="NN561" s="55"/>
      <c r="NO561" s="55"/>
      <c r="NP561" s="55"/>
      <c r="NQ561" s="55"/>
      <c r="NR561" s="55"/>
      <c r="NS561" s="55"/>
      <c r="NT561" s="55"/>
      <c r="NU561" s="55"/>
      <c r="NV561" s="55"/>
      <c r="NW561" s="55"/>
      <c r="NX561" s="55"/>
      <c r="NY561" s="55"/>
      <c r="NZ561" s="55"/>
      <c r="OA561" s="55"/>
      <c r="OB561" s="55"/>
      <c r="OC561" s="55"/>
      <c r="OD561" s="55"/>
      <c r="OE561" s="55"/>
      <c r="OF561" s="55"/>
      <c r="OG561" s="55"/>
      <c r="OH561" s="55"/>
      <c r="OI561" s="55"/>
      <c r="OJ561" s="55"/>
      <c r="OK561" s="55"/>
      <c r="OL561" s="55"/>
      <c r="OM561" s="55"/>
      <c r="ON561" s="55"/>
      <c r="OO561" s="55"/>
      <c r="OP561" s="55"/>
      <c r="OQ561" s="55"/>
      <c r="OR561" s="55"/>
      <c r="OS561" s="55"/>
      <c r="OT561" s="55"/>
      <c r="OU561" s="55"/>
      <c r="OV561" s="55"/>
      <c r="OW561" s="55"/>
      <c r="OX561" s="55"/>
      <c r="OY561" s="55"/>
      <c r="OZ561" s="55"/>
      <c r="PA561" s="55"/>
      <c r="PB561" s="55"/>
      <c r="PC561" s="55"/>
      <c r="PD561" s="55"/>
      <c r="PE561" s="55"/>
      <c r="PF561" s="55"/>
      <c r="PG561" s="55"/>
      <c r="PH561" s="55"/>
      <c r="PI561" s="55"/>
      <c r="PJ561" s="55"/>
      <c r="PK561" s="55"/>
      <c r="PL561" s="55"/>
      <c r="PM561" s="55"/>
      <c r="PN561" s="55"/>
      <c r="PO561" s="55"/>
      <c r="PP561" s="55"/>
      <c r="PQ561" s="55"/>
      <c r="PR561" s="55"/>
      <c r="PS561" s="55"/>
      <c r="PT561" s="55"/>
      <c r="PU561" s="55"/>
      <c r="PV561" s="55"/>
      <c r="PW561" s="55"/>
      <c r="PX561" s="55"/>
      <c r="PY561" s="55"/>
      <c r="PZ561" s="55"/>
      <c r="QA561" s="55"/>
      <c r="QB561" s="55"/>
      <c r="QC561" s="55"/>
      <c r="QD561" s="55"/>
      <c r="QE561" s="55"/>
      <c r="QF561" s="55"/>
      <c r="QG561" s="55"/>
      <c r="QH561" s="55"/>
      <c r="QI561" s="55"/>
      <c r="QJ561" s="55"/>
      <c r="QK561" s="55"/>
      <c r="QL561" s="55"/>
      <c r="QM561" s="55"/>
      <c r="QN561" s="55"/>
      <c r="QO561" s="55"/>
      <c r="QP561" s="55"/>
      <c r="QQ561" s="55"/>
      <c r="QR561" s="55"/>
      <c r="QS561" s="55"/>
      <c r="QT561" s="55"/>
      <c r="QU561" s="55"/>
      <c r="QV561" s="55"/>
      <c r="QW561" s="55"/>
      <c r="QX561" s="55"/>
      <c r="QY561" s="55"/>
      <c r="QZ561" s="55"/>
      <c r="RA561" s="55"/>
      <c r="RB561" s="55"/>
      <c r="RC561" s="55"/>
      <c r="RD561" s="55"/>
      <c r="RE561" s="55"/>
      <c r="RF561" s="55"/>
      <c r="RG561" s="55"/>
      <c r="RH561" s="55"/>
      <c r="RI561" s="55"/>
      <c r="RJ561" s="55"/>
      <c r="RK561" s="55"/>
      <c r="RL561" s="55"/>
      <c r="RM561" s="55"/>
      <c r="RN561" s="55"/>
      <c r="RO561" s="55"/>
      <c r="RP561" s="55"/>
      <c r="RQ561" s="55"/>
      <c r="RR561" s="55"/>
      <c r="RS561" s="55"/>
      <c r="RT561" s="55"/>
      <c r="RU561" s="55"/>
      <c r="RV561" s="55"/>
      <c r="RW561" s="55"/>
      <c r="RX561" s="55"/>
      <c r="RY561" s="55"/>
      <c r="RZ561" s="55"/>
      <c r="SA561" s="55"/>
      <c r="SB561" s="55"/>
      <c r="SC561" s="55"/>
      <c r="SD561" s="55"/>
      <c r="SE561" s="55"/>
      <c r="SF561" s="55"/>
      <c r="SG561" s="55"/>
      <c r="SH561" s="55"/>
      <c r="SI561" s="55"/>
      <c r="SJ561" s="55"/>
      <c r="SK561" s="55"/>
      <c r="SL561" s="55"/>
      <c r="SM561" s="55"/>
      <c r="SN561" s="55"/>
      <c r="SO561" s="55"/>
      <c r="SP561" s="55"/>
      <c r="SQ561" s="55"/>
      <c r="SR561" s="55"/>
    </row>
    <row r="562" spans="1:512" ht="18" customHeight="1" x14ac:dyDescent="0.25">
      <c r="B562" s="48" t="s">
        <v>533</v>
      </c>
      <c r="E562" t="s">
        <v>77</v>
      </c>
      <c r="AS562" s="68"/>
      <c r="CT562">
        <v>24</v>
      </c>
      <c r="DA562">
        <v>9</v>
      </c>
      <c r="DH562">
        <v>30</v>
      </c>
      <c r="DI562">
        <v>60</v>
      </c>
      <c r="DL562">
        <v>36</v>
      </c>
      <c r="DQ562">
        <v>6</v>
      </c>
      <c r="QG562">
        <v>24</v>
      </c>
      <c r="QN562">
        <v>9</v>
      </c>
      <c r="QU562">
        <v>30</v>
      </c>
      <c r="QV562">
        <v>60</v>
      </c>
      <c r="QY562">
        <v>36</v>
      </c>
      <c r="RD562">
        <v>6</v>
      </c>
      <c r="RT562">
        <v>24</v>
      </c>
      <c r="SA562">
        <v>9</v>
      </c>
      <c r="SH562">
        <v>30</v>
      </c>
      <c r="SI562">
        <v>60</v>
      </c>
      <c r="SL562">
        <v>36</v>
      </c>
      <c r="SQ562">
        <v>6</v>
      </c>
    </row>
    <row r="563" spans="1:512" ht="18" customHeight="1" x14ac:dyDescent="0.25">
      <c r="B563" s="48" t="s">
        <v>534</v>
      </c>
      <c r="E563" t="s">
        <v>77</v>
      </c>
      <c r="AS563" s="68"/>
      <c r="CT563">
        <v>4</v>
      </c>
      <c r="DF563">
        <v>30</v>
      </c>
      <c r="DG563">
        <v>10</v>
      </c>
      <c r="DL563">
        <v>20</v>
      </c>
      <c r="QG563">
        <v>4</v>
      </c>
      <c r="QS563">
        <v>30</v>
      </c>
      <c r="QT563">
        <v>10</v>
      </c>
      <c r="QY563">
        <v>20</v>
      </c>
      <c r="RT563">
        <v>8</v>
      </c>
      <c r="SF563">
        <v>30</v>
      </c>
      <c r="SG563">
        <v>10</v>
      </c>
      <c r="SL563">
        <v>20</v>
      </c>
    </row>
    <row r="564" spans="1:512" ht="18" customHeight="1" x14ac:dyDescent="0.25">
      <c r="B564" s="48" t="s">
        <v>535</v>
      </c>
      <c r="E564" t="s">
        <v>77</v>
      </c>
      <c r="AS564" s="68"/>
      <c r="CT564">
        <v>20</v>
      </c>
      <c r="CZ564">
        <v>2</v>
      </c>
      <c r="DA564">
        <v>10</v>
      </c>
      <c r="DF564">
        <v>25</v>
      </c>
      <c r="DG564">
        <v>10</v>
      </c>
      <c r="DH564">
        <v>20</v>
      </c>
      <c r="DL564">
        <v>30</v>
      </c>
      <c r="DQ564">
        <v>20</v>
      </c>
      <c r="QG564">
        <v>20</v>
      </c>
      <c r="QM564">
        <v>2</v>
      </c>
      <c r="QN564">
        <v>10</v>
      </c>
      <c r="QS564">
        <v>25</v>
      </c>
      <c r="QT564">
        <v>10</v>
      </c>
      <c r="QU564">
        <v>20</v>
      </c>
      <c r="QY564">
        <v>30</v>
      </c>
      <c r="RD564">
        <v>20</v>
      </c>
      <c r="RT564">
        <v>20</v>
      </c>
      <c r="RZ564">
        <v>2</v>
      </c>
      <c r="SA564">
        <v>10</v>
      </c>
      <c r="SF564">
        <v>25</v>
      </c>
      <c r="SG564">
        <v>10</v>
      </c>
      <c r="SH564">
        <v>20</v>
      </c>
      <c r="SL564">
        <v>30</v>
      </c>
      <c r="SQ564">
        <v>20</v>
      </c>
    </row>
    <row r="565" spans="1:512" ht="18" customHeight="1" x14ac:dyDescent="0.25">
      <c r="B565" s="48" t="s">
        <v>536</v>
      </c>
      <c r="E565" t="s">
        <v>77</v>
      </c>
      <c r="AS565" s="68"/>
      <c r="CQ565">
        <v>5</v>
      </c>
      <c r="CT565">
        <v>25</v>
      </c>
      <c r="CU565">
        <v>5</v>
      </c>
      <c r="DA565">
        <v>10</v>
      </c>
      <c r="DF565">
        <v>30</v>
      </c>
      <c r="DG565">
        <v>10</v>
      </c>
      <c r="DH565">
        <v>20</v>
      </c>
      <c r="DL565">
        <v>30</v>
      </c>
      <c r="QD565">
        <v>5</v>
      </c>
      <c r="QG565">
        <v>5</v>
      </c>
      <c r="QH565">
        <v>5</v>
      </c>
      <c r="QN565">
        <v>10</v>
      </c>
      <c r="QS565">
        <v>30</v>
      </c>
      <c r="QT565">
        <v>10</v>
      </c>
      <c r="QU565">
        <v>20</v>
      </c>
      <c r="QY565">
        <v>30</v>
      </c>
      <c r="RQ565">
        <v>5</v>
      </c>
      <c r="RT565">
        <v>25</v>
      </c>
      <c r="RU565">
        <v>5</v>
      </c>
      <c r="SA565">
        <v>10</v>
      </c>
      <c r="SF565">
        <v>30</v>
      </c>
      <c r="SG565">
        <v>10</v>
      </c>
      <c r="SH565">
        <v>20</v>
      </c>
      <c r="SL565">
        <v>30</v>
      </c>
    </row>
    <row r="566" spans="1:512" ht="18" customHeight="1" x14ac:dyDescent="0.25">
      <c r="B566" s="48" t="s">
        <v>537</v>
      </c>
      <c r="AS566" s="68"/>
      <c r="DA566">
        <v>2</v>
      </c>
      <c r="DF566">
        <v>5</v>
      </c>
      <c r="DQ566">
        <v>2</v>
      </c>
      <c r="QN566">
        <v>2</v>
      </c>
      <c r="QS566">
        <v>5</v>
      </c>
      <c r="RD566">
        <v>2</v>
      </c>
      <c r="SA566">
        <v>2</v>
      </c>
      <c r="SF566">
        <v>5</v>
      </c>
      <c r="SQ566">
        <v>2</v>
      </c>
    </row>
    <row r="567" spans="1:512" ht="18" customHeight="1" x14ac:dyDescent="0.25">
      <c r="B567" s="48" t="s">
        <v>538</v>
      </c>
      <c r="E567" t="s">
        <v>77</v>
      </c>
      <c r="AS567" s="68"/>
      <c r="CT567">
        <v>16</v>
      </c>
      <c r="DA567">
        <v>3</v>
      </c>
      <c r="DL567">
        <v>3</v>
      </c>
      <c r="DQ567">
        <v>2</v>
      </c>
      <c r="QG567">
        <v>20</v>
      </c>
      <c r="QN567">
        <v>3</v>
      </c>
      <c r="QY567">
        <v>3</v>
      </c>
      <c r="RD567">
        <v>2</v>
      </c>
      <c r="RT567">
        <v>30</v>
      </c>
      <c r="SA567">
        <v>3</v>
      </c>
      <c r="SL567">
        <v>3</v>
      </c>
      <c r="SQ567">
        <v>2</v>
      </c>
    </row>
    <row r="568" spans="1:512" ht="18" customHeight="1" x14ac:dyDescent="0.25">
      <c r="B568" s="48" t="s">
        <v>539</v>
      </c>
      <c r="AS568" s="68"/>
      <c r="CT568">
        <v>24</v>
      </c>
      <c r="DA568">
        <v>9</v>
      </c>
      <c r="DH568">
        <v>30</v>
      </c>
      <c r="DI568">
        <v>60</v>
      </c>
      <c r="DL568">
        <v>36</v>
      </c>
      <c r="DQ568">
        <v>6</v>
      </c>
      <c r="QG568">
        <v>24</v>
      </c>
      <c r="QN568">
        <v>9</v>
      </c>
      <c r="QU568">
        <v>30</v>
      </c>
      <c r="QV568">
        <v>60</v>
      </c>
      <c r="QY568">
        <v>36</v>
      </c>
      <c r="RD568">
        <v>6</v>
      </c>
      <c r="RT568">
        <v>24</v>
      </c>
      <c r="SA568">
        <v>9</v>
      </c>
      <c r="SH568">
        <v>30</v>
      </c>
      <c r="SI568">
        <v>60</v>
      </c>
      <c r="SL568">
        <v>36</v>
      </c>
      <c r="SQ568">
        <v>6</v>
      </c>
    </row>
    <row r="569" spans="1:512" ht="18" customHeight="1" x14ac:dyDescent="0.25">
      <c r="B569" s="48" t="s">
        <v>540</v>
      </c>
      <c r="AS569" s="68"/>
      <c r="CT569">
        <v>24</v>
      </c>
      <c r="DA569">
        <v>9</v>
      </c>
      <c r="DH569">
        <v>30</v>
      </c>
      <c r="DI569">
        <v>60</v>
      </c>
      <c r="DL569">
        <v>36</v>
      </c>
      <c r="DQ569">
        <v>6</v>
      </c>
      <c r="QG569">
        <v>24</v>
      </c>
      <c r="QN569">
        <v>9</v>
      </c>
      <c r="QU569">
        <v>30</v>
      </c>
      <c r="QV569">
        <v>60</v>
      </c>
      <c r="QY569">
        <v>36</v>
      </c>
      <c r="RD569">
        <v>6</v>
      </c>
      <c r="RT569">
        <v>24</v>
      </c>
      <c r="SA569">
        <v>9</v>
      </c>
      <c r="SH569">
        <v>30</v>
      </c>
      <c r="SI569">
        <v>60</v>
      </c>
      <c r="SL569">
        <v>36</v>
      </c>
      <c r="SQ569">
        <v>6</v>
      </c>
    </row>
    <row r="570" spans="1:512" ht="18" customHeight="1" x14ac:dyDescent="0.25">
      <c r="B570" s="49" t="s">
        <v>541</v>
      </c>
      <c r="E570" t="s">
        <v>77</v>
      </c>
      <c r="AS570" s="68"/>
      <c r="CT570">
        <v>9</v>
      </c>
      <c r="CZ570">
        <v>2</v>
      </c>
      <c r="DA570">
        <v>10</v>
      </c>
      <c r="DF570">
        <v>25</v>
      </c>
      <c r="DG570">
        <v>10</v>
      </c>
      <c r="DH570">
        <v>20</v>
      </c>
      <c r="DL570">
        <v>30</v>
      </c>
      <c r="DQ570">
        <v>20</v>
      </c>
      <c r="QG570">
        <v>8</v>
      </c>
      <c r="QM570">
        <v>2</v>
      </c>
      <c r="QN570">
        <v>10</v>
      </c>
      <c r="QS570">
        <v>25</v>
      </c>
      <c r="QT570">
        <v>10</v>
      </c>
      <c r="QU570">
        <v>20</v>
      </c>
      <c r="QY570">
        <v>30</v>
      </c>
      <c r="RD570">
        <v>20</v>
      </c>
      <c r="RT570">
        <v>10</v>
      </c>
      <c r="RZ570">
        <v>2</v>
      </c>
      <c r="SA570">
        <v>10</v>
      </c>
      <c r="SF570">
        <v>25</v>
      </c>
      <c r="SG570">
        <v>10</v>
      </c>
      <c r="SH570">
        <v>20</v>
      </c>
      <c r="SL570">
        <v>30</v>
      </c>
      <c r="SQ570">
        <v>20</v>
      </c>
    </row>
    <row r="571" spans="1:512" ht="18" customHeight="1" x14ac:dyDescent="0.25">
      <c r="B571" s="50" t="s">
        <v>542</v>
      </c>
      <c r="E571" t="s">
        <v>77</v>
      </c>
      <c r="AS571" s="68"/>
      <c r="CT571">
        <v>20</v>
      </c>
      <c r="QG571">
        <v>5</v>
      </c>
      <c r="RT571">
        <v>22</v>
      </c>
    </row>
    <row r="572" spans="1:512" ht="18" customHeight="1" x14ac:dyDescent="0.25">
      <c r="B572" s="50" t="s">
        <v>543</v>
      </c>
      <c r="E572" t="s">
        <v>77</v>
      </c>
      <c r="AS572" s="68"/>
      <c r="CT572">
        <v>5</v>
      </c>
      <c r="QG572">
        <v>3</v>
      </c>
      <c r="RT572">
        <v>8</v>
      </c>
    </row>
    <row r="573" spans="1:512" ht="18" customHeight="1" x14ac:dyDescent="0.25">
      <c r="B573" s="49" t="s">
        <v>544</v>
      </c>
      <c r="E573" t="s">
        <v>123</v>
      </c>
      <c r="AS573" s="68"/>
      <c r="CT573">
        <v>24</v>
      </c>
      <c r="DA573">
        <v>9</v>
      </c>
      <c r="DF573">
        <v>4</v>
      </c>
      <c r="DH573">
        <v>30</v>
      </c>
      <c r="DI573">
        <v>60</v>
      </c>
      <c r="DL573">
        <v>36</v>
      </c>
      <c r="DQ573">
        <v>6</v>
      </c>
      <c r="QG573">
        <v>24</v>
      </c>
      <c r="QN573">
        <v>9</v>
      </c>
      <c r="QS573">
        <v>2</v>
      </c>
      <c r="QU573">
        <v>30</v>
      </c>
      <c r="QV573">
        <v>60</v>
      </c>
      <c r="QY573">
        <v>36</v>
      </c>
      <c r="RD573">
        <v>6</v>
      </c>
      <c r="RT573">
        <v>24</v>
      </c>
      <c r="SA573">
        <v>9</v>
      </c>
      <c r="SF573">
        <v>4</v>
      </c>
      <c r="SH573">
        <v>30</v>
      </c>
      <c r="SI573">
        <v>60</v>
      </c>
      <c r="SL573">
        <v>36</v>
      </c>
      <c r="SQ573">
        <v>6</v>
      </c>
    </row>
    <row r="574" spans="1:512" ht="18" customHeight="1" x14ac:dyDescent="0.25">
      <c r="B574" s="49" t="s">
        <v>545</v>
      </c>
      <c r="E574" t="s">
        <v>123</v>
      </c>
      <c r="AS574" s="68"/>
      <c r="DF574">
        <v>30</v>
      </c>
      <c r="DG574">
        <v>10</v>
      </c>
      <c r="DL574">
        <v>20</v>
      </c>
      <c r="QS574">
        <v>30</v>
      </c>
      <c r="QT574">
        <v>10</v>
      </c>
      <c r="QY574">
        <v>20</v>
      </c>
      <c r="SF574">
        <v>30</v>
      </c>
      <c r="SG574">
        <v>10</v>
      </c>
      <c r="SL574">
        <v>20</v>
      </c>
    </row>
    <row r="575" spans="1:512" ht="18" customHeight="1" x14ac:dyDescent="0.25">
      <c r="B575" s="49" t="s">
        <v>546</v>
      </c>
      <c r="AS575" s="68"/>
      <c r="CT575">
        <v>16</v>
      </c>
      <c r="DA575">
        <v>3</v>
      </c>
      <c r="DL575">
        <v>3</v>
      </c>
      <c r="DQ575">
        <v>2</v>
      </c>
      <c r="QG575">
        <v>16</v>
      </c>
      <c r="QN575">
        <v>3</v>
      </c>
      <c r="QY575">
        <v>3</v>
      </c>
      <c r="RD575">
        <v>2</v>
      </c>
      <c r="RT575">
        <v>16</v>
      </c>
      <c r="SA575">
        <v>3</v>
      </c>
      <c r="SL575">
        <v>3</v>
      </c>
      <c r="SQ575">
        <v>2</v>
      </c>
    </row>
    <row r="576" spans="1:512" ht="18" customHeight="1" x14ac:dyDescent="0.25">
      <c r="B576" s="50" t="s">
        <v>547</v>
      </c>
      <c r="E576" t="s">
        <v>79</v>
      </c>
      <c r="AS576" s="68"/>
    </row>
    <row r="577" spans="2:511" ht="18" customHeight="1" x14ac:dyDescent="0.25">
      <c r="B577" s="50" t="s">
        <v>548</v>
      </c>
      <c r="E577" t="s">
        <v>85</v>
      </c>
      <c r="AS577" s="68"/>
      <c r="DL577">
        <v>2</v>
      </c>
      <c r="QY577">
        <v>1</v>
      </c>
      <c r="SL577">
        <v>2</v>
      </c>
    </row>
    <row r="578" spans="2:511" ht="18" customHeight="1" x14ac:dyDescent="0.25">
      <c r="B578" s="50" t="s">
        <v>549</v>
      </c>
      <c r="E578" t="s">
        <v>85</v>
      </c>
      <c r="AS578" s="68"/>
      <c r="DL578">
        <v>10</v>
      </c>
      <c r="QY578">
        <v>5</v>
      </c>
      <c r="SL578">
        <v>10</v>
      </c>
    </row>
    <row r="579" spans="2:511" ht="18" customHeight="1" x14ac:dyDescent="0.25">
      <c r="B579" s="50" t="s">
        <v>550</v>
      </c>
      <c r="E579" t="s">
        <v>85</v>
      </c>
      <c r="AS579" s="68"/>
      <c r="DL579">
        <v>4</v>
      </c>
      <c r="QY579">
        <v>2</v>
      </c>
      <c r="SL579">
        <v>4</v>
      </c>
    </row>
    <row r="580" spans="2:511" ht="18" customHeight="1" x14ac:dyDescent="0.25">
      <c r="B580" s="50" t="s">
        <v>551</v>
      </c>
      <c r="E580" t="s">
        <v>85</v>
      </c>
      <c r="AS580" s="68"/>
      <c r="DL580">
        <v>5</v>
      </c>
      <c r="QY580">
        <v>3</v>
      </c>
      <c r="SL580">
        <v>5</v>
      </c>
    </row>
    <row r="581" spans="2:511" ht="18" customHeight="1" x14ac:dyDescent="0.25">
      <c r="B581" s="50" t="s">
        <v>552</v>
      </c>
      <c r="E581" t="s">
        <v>85</v>
      </c>
      <c r="AS581" s="68"/>
      <c r="DL581">
        <v>2</v>
      </c>
      <c r="QY581">
        <v>1</v>
      </c>
      <c r="SL581">
        <v>2</v>
      </c>
    </row>
    <row r="582" spans="2:511" ht="18" customHeight="1" x14ac:dyDescent="0.25">
      <c r="B582" s="50" t="s">
        <v>553</v>
      </c>
      <c r="E582" t="s">
        <v>85</v>
      </c>
      <c r="AS582" s="68"/>
      <c r="DL582">
        <v>2</v>
      </c>
      <c r="QY582">
        <v>1</v>
      </c>
      <c r="SL582">
        <v>2</v>
      </c>
    </row>
    <row r="583" spans="2:511" ht="18" customHeight="1" x14ac:dyDescent="0.25">
      <c r="B583" s="50" t="s">
        <v>554</v>
      </c>
      <c r="E583" t="s">
        <v>85</v>
      </c>
      <c r="AS583" s="68"/>
      <c r="DL583">
        <v>2</v>
      </c>
      <c r="QY583">
        <v>1</v>
      </c>
      <c r="SL583">
        <v>2</v>
      </c>
    </row>
    <row r="584" spans="2:511" ht="18" customHeight="1" x14ac:dyDescent="0.25">
      <c r="B584" s="50" t="s">
        <v>555</v>
      </c>
      <c r="E584" t="s">
        <v>85</v>
      </c>
      <c r="AS584" s="68"/>
      <c r="DL584">
        <v>3</v>
      </c>
      <c r="QY584">
        <v>1</v>
      </c>
      <c r="SL584">
        <v>3</v>
      </c>
    </row>
    <row r="585" spans="2:511" ht="18" customHeight="1" x14ac:dyDescent="0.25">
      <c r="B585" s="50" t="s">
        <v>556</v>
      </c>
      <c r="E585" t="s">
        <v>85</v>
      </c>
      <c r="AS585" s="68"/>
      <c r="DL585">
        <v>4</v>
      </c>
      <c r="QY585">
        <v>2</v>
      </c>
      <c r="SL585">
        <v>4</v>
      </c>
    </row>
    <row r="586" spans="2:511" ht="18" customHeight="1" x14ac:dyDescent="0.25">
      <c r="B586" s="50" t="s">
        <v>557</v>
      </c>
      <c r="E586" t="s">
        <v>85</v>
      </c>
      <c r="AS586" s="68"/>
      <c r="DL586">
        <v>2</v>
      </c>
      <c r="QY586">
        <v>1</v>
      </c>
      <c r="SL586">
        <v>2</v>
      </c>
    </row>
    <row r="587" spans="2:511" ht="18" customHeight="1" x14ac:dyDescent="0.25">
      <c r="B587" s="50" t="s">
        <v>558</v>
      </c>
      <c r="E587" t="s">
        <v>85</v>
      </c>
      <c r="AS587" s="68"/>
      <c r="DL587">
        <v>2</v>
      </c>
      <c r="QY587">
        <v>1</v>
      </c>
      <c r="SL587">
        <v>2</v>
      </c>
    </row>
    <row r="588" spans="2:511" ht="18" customHeight="1" x14ac:dyDescent="0.25">
      <c r="B588" s="49" t="s">
        <v>559</v>
      </c>
      <c r="E588" t="s">
        <v>77</v>
      </c>
      <c r="AS588" s="68"/>
      <c r="CT588">
        <v>4</v>
      </c>
      <c r="DA588">
        <v>9</v>
      </c>
      <c r="DH588">
        <v>30</v>
      </c>
      <c r="DI588">
        <v>60</v>
      </c>
      <c r="DL588">
        <v>36</v>
      </c>
      <c r="DQ588">
        <v>6</v>
      </c>
      <c r="QG588">
        <v>3</v>
      </c>
      <c r="QN588">
        <v>9</v>
      </c>
      <c r="QU588">
        <v>30</v>
      </c>
      <c r="QV588">
        <v>60</v>
      </c>
      <c r="QY588">
        <v>36</v>
      </c>
      <c r="RD588">
        <v>6</v>
      </c>
      <c r="RT588">
        <v>5</v>
      </c>
      <c r="SA588">
        <v>9</v>
      </c>
      <c r="SH588">
        <v>30</v>
      </c>
      <c r="SI588">
        <v>60</v>
      </c>
      <c r="SL588">
        <v>36</v>
      </c>
      <c r="SQ588">
        <v>6</v>
      </c>
    </row>
    <row r="589" spans="2:511" ht="18" customHeight="1" x14ac:dyDescent="0.25">
      <c r="B589" s="49" t="s">
        <v>560</v>
      </c>
      <c r="E589" t="s">
        <v>81</v>
      </c>
      <c r="AS589" s="68"/>
      <c r="DA589">
        <v>2</v>
      </c>
      <c r="DF589">
        <v>5</v>
      </c>
      <c r="DQ589">
        <v>2</v>
      </c>
      <c r="QN589">
        <v>2</v>
      </c>
      <c r="QS589">
        <v>5</v>
      </c>
      <c r="RD589">
        <v>2</v>
      </c>
      <c r="SA589">
        <v>2</v>
      </c>
      <c r="SF589">
        <v>5</v>
      </c>
      <c r="SQ589">
        <v>2</v>
      </c>
    </row>
    <row r="590" spans="2:511" ht="18" customHeight="1" x14ac:dyDescent="0.25">
      <c r="B590" s="49" t="s">
        <v>561</v>
      </c>
      <c r="E590" t="s">
        <v>110</v>
      </c>
      <c r="AS590" s="68"/>
      <c r="CT590">
        <v>20</v>
      </c>
      <c r="CZ590">
        <v>2</v>
      </c>
      <c r="DA590">
        <v>10</v>
      </c>
      <c r="DF590">
        <v>25</v>
      </c>
      <c r="DG590">
        <v>10</v>
      </c>
      <c r="DH590">
        <v>20</v>
      </c>
      <c r="DL590">
        <v>30</v>
      </c>
      <c r="DQ590">
        <v>7</v>
      </c>
      <c r="QG590">
        <v>20</v>
      </c>
      <c r="QM590">
        <v>2</v>
      </c>
      <c r="QN590">
        <v>10</v>
      </c>
      <c r="QS590">
        <v>25</v>
      </c>
      <c r="QT590">
        <v>10</v>
      </c>
      <c r="QU590">
        <v>20</v>
      </c>
      <c r="QY590">
        <v>30</v>
      </c>
      <c r="RD590">
        <v>7</v>
      </c>
      <c r="RT590">
        <v>20</v>
      </c>
      <c r="RZ590">
        <v>2</v>
      </c>
      <c r="SA590">
        <v>10</v>
      </c>
      <c r="SF590">
        <v>25</v>
      </c>
      <c r="SG590">
        <v>10</v>
      </c>
      <c r="SH590">
        <v>20</v>
      </c>
      <c r="SL590">
        <v>30</v>
      </c>
      <c r="SQ590">
        <v>14</v>
      </c>
    </row>
    <row r="591" spans="2:511" ht="18" customHeight="1" x14ac:dyDescent="0.25">
      <c r="B591" s="49" t="s">
        <v>562</v>
      </c>
      <c r="E591" t="s">
        <v>79</v>
      </c>
      <c r="AS591" s="68"/>
      <c r="DA591">
        <v>15</v>
      </c>
      <c r="QN591">
        <v>8</v>
      </c>
      <c r="SA591">
        <v>15</v>
      </c>
    </row>
    <row r="592" spans="2:511" ht="18" customHeight="1" x14ac:dyDescent="0.25">
      <c r="B592" s="49" t="s">
        <v>563</v>
      </c>
      <c r="E592" t="s">
        <v>85</v>
      </c>
      <c r="AS592" s="68"/>
    </row>
    <row r="593" spans="2:511" ht="18" customHeight="1" x14ac:dyDescent="0.25">
      <c r="B593" s="49" t="s">
        <v>564</v>
      </c>
      <c r="E593" t="s">
        <v>123</v>
      </c>
      <c r="AS593" s="68"/>
      <c r="CT593">
        <v>24</v>
      </c>
      <c r="DA593">
        <v>9</v>
      </c>
      <c r="DH593">
        <v>30</v>
      </c>
      <c r="DI593">
        <v>60</v>
      </c>
      <c r="DL593">
        <v>36</v>
      </c>
      <c r="DQ593">
        <v>6</v>
      </c>
      <c r="QG593">
        <v>24</v>
      </c>
      <c r="QN593">
        <v>9</v>
      </c>
      <c r="QU593">
        <v>30</v>
      </c>
      <c r="QV593">
        <v>60</v>
      </c>
      <c r="QY593">
        <v>36</v>
      </c>
      <c r="RD593">
        <v>6</v>
      </c>
      <c r="RT593">
        <v>24</v>
      </c>
      <c r="SA593">
        <v>9</v>
      </c>
      <c r="SH593">
        <v>30</v>
      </c>
      <c r="SI593">
        <v>60</v>
      </c>
      <c r="SL593">
        <v>36</v>
      </c>
      <c r="SQ593">
        <v>6</v>
      </c>
    </row>
    <row r="594" spans="2:511" ht="18" customHeight="1" x14ac:dyDescent="0.25">
      <c r="B594" s="49" t="s">
        <v>565</v>
      </c>
      <c r="E594" t="s">
        <v>77</v>
      </c>
      <c r="AS594" s="68"/>
      <c r="CT594">
        <v>15</v>
      </c>
      <c r="QG594">
        <v>15</v>
      </c>
      <c r="RT594">
        <v>20</v>
      </c>
    </row>
    <row r="595" spans="2:511" ht="18" customHeight="1" x14ac:dyDescent="0.25">
      <c r="B595" s="49" t="s">
        <v>566</v>
      </c>
      <c r="E595" t="s">
        <v>123</v>
      </c>
      <c r="AS595" s="68"/>
    </row>
    <row r="596" spans="2:511" ht="18" customHeight="1" x14ac:dyDescent="0.25">
      <c r="B596" s="49" t="s">
        <v>567</v>
      </c>
      <c r="E596" t="s">
        <v>110</v>
      </c>
      <c r="AS596" s="68"/>
      <c r="CT596">
        <v>20</v>
      </c>
      <c r="CZ596">
        <v>2</v>
      </c>
      <c r="DA596">
        <v>10</v>
      </c>
      <c r="DF596">
        <v>25</v>
      </c>
      <c r="DG596">
        <v>10</v>
      </c>
      <c r="DH596">
        <v>20</v>
      </c>
      <c r="DL596">
        <v>30</v>
      </c>
      <c r="DQ596">
        <v>20</v>
      </c>
      <c r="QG596">
        <v>20</v>
      </c>
      <c r="QM596">
        <v>2</v>
      </c>
      <c r="QN596">
        <v>10</v>
      </c>
      <c r="QS596">
        <v>25</v>
      </c>
      <c r="QT596">
        <v>10</v>
      </c>
      <c r="QU596">
        <v>20</v>
      </c>
      <c r="QY596">
        <v>30</v>
      </c>
      <c r="RD596">
        <v>20</v>
      </c>
      <c r="RT596">
        <v>20</v>
      </c>
      <c r="RZ596">
        <v>2</v>
      </c>
      <c r="SA596">
        <v>10</v>
      </c>
      <c r="SF596">
        <v>25</v>
      </c>
      <c r="SG596">
        <v>10</v>
      </c>
      <c r="SH596">
        <v>20</v>
      </c>
      <c r="SL596">
        <v>30</v>
      </c>
      <c r="SQ596">
        <v>20</v>
      </c>
    </row>
    <row r="597" spans="2:511" ht="18" customHeight="1" x14ac:dyDescent="0.25">
      <c r="B597" s="49" t="s">
        <v>568</v>
      </c>
      <c r="E597" t="s">
        <v>123</v>
      </c>
      <c r="AS597" s="68"/>
      <c r="CT597">
        <v>24</v>
      </c>
      <c r="DA597">
        <v>9</v>
      </c>
      <c r="DF597">
        <v>20</v>
      </c>
      <c r="DH597">
        <v>30</v>
      </c>
      <c r="DI597">
        <v>60</v>
      </c>
      <c r="DL597">
        <v>36</v>
      </c>
      <c r="DQ597">
        <v>6</v>
      </c>
      <c r="QG597">
        <v>24</v>
      </c>
      <c r="QN597">
        <v>9</v>
      </c>
      <c r="QS597">
        <v>10</v>
      </c>
      <c r="QU597">
        <v>30</v>
      </c>
      <c r="QV597">
        <v>60</v>
      </c>
      <c r="QY597">
        <v>36</v>
      </c>
      <c r="RD597">
        <v>6</v>
      </c>
      <c r="RT597">
        <v>24</v>
      </c>
      <c r="SA597">
        <v>9</v>
      </c>
      <c r="SF597">
        <v>20</v>
      </c>
      <c r="SH597">
        <v>30</v>
      </c>
      <c r="SI597">
        <v>60</v>
      </c>
      <c r="SL597">
        <v>36</v>
      </c>
      <c r="SQ597">
        <v>6</v>
      </c>
    </row>
    <row r="598" spans="2:511" ht="18" customHeight="1" x14ac:dyDescent="0.25">
      <c r="B598" s="49" t="s">
        <v>569</v>
      </c>
      <c r="E598" t="s">
        <v>131</v>
      </c>
      <c r="AS598" s="68"/>
    </row>
    <row r="599" spans="2:511" ht="18" customHeight="1" x14ac:dyDescent="0.25">
      <c r="B599" s="50" t="s">
        <v>570</v>
      </c>
      <c r="E599" t="s">
        <v>81</v>
      </c>
      <c r="AS599" s="68"/>
    </row>
    <row r="600" spans="2:511" ht="18" customHeight="1" x14ac:dyDescent="0.25">
      <c r="B600" s="49" t="s">
        <v>571</v>
      </c>
      <c r="E600" t="s">
        <v>123</v>
      </c>
      <c r="AS600" s="68"/>
      <c r="CT600">
        <v>20</v>
      </c>
      <c r="CZ600">
        <v>2</v>
      </c>
      <c r="DA600">
        <v>10</v>
      </c>
      <c r="DF600">
        <v>5</v>
      </c>
      <c r="DG600">
        <v>10</v>
      </c>
      <c r="DH600">
        <v>20</v>
      </c>
      <c r="DL600">
        <v>30</v>
      </c>
      <c r="DQ600">
        <v>20</v>
      </c>
      <c r="QG600">
        <v>20</v>
      </c>
      <c r="QM600">
        <v>2</v>
      </c>
      <c r="QN600">
        <v>10</v>
      </c>
      <c r="QS600">
        <v>3</v>
      </c>
      <c r="QT600">
        <v>10</v>
      </c>
      <c r="QU600">
        <v>20</v>
      </c>
      <c r="QY600">
        <v>30</v>
      </c>
      <c r="RD600">
        <v>20</v>
      </c>
      <c r="RT600">
        <v>20</v>
      </c>
      <c r="RZ600">
        <v>2</v>
      </c>
      <c r="SA600">
        <v>10</v>
      </c>
      <c r="SF600">
        <v>5</v>
      </c>
      <c r="SG600">
        <v>10</v>
      </c>
      <c r="SH600">
        <v>20</v>
      </c>
      <c r="SL600">
        <v>30</v>
      </c>
      <c r="SQ600">
        <v>20</v>
      </c>
    </row>
    <row r="601" spans="2:511" ht="18" customHeight="1" x14ac:dyDescent="0.25">
      <c r="B601" s="50" t="s">
        <v>572</v>
      </c>
      <c r="E601" t="s">
        <v>81</v>
      </c>
      <c r="AS601" s="68"/>
    </row>
    <row r="602" spans="2:511" ht="18" customHeight="1" x14ac:dyDescent="0.25">
      <c r="B602" s="49" t="s">
        <v>573</v>
      </c>
      <c r="E602" t="s">
        <v>85</v>
      </c>
      <c r="AS602" s="68"/>
      <c r="CT602">
        <v>24</v>
      </c>
      <c r="DA602">
        <v>9</v>
      </c>
      <c r="DH602">
        <v>30</v>
      </c>
      <c r="DI602">
        <v>60</v>
      </c>
      <c r="DL602">
        <v>36</v>
      </c>
      <c r="DQ602">
        <v>6</v>
      </c>
      <c r="QG602">
        <v>24</v>
      </c>
      <c r="QN602">
        <v>9</v>
      </c>
      <c r="QU602">
        <v>30</v>
      </c>
      <c r="QV602">
        <v>60</v>
      </c>
      <c r="QY602">
        <v>36</v>
      </c>
      <c r="RD602">
        <v>6</v>
      </c>
      <c r="RT602">
        <v>24</v>
      </c>
      <c r="SA602">
        <v>9</v>
      </c>
      <c r="SH602">
        <v>30</v>
      </c>
      <c r="SI602">
        <v>60</v>
      </c>
      <c r="SL602">
        <v>36</v>
      </c>
      <c r="SQ602">
        <v>6</v>
      </c>
    </row>
    <row r="603" spans="2:511" ht="18" customHeight="1" x14ac:dyDescent="0.25">
      <c r="B603" s="49" t="s">
        <v>574</v>
      </c>
      <c r="E603" t="s">
        <v>85</v>
      </c>
      <c r="AS603" s="68"/>
      <c r="DL603">
        <v>2</v>
      </c>
      <c r="QY603">
        <v>1</v>
      </c>
      <c r="SL603">
        <v>2</v>
      </c>
    </row>
    <row r="604" spans="2:511" ht="18" customHeight="1" x14ac:dyDescent="0.25">
      <c r="B604" s="49" t="s">
        <v>575</v>
      </c>
      <c r="E604" t="s">
        <v>77</v>
      </c>
      <c r="AS604" s="68"/>
      <c r="CT604">
        <v>4</v>
      </c>
      <c r="DF604">
        <v>30</v>
      </c>
      <c r="DG604">
        <v>10</v>
      </c>
      <c r="DL604">
        <v>20</v>
      </c>
      <c r="QG604">
        <v>2</v>
      </c>
      <c r="QS604">
        <v>30</v>
      </c>
      <c r="QT604">
        <v>10</v>
      </c>
      <c r="QY604">
        <v>20</v>
      </c>
      <c r="RT604">
        <v>6</v>
      </c>
      <c r="SF604">
        <v>30</v>
      </c>
      <c r="SG604">
        <v>10</v>
      </c>
      <c r="SL604">
        <v>20</v>
      </c>
    </row>
    <row r="605" spans="2:511" ht="18" customHeight="1" x14ac:dyDescent="0.25">
      <c r="B605" s="49" t="s">
        <v>576</v>
      </c>
      <c r="E605" t="s">
        <v>85</v>
      </c>
      <c r="AS605" s="68"/>
      <c r="CT605">
        <v>16</v>
      </c>
      <c r="DA605">
        <v>3</v>
      </c>
      <c r="DL605">
        <v>3</v>
      </c>
      <c r="DQ605">
        <v>2</v>
      </c>
      <c r="QG605">
        <v>16</v>
      </c>
      <c r="QN605">
        <v>3</v>
      </c>
      <c r="QY605">
        <v>2</v>
      </c>
      <c r="RD605">
        <v>2</v>
      </c>
      <c r="RT605">
        <v>16</v>
      </c>
      <c r="SA605">
        <v>3</v>
      </c>
      <c r="SL605">
        <v>3</v>
      </c>
      <c r="SQ605">
        <v>2</v>
      </c>
    </row>
    <row r="606" spans="2:511" ht="18" customHeight="1" x14ac:dyDescent="0.25">
      <c r="B606" s="49" t="s">
        <v>577</v>
      </c>
      <c r="E606" t="s">
        <v>79</v>
      </c>
      <c r="AS606" s="68"/>
      <c r="CT606">
        <v>20</v>
      </c>
      <c r="CZ606">
        <v>2</v>
      </c>
      <c r="DA606">
        <v>5</v>
      </c>
      <c r="DF606">
        <v>25</v>
      </c>
      <c r="DG606">
        <v>10</v>
      </c>
      <c r="DH606">
        <v>20</v>
      </c>
      <c r="DL606">
        <v>30</v>
      </c>
      <c r="DQ606">
        <v>20</v>
      </c>
      <c r="QG606">
        <v>20</v>
      </c>
      <c r="QM606">
        <v>2</v>
      </c>
      <c r="QN606">
        <v>8</v>
      </c>
      <c r="QS606">
        <v>25</v>
      </c>
      <c r="QT606">
        <v>10</v>
      </c>
      <c r="QU606">
        <v>20</v>
      </c>
      <c r="QY606">
        <v>30</v>
      </c>
      <c r="RD606">
        <v>20</v>
      </c>
      <c r="RT606">
        <v>20</v>
      </c>
      <c r="RZ606">
        <v>2</v>
      </c>
      <c r="SA606">
        <v>15</v>
      </c>
      <c r="SF606">
        <v>25</v>
      </c>
      <c r="SG606">
        <v>10</v>
      </c>
      <c r="SH606">
        <v>20</v>
      </c>
      <c r="SL606">
        <v>30</v>
      </c>
      <c r="SQ606">
        <v>20</v>
      </c>
    </row>
    <row r="607" spans="2:511" ht="18" customHeight="1" x14ac:dyDescent="0.25">
      <c r="B607" s="50" t="s">
        <v>578</v>
      </c>
      <c r="E607" t="s">
        <v>79</v>
      </c>
      <c r="AS607" s="68"/>
      <c r="DA607">
        <v>7</v>
      </c>
      <c r="QN607">
        <v>5</v>
      </c>
      <c r="SA607">
        <v>10</v>
      </c>
    </row>
    <row r="608" spans="2:511" ht="18" customHeight="1" x14ac:dyDescent="0.25">
      <c r="B608" s="49" t="s">
        <v>579</v>
      </c>
      <c r="AS608" s="68"/>
      <c r="CT608">
        <v>24</v>
      </c>
      <c r="DA608">
        <v>9</v>
      </c>
      <c r="DH608">
        <v>30</v>
      </c>
      <c r="DI608">
        <v>60</v>
      </c>
      <c r="DL608">
        <v>36</v>
      </c>
      <c r="DQ608">
        <v>6</v>
      </c>
      <c r="QG608">
        <v>24</v>
      </c>
      <c r="QN608">
        <v>9</v>
      </c>
      <c r="QU608">
        <v>30</v>
      </c>
      <c r="QV608">
        <v>60</v>
      </c>
      <c r="QY608">
        <v>36</v>
      </c>
      <c r="RD608">
        <v>6</v>
      </c>
      <c r="RT608">
        <v>24</v>
      </c>
      <c r="SA608">
        <v>9</v>
      </c>
      <c r="SH608">
        <v>30</v>
      </c>
      <c r="SI608">
        <v>60</v>
      </c>
      <c r="SL608">
        <v>36</v>
      </c>
      <c r="SQ608">
        <v>6</v>
      </c>
    </row>
    <row r="609" spans="2:511" ht="18" customHeight="1" x14ac:dyDescent="0.25">
      <c r="B609" s="49" t="s">
        <v>579</v>
      </c>
      <c r="AS609" s="68"/>
      <c r="CT609">
        <v>24</v>
      </c>
      <c r="DA609">
        <v>9</v>
      </c>
      <c r="DH609">
        <v>30</v>
      </c>
      <c r="DI609">
        <v>60</v>
      </c>
      <c r="DL609">
        <v>36</v>
      </c>
      <c r="DQ609">
        <v>6</v>
      </c>
      <c r="QG609">
        <v>24</v>
      </c>
      <c r="QN609">
        <v>9</v>
      </c>
      <c r="QU609">
        <v>30</v>
      </c>
      <c r="QV609">
        <v>60</v>
      </c>
      <c r="QY609">
        <v>36</v>
      </c>
      <c r="RD609">
        <v>6</v>
      </c>
      <c r="RT609">
        <v>24</v>
      </c>
      <c r="SA609">
        <v>9</v>
      </c>
      <c r="SH609">
        <v>30</v>
      </c>
      <c r="SI609">
        <v>60</v>
      </c>
      <c r="SL609">
        <v>36</v>
      </c>
      <c r="SQ609">
        <v>6</v>
      </c>
    </row>
    <row r="610" spans="2:511" ht="18" customHeight="1" x14ac:dyDescent="0.25">
      <c r="B610" s="50" t="s">
        <v>580</v>
      </c>
      <c r="E610" t="s">
        <v>85</v>
      </c>
      <c r="AS610" s="68"/>
      <c r="CT610">
        <v>24</v>
      </c>
      <c r="DA610">
        <v>9</v>
      </c>
      <c r="DH610">
        <v>30</v>
      </c>
      <c r="DI610">
        <v>60</v>
      </c>
      <c r="DL610">
        <v>5</v>
      </c>
      <c r="DQ610">
        <v>6</v>
      </c>
      <c r="QG610">
        <v>24</v>
      </c>
      <c r="QN610">
        <v>9</v>
      </c>
      <c r="QU610">
        <v>30</v>
      </c>
      <c r="QV610">
        <v>60</v>
      </c>
      <c r="QY610">
        <v>3</v>
      </c>
      <c r="RD610">
        <v>6</v>
      </c>
      <c r="RT610">
        <v>24</v>
      </c>
      <c r="SA610">
        <v>9</v>
      </c>
      <c r="SH610">
        <v>30</v>
      </c>
      <c r="SI610">
        <v>60</v>
      </c>
      <c r="SL610">
        <v>5</v>
      </c>
      <c r="SQ610">
        <v>6</v>
      </c>
    </row>
    <row r="611" spans="2:511" ht="18" customHeight="1" x14ac:dyDescent="0.25">
      <c r="B611" s="50" t="s">
        <v>581</v>
      </c>
      <c r="E611" t="s">
        <v>85</v>
      </c>
      <c r="AS611" s="68"/>
      <c r="DL611">
        <v>2</v>
      </c>
      <c r="QY611">
        <v>1</v>
      </c>
      <c r="SL611">
        <v>2</v>
      </c>
    </row>
    <row r="612" spans="2:511" ht="18" customHeight="1" x14ac:dyDescent="0.25">
      <c r="B612" s="50" t="s">
        <v>582</v>
      </c>
      <c r="E612" t="s">
        <v>85</v>
      </c>
      <c r="AS612" s="68"/>
      <c r="CT612">
        <v>24</v>
      </c>
      <c r="DA612">
        <v>9</v>
      </c>
      <c r="DH612">
        <v>30</v>
      </c>
      <c r="DI612">
        <v>60</v>
      </c>
      <c r="DL612">
        <v>4</v>
      </c>
      <c r="DQ612">
        <v>6</v>
      </c>
      <c r="QG612">
        <v>24</v>
      </c>
      <c r="QN612">
        <v>9</v>
      </c>
      <c r="QU612">
        <v>30</v>
      </c>
      <c r="QV612">
        <v>60</v>
      </c>
      <c r="QY612">
        <v>2</v>
      </c>
      <c r="RD612">
        <v>6</v>
      </c>
      <c r="RT612">
        <v>24</v>
      </c>
      <c r="SA612">
        <v>9</v>
      </c>
      <c r="SH612">
        <v>30</v>
      </c>
      <c r="SI612">
        <v>60</v>
      </c>
      <c r="SL612">
        <v>4</v>
      </c>
      <c r="SQ612">
        <v>6</v>
      </c>
    </row>
    <row r="613" spans="2:511" ht="18" customHeight="1" x14ac:dyDescent="0.25">
      <c r="B613" s="50" t="s">
        <v>583</v>
      </c>
      <c r="E613" t="s">
        <v>85</v>
      </c>
      <c r="AS613" s="68"/>
      <c r="CT613">
        <v>24</v>
      </c>
      <c r="DA613">
        <v>9</v>
      </c>
      <c r="DH613">
        <v>30</v>
      </c>
      <c r="DI613">
        <v>60</v>
      </c>
      <c r="DL613">
        <v>2</v>
      </c>
      <c r="DQ613">
        <v>6</v>
      </c>
      <c r="QG613">
        <v>24</v>
      </c>
      <c r="QN613">
        <v>9</v>
      </c>
      <c r="QU613">
        <v>30</v>
      </c>
      <c r="QV613">
        <v>60</v>
      </c>
      <c r="QY613">
        <v>1</v>
      </c>
      <c r="RD613">
        <v>6</v>
      </c>
      <c r="RT613">
        <v>24</v>
      </c>
      <c r="SA613">
        <v>9</v>
      </c>
      <c r="SH613">
        <v>30</v>
      </c>
      <c r="SI613">
        <v>60</v>
      </c>
      <c r="SL613">
        <v>2</v>
      </c>
      <c r="SQ613">
        <v>6</v>
      </c>
    </row>
    <row r="614" spans="2:511" ht="18" customHeight="1" x14ac:dyDescent="0.25">
      <c r="B614" s="50" t="s">
        <v>584</v>
      </c>
      <c r="E614" t="s">
        <v>85</v>
      </c>
      <c r="AS614" s="68"/>
      <c r="DL614">
        <v>5</v>
      </c>
      <c r="QY614">
        <v>3</v>
      </c>
      <c r="SL614">
        <v>5</v>
      </c>
    </row>
    <row r="615" spans="2:511" ht="18" customHeight="1" x14ac:dyDescent="0.25">
      <c r="B615" s="50" t="s">
        <v>585</v>
      </c>
      <c r="E615" t="s">
        <v>85</v>
      </c>
      <c r="AS615" s="68"/>
      <c r="DL615">
        <v>8</v>
      </c>
      <c r="QY615">
        <v>5</v>
      </c>
      <c r="SL615">
        <v>8</v>
      </c>
    </row>
    <row r="616" spans="2:511" ht="18" customHeight="1" x14ac:dyDescent="0.25">
      <c r="B616" s="50" t="s">
        <v>586</v>
      </c>
      <c r="E616" t="s">
        <v>85</v>
      </c>
      <c r="AS616" s="68"/>
      <c r="CT616">
        <v>24</v>
      </c>
      <c r="DA616">
        <v>9</v>
      </c>
      <c r="DH616">
        <v>30</v>
      </c>
      <c r="DI616">
        <v>60</v>
      </c>
      <c r="DL616">
        <v>10</v>
      </c>
      <c r="DQ616">
        <v>6</v>
      </c>
      <c r="QG616">
        <v>24</v>
      </c>
      <c r="QN616">
        <v>9</v>
      </c>
      <c r="QU616">
        <v>30</v>
      </c>
      <c r="QV616">
        <v>60</v>
      </c>
      <c r="QY616">
        <v>5</v>
      </c>
      <c r="RD616">
        <v>6</v>
      </c>
      <c r="RT616">
        <v>24</v>
      </c>
      <c r="SA616">
        <v>9</v>
      </c>
      <c r="SH616">
        <v>30</v>
      </c>
      <c r="SI616">
        <v>60</v>
      </c>
      <c r="SL616">
        <v>10</v>
      </c>
      <c r="SQ616">
        <v>6</v>
      </c>
    </row>
    <row r="617" spans="2:511" ht="18" customHeight="1" x14ac:dyDescent="0.25">
      <c r="B617" s="50" t="s">
        <v>587</v>
      </c>
      <c r="E617" t="s">
        <v>85</v>
      </c>
      <c r="AS617" s="68"/>
      <c r="DL617">
        <v>10</v>
      </c>
      <c r="QY617">
        <v>5</v>
      </c>
      <c r="SL617">
        <v>10</v>
      </c>
    </row>
    <row r="618" spans="2:511" ht="18" customHeight="1" x14ac:dyDescent="0.25">
      <c r="B618" s="50" t="s">
        <v>588</v>
      </c>
      <c r="E618" t="s">
        <v>85</v>
      </c>
      <c r="AS618" s="68"/>
      <c r="CT618">
        <v>24</v>
      </c>
      <c r="DA618">
        <v>9</v>
      </c>
      <c r="DH618">
        <v>30</v>
      </c>
      <c r="DI618">
        <v>60</v>
      </c>
      <c r="DL618">
        <v>2</v>
      </c>
      <c r="DQ618">
        <v>6</v>
      </c>
      <c r="QG618">
        <v>24</v>
      </c>
      <c r="QN618">
        <v>9</v>
      </c>
      <c r="QU618">
        <v>30</v>
      </c>
      <c r="QV618">
        <v>60</v>
      </c>
      <c r="QY618">
        <v>1</v>
      </c>
      <c r="RD618">
        <v>6</v>
      </c>
      <c r="RT618">
        <v>24</v>
      </c>
      <c r="SA618">
        <v>9</v>
      </c>
      <c r="SH618">
        <v>30</v>
      </c>
      <c r="SI618">
        <v>60</v>
      </c>
      <c r="SL618">
        <v>2</v>
      </c>
      <c r="SQ618">
        <v>6</v>
      </c>
    </row>
    <row r="619" spans="2:511" ht="18" customHeight="1" x14ac:dyDescent="0.25">
      <c r="B619" s="50" t="s">
        <v>589</v>
      </c>
      <c r="E619" t="s">
        <v>85</v>
      </c>
      <c r="AS619" s="68"/>
      <c r="CT619">
        <v>24</v>
      </c>
      <c r="DA619">
        <v>9</v>
      </c>
      <c r="DH619">
        <v>30</v>
      </c>
      <c r="DI619">
        <v>60</v>
      </c>
      <c r="DL619">
        <v>10</v>
      </c>
      <c r="DQ619">
        <v>6</v>
      </c>
      <c r="QG619">
        <v>24</v>
      </c>
      <c r="QN619">
        <v>9</v>
      </c>
      <c r="QU619">
        <v>30</v>
      </c>
      <c r="QV619">
        <v>60</v>
      </c>
      <c r="QY619">
        <v>5</v>
      </c>
      <c r="RD619">
        <v>6</v>
      </c>
      <c r="RT619">
        <v>24</v>
      </c>
      <c r="SA619">
        <v>9</v>
      </c>
      <c r="SH619">
        <v>30</v>
      </c>
      <c r="SI619">
        <v>60</v>
      </c>
      <c r="SL619">
        <v>10</v>
      </c>
      <c r="SQ619">
        <v>6</v>
      </c>
    </row>
    <row r="620" spans="2:511" ht="18" customHeight="1" x14ac:dyDescent="0.25">
      <c r="B620" s="50" t="s">
        <v>590</v>
      </c>
      <c r="E620" t="s">
        <v>85</v>
      </c>
      <c r="AS620" s="68"/>
      <c r="DL620">
        <v>10</v>
      </c>
      <c r="QY620">
        <v>5</v>
      </c>
      <c r="SL620">
        <v>10</v>
      </c>
    </row>
    <row r="621" spans="2:511" ht="18" customHeight="1" x14ac:dyDescent="0.25">
      <c r="B621" s="50" t="s">
        <v>591</v>
      </c>
      <c r="E621" t="s">
        <v>85</v>
      </c>
      <c r="AS621" s="68"/>
      <c r="CT621">
        <v>24</v>
      </c>
      <c r="DA621">
        <v>9</v>
      </c>
      <c r="DH621">
        <v>30</v>
      </c>
      <c r="DI621">
        <v>60</v>
      </c>
      <c r="DL621">
        <v>10</v>
      </c>
      <c r="DQ621">
        <v>6</v>
      </c>
      <c r="QG621">
        <v>24</v>
      </c>
      <c r="QN621">
        <v>9</v>
      </c>
      <c r="QU621">
        <v>30</v>
      </c>
      <c r="QV621">
        <v>60</v>
      </c>
      <c r="QY621">
        <v>5</v>
      </c>
      <c r="RD621">
        <v>6</v>
      </c>
      <c r="RT621">
        <v>24</v>
      </c>
      <c r="SA621">
        <v>9</v>
      </c>
      <c r="SH621">
        <v>30</v>
      </c>
      <c r="SI621">
        <v>60</v>
      </c>
      <c r="SL621">
        <v>10</v>
      </c>
      <c r="SQ621">
        <v>6</v>
      </c>
    </row>
    <row r="622" spans="2:511" ht="18" customHeight="1" x14ac:dyDescent="0.25">
      <c r="B622" s="50" t="s">
        <v>592</v>
      </c>
      <c r="E622" t="s">
        <v>85</v>
      </c>
      <c r="AS622" s="68"/>
      <c r="CT622">
        <v>24</v>
      </c>
      <c r="DA622">
        <v>9</v>
      </c>
      <c r="DH622">
        <v>30</v>
      </c>
      <c r="DI622">
        <v>60</v>
      </c>
      <c r="DL622">
        <v>4</v>
      </c>
      <c r="DQ622">
        <v>6</v>
      </c>
      <c r="QG622">
        <v>24</v>
      </c>
      <c r="QN622">
        <v>9</v>
      </c>
      <c r="QU622">
        <v>30</v>
      </c>
      <c r="QV622">
        <v>60</v>
      </c>
      <c r="QY622">
        <v>2</v>
      </c>
      <c r="RD622">
        <v>6</v>
      </c>
      <c r="RT622">
        <v>24</v>
      </c>
      <c r="SA622">
        <v>9</v>
      </c>
      <c r="SH622">
        <v>30</v>
      </c>
      <c r="SI622">
        <v>60</v>
      </c>
      <c r="SL622">
        <v>4</v>
      </c>
      <c r="SQ622">
        <v>6</v>
      </c>
    </row>
    <row r="623" spans="2:511" ht="18" customHeight="1" x14ac:dyDescent="0.25">
      <c r="B623" s="50" t="s">
        <v>593</v>
      </c>
      <c r="E623" t="s">
        <v>85</v>
      </c>
      <c r="AS623" s="68"/>
      <c r="DL623">
        <v>4</v>
      </c>
      <c r="QY623">
        <v>2</v>
      </c>
      <c r="SL623">
        <v>4</v>
      </c>
    </row>
    <row r="624" spans="2:511" ht="18" customHeight="1" x14ac:dyDescent="0.25">
      <c r="B624" s="50" t="s">
        <v>594</v>
      </c>
      <c r="E624" t="s">
        <v>85</v>
      </c>
      <c r="AS624" s="68"/>
      <c r="DL624">
        <v>10</v>
      </c>
      <c r="QY624">
        <v>5</v>
      </c>
      <c r="SL624">
        <v>10</v>
      </c>
    </row>
    <row r="625" spans="2:511" ht="18" customHeight="1" x14ac:dyDescent="0.25">
      <c r="B625" s="50" t="s">
        <v>595</v>
      </c>
      <c r="E625" t="s">
        <v>85</v>
      </c>
      <c r="AS625" s="68"/>
      <c r="DL625">
        <v>4</v>
      </c>
      <c r="QY625">
        <v>2</v>
      </c>
      <c r="SL625">
        <v>4</v>
      </c>
    </row>
    <row r="626" spans="2:511" ht="18" customHeight="1" x14ac:dyDescent="0.25">
      <c r="B626" s="49" t="s">
        <v>596</v>
      </c>
      <c r="E626" t="s">
        <v>85</v>
      </c>
      <c r="AS626" s="68"/>
      <c r="CT626">
        <v>20</v>
      </c>
      <c r="CZ626">
        <v>2</v>
      </c>
      <c r="DA626">
        <v>10</v>
      </c>
      <c r="DF626">
        <v>25</v>
      </c>
      <c r="DG626">
        <v>10</v>
      </c>
      <c r="DH626">
        <v>20</v>
      </c>
      <c r="DL626">
        <v>3</v>
      </c>
      <c r="DQ626">
        <v>20</v>
      </c>
      <c r="QG626">
        <v>20</v>
      </c>
      <c r="QM626">
        <v>2</v>
      </c>
      <c r="QN626">
        <v>10</v>
      </c>
      <c r="QS626">
        <v>25</v>
      </c>
      <c r="QT626">
        <v>10</v>
      </c>
      <c r="QU626">
        <v>20</v>
      </c>
      <c r="QY626">
        <v>2</v>
      </c>
      <c r="RD626">
        <v>20</v>
      </c>
      <c r="RT626">
        <v>20</v>
      </c>
      <c r="RZ626">
        <v>2</v>
      </c>
      <c r="SA626">
        <v>10</v>
      </c>
      <c r="SF626">
        <v>25</v>
      </c>
      <c r="SG626">
        <v>10</v>
      </c>
      <c r="SH626">
        <v>20</v>
      </c>
      <c r="SL626">
        <v>3</v>
      </c>
      <c r="SQ626">
        <v>20</v>
      </c>
    </row>
    <row r="627" spans="2:511" ht="18" customHeight="1" x14ac:dyDescent="0.25">
      <c r="B627" s="49" t="s">
        <v>597</v>
      </c>
      <c r="E627" t="s">
        <v>110</v>
      </c>
      <c r="AS627" s="68"/>
      <c r="CQ627">
        <v>5</v>
      </c>
      <c r="CT627">
        <v>30</v>
      </c>
      <c r="CU627">
        <v>5</v>
      </c>
      <c r="DA627">
        <v>10</v>
      </c>
      <c r="DF627">
        <v>30</v>
      </c>
      <c r="DG627">
        <v>10</v>
      </c>
      <c r="DH627">
        <v>20</v>
      </c>
      <c r="DL627">
        <v>30</v>
      </c>
      <c r="DQ627">
        <v>5</v>
      </c>
      <c r="QD627">
        <v>5</v>
      </c>
      <c r="QG627">
        <v>30</v>
      </c>
      <c r="QH627">
        <v>5</v>
      </c>
      <c r="QN627">
        <v>10</v>
      </c>
      <c r="QS627">
        <v>30</v>
      </c>
      <c r="QT627">
        <v>10</v>
      </c>
      <c r="QU627">
        <v>20</v>
      </c>
      <c r="QY627">
        <v>30</v>
      </c>
      <c r="RD627">
        <v>7</v>
      </c>
      <c r="RQ627">
        <v>5</v>
      </c>
      <c r="RT627">
        <v>30</v>
      </c>
      <c r="RU627">
        <v>5</v>
      </c>
      <c r="SA627">
        <v>10</v>
      </c>
      <c r="SF627">
        <v>30</v>
      </c>
      <c r="SG627">
        <v>10</v>
      </c>
      <c r="SH627">
        <v>20</v>
      </c>
      <c r="SL627">
        <v>30</v>
      </c>
      <c r="SQ627">
        <v>10</v>
      </c>
    </row>
    <row r="628" spans="2:511" ht="18" customHeight="1" x14ac:dyDescent="0.25">
      <c r="B628" s="49" t="s">
        <v>598</v>
      </c>
      <c r="E628" t="s">
        <v>79</v>
      </c>
      <c r="AS628" s="68"/>
      <c r="DA628">
        <v>7</v>
      </c>
      <c r="QN628">
        <v>5</v>
      </c>
      <c r="SA628">
        <v>9</v>
      </c>
    </row>
    <row r="629" spans="2:511" ht="18" customHeight="1" x14ac:dyDescent="0.25">
      <c r="B629" s="49" t="s">
        <v>599</v>
      </c>
      <c r="E629" t="s">
        <v>131</v>
      </c>
      <c r="AS629" s="68"/>
    </row>
    <row r="630" spans="2:511" ht="18" customHeight="1" x14ac:dyDescent="0.25">
      <c r="B630" s="50" t="s">
        <v>600</v>
      </c>
      <c r="E630" t="s">
        <v>81</v>
      </c>
      <c r="AS630" s="68"/>
    </row>
    <row r="631" spans="2:511" ht="18" customHeight="1" x14ac:dyDescent="0.25">
      <c r="B631" s="49" t="s">
        <v>601</v>
      </c>
      <c r="E631" t="s">
        <v>77</v>
      </c>
      <c r="AS631" s="68"/>
      <c r="CT631">
        <v>5</v>
      </c>
      <c r="QG631">
        <v>3</v>
      </c>
      <c r="RT631">
        <v>10</v>
      </c>
    </row>
    <row r="632" spans="2:511" ht="18" customHeight="1" x14ac:dyDescent="0.25">
      <c r="B632" s="50" t="s">
        <v>602</v>
      </c>
      <c r="E632" t="s">
        <v>161</v>
      </c>
      <c r="AS632" s="68"/>
    </row>
    <row r="633" spans="2:511" ht="18" customHeight="1" x14ac:dyDescent="0.25">
      <c r="B633" s="49" t="s">
        <v>603</v>
      </c>
      <c r="E633" t="s">
        <v>123</v>
      </c>
      <c r="AS633" s="68"/>
    </row>
    <row r="634" spans="2:511" ht="18" customHeight="1" x14ac:dyDescent="0.25">
      <c r="B634" s="49" t="s">
        <v>604</v>
      </c>
      <c r="E634" t="s">
        <v>85</v>
      </c>
      <c r="AS634" s="68"/>
    </row>
    <row r="635" spans="2:511" ht="18" customHeight="1" x14ac:dyDescent="0.25">
      <c r="B635" s="49" t="s">
        <v>605</v>
      </c>
      <c r="E635" t="s">
        <v>77</v>
      </c>
      <c r="AS635" s="68"/>
    </row>
    <row r="636" spans="2:511" ht="18" customHeight="1" x14ac:dyDescent="0.25">
      <c r="B636" s="49" t="s">
        <v>606</v>
      </c>
      <c r="E636" t="s">
        <v>77</v>
      </c>
      <c r="AS636" s="68"/>
      <c r="CT636">
        <v>10</v>
      </c>
      <c r="QG636">
        <v>5</v>
      </c>
      <c r="RT636">
        <v>15</v>
      </c>
    </row>
    <row r="637" spans="2:511" ht="18" customHeight="1" x14ac:dyDescent="0.25">
      <c r="B637" s="49" t="s">
        <v>607</v>
      </c>
      <c r="E637" t="s">
        <v>85</v>
      </c>
      <c r="AS637" s="68"/>
      <c r="CT637">
        <v>20</v>
      </c>
      <c r="CZ637">
        <v>2</v>
      </c>
      <c r="DA637">
        <v>10</v>
      </c>
      <c r="DF637">
        <v>25</v>
      </c>
      <c r="DG637">
        <v>10</v>
      </c>
      <c r="DH637">
        <v>20</v>
      </c>
      <c r="DL637">
        <v>12</v>
      </c>
      <c r="DQ637">
        <v>20</v>
      </c>
      <c r="QG637">
        <v>20</v>
      </c>
      <c r="QM637">
        <v>2</v>
      </c>
      <c r="QN637">
        <v>10</v>
      </c>
      <c r="QS637">
        <v>25</v>
      </c>
      <c r="QT637">
        <v>10</v>
      </c>
      <c r="QU637">
        <v>20</v>
      </c>
      <c r="QY637">
        <v>10</v>
      </c>
      <c r="RD637">
        <v>20</v>
      </c>
      <c r="RT637">
        <v>20</v>
      </c>
      <c r="RZ637">
        <v>2</v>
      </c>
      <c r="SA637">
        <v>10</v>
      </c>
      <c r="SF637">
        <v>25</v>
      </c>
      <c r="SG637">
        <v>10</v>
      </c>
      <c r="SH637">
        <v>20</v>
      </c>
      <c r="SL637">
        <v>12</v>
      </c>
      <c r="SQ637">
        <v>20</v>
      </c>
    </row>
    <row r="638" spans="2:511" ht="18" customHeight="1" x14ac:dyDescent="0.25">
      <c r="B638" s="49" t="s">
        <v>608</v>
      </c>
      <c r="E638" t="s">
        <v>110</v>
      </c>
      <c r="AS638" s="68"/>
      <c r="CT638">
        <v>16</v>
      </c>
      <c r="DA638">
        <v>3</v>
      </c>
      <c r="DL638">
        <v>3</v>
      </c>
      <c r="DQ638">
        <v>5</v>
      </c>
      <c r="QG638">
        <v>16</v>
      </c>
      <c r="QN638">
        <v>3</v>
      </c>
      <c r="QY638">
        <v>3</v>
      </c>
      <c r="RD638">
        <v>7</v>
      </c>
      <c r="RT638">
        <v>16</v>
      </c>
      <c r="SA638">
        <v>3</v>
      </c>
      <c r="SL638">
        <v>3</v>
      </c>
      <c r="SQ638">
        <v>14</v>
      </c>
    </row>
    <row r="639" spans="2:511" ht="18" customHeight="1" x14ac:dyDescent="0.25">
      <c r="B639" s="50" t="s">
        <v>609</v>
      </c>
      <c r="E639" t="s">
        <v>81</v>
      </c>
      <c r="AS639" s="68"/>
    </row>
    <row r="640" spans="2:511" ht="18" customHeight="1" x14ac:dyDescent="0.25">
      <c r="B640" s="49" t="s">
        <v>610</v>
      </c>
      <c r="E640" t="s">
        <v>77</v>
      </c>
      <c r="AS640" s="68"/>
      <c r="CT640">
        <v>7</v>
      </c>
      <c r="QG640">
        <v>6</v>
      </c>
      <c r="RT640">
        <v>10</v>
      </c>
    </row>
    <row r="641" spans="2:511" ht="18" customHeight="1" x14ac:dyDescent="0.25">
      <c r="B641" s="49" t="s">
        <v>611</v>
      </c>
      <c r="E641" t="s">
        <v>161</v>
      </c>
      <c r="AS641" s="68"/>
    </row>
    <row r="642" spans="2:511" ht="18" customHeight="1" x14ac:dyDescent="0.25">
      <c r="B642" s="49" t="s">
        <v>612</v>
      </c>
      <c r="E642" t="s">
        <v>159</v>
      </c>
      <c r="AS642" s="68"/>
      <c r="CV642">
        <v>10</v>
      </c>
      <c r="QI642">
        <v>3</v>
      </c>
      <c r="RV642">
        <v>15</v>
      </c>
    </row>
    <row r="643" spans="2:511" ht="18" customHeight="1" x14ac:dyDescent="0.25">
      <c r="B643" s="49" t="s">
        <v>613</v>
      </c>
      <c r="E643" t="s">
        <v>105</v>
      </c>
      <c r="AS643" s="68"/>
    </row>
    <row r="644" spans="2:511" ht="18" customHeight="1" x14ac:dyDescent="0.25">
      <c r="B644" s="49" t="s">
        <v>614</v>
      </c>
      <c r="E644" t="s">
        <v>161</v>
      </c>
      <c r="AS644" s="68"/>
    </row>
    <row r="645" spans="2:511" ht="18" customHeight="1" x14ac:dyDescent="0.25">
      <c r="B645" s="49" t="s">
        <v>615</v>
      </c>
      <c r="E645" t="s">
        <v>161</v>
      </c>
      <c r="AS645" s="68"/>
    </row>
    <row r="646" spans="2:511" ht="18" customHeight="1" x14ac:dyDescent="0.25">
      <c r="B646" s="49" t="s">
        <v>616</v>
      </c>
      <c r="E646" t="s">
        <v>77</v>
      </c>
      <c r="AS646" s="68"/>
      <c r="CT646">
        <v>6</v>
      </c>
    </row>
    <row r="647" spans="2:511" ht="18" customHeight="1" x14ac:dyDescent="0.25">
      <c r="B647" s="49" t="s">
        <v>617</v>
      </c>
      <c r="E647" t="s">
        <v>77</v>
      </c>
      <c r="AS647" s="68"/>
      <c r="CT647">
        <v>12</v>
      </c>
      <c r="QG647">
        <v>5</v>
      </c>
      <c r="RT647">
        <v>20</v>
      </c>
    </row>
    <row r="648" spans="2:511" ht="18" customHeight="1" x14ac:dyDescent="0.25">
      <c r="B648" s="49" t="s">
        <v>618</v>
      </c>
      <c r="E648" t="s">
        <v>85</v>
      </c>
      <c r="AS648" s="68"/>
    </row>
    <row r="649" spans="2:511" ht="18" customHeight="1" x14ac:dyDescent="0.25">
      <c r="B649" s="49" t="s">
        <v>619</v>
      </c>
      <c r="E649" t="s">
        <v>85</v>
      </c>
      <c r="AS649" s="68"/>
    </row>
    <row r="650" spans="2:511" ht="18" customHeight="1" x14ac:dyDescent="0.25">
      <c r="B650" s="49" t="s">
        <v>620</v>
      </c>
      <c r="AS650" s="68"/>
      <c r="DA650">
        <v>2</v>
      </c>
      <c r="DF650">
        <v>5</v>
      </c>
      <c r="DQ650">
        <v>2</v>
      </c>
      <c r="QN650">
        <v>2</v>
      </c>
      <c r="QS650">
        <v>5</v>
      </c>
      <c r="RD650">
        <v>2</v>
      </c>
      <c r="SA650">
        <v>2</v>
      </c>
      <c r="SF650">
        <v>5</v>
      </c>
      <c r="SQ650">
        <v>2</v>
      </c>
    </row>
    <row r="651" spans="2:511" ht="18" customHeight="1" x14ac:dyDescent="0.25">
      <c r="B651" s="50" t="s">
        <v>621</v>
      </c>
      <c r="E651" t="s">
        <v>123</v>
      </c>
      <c r="AS651" s="68"/>
      <c r="DF651">
        <v>1</v>
      </c>
      <c r="QS651">
        <v>1</v>
      </c>
      <c r="SF651">
        <v>1</v>
      </c>
    </row>
    <row r="652" spans="2:511" ht="18" customHeight="1" x14ac:dyDescent="0.25">
      <c r="B652" s="49" t="s">
        <v>622</v>
      </c>
      <c r="E652" t="s">
        <v>77</v>
      </c>
      <c r="AS652" s="68"/>
      <c r="CT652">
        <v>5</v>
      </c>
      <c r="DF652">
        <v>30</v>
      </c>
      <c r="DG652">
        <v>10</v>
      </c>
      <c r="DL652">
        <v>20</v>
      </c>
      <c r="QG652">
        <v>5</v>
      </c>
      <c r="QS652">
        <v>30</v>
      </c>
      <c r="QT652">
        <v>10</v>
      </c>
      <c r="QY652">
        <v>20</v>
      </c>
      <c r="RT652">
        <v>10</v>
      </c>
      <c r="SF652">
        <v>30</v>
      </c>
      <c r="SG652">
        <v>10</v>
      </c>
      <c r="SL652">
        <v>20</v>
      </c>
    </row>
    <row r="653" spans="2:511" ht="18" customHeight="1" x14ac:dyDescent="0.25">
      <c r="B653" s="49" t="s">
        <v>623</v>
      </c>
      <c r="E653" t="s">
        <v>85</v>
      </c>
      <c r="AS653" s="68"/>
      <c r="CT653">
        <v>24</v>
      </c>
      <c r="DA653">
        <v>9</v>
      </c>
      <c r="DH653">
        <v>30</v>
      </c>
      <c r="DI653">
        <v>60</v>
      </c>
      <c r="DL653">
        <v>5</v>
      </c>
      <c r="DQ653">
        <v>6</v>
      </c>
      <c r="QG653">
        <v>24</v>
      </c>
      <c r="QN653">
        <v>9</v>
      </c>
      <c r="QU653">
        <v>30</v>
      </c>
      <c r="QV653">
        <v>60</v>
      </c>
      <c r="QY653">
        <v>5</v>
      </c>
      <c r="RD653">
        <v>6</v>
      </c>
      <c r="RT653">
        <v>24</v>
      </c>
      <c r="SA653">
        <v>9</v>
      </c>
      <c r="SH653">
        <v>30</v>
      </c>
      <c r="SI653">
        <v>60</v>
      </c>
      <c r="SL653">
        <v>5</v>
      </c>
      <c r="SQ653">
        <v>6</v>
      </c>
    </row>
    <row r="654" spans="2:511" ht="18" customHeight="1" x14ac:dyDescent="0.25">
      <c r="B654" s="49" t="s">
        <v>624</v>
      </c>
      <c r="E654" t="s">
        <v>77</v>
      </c>
      <c r="AS654" s="68"/>
      <c r="CT654">
        <v>1</v>
      </c>
      <c r="QG654">
        <v>1</v>
      </c>
      <c r="RT654">
        <v>5</v>
      </c>
    </row>
    <row r="655" spans="2:511" ht="18" customHeight="1" x14ac:dyDescent="0.25">
      <c r="B655" s="49" t="s">
        <v>625</v>
      </c>
      <c r="E655" t="s">
        <v>123</v>
      </c>
      <c r="AS655" s="68"/>
      <c r="DF655">
        <v>2</v>
      </c>
      <c r="QS655">
        <v>2</v>
      </c>
      <c r="SF655">
        <v>2</v>
      </c>
    </row>
    <row r="656" spans="2:511" ht="18" customHeight="1" x14ac:dyDescent="0.25">
      <c r="B656" s="49" t="s">
        <v>626</v>
      </c>
      <c r="E656" t="s">
        <v>108</v>
      </c>
      <c r="AS656" s="68"/>
    </row>
    <row r="657" spans="1:512" ht="18" customHeight="1" x14ac:dyDescent="0.25">
      <c r="B657" s="49" t="s">
        <v>627</v>
      </c>
      <c r="E657" t="s">
        <v>85</v>
      </c>
      <c r="AS657" s="68"/>
      <c r="CQ657">
        <v>5</v>
      </c>
      <c r="CT657">
        <v>30</v>
      </c>
      <c r="CU657">
        <v>5</v>
      </c>
      <c r="DA657">
        <v>10</v>
      </c>
      <c r="DF657">
        <v>30</v>
      </c>
      <c r="DG657">
        <v>10</v>
      </c>
      <c r="DH657">
        <v>20</v>
      </c>
      <c r="DL657">
        <v>1</v>
      </c>
      <c r="QD657">
        <v>5</v>
      </c>
      <c r="QG657">
        <v>30</v>
      </c>
      <c r="QH657">
        <v>5</v>
      </c>
      <c r="QN657">
        <v>10</v>
      </c>
      <c r="QS657">
        <v>30</v>
      </c>
      <c r="QT657">
        <v>10</v>
      </c>
      <c r="QU657">
        <v>20</v>
      </c>
      <c r="QY657">
        <v>1</v>
      </c>
      <c r="RQ657">
        <v>5</v>
      </c>
      <c r="RT657">
        <v>30</v>
      </c>
      <c r="RU657">
        <v>5</v>
      </c>
      <c r="SA657">
        <v>10</v>
      </c>
      <c r="SF657">
        <v>30</v>
      </c>
      <c r="SG657">
        <v>10</v>
      </c>
      <c r="SH657">
        <v>20</v>
      </c>
      <c r="SL657">
        <v>1</v>
      </c>
    </row>
    <row r="658" spans="1:512" ht="18" customHeight="1" x14ac:dyDescent="0.25">
      <c r="B658" s="49" t="s">
        <v>628</v>
      </c>
      <c r="E658" t="s">
        <v>85</v>
      </c>
      <c r="AS658" s="68"/>
      <c r="DL658">
        <v>15</v>
      </c>
      <c r="QY658">
        <v>10</v>
      </c>
      <c r="SL658">
        <v>15</v>
      </c>
    </row>
    <row r="659" spans="1:512" ht="18" customHeight="1" x14ac:dyDescent="0.25">
      <c r="B659" s="49" t="s">
        <v>629</v>
      </c>
      <c r="E659" t="s">
        <v>85</v>
      </c>
      <c r="AS659" s="68"/>
      <c r="DL659">
        <v>1</v>
      </c>
      <c r="QY659">
        <v>1</v>
      </c>
      <c r="SL659">
        <v>1</v>
      </c>
    </row>
    <row r="660" spans="1:512" ht="18" customHeight="1" x14ac:dyDescent="0.25">
      <c r="B660" s="49" t="s">
        <v>630</v>
      </c>
      <c r="E660" t="s">
        <v>85</v>
      </c>
      <c r="AS660" s="68"/>
      <c r="DL660">
        <v>3</v>
      </c>
      <c r="QY660">
        <v>2</v>
      </c>
      <c r="SL660">
        <v>3</v>
      </c>
    </row>
    <row r="661" spans="1:512" ht="18" customHeight="1" x14ac:dyDescent="0.25">
      <c r="A661" s="54" t="s">
        <v>631</v>
      </c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  <c r="BH661" s="55"/>
      <c r="BI661" s="55"/>
      <c r="BJ661" s="55"/>
      <c r="BK661" s="55"/>
      <c r="BL661" s="55"/>
      <c r="BM661" s="55"/>
      <c r="BN661" s="55"/>
      <c r="BO661" s="55"/>
      <c r="BP661" s="55"/>
      <c r="BQ661" s="55"/>
      <c r="BR661" s="55"/>
      <c r="BS661" s="55"/>
      <c r="BT661" s="55"/>
      <c r="BU661" s="55"/>
      <c r="BV661" s="55"/>
      <c r="BW661" s="55"/>
      <c r="BX661" s="55"/>
      <c r="BY661" s="55"/>
      <c r="BZ661" s="55"/>
      <c r="CA661" s="55"/>
      <c r="CB661" s="55"/>
      <c r="CC661" s="55"/>
      <c r="CD661" s="55"/>
      <c r="CE661" s="55"/>
      <c r="CF661" s="55"/>
      <c r="CG661" s="55"/>
      <c r="CH661" s="55"/>
      <c r="CI661" s="55"/>
      <c r="CJ661" s="55"/>
      <c r="CK661" s="55"/>
      <c r="CL661" s="55"/>
      <c r="CM661" s="55"/>
      <c r="CN661" s="55"/>
      <c r="CO661" s="55"/>
      <c r="CP661" s="55"/>
      <c r="CQ661" s="55"/>
      <c r="CR661" s="55"/>
      <c r="CS661" s="55"/>
      <c r="CT661" s="55"/>
      <c r="CU661" s="55"/>
      <c r="CV661" s="55"/>
      <c r="CW661" s="55"/>
      <c r="CX661" s="55"/>
      <c r="CY661" s="55"/>
      <c r="CZ661" s="55"/>
      <c r="DA661" s="55"/>
      <c r="DB661" s="55"/>
      <c r="DC661" s="55"/>
      <c r="DD661" s="55"/>
      <c r="DE661" s="55"/>
      <c r="DF661" s="55"/>
      <c r="DG661" s="55"/>
      <c r="DH661" s="55"/>
      <c r="DI661" s="55"/>
      <c r="DJ661" s="55"/>
      <c r="DK661" s="55"/>
      <c r="DL661" s="55"/>
      <c r="DM661" s="55"/>
      <c r="DN661" s="55"/>
      <c r="DO661" s="55"/>
      <c r="DP661" s="55"/>
      <c r="DQ661" s="55"/>
      <c r="DR661" s="55"/>
      <c r="DS661" s="55"/>
      <c r="DT661" s="55"/>
      <c r="DU661" s="55"/>
      <c r="DV661" s="55"/>
      <c r="DW661" s="55"/>
      <c r="DX661" s="55"/>
      <c r="DY661" s="55"/>
      <c r="DZ661" s="55"/>
      <c r="EA661" s="55"/>
      <c r="EB661" s="55"/>
      <c r="EC661" s="55"/>
      <c r="ED661" s="55"/>
      <c r="EE661" s="55"/>
      <c r="EF661" s="55"/>
      <c r="EG661" s="55"/>
      <c r="EH661" s="55"/>
      <c r="EI661" s="55"/>
      <c r="EJ661" s="55"/>
      <c r="EK661" s="55"/>
      <c r="EL661" s="55"/>
      <c r="EM661" s="55"/>
      <c r="EN661" s="55"/>
      <c r="EO661" s="55"/>
      <c r="EP661" s="55"/>
      <c r="EQ661" s="55"/>
      <c r="ER661" s="55"/>
      <c r="ES661" s="55"/>
      <c r="ET661" s="55"/>
      <c r="EU661" s="55"/>
      <c r="EV661" s="55"/>
      <c r="EW661" s="55"/>
      <c r="EX661" s="55"/>
      <c r="EY661" s="55"/>
      <c r="EZ661" s="55"/>
      <c r="FA661" s="55"/>
      <c r="FB661" s="55"/>
      <c r="FC661" s="55"/>
      <c r="FD661" s="55"/>
      <c r="FE661" s="55"/>
      <c r="FF661" s="55"/>
      <c r="FG661" s="55"/>
      <c r="FH661" s="55"/>
      <c r="FI661" s="55"/>
      <c r="FJ661" s="55"/>
      <c r="FK661" s="55"/>
      <c r="FL661" s="55"/>
      <c r="FM661" s="55"/>
      <c r="FN661" s="55"/>
      <c r="FO661" s="55"/>
      <c r="FP661" s="55"/>
      <c r="FQ661" s="55"/>
      <c r="FR661" s="55"/>
      <c r="FS661" s="55"/>
      <c r="FT661" s="55"/>
      <c r="FU661" s="55"/>
      <c r="FV661" s="55"/>
      <c r="FW661" s="55"/>
      <c r="FX661" s="55"/>
      <c r="FY661" s="55"/>
      <c r="FZ661" s="55"/>
      <c r="GA661" s="55"/>
      <c r="GB661" s="55"/>
      <c r="GC661" s="55"/>
      <c r="GD661" s="55"/>
      <c r="GE661" s="55"/>
      <c r="GF661" s="55"/>
      <c r="GG661" s="55"/>
      <c r="GH661" s="55"/>
      <c r="GI661" s="55"/>
      <c r="GJ661" s="55"/>
      <c r="GK661" s="55"/>
      <c r="GL661" s="55"/>
      <c r="GM661" s="55"/>
      <c r="GN661" s="55"/>
      <c r="GO661" s="55"/>
      <c r="GP661" s="55"/>
      <c r="GQ661" s="55"/>
      <c r="GR661" s="55"/>
      <c r="GS661" s="55"/>
      <c r="GT661" s="55"/>
      <c r="GU661" s="55"/>
      <c r="GV661" s="55"/>
      <c r="GW661" s="55"/>
      <c r="GX661" s="55"/>
      <c r="GY661" s="55"/>
      <c r="GZ661" s="55"/>
      <c r="HA661" s="55"/>
      <c r="HB661" s="55"/>
      <c r="HC661" s="55"/>
      <c r="HD661" s="55"/>
      <c r="HE661" s="55"/>
      <c r="HF661" s="55"/>
      <c r="HG661" s="55"/>
      <c r="HH661" s="55"/>
      <c r="HI661" s="55"/>
      <c r="HJ661" s="55"/>
      <c r="HK661" s="55"/>
      <c r="HL661" s="55"/>
      <c r="HM661" s="55"/>
      <c r="HN661" s="55"/>
      <c r="HO661" s="55"/>
      <c r="HP661" s="55"/>
      <c r="HQ661" s="55"/>
      <c r="HR661" s="55"/>
      <c r="HS661" s="55"/>
      <c r="HT661" s="55"/>
      <c r="HU661" s="55"/>
      <c r="HV661" s="55"/>
      <c r="HW661" s="55"/>
      <c r="HX661" s="55"/>
      <c r="HY661" s="55"/>
      <c r="HZ661" s="55"/>
      <c r="IA661" s="55"/>
      <c r="IB661" s="55"/>
      <c r="IC661" s="55"/>
      <c r="ID661" s="55"/>
      <c r="IE661" s="55"/>
      <c r="IF661" s="55"/>
      <c r="IG661" s="55"/>
      <c r="IH661" s="55"/>
      <c r="II661" s="55"/>
      <c r="IJ661" s="55"/>
      <c r="IK661" s="55"/>
      <c r="IL661" s="55"/>
      <c r="IM661" s="55"/>
      <c r="IN661" s="55"/>
      <c r="IO661" s="55"/>
      <c r="IP661" s="55"/>
      <c r="IQ661" s="55"/>
      <c r="IR661" s="55"/>
      <c r="IS661" s="55"/>
      <c r="IT661" s="55"/>
      <c r="IU661" s="55"/>
      <c r="IV661" s="55"/>
      <c r="IW661" s="55"/>
      <c r="IX661" s="55"/>
      <c r="IY661" s="55"/>
      <c r="IZ661" s="55"/>
      <c r="JA661" s="55"/>
      <c r="JB661" s="55"/>
      <c r="JC661" s="55"/>
      <c r="JD661" s="55"/>
      <c r="JE661" s="55"/>
      <c r="JF661" s="55"/>
      <c r="JG661" s="55"/>
      <c r="JH661" s="55"/>
      <c r="JI661" s="55"/>
      <c r="JJ661" s="55"/>
      <c r="JK661" s="55"/>
      <c r="JL661" s="55"/>
      <c r="JM661" s="55"/>
      <c r="JN661" s="55"/>
      <c r="JO661" s="55"/>
      <c r="JP661" s="55"/>
      <c r="JQ661" s="55"/>
      <c r="JR661" s="55"/>
      <c r="JS661" s="55"/>
      <c r="JT661" s="55"/>
      <c r="JU661" s="55"/>
      <c r="JV661" s="55"/>
      <c r="JW661" s="55"/>
      <c r="JX661" s="55"/>
      <c r="JY661" s="55"/>
      <c r="JZ661" s="55"/>
      <c r="KA661" s="55"/>
      <c r="KB661" s="55"/>
      <c r="KC661" s="55"/>
      <c r="KD661" s="55"/>
      <c r="KE661" s="55"/>
      <c r="KF661" s="55"/>
      <c r="KG661" s="55"/>
      <c r="KH661" s="55"/>
      <c r="KI661" s="55"/>
      <c r="KJ661" s="55"/>
      <c r="KK661" s="55"/>
      <c r="KL661" s="55"/>
      <c r="KM661" s="55"/>
      <c r="KN661" s="55"/>
      <c r="KO661" s="55"/>
      <c r="KP661" s="55"/>
      <c r="KQ661" s="55"/>
      <c r="KR661" s="55"/>
      <c r="KS661" s="55"/>
      <c r="KT661" s="55"/>
      <c r="KU661" s="55"/>
      <c r="KV661" s="55"/>
      <c r="KW661" s="55"/>
      <c r="KX661" s="55"/>
      <c r="KY661" s="55"/>
      <c r="KZ661" s="55"/>
      <c r="LA661" s="55"/>
      <c r="LB661" s="55"/>
      <c r="LC661" s="55"/>
      <c r="LD661" s="55"/>
      <c r="LE661" s="55"/>
      <c r="LF661" s="55"/>
      <c r="LG661" s="55"/>
      <c r="LH661" s="55"/>
      <c r="LI661" s="55"/>
      <c r="LJ661" s="55"/>
      <c r="LK661" s="55"/>
      <c r="LL661" s="55"/>
      <c r="LM661" s="55"/>
      <c r="LN661" s="55"/>
      <c r="LO661" s="55"/>
      <c r="LP661" s="55"/>
      <c r="LQ661" s="55"/>
      <c r="LR661" s="55"/>
      <c r="LS661" s="55"/>
      <c r="LT661" s="55"/>
      <c r="LU661" s="55"/>
      <c r="LV661" s="55"/>
      <c r="LW661" s="55"/>
      <c r="LX661" s="55"/>
      <c r="LY661" s="55"/>
      <c r="LZ661" s="55"/>
      <c r="MA661" s="55"/>
      <c r="MB661" s="55"/>
      <c r="MC661" s="55"/>
      <c r="MD661" s="55"/>
      <c r="ME661" s="55"/>
      <c r="MF661" s="55"/>
      <c r="MG661" s="55"/>
      <c r="MH661" s="55"/>
      <c r="MI661" s="55"/>
      <c r="MJ661" s="55"/>
      <c r="MK661" s="55"/>
      <c r="ML661" s="55"/>
      <c r="MM661" s="55"/>
      <c r="MN661" s="55"/>
      <c r="MO661" s="55"/>
      <c r="MP661" s="55"/>
      <c r="MQ661" s="55"/>
      <c r="MR661" s="55"/>
      <c r="MS661" s="55"/>
      <c r="MT661" s="55"/>
      <c r="MU661" s="55"/>
      <c r="MV661" s="55"/>
      <c r="MW661" s="55"/>
      <c r="MX661" s="55"/>
      <c r="MY661" s="55"/>
      <c r="MZ661" s="55"/>
      <c r="NA661" s="55"/>
      <c r="NB661" s="55"/>
      <c r="NC661" s="55"/>
      <c r="ND661" s="55"/>
      <c r="NE661" s="55"/>
      <c r="NF661" s="55"/>
      <c r="NG661" s="55"/>
      <c r="NH661" s="55"/>
      <c r="NI661" s="55"/>
      <c r="NJ661" s="55"/>
      <c r="NK661" s="55"/>
      <c r="NL661" s="55"/>
      <c r="NM661" s="55"/>
      <c r="NN661" s="55"/>
      <c r="NO661" s="55"/>
      <c r="NP661" s="55"/>
      <c r="NQ661" s="55"/>
      <c r="NR661" s="55"/>
      <c r="NS661" s="55"/>
      <c r="NT661" s="55"/>
      <c r="NU661" s="55"/>
      <c r="NV661" s="55"/>
      <c r="NW661" s="55"/>
      <c r="NX661" s="55"/>
      <c r="NY661" s="55"/>
      <c r="NZ661" s="55"/>
      <c r="OA661" s="55"/>
      <c r="OB661" s="55"/>
      <c r="OC661" s="55"/>
      <c r="OD661" s="55"/>
      <c r="OE661" s="55"/>
      <c r="OF661" s="55"/>
      <c r="OG661" s="55"/>
      <c r="OH661" s="55"/>
      <c r="OI661" s="55"/>
      <c r="OJ661" s="55"/>
      <c r="OK661" s="55"/>
      <c r="OL661" s="55"/>
      <c r="OM661" s="55"/>
      <c r="ON661" s="55"/>
      <c r="OO661" s="55"/>
      <c r="OP661" s="55"/>
      <c r="OQ661" s="55"/>
      <c r="OR661" s="55"/>
      <c r="OS661" s="55"/>
      <c r="OT661" s="55"/>
      <c r="OU661" s="55"/>
      <c r="OV661" s="55"/>
      <c r="OW661" s="55"/>
      <c r="OX661" s="55"/>
      <c r="OY661" s="55"/>
      <c r="OZ661" s="55"/>
      <c r="PA661" s="55"/>
      <c r="PB661" s="55"/>
      <c r="PC661" s="55"/>
      <c r="PD661" s="55"/>
      <c r="PE661" s="55"/>
      <c r="PF661" s="55"/>
      <c r="PG661" s="55"/>
      <c r="PH661" s="55"/>
      <c r="PI661" s="55"/>
      <c r="PJ661" s="55"/>
      <c r="PK661" s="55"/>
      <c r="PL661" s="55"/>
      <c r="PM661" s="55"/>
      <c r="PN661" s="55"/>
      <c r="PO661" s="55"/>
      <c r="PP661" s="55"/>
      <c r="PQ661" s="55"/>
      <c r="PR661" s="55"/>
      <c r="PS661" s="55"/>
      <c r="PT661" s="55"/>
      <c r="PU661" s="55"/>
      <c r="PV661" s="55"/>
      <c r="PW661" s="55"/>
      <c r="PX661" s="55"/>
      <c r="PY661" s="55"/>
      <c r="PZ661" s="55"/>
      <c r="QA661" s="55"/>
      <c r="QB661" s="55"/>
      <c r="QC661" s="55"/>
      <c r="QD661" s="55"/>
      <c r="QE661" s="55"/>
      <c r="QF661" s="55"/>
      <c r="QG661" s="55"/>
      <c r="QH661" s="55"/>
      <c r="QI661" s="55"/>
      <c r="QJ661" s="55"/>
      <c r="QK661" s="55"/>
      <c r="QL661" s="55"/>
      <c r="QM661" s="55"/>
      <c r="QN661" s="55"/>
      <c r="QO661" s="55"/>
      <c r="QP661" s="55"/>
      <c r="QQ661" s="55"/>
      <c r="QR661" s="55"/>
      <c r="QS661" s="55"/>
      <c r="QT661" s="55"/>
      <c r="QU661" s="55"/>
      <c r="QV661" s="55"/>
      <c r="QW661" s="55"/>
      <c r="QX661" s="55"/>
      <c r="QY661" s="55"/>
      <c r="QZ661" s="55"/>
      <c r="RA661" s="55"/>
      <c r="RB661" s="55"/>
      <c r="RC661" s="55"/>
      <c r="RD661" s="55"/>
      <c r="RE661" s="55"/>
      <c r="RF661" s="55"/>
      <c r="RG661" s="55"/>
      <c r="RH661" s="55"/>
      <c r="RI661" s="55"/>
      <c r="RJ661" s="55"/>
      <c r="RK661" s="55"/>
      <c r="RL661" s="55"/>
      <c r="RM661" s="55"/>
      <c r="RN661" s="55"/>
      <c r="RO661" s="55"/>
      <c r="RP661" s="55"/>
      <c r="RQ661" s="55"/>
      <c r="RR661" s="55"/>
      <c r="RS661" s="55"/>
      <c r="RT661" s="55"/>
      <c r="RU661" s="55"/>
      <c r="RV661" s="55"/>
      <c r="RW661" s="55"/>
      <c r="RX661" s="55"/>
      <c r="RY661" s="55"/>
      <c r="RZ661" s="55"/>
      <c r="SA661" s="55"/>
      <c r="SB661" s="55"/>
      <c r="SC661" s="55"/>
      <c r="SD661" s="55"/>
      <c r="SE661" s="55"/>
      <c r="SF661" s="55"/>
      <c r="SG661" s="55"/>
      <c r="SH661" s="55"/>
      <c r="SI661" s="55"/>
      <c r="SJ661" s="55"/>
      <c r="SK661" s="55"/>
      <c r="SL661" s="55"/>
      <c r="SM661" s="55"/>
      <c r="SN661" s="55"/>
      <c r="SO661" s="55"/>
      <c r="SP661" s="55"/>
      <c r="SQ661" s="55"/>
      <c r="SR661" s="55"/>
    </row>
    <row r="662" spans="1:512" ht="18" customHeight="1" x14ac:dyDescent="0.25">
      <c r="B662" s="48" t="s">
        <v>632</v>
      </c>
      <c r="C662" t="s">
        <v>75</v>
      </c>
      <c r="D662" t="s">
        <v>633</v>
      </c>
      <c r="E662" t="s">
        <v>90</v>
      </c>
      <c r="AS662" s="68"/>
      <c r="DL662">
        <v>60</v>
      </c>
      <c r="QY662">
        <v>60</v>
      </c>
      <c r="SL662">
        <v>60</v>
      </c>
    </row>
    <row r="663" spans="1:512" ht="18" customHeight="1" x14ac:dyDescent="0.25">
      <c r="B663" s="50" t="s">
        <v>634</v>
      </c>
      <c r="E663" t="s">
        <v>77</v>
      </c>
      <c r="AS663" s="68"/>
      <c r="CT663">
        <v>1</v>
      </c>
    </row>
    <row r="664" spans="1:512" ht="18" customHeight="1" x14ac:dyDescent="0.25">
      <c r="B664" s="50" t="s">
        <v>635</v>
      </c>
      <c r="E664" t="s">
        <v>79</v>
      </c>
      <c r="AS664" s="68"/>
      <c r="DA664">
        <v>4</v>
      </c>
    </row>
    <row r="665" spans="1:512" ht="18" customHeight="1" x14ac:dyDescent="0.25">
      <c r="B665" s="50" t="s">
        <v>636</v>
      </c>
      <c r="E665" t="s">
        <v>77</v>
      </c>
      <c r="AS665" s="68"/>
      <c r="CT665">
        <v>5</v>
      </c>
      <c r="QG665">
        <v>3</v>
      </c>
      <c r="RT665">
        <v>8</v>
      </c>
    </row>
    <row r="666" spans="1:512" ht="18" customHeight="1" x14ac:dyDescent="0.25">
      <c r="B666" s="50" t="s">
        <v>637</v>
      </c>
      <c r="E666" t="s">
        <v>79</v>
      </c>
      <c r="AS666" s="68"/>
      <c r="DA666">
        <v>5</v>
      </c>
    </row>
    <row r="667" spans="1:512" ht="18" customHeight="1" x14ac:dyDescent="0.25">
      <c r="B667" s="50" t="s">
        <v>638</v>
      </c>
      <c r="E667" t="s">
        <v>77</v>
      </c>
      <c r="AS667" s="68"/>
      <c r="CT667">
        <v>4</v>
      </c>
      <c r="QG667">
        <v>2</v>
      </c>
      <c r="RT667">
        <v>10</v>
      </c>
    </row>
    <row r="668" spans="1:512" ht="18" customHeight="1" x14ac:dyDescent="0.25">
      <c r="B668" s="50" t="s">
        <v>639</v>
      </c>
      <c r="E668" t="s">
        <v>79</v>
      </c>
      <c r="AS668" s="68"/>
      <c r="DA668">
        <v>5</v>
      </c>
    </row>
    <row r="669" spans="1:512" ht="18" customHeight="1" x14ac:dyDescent="0.25">
      <c r="B669" s="50" t="s">
        <v>640</v>
      </c>
      <c r="E669" t="s">
        <v>110</v>
      </c>
      <c r="AS669" s="68"/>
      <c r="DQ669">
        <v>2</v>
      </c>
      <c r="RD669">
        <v>2</v>
      </c>
      <c r="SQ669">
        <v>3</v>
      </c>
    </row>
    <row r="670" spans="1:512" ht="18" customHeight="1" x14ac:dyDescent="0.25">
      <c r="B670" s="49" t="s">
        <v>641</v>
      </c>
      <c r="E670" t="s">
        <v>110</v>
      </c>
      <c r="AS670" s="68"/>
      <c r="DQ670">
        <v>1</v>
      </c>
      <c r="RD670">
        <v>1</v>
      </c>
      <c r="SQ670">
        <v>2</v>
      </c>
    </row>
    <row r="671" spans="1:512" ht="18" customHeight="1" x14ac:dyDescent="0.25">
      <c r="B671" s="50" t="s">
        <v>642</v>
      </c>
      <c r="E671" t="s">
        <v>110</v>
      </c>
      <c r="AS671" s="68"/>
      <c r="DQ671">
        <v>1</v>
      </c>
      <c r="RD671">
        <v>1</v>
      </c>
      <c r="SQ671">
        <v>2</v>
      </c>
    </row>
    <row r="672" spans="1:512" ht="18" customHeight="1" x14ac:dyDescent="0.25">
      <c r="B672" s="50" t="s">
        <v>643</v>
      </c>
      <c r="E672" t="s">
        <v>110</v>
      </c>
      <c r="AS672" s="68"/>
      <c r="DQ672">
        <v>1</v>
      </c>
      <c r="RD672">
        <v>0.5</v>
      </c>
      <c r="SQ672">
        <v>1</v>
      </c>
    </row>
    <row r="673" spans="2:508" ht="18" customHeight="1" x14ac:dyDescent="0.25">
      <c r="B673" s="49" t="s">
        <v>644</v>
      </c>
      <c r="E673" t="s">
        <v>85</v>
      </c>
      <c r="AS673" s="68"/>
    </row>
    <row r="674" spans="2:508" ht="18" customHeight="1" x14ac:dyDescent="0.25">
      <c r="B674" s="50" t="s">
        <v>645</v>
      </c>
      <c r="E674" t="s">
        <v>123</v>
      </c>
      <c r="AS674" s="68"/>
      <c r="DF674">
        <v>5</v>
      </c>
      <c r="QS674">
        <v>1</v>
      </c>
      <c r="SF674">
        <v>5</v>
      </c>
    </row>
    <row r="675" spans="2:508" ht="18" customHeight="1" x14ac:dyDescent="0.25">
      <c r="B675" s="50" t="s">
        <v>646</v>
      </c>
      <c r="E675" t="s">
        <v>123</v>
      </c>
      <c r="AS675" s="68"/>
      <c r="DF675">
        <v>1</v>
      </c>
      <c r="QS675">
        <v>1</v>
      </c>
      <c r="SF675">
        <v>1</v>
      </c>
    </row>
    <row r="676" spans="2:508" ht="18" customHeight="1" x14ac:dyDescent="0.25">
      <c r="B676" s="49" t="s">
        <v>647</v>
      </c>
      <c r="E676" t="s">
        <v>131</v>
      </c>
      <c r="AS676" s="68"/>
    </row>
    <row r="677" spans="2:508" ht="18" customHeight="1" x14ac:dyDescent="0.25">
      <c r="B677" s="50" t="s">
        <v>648</v>
      </c>
      <c r="E677" t="s">
        <v>81</v>
      </c>
      <c r="AS677" s="68"/>
    </row>
    <row r="678" spans="2:508" ht="18" customHeight="1" x14ac:dyDescent="0.25">
      <c r="B678" s="49" t="s">
        <v>649</v>
      </c>
      <c r="E678" t="s">
        <v>90</v>
      </c>
      <c r="AS678" s="68"/>
    </row>
    <row r="679" spans="2:508" ht="18" customHeight="1" x14ac:dyDescent="0.25">
      <c r="B679" s="50" t="s">
        <v>650</v>
      </c>
      <c r="E679" t="s">
        <v>90</v>
      </c>
      <c r="AS679" s="68"/>
      <c r="DN679">
        <v>3</v>
      </c>
      <c r="RA679">
        <v>2</v>
      </c>
      <c r="SN679">
        <v>3</v>
      </c>
    </row>
    <row r="680" spans="2:508" ht="18" customHeight="1" x14ac:dyDescent="0.25">
      <c r="B680" s="50" t="s">
        <v>651</v>
      </c>
      <c r="E680" t="s">
        <v>85</v>
      </c>
      <c r="AS680" s="68"/>
      <c r="DL680">
        <v>10</v>
      </c>
      <c r="QY680">
        <v>5</v>
      </c>
      <c r="SL680">
        <v>10</v>
      </c>
    </row>
    <row r="681" spans="2:508" ht="18" customHeight="1" x14ac:dyDescent="0.25">
      <c r="B681" s="50" t="s">
        <v>652</v>
      </c>
      <c r="E681" t="s">
        <v>85</v>
      </c>
      <c r="AS681" s="68"/>
      <c r="DL681">
        <v>3</v>
      </c>
      <c r="QY681">
        <v>2</v>
      </c>
      <c r="SL681">
        <v>3</v>
      </c>
    </row>
    <row r="682" spans="2:508" ht="18" customHeight="1" x14ac:dyDescent="0.25">
      <c r="B682" s="50" t="s">
        <v>653</v>
      </c>
      <c r="E682" t="s">
        <v>85</v>
      </c>
      <c r="AS682" s="68"/>
      <c r="DL682">
        <v>2</v>
      </c>
      <c r="QY682">
        <v>1</v>
      </c>
      <c r="SL682">
        <v>2</v>
      </c>
    </row>
    <row r="683" spans="2:508" ht="18" customHeight="1" x14ac:dyDescent="0.25">
      <c r="B683" s="50" t="s">
        <v>654</v>
      </c>
      <c r="E683" t="s">
        <v>90</v>
      </c>
      <c r="AS683" s="68"/>
      <c r="DN683">
        <v>4</v>
      </c>
      <c r="RA683">
        <v>3</v>
      </c>
      <c r="SN683">
        <v>4</v>
      </c>
    </row>
    <row r="684" spans="2:508" ht="18" customHeight="1" x14ac:dyDescent="0.25">
      <c r="B684" s="50" t="s">
        <v>655</v>
      </c>
      <c r="E684" t="s">
        <v>85</v>
      </c>
      <c r="AS684" s="68"/>
      <c r="DL684">
        <v>10</v>
      </c>
      <c r="QY684">
        <v>5</v>
      </c>
      <c r="SL684">
        <v>10</v>
      </c>
    </row>
    <row r="685" spans="2:508" ht="18" customHeight="1" x14ac:dyDescent="0.25">
      <c r="B685" s="50" t="s">
        <v>656</v>
      </c>
      <c r="E685" t="s">
        <v>90</v>
      </c>
      <c r="AS685" s="68"/>
      <c r="DN685">
        <v>6</v>
      </c>
      <c r="RA685">
        <v>5</v>
      </c>
      <c r="SN685">
        <v>6</v>
      </c>
    </row>
    <row r="686" spans="2:508" ht="18" customHeight="1" x14ac:dyDescent="0.25">
      <c r="B686" s="50" t="s">
        <v>657</v>
      </c>
      <c r="E686" t="s">
        <v>85</v>
      </c>
      <c r="AS686" s="68"/>
      <c r="DL686">
        <v>7</v>
      </c>
      <c r="QY686">
        <v>5</v>
      </c>
      <c r="SL686">
        <v>7</v>
      </c>
    </row>
    <row r="687" spans="2:508" ht="18" customHeight="1" x14ac:dyDescent="0.25">
      <c r="B687" s="50" t="s">
        <v>658</v>
      </c>
      <c r="E687" t="s">
        <v>85</v>
      </c>
      <c r="AS687" s="68"/>
      <c r="DL687">
        <v>20</v>
      </c>
      <c r="QY687">
        <v>10</v>
      </c>
      <c r="SL687">
        <v>20</v>
      </c>
    </row>
    <row r="688" spans="2:508" ht="18" customHeight="1" x14ac:dyDescent="0.25">
      <c r="B688" s="50" t="s">
        <v>659</v>
      </c>
      <c r="E688" t="s">
        <v>85</v>
      </c>
      <c r="AS688" s="68"/>
      <c r="DL688">
        <v>10</v>
      </c>
      <c r="QY688">
        <v>5</v>
      </c>
      <c r="SL688">
        <v>10</v>
      </c>
    </row>
    <row r="689" spans="2:511" ht="18" customHeight="1" x14ac:dyDescent="0.25">
      <c r="B689" s="50" t="s">
        <v>660</v>
      </c>
      <c r="E689" t="s">
        <v>90</v>
      </c>
      <c r="AS689" s="68"/>
      <c r="DN689">
        <v>4</v>
      </c>
      <c r="RA689">
        <v>3</v>
      </c>
      <c r="SN689">
        <v>4</v>
      </c>
    </row>
    <row r="690" spans="2:511" ht="18" customHeight="1" x14ac:dyDescent="0.25">
      <c r="B690" s="50" t="s">
        <v>661</v>
      </c>
      <c r="E690" t="s">
        <v>85</v>
      </c>
      <c r="AS690" s="68"/>
      <c r="DL690">
        <v>5</v>
      </c>
      <c r="QY690">
        <v>4</v>
      </c>
      <c r="SL690">
        <v>5</v>
      </c>
    </row>
    <row r="691" spans="2:511" ht="18" customHeight="1" x14ac:dyDescent="0.25">
      <c r="B691" s="48" t="s">
        <v>662</v>
      </c>
      <c r="C691" t="s">
        <v>102</v>
      </c>
      <c r="D691" t="s">
        <v>103</v>
      </c>
      <c r="E691" t="s">
        <v>161</v>
      </c>
      <c r="AS691" s="68"/>
      <c r="CT691">
        <v>14</v>
      </c>
      <c r="CZ691">
        <v>20</v>
      </c>
      <c r="DE691">
        <v>15</v>
      </c>
      <c r="DL691">
        <v>30</v>
      </c>
      <c r="DQ691">
        <v>2</v>
      </c>
      <c r="QG691">
        <v>14</v>
      </c>
      <c r="QM691">
        <v>20</v>
      </c>
      <c r="QR691">
        <v>15</v>
      </c>
      <c r="QY691">
        <v>30</v>
      </c>
      <c r="RD691">
        <v>2</v>
      </c>
      <c r="RT691">
        <v>14</v>
      </c>
      <c r="RZ691">
        <v>20</v>
      </c>
      <c r="SE691">
        <v>15</v>
      </c>
      <c r="SL691">
        <v>30</v>
      </c>
      <c r="SQ691">
        <v>2</v>
      </c>
    </row>
    <row r="692" spans="2:511" ht="18" customHeight="1" x14ac:dyDescent="0.25">
      <c r="B692" s="49" t="s">
        <v>663</v>
      </c>
      <c r="E692" t="s">
        <v>105</v>
      </c>
      <c r="AS692" s="68"/>
    </row>
    <row r="693" spans="2:511" ht="18" customHeight="1" x14ac:dyDescent="0.25">
      <c r="B693" s="49" t="s">
        <v>664</v>
      </c>
      <c r="E693" t="s">
        <v>161</v>
      </c>
      <c r="AS693" s="68"/>
    </row>
    <row r="694" spans="2:511" ht="18" customHeight="1" x14ac:dyDescent="0.25">
      <c r="B694" s="49" t="s">
        <v>665</v>
      </c>
      <c r="E694" t="s">
        <v>161</v>
      </c>
      <c r="AS694" s="68"/>
    </row>
    <row r="695" spans="2:511" ht="18" customHeight="1" x14ac:dyDescent="0.25">
      <c r="B695" s="48" t="s">
        <v>666</v>
      </c>
      <c r="E695" t="s">
        <v>85</v>
      </c>
      <c r="AS695" s="68"/>
      <c r="CZ695">
        <v>5</v>
      </c>
      <c r="DH695">
        <v>15</v>
      </c>
      <c r="DL695">
        <v>5</v>
      </c>
      <c r="QM695">
        <v>5</v>
      </c>
      <c r="QU695">
        <v>15</v>
      </c>
      <c r="QY695">
        <v>5</v>
      </c>
      <c r="RZ695">
        <v>5</v>
      </c>
      <c r="SH695">
        <v>15</v>
      </c>
      <c r="SL695">
        <v>5</v>
      </c>
    </row>
    <row r="696" spans="2:511" ht="18" customHeight="1" x14ac:dyDescent="0.25">
      <c r="B696" s="48" t="s">
        <v>667</v>
      </c>
      <c r="E696" t="s">
        <v>77</v>
      </c>
      <c r="AS696" s="68"/>
    </row>
    <row r="697" spans="2:511" ht="18" customHeight="1" x14ac:dyDescent="0.25">
      <c r="B697" s="48" t="s">
        <v>668</v>
      </c>
      <c r="E697" t="s">
        <v>77</v>
      </c>
      <c r="AS697" s="68"/>
      <c r="CT697">
        <v>5</v>
      </c>
      <c r="CU697">
        <v>2</v>
      </c>
      <c r="DF697">
        <v>13</v>
      </c>
      <c r="DG697">
        <v>3</v>
      </c>
      <c r="DH697">
        <v>5</v>
      </c>
      <c r="DI697">
        <v>2</v>
      </c>
      <c r="DL697">
        <v>20</v>
      </c>
      <c r="QG697">
        <v>3</v>
      </c>
      <c r="QH697">
        <v>2</v>
      </c>
      <c r="QS697">
        <v>13</v>
      </c>
      <c r="QT697">
        <v>3</v>
      </c>
      <c r="QU697">
        <v>5</v>
      </c>
      <c r="QV697">
        <v>2</v>
      </c>
      <c r="QY697">
        <v>20</v>
      </c>
      <c r="RT697">
        <v>15</v>
      </c>
      <c r="RU697">
        <v>2</v>
      </c>
      <c r="SF697">
        <v>13</v>
      </c>
      <c r="SG697">
        <v>3</v>
      </c>
      <c r="SH697">
        <v>5</v>
      </c>
      <c r="SI697">
        <v>2</v>
      </c>
      <c r="SL697">
        <v>20</v>
      </c>
    </row>
    <row r="698" spans="2:511" ht="18" customHeight="1" x14ac:dyDescent="0.25">
      <c r="B698" s="48" t="s">
        <v>669</v>
      </c>
      <c r="E698" t="s">
        <v>77</v>
      </c>
      <c r="AS698" s="68"/>
    </row>
    <row r="699" spans="2:511" ht="18" customHeight="1" x14ac:dyDescent="0.25">
      <c r="B699" s="49" t="s">
        <v>670</v>
      </c>
      <c r="E699" t="s">
        <v>85</v>
      </c>
      <c r="AS699" s="68"/>
      <c r="CZ699">
        <v>5</v>
      </c>
      <c r="DH699">
        <v>15</v>
      </c>
      <c r="DL699">
        <v>2</v>
      </c>
      <c r="QM699">
        <v>5</v>
      </c>
      <c r="QU699">
        <v>15</v>
      </c>
      <c r="QY699">
        <v>1</v>
      </c>
      <c r="RZ699">
        <v>5</v>
      </c>
      <c r="SH699">
        <v>15</v>
      </c>
      <c r="SL699">
        <v>2</v>
      </c>
    </row>
    <row r="700" spans="2:511" ht="18" customHeight="1" x14ac:dyDescent="0.25">
      <c r="B700" s="49" t="s">
        <v>671</v>
      </c>
      <c r="E700" t="s">
        <v>90</v>
      </c>
      <c r="AS700" s="68"/>
      <c r="DN700">
        <v>2</v>
      </c>
      <c r="RA700">
        <v>1</v>
      </c>
      <c r="SN700">
        <v>2</v>
      </c>
    </row>
    <row r="701" spans="2:511" ht="18" customHeight="1" x14ac:dyDescent="0.25">
      <c r="B701" s="49" t="s">
        <v>672</v>
      </c>
      <c r="E701" t="s">
        <v>85</v>
      </c>
      <c r="AS701" s="68"/>
      <c r="DL701">
        <v>3</v>
      </c>
      <c r="QY701">
        <v>2</v>
      </c>
      <c r="SL701">
        <v>3</v>
      </c>
    </row>
    <row r="702" spans="2:511" ht="18" customHeight="1" x14ac:dyDescent="0.25">
      <c r="B702" s="49" t="s">
        <v>673</v>
      </c>
      <c r="E702" t="s">
        <v>90</v>
      </c>
      <c r="AS702" s="68"/>
      <c r="DN702">
        <v>2</v>
      </c>
      <c r="RA702">
        <v>1</v>
      </c>
      <c r="SN702">
        <v>2</v>
      </c>
    </row>
    <row r="703" spans="2:511" ht="18" customHeight="1" x14ac:dyDescent="0.25">
      <c r="B703" s="49" t="s">
        <v>674</v>
      </c>
      <c r="E703" t="s">
        <v>90</v>
      </c>
      <c r="AS703" s="68"/>
      <c r="DN703">
        <v>2</v>
      </c>
      <c r="RA703">
        <v>1</v>
      </c>
      <c r="SN703">
        <v>2</v>
      </c>
    </row>
    <row r="704" spans="2:511" ht="18" customHeight="1" x14ac:dyDescent="0.25">
      <c r="B704" s="49" t="s">
        <v>675</v>
      </c>
      <c r="E704" t="s">
        <v>161</v>
      </c>
      <c r="AS704" s="68"/>
    </row>
    <row r="705" spans="2:511" ht="18" customHeight="1" x14ac:dyDescent="0.25">
      <c r="B705" s="49" t="s">
        <v>676</v>
      </c>
      <c r="E705" t="s">
        <v>77</v>
      </c>
      <c r="AS705" s="68"/>
      <c r="CT705">
        <v>3</v>
      </c>
      <c r="QG705">
        <v>3</v>
      </c>
      <c r="RT705">
        <v>10</v>
      </c>
    </row>
    <row r="706" spans="2:511" ht="18" customHeight="1" x14ac:dyDescent="0.25">
      <c r="B706" s="49" t="s">
        <v>677</v>
      </c>
      <c r="E706" t="s">
        <v>161</v>
      </c>
      <c r="AS706" s="68"/>
    </row>
    <row r="707" spans="2:511" ht="18" customHeight="1" x14ac:dyDescent="0.25">
      <c r="B707" s="49" t="s">
        <v>678</v>
      </c>
      <c r="E707" t="s">
        <v>110</v>
      </c>
      <c r="AS707" s="68"/>
      <c r="DQ707">
        <v>0</v>
      </c>
      <c r="RD707">
        <v>0</v>
      </c>
      <c r="SQ707">
        <v>0</v>
      </c>
    </row>
    <row r="708" spans="2:511" ht="18" customHeight="1" x14ac:dyDescent="0.25">
      <c r="B708" s="49" t="s">
        <v>679</v>
      </c>
      <c r="E708" t="s">
        <v>110</v>
      </c>
      <c r="AS708" s="68"/>
    </row>
    <row r="709" spans="2:511" ht="18" customHeight="1" x14ac:dyDescent="0.25">
      <c r="B709" s="50" t="s">
        <v>680</v>
      </c>
      <c r="E709" t="s">
        <v>81</v>
      </c>
      <c r="AS709" s="68"/>
    </row>
    <row r="710" spans="2:511" ht="18" customHeight="1" x14ac:dyDescent="0.25">
      <c r="B710" s="49" t="s">
        <v>681</v>
      </c>
      <c r="E710" t="s">
        <v>79</v>
      </c>
      <c r="AS710" s="68"/>
      <c r="DA710">
        <v>3</v>
      </c>
    </row>
    <row r="711" spans="2:511" ht="18" customHeight="1" x14ac:dyDescent="0.25">
      <c r="B711" s="49" t="s">
        <v>682</v>
      </c>
      <c r="E711" t="s">
        <v>131</v>
      </c>
      <c r="AS711" s="68"/>
    </row>
    <row r="712" spans="2:511" ht="18" customHeight="1" x14ac:dyDescent="0.25">
      <c r="B712" s="50" t="s">
        <v>680</v>
      </c>
      <c r="E712" t="s">
        <v>81</v>
      </c>
      <c r="AS712" s="68"/>
    </row>
    <row r="713" spans="2:511" ht="18" customHeight="1" x14ac:dyDescent="0.25">
      <c r="B713" s="49" t="s">
        <v>683</v>
      </c>
      <c r="E713" t="s">
        <v>161</v>
      </c>
      <c r="AS713" s="68"/>
    </row>
    <row r="714" spans="2:511" ht="18" customHeight="1" x14ac:dyDescent="0.25">
      <c r="B714" s="49" t="s">
        <v>684</v>
      </c>
      <c r="E714" t="s">
        <v>85</v>
      </c>
      <c r="AS714" s="68"/>
      <c r="CZ714">
        <v>5</v>
      </c>
      <c r="DH714">
        <v>15</v>
      </c>
      <c r="DL714">
        <v>2</v>
      </c>
      <c r="QM714">
        <v>5</v>
      </c>
      <c r="QU714">
        <v>15</v>
      </c>
      <c r="QY714">
        <v>1</v>
      </c>
      <c r="RZ714">
        <v>5</v>
      </c>
      <c r="SH714">
        <v>15</v>
      </c>
      <c r="SL714">
        <v>2</v>
      </c>
    </row>
    <row r="715" spans="2:511" ht="18" customHeight="1" x14ac:dyDescent="0.25">
      <c r="B715" s="49" t="s">
        <v>685</v>
      </c>
      <c r="E715" t="s">
        <v>85</v>
      </c>
      <c r="AS715" s="68"/>
      <c r="DL715">
        <v>2</v>
      </c>
      <c r="QY715">
        <v>1</v>
      </c>
      <c r="SL715">
        <v>2</v>
      </c>
    </row>
    <row r="716" spans="2:511" ht="18" customHeight="1" x14ac:dyDescent="0.25">
      <c r="B716" s="50" t="s">
        <v>686</v>
      </c>
      <c r="E716" t="s">
        <v>81</v>
      </c>
      <c r="AS716" s="68"/>
    </row>
    <row r="717" spans="2:511" ht="18" customHeight="1" x14ac:dyDescent="0.25">
      <c r="B717" s="49" t="s">
        <v>687</v>
      </c>
      <c r="E717" t="s">
        <v>131</v>
      </c>
      <c r="AS717" s="68"/>
      <c r="CT717">
        <v>5</v>
      </c>
      <c r="CU717">
        <v>2</v>
      </c>
      <c r="DF717">
        <v>13</v>
      </c>
      <c r="DG717">
        <v>3</v>
      </c>
      <c r="DH717">
        <v>5</v>
      </c>
      <c r="DI717">
        <v>2</v>
      </c>
      <c r="DL717">
        <v>20</v>
      </c>
      <c r="QG717">
        <v>5</v>
      </c>
      <c r="QH717">
        <v>2</v>
      </c>
      <c r="QS717">
        <v>13</v>
      </c>
      <c r="QT717">
        <v>3</v>
      </c>
      <c r="QU717">
        <v>5</v>
      </c>
      <c r="QV717">
        <v>2</v>
      </c>
      <c r="QY717">
        <v>20</v>
      </c>
      <c r="RT717">
        <v>5</v>
      </c>
      <c r="RU717">
        <v>2</v>
      </c>
      <c r="SF717">
        <v>13</v>
      </c>
      <c r="SG717">
        <v>3</v>
      </c>
      <c r="SH717">
        <v>5</v>
      </c>
      <c r="SI717">
        <v>2</v>
      </c>
      <c r="SL717">
        <v>20</v>
      </c>
    </row>
    <row r="718" spans="2:511" ht="18" customHeight="1" x14ac:dyDescent="0.25">
      <c r="B718" s="49" t="s">
        <v>688</v>
      </c>
      <c r="E718" t="s">
        <v>123</v>
      </c>
      <c r="AS718" s="68"/>
      <c r="DF718">
        <v>2</v>
      </c>
      <c r="QS718">
        <v>2</v>
      </c>
      <c r="SF718">
        <v>2</v>
      </c>
    </row>
    <row r="719" spans="2:511" ht="18" customHeight="1" x14ac:dyDescent="0.25">
      <c r="B719" s="50" t="s">
        <v>689</v>
      </c>
      <c r="E719" t="s">
        <v>81</v>
      </c>
      <c r="AS719" s="68"/>
    </row>
    <row r="720" spans="2:511" ht="18" customHeight="1" x14ac:dyDescent="0.25">
      <c r="B720" s="49" t="s">
        <v>690</v>
      </c>
      <c r="E720" t="s">
        <v>123</v>
      </c>
      <c r="AS720" s="68"/>
    </row>
    <row r="721" spans="2:506" ht="18" customHeight="1" x14ac:dyDescent="0.25">
      <c r="B721" s="49" t="s">
        <v>691</v>
      </c>
      <c r="E721" t="s">
        <v>85</v>
      </c>
      <c r="AS721" s="68"/>
    </row>
    <row r="722" spans="2:506" ht="18" customHeight="1" x14ac:dyDescent="0.25">
      <c r="B722" s="49" t="s">
        <v>692</v>
      </c>
      <c r="E722" t="s">
        <v>105</v>
      </c>
      <c r="AS722" s="68"/>
    </row>
    <row r="723" spans="2:506" ht="18" customHeight="1" x14ac:dyDescent="0.25">
      <c r="B723" s="49" t="s">
        <v>693</v>
      </c>
      <c r="E723" t="s">
        <v>85</v>
      </c>
      <c r="AS723" s="68"/>
    </row>
    <row r="724" spans="2:506" ht="18" customHeight="1" x14ac:dyDescent="0.25">
      <c r="B724" s="50" t="s">
        <v>689</v>
      </c>
      <c r="E724" t="s">
        <v>81</v>
      </c>
      <c r="AS724" s="68"/>
    </row>
    <row r="725" spans="2:506" ht="18" customHeight="1" x14ac:dyDescent="0.25">
      <c r="B725" s="49" t="s">
        <v>694</v>
      </c>
      <c r="E725" t="s">
        <v>123</v>
      </c>
      <c r="AS725" s="68"/>
      <c r="DF725">
        <v>2</v>
      </c>
      <c r="QS725">
        <v>2</v>
      </c>
      <c r="SF725">
        <v>2</v>
      </c>
    </row>
    <row r="726" spans="2:506" ht="18" customHeight="1" x14ac:dyDescent="0.25">
      <c r="B726" s="49" t="s">
        <v>695</v>
      </c>
      <c r="E726" t="s">
        <v>108</v>
      </c>
      <c r="AS726" s="68"/>
    </row>
    <row r="727" spans="2:506" ht="18" customHeight="1" x14ac:dyDescent="0.25">
      <c r="B727" s="49" t="s">
        <v>696</v>
      </c>
      <c r="E727" t="s">
        <v>77</v>
      </c>
      <c r="AS727" s="68"/>
      <c r="CT727">
        <v>4</v>
      </c>
    </row>
    <row r="728" spans="2:506" ht="18" customHeight="1" x14ac:dyDescent="0.25">
      <c r="B728" s="49" t="s">
        <v>697</v>
      </c>
      <c r="E728" t="s">
        <v>85</v>
      </c>
      <c r="AS728" s="68"/>
      <c r="CZ728">
        <v>5</v>
      </c>
      <c r="DH728">
        <v>15</v>
      </c>
      <c r="DL728">
        <v>2</v>
      </c>
      <c r="QM728">
        <v>5</v>
      </c>
      <c r="QU728">
        <v>15</v>
      </c>
      <c r="QY728">
        <v>1</v>
      </c>
      <c r="RZ728">
        <v>5</v>
      </c>
      <c r="SH728">
        <v>15</v>
      </c>
      <c r="SL728">
        <v>2</v>
      </c>
    </row>
    <row r="729" spans="2:506" ht="18" customHeight="1" x14ac:dyDescent="0.25">
      <c r="B729" s="49" t="s">
        <v>698</v>
      </c>
      <c r="E729" t="s">
        <v>85</v>
      </c>
      <c r="AS729" s="68"/>
      <c r="DL729">
        <v>3</v>
      </c>
      <c r="QY729">
        <v>2</v>
      </c>
      <c r="SL729">
        <v>3</v>
      </c>
    </row>
    <row r="730" spans="2:506" ht="18" customHeight="1" x14ac:dyDescent="0.25">
      <c r="B730" s="49" t="s">
        <v>699</v>
      </c>
      <c r="E730" t="s">
        <v>85</v>
      </c>
      <c r="AS730" s="68"/>
      <c r="CT730">
        <v>5</v>
      </c>
      <c r="CU730">
        <v>2</v>
      </c>
      <c r="DF730">
        <v>13</v>
      </c>
      <c r="DG730">
        <v>3</v>
      </c>
      <c r="DH730">
        <v>5</v>
      </c>
      <c r="DI730">
        <v>2</v>
      </c>
      <c r="DL730">
        <v>2</v>
      </c>
      <c r="QG730">
        <v>5</v>
      </c>
      <c r="QH730">
        <v>2</v>
      </c>
      <c r="QS730">
        <v>13</v>
      </c>
      <c r="QT730">
        <v>3</v>
      </c>
      <c r="QU730">
        <v>5</v>
      </c>
      <c r="QV730">
        <v>2</v>
      </c>
      <c r="QY730">
        <v>1</v>
      </c>
      <c r="RT730">
        <v>5</v>
      </c>
      <c r="RU730">
        <v>2</v>
      </c>
      <c r="SF730">
        <v>13</v>
      </c>
      <c r="SG730">
        <v>3</v>
      </c>
      <c r="SH730">
        <v>5</v>
      </c>
      <c r="SI730">
        <v>2</v>
      </c>
      <c r="SL730">
        <v>2</v>
      </c>
    </row>
    <row r="731" spans="2:506" ht="18" customHeight="1" x14ac:dyDescent="0.25">
      <c r="B731" s="49" t="s">
        <v>700</v>
      </c>
      <c r="E731" t="s">
        <v>85</v>
      </c>
      <c r="AS731" s="68"/>
      <c r="CZ731">
        <v>5</v>
      </c>
      <c r="DH731">
        <v>15</v>
      </c>
      <c r="DL731">
        <v>4</v>
      </c>
      <c r="QM731">
        <v>5</v>
      </c>
      <c r="QU731">
        <v>15</v>
      </c>
      <c r="QY731">
        <v>3</v>
      </c>
      <c r="RZ731">
        <v>5</v>
      </c>
      <c r="SH731">
        <v>15</v>
      </c>
      <c r="SL731">
        <v>4</v>
      </c>
    </row>
    <row r="732" spans="2:506" ht="18" customHeight="1" x14ac:dyDescent="0.25">
      <c r="B732" s="49" t="s">
        <v>701</v>
      </c>
      <c r="E732" t="s">
        <v>85</v>
      </c>
      <c r="AS732" s="68"/>
      <c r="DL732">
        <v>2</v>
      </c>
      <c r="QY732">
        <v>1</v>
      </c>
      <c r="SL732">
        <v>2</v>
      </c>
    </row>
    <row r="733" spans="2:506" ht="18" customHeight="1" x14ac:dyDescent="0.25">
      <c r="B733" s="49" t="s">
        <v>702</v>
      </c>
      <c r="E733" t="s">
        <v>85</v>
      </c>
      <c r="AS733" s="68"/>
      <c r="DL733">
        <v>2</v>
      </c>
      <c r="QY733">
        <v>1</v>
      </c>
      <c r="SL733">
        <v>2</v>
      </c>
    </row>
    <row r="734" spans="2:506" ht="18" customHeight="1" x14ac:dyDescent="0.25">
      <c r="B734" s="49" t="s">
        <v>703</v>
      </c>
      <c r="E734" t="s">
        <v>85</v>
      </c>
      <c r="AS734" s="68"/>
      <c r="DL734">
        <v>2</v>
      </c>
      <c r="QY734">
        <v>1</v>
      </c>
      <c r="SL734">
        <v>2</v>
      </c>
    </row>
    <row r="735" spans="2:506" ht="18" customHeight="1" x14ac:dyDescent="0.25">
      <c r="B735" s="49" t="s">
        <v>704</v>
      </c>
      <c r="E735" t="s">
        <v>85</v>
      </c>
      <c r="AS735" s="68"/>
      <c r="CT735">
        <v>5</v>
      </c>
      <c r="CU735">
        <v>2</v>
      </c>
      <c r="DF735">
        <v>13</v>
      </c>
      <c r="DG735">
        <v>3</v>
      </c>
      <c r="DH735">
        <v>5</v>
      </c>
      <c r="DI735">
        <v>2</v>
      </c>
      <c r="DL735">
        <v>2</v>
      </c>
      <c r="QG735">
        <v>5</v>
      </c>
      <c r="QH735">
        <v>2</v>
      </c>
      <c r="QS735">
        <v>13</v>
      </c>
      <c r="QT735">
        <v>3</v>
      </c>
      <c r="QU735">
        <v>5</v>
      </c>
      <c r="QV735">
        <v>2</v>
      </c>
      <c r="QY735">
        <v>1</v>
      </c>
      <c r="RT735">
        <v>5</v>
      </c>
      <c r="RU735">
        <v>2</v>
      </c>
      <c r="SF735">
        <v>13</v>
      </c>
      <c r="SG735">
        <v>3</v>
      </c>
      <c r="SH735">
        <v>5</v>
      </c>
      <c r="SI735">
        <v>2</v>
      </c>
      <c r="SL735">
        <v>2</v>
      </c>
    </row>
    <row r="736" spans="2:506" ht="18" customHeight="1" x14ac:dyDescent="0.25">
      <c r="B736" s="49" t="s">
        <v>705</v>
      </c>
      <c r="E736" t="s">
        <v>85</v>
      </c>
      <c r="AS736" s="68"/>
      <c r="CZ736">
        <v>5</v>
      </c>
      <c r="DH736">
        <v>15</v>
      </c>
      <c r="DL736">
        <v>2</v>
      </c>
      <c r="QM736">
        <v>5</v>
      </c>
      <c r="QU736">
        <v>15</v>
      </c>
      <c r="QY736">
        <v>1</v>
      </c>
      <c r="RZ736">
        <v>5</v>
      </c>
      <c r="SH736">
        <v>15</v>
      </c>
      <c r="SL736">
        <v>2</v>
      </c>
    </row>
    <row r="737" spans="1:512" ht="18" customHeight="1" x14ac:dyDescent="0.25">
      <c r="B737" s="49" t="s">
        <v>706</v>
      </c>
      <c r="E737" t="s">
        <v>77</v>
      </c>
      <c r="AS737" s="68"/>
      <c r="CT737">
        <v>1</v>
      </c>
    </row>
    <row r="738" spans="1:512" ht="18" customHeight="1" x14ac:dyDescent="0.25">
      <c r="B738" s="49" t="s">
        <v>707</v>
      </c>
      <c r="E738" t="s">
        <v>159</v>
      </c>
      <c r="AS738" s="68"/>
      <c r="CV738">
        <v>7</v>
      </c>
      <c r="QI738">
        <v>5</v>
      </c>
      <c r="RV738">
        <v>15</v>
      </c>
    </row>
    <row r="739" spans="1:512" ht="18" customHeight="1" x14ac:dyDescent="0.25">
      <c r="B739" s="49" t="s">
        <v>708</v>
      </c>
      <c r="E739" t="s">
        <v>105</v>
      </c>
      <c r="AS739" s="68"/>
    </row>
    <row r="740" spans="1:512" ht="18" customHeight="1" x14ac:dyDescent="0.25">
      <c r="B740" s="49" t="s">
        <v>709</v>
      </c>
      <c r="E740" t="s">
        <v>161</v>
      </c>
      <c r="AS740" s="68"/>
    </row>
    <row r="741" spans="1:512" ht="18" customHeight="1" x14ac:dyDescent="0.25">
      <c r="B741" s="50" t="s">
        <v>710</v>
      </c>
      <c r="E741" t="s">
        <v>81</v>
      </c>
      <c r="AS741" s="68"/>
    </row>
    <row r="742" spans="1:512" ht="18" customHeight="1" x14ac:dyDescent="0.25">
      <c r="B742" s="49" t="s">
        <v>711</v>
      </c>
      <c r="E742" t="s">
        <v>161</v>
      </c>
      <c r="AS742" s="68"/>
    </row>
    <row r="743" spans="1:512" ht="18" customHeight="1" x14ac:dyDescent="0.25">
      <c r="B743" s="49" t="s">
        <v>712</v>
      </c>
      <c r="E743" t="s">
        <v>161</v>
      </c>
      <c r="AS743" s="68"/>
    </row>
    <row r="744" spans="1:512" ht="18" customHeight="1" x14ac:dyDescent="0.25">
      <c r="B744" s="49" t="s">
        <v>713</v>
      </c>
      <c r="E744" t="s">
        <v>85</v>
      </c>
      <c r="AS744" s="68"/>
      <c r="CZ744">
        <v>5</v>
      </c>
      <c r="DH744">
        <v>15</v>
      </c>
      <c r="DL744">
        <v>3</v>
      </c>
      <c r="QM744">
        <v>5</v>
      </c>
      <c r="QU744">
        <v>15</v>
      </c>
      <c r="QY744">
        <v>2</v>
      </c>
      <c r="RZ744">
        <v>5</v>
      </c>
      <c r="SH744">
        <v>15</v>
      </c>
      <c r="SL744">
        <v>3</v>
      </c>
    </row>
    <row r="745" spans="1:512" ht="18" customHeight="1" x14ac:dyDescent="0.25">
      <c r="B745" s="50" t="s">
        <v>686</v>
      </c>
      <c r="E745" t="s">
        <v>81</v>
      </c>
      <c r="AS745" s="68"/>
    </row>
    <row r="746" spans="1:512" ht="18" customHeight="1" x14ac:dyDescent="0.25">
      <c r="B746" s="49" t="s">
        <v>714</v>
      </c>
      <c r="E746" t="s">
        <v>85</v>
      </c>
      <c r="AS746" s="68"/>
      <c r="DL746">
        <v>2</v>
      </c>
      <c r="QY746">
        <v>1</v>
      </c>
      <c r="SL746">
        <v>2</v>
      </c>
    </row>
    <row r="747" spans="1:512" ht="18" customHeight="1" x14ac:dyDescent="0.25">
      <c r="A747" s="54" t="s">
        <v>715</v>
      </c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  <c r="BG747" s="55"/>
      <c r="BH747" s="55"/>
      <c r="BI747" s="55"/>
      <c r="BJ747" s="55"/>
      <c r="BK747" s="55"/>
      <c r="BL747" s="55"/>
      <c r="BM747" s="55"/>
      <c r="BN747" s="55"/>
      <c r="BO747" s="55"/>
      <c r="BP747" s="55"/>
      <c r="BQ747" s="55"/>
      <c r="BR747" s="55"/>
      <c r="BS747" s="55"/>
      <c r="BT747" s="55"/>
      <c r="BU747" s="55"/>
      <c r="BV747" s="55"/>
      <c r="BW747" s="55"/>
      <c r="BX747" s="55"/>
      <c r="BY747" s="55"/>
      <c r="BZ747" s="55"/>
      <c r="CA747" s="55"/>
      <c r="CB747" s="55"/>
      <c r="CC747" s="55"/>
      <c r="CD747" s="55"/>
      <c r="CE747" s="55"/>
      <c r="CF747" s="55"/>
      <c r="CG747" s="55"/>
      <c r="CH747" s="55"/>
      <c r="CI747" s="55"/>
      <c r="CJ747" s="55"/>
      <c r="CK747" s="55"/>
      <c r="CL747" s="55"/>
      <c r="CM747" s="55"/>
      <c r="CN747" s="55"/>
      <c r="CO747" s="55"/>
      <c r="CP747" s="55"/>
      <c r="CQ747" s="55"/>
      <c r="CR747" s="55"/>
      <c r="CS747" s="55"/>
      <c r="CT747" s="55"/>
      <c r="CU747" s="55"/>
      <c r="CV747" s="55"/>
      <c r="CW747" s="55"/>
      <c r="CX747" s="55"/>
      <c r="CY747" s="55"/>
      <c r="CZ747" s="55"/>
      <c r="DA747" s="55"/>
      <c r="DB747" s="55"/>
      <c r="DC747" s="55"/>
      <c r="DD747" s="55"/>
      <c r="DE747" s="55"/>
      <c r="DF747" s="55"/>
      <c r="DG747" s="55"/>
      <c r="DH747" s="55"/>
      <c r="DI747" s="55"/>
      <c r="DJ747" s="55"/>
      <c r="DK747" s="55"/>
      <c r="DL747" s="55"/>
      <c r="DM747" s="55"/>
      <c r="DN747" s="55"/>
      <c r="DO747" s="55"/>
      <c r="DP747" s="55"/>
      <c r="DQ747" s="55"/>
      <c r="DR747" s="55"/>
      <c r="DS747" s="55"/>
      <c r="DT747" s="55"/>
      <c r="DU747" s="55"/>
      <c r="DV747" s="55"/>
      <c r="DW747" s="55"/>
      <c r="DX747" s="55"/>
      <c r="DY747" s="55"/>
      <c r="DZ747" s="55"/>
      <c r="EA747" s="55"/>
      <c r="EB747" s="55"/>
      <c r="EC747" s="55"/>
      <c r="ED747" s="55"/>
      <c r="EE747" s="55"/>
      <c r="EF747" s="55"/>
      <c r="EG747" s="55"/>
      <c r="EH747" s="55"/>
      <c r="EI747" s="55"/>
      <c r="EJ747" s="55"/>
      <c r="EK747" s="55"/>
      <c r="EL747" s="55"/>
      <c r="EM747" s="55"/>
      <c r="EN747" s="55"/>
      <c r="EO747" s="55"/>
      <c r="EP747" s="55"/>
      <c r="EQ747" s="55"/>
      <c r="ER747" s="55"/>
      <c r="ES747" s="55"/>
      <c r="ET747" s="55"/>
      <c r="EU747" s="55"/>
      <c r="EV747" s="55"/>
      <c r="EW747" s="55"/>
      <c r="EX747" s="55"/>
      <c r="EY747" s="55"/>
      <c r="EZ747" s="55"/>
      <c r="FA747" s="55"/>
      <c r="FB747" s="55"/>
      <c r="FC747" s="55"/>
      <c r="FD747" s="55"/>
      <c r="FE747" s="55"/>
      <c r="FF747" s="55"/>
      <c r="FG747" s="55"/>
      <c r="FH747" s="55"/>
      <c r="FI747" s="55"/>
      <c r="FJ747" s="55"/>
      <c r="FK747" s="55"/>
      <c r="FL747" s="55"/>
      <c r="FM747" s="55"/>
      <c r="FN747" s="55"/>
      <c r="FO747" s="55"/>
      <c r="FP747" s="55"/>
      <c r="FQ747" s="55"/>
      <c r="FR747" s="55"/>
      <c r="FS747" s="55"/>
      <c r="FT747" s="55"/>
      <c r="FU747" s="55"/>
      <c r="FV747" s="55"/>
      <c r="FW747" s="55"/>
      <c r="FX747" s="55"/>
      <c r="FY747" s="55"/>
      <c r="FZ747" s="55"/>
      <c r="GA747" s="55"/>
      <c r="GB747" s="55"/>
      <c r="GC747" s="55"/>
      <c r="GD747" s="55"/>
      <c r="GE747" s="55"/>
      <c r="GF747" s="55"/>
      <c r="GG747" s="55"/>
      <c r="GH747" s="55"/>
      <c r="GI747" s="55"/>
      <c r="GJ747" s="55"/>
      <c r="GK747" s="55"/>
      <c r="GL747" s="55"/>
      <c r="GM747" s="55"/>
      <c r="GN747" s="55"/>
      <c r="GO747" s="55"/>
      <c r="GP747" s="55"/>
      <c r="GQ747" s="55"/>
      <c r="GR747" s="55"/>
      <c r="GS747" s="55"/>
      <c r="GT747" s="55"/>
      <c r="GU747" s="55"/>
      <c r="GV747" s="55"/>
      <c r="GW747" s="55"/>
      <c r="GX747" s="55"/>
      <c r="GY747" s="55"/>
      <c r="GZ747" s="55"/>
      <c r="HA747" s="55"/>
      <c r="HB747" s="55"/>
      <c r="HC747" s="55"/>
      <c r="HD747" s="55"/>
      <c r="HE747" s="55"/>
      <c r="HF747" s="55"/>
      <c r="HG747" s="55"/>
      <c r="HH747" s="55"/>
      <c r="HI747" s="55"/>
      <c r="HJ747" s="55"/>
      <c r="HK747" s="55"/>
      <c r="HL747" s="55"/>
      <c r="HM747" s="55"/>
      <c r="HN747" s="55"/>
      <c r="HO747" s="55"/>
      <c r="HP747" s="55"/>
      <c r="HQ747" s="55"/>
      <c r="HR747" s="55"/>
      <c r="HS747" s="55"/>
      <c r="HT747" s="55"/>
      <c r="HU747" s="55"/>
      <c r="HV747" s="55"/>
      <c r="HW747" s="55"/>
      <c r="HX747" s="55"/>
      <c r="HY747" s="55"/>
      <c r="HZ747" s="55"/>
      <c r="IA747" s="55"/>
      <c r="IB747" s="55"/>
      <c r="IC747" s="55"/>
      <c r="ID747" s="55"/>
      <c r="IE747" s="55"/>
      <c r="IF747" s="55"/>
      <c r="IG747" s="55"/>
      <c r="IH747" s="55"/>
      <c r="II747" s="55"/>
      <c r="IJ747" s="55"/>
      <c r="IK747" s="55"/>
      <c r="IL747" s="55"/>
      <c r="IM747" s="55"/>
      <c r="IN747" s="55"/>
      <c r="IO747" s="55"/>
      <c r="IP747" s="55"/>
      <c r="IQ747" s="55"/>
      <c r="IR747" s="55"/>
      <c r="IS747" s="55"/>
      <c r="IT747" s="55"/>
      <c r="IU747" s="55"/>
      <c r="IV747" s="55"/>
      <c r="IW747" s="55"/>
      <c r="IX747" s="55"/>
      <c r="IY747" s="55"/>
      <c r="IZ747" s="55"/>
      <c r="JA747" s="55"/>
      <c r="JB747" s="55"/>
      <c r="JC747" s="55"/>
      <c r="JD747" s="55"/>
      <c r="JE747" s="55"/>
      <c r="JF747" s="55"/>
      <c r="JG747" s="55"/>
      <c r="JH747" s="55"/>
      <c r="JI747" s="55"/>
      <c r="JJ747" s="55"/>
      <c r="JK747" s="55"/>
      <c r="JL747" s="55"/>
      <c r="JM747" s="55"/>
      <c r="JN747" s="55"/>
      <c r="JO747" s="55"/>
      <c r="JP747" s="55"/>
      <c r="JQ747" s="55"/>
      <c r="JR747" s="55"/>
      <c r="JS747" s="55"/>
      <c r="JT747" s="55"/>
      <c r="JU747" s="55"/>
      <c r="JV747" s="55"/>
      <c r="JW747" s="55"/>
      <c r="JX747" s="55"/>
      <c r="JY747" s="55"/>
      <c r="JZ747" s="55"/>
      <c r="KA747" s="55"/>
      <c r="KB747" s="55"/>
      <c r="KC747" s="55"/>
      <c r="KD747" s="55"/>
      <c r="KE747" s="55"/>
      <c r="KF747" s="55"/>
      <c r="KG747" s="55"/>
      <c r="KH747" s="55"/>
      <c r="KI747" s="55"/>
      <c r="KJ747" s="55"/>
      <c r="KK747" s="55"/>
      <c r="KL747" s="55"/>
      <c r="KM747" s="55"/>
      <c r="KN747" s="55"/>
      <c r="KO747" s="55"/>
      <c r="KP747" s="55"/>
      <c r="KQ747" s="55"/>
      <c r="KR747" s="55"/>
      <c r="KS747" s="55"/>
      <c r="KT747" s="55"/>
      <c r="KU747" s="55"/>
      <c r="KV747" s="55"/>
      <c r="KW747" s="55"/>
      <c r="KX747" s="55"/>
      <c r="KY747" s="55"/>
      <c r="KZ747" s="55"/>
      <c r="LA747" s="55"/>
      <c r="LB747" s="55"/>
      <c r="LC747" s="55"/>
      <c r="LD747" s="55"/>
      <c r="LE747" s="55"/>
      <c r="LF747" s="55"/>
      <c r="LG747" s="55"/>
      <c r="LH747" s="55"/>
      <c r="LI747" s="55"/>
      <c r="LJ747" s="55"/>
      <c r="LK747" s="55"/>
      <c r="LL747" s="55"/>
      <c r="LM747" s="55"/>
      <c r="LN747" s="55"/>
      <c r="LO747" s="55"/>
      <c r="LP747" s="55"/>
      <c r="LQ747" s="55"/>
      <c r="LR747" s="55"/>
      <c r="LS747" s="55"/>
      <c r="LT747" s="55"/>
      <c r="LU747" s="55"/>
      <c r="LV747" s="55"/>
      <c r="LW747" s="55"/>
      <c r="LX747" s="55"/>
      <c r="LY747" s="55"/>
      <c r="LZ747" s="55"/>
      <c r="MA747" s="55"/>
      <c r="MB747" s="55"/>
      <c r="MC747" s="55"/>
      <c r="MD747" s="55"/>
      <c r="ME747" s="55"/>
      <c r="MF747" s="55"/>
      <c r="MG747" s="55"/>
      <c r="MH747" s="55"/>
      <c r="MI747" s="55"/>
      <c r="MJ747" s="55"/>
      <c r="MK747" s="55"/>
      <c r="ML747" s="55"/>
      <c r="MM747" s="55"/>
      <c r="MN747" s="55"/>
      <c r="MO747" s="55"/>
      <c r="MP747" s="55"/>
      <c r="MQ747" s="55"/>
      <c r="MR747" s="55"/>
      <c r="MS747" s="55"/>
      <c r="MT747" s="55"/>
      <c r="MU747" s="55"/>
      <c r="MV747" s="55"/>
      <c r="MW747" s="55"/>
      <c r="MX747" s="55"/>
      <c r="MY747" s="55"/>
      <c r="MZ747" s="55"/>
      <c r="NA747" s="55"/>
      <c r="NB747" s="55"/>
      <c r="NC747" s="55"/>
      <c r="ND747" s="55"/>
      <c r="NE747" s="55"/>
      <c r="NF747" s="55"/>
      <c r="NG747" s="55"/>
      <c r="NH747" s="55"/>
      <c r="NI747" s="55"/>
      <c r="NJ747" s="55"/>
      <c r="NK747" s="55"/>
      <c r="NL747" s="55"/>
      <c r="NM747" s="55"/>
      <c r="NN747" s="55"/>
      <c r="NO747" s="55"/>
      <c r="NP747" s="55"/>
      <c r="NQ747" s="55"/>
      <c r="NR747" s="55"/>
      <c r="NS747" s="55"/>
      <c r="NT747" s="55"/>
      <c r="NU747" s="55"/>
      <c r="NV747" s="55"/>
      <c r="NW747" s="55"/>
      <c r="NX747" s="55"/>
      <c r="NY747" s="55"/>
      <c r="NZ747" s="55"/>
      <c r="OA747" s="55"/>
      <c r="OB747" s="55"/>
      <c r="OC747" s="55"/>
      <c r="OD747" s="55"/>
      <c r="OE747" s="55"/>
      <c r="OF747" s="55"/>
      <c r="OG747" s="55"/>
      <c r="OH747" s="55"/>
      <c r="OI747" s="55"/>
      <c r="OJ747" s="55"/>
      <c r="OK747" s="55"/>
      <c r="OL747" s="55"/>
      <c r="OM747" s="55"/>
      <c r="ON747" s="55"/>
      <c r="OO747" s="55"/>
      <c r="OP747" s="55"/>
      <c r="OQ747" s="55"/>
      <c r="OR747" s="55"/>
      <c r="OS747" s="55"/>
      <c r="OT747" s="55"/>
      <c r="OU747" s="55"/>
      <c r="OV747" s="55"/>
      <c r="OW747" s="55"/>
      <c r="OX747" s="55"/>
      <c r="OY747" s="55"/>
      <c r="OZ747" s="55"/>
      <c r="PA747" s="55"/>
      <c r="PB747" s="55"/>
      <c r="PC747" s="55"/>
      <c r="PD747" s="55"/>
      <c r="PE747" s="55"/>
      <c r="PF747" s="55"/>
      <c r="PG747" s="55"/>
      <c r="PH747" s="55"/>
      <c r="PI747" s="55"/>
      <c r="PJ747" s="55"/>
      <c r="PK747" s="55"/>
      <c r="PL747" s="55"/>
      <c r="PM747" s="55"/>
      <c r="PN747" s="55"/>
      <c r="PO747" s="55"/>
      <c r="PP747" s="55"/>
      <c r="PQ747" s="55"/>
      <c r="PR747" s="55"/>
      <c r="PS747" s="55"/>
      <c r="PT747" s="55"/>
      <c r="PU747" s="55"/>
      <c r="PV747" s="55"/>
      <c r="PW747" s="55"/>
      <c r="PX747" s="55"/>
      <c r="PY747" s="55"/>
      <c r="PZ747" s="55"/>
      <c r="QA747" s="55"/>
      <c r="QB747" s="55"/>
      <c r="QC747" s="55"/>
      <c r="QD747" s="55"/>
      <c r="QE747" s="55"/>
      <c r="QF747" s="55"/>
      <c r="QG747" s="55"/>
      <c r="QH747" s="55"/>
      <c r="QI747" s="55"/>
      <c r="QJ747" s="55"/>
      <c r="QK747" s="55"/>
      <c r="QL747" s="55"/>
      <c r="QM747" s="55"/>
      <c r="QN747" s="55"/>
      <c r="QO747" s="55"/>
      <c r="QP747" s="55"/>
      <c r="QQ747" s="55"/>
      <c r="QR747" s="55"/>
      <c r="QS747" s="55"/>
      <c r="QT747" s="55"/>
      <c r="QU747" s="55"/>
      <c r="QV747" s="55"/>
      <c r="QW747" s="55"/>
      <c r="QX747" s="55"/>
      <c r="QY747" s="55"/>
      <c r="QZ747" s="55"/>
      <c r="RA747" s="55"/>
      <c r="RB747" s="55"/>
      <c r="RC747" s="55"/>
      <c r="RD747" s="55"/>
      <c r="RE747" s="55"/>
      <c r="RF747" s="55"/>
      <c r="RG747" s="55"/>
      <c r="RH747" s="55"/>
      <c r="RI747" s="55"/>
      <c r="RJ747" s="55"/>
      <c r="RK747" s="55"/>
      <c r="RL747" s="55"/>
      <c r="RM747" s="55"/>
      <c r="RN747" s="55"/>
      <c r="RO747" s="55"/>
      <c r="RP747" s="55"/>
      <c r="RQ747" s="55"/>
      <c r="RR747" s="55"/>
      <c r="RS747" s="55"/>
      <c r="RT747" s="55"/>
      <c r="RU747" s="55"/>
      <c r="RV747" s="55"/>
      <c r="RW747" s="55"/>
      <c r="RX747" s="55"/>
      <c r="RY747" s="55"/>
      <c r="RZ747" s="55"/>
      <c r="SA747" s="55"/>
      <c r="SB747" s="55"/>
      <c r="SC747" s="55"/>
      <c r="SD747" s="55"/>
      <c r="SE747" s="55"/>
      <c r="SF747" s="55"/>
      <c r="SG747" s="55"/>
      <c r="SH747" s="55"/>
      <c r="SI747" s="55"/>
      <c r="SJ747" s="55"/>
      <c r="SK747" s="55"/>
      <c r="SL747" s="55"/>
      <c r="SM747" s="55"/>
      <c r="SN747" s="55"/>
      <c r="SO747" s="55"/>
      <c r="SP747" s="55"/>
      <c r="SQ747" s="55"/>
      <c r="SR747" s="55"/>
    </row>
    <row r="748" spans="1:512" ht="18" customHeight="1" x14ac:dyDescent="0.25">
      <c r="B748" s="48" t="s">
        <v>716</v>
      </c>
      <c r="AS748" s="68"/>
    </row>
    <row r="749" spans="1:512" ht="18" customHeight="1" x14ac:dyDescent="0.25">
      <c r="B749" s="49" t="s">
        <v>717</v>
      </c>
      <c r="AS749" s="68"/>
    </row>
    <row r="750" spans="1:512" ht="18" customHeight="1" x14ac:dyDescent="0.25">
      <c r="B750" s="50" t="s">
        <v>718</v>
      </c>
      <c r="E750" t="s">
        <v>90</v>
      </c>
      <c r="AS750" s="68"/>
      <c r="DN750">
        <v>3</v>
      </c>
      <c r="RA750">
        <v>2</v>
      </c>
      <c r="SN750">
        <v>3</v>
      </c>
    </row>
    <row r="751" spans="1:512" ht="18" customHeight="1" x14ac:dyDescent="0.25">
      <c r="B751" s="50" t="s">
        <v>719</v>
      </c>
      <c r="E751" t="s">
        <v>90</v>
      </c>
      <c r="AS751" s="68"/>
      <c r="DN751">
        <v>2</v>
      </c>
      <c r="RA751">
        <v>1</v>
      </c>
      <c r="SN751">
        <v>2</v>
      </c>
    </row>
    <row r="752" spans="1:512" ht="18" customHeight="1" x14ac:dyDescent="0.25">
      <c r="B752" s="50" t="s">
        <v>720</v>
      </c>
      <c r="E752" t="s">
        <v>90</v>
      </c>
      <c r="AS752" s="68"/>
      <c r="DN752">
        <v>2</v>
      </c>
      <c r="RA752">
        <v>1</v>
      </c>
      <c r="SN752">
        <v>2</v>
      </c>
    </row>
    <row r="753" spans="1:512" ht="18" customHeight="1" x14ac:dyDescent="0.25">
      <c r="B753" s="50" t="s">
        <v>721</v>
      </c>
      <c r="E753" t="s">
        <v>90</v>
      </c>
      <c r="AS753" s="68"/>
      <c r="DN753">
        <v>2</v>
      </c>
      <c r="RA753">
        <v>1</v>
      </c>
      <c r="SN753">
        <v>2</v>
      </c>
    </row>
    <row r="754" spans="1:512" ht="18" customHeight="1" x14ac:dyDescent="0.25">
      <c r="B754" s="50" t="s">
        <v>722</v>
      </c>
      <c r="E754" t="s">
        <v>90</v>
      </c>
      <c r="AS754" s="68"/>
      <c r="DN754">
        <v>2</v>
      </c>
      <c r="RA754">
        <v>1</v>
      </c>
      <c r="SN754">
        <v>2</v>
      </c>
    </row>
    <row r="755" spans="1:512" ht="18" customHeight="1" x14ac:dyDescent="0.25">
      <c r="B755" s="50" t="s">
        <v>723</v>
      </c>
      <c r="E755" t="s">
        <v>90</v>
      </c>
      <c r="AS755" s="68"/>
      <c r="DN755">
        <v>2</v>
      </c>
      <c r="RA755">
        <v>1</v>
      </c>
      <c r="SN755">
        <v>2</v>
      </c>
    </row>
    <row r="756" spans="1:512" ht="18" customHeight="1" x14ac:dyDescent="0.25">
      <c r="B756" s="50" t="s">
        <v>724</v>
      </c>
      <c r="E756" t="s">
        <v>90</v>
      </c>
      <c r="AS756" s="68"/>
      <c r="DN756">
        <v>2</v>
      </c>
      <c r="RA756">
        <v>1</v>
      </c>
      <c r="SN756">
        <v>2</v>
      </c>
    </row>
    <row r="757" spans="1:512" ht="18" customHeight="1" x14ac:dyDescent="0.25">
      <c r="B757" s="50" t="s">
        <v>725</v>
      </c>
      <c r="E757" t="s">
        <v>85</v>
      </c>
      <c r="AS757" s="68"/>
      <c r="DL757">
        <v>3</v>
      </c>
      <c r="QY757">
        <v>2</v>
      </c>
      <c r="SL757">
        <v>3</v>
      </c>
    </row>
    <row r="758" spans="1:512" ht="18" customHeight="1" x14ac:dyDescent="0.25">
      <c r="B758" s="50" t="s">
        <v>726</v>
      </c>
      <c r="E758" t="s">
        <v>85</v>
      </c>
      <c r="AS758" s="68"/>
      <c r="DL758">
        <v>3</v>
      </c>
      <c r="QY758">
        <v>1</v>
      </c>
      <c r="SL758">
        <v>3</v>
      </c>
    </row>
    <row r="759" spans="1:512" ht="18" customHeight="1" x14ac:dyDescent="0.25">
      <c r="B759" s="50" t="s">
        <v>727</v>
      </c>
      <c r="E759" t="s">
        <v>85</v>
      </c>
      <c r="AS759" s="68"/>
      <c r="DL759">
        <v>3</v>
      </c>
      <c r="QY759">
        <v>2</v>
      </c>
      <c r="SL759">
        <v>3</v>
      </c>
    </row>
    <row r="760" spans="1:512" ht="18" customHeight="1" x14ac:dyDescent="0.25">
      <c r="B760" s="50" t="s">
        <v>728</v>
      </c>
      <c r="E760" t="s">
        <v>90</v>
      </c>
      <c r="AS760" s="68"/>
      <c r="DN760">
        <v>3</v>
      </c>
      <c r="RA760">
        <v>2</v>
      </c>
      <c r="SN760">
        <v>3</v>
      </c>
    </row>
    <row r="761" spans="1:512" ht="18" customHeight="1" x14ac:dyDescent="0.25">
      <c r="B761" s="50" t="s">
        <v>729</v>
      </c>
      <c r="E761" t="s">
        <v>90</v>
      </c>
      <c r="AS761" s="68"/>
      <c r="DN761">
        <v>3</v>
      </c>
      <c r="RA761">
        <v>2</v>
      </c>
      <c r="SN761">
        <v>3</v>
      </c>
    </row>
    <row r="762" spans="1:512" ht="18" customHeight="1" x14ac:dyDescent="0.25">
      <c r="A762" s="54" t="s">
        <v>730</v>
      </c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  <c r="BG762" s="55"/>
      <c r="BH762" s="55"/>
      <c r="BI762" s="55"/>
      <c r="BJ762" s="55"/>
      <c r="BK762" s="55"/>
      <c r="BL762" s="55"/>
      <c r="BM762" s="55"/>
      <c r="BN762" s="55"/>
      <c r="BO762" s="55"/>
      <c r="BP762" s="55"/>
      <c r="BQ762" s="55"/>
      <c r="BR762" s="55"/>
      <c r="BS762" s="55"/>
      <c r="BT762" s="55"/>
      <c r="BU762" s="55"/>
      <c r="BV762" s="55"/>
      <c r="BW762" s="55"/>
      <c r="BX762" s="55"/>
      <c r="BY762" s="55"/>
      <c r="BZ762" s="55"/>
      <c r="CA762" s="55"/>
      <c r="CB762" s="55"/>
      <c r="CC762" s="55"/>
      <c r="CD762" s="55"/>
      <c r="CE762" s="55"/>
      <c r="CF762" s="55"/>
      <c r="CG762" s="55"/>
      <c r="CH762" s="55"/>
      <c r="CI762" s="55"/>
      <c r="CJ762" s="55"/>
      <c r="CK762" s="55"/>
      <c r="CL762" s="55"/>
      <c r="CM762" s="55"/>
      <c r="CN762" s="55"/>
      <c r="CO762" s="55"/>
      <c r="CP762" s="55"/>
      <c r="CQ762" s="55"/>
      <c r="CR762" s="55"/>
      <c r="CS762" s="55"/>
      <c r="CT762" s="55"/>
      <c r="CU762" s="55"/>
      <c r="CV762" s="55"/>
      <c r="CW762" s="55"/>
      <c r="CX762" s="55"/>
      <c r="CY762" s="55"/>
      <c r="CZ762" s="55"/>
      <c r="DA762" s="55"/>
      <c r="DB762" s="55"/>
      <c r="DC762" s="55"/>
      <c r="DD762" s="55"/>
      <c r="DE762" s="55"/>
      <c r="DF762" s="55"/>
      <c r="DG762" s="55"/>
      <c r="DH762" s="55"/>
      <c r="DI762" s="55"/>
      <c r="DJ762" s="55"/>
      <c r="DK762" s="55"/>
      <c r="DL762" s="55"/>
      <c r="DM762" s="55"/>
      <c r="DN762" s="55"/>
      <c r="DO762" s="55"/>
      <c r="DP762" s="55"/>
      <c r="DQ762" s="55"/>
      <c r="DR762" s="55"/>
      <c r="DS762" s="55"/>
      <c r="DT762" s="55"/>
      <c r="DU762" s="55"/>
      <c r="DV762" s="55"/>
      <c r="DW762" s="55"/>
      <c r="DX762" s="55"/>
      <c r="DY762" s="55"/>
      <c r="DZ762" s="55"/>
      <c r="EA762" s="55"/>
      <c r="EB762" s="55"/>
      <c r="EC762" s="55"/>
      <c r="ED762" s="55"/>
      <c r="EE762" s="55"/>
      <c r="EF762" s="55"/>
      <c r="EG762" s="55"/>
      <c r="EH762" s="55"/>
      <c r="EI762" s="55"/>
      <c r="EJ762" s="55"/>
      <c r="EK762" s="55"/>
      <c r="EL762" s="55"/>
      <c r="EM762" s="55"/>
      <c r="EN762" s="55"/>
      <c r="EO762" s="55"/>
      <c r="EP762" s="55"/>
      <c r="EQ762" s="55"/>
      <c r="ER762" s="55"/>
      <c r="ES762" s="55"/>
      <c r="ET762" s="55"/>
      <c r="EU762" s="55"/>
      <c r="EV762" s="55"/>
      <c r="EW762" s="55"/>
      <c r="EX762" s="55"/>
      <c r="EY762" s="55"/>
      <c r="EZ762" s="55"/>
      <c r="FA762" s="55"/>
      <c r="FB762" s="55"/>
      <c r="FC762" s="55"/>
      <c r="FD762" s="55"/>
      <c r="FE762" s="55"/>
      <c r="FF762" s="55"/>
      <c r="FG762" s="55"/>
      <c r="FH762" s="55"/>
      <c r="FI762" s="55"/>
      <c r="FJ762" s="55"/>
      <c r="FK762" s="55"/>
      <c r="FL762" s="55"/>
      <c r="FM762" s="55"/>
      <c r="FN762" s="55"/>
      <c r="FO762" s="55"/>
      <c r="FP762" s="55"/>
      <c r="FQ762" s="55"/>
      <c r="FR762" s="55"/>
      <c r="FS762" s="55"/>
      <c r="FT762" s="55"/>
      <c r="FU762" s="55"/>
      <c r="FV762" s="55"/>
      <c r="FW762" s="55"/>
      <c r="FX762" s="55"/>
      <c r="FY762" s="55"/>
      <c r="FZ762" s="55"/>
      <c r="GA762" s="55"/>
      <c r="GB762" s="55"/>
      <c r="GC762" s="55"/>
      <c r="GD762" s="55"/>
      <c r="GE762" s="55"/>
      <c r="GF762" s="55"/>
      <c r="GG762" s="55"/>
      <c r="GH762" s="55"/>
      <c r="GI762" s="55"/>
      <c r="GJ762" s="55"/>
      <c r="GK762" s="55"/>
      <c r="GL762" s="55"/>
      <c r="GM762" s="55"/>
      <c r="GN762" s="55"/>
      <c r="GO762" s="55"/>
      <c r="GP762" s="55"/>
      <c r="GQ762" s="55"/>
      <c r="GR762" s="55"/>
      <c r="GS762" s="55"/>
      <c r="GT762" s="55"/>
      <c r="GU762" s="55"/>
      <c r="GV762" s="55"/>
      <c r="GW762" s="55"/>
      <c r="GX762" s="55"/>
      <c r="GY762" s="55"/>
      <c r="GZ762" s="55"/>
      <c r="HA762" s="55"/>
      <c r="HB762" s="55"/>
      <c r="HC762" s="55"/>
      <c r="HD762" s="55"/>
      <c r="HE762" s="55"/>
      <c r="HF762" s="55"/>
      <c r="HG762" s="55"/>
      <c r="HH762" s="55"/>
      <c r="HI762" s="55"/>
      <c r="HJ762" s="55"/>
      <c r="HK762" s="55"/>
      <c r="HL762" s="55"/>
      <c r="HM762" s="55"/>
      <c r="HN762" s="55"/>
      <c r="HO762" s="55"/>
      <c r="HP762" s="55"/>
      <c r="HQ762" s="55"/>
      <c r="HR762" s="55"/>
      <c r="HS762" s="55"/>
      <c r="HT762" s="55"/>
      <c r="HU762" s="55"/>
      <c r="HV762" s="55"/>
      <c r="HW762" s="55"/>
      <c r="HX762" s="55"/>
      <c r="HY762" s="55"/>
      <c r="HZ762" s="55"/>
      <c r="IA762" s="55"/>
      <c r="IB762" s="55"/>
      <c r="IC762" s="55"/>
      <c r="ID762" s="55"/>
      <c r="IE762" s="55"/>
      <c r="IF762" s="55"/>
      <c r="IG762" s="55"/>
      <c r="IH762" s="55"/>
      <c r="II762" s="55"/>
      <c r="IJ762" s="55"/>
      <c r="IK762" s="55"/>
      <c r="IL762" s="55"/>
      <c r="IM762" s="55"/>
      <c r="IN762" s="55"/>
      <c r="IO762" s="55"/>
      <c r="IP762" s="55"/>
      <c r="IQ762" s="55"/>
      <c r="IR762" s="55"/>
      <c r="IS762" s="55"/>
      <c r="IT762" s="55"/>
      <c r="IU762" s="55"/>
      <c r="IV762" s="55"/>
      <c r="IW762" s="55"/>
      <c r="IX762" s="55"/>
      <c r="IY762" s="55"/>
      <c r="IZ762" s="55"/>
      <c r="JA762" s="55"/>
      <c r="JB762" s="55"/>
      <c r="JC762" s="55"/>
      <c r="JD762" s="55"/>
      <c r="JE762" s="55"/>
      <c r="JF762" s="55"/>
      <c r="JG762" s="55"/>
      <c r="JH762" s="55"/>
      <c r="JI762" s="55"/>
      <c r="JJ762" s="55"/>
      <c r="JK762" s="55"/>
      <c r="JL762" s="55"/>
      <c r="JM762" s="55"/>
      <c r="JN762" s="55"/>
      <c r="JO762" s="55"/>
      <c r="JP762" s="55"/>
      <c r="JQ762" s="55"/>
      <c r="JR762" s="55"/>
      <c r="JS762" s="55"/>
      <c r="JT762" s="55"/>
      <c r="JU762" s="55"/>
      <c r="JV762" s="55"/>
      <c r="JW762" s="55"/>
      <c r="JX762" s="55"/>
      <c r="JY762" s="55"/>
      <c r="JZ762" s="55"/>
      <c r="KA762" s="55"/>
      <c r="KB762" s="55"/>
      <c r="KC762" s="55"/>
      <c r="KD762" s="55"/>
      <c r="KE762" s="55"/>
      <c r="KF762" s="55"/>
      <c r="KG762" s="55"/>
      <c r="KH762" s="55"/>
      <c r="KI762" s="55"/>
      <c r="KJ762" s="55"/>
      <c r="KK762" s="55"/>
      <c r="KL762" s="55"/>
      <c r="KM762" s="55"/>
      <c r="KN762" s="55"/>
      <c r="KO762" s="55"/>
      <c r="KP762" s="55"/>
      <c r="KQ762" s="55"/>
      <c r="KR762" s="55"/>
      <c r="KS762" s="55"/>
      <c r="KT762" s="55"/>
      <c r="KU762" s="55"/>
      <c r="KV762" s="55"/>
      <c r="KW762" s="55"/>
      <c r="KX762" s="55"/>
      <c r="KY762" s="55"/>
      <c r="KZ762" s="55"/>
      <c r="LA762" s="55"/>
      <c r="LB762" s="55"/>
      <c r="LC762" s="55"/>
      <c r="LD762" s="55"/>
      <c r="LE762" s="55"/>
      <c r="LF762" s="55"/>
      <c r="LG762" s="55"/>
      <c r="LH762" s="55"/>
      <c r="LI762" s="55"/>
      <c r="LJ762" s="55"/>
      <c r="LK762" s="55"/>
      <c r="LL762" s="55"/>
      <c r="LM762" s="55"/>
      <c r="LN762" s="55"/>
      <c r="LO762" s="55"/>
      <c r="LP762" s="55"/>
      <c r="LQ762" s="55"/>
      <c r="LR762" s="55"/>
      <c r="LS762" s="55"/>
      <c r="LT762" s="55"/>
      <c r="LU762" s="55"/>
      <c r="LV762" s="55"/>
      <c r="LW762" s="55"/>
      <c r="LX762" s="55"/>
      <c r="LY762" s="55"/>
      <c r="LZ762" s="55"/>
      <c r="MA762" s="55"/>
      <c r="MB762" s="55"/>
      <c r="MC762" s="55"/>
      <c r="MD762" s="55"/>
      <c r="ME762" s="55"/>
      <c r="MF762" s="55"/>
      <c r="MG762" s="55"/>
      <c r="MH762" s="55"/>
      <c r="MI762" s="55"/>
      <c r="MJ762" s="55"/>
      <c r="MK762" s="55"/>
      <c r="ML762" s="55"/>
      <c r="MM762" s="55"/>
      <c r="MN762" s="55"/>
      <c r="MO762" s="55"/>
      <c r="MP762" s="55"/>
      <c r="MQ762" s="55"/>
      <c r="MR762" s="55"/>
      <c r="MS762" s="55"/>
      <c r="MT762" s="55"/>
      <c r="MU762" s="55"/>
      <c r="MV762" s="55"/>
      <c r="MW762" s="55"/>
      <c r="MX762" s="55"/>
      <c r="MY762" s="55"/>
      <c r="MZ762" s="55"/>
      <c r="NA762" s="55"/>
      <c r="NB762" s="55"/>
      <c r="NC762" s="55"/>
      <c r="ND762" s="55"/>
      <c r="NE762" s="55"/>
      <c r="NF762" s="55"/>
      <c r="NG762" s="55"/>
      <c r="NH762" s="55"/>
      <c r="NI762" s="55"/>
      <c r="NJ762" s="55"/>
      <c r="NK762" s="55"/>
      <c r="NL762" s="55"/>
      <c r="NM762" s="55"/>
      <c r="NN762" s="55"/>
      <c r="NO762" s="55"/>
      <c r="NP762" s="55"/>
      <c r="NQ762" s="55"/>
      <c r="NR762" s="55"/>
      <c r="NS762" s="55"/>
      <c r="NT762" s="55"/>
      <c r="NU762" s="55"/>
      <c r="NV762" s="55"/>
      <c r="NW762" s="55"/>
      <c r="NX762" s="55"/>
      <c r="NY762" s="55"/>
      <c r="NZ762" s="55"/>
      <c r="OA762" s="55"/>
      <c r="OB762" s="55"/>
      <c r="OC762" s="55"/>
      <c r="OD762" s="55"/>
      <c r="OE762" s="55"/>
      <c r="OF762" s="55"/>
      <c r="OG762" s="55"/>
      <c r="OH762" s="55"/>
      <c r="OI762" s="55"/>
      <c r="OJ762" s="55"/>
      <c r="OK762" s="55"/>
      <c r="OL762" s="55"/>
      <c r="OM762" s="55"/>
      <c r="ON762" s="55"/>
      <c r="OO762" s="55"/>
      <c r="OP762" s="55"/>
      <c r="OQ762" s="55"/>
      <c r="OR762" s="55"/>
      <c r="OS762" s="55"/>
      <c r="OT762" s="55"/>
      <c r="OU762" s="55"/>
      <c r="OV762" s="55"/>
      <c r="OW762" s="55"/>
      <c r="OX762" s="55"/>
      <c r="OY762" s="55"/>
      <c r="OZ762" s="55"/>
      <c r="PA762" s="55"/>
      <c r="PB762" s="55"/>
      <c r="PC762" s="55"/>
      <c r="PD762" s="55"/>
      <c r="PE762" s="55"/>
      <c r="PF762" s="55"/>
      <c r="PG762" s="55"/>
      <c r="PH762" s="55"/>
      <c r="PI762" s="55"/>
      <c r="PJ762" s="55"/>
      <c r="PK762" s="55"/>
      <c r="PL762" s="55"/>
      <c r="PM762" s="55"/>
      <c r="PN762" s="55"/>
      <c r="PO762" s="55"/>
      <c r="PP762" s="55"/>
      <c r="PQ762" s="55"/>
      <c r="PR762" s="55"/>
      <c r="PS762" s="55"/>
      <c r="PT762" s="55"/>
      <c r="PU762" s="55"/>
      <c r="PV762" s="55"/>
      <c r="PW762" s="55"/>
      <c r="PX762" s="55"/>
      <c r="PY762" s="55"/>
      <c r="PZ762" s="55"/>
      <c r="QA762" s="55"/>
      <c r="QB762" s="55"/>
      <c r="QC762" s="55"/>
      <c r="QD762" s="55"/>
      <c r="QE762" s="55"/>
      <c r="QF762" s="55"/>
      <c r="QG762" s="55"/>
      <c r="QH762" s="55"/>
      <c r="QI762" s="55"/>
      <c r="QJ762" s="55"/>
      <c r="QK762" s="55"/>
      <c r="QL762" s="55"/>
      <c r="QM762" s="55"/>
      <c r="QN762" s="55"/>
      <c r="QO762" s="55"/>
      <c r="QP762" s="55"/>
      <c r="QQ762" s="55"/>
      <c r="QR762" s="55"/>
      <c r="QS762" s="55"/>
      <c r="QT762" s="55"/>
      <c r="QU762" s="55"/>
      <c r="QV762" s="55"/>
      <c r="QW762" s="55"/>
      <c r="QX762" s="55"/>
      <c r="QY762" s="55"/>
      <c r="QZ762" s="55"/>
      <c r="RA762" s="55"/>
      <c r="RB762" s="55"/>
      <c r="RC762" s="55"/>
      <c r="RD762" s="55"/>
      <c r="RE762" s="55"/>
      <c r="RF762" s="55"/>
      <c r="RG762" s="55"/>
      <c r="RH762" s="55"/>
      <c r="RI762" s="55"/>
      <c r="RJ762" s="55"/>
      <c r="RK762" s="55"/>
      <c r="RL762" s="55"/>
      <c r="RM762" s="55"/>
      <c r="RN762" s="55"/>
      <c r="RO762" s="55"/>
      <c r="RP762" s="55"/>
      <c r="RQ762" s="55"/>
      <c r="RR762" s="55"/>
      <c r="RS762" s="55"/>
      <c r="RT762" s="55"/>
      <c r="RU762" s="55"/>
      <c r="RV762" s="55"/>
      <c r="RW762" s="55"/>
      <c r="RX762" s="55"/>
      <c r="RY762" s="55"/>
      <c r="RZ762" s="55"/>
      <c r="SA762" s="55"/>
      <c r="SB762" s="55"/>
      <c r="SC762" s="55"/>
      <c r="SD762" s="55"/>
      <c r="SE762" s="55"/>
      <c r="SF762" s="55"/>
      <c r="SG762" s="55"/>
      <c r="SH762" s="55"/>
      <c r="SI762" s="55"/>
      <c r="SJ762" s="55"/>
      <c r="SK762" s="55"/>
      <c r="SL762" s="55"/>
      <c r="SM762" s="55"/>
      <c r="SN762" s="55"/>
      <c r="SO762" s="55"/>
      <c r="SP762" s="55"/>
      <c r="SQ762" s="55"/>
      <c r="SR762" s="55"/>
    </row>
    <row r="763" spans="1:512" ht="18" customHeight="1" x14ac:dyDescent="0.25">
      <c r="B763" s="48" t="s">
        <v>731</v>
      </c>
      <c r="C763" t="s">
        <v>75</v>
      </c>
      <c r="D763" t="s">
        <v>103</v>
      </c>
      <c r="E763" t="s">
        <v>77</v>
      </c>
      <c r="AS763" s="68"/>
      <c r="CT763">
        <v>10</v>
      </c>
      <c r="DA763">
        <v>30</v>
      </c>
      <c r="DL763">
        <v>40</v>
      </c>
      <c r="DQ763">
        <v>3</v>
      </c>
      <c r="QG763">
        <v>8</v>
      </c>
      <c r="QN763">
        <v>30</v>
      </c>
      <c r="QY763">
        <v>40</v>
      </c>
      <c r="RD763">
        <v>3</v>
      </c>
      <c r="RT763">
        <v>16</v>
      </c>
      <c r="SA763">
        <v>30</v>
      </c>
      <c r="SL763">
        <v>40</v>
      </c>
      <c r="SQ763">
        <v>3</v>
      </c>
    </row>
    <row r="764" spans="1:512" ht="18" customHeight="1" x14ac:dyDescent="0.25">
      <c r="B764" s="50" t="s">
        <v>732</v>
      </c>
      <c r="E764" t="s">
        <v>77</v>
      </c>
      <c r="AS764" s="68"/>
      <c r="CT764">
        <v>3</v>
      </c>
      <c r="QG764">
        <v>2</v>
      </c>
      <c r="RT764">
        <v>10</v>
      </c>
    </row>
    <row r="765" spans="1:512" ht="18" customHeight="1" x14ac:dyDescent="0.25">
      <c r="B765" s="50" t="s">
        <v>733</v>
      </c>
      <c r="E765" t="s">
        <v>77</v>
      </c>
      <c r="AS765" s="68"/>
      <c r="CT765">
        <v>1</v>
      </c>
      <c r="QG765">
        <v>5</v>
      </c>
      <c r="RT765">
        <v>10</v>
      </c>
    </row>
    <row r="766" spans="1:512" ht="18" customHeight="1" x14ac:dyDescent="0.25">
      <c r="B766" s="49" t="s">
        <v>734</v>
      </c>
      <c r="E766" t="s">
        <v>85</v>
      </c>
      <c r="AS766" s="68"/>
      <c r="DL766">
        <v>3</v>
      </c>
      <c r="QY766">
        <v>2</v>
      </c>
      <c r="SL766">
        <v>3</v>
      </c>
    </row>
    <row r="767" spans="1:512" ht="18" customHeight="1" x14ac:dyDescent="0.25">
      <c r="B767" s="49" t="s">
        <v>735</v>
      </c>
      <c r="E767" t="s">
        <v>90</v>
      </c>
      <c r="AS767" s="68"/>
    </row>
    <row r="768" spans="1:512" ht="18" customHeight="1" x14ac:dyDescent="0.25">
      <c r="B768" s="50" t="s">
        <v>736</v>
      </c>
      <c r="E768" t="s">
        <v>81</v>
      </c>
      <c r="AS768" s="68"/>
    </row>
    <row r="769" spans="2:508" ht="18" customHeight="1" x14ac:dyDescent="0.25">
      <c r="B769" s="49" t="s">
        <v>737</v>
      </c>
      <c r="E769" t="s">
        <v>105</v>
      </c>
      <c r="AS769" s="68"/>
    </row>
    <row r="770" spans="2:508" ht="18" customHeight="1" x14ac:dyDescent="0.25">
      <c r="B770" s="49" t="s">
        <v>738</v>
      </c>
      <c r="E770" t="s">
        <v>161</v>
      </c>
      <c r="AS770" s="68"/>
    </row>
    <row r="771" spans="2:508" ht="18" customHeight="1" x14ac:dyDescent="0.25">
      <c r="B771" s="49" t="s">
        <v>739</v>
      </c>
      <c r="E771" t="s">
        <v>105</v>
      </c>
      <c r="AS771" s="68"/>
    </row>
    <row r="772" spans="2:508" ht="18" customHeight="1" x14ac:dyDescent="0.25">
      <c r="B772" s="49" t="s">
        <v>740</v>
      </c>
      <c r="E772" t="s">
        <v>161</v>
      </c>
      <c r="AS772" s="68"/>
    </row>
    <row r="773" spans="2:508" ht="18" customHeight="1" x14ac:dyDescent="0.25">
      <c r="B773" s="49" t="s">
        <v>741</v>
      </c>
      <c r="E773" t="s">
        <v>105</v>
      </c>
      <c r="AS773" s="68"/>
    </row>
    <row r="774" spans="2:508" ht="18" customHeight="1" x14ac:dyDescent="0.25">
      <c r="B774" s="49" t="s">
        <v>742</v>
      </c>
      <c r="E774" t="s">
        <v>79</v>
      </c>
      <c r="AS774" s="68"/>
      <c r="DA774">
        <v>15</v>
      </c>
      <c r="QN774">
        <v>15</v>
      </c>
      <c r="SA774">
        <v>20</v>
      </c>
    </row>
    <row r="775" spans="2:508" ht="18" customHeight="1" x14ac:dyDescent="0.25">
      <c r="B775" s="49" t="s">
        <v>743</v>
      </c>
      <c r="AS775" s="68"/>
    </row>
    <row r="776" spans="2:508" ht="18" customHeight="1" x14ac:dyDescent="0.25">
      <c r="B776" s="50" t="s">
        <v>744</v>
      </c>
      <c r="E776" t="s">
        <v>90</v>
      </c>
      <c r="AS776" s="68"/>
      <c r="DN776">
        <v>7</v>
      </c>
      <c r="RA776">
        <v>5</v>
      </c>
      <c r="SN776">
        <v>7</v>
      </c>
    </row>
    <row r="777" spans="2:508" ht="18" customHeight="1" x14ac:dyDescent="0.25">
      <c r="B777" s="50" t="s">
        <v>745</v>
      </c>
      <c r="E777" t="s">
        <v>90</v>
      </c>
      <c r="AS777" s="68"/>
      <c r="DN777">
        <v>3</v>
      </c>
      <c r="RA777">
        <v>2</v>
      </c>
      <c r="SN777">
        <v>3</v>
      </c>
    </row>
    <row r="778" spans="2:508" ht="18" customHeight="1" x14ac:dyDescent="0.25">
      <c r="B778" s="50" t="s">
        <v>746</v>
      </c>
      <c r="E778" t="s">
        <v>90</v>
      </c>
      <c r="AS778" s="68"/>
      <c r="DN778">
        <v>4</v>
      </c>
      <c r="RA778">
        <v>3</v>
      </c>
      <c r="SN778">
        <v>4</v>
      </c>
    </row>
    <row r="779" spans="2:508" ht="18" customHeight="1" x14ac:dyDescent="0.25">
      <c r="B779" s="50" t="s">
        <v>747</v>
      </c>
      <c r="E779" t="s">
        <v>90</v>
      </c>
      <c r="AS779" s="68"/>
      <c r="DN779">
        <v>3</v>
      </c>
      <c r="RA779">
        <v>2</v>
      </c>
      <c r="SN779">
        <v>3</v>
      </c>
    </row>
    <row r="780" spans="2:508" ht="18" customHeight="1" x14ac:dyDescent="0.25">
      <c r="B780" s="50" t="s">
        <v>748</v>
      </c>
      <c r="E780" t="s">
        <v>90</v>
      </c>
      <c r="AS780" s="68"/>
      <c r="DN780">
        <v>2</v>
      </c>
      <c r="RA780">
        <v>1</v>
      </c>
      <c r="SN780">
        <v>2</v>
      </c>
    </row>
    <row r="781" spans="2:508" ht="18" customHeight="1" x14ac:dyDescent="0.25">
      <c r="B781" s="50" t="s">
        <v>749</v>
      </c>
      <c r="E781" t="s">
        <v>85</v>
      </c>
      <c r="AS781" s="68"/>
      <c r="DL781">
        <v>3</v>
      </c>
      <c r="QY781">
        <v>2</v>
      </c>
      <c r="SL781">
        <v>3</v>
      </c>
    </row>
    <row r="782" spans="2:508" ht="18" customHeight="1" x14ac:dyDescent="0.25">
      <c r="B782" s="50" t="s">
        <v>750</v>
      </c>
      <c r="E782" t="s">
        <v>90</v>
      </c>
      <c r="AS782" s="68"/>
      <c r="DN782">
        <v>3</v>
      </c>
      <c r="RA782">
        <v>2</v>
      </c>
      <c r="SN782">
        <v>3</v>
      </c>
    </row>
    <row r="783" spans="2:508" ht="18" customHeight="1" x14ac:dyDescent="0.25">
      <c r="B783" s="50" t="s">
        <v>751</v>
      </c>
      <c r="E783" t="s">
        <v>90</v>
      </c>
      <c r="AS783" s="68"/>
      <c r="DN783">
        <v>3</v>
      </c>
      <c r="RA783">
        <v>2</v>
      </c>
      <c r="SN783">
        <v>3</v>
      </c>
    </row>
    <row r="784" spans="2:508" ht="18" customHeight="1" x14ac:dyDescent="0.25">
      <c r="B784" s="50" t="s">
        <v>752</v>
      </c>
      <c r="E784" t="s">
        <v>85</v>
      </c>
      <c r="AS784" s="68"/>
      <c r="DL784">
        <v>4</v>
      </c>
      <c r="QY784">
        <v>3</v>
      </c>
      <c r="SL784">
        <v>4</v>
      </c>
    </row>
    <row r="785" spans="1:512" ht="18" customHeight="1" x14ac:dyDescent="0.25">
      <c r="B785" s="50" t="s">
        <v>753</v>
      </c>
      <c r="E785" t="s">
        <v>85</v>
      </c>
      <c r="AS785" s="68"/>
      <c r="DL785">
        <v>2</v>
      </c>
      <c r="QY785">
        <v>1</v>
      </c>
      <c r="SL785">
        <v>2</v>
      </c>
    </row>
    <row r="786" spans="1:512" ht="18" customHeight="1" x14ac:dyDescent="0.25">
      <c r="B786" s="50" t="s">
        <v>754</v>
      </c>
      <c r="E786" t="s">
        <v>90</v>
      </c>
      <c r="AS786" s="68"/>
      <c r="DN786">
        <v>3</v>
      </c>
      <c r="RA786">
        <v>2</v>
      </c>
      <c r="SN786">
        <v>3</v>
      </c>
    </row>
    <row r="787" spans="1:512" ht="18" customHeight="1" x14ac:dyDescent="0.25">
      <c r="B787" s="50" t="s">
        <v>755</v>
      </c>
      <c r="E787" t="s">
        <v>85</v>
      </c>
      <c r="AS787" s="68"/>
      <c r="DL787">
        <v>3</v>
      </c>
      <c r="QY787">
        <v>2</v>
      </c>
      <c r="SL787">
        <v>3</v>
      </c>
    </row>
    <row r="788" spans="1:512" ht="18" customHeight="1" x14ac:dyDescent="0.25">
      <c r="B788" s="50" t="s">
        <v>756</v>
      </c>
      <c r="E788" t="s">
        <v>85</v>
      </c>
      <c r="AS788" s="68"/>
      <c r="DL788">
        <v>3</v>
      </c>
      <c r="QY788">
        <v>2</v>
      </c>
      <c r="SL788">
        <v>3</v>
      </c>
    </row>
    <row r="789" spans="1:512" ht="18" customHeight="1" x14ac:dyDescent="0.25">
      <c r="B789" s="50" t="s">
        <v>757</v>
      </c>
      <c r="E789" t="s">
        <v>90</v>
      </c>
      <c r="AS789" s="68"/>
      <c r="DN789">
        <v>3</v>
      </c>
      <c r="RA789">
        <v>2</v>
      </c>
      <c r="SN789">
        <v>3</v>
      </c>
    </row>
    <row r="790" spans="1:512" ht="18" customHeight="1" x14ac:dyDescent="0.25">
      <c r="B790" s="50" t="s">
        <v>758</v>
      </c>
      <c r="E790" t="s">
        <v>85</v>
      </c>
      <c r="AS790" s="68"/>
      <c r="DL790">
        <v>4</v>
      </c>
      <c r="QY790">
        <v>3</v>
      </c>
      <c r="SL790">
        <v>4</v>
      </c>
    </row>
    <row r="791" spans="1:512" ht="18" customHeight="1" x14ac:dyDescent="0.25">
      <c r="B791" s="49" t="s">
        <v>759</v>
      </c>
      <c r="E791" t="s">
        <v>105</v>
      </c>
      <c r="AS791" s="68"/>
    </row>
    <row r="792" spans="1:512" ht="18" customHeight="1" x14ac:dyDescent="0.25">
      <c r="B792" s="49" t="s">
        <v>760</v>
      </c>
      <c r="E792" t="s">
        <v>108</v>
      </c>
      <c r="AS792" s="68"/>
    </row>
    <row r="793" spans="1:512" ht="18" customHeight="1" x14ac:dyDescent="0.25">
      <c r="B793" s="49" t="s">
        <v>761</v>
      </c>
      <c r="E793" t="s">
        <v>123</v>
      </c>
      <c r="AS793" s="68"/>
      <c r="DF793">
        <v>5</v>
      </c>
      <c r="QS793">
        <v>3</v>
      </c>
      <c r="SF793">
        <v>5</v>
      </c>
    </row>
    <row r="794" spans="1:512" ht="18" customHeight="1" x14ac:dyDescent="0.25">
      <c r="B794" s="48" t="s">
        <v>762</v>
      </c>
      <c r="E794" t="s">
        <v>77</v>
      </c>
      <c r="AS794" s="68"/>
      <c r="CT794">
        <v>15</v>
      </c>
      <c r="DL794">
        <v>120</v>
      </c>
      <c r="QG794">
        <v>10</v>
      </c>
      <c r="QY794">
        <v>120</v>
      </c>
      <c r="RT794">
        <v>20</v>
      </c>
      <c r="SL794">
        <v>120</v>
      </c>
    </row>
    <row r="795" spans="1:512" ht="18" customHeight="1" x14ac:dyDescent="0.25">
      <c r="B795" s="48" t="s">
        <v>763</v>
      </c>
      <c r="E795" t="s">
        <v>77</v>
      </c>
      <c r="AS795" s="68"/>
      <c r="CT795">
        <v>90</v>
      </c>
      <c r="DA795">
        <v>30</v>
      </c>
      <c r="QG795">
        <v>90</v>
      </c>
      <c r="QN795">
        <v>30</v>
      </c>
      <c r="RT795">
        <v>90</v>
      </c>
      <c r="SA795">
        <v>30</v>
      </c>
    </row>
    <row r="796" spans="1:512" ht="18" customHeight="1" x14ac:dyDescent="0.25">
      <c r="B796" s="49" t="s">
        <v>764</v>
      </c>
      <c r="E796" t="s">
        <v>77</v>
      </c>
      <c r="AS796" s="68"/>
      <c r="CT796">
        <v>5</v>
      </c>
      <c r="QG796">
        <v>10</v>
      </c>
      <c r="RT796">
        <v>60</v>
      </c>
    </row>
    <row r="797" spans="1:512" ht="18" customHeight="1" x14ac:dyDescent="0.25">
      <c r="B797" s="50" t="s">
        <v>765</v>
      </c>
      <c r="E797" t="s">
        <v>81</v>
      </c>
      <c r="AS797" s="68"/>
    </row>
    <row r="798" spans="1:512" ht="18" customHeight="1" x14ac:dyDescent="0.25">
      <c r="B798" s="49" t="s">
        <v>735</v>
      </c>
      <c r="E798" t="s">
        <v>90</v>
      </c>
      <c r="AS798" s="68"/>
      <c r="DL798">
        <v>120</v>
      </c>
      <c r="QY798">
        <v>120</v>
      </c>
      <c r="SL798">
        <v>120</v>
      </c>
    </row>
    <row r="799" spans="1:512" ht="18" customHeight="1" x14ac:dyDescent="0.25">
      <c r="B799" s="50" t="s">
        <v>736</v>
      </c>
      <c r="E799" t="s">
        <v>81</v>
      </c>
      <c r="AS799" s="68"/>
    </row>
    <row r="800" spans="1:512" ht="18" customHeight="1" x14ac:dyDescent="0.25">
      <c r="A800" s="54" t="s">
        <v>766</v>
      </c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  <c r="BI800" s="55"/>
      <c r="BJ800" s="55"/>
      <c r="BK800" s="55"/>
      <c r="BL800" s="55"/>
      <c r="BM800" s="55"/>
      <c r="BN800" s="55"/>
      <c r="BO800" s="55"/>
      <c r="BP800" s="55"/>
      <c r="BQ800" s="55"/>
      <c r="BR800" s="55"/>
      <c r="BS800" s="55"/>
      <c r="BT800" s="55"/>
      <c r="BU800" s="55"/>
      <c r="BV800" s="55"/>
      <c r="BW800" s="55"/>
      <c r="BX800" s="55"/>
      <c r="BY800" s="55"/>
      <c r="BZ800" s="55"/>
      <c r="CA800" s="55"/>
      <c r="CB800" s="55"/>
      <c r="CC800" s="55"/>
      <c r="CD800" s="55"/>
      <c r="CE800" s="55"/>
      <c r="CF800" s="55"/>
      <c r="CG800" s="55"/>
      <c r="CH800" s="55"/>
      <c r="CI800" s="55"/>
      <c r="CJ800" s="55"/>
      <c r="CK800" s="55"/>
      <c r="CL800" s="55"/>
      <c r="CM800" s="55"/>
      <c r="CN800" s="55"/>
      <c r="CO800" s="55"/>
      <c r="CP800" s="55"/>
      <c r="CQ800" s="55"/>
      <c r="CR800" s="55"/>
      <c r="CS800" s="55"/>
      <c r="CT800" s="55"/>
      <c r="CU800" s="55"/>
      <c r="CV800" s="55"/>
      <c r="CW800" s="55"/>
      <c r="CX800" s="55"/>
      <c r="CY800" s="55"/>
      <c r="CZ800" s="55"/>
      <c r="DA800" s="55"/>
      <c r="DB800" s="55"/>
      <c r="DC800" s="55"/>
      <c r="DD800" s="55"/>
      <c r="DE800" s="55"/>
      <c r="DF800" s="55"/>
      <c r="DG800" s="55"/>
      <c r="DH800" s="55"/>
      <c r="DI800" s="55"/>
      <c r="DJ800" s="55"/>
      <c r="DK800" s="55"/>
      <c r="DL800" s="55"/>
      <c r="DM800" s="55"/>
      <c r="DN800" s="55"/>
      <c r="DO800" s="55"/>
      <c r="DP800" s="55"/>
      <c r="DQ800" s="55"/>
      <c r="DR800" s="55"/>
      <c r="DS800" s="55"/>
      <c r="DT800" s="55"/>
      <c r="DU800" s="55"/>
      <c r="DV800" s="55"/>
      <c r="DW800" s="55"/>
      <c r="DX800" s="55"/>
      <c r="DY800" s="55"/>
      <c r="DZ800" s="55"/>
      <c r="EA800" s="55"/>
      <c r="EB800" s="55"/>
      <c r="EC800" s="55"/>
      <c r="ED800" s="55"/>
      <c r="EE800" s="55"/>
      <c r="EF800" s="55"/>
      <c r="EG800" s="55"/>
      <c r="EH800" s="55"/>
      <c r="EI800" s="55"/>
      <c r="EJ800" s="55"/>
      <c r="EK800" s="55"/>
      <c r="EL800" s="55"/>
      <c r="EM800" s="55"/>
      <c r="EN800" s="55"/>
      <c r="EO800" s="55"/>
      <c r="EP800" s="55"/>
      <c r="EQ800" s="55"/>
      <c r="ER800" s="55"/>
      <c r="ES800" s="55"/>
      <c r="ET800" s="55"/>
      <c r="EU800" s="55"/>
      <c r="EV800" s="55"/>
      <c r="EW800" s="55"/>
      <c r="EX800" s="55"/>
      <c r="EY800" s="55"/>
      <c r="EZ800" s="55"/>
      <c r="FA800" s="55"/>
      <c r="FB800" s="55"/>
      <c r="FC800" s="55"/>
      <c r="FD800" s="55"/>
      <c r="FE800" s="55"/>
      <c r="FF800" s="55"/>
      <c r="FG800" s="55"/>
      <c r="FH800" s="55"/>
      <c r="FI800" s="55"/>
      <c r="FJ800" s="55"/>
      <c r="FK800" s="55"/>
      <c r="FL800" s="55"/>
      <c r="FM800" s="55"/>
      <c r="FN800" s="55"/>
      <c r="FO800" s="55"/>
      <c r="FP800" s="55"/>
      <c r="FQ800" s="55"/>
      <c r="FR800" s="55"/>
      <c r="FS800" s="55"/>
      <c r="FT800" s="55"/>
      <c r="FU800" s="55"/>
      <c r="FV800" s="55"/>
      <c r="FW800" s="55"/>
      <c r="FX800" s="55"/>
      <c r="FY800" s="55"/>
      <c r="FZ800" s="55"/>
      <c r="GA800" s="55"/>
      <c r="GB800" s="55"/>
      <c r="GC800" s="55"/>
      <c r="GD800" s="55"/>
      <c r="GE800" s="55"/>
      <c r="GF800" s="55"/>
      <c r="GG800" s="55"/>
      <c r="GH800" s="55"/>
      <c r="GI800" s="55"/>
      <c r="GJ800" s="55"/>
      <c r="GK800" s="55"/>
      <c r="GL800" s="55"/>
      <c r="GM800" s="55"/>
      <c r="GN800" s="55"/>
      <c r="GO800" s="55"/>
      <c r="GP800" s="55"/>
      <c r="GQ800" s="55"/>
      <c r="GR800" s="55"/>
      <c r="GS800" s="55"/>
      <c r="GT800" s="55"/>
      <c r="GU800" s="55"/>
      <c r="GV800" s="55"/>
      <c r="GW800" s="55"/>
      <c r="GX800" s="55"/>
      <c r="GY800" s="55"/>
      <c r="GZ800" s="55"/>
      <c r="HA800" s="55"/>
      <c r="HB800" s="55"/>
      <c r="HC800" s="55"/>
      <c r="HD800" s="55"/>
      <c r="HE800" s="55"/>
      <c r="HF800" s="55"/>
      <c r="HG800" s="55"/>
      <c r="HH800" s="55"/>
      <c r="HI800" s="55"/>
      <c r="HJ800" s="55"/>
      <c r="HK800" s="55"/>
      <c r="HL800" s="55"/>
      <c r="HM800" s="55"/>
      <c r="HN800" s="55"/>
      <c r="HO800" s="55"/>
      <c r="HP800" s="55"/>
      <c r="HQ800" s="55"/>
      <c r="HR800" s="55"/>
      <c r="HS800" s="55"/>
      <c r="HT800" s="55"/>
      <c r="HU800" s="55"/>
      <c r="HV800" s="55"/>
      <c r="HW800" s="55"/>
      <c r="HX800" s="55"/>
      <c r="HY800" s="55"/>
      <c r="HZ800" s="55"/>
      <c r="IA800" s="55"/>
      <c r="IB800" s="55"/>
      <c r="IC800" s="55"/>
      <c r="ID800" s="55"/>
      <c r="IE800" s="55"/>
      <c r="IF800" s="55"/>
      <c r="IG800" s="55"/>
      <c r="IH800" s="55"/>
      <c r="II800" s="55"/>
      <c r="IJ800" s="55"/>
      <c r="IK800" s="55"/>
      <c r="IL800" s="55"/>
      <c r="IM800" s="55"/>
      <c r="IN800" s="55"/>
      <c r="IO800" s="55"/>
      <c r="IP800" s="55"/>
      <c r="IQ800" s="55"/>
      <c r="IR800" s="55"/>
      <c r="IS800" s="55"/>
      <c r="IT800" s="55"/>
      <c r="IU800" s="55"/>
      <c r="IV800" s="55"/>
      <c r="IW800" s="55"/>
      <c r="IX800" s="55"/>
      <c r="IY800" s="55"/>
      <c r="IZ800" s="55"/>
      <c r="JA800" s="55"/>
      <c r="JB800" s="55"/>
      <c r="JC800" s="55"/>
      <c r="JD800" s="55"/>
      <c r="JE800" s="55"/>
      <c r="JF800" s="55"/>
      <c r="JG800" s="55"/>
      <c r="JH800" s="55"/>
      <c r="JI800" s="55"/>
      <c r="JJ800" s="55"/>
      <c r="JK800" s="55"/>
      <c r="JL800" s="55"/>
      <c r="JM800" s="55"/>
      <c r="JN800" s="55"/>
      <c r="JO800" s="55"/>
      <c r="JP800" s="55"/>
      <c r="JQ800" s="55"/>
      <c r="JR800" s="55"/>
      <c r="JS800" s="55"/>
      <c r="JT800" s="55"/>
      <c r="JU800" s="55"/>
      <c r="JV800" s="55"/>
      <c r="JW800" s="55"/>
      <c r="JX800" s="55"/>
      <c r="JY800" s="55"/>
      <c r="JZ800" s="55"/>
      <c r="KA800" s="55"/>
      <c r="KB800" s="55"/>
      <c r="KC800" s="55"/>
      <c r="KD800" s="55"/>
      <c r="KE800" s="55"/>
      <c r="KF800" s="55"/>
      <c r="KG800" s="55"/>
      <c r="KH800" s="55"/>
      <c r="KI800" s="55"/>
      <c r="KJ800" s="55"/>
      <c r="KK800" s="55"/>
      <c r="KL800" s="55"/>
      <c r="KM800" s="55"/>
      <c r="KN800" s="55"/>
      <c r="KO800" s="55"/>
      <c r="KP800" s="55"/>
      <c r="KQ800" s="55"/>
      <c r="KR800" s="55"/>
      <c r="KS800" s="55"/>
      <c r="KT800" s="55"/>
      <c r="KU800" s="55"/>
      <c r="KV800" s="55"/>
      <c r="KW800" s="55"/>
      <c r="KX800" s="55"/>
      <c r="KY800" s="55"/>
      <c r="KZ800" s="55"/>
      <c r="LA800" s="55"/>
      <c r="LB800" s="55"/>
      <c r="LC800" s="55"/>
      <c r="LD800" s="55"/>
      <c r="LE800" s="55"/>
      <c r="LF800" s="55"/>
      <c r="LG800" s="55"/>
      <c r="LH800" s="55"/>
      <c r="LI800" s="55"/>
      <c r="LJ800" s="55"/>
      <c r="LK800" s="55"/>
      <c r="LL800" s="55"/>
      <c r="LM800" s="55"/>
      <c r="LN800" s="55"/>
      <c r="LO800" s="55"/>
      <c r="LP800" s="55"/>
      <c r="LQ800" s="55"/>
      <c r="LR800" s="55"/>
      <c r="LS800" s="55"/>
      <c r="LT800" s="55"/>
      <c r="LU800" s="55"/>
      <c r="LV800" s="55"/>
      <c r="LW800" s="55"/>
      <c r="LX800" s="55"/>
      <c r="LY800" s="55"/>
      <c r="LZ800" s="55"/>
      <c r="MA800" s="55"/>
      <c r="MB800" s="55"/>
      <c r="MC800" s="55"/>
      <c r="MD800" s="55"/>
      <c r="ME800" s="55"/>
      <c r="MF800" s="55"/>
      <c r="MG800" s="55"/>
      <c r="MH800" s="55"/>
      <c r="MI800" s="55"/>
      <c r="MJ800" s="55"/>
      <c r="MK800" s="55"/>
      <c r="ML800" s="55"/>
      <c r="MM800" s="55"/>
      <c r="MN800" s="55"/>
      <c r="MO800" s="55"/>
      <c r="MP800" s="55"/>
      <c r="MQ800" s="55"/>
      <c r="MR800" s="55"/>
      <c r="MS800" s="55"/>
      <c r="MT800" s="55"/>
      <c r="MU800" s="55"/>
      <c r="MV800" s="55"/>
      <c r="MW800" s="55"/>
      <c r="MX800" s="55"/>
      <c r="MY800" s="55"/>
      <c r="MZ800" s="55"/>
      <c r="NA800" s="55"/>
      <c r="NB800" s="55"/>
      <c r="NC800" s="55"/>
      <c r="ND800" s="55"/>
      <c r="NE800" s="55"/>
      <c r="NF800" s="55"/>
      <c r="NG800" s="55"/>
      <c r="NH800" s="55"/>
      <c r="NI800" s="55"/>
      <c r="NJ800" s="55"/>
      <c r="NK800" s="55"/>
      <c r="NL800" s="55"/>
      <c r="NM800" s="55"/>
      <c r="NN800" s="55"/>
      <c r="NO800" s="55"/>
      <c r="NP800" s="55"/>
      <c r="NQ800" s="55"/>
      <c r="NR800" s="55"/>
      <c r="NS800" s="55"/>
      <c r="NT800" s="55"/>
      <c r="NU800" s="55"/>
      <c r="NV800" s="55"/>
      <c r="NW800" s="55"/>
      <c r="NX800" s="55"/>
      <c r="NY800" s="55"/>
      <c r="NZ800" s="55"/>
      <c r="OA800" s="55"/>
      <c r="OB800" s="55"/>
      <c r="OC800" s="55"/>
      <c r="OD800" s="55"/>
      <c r="OE800" s="55"/>
      <c r="OF800" s="55"/>
      <c r="OG800" s="55"/>
      <c r="OH800" s="55"/>
      <c r="OI800" s="55"/>
      <c r="OJ800" s="55"/>
      <c r="OK800" s="55"/>
      <c r="OL800" s="55"/>
      <c r="OM800" s="55"/>
      <c r="ON800" s="55"/>
      <c r="OO800" s="55"/>
      <c r="OP800" s="55"/>
      <c r="OQ800" s="55"/>
      <c r="OR800" s="55"/>
      <c r="OS800" s="55"/>
      <c r="OT800" s="55"/>
      <c r="OU800" s="55"/>
      <c r="OV800" s="55"/>
      <c r="OW800" s="55"/>
      <c r="OX800" s="55"/>
      <c r="OY800" s="55"/>
      <c r="OZ800" s="55"/>
      <c r="PA800" s="55"/>
      <c r="PB800" s="55"/>
      <c r="PC800" s="55"/>
      <c r="PD800" s="55"/>
      <c r="PE800" s="55"/>
      <c r="PF800" s="55"/>
      <c r="PG800" s="55"/>
      <c r="PH800" s="55"/>
      <c r="PI800" s="55"/>
      <c r="PJ800" s="55"/>
      <c r="PK800" s="55"/>
      <c r="PL800" s="55"/>
      <c r="PM800" s="55"/>
      <c r="PN800" s="55"/>
      <c r="PO800" s="55"/>
      <c r="PP800" s="55"/>
      <c r="PQ800" s="55"/>
      <c r="PR800" s="55"/>
      <c r="PS800" s="55"/>
      <c r="PT800" s="55"/>
      <c r="PU800" s="55"/>
      <c r="PV800" s="55"/>
      <c r="PW800" s="55"/>
      <c r="PX800" s="55"/>
      <c r="PY800" s="55"/>
      <c r="PZ800" s="55"/>
      <c r="QA800" s="55"/>
      <c r="QB800" s="55"/>
      <c r="QC800" s="55"/>
      <c r="QD800" s="55"/>
      <c r="QE800" s="55"/>
      <c r="QF800" s="55"/>
      <c r="QG800" s="55"/>
      <c r="QH800" s="55"/>
      <c r="QI800" s="55"/>
      <c r="QJ800" s="55"/>
      <c r="QK800" s="55"/>
      <c r="QL800" s="55"/>
      <c r="QM800" s="55"/>
      <c r="QN800" s="55"/>
      <c r="QO800" s="55"/>
      <c r="QP800" s="55"/>
      <c r="QQ800" s="55"/>
      <c r="QR800" s="55"/>
      <c r="QS800" s="55"/>
      <c r="QT800" s="55"/>
      <c r="QU800" s="55"/>
      <c r="QV800" s="55"/>
      <c r="QW800" s="55"/>
      <c r="QX800" s="55"/>
      <c r="QY800" s="55"/>
      <c r="QZ800" s="55"/>
      <c r="RA800" s="55"/>
      <c r="RB800" s="55"/>
      <c r="RC800" s="55"/>
      <c r="RD800" s="55"/>
      <c r="RE800" s="55"/>
      <c r="RF800" s="55"/>
      <c r="RG800" s="55"/>
      <c r="RH800" s="55"/>
      <c r="RI800" s="55"/>
      <c r="RJ800" s="55"/>
      <c r="RK800" s="55"/>
      <c r="RL800" s="55"/>
      <c r="RM800" s="55"/>
      <c r="RN800" s="55"/>
      <c r="RO800" s="55"/>
      <c r="RP800" s="55"/>
      <c r="RQ800" s="55"/>
      <c r="RR800" s="55"/>
      <c r="RS800" s="55"/>
      <c r="RT800" s="55"/>
      <c r="RU800" s="55"/>
      <c r="RV800" s="55"/>
      <c r="RW800" s="55"/>
      <c r="RX800" s="55"/>
      <c r="RY800" s="55"/>
      <c r="RZ800" s="55"/>
      <c r="SA800" s="55"/>
      <c r="SB800" s="55"/>
      <c r="SC800" s="55"/>
      <c r="SD800" s="55"/>
      <c r="SE800" s="55"/>
      <c r="SF800" s="55"/>
      <c r="SG800" s="55"/>
      <c r="SH800" s="55"/>
      <c r="SI800" s="55"/>
      <c r="SJ800" s="55"/>
      <c r="SK800" s="55"/>
      <c r="SL800" s="55"/>
      <c r="SM800" s="55"/>
      <c r="SN800" s="55"/>
      <c r="SO800" s="55"/>
      <c r="SP800" s="55"/>
      <c r="SQ800" s="55"/>
      <c r="SR800" s="55"/>
    </row>
    <row r="801" spans="2:511" ht="18" customHeight="1" x14ac:dyDescent="0.25">
      <c r="B801" s="48" t="s">
        <v>767</v>
      </c>
      <c r="E801" t="s">
        <v>85</v>
      </c>
      <c r="AS801" s="68"/>
      <c r="CQ801">
        <v>2</v>
      </c>
      <c r="CT801">
        <v>3</v>
      </c>
      <c r="DL801">
        <v>30</v>
      </c>
      <c r="QD801">
        <v>2</v>
      </c>
      <c r="QG801">
        <v>3</v>
      </c>
      <c r="QY801">
        <v>30</v>
      </c>
      <c r="RQ801">
        <v>2</v>
      </c>
      <c r="RT801">
        <v>3</v>
      </c>
      <c r="SL801">
        <v>30</v>
      </c>
    </row>
    <row r="802" spans="2:511" ht="18" customHeight="1" x14ac:dyDescent="0.25">
      <c r="B802" s="48" t="s">
        <v>768</v>
      </c>
      <c r="E802" t="s">
        <v>77</v>
      </c>
      <c r="AS802" s="68"/>
    </row>
    <row r="803" spans="2:511" ht="18" customHeight="1" x14ac:dyDescent="0.25">
      <c r="B803" s="48" t="s">
        <v>769</v>
      </c>
      <c r="E803" t="s">
        <v>90</v>
      </c>
      <c r="AS803" s="68"/>
      <c r="DL803">
        <v>60</v>
      </c>
      <c r="QY803">
        <v>60</v>
      </c>
      <c r="SL803">
        <v>60</v>
      </c>
    </row>
    <row r="804" spans="2:511" ht="18" customHeight="1" x14ac:dyDescent="0.25">
      <c r="B804" s="48" t="s">
        <v>770</v>
      </c>
      <c r="E804" t="s">
        <v>77</v>
      </c>
      <c r="AS804" s="68"/>
      <c r="DA804">
        <v>10</v>
      </c>
      <c r="DL804">
        <v>20</v>
      </c>
      <c r="QG804">
        <v>2</v>
      </c>
      <c r="QN804">
        <v>10</v>
      </c>
      <c r="QY804">
        <v>20</v>
      </c>
      <c r="RT804">
        <v>5</v>
      </c>
      <c r="SA804">
        <v>10</v>
      </c>
      <c r="SL804">
        <v>20</v>
      </c>
    </row>
    <row r="805" spans="2:511" ht="18" customHeight="1" x14ac:dyDescent="0.25">
      <c r="B805" s="48" t="s">
        <v>771</v>
      </c>
      <c r="AS805" s="68"/>
    </row>
    <row r="806" spans="2:511" ht="18" customHeight="1" x14ac:dyDescent="0.25">
      <c r="B806" s="48" t="s">
        <v>769</v>
      </c>
      <c r="E806" t="s">
        <v>85</v>
      </c>
      <c r="AS806" s="68"/>
      <c r="DL806">
        <v>60</v>
      </c>
      <c r="QY806">
        <v>60</v>
      </c>
      <c r="SL806">
        <v>60</v>
      </c>
    </row>
    <row r="807" spans="2:511" ht="18" customHeight="1" x14ac:dyDescent="0.25">
      <c r="B807" s="50" t="s">
        <v>772</v>
      </c>
      <c r="E807" t="s">
        <v>110</v>
      </c>
      <c r="AS807" s="68"/>
      <c r="DA807">
        <v>10</v>
      </c>
      <c r="DL807">
        <v>20</v>
      </c>
      <c r="DQ807">
        <v>1</v>
      </c>
      <c r="QN807">
        <v>10</v>
      </c>
      <c r="QY807">
        <v>20</v>
      </c>
      <c r="RD807">
        <v>0.5</v>
      </c>
      <c r="SA807">
        <v>10</v>
      </c>
      <c r="SL807">
        <v>20</v>
      </c>
      <c r="SQ807">
        <v>1</v>
      </c>
    </row>
    <row r="808" spans="2:511" ht="18" customHeight="1" x14ac:dyDescent="0.25">
      <c r="B808" s="49" t="s">
        <v>773</v>
      </c>
      <c r="AS808" s="68"/>
    </row>
    <row r="809" spans="2:511" ht="18" customHeight="1" x14ac:dyDescent="0.25">
      <c r="B809" s="50" t="s">
        <v>774</v>
      </c>
      <c r="E809" t="s">
        <v>77</v>
      </c>
      <c r="AS809" s="68"/>
      <c r="CT809">
        <v>7</v>
      </c>
      <c r="QG809">
        <v>7</v>
      </c>
      <c r="RT809">
        <v>14</v>
      </c>
    </row>
    <row r="810" spans="2:511" ht="18" customHeight="1" x14ac:dyDescent="0.25">
      <c r="B810" s="49" t="s">
        <v>775</v>
      </c>
      <c r="E810" t="s">
        <v>77</v>
      </c>
      <c r="AS810" s="68"/>
    </row>
    <row r="811" spans="2:511" ht="18" customHeight="1" x14ac:dyDescent="0.25">
      <c r="B811" s="50" t="s">
        <v>776</v>
      </c>
      <c r="E811" t="s">
        <v>77</v>
      </c>
      <c r="AS811" s="68"/>
      <c r="CT811">
        <v>4</v>
      </c>
      <c r="QG811">
        <v>3</v>
      </c>
      <c r="RT811">
        <v>5</v>
      </c>
    </row>
    <row r="812" spans="2:511" ht="18" customHeight="1" x14ac:dyDescent="0.25">
      <c r="B812" s="50" t="s">
        <v>777</v>
      </c>
      <c r="E812" t="s">
        <v>77</v>
      </c>
      <c r="AS812" s="68"/>
      <c r="CT812">
        <v>5</v>
      </c>
      <c r="QG812">
        <v>3</v>
      </c>
      <c r="RT812">
        <v>6</v>
      </c>
    </row>
    <row r="813" spans="2:511" ht="18" customHeight="1" x14ac:dyDescent="0.25">
      <c r="B813" s="50" t="s">
        <v>778</v>
      </c>
      <c r="E813" t="s">
        <v>133</v>
      </c>
      <c r="AS813" s="68"/>
      <c r="CX813">
        <v>1</v>
      </c>
      <c r="QK813">
        <v>1</v>
      </c>
      <c r="RX813">
        <v>2</v>
      </c>
    </row>
    <row r="814" spans="2:511" ht="18" customHeight="1" x14ac:dyDescent="0.25">
      <c r="B814" s="50" t="s">
        <v>779</v>
      </c>
      <c r="E814" t="s">
        <v>77</v>
      </c>
      <c r="AS814" s="68"/>
      <c r="CT814">
        <v>2</v>
      </c>
      <c r="QG814">
        <v>2</v>
      </c>
      <c r="RT814">
        <v>3</v>
      </c>
    </row>
    <row r="815" spans="2:511" ht="18" customHeight="1" x14ac:dyDescent="0.25">
      <c r="B815" s="49" t="s">
        <v>780</v>
      </c>
      <c r="AS815" s="68"/>
    </row>
    <row r="816" spans="2:511" ht="18" customHeight="1" x14ac:dyDescent="0.25">
      <c r="B816" s="50" t="s">
        <v>774</v>
      </c>
      <c r="E816" t="s">
        <v>77</v>
      </c>
      <c r="AS816" s="68"/>
      <c r="CT816">
        <v>7</v>
      </c>
      <c r="QG816">
        <v>7</v>
      </c>
      <c r="RT816">
        <v>14</v>
      </c>
    </row>
    <row r="817" spans="2:506" ht="18" customHeight="1" x14ac:dyDescent="0.25">
      <c r="B817" s="49" t="s">
        <v>781</v>
      </c>
      <c r="AS817" s="68"/>
    </row>
    <row r="818" spans="2:506" ht="18" customHeight="1" x14ac:dyDescent="0.25">
      <c r="B818" s="50" t="s">
        <v>776</v>
      </c>
      <c r="E818" t="s">
        <v>77</v>
      </c>
      <c r="AS818" s="68"/>
      <c r="CT818">
        <v>3</v>
      </c>
      <c r="QG818">
        <v>3</v>
      </c>
      <c r="RT818">
        <v>5</v>
      </c>
    </row>
    <row r="819" spans="2:506" ht="18" customHeight="1" x14ac:dyDescent="0.25">
      <c r="B819" s="50" t="s">
        <v>777</v>
      </c>
      <c r="E819" t="s">
        <v>77</v>
      </c>
      <c r="AS819" s="68"/>
      <c r="CT819">
        <v>5</v>
      </c>
      <c r="QG819">
        <v>3</v>
      </c>
      <c r="RT819">
        <v>6</v>
      </c>
    </row>
    <row r="820" spans="2:506" ht="18" customHeight="1" x14ac:dyDescent="0.25">
      <c r="B820" s="50" t="s">
        <v>778</v>
      </c>
      <c r="E820" t="s">
        <v>133</v>
      </c>
      <c r="AS820" s="68"/>
      <c r="CX820">
        <v>1</v>
      </c>
      <c r="QK820">
        <v>1</v>
      </c>
      <c r="RX820">
        <v>2</v>
      </c>
    </row>
    <row r="821" spans="2:506" ht="18" customHeight="1" x14ac:dyDescent="0.25">
      <c r="B821" s="50" t="s">
        <v>779</v>
      </c>
      <c r="E821" t="s">
        <v>77</v>
      </c>
      <c r="AS821" s="68"/>
      <c r="CT821">
        <v>5</v>
      </c>
      <c r="QG821">
        <v>2</v>
      </c>
      <c r="RT821">
        <v>3</v>
      </c>
    </row>
    <row r="822" spans="2:506" ht="18" customHeight="1" x14ac:dyDescent="0.25">
      <c r="B822" s="49" t="s">
        <v>782</v>
      </c>
      <c r="E822" t="s">
        <v>77</v>
      </c>
      <c r="AS822" s="68"/>
      <c r="CQ822">
        <v>2</v>
      </c>
      <c r="CT822">
        <v>5</v>
      </c>
      <c r="DL822">
        <v>30</v>
      </c>
      <c r="QD822">
        <v>2</v>
      </c>
      <c r="QG822">
        <v>2</v>
      </c>
      <c r="QY822">
        <v>30</v>
      </c>
      <c r="RQ822">
        <v>2</v>
      </c>
      <c r="RT822">
        <v>9</v>
      </c>
      <c r="SL822">
        <v>30</v>
      </c>
    </row>
    <row r="823" spans="2:506" ht="18" customHeight="1" x14ac:dyDescent="0.25">
      <c r="B823" s="49" t="s">
        <v>783</v>
      </c>
      <c r="E823" t="s">
        <v>90</v>
      </c>
      <c r="AS823" s="68"/>
      <c r="DL823">
        <v>60</v>
      </c>
      <c r="QY823">
        <v>60</v>
      </c>
      <c r="SL823">
        <v>60</v>
      </c>
    </row>
    <row r="824" spans="2:506" ht="18" customHeight="1" x14ac:dyDescent="0.25">
      <c r="B824" s="49" t="s">
        <v>783</v>
      </c>
      <c r="E824" t="s">
        <v>85</v>
      </c>
      <c r="AS824" s="68"/>
      <c r="DL824">
        <v>0</v>
      </c>
      <c r="QY824">
        <v>0</v>
      </c>
      <c r="SL824">
        <v>0</v>
      </c>
    </row>
    <row r="825" spans="2:506" ht="18" customHeight="1" x14ac:dyDescent="0.25">
      <c r="B825" s="49" t="s">
        <v>784</v>
      </c>
      <c r="E825" t="s">
        <v>77</v>
      </c>
      <c r="AS825" s="68"/>
      <c r="CT825">
        <v>3</v>
      </c>
      <c r="QG825">
        <v>3</v>
      </c>
      <c r="RT825">
        <v>8</v>
      </c>
    </row>
    <row r="826" spans="2:506" ht="18" customHeight="1" x14ac:dyDescent="0.25">
      <c r="B826" s="49" t="s">
        <v>785</v>
      </c>
      <c r="E826" t="s">
        <v>79</v>
      </c>
      <c r="AS826" s="68"/>
      <c r="DA826">
        <v>10</v>
      </c>
    </row>
    <row r="827" spans="2:506" ht="18" customHeight="1" x14ac:dyDescent="0.25">
      <c r="B827" s="49" t="s">
        <v>786</v>
      </c>
      <c r="AS827" s="68"/>
    </row>
    <row r="828" spans="2:506" ht="18" customHeight="1" x14ac:dyDescent="0.25">
      <c r="B828" s="50" t="s">
        <v>774</v>
      </c>
      <c r="E828" t="s">
        <v>77</v>
      </c>
      <c r="AS828" s="68"/>
      <c r="CT828">
        <v>7</v>
      </c>
      <c r="QG828">
        <v>7</v>
      </c>
      <c r="RT828">
        <v>14</v>
      </c>
    </row>
    <row r="829" spans="2:506" ht="18" customHeight="1" x14ac:dyDescent="0.25">
      <c r="B829" s="49" t="s">
        <v>787</v>
      </c>
      <c r="AS829" s="68"/>
    </row>
    <row r="830" spans="2:506" ht="18" customHeight="1" x14ac:dyDescent="0.25">
      <c r="B830" s="50" t="s">
        <v>774</v>
      </c>
      <c r="E830" t="s">
        <v>77</v>
      </c>
      <c r="AS830" s="68"/>
      <c r="CT830">
        <v>7</v>
      </c>
      <c r="QG830">
        <v>7</v>
      </c>
      <c r="RT830">
        <v>14</v>
      </c>
    </row>
    <row r="831" spans="2:506" ht="18" customHeight="1" x14ac:dyDescent="0.25">
      <c r="B831" s="49" t="s">
        <v>788</v>
      </c>
      <c r="AS831" s="68"/>
    </row>
    <row r="832" spans="2:506" ht="18" customHeight="1" x14ac:dyDescent="0.25">
      <c r="B832" s="50" t="s">
        <v>776</v>
      </c>
      <c r="E832" t="s">
        <v>77</v>
      </c>
      <c r="AS832" s="68"/>
      <c r="CT832">
        <v>5</v>
      </c>
      <c r="QG832">
        <v>3</v>
      </c>
      <c r="RT832">
        <v>5</v>
      </c>
    </row>
    <row r="833" spans="2:506" ht="18" customHeight="1" x14ac:dyDescent="0.25">
      <c r="B833" s="50" t="s">
        <v>777</v>
      </c>
      <c r="E833" t="s">
        <v>77</v>
      </c>
      <c r="AS833" s="68"/>
      <c r="CT833">
        <v>6</v>
      </c>
      <c r="QG833">
        <v>4</v>
      </c>
      <c r="RT833">
        <v>6</v>
      </c>
    </row>
    <row r="834" spans="2:506" ht="18" customHeight="1" x14ac:dyDescent="0.25">
      <c r="B834" s="50" t="s">
        <v>778</v>
      </c>
      <c r="E834" t="s">
        <v>133</v>
      </c>
      <c r="AS834" s="68"/>
      <c r="CX834">
        <v>2</v>
      </c>
      <c r="QK834">
        <v>0.5</v>
      </c>
      <c r="RX834">
        <v>2</v>
      </c>
    </row>
    <row r="835" spans="2:506" ht="18" customHeight="1" x14ac:dyDescent="0.25">
      <c r="B835" s="50" t="s">
        <v>779</v>
      </c>
      <c r="E835" t="s">
        <v>77</v>
      </c>
      <c r="AS835" s="68"/>
      <c r="CT835">
        <v>3</v>
      </c>
      <c r="QG835">
        <v>2</v>
      </c>
      <c r="RT835">
        <v>3</v>
      </c>
    </row>
    <row r="836" spans="2:506" ht="18" customHeight="1" x14ac:dyDescent="0.25">
      <c r="B836" s="49" t="s">
        <v>789</v>
      </c>
      <c r="E836" t="s">
        <v>105</v>
      </c>
      <c r="AS836" s="68"/>
    </row>
    <row r="837" spans="2:506" ht="18" customHeight="1" x14ac:dyDescent="0.25">
      <c r="B837" s="49" t="s">
        <v>790</v>
      </c>
      <c r="E837" t="s">
        <v>108</v>
      </c>
      <c r="AS837" s="68"/>
    </row>
    <row r="838" spans="2:506" ht="18" customHeight="1" x14ac:dyDescent="0.25">
      <c r="B838" s="49" t="s">
        <v>791</v>
      </c>
      <c r="E838" t="s">
        <v>123</v>
      </c>
      <c r="AS838" s="68"/>
      <c r="DF838">
        <v>5</v>
      </c>
      <c r="QS838">
        <v>3</v>
      </c>
      <c r="SF838">
        <v>5</v>
      </c>
    </row>
    <row r="839" spans="2:506" ht="18" customHeight="1" x14ac:dyDescent="0.25">
      <c r="B839" s="49" t="s">
        <v>792</v>
      </c>
      <c r="E839" t="s">
        <v>133</v>
      </c>
      <c r="AS839" s="68"/>
      <c r="CX839">
        <v>2</v>
      </c>
      <c r="QK839">
        <v>1</v>
      </c>
      <c r="RX839">
        <v>8</v>
      </c>
    </row>
    <row r="840" spans="2:506" ht="18" customHeight="1" x14ac:dyDescent="0.25">
      <c r="B840" s="49" t="s">
        <v>792</v>
      </c>
      <c r="E840" t="s">
        <v>77</v>
      </c>
      <c r="AS840" s="68"/>
    </row>
    <row r="841" spans="2:506" ht="18" customHeight="1" x14ac:dyDescent="0.25">
      <c r="B841" s="49" t="s">
        <v>793</v>
      </c>
      <c r="E841" t="s">
        <v>77</v>
      </c>
      <c r="AS841" s="68"/>
      <c r="CT841">
        <v>2</v>
      </c>
      <c r="QG841">
        <v>2</v>
      </c>
      <c r="RT841">
        <v>8</v>
      </c>
    </row>
    <row r="842" spans="2:506" ht="18" customHeight="1" x14ac:dyDescent="0.25">
      <c r="B842" s="50" t="s">
        <v>349</v>
      </c>
      <c r="E842" t="s">
        <v>81</v>
      </c>
      <c r="AS842" s="68"/>
    </row>
    <row r="843" spans="2:506" ht="18" customHeight="1" x14ac:dyDescent="0.25">
      <c r="B843" s="49" t="s">
        <v>794</v>
      </c>
      <c r="E843" t="s">
        <v>77</v>
      </c>
      <c r="AS843" s="68"/>
      <c r="CQ843">
        <v>2</v>
      </c>
      <c r="CT843">
        <v>2</v>
      </c>
      <c r="DL843">
        <v>30</v>
      </c>
      <c r="QD843">
        <v>2</v>
      </c>
      <c r="QG843">
        <v>7</v>
      </c>
      <c r="QY843">
        <v>30</v>
      </c>
      <c r="RQ843">
        <v>2</v>
      </c>
      <c r="RT843">
        <v>20</v>
      </c>
      <c r="SL843">
        <v>30</v>
      </c>
    </row>
    <row r="844" spans="2:506" ht="18" customHeight="1" x14ac:dyDescent="0.25">
      <c r="B844" s="50" t="s">
        <v>795</v>
      </c>
      <c r="E844" t="s">
        <v>85</v>
      </c>
      <c r="AS844" s="68"/>
      <c r="DL844">
        <v>3</v>
      </c>
      <c r="QY844">
        <v>2</v>
      </c>
      <c r="SL844">
        <v>3</v>
      </c>
    </row>
    <row r="845" spans="2:506" ht="18" customHeight="1" x14ac:dyDescent="0.25">
      <c r="B845" s="50" t="s">
        <v>796</v>
      </c>
      <c r="E845" t="s">
        <v>85</v>
      </c>
      <c r="AS845" s="68"/>
      <c r="DL845">
        <v>10</v>
      </c>
      <c r="QY845">
        <v>5</v>
      </c>
      <c r="SL845">
        <v>10</v>
      </c>
    </row>
    <row r="846" spans="2:506" ht="18" customHeight="1" x14ac:dyDescent="0.25">
      <c r="B846" s="50" t="s">
        <v>797</v>
      </c>
      <c r="E846" t="s">
        <v>85</v>
      </c>
      <c r="AS846" s="68"/>
      <c r="DL846">
        <v>2</v>
      </c>
      <c r="QY846">
        <v>1</v>
      </c>
      <c r="SL846">
        <v>2</v>
      </c>
    </row>
    <row r="847" spans="2:506" ht="18" customHeight="1" x14ac:dyDescent="0.25">
      <c r="B847" s="50" t="s">
        <v>798</v>
      </c>
      <c r="E847" t="s">
        <v>85</v>
      </c>
      <c r="AS847" s="68"/>
      <c r="DL847">
        <v>4</v>
      </c>
      <c r="QY847">
        <v>2</v>
      </c>
      <c r="SL847">
        <v>4</v>
      </c>
    </row>
    <row r="848" spans="2:506" ht="18" customHeight="1" x14ac:dyDescent="0.25">
      <c r="B848" s="50" t="s">
        <v>799</v>
      </c>
      <c r="E848" t="s">
        <v>85</v>
      </c>
      <c r="AS848" s="68"/>
      <c r="DL848">
        <v>1</v>
      </c>
      <c r="QY848">
        <v>1</v>
      </c>
      <c r="SL848">
        <v>1</v>
      </c>
    </row>
    <row r="849" spans="2:508" ht="18" customHeight="1" x14ac:dyDescent="0.25">
      <c r="B849" s="50" t="s">
        <v>800</v>
      </c>
      <c r="E849" t="s">
        <v>85</v>
      </c>
      <c r="AS849" s="68"/>
      <c r="DL849">
        <v>2</v>
      </c>
      <c r="QY849">
        <v>1</v>
      </c>
      <c r="SL849">
        <v>2</v>
      </c>
    </row>
    <row r="850" spans="2:508" ht="18" customHeight="1" x14ac:dyDescent="0.25">
      <c r="B850" s="50" t="s">
        <v>801</v>
      </c>
      <c r="E850" t="s">
        <v>85</v>
      </c>
      <c r="AS850" s="68"/>
      <c r="DL850">
        <v>2</v>
      </c>
      <c r="QY850">
        <v>1</v>
      </c>
      <c r="SL850">
        <v>2</v>
      </c>
    </row>
    <row r="851" spans="2:508" ht="18" customHeight="1" x14ac:dyDescent="0.25">
      <c r="B851" s="50" t="s">
        <v>802</v>
      </c>
      <c r="E851" t="s">
        <v>85</v>
      </c>
      <c r="AS851" s="68"/>
      <c r="DL851">
        <v>2</v>
      </c>
      <c r="QY851">
        <v>1</v>
      </c>
      <c r="SL851">
        <v>2</v>
      </c>
    </row>
    <row r="852" spans="2:508" ht="18" customHeight="1" x14ac:dyDescent="0.25">
      <c r="B852" s="50" t="s">
        <v>803</v>
      </c>
      <c r="E852" t="s">
        <v>105</v>
      </c>
      <c r="AS852" s="68"/>
    </row>
    <row r="853" spans="2:508" ht="18" customHeight="1" x14ac:dyDescent="0.25">
      <c r="B853" s="50" t="s">
        <v>804</v>
      </c>
      <c r="E853" t="s">
        <v>85</v>
      </c>
      <c r="AS853" s="68"/>
    </row>
    <row r="854" spans="2:508" ht="18" customHeight="1" x14ac:dyDescent="0.25">
      <c r="B854" s="50" t="s">
        <v>805</v>
      </c>
      <c r="E854" t="s">
        <v>81</v>
      </c>
      <c r="AS854" s="68"/>
    </row>
    <row r="855" spans="2:508" ht="18" customHeight="1" x14ac:dyDescent="0.25">
      <c r="B855" s="50" t="s">
        <v>806</v>
      </c>
      <c r="E855" t="s">
        <v>121</v>
      </c>
      <c r="AS855" s="68"/>
    </row>
    <row r="856" spans="2:508" ht="18" customHeight="1" x14ac:dyDescent="0.25">
      <c r="B856" s="50" t="s">
        <v>807</v>
      </c>
      <c r="E856" t="s">
        <v>79</v>
      </c>
      <c r="AS856" s="68"/>
      <c r="DA856">
        <v>6</v>
      </c>
      <c r="QN856">
        <v>8</v>
      </c>
      <c r="SA856">
        <v>15</v>
      </c>
    </row>
    <row r="857" spans="2:508" ht="18" customHeight="1" x14ac:dyDescent="0.25">
      <c r="B857" s="50" t="s">
        <v>808</v>
      </c>
      <c r="E857" t="s">
        <v>110</v>
      </c>
      <c r="AS857" s="68"/>
    </row>
    <row r="858" spans="2:508" ht="18" customHeight="1" x14ac:dyDescent="0.25">
      <c r="B858" s="50" t="s">
        <v>809</v>
      </c>
      <c r="E858" t="s">
        <v>85</v>
      </c>
      <c r="AS858" s="68"/>
      <c r="DL858">
        <v>0.5</v>
      </c>
      <c r="QY858">
        <v>0.5</v>
      </c>
      <c r="SL858">
        <v>0.5</v>
      </c>
    </row>
    <row r="859" spans="2:508" ht="18" customHeight="1" x14ac:dyDescent="0.25">
      <c r="B859" s="50" t="s">
        <v>810</v>
      </c>
      <c r="E859" t="s">
        <v>131</v>
      </c>
      <c r="AS859" s="68"/>
    </row>
    <row r="860" spans="2:508" ht="18" customHeight="1" x14ac:dyDescent="0.25">
      <c r="B860" s="49" t="s">
        <v>811</v>
      </c>
      <c r="E860" t="s">
        <v>85</v>
      </c>
      <c r="AS860" s="68"/>
    </row>
    <row r="861" spans="2:508" ht="18" customHeight="1" x14ac:dyDescent="0.25">
      <c r="B861" s="50" t="s">
        <v>812</v>
      </c>
      <c r="E861" t="s">
        <v>90</v>
      </c>
      <c r="AS861" s="68"/>
      <c r="DN861">
        <v>20</v>
      </c>
      <c r="RA861">
        <v>20</v>
      </c>
      <c r="SN861">
        <v>20</v>
      </c>
    </row>
    <row r="862" spans="2:508" ht="18" customHeight="1" x14ac:dyDescent="0.25">
      <c r="B862" s="50" t="s">
        <v>813</v>
      </c>
      <c r="E862" t="s">
        <v>85</v>
      </c>
      <c r="AS862" s="68"/>
      <c r="DL862">
        <v>20</v>
      </c>
      <c r="QY862">
        <v>20</v>
      </c>
      <c r="SL862">
        <v>20</v>
      </c>
    </row>
    <row r="863" spans="2:508" ht="18" customHeight="1" x14ac:dyDescent="0.25">
      <c r="B863" s="49" t="s">
        <v>814</v>
      </c>
      <c r="AS863" s="68"/>
    </row>
    <row r="864" spans="2:508" ht="18" customHeight="1" x14ac:dyDescent="0.25">
      <c r="B864" s="50" t="s">
        <v>774</v>
      </c>
      <c r="E864" t="s">
        <v>77</v>
      </c>
      <c r="AS864" s="68"/>
      <c r="CT864">
        <v>7</v>
      </c>
      <c r="QG864">
        <v>7</v>
      </c>
      <c r="RT864">
        <v>14</v>
      </c>
    </row>
    <row r="865" spans="2:506" ht="18" customHeight="1" x14ac:dyDescent="0.25">
      <c r="B865" s="49" t="s">
        <v>815</v>
      </c>
      <c r="E865" t="s">
        <v>77</v>
      </c>
      <c r="AS865" s="68"/>
      <c r="CT865">
        <v>2</v>
      </c>
      <c r="DL865">
        <v>60</v>
      </c>
      <c r="QG865">
        <v>5</v>
      </c>
      <c r="QY865">
        <v>60</v>
      </c>
      <c r="RT865">
        <v>20</v>
      </c>
      <c r="SL865">
        <v>60</v>
      </c>
    </row>
    <row r="866" spans="2:506" ht="18" customHeight="1" x14ac:dyDescent="0.25">
      <c r="B866" s="49" t="s">
        <v>816</v>
      </c>
      <c r="E866" t="s">
        <v>77</v>
      </c>
      <c r="AS866" s="68"/>
      <c r="CT866">
        <v>3</v>
      </c>
      <c r="QG866">
        <v>2</v>
      </c>
      <c r="RT866">
        <v>4</v>
      </c>
    </row>
    <row r="867" spans="2:506" ht="18" customHeight="1" x14ac:dyDescent="0.25">
      <c r="B867" s="49" t="s">
        <v>817</v>
      </c>
      <c r="E867" t="s">
        <v>90</v>
      </c>
      <c r="AS867" s="68"/>
      <c r="DL867">
        <v>60</v>
      </c>
      <c r="QY867">
        <v>60</v>
      </c>
      <c r="SL867">
        <v>60</v>
      </c>
    </row>
    <row r="868" spans="2:506" ht="18" customHeight="1" x14ac:dyDescent="0.25">
      <c r="B868" s="49" t="s">
        <v>817</v>
      </c>
      <c r="E868" t="s">
        <v>85</v>
      </c>
      <c r="AS868" s="68"/>
      <c r="DL868">
        <v>10</v>
      </c>
      <c r="QY868">
        <v>5</v>
      </c>
      <c r="SL868">
        <v>10</v>
      </c>
    </row>
    <row r="869" spans="2:506" ht="18" customHeight="1" x14ac:dyDescent="0.25">
      <c r="B869" s="50" t="s">
        <v>818</v>
      </c>
      <c r="AS869" s="68"/>
    </row>
    <row r="870" spans="2:506" ht="18" customHeight="1" x14ac:dyDescent="0.25">
      <c r="B870" s="50" t="s">
        <v>819</v>
      </c>
      <c r="E870" t="s">
        <v>81</v>
      </c>
      <c r="AS870" s="68"/>
    </row>
    <row r="871" spans="2:506" ht="18" customHeight="1" x14ac:dyDescent="0.25">
      <c r="B871" s="49" t="s">
        <v>820</v>
      </c>
      <c r="E871" t="s">
        <v>77</v>
      </c>
      <c r="AS871" s="68"/>
      <c r="CT871">
        <v>2</v>
      </c>
      <c r="DA871">
        <v>10</v>
      </c>
      <c r="DL871">
        <v>20</v>
      </c>
      <c r="QG871">
        <v>2</v>
      </c>
      <c r="QN871">
        <v>10</v>
      </c>
      <c r="QY871">
        <v>20</v>
      </c>
      <c r="RT871">
        <v>5</v>
      </c>
      <c r="SA871">
        <v>10</v>
      </c>
      <c r="SL871">
        <v>20</v>
      </c>
    </row>
    <row r="872" spans="2:506" ht="18" customHeight="1" x14ac:dyDescent="0.25">
      <c r="B872" s="49" t="s">
        <v>821</v>
      </c>
      <c r="E872" t="s">
        <v>77</v>
      </c>
      <c r="AS872" s="68"/>
      <c r="CT872">
        <v>2</v>
      </c>
    </row>
    <row r="873" spans="2:506" ht="18" customHeight="1" x14ac:dyDescent="0.25">
      <c r="B873" s="49" t="s">
        <v>822</v>
      </c>
      <c r="E873" t="s">
        <v>79</v>
      </c>
      <c r="AS873" s="68"/>
      <c r="DA873">
        <v>5</v>
      </c>
    </row>
    <row r="874" spans="2:506" ht="18" customHeight="1" x14ac:dyDescent="0.25">
      <c r="B874" s="49" t="s">
        <v>823</v>
      </c>
      <c r="E874" t="s">
        <v>85</v>
      </c>
      <c r="AS874" s="68"/>
    </row>
    <row r="875" spans="2:506" ht="18" customHeight="1" x14ac:dyDescent="0.25">
      <c r="B875" s="50" t="s">
        <v>824</v>
      </c>
      <c r="E875" t="s">
        <v>81</v>
      </c>
      <c r="AS875" s="68"/>
    </row>
    <row r="876" spans="2:506" ht="18" customHeight="1" x14ac:dyDescent="0.25">
      <c r="B876" s="49" t="s">
        <v>825</v>
      </c>
      <c r="AS876" s="68"/>
    </row>
    <row r="877" spans="2:506" ht="18" customHeight="1" x14ac:dyDescent="0.25">
      <c r="B877" s="50" t="s">
        <v>774</v>
      </c>
      <c r="E877" t="s">
        <v>77</v>
      </c>
      <c r="AS877" s="68"/>
      <c r="CT877">
        <v>7</v>
      </c>
      <c r="QG877">
        <v>7</v>
      </c>
      <c r="RT877">
        <v>14</v>
      </c>
    </row>
    <row r="878" spans="2:506" ht="18" customHeight="1" x14ac:dyDescent="0.25">
      <c r="B878" s="49" t="s">
        <v>826</v>
      </c>
      <c r="E878" t="s">
        <v>77</v>
      </c>
      <c r="AS878" s="68"/>
      <c r="QG878">
        <v>7</v>
      </c>
      <c r="RT878">
        <v>10</v>
      </c>
    </row>
    <row r="879" spans="2:506" ht="18" customHeight="1" x14ac:dyDescent="0.25">
      <c r="B879" s="50" t="s">
        <v>349</v>
      </c>
      <c r="E879" t="s">
        <v>81</v>
      </c>
      <c r="AS879" s="68"/>
    </row>
    <row r="880" spans="2:506" ht="18" customHeight="1" x14ac:dyDescent="0.25">
      <c r="B880" s="49" t="s">
        <v>827</v>
      </c>
      <c r="AS880" s="68"/>
    </row>
    <row r="881" spans="1:512" ht="18" customHeight="1" x14ac:dyDescent="0.25">
      <c r="B881" s="50" t="s">
        <v>776</v>
      </c>
      <c r="E881" t="s">
        <v>77</v>
      </c>
      <c r="AS881" s="68"/>
      <c r="CT881">
        <v>3</v>
      </c>
      <c r="QG881">
        <v>3</v>
      </c>
      <c r="RT881">
        <v>5</v>
      </c>
    </row>
    <row r="882" spans="1:512" ht="18" customHeight="1" x14ac:dyDescent="0.25">
      <c r="B882" s="50" t="s">
        <v>777</v>
      </c>
      <c r="E882" t="s">
        <v>77</v>
      </c>
      <c r="AS882" s="68"/>
      <c r="CT882">
        <v>3</v>
      </c>
      <c r="QG882">
        <v>3</v>
      </c>
      <c r="RT882">
        <v>6</v>
      </c>
    </row>
    <row r="883" spans="1:512" ht="18" customHeight="1" x14ac:dyDescent="0.25">
      <c r="B883" s="50" t="s">
        <v>778</v>
      </c>
      <c r="E883" t="s">
        <v>133</v>
      </c>
      <c r="AS883" s="68"/>
      <c r="CX883">
        <v>1</v>
      </c>
      <c r="QK883">
        <v>0.5</v>
      </c>
      <c r="RX883">
        <v>2</v>
      </c>
    </row>
    <row r="884" spans="1:512" ht="18" customHeight="1" x14ac:dyDescent="0.25">
      <c r="B884" s="50" t="s">
        <v>779</v>
      </c>
      <c r="E884" t="s">
        <v>77</v>
      </c>
      <c r="AS884" s="68"/>
      <c r="CT884">
        <v>5</v>
      </c>
      <c r="QG884">
        <v>2</v>
      </c>
      <c r="RT884">
        <v>3</v>
      </c>
    </row>
    <row r="885" spans="1:512" ht="18" customHeight="1" x14ac:dyDescent="0.25">
      <c r="B885" s="49" t="s">
        <v>828</v>
      </c>
      <c r="E885" t="s">
        <v>77</v>
      </c>
      <c r="AS885" s="68"/>
      <c r="CT885">
        <v>2</v>
      </c>
      <c r="DL885">
        <v>60</v>
      </c>
      <c r="QG885">
        <v>2</v>
      </c>
      <c r="QY885">
        <v>60</v>
      </c>
      <c r="RT885">
        <v>8</v>
      </c>
      <c r="SL885">
        <v>60</v>
      </c>
    </row>
    <row r="886" spans="1:512" ht="18" customHeight="1" x14ac:dyDescent="0.25">
      <c r="A886" s="54" t="s">
        <v>829</v>
      </c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  <c r="BG886" s="55"/>
      <c r="BH886" s="55"/>
      <c r="BI886" s="55"/>
      <c r="BJ886" s="55"/>
      <c r="BK886" s="55"/>
      <c r="BL886" s="55"/>
      <c r="BM886" s="55"/>
      <c r="BN886" s="55"/>
      <c r="BO886" s="55"/>
      <c r="BP886" s="55"/>
      <c r="BQ886" s="55"/>
      <c r="BR886" s="55"/>
      <c r="BS886" s="55"/>
      <c r="BT886" s="55"/>
      <c r="BU886" s="55"/>
      <c r="BV886" s="55"/>
      <c r="BW886" s="55"/>
      <c r="BX886" s="55"/>
      <c r="BY886" s="55"/>
      <c r="BZ886" s="55"/>
      <c r="CA886" s="55"/>
      <c r="CB886" s="55"/>
      <c r="CC886" s="55"/>
      <c r="CD886" s="55"/>
      <c r="CE886" s="55"/>
      <c r="CF886" s="55"/>
      <c r="CG886" s="55"/>
      <c r="CH886" s="55"/>
      <c r="CI886" s="55"/>
      <c r="CJ886" s="55"/>
      <c r="CK886" s="55"/>
      <c r="CL886" s="55"/>
      <c r="CM886" s="55"/>
      <c r="CN886" s="55"/>
      <c r="CO886" s="55"/>
      <c r="CP886" s="55"/>
      <c r="CQ886" s="55"/>
      <c r="CR886" s="55"/>
      <c r="CS886" s="55"/>
      <c r="CT886" s="55"/>
      <c r="CU886" s="55"/>
      <c r="CV886" s="55"/>
      <c r="CW886" s="55"/>
      <c r="CX886" s="55"/>
      <c r="CY886" s="55"/>
      <c r="CZ886" s="55"/>
      <c r="DA886" s="55"/>
      <c r="DB886" s="55"/>
      <c r="DC886" s="55"/>
      <c r="DD886" s="55"/>
      <c r="DE886" s="55"/>
      <c r="DF886" s="55"/>
      <c r="DG886" s="55"/>
      <c r="DH886" s="55"/>
      <c r="DI886" s="55"/>
      <c r="DJ886" s="55"/>
      <c r="DK886" s="55"/>
      <c r="DL886" s="55"/>
      <c r="DM886" s="55"/>
      <c r="DN886" s="55"/>
      <c r="DO886" s="55"/>
      <c r="DP886" s="55"/>
      <c r="DQ886" s="55"/>
      <c r="DR886" s="55"/>
      <c r="DS886" s="55"/>
      <c r="DT886" s="55"/>
      <c r="DU886" s="55"/>
      <c r="DV886" s="55"/>
      <c r="DW886" s="55"/>
      <c r="DX886" s="55"/>
      <c r="DY886" s="55"/>
      <c r="DZ886" s="55"/>
      <c r="EA886" s="55"/>
      <c r="EB886" s="55"/>
      <c r="EC886" s="55"/>
      <c r="ED886" s="55"/>
      <c r="EE886" s="55"/>
      <c r="EF886" s="55"/>
      <c r="EG886" s="55"/>
      <c r="EH886" s="55"/>
      <c r="EI886" s="55"/>
      <c r="EJ886" s="55"/>
      <c r="EK886" s="55"/>
      <c r="EL886" s="55"/>
      <c r="EM886" s="55"/>
      <c r="EN886" s="55"/>
      <c r="EO886" s="55"/>
      <c r="EP886" s="55"/>
      <c r="EQ886" s="55"/>
      <c r="ER886" s="55"/>
      <c r="ES886" s="55"/>
      <c r="ET886" s="55"/>
      <c r="EU886" s="55"/>
      <c r="EV886" s="55"/>
      <c r="EW886" s="55"/>
      <c r="EX886" s="55"/>
      <c r="EY886" s="55"/>
      <c r="EZ886" s="55"/>
      <c r="FA886" s="55"/>
      <c r="FB886" s="55"/>
      <c r="FC886" s="55"/>
      <c r="FD886" s="55"/>
      <c r="FE886" s="55"/>
      <c r="FF886" s="55"/>
      <c r="FG886" s="55"/>
      <c r="FH886" s="55"/>
      <c r="FI886" s="55"/>
      <c r="FJ886" s="55"/>
      <c r="FK886" s="55"/>
      <c r="FL886" s="55"/>
      <c r="FM886" s="55"/>
      <c r="FN886" s="55"/>
      <c r="FO886" s="55"/>
      <c r="FP886" s="55"/>
      <c r="FQ886" s="55"/>
      <c r="FR886" s="55"/>
      <c r="FS886" s="55"/>
      <c r="FT886" s="55"/>
      <c r="FU886" s="55"/>
      <c r="FV886" s="55"/>
      <c r="FW886" s="55"/>
      <c r="FX886" s="55"/>
      <c r="FY886" s="55"/>
      <c r="FZ886" s="55"/>
      <c r="GA886" s="55"/>
      <c r="GB886" s="55"/>
      <c r="GC886" s="55"/>
      <c r="GD886" s="55"/>
      <c r="GE886" s="55"/>
      <c r="GF886" s="55"/>
      <c r="GG886" s="55"/>
      <c r="GH886" s="55"/>
      <c r="GI886" s="55"/>
      <c r="GJ886" s="55"/>
      <c r="GK886" s="55"/>
      <c r="GL886" s="55"/>
      <c r="GM886" s="55"/>
      <c r="GN886" s="55"/>
      <c r="GO886" s="55"/>
      <c r="GP886" s="55"/>
      <c r="GQ886" s="55"/>
      <c r="GR886" s="55"/>
      <c r="GS886" s="55"/>
      <c r="GT886" s="55"/>
      <c r="GU886" s="55"/>
      <c r="GV886" s="55"/>
      <c r="GW886" s="55"/>
      <c r="GX886" s="55"/>
      <c r="GY886" s="55"/>
      <c r="GZ886" s="55"/>
      <c r="HA886" s="55"/>
      <c r="HB886" s="55"/>
      <c r="HC886" s="55"/>
      <c r="HD886" s="55"/>
      <c r="HE886" s="55"/>
      <c r="HF886" s="55"/>
      <c r="HG886" s="55"/>
      <c r="HH886" s="55"/>
      <c r="HI886" s="55"/>
      <c r="HJ886" s="55"/>
      <c r="HK886" s="55"/>
      <c r="HL886" s="55"/>
      <c r="HM886" s="55"/>
      <c r="HN886" s="55"/>
      <c r="HO886" s="55"/>
      <c r="HP886" s="55"/>
      <c r="HQ886" s="55"/>
      <c r="HR886" s="55"/>
      <c r="HS886" s="55"/>
      <c r="HT886" s="55"/>
      <c r="HU886" s="55"/>
      <c r="HV886" s="55"/>
      <c r="HW886" s="55"/>
      <c r="HX886" s="55"/>
      <c r="HY886" s="55"/>
      <c r="HZ886" s="55"/>
      <c r="IA886" s="55"/>
      <c r="IB886" s="55"/>
      <c r="IC886" s="55"/>
      <c r="ID886" s="55"/>
      <c r="IE886" s="55"/>
      <c r="IF886" s="55"/>
      <c r="IG886" s="55"/>
      <c r="IH886" s="55"/>
      <c r="II886" s="55"/>
      <c r="IJ886" s="55"/>
      <c r="IK886" s="55"/>
      <c r="IL886" s="55"/>
      <c r="IM886" s="55"/>
      <c r="IN886" s="55"/>
      <c r="IO886" s="55"/>
      <c r="IP886" s="55"/>
      <c r="IQ886" s="55"/>
      <c r="IR886" s="55"/>
      <c r="IS886" s="55"/>
      <c r="IT886" s="55"/>
      <c r="IU886" s="55"/>
      <c r="IV886" s="55"/>
      <c r="IW886" s="55"/>
      <c r="IX886" s="55"/>
      <c r="IY886" s="55"/>
      <c r="IZ886" s="55"/>
      <c r="JA886" s="55"/>
      <c r="JB886" s="55"/>
      <c r="JC886" s="55"/>
      <c r="JD886" s="55"/>
      <c r="JE886" s="55"/>
      <c r="JF886" s="55"/>
      <c r="JG886" s="55"/>
      <c r="JH886" s="55"/>
      <c r="JI886" s="55"/>
      <c r="JJ886" s="55"/>
      <c r="JK886" s="55"/>
      <c r="JL886" s="55"/>
      <c r="JM886" s="55"/>
      <c r="JN886" s="55"/>
      <c r="JO886" s="55"/>
      <c r="JP886" s="55"/>
      <c r="JQ886" s="55"/>
      <c r="JR886" s="55"/>
      <c r="JS886" s="55"/>
      <c r="JT886" s="55"/>
      <c r="JU886" s="55"/>
      <c r="JV886" s="55"/>
      <c r="JW886" s="55"/>
      <c r="JX886" s="55"/>
      <c r="JY886" s="55"/>
      <c r="JZ886" s="55"/>
      <c r="KA886" s="55"/>
      <c r="KB886" s="55"/>
      <c r="KC886" s="55"/>
      <c r="KD886" s="55"/>
      <c r="KE886" s="55"/>
      <c r="KF886" s="55"/>
      <c r="KG886" s="55"/>
      <c r="KH886" s="55"/>
      <c r="KI886" s="55"/>
      <c r="KJ886" s="55"/>
      <c r="KK886" s="55"/>
      <c r="KL886" s="55"/>
      <c r="KM886" s="55"/>
      <c r="KN886" s="55"/>
      <c r="KO886" s="55"/>
      <c r="KP886" s="55"/>
      <c r="KQ886" s="55"/>
      <c r="KR886" s="55"/>
      <c r="KS886" s="55"/>
      <c r="KT886" s="55"/>
      <c r="KU886" s="55"/>
      <c r="KV886" s="55"/>
      <c r="KW886" s="55"/>
      <c r="KX886" s="55"/>
      <c r="KY886" s="55"/>
      <c r="KZ886" s="55"/>
      <c r="LA886" s="55"/>
      <c r="LB886" s="55"/>
      <c r="LC886" s="55"/>
      <c r="LD886" s="55"/>
      <c r="LE886" s="55"/>
      <c r="LF886" s="55"/>
      <c r="LG886" s="55"/>
      <c r="LH886" s="55"/>
      <c r="LI886" s="55"/>
      <c r="LJ886" s="55"/>
      <c r="LK886" s="55"/>
      <c r="LL886" s="55"/>
      <c r="LM886" s="55"/>
      <c r="LN886" s="55"/>
      <c r="LO886" s="55"/>
      <c r="LP886" s="55"/>
      <c r="LQ886" s="55"/>
      <c r="LR886" s="55"/>
      <c r="LS886" s="55"/>
      <c r="LT886" s="55"/>
      <c r="LU886" s="55"/>
      <c r="LV886" s="55"/>
      <c r="LW886" s="55"/>
      <c r="LX886" s="55"/>
      <c r="LY886" s="55"/>
      <c r="LZ886" s="55"/>
      <c r="MA886" s="55"/>
      <c r="MB886" s="55"/>
      <c r="MC886" s="55"/>
      <c r="MD886" s="55"/>
      <c r="ME886" s="55"/>
      <c r="MF886" s="55"/>
      <c r="MG886" s="55"/>
      <c r="MH886" s="55"/>
      <c r="MI886" s="55"/>
      <c r="MJ886" s="55"/>
      <c r="MK886" s="55"/>
      <c r="ML886" s="55"/>
      <c r="MM886" s="55"/>
      <c r="MN886" s="55"/>
      <c r="MO886" s="55"/>
      <c r="MP886" s="55"/>
      <c r="MQ886" s="55"/>
      <c r="MR886" s="55"/>
      <c r="MS886" s="55"/>
      <c r="MT886" s="55"/>
      <c r="MU886" s="55"/>
      <c r="MV886" s="55"/>
      <c r="MW886" s="55"/>
      <c r="MX886" s="55"/>
      <c r="MY886" s="55"/>
      <c r="MZ886" s="55"/>
      <c r="NA886" s="55"/>
      <c r="NB886" s="55"/>
      <c r="NC886" s="55"/>
      <c r="ND886" s="55"/>
      <c r="NE886" s="55"/>
      <c r="NF886" s="55"/>
      <c r="NG886" s="55"/>
      <c r="NH886" s="55"/>
      <c r="NI886" s="55"/>
      <c r="NJ886" s="55"/>
      <c r="NK886" s="55"/>
      <c r="NL886" s="55"/>
      <c r="NM886" s="55"/>
      <c r="NN886" s="55"/>
      <c r="NO886" s="55"/>
      <c r="NP886" s="55"/>
      <c r="NQ886" s="55"/>
      <c r="NR886" s="55"/>
      <c r="NS886" s="55"/>
      <c r="NT886" s="55"/>
      <c r="NU886" s="55"/>
      <c r="NV886" s="55"/>
      <c r="NW886" s="55"/>
      <c r="NX886" s="55"/>
      <c r="NY886" s="55"/>
      <c r="NZ886" s="55"/>
      <c r="OA886" s="55"/>
      <c r="OB886" s="55"/>
      <c r="OC886" s="55"/>
      <c r="OD886" s="55"/>
      <c r="OE886" s="55"/>
      <c r="OF886" s="55"/>
      <c r="OG886" s="55"/>
      <c r="OH886" s="55"/>
      <c r="OI886" s="55"/>
      <c r="OJ886" s="55"/>
      <c r="OK886" s="55"/>
      <c r="OL886" s="55"/>
      <c r="OM886" s="55"/>
      <c r="ON886" s="55"/>
      <c r="OO886" s="55"/>
      <c r="OP886" s="55"/>
      <c r="OQ886" s="55"/>
      <c r="OR886" s="55"/>
      <c r="OS886" s="55"/>
      <c r="OT886" s="55"/>
      <c r="OU886" s="55"/>
      <c r="OV886" s="55"/>
      <c r="OW886" s="55"/>
      <c r="OX886" s="55"/>
      <c r="OY886" s="55"/>
      <c r="OZ886" s="55"/>
      <c r="PA886" s="55"/>
      <c r="PB886" s="55"/>
      <c r="PC886" s="55"/>
      <c r="PD886" s="55"/>
      <c r="PE886" s="55"/>
      <c r="PF886" s="55"/>
      <c r="PG886" s="55"/>
      <c r="PH886" s="55"/>
      <c r="PI886" s="55"/>
      <c r="PJ886" s="55"/>
      <c r="PK886" s="55"/>
      <c r="PL886" s="55"/>
      <c r="PM886" s="55"/>
      <c r="PN886" s="55"/>
      <c r="PO886" s="55"/>
      <c r="PP886" s="55"/>
      <c r="PQ886" s="55"/>
      <c r="PR886" s="55"/>
      <c r="PS886" s="55"/>
      <c r="PT886" s="55"/>
      <c r="PU886" s="55"/>
      <c r="PV886" s="55"/>
      <c r="PW886" s="55"/>
      <c r="PX886" s="55"/>
      <c r="PY886" s="55"/>
      <c r="PZ886" s="55"/>
      <c r="QA886" s="55"/>
      <c r="QB886" s="55"/>
      <c r="QC886" s="55"/>
      <c r="QD886" s="55"/>
      <c r="QE886" s="55"/>
      <c r="QF886" s="55"/>
      <c r="QG886" s="55"/>
      <c r="QH886" s="55"/>
      <c r="QI886" s="55"/>
      <c r="QJ886" s="55"/>
      <c r="QK886" s="55"/>
      <c r="QL886" s="55"/>
      <c r="QM886" s="55"/>
      <c r="QN886" s="55"/>
      <c r="QO886" s="55"/>
      <c r="QP886" s="55"/>
      <c r="QQ886" s="55"/>
      <c r="QR886" s="55"/>
      <c r="QS886" s="55"/>
      <c r="QT886" s="55"/>
      <c r="QU886" s="55"/>
      <c r="QV886" s="55"/>
      <c r="QW886" s="55"/>
      <c r="QX886" s="55"/>
      <c r="QY886" s="55"/>
      <c r="QZ886" s="55"/>
      <c r="RA886" s="55"/>
      <c r="RB886" s="55"/>
      <c r="RC886" s="55"/>
      <c r="RD886" s="55"/>
      <c r="RE886" s="55"/>
      <c r="RF886" s="55"/>
      <c r="RG886" s="55"/>
      <c r="RH886" s="55"/>
      <c r="RI886" s="55"/>
      <c r="RJ886" s="55"/>
      <c r="RK886" s="55"/>
      <c r="RL886" s="55"/>
      <c r="RM886" s="55"/>
      <c r="RN886" s="55"/>
      <c r="RO886" s="55"/>
      <c r="RP886" s="55"/>
      <c r="RQ886" s="55"/>
      <c r="RR886" s="55"/>
      <c r="RS886" s="55"/>
      <c r="RT886" s="55"/>
      <c r="RU886" s="55"/>
      <c r="RV886" s="55"/>
      <c r="RW886" s="55"/>
      <c r="RX886" s="55"/>
      <c r="RY886" s="55"/>
      <c r="RZ886" s="55"/>
      <c r="SA886" s="55"/>
      <c r="SB886" s="55"/>
      <c r="SC886" s="55"/>
      <c r="SD886" s="55"/>
      <c r="SE886" s="55"/>
      <c r="SF886" s="55"/>
      <c r="SG886" s="55"/>
      <c r="SH886" s="55"/>
      <c r="SI886" s="55"/>
      <c r="SJ886" s="55"/>
      <c r="SK886" s="55"/>
      <c r="SL886" s="55"/>
      <c r="SM886" s="55"/>
      <c r="SN886" s="55"/>
      <c r="SO886" s="55"/>
      <c r="SP886" s="55"/>
      <c r="SQ886" s="55"/>
      <c r="SR886" s="55"/>
    </row>
    <row r="887" spans="1:512" ht="18" customHeight="1" x14ac:dyDescent="0.25">
      <c r="B887" s="48" t="s">
        <v>830</v>
      </c>
      <c r="C887" t="s">
        <v>831</v>
      </c>
      <c r="D887" t="s">
        <v>633</v>
      </c>
      <c r="E887" t="s">
        <v>77</v>
      </c>
      <c r="AS887" s="68"/>
      <c r="CQ887">
        <v>1</v>
      </c>
      <c r="CT887">
        <v>2</v>
      </c>
      <c r="CX887">
        <v>2</v>
      </c>
      <c r="CZ887">
        <v>1</v>
      </c>
      <c r="DA887">
        <v>10</v>
      </c>
      <c r="DL887">
        <v>20</v>
      </c>
      <c r="QD887">
        <v>1</v>
      </c>
      <c r="QG887">
        <v>2</v>
      </c>
      <c r="QK887">
        <v>2</v>
      </c>
      <c r="QM887">
        <v>1</v>
      </c>
      <c r="QN887">
        <v>10</v>
      </c>
      <c r="QY887">
        <v>20</v>
      </c>
      <c r="RQ887">
        <v>1</v>
      </c>
      <c r="RT887">
        <v>5</v>
      </c>
      <c r="RX887">
        <v>2</v>
      </c>
      <c r="RZ887">
        <v>1</v>
      </c>
      <c r="SA887">
        <v>10</v>
      </c>
      <c r="SL887">
        <v>20</v>
      </c>
    </row>
    <row r="888" spans="1:512" ht="18" customHeight="1" x14ac:dyDescent="0.25">
      <c r="B888" s="49" t="s">
        <v>832</v>
      </c>
      <c r="E888" t="s">
        <v>85</v>
      </c>
      <c r="AS888" s="68"/>
      <c r="DL888">
        <v>2</v>
      </c>
      <c r="QY888">
        <v>1</v>
      </c>
      <c r="SL888">
        <v>2</v>
      </c>
    </row>
    <row r="889" spans="1:512" ht="18" customHeight="1" x14ac:dyDescent="0.25">
      <c r="B889" s="49" t="s">
        <v>833</v>
      </c>
      <c r="E889" t="s">
        <v>90</v>
      </c>
      <c r="AS889" s="68"/>
      <c r="DN889">
        <v>2</v>
      </c>
      <c r="RA889">
        <v>1</v>
      </c>
      <c r="SN889">
        <v>2</v>
      </c>
    </row>
    <row r="890" spans="1:512" ht="18" customHeight="1" x14ac:dyDescent="0.25">
      <c r="B890" s="49" t="s">
        <v>833</v>
      </c>
      <c r="E890" t="s">
        <v>85</v>
      </c>
      <c r="AS890" s="68"/>
      <c r="DL890">
        <v>2</v>
      </c>
      <c r="QY890">
        <v>1</v>
      </c>
      <c r="SL890">
        <v>2</v>
      </c>
    </row>
    <row r="891" spans="1:512" ht="18" customHeight="1" x14ac:dyDescent="0.25">
      <c r="B891" s="49" t="s">
        <v>834</v>
      </c>
      <c r="E891" t="s">
        <v>90</v>
      </c>
      <c r="AS891" s="68"/>
      <c r="DN891">
        <v>2</v>
      </c>
      <c r="RA891">
        <v>1</v>
      </c>
      <c r="SN891">
        <v>2</v>
      </c>
    </row>
    <row r="892" spans="1:512" ht="18" customHeight="1" x14ac:dyDescent="0.25">
      <c r="B892" s="49" t="s">
        <v>834</v>
      </c>
      <c r="E892" t="s">
        <v>85</v>
      </c>
      <c r="AS892" s="68"/>
      <c r="DL892">
        <v>3</v>
      </c>
      <c r="QY892">
        <v>2</v>
      </c>
      <c r="SL892">
        <v>3</v>
      </c>
    </row>
    <row r="893" spans="1:512" ht="18" customHeight="1" x14ac:dyDescent="0.25">
      <c r="B893" s="49" t="s">
        <v>835</v>
      </c>
      <c r="E893" t="s">
        <v>90</v>
      </c>
      <c r="AS893" s="68"/>
    </row>
    <row r="894" spans="1:512" ht="18" customHeight="1" x14ac:dyDescent="0.25">
      <c r="B894" s="49" t="s">
        <v>836</v>
      </c>
      <c r="E894" t="s">
        <v>85</v>
      </c>
      <c r="AS894" s="68"/>
    </row>
    <row r="895" spans="1:512" ht="18" customHeight="1" x14ac:dyDescent="0.25">
      <c r="B895" s="50" t="s">
        <v>837</v>
      </c>
      <c r="E895" t="s">
        <v>81</v>
      </c>
      <c r="AS895" s="68"/>
    </row>
    <row r="896" spans="1:512" ht="18" customHeight="1" x14ac:dyDescent="0.25">
      <c r="B896" s="50" t="s">
        <v>838</v>
      </c>
      <c r="E896" t="s">
        <v>110</v>
      </c>
      <c r="AS896" s="68"/>
      <c r="DQ896">
        <v>1</v>
      </c>
      <c r="RD896">
        <v>0.5</v>
      </c>
      <c r="SQ896">
        <v>1</v>
      </c>
    </row>
    <row r="897" spans="2:511" ht="18" customHeight="1" x14ac:dyDescent="0.25">
      <c r="B897" s="49" t="s">
        <v>839</v>
      </c>
      <c r="E897" t="s">
        <v>79</v>
      </c>
      <c r="AS897" s="68"/>
      <c r="DA897">
        <v>10</v>
      </c>
    </row>
    <row r="898" spans="2:511" ht="18" customHeight="1" x14ac:dyDescent="0.25">
      <c r="B898" s="49" t="s">
        <v>840</v>
      </c>
      <c r="E898" t="s">
        <v>90</v>
      </c>
      <c r="AS898" s="68"/>
      <c r="DN898">
        <v>2</v>
      </c>
      <c r="RA898">
        <v>1</v>
      </c>
      <c r="SN898">
        <v>2</v>
      </c>
    </row>
    <row r="899" spans="2:511" ht="18" customHeight="1" x14ac:dyDescent="0.25">
      <c r="B899" s="49" t="s">
        <v>840</v>
      </c>
      <c r="E899" t="s">
        <v>85</v>
      </c>
      <c r="AS899" s="68"/>
      <c r="DL899">
        <v>2</v>
      </c>
      <c r="QY899">
        <v>1</v>
      </c>
      <c r="SL899">
        <v>2</v>
      </c>
    </row>
    <row r="900" spans="2:511" ht="18" customHeight="1" x14ac:dyDescent="0.25">
      <c r="B900" s="49" t="s">
        <v>841</v>
      </c>
      <c r="E900" t="s">
        <v>105</v>
      </c>
      <c r="AS900" s="68"/>
    </row>
    <row r="901" spans="2:511" ht="18" customHeight="1" x14ac:dyDescent="0.25">
      <c r="B901" s="49" t="s">
        <v>842</v>
      </c>
      <c r="E901" t="s">
        <v>161</v>
      </c>
      <c r="AS901" s="68"/>
    </row>
    <row r="902" spans="2:511" ht="18" customHeight="1" x14ac:dyDescent="0.25">
      <c r="B902" s="49" t="s">
        <v>843</v>
      </c>
      <c r="E902" t="s">
        <v>110</v>
      </c>
      <c r="AS902" s="68"/>
      <c r="DQ902">
        <v>1</v>
      </c>
      <c r="RD902">
        <v>1</v>
      </c>
      <c r="SQ902">
        <v>2</v>
      </c>
    </row>
    <row r="903" spans="2:511" ht="18" customHeight="1" x14ac:dyDescent="0.25">
      <c r="B903" s="49" t="s">
        <v>844</v>
      </c>
      <c r="E903" t="s">
        <v>131</v>
      </c>
      <c r="AS903" s="68"/>
    </row>
    <row r="904" spans="2:511" ht="18" customHeight="1" x14ac:dyDescent="0.25">
      <c r="B904" s="49" t="s">
        <v>845</v>
      </c>
      <c r="E904" t="s">
        <v>90</v>
      </c>
      <c r="AS904" s="68"/>
      <c r="DN904">
        <v>2</v>
      </c>
      <c r="RA904">
        <v>1</v>
      </c>
      <c r="SN904">
        <v>2</v>
      </c>
    </row>
    <row r="905" spans="2:511" ht="18" customHeight="1" x14ac:dyDescent="0.25">
      <c r="B905" s="49" t="s">
        <v>845</v>
      </c>
      <c r="E905" t="s">
        <v>85</v>
      </c>
      <c r="AS905" s="68"/>
      <c r="DL905">
        <v>2</v>
      </c>
      <c r="QY905">
        <v>1</v>
      </c>
      <c r="SL905">
        <v>2</v>
      </c>
    </row>
    <row r="906" spans="2:511" ht="18" customHeight="1" x14ac:dyDescent="0.25">
      <c r="B906" s="49" t="s">
        <v>846</v>
      </c>
      <c r="E906" t="s">
        <v>90</v>
      </c>
      <c r="AS906" s="68"/>
      <c r="DN906">
        <v>2</v>
      </c>
      <c r="RA906">
        <v>1</v>
      </c>
      <c r="SN906">
        <v>2</v>
      </c>
    </row>
    <row r="907" spans="2:511" ht="18" customHeight="1" x14ac:dyDescent="0.25">
      <c r="B907" s="49" t="s">
        <v>846</v>
      </c>
      <c r="E907" t="s">
        <v>85</v>
      </c>
      <c r="AS907" s="68"/>
      <c r="DL907">
        <v>3</v>
      </c>
      <c r="QY907">
        <v>2</v>
      </c>
      <c r="SL907">
        <v>3</v>
      </c>
    </row>
    <row r="908" spans="2:511" ht="18" customHeight="1" x14ac:dyDescent="0.25">
      <c r="B908" s="50" t="s">
        <v>847</v>
      </c>
      <c r="E908" t="s">
        <v>110</v>
      </c>
      <c r="AS908" s="68"/>
    </row>
    <row r="909" spans="2:511" ht="18" customHeight="1" x14ac:dyDescent="0.25">
      <c r="B909" s="50" t="s">
        <v>848</v>
      </c>
      <c r="E909" t="s">
        <v>79</v>
      </c>
      <c r="AS909" s="68"/>
    </row>
    <row r="910" spans="2:511" ht="18" customHeight="1" x14ac:dyDescent="0.25">
      <c r="B910" s="50" t="s">
        <v>849</v>
      </c>
      <c r="E910" t="s">
        <v>161</v>
      </c>
      <c r="AS910" s="68"/>
    </row>
    <row r="911" spans="2:511" ht="18" customHeight="1" x14ac:dyDescent="0.25">
      <c r="B911" s="50" t="s">
        <v>837</v>
      </c>
      <c r="E911" t="s">
        <v>81</v>
      </c>
      <c r="AS911" s="68"/>
    </row>
    <row r="912" spans="2:511" ht="18" customHeight="1" x14ac:dyDescent="0.25">
      <c r="B912" s="48" t="s">
        <v>850</v>
      </c>
      <c r="E912" t="s">
        <v>77</v>
      </c>
      <c r="AS912" s="68"/>
      <c r="CQ912">
        <v>1</v>
      </c>
      <c r="CT912">
        <v>20</v>
      </c>
      <c r="DA912">
        <v>10</v>
      </c>
      <c r="DL912">
        <v>40</v>
      </c>
      <c r="QD912">
        <v>1</v>
      </c>
      <c r="QG912">
        <v>20</v>
      </c>
      <c r="QN912">
        <v>10</v>
      </c>
      <c r="QY912">
        <v>40</v>
      </c>
      <c r="RQ912">
        <v>1</v>
      </c>
      <c r="RT912">
        <v>20</v>
      </c>
      <c r="SA912">
        <v>10</v>
      </c>
      <c r="SL912">
        <v>40</v>
      </c>
    </row>
    <row r="913" spans="2:508" ht="18" customHeight="1" x14ac:dyDescent="0.25">
      <c r="B913" s="48" t="s">
        <v>851</v>
      </c>
      <c r="E913" t="s">
        <v>90</v>
      </c>
      <c r="AS913" s="68"/>
      <c r="CQ913">
        <v>2</v>
      </c>
      <c r="CT913">
        <v>5</v>
      </c>
      <c r="CU913">
        <v>2</v>
      </c>
      <c r="DA913">
        <v>6</v>
      </c>
      <c r="DL913">
        <v>60</v>
      </c>
      <c r="QD913">
        <v>2</v>
      </c>
      <c r="QG913">
        <v>5</v>
      </c>
      <c r="QH913">
        <v>2</v>
      </c>
      <c r="QN913">
        <v>6</v>
      </c>
      <c r="QY913">
        <v>60</v>
      </c>
      <c r="RQ913">
        <v>2</v>
      </c>
      <c r="RT913">
        <v>5</v>
      </c>
      <c r="RU913">
        <v>2</v>
      </c>
      <c r="SA913">
        <v>6</v>
      </c>
      <c r="SL913">
        <v>60</v>
      </c>
    </row>
    <row r="914" spans="2:508" ht="18" customHeight="1" x14ac:dyDescent="0.25">
      <c r="B914" s="48" t="s">
        <v>852</v>
      </c>
      <c r="E914" t="s">
        <v>77</v>
      </c>
      <c r="AS914" s="68"/>
      <c r="CT914">
        <v>3</v>
      </c>
      <c r="DA914">
        <v>10</v>
      </c>
      <c r="DH914">
        <v>30</v>
      </c>
      <c r="DL914">
        <v>30</v>
      </c>
      <c r="QG914">
        <v>2</v>
      </c>
      <c r="QN914">
        <v>10</v>
      </c>
      <c r="QU914">
        <v>30</v>
      </c>
      <c r="QY914">
        <v>30</v>
      </c>
      <c r="RT914">
        <v>6</v>
      </c>
      <c r="SA914">
        <v>10</v>
      </c>
      <c r="SH914">
        <v>30</v>
      </c>
      <c r="SL914">
        <v>30</v>
      </c>
    </row>
    <row r="915" spans="2:508" ht="18" customHeight="1" x14ac:dyDescent="0.25">
      <c r="B915" s="48" t="s">
        <v>853</v>
      </c>
      <c r="AS915" s="68"/>
      <c r="DL915">
        <v>40</v>
      </c>
      <c r="QY915">
        <v>40</v>
      </c>
      <c r="SL915">
        <v>40</v>
      </c>
    </row>
    <row r="916" spans="2:508" ht="18" customHeight="1" x14ac:dyDescent="0.25">
      <c r="B916" s="48" t="s">
        <v>854</v>
      </c>
      <c r="AS916" s="68"/>
      <c r="CQ916">
        <v>1</v>
      </c>
      <c r="CT916">
        <v>12</v>
      </c>
      <c r="DA916">
        <v>20</v>
      </c>
      <c r="DL916">
        <v>60</v>
      </c>
      <c r="QD916">
        <v>1</v>
      </c>
      <c r="QG916">
        <v>12</v>
      </c>
      <c r="QN916">
        <v>20</v>
      </c>
      <c r="QY916">
        <v>60</v>
      </c>
      <c r="RQ916">
        <v>1</v>
      </c>
      <c r="RT916">
        <v>12</v>
      </c>
      <c r="SA916">
        <v>20</v>
      </c>
      <c r="SL916">
        <v>60</v>
      </c>
    </row>
    <row r="917" spans="2:508" ht="18" customHeight="1" x14ac:dyDescent="0.25">
      <c r="B917" s="48" t="s">
        <v>855</v>
      </c>
      <c r="AS917" s="68"/>
      <c r="DL917">
        <v>40</v>
      </c>
      <c r="QY917">
        <v>40</v>
      </c>
      <c r="SL917">
        <v>40</v>
      </c>
    </row>
    <row r="918" spans="2:508" ht="18" customHeight="1" x14ac:dyDescent="0.25">
      <c r="B918" s="48" t="s">
        <v>856</v>
      </c>
      <c r="AS918" s="68"/>
      <c r="CQ918">
        <v>2</v>
      </c>
      <c r="CT918">
        <v>5</v>
      </c>
      <c r="CU918">
        <v>2</v>
      </c>
      <c r="DA918">
        <v>6</v>
      </c>
      <c r="DL918">
        <v>60</v>
      </c>
      <c r="QD918">
        <v>2</v>
      </c>
      <c r="QG918">
        <v>5</v>
      </c>
      <c r="QH918">
        <v>2</v>
      </c>
      <c r="QN918">
        <v>6</v>
      </c>
      <c r="QY918">
        <v>60</v>
      </c>
      <c r="RQ918">
        <v>2</v>
      </c>
      <c r="RT918">
        <v>5</v>
      </c>
      <c r="RU918">
        <v>2</v>
      </c>
      <c r="SA918">
        <v>6</v>
      </c>
      <c r="SL918">
        <v>60</v>
      </c>
    </row>
    <row r="919" spans="2:508" ht="18" customHeight="1" x14ac:dyDescent="0.25">
      <c r="B919" s="49" t="s">
        <v>857</v>
      </c>
      <c r="AS919" s="68"/>
      <c r="DL919">
        <v>40</v>
      </c>
      <c r="QY919">
        <v>40</v>
      </c>
      <c r="SL919">
        <v>40</v>
      </c>
    </row>
    <row r="920" spans="2:508" ht="18" customHeight="1" x14ac:dyDescent="0.25">
      <c r="B920" s="50" t="s">
        <v>858</v>
      </c>
      <c r="E920" t="s">
        <v>90</v>
      </c>
      <c r="AS920" s="68"/>
      <c r="DN920">
        <v>3</v>
      </c>
      <c r="RA920">
        <v>2</v>
      </c>
      <c r="SN920">
        <v>3</v>
      </c>
    </row>
    <row r="921" spans="2:508" ht="18" customHeight="1" x14ac:dyDescent="0.25">
      <c r="B921" s="50" t="s">
        <v>859</v>
      </c>
      <c r="E921" t="s">
        <v>90</v>
      </c>
      <c r="AS921" s="68"/>
      <c r="DN921">
        <v>4</v>
      </c>
      <c r="RA921">
        <v>2</v>
      </c>
      <c r="SN921">
        <v>4</v>
      </c>
    </row>
    <row r="922" spans="2:508" ht="18" customHeight="1" x14ac:dyDescent="0.25">
      <c r="B922" s="50" t="s">
        <v>860</v>
      </c>
      <c r="E922" t="s">
        <v>90</v>
      </c>
      <c r="AS922" s="68"/>
      <c r="DN922">
        <v>3</v>
      </c>
      <c r="RA922">
        <v>2</v>
      </c>
      <c r="SN922">
        <v>3</v>
      </c>
    </row>
    <row r="923" spans="2:508" ht="18" customHeight="1" x14ac:dyDescent="0.25">
      <c r="B923" s="50" t="s">
        <v>861</v>
      </c>
      <c r="E923" t="s">
        <v>90</v>
      </c>
      <c r="AS923" s="68"/>
      <c r="DN923">
        <v>2</v>
      </c>
      <c r="RA923">
        <v>1</v>
      </c>
      <c r="SN923">
        <v>2</v>
      </c>
    </row>
    <row r="924" spans="2:508" ht="18" customHeight="1" x14ac:dyDescent="0.25">
      <c r="B924" s="50" t="s">
        <v>862</v>
      </c>
      <c r="E924" t="s">
        <v>90</v>
      </c>
      <c r="AS924" s="68"/>
      <c r="DN924">
        <v>2</v>
      </c>
      <c r="RA924">
        <v>1</v>
      </c>
      <c r="SN924">
        <v>2</v>
      </c>
    </row>
    <row r="925" spans="2:508" ht="18" customHeight="1" x14ac:dyDescent="0.25">
      <c r="B925" s="50" t="s">
        <v>863</v>
      </c>
      <c r="E925" t="s">
        <v>90</v>
      </c>
      <c r="AS925" s="68"/>
      <c r="DN925">
        <v>2</v>
      </c>
      <c r="RA925">
        <v>1</v>
      </c>
      <c r="SN925">
        <v>2</v>
      </c>
    </row>
    <row r="926" spans="2:508" ht="18" customHeight="1" x14ac:dyDescent="0.25">
      <c r="B926" s="50" t="s">
        <v>864</v>
      </c>
      <c r="E926" t="s">
        <v>90</v>
      </c>
      <c r="AS926" s="68"/>
      <c r="DN926">
        <v>2</v>
      </c>
      <c r="RA926">
        <v>1</v>
      </c>
      <c r="SN926">
        <v>2</v>
      </c>
    </row>
    <row r="927" spans="2:508" ht="18" customHeight="1" x14ac:dyDescent="0.25">
      <c r="B927" s="50" t="s">
        <v>865</v>
      </c>
      <c r="E927" t="s">
        <v>85</v>
      </c>
      <c r="AS927" s="68"/>
      <c r="DL927">
        <v>2</v>
      </c>
      <c r="QY927">
        <v>1</v>
      </c>
      <c r="SL927">
        <v>2</v>
      </c>
    </row>
    <row r="928" spans="2:508" ht="18" customHeight="1" x14ac:dyDescent="0.25">
      <c r="B928" s="50" t="s">
        <v>866</v>
      </c>
      <c r="E928" t="s">
        <v>90</v>
      </c>
      <c r="AS928" s="68"/>
      <c r="DN928">
        <v>3</v>
      </c>
      <c r="RA928">
        <v>2</v>
      </c>
      <c r="SN928">
        <v>3</v>
      </c>
    </row>
    <row r="929" spans="2:508" ht="18" customHeight="1" x14ac:dyDescent="0.25">
      <c r="B929" s="50" t="s">
        <v>867</v>
      </c>
      <c r="E929" t="s">
        <v>85</v>
      </c>
      <c r="AS929" s="68"/>
      <c r="DL929">
        <v>2</v>
      </c>
      <c r="QY929">
        <v>1</v>
      </c>
      <c r="SL929">
        <v>2</v>
      </c>
    </row>
    <row r="930" spans="2:508" ht="18" customHeight="1" x14ac:dyDescent="0.25">
      <c r="B930" s="49" t="s">
        <v>868</v>
      </c>
      <c r="AS930" s="68"/>
      <c r="DL930">
        <v>40</v>
      </c>
      <c r="QY930">
        <v>40</v>
      </c>
      <c r="SL930">
        <v>40</v>
      </c>
    </row>
    <row r="931" spans="2:508" ht="18" customHeight="1" x14ac:dyDescent="0.25">
      <c r="B931" s="50" t="s">
        <v>869</v>
      </c>
      <c r="E931" t="s">
        <v>90</v>
      </c>
      <c r="AS931" s="68"/>
      <c r="DN931">
        <v>3</v>
      </c>
      <c r="RA931">
        <v>2</v>
      </c>
      <c r="SN931">
        <v>3</v>
      </c>
    </row>
    <row r="932" spans="2:508" ht="18" customHeight="1" x14ac:dyDescent="0.25">
      <c r="B932" s="50" t="s">
        <v>870</v>
      </c>
      <c r="E932" t="s">
        <v>85</v>
      </c>
      <c r="AS932" s="68"/>
      <c r="DL932">
        <v>8</v>
      </c>
      <c r="QY932">
        <v>5</v>
      </c>
      <c r="SL932">
        <v>8</v>
      </c>
    </row>
    <row r="933" spans="2:508" ht="18" customHeight="1" x14ac:dyDescent="0.25">
      <c r="B933" s="50" t="s">
        <v>871</v>
      </c>
      <c r="E933" t="s">
        <v>90</v>
      </c>
      <c r="AS933" s="68"/>
      <c r="DN933">
        <v>2</v>
      </c>
      <c r="RA933">
        <v>1</v>
      </c>
      <c r="SN933">
        <v>2</v>
      </c>
    </row>
    <row r="934" spans="2:508" ht="18" customHeight="1" x14ac:dyDescent="0.25">
      <c r="B934" s="50" t="s">
        <v>872</v>
      </c>
      <c r="E934" t="s">
        <v>79</v>
      </c>
      <c r="AS934" s="68"/>
    </row>
    <row r="935" spans="2:508" ht="18" customHeight="1" x14ac:dyDescent="0.25">
      <c r="B935" s="50" t="s">
        <v>873</v>
      </c>
      <c r="E935" t="s">
        <v>90</v>
      </c>
      <c r="AS935" s="68"/>
      <c r="DN935">
        <v>2</v>
      </c>
      <c r="RA935">
        <v>1</v>
      </c>
      <c r="SN935">
        <v>2</v>
      </c>
    </row>
    <row r="936" spans="2:508" ht="18" customHeight="1" x14ac:dyDescent="0.25">
      <c r="B936" s="50" t="s">
        <v>874</v>
      </c>
      <c r="E936" t="s">
        <v>90</v>
      </c>
      <c r="AS936" s="68"/>
      <c r="DN936">
        <v>3</v>
      </c>
      <c r="RA936">
        <v>2</v>
      </c>
      <c r="SN936">
        <v>3</v>
      </c>
    </row>
    <row r="937" spans="2:508" ht="18" customHeight="1" x14ac:dyDescent="0.25">
      <c r="B937" s="50" t="s">
        <v>875</v>
      </c>
      <c r="E937" t="s">
        <v>90</v>
      </c>
      <c r="AS937" s="68"/>
      <c r="DN937">
        <v>2</v>
      </c>
      <c r="RA937">
        <v>1</v>
      </c>
      <c r="SN937">
        <v>2</v>
      </c>
    </row>
    <row r="938" spans="2:508" ht="18" customHeight="1" x14ac:dyDescent="0.25">
      <c r="B938" s="50" t="s">
        <v>876</v>
      </c>
      <c r="E938" t="s">
        <v>85</v>
      </c>
      <c r="AS938" s="68"/>
      <c r="DL938">
        <v>2</v>
      </c>
      <c r="QY938">
        <v>1</v>
      </c>
      <c r="SL938">
        <v>2</v>
      </c>
    </row>
    <row r="939" spans="2:508" ht="18" customHeight="1" x14ac:dyDescent="0.25">
      <c r="B939" s="50" t="s">
        <v>877</v>
      </c>
      <c r="E939" t="s">
        <v>90</v>
      </c>
      <c r="AS939" s="68"/>
      <c r="DN939">
        <v>3</v>
      </c>
      <c r="RA939">
        <v>2</v>
      </c>
      <c r="SN939">
        <v>3</v>
      </c>
    </row>
    <row r="940" spans="2:508" ht="18" customHeight="1" x14ac:dyDescent="0.25">
      <c r="B940" s="50" t="s">
        <v>878</v>
      </c>
      <c r="E940" t="s">
        <v>90</v>
      </c>
      <c r="AS940" s="68"/>
      <c r="DN940">
        <v>3</v>
      </c>
      <c r="RA940">
        <v>2</v>
      </c>
      <c r="SN940">
        <v>3</v>
      </c>
    </row>
    <row r="941" spans="2:508" ht="18" customHeight="1" x14ac:dyDescent="0.25">
      <c r="B941" s="50" t="s">
        <v>879</v>
      </c>
      <c r="E941" t="s">
        <v>90</v>
      </c>
      <c r="AS941" s="68"/>
      <c r="DN941">
        <v>2</v>
      </c>
      <c r="RA941">
        <v>1</v>
      </c>
      <c r="SN941">
        <v>2</v>
      </c>
    </row>
    <row r="942" spans="2:508" ht="18" customHeight="1" x14ac:dyDescent="0.25">
      <c r="B942" s="50" t="s">
        <v>879</v>
      </c>
      <c r="E942" t="s">
        <v>85</v>
      </c>
      <c r="AS942" s="68"/>
      <c r="DL942">
        <v>3</v>
      </c>
      <c r="QY942">
        <v>2</v>
      </c>
      <c r="SL942">
        <v>3</v>
      </c>
    </row>
    <row r="943" spans="2:508" ht="18" customHeight="1" x14ac:dyDescent="0.25">
      <c r="B943" s="50" t="s">
        <v>880</v>
      </c>
      <c r="E943" t="s">
        <v>90</v>
      </c>
      <c r="AS943" s="68"/>
      <c r="DN943">
        <v>3</v>
      </c>
      <c r="RA943">
        <v>2</v>
      </c>
      <c r="SN943">
        <v>3</v>
      </c>
    </row>
    <row r="944" spans="2:508" ht="18" customHeight="1" x14ac:dyDescent="0.25">
      <c r="B944" s="50" t="s">
        <v>881</v>
      </c>
      <c r="E944" t="s">
        <v>90</v>
      </c>
      <c r="AS944" s="68"/>
      <c r="DN944">
        <v>2</v>
      </c>
      <c r="RA944">
        <v>1</v>
      </c>
      <c r="SN944">
        <v>2</v>
      </c>
    </row>
    <row r="945" spans="2:508" ht="18" customHeight="1" x14ac:dyDescent="0.25">
      <c r="B945" s="50" t="s">
        <v>882</v>
      </c>
      <c r="E945" t="s">
        <v>85</v>
      </c>
      <c r="AS945" s="68"/>
      <c r="DL945">
        <v>2</v>
      </c>
      <c r="QY945">
        <v>1</v>
      </c>
      <c r="SL945">
        <v>2</v>
      </c>
    </row>
    <row r="946" spans="2:508" ht="18" customHeight="1" x14ac:dyDescent="0.25">
      <c r="B946" s="50" t="s">
        <v>883</v>
      </c>
      <c r="E946" t="s">
        <v>85</v>
      </c>
      <c r="AS946" s="68"/>
      <c r="DL946">
        <v>2</v>
      </c>
      <c r="QY946">
        <v>1</v>
      </c>
      <c r="SL946">
        <v>2</v>
      </c>
    </row>
    <row r="947" spans="2:508" ht="18" customHeight="1" x14ac:dyDescent="0.25">
      <c r="B947" s="50" t="s">
        <v>884</v>
      </c>
      <c r="E947" t="s">
        <v>85</v>
      </c>
      <c r="AS947" s="68"/>
      <c r="DL947">
        <v>2</v>
      </c>
      <c r="QY947">
        <v>1</v>
      </c>
      <c r="SL947">
        <v>2</v>
      </c>
    </row>
    <row r="948" spans="2:508" ht="18" customHeight="1" x14ac:dyDescent="0.25">
      <c r="B948" s="49" t="s">
        <v>885</v>
      </c>
      <c r="E948" t="s">
        <v>79</v>
      </c>
      <c r="AS948" s="68"/>
      <c r="CQ948">
        <v>1</v>
      </c>
      <c r="CT948">
        <v>12</v>
      </c>
      <c r="DA948">
        <v>20</v>
      </c>
      <c r="DL948">
        <v>60</v>
      </c>
      <c r="QD948">
        <v>1</v>
      </c>
      <c r="QG948">
        <v>12</v>
      </c>
      <c r="QN948">
        <v>20</v>
      </c>
      <c r="QY948">
        <v>60</v>
      </c>
      <c r="RQ948">
        <v>1</v>
      </c>
      <c r="RT948">
        <v>12</v>
      </c>
      <c r="SA948">
        <v>20</v>
      </c>
      <c r="SL948">
        <v>60</v>
      </c>
    </row>
    <row r="949" spans="2:508" ht="18" customHeight="1" x14ac:dyDescent="0.25">
      <c r="B949" s="50" t="s">
        <v>886</v>
      </c>
      <c r="E949" t="s">
        <v>79</v>
      </c>
      <c r="AS949" s="68"/>
    </row>
    <row r="950" spans="2:508" ht="18" customHeight="1" x14ac:dyDescent="0.25">
      <c r="B950" s="50" t="s">
        <v>887</v>
      </c>
      <c r="E950" t="s">
        <v>79</v>
      </c>
      <c r="AS950" s="68"/>
    </row>
    <row r="951" spans="2:508" ht="18" customHeight="1" x14ac:dyDescent="0.25">
      <c r="B951" s="49" t="s">
        <v>888</v>
      </c>
      <c r="E951" t="s">
        <v>90</v>
      </c>
      <c r="AS951" s="68"/>
    </row>
    <row r="952" spans="2:508" ht="18" customHeight="1" x14ac:dyDescent="0.25">
      <c r="B952" s="50" t="s">
        <v>889</v>
      </c>
      <c r="E952" t="s">
        <v>90</v>
      </c>
      <c r="AS952" s="68"/>
      <c r="DN952">
        <v>2</v>
      </c>
      <c r="RA952">
        <v>1</v>
      </c>
      <c r="SN952">
        <v>2</v>
      </c>
    </row>
    <row r="953" spans="2:508" ht="18" customHeight="1" x14ac:dyDescent="0.25">
      <c r="B953" s="49" t="s">
        <v>890</v>
      </c>
      <c r="E953" t="s">
        <v>90</v>
      </c>
      <c r="AS953" s="68"/>
    </row>
    <row r="954" spans="2:508" ht="18" customHeight="1" x14ac:dyDescent="0.25">
      <c r="B954" s="50" t="s">
        <v>891</v>
      </c>
      <c r="E954" t="s">
        <v>90</v>
      </c>
      <c r="AS954" s="68"/>
      <c r="DN954">
        <v>2</v>
      </c>
      <c r="RA954">
        <v>1</v>
      </c>
      <c r="SN954">
        <v>2</v>
      </c>
    </row>
    <row r="955" spans="2:508" ht="18" customHeight="1" x14ac:dyDescent="0.25">
      <c r="B955" s="49" t="s">
        <v>892</v>
      </c>
      <c r="E955" t="s">
        <v>85</v>
      </c>
      <c r="AS955" s="68"/>
      <c r="CQ955">
        <v>1</v>
      </c>
      <c r="CT955">
        <v>20</v>
      </c>
      <c r="DA955">
        <v>10</v>
      </c>
      <c r="DL955">
        <v>5</v>
      </c>
      <c r="QD955">
        <v>1</v>
      </c>
      <c r="QG955">
        <v>20</v>
      </c>
      <c r="QN955">
        <v>10</v>
      </c>
      <c r="QY955">
        <v>3</v>
      </c>
      <c r="RQ955">
        <v>1</v>
      </c>
      <c r="RT955">
        <v>20</v>
      </c>
      <c r="SA955">
        <v>10</v>
      </c>
      <c r="SL955">
        <v>5</v>
      </c>
    </row>
    <row r="956" spans="2:508" ht="18" customHeight="1" x14ac:dyDescent="0.25">
      <c r="B956" s="49" t="s">
        <v>893</v>
      </c>
      <c r="E956" t="s">
        <v>85</v>
      </c>
      <c r="AS956" s="68"/>
      <c r="CQ956">
        <v>2</v>
      </c>
      <c r="CT956">
        <v>5</v>
      </c>
      <c r="CU956">
        <v>2</v>
      </c>
      <c r="DA956">
        <v>6</v>
      </c>
      <c r="DL956">
        <v>60</v>
      </c>
      <c r="QD956">
        <v>2</v>
      </c>
      <c r="QG956">
        <v>5</v>
      </c>
      <c r="QH956">
        <v>2</v>
      </c>
      <c r="QN956">
        <v>6</v>
      </c>
      <c r="QY956">
        <v>60</v>
      </c>
      <c r="RQ956">
        <v>2</v>
      </c>
      <c r="RT956">
        <v>5</v>
      </c>
      <c r="RU956">
        <v>2</v>
      </c>
      <c r="SA956">
        <v>6</v>
      </c>
      <c r="SL956">
        <v>60</v>
      </c>
    </row>
    <row r="957" spans="2:508" ht="18" customHeight="1" x14ac:dyDescent="0.25">
      <c r="B957" s="50" t="s">
        <v>894</v>
      </c>
      <c r="E957" t="s">
        <v>85</v>
      </c>
      <c r="AS957" s="68"/>
      <c r="DL957">
        <v>5</v>
      </c>
      <c r="QY957">
        <v>5</v>
      </c>
      <c r="SL957">
        <v>5</v>
      </c>
    </row>
    <row r="958" spans="2:508" ht="18" customHeight="1" x14ac:dyDescent="0.25">
      <c r="B958" s="50" t="s">
        <v>895</v>
      </c>
      <c r="E958" t="s">
        <v>81</v>
      </c>
      <c r="AS958" s="68"/>
    </row>
    <row r="959" spans="2:508" ht="18" customHeight="1" x14ac:dyDescent="0.25">
      <c r="B959" s="49" t="s">
        <v>896</v>
      </c>
      <c r="E959" t="s">
        <v>90</v>
      </c>
      <c r="AS959" s="68"/>
      <c r="CQ959">
        <v>1</v>
      </c>
      <c r="CT959">
        <v>12</v>
      </c>
      <c r="DA959">
        <v>20</v>
      </c>
      <c r="DL959">
        <v>60</v>
      </c>
      <c r="QD959">
        <v>1</v>
      </c>
      <c r="QG959">
        <v>12</v>
      </c>
      <c r="QN959">
        <v>20</v>
      </c>
      <c r="QY959">
        <v>60</v>
      </c>
      <c r="RQ959">
        <v>1</v>
      </c>
      <c r="RT959">
        <v>12</v>
      </c>
      <c r="SA959">
        <v>20</v>
      </c>
      <c r="SL959">
        <v>60</v>
      </c>
    </row>
    <row r="960" spans="2:508" ht="18" customHeight="1" x14ac:dyDescent="0.25">
      <c r="B960" s="50" t="s">
        <v>871</v>
      </c>
      <c r="E960" t="s">
        <v>90</v>
      </c>
      <c r="AS960" s="68"/>
      <c r="DN960">
        <v>2</v>
      </c>
      <c r="RA960">
        <v>1</v>
      </c>
      <c r="SN960">
        <v>2</v>
      </c>
    </row>
    <row r="961" spans="2:508" ht="18" customHeight="1" x14ac:dyDescent="0.25">
      <c r="B961" s="50" t="s">
        <v>897</v>
      </c>
      <c r="E961" t="s">
        <v>90</v>
      </c>
      <c r="AS961" s="68"/>
      <c r="DN961">
        <v>4</v>
      </c>
      <c r="RA961">
        <v>3</v>
      </c>
      <c r="SN961">
        <v>4</v>
      </c>
    </row>
    <row r="962" spans="2:508" ht="18" customHeight="1" x14ac:dyDescent="0.25">
      <c r="B962" s="50" t="s">
        <v>898</v>
      </c>
      <c r="E962" t="s">
        <v>90</v>
      </c>
      <c r="AS962" s="68"/>
      <c r="DN962">
        <v>2</v>
      </c>
      <c r="RA962">
        <v>1</v>
      </c>
      <c r="SN962">
        <v>2</v>
      </c>
    </row>
    <row r="963" spans="2:508" ht="18" customHeight="1" x14ac:dyDescent="0.25">
      <c r="B963" s="50" t="s">
        <v>899</v>
      </c>
      <c r="E963" t="s">
        <v>90</v>
      </c>
      <c r="AS963" s="68"/>
      <c r="DN963">
        <v>3</v>
      </c>
      <c r="RA963">
        <v>2</v>
      </c>
      <c r="SN963">
        <v>3</v>
      </c>
    </row>
    <row r="964" spans="2:508" ht="18" customHeight="1" x14ac:dyDescent="0.25">
      <c r="B964" s="50" t="s">
        <v>900</v>
      </c>
      <c r="E964" t="s">
        <v>90</v>
      </c>
      <c r="AS964" s="68"/>
      <c r="DN964">
        <v>4</v>
      </c>
      <c r="RA964">
        <v>3</v>
      </c>
      <c r="SN964">
        <v>4</v>
      </c>
    </row>
    <row r="965" spans="2:508" ht="18" customHeight="1" x14ac:dyDescent="0.25">
      <c r="B965" s="50" t="s">
        <v>901</v>
      </c>
      <c r="E965" t="s">
        <v>90</v>
      </c>
      <c r="AS965" s="68"/>
      <c r="DN965">
        <v>4</v>
      </c>
      <c r="RA965">
        <v>3</v>
      </c>
      <c r="SN965">
        <v>4</v>
      </c>
    </row>
    <row r="966" spans="2:508" ht="18" customHeight="1" x14ac:dyDescent="0.25">
      <c r="B966" s="50" t="s">
        <v>902</v>
      </c>
      <c r="E966" t="s">
        <v>90</v>
      </c>
      <c r="AS966" s="68"/>
      <c r="DN966">
        <v>3</v>
      </c>
      <c r="RA966">
        <v>2</v>
      </c>
      <c r="SN966">
        <v>3</v>
      </c>
    </row>
    <row r="967" spans="2:508" ht="18" customHeight="1" x14ac:dyDescent="0.25">
      <c r="B967" s="50" t="s">
        <v>903</v>
      </c>
      <c r="E967" t="s">
        <v>90</v>
      </c>
      <c r="AS967" s="68"/>
      <c r="DN967">
        <v>2</v>
      </c>
      <c r="RA967">
        <v>1</v>
      </c>
      <c r="SN967">
        <v>2</v>
      </c>
    </row>
    <row r="968" spans="2:508" ht="18" customHeight="1" x14ac:dyDescent="0.25">
      <c r="B968" s="50" t="s">
        <v>874</v>
      </c>
      <c r="E968" t="s">
        <v>90</v>
      </c>
      <c r="AS968" s="68"/>
      <c r="DN968">
        <v>3</v>
      </c>
      <c r="RA968">
        <v>2</v>
      </c>
      <c r="SN968">
        <v>3</v>
      </c>
    </row>
    <row r="969" spans="2:508" ht="18" customHeight="1" x14ac:dyDescent="0.25">
      <c r="B969" s="49" t="s">
        <v>904</v>
      </c>
      <c r="E969" t="s">
        <v>108</v>
      </c>
      <c r="AS969" s="68"/>
      <c r="CQ969">
        <v>1</v>
      </c>
      <c r="CT969">
        <v>20</v>
      </c>
      <c r="DA969">
        <v>10</v>
      </c>
      <c r="DL969">
        <v>40</v>
      </c>
      <c r="QD969">
        <v>1</v>
      </c>
      <c r="QG969">
        <v>20</v>
      </c>
      <c r="QN969">
        <v>10</v>
      </c>
      <c r="QY969">
        <v>40</v>
      </c>
      <c r="RQ969">
        <v>1</v>
      </c>
      <c r="RT969">
        <v>20</v>
      </c>
      <c r="SA969">
        <v>10</v>
      </c>
      <c r="SL969">
        <v>40</v>
      </c>
    </row>
    <row r="970" spans="2:508" ht="18" customHeight="1" x14ac:dyDescent="0.25">
      <c r="B970" s="50" t="s">
        <v>905</v>
      </c>
      <c r="E970" t="s">
        <v>159</v>
      </c>
      <c r="AS970" s="68"/>
      <c r="CV970">
        <v>10</v>
      </c>
      <c r="QI970">
        <v>4</v>
      </c>
      <c r="RV970">
        <v>20</v>
      </c>
    </row>
    <row r="971" spans="2:508" ht="18" customHeight="1" x14ac:dyDescent="0.25">
      <c r="B971" s="50" t="s">
        <v>906</v>
      </c>
      <c r="E971" t="s">
        <v>123</v>
      </c>
      <c r="AS971" s="68"/>
    </row>
    <row r="972" spans="2:508" ht="18" customHeight="1" x14ac:dyDescent="0.25">
      <c r="B972" s="49" t="s">
        <v>907</v>
      </c>
      <c r="E972" t="s">
        <v>79</v>
      </c>
      <c r="AS972" s="68"/>
      <c r="DA972">
        <v>3</v>
      </c>
    </row>
    <row r="973" spans="2:508" ht="18" customHeight="1" x14ac:dyDescent="0.25">
      <c r="B973" s="49" t="s">
        <v>908</v>
      </c>
      <c r="E973" t="s">
        <v>85</v>
      </c>
      <c r="AS973" s="68"/>
    </row>
    <row r="974" spans="2:508" ht="18" customHeight="1" x14ac:dyDescent="0.25">
      <c r="B974" s="49" t="s">
        <v>908</v>
      </c>
      <c r="E974" t="s">
        <v>90</v>
      </c>
      <c r="AS974" s="68"/>
      <c r="CQ974">
        <v>1</v>
      </c>
      <c r="CT974">
        <v>12</v>
      </c>
      <c r="DA974">
        <v>20</v>
      </c>
      <c r="DL974">
        <v>60</v>
      </c>
      <c r="QD974">
        <v>1</v>
      </c>
      <c r="QG974">
        <v>12</v>
      </c>
      <c r="QN974">
        <v>20</v>
      </c>
      <c r="QY974">
        <v>60</v>
      </c>
      <c r="RQ974">
        <v>1</v>
      </c>
      <c r="RT974">
        <v>12</v>
      </c>
      <c r="SA974">
        <v>20</v>
      </c>
      <c r="SL974">
        <v>60</v>
      </c>
    </row>
    <row r="975" spans="2:508" ht="18" customHeight="1" x14ac:dyDescent="0.25">
      <c r="B975" s="50" t="s">
        <v>909</v>
      </c>
      <c r="E975" t="s">
        <v>77</v>
      </c>
      <c r="AS975" s="68"/>
      <c r="CQ975">
        <v>1</v>
      </c>
      <c r="CT975">
        <v>1</v>
      </c>
      <c r="DA975">
        <v>10</v>
      </c>
      <c r="DL975">
        <v>40</v>
      </c>
      <c r="QD975">
        <v>1</v>
      </c>
      <c r="QG975">
        <v>3</v>
      </c>
      <c r="QN975">
        <v>10</v>
      </c>
      <c r="QY975">
        <v>40</v>
      </c>
      <c r="RQ975">
        <v>1</v>
      </c>
      <c r="RT975">
        <v>8</v>
      </c>
      <c r="SA975">
        <v>10</v>
      </c>
      <c r="SL975">
        <v>40</v>
      </c>
    </row>
    <row r="976" spans="2:508" ht="18" customHeight="1" x14ac:dyDescent="0.25">
      <c r="B976" s="50" t="s">
        <v>910</v>
      </c>
      <c r="E976" t="s">
        <v>81</v>
      </c>
      <c r="AS976" s="68"/>
    </row>
    <row r="977" spans="2:508" ht="18" customHeight="1" x14ac:dyDescent="0.25">
      <c r="B977" s="50" t="s">
        <v>911</v>
      </c>
      <c r="E977" t="s">
        <v>90</v>
      </c>
      <c r="AS977" s="68"/>
      <c r="CQ977">
        <v>1</v>
      </c>
      <c r="CT977">
        <v>12</v>
      </c>
      <c r="DA977">
        <v>20</v>
      </c>
      <c r="DL977">
        <v>60</v>
      </c>
      <c r="DN977">
        <v>4</v>
      </c>
      <c r="QD977">
        <v>1</v>
      </c>
      <c r="QG977">
        <v>12</v>
      </c>
      <c r="QN977">
        <v>20</v>
      </c>
      <c r="QY977">
        <v>60</v>
      </c>
      <c r="RA977">
        <v>3</v>
      </c>
      <c r="RQ977">
        <v>1</v>
      </c>
      <c r="RT977">
        <v>12</v>
      </c>
      <c r="SA977">
        <v>20</v>
      </c>
      <c r="SL977">
        <v>60</v>
      </c>
      <c r="SN977">
        <v>4</v>
      </c>
    </row>
    <row r="978" spans="2:508" ht="18" customHeight="1" x14ac:dyDescent="0.25">
      <c r="B978" s="49" t="s">
        <v>912</v>
      </c>
      <c r="E978" t="s">
        <v>85</v>
      </c>
      <c r="AS978" s="68"/>
      <c r="CQ978">
        <v>1</v>
      </c>
      <c r="CT978">
        <v>20</v>
      </c>
      <c r="DA978">
        <v>10</v>
      </c>
      <c r="DL978">
        <v>40</v>
      </c>
      <c r="QD978">
        <v>1</v>
      </c>
      <c r="QG978">
        <v>20</v>
      </c>
      <c r="QN978">
        <v>10</v>
      </c>
      <c r="QY978">
        <v>40</v>
      </c>
      <c r="RQ978">
        <v>1</v>
      </c>
      <c r="RT978">
        <v>20</v>
      </c>
      <c r="SA978">
        <v>10</v>
      </c>
      <c r="SL978">
        <v>40</v>
      </c>
    </row>
    <row r="979" spans="2:508" ht="18" customHeight="1" x14ac:dyDescent="0.25">
      <c r="B979" s="50" t="s">
        <v>913</v>
      </c>
      <c r="E979" t="s">
        <v>85</v>
      </c>
      <c r="AS979" s="68"/>
      <c r="DL979">
        <v>2</v>
      </c>
      <c r="QY979">
        <v>1</v>
      </c>
      <c r="SL979">
        <v>2</v>
      </c>
    </row>
    <row r="980" spans="2:508" ht="18" customHeight="1" x14ac:dyDescent="0.25">
      <c r="B980" s="50" t="s">
        <v>914</v>
      </c>
      <c r="E980" t="s">
        <v>85</v>
      </c>
      <c r="AS980" s="68"/>
      <c r="DL980">
        <v>2</v>
      </c>
      <c r="QY980">
        <v>1</v>
      </c>
      <c r="SL980">
        <v>2</v>
      </c>
    </row>
    <row r="981" spans="2:508" ht="18" customHeight="1" x14ac:dyDescent="0.25">
      <c r="B981" s="50" t="s">
        <v>915</v>
      </c>
      <c r="E981" t="s">
        <v>85</v>
      </c>
      <c r="AS981" s="68"/>
      <c r="DL981">
        <v>2</v>
      </c>
      <c r="QY981">
        <v>1</v>
      </c>
      <c r="SL981">
        <v>2</v>
      </c>
    </row>
    <row r="982" spans="2:508" ht="18" customHeight="1" x14ac:dyDescent="0.25">
      <c r="B982" s="49" t="s">
        <v>916</v>
      </c>
      <c r="E982" t="s">
        <v>161</v>
      </c>
      <c r="AS982" s="68"/>
    </row>
    <row r="983" spans="2:508" ht="18" customHeight="1" x14ac:dyDescent="0.25">
      <c r="B983" s="49" t="s">
        <v>917</v>
      </c>
      <c r="E983" t="s">
        <v>105</v>
      </c>
      <c r="AS983" s="68"/>
    </row>
    <row r="984" spans="2:508" ht="18" customHeight="1" x14ac:dyDescent="0.25">
      <c r="B984" s="49" t="s">
        <v>918</v>
      </c>
      <c r="E984" t="s">
        <v>90</v>
      </c>
      <c r="AS984" s="68"/>
    </row>
    <row r="985" spans="2:508" ht="18" customHeight="1" x14ac:dyDescent="0.25">
      <c r="B985" s="49" t="s">
        <v>919</v>
      </c>
      <c r="E985" t="s">
        <v>161</v>
      </c>
      <c r="AS985" s="68"/>
    </row>
    <row r="986" spans="2:508" ht="18" customHeight="1" x14ac:dyDescent="0.25">
      <c r="B986" s="49" t="s">
        <v>920</v>
      </c>
      <c r="E986" t="s">
        <v>161</v>
      </c>
      <c r="AS986" s="68"/>
    </row>
    <row r="987" spans="2:508" ht="18" customHeight="1" x14ac:dyDescent="0.25">
      <c r="B987" s="49" t="s">
        <v>921</v>
      </c>
      <c r="E987" t="s">
        <v>77</v>
      </c>
      <c r="AS987" s="68"/>
      <c r="CT987">
        <v>15</v>
      </c>
    </row>
    <row r="988" spans="2:508" ht="18" customHeight="1" x14ac:dyDescent="0.25">
      <c r="B988" s="49" t="s">
        <v>922</v>
      </c>
      <c r="E988" t="s">
        <v>77</v>
      </c>
      <c r="AS988" s="68"/>
      <c r="CT988">
        <v>3</v>
      </c>
      <c r="DA988">
        <v>10</v>
      </c>
      <c r="DH988">
        <v>30</v>
      </c>
      <c r="DL988">
        <v>30</v>
      </c>
      <c r="QG988">
        <v>3</v>
      </c>
      <c r="QN988">
        <v>10</v>
      </c>
      <c r="QU988">
        <v>30</v>
      </c>
      <c r="QY988">
        <v>30</v>
      </c>
      <c r="RT988">
        <v>3</v>
      </c>
      <c r="SA988">
        <v>10</v>
      </c>
      <c r="SH988">
        <v>30</v>
      </c>
      <c r="SL988">
        <v>30</v>
      </c>
    </row>
    <row r="989" spans="2:508" ht="18" customHeight="1" x14ac:dyDescent="0.25">
      <c r="B989" s="49" t="s">
        <v>923</v>
      </c>
      <c r="E989" t="s">
        <v>85</v>
      </c>
      <c r="AS989" s="68"/>
    </row>
    <row r="990" spans="2:508" ht="18" customHeight="1" x14ac:dyDescent="0.25">
      <c r="B990" s="50" t="s">
        <v>924</v>
      </c>
      <c r="E990" t="s">
        <v>85</v>
      </c>
      <c r="AS990" s="68"/>
      <c r="DL990">
        <v>3</v>
      </c>
      <c r="QY990">
        <v>2</v>
      </c>
      <c r="SL990">
        <v>3</v>
      </c>
    </row>
    <row r="991" spans="2:508" ht="18" customHeight="1" x14ac:dyDescent="0.25">
      <c r="B991" s="50" t="s">
        <v>925</v>
      </c>
      <c r="E991" t="s">
        <v>85</v>
      </c>
      <c r="AS991" s="68"/>
      <c r="DL991">
        <v>2</v>
      </c>
      <c r="QY991">
        <v>1</v>
      </c>
      <c r="SL991">
        <v>2</v>
      </c>
    </row>
    <row r="992" spans="2:508" ht="18" customHeight="1" x14ac:dyDescent="0.25">
      <c r="B992" s="50" t="s">
        <v>926</v>
      </c>
      <c r="E992" t="s">
        <v>90</v>
      </c>
      <c r="AS992" s="68"/>
      <c r="DN992">
        <v>3</v>
      </c>
      <c r="RA992">
        <v>2</v>
      </c>
      <c r="SN992">
        <v>3</v>
      </c>
    </row>
    <row r="993" spans="2:508" ht="18" customHeight="1" x14ac:dyDescent="0.25">
      <c r="B993" s="50" t="s">
        <v>927</v>
      </c>
      <c r="E993" t="s">
        <v>90</v>
      </c>
      <c r="AS993" s="68"/>
      <c r="DN993">
        <v>4</v>
      </c>
      <c r="RA993">
        <v>3</v>
      </c>
      <c r="SN993">
        <v>4</v>
      </c>
    </row>
    <row r="994" spans="2:508" ht="18" customHeight="1" x14ac:dyDescent="0.25">
      <c r="B994" s="50" t="s">
        <v>928</v>
      </c>
      <c r="E994" t="s">
        <v>85</v>
      </c>
      <c r="AS994" s="68"/>
      <c r="DL994">
        <v>3</v>
      </c>
      <c r="QY994">
        <v>2</v>
      </c>
      <c r="SL994">
        <v>3</v>
      </c>
    </row>
    <row r="995" spans="2:508" ht="18" customHeight="1" x14ac:dyDescent="0.25">
      <c r="B995" s="50" t="s">
        <v>929</v>
      </c>
      <c r="E995" t="s">
        <v>85</v>
      </c>
      <c r="AS995" s="68"/>
      <c r="DL995">
        <v>3</v>
      </c>
      <c r="QY995">
        <v>2</v>
      </c>
      <c r="SL995">
        <v>3</v>
      </c>
    </row>
    <row r="996" spans="2:508" ht="18" customHeight="1" x14ac:dyDescent="0.25">
      <c r="B996" s="50" t="s">
        <v>930</v>
      </c>
      <c r="E996" t="s">
        <v>85</v>
      </c>
      <c r="AS996" s="68"/>
      <c r="DL996">
        <v>2</v>
      </c>
      <c r="QY996">
        <v>1</v>
      </c>
      <c r="SL996">
        <v>2</v>
      </c>
    </row>
    <row r="997" spans="2:508" ht="18" customHeight="1" x14ac:dyDescent="0.25">
      <c r="B997" s="50" t="s">
        <v>931</v>
      </c>
      <c r="E997" t="s">
        <v>85</v>
      </c>
      <c r="AS997" s="68"/>
      <c r="DL997">
        <v>3</v>
      </c>
      <c r="QY997">
        <v>2</v>
      </c>
      <c r="SL997">
        <v>3</v>
      </c>
    </row>
    <row r="998" spans="2:508" ht="18" customHeight="1" x14ac:dyDescent="0.25">
      <c r="B998" s="50" t="s">
        <v>932</v>
      </c>
      <c r="E998" t="s">
        <v>90</v>
      </c>
      <c r="AS998" s="68"/>
      <c r="DN998">
        <v>3</v>
      </c>
      <c r="RA998">
        <v>2</v>
      </c>
      <c r="SN998">
        <v>3</v>
      </c>
    </row>
    <row r="999" spans="2:508" ht="18" customHeight="1" x14ac:dyDescent="0.25">
      <c r="B999" s="50" t="s">
        <v>933</v>
      </c>
      <c r="E999" t="s">
        <v>81</v>
      </c>
      <c r="AS999" s="68"/>
    </row>
    <row r="1000" spans="2:508" ht="18" customHeight="1" x14ac:dyDescent="0.25">
      <c r="B1000" s="50" t="s">
        <v>934</v>
      </c>
      <c r="E1000" t="s">
        <v>85</v>
      </c>
      <c r="AS1000" s="68"/>
      <c r="DL1000">
        <v>2</v>
      </c>
      <c r="QY1000">
        <v>1</v>
      </c>
      <c r="SL1000">
        <v>2</v>
      </c>
    </row>
    <row r="1001" spans="2:508" ht="18" customHeight="1" x14ac:dyDescent="0.25">
      <c r="B1001" s="50" t="s">
        <v>935</v>
      </c>
      <c r="E1001" t="s">
        <v>85</v>
      </c>
      <c r="AS1001" s="68"/>
      <c r="DL1001">
        <v>3</v>
      </c>
      <c r="QY1001">
        <v>2</v>
      </c>
      <c r="SL1001">
        <v>3</v>
      </c>
    </row>
    <row r="1002" spans="2:508" ht="18" customHeight="1" x14ac:dyDescent="0.25">
      <c r="B1002" s="50" t="s">
        <v>936</v>
      </c>
      <c r="E1002" t="s">
        <v>85</v>
      </c>
      <c r="AS1002" s="68"/>
      <c r="DL1002">
        <v>2</v>
      </c>
      <c r="QY1002">
        <v>1</v>
      </c>
      <c r="SL1002">
        <v>2</v>
      </c>
    </row>
    <row r="1003" spans="2:508" ht="18" customHeight="1" x14ac:dyDescent="0.25">
      <c r="B1003" s="50" t="s">
        <v>937</v>
      </c>
      <c r="E1003" t="s">
        <v>90</v>
      </c>
      <c r="AS1003" s="68"/>
      <c r="DN1003">
        <v>3</v>
      </c>
      <c r="RA1003">
        <v>2</v>
      </c>
      <c r="SN1003">
        <v>3</v>
      </c>
    </row>
    <row r="1004" spans="2:508" ht="18" customHeight="1" x14ac:dyDescent="0.25">
      <c r="B1004" s="50" t="s">
        <v>938</v>
      </c>
      <c r="E1004" t="s">
        <v>85</v>
      </c>
      <c r="AS1004" s="68"/>
      <c r="DL1004">
        <v>5</v>
      </c>
      <c r="QY1004">
        <v>3</v>
      </c>
      <c r="SL1004">
        <v>5</v>
      </c>
    </row>
    <row r="1005" spans="2:508" ht="18" customHeight="1" x14ac:dyDescent="0.25">
      <c r="B1005" s="49" t="s">
        <v>939</v>
      </c>
      <c r="E1005" t="s">
        <v>79</v>
      </c>
      <c r="AS1005" s="68"/>
      <c r="CQ1005">
        <v>2</v>
      </c>
      <c r="CT1005">
        <v>5</v>
      </c>
      <c r="CU1005">
        <v>2</v>
      </c>
      <c r="DA1005">
        <v>2</v>
      </c>
      <c r="DL1005">
        <v>60</v>
      </c>
      <c r="QD1005">
        <v>2</v>
      </c>
      <c r="QG1005">
        <v>5</v>
      </c>
      <c r="QH1005">
        <v>2</v>
      </c>
      <c r="QN1005">
        <v>6</v>
      </c>
      <c r="QY1005">
        <v>60</v>
      </c>
      <c r="RQ1005">
        <v>2</v>
      </c>
      <c r="RT1005">
        <v>5</v>
      </c>
      <c r="RU1005">
        <v>2</v>
      </c>
      <c r="SA1005">
        <v>6</v>
      </c>
      <c r="SL1005">
        <v>60</v>
      </c>
    </row>
    <row r="1006" spans="2:508" ht="18" customHeight="1" x14ac:dyDescent="0.25">
      <c r="B1006" s="49" t="s">
        <v>940</v>
      </c>
      <c r="E1006" t="s">
        <v>85</v>
      </c>
      <c r="AS1006" s="68"/>
    </row>
    <row r="1007" spans="2:508" ht="18" customHeight="1" x14ac:dyDescent="0.25">
      <c r="B1007" s="49" t="s">
        <v>940</v>
      </c>
      <c r="E1007" t="s">
        <v>90</v>
      </c>
      <c r="AS1007" s="68"/>
      <c r="CQ1007">
        <v>1</v>
      </c>
      <c r="CT1007">
        <v>12</v>
      </c>
      <c r="DA1007">
        <v>20</v>
      </c>
      <c r="DL1007">
        <v>60</v>
      </c>
      <c r="QD1007">
        <v>1</v>
      </c>
      <c r="QG1007">
        <v>12</v>
      </c>
      <c r="QN1007">
        <v>20</v>
      </c>
      <c r="QY1007">
        <v>60</v>
      </c>
      <c r="RQ1007">
        <v>1</v>
      </c>
      <c r="RT1007">
        <v>12</v>
      </c>
      <c r="SA1007">
        <v>20</v>
      </c>
      <c r="SL1007">
        <v>60</v>
      </c>
    </row>
    <row r="1008" spans="2:508" ht="18" customHeight="1" x14ac:dyDescent="0.25">
      <c r="B1008" s="50" t="s">
        <v>895</v>
      </c>
      <c r="E1008" t="s">
        <v>81</v>
      </c>
      <c r="AS1008" s="68"/>
      <c r="CQ1008">
        <v>2</v>
      </c>
      <c r="CT1008">
        <v>5</v>
      </c>
      <c r="CU1008">
        <v>2</v>
      </c>
      <c r="DA1008">
        <v>6</v>
      </c>
      <c r="DL1008">
        <v>60</v>
      </c>
      <c r="QD1008">
        <v>2</v>
      </c>
      <c r="QG1008">
        <v>5</v>
      </c>
      <c r="QH1008">
        <v>2</v>
      </c>
      <c r="QN1008">
        <v>6</v>
      </c>
      <c r="QY1008">
        <v>60</v>
      </c>
      <c r="RQ1008">
        <v>2</v>
      </c>
      <c r="RT1008">
        <v>5</v>
      </c>
      <c r="RU1008">
        <v>2</v>
      </c>
      <c r="SA1008">
        <v>6</v>
      </c>
      <c r="SL1008">
        <v>60</v>
      </c>
    </row>
    <row r="1009" spans="2:508" ht="18" customHeight="1" x14ac:dyDescent="0.25">
      <c r="B1009" s="50" t="s">
        <v>941</v>
      </c>
      <c r="E1009" t="s">
        <v>90</v>
      </c>
      <c r="AS1009" s="68"/>
      <c r="CQ1009">
        <v>1</v>
      </c>
      <c r="CT1009">
        <v>12</v>
      </c>
      <c r="DA1009">
        <v>20</v>
      </c>
      <c r="DL1009">
        <v>60</v>
      </c>
      <c r="DN1009">
        <v>5</v>
      </c>
      <c r="QD1009">
        <v>1</v>
      </c>
      <c r="QG1009">
        <v>12</v>
      </c>
      <c r="QN1009">
        <v>20</v>
      </c>
      <c r="QY1009">
        <v>60</v>
      </c>
      <c r="RA1009">
        <v>4</v>
      </c>
      <c r="RQ1009">
        <v>1</v>
      </c>
      <c r="RT1009">
        <v>12</v>
      </c>
      <c r="SA1009">
        <v>20</v>
      </c>
      <c r="SL1009">
        <v>60</v>
      </c>
      <c r="SN1009">
        <v>5</v>
      </c>
    </row>
    <row r="1010" spans="2:508" ht="18" customHeight="1" x14ac:dyDescent="0.25">
      <c r="B1010" s="49" t="s">
        <v>942</v>
      </c>
      <c r="E1010" t="s">
        <v>90</v>
      </c>
      <c r="AS1010" s="68"/>
      <c r="CQ1010">
        <v>2</v>
      </c>
      <c r="CT1010">
        <v>5</v>
      </c>
      <c r="CU1010">
        <v>2</v>
      </c>
      <c r="DA1010">
        <v>6</v>
      </c>
      <c r="DL1010">
        <v>60</v>
      </c>
      <c r="QD1010">
        <v>2</v>
      </c>
      <c r="QG1010">
        <v>5</v>
      </c>
      <c r="QH1010">
        <v>2</v>
      </c>
      <c r="QN1010">
        <v>6</v>
      </c>
      <c r="QY1010">
        <v>60</v>
      </c>
      <c r="RA1010">
        <v>3</v>
      </c>
      <c r="RQ1010">
        <v>2</v>
      </c>
      <c r="RT1010">
        <v>5</v>
      </c>
      <c r="RU1010">
        <v>2</v>
      </c>
      <c r="SA1010">
        <v>6</v>
      </c>
      <c r="SL1010">
        <v>60</v>
      </c>
      <c r="SN1010">
        <v>8</v>
      </c>
    </row>
    <row r="1011" spans="2:508" ht="18" customHeight="1" x14ac:dyDescent="0.25">
      <c r="B1011" s="50" t="s">
        <v>943</v>
      </c>
      <c r="E1011" t="s">
        <v>77</v>
      </c>
      <c r="AS1011" s="68"/>
    </row>
    <row r="1012" spans="2:508" ht="18" customHeight="1" x14ac:dyDescent="0.25">
      <c r="B1012" s="50" t="s">
        <v>944</v>
      </c>
      <c r="E1012" t="s">
        <v>77</v>
      </c>
      <c r="AS1012" s="68"/>
      <c r="CT1012">
        <v>5</v>
      </c>
    </row>
    <row r="1013" spans="2:508" ht="18" customHeight="1" x14ac:dyDescent="0.25">
      <c r="B1013" s="49" t="s">
        <v>945</v>
      </c>
      <c r="E1013" t="s">
        <v>90</v>
      </c>
      <c r="AS1013" s="68"/>
    </row>
    <row r="1014" spans="2:508" ht="18" customHeight="1" x14ac:dyDescent="0.25">
      <c r="B1014" s="49" t="s">
        <v>946</v>
      </c>
      <c r="AS1014" s="68"/>
      <c r="CQ1014">
        <v>2</v>
      </c>
      <c r="CT1014">
        <v>5</v>
      </c>
      <c r="CU1014">
        <v>2</v>
      </c>
      <c r="DA1014">
        <v>6</v>
      </c>
      <c r="DL1014">
        <v>60</v>
      </c>
      <c r="QD1014">
        <v>2</v>
      </c>
      <c r="QG1014">
        <v>5</v>
      </c>
      <c r="QH1014">
        <v>2</v>
      </c>
      <c r="QN1014">
        <v>6</v>
      </c>
      <c r="QY1014">
        <v>60</v>
      </c>
      <c r="RQ1014">
        <v>2</v>
      </c>
      <c r="RT1014">
        <v>5</v>
      </c>
      <c r="RU1014">
        <v>2</v>
      </c>
      <c r="SA1014">
        <v>6</v>
      </c>
      <c r="SL1014">
        <v>60</v>
      </c>
    </row>
    <row r="1015" spans="2:508" ht="18" customHeight="1" x14ac:dyDescent="0.25">
      <c r="B1015" s="50" t="s">
        <v>947</v>
      </c>
      <c r="E1015" t="s">
        <v>90</v>
      </c>
      <c r="AS1015" s="68"/>
      <c r="DN1015">
        <v>2</v>
      </c>
      <c r="RA1015">
        <v>1</v>
      </c>
      <c r="SN1015">
        <v>2</v>
      </c>
    </row>
    <row r="1016" spans="2:508" ht="18" customHeight="1" x14ac:dyDescent="0.25">
      <c r="B1016" s="50" t="s">
        <v>947</v>
      </c>
      <c r="E1016" t="s">
        <v>85</v>
      </c>
      <c r="AS1016" s="68"/>
      <c r="DL1016">
        <v>2</v>
      </c>
      <c r="QY1016">
        <v>1</v>
      </c>
      <c r="SL1016">
        <v>2</v>
      </c>
    </row>
    <row r="1017" spans="2:508" ht="18" customHeight="1" x14ac:dyDescent="0.25">
      <c r="B1017" s="50" t="s">
        <v>871</v>
      </c>
      <c r="E1017" t="s">
        <v>90</v>
      </c>
      <c r="AS1017" s="68"/>
      <c r="DN1017">
        <v>2</v>
      </c>
      <c r="RA1017">
        <v>1</v>
      </c>
      <c r="SN1017">
        <v>2</v>
      </c>
    </row>
    <row r="1018" spans="2:508" ht="18" customHeight="1" x14ac:dyDescent="0.25">
      <c r="B1018" s="50" t="s">
        <v>897</v>
      </c>
      <c r="E1018" t="s">
        <v>90</v>
      </c>
      <c r="AS1018" s="68"/>
      <c r="DN1018">
        <v>2</v>
      </c>
      <c r="RA1018">
        <v>1</v>
      </c>
      <c r="SN1018">
        <v>2</v>
      </c>
    </row>
    <row r="1019" spans="2:508" ht="18" customHeight="1" x14ac:dyDescent="0.25">
      <c r="B1019" s="50" t="s">
        <v>898</v>
      </c>
      <c r="E1019" t="s">
        <v>90</v>
      </c>
      <c r="AS1019" s="68"/>
      <c r="DN1019">
        <v>2</v>
      </c>
      <c r="RA1019">
        <v>1</v>
      </c>
      <c r="SN1019">
        <v>2</v>
      </c>
    </row>
    <row r="1020" spans="2:508" ht="18" customHeight="1" x14ac:dyDescent="0.25">
      <c r="B1020" s="50" t="s">
        <v>899</v>
      </c>
      <c r="E1020" t="s">
        <v>90</v>
      </c>
      <c r="AS1020" s="68"/>
      <c r="DN1020">
        <v>2</v>
      </c>
      <c r="RA1020">
        <v>1</v>
      </c>
      <c r="SN1020">
        <v>2</v>
      </c>
    </row>
    <row r="1021" spans="2:508" ht="18" customHeight="1" x14ac:dyDescent="0.25">
      <c r="B1021" s="50" t="s">
        <v>900</v>
      </c>
      <c r="E1021" t="s">
        <v>90</v>
      </c>
      <c r="AS1021" s="68"/>
      <c r="DN1021">
        <v>2</v>
      </c>
      <c r="RA1021">
        <v>1</v>
      </c>
      <c r="SN1021">
        <v>2</v>
      </c>
    </row>
    <row r="1022" spans="2:508" ht="18" customHeight="1" x14ac:dyDescent="0.25">
      <c r="B1022" s="50" t="s">
        <v>901</v>
      </c>
      <c r="E1022" t="s">
        <v>90</v>
      </c>
      <c r="AS1022" s="68"/>
      <c r="DN1022">
        <v>2</v>
      </c>
      <c r="RA1022">
        <v>1</v>
      </c>
      <c r="SN1022">
        <v>2</v>
      </c>
    </row>
    <row r="1023" spans="2:508" ht="18" customHeight="1" x14ac:dyDescent="0.25">
      <c r="B1023" s="50" t="s">
        <v>948</v>
      </c>
      <c r="E1023" t="s">
        <v>90</v>
      </c>
      <c r="AS1023" s="68"/>
      <c r="DN1023">
        <v>2</v>
      </c>
      <c r="RA1023">
        <v>1</v>
      </c>
      <c r="SN1023">
        <v>2</v>
      </c>
    </row>
    <row r="1024" spans="2:508" ht="18" customHeight="1" x14ac:dyDescent="0.25">
      <c r="B1024" s="50" t="s">
        <v>948</v>
      </c>
      <c r="E1024" t="s">
        <v>85</v>
      </c>
      <c r="AS1024" s="68"/>
      <c r="DL1024">
        <v>3</v>
      </c>
      <c r="QY1024">
        <v>2</v>
      </c>
      <c r="SL1024">
        <v>3</v>
      </c>
    </row>
    <row r="1025" spans="2:508" ht="18" customHeight="1" x14ac:dyDescent="0.25">
      <c r="B1025" s="50" t="s">
        <v>902</v>
      </c>
      <c r="E1025" t="s">
        <v>90</v>
      </c>
      <c r="AS1025" s="68"/>
      <c r="DN1025">
        <v>2</v>
      </c>
      <c r="RA1025">
        <v>1</v>
      </c>
      <c r="SN1025">
        <v>2</v>
      </c>
    </row>
    <row r="1026" spans="2:508" ht="18" customHeight="1" x14ac:dyDescent="0.25">
      <c r="B1026" s="50" t="s">
        <v>949</v>
      </c>
      <c r="E1026" t="s">
        <v>90</v>
      </c>
      <c r="AS1026" s="68"/>
      <c r="DN1026">
        <v>2</v>
      </c>
      <c r="RA1026">
        <v>1</v>
      </c>
      <c r="SN1026">
        <v>2</v>
      </c>
    </row>
    <row r="1027" spans="2:508" ht="18" customHeight="1" x14ac:dyDescent="0.25">
      <c r="B1027" s="50" t="s">
        <v>874</v>
      </c>
      <c r="E1027" t="s">
        <v>90</v>
      </c>
      <c r="AS1027" s="68"/>
      <c r="DN1027">
        <v>3</v>
      </c>
      <c r="RA1027">
        <v>2</v>
      </c>
      <c r="SN1027">
        <v>3</v>
      </c>
    </row>
    <row r="1028" spans="2:508" ht="18" customHeight="1" x14ac:dyDescent="0.25">
      <c r="B1028" s="50" t="s">
        <v>950</v>
      </c>
      <c r="E1028" t="s">
        <v>90</v>
      </c>
      <c r="AS1028" s="68"/>
      <c r="DN1028">
        <v>2</v>
      </c>
      <c r="RA1028">
        <v>1</v>
      </c>
      <c r="SN1028">
        <v>2</v>
      </c>
    </row>
    <row r="1029" spans="2:508" ht="18" customHeight="1" x14ac:dyDescent="0.25">
      <c r="B1029" s="50" t="s">
        <v>950</v>
      </c>
      <c r="E1029" t="s">
        <v>85</v>
      </c>
      <c r="AS1029" s="68"/>
      <c r="DL1029">
        <v>3</v>
      </c>
      <c r="QY1029">
        <v>2</v>
      </c>
      <c r="SL1029">
        <v>3</v>
      </c>
    </row>
    <row r="1030" spans="2:508" ht="18" customHeight="1" x14ac:dyDescent="0.25">
      <c r="B1030" s="50" t="s">
        <v>951</v>
      </c>
      <c r="E1030" t="s">
        <v>90</v>
      </c>
      <c r="AS1030" s="68"/>
      <c r="DN1030">
        <v>2</v>
      </c>
      <c r="RA1030">
        <v>1</v>
      </c>
      <c r="SN1030">
        <v>2</v>
      </c>
    </row>
    <row r="1031" spans="2:508" ht="18" customHeight="1" x14ac:dyDescent="0.25">
      <c r="B1031" s="50" t="s">
        <v>951</v>
      </c>
      <c r="E1031" t="s">
        <v>85</v>
      </c>
      <c r="AS1031" s="68"/>
      <c r="DL1031">
        <v>3</v>
      </c>
      <c r="QY1031">
        <v>2</v>
      </c>
      <c r="SL1031">
        <v>3</v>
      </c>
    </row>
    <row r="1032" spans="2:508" ht="18" customHeight="1" x14ac:dyDescent="0.25">
      <c r="B1032" s="50" t="s">
        <v>952</v>
      </c>
      <c r="E1032" t="s">
        <v>90</v>
      </c>
      <c r="AS1032" s="68"/>
      <c r="DN1032">
        <v>2</v>
      </c>
      <c r="RA1032">
        <v>1</v>
      </c>
      <c r="SN1032">
        <v>2</v>
      </c>
    </row>
    <row r="1033" spans="2:508" ht="18" customHeight="1" x14ac:dyDescent="0.25">
      <c r="B1033" s="50" t="s">
        <v>952</v>
      </c>
      <c r="E1033" t="s">
        <v>85</v>
      </c>
      <c r="AS1033" s="68"/>
      <c r="DL1033">
        <v>3</v>
      </c>
      <c r="QY1033">
        <v>2</v>
      </c>
      <c r="SL1033">
        <v>3</v>
      </c>
    </row>
    <row r="1034" spans="2:508" ht="18" customHeight="1" x14ac:dyDescent="0.25">
      <c r="B1034" s="50" t="s">
        <v>953</v>
      </c>
      <c r="E1034" t="s">
        <v>90</v>
      </c>
      <c r="AS1034" s="68"/>
      <c r="DN1034">
        <v>2</v>
      </c>
      <c r="RA1034">
        <v>1</v>
      </c>
      <c r="SN1034">
        <v>2</v>
      </c>
    </row>
    <row r="1035" spans="2:508" ht="18" customHeight="1" x14ac:dyDescent="0.25">
      <c r="B1035" s="50" t="s">
        <v>953</v>
      </c>
      <c r="E1035" t="s">
        <v>85</v>
      </c>
      <c r="AS1035" s="68"/>
      <c r="DL1035">
        <v>2</v>
      </c>
      <c r="QY1035">
        <v>1</v>
      </c>
      <c r="SL1035">
        <v>2</v>
      </c>
    </row>
    <row r="1036" spans="2:508" ht="18" customHeight="1" x14ac:dyDescent="0.25">
      <c r="B1036" s="50" t="s">
        <v>954</v>
      </c>
      <c r="E1036" t="s">
        <v>90</v>
      </c>
      <c r="AS1036" s="68"/>
      <c r="DN1036">
        <v>2</v>
      </c>
      <c r="RA1036">
        <v>1</v>
      </c>
      <c r="SN1036">
        <v>2</v>
      </c>
    </row>
    <row r="1037" spans="2:508" ht="18" customHeight="1" x14ac:dyDescent="0.25">
      <c r="B1037" s="50" t="s">
        <v>954</v>
      </c>
      <c r="E1037" t="s">
        <v>85</v>
      </c>
      <c r="AS1037" s="68"/>
      <c r="DL1037">
        <v>3</v>
      </c>
      <c r="QY1037">
        <v>2</v>
      </c>
      <c r="SL1037">
        <v>3</v>
      </c>
    </row>
    <row r="1038" spans="2:508" ht="18" customHeight="1" x14ac:dyDescent="0.25">
      <c r="B1038" s="50" t="s">
        <v>955</v>
      </c>
      <c r="E1038" t="s">
        <v>90</v>
      </c>
      <c r="AS1038" s="68"/>
      <c r="DN1038">
        <v>4</v>
      </c>
      <c r="RA1038">
        <v>3</v>
      </c>
      <c r="SN1038">
        <v>4</v>
      </c>
    </row>
    <row r="1039" spans="2:508" ht="18" customHeight="1" x14ac:dyDescent="0.25">
      <c r="B1039" s="50" t="s">
        <v>955</v>
      </c>
      <c r="E1039" t="s">
        <v>85</v>
      </c>
      <c r="AS1039" s="68"/>
      <c r="DL1039">
        <v>4</v>
      </c>
      <c r="QY1039">
        <v>3</v>
      </c>
      <c r="SL1039">
        <v>4</v>
      </c>
    </row>
    <row r="1040" spans="2:508" ht="18" customHeight="1" x14ac:dyDescent="0.25">
      <c r="B1040" s="49" t="s">
        <v>956</v>
      </c>
      <c r="E1040" t="s">
        <v>90</v>
      </c>
      <c r="AS1040" s="68"/>
      <c r="CQ1040">
        <v>1</v>
      </c>
      <c r="CT1040">
        <v>12</v>
      </c>
      <c r="DA1040">
        <v>20</v>
      </c>
      <c r="DL1040">
        <v>60</v>
      </c>
      <c r="QD1040">
        <v>1</v>
      </c>
      <c r="QG1040">
        <v>12</v>
      </c>
      <c r="QN1040">
        <v>20</v>
      </c>
      <c r="QY1040">
        <v>60</v>
      </c>
      <c r="RQ1040">
        <v>1</v>
      </c>
      <c r="RT1040">
        <v>12</v>
      </c>
      <c r="SA1040">
        <v>20</v>
      </c>
      <c r="SL1040">
        <v>60</v>
      </c>
    </row>
    <row r="1041" spans="1:512" ht="18" customHeight="1" x14ac:dyDescent="0.25">
      <c r="B1041" s="50" t="s">
        <v>957</v>
      </c>
      <c r="E1041" t="s">
        <v>90</v>
      </c>
      <c r="AS1041" s="68"/>
      <c r="DN1041">
        <v>4</v>
      </c>
      <c r="RA1041">
        <v>3</v>
      </c>
      <c r="SN1041">
        <v>4</v>
      </c>
    </row>
    <row r="1042" spans="1:512" ht="18" customHeight="1" x14ac:dyDescent="0.25">
      <c r="B1042" s="49" t="s">
        <v>958</v>
      </c>
      <c r="E1042" t="s">
        <v>90</v>
      </c>
      <c r="AS1042" s="68"/>
    </row>
    <row r="1043" spans="1:512" ht="18" customHeight="1" x14ac:dyDescent="0.25">
      <c r="B1043" s="50" t="s">
        <v>959</v>
      </c>
      <c r="E1043" t="s">
        <v>90</v>
      </c>
      <c r="AS1043" s="68"/>
      <c r="DN1043">
        <v>5</v>
      </c>
      <c r="RA1043">
        <v>3</v>
      </c>
      <c r="SN1043">
        <v>5</v>
      </c>
    </row>
    <row r="1044" spans="1:512" ht="18" customHeight="1" x14ac:dyDescent="0.25">
      <c r="B1044" s="49" t="s">
        <v>960</v>
      </c>
      <c r="E1044" t="s">
        <v>90</v>
      </c>
      <c r="AS1044" s="68"/>
    </row>
    <row r="1045" spans="1:512" ht="18" customHeight="1" x14ac:dyDescent="0.25">
      <c r="B1045" s="50" t="s">
        <v>961</v>
      </c>
      <c r="E1045" t="s">
        <v>90</v>
      </c>
      <c r="AS1045" s="68"/>
      <c r="DN1045">
        <v>5</v>
      </c>
      <c r="RA1045">
        <v>4</v>
      </c>
      <c r="SN1045">
        <v>5</v>
      </c>
    </row>
    <row r="1046" spans="1:512" ht="18" customHeight="1" x14ac:dyDescent="0.25">
      <c r="B1046" s="49" t="s">
        <v>962</v>
      </c>
      <c r="E1046" t="s">
        <v>90</v>
      </c>
      <c r="AS1046" s="68"/>
    </row>
    <row r="1047" spans="1:512" ht="18" customHeight="1" x14ac:dyDescent="0.25">
      <c r="B1047" s="50" t="s">
        <v>963</v>
      </c>
      <c r="E1047" t="s">
        <v>90</v>
      </c>
      <c r="AS1047" s="68"/>
      <c r="DN1047">
        <v>5</v>
      </c>
      <c r="RA1047">
        <v>4</v>
      </c>
      <c r="SN1047">
        <v>5</v>
      </c>
    </row>
    <row r="1048" spans="1:512" ht="18" customHeight="1" x14ac:dyDescent="0.25">
      <c r="B1048" s="49" t="s">
        <v>964</v>
      </c>
      <c r="E1048" t="s">
        <v>90</v>
      </c>
      <c r="AS1048" s="68"/>
    </row>
    <row r="1049" spans="1:512" ht="18" customHeight="1" x14ac:dyDescent="0.25">
      <c r="B1049" s="50" t="s">
        <v>965</v>
      </c>
      <c r="E1049" t="s">
        <v>90</v>
      </c>
      <c r="AS1049" s="68"/>
      <c r="DN1049">
        <v>4</v>
      </c>
      <c r="RA1049">
        <v>3</v>
      </c>
      <c r="SN1049">
        <v>4</v>
      </c>
    </row>
    <row r="1050" spans="1:512" ht="18" customHeight="1" x14ac:dyDescent="0.25">
      <c r="B1050" s="49" t="s">
        <v>966</v>
      </c>
      <c r="E1050" t="s">
        <v>85</v>
      </c>
      <c r="AS1050" s="68"/>
    </row>
    <row r="1051" spans="1:512" ht="18" customHeight="1" x14ac:dyDescent="0.25">
      <c r="B1051" s="50" t="s">
        <v>967</v>
      </c>
      <c r="E1051" t="s">
        <v>85</v>
      </c>
      <c r="AS1051" s="68"/>
      <c r="DL1051">
        <v>4</v>
      </c>
      <c r="QY1051">
        <v>3</v>
      </c>
      <c r="SL1051">
        <v>4</v>
      </c>
    </row>
    <row r="1052" spans="1:512" ht="18" customHeight="1" x14ac:dyDescent="0.25">
      <c r="B1052" s="50" t="s">
        <v>968</v>
      </c>
      <c r="E1052" t="s">
        <v>85</v>
      </c>
      <c r="AS1052" s="68"/>
      <c r="DL1052">
        <v>4</v>
      </c>
      <c r="QY1052">
        <v>3</v>
      </c>
      <c r="SL1052">
        <v>4</v>
      </c>
    </row>
    <row r="1053" spans="1:512" ht="18" customHeight="1" x14ac:dyDescent="0.25">
      <c r="B1053" s="50" t="s">
        <v>969</v>
      </c>
      <c r="E1053" t="s">
        <v>85</v>
      </c>
      <c r="AS1053" s="68"/>
      <c r="DL1053">
        <v>4</v>
      </c>
      <c r="QY1053">
        <v>3</v>
      </c>
      <c r="SL1053">
        <v>4</v>
      </c>
    </row>
    <row r="1054" spans="1:512" ht="18" customHeight="1" x14ac:dyDescent="0.25">
      <c r="A1054" s="54" t="s">
        <v>970</v>
      </c>
      <c r="B1054" s="55"/>
      <c r="C1054" s="55"/>
      <c r="D1054" s="55"/>
      <c r="E1054" s="55"/>
      <c r="F1054" s="55"/>
      <c r="G1054" s="55"/>
      <c r="H1054" s="55"/>
      <c r="I1054" s="55"/>
      <c r="J1054" s="55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  <c r="AC1054" s="55"/>
      <c r="AD1054" s="55"/>
      <c r="AE1054" s="55"/>
      <c r="AF1054" s="55"/>
      <c r="AG1054" s="55"/>
      <c r="AH1054" s="55"/>
      <c r="AI1054" s="55"/>
      <c r="AJ1054" s="55"/>
      <c r="AK1054" s="55"/>
      <c r="AL1054" s="55"/>
      <c r="AM1054" s="55"/>
      <c r="AN1054" s="55"/>
      <c r="AO1054" s="55"/>
      <c r="AP1054" s="55"/>
      <c r="AQ1054" s="55"/>
      <c r="AR1054" s="55"/>
      <c r="AS1054" s="55"/>
      <c r="AT1054" s="55"/>
      <c r="AU1054" s="55"/>
      <c r="AV1054" s="55"/>
      <c r="AW1054" s="55"/>
      <c r="AX1054" s="55"/>
      <c r="AY1054" s="55"/>
      <c r="AZ1054" s="55"/>
      <c r="BA1054" s="55"/>
      <c r="BB1054" s="55"/>
      <c r="BC1054" s="55"/>
      <c r="BD1054" s="55"/>
      <c r="BE1054" s="55"/>
      <c r="BF1054" s="55"/>
      <c r="BG1054" s="55"/>
      <c r="BH1054" s="55"/>
      <c r="BI1054" s="55"/>
      <c r="BJ1054" s="55"/>
      <c r="BK1054" s="55"/>
      <c r="BL1054" s="55"/>
      <c r="BM1054" s="55"/>
      <c r="BN1054" s="55"/>
      <c r="BO1054" s="55"/>
      <c r="BP1054" s="55"/>
      <c r="BQ1054" s="55"/>
      <c r="BR1054" s="55"/>
      <c r="BS1054" s="55"/>
      <c r="BT1054" s="55"/>
      <c r="BU1054" s="55"/>
      <c r="BV1054" s="55"/>
      <c r="BW1054" s="55"/>
      <c r="BX1054" s="55"/>
      <c r="BY1054" s="55"/>
      <c r="BZ1054" s="55"/>
      <c r="CA1054" s="55"/>
      <c r="CB1054" s="55"/>
      <c r="CC1054" s="55"/>
      <c r="CD1054" s="55"/>
      <c r="CE1054" s="55"/>
      <c r="CF1054" s="55"/>
      <c r="CG1054" s="55"/>
      <c r="CH1054" s="55"/>
      <c r="CI1054" s="55"/>
      <c r="CJ1054" s="55"/>
      <c r="CK1054" s="55"/>
      <c r="CL1054" s="55"/>
      <c r="CM1054" s="55"/>
      <c r="CN1054" s="55"/>
      <c r="CO1054" s="55"/>
      <c r="CP1054" s="55"/>
      <c r="CQ1054" s="55"/>
      <c r="CR1054" s="55"/>
      <c r="CS1054" s="55"/>
      <c r="CT1054" s="55"/>
      <c r="CU1054" s="55"/>
      <c r="CV1054" s="55"/>
      <c r="CW1054" s="55"/>
      <c r="CX1054" s="55"/>
      <c r="CY1054" s="55"/>
      <c r="CZ1054" s="55"/>
      <c r="DA1054" s="55"/>
      <c r="DB1054" s="55"/>
      <c r="DC1054" s="55"/>
      <c r="DD1054" s="55"/>
      <c r="DE1054" s="55"/>
      <c r="DF1054" s="55"/>
      <c r="DG1054" s="55"/>
      <c r="DH1054" s="55"/>
      <c r="DI1054" s="55"/>
      <c r="DJ1054" s="55"/>
      <c r="DK1054" s="55"/>
      <c r="DL1054" s="55"/>
      <c r="DM1054" s="55"/>
      <c r="DN1054" s="55"/>
      <c r="DO1054" s="55"/>
      <c r="DP1054" s="55"/>
      <c r="DQ1054" s="55"/>
      <c r="DR1054" s="55"/>
      <c r="DS1054" s="55"/>
      <c r="DT1054" s="55"/>
      <c r="DU1054" s="55"/>
      <c r="DV1054" s="55"/>
      <c r="DW1054" s="55"/>
      <c r="DX1054" s="55"/>
      <c r="DY1054" s="55"/>
      <c r="DZ1054" s="55"/>
      <c r="EA1054" s="55"/>
      <c r="EB1054" s="55"/>
      <c r="EC1054" s="55"/>
      <c r="ED1054" s="55"/>
      <c r="EE1054" s="55"/>
      <c r="EF1054" s="55"/>
      <c r="EG1054" s="55"/>
      <c r="EH1054" s="55"/>
      <c r="EI1054" s="55"/>
      <c r="EJ1054" s="55"/>
      <c r="EK1054" s="55"/>
      <c r="EL1054" s="55"/>
      <c r="EM1054" s="55"/>
      <c r="EN1054" s="55"/>
      <c r="EO1054" s="55"/>
      <c r="EP1054" s="55"/>
      <c r="EQ1054" s="55"/>
      <c r="ER1054" s="55"/>
      <c r="ES1054" s="55"/>
      <c r="ET1054" s="55"/>
      <c r="EU1054" s="55"/>
      <c r="EV1054" s="55"/>
      <c r="EW1054" s="55"/>
      <c r="EX1054" s="55"/>
      <c r="EY1054" s="55"/>
      <c r="EZ1054" s="55"/>
      <c r="FA1054" s="55"/>
      <c r="FB1054" s="55"/>
      <c r="FC1054" s="55"/>
      <c r="FD1054" s="55"/>
      <c r="FE1054" s="55"/>
      <c r="FF1054" s="55"/>
      <c r="FG1054" s="55"/>
      <c r="FH1054" s="55"/>
      <c r="FI1054" s="55"/>
      <c r="FJ1054" s="55"/>
      <c r="FK1054" s="55"/>
      <c r="FL1054" s="55"/>
      <c r="FM1054" s="55"/>
      <c r="FN1054" s="55"/>
      <c r="FO1054" s="55"/>
      <c r="FP1054" s="55"/>
      <c r="FQ1054" s="55"/>
      <c r="FR1054" s="55"/>
      <c r="FS1054" s="55"/>
      <c r="FT1054" s="55"/>
      <c r="FU1054" s="55"/>
      <c r="FV1054" s="55"/>
      <c r="FW1054" s="55"/>
      <c r="FX1054" s="55"/>
      <c r="FY1054" s="55"/>
      <c r="FZ1054" s="55"/>
      <c r="GA1054" s="55"/>
      <c r="GB1054" s="55"/>
      <c r="GC1054" s="55"/>
      <c r="GD1054" s="55"/>
      <c r="GE1054" s="55"/>
      <c r="GF1054" s="55"/>
      <c r="GG1054" s="55"/>
      <c r="GH1054" s="55"/>
      <c r="GI1054" s="55"/>
      <c r="GJ1054" s="55"/>
      <c r="GK1054" s="55"/>
      <c r="GL1054" s="55"/>
      <c r="GM1054" s="55"/>
      <c r="GN1054" s="55"/>
      <c r="GO1054" s="55"/>
      <c r="GP1054" s="55"/>
      <c r="GQ1054" s="55"/>
      <c r="GR1054" s="55"/>
      <c r="GS1054" s="55"/>
      <c r="GT1054" s="55"/>
      <c r="GU1054" s="55"/>
      <c r="GV1054" s="55"/>
      <c r="GW1054" s="55"/>
      <c r="GX1054" s="55"/>
      <c r="GY1054" s="55"/>
      <c r="GZ1054" s="55"/>
      <c r="HA1054" s="55"/>
      <c r="HB1054" s="55"/>
      <c r="HC1054" s="55"/>
      <c r="HD1054" s="55"/>
      <c r="HE1054" s="55"/>
      <c r="HF1054" s="55"/>
      <c r="HG1054" s="55"/>
      <c r="HH1054" s="55"/>
      <c r="HI1054" s="55"/>
      <c r="HJ1054" s="55"/>
      <c r="HK1054" s="55"/>
      <c r="HL1054" s="55"/>
      <c r="HM1054" s="55"/>
      <c r="HN1054" s="55"/>
      <c r="HO1054" s="55"/>
      <c r="HP1054" s="55"/>
      <c r="HQ1054" s="55"/>
      <c r="HR1054" s="55"/>
      <c r="HS1054" s="55"/>
      <c r="HT1054" s="55"/>
      <c r="HU1054" s="55"/>
      <c r="HV1054" s="55"/>
      <c r="HW1054" s="55"/>
      <c r="HX1054" s="55"/>
      <c r="HY1054" s="55"/>
      <c r="HZ1054" s="55"/>
      <c r="IA1054" s="55"/>
      <c r="IB1054" s="55"/>
      <c r="IC1054" s="55"/>
      <c r="ID1054" s="55"/>
      <c r="IE1054" s="55"/>
      <c r="IF1054" s="55"/>
      <c r="IG1054" s="55"/>
      <c r="IH1054" s="55"/>
      <c r="II1054" s="55"/>
      <c r="IJ1054" s="55"/>
      <c r="IK1054" s="55"/>
      <c r="IL1054" s="55"/>
      <c r="IM1054" s="55"/>
      <c r="IN1054" s="55"/>
      <c r="IO1054" s="55"/>
      <c r="IP1054" s="55"/>
      <c r="IQ1054" s="55"/>
      <c r="IR1054" s="55"/>
      <c r="IS1054" s="55"/>
      <c r="IT1054" s="55"/>
      <c r="IU1054" s="55"/>
      <c r="IV1054" s="55"/>
      <c r="IW1054" s="55"/>
      <c r="IX1054" s="55"/>
      <c r="IY1054" s="55"/>
      <c r="IZ1054" s="55"/>
      <c r="JA1054" s="55"/>
      <c r="JB1054" s="55"/>
      <c r="JC1054" s="55"/>
      <c r="JD1054" s="55"/>
      <c r="JE1054" s="55"/>
      <c r="JF1054" s="55"/>
      <c r="JG1054" s="55"/>
      <c r="JH1054" s="55"/>
      <c r="JI1054" s="55"/>
      <c r="JJ1054" s="55"/>
      <c r="JK1054" s="55"/>
      <c r="JL1054" s="55"/>
      <c r="JM1054" s="55"/>
      <c r="JN1054" s="55"/>
      <c r="JO1054" s="55"/>
      <c r="JP1054" s="55"/>
      <c r="JQ1054" s="55"/>
      <c r="JR1054" s="55"/>
      <c r="JS1054" s="55"/>
      <c r="JT1054" s="55"/>
      <c r="JU1054" s="55"/>
      <c r="JV1054" s="55"/>
      <c r="JW1054" s="55"/>
      <c r="JX1054" s="55"/>
      <c r="JY1054" s="55"/>
      <c r="JZ1054" s="55"/>
      <c r="KA1054" s="55"/>
      <c r="KB1054" s="55"/>
      <c r="KC1054" s="55"/>
      <c r="KD1054" s="55"/>
      <c r="KE1054" s="55"/>
      <c r="KF1054" s="55"/>
      <c r="KG1054" s="55"/>
      <c r="KH1054" s="55"/>
      <c r="KI1054" s="55"/>
      <c r="KJ1054" s="55"/>
      <c r="KK1054" s="55"/>
      <c r="KL1054" s="55"/>
      <c r="KM1054" s="55"/>
      <c r="KN1054" s="55"/>
      <c r="KO1054" s="55"/>
      <c r="KP1054" s="55"/>
      <c r="KQ1054" s="55"/>
      <c r="KR1054" s="55"/>
      <c r="KS1054" s="55"/>
      <c r="KT1054" s="55"/>
      <c r="KU1054" s="55"/>
      <c r="KV1054" s="55"/>
      <c r="KW1054" s="55"/>
      <c r="KX1054" s="55"/>
      <c r="KY1054" s="55"/>
      <c r="KZ1054" s="55"/>
      <c r="LA1054" s="55"/>
      <c r="LB1054" s="55"/>
      <c r="LC1054" s="55"/>
      <c r="LD1054" s="55"/>
      <c r="LE1054" s="55"/>
      <c r="LF1054" s="55"/>
      <c r="LG1054" s="55"/>
      <c r="LH1054" s="55"/>
      <c r="LI1054" s="55"/>
      <c r="LJ1054" s="55"/>
      <c r="LK1054" s="55"/>
      <c r="LL1054" s="55"/>
      <c r="LM1054" s="55"/>
      <c r="LN1054" s="55"/>
      <c r="LO1054" s="55"/>
      <c r="LP1054" s="55"/>
      <c r="LQ1054" s="55"/>
      <c r="LR1054" s="55"/>
      <c r="LS1054" s="55"/>
      <c r="LT1054" s="55"/>
      <c r="LU1054" s="55"/>
      <c r="LV1054" s="55"/>
      <c r="LW1054" s="55"/>
      <c r="LX1054" s="55"/>
      <c r="LY1054" s="55"/>
      <c r="LZ1054" s="55"/>
      <c r="MA1054" s="55"/>
      <c r="MB1054" s="55"/>
      <c r="MC1054" s="55"/>
      <c r="MD1054" s="55"/>
      <c r="ME1054" s="55"/>
      <c r="MF1054" s="55"/>
      <c r="MG1054" s="55"/>
      <c r="MH1054" s="55"/>
      <c r="MI1054" s="55"/>
      <c r="MJ1054" s="55"/>
      <c r="MK1054" s="55"/>
      <c r="ML1054" s="55"/>
      <c r="MM1054" s="55"/>
      <c r="MN1054" s="55"/>
      <c r="MO1054" s="55"/>
      <c r="MP1054" s="55"/>
      <c r="MQ1054" s="55"/>
      <c r="MR1054" s="55"/>
      <c r="MS1054" s="55"/>
      <c r="MT1054" s="55"/>
      <c r="MU1054" s="55"/>
      <c r="MV1054" s="55"/>
      <c r="MW1054" s="55"/>
      <c r="MX1054" s="55"/>
      <c r="MY1054" s="55"/>
      <c r="MZ1054" s="55"/>
      <c r="NA1054" s="55"/>
      <c r="NB1054" s="55"/>
      <c r="NC1054" s="55"/>
      <c r="ND1054" s="55"/>
      <c r="NE1054" s="55"/>
      <c r="NF1054" s="55"/>
      <c r="NG1054" s="55"/>
      <c r="NH1054" s="55"/>
      <c r="NI1054" s="55"/>
      <c r="NJ1054" s="55"/>
      <c r="NK1054" s="55"/>
      <c r="NL1054" s="55"/>
      <c r="NM1054" s="55"/>
      <c r="NN1054" s="55"/>
      <c r="NO1054" s="55"/>
      <c r="NP1054" s="55"/>
      <c r="NQ1054" s="55"/>
      <c r="NR1054" s="55"/>
      <c r="NS1054" s="55"/>
      <c r="NT1054" s="55"/>
      <c r="NU1054" s="55"/>
      <c r="NV1054" s="55"/>
      <c r="NW1054" s="55"/>
      <c r="NX1054" s="55"/>
      <c r="NY1054" s="55"/>
      <c r="NZ1054" s="55"/>
      <c r="OA1054" s="55"/>
      <c r="OB1054" s="55"/>
      <c r="OC1054" s="55"/>
      <c r="OD1054" s="55"/>
      <c r="OE1054" s="55"/>
      <c r="OF1054" s="55"/>
      <c r="OG1054" s="55"/>
      <c r="OH1054" s="55"/>
      <c r="OI1054" s="55"/>
      <c r="OJ1054" s="55"/>
      <c r="OK1054" s="55"/>
      <c r="OL1054" s="55"/>
      <c r="OM1054" s="55"/>
      <c r="ON1054" s="55"/>
      <c r="OO1054" s="55"/>
      <c r="OP1054" s="55"/>
      <c r="OQ1054" s="55"/>
      <c r="OR1054" s="55"/>
      <c r="OS1054" s="55"/>
      <c r="OT1054" s="55"/>
      <c r="OU1054" s="55"/>
      <c r="OV1054" s="55"/>
      <c r="OW1054" s="55"/>
      <c r="OX1054" s="55"/>
      <c r="OY1054" s="55"/>
      <c r="OZ1054" s="55"/>
      <c r="PA1054" s="55"/>
      <c r="PB1054" s="55"/>
      <c r="PC1054" s="55"/>
      <c r="PD1054" s="55"/>
      <c r="PE1054" s="55"/>
      <c r="PF1054" s="55"/>
      <c r="PG1054" s="55"/>
      <c r="PH1054" s="55"/>
      <c r="PI1054" s="55"/>
      <c r="PJ1054" s="55"/>
      <c r="PK1054" s="55"/>
      <c r="PL1054" s="55"/>
      <c r="PM1054" s="55"/>
      <c r="PN1054" s="55"/>
      <c r="PO1054" s="55"/>
      <c r="PP1054" s="55"/>
      <c r="PQ1054" s="55"/>
      <c r="PR1054" s="55"/>
      <c r="PS1054" s="55"/>
      <c r="PT1054" s="55"/>
      <c r="PU1054" s="55"/>
      <c r="PV1054" s="55"/>
      <c r="PW1054" s="55"/>
      <c r="PX1054" s="55"/>
      <c r="PY1054" s="55"/>
      <c r="PZ1054" s="55"/>
      <c r="QA1054" s="55"/>
      <c r="QB1054" s="55"/>
      <c r="QC1054" s="55"/>
      <c r="QD1054" s="55"/>
      <c r="QE1054" s="55"/>
      <c r="QF1054" s="55"/>
      <c r="QG1054" s="55"/>
      <c r="QH1054" s="55"/>
      <c r="QI1054" s="55"/>
      <c r="QJ1054" s="55"/>
      <c r="QK1054" s="55"/>
      <c r="QL1054" s="55"/>
      <c r="QM1054" s="55"/>
      <c r="QN1054" s="55"/>
      <c r="QO1054" s="55"/>
      <c r="QP1054" s="55"/>
      <c r="QQ1054" s="55"/>
      <c r="QR1054" s="55"/>
      <c r="QS1054" s="55"/>
      <c r="QT1054" s="55"/>
      <c r="QU1054" s="55"/>
      <c r="QV1054" s="55"/>
      <c r="QW1054" s="55"/>
      <c r="QX1054" s="55"/>
      <c r="QY1054" s="55"/>
      <c r="QZ1054" s="55"/>
      <c r="RA1054" s="55"/>
      <c r="RB1054" s="55"/>
      <c r="RC1054" s="55"/>
      <c r="RD1054" s="55"/>
      <c r="RE1054" s="55"/>
      <c r="RF1054" s="55"/>
      <c r="RG1054" s="55"/>
      <c r="RH1054" s="55"/>
      <c r="RI1054" s="55"/>
      <c r="RJ1054" s="55"/>
      <c r="RK1054" s="55"/>
      <c r="RL1054" s="55"/>
      <c r="RM1054" s="55"/>
      <c r="RN1054" s="55"/>
      <c r="RO1054" s="55"/>
      <c r="RP1054" s="55"/>
      <c r="RQ1054" s="55"/>
      <c r="RR1054" s="55"/>
      <c r="RS1054" s="55"/>
      <c r="RT1054" s="55"/>
      <c r="RU1054" s="55"/>
      <c r="RV1054" s="55"/>
      <c r="RW1054" s="55"/>
      <c r="RX1054" s="55"/>
      <c r="RY1054" s="55"/>
      <c r="RZ1054" s="55"/>
      <c r="SA1054" s="55"/>
      <c r="SB1054" s="55"/>
      <c r="SC1054" s="55"/>
      <c r="SD1054" s="55"/>
      <c r="SE1054" s="55"/>
      <c r="SF1054" s="55"/>
      <c r="SG1054" s="55"/>
      <c r="SH1054" s="55"/>
      <c r="SI1054" s="55"/>
      <c r="SJ1054" s="55"/>
      <c r="SK1054" s="55"/>
      <c r="SL1054" s="55"/>
      <c r="SM1054" s="55"/>
      <c r="SN1054" s="55"/>
      <c r="SO1054" s="55"/>
      <c r="SP1054" s="55"/>
      <c r="SQ1054" s="55"/>
      <c r="SR1054" s="55"/>
    </row>
    <row r="1055" spans="1:512" ht="18" customHeight="1" x14ac:dyDescent="0.25">
      <c r="B1055" s="48" t="s">
        <v>971</v>
      </c>
      <c r="C1055" t="s">
        <v>102</v>
      </c>
      <c r="D1055" t="s">
        <v>76</v>
      </c>
      <c r="E1055" t="s">
        <v>77</v>
      </c>
      <c r="AS1055" s="68"/>
    </row>
    <row r="1056" spans="1:512" ht="18" customHeight="1" x14ac:dyDescent="0.25">
      <c r="B1056" s="49" t="s">
        <v>972</v>
      </c>
      <c r="E1056" t="s">
        <v>90</v>
      </c>
      <c r="AS1056" s="68"/>
      <c r="DN1056">
        <v>20</v>
      </c>
      <c r="RA1056">
        <v>10</v>
      </c>
      <c r="SN1056">
        <v>20</v>
      </c>
    </row>
    <row r="1057" spans="2:508" ht="18" customHeight="1" x14ac:dyDescent="0.25">
      <c r="B1057" s="49" t="s">
        <v>973</v>
      </c>
      <c r="E1057" t="s">
        <v>77</v>
      </c>
      <c r="AS1057" s="68"/>
      <c r="CT1057">
        <v>5</v>
      </c>
      <c r="QG1057">
        <v>3</v>
      </c>
      <c r="RT1057">
        <v>7</v>
      </c>
    </row>
    <row r="1058" spans="2:508" ht="18" customHeight="1" x14ac:dyDescent="0.25">
      <c r="B1058" s="49" t="s">
        <v>974</v>
      </c>
      <c r="E1058" t="s">
        <v>90</v>
      </c>
      <c r="AS1058" s="68"/>
      <c r="DN1058">
        <v>10</v>
      </c>
      <c r="RA1058">
        <v>5</v>
      </c>
      <c r="SN1058">
        <v>10</v>
      </c>
    </row>
    <row r="1059" spans="2:508" ht="18" customHeight="1" x14ac:dyDescent="0.25">
      <c r="B1059" s="50" t="s">
        <v>975</v>
      </c>
      <c r="E1059" t="s">
        <v>90</v>
      </c>
      <c r="AS1059" s="68"/>
    </row>
    <row r="1060" spans="2:508" ht="18" customHeight="1" x14ac:dyDescent="0.25">
      <c r="B1060" s="50" t="s">
        <v>976</v>
      </c>
      <c r="E1060" t="s">
        <v>90</v>
      </c>
      <c r="AS1060" s="68"/>
    </row>
    <row r="1061" spans="2:508" ht="18" customHeight="1" x14ac:dyDescent="0.25">
      <c r="B1061" s="50" t="s">
        <v>977</v>
      </c>
      <c r="E1061" t="s">
        <v>90</v>
      </c>
      <c r="AS1061" s="68"/>
      <c r="DN1061">
        <v>3</v>
      </c>
      <c r="RA1061">
        <v>2</v>
      </c>
      <c r="SN1061">
        <v>3</v>
      </c>
    </row>
    <row r="1062" spans="2:508" ht="18" customHeight="1" x14ac:dyDescent="0.25">
      <c r="B1062" s="50" t="s">
        <v>977</v>
      </c>
      <c r="E1062" t="s">
        <v>85</v>
      </c>
      <c r="AS1062" s="68"/>
      <c r="DL1062">
        <v>3</v>
      </c>
      <c r="QY1062">
        <v>2</v>
      </c>
      <c r="SL1062">
        <v>3</v>
      </c>
    </row>
    <row r="1063" spans="2:508" ht="18" customHeight="1" x14ac:dyDescent="0.25">
      <c r="B1063" s="50" t="s">
        <v>978</v>
      </c>
      <c r="E1063" t="s">
        <v>90</v>
      </c>
      <c r="AS1063" s="68"/>
    </row>
    <row r="1064" spans="2:508" ht="18" customHeight="1" x14ac:dyDescent="0.25">
      <c r="B1064" s="50" t="s">
        <v>979</v>
      </c>
      <c r="E1064" t="s">
        <v>90</v>
      </c>
      <c r="AS1064" s="68"/>
      <c r="DN1064">
        <v>3</v>
      </c>
      <c r="RA1064">
        <v>2</v>
      </c>
      <c r="SN1064">
        <v>3</v>
      </c>
    </row>
    <row r="1065" spans="2:508" ht="18" customHeight="1" x14ac:dyDescent="0.25">
      <c r="B1065" s="50" t="s">
        <v>980</v>
      </c>
      <c r="E1065" t="s">
        <v>90</v>
      </c>
      <c r="AS1065" s="68"/>
    </row>
    <row r="1066" spans="2:508" ht="18" customHeight="1" x14ac:dyDescent="0.25">
      <c r="B1066" s="50" t="s">
        <v>981</v>
      </c>
      <c r="E1066" t="s">
        <v>90</v>
      </c>
      <c r="AS1066" s="68"/>
      <c r="DN1066">
        <v>2</v>
      </c>
      <c r="RA1066">
        <v>1</v>
      </c>
      <c r="SN1066">
        <v>2</v>
      </c>
    </row>
    <row r="1067" spans="2:508" ht="18" customHeight="1" x14ac:dyDescent="0.25">
      <c r="B1067" s="50" t="s">
        <v>982</v>
      </c>
      <c r="E1067" t="s">
        <v>90</v>
      </c>
      <c r="AS1067" s="68"/>
    </row>
    <row r="1068" spans="2:508" ht="18" customHeight="1" x14ac:dyDescent="0.25">
      <c r="B1068" s="50" t="s">
        <v>983</v>
      </c>
      <c r="E1068" t="s">
        <v>90</v>
      </c>
      <c r="AS1068" s="68"/>
      <c r="DN1068">
        <v>3</v>
      </c>
      <c r="RA1068">
        <v>2</v>
      </c>
      <c r="SN1068">
        <v>3</v>
      </c>
    </row>
    <row r="1069" spans="2:508" ht="18" customHeight="1" x14ac:dyDescent="0.25">
      <c r="B1069" s="49" t="s">
        <v>984</v>
      </c>
      <c r="E1069" t="s">
        <v>81</v>
      </c>
      <c r="AS1069" s="68"/>
    </row>
    <row r="1070" spans="2:508" ht="18" customHeight="1" x14ac:dyDescent="0.25">
      <c r="B1070" s="49" t="s">
        <v>985</v>
      </c>
      <c r="E1070" t="s">
        <v>90</v>
      </c>
      <c r="AS1070" s="68"/>
    </row>
    <row r="1071" spans="2:508" ht="18" customHeight="1" x14ac:dyDescent="0.25">
      <c r="B1071" s="50" t="s">
        <v>986</v>
      </c>
      <c r="E1071" t="s">
        <v>90</v>
      </c>
      <c r="AS1071" s="68"/>
      <c r="DN1071">
        <v>4</v>
      </c>
      <c r="RA1071">
        <v>3</v>
      </c>
      <c r="SN1071">
        <v>4</v>
      </c>
    </row>
    <row r="1072" spans="2:508" ht="18" customHeight="1" x14ac:dyDescent="0.25">
      <c r="B1072" s="50" t="s">
        <v>987</v>
      </c>
      <c r="E1072" t="s">
        <v>90</v>
      </c>
      <c r="AS1072" s="68"/>
      <c r="DN1072">
        <v>4</v>
      </c>
      <c r="RA1072">
        <v>3</v>
      </c>
      <c r="SN1072">
        <v>4</v>
      </c>
    </row>
    <row r="1073" spans="2:511" ht="18" customHeight="1" x14ac:dyDescent="0.25">
      <c r="B1073" s="50" t="s">
        <v>988</v>
      </c>
      <c r="E1073" t="s">
        <v>85</v>
      </c>
      <c r="AS1073" s="68"/>
      <c r="DL1073">
        <v>4</v>
      </c>
      <c r="QY1073">
        <v>3</v>
      </c>
      <c r="SL1073">
        <v>4</v>
      </c>
    </row>
    <row r="1074" spans="2:511" ht="18" customHeight="1" x14ac:dyDescent="0.25">
      <c r="B1074" s="50" t="s">
        <v>982</v>
      </c>
      <c r="E1074" t="s">
        <v>85</v>
      </c>
      <c r="AS1074" s="68"/>
      <c r="DL1074">
        <v>4</v>
      </c>
      <c r="QY1074">
        <v>3</v>
      </c>
      <c r="SL1074">
        <v>4</v>
      </c>
    </row>
    <row r="1075" spans="2:511" ht="18" customHeight="1" x14ac:dyDescent="0.25">
      <c r="B1075" s="50" t="s">
        <v>989</v>
      </c>
      <c r="E1075" t="s">
        <v>90</v>
      </c>
      <c r="AS1075" s="68"/>
      <c r="DN1075">
        <v>4</v>
      </c>
      <c r="RA1075">
        <v>3</v>
      </c>
      <c r="SN1075">
        <v>4</v>
      </c>
    </row>
    <row r="1076" spans="2:511" ht="18" customHeight="1" x14ac:dyDescent="0.25">
      <c r="B1076" s="50" t="s">
        <v>990</v>
      </c>
      <c r="E1076" t="s">
        <v>85</v>
      </c>
      <c r="AS1076" s="68"/>
      <c r="DL1076">
        <v>4</v>
      </c>
      <c r="QY1076">
        <v>3</v>
      </c>
      <c r="SL1076">
        <v>4</v>
      </c>
    </row>
    <row r="1077" spans="2:511" ht="18" customHeight="1" x14ac:dyDescent="0.25">
      <c r="B1077" s="48" t="s">
        <v>991</v>
      </c>
      <c r="E1077" t="s">
        <v>77</v>
      </c>
      <c r="AS1077" s="68"/>
      <c r="CT1077">
        <v>35</v>
      </c>
      <c r="CU1077">
        <v>10</v>
      </c>
      <c r="CV1077">
        <v>15</v>
      </c>
      <c r="DD1077">
        <v>30</v>
      </c>
      <c r="DL1077">
        <v>10</v>
      </c>
      <c r="QG1077">
        <v>10</v>
      </c>
      <c r="QH1077">
        <v>10</v>
      </c>
      <c r="QI1077">
        <v>15</v>
      </c>
      <c r="QQ1077">
        <v>30</v>
      </c>
      <c r="QY1077">
        <v>10</v>
      </c>
      <c r="RT1077">
        <v>20</v>
      </c>
      <c r="RU1077">
        <v>10</v>
      </c>
      <c r="RV1077">
        <v>15</v>
      </c>
      <c r="SD1077">
        <v>30</v>
      </c>
      <c r="SL1077">
        <v>10</v>
      </c>
    </row>
    <row r="1078" spans="2:511" ht="18" customHeight="1" x14ac:dyDescent="0.25">
      <c r="B1078" s="48" t="s">
        <v>992</v>
      </c>
      <c r="E1078" t="s">
        <v>77</v>
      </c>
      <c r="AS1078" s="68"/>
      <c r="DD1078">
        <v>5</v>
      </c>
      <c r="DH1078">
        <v>17</v>
      </c>
      <c r="DL1078">
        <v>20</v>
      </c>
      <c r="QG1078">
        <v>1</v>
      </c>
      <c r="QQ1078">
        <v>5</v>
      </c>
      <c r="QU1078">
        <v>17</v>
      </c>
      <c r="QY1078">
        <v>20</v>
      </c>
      <c r="RT1078">
        <v>2</v>
      </c>
      <c r="SD1078">
        <v>5</v>
      </c>
      <c r="SH1078">
        <v>17</v>
      </c>
      <c r="SL1078">
        <v>20</v>
      </c>
    </row>
    <row r="1079" spans="2:511" ht="18" customHeight="1" x14ac:dyDescent="0.25">
      <c r="B1079" s="49" t="s">
        <v>993</v>
      </c>
      <c r="E1079" t="s">
        <v>77</v>
      </c>
      <c r="AS1079" s="68"/>
      <c r="CT1079">
        <v>35</v>
      </c>
      <c r="CU1079">
        <v>10</v>
      </c>
      <c r="CV1079">
        <v>15</v>
      </c>
      <c r="DD1079">
        <v>30</v>
      </c>
      <c r="DL1079">
        <v>10</v>
      </c>
      <c r="QG1079">
        <v>2</v>
      </c>
      <c r="QH1079">
        <v>10</v>
      </c>
      <c r="QI1079">
        <v>15</v>
      </c>
      <c r="QQ1079">
        <v>30</v>
      </c>
      <c r="QY1079">
        <v>10</v>
      </c>
      <c r="RT1079">
        <v>5</v>
      </c>
      <c r="RU1079">
        <v>10</v>
      </c>
      <c r="RV1079">
        <v>15</v>
      </c>
      <c r="SD1079">
        <v>30</v>
      </c>
      <c r="SL1079">
        <v>10</v>
      </c>
    </row>
    <row r="1080" spans="2:511" ht="18" customHeight="1" x14ac:dyDescent="0.25">
      <c r="B1080" s="50" t="s">
        <v>994</v>
      </c>
      <c r="E1080" t="s">
        <v>77</v>
      </c>
      <c r="AS1080" s="68"/>
      <c r="QG1080">
        <v>3</v>
      </c>
      <c r="RT1080">
        <v>8</v>
      </c>
    </row>
    <row r="1081" spans="2:511" ht="18" customHeight="1" x14ac:dyDescent="0.25">
      <c r="B1081" s="49" t="s">
        <v>995</v>
      </c>
      <c r="E1081" t="s">
        <v>90</v>
      </c>
      <c r="AS1081" s="68"/>
      <c r="DN1081">
        <v>10</v>
      </c>
      <c r="RA1081">
        <v>5</v>
      </c>
      <c r="SN1081">
        <v>10</v>
      </c>
    </row>
    <row r="1082" spans="2:511" ht="18" customHeight="1" x14ac:dyDescent="0.25">
      <c r="B1082" s="49" t="s">
        <v>996</v>
      </c>
      <c r="E1082" t="s">
        <v>108</v>
      </c>
      <c r="AS1082" s="68"/>
    </row>
    <row r="1083" spans="2:511" ht="18" customHeight="1" x14ac:dyDescent="0.25">
      <c r="B1083" s="49" t="s">
        <v>997</v>
      </c>
      <c r="E1083" t="s">
        <v>77</v>
      </c>
      <c r="AS1083" s="68"/>
    </row>
    <row r="1084" spans="2:511" ht="18" customHeight="1" x14ac:dyDescent="0.25">
      <c r="B1084" s="50" t="s">
        <v>998</v>
      </c>
      <c r="E1084" t="s">
        <v>110</v>
      </c>
      <c r="AS1084" s="68"/>
      <c r="DQ1084">
        <v>1</v>
      </c>
      <c r="RD1084">
        <v>0.5</v>
      </c>
      <c r="SQ1084">
        <v>1</v>
      </c>
    </row>
    <row r="1085" spans="2:511" ht="18" customHeight="1" x14ac:dyDescent="0.25">
      <c r="B1085" s="50" t="s">
        <v>999</v>
      </c>
      <c r="E1085" t="s">
        <v>85</v>
      </c>
      <c r="AS1085" s="68"/>
      <c r="DL1085">
        <v>4</v>
      </c>
      <c r="QY1085">
        <v>3</v>
      </c>
      <c r="SL1085">
        <v>4</v>
      </c>
    </row>
    <row r="1086" spans="2:511" ht="18" customHeight="1" x14ac:dyDescent="0.25">
      <c r="B1086" s="50" t="s">
        <v>1000</v>
      </c>
      <c r="E1086" t="s">
        <v>105</v>
      </c>
      <c r="AS1086" s="68"/>
    </row>
    <row r="1087" spans="2:511" ht="18" customHeight="1" x14ac:dyDescent="0.25">
      <c r="B1087" s="50" t="s">
        <v>1001</v>
      </c>
      <c r="E1087" t="s">
        <v>161</v>
      </c>
      <c r="AS1087" s="68"/>
    </row>
    <row r="1088" spans="2:511" ht="18" customHeight="1" x14ac:dyDescent="0.25">
      <c r="B1088" s="50" t="s">
        <v>1002</v>
      </c>
      <c r="E1088" t="s">
        <v>81</v>
      </c>
      <c r="AS1088" s="68"/>
    </row>
    <row r="1089" spans="2:508" ht="18" customHeight="1" x14ac:dyDescent="0.25">
      <c r="B1089" s="50" t="s">
        <v>1003</v>
      </c>
      <c r="E1089" t="s">
        <v>77</v>
      </c>
      <c r="AS1089" s="68"/>
      <c r="CT1089">
        <v>1</v>
      </c>
      <c r="QG1089">
        <v>1</v>
      </c>
      <c r="RT1089">
        <v>5</v>
      </c>
    </row>
    <row r="1090" spans="2:508" ht="18" customHeight="1" x14ac:dyDescent="0.25">
      <c r="B1090" s="50" t="s">
        <v>1004</v>
      </c>
      <c r="E1090" t="s">
        <v>121</v>
      </c>
      <c r="AS1090" s="68"/>
    </row>
    <row r="1091" spans="2:508" ht="18" customHeight="1" x14ac:dyDescent="0.25">
      <c r="B1091" s="50" t="s">
        <v>1005</v>
      </c>
      <c r="E1091" t="s">
        <v>79</v>
      </c>
      <c r="AS1091" s="68"/>
      <c r="DA1091">
        <v>5</v>
      </c>
    </row>
    <row r="1092" spans="2:508" ht="18" customHeight="1" x14ac:dyDescent="0.25">
      <c r="B1092" s="50" t="s">
        <v>810</v>
      </c>
      <c r="E1092" t="s">
        <v>131</v>
      </c>
      <c r="AS1092" s="68"/>
    </row>
    <row r="1093" spans="2:508" ht="18" customHeight="1" x14ac:dyDescent="0.25">
      <c r="B1093" s="49" t="s">
        <v>1006</v>
      </c>
      <c r="E1093" t="s">
        <v>161</v>
      </c>
      <c r="AS1093" s="68"/>
      <c r="DD1093">
        <v>5</v>
      </c>
      <c r="DH1093">
        <v>17</v>
      </c>
      <c r="DL1093">
        <v>20</v>
      </c>
      <c r="QQ1093">
        <v>5</v>
      </c>
      <c r="QU1093">
        <v>17</v>
      </c>
      <c r="QY1093">
        <v>20</v>
      </c>
      <c r="SD1093">
        <v>5</v>
      </c>
      <c r="SH1093">
        <v>17</v>
      </c>
      <c r="SL1093">
        <v>20</v>
      </c>
    </row>
    <row r="1094" spans="2:508" ht="18" customHeight="1" x14ac:dyDescent="0.25">
      <c r="B1094" s="49" t="s">
        <v>1007</v>
      </c>
      <c r="E1094" t="s">
        <v>90</v>
      </c>
      <c r="AS1094" s="68"/>
      <c r="DN1094">
        <v>15</v>
      </c>
      <c r="RA1094">
        <v>10</v>
      </c>
      <c r="SN1094">
        <v>15</v>
      </c>
    </row>
    <row r="1095" spans="2:508" ht="18" customHeight="1" x14ac:dyDescent="0.25">
      <c r="B1095" s="49" t="s">
        <v>1007</v>
      </c>
      <c r="E1095" t="s">
        <v>85</v>
      </c>
      <c r="AS1095" s="68"/>
      <c r="DL1095">
        <v>10</v>
      </c>
      <c r="QY1095">
        <v>5</v>
      </c>
      <c r="SL1095">
        <v>10</v>
      </c>
    </row>
    <row r="1096" spans="2:508" ht="18" customHeight="1" x14ac:dyDescent="0.25">
      <c r="B1096" s="49" t="s">
        <v>1008</v>
      </c>
      <c r="E1096" t="s">
        <v>131</v>
      </c>
      <c r="AS1096" s="68"/>
    </row>
    <row r="1097" spans="2:508" ht="18" customHeight="1" x14ac:dyDescent="0.25">
      <c r="B1097" s="49" t="s">
        <v>1009</v>
      </c>
      <c r="E1097" t="s">
        <v>159</v>
      </c>
      <c r="AS1097" s="68"/>
      <c r="CT1097">
        <v>35</v>
      </c>
      <c r="CU1097">
        <v>10</v>
      </c>
      <c r="CV1097">
        <v>4</v>
      </c>
      <c r="DD1097">
        <v>30</v>
      </c>
      <c r="DL1097">
        <v>10</v>
      </c>
      <c r="QG1097">
        <v>35</v>
      </c>
      <c r="QH1097">
        <v>10</v>
      </c>
      <c r="QI1097">
        <v>3</v>
      </c>
      <c r="QQ1097">
        <v>30</v>
      </c>
      <c r="QY1097">
        <v>10</v>
      </c>
      <c r="RT1097">
        <v>35</v>
      </c>
      <c r="RU1097">
        <v>10</v>
      </c>
      <c r="RV1097">
        <v>8</v>
      </c>
      <c r="SD1097">
        <v>30</v>
      </c>
      <c r="SL1097">
        <v>10</v>
      </c>
    </row>
    <row r="1098" spans="2:508" ht="18" customHeight="1" x14ac:dyDescent="0.25">
      <c r="B1098" s="49" t="s">
        <v>1010</v>
      </c>
      <c r="E1098" t="s">
        <v>77</v>
      </c>
      <c r="AS1098" s="68"/>
      <c r="CT1098">
        <v>1</v>
      </c>
      <c r="DD1098">
        <v>5</v>
      </c>
      <c r="DH1098">
        <v>17</v>
      </c>
      <c r="DL1098">
        <v>20</v>
      </c>
      <c r="QQ1098">
        <v>5</v>
      </c>
      <c r="QU1098">
        <v>17</v>
      </c>
      <c r="QY1098">
        <v>20</v>
      </c>
      <c r="SD1098">
        <v>5</v>
      </c>
      <c r="SH1098">
        <v>17</v>
      </c>
      <c r="SL1098">
        <v>20</v>
      </c>
    </row>
    <row r="1099" spans="2:508" ht="18" customHeight="1" x14ac:dyDescent="0.25">
      <c r="B1099" s="49" t="s">
        <v>1011</v>
      </c>
      <c r="E1099" t="s">
        <v>105</v>
      </c>
      <c r="AS1099" s="68"/>
      <c r="CT1099">
        <v>35</v>
      </c>
      <c r="CU1099">
        <v>10</v>
      </c>
      <c r="CV1099">
        <v>15</v>
      </c>
      <c r="DD1099">
        <v>30</v>
      </c>
      <c r="DL1099">
        <v>10</v>
      </c>
      <c r="QG1099">
        <v>35</v>
      </c>
      <c r="QH1099">
        <v>10</v>
      </c>
      <c r="QI1099">
        <v>15</v>
      </c>
      <c r="QQ1099">
        <v>30</v>
      </c>
      <c r="QY1099">
        <v>10</v>
      </c>
      <c r="RT1099">
        <v>35</v>
      </c>
      <c r="RU1099">
        <v>10</v>
      </c>
      <c r="RV1099">
        <v>15</v>
      </c>
      <c r="SD1099">
        <v>30</v>
      </c>
      <c r="SL1099">
        <v>10</v>
      </c>
    </row>
    <row r="1100" spans="2:508" ht="18" customHeight="1" x14ac:dyDescent="0.25">
      <c r="B1100" s="49" t="s">
        <v>1012</v>
      </c>
      <c r="E1100" t="s">
        <v>161</v>
      </c>
      <c r="AS1100" s="68"/>
    </row>
    <row r="1101" spans="2:508" ht="18" customHeight="1" x14ac:dyDescent="0.25">
      <c r="B1101" s="49" t="s">
        <v>1013</v>
      </c>
      <c r="E1101" t="s">
        <v>161</v>
      </c>
      <c r="AS1101" s="68"/>
    </row>
    <row r="1102" spans="2:508" ht="18" customHeight="1" x14ac:dyDescent="0.25">
      <c r="B1102" s="49" t="s">
        <v>1014</v>
      </c>
      <c r="E1102" t="s">
        <v>77</v>
      </c>
      <c r="AS1102" s="68"/>
      <c r="CT1102">
        <v>1</v>
      </c>
      <c r="DD1102">
        <v>5</v>
      </c>
      <c r="DH1102">
        <v>17</v>
      </c>
      <c r="DL1102">
        <v>20</v>
      </c>
      <c r="QQ1102">
        <v>5</v>
      </c>
      <c r="QU1102">
        <v>17</v>
      </c>
      <c r="QY1102">
        <v>20</v>
      </c>
      <c r="SD1102">
        <v>5</v>
      </c>
      <c r="SH1102">
        <v>17</v>
      </c>
      <c r="SL1102">
        <v>20</v>
      </c>
    </row>
    <row r="1103" spans="2:508" ht="18" customHeight="1" x14ac:dyDescent="0.25">
      <c r="B1103" s="49" t="s">
        <v>1015</v>
      </c>
      <c r="E1103" t="s">
        <v>161</v>
      </c>
      <c r="AS1103" s="68"/>
      <c r="CT1103">
        <v>35</v>
      </c>
      <c r="CU1103">
        <v>10</v>
      </c>
      <c r="CV1103">
        <v>15</v>
      </c>
      <c r="DD1103">
        <v>30</v>
      </c>
      <c r="DL1103">
        <v>10</v>
      </c>
      <c r="QG1103">
        <v>35</v>
      </c>
      <c r="QH1103">
        <v>10</v>
      </c>
      <c r="QI1103">
        <v>15</v>
      </c>
      <c r="QQ1103">
        <v>30</v>
      </c>
      <c r="QY1103">
        <v>10</v>
      </c>
      <c r="RT1103">
        <v>35</v>
      </c>
      <c r="RU1103">
        <v>10</v>
      </c>
      <c r="RV1103">
        <v>15</v>
      </c>
      <c r="SD1103">
        <v>30</v>
      </c>
      <c r="SL1103">
        <v>10</v>
      </c>
    </row>
    <row r="1104" spans="2:508" ht="18" customHeight="1" x14ac:dyDescent="0.25">
      <c r="B1104" s="50" t="s">
        <v>1016</v>
      </c>
      <c r="E1104" t="s">
        <v>161</v>
      </c>
      <c r="AS1104" s="68"/>
    </row>
    <row r="1105" spans="1:512" ht="18" customHeight="1" x14ac:dyDescent="0.25">
      <c r="B1105" s="50" t="s">
        <v>1017</v>
      </c>
      <c r="E1105" t="s">
        <v>161</v>
      </c>
      <c r="AS1105" s="68"/>
    </row>
    <row r="1106" spans="1:512" ht="18" customHeight="1" x14ac:dyDescent="0.25">
      <c r="A1106" s="54" t="s">
        <v>1018</v>
      </c>
      <c r="B1106" s="55"/>
      <c r="C1106" s="55"/>
      <c r="D1106" s="55"/>
      <c r="E1106" s="55"/>
      <c r="F1106" s="55"/>
      <c r="G1106" s="55"/>
      <c r="H1106" s="55"/>
      <c r="I1106" s="55"/>
      <c r="J1106" s="55"/>
      <c r="K1106" s="55"/>
      <c r="L1106" s="55"/>
      <c r="M1106" s="55"/>
      <c r="N1106" s="55"/>
      <c r="O1106" s="55"/>
      <c r="P1106" s="55"/>
      <c r="Q1106" s="55"/>
      <c r="R1106" s="55"/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  <c r="AC1106" s="55"/>
      <c r="AD1106" s="55"/>
      <c r="AE1106" s="55"/>
      <c r="AF1106" s="55"/>
      <c r="AG1106" s="55"/>
      <c r="AH1106" s="55"/>
      <c r="AI1106" s="55"/>
      <c r="AJ1106" s="55"/>
      <c r="AK1106" s="55"/>
      <c r="AL1106" s="55"/>
      <c r="AM1106" s="55"/>
      <c r="AN1106" s="55"/>
      <c r="AO1106" s="55"/>
      <c r="AP1106" s="55"/>
      <c r="AQ1106" s="55"/>
      <c r="AR1106" s="55"/>
      <c r="AS1106" s="55"/>
      <c r="AT1106" s="55"/>
      <c r="AU1106" s="55"/>
      <c r="AV1106" s="55"/>
      <c r="AW1106" s="55"/>
      <c r="AX1106" s="55"/>
      <c r="AY1106" s="55"/>
      <c r="AZ1106" s="55"/>
      <c r="BA1106" s="55"/>
      <c r="BB1106" s="55"/>
      <c r="BC1106" s="55"/>
      <c r="BD1106" s="55"/>
      <c r="BE1106" s="55"/>
      <c r="BF1106" s="55"/>
      <c r="BG1106" s="55"/>
      <c r="BH1106" s="55"/>
      <c r="BI1106" s="55"/>
      <c r="BJ1106" s="55"/>
      <c r="BK1106" s="55"/>
      <c r="BL1106" s="55"/>
      <c r="BM1106" s="55"/>
      <c r="BN1106" s="55"/>
      <c r="BO1106" s="55"/>
      <c r="BP1106" s="55"/>
      <c r="BQ1106" s="55"/>
      <c r="BR1106" s="55"/>
      <c r="BS1106" s="55"/>
      <c r="BT1106" s="55"/>
      <c r="BU1106" s="55"/>
      <c r="BV1106" s="55"/>
      <c r="BW1106" s="55"/>
      <c r="BX1106" s="55"/>
      <c r="BY1106" s="55"/>
      <c r="BZ1106" s="55"/>
      <c r="CA1106" s="55"/>
      <c r="CB1106" s="55"/>
      <c r="CC1106" s="55"/>
      <c r="CD1106" s="55"/>
      <c r="CE1106" s="55"/>
      <c r="CF1106" s="55"/>
      <c r="CG1106" s="55"/>
      <c r="CH1106" s="55"/>
      <c r="CI1106" s="55"/>
      <c r="CJ1106" s="55"/>
      <c r="CK1106" s="55"/>
      <c r="CL1106" s="55"/>
      <c r="CM1106" s="55"/>
      <c r="CN1106" s="55"/>
      <c r="CO1106" s="55"/>
      <c r="CP1106" s="55"/>
      <c r="CQ1106" s="55"/>
      <c r="CR1106" s="55"/>
      <c r="CS1106" s="55"/>
      <c r="CT1106" s="55"/>
      <c r="CU1106" s="55"/>
      <c r="CV1106" s="55"/>
      <c r="CW1106" s="55"/>
      <c r="CX1106" s="55"/>
      <c r="CY1106" s="55"/>
      <c r="CZ1106" s="55"/>
      <c r="DA1106" s="55"/>
      <c r="DB1106" s="55"/>
      <c r="DC1106" s="55"/>
      <c r="DD1106" s="55"/>
      <c r="DE1106" s="55"/>
      <c r="DF1106" s="55"/>
      <c r="DG1106" s="55"/>
      <c r="DH1106" s="55"/>
      <c r="DI1106" s="55"/>
      <c r="DJ1106" s="55"/>
      <c r="DK1106" s="55"/>
      <c r="DL1106" s="55"/>
      <c r="DM1106" s="55"/>
      <c r="DN1106" s="55"/>
      <c r="DO1106" s="55"/>
      <c r="DP1106" s="55"/>
      <c r="DQ1106" s="55"/>
      <c r="DR1106" s="55"/>
      <c r="DS1106" s="55"/>
      <c r="DT1106" s="55"/>
      <c r="DU1106" s="55"/>
      <c r="DV1106" s="55"/>
      <c r="DW1106" s="55"/>
      <c r="DX1106" s="55"/>
      <c r="DY1106" s="55"/>
      <c r="DZ1106" s="55"/>
      <c r="EA1106" s="55"/>
      <c r="EB1106" s="55"/>
      <c r="EC1106" s="55"/>
      <c r="ED1106" s="55"/>
      <c r="EE1106" s="55"/>
      <c r="EF1106" s="55"/>
      <c r="EG1106" s="55"/>
      <c r="EH1106" s="55"/>
      <c r="EI1106" s="55"/>
      <c r="EJ1106" s="55"/>
      <c r="EK1106" s="55"/>
      <c r="EL1106" s="55"/>
      <c r="EM1106" s="55"/>
      <c r="EN1106" s="55"/>
      <c r="EO1106" s="55"/>
      <c r="EP1106" s="55"/>
      <c r="EQ1106" s="55"/>
      <c r="ER1106" s="55"/>
      <c r="ES1106" s="55"/>
      <c r="ET1106" s="55"/>
      <c r="EU1106" s="55"/>
      <c r="EV1106" s="55"/>
      <c r="EW1106" s="55"/>
      <c r="EX1106" s="55"/>
      <c r="EY1106" s="55"/>
      <c r="EZ1106" s="55"/>
      <c r="FA1106" s="55"/>
      <c r="FB1106" s="55"/>
      <c r="FC1106" s="55"/>
      <c r="FD1106" s="55"/>
      <c r="FE1106" s="55"/>
      <c r="FF1106" s="55"/>
      <c r="FG1106" s="55"/>
      <c r="FH1106" s="55"/>
      <c r="FI1106" s="55"/>
      <c r="FJ1106" s="55"/>
      <c r="FK1106" s="55"/>
      <c r="FL1106" s="55"/>
      <c r="FM1106" s="55"/>
      <c r="FN1106" s="55"/>
      <c r="FO1106" s="55"/>
      <c r="FP1106" s="55"/>
      <c r="FQ1106" s="55"/>
      <c r="FR1106" s="55"/>
      <c r="FS1106" s="55"/>
      <c r="FT1106" s="55"/>
      <c r="FU1106" s="55"/>
      <c r="FV1106" s="55"/>
      <c r="FW1106" s="55"/>
      <c r="FX1106" s="55"/>
      <c r="FY1106" s="55"/>
      <c r="FZ1106" s="55"/>
      <c r="GA1106" s="55"/>
      <c r="GB1106" s="55"/>
      <c r="GC1106" s="55"/>
      <c r="GD1106" s="55"/>
      <c r="GE1106" s="55"/>
      <c r="GF1106" s="55"/>
      <c r="GG1106" s="55"/>
      <c r="GH1106" s="55"/>
      <c r="GI1106" s="55"/>
      <c r="GJ1106" s="55"/>
      <c r="GK1106" s="55"/>
      <c r="GL1106" s="55"/>
      <c r="GM1106" s="55"/>
      <c r="GN1106" s="55"/>
      <c r="GO1106" s="55"/>
      <c r="GP1106" s="55"/>
      <c r="GQ1106" s="55"/>
      <c r="GR1106" s="55"/>
      <c r="GS1106" s="55"/>
      <c r="GT1106" s="55"/>
      <c r="GU1106" s="55"/>
      <c r="GV1106" s="55"/>
      <c r="GW1106" s="55"/>
      <c r="GX1106" s="55"/>
      <c r="GY1106" s="55"/>
      <c r="GZ1106" s="55"/>
      <c r="HA1106" s="55"/>
      <c r="HB1106" s="55"/>
      <c r="HC1106" s="55"/>
      <c r="HD1106" s="55"/>
      <c r="HE1106" s="55"/>
      <c r="HF1106" s="55"/>
      <c r="HG1106" s="55"/>
      <c r="HH1106" s="55"/>
      <c r="HI1106" s="55"/>
      <c r="HJ1106" s="55"/>
      <c r="HK1106" s="55"/>
      <c r="HL1106" s="55"/>
      <c r="HM1106" s="55"/>
      <c r="HN1106" s="55"/>
      <c r="HO1106" s="55"/>
      <c r="HP1106" s="55"/>
      <c r="HQ1106" s="55"/>
      <c r="HR1106" s="55"/>
      <c r="HS1106" s="55"/>
      <c r="HT1106" s="55"/>
      <c r="HU1106" s="55"/>
      <c r="HV1106" s="55"/>
      <c r="HW1106" s="55"/>
      <c r="HX1106" s="55"/>
      <c r="HY1106" s="55"/>
      <c r="HZ1106" s="55"/>
      <c r="IA1106" s="55"/>
      <c r="IB1106" s="55"/>
      <c r="IC1106" s="55"/>
      <c r="ID1106" s="55"/>
      <c r="IE1106" s="55"/>
      <c r="IF1106" s="55"/>
      <c r="IG1106" s="55"/>
      <c r="IH1106" s="55"/>
      <c r="II1106" s="55"/>
      <c r="IJ1106" s="55"/>
      <c r="IK1106" s="55"/>
      <c r="IL1106" s="55"/>
      <c r="IM1106" s="55"/>
      <c r="IN1106" s="55"/>
      <c r="IO1106" s="55"/>
      <c r="IP1106" s="55"/>
      <c r="IQ1106" s="55"/>
      <c r="IR1106" s="55"/>
      <c r="IS1106" s="55"/>
      <c r="IT1106" s="55"/>
      <c r="IU1106" s="55"/>
      <c r="IV1106" s="55"/>
      <c r="IW1106" s="55"/>
      <c r="IX1106" s="55"/>
      <c r="IY1106" s="55"/>
      <c r="IZ1106" s="55"/>
      <c r="JA1106" s="55"/>
      <c r="JB1106" s="55"/>
      <c r="JC1106" s="55"/>
      <c r="JD1106" s="55"/>
      <c r="JE1106" s="55"/>
      <c r="JF1106" s="55"/>
      <c r="JG1106" s="55"/>
      <c r="JH1106" s="55"/>
      <c r="JI1106" s="55"/>
      <c r="JJ1106" s="55"/>
      <c r="JK1106" s="55"/>
      <c r="JL1106" s="55"/>
      <c r="JM1106" s="55"/>
      <c r="JN1106" s="55"/>
      <c r="JO1106" s="55"/>
      <c r="JP1106" s="55"/>
      <c r="JQ1106" s="55"/>
      <c r="JR1106" s="55"/>
      <c r="JS1106" s="55"/>
      <c r="JT1106" s="55"/>
      <c r="JU1106" s="55"/>
      <c r="JV1106" s="55"/>
      <c r="JW1106" s="55"/>
      <c r="JX1106" s="55"/>
      <c r="JY1106" s="55"/>
      <c r="JZ1106" s="55"/>
      <c r="KA1106" s="55"/>
      <c r="KB1106" s="55"/>
      <c r="KC1106" s="55"/>
      <c r="KD1106" s="55"/>
      <c r="KE1106" s="55"/>
      <c r="KF1106" s="55"/>
      <c r="KG1106" s="55"/>
      <c r="KH1106" s="55"/>
      <c r="KI1106" s="55"/>
      <c r="KJ1106" s="55"/>
      <c r="KK1106" s="55"/>
      <c r="KL1106" s="55"/>
      <c r="KM1106" s="55"/>
      <c r="KN1106" s="55"/>
      <c r="KO1106" s="55"/>
      <c r="KP1106" s="55"/>
      <c r="KQ1106" s="55"/>
      <c r="KR1106" s="55"/>
      <c r="KS1106" s="55"/>
      <c r="KT1106" s="55"/>
      <c r="KU1106" s="55"/>
      <c r="KV1106" s="55"/>
      <c r="KW1106" s="55"/>
      <c r="KX1106" s="55"/>
      <c r="KY1106" s="55"/>
      <c r="KZ1106" s="55"/>
      <c r="LA1106" s="55"/>
      <c r="LB1106" s="55"/>
      <c r="LC1106" s="55"/>
      <c r="LD1106" s="55"/>
      <c r="LE1106" s="55"/>
      <c r="LF1106" s="55"/>
      <c r="LG1106" s="55"/>
      <c r="LH1106" s="55"/>
      <c r="LI1106" s="55"/>
      <c r="LJ1106" s="55"/>
      <c r="LK1106" s="55"/>
      <c r="LL1106" s="55"/>
      <c r="LM1106" s="55"/>
      <c r="LN1106" s="55"/>
      <c r="LO1106" s="55"/>
      <c r="LP1106" s="55"/>
      <c r="LQ1106" s="55"/>
      <c r="LR1106" s="55"/>
      <c r="LS1106" s="55"/>
      <c r="LT1106" s="55"/>
      <c r="LU1106" s="55"/>
      <c r="LV1106" s="55"/>
      <c r="LW1106" s="55"/>
      <c r="LX1106" s="55"/>
      <c r="LY1106" s="55"/>
      <c r="LZ1106" s="55"/>
      <c r="MA1106" s="55"/>
      <c r="MB1106" s="55"/>
      <c r="MC1106" s="55"/>
      <c r="MD1106" s="55"/>
      <c r="ME1106" s="55"/>
      <c r="MF1106" s="55"/>
      <c r="MG1106" s="55"/>
      <c r="MH1106" s="55"/>
      <c r="MI1106" s="55"/>
      <c r="MJ1106" s="55"/>
      <c r="MK1106" s="55"/>
      <c r="ML1106" s="55"/>
      <c r="MM1106" s="55"/>
      <c r="MN1106" s="55"/>
      <c r="MO1106" s="55"/>
      <c r="MP1106" s="55"/>
      <c r="MQ1106" s="55"/>
      <c r="MR1106" s="55"/>
      <c r="MS1106" s="55"/>
      <c r="MT1106" s="55"/>
      <c r="MU1106" s="55"/>
      <c r="MV1106" s="55"/>
      <c r="MW1106" s="55"/>
      <c r="MX1106" s="55"/>
      <c r="MY1106" s="55"/>
      <c r="MZ1106" s="55"/>
      <c r="NA1106" s="55"/>
      <c r="NB1106" s="55"/>
      <c r="NC1106" s="55"/>
      <c r="ND1106" s="55"/>
      <c r="NE1106" s="55"/>
      <c r="NF1106" s="55"/>
      <c r="NG1106" s="55"/>
      <c r="NH1106" s="55"/>
      <c r="NI1106" s="55"/>
      <c r="NJ1106" s="55"/>
      <c r="NK1106" s="55"/>
      <c r="NL1106" s="55"/>
      <c r="NM1106" s="55"/>
      <c r="NN1106" s="55"/>
      <c r="NO1106" s="55"/>
      <c r="NP1106" s="55"/>
      <c r="NQ1106" s="55"/>
      <c r="NR1106" s="55"/>
      <c r="NS1106" s="55"/>
      <c r="NT1106" s="55"/>
      <c r="NU1106" s="55"/>
      <c r="NV1106" s="55"/>
      <c r="NW1106" s="55"/>
      <c r="NX1106" s="55"/>
      <c r="NY1106" s="55"/>
      <c r="NZ1106" s="55"/>
      <c r="OA1106" s="55"/>
      <c r="OB1106" s="55"/>
      <c r="OC1106" s="55"/>
      <c r="OD1106" s="55"/>
      <c r="OE1106" s="55"/>
      <c r="OF1106" s="55"/>
      <c r="OG1106" s="55"/>
      <c r="OH1106" s="55"/>
      <c r="OI1106" s="55"/>
      <c r="OJ1106" s="55"/>
      <c r="OK1106" s="55"/>
      <c r="OL1106" s="55"/>
      <c r="OM1106" s="55"/>
      <c r="ON1106" s="55"/>
      <c r="OO1106" s="55"/>
      <c r="OP1106" s="55"/>
      <c r="OQ1106" s="55"/>
      <c r="OR1106" s="55"/>
      <c r="OS1106" s="55"/>
      <c r="OT1106" s="55"/>
      <c r="OU1106" s="55"/>
      <c r="OV1106" s="55"/>
      <c r="OW1106" s="55"/>
      <c r="OX1106" s="55"/>
      <c r="OY1106" s="55"/>
      <c r="OZ1106" s="55"/>
      <c r="PA1106" s="55"/>
      <c r="PB1106" s="55"/>
      <c r="PC1106" s="55"/>
      <c r="PD1106" s="55"/>
      <c r="PE1106" s="55"/>
      <c r="PF1106" s="55"/>
      <c r="PG1106" s="55"/>
      <c r="PH1106" s="55"/>
      <c r="PI1106" s="55"/>
      <c r="PJ1106" s="55"/>
      <c r="PK1106" s="55"/>
      <c r="PL1106" s="55"/>
      <c r="PM1106" s="55"/>
      <c r="PN1106" s="55"/>
      <c r="PO1106" s="55"/>
      <c r="PP1106" s="55"/>
      <c r="PQ1106" s="55"/>
      <c r="PR1106" s="55"/>
      <c r="PS1106" s="55"/>
      <c r="PT1106" s="55"/>
      <c r="PU1106" s="55"/>
      <c r="PV1106" s="55"/>
      <c r="PW1106" s="55"/>
      <c r="PX1106" s="55"/>
      <c r="PY1106" s="55"/>
      <c r="PZ1106" s="55"/>
      <c r="QA1106" s="55"/>
      <c r="QB1106" s="55"/>
      <c r="QC1106" s="55"/>
      <c r="QD1106" s="55"/>
      <c r="QE1106" s="55"/>
      <c r="QF1106" s="55"/>
      <c r="QG1106" s="55"/>
      <c r="QH1106" s="55"/>
      <c r="QI1106" s="55"/>
      <c r="QJ1106" s="55"/>
      <c r="QK1106" s="55"/>
      <c r="QL1106" s="55"/>
      <c r="QM1106" s="55"/>
      <c r="QN1106" s="55"/>
      <c r="QO1106" s="55"/>
      <c r="QP1106" s="55"/>
      <c r="QQ1106" s="55"/>
      <c r="QR1106" s="55"/>
      <c r="QS1106" s="55"/>
      <c r="QT1106" s="55"/>
      <c r="QU1106" s="55"/>
      <c r="QV1106" s="55"/>
      <c r="QW1106" s="55"/>
      <c r="QX1106" s="55"/>
      <c r="QY1106" s="55"/>
      <c r="QZ1106" s="55"/>
      <c r="RA1106" s="55"/>
      <c r="RB1106" s="55"/>
      <c r="RC1106" s="55"/>
      <c r="RD1106" s="55"/>
      <c r="RE1106" s="55"/>
      <c r="RF1106" s="55"/>
      <c r="RG1106" s="55"/>
      <c r="RH1106" s="55"/>
      <c r="RI1106" s="55"/>
      <c r="RJ1106" s="55"/>
      <c r="RK1106" s="55"/>
      <c r="RL1106" s="55"/>
      <c r="RM1106" s="55"/>
      <c r="RN1106" s="55"/>
      <c r="RO1106" s="55"/>
      <c r="RP1106" s="55"/>
      <c r="RQ1106" s="55"/>
      <c r="RR1106" s="55"/>
      <c r="RS1106" s="55"/>
      <c r="RT1106" s="55"/>
      <c r="RU1106" s="55"/>
      <c r="RV1106" s="55"/>
      <c r="RW1106" s="55"/>
      <c r="RX1106" s="55"/>
      <c r="RY1106" s="55"/>
      <c r="RZ1106" s="55"/>
      <c r="SA1106" s="55"/>
      <c r="SB1106" s="55"/>
      <c r="SC1106" s="55"/>
      <c r="SD1106" s="55"/>
      <c r="SE1106" s="55"/>
      <c r="SF1106" s="55"/>
      <c r="SG1106" s="55"/>
      <c r="SH1106" s="55"/>
      <c r="SI1106" s="55"/>
      <c r="SJ1106" s="55"/>
      <c r="SK1106" s="55"/>
      <c r="SL1106" s="55"/>
      <c r="SM1106" s="55"/>
      <c r="SN1106" s="55"/>
      <c r="SO1106" s="55"/>
      <c r="SP1106" s="55"/>
      <c r="SQ1106" s="55"/>
      <c r="SR1106" s="55"/>
    </row>
    <row r="1107" spans="1:512" ht="18" customHeight="1" x14ac:dyDescent="0.25">
      <c r="B1107" s="48" t="s">
        <v>1019</v>
      </c>
      <c r="E1107" t="s">
        <v>77</v>
      </c>
      <c r="AS1107" s="68"/>
      <c r="DL1107">
        <v>60</v>
      </c>
      <c r="QY1107">
        <v>60</v>
      </c>
      <c r="SL1107">
        <v>60</v>
      </c>
    </row>
    <row r="1108" spans="1:512" x14ac:dyDescent="0.25">
      <c r="B1108" s="48" t="s">
        <v>1020</v>
      </c>
      <c r="E1108" t="s">
        <v>90</v>
      </c>
      <c r="AS1108" s="68"/>
      <c r="DL1108">
        <v>60</v>
      </c>
      <c r="QY1108">
        <v>60</v>
      </c>
      <c r="SL1108">
        <v>60</v>
      </c>
    </row>
    <row r="1109" spans="1:512" ht="18" customHeight="1" x14ac:dyDescent="0.25">
      <c r="B1109" s="48" t="s">
        <v>1021</v>
      </c>
      <c r="E1109" t="s">
        <v>77</v>
      </c>
      <c r="AS1109" s="68"/>
    </row>
    <row r="1110" spans="1:512" ht="18" customHeight="1" x14ac:dyDescent="0.25">
      <c r="B1110" s="50" t="s">
        <v>1022</v>
      </c>
      <c r="E1110" t="s">
        <v>85</v>
      </c>
      <c r="AS1110" s="68"/>
      <c r="DL1110">
        <v>2</v>
      </c>
      <c r="QY1110">
        <v>1</v>
      </c>
      <c r="SL1110">
        <v>2</v>
      </c>
    </row>
    <row r="1111" spans="1:512" ht="18" customHeight="1" x14ac:dyDescent="0.25">
      <c r="B1111" s="50" t="s">
        <v>1023</v>
      </c>
      <c r="E1111" t="s">
        <v>85</v>
      </c>
      <c r="AS1111" s="68"/>
      <c r="DL1111">
        <v>4</v>
      </c>
      <c r="QY1111">
        <v>3</v>
      </c>
      <c r="SL1111">
        <v>4</v>
      </c>
    </row>
    <row r="1112" spans="1:512" ht="18" customHeight="1" x14ac:dyDescent="0.25">
      <c r="B1112" s="50" t="s">
        <v>1024</v>
      </c>
      <c r="E1112" t="s">
        <v>90</v>
      </c>
      <c r="AS1112" s="68"/>
      <c r="DN1112">
        <v>5</v>
      </c>
      <c r="RA1112">
        <v>3</v>
      </c>
      <c r="SN1112">
        <v>5</v>
      </c>
    </row>
    <row r="1113" spans="1:512" ht="18" customHeight="1" x14ac:dyDescent="0.25">
      <c r="B1113" s="50" t="s">
        <v>1025</v>
      </c>
      <c r="E1113" t="s">
        <v>90</v>
      </c>
      <c r="AS1113" s="68"/>
      <c r="DN1113">
        <v>2</v>
      </c>
      <c r="RA1113">
        <v>1</v>
      </c>
      <c r="SN1113">
        <v>2</v>
      </c>
    </row>
    <row r="1114" spans="1:512" ht="18" customHeight="1" x14ac:dyDescent="0.25">
      <c r="B1114" s="50" t="s">
        <v>1026</v>
      </c>
      <c r="E1114" t="s">
        <v>90</v>
      </c>
      <c r="AS1114" s="68"/>
      <c r="DN1114">
        <v>3</v>
      </c>
      <c r="RA1114">
        <v>2</v>
      </c>
      <c r="SN1114">
        <v>3</v>
      </c>
    </row>
    <row r="1115" spans="1:512" ht="18" customHeight="1" x14ac:dyDescent="0.25">
      <c r="B1115" s="50" t="s">
        <v>1027</v>
      </c>
      <c r="E1115" t="s">
        <v>90</v>
      </c>
      <c r="AS1115" s="68"/>
      <c r="DN1115">
        <v>3</v>
      </c>
      <c r="RA1115">
        <v>2</v>
      </c>
      <c r="SN1115">
        <v>3</v>
      </c>
    </row>
    <row r="1116" spans="1:512" ht="18" customHeight="1" x14ac:dyDescent="0.25">
      <c r="B1116" s="50" t="s">
        <v>1028</v>
      </c>
      <c r="E1116" t="s">
        <v>85</v>
      </c>
      <c r="AS1116" s="68"/>
      <c r="DL1116">
        <v>2</v>
      </c>
      <c r="QY1116">
        <v>1</v>
      </c>
      <c r="SL1116">
        <v>2</v>
      </c>
    </row>
    <row r="1117" spans="1:512" ht="18" customHeight="1" x14ac:dyDescent="0.25">
      <c r="B1117" s="50" t="s">
        <v>1029</v>
      </c>
      <c r="E1117" t="s">
        <v>79</v>
      </c>
      <c r="AS1117" s="68"/>
    </row>
    <row r="1118" spans="1:512" ht="18" customHeight="1" x14ac:dyDescent="0.25">
      <c r="B1118" s="50" t="s">
        <v>1030</v>
      </c>
      <c r="E1118" t="s">
        <v>85</v>
      </c>
      <c r="AS1118" s="68"/>
      <c r="DL1118">
        <v>4</v>
      </c>
      <c r="QY1118">
        <v>3</v>
      </c>
      <c r="SL1118">
        <v>4</v>
      </c>
    </row>
    <row r="1119" spans="1:512" ht="18" customHeight="1" x14ac:dyDescent="0.25">
      <c r="B1119" s="50" t="s">
        <v>1031</v>
      </c>
      <c r="E1119" t="s">
        <v>77</v>
      </c>
      <c r="AS1119" s="68"/>
      <c r="CT1119">
        <v>2</v>
      </c>
      <c r="DL1119">
        <v>60</v>
      </c>
      <c r="QY1119">
        <v>60</v>
      </c>
      <c r="SL1119">
        <v>60</v>
      </c>
    </row>
    <row r="1120" spans="1:512" ht="18" customHeight="1" x14ac:dyDescent="0.25">
      <c r="B1120" s="49" t="s">
        <v>1032</v>
      </c>
      <c r="E1120" t="s">
        <v>77</v>
      </c>
      <c r="AS1120" s="68"/>
    </row>
    <row r="1121" spans="2:511" ht="18" customHeight="1" x14ac:dyDescent="0.25">
      <c r="B1121" s="49" t="s">
        <v>1033</v>
      </c>
      <c r="E1121" t="s">
        <v>85</v>
      </c>
      <c r="AS1121" s="68"/>
      <c r="DL1121">
        <v>3</v>
      </c>
      <c r="QY1121">
        <v>2</v>
      </c>
      <c r="SL1121">
        <v>3</v>
      </c>
    </row>
    <row r="1122" spans="2:511" ht="18" customHeight="1" x14ac:dyDescent="0.25">
      <c r="B1122" s="49" t="s">
        <v>1034</v>
      </c>
      <c r="E1122" t="s">
        <v>85</v>
      </c>
      <c r="AS1122" s="68"/>
      <c r="DL1122">
        <v>2</v>
      </c>
      <c r="QY1122">
        <v>1</v>
      </c>
      <c r="SL1122">
        <v>2</v>
      </c>
    </row>
    <row r="1123" spans="2:511" ht="18" customHeight="1" x14ac:dyDescent="0.25">
      <c r="B1123" s="49" t="s">
        <v>1035</v>
      </c>
      <c r="E1123" t="s">
        <v>85</v>
      </c>
      <c r="AS1123" s="68"/>
      <c r="DL1123">
        <v>4</v>
      </c>
      <c r="QY1123">
        <v>3</v>
      </c>
      <c r="SL1123">
        <v>4</v>
      </c>
    </row>
    <row r="1124" spans="2:511" ht="18" customHeight="1" x14ac:dyDescent="0.25">
      <c r="B1124" s="49" t="s">
        <v>1036</v>
      </c>
      <c r="E1124" t="s">
        <v>90</v>
      </c>
      <c r="AS1124" s="68"/>
      <c r="DN1124">
        <v>2</v>
      </c>
      <c r="RA1124">
        <v>1</v>
      </c>
      <c r="SN1124">
        <v>2</v>
      </c>
    </row>
    <row r="1125" spans="2:511" ht="18" customHeight="1" x14ac:dyDescent="0.25">
      <c r="B1125" s="49" t="s">
        <v>1037</v>
      </c>
      <c r="E1125" t="s">
        <v>90</v>
      </c>
      <c r="AS1125" s="68"/>
      <c r="DN1125">
        <v>5</v>
      </c>
      <c r="RA1125">
        <v>4</v>
      </c>
      <c r="SN1125">
        <v>5</v>
      </c>
    </row>
    <row r="1126" spans="2:511" ht="18" customHeight="1" x14ac:dyDescent="0.25">
      <c r="B1126" s="49" t="s">
        <v>1038</v>
      </c>
      <c r="E1126" t="s">
        <v>90</v>
      </c>
      <c r="AS1126" s="68"/>
      <c r="DN1126">
        <v>2</v>
      </c>
      <c r="RA1126">
        <v>1</v>
      </c>
      <c r="SN1126">
        <v>2</v>
      </c>
    </row>
    <row r="1127" spans="2:511" ht="18" customHeight="1" x14ac:dyDescent="0.25">
      <c r="B1127" s="49" t="s">
        <v>1039</v>
      </c>
      <c r="E1127" t="s">
        <v>90</v>
      </c>
      <c r="AS1127" s="68"/>
      <c r="DN1127">
        <v>2</v>
      </c>
      <c r="RA1127">
        <v>1</v>
      </c>
      <c r="SN1127">
        <v>2</v>
      </c>
    </row>
    <row r="1128" spans="2:511" ht="18" customHeight="1" x14ac:dyDescent="0.25">
      <c r="B1128" s="49" t="s">
        <v>1040</v>
      </c>
      <c r="E1128" t="s">
        <v>90</v>
      </c>
      <c r="AS1128" s="68"/>
      <c r="DN1128">
        <v>2</v>
      </c>
      <c r="RA1128">
        <v>1</v>
      </c>
      <c r="SN1128">
        <v>2</v>
      </c>
    </row>
    <row r="1129" spans="2:511" ht="18" customHeight="1" x14ac:dyDescent="0.25">
      <c r="B1129" s="49" t="s">
        <v>1041</v>
      </c>
      <c r="E1129" t="s">
        <v>90</v>
      </c>
      <c r="AS1129" s="68"/>
      <c r="DN1129">
        <v>2</v>
      </c>
      <c r="RA1129">
        <v>1</v>
      </c>
      <c r="SN1129">
        <v>2</v>
      </c>
    </row>
    <row r="1130" spans="2:511" ht="18" customHeight="1" x14ac:dyDescent="0.25">
      <c r="B1130" s="49" t="s">
        <v>1042</v>
      </c>
      <c r="E1130" t="s">
        <v>90</v>
      </c>
      <c r="AS1130" s="68"/>
      <c r="DN1130">
        <v>3</v>
      </c>
      <c r="RA1130">
        <v>2</v>
      </c>
      <c r="SN1130">
        <v>3</v>
      </c>
    </row>
    <row r="1131" spans="2:511" ht="18" customHeight="1" x14ac:dyDescent="0.25">
      <c r="B1131" s="49" t="s">
        <v>1043</v>
      </c>
      <c r="E1131" t="s">
        <v>90</v>
      </c>
      <c r="AS1131" s="68"/>
      <c r="DN1131">
        <v>3</v>
      </c>
      <c r="RA1131">
        <v>2</v>
      </c>
      <c r="SN1131">
        <v>3</v>
      </c>
    </row>
    <row r="1132" spans="2:511" ht="18" customHeight="1" x14ac:dyDescent="0.25">
      <c r="B1132" s="49" t="s">
        <v>1044</v>
      </c>
      <c r="E1132" t="s">
        <v>85</v>
      </c>
      <c r="AS1132" s="68"/>
      <c r="DL1132">
        <v>3</v>
      </c>
      <c r="QY1132">
        <v>2</v>
      </c>
      <c r="SL1132">
        <v>3</v>
      </c>
    </row>
    <row r="1133" spans="2:511" ht="18" customHeight="1" x14ac:dyDescent="0.25">
      <c r="B1133" s="49" t="s">
        <v>1045</v>
      </c>
      <c r="E1133" t="s">
        <v>85</v>
      </c>
      <c r="AS1133" s="68"/>
      <c r="DL1133">
        <v>2</v>
      </c>
      <c r="QY1133">
        <v>1</v>
      </c>
      <c r="SL1133">
        <v>2</v>
      </c>
    </row>
    <row r="1134" spans="2:511" ht="18" customHeight="1" x14ac:dyDescent="0.25">
      <c r="B1134" s="49" t="s">
        <v>1046</v>
      </c>
      <c r="E1134" t="s">
        <v>110</v>
      </c>
      <c r="AS1134" s="68"/>
      <c r="DQ1134">
        <v>7</v>
      </c>
      <c r="RD1134">
        <v>7</v>
      </c>
      <c r="SQ1134">
        <v>10</v>
      </c>
    </row>
    <row r="1135" spans="2:511" ht="18" customHeight="1" x14ac:dyDescent="0.25">
      <c r="B1135" s="50" t="s">
        <v>1047</v>
      </c>
      <c r="E1135" t="s">
        <v>81</v>
      </c>
      <c r="AS1135" s="68"/>
    </row>
    <row r="1136" spans="2:511" ht="18" customHeight="1" x14ac:dyDescent="0.25">
      <c r="B1136" s="49" t="s">
        <v>1048</v>
      </c>
      <c r="E1136" t="s">
        <v>79</v>
      </c>
      <c r="AS1136" s="68"/>
    </row>
    <row r="1137" spans="2:508" ht="18" customHeight="1" x14ac:dyDescent="0.25">
      <c r="B1137" s="49" t="s">
        <v>1049</v>
      </c>
      <c r="E1137" t="s">
        <v>77</v>
      </c>
      <c r="AS1137" s="68"/>
    </row>
    <row r="1138" spans="2:508" ht="18" customHeight="1" x14ac:dyDescent="0.25">
      <c r="B1138" s="49" t="s">
        <v>1050</v>
      </c>
      <c r="E1138" t="s">
        <v>90</v>
      </c>
      <c r="AS1138" s="68"/>
    </row>
    <row r="1139" spans="2:508" ht="18" customHeight="1" x14ac:dyDescent="0.25">
      <c r="B1139" s="49" t="s">
        <v>1051</v>
      </c>
      <c r="E1139" t="s">
        <v>79</v>
      </c>
      <c r="AS1139" s="68"/>
      <c r="DA1139">
        <v>3</v>
      </c>
      <c r="QN1139">
        <v>8</v>
      </c>
      <c r="SA1139">
        <v>12</v>
      </c>
    </row>
    <row r="1140" spans="2:508" ht="18" customHeight="1" x14ac:dyDescent="0.25">
      <c r="B1140" s="49" t="s">
        <v>1052</v>
      </c>
      <c r="E1140" t="s">
        <v>79</v>
      </c>
      <c r="AS1140" s="68"/>
      <c r="DA1140">
        <v>3</v>
      </c>
    </row>
    <row r="1141" spans="2:508" ht="18" customHeight="1" x14ac:dyDescent="0.25">
      <c r="B1141" s="49" t="s">
        <v>1053</v>
      </c>
      <c r="E1141" t="s">
        <v>79</v>
      </c>
      <c r="AS1141" s="68"/>
      <c r="DA1141">
        <v>3</v>
      </c>
    </row>
    <row r="1142" spans="2:508" ht="18" customHeight="1" x14ac:dyDescent="0.25">
      <c r="B1142" s="49" t="s">
        <v>1054</v>
      </c>
      <c r="E1142" t="s">
        <v>90</v>
      </c>
      <c r="AS1142" s="68"/>
      <c r="DN1142">
        <v>3</v>
      </c>
      <c r="RA1142">
        <v>2</v>
      </c>
      <c r="SN1142">
        <v>3</v>
      </c>
    </row>
    <row r="1143" spans="2:508" ht="18" customHeight="1" x14ac:dyDescent="0.25">
      <c r="B1143" s="49" t="s">
        <v>1055</v>
      </c>
      <c r="E1143" t="s">
        <v>85</v>
      </c>
      <c r="AS1143" s="68"/>
      <c r="DL1143">
        <v>3</v>
      </c>
      <c r="QY1143">
        <v>2</v>
      </c>
      <c r="SL1143">
        <v>3</v>
      </c>
    </row>
    <row r="1144" spans="2:508" x14ac:dyDescent="0.25">
      <c r="AS1144" s="68"/>
    </row>
  </sheetData>
  <mergeCells count="27">
    <mergeCell ref="A800:SR800"/>
    <mergeCell ref="LG3:MR3"/>
    <mergeCell ref="A1106:SR1106"/>
    <mergeCell ref="MS2:PR2"/>
    <mergeCell ref="F2:AR2"/>
    <mergeCell ref="AS2:CE2"/>
    <mergeCell ref="GT3:IE3"/>
    <mergeCell ref="A5:SR5"/>
    <mergeCell ref="AT3:CE3"/>
    <mergeCell ref="CF2:GR2"/>
    <mergeCell ref="A886:SR886"/>
    <mergeCell ref="CG3:DR3"/>
    <mergeCell ref="DT3:FE3"/>
    <mergeCell ref="FG3:GR3"/>
    <mergeCell ref="G3:AR3"/>
    <mergeCell ref="A661:SR661"/>
    <mergeCell ref="A1054:SR1054"/>
    <mergeCell ref="A747:SR747"/>
    <mergeCell ref="IG3:JR3"/>
    <mergeCell ref="A561:SR561"/>
    <mergeCell ref="MT3:OE3"/>
    <mergeCell ref="A2:E3"/>
    <mergeCell ref="A762:SR762"/>
    <mergeCell ref="GS2:MR2"/>
    <mergeCell ref="OG3:PR3"/>
    <mergeCell ref="A84:SR84"/>
    <mergeCell ref="JT3:L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pane xSplit="2" ySplit="1" topLeftCell="C2" activePane="bottomRight" state="frozen"/>
      <selection pane="topRight"/>
      <selection pane="bottomLeft"/>
      <selection pane="bottomRight" activeCell="AA20" sqref="AA20"/>
    </sheetView>
  </sheetViews>
  <sheetFormatPr defaultRowHeight="15" x14ac:dyDescent="0.25"/>
  <cols>
    <col min="1" max="1" width="22" customWidth="1"/>
    <col min="2" max="2" width="12" customWidth="1"/>
    <col min="3" max="14" width="14" customWidth="1"/>
  </cols>
  <sheetData>
    <row r="1" spans="1:14" ht="50.1" customHeight="1" x14ac:dyDescent="0.25">
      <c r="A1" s="4" t="s">
        <v>30</v>
      </c>
      <c r="B1" s="4" t="s">
        <v>1056</v>
      </c>
      <c r="C1" s="3" t="s">
        <v>1057</v>
      </c>
      <c r="D1" s="3" t="s">
        <v>1058</v>
      </c>
      <c r="E1" s="3" t="s">
        <v>1059</v>
      </c>
      <c r="F1" s="3" t="s">
        <v>1060</v>
      </c>
      <c r="G1" s="3" t="s">
        <v>1061</v>
      </c>
      <c r="H1" s="3" t="s">
        <v>1062</v>
      </c>
      <c r="I1" s="3" t="s">
        <v>1063</v>
      </c>
      <c r="J1" s="3" t="s">
        <v>1064</v>
      </c>
      <c r="K1" s="3" t="s">
        <v>1065</v>
      </c>
      <c r="L1" s="3" t="s">
        <v>1066</v>
      </c>
      <c r="M1" s="3" t="s">
        <v>1067</v>
      </c>
      <c r="N1" s="5" t="s">
        <v>1068</v>
      </c>
    </row>
    <row r="2" spans="1:14" x14ac:dyDescent="0.25">
      <c r="A2" s="6" t="s">
        <v>73</v>
      </c>
      <c r="B2" s="7">
        <v>11</v>
      </c>
      <c r="C2" s="8">
        <f>SUM(Plan!G6:AR16)</f>
        <v>0</v>
      </c>
      <c r="D2" s="8">
        <f>SUM(Plan!AT6:CE16)</f>
        <v>0</v>
      </c>
      <c r="E2" s="8">
        <f>SUM(Plan!CG6:DR16)</f>
        <v>100</v>
      </c>
      <c r="F2" s="8">
        <f>SUM(Plan!DT6:FE16)</f>
        <v>0</v>
      </c>
      <c r="G2" s="8">
        <f>SUM(Plan!FG6:GR16)</f>
        <v>0</v>
      </c>
      <c r="H2" s="8">
        <f>SUM(Plan!GT6:IE16)</f>
        <v>0</v>
      </c>
      <c r="I2" s="8">
        <f>SUM(Plan!IG6:JR16)</f>
        <v>0</v>
      </c>
      <c r="J2" s="8">
        <f>SUM(Plan!JT6:LE16)</f>
        <v>0</v>
      </c>
      <c r="K2" s="8">
        <f>SUM(Plan!LG6:MR16)</f>
        <v>0</v>
      </c>
      <c r="L2" s="8">
        <f>SUM(Plan!MT6:OE16)</f>
        <v>0</v>
      </c>
      <c r="M2" s="8">
        <f>SUM(Plan!OG6:PR16)</f>
        <v>0</v>
      </c>
      <c r="N2" s="9">
        <f t="shared" ref="N2:N14" si="0">SUM(C2:M2)</f>
        <v>100</v>
      </c>
    </row>
    <row r="3" spans="1:14" x14ac:dyDescent="0.25">
      <c r="A3" s="6" t="s">
        <v>167</v>
      </c>
      <c r="B3" s="7">
        <v>29</v>
      </c>
      <c r="C3" s="8">
        <f>SUM(Plan!G18:AR46)</f>
        <v>0</v>
      </c>
      <c r="D3" s="8">
        <f>SUM(Plan!AT18:CE46)</f>
        <v>0</v>
      </c>
      <c r="E3" s="8">
        <f>SUM(Plan!CG18:DR46)</f>
        <v>223</v>
      </c>
      <c r="F3" s="8">
        <f>SUM(Plan!DT18:FE46)</f>
        <v>0</v>
      </c>
      <c r="G3" s="8">
        <f>SUM(Plan!FG18:GR46)</f>
        <v>0</v>
      </c>
      <c r="H3" s="8">
        <f>SUM(Plan!GT18:IE46)</f>
        <v>0</v>
      </c>
      <c r="I3" s="8">
        <f>SUM(Plan!IG18:JR46)</f>
        <v>0</v>
      </c>
      <c r="J3" s="8">
        <f>SUM(Plan!JT18:LE46)</f>
        <v>0</v>
      </c>
      <c r="K3" s="8">
        <f>SUM(Plan!LG18:MR46)</f>
        <v>0</v>
      </c>
      <c r="L3" s="8">
        <f>SUM(Plan!MT18:OE46)</f>
        <v>0</v>
      </c>
      <c r="M3" s="8">
        <f>SUM(Plan!OG18:PR46)</f>
        <v>0</v>
      </c>
      <c r="N3" s="9">
        <f t="shared" si="0"/>
        <v>223</v>
      </c>
    </row>
    <row r="4" spans="1:14" x14ac:dyDescent="0.25">
      <c r="A4" s="6" t="s">
        <v>532</v>
      </c>
      <c r="B4" s="7">
        <v>9</v>
      </c>
      <c r="C4" s="8">
        <f>SUM(Plan!G48:AR56)</f>
        <v>0</v>
      </c>
      <c r="D4" s="8">
        <f>SUM(Plan!AT48:CE56)</f>
        <v>0</v>
      </c>
      <c r="E4" s="8">
        <f>SUM(Plan!CG48:DR56)</f>
        <v>336</v>
      </c>
      <c r="F4" s="8">
        <f>SUM(Plan!DT48:FE56)</f>
        <v>0</v>
      </c>
      <c r="G4" s="8">
        <f>SUM(Plan!FG48:GR56)</f>
        <v>0</v>
      </c>
      <c r="H4" s="8">
        <f>SUM(Plan!GT48:IE56)</f>
        <v>0</v>
      </c>
      <c r="I4" s="8">
        <f>SUM(Plan!IG48:JR56)</f>
        <v>0</v>
      </c>
      <c r="J4" s="8">
        <f>SUM(Plan!JT48:LE56)</f>
        <v>0</v>
      </c>
      <c r="K4" s="8">
        <f>SUM(Plan!LG48:MR56)</f>
        <v>0</v>
      </c>
      <c r="L4" s="8">
        <f>SUM(Plan!MT48:OE56)</f>
        <v>0</v>
      </c>
      <c r="M4" s="8">
        <f>SUM(Plan!OG48:PR56)</f>
        <v>0</v>
      </c>
      <c r="N4" s="9">
        <f t="shared" si="0"/>
        <v>336</v>
      </c>
    </row>
    <row r="5" spans="1:14" x14ac:dyDescent="0.25">
      <c r="A5" s="6" t="s">
        <v>631</v>
      </c>
      <c r="B5" s="7">
        <v>8</v>
      </c>
      <c r="C5" s="8">
        <f>SUM(Plan!G58:AR65)</f>
        <v>0</v>
      </c>
      <c r="D5" s="8">
        <f>SUM(Plan!AT58:CE65)</f>
        <v>0</v>
      </c>
      <c r="E5" s="8">
        <f>SUM(Plan!CG58:DR65)</f>
        <v>31</v>
      </c>
      <c r="F5" s="8">
        <f>SUM(Plan!DT58:FE65)</f>
        <v>0</v>
      </c>
      <c r="G5" s="8">
        <f>SUM(Plan!FG58:GR65)</f>
        <v>0</v>
      </c>
      <c r="H5" s="8">
        <f>SUM(Plan!GT58:IE65)</f>
        <v>0</v>
      </c>
      <c r="I5" s="8">
        <f>SUM(Plan!IG58:JR65)</f>
        <v>0</v>
      </c>
      <c r="J5" s="8">
        <f>SUM(Plan!JT58:LE65)</f>
        <v>0</v>
      </c>
      <c r="K5" s="8">
        <f>SUM(Plan!LG58:MR65)</f>
        <v>0</v>
      </c>
      <c r="L5" s="8">
        <f>SUM(Plan!MT58:OE65)</f>
        <v>0</v>
      </c>
      <c r="M5" s="8">
        <f>SUM(Plan!OG58:PR65)</f>
        <v>0</v>
      </c>
      <c r="N5" s="9">
        <f t="shared" si="0"/>
        <v>31</v>
      </c>
    </row>
    <row r="6" spans="1:14" x14ac:dyDescent="0.25">
      <c r="A6" s="6" t="s">
        <v>715</v>
      </c>
      <c r="B6" s="7">
        <v>9</v>
      </c>
      <c r="C6" s="8">
        <f>SUM(Plan!G67:AR75)</f>
        <v>0</v>
      </c>
      <c r="D6" s="8">
        <f>SUM(Plan!AT67:CE75)</f>
        <v>0</v>
      </c>
      <c r="E6" s="8">
        <f>SUM(Plan!CG67:DR75)</f>
        <v>29</v>
      </c>
      <c r="F6" s="8">
        <f>SUM(Plan!DT67:FE75)</f>
        <v>0</v>
      </c>
      <c r="G6" s="8">
        <f>SUM(Plan!FG67:GR75)</f>
        <v>0</v>
      </c>
      <c r="H6" s="8">
        <f>SUM(Plan!GT67:IE75)</f>
        <v>0</v>
      </c>
      <c r="I6" s="8">
        <f>SUM(Plan!IG67:JR75)</f>
        <v>0</v>
      </c>
      <c r="J6" s="8">
        <f>SUM(Plan!JT67:LE75)</f>
        <v>0</v>
      </c>
      <c r="K6" s="8">
        <f>SUM(Plan!LG67:MR75)</f>
        <v>0</v>
      </c>
      <c r="L6" s="8">
        <f>SUM(Plan!MT67:OE75)</f>
        <v>0</v>
      </c>
      <c r="M6" s="8">
        <f>SUM(Plan!OG67:PR75)</f>
        <v>0</v>
      </c>
      <c r="N6" s="9">
        <f t="shared" si="0"/>
        <v>29</v>
      </c>
    </row>
    <row r="7" spans="1:14" x14ac:dyDescent="0.25">
      <c r="A7" s="6" t="s">
        <v>730</v>
      </c>
      <c r="B7" s="7">
        <v>7</v>
      </c>
      <c r="C7" s="8">
        <f>SUM(Plan!G77:AR83)</f>
        <v>0</v>
      </c>
      <c r="D7" s="8">
        <f>SUM(Plan!AT77:CE83)</f>
        <v>0</v>
      </c>
      <c r="E7" s="8">
        <f>SUM(Plan!CG77:DR83)</f>
        <v>111</v>
      </c>
      <c r="F7" s="8">
        <f>SUM(Plan!DT77:FE83)</f>
        <v>0</v>
      </c>
      <c r="G7" s="8">
        <f>SUM(Plan!FG77:GR83)</f>
        <v>0</v>
      </c>
      <c r="H7" s="8">
        <f>SUM(Plan!GT77:IE83)</f>
        <v>0</v>
      </c>
      <c r="I7" s="8">
        <f>SUM(Plan!IG77:JR83)</f>
        <v>0</v>
      </c>
      <c r="J7" s="8">
        <f>SUM(Plan!JT77:LE83)</f>
        <v>0</v>
      </c>
      <c r="K7" s="8">
        <f>SUM(Plan!LG77:MR83)</f>
        <v>0</v>
      </c>
      <c r="L7" s="8">
        <f>SUM(Plan!MT77:OE83)</f>
        <v>0</v>
      </c>
      <c r="M7" s="8">
        <f>SUM(Plan!OG77:PR83)</f>
        <v>0</v>
      </c>
      <c r="N7" s="9">
        <f t="shared" si="0"/>
        <v>111</v>
      </c>
    </row>
    <row r="8" spans="1:14" x14ac:dyDescent="0.25">
      <c r="A8" s="6" t="s">
        <v>766</v>
      </c>
      <c r="B8" s="7">
        <v>12</v>
      </c>
      <c r="C8" s="8">
        <f>SUM(Plan!G85:AR96)</f>
        <v>0</v>
      </c>
      <c r="D8" s="8">
        <f>SUM(Plan!AT85:CE96)</f>
        <v>0</v>
      </c>
      <c r="E8" s="8">
        <f>SUM(Plan!CG85:DR96)</f>
        <v>12</v>
      </c>
      <c r="F8" s="8">
        <f>SUM(Plan!DT85:FE96)</f>
        <v>0</v>
      </c>
      <c r="G8" s="8">
        <f>SUM(Plan!FG85:GR96)</f>
        <v>0</v>
      </c>
      <c r="H8" s="8">
        <f>SUM(Plan!GT85:IE96)</f>
        <v>0</v>
      </c>
      <c r="I8" s="8">
        <f>SUM(Plan!IG85:JR96)</f>
        <v>0</v>
      </c>
      <c r="J8" s="8">
        <f>SUM(Plan!JT85:LE96)</f>
        <v>0</v>
      </c>
      <c r="K8" s="8">
        <f>SUM(Plan!LG85:MR96)</f>
        <v>0</v>
      </c>
      <c r="L8" s="8">
        <f>SUM(Plan!MT85:OE96)</f>
        <v>0</v>
      </c>
      <c r="M8" s="8">
        <f>SUM(Plan!OG85:PR96)</f>
        <v>0</v>
      </c>
      <c r="N8" s="9">
        <f t="shared" si="0"/>
        <v>12</v>
      </c>
    </row>
    <row r="9" spans="1:14" x14ac:dyDescent="0.25">
      <c r="A9" s="6" t="s">
        <v>829</v>
      </c>
      <c r="B9" s="7">
        <v>10</v>
      </c>
      <c r="C9" s="8">
        <f>SUM(Plan!G98:AR107)</f>
        <v>0</v>
      </c>
      <c r="D9" s="8">
        <f>SUM(Plan!AT98:CE107)</f>
        <v>0</v>
      </c>
      <c r="E9" s="8">
        <f>SUM(Plan!CG98:DR107)</f>
        <v>24</v>
      </c>
      <c r="F9" s="8">
        <f>SUM(Plan!DT98:FE107)</f>
        <v>0</v>
      </c>
      <c r="G9" s="8">
        <f>SUM(Plan!FG98:GR107)</f>
        <v>0</v>
      </c>
      <c r="H9" s="8">
        <f>SUM(Plan!GT98:IE107)</f>
        <v>0</v>
      </c>
      <c r="I9" s="8">
        <f>SUM(Plan!IG98:JR107)</f>
        <v>0</v>
      </c>
      <c r="J9" s="8">
        <f>SUM(Plan!JT98:LE107)</f>
        <v>0</v>
      </c>
      <c r="K9" s="8">
        <f>SUM(Plan!LG98:MR107)</f>
        <v>0</v>
      </c>
      <c r="L9" s="8">
        <f>SUM(Plan!MT98:OE107)</f>
        <v>0</v>
      </c>
      <c r="M9" s="8">
        <f>SUM(Plan!OG98:PR107)</f>
        <v>0</v>
      </c>
      <c r="N9" s="9">
        <f t="shared" si="0"/>
        <v>24</v>
      </c>
    </row>
    <row r="10" spans="1:14" x14ac:dyDescent="0.25">
      <c r="A10" s="6" t="s">
        <v>1069</v>
      </c>
      <c r="B10" s="7">
        <v>6</v>
      </c>
      <c r="C10" s="8">
        <f>SUM(Plan!G109:AR114)</f>
        <v>0</v>
      </c>
      <c r="D10" s="8">
        <f>SUM(Plan!AT109:CE114)</f>
        <v>0</v>
      </c>
      <c r="E10" s="8">
        <f>SUM(Plan!CG109:DR114)</f>
        <v>26</v>
      </c>
      <c r="F10" s="8">
        <f>SUM(Plan!DT109:FE114)</f>
        <v>0</v>
      </c>
      <c r="G10" s="8">
        <f>SUM(Plan!FG109:GR114)</f>
        <v>0</v>
      </c>
      <c r="H10" s="8">
        <f>SUM(Plan!GT109:IE114)</f>
        <v>0</v>
      </c>
      <c r="I10" s="8">
        <f>SUM(Plan!IG109:JR114)</f>
        <v>0</v>
      </c>
      <c r="J10" s="8">
        <f>SUM(Plan!JT109:LE114)</f>
        <v>0</v>
      </c>
      <c r="K10" s="8">
        <f>SUM(Plan!LG109:MR114)</f>
        <v>0</v>
      </c>
      <c r="L10" s="8">
        <f>SUM(Plan!MT109:OE114)</f>
        <v>0</v>
      </c>
      <c r="M10" s="8">
        <f>SUM(Plan!OG109:PR114)</f>
        <v>0</v>
      </c>
      <c r="N10" s="9">
        <f t="shared" si="0"/>
        <v>26</v>
      </c>
    </row>
    <row r="11" spans="1:14" x14ac:dyDescent="0.25">
      <c r="A11" s="6" t="s">
        <v>970</v>
      </c>
      <c r="B11" s="7">
        <v>19</v>
      </c>
      <c r="C11" s="8">
        <f>SUM(Plan!G116:AR134)</f>
        <v>0</v>
      </c>
      <c r="D11" s="8">
        <f>SUM(Plan!AT116:CE134)</f>
        <v>0</v>
      </c>
      <c r="E11" s="8">
        <f>SUM(Plan!CG116:DR134)</f>
        <v>53</v>
      </c>
      <c r="F11" s="8">
        <f>SUM(Plan!DT116:FE134)</f>
        <v>0</v>
      </c>
      <c r="G11" s="8">
        <f>SUM(Plan!FG116:GR134)</f>
        <v>0</v>
      </c>
      <c r="H11" s="8">
        <f>SUM(Plan!GT116:IE134)</f>
        <v>0</v>
      </c>
      <c r="I11" s="8">
        <f>SUM(Plan!IG116:JR134)</f>
        <v>0</v>
      </c>
      <c r="J11" s="8">
        <f>SUM(Plan!JT116:LE134)</f>
        <v>0</v>
      </c>
      <c r="K11" s="8">
        <f>SUM(Plan!LG116:MR134)</f>
        <v>0</v>
      </c>
      <c r="L11" s="8">
        <f>SUM(Plan!MT116:OE134)</f>
        <v>0</v>
      </c>
      <c r="M11" s="8">
        <f>SUM(Plan!OG116:PR134)</f>
        <v>0</v>
      </c>
      <c r="N11" s="9">
        <f t="shared" si="0"/>
        <v>53</v>
      </c>
    </row>
    <row r="12" spans="1:14" x14ac:dyDescent="0.25">
      <c r="A12" s="6" t="s">
        <v>1018</v>
      </c>
      <c r="B12" s="7">
        <v>7</v>
      </c>
      <c r="C12" s="8">
        <f>SUM(Plan!G136:AR142)</f>
        <v>0</v>
      </c>
      <c r="D12" s="8">
        <f>SUM(Plan!AT136:CE142)</f>
        <v>0</v>
      </c>
      <c r="E12" s="8">
        <f>SUM(Plan!CG136:DR142)</f>
        <v>11</v>
      </c>
      <c r="F12" s="8">
        <f>SUM(Plan!DT136:FE142)</f>
        <v>0</v>
      </c>
      <c r="G12" s="8">
        <f>SUM(Plan!FG136:GR142)</f>
        <v>0</v>
      </c>
      <c r="H12" s="8">
        <f>SUM(Plan!GT136:IE142)</f>
        <v>0</v>
      </c>
      <c r="I12" s="8">
        <f>SUM(Plan!IG136:JR142)</f>
        <v>0</v>
      </c>
      <c r="J12" s="8">
        <f>SUM(Plan!JT136:LE142)</f>
        <v>0</v>
      </c>
      <c r="K12" s="8">
        <f>SUM(Plan!LG136:MR142)</f>
        <v>0</v>
      </c>
      <c r="L12" s="8">
        <f>SUM(Plan!MT136:OE142)</f>
        <v>0</v>
      </c>
      <c r="M12" s="8">
        <f>SUM(Plan!OG136:PR142)</f>
        <v>0</v>
      </c>
      <c r="N12" s="9">
        <f t="shared" si="0"/>
        <v>11</v>
      </c>
    </row>
    <row r="13" spans="1:14" x14ac:dyDescent="0.25">
      <c r="A13" s="6" t="s">
        <v>1070</v>
      </c>
      <c r="B13" s="7">
        <v>8</v>
      </c>
      <c r="C13" s="8">
        <f>SUM(Plan!G144:AR151)</f>
        <v>0</v>
      </c>
      <c r="D13" s="8">
        <f>SUM(Plan!AT144:CE151)</f>
        <v>0</v>
      </c>
      <c r="E13" s="8">
        <f>SUM(Plan!CG144:DR151)</f>
        <v>143</v>
      </c>
      <c r="F13" s="8">
        <f>SUM(Plan!DT144:FE151)</f>
        <v>0</v>
      </c>
      <c r="G13" s="8">
        <f>SUM(Plan!FG144:GR151)</f>
        <v>0</v>
      </c>
      <c r="H13" s="8">
        <f>SUM(Plan!GT144:IE151)</f>
        <v>0</v>
      </c>
      <c r="I13" s="8">
        <f>SUM(Plan!IG144:JR151)</f>
        <v>0</v>
      </c>
      <c r="J13" s="8">
        <f>SUM(Plan!JT144:LE151)</f>
        <v>0</v>
      </c>
      <c r="K13" s="8">
        <f>SUM(Plan!LG144:MR151)</f>
        <v>0</v>
      </c>
      <c r="L13" s="8">
        <f>SUM(Plan!MT144:OE151)</f>
        <v>0</v>
      </c>
      <c r="M13" s="8">
        <f>SUM(Plan!OG144:PR151)</f>
        <v>0</v>
      </c>
      <c r="N13" s="9">
        <f t="shared" si="0"/>
        <v>143</v>
      </c>
    </row>
    <row r="14" spans="1:14" x14ac:dyDescent="0.25">
      <c r="A14" s="6" t="s">
        <v>1071</v>
      </c>
      <c r="B14" s="7">
        <v>7</v>
      </c>
      <c r="C14" s="8">
        <f>SUM(Plan!G153:AR159)</f>
        <v>0</v>
      </c>
      <c r="D14" s="8">
        <f>SUM(Plan!AT153:CE159)</f>
        <v>0</v>
      </c>
      <c r="E14" s="8">
        <f>SUM(Plan!CG153:DR159)</f>
        <v>27</v>
      </c>
      <c r="F14" s="8">
        <f>SUM(Plan!DT153:FE159)</f>
        <v>0</v>
      </c>
      <c r="G14" s="8">
        <f>SUM(Plan!FG153:GR159)</f>
        <v>0</v>
      </c>
      <c r="H14" s="8">
        <f>SUM(Plan!GT153:IE159)</f>
        <v>0</v>
      </c>
      <c r="I14" s="8">
        <f>SUM(Plan!IG153:JR159)</f>
        <v>0</v>
      </c>
      <c r="J14" s="8">
        <f>SUM(Plan!JT153:LE159)</f>
        <v>0</v>
      </c>
      <c r="K14" s="8">
        <f>SUM(Plan!LG153:MR159)</f>
        <v>0</v>
      </c>
      <c r="L14" s="8">
        <f>SUM(Plan!MT153:OE159)</f>
        <v>0</v>
      </c>
      <c r="M14" s="8">
        <f>SUM(Plan!OG153:PR159)</f>
        <v>0</v>
      </c>
      <c r="N14" s="9">
        <f t="shared" si="0"/>
        <v>27</v>
      </c>
    </row>
    <row r="16" spans="1:14" x14ac:dyDescent="0.25">
      <c r="A16" s="10" t="s">
        <v>1072</v>
      </c>
      <c r="B16" s="11"/>
      <c r="C16" s="12">
        <f t="shared" ref="C16:N16" si="1">SUM(C2:C15)</f>
        <v>0</v>
      </c>
      <c r="D16" s="12">
        <f t="shared" si="1"/>
        <v>0</v>
      </c>
      <c r="E16" s="12">
        <f t="shared" si="1"/>
        <v>1126</v>
      </c>
      <c r="F16" s="12">
        <f t="shared" si="1"/>
        <v>0</v>
      </c>
      <c r="G16" s="12">
        <f t="shared" si="1"/>
        <v>0</v>
      </c>
      <c r="H16" s="12">
        <f t="shared" si="1"/>
        <v>0</v>
      </c>
      <c r="I16" s="12">
        <f t="shared" si="1"/>
        <v>0</v>
      </c>
      <c r="J16" s="12">
        <f t="shared" si="1"/>
        <v>0</v>
      </c>
      <c r="K16" s="12">
        <f t="shared" si="1"/>
        <v>0</v>
      </c>
      <c r="L16" s="12">
        <f t="shared" si="1"/>
        <v>0</v>
      </c>
      <c r="M16" s="12">
        <f t="shared" si="1"/>
        <v>0</v>
      </c>
      <c r="N16" s="12">
        <f t="shared" si="1"/>
        <v>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60" customWidth="1"/>
    <col min="3" max="3" width="8" customWidth="1"/>
    <col min="4" max="4" width="22" customWidth="1"/>
  </cols>
  <sheetData>
    <row r="1" spans="1:4" x14ac:dyDescent="0.25">
      <c r="A1" s="13" t="s">
        <v>30</v>
      </c>
      <c r="B1" s="13" t="s">
        <v>31</v>
      </c>
      <c r="C1" s="13" t="s">
        <v>1073</v>
      </c>
      <c r="D1" s="13" t="s">
        <v>33</v>
      </c>
    </row>
    <row r="2" spans="1:4" x14ac:dyDescent="0.25">
      <c r="A2" s="14" t="s">
        <v>73</v>
      </c>
      <c r="B2" s="1" t="s">
        <v>74</v>
      </c>
      <c r="C2" s="7" t="s">
        <v>75</v>
      </c>
      <c r="D2" s="7" t="s">
        <v>76</v>
      </c>
    </row>
    <row r="3" spans="1:4" x14ac:dyDescent="0.25">
      <c r="A3" s="14" t="s">
        <v>73</v>
      </c>
      <c r="B3" s="1" t="s">
        <v>1074</v>
      </c>
      <c r="C3" s="7" t="s">
        <v>75</v>
      </c>
      <c r="D3" s="7" t="s">
        <v>76</v>
      </c>
    </row>
    <row r="4" spans="1:4" x14ac:dyDescent="0.25">
      <c r="A4" s="14" t="s">
        <v>73</v>
      </c>
      <c r="B4" s="1" t="s">
        <v>1075</v>
      </c>
      <c r="C4" s="7" t="s">
        <v>102</v>
      </c>
      <c r="D4" s="7" t="s">
        <v>76</v>
      </c>
    </row>
    <row r="5" spans="1:4" x14ac:dyDescent="0.25">
      <c r="A5" s="14" t="s">
        <v>73</v>
      </c>
      <c r="B5" s="1" t="s">
        <v>1076</v>
      </c>
      <c r="C5" s="7" t="s">
        <v>102</v>
      </c>
      <c r="D5" s="7" t="s">
        <v>76</v>
      </c>
    </row>
    <row r="6" spans="1:4" x14ac:dyDescent="0.25">
      <c r="A6" s="14" t="s">
        <v>73</v>
      </c>
      <c r="B6" s="1" t="s">
        <v>1077</v>
      </c>
      <c r="C6" s="7" t="s">
        <v>102</v>
      </c>
      <c r="D6" s="7" t="s">
        <v>633</v>
      </c>
    </row>
    <row r="7" spans="1:4" x14ac:dyDescent="0.25">
      <c r="A7" s="14" t="s">
        <v>73</v>
      </c>
      <c r="B7" s="1" t="s">
        <v>1078</v>
      </c>
      <c r="C7" s="7" t="s">
        <v>75</v>
      </c>
      <c r="D7" s="7" t="s">
        <v>76</v>
      </c>
    </row>
    <row r="8" spans="1:4" x14ac:dyDescent="0.25">
      <c r="A8" s="14" t="s">
        <v>73</v>
      </c>
      <c r="B8" s="1" t="s">
        <v>1079</v>
      </c>
      <c r="C8" s="7" t="s">
        <v>102</v>
      </c>
      <c r="D8" s="7" t="s">
        <v>103</v>
      </c>
    </row>
    <row r="9" spans="1:4" x14ac:dyDescent="0.25">
      <c r="A9" s="14" t="s">
        <v>73</v>
      </c>
      <c r="B9" s="1" t="s">
        <v>1080</v>
      </c>
      <c r="C9" s="7" t="s">
        <v>75</v>
      </c>
      <c r="D9" s="7" t="s">
        <v>76</v>
      </c>
    </row>
    <row r="10" spans="1:4" x14ac:dyDescent="0.25">
      <c r="A10" s="14" t="s">
        <v>73</v>
      </c>
      <c r="B10" s="1" t="s">
        <v>101</v>
      </c>
      <c r="C10" s="7" t="s">
        <v>102</v>
      </c>
      <c r="D10" s="7" t="s">
        <v>103</v>
      </c>
    </row>
    <row r="11" spans="1:4" x14ac:dyDescent="0.25">
      <c r="A11" s="14" t="s">
        <v>73</v>
      </c>
      <c r="B11" s="1" t="s">
        <v>1081</v>
      </c>
      <c r="C11" s="7" t="s">
        <v>102</v>
      </c>
      <c r="D11" s="7" t="s">
        <v>76</v>
      </c>
    </row>
    <row r="12" spans="1:4" x14ac:dyDescent="0.25">
      <c r="A12" s="14" t="s">
        <v>73</v>
      </c>
      <c r="B12" s="1" t="s">
        <v>1082</v>
      </c>
      <c r="C12" s="7" t="s">
        <v>831</v>
      </c>
      <c r="D12" s="7" t="s">
        <v>103</v>
      </c>
    </row>
    <row r="13" spans="1:4" x14ac:dyDescent="0.25">
      <c r="A13" s="14" t="s">
        <v>167</v>
      </c>
      <c r="B13" s="1" t="s">
        <v>1083</v>
      </c>
      <c r="C13" s="7" t="s">
        <v>102</v>
      </c>
      <c r="D13" s="7" t="s">
        <v>633</v>
      </c>
    </row>
    <row r="14" spans="1:4" x14ac:dyDescent="0.25">
      <c r="A14" s="14" t="s">
        <v>167</v>
      </c>
      <c r="B14" s="1" t="s">
        <v>1084</v>
      </c>
      <c r="C14" s="7" t="s">
        <v>102</v>
      </c>
      <c r="D14" s="7" t="s">
        <v>103</v>
      </c>
    </row>
    <row r="15" spans="1:4" x14ac:dyDescent="0.25">
      <c r="A15" s="14" t="s">
        <v>167</v>
      </c>
      <c r="B15" s="1" t="s">
        <v>1085</v>
      </c>
      <c r="C15" s="7" t="s">
        <v>102</v>
      </c>
      <c r="D15" s="7" t="s">
        <v>103</v>
      </c>
    </row>
    <row r="16" spans="1:4" x14ac:dyDescent="0.25">
      <c r="A16" s="14" t="s">
        <v>167</v>
      </c>
      <c r="B16" s="1" t="s">
        <v>1086</v>
      </c>
      <c r="C16" s="7" t="s">
        <v>102</v>
      </c>
      <c r="D16" s="7" t="s">
        <v>103</v>
      </c>
    </row>
    <row r="17" spans="1:4" x14ac:dyDescent="0.25">
      <c r="A17" s="14" t="s">
        <v>167</v>
      </c>
      <c r="B17" s="1" t="s">
        <v>1087</v>
      </c>
      <c r="C17" s="7" t="s">
        <v>102</v>
      </c>
      <c r="D17" s="7" t="s">
        <v>103</v>
      </c>
    </row>
    <row r="18" spans="1:4" x14ac:dyDescent="0.25">
      <c r="A18" s="14" t="s">
        <v>167</v>
      </c>
      <c r="B18" s="1" t="s">
        <v>1088</v>
      </c>
      <c r="C18" s="7" t="s">
        <v>102</v>
      </c>
      <c r="D18" s="7" t="s">
        <v>103</v>
      </c>
    </row>
    <row r="19" spans="1:4" x14ac:dyDescent="0.25">
      <c r="A19" s="14" t="s">
        <v>167</v>
      </c>
      <c r="B19" s="1" t="s">
        <v>1089</v>
      </c>
      <c r="C19" s="7" t="s">
        <v>102</v>
      </c>
      <c r="D19" s="7" t="s">
        <v>103</v>
      </c>
    </row>
    <row r="20" spans="1:4" x14ac:dyDescent="0.25">
      <c r="A20" s="14" t="s">
        <v>167</v>
      </c>
      <c r="B20" s="1" t="s">
        <v>1090</v>
      </c>
      <c r="C20" s="7" t="s">
        <v>102</v>
      </c>
      <c r="D20" s="7" t="s">
        <v>103</v>
      </c>
    </row>
    <row r="21" spans="1:4" x14ac:dyDescent="0.25">
      <c r="A21" s="14" t="s">
        <v>167</v>
      </c>
      <c r="B21" s="1" t="s">
        <v>1091</v>
      </c>
      <c r="C21" s="7" t="s">
        <v>75</v>
      </c>
      <c r="D21" s="7" t="s">
        <v>633</v>
      </c>
    </row>
    <row r="22" spans="1:4" x14ac:dyDescent="0.25">
      <c r="A22" s="14" t="s">
        <v>167</v>
      </c>
      <c r="B22" s="1" t="s">
        <v>1092</v>
      </c>
      <c r="C22" s="7" t="s">
        <v>75</v>
      </c>
      <c r="D22" s="7" t="s">
        <v>76</v>
      </c>
    </row>
    <row r="23" spans="1:4" x14ac:dyDescent="0.25">
      <c r="A23" s="14" t="s">
        <v>167</v>
      </c>
      <c r="B23" s="1" t="s">
        <v>168</v>
      </c>
      <c r="C23" s="7" t="s">
        <v>75</v>
      </c>
      <c r="D23" s="7" t="s">
        <v>76</v>
      </c>
    </row>
    <row r="24" spans="1:4" x14ac:dyDescent="0.25">
      <c r="A24" s="14" t="s">
        <v>167</v>
      </c>
      <c r="B24" s="1" t="s">
        <v>187</v>
      </c>
      <c r="C24" s="7" t="s">
        <v>102</v>
      </c>
      <c r="D24" s="7" t="s">
        <v>103</v>
      </c>
    </row>
    <row r="25" spans="1:4" x14ac:dyDescent="0.25">
      <c r="A25" s="14" t="s">
        <v>167</v>
      </c>
      <c r="B25" s="1" t="s">
        <v>1093</v>
      </c>
      <c r="C25" s="7" t="s">
        <v>102</v>
      </c>
      <c r="D25" s="7" t="s">
        <v>76</v>
      </c>
    </row>
    <row r="26" spans="1:4" x14ac:dyDescent="0.25">
      <c r="A26" s="14" t="s">
        <v>167</v>
      </c>
      <c r="B26" s="1" t="s">
        <v>1094</v>
      </c>
      <c r="C26" s="7" t="s">
        <v>102</v>
      </c>
      <c r="D26" s="7" t="s">
        <v>76</v>
      </c>
    </row>
    <row r="27" spans="1:4" x14ac:dyDescent="0.25">
      <c r="A27" s="14" t="s">
        <v>167</v>
      </c>
      <c r="B27" s="1" t="s">
        <v>226</v>
      </c>
      <c r="C27" s="7" t="s">
        <v>75</v>
      </c>
      <c r="D27" s="7" t="s">
        <v>103</v>
      </c>
    </row>
    <row r="28" spans="1:4" x14ac:dyDescent="0.25">
      <c r="A28" s="14" t="s">
        <v>167</v>
      </c>
      <c r="B28" s="1" t="s">
        <v>1095</v>
      </c>
      <c r="C28" s="7" t="s">
        <v>75</v>
      </c>
      <c r="D28" s="7" t="s">
        <v>103</v>
      </c>
    </row>
    <row r="29" spans="1:4" x14ac:dyDescent="0.25">
      <c r="A29" s="14" t="s">
        <v>167</v>
      </c>
      <c r="B29" s="1" t="s">
        <v>1096</v>
      </c>
      <c r="C29" s="7" t="s">
        <v>75</v>
      </c>
      <c r="D29" s="7" t="s">
        <v>103</v>
      </c>
    </row>
    <row r="30" spans="1:4" x14ac:dyDescent="0.25">
      <c r="A30" s="14" t="s">
        <v>167</v>
      </c>
      <c r="B30" s="1" t="s">
        <v>992</v>
      </c>
      <c r="C30" s="7" t="s">
        <v>102</v>
      </c>
      <c r="D30" s="7" t="s">
        <v>76</v>
      </c>
    </row>
    <row r="31" spans="1:4" x14ac:dyDescent="0.25">
      <c r="A31" s="14" t="s">
        <v>167</v>
      </c>
      <c r="B31" s="1" t="s">
        <v>1097</v>
      </c>
      <c r="C31" s="7" t="s">
        <v>75</v>
      </c>
      <c r="D31" s="7" t="s">
        <v>103</v>
      </c>
    </row>
    <row r="32" spans="1:4" x14ac:dyDescent="0.25">
      <c r="A32" s="14" t="s">
        <v>167</v>
      </c>
      <c r="B32" s="1" t="s">
        <v>1098</v>
      </c>
      <c r="C32" s="7" t="s">
        <v>102</v>
      </c>
      <c r="D32" s="7" t="s">
        <v>76</v>
      </c>
    </row>
    <row r="33" spans="1:4" x14ac:dyDescent="0.25">
      <c r="A33" s="14" t="s">
        <v>167</v>
      </c>
      <c r="B33" s="1" t="s">
        <v>1099</v>
      </c>
      <c r="C33" s="7" t="s">
        <v>102</v>
      </c>
      <c r="D33" s="7" t="s">
        <v>1100</v>
      </c>
    </row>
    <row r="34" spans="1:4" x14ac:dyDescent="0.25">
      <c r="A34" s="14" t="s">
        <v>167</v>
      </c>
      <c r="B34" s="1" t="s">
        <v>1101</v>
      </c>
      <c r="C34" s="7" t="s">
        <v>102</v>
      </c>
      <c r="D34" s="7" t="s">
        <v>103</v>
      </c>
    </row>
    <row r="35" spans="1:4" x14ac:dyDescent="0.25">
      <c r="A35" s="14" t="s">
        <v>167</v>
      </c>
      <c r="B35" s="1" t="s">
        <v>1102</v>
      </c>
      <c r="C35" s="7" t="s">
        <v>102</v>
      </c>
      <c r="D35" s="7" t="s">
        <v>103</v>
      </c>
    </row>
    <row r="36" spans="1:4" x14ac:dyDescent="0.25">
      <c r="A36" s="14" t="s">
        <v>167</v>
      </c>
      <c r="B36" s="1" t="s">
        <v>1103</v>
      </c>
      <c r="C36" s="7" t="s">
        <v>102</v>
      </c>
      <c r="D36" s="7" t="s">
        <v>103</v>
      </c>
    </row>
    <row r="37" spans="1:4" x14ac:dyDescent="0.25">
      <c r="A37" s="14" t="s">
        <v>167</v>
      </c>
      <c r="B37" s="1" t="s">
        <v>1104</v>
      </c>
      <c r="C37" s="7" t="s">
        <v>102</v>
      </c>
      <c r="D37" s="7" t="s">
        <v>103</v>
      </c>
    </row>
    <row r="38" spans="1:4" x14ac:dyDescent="0.25">
      <c r="A38" s="14" t="s">
        <v>167</v>
      </c>
      <c r="B38" s="1" t="s">
        <v>1105</v>
      </c>
      <c r="C38" s="7" t="s">
        <v>102</v>
      </c>
      <c r="D38" s="7" t="s">
        <v>103</v>
      </c>
    </row>
    <row r="39" spans="1:4" x14ac:dyDescent="0.25">
      <c r="A39" s="14" t="s">
        <v>167</v>
      </c>
      <c r="B39" s="1" t="s">
        <v>1106</v>
      </c>
      <c r="C39" s="7" t="s">
        <v>102</v>
      </c>
      <c r="D39" s="7" t="s">
        <v>103</v>
      </c>
    </row>
    <row r="40" spans="1:4" x14ac:dyDescent="0.25">
      <c r="A40" s="14" t="s">
        <v>167</v>
      </c>
      <c r="B40" s="1" t="s">
        <v>1107</v>
      </c>
      <c r="C40" s="7" t="s">
        <v>102</v>
      </c>
      <c r="D40" s="7" t="s">
        <v>103</v>
      </c>
    </row>
    <row r="41" spans="1:4" x14ac:dyDescent="0.25">
      <c r="A41" s="14" t="s">
        <v>167</v>
      </c>
      <c r="B41" s="1" t="s">
        <v>1108</v>
      </c>
      <c r="C41" s="7" t="s">
        <v>102</v>
      </c>
      <c r="D41" s="7" t="s">
        <v>1100</v>
      </c>
    </row>
    <row r="42" spans="1:4" x14ac:dyDescent="0.25">
      <c r="A42" s="14" t="s">
        <v>532</v>
      </c>
      <c r="B42" s="1" t="s">
        <v>1109</v>
      </c>
      <c r="C42" s="7" t="s">
        <v>75</v>
      </c>
      <c r="D42" s="7" t="s">
        <v>633</v>
      </c>
    </row>
    <row r="43" spans="1:4" x14ac:dyDescent="0.25">
      <c r="A43" s="14" t="s">
        <v>532</v>
      </c>
      <c r="B43" s="1" t="s">
        <v>1110</v>
      </c>
      <c r="C43" s="7" t="s">
        <v>102</v>
      </c>
      <c r="D43" s="7" t="s">
        <v>103</v>
      </c>
    </row>
    <row r="44" spans="1:4" x14ac:dyDescent="0.25">
      <c r="A44" s="14" t="s">
        <v>532</v>
      </c>
      <c r="B44" s="1" t="s">
        <v>1111</v>
      </c>
      <c r="C44" s="7" t="s">
        <v>75</v>
      </c>
      <c r="D44" s="7" t="s">
        <v>103</v>
      </c>
    </row>
    <row r="45" spans="1:4" x14ac:dyDescent="0.25">
      <c r="A45" s="14" t="s">
        <v>532</v>
      </c>
      <c r="B45" s="1" t="s">
        <v>1112</v>
      </c>
      <c r="C45" s="7" t="s">
        <v>102</v>
      </c>
      <c r="D45" s="7" t="s">
        <v>103</v>
      </c>
    </row>
    <row r="46" spans="1:4" x14ac:dyDescent="0.25">
      <c r="A46" s="14" t="s">
        <v>532</v>
      </c>
      <c r="B46" s="1" t="s">
        <v>1113</v>
      </c>
      <c r="C46" s="7" t="s">
        <v>75</v>
      </c>
      <c r="D46" s="7" t="s">
        <v>103</v>
      </c>
    </row>
    <row r="47" spans="1:4" x14ac:dyDescent="0.25">
      <c r="A47" s="14" t="s">
        <v>532</v>
      </c>
      <c r="B47" s="1" t="s">
        <v>1114</v>
      </c>
      <c r="C47" s="7" t="s">
        <v>102</v>
      </c>
      <c r="D47" s="7" t="s">
        <v>633</v>
      </c>
    </row>
    <row r="48" spans="1:4" x14ac:dyDescent="0.25">
      <c r="A48" s="14" t="s">
        <v>532</v>
      </c>
      <c r="B48" s="1" t="s">
        <v>1115</v>
      </c>
      <c r="C48" s="7" t="s">
        <v>75</v>
      </c>
      <c r="D48" s="7" t="s">
        <v>76</v>
      </c>
    </row>
    <row r="49" spans="1:4" x14ac:dyDescent="0.25">
      <c r="A49" s="14" t="s">
        <v>532</v>
      </c>
      <c r="B49" s="1" t="s">
        <v>1116</v>
      </c>
      <c r="C49" s="7" t="s">
        <v>75</v>
      </c>
      <c r="D49" s="7" t="s">
        <v>103</v>
      </c>
    </row>
    <row r="50" spans="1:4" x14ac:dyDescent="0.25">
      <c r="A50" s="14" t="s">
        <v>532</v>
      </c>
      <c r="B50" s="1" t="s">
        <v>260</v>
      </c>
      <c r="C50" s="7" t="s">
        <v>102</v>
      </c>
      <c r="D50" s="7" t="s">
        <v>76</v>
      </c>
    </row>
    <row r="51" spans="1:4" x14ac:dyDescent="0.25">
      <c r="A51" s="14" t="s">
        <v>631</v>
      </c>
      <c r="B51" s="1" t="s">
        <v>632</v>
      </c>
      <c r="C51" s="7" t="s">
        <v>75</v>
      </c>
      <c r="D51" s="7" t="s">
        <v>633</v>
      </c>
    </row>
    <row r="52" spans="1:4" x14ac:dyDescent="0.25">
      <c r="A52" s="14" t="s">
        <v>631</v>
      </c>
      <c r="B52" s="1" t="s">
        <v>662</v>
      </c>
      <c r="C52" s="7" t="s">
        <v>102</v>
      </c>
      <c r="D52" s="7" t="s">
        <v>103</v>
      </c>
    </row>
    <row r="53" spans="1:4" x14ac:dyDescent="0.25">
      <c r="A53" s="14" t="s">
        <v>631</v>
      </c>
      <c r="B53" s="1" t="s">
        <v>1117</v>
      </c>
      <c r="C53" s="7" t="s">
        <v>102</v>
      </c>
      <c r="D53" s="7" t="s">
        <v>633</v>
      </c>
    </row>
    <row r="54" spans="1:4" x14ac:dyDescent="0.25">
      <c r="A54" s="14" t="s">
        <v>631</v>
      </c>
      <c r="B54" s="1" t="s">
        <v>1118</v>
      </c>
      <c r="C54" s="7" t="s">
        <v>75</v>
      </c>
      <c r="D54" s="7" t="s">
        <v>76</v>
      </c>
    </row>
    <row r="55" spans="1:4" x14ac:dyDescent="0.25">
      <c r="A55" s="14" t="s">
        <v>631</v>
      </c>
      <c r="B55" s="1" t="s">
        <v>1119</v>
      </c>
      <c r="C55" s="7" t="s">
        <v>102</v>
      </c>
      <c r="D55" s="7" t="s">
        <v>103</v>
      </c>
    </row>
    <row r="56" spans="1:4" x14ac:dyDescent="0.25">
      <c r="A56" s="14" t="s">
        <v>631</v>
      </c>
      <c r="B56" s="1" t="s">
        <v>1120</v>
      </c>
      <c r="C56" s="7" t="s">
        <v>102</v>
      </c>
      <c r="D56" s="7" t="s">
        <v>103</v>
      </c>
    </row>
    <row r="57" spans="1:4" x14ac:dyDescent="0.25">
      <c r="A57" s="14" t="s">
        <v>631</v>
      </c>
      <c r="B57" s="1" t="s">
        <v>1121</v>
      </c>
      <c r="C57" s="7" t="s">
        <v>102</v>
      </c>
      <c r="D57" s="7" t="s">
        <v>76</v>
      </c>
    </row>
    <row r="58" spans="1:4" x14ac:dyDescent="0.25">
      <c r="A58" s="14" t="s">
        <v>631</v>
      </c>
      <c r="B58" s="1" t="s">
        <v>1122</v>
      </c>
      <c r="C58" s="7" t="s">
        <v>831</v>
      </c>
      <c r="D58" s="7" t="s">
        <v>103</v>
      </c>
    </row>
    <row r="59" spans="1:4" x14ac:dyDescent="0.25">
      <c r="A59" s="14" t="s">
        <v>715</v>
      </c>
      <c r="B59" s="1" t="s">
        <v>1123</v>
      </c>
      <c r="C59" s="7" t="s">
        <v>75</v>
      </c>
      <c r="D59" s="7" t="s">
        <v>633</v>
      </c>
    </row>
    <row r="60" spans="1:4" x14ac:dyDescent="0.25">
      <c r="A60" s="14" t="s">
        <v>715</v>
      </c>
      <c r="B60" s="1" t="s">
        <v>1124</v>
      </c>
      <c r="C60" s="7" t="s">
        <v>102</v>
      </c>
      <c r="D60" s="7" t="s">
        <v>633</v>
      </c>
    </row>
    <row r="61" spans="1:4" x14ac:dyDescent="0.25">
      <c r="A61" s="14" t="s">
        <v>715</v>
      </c>
      <c r="B61" s="1" t="s">
        <v>1125</v>
      </c>
      <c r="C61" s="7" t="s">
        <v>102</v>
      </c>
      <c r="D61" s="7" t="s">
        <v>103</v>
      </c>
    </row>
    <row r="62" spans="1:4" x14ac:dyDescent="0.25">
      <c r="A62" s="14" t="s">
        <v>715</v>
      </c>
      <c r="B62" s="1" t="s">
        <v>852</v>
      </c>
      <c r="C62" s="7" t="s">
        <v>102</v>
      </c>
      <c r="D62" s="7" t="s">
        <v>633</v>
      </c>
    </row>
    <row r="63" spans="1:4" x14ac:dyDescent="0.25">
      <c r="A63" s="14" t="s">
        <v>715</v>
      </c>
      <c r="B63" s="1" t="s">
        <v>1126</v>
      </c>
      <c r="C63" s="7" t="s">
        <v>75</v>
      </c>
      <c r="D63" s="7" t="s">
        <v>76</v>
      </c>
    </row>
    <row r="64" spans="1:4" x14ac:dyDescent="0.25">
      <c r="A64" s="14" t="s">
        <v>715</v>
      </c>
      <c r="B64" s="1" t="s">
        <v>1127</v>
      </c>
      <c r="C64" s="7" t="s">
        <v>102</v>
      </c>
      <c r="D64" s="7" t="s">
        <v>103</v>
      </c>
    </row>
    <row r="65" spans="1:4" x14ac:dyDescent="0.25">
      <c r="A65" s="14" t="s">
        <v>715</v>
      </c>
      <c r="B65" s="1" t="s">
        <v>1128</v>
      </c>
      <c r="C65" s="7" t="s">
        <v>102</v>
      </c>
      <c r="D65" s="7" t="s">
        <v>103</v>
      </c>
    </row>
    <row r="66" spans="1:4" x14ac:dyDescent="0.25">
      <c r="A66" s="14" t="s">
        <v>715</v>
      </c>
      <c r="B66" s="1" t="s">
        <v>537</v>
      </c>
      <c r="C66" s="7" t="s">
        <v>831</v>
      </c>
      <c r="D66" s="7" t="s">
        <v>633</v>
      </c>
    </row>
    <row r="67" spans="1:4" x14ac:dyDescent="0.25">
      <c r="A67" s="14" t="s">
        <v>715</v>
      </c>
      <c r="B67" s="1" t="s">
        <v>1129</v>
      </c>
      <c r="C67" s="7" t="s">
        <v>831</v>
      </c>
      <c r="D67" s="7" t="s">
        <v>103</v>
      </c>
    </row>
    <row r="68" spans="1:4" x14ac:dyDescent="0.25">
      <c r="A68" s="14" t="s">
        <v>730</v>
      </c>
      <c r="B68" s="1" t="s">
        <v>731</v>
      </c>
      <c r="C68" s="7" t="s">
        <v>75</v>
      </c>
      <c r="D68" s="7" t="s">
        <v>103</v>
      </c>
    </row>
    <row r="69" spans="1:4" x14ac:dyDescent="0.25">
      <c r="A69" s="14" t="s">
        <v>730</v>
      </c>
      <c r="B69" s="1" t="s">
        <v>1130</v>
      </c>
      <c r="C69" s="7" t="s">
        <v>102</v>
      </c>
      <c r="D69" s="7" t="s">
        <v>103</v>
      </c>
    </row>
    <row r="70" spans="1:4" x14ac:dyDescent="0.25">
      <c r="A70" s="14" t="s">
        <v>730</v>
      </c>
      <c r="B70" s="1" t="s">
        <v>1131</v>
      </c>
      <c r="C70" s="7" t="s">
        <v>75</v>
      </c>
      <c r="D70" s="7" t="s">
        <v>103</v>
      </c>
    </row>
    <row r="71" spans="1:4" x14ac:dyDescent="0.25">
      <c r="A71" s="14" t="s">
        <v>730</v>
      </c>
      <c r="B71" s="1" t="s">
        <v>1132</v>
      </c>
      <c r="C71" s="7" t="s">
        <v>102</v>
      </c>
      <c r="D71" s="7" t="s">
        <v>103</v>
      </c>
    </row>
    <row r="72" spans="1:4" x14ac:dyDescent="0.25">
      <c r="A72" s="14" t="s">
        <v>730</v>
      </c>
      <c r="B72" s="1" t="s">
        <v>1133</v>
      </c>
      <c r="C72" s="7" t="s">
        <v>75</v>
      </c>
      <c r="D72" s="7" t="s">
        <v>103</v>
      </c>
    </row>
    <row r="73" spans="1:4" x14ac:dyDescent="0.25">
      <c r="A73" s="14" t="s">
        <v>730</v>
      </c>
      <c r="B73" s="1" t="s">
        <v>1134</v>
      </c>
      <c r="C73" s="7" t="s">
        <v>75</v>
      </c>
      <c r="D73" s="7" t="s">
        <v>103</v>
      </c>
    </row>
    <row r="74" spans="1:4" x14ac:dyDescent="0.25">
      <c r="A74" s="14" t="s">
        <v>730</v>
      </c>
      <c r="B74" s="1" t="s">
        <v>1135</v>
      </c>
      <c r="C74" s="7" t="s">
        <v>102</v>
      </c>
      <c r="D74" s="7" t="s">
        <v>103</v>
      </c>
    </row>
    <row r="75" spans="1:4" x14ac:dyDescent="0.25">
      <c r="A75" s="14" t="s">
        <v>766</v>
      </c>
      <c r="B75" s="1" t="s">
        <v>1136</v>
      </c>
      <c r="C75" s="7" t="s">
        <v>75</v>
      </c>
      <c r="D75" s="7" t="s">
        <v>633</v>
      </c>
    </row>
    <row r="76" spans="1:4" x14ac:dyDescent="0.25">
      <c r="A76" s="14" t="s">
        <v>766</v>
      </c>
      <c r="B76" s="1" t="s">
        <v>1137</v>
      </c>
      <c r="C76" s="7" t="s">
        <v>102</v>
      </c>
      <c r="D76" s="7" t="s">
        <v>76</v>
      </c>
    </row>
    <row r="77" spans="1:4" x14ac:dyDescent="0.25">
      <c r="A77" s="14" t="s">
        <v>766</v>
      </c>
      <c r="B77" s="1" t="s">
        <v>1138</v>
      </c>
      <c r="C77" s="7" t="s">
        <v>75</v>
      </c>
      <c r="D77" s="7" t="s">
        <v>76</v>
      </c>
    </row>
    <row r="78" spans="1:4" ht="26.1" customHeight="1" x14ac:dyDescent="0.25">
      <c r="A78" s="14" t="s">
        <v>766</v>
      </c>
      <c r="B78" s="1" t="s">
        <v>1139</v>
      </c>
      <c r="C78" s="7" t="s">
        <v>75</v>
      </c>
      <c r="D78" s="7" t="s">
        <v>633</v>
      </c>
    </row>
    <row r="79" spans="1:4" x14ac:dyDescent="0.25">
      <c r="A79" s="14" t="s">
        <v>766</v>
      </c>
      <c r="B79" s="1" t="s">
        <v>1140</v>
      </c>
      <c r="C79" s="7" t="s">
        <v>102</v>
      </c>
      <c r="D79" s="7" t="s">
        <v>103</v>
      </c>
    </row>
    <row r="80" spans="1:4" x14ac:dyDescent="0.25">
      <c r="A80" s="14" t="s">
        <v>766</v>
      </c>
      <c r="B80" s="1" t="s">
        <v>1141</v>
      </c>
      <c r="C80" s="7" t="s">
        <v>102</v>
      </c>
      <c r="D80" s="7" t="s">
        <v>103</v>
      </c>
    </row>
    <row r="81" spans="1:4" x14ac:dyDescent="0.25">
      <c r="A81" s="14" t="s">
        <v>766</v>
      </c>
      <c r="B81" s="1" t="s">
        <v>1142</v>
      </c>
      <c r="C81" s="7" t="s">
        <v>102</v>
      </c>
      <c r="D81" s="7" t="s">
        <v>103</v>
      </c>
    </row>
    <row r="82" spans="1:4" x14ac:dyDescent="0.25">
      <c r="A82" s="14" t="s">
        <v>766</v>
      </c>
      <c r="B82" s="1" t="s">
        <v>1143</v>
      </c>
      <c r="C82" s="7" t="s">
        <v>75</v>
      </c>
      <c r="D82" s="7" t="s">
        <v>633</v>
      </c>
    </row>
    <row r="83" spans="1:4" x14ac:dyDescent="0.25">
      <c r="A83" s="14" t="s">
        <v>766</v>
      </c>
      <c r="B83" s="1" t="s">
        <v>1144</v>
      </c>
      <c r="C83" s="7" t="s">
        <v>75</v>
      </c>
      <c r="D83" s="7" t="s">
        <v>633</v>
      </c>
    </row>
    <row r="84" spans="1:4" x14ac:dyDescent="0.25">
      <c r="A84" s="14" t="s">
        <v>766</v>
      </c>
      <c r="B84" s="1" t="s">
        <v>1145</v>
      </c>
      <c r="C84" s="7" t="s">
        <v>102</v>
      </c>
      <c r="D84" s="7" t="s">
        <v>103</v>
      </c>
    </row>
    <row r="85" spans="1:4" x14ac:dyDescent="0.25">
      <c r="A85" s="14" t="s">
        <v>766</v>
      </c>
      <c r="B85" s="1" t="s">
        <v>1146</v>
      </c>
      <c r="C85" s="7" t="s">
        <v>75</v>
      </c>
      <c r="D85" s="7" t="s">
        <v>103</v>
      </c>
    </row>
    <row r="86" spans="1:4" x14ac:dyDescent="0.25">
      <c r="A86" s="14" t="s">
        <v>766</v>
      </c>
      <c r="B86" s="1" t="s">
        <v>1147</v>
      </c>
      <c r="C86" s="7" t="s">
        <v>102</v>
      </c>
      <c r="D86" s="7" t="s">
        <v>633</v>
      </c>
    </row>
    <row r="87" spans="1:4" x14ac:dyDescent="0.25">
      <c r="A87" s="14" t="s">
        <v>829</v>
      </c>
      <c r="B87" s="1" t="s">
        <v>1148</v>
      </c>
      <c r="C87" s="7" t="s">
        <v>102</v>
      </c>
      <c r="D87" s="7" t="s">
        <v>76</v>
      </c>
    </row>
    <row r="88" spans="1:4" x14ac:dyDescent="0.25">
      <c r="A88" s="14" t="s">
        <v>829</v>
      </c>
      <c r="B88" s="1" t="s">
        <v>1149</v>
      </c>
      <c r="C88" s="7" t="s">
        <v>102</v>
      </c>
      <c r="D88" s="7" t="s">
        <v>76</v>
      </c>
    </row>
    <row r="89" spans="1:4" x14ac:dyDescent="0.25">
      <c r="A89" s="14" t="s">
        <v>829</v>
      </c>
      <c r="B89" s="1" t="s">
        <v>1150</v>
      </c>
      <c r="C89" s="7" t="s">
        <v>75</v>
      </c>
      <c r="D89" s="7" t="s">
        <v>76</v>
      </c>
    </row>
    <row r="90" spans="1:4" x14ac:dyDescent="0.25">
      <c r="A90" s="14" t="s">
        <v>829</v>
      </c>
      <c r="B90" s="1" t="s">
        <v>1151</v>
      </c>
      <c r="C90" s="7" t="s">
        <v>102</v>
      </c>
      <c r="D90" s="7" t="s">
        <v>76</v>
      </c>
    </row>
    <row r="91" spans="1:4" x14ac:dyDescent="0.25">
      <c r="A91" s="14" t="s">
        <v>829</v>
      </c>
      <c r="B91" s="1" t="s">
        <v>1152</v>
      </c>
      <c r="C91" s="7" t="s">
        <v>75</v>
      </c>
      <c r="D91" s="7" t="s">
        <v>76</v>
      </c>
    </row>
    <row r="92" spans="1:4" x14ac:dyDescent="0.25">
      <c r="A92" s="14" t="s">
        <v>829</v>
      </c>
      <c r="B92" s="1" t="s">
        <v>1153</v>
      </c>
      <c r="C92" s="7" t="s">
        <v>102</v>
      </c>
      <c r="D92" s="7" t="s">
        <v>76</v>
      </c>
    </row>
    <row r="93" spans="1:4" x14ac:dyDescent="0.25">
      <c r="A93" s="14" t="s">
        <v>829</v>
      </c>
      <c r="B93" s="1" t="s">
        <v>830</v>
      </c>
      <c r="C93" s="7" t="s">
        <v>831</v>
      </c>
      <c r="D93" s="7" t="s">
        <v>633</v>
      </c>
    </row>
    <row r="94" spans="1:4" x14ac:dyDescent="0.25">
      <c r="A94" s="14" t="s">
        <v>829</v>
      </c>
      <c r="B94" s="1" t="s">
        <v>1154</v>
      </c>
      <c r="C94" s="7" t="s">
        <v>831</v>
      </c>
      <c r="D94" s="7" t="s">
        <v>76</v>
      </c>
    </row>
    <row r="95" spans="1:4" x14ac:dyDescent="0.25">
      <c r="A95" s="14" t="s">
        <v>829</v>
      </c>
      <c r="B95" s="1" t="s">
        <v>1155</v>
      </c>
      <c r="C95" s="7" t="s">
        <v>102</v>
      </c>
      <c r="D95" s="7" t="s">
        <v>103</v>
      </c>
    </row>
    <row r="96" spans="1:4" x14ac:dyDescent="0.25">
      <c r="A96" s="14" t="s">
        <v>829</v>
      </c>
      <c r="B96" s="1" t="s">
        <v>1156</v>
      </c>
      <c r="C96" s="7" t="s">
        <v>102</v>
      </c>
      <c r="D96" s="7" t="s">
        <v>103</v>
      </c>
    </row>
    <row r="97" spans="1:4" x14ac:dyDescent="0.25">
      <c r="A97" s="14" t="s">
        <v>1069</v>
      </c>
      <c r="B97" s="1" t="s">
        <v>1157</v>
      </c>
      <c r="C97" s="7" t="s">
        <v>102</v>
      </c>
      <c r="D97" s="7" t="s">
        <v>103</v>
      </c>
    </row>
    <row r="98" spans="1:4" x14ac:dyDescent="0.25">
      <c r="A98" s="14" t="s">
        <v>1069</v>
      </c>
      <c r="B98" s="1" t="s">
        <v>1158</v>
      </c>
      <c r="C98" s="7" t="s">
        <v>102</v>
      </c>
      <c r="D98" s="7" t="s">
        <v>103</v>
      </c>
    </row>
    <row r="99" spans="1:4" x14ac:dyDescent="0.25">
      <c r="A99" s="14" t="s">
        <v>1069</v>
      </c>
      <c r="B99" s="1" t="s">
        <v>1159</v>
      </c>
      <c r="C99" s="7" t="s">
        <v>102</v>
      </c>
      <c r="D99" s="7" t="s">
        <v>633</v>
      </c>
    </row>
    <row r="100" spans="1:4" x14ac:dyDescent="0.25">
      <c r="A100" s="14" t="s">
        <v>1069</v>
      </c>
      <c r="B100" s="1" t="s">
        <v>1160</v>
      </c>
      <c r="C100" s="7" t="s">
        <v>75</v>
      </c>
      <c r="D100" s="7" t="s">
        <v>1161</v>
      </c>
    </row>
    <row r="101" spans="1:4" x14ac:dyDescent="0.25">
      <c r="A101" s="14" t="s">
        <v>1069</v>
      </c>
      <c r="B101" s="1" t="s">
        <v>1162</v>
      </c>
      <c r="C101" s="7" t="s">
        <v>102</v>
      </c>
      <c r="D101" s="7" t="s">
        <v>103</v>
      </c>
    </row>
    <row r="102" spans="1:4" x14ac:dyDescent="0.25">
      <c r="A102" s="14" t="s">
        <v>1069</v>
      </c>
      <c r="B102" s="1" t="s">
        <v>1163</v>
      </c>
      <c r="C102" s="7" t="s">
        <v>102</v>
      </c>
      <c r="D102" s="7" t="s">
        <v>103</v>
      </c>
    </row>
    <row r="103" spans="1:4" x14ac:dyDescent="0.25">
      <c r="A103" s="14" t="s">
        <v>970</v>
      </c>
      <c r="B103" s="1" t="s">
        <v>1164</v>
      </c>
      <c r="C103" s="7" t="s">
        <v>102</v>
      </c>
      <c r="D103" s="7" t="s">
        <v>633</v>
      </c>
    </row>
    <row r="104" spans="1:4" x14ac:dyDescent="0.25">
      <c r="A104" s="14" t="s">
        <v>970</v>
      </c>
      <c r="B104" s="1" t="s">
        <v>1165</v>
      </c>
      <c r="C104" s="7" t="s">
        <v>102</v>
      </c>
      <c r="D104" s="7" t="s">
        <v>633</v>
      </c>
    </row>
    <row r="105" spans="1:4" x14ac:dyDescent="0.25">
      <c r="A105" s="14" t="s">
        <v>970</v>
      </c>
      <c r="B105" s="1" t="s">
        <v>1166</v>
      </c>
      <c r="C105" s="7" t="s">
        <v>102</v>
      </c>
      <c r="D105" s="7" t="s">
        <v>76</v>
      </c>
    </row>
    <row r="106" spans="1:4" x14ac:dyDescent="0.25">
      <c r="A106" s="14" t="s">
        <v>970</v>
      </c>
      <c r="B106" s="1" t="s">
        <v>1167</v>
      </c>
      <c r="C106" s="7" t="s">
        <v>102</v>
      </c>
      <c r="D106" s="7" t="s">
        <v>76</v>
      </c>
    </row>
    <row r="107" spans="1:4" x14ac:dyDescent="0.25">
      <c r="A107" s="14" t="s">
        <v>970</v>
      </c>
      <c r="B107" s="1" t="s">
        <v>1168</v>
      </c>
      <c r="C107" s="7" t="s">
        <v>102</v>
      </c>
      <c r="D107" s="7" t="s">
        <v>76</v>
      </c>
    </row>
    <row r="108" spans="1:4" x14ac:dyDescent="0.25">
      <c r="A108" s="14" t="s">
        <v>970</v>
      </c>
      <c r="B108" s="1" t="s">
        <v>1169</v>
      </c>
      <c r="C108" s="7" t="s">
        <v>102</v>
      </c>
      <c r="D108" s="7" t="s">
        <v>76</v>
      </c>
    </row>
    <row r="109" spans="1:4" x14ac:dyDescent="0.25">
      <c r="A109" s="14" t="s">
        <v>970</v>
      </c>
      <c r="B109" s="1" t="s">
        <v>1170</v>
      </c>
      <c r="C109" s="7" t="s">
        <v>102</v>
      </c>
      <c r="D109" s="7" t="s">
        <v>76</v>
      </c>
    </row>
    <row r="110" spans="1:4" x14ac:dyDescent="0.25">
      <c r="A110" s="14" t="s">
        <v>970</v>
      </c>
      <c r="B110" s="1" t="s">
        <v>1171</v>
      </c>
      <c r="C110" s="7" t="s">
        <v>75</v>
      </c>
      <c r="D110" s="7" t="s">
        <v>76</v>
      </c>
    </row>
    <row r="111" spans="1:4" x14ac:dyDescent="0.25">
      <c r="A111" s="14" t="s">
        <v>970</v>
      </c>
      <c r="B111" s="1" t="s">
        <v>1172</v>
      </c>
      <c r="C111" s="7" t="s">
        <v>102</v>
      </c>
      <c r="D111" s="7" t="s">
        <v>76</v>
      </c>
    </row>
    <row r="112" spans="1:4" x14ac:dyDescent="0.25">
      <c r="A112" s="14" t="s">
        <v>970</v>
      </c>
      <c r="B112" s="1" t="s">
        <v>1173</v>
      </c>
      <c r="C112" s="7" t="s">
        <v>102</v>
      </c>
      <c r="D112" s="7" t="s">
        <v>76</v>
      </c>
    </row>
    <row r="113" spans="1:4" x14ac:dyDescent="0.25">
      <c r="A113" s="14" t="s">
        <v>970</v>
      </c>
      <c r="B113" s="1" t="s">
        <v>1174</v>
      </c>
      <c r="C113" s="7" t="s">
        <v>102</v>
      </c>
      <c r="D113" s="7" t="s">
        <v>76</v>
      </c>
    </row>
    <row r="114" spans="1:4" x14ac:dyDescent="0.25">
      <c r="A114" s="14" t="s">
        <v>970</v>
      </c>
      <c r="B114" s="1" t="s">
        <v>1175</v>
      </c>
      <c r="C114" s="7" t="s">
        <v>102</v>
      </c>
      <c r="D114" s="7" t="s">
        <v>76</v>
      </c>
    </row>
    <row r="115" spans="1:4" x14ac:dyDescent="0.25">
      <c r="A115" s="14" t="s">
        <v>970</v>
      </c>
      <c r="B115" s="1" t="s">
        <v>1176</v>
      </c>
      <c r="C115" s="7" t="s">
        <v>75</v>
      </c>
      <c r="D115" s="7" t="s">
        <v>103</v>
      </c>
    </row>
    <row r="116" spans="1:4" x14ac:dyDescent="0.25">
      <c r="A116" s="14" t="s">
        <v>970</v>
      </c>
      <c r="B116" s="1" t="s">
        <v>1177</v>
      </c>
      <c r="C116" s="7" t="s">
        <v>75</v>
      </c>
      <c r="D116" s="7" t="s">
        <v>103</v>
      </c>
    </row>
    <row r="117" spans="1:4" x14ac:dyDescent="0.25">
      <c r="A117" s="14" t="s">
        <v>970</v>
      </c>
      <c r="B117" s="1" t="s">
        <v>1178</v>
      </c>
      <c r="C117" s="7" t="s">
        <v>75</v>
      </c>
      <c r="D117" s="7" t="s">
        <v>633</v>
      </c>
    </row>
    <row r="118" spans="1:4" x14ac:dyDescent="0.25">
      <c r="A118" s="14" t="s">
        <v>970</v>
      </c>
      <c r="B118" s="1" t="s">
        <v>971</v>
      </c>
      <c r="C118" s="7" t="s">
        <v>102</v>
      </c>
      <c r="D118" s="7" t="s">
        <v>76</v>
      </c>
    </row>
    <row r="119" spans="1:4" x14ac:dyDescent="0.25">
      <c r="A119" s="14" t="s">
        <v>970</v>
      </c>
      <c r="B119" s="1" t="s">
        <v>1179</v>
      </c>
      <c r="C119" s="7" t="s">
        <v>102</v>
      </c>
      <c r="D119" s="7" t="s">
        <v>76</v>
      </c>
    </row>
    <row r="120" spans="1:4" x14ac:dyDescent="0.25">
      <c r="A120" s="14" t="s">
        <v>970</v>
      </c>
      <c r="B120" s="1" t="s">
        <v>1180</v>
      </c>
      <c r="C120" s="7" t="s">
        <v>831</v>
      </c>
      <c r="D120" s="7" t="s">
        <v>103</v>
      </c>
    </row>
    <row r="121" spans="1:4" x14ac:dyDescent="0.25">
      <c r="A121" s="14" t="s">
        <v>970</v>
      </c>
      <c r="B121" s="1" t="s">
        <v>1181</v>
      </c>
      <c r="C121" s="7" t="s">
        <v>102</v>
      </c>
      <c r="D121" s="7" t="s">
        <v>103</v>
      </c>
    </row>
    <row r="122" spans="1:4" x14ac:dyDescent="0.25">
      <c r="A122" s="14" t="s">
        <v>1018</v>
      </c>
      <c r="B122" s="1" t="s">
        <v>1182</v>
      </c>
      <c r="C122" s="7" t="s">
        <v>102</v>
      </c>
      <c r="D122" s="7" t="s">
        <v>103</v>
      </c>
    </row>
    <row r="123" spans="1:4" x14ac:dyDescent="0.25">
      <c r="A123" s="14" t="s">
        <v>1018</v>
      </c>
      <c r="B123" s="1" t="s">
        <v>1183</v>
      </c>
      <c r="C123" s="7" t="s">
        <v>75</v>
      </c>
      <c r="D123" s="7" t="s">
        <v>103</v>
      </c>
    </row>
    <row r="124" spans="1:4" x14ac:dyDescent="0.25">
      <c r="A124" s="14" t="s">
        <v>1018</v>
      </c>
      <c r="B124" s="1" t="s">
        <v>1184</v>
      </c>
      <c r="C124" s="7" t="s">
        <v>102</v>
      </c>
      <c r="D124" s="7" t="s">
        <v>103</v>
      </c>
    </row>
    <row r="125" spans="1:4" x14ac:dyDescent="0.25">
      <c r="A125" s="14" t="s">
        <v>1018</v>
      </c>
      <c r="B125" s="1" t="s">
        <v>1185</v>
      </c>
      <c r="C125" s="7" t="s">
        <v>75</v>
      </c>
      <c r="D125" s="7" t="s">
        <v>103</v>
      </c>
    </row>
    <row r="126" spans="1:4" x14ac:dyDescent="0.25">
      <c r="A126" s="14" t="s">
        <v>1018</v>
      </c>
      <c r="B126" s="1" t="s">
        <v>1186</v>
      </c>
      <c r="C126" s="7" t="s">
        <v>102</v>
      </c>
      <c r="D126" s="7" t="s">
        <v>103</v>
      </c>
    </row>
    <row r="127" spans="1:4" x14ac:dyDescent="0.25">
      <c r="A127" s="14" t="s">
        <v>1018</v>
      </c>
      <c r="B127" s="1" t="s">
        <v>1187</v>
      </c>
      <c r="C127" s="7" t="s">
        <v>75</v>
      </c>
      <c r="D127" s="7" t="s">
        <v>103</v>
      </c>
    </row>
    <row r="128" spans="1:4" x14ac:dyDescent="0.25">
      <c r="A128" s="14" t="s">
        <v>1018</v>
      </c>
      <c r="B128" s="1" t="s">
        <v>1188</v>
      </c>
      <c r="C128" s="7" t="s">
        <v>75</v>
      </c>
      <c r="D128" s="7" t="s">
        <v>103</v>
      </c>
    </row>
    <row r="129" spans="1:4" x14ac:dyDescent="0.25">
      <c r="A129" s="14" t="s">
        <v>1070</v>
      </c>
      <c r="B129" s="1" t="s">
        <v>1189</v>
      </c>
      <c r="C129" s="7" t="s">
        <v>831</v>
      </c>
      <c r="D129" s="7" t="s">
        <v>103</v>
      </c>
    </row>
    <row r="130" spans="1:4" x14ac:dyDescent="0.25">
      <c r="A130" s="14" t="s">
        <v>1070</v>
      </c>
      <c r="B130" s="1" t="s">
        <v>1190</v>
      </c>
      <c r="C130" s="7" t="s">
        <v>831</v>
      </c>
      <c r="D130" s="7" t="s">
        <v>103</v>
      </c>
    </row>
    <row r="131" spans="1:4" x14ac:dyDescent="0.25">
      <c r="A131" s="14" t="s">
        <v>1070</v>
      </c>
      <c r="B131" s="1" t="s">
        <v>1191</v>
      </c>
      <c r="C131" s="7" t="s">
        <v>102</v>
      </c>
      <c r="D131" s="7" t="s">
        <v>103</v>
      </c>
    </row>
    <row r="132" spans="1:4" x14ac:dyDescent="0.25">
      <c r="A132" s="14" t="s">
        <v>1070</v>
      </c>
      <c r="B132" s="1" t="s">
        <v>1192</v>
      </c>
      <c r="C132" s="7" t="s">
        <v>102</v>
      </c>
      <c r="D132" s="7" t="s">
        <v>103</v>
      </c>
    </row>
    <row r="133" spans="1:4" x14ac:dyDescent="0.25">
      <c r="A133" s="14" t="s">
        <v>1070</v>
      </c>
      <c r="B133" s="1" t="s">
        <v>1193</v>
      </c>
      <c r="C133" s="7" t="s">
        <v>102</v>
      </c>
      <c r="D133" s="7" t="s">
        <v>103</v>
      </c>
    </row>
    <row r="134" spans="1:4" x14ac:dyDescent="0.25">
      <c r="A134" s="14" t="s">
        <v>1070</v>
      </c>
      <c r="B134" s="1" t="s">
        <v>1194</v>
      </c>
      <c r="C134" s="7" t="s">
        <v>102</v>
      </c>
      <c r="D134" s="7" t="s">
        <v>103</v>
      </c>
    </row>
    <row r="135" spans="1:4" x14ac:dyDescent="0.25">
      <c r="A135" s="14" t="s">
        <v>1070</v>
      </c>
      <c r="B135" s="1" t="s">
        <v>1070</v>
      </c>
      <c r="C135" s="7" t="s">
        <v>75</v>
      </c>
      <c r="D135" s="7" t="s">
        <v>103</v>
      </c>
    </row>
    <row r="136" spans="1:4" x14ac:dyDescent="0.25">
      <c r="A136" s="14" t="s">
        <v>1070</v>
      </c>
      <c r="B136" s="1" t="s">
        <v>1195</v>
      </c>
      <c r="C136" s="7" t="s">
        <v>102</v>
      </c>
      <c r="D136" s="7" t="s">
        <v>103</v>
      </c>
    </row>
    <row r="137" spans="1:4" x14ac:dyDescent="0.25">
      <c r="A137" s="14" t="s">
        <v>1071</v>
      </c>
      <c r="B137" s="1" t="s">
        <v>1196</v>
      </c>
      <c r="C137" s="7" t="s">
        <v>102</v>
      </c>
      <c r="D137" s="7" t="s">
        <v>103</v>
      </c>
    </row>
    <row r="138" spans="1:4" x14ac:dyDescent="0.25">
      <c r="A138" s="14" t="s">
        <v>1071</v>
      </c>
      <c r="B138" s="1" t="s">
        <v>1197</v>
      </c>
      <c r="C138" s="7" t="s">
        <v>102</v>
      </c>
      <c r="D138" s="7" t="s">
        <v>103</v>
      </c>
    </row>
    <row r="139" spans="1:4" x14ac:dyDescent="0.25">
      <c r="A139" s="14" t="s">
        <v>1071</v>
      </c>
      <c r="B139" s="1" t="s">
        <v>1198</v>
      </c>
      <c r="C139" s="7" t="s">
        <v>102</v>
      </c>
      <c r="D139" s="7" t="s">
        <v>103</v>
      </c>
    </row>
    <row r="140" spans="1:4" x14ac:dyDescent="0.25">
      <c r="A140" s="14" t="s">
        <v>1071</v>
      </c>
      <c r="B140" s="1" t="s">
        <v>1199</v>
      </c>
      <c r="C140" s="7" t="s">
        <v>102</v>
      </c>
      <c r="D140" s="7" t="s">
        <v>103</v>
      </c>
    </row>
    <row r="141" spans="1:4" x14ac:dyDescent="0.25">
      <c r="A141" s="14" t="s">
        <v>1071</v>
      </c>
      <c r="B141" s="1" t="s">
        <v>1200</v>
      </c>
      <c r="C141" s="7" t="s">
        <v>102</v>
      </c>
      <c r="D141" s="7" t="s">
        <v>103</v>
      </c>
    </row>
    <row r="142" spans="1:4" x14ac:dyDescent="0.25">
      <c r="A142" s="14" t="s">
        <v>1071</v>
      </c>
      <c r="B142" s="1" t="s">
        <v>1201</v>
      </c>
      <c r="C142" s="7" t="s">
        <v>75</v>
      </c>
      <c r="D142" s="7" t="s">
        <v>103</v>
      </c>
    </row>
    <row r="143" spans="1:4" x14ac:dyDescent="0.25">
      <c r="A143" s="14" t="s">
        <v>1071</v>
      </c>
      <c r="B143" s="1" t="s">
        <v>1202</v>
      </c>
      <c r="C143" s="7" t="s">
        <v>102</v>
      </c>
      <c r="D143" s="7" t="s">
        <v>103</v>
      </c>
    </row>
  </sheetData>
  <conditionalFormatting sqref="D2:D143">
    <cfRule type="cellIs" dxfId="8" priority="1" operator="equal">
      <formula>"T0: Ideation"</formula>
    </cfRule>
    <cfRule type="cellIs" dxfId="7" priority="2" operator="equal">
      <formula>"T1: R&amp;D"</formula>
    </cfRule>
    <cfRule type="cellIs" dxfId="6" priority="3" operator="equal">
      <formula>"T2: GDD/TDD/Brief"</formula>
    </cfRule>
    <cfRule type="cellIs" dxfId="5" priority="4" operator="equal">
      <formula>"T3: Prototype"</formula>
    </cfRule>
    <cfRule type="cellIs" dxfId="4" priority="5" operator="equal">
      <formula>"T4: MVP"</formula>
    </cfRule>
    <cfRule type="cellIs" dxfId="3" priority="6" operator="equal">
      <formula>"T5: Feature Complete"</formula>
    </cfRule>
    <cfRule type="cellIs" dxfId="2" priority="7" operator="equal">
      <formula>"T6: Player Tested"</formula>
    </cfRule>
    <cfRule type="cellIs" dxfId="1" priority="8" operator="equal">
      <formula>"T7: Expand"</formula>
    </cfRule>
    <cfRule type="cellIs" dxfId="0" priority="9" operator="equal">
      <formula>"T8: Scale"</formula>
    </cfRule>
  </conditionalFormatting>
  <dataValidations count="1">
    <dataValidation type="list" errorStyle="warning" allowBlank="1" errorTitle="Invalid tier" error="Use one of T0-T8 from the Tiers tab." sqref="D2:D143" xr:uid="{00000000-0002-0000-0200-000000000000}">
      <formula1>"T0: Ideation,T1: R&amp;D,T2: GDD/TDD/Brief,T3: Prototype,T4: MVP,T5: Feature Complete,T6: Player Tested,T7: Expand,T8: Scale"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6" customWidth="1"/>
    <col min="3" max="3" width="60" customWidth="1"/>
  </cols>
  <sheetData>
    <row r="1" spans="1:3" x14ac:dyDescent="0.25">
      <c r="A1" s="13" t="s">
        <v>1203</v>
      </c>
      <c r="B1" s="13" t="s">
        <v>1204</v>
      </c>
      <c r="C1" s="13" t="s">
        <v>34</v>
      </c>
    </row>
    <row r="2" spans="1:3" x14ac:dyDescent="0.25">
      <c r="A2" s="15" t="s">
        <v>35</v>
      </c>
      <c r="B2" s="16" t="s">
        <v>1205</v>
      </c>
      <c r="C2" s="15"/>
    </row>
    <row r="3" spans="1:3" x14ac:dyDescent="0.25">
      <c r="A3" s="15" t="s">
        <v>36</v>
      </c>
      <c r="B3" s="16" t="s">
        <v>1205</v>
      </c>
      <c r="C3" s="15"/>
    </row>
    <row r="4" spans="1:3" x14ac:dyDescent="0.25">
      <c r="A4" s="15" t="s">
        <v>37</v>
      </c>
      <c r="B4" s="16" t="s">
        <v>1205</v>
      </c>
      <c r="C4" s="15"/>
    </row>
    <row r="5" spans="1:3" x14ac:dyDescent="0.25">
      <c r="A5" s="15" t="s">
        <v>38</v>
      </c>
      <c r="B5" s="16" t="s">
        <v>1205</v>
      </c>
      <c r="C5" s="15"/>
    </row>
    <row r="6" spans="1:3" x14ac:dyDescent="0.25">
      <c r="A6" s="15" t="s">
        <v>39</v>
      </c>
      <c r="B6" s="16" t="s">
        <v>1205</v>
      </c>
      <c r="C6" s="15"/>
    </row>
    <row r="7" spans="1:3" x14ac:dyDescent="0.25">
      <c r="A7" s="17" t="s">
        <v>40</v>
      </c>
      <c r="B7" s="18" t="s">
        <v>1206</v>
      </c>
      <c r="C7" s="17"/>
    </row>
    <row r="8" spans="1:3" x14ac:dyDescent="0.25">
      <c r="A8" s="17" t="s">
        <v>41</v>
      </c>
      <c r="B8" s="18" t="s">
        <v>1206</v>
      </c>
      <c r="C8" s="17"/>
    </row>
    <row r="9" spans="1:3" x14ac:dyDescent="0.25">
      <c r="A9" s="17" t="s">
        <v>42</v>
      </c>
      <c r="B9" s="18" t="s">
        <v>1206</v>
      </c>
      <c r="C9" s="17"/>
    </row>
    <row r="10" spans="1:3" x14ac:dyDescent="0.25">
      <c r="A10" s="17" t="s">
        <v>43</v>
      </c>
      <c r="B10" s="18" t="s">
        <v>1206</v>
      </c>
      <c r="C10" s="17"/>
    </row>
    <row r="11" spans="1:3" x14ac:dyDescent="0.25">
      <c r="A11" s="17" t="s">
        <v>44</v>
      </c>
      <c r="B11" s="18" t="s">
        <v>1206</v>
      </c>
      <c r="C11" s="17"/>
    </row>
    <row r="12" spans="1:3" x14ac:dyDescent="0.25">
      <c r="A12" s="19" t="s">
        <v>45</v>
      </c>
      <c r="B12" s="20" t="s">
        <v>1207</v>
      </c>
      <c r="C12" s="19"/>
    </row>
    <row r="13" spans="1:3" x14ac:dyDescent="0.25">
      <c r="A13" s="19" t="s">
        <v>46</v>
      </c>
      <c r="B13" s="20" t="s">
        <v>1207</v>
      </c>
      <c r="C13" s="19"/>
    </row>
    <row r="14" spans="1:3" x14ac:dyDescent="0.25">
      <c r="A14" s="19" t="s">
        <v>47</v>
      </c>
      <c r="B14" s="20" t="s">
        <v>1207</v>
      </c>
      <c r="C14" s="19"/>
    </row>
    <row r="15" spans="1:3" x14ac:dyDescent="0.25">
      <c r="A15" s="19" t="s">
        <v>48</v>
      </c>
      <c r="B15" s="20" t="s">
        <v>1207</v>
      </c>
      <c r="C15" s="19"/>
    </row>
    <row r="16" spans="1:3" x14ac:dyDescent="0.25">
      <c r="A16" s="19" t="s">
        <v>49</v>
      </c>
      <c r="B16" s="20" t="s">
        <v>1207</v>
      </c>
      <c r="C16" s="19"/>
    </row>
    <row r="17" spans="1:3" x14ac:dyDescent="0.25">
      <c r="A17" s="19" t="s">
        <v>50</v>
      </c>
      <c r="B17" s="20" t="s">
        <v>1207</v>
      </c>
      <c r="C17" s="19"/>
    </row>
    <row r="18" spans="1:3" x14ac:dyDescent="0.25">
      <c r="A18" s="19" t="s">
        <v>51</v>
      </c>
      <c r="B18" s="20" t="s">
        <v>1207</v>
      </c>
      <c r="C18" s="19"/>
    </row>
    <row r="19" spans="1:3" x14ac:dyDescent="0.25">
      <c r="A19" s="19" t="s">
        <v>52</v>
      </c>
      <c r="B19" s="20" t="s">
        <v>1207</v>
      </c>
      <c r="C19" s="19"/>
    </row>
    <row r="20" spans="1:3" x14ac:dyDescent="0.25">
      <c r="A20" s="21" t="s">
        <v>53</v>
      </c>
      <c r="B20" s="22" t="s">
        <v>1208</v>
      </c>
      <c r="C20" s="21"/>
    </row>
    <row r="21" spans="1:3" x14ac:dyDescent="0.25">
      <c r="A21" s="21" t="s">
        <v>54</v>
      </c>
      <c r="B21" s="22" t="s">
        <v>1208</v>
      </c>
      <c r="C21" s="21"/>
    </row>
    <row r="22" spans="1:3" x14ac:dyDescent="0.25">
      <c r="A22" s="21" t="s">
        <v>55</v>
      </c>
      <c r="B22" s="22" t="s">
        <v>1208</v>
      </c>
      <c r="C22" s="21"/>
    </row>
    <row r="23" spans="1:3" x14ac:dyDescent="0.25">
      <c r="A23" s="21" t="s">
        <v>56</v>
      </c>
      <c r="B23" s="22" t="s">
        <v>1208</v>
      </c>
      <c r="C23" s="21"/>
    </row>
    <row r="24" spans="1:3" x14ac:dyDescent="0.25">
      <c r="A24" s="21" t="s">
        <v>57</v>
      </c>
      <c r="B24" s="22" t="s">
        <v>1208</v>
      </c>
      <c r="C24" s="21"/>
    </row>
    <row r="25" spans="1:3" x14ac:dyDescent="0.25">
      <c r="A25" s="21" t="s">
        <v>58</v>
      </c>
      <c r="B25" s="22" t="s">
        <v>1208</v>
      </c>
      <c r="C25" s="21"/>
    </row>
    <row r="26" spans="1:3" x14ac:dyDescent="0.25">
      <c r="A26" s="21" t="s">
        <v>59</v>
      </c>
      <c r="B26" s="22" t="s">
        <v>1208</v>
      </c>
      <c r="C26" s="21"/>
    </row>
    <row r="27" spans="1:3" x14ac:dyDescent="0.25">
      <c r="A27" s="21" t="s">
        <v>60</v>
      </c>
      <c r="B27" s="22" t="s">
        <v>1208</v>
      </c>
      <c r="C27" s="21"/>
    </row>
    <row r="28" spans="1:3" x14ac:dyDescent="0.25">
      <c r="A28" s="21" t="s">
        <v>61</v>
      </c>
      <c r="B28" s="22" t="s">
        <v>1208</v>
      </c>
      <c r="C28" s="21"/>
    </row>
    <row r="29" spans="1:3" x14ac:dyDescent="0.25">
      <c r="A29" s="21" t="s">
        <v>62</v>
      </c>
      <c r="B29" s="22" t="s">
        <v>1208</v>
      </c>
      <c r="C29" s="21"/>
    </row>
    <row r="30" spans="1:3" x14ac:dyDescent="0.25">
      <c r="A30" s="21" t="s">
        <v>63</v>
      </c>
      <c r="B30" s="22" t="s">
        <v>1208</v>
      </c>
      <c r="C30" s="21"/>
    </row>
    <row r="31" spans="1:3" x14ac:dyDescent="0.25">
      <c r="A31" s="23" t="s">
        <v>64</v>
      </c>
      <c r="B31" s="24" t="s">
        <v>1209</v>
      </c>
      <c r="C31" s="23"/>
    </row>
    <row r="32" spans="1:3" x14ac:dyDescent="0.25">
      <c r="A32" s="23" t="s">
        <v>65</v>
      </c>
      <c r="B32" s="24" t="s">
        <v>1209</v>
      </c>
      <c r="C32" s="23"/>
    </row>
    <row r="33" spans="1:3" x14ac:dyDescent="0.25">
      <c r="A33" s="23" t="s">
        <v>66</v>
      </c>
      <c r="B33" s="24" t="s">
        <v>1209</v>
      </c>
      <c r="C33" s="23"/>
    </row>
    <row r="34" spans="1:3" x14ac:dyDescent="0.25">
      <c r="A34" s="23" t="s">
        <v>67</v>
      </c>
      <c r="B34" s="24" t="s">
        <v>1209</v>
      </c>
      <c r="C34" s="23"/>
    </row>
    <row r="35" spans="1:3" x14ac:dyDescent="0.25">
      <c r="A35" s="23" t="s">
        <v>68</v>
      </c>
      <c r="B35" s="24" t="s">
        <v>1209</v>
      </c>
      <c r="C35" s="23"/>
    </row>
    <row r="36" spans="1:3" x14ac:dyDescent="0.25">
      <c r="A36" s="23" t="s">
        <v>69</v>
      </c>
      <c r="B36" s="24" t="s">
        <v>1209</v>
      </c>
      <c r="C36" s="23"/>
    </row>
    <row r="37" spans="1:3" x14ac:dyDescent="0.25">
      <c r="A37" s="25" t="s">
        <v>70</v>
      </c>
      <c r="B37" s="26" t="s">
        <v>70</v>
      </c>
      <c r="C37" s="25"/>
    </row>
    <row r="38" spans="1:3" x14ac:dyDescent="0.25">
      <c r="A38" s="27" t="s">
        <v>71</v>
      </c>
      <c r="B38" s="28" t="s">
        <v>1210</v>
      </c>
      <c r="C38" s="27"/>
    </row>
    <row r="39" spans="1:3" x14ac:dyDescent="0.25">
      <c r="A39" s="29" t="s">
        <v>72</v>
      </c>
      <c r="B39" s="30" t="s">
        <v>970</v>
      </c>
      <c r="C39" s="2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6" customWidth="1"/>
    <col min="2" max="2" width="18" customWidth="1"/>
    <col min="3" max="3" width="14" customWidth="1"/>
    <col min="4" max="4" width="12" customWidth="1"/>
    <col min="5" max="5" width="24" customWidth="1"/>
    <col min="6" max="6" width="70" customWidth="1"/>
  </cols>
  <sheetData>
    <row r="1" spans="1:6" x14ac:dyDescent="0.25">
      <c r="A1" s="13" t="s">
        <v>1211</v>
      </c>
      <c r="B1" s="13" t="s">
        <v>1212</v>
      </c>
      <c r="C1" s="13"/>
      <c r="D1" s="13" t="s">
        <v>1213</v>
      </c>
      <c r="E1" s="13" t="s">
        <v>1214</v>
      </c>
      <c r="F1" s="13" t="s">
        <v>34</v>
      </c>
    </row>
    <row r="2" spans="1:6" x14ac:dyDescent="0.25">
      <c r="A2" s="7">
        <v>0</v>
      </c>
      <c r="B2" s="7" t="s">
        <v>1215</v>
      </c>
      <c r="C2" s="7"/>
      <c r="D2" s="7" t="s">
        <v>1216</v>
      </c>
      <c r="E2" s="7" t="s">
        <v>1217</v>
      </c>
      <c r="F2" s="1" t="s">
        <v>1218</v>
      </c>
    </row>
    <row r="3" spans="1:6" x14ac:dyDescent="0.25">
      <c r="A3" s="7">
        <v>1</v>
      </c>
      <c r="B3" s="7" t="s">
        <v>1219</v>
      </c>
      <c r="C3" s="7"/>
      <c r="D3" s="7" t="s">
        <v>1220</v>
      </c>
      <c r="E3" s="7" t="s">
        <v>1221</v>
      </c>
      <c r="F3" s="1" t="s">
        <v>1222</v>
      </c>
    </row>
    <row r="4" spans="1:6" x14ac:dyDescent="0.25">
      <c r="A4" s="7">
        <v>2</v>
      </c>
      <c r="B4" s="7" t="s">
        <v>1223</v>
      </c>
      <c r="C4" s="7"/>
      <c r="D4" s="7" t="s">
        <v>1224</v>
      </c>
      <c r="E4" s="7" t="s">
        <v>1225</v>
      </c>
      <c r="F4" s="1" t="s">
        <v>1226</v>
      </c>
    </row>
    <row r="5" spans="1:6" x14ac:dyDescent="0.25">
      <c r="A5" s="7">
        <v>3</v>
      </c>
      <c r="B5" s="7" t="s">
        <v>1227</v>
      </c>
      <c r="C5" s="7"/>
      <c r="D5" s="7" t="s">
        <v>1228</v>
      </c>
      <c r="E5" s="7" t="s">
        <v>1229</v>
      </c>
      <c r="F5" s="1" t="s">
        <v>1230</v>
      </c>
    </row>
    <row r="6" spans="1:6" x14ac:dyDescent="0.25">
      <c r="A6" s="7">
        <v>4</v>
      </c>
      <c r="B6" s="7" t="s">
        <v>1231</v>
      </c>
      <c r="C6" s="7"/>
      <c r="D6" s="7" t="s">
        <v>1232</v>
      </c>
      <c r="E6" s="7" t="s">
        <v>1233</v>
      </c>
      <c r="F6" s="1" t="s">
        <v>1234</v>
      </c>
    </row>
    <row r="7" spans="1:6" x14ac:dyDescent="0.25">
      <c r="A7" s="7">
        <v>5</v>
      </c>
      <c r="B7" s="7" t="s">
        <v>1235</v>
      </c>
      <c r="C7" s="7"/>
      <c r="D7" s="7" t="s">
        <v>1236</v>
      </c>
      <c r="E7" s="7" t="s">
        <v>1237</v>
      </c>
      <c r="F7" s="1" t="s">
        <v>1238</v>
      </c>
    </row>
    <row r="8" spans="1:6" x14ac:dyDescent="0.25">
      <c r="A8" s="7">
        <v>6</v>
      </c>
      <c r="B8" s="7" t="s">
        <v>1239</v>
      </c>
      <c r="C8" s="7"/>
      <c r="D8" s="7" t="s">
        <v>1236</v>
      </c>
      <c r="E8" s="7" t="s">
        <v>1237</v>
      </c>
      <c r="F8" s="1" t="s">
        <v>1240</v>
      </c>
    </row>
    <row r="9" spans="1:6" x14ac:dyDescent="0.25">
      <c r="A9" s="7">
        <v>7</v>
      </c>
      <c r="B9" s="7" t="s">
        <v>1241</v>
      </c>
      <c r="C9" s="7"/>
      <c r="D9" s="7" t="s">
        <v>1236</v>
      </c>
      <c r="E9" s="7" t="s">
        <v>1242</v>
      </c>
      <c r="F9" s="1" t="s">
        <v>1243</v>
      </c>
    </row>
    <row r="10" spans="1:6" x14ac:dyDescent="0.25">
      <c r="A10" s="7">
        <v>8</v>
      </c>
      <c r="B10" s="7" t="s">
        <v>1244</v>
      </c>
      <c r="C10" s="7"/>
      <c r="D10" s="7" t="s">
        <v>1245</v>
      </c>
      <c r="E10" s="7" t="s">
        <v>1246</v>
      </c>
      <c r="F10" s="1" t="s">
        <v>1247</v>
      </c>
    </row>
    <row r="11" spans="1:6" x14ac:dyDescent="0.25">
      <c r="A11" s="7">
        <v>9</v>
      </c>
      <c r="B11" s="7" t="s">
        <v>1248</v>
      </c>
      <c r="C11" s="7"/>
      <c r="D11" s="7" t="s">
        <v>1249</v>
      </c>
      <c r="E11" s="7" t="s">
        <v>1250</v>
      </c>
      <c r="F11" s="1" t="s">
        <v>1251</v>
      </c>
    </row>
    <row r="12" spans="1:6" x14ac:dyDescent="0.25">
      <c r="A12" s="7">
        <v>10</v>
      </c>
      <c r="B12" s="7" t="s">
        <v>1252</v>
      </c>
      <c r="C12" s="7"/>
      <c r="D12" s="7" t="s">
        <v>1253</v>
      </c>
      <c r="E12" s="7" t="s">
        <v>1254</v>
      </c>
      <c r="F12" s="1" t="s">
        <v>1255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0" customWidth="1"/>
    <col min="3" max="3" width="60" customWidth="1"/>
  </cols>
  <sheetData>
    <row r="1" spans="1:3" x14ac:dyDescent="0.25">
      <c r="A1" s="13" t="s">
        <v>1256</v>
      </c>
      <c r="B1" s="13" t="s">
        <v>1257</v>
      </c>
      <c r="C1" s="13" t="s">
        <v>1258</v>
      </c>
    </row>
    <row r="2" spans="1:3" x14ac:dyDescent="0.25">
      <c r="A2" s="31" t="s">
        <v>1216</v>
      </c>
      <c r="B2" s="31" t="s">
        <v>1217</v>
      </c>
      <c r="C2" s="32" t="s">
        <v>1259</v>
      </c>
    </row>
    <row r="3" spans="1:3" x14ac:dyDescent="0.25">
      <c r="A3" s="33" t="s">
        <v>1260</v>
      </c>
      <c r="B3" s="33" t="s">
        <v>1261</v>
      </c>
      <c r="C3" s="34" t="s">
        <v>1262</v>
      </c>
    </row>
    <row r="4" spans="1:3" x14ac:dyDescent="0.25">
      <c r="A4" s="16" t="s">
        <v>1263</v>
      </c>
      <c r="B4" s="16" t="s">
        <v>1264</v>
      </c>
      <c r="C4" s="15" t="s">
        <v>1265</v>
      </c>
    </row>
    <row r="5" spans="1:3" x14ac:dyDescent="0.25">
      <c r="A5" s="35" t="s">
        <v>1224</v>
      </c>
      <c r="B5" s="35" t="s">
        <v>1225</v>
      </c>
      <c r="C5" s="36" t="s">
        <v>1266</v>
      </c>
    </row>
    <row r="6" spans="1:3" x14ac:dyDescent="0.25">
      <c r="A6" s="20" t="s">
        <v>1228</v>
      </c>
      <c r="B6" s="20" t="s">
        <v>1229</v>
      </c>
      <c r="C6" s="19" t="s">
        <v>1267</v>
      </c>
    </row>
    <row r="7" spans="1:3" x14ac:dyDescent="0.25">
      <c r="A7" s="37" t="s">
        <v>1232</v>
      </c>
      <c r="B7" s="37" t="s">
        <v>1268</v>
      </c>
      <c r="C7" s="38" t="s">
        <v>1269</v>
      </c>
    </row>
    <row r="8" spans="1:3" x14ac:dyDescent="0.25">
      <c r="A8" s="24" t="s">
        <v>1236</v>
      </c>
      <c r="B8" s="24" t="s">
        <v>1270</v>
      </c>
      <c r="C8" s="23" t="s">
        <v>1271</v>
      </c>
    </row>
    <row r="9" spans="1:3" x14ac:dyDescent="0.25">
      <c r="A9" s="39" t="s">
        <v>1249</v>
      </c>
      <c r="B9" s="39" t="s">
        <v>1250</v>
      </c>
      <c r="C9" s="40" t="s">
        <v>1272</v>
      </c>
    </row>
    <row r="10" spans="1:3" x14ac:dyDescent="0.25">
      <c r="A10" s="41" t="s">
        <v>1253</v>
      </c>
      <c r="B10" s="41" t="s">
        <v>1254</v>
      </c>
      <c r="C10" s="42" t="s">
        <v>1273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"/>
  <sheetViews>
    <sheetView workbookViewId="0"/>
  </sheetViews>
  <sheetFormatPr defaultRowHeight="15" x14ac:dyDescent="0.25"/>
  <cols>
    <col min="1" max="1" width="26" customWidth="1"/>
    <col min="2" max="2" width="90" customWidth="1"/>
  </cols>
  <sheetData>
    <row r="1" spans="1:2" x14ac:dyDescent="0.25">
      <c r="A1" s="43" t="s">
        <v>1274</v>
      </c>
      <c r="B1" s="43" t="s">
        <v>1275</v>
      </c>
    </row>
    <row r="2" spans="1:2" x14ac:dyDescent="0.25">
      <c r="A2" s="1"/>
      <c r="B2" s="1" t="s">
        <v>1276</v>
      </c>
    </row>
    <row r="3" spans="1:2" x14ac:dyDescent="0.25">
      <c r="A3" s="32" t="s">
        <v>1215</v>
      </c>
      <c r="B3" s="1" t="s">
        <v>1277</v>
      </c>
    </row>
    <row r="4" spans="1:2" x14ac:dyDescent="0.25">
      <c r="A4" s="34" t="s">
        <v>1219</v>
      </c>
      <c r="B4" s="1" t="s">
        <v>1278</v>
      </c>
    </row>
    <row r="5" spans="1:2" x14ac:dyDescent="0.25">
      <c r="A5" s="36" t="s">
        <v>1206</v>
      </c>
      <c r="B5" s="1" t="s">
        <v>1279</v>
      </c>
    </row>
    <row r="6" spans="1:2" x14ac:dyDescent="0.25">
      <c r="A6" s="44" t="s">
        <v>1280</v>
      </c>
      <c r="B6" s="1" t="s">
        <v>1281</v>
      </c>
    </row>
    <row r="7" spans="1:2" x14ac:dyDescent="0.25">
      <c r="A7" s="23" t="s">
        <v>1282</v>
      </c>
      <c r="B7" s="1" t="s">
        <v>1283</v>
      </c>
    </row>
    <row r="8" spans="1:2" x14ac:dyDescent="0.25">
      <c r="A8" s="1"/>
      <c r="B8" s="1"/>
    </row>
    <row r="9" spans="1:2" x14ac:dyDescent="0.25">
      <c r="A9" s="43" t="s">
        <v>1204</v>
      </c>
      <c r="B9" s="1" t="s">
        <v>1284</v>
      </c>
    </row>
    <row r="10" spans="1:2" x14ac:dyDescent="0.25">
      <c r="A10" s="15" t="s">
        <v>1205</v>
      </c>
      <c r="B10" s="1" t="s">
        <v>1285</v>
      </c>
    </row>
    <row r="11" spans="1:2" x14ac:dyDescent="0.25">
      <c r="A11" s="17" t="s">
        <v>1206</v>
      </c>
      <c r="B11" s="1" t="s">
        <v>1286</v>
      </c>
    </row>
    <row r="12" spans="1:2" x14ac:dyDescent="0.25">
      <c r="A12" s="19" t="s">
        <v>1207</v>
      </c>
      <c r="B12" s="1" t="s">
        <v>1287</v>
      </c>
    </row>
    <row r="13" spans="1:2" x14ac:dyDescent="0.25">
      <c r="A13" s="21" t="s">
        <v>1208</v>
      </c>
      <c r="B13" s="1" t="s">
        <v>1288</v>
      </c>
    </row>
    <row r="14" spans="1:2" x14ac:dyDescent="0.25">
      <c r="A14" s="23" t="s">
        <v>1209</v>
      </c>
      <c r="B14" s="1" t="s">
        <v>1289</v>
      </c>
    </row>
    <row r="15" spans="1:2" x14ac:dyDescent="0.25">
      <c r="A15" s="25" t="s">
        <v>70</v>
      </c>
      <c r="B15" s="1" t="s">
        <v>70</v>
      </c>
    </row>
    <row r="16" spans="1:2" x14ac:dyDescent="0.25">
      <c r="A16" s="27" t="s">
        <v>1210</v>
      </c>
      <c r="B16" s="1" t="s">
        <v>71</v>
      </c>
    </row>
    <row r="17" spans="1:2" x14ac:dyDescent="0.25">
      <c r="A17" s="29" t="s">
        <v>970</v>
      </c>
      <c r="B17" s="1" t="s">
        <v>72</v>
      </c>
    </row>
    <row r="18" spans="1:2" x14ac:dyDescent="0.25">
      <c r="A18" s="1"/>
      <c r="B18" s="1"/>
    </row>
    <row r="19" spans="1:2" x14ac:dyDescent="0.25">
      <c r="A19" s="43" t="s">
        <v>1290</v>
      </c>
      <c r="B19" s="1"/>
    </row>
    <row r="20" spans="1:2" x14ac:dyDescent="0.25">
      <c r="A20" s="1" t="s">
        <v>831</v>
      </c>
      <c r="B20" s="1" t="s">
        <v>1291</v>
      </c>
    </row>
    <row r="21" spans="1:2" x14ac:dyDescent="0.25">
      <c r="A21" s="1" t="s">
        <v>102</v>
      </c>
      <c r="B21" s="1" t="s">
        <v>1292</v>
      </c>
    </row>
    <row r="22" spans="1:2" x14ac:dyDescent="0.25">
      <c r="A22" s="1" t="s">
        <v>75</v>
      </c>
      <c r="B22" s="1" t="s">
        <v>1293</v>
      </c>
    </row>
    <row r="23" spans="1:2" x14ac:dyDescent="0.25">
      <c r="A23" s="1"/>
      <c r="B23" s="1"/>
    </row>
    <row r="24" spans="1:2" x14ac:dyDescent="0.25">
      <c r="A24" s="43" t="s">
        <v>1294</v>
      </c>
      <c r="B24" s="1"/>
    </row>
    <row r="25" spans="1:2" x14ac:dyDescent="0.25">
      <c r="A25" s="1" t="s">
        <v>1295</v>
      </c>
      <c r="B25" s="1" t="s">
        <v>1296</v>
      </c>
    </row>
    <row r="26" spans="1:2" x14ac:dyDescent="0.25">
      <c r="A26" s="1" t="s">
        <v>1297</v>
      </c>
      <c r="B26" s="1" t="s">
        <v>1298</v>
      </c>
    </row>
    <row r="27" spans="1:2" x14ac:dyDescent="0.25">
      <c r="A27" s="1" t="s">
        <v>1299</v>
      </c>
      <c r="B27" s="1" t="s">
        <v>1300</v>
      </c>
    </row>
    <row r="28" spans="1:2" x14ac:dyDescent="0.25">
      <c r="A28" s="1" t="s">
        <v>1301</v>
      </c>
      <c r="B28" s="1" t="s">
        <v>1302</v>
      </c>
    </row>
    <row r="29" spans="1:2" ht="25.5" customHeight="1" x14ac:dyDescent="0.25">
      <c r="A29" s="1" t="s">
        <v>1303</v>
      </c>
      <c r="B29" s="1" t="s">
        <v>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</vt:lpstr>
      <vt:lpstr>Summary</vt:lpstr>
      <vt:lpstr>Epics &amp; Features</vt:lpstr>
      <vt:lpstr>Roles</vt:lpstr>
      <vt:lpstr>Gates</vt:lpstr>
      <vt:lpstr>Tiers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 P</cp:lastModifiedBy>
  <dcterms:created xsi:type="dcterms:W3CDTF">2026-04-29T11:50:30Z</dcterms:created>
  <dcterms:modified xsi:type="dcterms:W3CDTF">2026-05-12T12:23:20Z</dcterms:modified>
</cp:coreProperties>
</file>