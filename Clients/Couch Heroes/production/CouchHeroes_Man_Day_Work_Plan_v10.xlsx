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c6b05486c1a2e41/Claude_code/NBIAI_TEAM/Clients/Couch Heroes/"/>
    </mc:Choice>
  </mc:AlternateContent>
  <xr:revisionPtr revIDLastSave="23" documentId="11_DA0CA5C43D4DD3151E8BE9EFD9CEA57508F14D9A" xr6:coauthVersionLast="47" xr6:coauthVersionMax="47" xr10:uidLastSave="{96B337FE-4100-4D0B-AEE6-21F6B7FD0B89}"/>
  <bookViews>
    <workbookView xWindow="1170" yWindow="1170" windowWidth="46260" windowHeight="16860" xr2:uid="{00000000-000D-0000-FFFF-FFFF00000000}"/>
  </bookViews>
  <sheets>
    <sheet name="Plan" sheetId="1" r:id="rId1"/>
    <sheet name="Summary" sheetId="2" r:id="rId2"/>
    <sheet name="Epics &amp; Features" sheetId="3" r:id="rId3"/>
    <sheet name="Roles" sheetId="4" r:id="rId4"/>
    <sheet name="Gates" sheetId="5" r:id="rId5"/>
    <sheet name="Tiers" sheetId="6" r:id="rId6"/>
    <sheet name="Legen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2" l="1"/>
  <c r="M14" i="2"/>
  <c r="L14" i="2"/>
  <c r="K14" i="2"/>
  <c r="J14" i="2"/>
  <c r="I14" i="2"/>
  <c r="H14" i="2"/>
  <c r="G14" i="2"/>
  <c r="F14" i="2"/>
  <c r="E14" i="2"/>
  <c r="D14" i="2"/>
  <c r="C14" i="2"/>
  <c r="N14" i="2" s="1"/>
  <c r="M13" i="2"/>
  <c r="L13" i="2"/>
  <c r="K13" i="2"/>
  <c r="J13" i="2"/>
  <c r="I13" i="2"/>
  <c r="H13" i="2"/>
  <c r="G13" i="2"/>
  <c r="F13" i="2"/>
  <c r="E13" i="2"/>
  <c r="D13" i="2"/>
  <c r="C13" i="2"/>
  <c r="N13" i="2" s="1"/>
  <c r="N12" i="2"/>
  <c r="M12" i="2"/>
  <c r="L12" i="2"/>
  <c r="K12" i="2"/>
  <c r="J12" i="2"/>
  <c r="I12" i="2"/>
  <c r="H12" i="2"/>
  <c r="G12" i="2"/>
  <c r="F12" i="2"/>
  <c r="E12" i="2"/>
  <c r="D12" i="2"/>
  <c r="C12" i="2"/>
  <c r="M11" i="2"/>
  <c r="L11" i="2"/>
  <c r="K11" i="2"/>
  <c r="J11" i="2"/>
  <c r="I11" i="2"/>
  <c r="H11" i="2"/>
  <c r="G11" i="2"/>
  <c r="F11" i="2"/>
  <c r="E11" i="2"/>
  <c r="D11" i="2"/>
  <c r="C11" i="2"/>
  <c r="N11" i="2" s="1"/>
  <c r="M10" i="2"/>
  <c r="L10" i="2"/>
  <c r="K10" i="2"/>
  <c r="J10" i="2"/>
  <c r="I10" i="2"/>
  <c r="H10" i="2"/>
  <c r="G10" i="2"/>
  <c r="F10" i="2"/>
  <c r="N10" i="2" s="1"/>
  <c r="E10" i="2"/>
  <c r="D10" i="2"/>
  <c r="C10" i="2"/>
  <c r="M9" i="2"/>
  <c r="L9" i="2"/>
  <c r="K9" i="2"/>
  <c r="J9" i="2"/>
  <c r="I9" i="2"/>
  <c r="H9" i="2"/>
  <c r="G9" i="2"/>
  <c r="F9" i="2"/>
  <c r="E9" i="2"/>
  <c r="D9" i="2"/>
  <c r="C9" i="2"/>
  <c r="N9" i="2" s="1"/>
  <c r="N8" i="2"/>
  <c r="M8" i="2"/>
  <c r="L8" i="2"/>
  <c r="K8" i="2"/>
  <c r="J8" i="2"/>
  <c r="I8" i="2"/>
  <c r="H8" i="2"/>
  <c r="G8" i="2"/>
  <c r="F8" i="2"/>
  <c r="E8" i="2"/>
  <c r="D8" i="2"/>
  <c r="C8" i="2"/>
  <c r="M7" i="2"/>
  <c r="L7" i="2"/>
  <c r="K7" i="2"/>
  <c r="J7" i="2"/>
  <c r="I7" i="2"/>
  <c r="H7" i="2"/>
  <c r="G7" i="2"/>
  <c r="F7" i="2"/>
  <c r="E7" i="2"/>
  <c r="D7" i="2"/>
  <c r="C7" i="2"/>
  <c r="N7" i="2" s="1"/>
  <c r="M6" i="2"/>
  <c r="L6" i="2"/>
  <c r="K6" i="2"/>
  <c r="J6" i="2"/>
  <c r="I6" i="2"/>
  <c r="H6" i="2"/>
  <c r="G6" i="2"/>
  <c r="F6" i="2"/>
  <c r="N6" i="2" s="1"/>
  <c r="E6" i="2"/>
  <c r="D6" i="2"/>
  <c r="C6" i="2"/>
  <c r="M5" i="2"/>
  <c r="L5" i="2"/>
  <c r="K5" i="2"/>
  <c r="J5" i="2"/>
  <c r="I5" i="2"/>
  <c r="H5" i="2"/>
  <c r="G5" i="2"/>
  <c r="F5" i="2"/>
  <c r="E5" i="2"/>
  <c r="D5" i="2"/>
  <c r="C5" i="2"/>
  <c r="N5" i="2" s="1"/>
  <c r="N4" i="2"/>
  <c r="M4" i="2"/>
  <c r="L4" i="2"/>
  <c r="K4" i="2"/>
  <c r="J4" i="2"/>
  <c r="I4" i="2"/>
  <c r="H4" i="2"/>
  <c r="G4" i="2"/>
  <c r="F4" i="2"/>
  <c r="E4" i="2"/>
  <c r="D4" i="2"/>
  <c r="C4" i="2"/>
  <c r="M3" i="2"/>
  <c r="L3" i="2"/>
  <c r="K3" i="2"/>
  <c r="J3" i="2"/>
  <c r="I3" i="2"/>
  <c r="H3" i="2"/>
  <c r="G3" i="2"/>
  <c r="F3" i="2"/>
  <c r="E3" i="2"/>
  <c r="D3" i="2"/>
  <c r="C3" i="2"/>
  <c r="N3" i="2" s="1"/>
  <c r="M2" i="2"/>
  <c r="M16" i="2" s="1"/>
  <c r="L2" i="2"/>
  <c r="L16" i="2" s="1"/>
  <c r="K2" i="2"/>
  <c r="J2" i="2"/>
  <c r="J16" i="2" s="1"/>
  <c r="I2" i="2"/>
  <c r="I16" i="2" s="1"/>
  <c r="H2" i="2"/>
  <c r="H16" i="2" s="1"/>
  <c r="G2" i="2"/>
  <c r="G16" i="2" s="1"/>
  <c r="F2" i="2"/>
  <c r="F16" i="2" s="1"/>
  <c r="E2" i="2"/>
  <c r="E16" i="2" s="1"/>
  <c r="D2" i="2"/>
  <c r="D16" i="2" s="1"/>
  <c r="C2" i="2"/>
  <c r="C16" i="2" s="1"/>
  <c r="PR162" i="1"/>
  <c r="PQ162" i="1"/>
  <c r="PI162" i="1"/>
  <c r="PB162" i="1"/>
  <c r="PA162" i="1"/>
  <c r="OS162" i="1"/>
  <c r="OL162" i="1"/>
  <c r="OK162" i="1"/>
  <c r="OB162" i="1"/>
  <c r="NU162" i="1"/>
  <c r="NT162" i="1"/>
  <c r="NL162" i="1"/>
  <c r="NE162" i="1"/>
  <c r="ND162" i="1"/>
  <c r="MV162" i="1"/>
  <c r="MN162" i="1"/>
  <c r="MM162" i="1"/>
  <c r="ME162" i="1"/>
  <c r="LX162" i="1"/>
  <c r="LW162" i="1"/>
  <c r="LO162" i="1"/>
  <c r="LH162" i="1"/>
  <c r="LG162" i="1"/>
  <c r="KX162" i="1"/>
  <c r="KQ162" i="1"/>
  <c r="KP162" i="1"/>
  <c r="KH162" i="1"/>
  <c r="KA162" i="1"/>
  <c r="JZ162" i="1"/>
  <c r="JQ162" i="1"/>
  <c r="JJ162" i="1"/>
  <c r="JI162" i="1"/>
  <c r="JA162" i="1"/>
  <c r="IT162" i="1"/>
  <c r="IS162" i="1"/>
  <c r="IK162" i="1"/>
  <c r="IC162" i="1"/>
  <c r="IB162" i="1"/>
  <c r="HT162" i="1"/>
  <c r="HM162" i="1"/>
  <c r="HL162" i="1"/>
  <c r="HD162" i="1"/>
  <c r="GW162" i="1"/>
  <c r="GV162" i="1"/>
  <c r="GM162" i="1"/>
  <c r="GF162" i="1"/>
  <c r="GE162" i="1"/>
  <c r="FW162" i="1"/>
  <c r="FP162" i="1"/>
  <c r="FO162" i="1"/>
  <c r="FG162" i="1"/>
  <c r="EY162" i="1"/>
  <c r="EX162" i="1"/>
  <c r="EP162" i="1"/>
  <c r="EI162" i="1"/>
  <c r="EH162" i="1"/>
  <c r="DZ162" i="1"/>
  <c r="DR162" i="1"/>
  <c r="DQ162" i="1"/>
  <c r="DI162" i="1"/>
  <c r="DB162" i="1"/>
  <c r="DA162" i="1"/>
  <c r="CS162" i="1"/>
  <c r="CL162" i="1"/>
  <c r="CK162" i="1"/>
  <c r="CB162" i="1"/>
  <c r="BU162" i="1"/>
  <c r="BT162" i="1"/>
  <c r="BL162" i="1"/>
  <c r="BE162" i="1"/>
  <c r="BD162" i="1"/>
  <c r="AV162" i="1"/>
  <c r="AN162" i="1"/>
  <c r="AM162" i="1"/>
  <c r="AE162" i="1"/>
  <c r="X162" i="1"/>
  <c r="W162" i="1"/>
  <c r="O162" i="1"/>
  <c r="H162" i="1"/>
  <c r="G162" i="1"/>
  <c r="PR161" i="1"/>
  <c r="PQ161" i="1"/>
  <c r="PP161" i="1"/>
  <c r="PP162" i="1" s="1"/>
  <c r="PO161" i="1"/>
  <c r="PO162" i="1" s="1"/>
  <c r="PN161" i="1"/>
  <c r="PN162" i="1" s="1"/>
  <c r="PM161" i="1"/>
  <c r="PM162" i="1" s="1"/>
  <c r="PL161" i="1"/>
  <c r="PL162" i="1" s="1"/>
  <c r="PK161" i="1"/>
  <c r="PK162" i="1" s="1"/>
  <c r="PJ161" i="1"/>
  <c r="PJ162" i="1" s="1"/>
  <c r="PI161" i="1"/>
  <c r="PH161" i="1"/>
  <c r="PH162" i="1" s="1"/>
  <c r="PG161" i="1"/>
  <c r="PG162" i="1" s="1"/>
  <c r="PF161" i="1"/>
  <c r="PF162" i="1" s="1"/>
  <c r="PE161" i="1"/>
  <c r="PE162" i="1" s="1"/>
  <c r="PD161" i="1"/>
  <c r="PD162" i="1" s="1"/>
  <c r="PC161" i="1"/>
  <c r="PC162" i="1" s="1"/>
  <c r="PB161" i="1"/>
  <c r="PA161" i="1"/>
  <c r="OZ161" i="1"/>
  <c r="OZ162" i="1" s="1"/>
  <c r="OY161" i="1"/>
  <c r="OY162" i="1" s="1"/>
  <c r="OX161" i="1"/>
  <c r="OX162" i="1" s="1"/>
  <c r="OW161" i="1"/>
  <c r="OW162" i="1" s="1"/>
  <c r="OV161" i="1"/>
  <c r="OV162" i="1" s="1"/>
  <c r="OU161" i="1"/>
  <c r="OU162" i="1" s="1"/>
  <c r="OT161" i="1"/>
  <c r="OT162" i="1" s="1"/>
  <c r="OS161" i="1"/>
  <c r="OR161" i="1"/>
  <c r="OR162" i="1" s="1"/>
  <c r="OQ161" i="1"/>
  <c r="OQ162" i="1" s="1"/>
  <c r="OP161" i="1"/>
  <c r="OP162" i="1" s="1"/>
  <c r="OO161" i="1"/>
  <c r="OO162" i="1" s="1"/>
  <c r="ON161" i="1"/>
  <c r="ON162" i="1" s="1"/>
  <c r="OM161" i="1"/>
  <c r="OM162" i="1" s="1"/>
  <c r="OL161" i="1"/>
  <c r="OK161" i="1"/>
  <c r="OJ161" i="1"/>
  <c r="OJ162" i="1" s="1"/>
  <c r="OI161" i="1"/>
  <c r="OI162" i="1" s="1"/>
  <c r="OH161" i="1"/>
  <c r="OH162" i="1" s="1"/>
  <c r="OG161" i="1"/>
  <c r="OG162" i="1" s="1"/>
  <c r="OE161" i="1"/>
  <c r="OE162" i="1" s="1"/>
  <c r="OD161" i="1"/>
  <c r="OD162" i="1" s="1"/>
  <c r="OC161" i="1"/>
  <c r="OC162" i="1" s="1"/>
  <c r="OB161" i="1"/>
  <c r="OA161" i="1"/>
  <c r="OA162" i="1" s="1"/>
  <c r="NZ161" i="1"/>
  <c r="NZ162" i="1" s="1"/>
  <c r="NY161" i="1"/>
  <c r="NY162" i="1" s="1"/>
  <c r="NX161" i="1"/>
  <c r="NX162" i="1" s="1"/>
  <c r="NW161" i="1"/>
  <c r="NW162" i="1" s="1"/>
  <c r="NV161" i="1"/>
  <c r="NV162" i="1" s="1"/>
  <c r="NU161" i="1"/>
  <c r="NT161" i="1"/>
  <c r="NS161" i="1"/>
  <c r="NS162" i="1" s="1"/>
  <c r="NR161" i="1"/>
  <c r="NR162" i="1" s="1"/>
  <c r="NQ161" i="1"/>
  <c r="NQ162" i="1" s="1"/>
  <c r="NP161" i="1"/>
  <c r="NP162" i="1" s="1"/>
  <c r="NO161" i="1"/>
  <c r="NO162" i="1" s="1"/>
  <c r="NN161" i="1"/>
  <c r="NN162" i="1" s="1"/>
  <c r="NM161" i="1"/>
  <c r="NM162" i="1" s="1"/>
  <c r="NL161" i="1"/>
  <c r="NK161" i="1"/>
  <c r="NK162" i="1" s="1"/>
  <c r="NJ161" i="1"/>
  <c r="NJ162" i="1" s="1"/>
  <c r="NI161" i="1"/>
  <c r="NI162" i="1" s="1"/>
  <c r="NH161" i="1"/>
  <c r="NH162" i="1" s="1"/>
  <c r="NG161" i="1"/>
  <c r="NG162" i="1" s="1"/>
  <c r="NF161" i="1"/>
  <c r="NF162" i="1" s="1"/>
  <c r="NE161" i="1"/>
  <c r="ND161" i="1"/>
  <c r="NC161" i="1"/>
  <c r="NC162" i="1" s="1"/>
  <c r="NB161" i="1"/>
  <c r="NB162" i="1" s="1"/>
  <c r="NA161" i="1"/>
  <c r="NA162" i="1" s="1"/>
  <c r="MZ161" i="1"/>
  <c r="MZ162" i="1" s="1"/>
  <c r="MY161" i="1"/>
  <c r="MY162" i="1" s="1"/>
  <c r="MX161" i="1"/>
  <c r="MX162" i="1" s="1"/>
  <c r="MW161" i="1"/>
  <c r="MW162" i="1" s="1"/>
  <c r="MV161" i="1"/>
  <c r="MU161" i="1"/>
  <c r="MU162" i="1" s="1"/>
  <c r="MT161" i="1"/>
  <c r="MT162" i="1" s="1"/>
  <c r="MR161" i="1"/>
  <c r="MR162" i="1" s="1"/>
  <c r="MQ161" i="1"/>
  <c r="MQ162" i="1" s="1"/>
  <c r="MP161" i="1"/>
  <c r="MP162" i="1" s="1"/>
  <c r="MO161" i="1"/>
  <c r="MO162" i="1" s="1"/>
  <c r="MN161" i="1"/>
  <c r="MM161" i="1"/>
  <c r="ML161" i="1"/>
  <c r="ML162" i="1" s="1"/>
  <c r="MK161" i="1"/>
  <c r="MK162" i="1" s="1"/>
  <c r="MJ161" i="1"/>
  <c r="MJ162" i="1" s="1"/>
  <c r="MI161" i="1"/>
  <c r="MI162" i="1" s="1"/>
  <c r="MH161" i="1"/>
  <c r="MH162" i="1" s="1"/>
  <c r="MG161" i="1"/>
  <c r="MG162" i="1" s="1"/>
  <c r="MF161" i="1"/>
  <c r="MF162" i="1" s="1"/>
  <c r="ME161" i="1"/>
  <c r="MD161" i="1"/>
  <c r="MD162" i="1" s="1"/>
  <c r="MC161" i="1"/>
  <c r="MC162" i="1" s="1"/>
  <c r="MB161" i="1"/>
  <c r="MB162" i="1" s="1"/>
  <c r="MA161" i="1"/>
  <c r="MA162" i="1" s="1"/>
  <c r="LZ161" i="1"/>
  <c r="LZ162" i="1" s="1"/>
  <c r="LY161" i="1"/>
  <c r="LY162" i="1" s="1"/>
  <c r="LX161" i="1"/>
  <c r="LW161" i="1"/>
  <c r="LV161" i="1"/>
  <c r="LV162" i="1" s="1"/>
  <c r="LU161" i="1"/>
  <c r="LU162" i="1" s="1"/>
  <c r="LT161" i="1"/>
  <c r="LT162" i="1" s="1"/>
  <c r="LS161" i="1"/>
  <c r="LS162" i="1" s="1"/>
  <c r="LR161" i="1"/>
  <c r="LR162" i="1" s="1"/>
  <c r="LQ161" i="1"/>
  <c r="LQ162" i="1" s="1"/>
  <c r="LP161" i="1"/>
  <c r="LP162" i="1" s="1"/>
  <c r="LO161" i="1"/>
  <c r="LN161" i="1"/>
  <c r="LN162" i="1" s="1"/>
  <c r="LM161" i="1"/>
  <c r="LM162" i="1" s="1"/>
  <c r="LL161" i="1"/>
  <c r="LL162" i="1" s="1"/>
  <c r="LK161" i="1"/>
  <c r="LK162" i="1" s="1"/>
  <c r="LJ161" i="1"/>
  <c r="LJ162" i="1" s="1"/>
  <c r="LI161" i="1"/>
  <c r="LI162" i="1" s="1"/>
  <c r="LH161" i="1"/>
  <c r="LG161" i="1"/>
  <c r="LE161" i="1"/>
  <c r="LE162" i="1" s="1"/>
  <c r="LD161" i="1"/>
  <c r="LD162" i="1" s="1"/>
  <c r="LC161" i="1"/>
  <c r="LC162" i="1" s="1"/>
  <c r="LB161" i="1"/>
  <c r="LB162" i="1" s="1"/>
  <c r="LA161" i="1"/>
  <c r="LA162" i="1" s="1"/>
  <c r="KZ161" i="1"/>
  <c r="KZ162" i="1" s="1"/>
  <c r="KY161" i="1"/>
  <c r="KY162" i="1" s="1"/>
  <c r="KX161" i="1"/>
  <c r="KW161" i="1"/>
  <c r="KW162" i="1" s="1"/>
  <c r="KV161" i="1"/>
  <c r="KV162" i="1" s="1"/>
  <c r="KU161" i="1"/>
  <c r="KU162" i="1" s="1"/>
  <c r="KT161" i="1"/>
  <c r="KT162" i="1" s="1"/>
  <c r="KS161" i="1"/>
  <c r="KS162" i="1" s="1"/>
  <c r="KR161" i="1"/>
  <c r="KR162" i="1" s="1"/>
  <c r="KQ161" i="1"/>
  <c r="KP161" i="1"/>
  <c r="KO161" i="1"/>
  <c r="KO162" i="1" s="1"/>
  <c r="KN161" i="1"/>
  <c r="KN162" i="1" s="1"/>
  <c r="KM161" i="1"/>
  <c r="KM162" i="1" s="1"/>
  <c r="KL161" i="1"/>
  <c r="KL162" i="1" s="1"/>
  <c r="KK161" i="1"/>
  <c r="KK162" i="1" s="1"/>
  <c r="KJ161" i="1"/>
  <c r="KJ162" i="1" s="1"/>
  <c r="KI161" i="1"/>
  <c r="KI162" i="1" s="1"/>
  <c r="KH161" i="1"/>
  <c r="KG161" i="1"/>
  <c r="KG162" i="1" s="1"/>
  <c r="KF161" i="1"/>
  <c r="KF162" i="1" s="1"/>
  <c r="KE161" i="1"/>
  <c r="KE162" i="1" s="1"/>
  <c r="KD161" i="1"/>
  <c r="KD162" i="1" s="1"/>
  <c r="KC161" i="1"/>
  <c r="KC162" i="1" s="1"/>
  <c r="KB161" i="1"/>
  <c r="KB162" i="1" s="1"/>
  <c r="KA161" i="1"/>
  <c r="JZ161" i="1"/>
  <c r="JY161" i="1"/>
  <c r="JY162" i="1" s="1"/>
  <c r="JX161" i="1"/>
  <c r="JX162" i="1" s="1"/>
  <c r="JW161" i="1"/>
  <c r="JW162" i="1" s="1"/>
  <c r="JV161" i="1"/>
  <c r="JV162" i="1" s="1"/>
  <c r="JU161" i="1"/>
  <c r="JU162" i="1" s="1"/>
  <c r="JT161" i="1"/>
  <c r="JT162" i="1" s="1"/>
  <c r="JR161" i="1"/>
  <c r="JR162" i="1" s="1"/>
  <c r="JQ161" i="1"/>
  <c r="JP161" i="1"/>
  <c r="JP162" i="1" s="1"/>
  <c r="JO161" i="1"/>
  <c r="JO162" i="1" s="1"/>
  <c r="JN161" i="1"/>
  <c r="JN162" i="1" s="1"/>
  <c r="JM161" i="1"/>
  <c r="JM162" i="1" s="1"/>
  <c r="JL161" i="1"/>
  <c r="JL162" i="1" s="1"/>
  <c r="JK161" i="1"/>
  <c r="JK162" i="1" s="1"/>
  <c r="JJ161" i="1"/>
  <c r="JI161" i="1"/>
  <c r="JH161" i="1"/>
  <c r="JH162" i="1" s="1"/>
  <c r="JG161" i="1"/>
  <c r="JG162" i="1" s="1"/>
  <c r="JF161" i="1"/>
  <c r="JF162" i="1" s="1"/>
  <c r="JE161" i="1"/>
  <c r="JE162" i="1" s="1"/>
  <c r="JD161" i="1"/>
  <c r="JD162" i="1" s="1"/>
  <c r="JC161" i="1"/>
  <c r="JC162" i="1" s="1"/>
  <c r="JB161" i="1"/>
  <c r="JB162" i="1" s="1"/>
  <c r="JA161" i="1"/>
  <c r="IZ161" i="1"/>
  <c r="IZ162" i="1" s="1"/>
  <c r="IY161" i="1"/>
  <c r="IY162" i="1" s="1"/>
  <c r="IX161" i="1"/>
  <c r="IX162" i="1" s="1"/>
  <c r="IW161" i="1"/>
  <c r="IW162" i="1" s="1"/>
  <c r="IV161" i="1"/>
  <c r="IV162" i="1" s="1"/>
  <c r="IU161" i="1"/>
  <c r="IU162" i="1" s="1"/>
  <c r="IT161" i="1"/>
  <c r="IS161" i="1"/>
  <c r="IR161" i="1"/>
  <c r="IR162" i="1" s="1"/>
  <c r="IQ161" i="1"/>
  <c r="IQ162" i="1" s="1"/>
  <c r="IP161" i="1"/>
  <c r="IP162" i="1" s="1"/>
  <c r="IO161" i="1"/>
  <c r="IO162" i="1" s="1"/>
  <c r="IN161" i="1"/>
  <c r="IN162" i="1" s="1"/>
  <c r="IM161" i="1"/>
  <c r="IM162" i="1" s="1"/>
  <c r="IL161" i="1"/>
  <c r="IL162" i="1" s="1"/>
  <c r="IK161" i="1"/>
  <c r="IJ161" i="1"/>
  <c r="IJ162" i="1" s="1"/>
  <c r="II161" i="1"/>
  <c r="II162" i="1" s="1"/>
  <c r="IH161" i="1"/>
  <c r="IH162" i="1" s="1"/>
  <c r="IG161" i="1"/>
  <c r="IG162" i="1" s="1"/>
  <c r="IE161" i="1"/>
  <c r="IE162" i="1" s="1"/>
  <c r="ID161" i="1"/>
  <c r="ID162" i="1" s="1"/>
  <c r="IC161" i="1"/>
  <c r="IB161" i="1"/>
  <c r="IA161" i="1"/>
  <c r="IA162" i="1" s="1"/>
  <c r="HZ161" i="1"/>
  <c r="HZ162" i="1" s="1"/>
  <c r="HY161" i="1"/>
  <c r="HY162" i="1" s="1"/>
  <c r="HX161" i="1"/>
  <c r="HX162" i="1" s="1"/>
  <c r="HW161" i="1"/>
  <c r="HW162" i="1" s="1"/>
  <c r="HV161" i="1"/>
  <c r="HV162" i="1" s="1"/>
  <c r="HU161" i="1"/>
  <c r="HU162" i="1" s="1"/>
  <c r="HT161" i="1"/>
  <c r="HS161" i="1"/>
  <c r="HS162" i="1" s="1"/>
  <c r="HR161" i="1"/>
  <c r="HR162" i="1" s="1"/>
  <c r="HQ161" i="1"/>
  <c r="HQ162" i="1" s="1"/>
  <c r="HP161" i="1"/>
  <c r="HP162" i="1" s="1"/>
  <c r="HO161" i="1"/>
  <c r="HO162" i="1" s="1"/>
  <c r="HN161" i="1"/>
  <c r="HN162" i="1" s="1"/>
  <c r="HM161" i="1"/>
  <c r="HL161" i="1"/>
  <c r="HK161" i="1"/>
  <c r="HK162" i="1" s="1"/>
  <c r="HJ161" i="1"/>
  <c r="HJ162" i="1" s="1"/>
  <c r="HI161" i="1"/>
  <c r="HI162" i="1" s="1"/>
  <c r="HH161" i="1"/>
  <c r="HH162" i="1" s="1"/>
  <c r="HG161" i="1"/>
  <c r="HG162" i="1" s="1"/>
  <c r="HF161" i="1"/>
  <c r="HF162" i="1" s="1"/>
  <c r="HE161" i="1"/>
  <c r="HE162" i="1" s="1"/>
  <c r="HD161" i="1"/>
  <c r="HC161" i="1"/>
  <c r="HC162" i="1" s="1"/>
  <c r="HB161" i="1"/>
  <c r="HB162" i="1" s="1"/>
  <c r="HA161" i="1"/>
  <c r="HA162" i="1" s="1"/>
  <c r="GZ161" i="1"/>
  <c r="GZ162" i="1" s="1"/>
  <c r="GY161" i="1"/>
  <c r="GY162" i="1" s="1"/>
  <c r="GX161" i="1"/>
  <c r="GX162" i="1" s="1"/>
  <c r="GW161" i="1"/>
  <c r="GV161" i="1"/>
  <c r="GU161" i="1"/>
  <c r="GU162" i="1" s="1"/>
  <c r="GT161" i="1"/>
  <c r="GT162" i="1" s="1"/>
  <c r="GR161" i="1"/>
  <c r="GR162" i="1" s="1"/>
  <c r="GQ161" i="1"/>
  <c r="GQ162" i="1" s="1"/>
  <c r="GP161" i="1"/>
  <c r="GP162" i="1" s="1"/>
  <c r="GO161" i="1"/>
  <c r="GO162" i="1" s="1"/>
  <c r="GN161" i="1"/>
  <c r="GN162" i="1" s="1"/>
  <c r="GM161" i="1"/>
  <c r="GL161" i="1"/>
  <c r="GL162" i="1" s="1"/>
  <c r="GK161" i="1"/>
  <c r="GK162" i="1" s="1"/>
  <c r="GJ161" i="1"/>
  <c r="GJ162" i="1" s="1"/>
  <c r="GI161" i="1"/>
  <c r="GI162" i="1" s="1"/>
  <c r="GH161" i="1"/>
  <c r="GH162" i="1" s="1"/>
  <c r="GG161" i="1"/>
  <c r="GG162" i="1" s="1"/>
  <c r="GF161" i="1"/>
  <c r="GE161" i="1"/>
  <c r="GD161" i="1"/>
  <c r="GD162" i="1" s="1"/>
  <c r="GC161" i="1"/>
  <c r="GC162" i="1" s="1"/>
  <c r="GB161" i="1"/>
  <c r="GB162" i="1" s="1"/>
  <c r="GA161" i="1"/>
  <c r="GA162" i="1" s="1"/>
  <c r="FZ161" i="1"/>
  <c r="FZ162" i="1" s="1"/>
  <c r="FY161" i="1"/>
  <c r="FY162" i="1" s="1"/>
  <c r="FX161" i="1"/>
  <c r="FX162" i="1" s="1"/>
  <c r="FW161" i="1"/>
  <c r="FV161" i="1"/>
  <c r="FV162" i="1" s="1"/>
  <c r="FU161" i="1"/>
  <c r="FU162" i="1" s="1"/>
  <c r="FT161" i="1"/>
  <c r="FT162" i="1" s="1"/>
  <c r="FS161" i="1"/>
  <c r="FS162" i="1" s="1"/>
  <c r="FR161" i="1"/>
  <c r="FR162" i="1" s="1"/>
  <c r="FQ161" i="1"/>
  <c r="FQ162" i="1" s="1"/>
  <c r="FP161" i="1"/>
  <c r="FO161" i="1"/>
  <c r="FN161" i="1"/>
  <c r="FN162" i="1" s="1"/>
  <c r="FM161" i="1"/>
  <c r="FM162" i="1" s="1"/>
  <c r="FL161" i="1"/>
  <c r="FL162" i="1" s="1"/>
  <c r="FK161" i="1"/>
  <c r="FK162" i="1" s="1"/>
  <c r="FJ161" i="1"/>
  <c r="FJ162" i="1" s="1"/>
  <c r="FI161" i="1"/>
  <c r="FI162" i="1" s="1"/>
  <c r="FH161" i="1"/>
  <c r="FH162" i="1" s="1"/>
  <c r="FG161" i="1"/>
  <c r="FE161" i="1"/>
  <c r="FE162" i="1" s="1"/>
  <c r="FD161" i="1"/>
  <c r="FD162" i="1" s="1"/>
  <c r="FC161" i="1"/>
  <c r="FC162" i="1" s="1"/>
  <c r="FB161" i="1"/>
  <c r="FB162" i="1" s="1"/>
  <c r="FA161" i="1"/>
  <c r="FA162" i="1" s="1"/>
  <c r="EZ161" i="1"/>
  <c r="EZ162" i="1" s="1"/>
  <c r="EY161" i="1"/>
  <c r="EX161" i="1"/>
  <c r="EW161" i="1"/>
  <c r="EW162" i="1" s="1"/>
  <c r="EV161" i="1"/>
  <c r="EV162" i="1" s="1"/>
  <c r="EU161" i="1"/>
  <c r="EU162" i="1" s="1"/>
  <c r="ET161" i="1"/>
  <c r="ET162" i="1" s="1"/>
  <c r="ES161" i="1"/>
  <c r="ES162" i="1" s="1"/>
  <c r="ER161" i="1"/>
  <c r="ER162" i="1" s="1"/>
  <c r="EQ161" i="1"/>
  <c r="EQ162" i="1" s="1"/>
  <c r="EP161" i="1"/>
  <c r="EO161" i="1"/>
  <c r="EO162" i="1" s="1"/>
  <c r="EN161" i="1"/>
  <c r="EN162" i="1" s="1"/>
  <c r="EM161" i="1"/>
  <c r="EM162" i="1" s="1"/>
  <c r="EL161" i="1"/>
  <c r="EL162" i="1" s="1"/>
  <c r="EK161" i="1"/>
  <c r="EK162" i="1" s="1"/>
  <c r="EJ161" i="1"/>
  <c r="EJ162" i="1" s="1"/>
  <c r="EI161" i="1"/>
  <c r="EH161" i="1"/>
  <c r="EG161" i="1"/>
  <c r="EG162" i="1" s="1"/>
  <c r="EF161" i="1"/>
  <c r="EF162" i="1" s="1"/>
  <c r="EE161" i="1"/>
  <c r="EE162" i="1" s="1"/>
  <c r="ED161" i="1"/>
  <c r="ED162" i="1" s="1"/>
  <c r="EC161" i="1"/>
  <c r="EC162" i="1" s="1"/>
  <c r="EB161" i="1"/>
  <c r="EB162" i="1" s="1"/>
  <c r="EA161" i="1"/>
  <c r="EA162" i="1" s="1"/>
  <c r="DZ161" i="1"/>
  <c r="DY161" i="1"/>
  <c r="DY162" i="1" s="1"/>
  <c r="DX161" i="1"/>
  <c r="DX162" i="1" s="1"/>
  <c r="DW161" i="1"/>
  <c r="DW162" i="1" s="1"/>
  <c r="DV161" i="1"/>
  <c r="DV162" i="1" s="1"/>
  <c r="DU161" i="1"/>
  <c r="DU162" i="1" s="1"/>
  <c r="DT161" i="1"/>
  <c r="DT162" i="1" s="1"/>
  <c r="DT164" i="1" s="1"/>
  <c r="DR161" i="1"/>
  <c r="DQ161" i="1"/>
  <c r="DP161" i="1"/>
  <c r="DP162" i="1" s="1"/>
  <c r="DO161" i="1"/>
  <c r="DO162" i="1" s="1"/>
  <c r="DN161" i="1"/>
  <c r="DN162" i="1" s="1"/>
  <c r="DM161" i="1"/>
  <c r="DM162" i="1" s="1"/>
  <c r="DL161" i="1"/>
  <c r="DL162" i="1" s="1"/>
  <c r="DK161" i="1"/>
  <c r="DK162" i="1" s="1"/>
  <c r="DJ161" i="1"/>
  <c r="DJ162" i="1" s="1"/>
  <c r="DI161" i="1"/>
  <c r="DH161" i="1"/>
  <c r="DH162" i="1" s="1"/>
  <c r="DG161" i="1"/>
  <c r="DG162" i="1" s="1"/>
  <c r="DF161" i="1"/>
  <c r="DF162" i="1" s="1"/>
  <c r="DE161" i="1"/>
  <c r="DE162" i="1" s="1"/>
  <c r="DD161" i="1"/>
  <c r="DD162" i="1" s="1"/>
  <c r="DC161" i="1"/>
  <c r="DC162" i="1" s="1"/>
  <c r="DB161" i="1"/>
  <c r="DA161" i="1"/>
  <c r="CZ161" i="1"/>
  <c r="CZ162" i="1" s="1"/>
  <c r="CY161" i="1"/>
  <c r="CY162" i="1" s="1"/>
  <c r="CX161" i="1"/>
  <c r="CX162" i="1" s="1"/>
  <c r="CW161" i="1"/>
  <c r="CW162" i="1" s="1"/>
  <c r="CV161" i="1"/>
  <c r="CV162" i="1" s="1"/>
  <c r="CU161" i="1"/>
  <c r="CU162" i="1" s="1"/>
  <c r="CT161" i="1"/>
  <c r="CT162" i="1" s="1"/>
  <c r="CS161" i="1"/>
  <c r="CR161" i="1"/>
  <c r="CR162" i="1" s="1"/>
  <c r="CQ161" i="1"/>
  <c r="CQ162" i="1" s="1"/>
  <c r="CP161" i="1"/>
  <c r="CP162" i="1" s="1"/>
  <c r="CO161" i="1"/>
  <c r="CO162" i="1" s="1"/>
  <c r="CN161" i="1"/>
  <c r="CN162" i="1" s="1"/>
  <c r="CM161" i="1"/>
  <c r="CM162" i="1" s="1"/>
  <c r="CL161" i="1"/>
  <c r="CK161" i="1"/>
  <c r="CJ161" i="1"/>
  <c r="CJ162" i="1" s="1"/>
  <c r="CI161" i="1"/>
  <c r="CI162" i="1" s="1"/>
  <c r="CH161" i="1"/>
  <c r="CH162" i="1" s="1"/>
  <c r="CG161" i="1"/>
  <c r="CG162" i="1" s="1"/>
  <c r="CE161" i="1"/>
  <c r="CE162" i="1" s="1"/>
  <c r="CD161" i="1"/>
  <c r="CD162" i="1" s="1"/>
  <c r="CC161" i="1"/>
  <c r="CC162" i="1" s="1"/>
  <c r="CB161" i="1"/>
  <c r="CA161" i="1"/>
  <c r="CA162" i="1" s="1"/>
  <c r="BZ161" i="1"/>
  <c r="BZ162" i="1" s="1"/>
  <c r="BY161" i="1"/>
  <c r="BY162" i="1" s="1"/>
  <c r="BX161" i="1"/>
  <c r="BX162" i="1" s="1"/>
  <c r="BW161" i="1"/>
  <c r="BW162" i="1" s="1"/>
  <c r="BV161" i="1"/>
  <c r="BV162" i="1" s="1"/>
  <c r="BU161" i="1"/>
  <c r="BT161" i="1"/>
  <c r="BS161" i="1"/>
  <c r="BS162" i="1" s="1"/>
  <c r="BR161" i="1"/>
  <c r="BR162" i="1" s="1"/>
  <c r="BQ161" i="1"/>
  <c r="BQ162" i="1" s="1"/>
  <c r="BP161" i="1"/>
  <c r="BP162" i="1" s="1"/>
  <c r="BO161" i="1"/>
  <c r="BO162" i="1" s="1"/>
  <c r="BN161" i="1"/>
  <c r="BN162" i="1" s="1"/>
  <c r="BM161" i="1"/>
  <c r="BM162" i="1" s="1"/>
  <c r="BL161" i="1"/>
  <c r="BK161" i="1"/>
  <c r="BK162" i="1" s="1"/>
  <c r="BJ161" i="1"/>
  <c r="BJ162" i="1" s="1"/>
  <c r="BI161" i="1"/>
  <c r="BI162" i="1" s="1"/>
  <c r="BH161" i="1"/>
  <c r="BH162" i="1" s="1"/>
  <c r="BG161" i="1"/>
  <c r="BG162" i="1" s="1"/>
  <c r="BF161" i="1"/>
  <c r="BF162" i="1" s="1"/>
  <c r="BE161" i="1"/>
  <c r="BD161" i="1"/>
  <c r="BC161" i="1"/>
  <c r="BC162" i="1" s="1"/>
  <c r="BB161" i="1"/>
  <c r="BB162" i="1" s="1"/>
  <c r="BA161" i="1"/>
  <c r="BA162" i="1" s="1"/>
  <c r="AZ161" i="1"/>
  <c r="AZ162" i="1" s="1"/>
  <c r="AY161" i="1"/>
  <c r="AY162" i="1" s="1"/>
  <c r="AX161" i="1"/>
  <c r="AX162" i="1" s="1"/>
  <c r="AW161" i="1"/>
  <c r="AW162" i="1" s="1"/>
  <c r="AV161" i="1"/>
  <c r="AU161" i="1"/>
  <c r="AU162" i="1" s="1"/>
  <c r="AT161" i="1"/>
  <c r="AT162" i="1" s="1"/>
  <c r="AR161" i="1"/>
  <c r="AR162" i="1" s="1"/>
  <c r="AQ161" i="1"/>
  <c r="AQ162" i="1" s="1"/>
  <c r="AP161" i="1"/>
  <c r="AP162" i="1" s="1"/>
  <c r="AO161" i="1"/>
  <c r="AO162" i="1" s="1"/>
  <c r="AN161" i="1"/>
  <c r="AM161" i="1"/>
  <c r="AL161" i="1"/>
  <c r="AL162" i="1" s="1"/>
  <c r="AK161" i="1"/>
  <c r="AK162" i="1" s="1"/>
  <c r="AJ161" i="1"/>
  <c r="AJ162" i="1" s="1"/>
  <c r="AI161" i="1"/>
  <c r="AI162" i="1" s="1"/>
  <c r="AH161" i="1"/>
  <c r="AH162" i="1" s="1"/>
  <c r="AG161" i="1"/>
  <c r="AG162" i="1" s="1"/>
  <c r="AF161" i="1"/>
  <c r="AF162" i="1" s="1"/>
  <c r="AE161" i="1"/>
  <c r="AD161" i="1"/>
  <c r="AD162" i="1" s="1"/>
  <c r="AC161" i="1"/>
  <c r="AC162" i="1" s="1"/>
  <c r="AB161" i="1"/>
  <c r="AB162" i="1" s="1"/>
  <c r="AA161" i="1"/>
  <c r="AA162" i="1" s="1"/>
  <c r="Z161" i="1"/>
  <c r="Z162" i="1" s="1"/>
  <c r="Y161" i="1"/>
  <c r="Y162" i="1" s="1"/>
  <c r="X161" i="1"/>
  <c r="W161" i="1"/>
  <c r="V161" i="1"/>
  <c r="V162" i="1" s="1"/>
  <c r="U161" i="1"/>
  <c r="U162" i="1" s="1"/>
  <c r="T161" i="1"/>
  <c r="T162" i="1" s="1"/>
  <c r="S161" i="1"/>
  <c r="S162" i="1" s="1"/>
  <c r="R161" i="1"/>
  <c r="R162" i="1" s="1"/>
  <c r="Q161" i="1"/>
  <c r="Q162" i="1" s="1"/>
  <c r="P161" i="1"/>
  <c r="P162" i="1" s="1"/>
  <c r="O161" i="1"/>
  <c r="N161" i="1"/>
  <c r="N162" i="1" s="1"/>
  <c r="M161" i="1"/>
  <c r="M162" i="1" s="1"/>
  <c r="L161" i="1"/>
  <c r="L162" i="1" s="1"/>
  <c r="K161" i="1"/>
  <c r="K162" i="1" s="1"/>
  <c r="J161" i="1"/>
  <c r="J162" i="1" s="1"/>
  <c r="I161" i="1"/>
  <c r="I162" i="1" s="1"/>
  <c r="H161" i="1"/>
  <c r="G161" i="1"/>
  <c r="AT164" i="1" l="1"/>
  <c r="MT164" i="1"/>
  <c r="IG164" i="1"/>
  <c r="JT164" i="1"/>
  <c r="CG164" i="1"/>
  <c r="OG164" i="1"/>
  <c r="G164" i="1"/>
  <c r="LG164" i="1"/>
  <c r="FG164" i="1"/>
  <c r="GT164" i="1"/>
  <c r="N2" i="2"/>
  <c r="N16" i="2" s="1"/>
</calcChain>
</file>

<file path=xl/sharedStrings.xml><?xml version="1.0" encoding="utf-8"?>
<sst xmlns="http://schemas.openxmlformats.org/spreadsheetml/2006/main" count="1728" uniqueCount="356">
  <si>
    <t>WORK STREAMS</t>
  </si>
  <si>
    <t>CONCEPT</t>
  </si>
  <si>
    <t>PRE-PRODUCTION</t>
  </si>
  <si>
    <t>PRODUCTION</t>
  </si>
  <si>
    <t>RELEASE</t>
  </si>
  <si>
    <t>LIVE SERVICE</t>
  </si>
  <si>
    <t>GATE
0</t>
  </si>
  <si>
    <t>CONCEPT
~2 months
Target: T0 Ideation</t>
  </si>
  <si>
    <t>GATE
1</t>
  </si>
  <si>
    <t>GATE
2</t>
  </si>
  <si>
    <t>GATE
3</t>
  </si>
  <si>
    <t>GATE
4</t>
  </si>
  <si>
    <t>GATE
5</t>
  </si>
  <si>
    <t>GATE
6</t>
  </si>
  <si>
    <t>GATE
7</t>
  </si>
  <si>
    <t>GATE
8</t>
  </si>
  <si>
    <t>FIRST RELEASE
~1.5 months
Target: T6-T7 Player Ready / Expand</t>
  </si>
  <si>
    <t>GATE
9</t>
  </si>
  <si>
    <t>LS 1
Live
Target: T7 Expand</t>
  </si>
  <si>
    <t>GATE
10</t>
  </si>
  <si>
    <t>LS 2
Live
Target: T8 Scale</t>
  </si>
  <si>
    <t>Epic</t>
  </si>
  <si>
    <t>Feature</t>
  </si>
  <si>
    <t>Size</t>
  </si>
  <si>
    <t>Current Tier</t>
  </si>
  <si>
    <t>Notes</t>
  </si>
  <si>
    <t>CEO</t>
  </si>
  <si>
    <t>Creative Director</t>
  </si>
  <si>
    <t>Head of Legal</t>
  </si>
  <si>
    <t>COO</t>
  </si>
  <si>
    <t>HR Manager</t>
  </si>
  <si>
    <t>Executive Producer</t>
  </si>
  <si>
    <t>Producer</t>
  </si>
  <si>
    <t>Game Producer</t>
  </si>
  <si>
    <t>Tech Producer</t>
  </si>
  <si>
    <t>Art Producer</t>
  </si>
  <si>
    <t>Game Director</t>
  </si>
  <si>
    <t>Game Design Lead</t>
  </si>
  <si>
    <t>Level Design Lead</t>
  </si>
  <si>
    <t>Game Designer</t>
  </si>
  <si>
    <t>Combat Designer</t>
  </si>
  <si>
    <t>Level Designer</t>
  </si>
  <si>
    <t>Technical Designer</t>
  </si>
  <si>
    <t>Writer</t>
  </si>
  <si>
    <t>Art Director</t>
  </si>
  <si>
    <t>Concept Artist</t>
  </si>
  <si>
    <t>UI/UX Designer</t>
  </si>
  <si>
    <t>Graphic Designer</t>
  </si>
  <si>
    <t>Character Artist</t>
  </si>
  <si>
    <t>Environment Artist</t>
  </si>
  <si>
    <t>Prop Artist</t>
  </si>
  <si>
    <t>Animator</t>
  </si>
  <si>
    <t>Character Rigger</t>
  </si>
  <si>
    <t>VFX Artist</t>
  </si>
  <si>
    <t>Technical Artist</t>
  </si>
  <si>
    <t>CTO</t>
  </si>
  <si>
    <t>Tech Lead</t>
  </si>
  <si>
    <t>Gameplay Developer</t>
  </si>
  <si>
    <t>Full Stack Developer</t>
  </si>
  <si>
    <t>Backend Developer</t>
  </si>
  <si>
    <t>Network Engineer</t>
  </si>
  <si>
    <t>QA</t>
  </si>
  <si>
    <t>Sound Designer</t>
  </si>
  <si>
    <t>Platform Team</t>
  </si>
  <si>
    <t>Player Build</t>
  </si>
  <si>
    <t>Player Progression</t>
  </si>
  <si>
    <t>L</t>
  </si>
  <si>
    <t>T1: R&amp;D</t>
  </si>
  <si>
    <t>Skill System</t>
  </si>
  <si>
    <t>Achievements &amp; Trophies</t>
  </si>
  <si>
    <t>M</t>
  </si>
  <si>
    <t>Factions / Reputation</t>
  </si>
  <si>
    <t>FTUE</t>
  </si>
  <si>
    <t>T2: GDD/TDD/Brief</t>
  </si>
  <si>
    <t>Professions</t>
  </si>
  <si>
    <t>Character Management</t>
  </si>
  <si>
    <t>T0: Ideation</t>
  </si>
  <si>
    <t>Character Creation &amp; Customization</t>
  </si>
  <si>
    <t>Garment System</t>
  </si>
  <si>
    <t>Persona System</t>
  </si>
  <si>
    <t>Emote System</t>
  </si>
  <si>
    <t>S</t>
  </si>
  <si>
    <t>World Systems</t>
  </si>
  <si>
    <t>Foam Corruption</t>
  </si>
  <si>
    <t>Miasma Corruption</t>
  </si>
  <si>
    <t>Water Corruption</t>
  </si>
  <si>
    <t>Crystal Corruption</t>
  </si>
  <si>
    <t>Time Corruption</t>
  </si>
  <si>
    <t>Enemy Corruption</t>
  </si>
  <si>
    <t>Oil Corruption</t>
  </si>
  <si>
    <t>Texture Corruption</t>
  </si>
  <si>
    <t>Environmental Elemental Effects (combination states)</t>
  </si>
  <si>
    <t>Basic Movement System</t>
  </si>
  <si>
    <t>Advanced Traversal</t>
  </si>
  <si>
    <t>Navigation</t>
  </si>
  <si>
    <t>Day/Night Cycle</t>
  </si>
  <si>
    <t>Dynamic Weather</t>
  </si>
  <si>
    <t>Instancing</t>
  </si>
  <si>
    <t>Dungeon Mechanics</t>
  </si>
  <si>
    <t>The Dungeon</t>
  </si>
  <si>
    <t>Partner Portal</t>
  </si>
  <si>
    <t>World Bosses</t>
  </si>
  <si>
    <t>Corruption Heatmap</t>
  </si>
  <si>
    <t>Biome - Portal Peak</t>
  </si>
  <si>
    <t>T4: MVP</t>
  </si>
  <si>
    <t>Biome - Hidden Hills</t>
  </si>
  <si>
    <t>Biome - Farmlands</t>
  </si>
  <si>
    <t>Biome - Mistrun Shore</t>
  </si>
  <si>
    <t>Biome - Whispering Woods</t>
  </si>
  <si>
    <t>Biome - Tranquil Sands</t>
  </si>
  <si>
    <t>Biome - Torrential Vale</t>
  </si>
  <si>
    <t>Biome - Clockwork</t>
  </si>
  <si>
    <t>Biome - Downtime</t>
  </si>
  <si>
    <t>Combat</t>
  </si>
  <si>
    <t>Combat Framework</t>
  </si>
  <si>
    <t>Ranged Combat</t>
  </si>
  <si>
    <t>Combat AI Behavior</t>
  </si>
  <si>
    <t>Enemies Art</t>
  </si>
  <si>
    <t>PvP Combat</t>
  </si>
  <si>
    <t>Combat Balance &amp; Telemetry</t>
  </si>
  <si>
    <t>Combat Abilities</t>
  </si>
  <si>
    <t>Magic</t>
  </si>
  <si>
    <t>Full Motion Video (FMV)</t>
  </si>
  <si>
    <t>User Space</t>
  </si>
  <si>
    <t>User Space Server &amp; Instance</t>
  </si>
  <si>
    <t>User Space Decoration</t>
  </si>
  <si>
    <t>P2P / P2G User Space Connection</t>
  </si>
  <si>
    <t>Building Houses</t>
  </si>
  <si>
    <t>Saving House Layouts</t>
  </si>
  <si>
    <t>Partner Portal System (player house)</t>
  </si>
  <si>
    <t>Arcade Cabinet</t>
  </si>
  <si>
    <t>Anywhere Door Placement</t>
  </si>
  <si>
    <t>Items &amp; Inventory</t>
  </si>
  <si>
    <t>Item Core System</t>
  </si>
  <si>
    <t>Inventory System</t>
  </si>
  <si>
    <t>Equipment System</t>
  </si>
  <si>
    <t>Loot Distribution</t>
  </si>
  <si>
    <t>Mounts / Pets</t>
  </si>
  <si>
    <t>Banks</t>
  </si>
  <si>
    <t>P2P Item Transfer</t>
  </si>
  <si>
    <t>Consumables</t>
  </si>
  <si>
    <t>Durable Items</t>
  </si>
  <si>
    <t>Player Economy</t>
  </si>
  <si>
    <t>Trading System</t>
  </si>
  <si>
    <t>Currency System</t>
  </si>
  <si>
    <t>Auction House</t>
  </si>
  <si>
    <t>In-game Store</t>
  </si>
  <si>
    <t>In-game Economy</t>
  </si>
  <si>
    <t>RMT Game Economy</t>
  </si>
  <si>
    <t>IG / RMT Monitoring System</t>
  </si>
  <si>
    <t>Quest System</t>
  </si>
  <si>
    <t>Quests Backend / Tooling</t>
  </si>
  <si>
    <t>Quests as Events</t>
  </si>
  <si>
    <t>Quest Multiplayer</t>
  </si>
  <si>
    <t>Quest Types - Courier / Escort / Kill / Collect / Mystery / Time / Partner / Lockpicking</t>
  </si>
  <si>
    <t>Quest Reward System</t>
  </si>
  <si>
    <t>Quest Log</t>
  </si>
  <si>
    <t>Quest Dialog GUI</t>
  </si>
  <si>
    <t>Quest Narrative Content</t>
  </si>
  <si>
    <t>In Game Cinematic (IGC)</t>
  </si>
  <si>
    <t>Meta Quest System</t>
  </si>
  <si>
    <t>Quest Generator System</t>
  </si>
  <si>
    <t>Targeted VO</t>
  </si>
  <si>
    <t>Social &amp; Multiplayer</t>
  </si>
  <si>
    <t>Game Chat System</t>
  </si>
  <si>
    <t>Friends</t>
  </si>
  <si>
    <t>Guilds</t>
  </si>
  <si>
    <t>Co-op / Party</t>
  </si>
  <si>
    <t>Co-op / Raids</t>
  </si>
  <si>
    <t>Dueling</t>
  </si>
  <si>
    <t>In-game Mail</t>
  </si>
  <si>
    <t>Notifications</t>
  </si>
  <si>
    <t>Player Config PvP Server</t>
  </si>
  <si>
    <t>LFG / Pick-up Groups</t>
  </si>
  <si>
    <t>Game Bibles</t>
  </si>
  <si>
    <t>UX/UI Bible</t>
  </si>
  <si>
    <t>Accessibility Guidelines</t>
  </si>
  <si>
    <t>Brand Bible</t>
  </si>
  <si>
    <t>Art Bible</t>
  </si>
  <si>
    <t>T3: Prototype</t>
  </si>
  <si>
    <t>Monetization Bible</t>
  </si>
  <si>
    <t>Red Books (Live Service emergency guidelines)</t>
  </si>
  <si>
    <t>Platform</t>
  </si>
  <si>
    <t>Player Account Creation / Deletion</t>
  </si>
  <si>
    <t>Player Account Authentication</t>
  </si>
  <si>
    <t>Player Account Privacy Settings &amp; Legal</t>
  </si>
  <si>
    <t>Player Dashboard - Account Features</t>
  </si>
  <si>
    <t>Player Dashboard - Game Dashboard</t>
  </si>
  <si>
    <t>Player Dashboard - Friends</t>
  </si>
  <si>
    <t>Player Dashboard - Search &amp; Notifications</t>
  </si>
  <si>
    <t>Player Dashboard - Marketplace</t>
  </si>
  <si>
    <t>Developer Dashboard - Developer Account</t>
  </si>
  <si>
    <t>Developer Dashboard - Game Dashboard</t>
  </si>
  <si>
    <t>Developer Dashboard - Settings &amp; Support</t>
  </si>
  <si>
    <t>Quest Tracking</t>
  </si>
  <si>
    <t>Payment Processing (incl. Refunds)</t>
  </si>
  <si>
    <t>Online Services &amp; Backend</t>
  </si>
  <si>
    <t>Launcher &amp; Distribution</t>
  </si>
  <si>
    <t>Partner Loop</t>
  </si>
  <si>
    <t>Game Tool Integration (incl. Game Key Generation)</t>
  </si>
  <si>
    <t>Account Level Settings</t>
  </si>
  <si>
    <t>Social Media Support</t>
  </si>
  <si>
    <t>Live Game</t>
  </si>
  <si>
    <t>Live GDD</t>
  </si>
  <si>
    <t>Content</t>
  </si>
  <si>
    <t>Forecast</t>
  </si>
  <si>
    <t>Analytics &amp; BI</t>
  </si>
  <si>
    <t>Sales Dashboard</t>
  </si>
  <si>
    <t>Telemetry</t>
  </si>
  <si>
    <t>Live Service Event Plan</t>
  </si>
  <si>
    <t>Partner Build</t>
  </si>
  <si>
    <t>Partner = Feature definition</t>
  </si>
  <si>
    <t>Sign Partner</t>
  </si>
  <si>
    <t>Partner Brief</t>
  </si>
  <si>
    <t>Partner Design Doc</t>
  </si>
  <si>
    <t>Partner TDD</t>
  </si>
  <si>
    <t>Partner Art Brief</t>
  </si>
  <si>
    <t>Partner Integration</t>
  </si>
  <si>
    <t>Product Publishing</t>
  </si>
  <si>
    <t>Web Presence</t>
  </si>
  <si>
    <t>Website</t>
  </si>
  <si>
    <t>Community Persona</t>
  </si>
  <si>
    <t>Title Identity</t>
  </si>
  <si>
    <t>Player Support</t>
  </si>
  <si>
    <t>Go-To-Market Strategy &amp; Implementation</t>
  </si>
  <si>
    <t>3rd-party Store Publishing</t>
  </si>
  <si>
    <t>Total PW (man-days)</t>
  </si>
  <si>
    <t>Headcount @ 20 wd/mo (per gate duration)</t>
  </si>
  <si>
    <t>Total Headcount per Gate (sum)</t>
  </si>
  <si>
    <t>TIER LEGEND  (matches the Miro 'Tiers of Completion' cards)</t>
  </si>
  <si>
    <t>T0</t>
  </si>
  <si>
    <t>Ideation</t>
  </si>
  <si>
    <t>Idea captured, no commitment yet</t>
  </si>
  <si>
    <t>T1</t>
  </si>
  <si>
    <t>R&amp;D</t>
  </si>
  <si>
    <t>Research, prototyping intent, technical feasibility</t>
  </si>
  <si>
    <t>T2</t>
  </si>
  <si>
    <t>GDD/TDD/Brief</t>
  </si>
  <si>
    <t>GDD done, TDD done, art brief done</t>
  </si>
  <si>
    <t>T3</t>
  </si>
  <si>
    <t>Prototype</t>
  </si>
  <si>
    <t>Functional with no skins, can be bugged</t>
  </si>
  <si>
    <t>T4</t>
  </si>
  <si>
    <t>MVP</t>
  </si>
  <si>
    <t>Limited quality, but full-featured</t>
  </si>
  <si>
    <t>T5</t>
  </si>
  <si>
    <t>Feature Complete</t>
  </si>
  <si>
    <t>Final assets, polished, no scope cuts left</t>
  </si>
  <si>
    <t>T6</t>
  </si>
  <si>
    <t>Player Tested</t>
  </si>
  <si>
    <t>Playtest, alpha, beta, telemetry feedback applied</t>
  </si>
  <si>
    <t>T7</t>
  </si>
  <si>
    <t>Expand</t>
  </si>
  <si>
    <t>Add to feature / content</t>
  </si>
  <si>
    <t>T8</t>
  </si>
  <si>
    <t>Scale</t>
  </si>
  <si>
    <t>Productional optimization post-load</t>
  </si>
  <si>
    <t>Features</t>
  </si>
  <si>
    <t>Concept
~2 months
T0</t>
  </si>
  <si>
    <t>Pre-production
~4 months
T1-T2</t>
  </si>
  <si>
    <t>Early Prod
~4 months
T3</t>
  </si>
  <si>
    <t>Mid Prod
~6 months
T4</t>
  </si>
  <si>
    <t>End Prod
~4 months
T5</t>
  </si>
  <si>
    <t>Alpha
~2 months
T6</t>
  </si>
  <si>
    <t>Beta
~1.5 months
T6</t>
  </si>
  <si>
    <t>Launch
~1 month
T6</t>
  </si>
  <si>
    <t>First Release
~1.5 months
T6-T7</t>
  </si>
  <si>
    <t>LS 1
Live
T7</t>
  </si>
  <si>
    <t>LS 2
Live
T8</t>
  </si>
  <si>
    <t>Total PW</t>
  </si>
  <si>
    <t>GRAND TOTAL</t>
  </si>
  <si>
    <t>Sizing</t>
  </si>
  <si>
    <t>Role</t>
  </si>
  <si>
    <t>Discipline</t>
  </si>
  <si>
    <t>Leadership</t>
  </si>
  <si>
    <t>Production</t>
  </si>
  <si>
    <t>Design</t>
  </si>
  <si>
    <t>Art</t>
  </si>
  <si>
    <t>Engineering</t>
  </si>
  <si>
    <t>Audio</t>
  </si>
  <si>
    <t>Gate</t>
  </si>
  <si>
    <t>Phase</t>
  </si>
  <si>
    <t>Target Tier</t>
  </si>
  <si>
    <t>Tier Name</t>
  </si>
  <si>
    <t>Concept</t>
  </si>
  <si>
    <t>Y-doc, pitch, vision lock; all features captured at T0</t>
  </si>
  <si>
    <t>Pre-production</t>
  </si>
  <si>
    <t>T1-T2</t>
  </si>
  <si>
    <t>R&amp;D / GDD-TDD-Brief</t>
  </si>
  <si>
    <t>GDD/TDD/Art briefs for all greenlit features (T2)</t>
  </si>
  <si>
    <t>Early Prod</t>
  </si>
  <si>
    <t>Prototype every feature; many bugs allowed (T3)</t>
  </si>
  <si>
    <t>Mid Prod</t>
  </si>
  <si>
    <t>Full MVP scope - heaviest production gate (T4)</t>
  </si>
  <si>
    <t>End Prod</t>
  </si>
  <si>
    <t>Feature complete, polish to ship quality (T5)</t>
  </si>
  <si>
    <t>Alpha</t>
  </si>
  <si>
    <t>Playtest, telemetry, balance pass; gating bugs only</t>
  </si>
  <si>
    <t>Beta</t>
  </si>
  <si>
    <t>External player feedback, cert prep, content lock</t>
  </si>
  <si>
    <t>Launch</t>
  </si>
  <si>
    <t>Player Ready</t>
  </si>
  <si>
    <t>Day-0 readiness, marketing, store, support</t>
  </si>
  <si>
    <t>First Release</t>
  </si>
  <si>
    <t>T6-T7</t>
  </si>
  <si>
    <t>Player Ready / Expand</t>
  </si>
  <si>
    <t>Live monitoring, hotfixes, day-1/7/30 patches</t>
  </si>
  <si>
    <t>LS 1</t>
  </si>
  <si>
    <t>Expansions, new content drops, season cadence (T7)</t>
  </si>
  <si>
    <t>LS 2</t>
  </si>
  <si>
    <t>Optimize / scale post-load, sustain plan (T8)</t>
  </si>
  <si>
    <t>Tier</t>
  </si>
  <si>
    <t>Name</t>
  </si>
  <si>
    <t>Definition</t>
  </si>
  <si>
    <t>Idea captured, no commitment</t>
  </si>
  <si>
    <t>GDD / TDD / Brief ready</t>
  </si>
  <si>
    <t>Feature Complete (at quality)</t>
  </si>
  <si>
    <t>Player Ready / Tested</t>
  </si>
  <si>
    <t>Cell Color / Section</t>
  </si>
  <si>
    <t>Meaning</t>
  </si>
  <si>
    <t>Phase super-headers (row 1 of Plan)</t>
  </si>
  <si>
    <t>Concept gate (T0 Ideation)</t>
  </si>
  <si>
    <t>Pre-production gate (T1-T2)</t>
  </si>
  <si>
    <t>Early / Mid / End Prod gates (T3-T5)</t>
  </si>
  <si>
    <t>Release</t>
  </si>
  <si>
    <t>Alpha / Beta / Launch / First Release</t>
  </si>
  <si>
    <t>Live Service</t>
  </si>
  <si>
    <t>LS 1 / LS 2</t>
  </si>
  <si>
    <t>Role group color (row 3 of Plan)</t>
  </si>
  <si>
    <t>CEO, Head of Legal, Head of Finance &amp; Ops, HR Manager</t>
  </si>
  <si>
    <t>Executive / Producer / Game / Tech / Art Producer</t>
  </si>
  <si>
    <t>Game Director, Design Leads, Designers, Writer</t>
  </si>
  <si>
    <t>Art Director, Concept, UI/UX, Character/Env/Prop, Anim, Rig, VFX, TA</t>
  </si>
  <si>
    <t>CTO, Tech Lead, Gameplay/Full Stack/Backend/Network</t>
  </si>
  <si>
    <t>Sizing key (col C)</t>
  </si>
  <si>
    <t>Small feature</t>
  </si>
  <si>
    <t>Medium feature</t>
  </si>
  <si>
    <t>Large feature</t>
  </si>
  <si>
    <t>How to use</t>
  </si>
  <si>
    <t>Plan sheet</t>
  </si>
  <si>
    <t>Fill in man-days per (feature, gate, role). Cells are blank by default.</t>
  </si>
  <si>
    <t>Totals row</t>
  </si>
  <si>
    <t>Bottom of Plan: SUMs each role column per gate.</t>
  </si>
  <si>
    <t>Headcount row</t>
  </si>
  <si>
    <t>Total PW / (gate months * 20 working days). Edit GATE_MONTHS in the script if your durations change.</t>
  </si>
  <si>
    <t>Summary sheet</t>
  </si>
  <si>
    <t>Auto-rolls up Plan totals per epic per gate.</t>
  </si>
  <si>
    <t>Adding rows</t>
  </si>
  <si>
    <t>Insert rows inside an epic block on Plan. Update Total PW SUM ranges if you extend past the current last data row.</t>
  </si>
  <si>
    <t>EARLY PROD
Target: T3 Prototype</t>
  </si>
  <si>
    <t>PRE-PRODUCTION
Target: T1-T2 R&amp;D / GDD-TDD-Brief</t>
  </si>
  <si>
    <t>MID PRO
Target: T4 MVP</t>
  </si>
  <si>
    <t>END PROD
Target: T5 Feature Complete</t>
  </si>
  <si>
    <t>ALPHA
Target: T6 Player Tested</t>
  </si>
  <si>
    <t>BETA
Target: T6 Player Tested</t>
  </si>
  <si>
    <t>LAUNCH
Target: T6 Player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</si>
</sst>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;\-0.##;\-"/>
    <numFmt numFmtId="165" formatCode="0.0;\-0.0;\-"/>
  </numFmts>
  <fonts count="1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000000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9"/>
      <color rgb="FF000000"/>
      <name val="Calibri"/>
    </font>
    <font>
      <sz val="10"/>
      <color rgb="FF000000"/>
      <name val="Calibri"/>
    </font>
    <font>
      <sz val="9"/>
      <color rgb="FF000000"/>
      <name val="Calibri"/>
    </font>
    <font>
      <b/>
      <sz val="10"/>
      <name val="Calibri"/>
    </font>
    <font>
      <b/>
      <sz val="9"/>
      <name val="Calibri"/>
    </font>
    <font>
      <b/>
      <sz val="11"/>
      <color theme="1"/>
      <name val="Calibri"/>
      <family val="2"/>
      <scheme val="minor"/>
    </font>
    <font>
      <b/>
      <sz val="9"/>
      <color rgb="FF000000"/>
      <name val="Calibri"/>
      <family val="2"/>
    </font>
    <font>
      <b/>
      <sz val="10"/>
      <color rgb="FFFFFFFF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AB8"/>
      </patternFill>
    </fill>
    <fill>
      <patternFill patternType="solid">
        <fgColor rgb="FFFCB97D"/>
      </patternFill>
    </fill>
    <fill>
      <patternFill patternType="solid">
        <fgColor rgb="FFD9D9D9"/>
      </patternFill>
    </fill>
    <fill>
      <patternFill patternType="solid">
        <fgColor rgb="FFBDD7EE"/>
      </patternFill>
    </fill>
    <fill>
      <patternFill patternType="solid">
        <fgColor rgb="FF6FA8DC"/>
      </patternFill>
    </fill>
    <fill>
      <patternFill patternType="solid">
        <fgColor rgb="FF1F4E79"/>
      </patternFill>
    </fill>
    <fill>
      <patternFill patternType="solid">
        <fgColor rgb="FFB6D7A8"/>
      </patternFill>
    </fill>
    <fill>
      <patternFill patternType="solid">
        <fgColor rgb="FF6AA84F"/>
      </patternFill>
    </fill>
    <fill>
      <patternFill patternType="solid">
        <fgColor rgb="FF38761D"/>
      </patternFill>
    </fill>
    <fill>
      <patternFill patternType="solid">
        <fgColor rgb="FFBF8F00"/>
      </patternFill>
    </fill>
    <fill>
      <patternFill patternType="solid">
        <fgColor rgb="FFC65911"/>
      </patternFill>
    </fill>
    <fill>
      <patternFill patternType="solid">
        <fgColor rgb="FF2E75B6"/>
      </patternFill>
    </fill>
    <fill>
      <patternFill patternType="solid">
        <fgColor rgb="FF548235"/>
      </patternFill>
    </fill>
    <fill>
      <patternFill patternType="solid">
        <fgColor rgb="FF375623"/>
      </patternFill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FFD966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E4DFEC"/>
      </patternFill>
    </fill>
    <fill>
      <patternFill patternType="solid">
        <fgColor rgb="FFFFE699"/>
      </patternFill>
    </fill>
    <fill>
      <patternFill patternType="solid">
        <fgColor rgb="FFB4C7E7"/>
      </patternFill>
    </fill>
    <fill>
      <patternFill patternType="solid">
        <fgColor rgb="FFA9D08E"/>
      </patternFill>
    </fill>
    <fill>
      <patternFill patternType="solid">
        <fgColor rgb="FFF4B084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9DC3E6"/>
      </patternFill>
    </fill>
    <fill>
      <patternFill patternType="solid">
        <fgColor rgb="FF70AD47"/>
      </patternFill>
    </fill>
    <fill>
      <patternFill patternType="solid">
        <fgColor rgb="FFE2EFDA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164" fontId="8" fillId="0" borderId="2" xfId="0" applyNumberFormat="1" applyFont="1" applyBorder="1" applyAlignment="1">
      <alignment horizontal="center" vertical="center" wrapText="1"/>
    </xf>
    <xf numFmtId="0" fontId="0" fillId="25" borderId="0" xfId="0" applyFill="1"/>
    <xf numFmtId="0" fontId="9" fillId="25" borderId="1" xfId="0" applyFont="1" applyFill="1" applyBorder="1" applyAlignment="1">
      <alignment horizontal="left" vertical="center" wrapText="1"/>
    </xf>
    <xf numFmtId="164" fontId="10" fillId="25" borderId="2" xfId="0" applyNumberFormat="1" applyFont="1" applyFill="1" applyBorder="1" applyAlignment="1">
      <alignment horizontal="center" vertical="center" wrapText="1"/>
    </xf>
    <xf numFmtId="0" fontId="0" fillId="26" borderId="0" xfId="0" applyFill="1"/>
    <xf numFmtId="0" fontId="9" fillId="26" borderId="1" xfId="0" applyFont="1" applyFill="1" applyBorder="1" applyAlignment="1">
      <alignment horizontal="left" vertical="center" wrapText="1"/>
    </xf>
    <xf numFmtId="165" fontId="10" fillId="26" borderId="2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9" fillId="25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19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left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left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left" vertical="center" wrapText="1"/>
    </xf>
    <xf numFmtId="0" fontId="3" fillId="21" borderId="2" xfId="0" applyFont="1" applyFill="1" applyBorder="1" applyAlignment="1">
      <alignment horizontal="center" vertical="center" wrapText="1"/>
    </xf>
    <xf numFmtId="0" fontId="3" fillId="22" borderId="2" xfId="0" applyFont="1" applyFill="1" applyBorder="1" applyAlignment="1">
      <alignment horizontal="left" vertical="center" wrapText="1"/>
    </xf>
    <xf numFmtId="0" fontId="3" fillId="22" borderId="2" xfId="0" applyFont="1" applyFill="1" applyBorder="1" applyAlignment="1">
      <alignment horizontal="center" vertical="center" wrapText="1"/>
    </xf>
    <xf numFmtId="0" fontId="3" fillId="23" borderId="2" xfId="0" applyFont="1" applyFill="1" applyBorder="1" applyAlignment="1">
      <alignment horizontal="left" vertical="center" wrapText="1"/>
    </xf>
    <xf numFmtId="0" fontId="3" fillId="23" borderId="2" xfId="0" applyFont="1" applyFill="1" applyBorder="1" applyAlignment="1">
      <alignment horizontal="center" vertical="center" wrapText="1"/>
    </xf>
    <xf numFmtId="0" fontId="3" fillId="24" borderId="2" xfId="0" applyFont="1" applyFill="1" applyBorder="1" applyAlignment="1">
      <alignment horizontal="left" vertical="center" wrapText="1"/>
    </xf>
    <xf numFmtId="0" fontId="3" fillId="24" borderId="2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center" vertical="center" wrapText="1"/>
    </xf>
    <xf numFmtId="0" fontId="3" fillId="28" borderId="2" xfId="0" applyFont="1" applyFill="1" applyBorder="1" applyAlignment="1">
      <alignment horizontal="left" vertical="center" wrapText="1"/>
    </xf>
    <xf numFmtId="0" fontId="3" fillId="29" borderId="2" xfId="0" applyFont="1" applyFill="1" applyBorder="1" applyAlignment="1">
      <alignment horizontal="center" vertical="center" wrapText="1"/>
    </xf>
    <xf numFmtId="0" fontId="3" fillId="29" borderId="2" xfId="0" applyFont="1" applyFill="1" applyBorder="1" applyAlignment="1">
      <alignment horizontal="left" vertical="center" wrapText="1"/>
    </xf>
    <xf numFmtId="0" fontId="3" fillId="30" borderId="2" xfId="0" applyFont="1" applyFill="1" applyBorder="1" applyAlignment="1">
      <alignment horizontal="center" vertical="center" wrapText="1"/>
    </xf>
    <xf numFmtId="0" fontId="3" fillId="30" borderId="2" xfId="0" applyFont="1" applyFill="1" applyBorder="1" applyAlignment="1">
      <alignment horizontal="left" vertical="center" wrapText="1"/>
    </xf>
    <xf numFmtId="0" fontId="3" fillId="31" borderId="2" xfId="0" applyFont="1" applyFill="1" applyBorder="1" applyAlignment="1">
      <alignment horizontal="center" vertical="center" wrapText="1"/>
    </xf>
    <xf numFmtId="0" fontId="3" fillId="31" borderId="2" xfId="0" applyFont="1" applyFill="1" applyBorder="1" applyAlignment="1">
      <alignment horizontal="left" vertical="center" wrapText="1"/>
    </xf>
    <xf numFmtId="0" fontId="3" fillId="32" borderId="2" xfId="0" applyFont="1" applyFill="1" applyBorder="1" applyAlignment="1">
      <alignment horizontal="center" vertical="center" wrapText="1"/>
    </xf>
    <xf numFmtId="0" fontId="3" fillId="32" borderId="2" xfId="0" applyFont="1" applyFill="1" applyBorder="1" applyAlignment="1">
      <alignment horizontal="left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3" fillId="3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top" textRotation="90"/>
    </xf>
    <xf numFmtId="0" fontId="6" fillId="19" borderId="2" xfId="0" applyFont="1" applyFill="1" applyBorder="1" applyAlignment="1">
      <alignment horizontal="left" vertical="top" textRotation="90"/>
    </xf>
    <xf numFmtId="0" fontId="6" fillId="6" borderId="2" xfId="0" applyFont="1" applyFill="1" applyBorder="1" applyAlignment="1">
      <alignment horizontal="left" vertical="top" textRotation="90"/>
    </xf>
    <xf numFmtId="0" fontId="6" fillId="20" borderId="2" xfId="0" applyFont="1" applyFill="1" applyBorder="1" applyAlignment="1">
      <alignment horizontal="left" vertical="top" textRotation="90"/>
    </xf>
    <xf numFmtId="0" fontId="6" fillId="21" borderId="2" xfId="0" applyFont="1" applyFill="1" applyBorder="1" applyAlignment="1">
      <alignment horizontal="left" vertical="top" textRotation="90"/>
    </xf>
    <xf numFmtId="0" fontId="6" fillId="22" borderId="2" xfId="0" applyFont="1" applyFill="1" applyBorder="1" applyAlignment="1">
      <alignment horizontal="left" vertical="top" textRotation="90"/>
    </xf>
    <xf numFmtId="0" fontId="6" fillId="23" borderId="2" xfId="0" applyFont="1" applyFill="1" applyBorder="1" applyAlignment="1">
      <alignment horizontal="left" vertical="top" textRotation="90"/>
    </xf>
    <xf numFmtId="0" fontId="6" fillId="24" borderId="2" xfId="0" applyFont="1" applyFill="1" applyBorder="1" applyAlignment="1">
      <alignment horizontal="left" vertical="top" textRotation="90"/>
    </xf>
    <xf numFmtId="164" fontId="12" fillId="0" borderId="2" xfId="0" applyNumberFormat="1" applyFont="1" applyBorder="1" applyAlignment="1">
      <alignment horizontal="center" vertical="center" wrapText="1"/>
    </xf>
    <xf numFmtId="0" fontId="11" fillId="17" borderId="1" xfId="0" applyFont="1" applyFill="1" applyBorder="1"/>
    <xf numFmtId="0" fontId="2" fillId="19" borderId="1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165" fontId="9" fillId="26" borderId="1" xfId="0" applyNumberFormat="1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b/>
        <sz val="10"/>
        <color rgb="FFFFFFFF"/>
        <name val="Calibri"/>
      </font>
      <fill>
        <patternFill patternType="solid">
          <fgColor rgb="FF38761D"/>
        </patternFill>
      </fill>
    </dxf>
    <dxf>
      <font>
        <b/>
        <sz val="10"/>
        <color rgb="FFFFFFFF"/>
        <name val="Calibri"/>
      </font>
      <fill>
        <patternFill patternType="solid">
          <fgColor rgb="FF6AA84F"/>
        </patternFill>
      </fill>
    </dxf>
    <dxf>
      <font>
        <b/>
        <sz val="10"/>
        <color rgb="FF000000"/>
        <name val="Calibri"/>
      </font>
      <fill>
        <patternFill patternType="solid">
          <fgColor rgb="FFB6D7A8"/>
        </patternFill>
      </fill>
    </dxf>
    <dxf>
      <font>
        <b/>
        <sz val="10"/>
        <color rgb="FFFFFFFF"/>
        <name val="Calibri"/>
      </font>
      <fill>
        <patternFill patternType="solid">
          <fgColor rgb="FF1F4E79"/>
        </patternFill>
      </fill>
    </dxf>
    <dxf>
      <font>
        <b/>
        <sz val="10"/>
        <color rgb="FF000000"/>
        <name val="Calibri"/>
      </font>
      <fill>
        <patternFill patternType="solid">
          <fgColor rgb="FF6FA8DC"/>
        </patternFill>
      </fill>
    </dxf>
    <dxf>
      <font>
        <b/>
        <sz val="10"/>
        <color rgb="FF000000"/>
        <name val="Calibri"/>
      </font>
      <fill>
        <patternFill patternType="solid">
          <fgColor rgb="FFBDD7EE"/>
        </patternFill>
      </fill>
    </dxf>
    <dxf>
      <font>
        <b/>
        <sz val="10"/>
        <color rgb="FF000000"/>
        <name val="Calibri"/>
      </font>
      <fill>
        <patternFill patternType="solid">
          <fgColor rgb="FFD9D9D9"/>
        </patternFill>
      </fill>
    </dxf>
    <dxf>
      <font>
        <b/>
        <sz val="10"/>
        <color rgb="FF000000"/>
        <name val="Calibri"/>
      </font>
      <fill>
        <patternFill patternType="solid">
          <fgColor rgb="FFFCB97D"/>
        </patternFill>
      </fill>
    </dxf>
    <dxf>
      <font>
        <b/>
        <sz val="10"/>
        <color rgb="FF000000"/>
        <name val="Calibri"/>
      </font>
      <fill>
        <patternFill patternType="solid">
          <fgColor rgb="FFFFFAB8"/>
        </patternFill>
      </fill>
    </dxf>
    <dxf>
      <font>
        <b/>
        <sz val="10"/>
        <color rgb="FFFFFFFF"/>
        <name val="Calibri"/>
      </font>
      <fill>
        <patternFill patternType="solid">
          <fgColor rgb="FF38761D"/>
        </patternFill>
      </fill>
    </dxf>
    <dxf>
      <font>
        <b/>
        <sz val="10"/>
        <color rgb="FFFFFFFF"/>
        <name val="Calibri"/>
      </font>
      <fill>
        <patternFill patternType="solid">
          <fgColor rgb="FF6AA84F"/>
        </patternFill>
      </fill>
    </dxf>
    <dxf>
      <font>
        <b/>
        <sz val="10"/>
        <color rgb="FF000000"/>
        <name val="Calibri"/>
      </font>
      <fill>
        <patternFill patternType="solid">
          <fgColor rgb="FFB6D7A8"/>
        </patternFill>
      </fill>
    </dxf>
    <dxf>
      <font>
        <b/>
        <sz val="10"/>
        <color rgb="FFFFFFFF"/>
        <name val="Calibri"/>
      </font>
      <fill>
        <patternFill patternType="solid">
          <fgColor rgb="FF1F4E79"/>
        </patternFill>
      </fill>
    </dxf>
    <dxf>
      <font>
        <b/>
        <sz val="10"/>
        <color rgb="FF000000"/>
        <name val="Calibri"/>
      </font>
      <fill>
        <patternFill patternType="solid">
          <fgColor rgb="FF6FA8DC"/>
        </patternFill>
      </fill>
    </dxf>
    <dxf>
      <font>
        <b/>
        <sz val="10"/>
        <color rgb="FF000000"/>
        <name val="Calibri"/>
      </font>
      <fill>
        <patternFill patternType="solid">
          <fgColor rgb="FFBDD7EE"/>
        </patternFill>
      </fill>
    </dxf>
    <dxf>
      <font>
        <b/>
        <sz val="10"/>
        <color rgb="FF000000"/>
        <name val="Calibri"/>
      </font>
      <fill>
        <patternFill patternType="solid">
          <fgColor rgb="FFD9D9D9"/>
        </patternFill>
      </fill>
    </dxf>
    <dxf>
      <font>
        <b/>
        <sz val="10"/>
        <color rgb="FF000000"/>
        <name val="Calibri"/>
      </font>
      <fill>
        <patternFill patternType="solid">
          <fgColor rgb="FFFCB97D"/>
        </patternFill>
      </fill>
    </dxf>
    <dxf>
      <font>
        <b/>
        <sz val="10"/>
        <color rgb="FF000000"/>
        <name val="Calibri"/>
      </font>
      <fill>
        <patternFill patternType="solid">
          <fgColor rgb="FFFFFAB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R175"/>
  <sheetViews>
    <sheetView tabSelected="1" zoomScale="85" zoomScaleNormal="85" workbookViewId="0">
      <pane xSplit="5" ySplit="4" topLeftCell="F143" activePane="bottomRight" state="frozen"/>
      <selection pane="topRight"/>
      <selection pane="bottomLeft"/>
      <selection pane="bottomRight" activeCell="DR116" sqref="CG116:DR134"/>
    </sheetView>
  </sheetViews>
  <sheetFormatPr defaultRowHeight="15" x14ac:dyDescent="0.25"/>
  <cols>
    <col min="1" max="1" width="3.85546875" bestFit="1" customWidth="1"/>
    <col min="2" max="2" width="49.28515625" bestFit="1" customWidth="1"/>
    <col min="3" max="3" width="6" customWidth="1"/>
    <col min="4" max="4" width="15.7109375" bestFit="1" customWidth="1"/>
    <col min="5" max="5" width="28" customWidth="1"/>
    <col min="6" max="6" width="5" hidden="1" customWidth="1"/>
    <col min="7" max="44" width="3.140625" hidden="1" customWidth="1"/>
    <col min="45" max="45" width="5" hidden="1" customWidth="1"/>
    <col min="46" max="83" width="3.140625" hidden="1" customWidth="1"/>
    <col min="84" max="84" width="5" customWidth="1"/>
    <col min="85" max="89" width="3.140625" customWidth="1"/>
    <col min="90" max="94" width="3.85546875" bestFit="1" customWidth="1"/>
    <col min="95" max="95" width="4.5703125" bestFit="1" customWidth="1"/>
    <col min="96" max="97" width="3.85546875" bestFit="1" customWidth="1"/>
    <col min="98" max="98" width="5.7109375" bestFit="1" customWidth="1"/>
    <col min="99" max="99" width="4.5703125" bestFit="1" customWidth="1"/>
    <col min="100" max="100" width="5.7109375" bestFit="1" customWidth="1"/>
    <col min="101" max="101" width="3.85546875" bestFit="1" customWidth="1"/>
    <col min="102" max="102" width="4.5703125" bestFit="1" customWidth="1"/>
    <col min="103" max="103" width="3.85546875" bestFit="1" customWidth="1"/>
    <col min="104" max="104" width="5.28515625" bestFit="1" customWidth="1"/>
    <col min="105" max="105" width="5.7109375" bestFit="1" customWidth="1"/>
    <col min="106" max="106" width="3.85546875" bestFit="1" customWidth="1"/>
    <col min="107" max="107" width="4.5703125" bestFit="1" customWidth="1"/>
    <col min="108" max="110" width="5.7109375" bestFit="1" customWidth="1"/>
    <col min="111" max="111" width="5.28515625" bestFit="1" customWidth="1"/>
    <col min="112" max="113" width="5.7109375" bestFit="1" customWidth="1"/>
    <col min="114" max="115" width="3.85546875" bestFit="1" customWidth="1"/>
    <col min="116" max="116" width="6.85546875" bestFit="1" customWidth="1"/>
    <col min="117" max="120" width="3.85546875" bestFit="1" customWidth="1"/>
    <col min="121" max="121" width="5.28515625" bestFit="1" customWidth="1"/>
    <col min="122" max="122" width="3.85546875" bestFit="1" customWidth="1"/>
    <col min="123" max="123" width="5.140625" bestFit="1" customWidth="1"/>
    <col min="124" max="138" width="3.85546875" bestFit="1" customWidth="1"/>
    <col min="139" max="161" width="3.140625" customWidth="1"/>
    <col min="162" max="162" width="5" customWidth="1"/>
    <col min="163" max="200" width="3.140625" customWidth="1"/>
    <col min="201" max="201" width="5" customWidth="1"/>
    <col min="202" max="239" width="3.140625" customWidth="1"/>
    <col min="240" max="240" width="5" customWidth="1"/>
    <col min="241" max="278" width="3.140625" customWidth="1"/>
    <col min="279" max="279" width="5" customWidth="1"/>
    <col min="280" max="317" width="3.140625" customWidth="1"/>
    <col min="318" max="318" width="5" customWidth="1"/>
    <col min="319" max="356" width="3.140625" customWidth="1"/>
    <col min="357" max="357" width="5" customWidth="1"/>
    <col min="358" max="395" width="3.140625" customWidth="1"/>
    <col min="396" max="396" width="5" customWidth="1"/>
    <col min="397" max="434" width="3.140625" customWidth="1"/>
  </cols>
  <sheetData>
    <row r="1" spans="1:434" ht="6" customHeight="1" thickBot="1" x14ac:dyDescent="0.3"/>
    <row r="2" spans="1:434" ht="21.95" customHeight="1" x14ac:dyDescent="0.25">
      <c r="A2" s="96" t="s">
        <v>0</v>
      </c>
      <c r="B2" s="97"/>
      <c r="C2" s="97"/>
      <c r="D2" s="97"/>
      <c r="E2" s="98"/>
      <c r="F2" s="94" t="s">
        <v>1</v>
      </c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6"/>
      <c r="AS2" s="95" t="s">
        <v>2</v>
      </c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6"/>
      <c r="CF2" s="102" t="s">
        <v>3</v>
      </c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  <c r="FU2" s="85"/>
      <c r="FV2" s="85"/>
      <c r="FW2" s="85"/>
      <c r="FX2" s="85"/>
      <c r="FY2" s="85"/>
      <c r="FZ2" s="85"/>
      <c r="GA2" s="85"/>
      <c r="GB2" s="85"/>
      <c r="GC2" s="85"/>
      <c r="GD2" s="85"/>
      <c r="GE2" s="85"/>
      <c r="GF2" s="85"/>
      <c r="GG2" s="85"/>
      <c r="GH2" s="85"/>
      <c r="GI2" s="85"/>
      <c r="GJ2" s="85"/>
      <c r="GK2" s="85"/>
      <c r="GL2" s="85"/>
      <c r="GM2" s="85"/>
      <c r="GN2" s="85"/>
      <c r="GO2" s="85"/>
      <c r="GP2" s="85"/>
      <c r="GQ2" s="85"/>
      <c r="GR2" s="86"/>
      <c r="GS2" s="103" t="s">
        <v>4</v>
      </c>
      <c r="GT2" s="85"/>
      <c r="GU2" s="85"/>
      <c r="GV2" s="85"/>
      <c r="GW2" s="85"/>
      <c r="GX2" s="85"/>
      <c r="GY2" s="85"/>
      <c r="GZ2" s="85"/>
      <c r="HA2" s="85"/>
      <c r="HB2" s="85"/>
      <c r="HC2" s="85"/>
      <c r="HD2" s="85"/>
      <c r="HE2" s="85"/>
      <c r="HF2" s="85"/>
      <c r="HG2" s="85"/>
      <c r="HH2" s="85"/>
      <c r="HI2" s="85"/>
      <c r="HJ2" s="85"/>
      <c r="HK2" s="85"/>
      <c r="HL2" s="85"/>
      <c r="HM2" s="85"/>
      <c r="HN2" s="85"/>
      <c r="HO2" s="85"/>
      <c r="HP2" s="85"/>
      <c r="HQ2" s="85"/>
      <c r="HR2" s="85"/>
      <c r="HS2" s="85"/>
      <c r="HT2" s="85"/>
      <c r="HU2" s="85"/>
      <c r="HV2" s="85"/>
      <c r="HW2" s="85"/>
      <c r="HX2" s="85"/>
      <c r="HY2" s="85"/>
      <c r="HZ2" s="85"/>
      <c r="IA2" s="85"/>
      <c r="IB2" s="85"/>
      <c r="IC2" s="85"/>
      <c r="ID2" s="85"/>
      <c r="IE2" s="85"/>
      <c r="IF2" s="85"/>
      <c r="IG2" s="85"/>
      <c r="IH2" s="85"/>
      <c r="II2" s="85"/>
      <c r="IJ2" s="85"/>
      <c r="IK2" s="85"/>
      <c r="IL2" s="85"/>
      <c r="IM2" s="85"/>
      <c r="IN2" s="85"/>
      <c r="IO2" s="85"/>
      <c r="IP2" s="85"/>
      <c r="IQ2" s="85"/>
      <c r="IR2" s="85"/>
      <c r="IS2" s="85"/>
      <c r="IT2" s="85"/>
      <c r="IU2" s="85"/>
      <c r="IV2" s="85"/>
      <c r="IW2" s="85"/>
      <c r="IX2" s="85"/>
      <c r="IY2" s="85"/>
      <c r="IZ2" s="85"/>
      <c r="JA2" s="85"/>
      <c r="JB2" s="85"/>
      <c r="JC2" s="85"/>
      <c r="JD2" s="85"/>
      <c r="JE2" s="85"/>
      <c r="JF2" s="85"/>
      <c r="JG2" s="85"/>
      <c r="JH2" s="85"/>
      <c r="JI2" s="85"/>
      <c r="JJ2" s="85"/>
      <c r="JK2" s="85"/>
      <c r="JL2" s="85"/>
      <c r="JM2" s="85"/>
      <c r="JN2" s="85"/>
      <c r="JO2" s="85"/>
      <c r="JP2" s="85"/>
      <c r="JQ2" s="85"/>
      <c r="JR2" s="85"/>
      <c r="JS2" s="85"/>
      <c r="JT2" s="85"/>
      <c r="JU2" s="85"/>
      <c r="JV2" s="85"/>
      <c r="JW2" s="85"/>
      <c r="JX2" s="85"/>
      <c r="JY2" s="85"/>
      <c r="JZ2" s="85"/>
      <c r="KA2" s="85"/>
      <c r="KB2" s="85"/>
      <c r="KC2" s="85"/>
      <c r="KD2" s="85"/>
      <c r="KE2" s="85"/>
      <c r="KF2" s="85"/>
      <c r="KG2" s="85"/>
      <c r="KH2" s="85"/>
      <c r="KI2" s="85"/>
      <c r="KJ2" s="85"/>
      <c r="KK2" s="85"/>
      <c r="KL2" s="85"/>
      <c r="KM2" s="85"/>
      <c r="KN2" s="85"/>
      <c r="KO2" s="85"/>
      <c r="KP2" s="85"/>
      <c r="KQ2" s="85"/>
      <c r="KR2" s="85"/>
      <c r="KS2" s="85"/>
      <c r="KT2" s="85"/>
      <c r="KU2" s="85"/>
      <c r="KV2" s="85"/>
      <c r="KW2" s="85"/>
      <c r="KX2" s="85"/>
      <c r="KY2" s="85"/>
      <c r="KZ2" s="85"/>
      <c r="LA2" s="85"/>
      <c r="LB2" s="85"/>
      <c r="LC2" s="85"/>
      <c r="LD2" s="85"/>
      <c r="LE2" s="85"/>
      <c r="LF2" s="85"/>
      <c r="LG2" s="85"/>
      <c r="LH2" s="85"/>
      <c r="LI2" s="85"/>
      <c r="LJ2" s="85"/>
      <c r="LK2" s="85"/>
      <c r="LL2" s="85"/>
      <c r="LM2" s="85"/>
      <c r="LN2" s="85"/>
      <c r="LO2" s="85"/>
      <c r="LP2" s="85"/>
      <c r="LQ2" s="85"/>
      <c r="LR2" s="85"/>
      <c r="LS2" s="85"/>
      <c r="LT2" s="85"/>
      <c r="LU2" s="85"/>
      <c r="LV2" s="85"/>
      <c r="LW2" s="85"/>
      <c r="LX2" s="85"/>
      <c r="LY2" s="85"/>
      <c r="LZ2" s="85"/>
      <c r="MA2" s="85"/>
      <c r="MB2" s="85"/>
      <c r="MC2" s="85"/>
      <c r="MD2" s="85"/>
      <c r="ME2" s="85"/>
      <c r="MF2" s="85"/>
      <c r="MG2" s="85"/>
      <c r="MH2" s="85"/>
      <c r="MI2" s="85"/>
      <c r="MJ2" s="85"/>
      <c r="MK2" s="85"/>
      <c r="ML2" s="85"/>
      <c r="MM2" s="85"/>
      <c r="MN2" s="85"/>
      <c r="MO2" s="85"/>
      <c r="MP2" s="85"/>
      <c r="MQ2" s="85"/>
      <c r="MR2" s="86"/>
      <c r="MS2" s="90" t="s">
        <v>5</v>
      </c>
      <c r="MT2" s="85"/>
      <c r="MU2" s="85"/>
      <c r="MV2" s="85"/>
      <c r="MW2" s="85"/>
      <c r="MX2" s="85"/>
      <c r="MY2" s="85"/>
      <c r="MZ2" s="85"/>
      <c r="NA2" s="85"/>
      <c r="NB2" s="85"/>
      <c r="NC2" s="85"/>
      <c r="ND2" s="85"/>
      <c r="NE2" s="85"/>
      <c r="NF2" s="85"/>
      <c r="NG2" s="85"/>
      <c r="NH2" s="85"/>
      <c r="NI2" s="85"/>
      <c r="NJ2" s="85"/>
      <c r="NK2" s="85"/>
      <c r="NL2" s="85"/>
      <c r="NM2" s="85"/>
      <c r="NN2" s="85"/>
      <c r="NO2" s="85"/>
      <c r="NP2" s="85"/>
      <c r="NQ2" s="85"/>
      <c r="NR2" s="85"/>
      <c r="NS2" s="85"/>
      <c r="NT2" s="85"/>
      <c r="NU2" s="85"/>
      <c r="NV2" s="85"/>
      <c r="NW2" s="85"/>
      <c r="NX2" s="85"/>
      <c r="NY2" s="85"/>
      <c r="NZ2" s="85"/>
      <c r="OA2" s="85"/>
      <c r="OB2" s="85"/>
      <c r="OC2" s="85"/>
      <c r="OD2" s="85"/>
      <c r="OE2" s="85"/>
      <c r="OF2" s="85"/>
      <c r="OG2" s="85"/>
      <c r="OH2" s="85"/>
      <c r="OI2" s="85"/>
      <c r="OJ2" s="85"/>
      <c r="OK2" s="85"/>
      <c r="OL2" s="85"/>
      <c r="OM2" s="85"/>
      <c r="ON2" s="85"/>
      <c r="OO2" s="85"/>
      <c r="OP2" s="85"/>
      <c r="OQ2" s="85"/>
      <c r="OR2" s="85"/>
      <c r="OS2" s="85"/>
      <c r="OT2" s="85"/>
      <c r="OU2" s="85"/>
      <c r="OV2" s="85"/>
      <c r="OW2" s="85"/>
      <c r="OX2" s="85"/>
      <c r="OY2" s="85"/>
      <c r="OZ2" s="85"/>
      <c r="PA2" s="85"/>
      <c r="PB2" s="85"/>
      <c r="PC2" s="85"/>
      <c r="PD2" s="85"/>
      <c r="PE2" s="85"/>
      <c r="PF2" s="85"/>
      <c r="PG2" s="85"/>
      <c r="PH2" s="85"/>
      <c r="PI2" s="85"/>
      <c r="PJ2" s="85"/>
      <c r="PK2" s="85"/>
      <c r="PL2" s="85"/>
      <c r="PM2" s="85"/>
      <c r="PN2" s="85"/>
      <c r="PO2" s="85"/>
      <c r="PP2" s="85"/>
      <c r="PQ2" s="85"/>
      <c r="PR2" s="86"/>
    </row>
    <row r="3" spans="1:434" ht="26.45" customHeight="1" thickBot="1" x14ac:dyDescent="0.3">
      <c r="A3" s="99"/>
      <c r="B3" s="100"/>
      <c r="C3" s="100"/>
      <c r="D3" s="100"/>
      <c r="E3" s="101"/>
      <c r="F3" s="20" t="s">
        <v>6</v>
      </c>
      <c r="G3" s="89" t="s">
        <v>7</v>
      </c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6"/>
      <c r="AS3" s="20" t="s">
        <v>8</v>
      </c>
      <c r="AT3" s="89" t="s">
        <v>350</v>
      </c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6"/>
      <c r="CF3" s="20" t="s">
        <v>9</v>
      </c>
      <c r="CG3" s="89" t="s">
        <v>349</v>
      </c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5"/>
      <c r="DF3" s="85"/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6"/>
      <c r="DS3" s="20" t="s">
        <v>10</v>
      </c>
      <c r="DT3" s="88" t="s">
        <v>351</v>
      </c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5"/>
      <c r="EP3" s="85"/>
      <c r="EQ3" s="85"/>
      <c r="ER3" s="85"/>
      <c r="ES3" s="85"/>
      <c r="ET3" s="85"/>
      <c r="EU3" s="85"/>
      <c r="EV3" s="85"/>
      <c r="EW3" s="85"/>
      <c r="EX3" s="85"/>
      <c r="EY3" s="85"/>
      <c r="EZ3" s="85"/>
      <c r="FA3" s="85"/>
      <c r="FB3" s="85"/>
      <c r="FC3" s="85"/>
      <c r="FD3" s="85"/>
      <c r="FE3" s="86"/>
      <c r="FF3" s="20" t="s">
        <v>11</v>
      </c>
      <c r="FG3" s="88" t="s">
        <v>352</v>
      </c>
      <c r="FH3" s="85"/>
      <c r="FI3" s="85"/>
      <c r="FJ3" s="85"/>
      <c r="FK3" s="85"/>
      <c r="FL3" s="85"/>
      <c r="FM3" s="85"/>
      <c r="FN3" s="85"/>
      <c r="FO3" s="85"/>
      <c r="FP3" s="85"/>
      <c r="FQ3" s="85"/>
      <c r="FR3" s="85"/>
      <c r="FS3" s="85"/>
      <c r="FT3" s="85"/>
      <c r="FU3" s="85"/>
      <c r="FV3" s="85"/>
      <c r="FW3" s="85"/>
      <c r="FX3" s="85"/>
      <c r="FY3" s="85"/>
      <c r="FZ3" s="85"/>
      <c r="GA3" s="85"/>
      <c r="GB3" s="85"/>
      <c r="GC3" s="85"/>
      <c r="GD3" s="85"/>
      <c r="GE3" s="85"/>
      <c r="GF3" s="85"/>
      <c r="GG3" s="85"/>
      <c r="GH3" s="85"/>
      <c r="GI3" s="85"/>
      <c r="GJ3" s="85"/>
      <c r="GK3" s="85"/>
      <c r="GL3" s="85"/>
      <c r="GM3" s="85"/>
      <c r="GN3" s="85"/>
      <c r="GO3" s="85"/>
      <c r="GP3" s="85"/>
      <c r="GQ3" s="85"/>
      <c r="GR3" s="86"/>
      <c r="GS3" s="20" t="s">
        <v>12</v>
      </c>
      <c r="GT3" s="88" t="s">
        <v>353</v>
      </c>
      <c r="GU3" s="85"/>
      <c r="GV3" s="85"/>
      <c r="GW3" s="85"/>
      <c r="GX3" s="85"/>
      <c r="GY3" s="85"/>
      <c r="GZ3" s="85"/>
      <c r="HA3" s="85"/>
      <c r="HB3" s="85"/>
      <c r="HC3" s="85"/>
      <c r="HD3" s="85"/>
      <c r="HE3" s="85"/>
      <c r="HF3" s="85"/>
      <c r="HG3" s="85"/>
      <c r="HH3" s="85"/>
      <c r="HI3" s="85"/>
      <c r="HJ3" s="85"/>
      <c r="HK3" s="85"/>
      <c r="HL3" s="85"/>
      <c r="HM3" s="85"/>
      <c r="HN3" s="85"/>
      <c r="HO3" s="85"/>
      <c r="HP3" s="85"/>
      <c r="HQ3" s="85"/>
      <c r="HR3" s="85"/>
      <c r="HS3" s="85"/>
      <c r="HT3" s="85"/>
      <c r="HU3" s="85"/>
      <c r="HV3" s="85"/>
      <c r="HW3" s="85"/>
      <c r="HX3" s="85"/>
      <c r="HY3" s="85"/>
      <c r="HZ3" s="85"/>
      <c r="IA3" s="85"/>
      <c r="IB3" s="85"/>
      <c r="IC3" s="85"/>
      <c r="ID3" s="85"/>
      <c r="IE3" s="86"/>
      <c r="IF3" s="20" t="s">
        <v>13</v>
      </c>
      <c r="IG3" s="88" t="s">
        <v>354</v>
      </c>
      <c r="IH3" s="85"/>
      <c r="II3" s="85"/>
      <c r="IJ3" s="85"/>
      <c r="IK3" s="85"/>
      <c r="IL3" s="85"/>
      <c r="IM3" s="85"/>
      <c r="IN3" s="85"/>
      <c r="IO3" s="85"/>
      <c r="IP3" s="85"/>
      <c r="IQ3" s="85"/>
      <c r="IR3" s="85"/>
      <c r="IS3" s="85"/>
      <c r="IT3" s="85"/>
      <c r="IU3" s="85"/>
      <c r="IV3" s="85"/>
      <c r="IW3" s="85"/>
      <c r="IX3" s="85"/>
      <c r="IY3" s="85"/>
      <c r="IZ3" s="85"/>
      <c r="JA3" s="85"/>
      <c r="JB3" s="85"/>
      <c r="JC3" s="85"/>
      <c r="JD3" s="85"/>
      <c r="JE3" s="85"/>
      <c r="JF3" s="85"/>
      <c r="JG3" s="85"/>
      <c r="JH3" s="85"/>
      <c r="JI3" s="85"/>
      <c r="JJ3" s="85"/>
      <c r="JK3" s="85"/>
      <c r="JL3" s="85"/>
      <c r="JM3" s="85"/>
      <c r="JN3" s="85"/>
      <c r="JO3" s="85"/>
      <c r="JP3" s="85"/>
      <c r="JQ3" s="85"/>
      <c r="JR3" s="86"/>
      <c r="JS3" s="20" t="s">
        <v>14</v>
      </c>
      <c r="JT3" s="88" t="s">
        <v>355</v>
      </c>
      <c r="JU3" s="85"/>
      <c r="JV3" s="85"/>
      <c r="JW3" s="85"/>
      <c r="JX3" s="85"/>
      <c r="JY3" s="85"/>
      <c r="JZ3" s="85"/>
      <c r="KA3" s="85"/>
      <c r="KB3" s="85"/>
      <c r="KC3" s="85"/>
      <c r="KD3" s="85"/>
      <c r="KE3" s="85"/>
      <c r="KF3" s="85"/>
      <c r="KG3" s="85"/>
      <c r="KH3" s="85"/>
      <c r="KI3" s="85"/>
      <c r="KJ3" s="85"/>
      <c r="KK3" s="85"/>
      <c r="KL3" s="85"/>
      <c r="KM3" s="85"/>
      <c r="KN3" s="85"/>
      <c r="KO3" s="85"/>
      <c r="KP3" s="85"/>
      <c r="KQ3" s="85"/>
      <c r="KR3" s="85"/>
      <c r="KS3" s="85"/>
      <c r="KT3" s="85"/>
      <c r="KU3" s="85"/>
      <c r="KV3" s="85"/>
      <c r="KW3" s="85"/>
      <c r="KX3" s="85"/>
      <c r="KY3" s="85"/>
      <c r="KZ3" s="85"/>
      <c r="LA3" s="85"/>
      <c r="LB3" s="85"/>
      <c r="LC3" s="85"/>
      <c r="LD3" s="85"/>
      <c r="LE3" s="86"/>
      <c r="LF3" s="20" t="s">
        <v>15</v>
      </c>
      <c r="LG3" s="89" t="s">
        <v>16</v>
      </c>
      <c r="LH3" s="85"/>
      <c r="LI3" s="85"/>
      <c r="LJ3" s="85"/>
      <c r="LK3" s="85"/>
      <c r="LL3" s="85"/>
      <c r="LM3" s="85"/>
      <c r="LN3" s="85"/>
      <c r="LO3" s="85"/>
      <c r="LP3" s="85"/>
      <c r="LQ3" s="85"/>
      <c r="LR3" s="85"/>
      <c r="LS3" s="85"/>
      <c r="LT3" s="85"/>
      <c r="LU3" s="85"/>
      <c r="LV3" s="85"/>
      <c r="LW3" s="85"/>
      <c r="LX3" s="85"/>
      <c r="LY3" s="85"/>
      <c r="LZ3" s="85"/>
      <c r="MA3" s="85"/>
      <c r="MB3" s="85"/>
      <c r="MC3" s="85"/>
      <c r="MD3" s="85"/>
      <c r="ME3" s="85"/>
      <c r="MF3" s="85"/>
      <c r="MG3" s="85"/>
      <c r="MH3" s="85"/>
      <c r="MI3" s="85"/>
      <c r="MJ3" s="85"/>
      <c r="MK3" s="85"/>
      <c r="ML3" s="85"/>
      <c r="MM3" s="85"/>
      <c r="MN3" s="85"/>
      <c r="MO3" s="85"/>
      <c r="MP3" s="85"/>
      <c r="MQ3" s="85"/>
      <c r="MR3" s="86"/>
      <c r="MS3" s="20" t="s">
        <v>17</v>
      </c>
      <c r="MT3" s="89" t="s">
        <v>18</v>
      </c>
      <c r="MU3" s="85"/>
      <c r="MV3" s="85"/>
      <c r="MW3" s="85"/>
      <c r="MX3" s="85"/>
      <c r="MY3" s="85"/>
      <c r="MZ3" s="85"/>
      <c r="NA3" s="85"/>
      <c r="NB3" s="85"/>
      <c r="NC3" s="85"/>
      <c r="ND3" s="85"/>
      <c r="NE3" s="85"/>
      <c r="NF3" s="85"/>
      <c r="NG3" s="85"/>
      <c r="NH3" s="85"/>
      <c r="NI3" s="85"/>
      <c r="NJ3" s="85"/>
      <c r="NK3" s="85"/>
      <c r="NL3" s="85"/>
      <c r="NM3" s="85"/>
      <c r="NN3" s="85"/>
      <c r="NO3" s="85"/>
      <c r="NP3" s="85"/>
      <c r="NQ3" s="85"/>
      <c r="NR3" s="85"/>
      <c r="NS3" s="85"/>
      <c r="NT3" s="85"/>
      <c r="NU3" s="85"/>
      <c r="NV3" s="85"/>
      <c r="NW3" s="85"/>
      <c r="NX3" s="85"/>
      <c r="NY3" s="85"/>
      <c r="NZ3" s="85"/>
      <c r="OA3" s="85"/>
      <c r="OB3" s="85"/>
      <c r="OC3" s="85"/>
      <c r="OD3" s="85"/>
      <c r="OE3" s="86"/>
      <c r="OF3" s="20" t="s">
        <v>19</v>
      </c>
      <c r="OG3" s="89" t="s">
        <v>20</v>
      </c>
      <c r="OH3" s="85"/>
      <c r="OI3" s="85"/>
      <c r="OJ3" s="85"/>
      <c r="OK3" s="85"/>
      <c r="OL3" s="85"/>
      <c r="OM3" s="85"/>
      <c r="ON3" s="85"/>
      <c r="OO3" s="85"/>
      <c r="OP3" s="85"/>
      <c r="OQ3" s="85"/>
      <c r="OR3" s="85"/>
      <c r="OS3" s="85"/>
      <c r="OT3" s="85"/>
      <c r="OU3" s="85"/>
      <c r="OV3" s="85"/>
      <c r="OW3" s="85"/>
      <c r="OX3" s="85"/>
      <c r="OY3" s="85"/>
      <c r="OZ3" s="85"/>
      <c r="PA3" s="85"/>
      <c r="PB3" s="85"/>
      <c r="PC3" s="85"/>
      <c r="PD3" s="85"/>
      <c r="PE3" s="85"/>
      <c r="PF3" s="85"/>
      <c r="PG3" s="85"/>
      <c r="PH3" s="85"/>
      <c r="PI3" s="85"/>
      <c r="PJ3" s="85"/>
      <c r="PK3" s="85"/>
      <c r="PL3" s="85"/>
      <c r="PM3" s="85"/>
      <c r="PN3" s="85"/>
      <c r="PO3" s="85"/>
      <c r="PP3" s="85"/>
      <c r="PQ3" s="85"/>
      <c r="PR3" s="86"/>
    </row>
    <row r="4" spans="1:434" ht="86.25" thickBot="1" x14ac:dyDescent="0.3">
      <c r="A4" s="22" t="s">
        <v>21</v>
      </c>
      <c r="B4" s="22" t="s">
        <v>22</v>
      </c>
      <c r="C4" s="22" t="s">
        <v>23</v>
      </c>
      <c r="D4" s="22" t="s">
        <v>24</v>
      </c>
      <c r="E4" s="22" t="s">
        <v>25</v>
      </c>
      <c r="F4" s="23"/>
      <c r="G4" s="74" t="s">
        <v>26</v>
      </c>
      <c r="H4" s="74" t="s">
        <v>27</v>
      </c>
      <c r="I4" s="74" t="s">
        <v>28</v>
      </c>
      <c r="J4" s="74" t="s">
        <v>29</v>
      </c>
      <c r="K4" s="74" t="s">
        <v>30</v>
      </c>
      <c r="L4" s="75" t="s">
        <v>31</v>
      </c>
      <c r="M4" s="75" t="s">
        <v>32</v>
      </c>
      <c r="N4" s="75" t="s">
        <v>33</v>
      </c>
      <c r="O4" s="75" t="s">
        <v>34</v>
      </c>
      <c r="P4" s="75" t="s">
        <v>35</v>
      </c>
      <c r="Q4" s="76" t="s">
        <v>36</v>
      </c>
      <c r="R4" s="76" t="s">
        <v>37</v>
      </c>
      <c r="S4" s="76" t="s">
        <v>38</v>
      </c>
      <c r="T4" s="76" t="s">
        <v>39</v>
      </c>
      <c r="U4" s="76" t="s">
        <v>40</v>
      </c>
      <c r="V4" s="76" t="s">
        <v>41</v>
      </c>
      <c r="W4" s="76" t="s">
        <v>42</v>
      </c>
      <c r="X4" s="76" t="s">
        <v>43</v>
      </c>
      <c r="Y4" s="77" t="s">
        <v>44</v>
      </c>
      <c r="Z4" s="77" t="s">
        <v>45</v>
      </c>
      <c r="AA4" s="77" t="s">
        <v>46</v>
      </c>
      <c r="AB4" s="77" t="s">
        <v>47</v>
      </c>
      <c r="AC4" s="77" t="s">
        <v>48</v>
      </c>
      <c r="AD4" s="77" t="s">
        <v>49</v>
      </c>
      <c r="AE4" s="77" t="s">
        <v>50</v>
      </c>
      <c r="AF4" s="77" t="s">
        <v>51</v>
      </c>
      <c r="AG4" s="77" t="s">
        <v>52</v>
      </c>
      <c r="AH4" s="77" t="s">
        <v>53</v>
      </c>
      <c r="AI4" s="77" t="s">
        <v>54</v>
      </c>
      <c r="AJ4" s="78" t="s">
        <v>55</v>
      </c>
      <c r="AK4" s="78" t="s">
        <v>56</v>
      </c>
      <c r="AL4" s="78" t="s">
        <v>57</v>
      </c>
      <c r="AM4" s="78" t="s">
        <v>58</v>
      </c>
      <c r="AN4" s="78" t="s">
        <v>59</v>
      </c>
      <c r="AO4" s="78" t="s">
        <v>60</v>
      </c>
      <c r="AP4" s="79" t="s">
        <v>61</v>
      </c>
      <c r="AQ4" s="80" t="s">
        <v>62</v>
      </c>
      <c r="AR4" s="81" t="s">
        <v>63</v>
      </c>
      <c r="AS4" s="23"/>
      <c r="AT4" s="74" t="s">
        <v>26</v>
      </c>
      <c r="AU4" s="74" t="s">
        <v>27</v>
      </c>
      <c r="AV4" s="74" t="s">
        <v>28</v>
      </c>
      <c r="AW4" s="74" t="s">
        <v>29</v>
      </c>
      <c r="AX4" s="74" t="s">
        <v>30</v>
      </c>
      <c r="AY4" s="75" t="s">
        <v>31</v>
      </c>
      <c r="AZ4" s="75" t="s">
        <v>32</v>
      </c>
      <c r="BA4" s="75" t="s">
        <v>33</v>
      </c>
      <c r="BB4" s="75" t="s">
        <v>34</v>
      </c>
      <c r="BC4" s="75" t="s">
        <v>35</v>
      </c>
      <c r="BD4" s="76" t="s">
        <v>36</v>
      </c>
      <c r="BE4" s="76" t="s">
        <v>37</v>
      </c>
      <c r="BF4" s="76" t="s">
        <v>38</v>
      </c>
      <c r="BG4" s="76" t="s">
        <v>39</v>
      </c>
      <c r="BH4" s="76" t="s">
        <v>40</v>
      </c>
      <c r="BI4" s="76" t="s">
        <v>41</v>
      </c>
      <c r="BJ4" s="76" t="s">
        <v>42</v>
      </c>
      <c r="BK4" s="76" t="s">
        <v>43</v>
      </c>
      <c r="BL4" s="77" t="s">
        <v>44</v>
      </c>
      <c r="BM4" s="77" t="s">
        <v>45</v>
      </c>
      <c r="BN4" s="77" t="s">
        <v>46</v>
      </c>
      <c r="BO4" s="77" t="s">
        <v>47</v>
      </c>
      <c r="BP4" s="77" t="s">
        <v>48</v>
      </c>
      <c r="BQ4" s="77" t="s">
        <v>49</v>
      </c>
      <c r="BR4" s="77" t="s">
        <v>50</v>
      </c>
      <c r="BS4" s="77" t="s">
        <v>51</v>
      </c>
      <c r="BT4" s="77" t="s">
        <v>52</v>
      </c>
      <c r="BU4" s="77" t="s">
        <v>53</v>
      </c>
      <c r="BV4" s="77" t="s">
        <v>54</v>
      </c>
      <c r="BW4" s="78" t="s">
        <v>55</v>
      </c>
      <c r="BX4" s="78" t="s">
        <v>56</v>
      </c>
      <c r="BY4" s="78" t="s">
        <v>57</v>
      </c>
      <c r="BZ4" s="78" t="s">
        <v>58</v>
      </c>
      <c r="CA4" s="78" t="s">
        <v>59</v>
      </c>
      <c r="CB4" s="78" t="s">
        <v>60</v>
      </c>
      <c r="CC4" s="79" t="s">
        <v>61</v>
      </c>
      <c r="CD4" s="80" t="s">
        <v>62</v>
      </c>
      <c r="CE4" s="81" t="s">
        <v>63</v>
      </c>
      <c r="CF4" s="23"/>
      <c r="CG4" s="74" t="s">
        <v>26</v>
      </c>
      <c r="CH4" s="74" t="s">
        <v>27</v>
      </c>
      <c r="CI4" s="74" t="s">
        <v>28</v>
      </c>
      <c r="CJ4" s="74" t="s">
        <v>29</v>
      </c>
      <c r="CK4" s="74" t="s">
        <v>30</v>
      </c>
      <c r="CL4" s="75" t="s">
        <v>31</v>
      </c>
      <c r="CM4" s="75" t="s">
        <v>32</v>
      </c>
      <c r="CN4" s="75" t="s">
        <v>33</v>
      </c>
      <c r="CO4" s="75" t="s">
        <v>34</v>
      </c>
      <c r="CP4" s="75" t="s">
        <v>35</v>
      </c>
      <c r="CQ4" s="76" t="s">
        <v>36</v>
      </c>
      <c r="CR4" s="76" t="s">
        <v>37</v>
      </c>
      <c r="CS4" s="76" t="s">
        <v>38</v>
      </c>
      <c r="CT4" s="76" t="s">
        <v>39</v>
      </c>
      <c r="CU4" s="76" t="s">
        <v>40</v>
      </c>
      <c r="CV4" s="76" t="s">
        <v>41</v>
      </c>
      <c r="CW4" s="76" t="s">
        <v>42</v>
      </c>
      <c r="CX4" s="76" t="s">
        <v>43</v>
      </c>
      <c r="CY4" s="77" t="s">
        <v>44</v>
      </c>
      <c r="CZ4" s="77" t="s">
        <v>45</v>
      </c>
      <c r="DA4" s="77" t="s">
        <v>46</v>
      </c>
      <c r="DB4" s="77" t="s">
        <v>47</v>
      </c>
      <c r="DC4" s="77" t="s">
        <v>48</v>
      </c>
      <c r="DD4" s="77" t="s">
        <v>49</v>
      </c>
      <c r="DE4" s="77" t="s">
        <v>50</v>
      </c>
      <c r="DF4" s="77" t="s">
        <v>51</v>
      </c>
      <c r="DG4" s="77" t="s">
        <v>52</v>
      </c>
      <c r="DH4" s="77" t="s">
        <v>53</v>
      </c>
      <c r="DI4" s="77" t="s">
        <v>54</v>
      </c>
      <c r="DJ4" s="78" t="s">
        <v>55</v>
      </c>
      <c r="DK4" s="78" t="s">
        <v>56</v>
      </c>
      <c r="DL4" s="78" t="s">
        <v>57</v>
      </c>
      <c r="DM4" s="78" t="s">
        <v>58</v>
      </c>
      <c r="DN4" s="78" t="s">
        <v>59</v>
      </c>
      <c r="DO4" s="78" t="s">
        <v>60</v>
      </c>
      <c r="DP4" s="79" t="s">
        <v>61</v>
      </c>
      <c r="DQ4" s="80" t="s">
        <v>62</v>
      </c>
      <c r="DR4" s="81" t="s">
        <v>63</v>
      </c>
      <c r="DS4" s="23"/>
      <c r="DT4" s="74" t="s">
        <v>26</v>
      </c>
      <c r="DU4" s="74" t="s">
        <v>27</v>
      </c>
      <c r="DV4" s="74" t="s">
        <v>28</v>
      </c>
      <c r="DW4" s="74" t="s">
        <v>29</v>
      </c>
      <c r="DX4" s="74" t="s">
        <v>30</v>
      </c>
      <c r="DY4" s="75" t="s">
        <v>31</v>
      </c>
      <c r="DZ4" s="75" t="s">
        <v>32</v>
      </c>
      <c r="EA4" s="75" t="s">
        <v>33</v>
      </c>
      <c r="EB4" s="75" t="s">
        <v>34</v>
      </c>
      <c r="EC4" s="75" t="s">
        <v>35</v>
      </c>
      <c r="ED4" s="76" t="s">
        <v>36</v>
      </c>
      <c r="EE4" s="76" t="s">
        <v>37</v>
      </c>
      <c r="EF4" s="76" t="s">
        <v>38</v>
      </c>
      <c r="EG4" s="76" t="s">
        <v>39</v>
      </c>
      <c r="EH4" s="76" t="s">
        <v>40</v>
      </c>
      <c r="EI4" s="76" t="s">
        <v>41</v>
      </c>
      <c r="EJ4" s="76" t="s">
        <v>42</v>
      </c>
      <c r="EK4" s="76" t="s">
        <v>43</v>
      </c>
      <c r="EL4" s="77" t="s">
        <v>44</v>
      </c>
      <c r="EM4" s="77" t="s">
        <v>45</v>
      </c>
      <c r="EN4" s="77" t="s">
        <v>46</v>
      </c>
      <c r="EO4" s="77" t="s">
        <v>47</v>
      </c>
      <c r="EP4" s="77" t="s">
        <v>48</v>
      </c>
      <c r="EQ4" s="77" t="s">
        <v>49</v>
      </c>
      <c r="ER4" s="77" t="s">
        <v>50</v>
      </c>
      <c r="ES4" s="77" t="s">
        <v>51</v>
      </c>
      <c r="ET4" s="77" t="s">
        <v>52</v>
      </c>
      <c r="EU4" s="77" t="s">
        <v>53</v>
      </c>
      <c r="EV4" s="77" t="s">
        <v>54</v>
      </c>
      <c r="EW4" s="78" t="s">
        <v>55</v>
      </c>
      <c r="EX4" s="78" t="s">
        <v>56</v>
      </c>
      <c r="EY4" s="78" t="s">
        <v>57</v>
      </c>
      <c r="EZ4" s="78" t="s">
        <v>58</v>
      </c>
      <c r="FA4" s="78" t="s">
        <v>59</v>
      </c>
      <c r="FB4" s="78" t="s">
        <v>60</v>
      </c>
      <c r="FC4" s="79" t="s">
        <v>61</v>
      </c>
      <c r="FD4" s="80" t="s">
        <v>62</v>
      </c>
      <c r="FE4" s="81" t="s">
        <v>63</v>
      </c>
      <c r="FF4" s="23"/>
      <c r="FG4" s="74" t="s">
        <v>26</v>
      </c>
      <c r="FH4" s="74" t="s">
        <v>27</v>
      </c>
      <c r="FI4" s="74" t="s">
        <v>28</v>
      </c>
      <c r="FJ4" s="74" t="s">
        <v>29</v>
      </c>
      <c r="FK4" s="74" t="s">
        <v>30</v>
      </c>
      <c r="FL4" s="75" t="s">
        <v>31</v>
      </c>
      <c r="FM4" s="75" t="s">
        <v>32</v>
      </c>
      <c r="FN4" s="75" t="s">
        <v>33</v>
      </c>
      <c r="FO4" s="75" t="s">
        <v>34</v>
      </c>
      <c r="FP4" s="75" t="s">
        <v>35</v>
      </c>
      <c r="FQ4" s="76" t="s">
        <v>36</v>
      </c>
      <c r="FR4" s="76" t="s">
        <v>37</v>
      </c>
      <c r="FS4" s="76" t="s">
        <v>38</v>
      </c>
      <c r="FT4" s="76" t="s">
        <v>39</v>
      </c>
      <c r="FU4" s="76" t="s">
        <v>40</v>
      </c>
      <c r="FV4" s="76" t="s">
        <v>41</v>
      </c>
      <c r="FW4" s="76" t="s">
        <v>42</v>
      </c>
      <c r="FX4" s="76" t="s">
        <v>43</v>
      </c>
      <c r="FY4" s="77" t="s">
        <v>44</v>
      </c>
      <c r="FZ4" s="77" t="s">
        <v>45</v>
      </c>
      <c r="GA4" s="77" t="s">
        <v>46</v>
      </c>
      <c r="GB4" s="77" t="s">
        <v>47</v>
      </c>
      <c r="GC4" s="77" t="s">
        <v>48</v>
      </c>
      <c r="GD4" s="77" t="s">
        <v>49</v>
      </c>
      <c r="GE4" s="77" t="s">
        <v>50</v>
      </c>
      <c r="GF4" s="77" t="s">
        <v>51</v>
      </c>
      <c r="GG4" s="77" t="s">
        <v>52</v>
      </c>
      <c r="GH4" s="77" t="s">
        <v>53</v>
      </c>
      <c r="GI4" s="77" t="s">
        <v>54</v>
      </c>
      <c r="GJ4" s="78" t="s">
        <v>55</v>
      </c>
      <c r="GK4" s="78" t="s">
        <v>56</v>
      </c>
      <c r="GL4" s="78" t="s">
        <v>57</v>
      </c>
      <c r="GM4" s="78" t="s">
        <v>58</v>
      </c>
      <c r="GN4" s="78" t="s">
        <v>59</v>
      </c>
      <c r="GO4" s="78" t="s">
        <v>60</v>
      </c>
      <c r="GP4" s="79" t="s">
        <v>61</v>
      </c>
      <c r="GQ4" s="80" t="s">
        <v>62</v>
      </c>
      <c r="GR4" s="81" t="s">
        <v>63</v>
      </c>
      <c r="GS4" s="23"/>
      <c r="GT4" s="74" t="s">
        <v>26</v>
      </c>
      <c r="GU4" s="74" t="s">
        <v>27</v>
      </c>
      <c r="GV4" s="74" t="s">
        <v>28</v>
      </c>
      <c r="GW4" s="74" t="s">
        <v>29</v>
      </c>
      <c r="GX4" s="74" t="s">
        <v>30</v>
      </c>
      <c r="GY4" s="75" t="s">
        <v>31</v>
      </c>
      <c r="GZ4" s="75" t="s">
        <v>32</v>
      </c>
      <c r="HA4" s="75" t="s">
        <v>33</v>
      </c>
      <c r="HB4" s="75" t="s">
        <v>34</v>
      </c>
      <c r="HC4" s="75" t="s">
        <v>35</v>
      </c>
      <c r="HD4" s="76" t="s">
        <v>36</v>
      </c>
      <c r="HE4" s="76" t="s">
        <v>37</v>
      </c>
      <c r="HF4" s="76" t="s">
        <v>38</v>
      </c>
      <c r="HG4" s="76" t="s">
        <v>39</v>
      </c>
      <c r="HH4" s="76" t="s">
        <v>40</v>
      </c>
      <c r="HI4" s="76" t="s">
        <v>41</v>
      </c>
      <c r="HJ4" s="76" t="s">
        <v>42</v>
      </c>
      <c r="HK4" s="76" t="s">
        <v>43</v>
      </c>
      <c r="HL4" s="77" t="s">
        <v>44</v>
      </c>
      <c r="HM4" s="77" t="s">
        <v>45</v>
      </c>
      <c r="HN4" s="77" t="s">
        <v>46</v>
      </c>
      <c r="HO4" s="77" t="s">
        <v>47</v>
      </c>
      <c r="HP4" s="77" t="s">
        <v>48</v>
      </c>
      <c r="HQ4" s="77" t="s">
        <v>49</v>
      </c>
      <c r="HR4" s="77" t="s">
        <v>50</v>
      </c>
      <c r="HS4" s="77" t="s">
        <v>51</v>
      </c>
      <c r="HT4" s="77" t="s">
        <v>52</v>
      </c>
      <c r="HU4" s="77" t="s">
        <v>53</v>
      </c>
      <c r="HV4" s="77" t="s">
        <v>54</v>
      </c>
      <c r="HW4" s="78" t="s">
        <v>55</v>
      </c>
      <c r="HX4" s="78" t="s">
        <v>56</v>
      </c>
      <c r="HY4" s="78" t="s">
        <v>57</v>
      </c>
      <c r="HZ4" s="78" t="s">
        <v>58</v>
      </c>
      <c r="IA4" s="78" t="s">
        <v>59</v>
      </c>
      <c r="IB4" s="78" t="s">
        <v>60</v>
      </c>
      <c r="IC4" s="79" t="s">
        <v>61</v>
      </c>
      <c r="ID4" s="80" t="s">
        <v>62</v>
      </c>
      <c r="IE4" s="81" t="s">
        <v>63</v>
      </c>
      <c r="IF4" s="23"/>
      <c r="IG4" s="74" t="s">
        <v>26</v>
      </c>
      <c r="IH4" s="74" t="s">
        <v>27</v>
      </c>
      <c r="II4" s="74" t="s">
        <v>28</v>
      </c>
      <c r="IJ4" s="74" t="s">
        <v>29</v>
      </c>
      <c r="IK4" s="74" t="s">
        <v>30</v>
      </c>
      <c r="IL4" s="75" t="s">
        <v>31</v>
      </c>
      <c r="IM4" s="75" t="s">
        <v>32</v>
      </c>
      <c r="IN4" s="75" t="s">
        <v>33</v>
      </c>
      <c r="IO4" s="75" t="s">
        <v>34</v>
      </c>
      <c r="IP4" s="75" t="s">
        <v>35</v>
      </c>
      <c r="IQ4" s="76" t="s">
        <v>36</v>
      </c>
      <c r="IR4" s="76" t="s">
        <v>37</v>
      </c>
      <c r="IS4" s="76" t="s">
        <v>38</v>
      </c>
      <c r="IT4" s="76" t="s">
        <v>39</v>
      </c>
      <c r="IU4" s="76" t="s">
        <v>40</v>
      </c>
      <c r="IV4" s="76" t="s">
        <v>41</v>
      </c>
      <c r="IW4" s="76" t="s">
        <v>42</v>
      </c>
      <c r="IX4" s="76" t="s">
        <v>43</v>
      </c>
      <c r="IY4" s="77" t="s">
        <v>44</v>
      </c>
      <c r="IZ4" s="77" t="s">
        <v>45</v>
      </c>
      <c r="JA4" s="77" t="s">
        <v>46</v>
      </c>
      <c r="JB4" s="77" t="s">
        <v>47</v>
      </c>
      <c r="JC4" s="77" t="s">
        <v>48</v>
      </c>
      <c r="JD4" s="77" t="s">
        <v>49</v>
      </c>
      <c r="JE4" s="77" t="s">
        <v>50</v>
      </c>
      <c r="JF4" s="77" t="s">
        <v>51</v>
      </c>
      <c r="JG4" s="77" t="s">
        <v>52</v>
      </c>
      <c r="JH4" s="77" t="s">
        <v>53</v>
      </c>
      <c r="JI4" s="77" t="s">
        <v>54</v>
      </c>
      <c r="JJ4" s="78" t="s">
        <v>55</v>
      </c>
      <c r="JK4" s="78" t="s">
        <v>56</v>
      </c>
      <c r="JL4" s="78" t="s">
        <v>57</v>
      </c>
      <c r="JM4" s="78" t="s">
        <v>58</v>
      </c>
      <c r="JN4" s="78" t="s">
        <v>59</v>
      </c>
      <c r="JO4" s="78" t="s">
        <v>60</v>
      </c>
      <c r="JP4" s="79" t="s">
        <v>61</v>
      </c>
      <c r="JQ4" s="80" t="s">
        <v>62</v>
      </c>
      <c r="JR4" s="81" t="s">
        <v>63</v>
      </c>
      <c r="JS4" s="23"/>
      <c r="JT4" s="74" t="s">
        <v>26</v>
      </c>
      <c r="JU4" s="74" t="s">
        <v>27</v>
      </c>
      <c r="JV4" s="74" t="s">
        <v>28</v>
      </c>
      <c r="JW4" s="74" t="s">
        <v>29</v>
      </c>
      <c r="JX4" s="74" t="s">
        <v>30</v>
      </c>
      <c r="JY4" s="75" t="s">
        <v>31</v>
      </c>
      <c r="JZ4" s="75" t="s">
        <v>32</v>
      </c>
      <c r="KA4" s="75" t="s">
        <v>33</v>
      </c>
      <c r="KB4" s="75" t="s">
        <v>34</v>
      </c>
      <c r="KC4" s="75" t="s">
        <v>35</v>
      </c>
      <c r="KD4" s="76" t="s">
        <v>36</v>
      </c>
      <c r="KE4" s="76" t="s">
        <v>37</v>
      </c>
      <c r="KF4" s="76" t="s">
        <v>38</v>
      </c>
      <c r="KG4" s="76" t="s">
        <v>39</v>
      </c>
      <c r="KH4" s="76" t="s">
        <v>40</v>
      </c>
      <c r="KI4" s="76" t="s">
        <v>41</v>
      </c>
      <c r="KJ4" s="76" t="s">
        <v>42</v>
      </c>
      <c r="KK4" s="76" t="s">
        <v>43</v>
      </c>
      <c r="KL4" s="77" t="s">
        <v>44</v>
      </c>
      <c r="KM4" s="77" t="s">
        <v>45</v>
      </c>
      <c r="KN4" s="77" t="s">
        <v>46</v>
      </c>
      <c r="KO4" s="77" t="s">
        <v>47</v>
      </c>
      <c r="KP4" s="77" t="s">
        <v>48</v>
      </c>
      <c r="KQ4" s="77" t="s">
        <v>49</v>
      </c>
      <c r="KR4" s="77" t="s">
        <v>50</v>
      </c>
      <c r="KS4" s="77" t="s">
        <v>51</v>
      </c>
      <c r="KT4" s="77" t="s">
        <v>52</v>
      </c>
      <c r="KU4" s="77" t="s">
        <v>53</v>
      </c>
      <c r="KV4" s="77" t="s">
        <v>54</v>
      </c>
      <c r="KW4" s="78" t="s">
        <v>55</v>
      </c>
      <c r="KX4" s="78" t="s">
        <v>56</v>
      </c>
      <c r="KY4" s="78" t="s">
        <v>57</v>
      </c>
      <c r="KZ4" s="78" t="s">
        <v>58</v>
      </c>
      <c r="LA4" s="78" t="s">
        <v>59</v>
      </c>
      <c r="LB4" s="78" t="s">
        <v>60</v>
      </c>
      <c r="LC4" s="79" t="s">
        <v>61</v>
      </c>
      <c r="LD4" s="80" t="s">
        <v>62</v>
      </c>
      <c r="LE4" s="81" t="s">
        <v>63</v>
      </c>
      <c r="LF4" s="23"/>
      <c r="LG4" s="74" t="s">
        <v>26</v>
      </c>
      <c r="LH4" s="74" t="s">
        <v>27</v>
      </c>
      <c r="LI4" s="74" t="s">
        <v>28</v>
      </c>
      <c r="LJ4" s="74" t="s">
        <v>29</v>
      </c>
      <c r="LK4" s="74" t="s">
        <v>30</v>
      </c>
      <c r="LL4" s="75" t="s">
        <v>31</v>
      </c>
      <c r="LM4" s="75" t="s">
        <v>32</v>
      </c>
      <c r="LN4" s="75" t="s">
        <v>33</v>
      </c>
      <c r="LO4" s="75" t="s">
        <v>34</v>
      </c>
      <c r="LP4" s="75" t="s">
        <v>35</v>
      </c>
      <c r="LQ4" s="76" t="s">
        <v>36</v>
      </c>
      <c r="LR4" s="76" t="s">
        <v>37</v>
      </c>
      <c r="LS4" s="76" t="s">
        <v>38</v>
      </c>
      <c r="LT4" s="76" t="s">
        <v>39</v>
      </c>
      <c r="LU4" s="76" t="s">
        <v>40</v>
      </c>
      <c r="LV4" s="76" t="s">
        <v>41</v>
      </c>
      <c r="LW4" s="76" t="s">
        <v>42</v>
      </c>
      <c r="LX4" s="76" t="s">
        <v>43</v>
      </c>
      <c r="LY4" s="77" t="s">
        <v>44</v>
      </c>
      <c r="LZ4" s="77" t="s">
        <v>45</v>
      </c>
      <c r="MA4" s="77" t="s">
        <v>46</v>
      </c>
      <c r="MB4" s="77" t="s">
        <v>47</v>
      </c>
      <c r="MC4" s="77" t="s">
        <v>48</v>
      </c>
      <c r="MD4" s="77" t="s">
        <v>49</v>
      </c>
      <c r="ME4" s="77" t="s">
        <v>50</v>
      </c>
      <c r="MF4" s="77" t="s">
        <v>51</v>
      </c>
      <c r="MG4" s="77" t="s">
        <v>52</v>
      </c>
      <c r="MH4" s="77" t="s">
        <v>53</v>
      </c>
      <c r="MI4" s="77" t="s">
        <v>54</v>
      </c>
      <c r="MJ4" s="78" t="s">
        <v>55</v>
      </c>
      <c r="MK4" s="78" t="s">
        <v>56</v>
      </c>
      <c r="ML4" s="78" t="s">
        <v>57</v>
      </c>
      <c r="MM4" s="78" t="s">
        <v>58</v>
      </c>
      <c r="MN4" s="78" t="s">
        <v>59</v>
      </c>
      <c r="MO4" s="78" t="s">
        <v>60</v>
      </c>
      <c r="MP4" s="79" t="s">
        <v>61</v>
      </c>
      <c r="MQ4" s="80" t="s">
        <v>62</v>
      </c>
      <c r="MR4" s="81" t="s">
        <v>63</v>
      </c>
      <c r="MS4" s="23"/>
      <c r="MT4" s="74" t="s">
        <v>26</v>
      </c>
      <c r="MU4" s="74" t="s">
        <v>27</v>
      </c>
      <c r="MV4" s="74" t="s">
        <v>28</v>
      </c>
      <c r="MW4" s="74" t="s">
        <v>29</v>
      </c>
      <c r="MX4" s="74" t="s">
        <v>30</v>
      </c>
      <c r="MY4" s="75" t="s">
        <v>31</v>
      </c>
      <c r="MZ4" s="75" t="s">
        <v>32</v>
      </c>
      <c r="NA4" s="75" t="s">
        <v>33</v>
      </c>
      <c r="NB4" s="75" t="s">
        <v>34</v>
      </c>
      <c r="NC4" s="75" t="s">
        <v>35</v>
      </c>
      <c r="ND4" s="76" t="s">
        <v>36</v>
      </c>
      <c r="NE4" s="76" t="s">
        <v>37</v>
      </c>
      <c r="NF4" s="76" t="s">
        <v>38</v>
      </c>
      <c r="NG4" s="76" t="s">
        <v>39</v>
      </c>
      <c r="NH4" s="76" t="s">
        <v>40</v>
      </c>
      <c r="NI4" s="76" t="s">
        <v>41</v>
      </c>
      <c r="NJ4" s="76" t="s">
        <v>42</v>
      </c>
      <c r="NK4" s="76" t="s">
        <v>43</v>
      </c>
      <c r="NL4" s="77" t="s">
        <v>44</v>
      </c>
      <c r="NM4" s="77" t="s">
        <v>45</v>
      </c>
      <c r="NN4" s="77" t="s">
        <v>46</v>
      </c>
      <c r="NO4" s="77" t="s">
        <v>47</v>
      </c>
      <c r="NP4" s="77" t="s">
        <v>48</v>
      </c>
      <c r="NQ4" s="77" t="s">
        <v>49</v>
      </c>
      <c r="NR4" s="77" t="s">
        <v>50</v>
      </c>
      <c r="NS4" s="77" t="s">
        <v>51</v>
      </c>
      <c r="NT4" s="77" t="s">
        <v>52</v>
      </c>
      <c r="NU4" s="77" t="s">
        <v>53</v>
      </c>
      <c r="NV4" s="77" t="s">
        <v>54</v>
      </c>
      <c r="NW4" s="78" t="s">
        <v>55</v>
      </c>
      <c r="NX4" s="78" t="s">
        <v>56</v>
      </c>
      <c r="NY4" s="78" t="s">
        <v>57</v>
      </c>
      <c r="NZ4" s="78" t="s">
        <v>58</v>
      </c>
      <c r="OA4" s="78" t="s">
        <v>59</v>
      </c>
      <c r="OB4" s="78" t="s">
        <v>60</v>
      </c>
      <c r="OC4" s="79" t="s">
        <v>61</v>
      </c>
      <c r="OD4" s="80" t="s">
        <v>62</v>
      </c>
      <c r="OE4" s="81" t="s">
        <v>63</v>
      </c>
      <c r="OF4" s="23"/>
      <c r="OG4" s="74" t="s">
        <v>26</v>
      </c>
      <c r="OH4" s="74" t="s">
        <v>27</v>
      </c>
      <c r="OI4" s="74" t="s">
        <v>28</v>
      </c>
      <c r="OJ4" s="74" t="s">
        <v>29</v>
      </c>
      <c r="OK4" s="74" t="s">
        <v>30</v>
      </c>
      <c r="OL4" s="75" t="s">
        <v>31</v>
      </c>
      <c r="OM4" s="75" t="s">
        <v>32</v>
      </c>
      <c r="ON4" s="75" t="s">
        <v>33</v>
      </c>
      <c r="OO4" s="75" t="s">
        <v>34</v>
      </c>
      <c r="OP4" s="75" t="s">
        <v>35</v>
      </c>
      <c r="OQ4" s="76" t="s">
        <v>36</v>
      </c>
      <c r="OR4" s="76" t="s">
        <v>37</v>
      </c>
      <c r="OS4" s="76" t="s">
        <v>38</v>
      </c>
      <c r="OT4" s="76" t="s">
        <v>39</v>
      </c>
      <c r="OU4" s="76" t="s">
        <v>40</v>
      </c>
      <c r="OV4" s="76" t="s">
        <v>41</v>
      </c>
      <c r="OW4" s="76" t="s">
        <v>42</v>
      </c>
      <c r="OX4" s="76" t="s">
        <v>43</v>
      </c>
      <c r="OY4" s="77" t="s">
        <v>44</v>
      </c>
      <c r="OZ4" s="77" t="s">
        <v>45</v>
      </c>
      <c r="PA4" s="77" t="s">
        <v>46</v>
      </c>
      <c r="PB4" s="77" t="s">
        <v>47</v>
      </c>
      <c r="PC4" s="77" t="s">
        <v>48</v>
      </c>
      <c r="PD4" s="77" t="s">
        <v>49</v>
      </c>
      <c r="PE4" s="77" t="s">
        <v>50</v>
      </c>
      <c r="PF4" s="77" t="s">
        <v>51</v>
      </c>
      <c r="PG4" s="77" t="s">
        <v>52</v>
      </c>
      <c r="PH4" s="77" t="s">
        <v>53</v>
      </c>
      <c r="PI4" s="77" t="s">
        <v>54</v>
      </c>
      <c r="PJ4" s="78" t="s">
        <v>55</v>
      </c>
      <c r="PK4" s="78" t="s">
        <v>56</v>
      </c>
      <c r="PL4" s="78" t="s">
        <v>57</v>
      </c>
      <c r="PM4" s="78" t="s">
        <v>58</v>
      </c>
      <c r="PN4" s="78" t="s">
        <v>59</v>
      </c>
      <c r="PO4" s="78" t="s">
        <v>60</v>
      </c>
      <c r="PP4" s="79" t="s">
        <v>61</v>
      </c>
      <c r="PQ4" s="80" t="s">
        <v>62</v>
      </c>
      <c r="PR4" s="81" t="s">
        <v>63</v>
      </c>
    </row>
    <row r="5" spans="1:434" ht="21.95" customHeight="1" thickBot="1" x14ac:dyDescent="0.3">
      <c r="A5" s="84" t="s">
        <v>64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/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  <c r="FU5" s="85"/>
      <c r="FV5" s="85"/>
      <c r="FW5" s="85"/>
      <c r="FX5" s="85"/>
      <c r="FY5" s="85"/>
      <c r="FZ5" s="85"/>
      <c r="GA5" s="85"/>
      <c r="GB5" s="85"/>
      <c r="GC5" s="85"/>
      <c r="GD5" s="85"/>
      <c r="GE5" s="85"/>
      <c r="GF5" s="85"/>
      <c r="GG5" s="85"/>
      <c r="GH5" s="85"/>
      <c r="GI5" s="85"/>
      <c r="GJ5" s="85"/>
      <c r="GK5" s="85"/>
      <c r="GL5" s="85"/>
      <c r="GM5" s="85"/>
      <c r="GN5" s="85"/>
      <c r="GO5" s="85"/>
      <c r="GP5" s="85"/>
      <c r="GQ5" s="85"/>
      <c r="GR5" s="85"/>
      <c r="GS5" s="85"/>
      <c r="GT5" s="85"/>
      <c r="GU5" s="85"/>
      <c r="GV5" s="85"/>
      <c r="GW5" s="85"/>
      <c r="GX5" s="85"/>
      <c r="GY5" s="85"/>
      <c r="GZ5" s="85"/>
      <c r="HA5" s="85"/>
      <c r="HB5" s="85"/>
      <c r="HC5" s="85"/>
      <c r="HD5" s="85"/>
      <c r="HE5" s="85"/>
      <c r="HF5" s="85"/>
      <c r="HG5" s="85"/>
      <c r="HH5" s="85"/>
      <c r="HI5" s="85"/>
      <c r="HJ5" s="85"/>
      <c r="HK5" s="85"/>
      <c r="HL5" s="85"/>
      <c r="HM5" s="85"/>
      <c r="HN5" s="85"/>
      <c r="HO5" s="85"/>
      <c r="HP5" s="85"/>
      <c r="HQ5" s="85"/>
      <c r="HR5" s="85"/>
      <c r="HS5" s="85"/>
      <c r="HT5" s="85"/>
      <c r="HU5" s="85"/>
      <c r="HV5" s="85"/>
      <c r="HW5" s="85"/>
      <c r="HX5" s="85"/>
      <c r="HY5" s="85"/>
      <c r="HZ5" s="85"/>
      <c r="IA5" s="85"/>
      <c r="IB5" s="85"/>
      <c r="IC5" s="85"/>
      <c r="ID5" s="85"/>
      <c r="IE5" s="85"/>
      <c r="IF5" s="85"/>
      <c r="IG5" s="85"/>
      <c r="IH5" s="85"/>
      <c r="II5" s="85"/>
      <c r="IJ5" s="85"/>
      <c r="IK5" s="85"/>
      <c r="IL5" s="85"/>
      <c r="IM5" s="85"/>
      <c r="IN5" s="85"/>
      <c r="IO5" s="85"/>
      <c r="IP5" s="85"/>
      <c r="IQ5" s="85"/>
      <c r="IR5" s="85"/>
      <c r="IS5" s="85"/>
      <c r="IT5" s="85"/>
      <c r="IU5" s="85"/>
      <c r="IV5" s="85"/>
      <c r="IW5" s="85"/>
      <c r="IX5" s="85"/>
      <c r="IY5" s="85"/>
      <c r="IZ5" s="85"/>
      <c r="JA5" s="85"/>
      <c r="JB5" s="85"/>
      <c r="JC5" s="85"/>
      <c r="JD5" s="85"/>
      <c r="JE5" s="85"/>
      <c r="JF5" s="85"/>
      <c r="JG5" s="85"/>
      <c r="JH5" s="85"/>
      <c r="JI5" s="85"/>
      <c r="JJ5" s="85"/>
      <c r="JK5" s="85"/>
      <c r="JL5" s="85"/>
      <c r="JM5" s="85"/>
      <c r="JN5" s="85"/>
      <c r="JO5" s="85"/>
      <c r="JP5" s="85"/>
      <c r="JQ5" s="85"/>
      <c r="JR5" s="85"/>
      <c r="JS5" s="85"/>
      <c r="JT5" s="85"/>
      <c r="JU5" s="85"/>
      <c r="JV5" s="85"/>
      <c r="JW5" s="85"/>
      <c r="JX5" s="85"/>
      <c r="JY5" s="85"/>
      <c r="JZ5" s="85"/>
      <c r="KA5" s="85"/>
      <c r="KB5" s="85"/>
      <c r="KC5" s="85"/>
      <c r="KD5" s="85"/>
      <c r="KE5" s="85"/>
      <c r="KF5" s="85"/>
      <c r="KG5" s="85"/>
      <c r="KH5" s="85"/>
      <c r="KI5" s="85"/>
      <c r="KJ5" s="85"/>
      <c r="KK5" s="85"/>
      <c r="KL5" s="85"/>
      <c r="KM5" s="85"/>
      <c r="KN5" s="85"/>
      <c r="KO5" s="85"/>
      <c r="KP5" s="85"/>
      <c r="KQ5" s="85"/>
      <c r="KR5" s="85"/>
      <c r="KS5" s="85"/>
      <c r="KT5" s="85"/>
      <c r="KU5" s="85"/>
      <c r="KV5" s="85"/>
      <c r="KW5" s="85"/>
      <c r="KX5" s="85"/>
      <c r="KY5" s="85"/>
      <c r="KZ5" s="85"/>
      <c r="LA5" s="85"/>
      <c r="LB5" s="85"/>
      <c r="LC5" s="85"/>
      <c r="LD5" s="85"/>
      <c r="LE5" s="85"/>
      <c r="LF5" s="85"/>
      <c r="LG5" s="85"/>
      <c r="LH5" s="85"/>
      <c r="LI5" s="85"/>
      <c r="LJ5" s="85"/>
      <c r="LK5" s="85"/>
      <c r="LL5" s="85"/>
      <c r="LM5" s="85"/>
      <c r="LN5" s="85"/>
      <c r="LO5" s="85"/>
      <c r="LP5" s="85"/>
      <c r="LQ5" s="85"/>
      <c r="LR5" s="85"/>
      <c r="LS5" s="85"/>
      <c r="LT5" s="85"/>
      <c r="LU5" s="85"/>
      <c r="LV5" s="85"/>
      <c r="LW5" s="85"/>
      <c r="LX5" s="85"/>
      <c r="LY5" s="85"/>
      <c r="LZ5" s="85"/>
      <c r="MA5" s="85"/>
      <c r="MB5" s="85"/>
      <c r="MC5" s="85"/>
      <c r="MD5" s="85"/>
      <c r="ME5" s="85"/>
      <c r="MF5" s="85"/>
      <c r="MG5" s="85"/>
      <c r="MH5" s="85"/>
      <c r="MI5" s="85"/>
      <c r="MJ5" s="85"/>
      <c r="MK5" s="85"/>
      <c r="ML5" s="85"/>
      <c r="MM5" s="85"/>
      <c r="MN5" s="85"/>
      <c r="MO5" s="85"/>
      <c r="MP5" s="85"/>
      <c r="MQ5" s="85"/>
      <c r="MR5" s="85"/>
      <c r="MS5" s="85"/>
      <c r="MT5" s="85"/>
      <c r="MU5" s="85"/>
      <c r="MV5" s="85"/>
      <c r="MW5" s="85"/>
      <c r="MX5" s="85"/>
      <c r="MY5" s="85"/>
      <c r="MZ5" s="85"/>
      <c r="NA5" s="85"/>
      <c r="NB5" s="85"/>
      <c r="NC5" s="85"/>
      <c r="ND5" s="85"/>
      <c r="NE5" s="85"/>
      <c r="NF5" s="85"/>
      <c r="NG5" s="85"/>
      <c r="NH5" s="85"/>
      <c r="NI5" s="85"/>
      <c r="NJ5" s="85"/>
      <c r="NK5" s="85"/>
      <c r="NL5" s="85"/>
      <c r="NM5" s="85"/>
      <c r="NN5" s="85"/>
      <c r="NO5" s="85"/>
      <c r="NP5" s="85"/>
      <c r="NQ5" s="85"/>
      <c r="NR5" s="85"/>
      <c r="NS5" s="85"/>
      <c r="NT5" s="85"/>
      <c r="NU5" s="85"/>
      <c r="NV5" s="85"/>
      <c r="NW5" s="85"/>
      <c r="NX5" s="85"/>
      <c r="NY5" s="85"/>
      <c r="NZ5" s="85"/>
      <c r="OA5" s="85"/>
      <c r="OB5" s="85"/>
      <c r="OC5" s="85"/>
      <c r="OD5" s="85"/>
      <c r="OE5" s="85"/>
      <c r="OF5" s="85"/>
      <c r="OG5" s="85"/>
      <c r="OH5" s="85"/>
      <c r="OI5" s="85"/>
      <c r="OJ5" s="85"/>
      <c r="OK5" s="85"/>
      <c r="OL5" s="85"/>
      <c r="OM5" s="85"/>
      <c r="ON5" s="85"/>
      <c r="OO5" s="85"/>
      <c r="OP5" s="85"/>
      <c r="OQ5" s="85"/>
      <c r="OR5" s="85"/>
      <c r="OS5" s="85"/>
      <c r="OT5" s="85"/>
      <c r="OU5" s="85"/>
      <c r="OV5" s="85"/>
      <c r="OW5" s="85"/>
      <c r="OX5" s="85"/>
      <c r="OY5" s="85"/>
      <c r="OZ5" s="85"/>
      <c r="PA5" s="85"/>
      <c r="PB5" s="85"/>
      <c r="PC5" s="85"/>
      <c r="PD5" s="85"/>
      <c r="PE5" s="85"/>
      <c r="PF5" s="85"/>
      <c r="PG5" s="85"/>
      <c r="PH5" s="85"/>
      <c r="PI5" s="85"/>
      <c r="PJ5" s="85"/>
      <c r="PK5" s="85"/>
      <c r="PL5" s="85"/>
      <c r="PM5" s="85"/>
      <c r="PN5" s="85"/>
      <c r="PO5" s="85"/>
      <c r="PP5" s="85"/>
      <c r="PQ5" s="85"/>
      <c r="PR5" s="86"/>
    </row>
    <row r="6" spans="1:434" x14ac:dyDescent="0.25">
      <c r="A6" s="24"/>
      <c r="B6" s="25" t="s">
        <v>65</v>
      </c>
      <c r="C6" s="24" t="s">
        <v>66</v>
      </c>
      <c r="D6" s="24" t="s">
        <v>67</v>
      </c>
      <c r="E6" s="24"/>
      <c r="F6" s="23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3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3"/>
      <c r="CG6" s="82"/>
      <c r="CH6" s="82"/>
      <c r="CI6" s="82"/>
      <c r="CJ6" s="82"/>
      <c r="CK6" s="82"/>
      <c r="CL6" s="82"/>
      <c r="CM6" s="82"/>
      <c r="CN6" s="82"/>
      <c r="CO6" s="82"/>
      <c r="CP6" s="82"/>
      <c r="CQ6" s="82"/>
      <c r="CR6" s="82"/>
      <c r="CS6" s="82"/>
      <c r="CT6" s="82">
        <v>7</v>
      </c>
      <c r="CU6" s="82"/>
      <c r="CV6" s="82"/>
      <c r="CW6" s="82"/>
      <c r="CX6" s="82"/>
      <c r="CY6" s="82"/>
      <c r="CZ6" s="82"/>
      <c r="DA6" s="82">
        <v>3</v>
      </c>
      <c r="DB6" s="82"/>
      <c r="DC6" s="82"/>
      <c r="DD6" s="82"/>
      <c r="DE6" s="82"/>
      <c r="DF6" s="82"/>
      <c r="DG6" s="82"/>
      <c r="DH6" s="82">
        <v>2</v>
      </c>
      <c r="DI6" s="82"/>
      <c r="DJ6" s="82"/>
      <c r="DK6" s="82"/>
      <c r="DL6" s="82">
        <v>20</v>
      </c>
      <c r="DM6" s="82"/>
      <c r="DN6" s="82"/>
      <c r="DO6" s="82"/>
      <c r="DP6" s="82"/>
      <c r="DQ6" s="82">
        <v>2</v>
      </c>
      <c r="DR6" s="82"/>
      <c r="DS6" s="23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3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  <c r="GR6" s="26"/>
      <c r="GS6" s="23"/>
      <c r="GT6" s="26"/>
      <c r="GU6" s="26"/>
      <c r="GV6" s="26"/>
      <c r="GW6" s="26"/>
      <c r="GX6" s="26"/>
      <c r="GY6" s="26"/>
      <c r="GZ6" s="26"/>
      <c r="HA6" s="26"/>
      <c r="HB6" s="26"/>
      <c r="HC6" s="26"/>
      <c r="HD6" s="26"/>
      <c r="HE6" s="26"/>
      <c r="HF6" s="26"/>
      <c r="HG6" s="26"/>
      <c r="HH6" s="26"/>
      <c r="HI6" s="26"/>
      <c r="HJ6" s="26"/>
      <c r="HK6" s="26"/>
      <c r="HL6" s="26"/>
      <c r="HM6" s="26"/>
      <c r="HN6" s="26"/>
      <c r="HO6" s="26"/>
      <c r="HP6" s="26"/>
      <c r="HQ6" s="26"/>
      <c r="HR6" s="26"/>
      <c r="HS6" s="26"/>
      <c r="HT6" s="26"/>
      <c r="HU6" s="26"/>
      <c r="HV6" s="26"/>
      <c r="HW6" s="26"/>
      <c r="HX6" s="26"/>
      <c r="HY6" s="26"/>
      <c r="HZ6" s="26"/>
      <c r="IA6" s="26"/>
      <c r="IB6" s="26"/>
      <c r="IC6" s="26"/>
      <c r="ID6" s="26"/>
      <c r="IE6" s="26"/>
      <c r="IF6" s="23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c r="IU6" s="26"/>
      <c r="IV6" s="26"/>
      <c r="IW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  <c r="JR6" s="26"/>
      <c r="JS6" s="23"/>
      <c r="JT6" s="26"/>
      <c r="JU6" s="26"/>
      <c r="JV6" s="26"/>
      <c r="JW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J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W6" s="26"/>
      <c r="KX6" s="26"/>
      <c r="KY6" s="26"/>
      <c r="KZ6" s="26"/>
      <c r="LA6" s="26"/>
      <c r="LB6" s="26"/>
      <c r="LC6" s="26"/>
      <c r="LD6" s="26"/>
      <c r="LE6" s="26"/>
      <c r="LF6" s="23"/>
      <c r="LG6" s="26"/>
      <c r="LH6" s="26"/>
      <c r="LI6" s="26"/>
      <c r="LJ6" s="26"/>
      <c r="LK6" s="26"/>
      <c r="LL6" s="26"/>
      <c r="LM6" s="26"/>
      <c r="LN6" s="26"/>
      <c r="LO6" s="26"/>
      <c r="LP6" s="26"/>
      <c r="LQ6" s="26"/>
      <c r="LR6" s="26"/>
      <c r="LS6" s="26"/>
      <c r="LT6" s="26"/>
      <c r="LU6" s="26"/>
      <c r="LV6" s="26"/>
      <c r="LW6" s="26"/>
      <c r="LX6" s="26"/>
      <c r="LY6" s="26"/>
      <c r="LZ6" s="26"/>
      <c r="MA6" s="26"/>
      <c r="MB6" s="26"/>
      <c r="MC6" s="26"/>
      <c r="MD6" s="26"/>
      <c r="ME6" s="26"/>
      <c r="MF6" s="26"/>
      <c r="MG6" s="26"/>
      <c r="MH6" s="26"/>
      <c r="MI6" s="26"/>
      <c r="MJ6" s="26"/>
      <c r="MK6" s="26"/>
      <c r="ML6" s="26"/>
      <c r="MM6" s="26"/>
      <c r="MN6" s="26"/>
      <c r="MO6" s="26"/>
      <c r="MP6" s="26"/>
      <c r="MQ6" s="26"/>
      <c r="MR6" s="26"/>
      <c r="MS6" s="23"/>
      <c r="MT6" s="26"/>
      <c r="MU6" s="26"/>
      <c r="MV6" s="26"/>
      <c r="MW6" s="26"/>
      <c r="MX6" s="26"/>
      <c r="MY6" s="26"/>
      <c r="MZ6" s="26"/>
      <c r="NA6" s="26"/>
      <c r="NB6" s="26"/>
      <c r="NC6" s="26"/>
      <c r="ND6" s="26"/>
      <c r="NE6" s="26"/>
      <c r="NF6" s="26"/>
      <c r="NG6" s="26"/>
      <c r="NH6" s="26"/>
      <c r="NI6" s="26"/>
      <c r="NJ6" s="26"/>
      <c r="NK6" s="26"/>
      <c r="NL6" s="26"/>
      <c r="NM6" s="26"/>
      <c r="NN6" s="26"/>
      <c r="NO6" s="26"/>
      <c r="NP6" s="26"/>
      <c r="NQ6" s="26"/>
      <c r="NR6" s="26"/>
      <c r="NS6" s="26"/>
      <c r="NT6" s="26"/>
      <c r="NU6" s="26"/>
      <c r="NV6" s="26"/>
      <c r="NW6" s="26"/>
      <c r="NX6" s="26"/>
      <c r="NY6" s="26"/>
      <c r="NZ6" s="26"/>
      <c r="OA6" s="26"/>
      <c r="OB6" s="26"/>
      <c r="OC6" s="26"/>
      <c r="OD6" s="26"/>
      <c r="OE6" s="26"/>
      <c r="OF6" s="23"/>
      <c r="OG6" s="26"/>
      <c r="OH6" s="26"/>
      <c r="OI6" s="26"/>
      <c r="OJ6" s="26"/>
      <c r="OK6" s="26"/>
      <c r="OL6" s="26"/>
      <c r="OM6" s="26"/>
      <c r="ON6" s="26"/>
      <c r="OO6" s="26"/>
      <c r="OP6" s="26"/>
      <c r="OQ6" s="26"/>
      <c r="OR6" s="26"/>
      <c r="OS6" s="26"/>
      <c r="OT6" s="26"/>
      <c r="OU6" s="26"/>
      <c r="OV6" s="26"/>
      <c r="OW6" s="26"/>
      <c r="OX6" s="26"/>
      <c r="OY6" s="26"/>
      <c r="OZ6" s="26"/>
      <c r="PA6" s="26"/>
      <c r="PB6" s="26"/>
      <c r="PC6" s="26"/>
      <c r="PD6" s="26"/>
      <c r="PE6" s="26"/>
      <c r="PF6" s="26"/>
      <c r="PG6" s="26"/>
      <c r="PH6" s="26"/>
      <c r="PI6" s="26"/>
      <c r="PJ6" s="26"/>
      <c r="PK6" s="26"/>
      <c r="PL6" s="26"/>
      <c r="PM6" s="26"/>
      <c r="PN6" s="26"/>
      <c r="PO6" s="26"/>
      <c r="PP6" s="26"/>
      <c r="PQ6" s="26"/>
      <c r="PR6" s="26"/>
    </row>
    <row r="7" spans="1:434" x14ac:dyDescent="0.25">
      <c r="A7" s="24"/>
      <c r="B7" s="25" t="s">
        <v>68</v>
      </c>
      <c r="C7" s="24" t="s">
        <v>66</v>
      </c>
      <c r="D7" s="24" t="s">
        <v>67</v>
      </c>
      <c r="E7" s="24"/>
      <c r="F7" s="23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3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3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82">
        <v>20</v>
      </c>
      <c r="CU7" s="82"/>
      <c r="CV7" s="82"/>
      <c r="CW7" s="82"/>
      <c r="CX7" s="82"/>
      <c r="CY7" s="82"/>
      <c r="CZ7" s="82"/>
      <c r="DA7" s="82">
        <v>15</v>
      </c>
      <c r="DB7" s="82"/>
      <c r="DC7" s="82"/>
      <c r="DD7" s="82"/>
      <c r="DE7" s="82"/>
      <c r="DF7" s="82"/>
      <c r="DG7" s="82"/>
      <c r="DH7" s="82">
        <v>5</v>
      </c>
      <c r="DI7" s="82"/>
      <c r="DJ7" s="82"/>
      <c r="DK7" s="82"/>
      <c r="DL7" s="82">
        <v>35</v>
      </c>
      <c r="DM7" s="82"/>
      <c r="DN7" s="82"/>
      <c r="DO7" s="82"/>
      <c r="DP7" s="82"/>
      <c r="DQ7" s="82">
        <v>7</v>
      </c>
      <c r="DR7" s="82"/>
      <c r="DS7" s="23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3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  <c r="GR7" s="26"/>
      <c r="GS7" s="23"/>
      <c r="GT7" s="26"/>
      <c r="GU7" s="26"/>
      <c r="GV7" s="26"/>
      <c r="GW7" s="26"/>
      <c r="GX7" s="26"/>
      <c r="GY7" s="26"/>
      <c r="GZ7" s="26"/>
      <c r="HA7" s="26"/>
      <c r="HB7" s="26"/>
      <c r="HC7" s="26"/>
      <c r="HD7" s="26"/>
      <c r="HE7" s="26"/>
      <c r="HF7" s="26"/>
      <c r="HG7" s="26"/>
      <c r="HH7" s="26"/>
      <c r="HI7" s="26"/>
      <c r="HJ7" s="26"/>
      <c r="HK7" s="26"/>
      <c r="HL7" s="26"/>
      <c r="HM7" s="26"/>
      <c r="HN7" s="26"/>
      <c r="HO7" s="26"/>
      <c r="HP7" s="26"/>
      <c r="HQ7" s="26"/>
      <c r="HR7" s="26"/>
      <c r="HS7" s="26"/>
      <c r="HT7" s="26"/>
      <c r="HU7" s="26"/>
      <c r="HV7" s="26"/>
      <c r="HW7" s="26"/>
      <c r="HX7" s="26"/>
      <c r="HY7" s="26"/>
      <c r="HZ7" s="26"/>
      <c r="IA7" s="26"/>
      <c r="IB7" s="26"/>
      <c r="IC7" s="26"/>
      <c r="ID7" s="26"/>
      <c r="IE7" s="26"/>
      <c r="IF7" s="23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c r="IU7" s="26"/>
      <c r="IV7" s="26"/>
      <c r="IW7" s="26"/>
      <c r="IX7" s="26"/>
      <c r="IY7" s="26"/>
      <c r="IZ7" s="26"/>
      <c r="JA7" s="26"/>
      <c r="JB7" s="26"/>
      <c r="JC7" s="26"/>
      <c r="JD7" s="26"/>
      <c r="JE7" s="26"/>
      <c r="JF7" s="26"/>
      <c r="JG7" s="26"/>
      <c r="JH7" s="26"/>
      <c r="JI7" s="26"/>
      <c r="JJ7" s="26"/>
      <c r="JK7" s="26"/>
      <c r="JL7" s="26"/>
      <c r="JM7" s="26"/>
      <c r="JN7" s="26"/>
      <c r="JO7" s="26"/>
      <c r="JP7" s="26"/>
      <c r="JQ7" s="26"/>
      <c r="JR7" s="26"/>
      <c r="JS7" s="23"/>
      <c r="JT7" s="26"/>
      <c r="JU7" s="26"/>
      <c r="JV7" s="26"/>
      <c r="JW7" s="26"/>
      <c r="JX7" s="26"/>
      <c r="JY7" s="26"/>
      <c r="JZ7" s="26"/>
      <c r="KA7" s="26"/>
      <c r="KB7" s="26"/>
      <c r="KC7" s="26"/>
      <c r="KD7" s="26"/>
      <c r="KE7" s="26"/>
      <c r="KF7" s="26"/>
      <c r="KG7" s="26"/>
      <c r="KH7" s="26"/>
      <c r="KI7" s="26"/>
      <c r="KJ7" s="26"/>
      <c r="KK7" s="26"/>
      <c r="KL7" s="26"/>
      <c r="KM7" s="26"/>
      <c r="KN7" s="26"/>
      <c r="KO7" s="26"/>
      <c r="KP7" s="26"/>
      <c r="KQ7" s="26"/>
      <c r="KR7" s="26"/>
      <c r="KS7" s="26"/>
      <c r="KT7" s="26"/>
      <c r="KU7" s="26"/>
      <c r="KV7" s="26"/>
      <c r="KW7" s="26"/>
      <c r="KX7" s="26"/>
      <c r="KY7" s="26"/>
      <c r="KZ7" s="26"/>
      <c r="LA7" s="26"/>
      <c r="LB7" s="26"/>
      <c r="LC7" s="26"/>
      <c r="LD7" s="26"/>
      <c r="LE7" s="26"/>
      <c r="LF7" s="23"/>
      <c r="LG7" s="26"/>
      <c r="LH7" s="26"/>
      <c r="LI7" s="26"/>
      <c r="LJ7" s="26"/>
      <c r="LK7" s="26"/>
      <c r="LL7" s="26"/>
      <c r="LM7" s="26"/>
      <c r="LN7" s="26"/>
      <c r="LO7" s="26"/>
      <c r="LP7" s="26"/>
      <c r="LQ7" s="26"/>
      <c r="LR7" s="26"/>
      <c r="LS7" s="26"/>
      <c r="LT7" s="26"/>
      <c r="LU7" s="26"/>
      <c r="LV7" s="26"/>
      <c r="LW7" s="26"/>
      <c r="LX7" s="26"/>
      <c r="LY7" s="26"/>
      <c r="LZ7" s="26"/>
      <c r="MA7" s="26"/>
      <c r="MB7" s="26"/>
      <c r="MC7" s="26"/>
      <c r="MD7" s="26"/>
      <c r="ME7" s="26"/>
      <c r="MF7" s="26"/>
      <c r="MG7" s="26"/>
      <c r="MH7" s="26"/>
      <c r="MI7" s="26"/>
      <c r="MJ7" s="26"/>
      <c r="MK7" s="26"/>
      <c r="ML7" s="26"/>
      <c r="MM7" s="26"/>
      <c r="MN7" s="26"/>
      <c r="MO7" s="26"/>
      <c r="MP7" s="26"/>
      <c r="MQ7" s="26"/>
      <c r="MR7" s="26"/>
      <c r="MS7" s="23"/>
      <c r="MT7" s="26"/>
      <c r="MU7" s="26"/>
      <c r="MV7" s="26"/>
      <c r="MW7" s="26"/>
      <c r="MX7" s="26"/>
      <c r="MY7" s="26"/>
      <c r="MZ7" s="26"/>
      <c r="NA7" s="26"/>
      <c r="NB7" s="26"/>
      <c r="NC7" s="26"/>
      <c r="ND7" s="26"/>
      <c r="NE7" s="26"/>
      <c r="NF7" s="26"/>
      <c r="NG7" s="26"/>
      <c r="NH7" s="26"/>
      <c r="NI7" s="26"/>
      <c r="NJ7" s="26"/>
      <c r="NK7" s="26"/>
      <c r="NL7" s="26"/>
      <c r="NM7" s="26"/>
      <c r="NN7" s="26"/>
      <c r="NO7" s="26"/>
      <c r="NP7" s="26"/>
      <c r="NQ7" s="26"/>
      <c r="NR7" s="26"/>
      <c r="NS7" s="26"/>
      <c r="NT7" s="26"/>
      <c r="NU7" s="26"/>
      <c r="NV7" s="26"/>
      <c r="NW7" s="26"/>
      <c r="NX7" s="26"/>
      <c r="NY7" s="26"/>
      <c r="NZ7" s="26"/>
      <c r="OA7" s="26"/>
      <c r="OB7" s="26"/>
      <c r="OC7" s="26"/>
      <c r="OD7" s="26"/>
      <c r="OE7" s="26"/>
      <c r="OF7" s="23"/>
      <c r="OG7" s="26"/>
      <c r="OH7" s="26"/>
      <c r="OI7" s="26"/>
      <c r="OJ7" s="26"/>
      <c r="OK7" s="26"/>
      <c r="OL7" s="26"/>
      <c r="OM7" s="26"/>
      <c r="ON7" s="26"/>
      <c r="OO7" s="26"/>
      <c r="OP7" s="26"/>
      <c r="OQ7" s="26"/>
      <c r="OR7" s="26"/>
      <c r="OS7" s="26"/>
      <c r="OT7" s="26"/>
      <c r="OU7" s="26"/>
      <c r="OV7" s="26"/>
      <c r="OW7" s="26"/>
      <c r="OX7" s="26"/>
      <c r="OY7" s="26"/>
      <c r="OZ7" s="26"/>
      <c r="PA7" s="26"/>
      <c r="PB7" s="26"/>
      <c r="PC7" s="26"/>
      <c r="PD7" s="26"/>
      <c r="PE7" s="26"/>
      <c r="PF7" s="26"/>
      <c r="PG7" s="26"/>
      <c r="PH7" s="26"/>
      <c r="PI7" s="26"/>
      <c r="PJ7" s="26"/>
      <c r="PK7" s="26"/>
      <c r="PL7" s="26"/>
      <c r="PM7" s="26"/>
      <c r="PN7" s="26"/>
      <c r="PO7" s="26"/>
      <c r="PP7" s="26"/>
      <c r="PQ7" s="26"/>
      <c r="PR7" s="26"/>
    </row>
    <row r="8" spans="1:434" x14ac:dyDescent="0.25">
      <c r="A8" s="24"/>
      <c r="B8" s="25" t="s">
        <v>69</v>
      </c>
      <c r="C8" s="24" t="s">
        <v>70</v>
      </c>
      <c r="D8" s="24" t="s">
        <v>67</v>
      </c>
      <c r="E8" s="24"/>
      <c r="F8" s="23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3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3"/>
      <c r="CG8" s="82"/>
      <c r="CH8" s="82"/>
      <c r="CI8" s="82"/>
      <c r="CJ8" s="82"/>
      <c r="CK8" s="82"/>
      <c r="CL8" s="82"/>
      <c r="CM8" s="82"/>
      <c r="CN8" s="82"/>
      <c r="CO8" s="82"/>
      <c r="CP8" s="82"/>
      <c r="CQ8" s="82"/>
      <c r="CR8" s="82"/>
      <c r="CS8" s="82"/>
      <c r="CT8" s="82">
        <v>7</v>
      </c>
      <c r="CU8" s="82"/>
      <c r="CV8" s="82"/>
      <c r="CW8" s="82"/>
      <c r="CX8" s="82"/>
      <c r="CY8" s="82"/>
      <c r="CZ8" s="82"/>
      <c r="DA8" s="82">
        <v>5</v>
      </c>
      <c r="DB8" s="82"/>
      <c r="DC8" s="82"/>
      <c r="DD8" s="82"/>
      <c r="DE8" s="82">
        <v>5</v>
      </c>
      <c r="DF8" s="82"/>
      <c r="DG8" s="82"/>
      <c r="DH8" s="82">
        <v>3</v>
      </c>
      <c r="DI8" s="82"/>
      <c r="DJ8" s="82"/>
      <c r="DK8" s="82"/>
      <c r="DL8" s="82">
        <v>35</v>
      </c>
      <c r="DM8" s="82"/>
      <c r="DN8" s="82"/>
      <c r="DO8" s="82"/>
      <c r="DP8" s="82"/>
      <c r="DQ8" s="82">
        <v>2</v>
      </c>
      <c r="DR8" s="82"/>
      <c r="DS8" s="23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3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  <c r="GR8" s="26"/>
      <c r="GS8" s="23"/>
      <c r="GT8" s="26"/>
      <c r="GU8" s="26"/>
      <c r="GV8" s="26"/>
      <c r="GW8" s="26"/>
      <c r="GX8" s="26"/>
      <c r="GY8" s="26"/>
      <c r="GZ8" s="26"/>
      <c r="HA8" s="26"/>
      <c r="HB8" s="26"/>
      <c r="HC8" s="26"/>
      <c r="HD8" s="26"/>
      <c r="HE8" s="26"/>
      <c r="HF8" s="26"/>
      <c r="HG8" s="26"/>
      <c r="HH8" s="26"/>
      <c r="HI8" s="26"/>
      <c r="HJ8" s="26"/>
      <c r="HK8" s="26"/>
      <c r="HL8" s="26"/>
      <c r="HM8" s="26"/>
      <c r="HN8" s="26"/>
      <c r="HO8" s="26"/>
      <c r="HP8" s="26"/>
      <c r="HQ8" s="26"/>
      <c r="HR8" s="26"/>
      <c r="HS8" s="26"/>
      <c r="HT8" s="26"/>
      <c r="HU8" s="26"/>
      <c r="HV8" s="26"/>
      <c r="HW8" s="26"/>
      <c r="HX8" s="26"/>
      <c r="HY8" s="26"/>
      <c r="HZ8" s="26"/>
      <c r="IA8" s="26"/>
      <c r="IB8" s="26"/>
      <c r="IC8" s="26"/>
      <c r="ID8" s="26"/>
      <c r="IE8" s="26"/>
      <c r="IF8" s="23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c r="IU8" s="26"/>
      <c r="IV8" s="26"/>
      <c r="IW8" s="26"/>
      <c r="IX8" s="26"/>
      <c r="IY8" s="26"/>
      <c r="IZ8" s="26"/>
      <c r="JA8" s="26"/>
      <c r="JB8" s="26"/>
      <c r="JC8" s="26"/>
      <c r="JD8" s="26"/>
      <c r="JE8" s="26"/>
      <c r="JF8" s="26"/>
      <c r="JG8" s="26"/>
      <c r="JH8" s="26"/>
      <c r="JI8" s="26"/>
      <c r="JJ8" s="26"/>
      <c r="JK8" s="26"/>
      <c r="JL8" s="26"/>
      <c r="JM8" s="26"/>
      <c r="JN8" s="26"/>
      <c r="JO8" s="26"/>
      <c r="JP8" s="26"/>
      <c r="JQ8" s="26"/>
      <c r="JR8" s="26"/>
      <c r="JS8" s="23"/>
      <c r="JT8" s="26"/>
      <c r="JU8" s="26"/>
      <c r="JV8" s="26"/>
      <c r="JW8" s="26"/>
      <c r="JX8" s="26"/>
      <c r="JY8" s="26"/>
      <c r="JZ8" s="26"/>
      <c r="KA8" s="26"/>
      <c r="KB8" s="26"/>
      <c r="KC8" s="26"/>
      <c r="KD8" s="26"/>
      <c r="KE8" s="26"/>
      <c r="KF8" s="26"/>
      <c r="KG8" s="26"/>
      <c r="KH8" s="26"/>
      <c r="KI8" s="26"/>
      <c r="KJ8" s="26"/>
      <c r="KK8" s="26"/>
      <c r="KL8" s="26"/>
      <c r="KM8" s="26"/>
      <c r="KN8" s="26"/>
      <c r="KO8" s="26"/>
      <c r="KP8" s="26"/>
      <c r="KQ8" s="26"/>
      <c r="KR8" s="26"/>
      <c r="KS8" s="26"/>
      <c r="KT8" s="26"/>
      <c r="KU8" s="26"/>
      <c r="KV8" s="26"/>
      <c r="KW8" s="26"/>
      <c r="KX8" s="26"/>
      <c r="KY8" s="26"/>
      <c r="KZ8" s="26"/>
      <c r="LA8" s="26"/>
      <c r="LB8" s="26"/>
      <c r="LC8" s="26"/>
      <c r="LD8" s="26"/>
      <c r="LE8" s="26"/>
      <c r="LF8" s="23"/>
      <c r="LG8" s="26"/>
      <c r="LH8" s="26"/>
      <c r="LI8" s="26"/>
      <c r="LJ8" s="26"/>
      <c r="LK8" s="26"/>
      <c r="LL8" s="26"/>
      <c r="LM8" s="26"/>
      <c r="LN8" s="26"/>
      <c r="LO8" s="26"/>
      <c r="LP8" s="26"/>
      <c r="LQ8" s="26"/>
      <c r="LR8" s="26"/>
      <c r="LS8" s="26"/>
      <c r="LT8" s="26"/>
      <c r="LU8" s="26"/>
      <c r="LV8" s="26"/>
      <c r="LW8" s="26"/>
      <c r="LX8" s="26"/>
      <c r="LY8" s="26"/>
      <c r="LZ8" s="26"/>
      <c r="MA8" s="26"/>
      <c r="MB8" s="26"/>
      <c r="MC8" s="26"/>
      <c r="MD8" s="26"/>
      <c r="ME8" s="26"/>
      <c r="MF8" s="26"/>
      <c r="MG8" s="26"/>
      <c r="MH8" s="26"/>
      <c r="MI8" s="26"/>
      <c r="MJ8" s="26"/>
      <c r="MK8" s="26"/>
      <c r="ML8" s="26"/>
      <c r="MM8" s="26"/>
      <c r="MN8" s="26"/>
      <c r="MO8" s="26"/>
      <c r="MP8" s="26"/>
      <c r="MQ8" s="26"/>
      <c r="MR8" s="26"/>
      <c r="MS8" s="23"/>
      <c r="MT8" s="26"/>
      <c r="MU8" s="26"/>
      <c r="MV8" s="26"/>
      <c r="MW8" s="26"/>
      <c r="MX8" s="26"/>
      <c r="MY8" s="26"/>
      <c r="MZ8" s="26"/>
      <c r="NA8" s="26"/>
      <c r="NB8" s="26"/>
      <c r="NC8" s="26"/>
      <c r="ND8" s="26"/>
      <c r="NE8" s="26"/>
      <c r="NF8" s="26"/>
      <c r="NG8" s="26"/>
      <c r="NH8" s="26"/>
      <c r="NI8" s="26"/>
      <c r="NJ8" s="26"/>
      <c r="NK8" s="26"/>
      <c r="NL8" s="26"/>
      <c r="NM8" s="26"/>
      <c r="NN8" s="26"/>
      <c r="NO8" s="26"/>
      <c r="NP8" s="26"/>
      <c r="NQ8" s="26"/>
      <c r="NR8" s="26"/>
      <c r="NS8" s="26"/>
      <c r="NT8" s="26"/>
      <c r="NU8" s="26"/>
      <c r="NV8" s="26"/>
      <c r="NW8" s="26"/>
      <c r="NX8" s="26"/>
      <c r="NY8" s="26"/>
      <c r="NZ8" s="26"/>
      <c r="OA8" s="26"/>
      <c r="OB8" s="26"/>
      <c r="OC8" s="26"/>
      <c r="OD8" s="26"/>
      <c r="OE8" s="26"/>
      <c r="OF8" s="23"/>
      <c r="OG8" s="26"/>
      <c r="OH8" s="26"/>
      <c r="OI8" s="26"/>
      <c r="OJ8" s="26"/>
      <c r="OK8" s="26"/>
      <c r="OL8" s="26"/>
      <c r="OM8" s="26"/>
      <c r="ON8" s="26"/>
      <c r="OO8" s="26"/>
      <c r="OP8" s="26"/>
      <c r="OQ8" s="26"/>
      <c r="OR8" s="26"/>
      <c r="OS8" s="26"/>
      <c r="OT8" s="26"/>
      <c r="OU8" s="26"/>
      <c r="OV8" s="26"/>
      <c r="OW8" s="26"/>
      <c r="OX8" s="26"/>
      <c r="OY8" s="26"/>
      <c r="OZ8" s="26"/>
      <c r="PA8" s="26"/>
      <c r="PB8" s="26"/>
      <c r="PC8" s="26"/>
      <c r="PD8" s="26"/>
      <c r="PE8" s="26"/>
      <c r="PF8" s="26"/>
      <c r="PG8" s="26"/>
      <c r="PH8" s="26"/>
      <c r="PI8" s="26"/>
      <c r="PJ8" s="26"/>
      <c r="PK8" s="26"/>
      <c r="PL8" s="26"/>
      <c r="PM8" s="26"/>
      <c r="PN8" s="26"/>
      <c r="PO8" s="26"/>
      <c r="PP8" s="26"/>
      <c r="PQ8" s="26"/>
      <c r="PR8" s="26"/>
    </row>
    <row r="9" spans="1:434" x14ac:dyDescent="0.25">
      <c r="A9" s="24"/>
      <c r="B9" s="25" t="s">
        <v>71</v>
      </c>
      <c r="C9" s="24" t="s">
        <v>70</v>
      </c>
      <c r="D9" s="24" t="s">
        <v>67</v>
      </c>
      <c r="E9" s="24"/>
      <c r="F9" s="23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3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3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82"/>
      <c r="CU9" s="82"/>
      <c r="CV9" s="82"/>
      <c r="CW9" s="82"/>
      <c r="CX9" s="82"/>
      <c r="CY9" s="82"/>
      <c r="CZ9" s="82"/>
      <c r="DA9" s="82"/>
      <c r="DB9" s="82"/>
      <c r="DC9" s="82"/>
      <c r="DD9" s="82"/>
      <c r="DE9" s="82"/>
      <c r="DF9" s="82"/>
      <c r="DG9" s="82"/>
      <c r="DH9" s="82"/>
      <c r="DI9" s="82"/>
      <c r="DJ9" s="82"/>
      <c r="DK9" s="82"/>
      <c r="DL9" s="82"/>
      <c r="DM9" s="82"/>
      <c r="DN9" s="82"/>
      <c r="DO9" s="82"/>
      <c r="DP9" s="82"/>
      <c r="DQ9" s="82"/>
      <c r="DR9" s="82"/>
      <c r="DS9" s="23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/>
      <c r="EN9" s="26"/>
      <c r="EO9" s="26"/>
      <c r="EP9" s="26"/>
      <c r="EQ9" s="26"/>
      <c r="ER9" s="26"/>
      <c r="ES9" s="26"/>
      <c r="ET9" s="26"/>
      <c r="EU9" s="26"/>
      <c r="EV9" s="26"/>
      <c r="EW9" s="26"/>
      <c r="EX9" s="26"/>
      <c r="EY9" s="26"/>
      <c r="EZ9" s="26"/>
      <c r="FA9" s="26"/>
      <c r="FB9" s="26"/>
      <c r="FC9" s="26"/>
      <c r="FD9" s="26"/>
      <c r="FE9" s="26"/>
      <c r="FF9" s="23"/>
      <c r="FG9" s="26"/>
      <c r="FH9" s="26"/>
      <c r="FI9" s="26"/>
      <c r="FJ9" s="26"/>
      <c r="FK9" s="26"/>
      <c r="FL9" s="26"/>
      <c r="FM9" s="26"/>
      <c r="FN9" s="26"/>
      <c r="FO9" s="26"/>
      <c r="FP9" s="26"/>
      <c r="FQ9" s="26"/>
      <c r="FR9" s="26"/>
      <c r="FS9" s="26"/>
      <c r="FT9" s="26"/>
      <c r="FU9" s="26"/>
      <c r="FV9" s="26"/>
      <c r="FW9" s="26"/>
      <c r="FX9" s="26"/>
      <c r="FY9" s="26"/>
      <c r="FZ9" s="26"/>
      <c r="GA9" s="26"/>
      <c r="GB9" s="26"/>
      <c r="GC9" s="26"/>
      <c r="GD9" s="26"/>
      <c r="GE9" s="26"/>
      <c r="GF9" s="26"/>
      <c r="GG9" s="26"/>
      <c r="GH9" s="26"/>
      <c r="GI9" s="26"/>
      <c r="GJ9" s="26"/>
      <c r="GK9" s="26"/>
      <c r="GL9" s="26"/>
      <c r="GM9" s="26"/>
      <c r="GN9" s="26"/>
      <c r="GO9" s="26"/>
      <c r="GP9" s="26"/>
      <c r="GQ9" s="26"/>
      <c r="GR9" s="26"/>
      <c r="GS9" s="23"/>
      <c r="GT9" s="26"/>
      <c r="GU9" s="26"/>
      <c r="GV9" s="26"/>
      <c r="GW9" s="26"/>
      <c r="GX9" s="26"/>
      <c r="GY9" s="26"/>
      <c r="GZ9" s="26"/>
      <c r="HA9" s="26"/>
      <c r="HB9" s="26"/>
      <c r="HC9" s="26"/>
      <c r="HD9" s="26"/>
      <c r="HE9" s="26"/>
      <c r="HF9" s="26"/>
      <c r="HG9" s="26"/>
      <c r="HH9" s="26"/>
      <c r="HI9" s="26"/>
      <c r="HJ9" s="26"/>
      <c r="HK9" s="26"/>
      <c r="HL9" s="26"/>
      <c r="HM9" s="26"/>
      <c r="HN9" s="26"/>
      <c r="HO9" s="26"/>
      <c r="HP9" s="26"/>
      <c r="HQ9" s="26"/>
      <c r="HR9" s="26"/>
      <c r="HS9" s="26"/>
      <c r="HT9" s="26"/>
      <c r="HU9" s="26"/>
      <c r="HV9" s="26"/>
      <c r="HW9" s="26"/>
      <c r="HX9" s="26"/>
      <c r="HY9" s="26"/>
      <c r="HZ9" s="26"/>
      <c r="IA9" s="26"/>
      <c r="IB9" s="26"/>
      <c r="IC9" s="26"/>
      <c r="ID9" s="26"/>
      <c r="IE9" s="26"/>
      <c r="IF9" s="23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c r="IU9" s="26"/>
      <c r="IV9" s="26"/>
      <c r="IW9" s="26"/>
      <c r="IX9" s="26"/>
      <c r="IY9" s="26"/>
      <c r="IZ9" s="26"/>
      <c r="JA9" s="26"/>
      <c r="JB9" s="26"/>
      <c r="JC9" s="26"/>
      <c r="JD9" s="26"/>
      <c r="JE9" s="26"/>
      <c r="JF9" s="26"/>
      <c r="JG9" s="26"/>
      <c r="JH9" s="26"/>
      <c r="JI9" s="26"/>
      <c r="JJ9" s="26"/>
      <c r="JK9" s="26"/>
      <c r="JL9" s="26"/>
      <c r="JM9" s="26"/>
      <c r="JN9" s="26"/>
      <c r="JO9" s="26"/>
      <c r="JP9" s="26"/>
      <c r="JQ9" s="26"/>
      <c r="JR9" s="26"/>
      <c r="JS9" s="23"/>
      <c r="JT9" s="26"/>
      <c r="JU9" s="26"/>
      <c r="JV9" s="26"/>
      <c r="JW9" s="26"/>
      <c r="JX9" s="26"/>
      <c r="JY9" s="26"/>
      <c r="JZ9" s="26"/>
      <c r="KA9" s="26"/>
      <c r="KB9" s="26"/>
      <c r="KC9" s="26"/>
      <c r="KD9" s="26"/>
      <c r="KE9" s="26"/>
      <c r="KF9" s="26"/>
      <c r="KG9" s="26"/>
      <c r="KH9" s="26"/>
      <c r="KI9" s="26"/>
      <c r="KJ9" s="26"/>
      <c r="KK9" s="26"/>
      <c r="KL9" s="26"/>
      <c r="KM9" s="26"/>
      <c r="KN9" s="26"/>
      <c r="KO9" s="26"/>
      <c r="KP9" s="26"/>
      <c r="KQ9" s="26"/>
      <c r="KR9" s="26"/>
      <c r="KS9" s="26"/>
      <c r="KT9" s="26"/>
      <c r="KU9" s="26"/>
      <c r="KV9" s="26"/>
      <c r="KW9" s="26"/>
      <c r="KX9" s="26"/>
      <c r="KY9" s="26"/>
      <c r="KZ9" s="26"/>
      <c r="LA9" s="26"/>
      <c r="LB9" s="26"/>
      <c r="LC9" s="26"/>
      <c r="LD9" s="26"/>
      <c r="LE9" s="26"/>
      <c r="LF9" s="23"/>
      <c r="LG9" s="26"/>
      <c r="LH9" s="26"/>
      <c r="LI9" s="26"/>
      <c r="LJ9" s="26"/>
      <c r="LK9" s="26"/>
      <c r="LL9" s="26"/>
      <c r="LM9" s="26"/>
      <c r="LN9" s="26"/>
      <c r="LO9" s="26"/>
      <c r="LP9" s="26"/>
      <c r="LQ9" s="26"/>
      <c r="LR9" s="26"/>
      <c r="LS9" s="26"/>
      <c r="LT9" s="26"/>
      <c r="LU9" s="26"/>
      <c r="LV9" s="26"/>
      <c r="LW9" s="26"/>
      <c r="LX9" s="26"/>
      <c r="LY9" s="26"/>
      <c r="LZ9" s="26"/>
      <c r="MA9" s="26"/>
      <c r="MB9" s="26"/>
      <c r="MC9" s="26"/>
      <c r="MD9" s="26"/>
      <c r="ME9" s="26"/>
      <c r="MF9" s="26"/>
      <c r="MG9" s="26"/>
      <c r="MH9" s="26"/>
      <c r="MI9" s="26"/>
      <c r="MJ9" s="26"/>
      <c r="MK9" s="26"/>
      <c r="ML9" s="26"/>
      <c r="MM9" s="26"/>
      <c r="MN9" s="26"/>
      <c r="MO9" s="26"/>
      <c r="MP9" s="26"/>
      <c r="MQ9" s="26"/>
      <c r="MR9" s="26"/>
      <c r="MS9" s="23"/>
      <c r="MT9" s="26"/>
      <c r="MU9" s="26"/>
      <c r="MV9" s="26"/>
      <c r="MW9" s="26"/>
      <c r="MX9" s="26"/>
      <c r="MY9" s="26"/>
      <c r="MZ9" s="26"/>
      <c r="NA9" s="26"/>
      <c r="NB9" s="26"/>
      <c r="NC9" s="26"/>
      <c r="ND9" s="26"/>
      <c r="NE9" s="26"/>
      <c r="NF9" s="26"/>
      <c r="NG9" s="26"/>
      <c r="NH9" s="26"/>
      <c r="NI9" s="26"/>
      <c r="NJ9" s="26"/>
      <c r="NK9" s="26"/>
      <c r="NL9" s="26"/>
      <c r="NM9" s="26"/>
      <c r="NN9" s="26"/>
      <c r="NO9" s="26"/>
      <c r="NP9" s="26"/>
      <c r="NQ9" s="26"/>
      <c r="NR9" s="26"/>
      <c r="NS9" s="26"/>
      <c r="NT9" s="26"/>
      <c r="NU9" s="26"/>
      <c r="NV9" s="26"/>
      <c r="NW9" s="26"/>
      <c r="NX9" s="26"/>
      <c r="NY9" s="26"/>
      <c r="NZ9" s="26"/>
      <c r="OA9" s="26"/>
      <c r="OB9" s="26"/>
      <c r="OC9" s="26"/>
      <c r="OD9" s="26"/>
      <c r="OE9" s="26"/>
      <c r="OF9" s="23"/>
      <c r="OG9" s="26"/>
      <c r="OH9" s="26"/>
      <c r="OI9" s="26"/>
      <c r="OJ9" s="26"/>
      <c r="OK9" s="26"/>
      <c r="OL9" s="26"/>
      <c r="OM9" s="26"/>
      <c r="ON9" s="26"/>
      <c r="OO9" s="26"/>
      <c r="OP9" s="26"/>
      <c r="OQ9" s="26"/>
      <c r="OR9" s="26"/>
      <c r="OS9" s="26"/>
      <c r="OT9" s="26"/>
      <c r="OU9" s="26"/>
      <c r="OV9" s="26"/>
      <c r="OW9" s="26"/>
      <c r="OX9" s="26"/>
      <c r="OY9" s="26"/>
      <c r="OZ9" s="26"/>
      <c r="PA9" s="26"/>
      <c r="PB9" s="26"/>
      <c r="PC9" s="26"/>
      <c r="PD9" s="26"/>
      <c r="PE9" s="26"/>
      <c r="PF9" s="26"/>
      <c r="PG9" s="26"/>
      <c r="PH9" s="26"/>
      <c r="PI9" s="26"/>
      <c r="PJ9" s="26"/>
      <c r="PK9" s="26"/>
      <c r="PL9" s="26"/>
      <c r="PM9" s="26"/>
      <c r="PN9" s="26"/>
      <c r="PO9" s="26"/>
      <c r="PP9" s="26"/>
      <c r="PQ9" s="26"/>
      <c r="PR9" s="26"/>
    </row>
    <row r="10" spans="1:434" ht="25.5" x14ac:dyDescent="0.25">
      <c r="A10" s="24"/>
      <c r="B10" s="25" t="s">
        <v>72</v>
      </c>
      <c r="C10" s="24" t="s">
        <v>70</v>
      </c>
      <c r="D10" s="24" t="s">
        <v>73</v>
      </c>
      <c r="E10" s="24"/>
      <c r="F10" s="23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3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3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82">
        <v>8</v>
      </c>
      <c r="CU10" s="82"/>
      <c r="CV10" s="82">
        <v>8</v>
      </c>
      <c r="CW10" s="82"/>
      <c r="CX10" s="82"/>
      <c r="CY10" s="82"/>
      <c r="CZ10" s="82">
        <v>5</v>
      </c>
      <c r="DA10" s="82">
        <v>5</v>
      </c>
      <c r="DB10" s="82"/>
      <c r="DC10" s="82"/>
      <c r="DD10" s="82">
        <v>15</v>
      </c>
      <c r="DE10" s="82"/>
      <c r="DF10" s="82">
        <v>5</v>
      </c>
      <c r="DG10" s="82"/>
      <c r="DH10" s="82">
        <v>12</v>
      </c>
      <c r="DI10" s="82">
        <v>5</v>
      </c>
      <c r="DJ10" s="82"/>
      <c r="DK10" s="82"/>
      <c r="DL10" s="82">
        <v>15</v>
      </c>
      <c r="DM10" s="82"/>
      <c r="DN10" s="82"/>
      <c r="DO10" s="82"/>
      <c r="DP10" s="82"/>
      <c r="DQ10" s="82">
        <v>2</v>
      </c>
      <c r="DR10" s="82"/>
      <c r="DS10" s="23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3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  <c r="GR10" s="26"/>
      <c r="GS10" s="23"/>
      <c r="GT10" s="26"/>
      <c r="GU10" s="26"/>
      <c r="GV10" s="26"/>
      <c r="GW10" s="26"/>
      <c r="GX10" s="26"/>
      <c r="GY10" s="26"/>
      <c r="GZ10" s="26"/>
      <c r="HA10" s="26"/>
      <c r="HB10" s="26"/>
      <c r="HC10" s="26"/>
      <c r="HD10" s="26"/>
      <c r="HE10" s="26"/>
      <c r="HF10" s="26"/>
      <c r="HG10" s="26"/>
      <c r="HH10" s="26"/>
      <c r="HI10" s="26"/>
      <c r="HJ10" s="26"/>
      <c r="HK10" s="26"/>
      <c r="HL10" s="26"/>
      <c r="HM10" s="26"/>
      <c r="HN10" s="26"/>
      <c r="HO10" s="26"/>
      <c r="HP10" s="26"/>
      <c r="HQ10" s="26"/>
      <c r="HR10" s="26"/>
      <c r="HS10" s="26"/>
      <c r="HT10" s="26"/>
      <c r="HU10" s="26"/>
      <c r="HV10" s="26"/>
      <c r="HW10" s="26"/>
      <c r="HX10" s="26"/>
      <c r="HY10" s="26"/>
      <c r="HZ10" s="26"/>
      <c r="IA10" s="26"/>
      <c r="IB10" s="26"/>
      <c r="IC10" s="26"/>
      <c r="ID10" s="26"/>
      <c r="IE10" s="26"/>
      <c r="IF10" s="23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c r="IU10" s="26"/>
      <c r="IV10" s="26"/>
      <c r="IW10" s="26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  <c r="JR10" s="26"/>
      <c r="JS10" s="23"/>
      <c r="JT10" s="26"/>
      <c r="JU10" s="26"/>
      <c r="JV10" s="26"/>
      <c r="JW10" s="26"/>
      <c r="JX10" s="26"/>
      <c r="JY10" s="26"/>
      <c r="JZ10" s="26"/>
      <c r="KA10" s="26"/>
      <c r="KB10" s="26"/>
      <c r="KC10" s="26"/>
      <c r="KD10" s="26"/>
      <c r="KE10" s="26"/>
      <c r="KF10" s="26"/>
      <c r="KG10" s="26"/>
      <c r="KH10" s="26"/>
      <c r="KI10" s="26"/>
      <c r="KJ10" s="26"/>
      <c r="KK10" s="26"/>
      <c r="KL10" s="26"/>
      <c r="KM10" s="26"/>
      <c r="KN10" s="26"/>
      <c r="KO10" s="26"/>
      <c r="KP10" s="26"/>
      <c r="KQ10" s="26"/>
      <c r="KR10" s="26"/>
      <c r="KS10" s="26"/>
      <c r="KT10" s="26"/>
      <c r="KU10" s="26"/>
      <c r="KV10" s="26"/>
      <c r="KW10" s="26"/>
      <c r="KX10" s="26"/>
      <c r="KY10" s="26"/>
      <c r="KZ10" s="26"/>
      <c r="LA10" s="26"/>
      <c r="LB10" s="26"/>
      <c r="LC10" s="26"/>
      <c r="LD10" s="26"/>
      <c r="LE10" s="26"/>
      <c r="LF10" s="23"/>
      <c r="LG10" s="26"/>
      <c r="LH10" s="26"/>
      <c r="LI10" s="26"/>
      <c r="LJ10" s="26"/>
      <c r="LK10" s="26"/>
      <c r="LL10" s="26"/>
      <c r="LM10" s="26"/>
      <c r="LN10" s="26"/>
      <c r="LO10" s="26"/>
      <c r="LP10" s="26"/>
      <c r="LQ10" s="26"/>
      <c r="LR10" s="26"/>
      <c r="LS10" s="26"/>
      <c r="LT10" s="26"/>
      <c r="LU10" s="26"/>
      <c r="LV10" s="26"/>
      <c r="LW10" s="26"/>
      <c r="LX10" s="26"/>
      <c r="LY10" s="26"/>
      <c r="LZ10" s="26"/>
      <c r="MA10" s="26"/>
      <c r="MB10" s="26"/>
      <c r="MC10" s="26"/>
      <c r="MD10" s="26"/>
      <c r="ME10" s="26"/>
      <c r="MF10" s="26"/>
      <c r="MG10" s="26"/>
      <c r="MH10" s="26"/>
      <c r="MI10" s="26"/>
      <c r="MJ10" s="26"/>
      <c r="MK10" s="26"/>
      <c r="ML10" s="26"/>
      <c r="MM10" s="26"/>
      <c r="MN10" s="26"/>
      <c r="MO10" s="26"/>
      <c r="MP10" s="26"/>
      <c r="MQ10" s="26"/>
      <c r="MR10" s="26"/>
      <c r="MS10" s="23"/>
      <c r="MT10" s="26"/>
      <c r="MU10" s="26"/>
      <c r="MV10" s="26"/>
      <c r="MW10" s="26"/>
      <c r="MX10" s="26"/>
      <c r="MY10" s="26"/>
      <c r="MZ10" s="26"/>
      <c r="NA10" s="26"/>
      <c r="NB10" s="26"/>
      <c r="NC10" s="26"/>
      <c r="ND10" s="26"/>
      <c r="NE10" s="26"/>
      <c r="NF10" s="26"/>
      <c r="NG10" s="26"/>
      <c r="NH10" s="26"/>
      <c r="NI10" s="26"/>
      <c r="NJ10" s="26"/>
      <c r="NK10" s="26"/>
      <c r="NL10" s="26"/>
      <c r="NM10" s="26"/>
      <c r="NN10" s="26"/>
      <c r="NO10" s="26"/>
      <c r="NP10" s="26"/>
      <c r="NQ10" s="26"/>
      <c r="NR10" s="26"/>
      <c r="NS10" s="26"/>
      <c r="NT10" s="26"/>
      <c r="NU10" s="26"/>
      <c r="NV10" s="26"/>
      <c r="NW10" s="26"/>
      <c r="NX10" s="26"/>
      <c r="NY10" s="26"/>
      <c r="NZ10" s="26"/>
      <c r="OA10" s="26"/>
      <c r="OB10" s="26"/>
      <c r="OC10" s="26"/>
      <c r="OD10" s="26"/>
      <c r="OE10" s="26"/>
      <c r="OF10" s="23"/>
      <c r="OG10" s="26"/>
      <c r="OH10" s="26"/>
      <c r="OI10" s="26"/>
      <c r="OJ10" s="26"/>
      <c r="OK10" s="26"/>
      <c r="OL10" s="26"/>
      <c r="OM10" s="26"/>
      <c r="ON10" s="26"/>
      <c r="OO10" s="26"/>
      <c r="OP10" s="26"/>
      <c r="OQ10" s="26"/>
      <c r="OR10" s="26"/>
      <c r="OS10" s="26"/>
      <c r="OT10" s="26"/>
      <c r="OU10" s="26"/>
      <c r="OV10" s="26"/>
      <c r="OW10" s="26"/>
      <c r="OX10" s="26"/>
      <c r="OY10" s="26"/>
      <c r="OZ10" s="26"/>
      <c r="PA10" s="26"/>
      <c r="PB10" s="26"/>
      <c r="PC10" s="26"/>
      <c r="PD10" s="26"/>
      <c r="PE10" s="26"/>
      <c r="PF10" s="26"/>
      <c r="PG10" s="26"/>
      <c r="PH10" s="26"/>
      <c r="PI10" s="26"/>
      <c r="PJ10" s="26"/>
      <c r="PK10" s="26"/>
      <c r="PL10" s="26"/>
      <c r="PM10" s="26"/>
      <c r="PN10" s="26"/>
      <c r="PO10" s="26"/>
      <c r="PP10" s="26"/>
      <c r="PQ10" s="26"/>
      <c r="PR10" s="26"/>
    </row>
    <row r="11" spans="1:434" x14ac:dyDescent="0.25">
      <c r="A11" s="24"/>
      <c r="B11" s="25" t="s">
        <v>74</v>
      </c>
      <c r="C11" s="24" t="s">
        <v>66</v>
      </c>
      <c r="D11" s="24" t="s">
        <v>67</v>
      </c>
      <c r="E11" s="24"/>
      <c r="F11" s="23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3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3"/>
      <c r="CG11" s="82"/>
      <c r="CH11" s="82"/>
      <c r="CI11" s="82"/>
      <c r="CJ11" s="82"/>
      <c r="CK11" s="82"/>
      <c r="CL11" s="82"/>
      <c r="CM11" s="82"/>
      <c r="CN11" s="82"/>
      <c r="CO11" s="82"/>
      <c r="CP11" s="82"/>
      <c r="CQ11" s="82"/>
      <c r="CR11" s="82"/>
      <c r="CS11" s="82"/>
      <c r="CT11" s="82"/>
      <c r="CU11" s="82"/>
      <c r="CV11" s="82"/>
      <c r="CW11" s="82"/>
      <c r="CX11" s="82"/>
      <c r="CY11" s="82"/>
      <c r="CZ11" s="82"/>
      <c r="DA11" s="82"/>
      <c r="DB11" s="82"/>
      <c r="DC11" s="82"/>
      <c r="DD11" s="82"/>
      <c r="DE11" s="82"/>
      <c r="DF11" s="82"/>
      <c r="DG11" s="82"/>
      <c r="DH11" s="82"/>
      <c r="DI11" s="82"/>
      <c r="DJ11" s="82"/>
      <c r="DK11" s="82"/>
      <c r="DL11" s="82"/>
      <c r="DM11" s="82"/>
      <c r="DN11" s="82"/>
      <c r="DO11" s="82"/>
      <c r="DP11" s="82"/>
      <c r="DQ11" s="82"/>
      <c r="DR11" s="82"/>
      <c r="DS11" s="23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3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  <c r="GR11" s="26"/>
      <c r="GS11" s="23"/>
      <c r="GT11" s="26"/>
      <c r="GU11" s="26"/>
      <c r="GV11" s="26"/>
      <c r="GW11" s="26"/>
      <c r="GX11" s="26"/>
      <c r="GY11" s="26"/>
      <c r="GZ11" s="26"/>
      <c r="HA11" s="26"/>
      <c r="HB11" s="26"/>
      <c r="HC11" s="26"/>
      <c r="HD11" s="26"/>
      <c r="HE11" s="26"/>
      <c r="HF11" s="26"/>
      <c r="HG11" s="26"/>
      <c r="HH11" s="26"/>
      <c r="HI11" s="26"/>
      <c r="HJ11" s="26"/>
      <c r="HK11" s="26"/>
      <c r="HL11" s="26"/>
      <c r="HM11" s="26"/>
      <c r="HN11" s="26"/>
      <c r="HO11" s="26"/>
      <c r="HP11" s="26"/>
      <c r="HQ11" s="26"/>
      <c r="HR11" s="26"/>
      <c r="HS11" s="26"/>
      <c r="HT11" s="26"/>
      <c r="HU11" s="26"/>
      <c r="HV11" s="26"/>
      <c r="HW11" s="26"/>
      <c r="HX11" s="26"/>
      <c r="HY11" s="26"/>
      <c r="HZ11" s="26"/>
      <c r="IA11" s="26"/>
      <c r="IB11" s="26"/>
      <c r="IC11" s="26"/>
      <c r="ID11" s="26"/>
      <c r="IE11" s="26"/>
      <c r="IF11" s="23"/>
      <c r="IG11" s="26"/>
      <c r="IH11" s="26"/>
      <c r="II11" s="26"/>
      <c r="IJ11" s="26"/>
      <c r="IK11" s="26"/>
      <c r="IL11" s="26"/>
      <c r="IM11" s="26"/>
      <c r="IN11" s="26"/>
      <c r="IO11" s="26"/>
      <c r="IP11" s="26"/>
      <c r="IQ11" s="26"/>
      <c r="IR11" s="26"/>
      <c r="IS11" s="26"/>
      <c r="IT11" s="26"/>
      <c r="IU11" s="26"/>
      <c r="IV11" s="26"/>
      <c r="IW11" s="26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  <c r="JR11" s="26"/>
      <c r="JS11" s="23"/>
      <c r="JT11" s="26"/>
      <c r="JU11" s="26"/>
      <c r="JV11" s="26"/>
      <c r="JW11" s="26"/>
      <c r="JX11" s="26"/>
      <c r="JY11" s="26"/>
      <c r="JZ11" s="26"/>
      <c r="KA11" s="26"/>
      <c r="KB11" s="26"/>
      <c r="KC11" s="26"/>
      <c r="KD11" s="26"/>
      <c r="KE11" s="26"/>
      <c r="KF11" s="26"/>
      <c r="KG11" s="26"/>
      <c r="KH11" s="26"/>
      <c r="KI11" s="26"/>
      <c r="KJ11" s="26"/>
      <c r="KK11" s="26"/>
      <c r="KL11" s="26"/>
      <c r="KM11" s="26"/>
      <c r="KN11" s="26"/>
      <c r="KO11" s="26"/>
      <c r="KP11" s="26"/>
      <c r="KQ11" s="26"/>
      <c r="KR11" s="26"/>
      <c r="KS11" s="26"/>
      <c r="KT11" s="26"/>
      <c r="KU11" s="26"/>
      <c r="KV11" s="26"/>
      <c r="KW11" s="26"/>
      <c r="KX11" s="26"/>
      <c r="KY11" s="26"/>
      <c r="KZ11" s="26"/>
      <c r="LA11" s="26"/>
      <c r="LB11" s="26"/>
      <c r="LC11" s="26"/>
      <c r="LD11" s="26"/>
      <c r="LE11" s="26"/>
      <c r="LF11" s="23"/>
      <c r="LG11" s="26"/>
      <c r="LH11" s="26"/>
      <c r="LI11" s="26"/>
      <c r="LJ11" s="26"/>
      <c r="LK11" s="26"/>
      <c r="LL11" s="26"/>
      <c r="LM11" s="26"/>
      <c r="LN11" s="26"/>
      <c r="LO11" s="26"/>
      <c r="LP11" s="26"/>
      <c r="LQ11" s="26"/>
      <c r="LR11" s="26"/>
      <c r="LS11" s="26"/>
      <c r="LT11" s="26"/>
      <c r="LU11" s="26"/>
      <c r="LV11" s="26"/>
      <c r="LW11" s="26"/>
      <c r="LX11" s="26"/>
      <c r="LY11" s="26"/>
      <c r="LZ11" s="26"/>
      <c r="MA11" s="26"/>
      <c r="MB11" s="26"/>
      <c r="MC11" s="26"/>
      <c r="MD11" s="26"/>
      <c r="ME11" s="26"/>
      <c r="MF11" s="26"/>
      <c r="MG11" s="26"/>
      <c r="MH11" s="26"/>
      <c r="MI11" s="26"/>
      <c r="MJ11" s="26"/>
      <c r="MK11" s="26"/>
      <c r="ML11" s="26"/>
      <c r="MM11" s="26"/>
      <c r="MN11" s="26"/>
      <c r="MO11" s="26"/>
      <c r="MP11" s="26"/>
      <c r="MQ11" s="26"/>
      <c r="MR11" s="26"/>
      <c r="MS11" s="23"/>
      <c r="MT11" s="26"/>
      <c r="MU11" s="26"/>
      <c r="MV11" s="26"/>
      <c r="MW11" s="26"/>
      <c r="MX11" s="26"/>
      <c r="MY11" s="26"/>
      <c r="MZ11" s="26"/>
      <c r="NA11" s="26"/>
      <c r="NB11" s="26"/>
      <c r="NC11" s="26"/>
      <c r="ND11" s="26"/>
      <c r="NE11" s="26"/>
      <c r="NF11" s="26"/>
      <c r="NG11" s="26"/>
      <c r="NH11" s="26"/>
      <c r="NI11" s="26"/>
      <c r="NJ11" s="26"/>
      <c r="NK11" s="26"/>
      <c r="NL11" s="26"/>
      <c r="NM11" s="26"/>
      <c r="NN11" s="26"/>
      <c r="NO11" s="26"/>
      <c r="NP11" s="26"/>
      <c r="NQ11" s="26"/>
      <c r="NR11" s="26"/>
      <c r="NS11" s="26"/>
      <c r="NT11" s="26"/>
      <c r="NU11" s="26"/>
      <c r="NV11" s="26"/>
      <c r="NW11" s="26"/>
      <c r="NX11" s="26"/>
      <c r="NY11" s="26"/>
      <c r="NZ11" s="26"/>
      <c r="OA11" s="26"/>
      <c r="OB11" s="26"/>
      <c r="OC11" s="26"/>
      <c r="OD11" s="26"/>
      <c r="OE11" s="26"/>
      <c r="OF11" s="23"/>
      <c r="OG11" s="26"/>
      <c r="OH11" s="26"/>
      <c r="OI11" s="26"/>
      <c r="OJ11" s="26"/>
      <c r="OK11" s="26"/>
      <c r="OL11" s="26"/>
      <c r="OM11" s="26"/>
      <c r="ON11" s="26"/>
      <c r="OO11" s="26"/>
      <c r="OP11" s="26"/>
      <c r="OQ11" s="26"/>
      <c r="OR11" s="26"/>
      <c r="OS11" s="26"/>
      <c r="OT11" s="26"/>
      <c r="OU11" s="26"/>
      <c r="OV11" s="26"/>
      <c r="OW11" s="26"/>
      <c r="OX11" s="26"/>
      <c r="OY11" s="26"/>
      <c r="OZ11" s="26"/>
      <c r="PA11" s="26"/>
      <c r="PB11" s="26"/>
      <c r="PC11" s="26"/>
      <c r="PD11" s="26"/>
      <c r="PE11" s="26"/>
      <c r="PF11" s="26"/>
      <c r="PG11" s="26"/>
      <c r="PH11" s="26"/>
      <c r="PI11" s="26"/>
      <c r="PJ11" s="26"/>
      <c r="PK11" s="26"/>
      <c r="PL11" s="26"/>
      <c r="PM11" s="26"/>
      <c r="PN11" s="26"/>
      <c r="PO11" s="26"/>
      <c r="PP11" s="26"/>
      <c r="PQ11" s="26"/>
      <c r="PR11" s="26"/>
    </row>
    <row r="12" spans="1:434" x14ac:dyDescent="0.25">
      <c r="A12" s="24"/>
      <c r="B12" s="25" t="s">
        <v>75</v>
      </c>
      <c r="C12" s="24" t="s">
        <v>70</v>
      </c>
      <c r="D12" s="24" t="s">
        <v>76</v>
      </c>
      <c r="E12" s="24"/>
      <c r="F12" s="23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3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3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82"/>
      <c r="CU12" s="82"/>
      <c r="CV12" s="82"/>
      <c r="CW12" s="82"/>
      <c r="CX12" s="82"/>
      <c r="CY12" s="82"/>
      <c r="CZ12" s="82"/>
      <c r="DA12" s="82"/>
      <c r="DB12" s="82"/>
      <c r="DC12" s="82"/>
      <c r="DD12" s="82"/>
      <c r="DE12" s="82"/>
      <c r="DF12" s="82"/>
      <c r="DG12" s="82"/>
      <c r="DH12" s="82"/>
      <c r="DI12" s="82"/>
      <c r="DJ12" s="82"/>
      <c r="DK12" s="82"/>
      <c r="DL12" s="82"/>
      <c r="DM12" s="82"/>
      <c r="DN12" s="82"/>
      <c r="DO12" s="82"/>
      <c r="DP12" s="82"/>
      <c r="DQ12" s="82"/>
      <c r="DR12" s="82"/>
      <c r="DS12" s="23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3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3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3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3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3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3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  <c r="NQ12" s="26"/>
      <c r="NR12" s="26"/>
      <c r="NS12" s="26"/>
      <c r="NT12" s="26"/>
      <c r="NU12" s="26"/>
      <c r="NV12" s="26"/>
      <c r="NW12" s="26"/>
      <c r="NX12" s="26"/>
      <c r="NY12" s="26"/>
      <c r="NZ12" s="26"/>
      <c r="OA12" s="26"/>
      <c r="OB12" s="26"/>
      <c r="OC12" s="26"/>
      <c r="OD12" s="26"/>
      <c r="OE12" s="26"/>
      <c r="OF12" s="23"/>
      <c r="OG12" s="26"/>
      <c r="OH12" s="26"/>
      <c r="OI12" s="26"/>
      <c r="OJ12" s="26"/>
      <c r="OK12" s="26"/>
      <c r="OL12" s="26"/>
      <c r="OM12" s="26"/>
      <c r="ON12" s="26"/>
      <c r="OO12" s="26"/>
      <c r="OP12" s="26"/>
      <c r="OQ12" s="26"/>
      <c r="OR12" s="26"/>
      <c r="OS12" s="26"/>
      <c r="OT12" s="26"/>
      <c r="OU12" s="26"/>
      <c r="OV12" s="26"/>
      <c r="OW12" s="26"/>
      <c r="OX12" s="26"/>
      <c r="OY12" s="26"/>
      <c r="OZ12" s="26"/>
      <c r="PA12" s="26"/>
      <c r="PB12" s="26"/>
      <c r="PC12" s="26"/>
      <c r="PD12" s="26"/>
      <c r="PE12" s="26"/>
      <c r="PF12" s="26"/>
      <c r="PG12" s="26"/>
      <c r="PH12" s="26"/>
      <c r="PI12" s="26"/>
      <c r="PJ12" s="26"/>
      <c r="PK12" s="26"/>
      <c r="PL12" s="26"/>
      <c r="PM12" s="26"/>
      <c r="PN12" s="26"/>
      <c r="PO12" s="26"/>
      <c r="PP12" s="26"/>
      <c r="PQ12" s="26"/>
      <c r="PR12" s="26"/>
    </row>
    <row r="13" spans="1:434" x14ac:dyDescent="0.25">
      <c r="A13" s="24"/>
      <c r="B13" s="25" t="s">
        <v>77</v>
      </c>
      <c r="C13" s="24" t="s">
        <v>66</v>
      </c>
      <c r="D13" s="24" t="s">
        <v>67</v>
      </c>
      <c r="E13" s="24"/>
      <c r="F13" s="23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3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3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82">
        <v>5</v>
      </c>
      <c r="CU13" s="82"/>
      <c r="CV13" s="82"/>
      <c r="CW13" s="82"/>
      <c r="CX13" s="82"/>
      <c r="CY13" s="82"/>
      <c r="CZ13" s="82"/>
      <c r="DA13" s="82">
        <v>20</v>
      </c>
      <c r="DB13" s="82"/>
      <c r="DC13" s="82"/>
      <c r="DD13" s="82"/>
      <c r="DE13" s="82"/>
      <c r="DF13" s="82"/>
      <c r="DG13" s="82"/>
      <c r="DH13" s="82"/>
      <c r="DI13" s="82">
        <v>5</v>
      </c>
      <c r="DJ13" s="82"/>
      <c r="DK13" s="82"/>
      <c r="DL13" s="82">
        <v>5</v>
      </c>
      <c r="DM13" s="82"/>
      <c r="DN13" s="82"/>
      <c r="DO13" s="82"/>
      <c r="DP13" s="82"/>
      <c r="DQ13" s="82"/>
      <c r="DR13" s="82"/>
      <c r="DS13" s="23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3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  <c r="GR13" s="26"/>
      <c r="GS13" s="23"/>
      <c r="GT13" s="26"/>
      <c r="GU13" s="26"/>
      <c r="GV13" s="26"/>
      <c r="GW13" s="26"/>
      <c r="GX13" s="26"/>
      <c r="GY13" s="26"/>
      <c r="GZ13" s="26"/>
      <c r="HA13" s="26"/>
      <c r="HB13" s="26"/>
      <c r="HC13" s="26"/>
      <c r="HD13" s="26"/>
      <c r="HE13" s="26"/>
      <c r="HF13" s="26"/>
      <c r="HG13" s="26"/>
      <c r="HH13" s="26"/>
      <c r="HI13" s="26"/>
      <c r="HJ13" s="26"/>
      <c r="HK13" s="26"/>
      <c r="HL13" s="26"/>
      <c r="HM13" s="26"/>
      <c r="HN13" s="26"/>
      <c r="HO13" s="26"/>
      <c r="HP13" s="26"/>
      <c r="HQ13" s="26"/>
      <c r="HR13" s="26"/>
      <c r="HS13" s="26"/>
      <c r="HT13" s="26"/>
      <c r="HU13" s="26"/>
      <c r="HV13" s="26"/>
      <c r="HW13" s="26"/>
      <c r="HX13" s="26"/>
      <c r="HY13" s="26"/>
      <c r="HZ13" s="26"/>
      <c r="IA13" s="26"/>
      <c r="IB13" s="26"/>
      <c r="IC13" s="26"/>
      <c r="ID13" s="26"/>
      <c r="IE13" s="26"/>
      <c r="IF13" s="23"/>
      <c r="IG13" s="26"/>
      <c r="IH13" s="26"/>
      <c r="II13" s="26"/>
      <c r="IJ13" s="26"/>
      <c r="IK13" s="26"/>
      <c r="IL13" s="26"/>
      <c r="IM13" s="26"/>
      <c r="IN13" s="26"/>
      <c r="IO13" s="26"/>
      <c r="IP13" s="26"/>
      <c r="IQ13" s="26"/>
      <c r="IR13" s="26"/>
      <c r="IS13" s="26"/>
      <c r="IT13" s="26"/>
      <c r="IU13" s="26"/>
      <c r="IV13" s="26"/>
      <c r="IW13" s="26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  <c r="JR13" s="26"/>
      <c r="JS13" s="23"/>
      <c r="JT13" s="26"/>
      <c r="JU13" s="26"/>
      <c r="JV13" s="26"/>
      <c r="JW13" s="26"/>
      <c r="JX13" s="26"/>
      <c r="JY13" s="26"/>
      <c r="JZ13" s="26"/>
      <c r="KA13" s="26"/>
      <c r="KB13" s="26"/>
      <c r="KC13" s="26"/>
      <c r="KD13" s="26"/>
      <c r="KE13" s="26"/>
      <c r="KF13" s="26"/>
      <c r="KG13" s="26"/>
      <c r="KH13" s="26"/>
      <c r="KI13" s="26"/>
      <c r="KJ13" s="26"/>
      <c r="KK13" s="26"/>
      <c r="KL13" s="26"/>
      <c r="KM13" s="26"/>
      <c r="KN13" s="26"/>
      <c r="KO13" s="26"/>
      <c r="KP13" s="26"/>
      <c r="KQ13" s="26"/>
      <c r="KR13" s="26"/>
      <c r="KS13" s="26"/>
      <c r="KT13" s="26"/>
      <c r="KU13" s="26"/>
      <c r="KV13" s="26"/>
      <c r="KW13" s="26"/>
      <c r="KX13" s="26"/>
      <c r="KY13" s="26"/>
      <c r="KZ13" s="26"/>
      <c r="LA13" s="26"/>
      <c r="LB13" s="26"/>
      <c r="LC13" s="26"/>
      <c r="LD13" s="26"/>
      <c r="LE13" s="26"/>
      <c r="LF13" s="23"/>
      <c r="LG13" s="26"/>
      <c r="LH13" s="26"/>
      <c r="LI13" s="26"/>
      <c r="LJ13" s="26"/>
      <c r="LK13" s="26"/>
      <c r="LL13" s="26"/>
      <c r="LM13" s="26"/>
      <c r="LN13" s="26"/>
      <c r="LO13" s="26"/>
      <c r="LP13" s="26"/>
      <c r="LQ13" s="26"/>
      <c r="LR13" s="26"/>
      <c r="LS13" s="26"/>
      <c r="LT13" s="26"/>
      <c r="LU13" s="26"/>
      <c r="LV13" s="26"/>
      <c r="LW13" s="26"/>
      <c r="LX13" s="26"/>
      <c r="LY13" s="26"/>
      <c r="LZ13" s="26"/>
      <c r="MA13" s="26"/>
      <c r="MB13" s="26"/>
      <c r="MC13" s="26"/>
      <c r="MD13" s="26"/>
      <c r="ME13" s="26"/>
      <c r="MF13" s="26"/>
      <c r="MG13" s="26"/>
      <c r="MH13" s="26"/>
      <c r="MI13" s="26"/>
      <c r="MJ13" s="26"/>
      <c r="MK13" s="26"/>
      <c r="ML13" s="26"/>
      <c r="MM13" s="26"/>
      <c r="MN13" s="26"/>
      <c r="MO13" s="26"/>
      <c r="MP13" s="26"/>
      <c r="MQ13" s="26"/>
      <c r="MR13" s="26"/>
      <c r="MS13" s="23"/>
      <c r="MT13" s="26"/>
      <c r="MU13" s="26"/>
      <c r="MV13" s="26"/>
      <c r="MW13" s="26"/>
      <c r="MX13" s="26"/>
      <c r="MY13" s="26"/>
      <c r="MZ13" s="26"/>
      <c r="NA13" s="26"/>
      <c r="NB13" s="26"/>
      <c r="NC13" s="26"/>
      <c r="ND13" s="26"/>
      <c r="NE13" s="26"/>
      <c r="NF13" s="26"/>
      <c r="NG13" s="26"/>
      <c r="NH13" s="26"/>
      <c r="NI13" s="26"/>
      <c r="NJ13" s="26"/>
      <c r="NK13" s="26"/>
      <c r="NL13" s="26"/>
      <c r="NM13" s="26"/>
      <c r="NN13" s="26"/>
      <c r="NO13" s="26"/>
      <c r="NP13" s="26"/>
      <c r="NQ13" s="26"/>
      <c r="NR13" s="26"/>
      <c r="NS13" s="26"/>
      <c r="NT13" s="26"/>
      <c r="NU13" s="26"/>
      <c r="NV13" s="26"/>
      <c r="NW13" s="26"/>
      <c r="NX13" s="26"/>
      <c r="NY13" s="26"/>
      <c r="NZ13" s="26"/>
      <c r="OA13" s="26"/>
      <c r="OB13" s="26"/>
      <c r="OC13" s="26"/>
      <c r="OD13" s="26"/>
      <c r="OE13" s="26"/>
      <c r="OF13" s="23"/>
      <c r="OG13" s="26"/>
      <c r="OH13" s="26"/>
      <c r="OI13" s="26"/>
      <c r="OJ13" s="26"/>
      <c r="OK13" s="26"/>
      <c r="OL13" s="26"/>
      <c r="OM13" s="26"/>
      <c r="ON13" s="26"/>
      <c r="OO13" s="26"/>
      <c r="OP13" s="26"/>
      <c r="OQ13" s="26"/>
      <c r="OR13" s="26"/>
      <c r="OS13" s="26"/>
      <c r="OT13" s="26"/>
      <c r="OU13" s="26"/>
      <c r="OV13" s="26"/>
      <c r="OW13" s="26"/>
      <c r="OX13" s="26"/>
      <c r="OY13" s="26"/>
      <c r="OZ13" s="26"/>
      <c r="PA13" s="26"/>
      <c r="PB13" s="26"/>
      <c r="PC13" s="26"/>
      <c r="PD13" s="26"/>
      <c r="PE13" s="26"/>
      <c r="PF13" s="26"/>
      <c r="PG13" s="26"/>
      <c r="PH13" s="26"/>
      <c r="PI13" s="26"/>
      <c r="PJ13" s="26"/>
      <c r="PK13" s="26"/>
      <c r="PL13" s="26"/>
      <c r="PM13" s="26"/>
      <c r="PN13" s="26"/>
      <c r="PO13" s="26"/>
      <c r="PP13" s="26"/>
      <c r="PQ13" s="26"/>
      <c r="PR13" s="26"/>
    </row>
    <row r="14" spans="1:434" x14ac:dyDescent="0.25">
      <c r="A14" s="24"/>
      <c r="B14" s="25" t="s">
        <v>78</v>
      </c>
      <c r="C14" s="24" t="s">
        <v>70</v>
      </c>
      <c r="D14" s="24" t="s">
        <v>76</v>
      </c>
      <c r="E14" s="24"/>
      <c r="F14" s="23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3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3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82">
        <v>20</v>
      </c>
      <c r="CU14" s="82"/>
      <c r="CV14" s="82"/>
      <c r="CW14" s="82"/>
      <c r="CX14" s="82"/>
      <c r="CY14" s="82"/>
      <c r="CZ14" s="82"/>
      <c r="DA14" s="82">
        <v>20</v>
      </c>
      <c r="DB14" s="82"/>
      <c r="DC14" s="82"/>
      <c r="DD14" s="82"/>
      <c r="DE14" s="82"/>
      <c r="DF14" s="82"/>
      <c r="DG14" s="82"/>
      <c r="DH14" s="82"/>
      <c r="DI14" s="82">
        <v>5</v>
      </c>
      <c r="DJ14" s="82"/>
      <c r="DK14" s="82"/>
      <c r="DL14" s="82">
        <v>60</v>
      </c>
      <c r="DM14" s="82"/>
      <c r="DN14" s="82"/>
      <c r="DO14" s="82"/>
      <c r="DP14" s="82"/>
      <c r="DQ14" s="82"/>
      <c r="DR14" s="82"/>
      <c r="DS14" s="23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3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  <c r="GR14" s="26"/>
      <c r="GS14" s="23"/>
      <c r="GT14" s="26"/>
      <c r="GU14" s="26"/>
      <c r="GV14" s="26"/>
      <c r="GW14" s="26"/>
      <c r="GX14" s="26"/>
      <c r="GY14" s="26"/>
      <c r="GZ14" s="26"/>
      <c r="HA14" s="26"/>
      <c r="HB14" s="26"/>
      <c r="HC14" s="26"/>
      <c r="HD14" s="26"/>
      <c r="HE14" s="26"/>
      <c r="HF14" s="26"/>
      <c r="HG14" s="26"/>
      <c r="HH14" s="26"/>
      <c r="HI14" s="26"/>
      <c r="HJ14" s="26"/>
      <c r="HK14" s="26"/>
      <c r="HL14" s="26"/>
      <c r="HM14" s="26"/>
      <c r="HN14" s="26"/>
      <c r="HO14" s="26"/>
      <c r="HP14" s="26"/>
      <c r="HQ14" s="26"/>
      <c r="HR14" s="26"/>
      <c r="HS14" s="26"/>
      <c r="HT14" s="26"/>
      <c r="HU14" s="26"/>
      <c r="HV14" s="26"/>
      <c r="HW14" s="26"/>
      <c r="HX14" s="26"/>
      <c r="HY14" s="26"/>
      <c r="HZ14" s="26"/>
      <c r="IA14" s="26"/>
      <c r="IB14" s="26"/>
      <c r="IC14" s="26"/>
      <c r="ID14" s="26"/>
      <c r="IE14" s="26"/>
      <c r="IF14" s="23"/>
      <c r="IG14" s="26"/>
      <c r="IH14" s="26"/>
      <c r="II14" s="26"/>
      <c r="IJ14" s="26"/>
      <c r="IK14" s="26"/>
      <c r="IL14" s="26"/>
      <c r="IM14" s="26"/>
      <c r="IN14" s="26"/>
      <c r="IO14" s="26"/>
      <c r="IP14" s="26"/>
      <c r="IQ14" s="26"/>
      <c r="IR14" s="26"/>
      <c r="IS14" s="26"/>
      <c r="IT14" s="26"/>
      <c r="IU14" s="26"/>
      <c r="IV14" s="26"/>
      <c r="IW14" s="26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  <c r="JR14" s="26"/>
      <c r="JS14" s="23"/>
      <c r="JT14" s="26"/>
      <c r="JU14" s="26"/>
      <c r="JV14" s="26"/>
      <c r="JW14" s="26"/>
      <c r="JX14" s="26"/>
      <c r="JY14" s="26"/>
      <c r="JZ14" s="26"/>
      <c r="KA14" s="26"/>
      <c r="KB14" s="26"/>
      <c r="KC14" s="26"/>
      <c r="KD14" s="26"/>
      <c r="KE14" s="26"/>
      <c r="KF14" s="26"/>
      <c r="KG14" s="26"/>
      <c r="KH14" s="26"/>
      <c r="KI14" s="26"/>
      <c r="KJ14" s="26"/>
      <c r="KK14" s="26"/>
      <c r="KL14" s="26"/>
      <c r="KM14" s="26"/>
      <c r="KN14" s="26"/>
      <c r="KO14" s="26"/>
      <c r="KP14" s="26"/>
      <c r="KQ14" s="26"/>
      <c r="KR14" s="26"/>
      <c r="KS14" s="26"/>
      <c r="KT14" s="26"/>
      <c r="KU14" s="26"/>
      <c r="KV14" s="26"/>
      <c r="KW14" s="26"/>
      <c r="KX14" s="26"/>
      <c r="KY14" s="26"/>
      <c r="KZ14" s="26"/>
      <c r="LA14" s="26"/>
      <c r="LB14" s="26"/>
      <c r="LC14" s="26"/>
      <c r="LD14" s="26"/>
      <c r="LE14" s="26"/>
      <c r="LF14" s="23"/>
      <c r="LG14" s="26"/>
      <c r="LH14" s="26"/>
      <c r="LI14" s="26"/>
      <c r="LJ14" s="26"/>
      <c r="LK14" s="26"/>
      <c r="LL14" s="26"/>
      <c r="LM14" s="26"/>
      <c r="LN14" s="26"/>
      <c r="LO14" s="26"/>
      <c r="LP14" s="26"/>
      <c r="LQ14" s="26"/>
      <c r="LR14" s="26"/>
      <c r="LS14" s="26"/>
      <c r="LT14" s="26"/>
      <c r="LU14" s="26"/>
      <c r="LV14" s="26"/>
      <c r="LW14" s="26"/>
      <c r="LX14" s="26"/>
      <c r="LY14" s="26"/>
      <c r="LZ14" s="26"/>
      <c r="MA14" s="26"/>
      <c r="MB14" s="26"/>
      <c r="MC14" s="26"/>
      <c r="MD14" s="26"/>
      <c r="ME14" s="26"/>
      <c r="MF14" s="26"/>
      <c r="MG14" s="26"/>
      <c r="MH14" s="26"/>
      <c r="MI14" s="26"/>
      <c r="MJ14" s="26"/>
      <c r="MK14" s="26"/>
      <c r="ML14" s="26"/>
      <c r="MM14" s="26"/>
      <c r="MN14" s="26"/>
      <c r="MO14" s="26"/>
      <c r="MP14" s="26"/>
      <c r="MQ14" s="26"/>
      <c r="MR14" s="26"/>
      <c r="MS14" s="23"/>
      <c r="MT14" s="26"/>
      <c r="MU14" s="26"/>
      <c r="MV14" s="26"/>
      <c r="MW14" s="26"/>
      <c r="MX14" s="26"/>
      <c r="MY14" s="26"/>
      <c r="MZ14" s="26"/>
      <c r="NA14" s="26"/>
      <c r="NB14" s="26"/>
      <c r="NC14" s="26"/>
      <c r="ND14" s="26"/>
      <c r="NE14" s="26"/>
      <c r="NF14" s="26"/>
      <c r="NG14" s="26"/>
      <c r="NH14" s="26"/>
      <c r="NI14" s="26"/>
      <c r="NJ14" s="26"/>
      <c r="NK14" s="26"/>
      <c r="NL14" s="26"/>
      <c r="NM14" s="26"/>
      <c r="NN14" s="26"/>
      <c r="NO14" s="26"/>
      <c r="NP14" s="26"/>
      <c r="NQ14" s="26"/>
      <c r="NR14" s="26"/>
      <c r="NS14" s="26"/>
      <c r="NT14" s="26"/>
      <c r="NU14" s="26"/>
      <c r="NV14" s="26"/>
      <c r="NW14" s="26"/>
      <c r="NX14" s="26"/>
      <c r="NY14" s="26"/>
      <c r="NZ14" s="26"/>
      <c r="OA14" s="26"/>
      <c r="OB14" s="26"/>
      <c r="OC14" s="26"/>
      <c r="OD14" s="26"/>
      <c r="OE14" s="26"/>
      <c r="OF14" s="23"/>
      <c r="OG14" s="26"/>
      <c r="OH14" s="26"/>
      <c r="OI14" s="26"/>
      <c r="OJ14" s="26"/>
      <c r="OK14" s="26"/>
      <c r="OL14" s="26"/>
      <c r="OM14" s="26"/>
      <c r="ON14" s="26"/>
      <c r="OO14" s="26"/>
      <c r="OP14" s="26"/>
      <c r="OQ14" s="26"/>
      <c r="OR14" s="26"/>
      <c r="OS14" s="26"/>
      <c r="OT14" s="26"/>
      <c r="OU14" s="26"/>
      <c r="OV14" s="26"/>
      <c r="OW14" s="26"/>
      <c r="OX14" s="26"/>
      <c r="OY14" s="26"/>
      <c r="OZ14" s="26"/>
      <c r="PA14" s="26"/>
      <c r="PB14" s="26"/>
      <c r="PC14" s="26"/>
      <c r="PD14" s="26"/>
      <c r="PE14" s="26"/>
      <c r="PF14" s="26"/>
      <c r="PG14" s="26"/>
      <c r="PH14" s="26"/>
      <c r="PI14" s="26"/>
      <c r="PJ14" s="26"/>
      <c r="PK14" s="26"/>
      <c r="PL14" s="26"/>
      <c r="PM14" s="26"/>
      <c r="PN14" s="26"/>
      <c r="PO14" s="26"/>
      <c r="PP14" s="26"/>
      <c r="PQ14" s="26"/>
      <c r="PR14" s="26"/>
    </row>
    <row r="15" spans="1:434" x14ac:dyDescent="0.25">
      <c r="A15" s="24"/>
      <c r="B15" s="25" t="s">
        <v>79</v>
      </c>
      <c r="C15" s="24" t="s">
        <v>70</v>
      </c>
      <c r="D15" s="24" t="s">
        <v>67</v>
      </c>
      <c r="E15" s="24"/>
      <c r="F15" s="23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3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3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82"/>
      <c r="CU15" s="82"/>
      <c r="CV15" s="82"/>
      <c r="CW15" s="82"/>
      <c r="CX15" s="82"/>
      <c r="CY15" s="82"/>
      <c r="CZ15" s="82"/>
      <c r="DA15" s="82"/>
      <c r="DB15" s="82"/>
      <c r="DC15" s="82"/>
      <c r="DD15" s="82"/>
      <c r="DE15" s="82"/>
      <c r="DF15" s="82"/>
      <c r="DG15" s="82"/>
      <c r="DH15" s="82"/>
      <c r="DI15" s="82"/>
      <c r="DJ15" s="82"/>
      <c r="DK15" s="82"/>
      <c r="DL15" s="82"/>
      <c r="DM15" s="82"/>
      <c r="DN15" s="82"/>
      <c r="DO15" s="82"/>
      <c r="DP15" s="82"/>
      <c r="DQ15" s="82"/>
      <c r="DR15" s="82"/>
      <c r="DS15" s="23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3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3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3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3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  <c r="KV15" s="26"/>
      <c r="KW15" s="26"/>
      <c r="KX15" s="26"/>
      <c r="KY15" s="26"/>
      <c r="KZ15" s="26"/>
      <c r="LA15" s="26"/>
      <c r="LB15" s="26"/>
      <c r="LC15" s="26"/>
      <c r="LD15" s="26"/>
      <c r="LE15" s="26"/>
      <c r="LF15" s="23"/>
      <c r="LG15" s="26"/>
      <c r="LH15" s="26"/>
      <c r="LI15" s="26"/>
      <c r="LJ15" s="26"/>
      <c r="LK15" s="26"/>
      <c r="LL15" s="26"/>
      <c r="LM15" s="26"/>
      <c r="LN15" s="26"/>
      <c r="LO15" s="26"/>
      <c r="LP15" s="26"/>
      <c r="LQ15" s="26"/>
      <c r="LR15" s="26"/>
      <c r="LS15" s="26"/>
      <c r="LT15" s="26"/>
      <c r="LU15" s="26"/>
      <c r="LV15" s="26"/>
      <c r="LW15" s="26"/>
      <c r="LX15" s="26"/>
      <c r="LY15" s="26"/>
      <c r="LZ15" s="26"/>
      <c r="MA15" s="26"/>
      <c r="MB15" s="26"/>
      <c r="MC15" s="26"/>
      <c r="MD15" s="26"/>
      <c r="ME15" s="26"/>
      <c r="MF15" s="26"/>
      <c r="MG15" s="26"/>
      <c r="MH15" s="26"/>
      <c r="MI15" s="26"/>
      <c r="MJ15" s="26"/>
      <c r="MK15" s="26"/>
      <c r="ML15" s="26"/>
      <c r="MM15" s="26"/>
      <c r="MN15" s="26"/>
      <c r="MO15" s="26"/>
      <c r="MP15" s="26"/>
      <c r="MQ15" s="26"/>
      <c r="MR15" s="26"/>
      <c r="MS15" s="23"/>
      <c r="MT15" s="26"/>
      <c r="MU15" s="26"/>
      <c r="MV15" s="26"/>
      <c r="MW15" s="26"/>
      <c r="MX15" s="26"/>
      <c r="MY15" s="26"/>
      <c r="MZ15" s="26"/>
      <c r="NA15" s="26"/>
      <c r="NB15" s="26"/>
      <c r="NC15" s="26"/>
      <c r="ND15" s="26"/>
      <c r="NE15" s="26"/>
      <c r="NF15" s="26"/>
      <c r="NG15" s="26"/>
      <c r="NH15" s="26"/>
      <c r="NI15" s="26"/>
      <c r="NJ15" s="26"/>
      <c r="NK15" s="26"/>
      <c r="NL15" s="26"/>
      <c r="NM15" s="26"/>
      <c r="NN15" s="26"/>
      <c r="NO15" s="26"/>
      <c r="NP15" s="26"/>
      <c r="NQ15" s="26"/>
      <c r="NR15" s="26"/>
      <c r="NS15" s="26"/>
      <c r="NT15" s="26"/>
      <c r="NU15" s="26"/>
      <c r="NV15" s="26"/>
      <c r="NW15" s="26"/>
      <c r="NX15" s="26"/>
      <c r="NY15" s="26"/>
      <c r="NZ15" s="26"/>
      <c r="OA15" s="26"/>
      <c r="OB15" s="26"/>
      <c r="OC15" s="26"/>
      <c r="OD15" s="26"/>
      <c r="OE15" s="26"/>
      <c r="OF15" s="23"/>
      <c r="OG15" s="26"/>
      <c r="OH15" s="26"/>
      <c r="OI15" s="26"/>
      <c r="OJ15" s="26"/>
      <c r="OK15" s="26"/>
      <c r="OL15" s="26"/>
      <c r="OM15" s="26"/>
      <c r="ON15" s="26"/>
      <c r="OO15" s="26"/>
      <c r="OP15" s="26"/>
      <c r="OQ15" s="26"/>
      <c r="OR15" s="26"/>
      <c r="OS15" s="26"/>
      <c r="OT15" s="26"/>
      <c r="OU15" s="26"/>
      <c r="OV15" s="26"/>
      <c r="OW15" s="26"/>
      <c r="OX15" s="26"/>
      <c r="OY15" s="26"/>
      <c r="OZ15" s="26"/>
      <c r="PA15" s="26"/>
      <c r="PB15" s="26"/>
      <c r="PC15" s="26"/>
      <c r="PD15" s="26"/>
      <c r="PE15" s="26"/>
      <c r="PF15" s="26"/>
      <c r="PG15" s="26"/>
      <c r="PH15" s="26"/>
      <c r="PI15" s="26"/>
      <c r="PJ15" s="26"/>
      <c r="PK15" s="26"/>
      <c r="PL15" s="26"/>
      <c r="PM15" s="26"/>
      <c r="PN15" s="26"/>
      <c r="PO15" s="26"/>
      <c r="PP15" s="26"/>
      <c r="PQ15" s="26"/>
      <c r="PR15" s="26"/>
    </row>
    <row r="16" spans="1:434" x14ac:dyDescent="0.25">
      <c r="A16" s="24"/>
      <c r="B16" s="25" t="s">
        <v>80</v>
      </c>
      <c r="C16" s="24" t="s">
        <v>81</v>
      </c>
      <c r="D16" s="24" t="s">
        <v>76</v>
      </c>
      <c r="E16" s="24"/>
      <c r="F16" s="23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3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3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82"/>
      <c r="CU16" s="82"/>
      <c r="CV16" s="82"/>
      <c r="CW16" s="82"/>
      <c r="CX16" s="82"/>
      <c r="CY16" s="82"/>
      <c r="CZ16" s="82"/>
      <c r="DA16" s="82"/>
      <c r="DB16" s="82"/>
      <c r="DC16" s="82"/>
      <c r="DD16" s="82"/>
      <c r="DE16" s="82"/>
      <c r="DF16" s="82"/>
      <c r="DG16" s="82"/>
      <c r="DH16" s="82"/>
      <c r="DI16" s="82"/>
      <c r="DJ16" s="82"/>
      <c r="DK16" s="82"/>
      <c r="DL16" s="82"/>
      <c r="DM16" s="82"/>
      <c r="DN16" s="82"/>
      <c r="DO16" s="82"/>
      <c r="DP16" s="82"/>
      <c r="DQ16" s="82"/>
      <c r="DR16" s="82"/>
      <c r="DS16" s="23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3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  <c r="GR16" s="26"/>
      <c r="GS16" s="23"/>
      <c r="GT16" s="26"/>
      <c r="GU16" s="26"/>
      <c r="GV16" s="26"/>
      <c r="GW16" s="26"/>
      <c r="GX16" s="26"/>
      <c r="GY16" s="26"/>
      <c r="GZ16" s="26"/>
      <c r="HA16" s="26"/>
      <c r="HB16" s="26"/>
      <c r="HC16" s="26"/>
      <c r="HD16" s="26"/>
      <c r="HE16" s="26"/>
      <c r="HF16" s="26"/>
      <c r="HG16" s="26"/>
      <c r="HH16" s="26"/>
      <c r="HI16" s="26"/>
      <c r="HJ16" s="26"/>
      <c r="HK16" s="26"/>
      <c r="HL16" s="26"/>
      <c r="HM16" s="26"/>
      <c r="HN16" s="26"/>
      <c r="HO16" s="26"/>
      <c r="HP16" s="26"/>
      <c r="HQ16" s="26"/>
      <c r="HR16" s="26"/>
      <c r="HS16" s="26"/>
      <c r="HT16" s="26"/>
      <c r="HU16" s="26"/>
      <c r="HV16" s="26"/>
      <c r="HW16" s="26"/>
      <c r="HX16" s="26"/>
      <c r="HY16" s="26"/>
      <c r="HZ16" s="26"/>
      <c r="IA16" s="26"/>
      <c r="IB16" s="26"/>
      <c r="IC16" s="26"/>
      <c r="ID16" s="26"/>
      <c r="IE16" s="26"/>
      <c r="IF16" s="23"/>
      <c r="IG16" s="26"/>
      <c r="IH16" s="26"/>
      <c r="II16" s="26"/>
      <c r="IJ16" s="26"/>
      <c r="IK16" s="26"/>
      <c r="IL16" s="26"/>
      <c r="IM16" s="26"/>
      <c r="IN16" s="26"/>
      <c r="IO16" s="26"/>
      <c r="IP16" s="26"/>
      <c r="IQ16" s="26"/>
      <c r="IR16" s="26"/>
      <c r="IS16" s="26"/>
      <c r="IT16" s="26"/>
      <c r="IU16" s="26"/>
      <c r="IV16" s="26"/>
      <c r="IW16" s="26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  <c r="JR16" s="26"/>
      <c r="JS16" s="23"/>
      <c r="JT16" s="26"/>
      <c r="JU16" s="26"/>
      <c r="JV16" s="26"/>
      <c r="JW16" s="26"/>
      <c r="JX16" s="26"/>
      <c r="JY16" s="26"/>
      <c r="JZ16" s="26"/>
      <c r="KA16" s="26"/>
      <c r="KB16" s="26"/>
      <c r="KC16" s="26"/>
      <c r="KD16" s="26"/>
      <c r="KE16" s="26"/>
      <c r="KF16" s="26"/>
      <c r="KG16" s="26"/>
      <c r="KH16" s="26"/>
      <c r="KI16" s="26"/>
      <c r="KJ16" s="26"/>
      <c r="KK16" s="26"/>
      <c r="KL16" s="26"/>
      <c r="KM16" s="26"/>
      <c r="KN16" s="26"/>
      <c r="KO16" s="26"/>
      <c r="KP16" s="26"/>
      <c r="KQ16" s="26"/>
      <c r="KR16" s="26"/>
      <c r="KS16" s="26"/>
      <c r="KT16" s="26"/>
      <c r="KU16" s="26"/>
      <c r="KV16" s="26"/>
      <c r="KW16" s="26"/>
      <c r="KX16" s="26"/>
      <c r="KY16" s="26"/>
      <c r="KZ16" s="26"/>
      <c r="LA16" s="26"/>
      <c r="LB16" s="26"/>
      <c r="LC16" s="26"/>
      <c r="LD16" s="26"/>
      <c r="LE16" s="26"/>
      <c r="LF16" s="23"/>
      <c r="LG16" s="26"/>
      <c r="LH16" s="26"/>
      <c r="LI16" s="26"/>
      <c r="LJ16" s="26"/>
      <c r="LK16" s="26"/>
      <c r="LL16" s="26"/>
      <c r="LM16" s="26"/>
      <c r="LN16" s="26"/>
      <c r="LO16" s="26"/>
      <c r="LP16" s="26"/>
      <c r="LQ16" s="26"/>
      <c r="LR16" s="26"/>
      <c r="LS16" s="26"/>
      <c r="LT16" s="26"/>
      <c r="LU16" s="26"/>
      <c r="LV16" s="26"/>
      <c r="LW16" s="26"/>
      <c r="LX16" s="26"/>
      <c r="LY16" s="26"/>
      <c r="LZ16" s="26"/>
      <c r="MA16" s="26"/>
      <c r="MB16" s="26"/>
      <c r="MC16" s="26"/>
      <c r="MD16" s="26"/>
      <c r="ME16" s="26"/>
      <c r="MF16" s="26"/>
      <c r="MG16" s="26"/>
      <c r="MH16" s="26"/>
      <c r="MI16" s="26"/>
      <c r="MJ16" s="26"/>
      <c r="MK16" s="26"/>
      <c r="ML16" s="26"/>
      <c r="MM16" s="26"/>
      <c r="MN16" s="26"/>
      <c r="MO16" s="26"/>
      <c r="MP16" s="26"/>
      <c r="MQ16" s="26"/>
      <c r="MR16" s="26"/>
      <c r="MS16" s="23"/>
      <c r="MT16" s="26"/>
      <c r="MU16" s="26"/>
      <c r="MV16" s="26"/>
      <c r="MW16" s="26"/>
      <c r="MX16" s="26"/>
      <c r="MY16" s="26"/>
      <c r="MZ16" s="26"/>
      <c r="NA16" s="26"/>
      <c r="NB16" s="26"/>
      <c r="NC16" s="26"/>
      <c r="ND16" s="26"/>
      <c r="NE16" s="26"/>
      <c r="NF16" s="26"/>
      <c r="NG16" s="26"/>
      <c r="NH16" s="26"/>
      <c r="NI16" s="26"/>
      <c r="NJ16" s="26"/>
      <c r="NK16" s="26"/>
      <c r="NL16" s="26"/>
      <c r="NM16" s="26"/>
      <c r="NN16" s="26"/>
      <c r="NO16" s="26"/>
      <c r="NP16" s="26"/>
      <c r="NQ16" s="26"/>
      <c r="NR16" s="26"/>
      <c r="NS16" s="26"/>
      <c r="NT16" s="26"/>
      <c r="NU16" s="26"/>
      <c r="NV16" s="26"/>
      <c r="NW16" s="26"/>
      <c r="NX16" s="26"/>
      <c r="NY16" s="26"/>
      <c r="NZ16" s="26"/>
      <c r="OA16" s="26"/>
      <c r="OB16" s="26"/>
      <c r="OC16" s="26"/>
      <c r="OD16" s="26"/>
      <c r="OE16" s="26"/>
      <c r="OF16" s="23"/>
      <c r="OG16" s="26"/>
      <c r="OH16" s="26"/>
      <c r="OI16" s="26"/>
      <c r="OJ16" s="26"/>
      <c r="OK16" s="26"/>
      <c r="OL16" s="26"/>
      <c r="OM16" s="26"/>
      <c r="ON16" s="26"/>
      <c r="OO16" s="26"/>
      <c r="OP16" s="26"/>
      <c r="OQ16" s="26"/>
      <c r="OR16" s="26"/>
      <c r="OS16" s="26"/>
      <c r="OT16" s="26"/>
      <c r="OU16" s="26"/>
      <c r="OV16" s="26"/>
      <c r="OW16" s="26"/>
      <c r="OX16" s="26"/>
      <c r="OY16" s="26"/>
      <c r="OZ16" s="26"/>
      <c r="PA16" s="26"/>
      <c r="PB16" s="26"/>
      <c r="PC16" s="26"/>
      <c r="PD16" s="26"/>
      <c r="PE16" s="26"/>
      <c r="PF16" s="26"/>
      <c r="PG16" s="26"/>
      <c r="PH16" s="26"/>
      <c r="PI16" s="26"/>
      <c r="PJ16" s="26"/>
      <c r="PK16" s="26"/>
      <c r="PL16" s="26"/>
      <c r="PM16" s="26"/>
      <c r="PN16" s="26"/>
      <c r="PO16" s="26"/>
      <c r="PP16" s="26"/>
      <c r="PQ16" s="26"/>
      <c r="PR16" s="26"/>
    </row>
    <row r="17" spans="1:434" ht="21.95" customHeight="1" x14ac:dyDescent="0.25">
      <c r="A17" s="84" t="s">
        <v>82</v>
      </c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85"/>
      <c r="FD17" s="85"/>
      <c r="FE17" s="85"/>
      <c r="FF17" s="85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  <c r="FU17" s="85"/>
      <c r="FV17" s="85"/>
      <c r="FW17" s="85"/>
      <c r="FX17" s="85"/>
      <c r="FY17" s="85"/>
      <c r="FZ17" s="85"/>
      <c r="GA17" s="85"/>
      <c r="GB17" s="85"/>
      <c r="GC17" s="85"/>
      <c r="GD17" s="85"/>
      <c r="GE17" s="85"/>
      <c r="GF17" s="85"/>
      <c r="GG17" s="85"/>
      <c r="GH17" s="85"/>
      <c r="GI17" s="85"/>
      <c r="GJ17" s="85"/>
      <c r="GK17" s="85"/>
      <c r="GL17" s="85"/>
      <c r="GM17" s="85"/>
      <c r="GN17" s="85"/>
      <c r="GO17" s="85"/>
      <c r="GP17" s="85"/>
      <c r="GQ17" s="85"/>
      <c r="GR17" s="85"/>
      <c r="GS17" s="85"/>
      <c r="GT17" s="85"/>
      <c r="GU17" s="85"/>
      <c r="GV17" s="85"/>
      <c r="GW17" s="85"/>
      <c r="GX17" s="85"/>
      <c r="GY17" s="85"/>
      <c r="GZ17" s="85"/>
      <c r="HA17" s="85"/>
      <c r="HB17" s="85"/>
      <c r="HC17" s="85"/>
      <c r="HD17" s="85"/>
      <c r="HE17" s="85"/>
      <c r="HF17" s="85"/>
      <c r="HG17" s="85"/>
      <c r="HH17" s="85"/>
      <c r="HI17" s="85"/>
      <c r="HJ17" s="85"/>
      <c r="HK17" s="85"/>
      <c r="HL17" s="85"/>
      <c r="HM17" s="85"/>
      <c r="HN17" s="85"/>
      <c r="HO17" s="85"/>
      <c r="HP17" s="85"/>
      <c r="HQ17" s="85"/>
      <c r="HR17" s="85"/>
      <c r="HS17" s="85"/>
      <c r="HT17" s="85"/>
      <c r="HU17" s="85"/>
      <c r="HV17" s="85"/>
      <c r="HW17" s="85"/>
      <c r="HX17" s="85"/>
      <c r="HY17" s="85"/>
      <c r="HZ17" s="85"/>
      <c r="IA17" s="85"/>
      <c r="IB17" s="85"/>
      <c r="IC17" s="85"/>
      <c r="ID17" s="85"/>
      <c r="IE17" s="85"/>
      <c r="IF17" s="85"/>
      <c r="IG17" s="85"/>
      <c r="IH17" s="85"/>
      <c r="II17" s="85"/>
      <c r="IJ17" s="85"/>
      <c r="IK17" s="85"/>
      <c r="IL17" s="85"/>
      <c r="IM17" s="85"/>
      <c r="IN17" s="85"/>
      <c r="IO17" s="85"/>
      <c r="IP17" s="85"/>
      <c r="IQ17" s="85"/>
      <c r="IR17" s="85"/>
      <c r="IS17" s="85"/>
      <c r="IT17" s="85"/>
      <c r="IU17" s="85"/>
      <c r="IV17" s="85"/>
      <c r="IW17" s="85"/>
      <c r="IX17" s="85"/>
      <c r="IY17" s="85"/>
      <c r="IZ17" s="85"/>
      <c r="JA17" s="85"/>
      <c r="JB17" s="85"/>
      <c r="JC17" s="85"/>
      <c r="JD17" s="85"/>
      <c r="JE17" s="85"/>
      <c r="JF17" s="85"/>
      <c r="JG17" s="85"/>
      <c r="JH17" s="85"/>
      <c r="JI17" s="85"/>
      <c r="JJ17" s="85"/>
      <c r="JK17" s="85"/>
      <c r="JL17" s="85"/>
      <c r="JM17" s="85"/>
      <c r="JN17" s="85"/>
      <c r="JO17" s="85"/>
      <c r="JP17" s="85"/>
      <c r="JQ17" s="85"/>
      <c r="JR17" s="85"/>
      <c r="JS17" s="85"/>
      <c r="JT17" s="85"/>
      <c r="JU17" s="85"/>
      <c r="JV17" s="85"/>
      <c r="JW17" s="85"/>
      <c r="JX17" s="85"/>
      <c r="JY17" s="85"/>
      <c r="JZ17" s="85"/>
      <c r="KA17" s="85"/>
      <c r="KB17" s="85"/>
      <c r="KC17" s="85"/>
      <c r="KD17" s="85"/>
      <c r="KE17" s="85"/>
      <c r="KF17" s="85"/>
      <c r="KG17" s="85"/>
      <c r="KH17" s="85"/>
      <c r="KI17" s="85"/>
      <c r="KJ17" s="85"/>
      <c r="KK17" s="85"/>
      <c r="KL17" s="85"/>
      <c r="KM17" s="85"/>
      <c r="KN17" s="85"/>
      <c r="KO17" s="85"/>
      <c r="KP17" s="85"/>
      <c r="KQ17" s="85"/>
      <c r="KR17" s="85"/>
      <c r="KS17" s="85"/>
      <c r="KT17" s="85"/>
      <c r="KU17" s="85"/>
      <c r="KV17" s="85"/>
      <c r="KW17" s="85"/>
      <c r="KX17" s="85"/>
      <c r="KY17" s="85"/>
      <c r="KZ17" s="85"/>
      <c r="LA17" s="85"/>
      <c r="LB17" s="85"/>
      <c r="LC17" s="85"/>
      <c r="LD17" s="85"/>
      <c r="LE17" s="85"/>
      <c r="LF17" s="85"/>
      <c r="LG17" s="85"/>
      <c r="LH17" s="85"/>
      <c r="LI17" s="85"/>
      <c r="LJ17" s="85"/>
      <c r="LK17" s="85"/>
      <c r="LL17" s="85"/>
      <c r="LM17" s="85"/>
      <c r="LN17" s="85"/>
      <c r="LO17" s="85"/>
      <c r="LP17" s="85"/>
      <c r="LQ17" s="85"/>
      <c r="LR17" s="85"/>
      <c r="LS17" s="85"/>
      <c r="LT17" s="85"/>
      <c r="LU17" s="85"/>
      <c r="LV17" s="85"/>
      <c r="LW17" s="85"/>
      <c r="LX17" s="85"/>
      <c r="LY17" s="85"/>
      <c r="LZ17" s="85"/>
      <c r="MA17" s="85"/>
      <c r="MB17" s="85"/>
      <c r="MC17" s="85"/>
      <c r="MD17" s="85"/>
      <c r="ME17" s="85"/>
      <c r="MF17" s="85"/>
      <c r="MG17" s="85"/>
      <c r="MH17" s="85"/>
      <c r="MI17" s="85"/>
      <c r="MJ17" s="85"/>
      <c r="MK17" s="85"/>
      <c r="ML17" s="85"/>
      <c r="MM17" s="85"/>
      <c r="MN17" s="85"/>
      <c r="MO17" s="85"/>
      <c r="MP17" s="85"/>
      <c r="MQ17" s="85"/>
      <c r="MR17" s="85"/>
      <c r="MS17" s="85"/>
      <c r="MT17" s="85"/>
      <c r="MU17" s="85"/>
      <c r="MV17" s="85"/>
      <c r="MW17" s="85"/>
      <c r="MX17" s="85"/>
      <c r="MY17" s="85"/>
      <c r="MZ17" s="85"/>
      <c r="NA17" s="85"/>
      <c r="NB17" s="85"/>
      <c r="NC17" s="85"/>
      <c r="ND17" s="85"/>
      <c r="NE17" s="85"/>
      <c r="NF17" s="85"/>
      <c r="NG17" s="85"/>
      <c r="NH17" s="85"/>
      <c r="NI17" s="85"/>
      <c r="NJ17" s="85"/>
      <c r="NK17" s="85"/>
      <c r="NL17" s="85"/>
      <c r="NM17" s="85"/>
      <c r="NN17" s="85"/>
      <c r="NO17" s="85"/>
      <c r="NP17" s="85"/>
      <c r="NQ17" s="85"/>
      <c r="NR17" s="85"/>
      <c r="NS17" s="85"/>
      <c r="NT17" s="85"/>
      <c r="NU17" s="85"/>
      <c r="NV17" s="85"/>
      <c r="NW17" s="85"/>
      <c r="NX17" s="85"/>
      <c r="NY17" s="85"/>
      <c r="NZ17" s="85"/>
      <c r="OA17" s="85"/>
      <c r="OB17" s="85"/>
      <c r="OC17" s="85"/>
      <c r="OD17" s="85"/>
      <c r="OE17" s="85"/>
      <c r="OF17" s="85"/>
      <c r="OG17" s="85"/>
      <c r="OH17" s="85"/>
      <c r="OI17" s="85"/>
      <c r="OJ17" s="85"/>
      <c r="OK17" s="85"/>
      <c r="OL17" s="85"/>
      <c r="OM17" s="85"/>
      <c r="ON17" s="85"/>
      <c r="OO17" s="85"/>
      <c r="OP17" s="85"/>
      <c r="OQ17" s="85"/>
      <c r="OR17" s="85"/>
      <c r="OS17" s="85"/>
      <c r="OT17" s="85"/>
      <c r="OU17" s="85"/>
      <c r="OV17" s="85"/>
      <c r="OW17" s="85"/>
      <c r="OX17" s="85"/>
      <c r="OY17" s="85"/>
      <c r="OZ17" s="85"/>
      <c r="PA17" s="85"/>
      <c r="PB17" s="85"/>
      <c r="PC17" s="85"/>
      <c r="PD17" s="85"/>
      <c r="PE17" s="85"/>
      <c r="PF17" s="85"/>
      <c r="PG17" s="85"/>
      <c r="PH17" s="85"/>
      <c r="PI17" s="85"/>
      <c r="PJ17" s="85"/>
      <c r="PK17" s="85"/>
      <c r="PL17" s="85"/>
      <c r="PM17" s="85"/>
      <c r="PN17" s="85"/>
      <c r="PO17" s="85"/>
      <c r="PP17" s="85"/>
      <c r="PQ17" s="85"/>
      <c r="PR17" s="86"/>
    </row>
    <row r="18" spans="1:434" ht="25.5" x14ac:dyDescent="0.25">
      <c r="A18" s="24"/>
      <c r="B18" s="25" t="s">
        <v>83</v>
      </c>
      <c r="C18" s="24" t="s">
        <v>70</v>
      </c>
      <c r="D18" s="24" t="s">
        <v>73</v>
      </c>
      <c r="E18" s="24"/>
      <c r="F18" s="23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3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3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  <c r="CW18" s="82"/>
      <c r="CX18" s="82"/>
      <c r="CY18" s="82"/>
      <c r="CZ18" s="82"/>
      <c r="DA18" s="82"/>
      <c r="DB18" s="82"/>
      <c r="DC18" s="82"/>
      <c r="DD18" s="82"/>
      <c r="DE18" s="82"/>
      <c r="DF18" s="82"/>
      <c r="DG18" s="82"/>
      <c r="DH18" s="82"/>
      <c r="DI18" s="82"/>
      <c r="DJ18" s="82"/>
      <c r="DK18" s="82"/>
      <c r="DL18" s="82"/>
      <c r="DM18" s="82"/>
      <c r="DN18" s="82"/>
      <c r="DO18" s="82"/>
      <c r="DP18" s="82"/>
      <c r="DQ18" s="82"/>
      <c r="DR18" s="82"/>
      <c r="DS18" s="23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3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3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3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  <c r="IW18" s="26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  <c r="JR18" s="26"/>
      <c r="JS18" s="23"/>
      <c r="JT18" s="26"/>
      <c r="JU18" s="26"/>
      <c r="JV18" s="26"/>
      <c r="JW18" s="26"/>
      <c r="JX18" s="26"/>
      <c r="JY18" s="26"/>
      <c r="JZ18" s="26"/>
      <c r="KA18" s="26"/>
      <c r="KB18" s="26"/>
      <c r="KC18" s="26"/>
      <c r="KD18" s="26"/>
      <c r="KE18" s="26"/>
      <c r="KF18" s="26"/>
      <c r="KG18" s="26"/>
      <c r="KH18" s="26"/>
      <c r="KI18" s="26"/>
      <c r="KJ18" s="26"/>
      <c r="KK18" s="26"/>
      <c r="KL18" s="26"/>
      <c r="KM18" s="26"/>
      <c r="KN18" s="26"/>
      <c r="KO18" s="26"/>
      <c r="KP18" s="26"/>
      <c r="KQ18" s="26"/>
      <c r="KR18" s="26"/>
      <c r="KS18" s="26"/>
      <c r="KT18" s="26"/>
      <c r="KU18" s="26"/>
      <c r="KV18" s="26"/>
      <c r="KW18" s="26"/>
      <c r="KX18" s="26"/>
      <c r="KY18" s="26"/>
      <c r="KZ18" s="26"/>
      <c r="LA18" s="26"/>
      <c r="LB18" s="26"/>
      <c r="LC18" s="26"/>
      <c r="LD18" s="26"/>
      <c r="LE18" s="26"/>
      <c r="LF18" s="23"/>
      <c r="LG18" s="26"/>
      <c r="LH18" s="26"/>
      <c r="LI18" s="26"/>
      <c r="LJ18" s="26"/>
      <c r="LK18" s="26"/>
      <c r="LL18" s="26"/>
      <c r="LM18" s="26"/>
      <c r="LN18" s="26"/>
      <c r="LO18" s="26"/>
      <c r="LP18" s="26"/>
      <c r="LQ18" s="26"/>
      <c r="LR18" s="26"/>
      <c r="LS18" s="26"/>
      <c r="LT18" s="26"/>
      <c r="LU18" s="26"/>
      <c r="LV18" s="26"/>
      <c r="LW18" s="26"/>
      <c r="LX18" s="26"/>
      <c r="LY18" s="26"/>
      <c r="LZ18" s="26"/>
      <c r="MA18" s="26"/>
      <c r="MB18" s="26"/>
      <c r="MC18" s="26"/>
      <c r="MD18" s="26"/>
      <c r="ME18" s="26"/>
      <c r="MF18" s="26"/>
      <c r="MG18" s="26"/>
      <c r="MH18" s="26"/>
      <c r="MI18" s="26"/>
      <c r="MJ18" s="26"/>
      <c r="MK18" s="26"/>
      <c r="ML18" s="26"/>
      <c r="MM18" s="26"/>
      <c r="MN18" s="26"/>
      <c r="MO18" s="26"/>
      <c r="MP18" s="26"/>
      <c r="MQ18" s="26"/>
      <c r="MR18" s="26"/>
      <c r="MS18" s="23"/>
      <c r="MT18" s="26"/>
      <c r="MU18" s="26"/>
      <c r="MV18" s="26"/>
      <c r="MW18" s="26"/>
      <c r="MX18" s="26"/>
      <c r="MY18" s="26"/>
      <c r="MZ18" s="26"/>
      <c r="NA18" s="26"/>
      <c r="NB18" s="26"/>
      <c r="NC18" s="26"/>
      <c r="ND18" s="26"/>
      <c r="NE18" s="26"/>
      <c r="NF18" s="26"/>
      <c r="NG18" s="26"/>
      <c r="NH18" s="26"/>
      <c r="NI18" s="26"/>
      <c r="NJ18" s="26"/>
      <c r="NK18" s="26"/>
      <c r="NL18" s="26"/>
      <c r="NM18" s="26"/>
      <c r="NN18" s="26"/>
      <c r="NO18" s="26"/>
      <c r="NP18" s="26"/>
      <c r="NQ18" s="26"/>
      <c r="NR18" s="26"/>
      <c r="NS18" s="26"/>
      <c r="NT18" s="26"/>
      <c r="NU18" s="26"/>
      <c r="NV18" s="26"/>
      <c r="NW18" s="26"/>
      <c r="NX18" s="26"/>
      <c r="NY18" s="26"/>
      <c r="NZ18" s="26"/>
      <c r="OA18" s="26"/>
      <c r="OB18" s="26"/>
      <c r="OC18" s="26"/>
      <c r="OD18" s="26"/>
      <c r="OE18" s="26"/>
      <c r="OF18" s="23"/>
      <c r="OG18" s="26"/>
      <c r="OH18" s="26"/>
      <c r="OI18" s="26"/>
      <c r="OJ18" s="26"/>
      <c r="OK18" s="26"/>
      <c r="OL18" s="26"/>
      <c r="OM18" s="26"/>
      <c r="ON18" s="26"/>
      <c r="OO18" s="26"/>
      <c r="OP18" s="26"/>
      <c r="OQ18" s="26"/>
      <c r="OR18" s="26"/>
      <c r="OS18" s="26"/>
      <c r="OT18" s="26"/>
      <c r="OU18" s="26"/>
      <c r="OV18" s="26"/>
      <c r="OW18" s="26"/>
      <c r="OX18" s="26"/>
      <c r="OY18" s="26"/>
      <c r="OZ18" s="26"/>
      <c r="PA18" s="26"/>
      <c r="PB18" s="26"/>
      <c r="PC18" s="26"/>
      <c r="PD18" s="26"/>
      <c r="PE18" s="26"/>
      <c r="PF18" s="26"/>
      <c r="PG18" s="26"/>
      <c r="PH18" s="26"/>
      <c r="PI18" s="26"/>
      <c r="PJ18" s="26"/>
      <c r="PK18" s="26"/>
      <c r="PL18" s="26"/>
      <c r="PM18" s="26"/>
      <c r="PN18" s="26"/>
      <c r="PO18" s="26"/>
      <c r="PP18" s="26"/>
      <c r="PQ18" s="26"/>
      <c r="PR18" s="26"/>
    </row>
    <row r="19" spans="1:434" x14ac:dyDescent="0.25">
      <c r="A19" s="24"/>
      <c r="B19" s="25" t="s">
        <v>84</v>
      </c>
      <c r="C19" s="24" t="s">
        <v>70</v>
      </c>
      <c r="D19" s="24" t="s">
        <v>76</v>
      </c>
      <c r="E19" s="24"/>
      <c r="F19" s="23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3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3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82"/>
      <c r="CU19" s="82"/>
      <c r="CV19" s="82"/>
      <c r="CW19" s="82"/>
      <c r="CX19" s="82"/>
      <c r="CY19" s="82"/>
      <c r="CZ19" s="82"/>
      <c r="DA19" s="82"/>
      <c r="DB19" s="82"/>
      <c r="DC19" s="82"/>
      <c r="DD19" s="82"/>
      <c r="DE19" s="82"/>
      <c r="DF19" s="82"/>
      <c r="DG19" s="82"/>
      <c r="DH19" s="82"/>
      <c r="DI19" s="82"/>
      <c r="DJ19" s="82"/>
      <c r="DK19" s="82"/>
      <c r="DL19" s="82"/>
      <c r="DM19" s="82"/>
      <c r="DN19" s="82"/>
      <c r="DO19" s="82"/>
      <c r="DP19" s="82"/>
      <c r="DQ19" s="82"/>
      <c r="DR19" s="82"/>
      <c r="DS19" s="23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3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3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3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3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3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3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  <c r="NQ19" s="26"/>
      <c r="NR19" s="26"/>
      <c r="NS19" s="26"/>
      <c r="NT19" s="26"/>
      <c r="NU19" s="26"/>
      <c r="NV19" s="26"/>
      <c r="NW19" s="26"/>
      <c r="NX19" s="26"/>
      <c r="NY19" s="26"/>
      <c r="NZ19" s="26"/>
      <c r="OA19" s="26"/>
      <c r="OB19" s="26"/>
      <c r="OC19" s="26"/>
      <c r="OD19" s="26"/>
      <c r="OE19" s="26"/>
      <c r="OF19" s="23"/>
      <c r="OG19" s="26"/>
      <c r="OH19" s="26"/>
      <c r="OI19" s="26"/>
      <c r="OJ19" s="26"/>
      <c r="OK19" s="26"/>
      <c r="OL19" s="26"/>
      <c r="OM19" s="26"/>
      <c r="ON19" s="26"/>
      <c r="OO19" s="26"/>
      <c r="OP19" s="26"/>
      <c r="OQ19" s="26"/>
      <c r="OR19" s="26"/>
      <c r="OS19" s="26"/>
      <c r="OT19" s="26"/>
      <c r="OU19" s="26"/>
      <c r="OV19" s="26"/>
      <c r="OW19" s="26"/>
      <c r="OX19" s="26"/>
      <c r="OY19" s="26"/>
      <c r="OZ19" s="26"/>
      <c r="PA19" s="26"/>
      <c r="PB19" s="26"/>
      <c r="PC19" s="26"/>
      <c r="PD19" s="26"/>
      <c r="PE19" s="26"/>
      <c r="PF19" s="26"/>
      <c r="PG19" s="26"/>
      <c r="PH19" s="26"/>
      <c r="PI19" s="26"/>
      <c r="PJ19" s="26"/>
      <c r="PK19" s="26"/>
      <c r="PL19" s="26"/>
      <c r="PM19" s="26"/>
      <c r="PN19" s="26"/>
      <c r="PO19" s="26"/>
      <c r="PP19" s="26"/>
      <c r="PQ19" s="26"/>
      <c r="PR19" s="26"/>
    </row>
    <row r="20" spans="1:434" x14ac:dyDescent="0.25">
      <c r="A20" s="24"/>
      <c r="B20" s="25" t="s">
        <v>85</v>
      </c>
      <c r="C20" s="24" t="s">
        <v>70</v>
      </c>
      <c r="D20" s="24" t="s">
        <v>76</v>
      </c>
      <c r="E20" s="24"/>
      <c r="F20" s="23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3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3"/>
      <c r="CG20" s="82"/>
      <c r="CH20" s="82"/>
      <c r="CI20" s="82"/>
      <c r="CJ20" s="82"/>
      <c r="CK20" s="82"/>
      <c r="CL20" s="82"/>
      <c r="CM20" s="82"/>
      <c r="CN20" s="82"/>
      <c r="CO20" s="82"/>
      <c r="CP20" s="82"/>
      <c r="CQ20" s="82"/>
      <c r="CR20" s="82"/>
      <c r="CS20" s="82"/>
      <c r="CT20" s="82"/>
      <c r="CU20" s="82"/>
      <c r="CV20" s="82"/>
      <c r="CW20" s="82"/>
      <c r="CX20" s="82"/>
      <c r="CY20" s="82"/>
      <c r="CZ20" s="82"/>
      <c r="DA20" s="82"/>
      <c r="DB20" s="82"/>
      <c r="DC20" s="82"/>
      <c r="DD20" s="82"/>
      <c r="DE20" s="82"/>
      <c r="DF20" s="82"/>
      <c r="DG20" s="82"/>
      <c r="DH20" s="82"/>
      <c r="DI20" s="82"/>
      <c r="DJ20" s="82"/>
      <c r="DK20" s="82"/>
      <c r="DL20" s="82"/>
      <c r="DM20" s="82"/>
      <c r="DN20" s="82"/>
      <c r="DO20" s="82"/>
      <c r="DP20" s="82"/>
      <c r="DQ20" s="82"/>
      <c r="DR20" s="82"/>
      <c r="DS20" s="23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3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  <c r="GR20" s="26"/>
      <c r="GS20" s="23"/>
      <c r="GT20" s="26"/>
      <c r="GU20" s="26"/>
      <c r="GV20" s="26"/>
      <c r="GW20" s="26"/>
      <c r="GX20" s="26"/>
      <c r="GY20" s="26"/>
      <c r="GZ20" s="26"/>
      <c r="HA20" s="26"/>
      <c r="HB20" s="26"/>
      <c r="HC20" s="26"/>
      <c r="HD20" s="26"/>
      <c r="HE20" s="26"/>
      <c r="HF20" s="26"/>
      <c r="HG20" s="26"/>
      <c r="HH20" s="26"/>
      <c r="HI20" s="26"/>
      <c r="HJ20" s="26"/>
      <c r="HK20" s="26"/>
      <c r="HL20" s="26"/>
      <c r="HM20" s="26"/>
      <c r="HN20" s="26"/>
      <c r="HO20" s="26"/>
      <c r="HP20" s="26"/>
      <c r="HQ20" s="26"/>
      <c r="HR20" s="26"/>
      <c r="HS20" s="26"/>
      <c r="HT20" s="26"/>
      <c r="HU20" s="26"/>
      <c r="HV20" s="26"/>
      <c r="HW20" s="26"/>
      <c r="HX20" s="26"/>
      <c r="HY20" s="26"/>
      <c r="HZ20" s="26"/>
      <c r="IA20" s="26"/>
      <c r="IB20" s="26"/>
      <c r="IC20" s="26"/>
      <c r="ID20" s="26"/>
      <c r="IE20" s="26"/>
      <c r="IF20" s="23"/>
      <c r="IG20" s="26"/>
      <c r="IH20" s="26"/>
      <c r="II20" s="26"/>
      <c r="IJ20" s="26"/>
      <c r="IK20" s="26"/>
      <c r="IL20" s="26"/>
      <c r="IM20" s="26"/>
      <c r="IN20" s="26"/>
      <c r="IO20" s="26"/>
      <c r="IP20" s="26"/>
      <c r="IQ20" s="26"/>
      <c r="IR20" s="26"/>
      <c r="IS20" s="26"/>
      <c r="IT20" s="26"/>
      <c r="IU20" s="26"/>
      <c r="IV20" s="26"/>
      <c r="IW20" s="26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  <c r="JR20" s="26"/>
      <c r="JS20" s="23"/>
      <c r="JT20" s="26"/>
      <c r="JU20" s="26"/>
      <c r="JV20" s="26"/>
      <c r="JW20" s="26"/>
      <c r="JX20" s="26"/>
      <c r="JY20" s="26"/>
      <c r="JZ20" s="26"/>
      <c r="KA20" s="26"/>
      <c r="KB20" s="26"/>
      <c r="KC20" s="26"/>
      <c r="KD20" s="26"/>
      <c r="KE20" s="26"/>
      <c r="KF20" s="26"/>
      <c r="KG20" s="26"/>
      <c r="KH20" s="26"/>
      <c r="KI20" s="26"/>
      <c r="KJ20" s="26"/>
      <c r="KK20" s="26"/>
      <c r="KL20" s="26"/>
      <c r="KM20" s="26"/>
      <c r="KN20" s="26"/>
      <c r="KO20" s="26"/>
      <c r="KP20" s="26"/>
      <c r="KQ20" s="26"/>
      <c r="KR20" s="26"/>
      <c r="KS20" s="26"/>
      <c r="KT20" s="26"/>
      <c r="KU20" s="26"/>
      <c r="KV20" s="26"/>
      <c r="KW20" s="26"/>
      <c r="KX20" s="26"/>
      <c r="KY20" s="26"/>
      <c r="KZ20" s="26"/>
      <c r="LA20" s="26"/>
      <c r="LB20" s="26"/>
      <c r="LC20" s="26"/>
      <c r="LD20" s="26"/>
      <c r="LE20" s="26"/>
      <c r="LF20" s="23"/>
      <c r="LG20" s="26"/>
      <c r="LH20" s="26"/>
      <c r="LI20" s="26"/>
      <c r="LJ20" s="26"/>
      <c r="LK20" s="26"/>
      <c r="LL20" s="26"/>
      <c r="LM20" s="26"/>
      <c r="LN20" s="26"/>
      <c r="LO20" s="26"/>
      <c r="LP20" s="26"/>
      <c r="LQ20" s="26"/>
      <c r="LR20" s="26"/>
      <c r="LS20" s="26"/>
      <c r="LT20" s="26"/>
      <c r="LU20" s="26"/>
      <c r="LV20" s="26"/>
      <c r="LW20" s="26"/>
      <c r="LX20" s="26"/>
      <c r="LY20" s="26"/>
      <c r="LZ20" s="26"/>
      <c r="MA20" s="26"/>
      <c r="MB20" s="26"/>
      <c r="MC20" s="26"/>
      <c r="MD20" s="26"/>
      <c r="ME20" s="26"/>
      <c r="MF20" s="26"/>
      <c r="MG20" s="26"/>
      <c r="MH20" s="26"/>
      <c r="MI20" s="26"/>
      <c r="MJ20" s="26"/>
      <c r="MK20" s="26"/>
      <c r="ML20" s="26"/>
      <c r="MM20" s="26"/>
      <c r="MN20" s="26"/>
      <c r="MO20" s="26"/>
      <c r="MP20" s="26"/>
      <c r="MQ20" s="26"/>
      <c r="MR20" s="26"/>
      <c r="MS20" s="23"/>
      <c r="MT20" s="26"/>
      <c r="MU20" s="26"/>
      <c r="MV20" s="26"/>
      <c r="MW20" s="26"/>
      <c r="MX20" s="26"/>
      <c r="MY20" s="26"/>
      <c r="MZ20" s="26"/>
      <c r="NA20" s="26"/>
      <c r="NB20" s="26"/>
      <c r="NC20" s="26"/>
      <c r="ND20" s="26"/>
      <c r="NE20" s="26"/>
      <c r="NF20" s="26"/>
      <c r="NG20" s="26"/>
      <c r="NH20" s="26"/>
      <c r="NI20" s="26"/>
      <c r="NJ20" s="26"/>
      <c r="NK20" s="26"/>
      <c r="NL20" s="26"/>
      <c r="NM20" s="26"/>
      <c r="NN20" s="26"/>
      <c r="NO20" s="26"/>
      <c r="NP20" s="26"/>
      <c r="NQ20" s="26"/>
      <c r="NR20" s="26"/>
      <c r="NS20" s="26"/>
      <c r="NT20" s="26"/>
      <c r="NU20" s="26"/>
      <c r="NV20" s="26"/>
      <c r="NW20" s="26"/>
      <c r="NX20" s="26"/>
      <c r="NY20" s="26"/>
      <c r="NZ20" s="26"/>
      <c r="OA20" s="26"/>
      <c r="OB20" s="26"/>
      <c r="OC20" s="26"/>
      <c r="OD20" s="26"/>
      <c r="OE20" s="26"/>
      <c r="OF20" s="23"/>
      <c r="OG20" s="26"/>
      <c r="OH20" s="26"/>
      <c r="OI20" s="26"/>
      <c r="OJ20" s="26"/>
      <c r="OK20" s="26"/>
      <c r="OL20" s="26"/>
      <c r="OM20" s="26"/>
      <c r="ON20" s="26"/>
      <c r="OO20" s="26"/>
      <c r="OP20" s="26"/>
      <c r="OQ20" s="26"/>
      <c r="OR20" s="26"/>
      <c r="OS20" s="26"/>
      <c r="OT20" s="26"/>
      <c r="OU20" s="26"/>
      <c r="OV20" s="26"/>
      <c r="OW20" s="26"/>
      <c r="OX20" s="26"/>
      <c r="OY20" s="26"/>
      <c r="OZ20" s="26"/>
      <c r="PA20" s="26"/>
      <c r="PB20" s="26"/>
      <c r="PC20" s="26"/>
      <c r="PD20" s="26"/>
      <c r="PE20" s="26"/>
      <c r="PF20" s="26"/>
      <c r="PG20" s="26"/>
      <c r="PH20" s="26"/>
      <c r="PI20" s="26"/>
      <c r="PJ20" s="26"/>
      <c r="PK20" s="26"/>
      <c r="PL20" s="26"/>
      <c r="PM20" s="26"/>
      <c r="PN20" s="26"/>
      <c r="PO20" s="26"/>
      <c r="PP20" s="26"/>
      <c r="PQ20" s="26"/>
      <c r="PR20" s="26"/>
    </row>
    <row r="21" spans="1:434" x14ac:dyDescent="0.25">
      <c r="A21" s="24"/>
      <c r="B21" s="25" t="s">
        <v>86</v>
      </c>
      <c r="C21" s="24" t="s">
        <v>70</v>
      </c>
      <c r="D21" s="24" t="s">
        <v>76</v>
      </c>
      <c r="E21" s="24"/>
      <c r="F21" s="23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3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3"/>
      <c r="CG21" s="82"/>
      <c r="CH21" s="82"/>
      <c r="CI21" s="82"/>
      <c r="CJ21" s="82"/>
      <c r="CK21" s="82"/>
      <c r="CL21" s="82"/>
      <c r="CM21" s="82"/>
      <c r="CN21" s="82"/>
      <c r="CO21" s="82"/>
      <c r="CP21" s="82"/>
      <c r="CQ21" s="82"/>
      <c r="CR21" s="82"/>
      <c r="CS21" s="82"/>
      <c r="CT21" s="82"/>
      <c r="CU21" s="82"/>
      <c r="CV21" s="82"/>
      <c r="CW21" s="82"/>
      <c r="CX21" s="82"/>
      <c r="CY21" s="82"/>
      <c r="CZ21" s="82"/>
      <c r="DA21" s="82"/>
      <c r="DB21" s="82"/>
      <c r="DC21" s="82"/>
      <c r="DD21" s="82"/>
      <c r="DE21" s="82"/>
      <c r="DF21" s="82"/>
      <c r="DG21" s="82"/>
      <c r="DH21" s="82"/>
      <c r="DI21" s="82"/>
      <c r="DJ21" s="82"/>
      <c r="DK21" s="82"/>
      <c r="DL21" s="82"/>
      <c r="DM21" s="82"/>
      <c r="DN21" s="82"/>
      <c r="DO21" s="82"/>
      <c r="DP21" s="82"/>
      <c r="DQ21" s="82"/>
      <c r="DR21" s="82"/>
      <c r="DS21" s="23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3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  <c r="GR21" s="26"/>
      <c r="GS21" s="23"/>
      <c r="GT21" s="26"/>
      <c r="GU21" s="26"/>
      <c r="GV21" s="26"/>
      <c r="GW21" s="26"/>
      <c r="GX21" s="26"/>
      <c r="GY21" s="26"/>
      <c r="GZ21" s="26"/>
      <c r="HA21" s="26"/>
      <c r="HB21" s="26"/>
      <c r="HC21" s="26"/>
      <c r="HD21" s="26"/>
      <c r="HE21" s="26"/>
      <c r="HF21" s="26"/>
      <c r="HG21" s="26"/>
      <c r="HH21" s="26"/>
      <c r="HI21" s="26"/>
      <c r="HJ21" s="26"/>
      <c r="HK21" s="26"/>
      <c r="HL21" s="26"/>
      <c r="HM21" s="26"/>
      <c r="HN21" s="26"/>
      <c r="HO21" s="26"/>
      <c r="HP21" s="26"/>
      <c r="HQ21" s="26"/>
      <c r="HR21" s="26"/>
      <c r="HS21" s="26"/>
      <c r="HT21" s="26"/>
      <c r="HU21" s="26"/>
      <c r="HV21" s="26"/>
      <c r="HW21" s="26"/>
      <c r="HX21" s="26"/>
      <c r="HY21" s="26"/>
      <c r="HZ21" s="26"/>
      <c r="IA21" s="26"/>
      <c r="IB21" s="26"/>
      <c r="IC21" s="26"/>
      <c r="ID21" s="26"/>
      <c r="IE21" s="26"/>
      <c r="IF21" s="23"/>
      <c r="IG21" s="26"/>
      <c r="IH21" s="26"/>
      <c r="II21" s="26"/>
      <c r="IJ21" s="26"/>
      <c r="IK21" s="26"/>
      <c r="IL21" s="26"/>
      <c r="IM21" s="26"/>
      <c r="IN21" s="26"/>
      <c r="IO21" s="26"/>
      <c r="IP21" s="26"/>
      <c r="IQ21" s="26"/>
      <c r="IR21" s="26"/>
      <c r="IS21" s="26"/>
      <c r="IT21" s="26"/>
      <c r="IU21" s="26"/>
      <c r="IV21" s="26"/>
      <c r="IW21" s="26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  <c r="JR21" s="26"/>
      <c r="JS21" s="23"/>
      <c r="JT21" s="26"/>
      <c r="JU21" s="26"/>
      <c r="JV21" s="26"/>
      <c r="JW21" s="26"/>
      <c r="JX21" s="26"/>
      <c r="JY21" s="26"/>
      <c r="JZ21" s="26"/>
      <c r="KA21" s="26"/>
      <c r="KB21" s="26"/>
      <c r="KC21" s="26"/>
      <c r="KD21" s="26"/>
      <c r="KE21" s="26"/>
      <c r="KF21" s="26"/>
      <c r="KG21" s="26"/>
      <c r="KH21" s="26"/>
      <c r="KI21" s="26"/>
      <c r="KJ21" s="26"/>
      <c r="KK21" s="26"/>
      <c r="KL21" s="26"/>
      <c r="KM21" s="26"/>
      <c r="KN21" s="26"/>
      <c r="KO21" s="26"/>
      <c r="KP21" s="26"/>
      <c r="KQ21" s="26"/>
      <c r="KR21" s="26"/>
      <c r="KS21" s="26"/>
      <c r="KT21" s="26"/>
      <c r="KU21" s="26"/>
      <c r="KV21" s="26"/>
      <c r="KW21" s="26"/>
      <c r="KX21" s="26"/>
      <c r="KY21" s="26"/>
      <c r="KZ21" s="26"/>
      <c r="LA21" s="26"/>
      <c r="LB21" s="26"/>
      <c r="LC21" s="26"/>
      <c r="LD21" s="26"/>
      <c r="LE21" s="26"/>
      <c r="LF21" s="23"/>
      <c r="LG21" s="26"/>
      <c r="LH21" s="26"/>
      <c r="LI21" s="26"/>
      <c r="LJ21" s="26"/>
      <c r="LK21" s="26"/>
      <c r="LL21" s="26"/>
      <c r="LM21" s="26"/>
      <c r="LN21" s="26"/>
      <c r="LO21" s="26"/>
      <c r="LP21" s="26"/>
      <c r="LQ21" s="26"/>
      <c r="LR21" s="26"/>
      <c r="LS21" s="26"/>
      <c r="LT21" s="26"/>
      <c r="LU21" s="26"/>
      <c r="LV21" s="26"/>
      <c r="LW21" s="26"/>
      <c r="LX21" s="26"/>
      <c r="LY21" s="26"/>
      <c r="LZ21" s="26"/>
      <c r="MA21" s="26"/>
      <c r="MB21" s="26"/>
      <c r="MC21" s="26"/>
      <c r="MD21" s="26"/>
      <c r="ME21" s="26"/>
      <c r="MF21" s="26"/>
      <c r="MG21" s="26"/>
      <c r="MH21" s="26"/>
      <c r="MI21" s="26"/>
      <c r="MJ21" s="26"/>
      <c r="MK21" s="26"/>
      <c r="ML21" s="26"/>
      <c r="MM21" s="26"/>
      <c r="MN21" s="26"/>
      <c r="MO21" s="26"/>
      <c r="MP21" s="26"/>
      <c r="MQ21" s="26"/>
      <c r="MR21" s="26"/>
      <c r="MS21" s="23"/>
      <c r="MT21" s="26"/>
      <c r="MU21" s="26"/>
      <c r="MV21" s="26"/>
      <c r="MW21" s="26"/>
      <c r="MX21" s="26"/>
      <c r="MY21" s="26"/>
      <c r="MZ21" s="26"/>
      <c r="NA21" s="26"/>
      <c r="NB21" s="26"/>
      <c r="NC21" s="26"/>
      <c r="ND21" s="26"/>
      <c r="NE21" s="26"/>
      <c r="NF21" s="26"/>
      <c r="NG21" s="26"/>
      <c r="NH21" s="26"/>
      <c r="NI21" s="26"/>
      <c r="NJ21" s="26"/>
      <c r="NK21" s="26"/>
      <c r="NL21" s="26"/>
      <c r="NM21" s="26"/>
      <c r="NN21" s="26"/>
      <c r="NO21" s="26"/>
      <c r="NP21" s="26"/>
      <c r="NQ21" s="26"/>
      <c r="NR21" s="26"/>
      <c r="NS21" s="26"/>
      <c r="NT21" s="26"/>
      <c r="NU21" s="26"/>
      <c r="NV21" s="26"/>
      <c r="NW21" s="26"/>
      <c r="NX21" s="26"/>
      <c r="NY21" s="26"/>
      <c r="NZ21" s="26"/>
      <c r="OA21" s="26"/>
      <c r="OB21" s="26"/>
      <c r="OC21" s="26"/>
      <c r="OD21" s="26"/>
      <c r="OE21" s="26"/>
      <c r="OF21" s="23"/>
      <c r="OG21" s="26"/>
      <c r="OH21" s="26"/>
      <c r="OI21" s="26"/>
      <c r="OJ21" s="26"/>
      <c r="OK21" s="26"/>
      <c r="OL21" s="26"/>
      <c r="OM21" s="26"/>
      <c r="ON21" s="26"/>
      <c r="OO21" s="26"/>
      <c r="OP21" s="26"/>
      <c r="OQ21" s="26"/>
      <c r="OR21" s="26"/>
      <c r="OS21" s="26"/>
      <c r="OT21" s="26"/>
      <c r="OU21" s="26"/>
      <c r="OV21" s="26"/>
      <c r="OW21" s="26"/>
      <c r="OX21" s="26"/>
      <c r="OY21" s="26"/>
      <c r="OZ21" s="26"/>
      <c r="PA21" s="26"/>
      <c r="PB21" s="26"/>
      <c r="PC21" s="26"/>
      <c r="PD21" s="26"/>
      <c r="PE21" s="26"/>
      <c r="PF21" s="26"/>
      <c r="PG21" s="26"/>
      <c r="PH21" s="26"/>
      <c r="PI21" s="26"/>
      <c r="PJ21" s="26"/>
      <c r="PK21" s="26"/>
      <c r="PL21" s="26"/>
      <c r="PM21" s="26"/>
      <c r="PN21" s="26"/>
      <c r="PO21" s="26"/>
      <c r="PP21" s="26"/>
      <c r="PQ21" s="26"/>
      <c r="PR21" s="26"/>
    </row>
    <row r="22" spans="1:434" x14ac:dyDescent="0.25">
      <c r="A22" s="24"/>
      <c r="B22" s="25" t="s">
        <v>87</v>
      </c>
      <c r="C22" s="24" t="s">
        <v>70</v>
      </c>
      <c r="D22" s="24" t="s">
        <v>76</v>
      </c>
      <c r="E22" s="24"/>
      <c r="F22" s="23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3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3"/>
      <c r="CG22" s="82"/>
      <c r="CH22" s="82"/>
      <c r="CI22" s="82"/>
      <c r="CJ22" s="82"/>
      <c r="CK22" s="82"/>
      <c r="CL22" s="82"/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2"/>
      <c r="CZ22" s="82"/>
      <c r="DA22" s="82"/>
      <c r="DB22" s="82"/>
      <c r="DC22" s="82"/>
      <c r="DD22" s="82"/>
      <c r="DE22" s="82"/>
      <c r="DF22" s="82"/>
      <c r="DG22" s="82"/>
      <c r="DH22" s="82"/>
      <c r="DI22" s="82"/>
      <c r="DJ22" s="82"/>
      <c r="DK22" s="82"/>
      <c r="DL22" s="82"/>
      <c r="DM22" s="82"/>
      <c r="DN22" s="82"/>
      <c r="DO22" s="82"/>
      <c r="DP22" s="82"/>
      <c r="DQ22" s="82"/>
      <c r="DR22" s="82"/>
      <c r="DS22" s="23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3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  <c r="GR22" s="26"/>
      <c r="GS22" s="23"/>
      <c r="GT22" s="26"/>
      <c r="GU22" s="26"/>
      <c r="GV22" s="26"/>
      <c r="GW22" s="26"/>
      <c r="GX22" s="26"/>
      <c r="GY22" s="26"/>
      <c r="GZ22" s="26"/>
      <c r="HA22" s="26"/>
      <c r="HB22" s="26"/>
      <c r="HC22" s="26"/>
      <c r="HD22" s="26"/>
      <c r="HE22" s="26"/>
      <c r="HF22" s="26"/>
      <c r="HG22" s="26"/>
      <c r="HH22" s="26"/>
      <c r="HI22" s="26"/>
      <c r="HJ22" s="26"/>
      <c r="HK22" s="26"/>
      <c r="HL22" s="26"/>
      <c r="HM22" s="26"/>
      <c r="HN22" s="26"/>
      <c r="HO22" s="26"/>
      <c r="HP22" s="26"/>
      <c r="HQ22" s="26"/>
      <c r="HR22" s="26"/>
      <c r="HS22" s="26"/>
      <c r="HT22" s="26"/>
      <c r="HU22" s="26"/>
      <c r="HV22" s="26"/>
      <c r="HW22" s="26"/>
      <c r="HX22" s="26"/>
      <c r="HY22" s="26"/>
      <c r="HZ22" s="26"/>
      <c r="IA22" s="26"/>
      <c r="IB22" s="26"/>
      <c r="IC22" s="26"/>
      <c r="ID22" s="26"/>
      <c r="IE22" s="26"/>
      <c r="IF22" s="23"/>
      <c r="IG22" s="26"/>
      <c r="IH22" s="26"/>
      <c r="II22" s="26"/>
      <c r="IJ22" s="26"/>
      <c r="IK22" s="26"/>
      <c r="IL22" s="26"/>
      <c r="IM22" s="26"/>
      <c r="IN22" s="26"/>
      <c r="IO22" s="26"/>
      <c r="IP22" s="26"/>
      <c r="IQ22" s="26"/>
      <c r="IR22" s="26"/>
      <c r="IS22" s="26"/>
      <c r="IT22" s="26"/>
      <c r="IU22" s="26"/>
      <c r="IV22" s="26"/>
      <c r="IW22" s="26"/>
      <c r="IX22" s="26"/>
      <c r="IY22" s="26"/>
      <c r="IZ22" s="26"/>
      <c r="JA22" s="26"/>
      <c r="JB22" s="26"/>
      <c r="JC22" s="26"/>
      <c r="JD22" s="26"/>
      <c r="JE22" s="26"/>
      <c r="JF22" s="26"/>
      <c r="JG22" s="26"/>
      <c r="JH22" s="26"/>
      <c r="JI22" s="26"/>
      <c r="JJ22" s="26"/>
      <c r="JK22" s="26"/>
      <c r="JL22" s="26"/>
      <c r="JM22" s="26"/>
      <c r="JN22" s="26"/>
      <c r="JO22" s="26"/>
      <c r="JP22" s="26"/>
      <c r="JQ22" s="26"/>
      <c r="JR22" s="26"/>
      <c r="JS22" s="23"/>
      <c r="JT22" s="26"/>
      <c r="JU22" s="26"/>
      <c r="JV22" s="26"/>
      <c r="JW22" s="26"/>
      <c r="JX22" s="26"/>
      <c r="JY22" s="26"/>
      <c r="JZ22" s="26"/>
      <c r="KA22" s="26"/>
      <c r="KB22" s="26"/>
      <c r="KC22" s="26"/>
      <c r="KD22" s="26"/>
      <c r="KE22" s="26"/>
      <c r="KF22" s="26"/>
      <c r="KG22" s="26"/>
      <c r="KH22" s="26"/>
      <c r="KI22" s="26"/>
      <c r="KJ22" s="26"/>
      <c r="KK22" s="26"/>
      <c r="KL22" s="26"/>
      <c r="KM22" s="26"/>
      <c r="KN22" s="26"/>
      <c r="KO22" s="26"/>
      <c r="KP22" s="26"/>
      <c r="KQ22" s="26"/>
      <c r="KR22" s="26"/>
      <c r="KS22" s="26"/>
      <c r="KT22" s="26"/>
      <c r="KU22" s="26"/>
      <c r="KV22" s="26"/>
      <c r="KW22" s="26"/>
      <c r="KX22" s="26"/>
      <c r="KY22" s="26"/>
      <c r="KZ22" s="26"/>
      <c r="LA22" s="26"/>
      <c r="LB22" s="26"/>
      <c r="LC22" s="26"/>
      <c r="LD22" s="26"/>
      <c r="LE22" s="26"/>
      <c r="LF22" s="23"/>
      <c r="LG22" s="26"/>
      <c r="LH22" s="26"/>
      <c r="LI22" s="26"/>
      <c r="LJ22" s="26"/>
      <c r="LK22" s="26"/>
      <c r="LL22" s="26"/>
      <c r="LM22" s="26"/>
      <c r="LN22" s="26"/>
      <c r="LO22" s="26"/>
      <c r="LP22" s="26"/>
      <c r="LQ22" s="26"/>
      <c r="LR22" s="26"/>
      <c r="LS22" s="26"/>
      <c r="LT22" s="26"/>
      <c r="LU22" s="26"/>
      <c r="LV22" s="26"/>
      <c r="LW22" s="26"/>
      <c r="LX22" s="26"/>
      <c r="LY22" s="26"/>
      <c r="LZ22" s="26"/>
      <c r="MA22" s="26"/>
      <c r="MB22" s="26"/>
      <c r="MC22" s="26"/>
      <c r="MD22" s="26"/>
      <c r="ME22" s="26"/>
      <c r="MF22" s="26"/>
      <c r="MG22" s="26"/>
      <c r="MH22" s="26"/>
      <c r="MI22" s="26"/>
      <c r="MJ22" s="26"/>
      <c r="MK22" s="26"/>
      <c r="ML22" s="26"/>
      <c r="MM22" s="26"/>
      <c r="MN22" s="26"/>
      <c r="MO22" s="26"/>
      <c r="MP22" s="26"/>
      <c r="MQ22" s="26"/>
      <c r="MR22" s="26"/>
      <c r="MS22" s="23"/>
      <c r="MT22" s="26"/>
      <c r="MU22" s="26"/>
      <c r="MV22" s="26"/>
      <c r="MW22" s="26"/>
      <c r="MX22" s="26"/>
      <c r="MY22" s="26"/>
      <c r="MZ22" s="26"/>
      <c r="NA22" s="26"/>
      <c r="NB22" s="26"/>
      <c r="NC22" s="26"/>
      <c r="ND22" s="26"/>
      <c r="NE22" s="26"/>
      <c r="NF22" s="26"/>
      <c r="NG22" s="26"/>
      <c r="NH22" s="26"/>
      <c r="NI22" s="26"/>
      <c r="NJ22" s="26"/>
      <c r="NK22" s="26"/>
      <c r="NL22" s="26"/>
      <c r="NM22" s="26"/>
      <c r="NN22" s="26"/>
      <c r="NO22" s="26"/>
      <c r="NP22" s="26"/>
      <c r="NQ22" s="26"/>
      <c r="NR22" s="26"/>
      <c r="NS22" s="26"/>
      <c r="NT22" s="26"/>
      <c r="NU22" s="26"/>
      <c r="NV22" s="26"/>
      <c r="NW22" s="26"/>
      <c r="NX22" s="26"/>
      <c r="NY22" s="26"/>
      <c r="NZ22" s="26"/>
      <c r="OA22" s="26"/>
      <c r="OB22" s="26"/>
      <c r="OC22" s="26"/>
      <c r="OD22" s="26"/>
      <c r="OE22" s="26"/>
      <c r="OF22" s="23"/>
      <c r="OG22" s="26"/>
      <c r="OH22" s="26"/>
      <c r="OI22" s="26"/>
      <c r="OJ22" s="26"/>
      <c r="OK22" s="26"/>
      <c r="OL22" s="26"/>
      <c r="OM22" s="26"/>
      <c r="ON22" s="26"/>
      <c r="OO22" s="26"/>
      <c r="OP22" s="26"/>
      <c r="OQ22" s="26"/>
      <c r="OR22" s="26"/>
      <c r="OS22" s="26"/>
      <c r="OT22" s="26"/>
      <c r="OU22" s="26"/>
      <c r="OV22" s="26"/>
      <c r="OW22" s="26"/>
      <c r="OX22" s="26"/>
      <c r="OY22" s="26"/>
      <c r="OZ22" s="26"/>
      <c r="PA22" s="26"/>
      <c r="PB22" s="26"/>
      <c r="PC22" s="26"/>
      <c r="PD22" s="26"/>
      <c r="PE22" s="26"/>
      <c r="PF22" s="26"/>
      <c r="PG22" s="26"/>
      <c r="PH22" s="26"/>
      <c r="PI22" s="26"/>
      <c r="PJ22" s="26"/>
      <c r="PK22" s="26"/>
      <c r="PL22" s="26"/>
      <c r="PM22" s="26"/>
      <c r="PN22" s="26"/>
      <c r="PO22" s="26"/>
      <c r="PP22" s="26"/>
      <c r="PQ22" s="26"/>
      <c r="PR22" s="26"/>
    </row>
    <row r="23" spans="1:434" x14ac:dyDescent="0.25">
      <c r="A23" s="24"/>
      <c r="B23" s="25" t="s">
        <v>88</v>
      </c>
      <c r="C23" s="24" t="s">
        <v>70</v>
      </c>
      <c r="D23" s="24" t="s">
        <v>76</v>
      </c>
      <c r="E23" s="24"/>
      <c r="F23" s="23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3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3"/>
      <c r="CG23" s="82"/>
      <c r="CH23" s="82"/>
      <c r="CI23" s="82"/>
      <c r="CJ23" s="82"/>
      <c r="CK23" s="82"/>
      <c r="CL23" s="82"/>
      <c r="CM23" s="82"/>
      <c r="CN23" s="82"/>
      <c r="CO23" s="82"/>
      <c r="CP23" s="82"/>
      <c r="CQ23" s="82"/>
      <c r="CR23" s="82"/>
      <c r="CS23" s="82"/>
      <c r="CT23" s="82"/>
      <c r="CU23" s="82"/>
      <c r="CV23" s="82"/>
      <c r="CW23" s="82"/>
      <c r="CX23" s="82"/>
      <c r="CY23" s="82"/>
      <c r="CZ23" s="82"/>
      <c r="DA23" s="82"/>
      <c r="DB23" s="82"/>
      <c r="DC23" s="82"/>
      <c r="DD23" s="82"/>
      <c r="DE23" s="82"/>
      <c r="DF23" s="82"/>
      <c r="DG23" s="82"/>
      <c r="DH23" s="82"/>
      <c r="DI23" s="82"/>
      <c r="DJ23" s="82"/>
      <c r="DK23" s="82"/>
      <c r="DL23" s="82"/>
      <c r="DM23" s="82"/>
      <c r="DN23" s="82"/>
      <c r="DO23" s="82"/>
      <c r="DP23" s="82"/>
      <c r="DQ23" s="82"/>
      <c r="DR23" s="82"/>
      <c r="DS23" s="23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3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  <c r="GR23" s="26"/>
      <c r="GS23" s="23"/>
      <c r="GT23" s="26"/>
      <c r="GU23" s="26"/>
      <c r="GV23" s="26"/>
      <c r="GW23" s="26"/>
      <c r="GX23" s="26"/>
      <c r="GY23" s="26"/>
      <c r="GZ23" s="26"/>
      <c r="HA23" s="26"/>
      <c r="HB23" s="26"/>
      <c r="HC23" s="26"/>
      <c r="HD23" s="26"/>
      <c r="HE23" s="26"/>
      <c r="HF23" s="26"/>
      <c r="HG23" s="26"/>
      <c r="HH23" s="26"/>
      <c r="HI23" s="26"/>
      <c r="HJ23" s="26"/>
      <c r="HK23" s="26"/>
      <c r="HL23" s="26"/>
      <c r="HM23" s="26"/>
      <c r="HN23" s="26"/>
      <c r="HO23" s="26"/>
      <c r="HP23" s="26"/>
      <c r="HQ23" s="26"/>
      <c r="HR23" s="26"/>
      <c r="HS23" s="26"/>
      <c r="HT23" s="26"/>
      <c r="HU23" s="26"/>
      <c r="HV23" s="26"/>
      <c r="HW23" s="26"/>
      <c r="HX23" s="26"/>
      <c r="HY23" s="26"/>
      <c r="HZ23" s="26"/>
      <c r="IA23" s="26"/>
      <c r="IB23" s="26"/>
      <c r="IC23" s="26"/>
      <c r="ID23" s="26"/>
      <c r="IE23" s="26"/>
      <c r="IF23" s="23"/>
      <c r="IG23" s="26"/>
      <c r="IH23" s="26"/>
      <c r="II23" s="26"/>
      <c r="IJ23" s="26"/>
      <c r="IK23" s="26"/>
      <c r="IL23" s="26"/>
      <c r="IM23" s="26"/>
      <c r="IN23" s="26"/>
      <c r="IO23" s="26"/>
      <c r="IP23" s="26"/>
      <c r="IQ23" s="26"/>
      <c r="IR23" s="26"/>
      <c r="IS23" s="26"/>
      <c r="IT23" s="26"/>
      <c r="IU23" s="26"/>
      <c r="IV23" s="26"/>
      <c r="IW23" s="26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  <c r="JR23" s="26"/>
      <c r="JS23" s="23"/>
      <c r="JT23" s="26"/>
      <c r="JU23" s="26"/>
      <c r="JV23" s="26"/>
      <c r="JW23" s="26"/>
      <c r="JX23" s="26"/>
      <c r="JY23" s="26"/>
      <c r="JZ23" s="26"/>
      <c r="KA23" s="26"/>
      <c r="KB23" s="26"/>
      <c r="KC23" s="26"/>
      <c r="KD23" s="26"/>
      <c r="KE23" s="26"/>
      <c r="KF23" s="26"/>
      <c r="KG23" s="26"/>
      <c r="KH23" s="26"/>
      <c r="KI23" s="26"/>
      <c r="KJ23" s="26"/>
      <c r="KK23" s="26"/>
      <c r="KL23" s="26"/>
      <c r="KM23" s="26"/>
      <c r="KN23" s="26"/>
      <c r="KO23" s="26"/>
      <c r="KP23" s="26"/>
      <c r="KQ23" s="26"/>
      <c r="KR23" s="26"/>
      <c r="KS23" s="26"/>
      <c r="KT23" s="26"/>
      <c r="KU23" s="26"/>
      <c r="KV23" s="26"/>
      <c r="KW23" s="26"/>
      <c r="KX23" s="26"/>
      <c r="KY23" s="26"/>
      <c r="KZ23" s="26"/>
      <c r="LA23" s="26"/>
      <c r="LB23" s="26"/>
      <c r="LC23" s="26"/>
      <c r="LD23" s="26"/>
      <c r="LE23" s="26"/>
      <c r="LF23" s="23"/>
      <c r="LG23" s="26"/>
      <c r="LH23" s="26"/>
      <c r="LI23" s="26"/>
      <c r="LJ23" s="26"/>
      <c r="LK23" s="26"/>
      <c r="LL23" s="26"/>
      <c r="LM23" s="26"/>
      <c r="LN23" s="26"/>
      <c r="LO23" s="26"/>
      <c r="LP23" s="26"/>
      <c r="LQ23" s="26"/>
      <c r="LR23" s="26"/>
      <c r="LS23" s="26"/>
      <c r="LT23" s="26"/>
      <c r="LU23" s="26"/>
      <c r="LV23" s="26"/>
      <c r="LW23" s="26"/>
      <c r="LX23" s="26"/>
      <c r="LY23" s="26"/>
      <c r="LZ23" s="26"/>
      <c r="MA23" s="26"/>
      <c r="MB23" s="26"/>
      <c r="MC23" s="26"/>
      <c r="MD23" s="26"/>
      <c r="ME23" s="26"/>
      <c r="MF23" s="26"/>
      <c r="MG23" s="26"/>
      <c r="MH23" s="26"/>
      <c r="MI23" s="26"/>
      <c r="MJ23" s="26"/>
      <c r="MK23" s="26"/>
      <c r="ML23" s="26"/>
      <c r="MM23" s="26"/>
      <c r="MN23" s="26"/>
      <c r="MO23" s="26"/>
      <c r="MP23" s="26"/>
      <c r="MQ23" s="26"/>
      <c r="MR23" s="26"/>
      <c r="MS23" s="23"/>
      <c r="MT23" s="26"/>
      <c r="MU23" s="26"/>
      <c r="MV23" s="26"/>
      <c r="MW23" s="26"/>
      <c r="MX23" s="26"/>
      <c r="MY23" s="26"/>
      <c r="MZ23" s="26"/>
      <c r="NA23" s="26"/>
      <c r="NB23" s="26"/>
      <c r="NC23" s="26"/>
      <c r="ND23" s="26"/>
      <c r="NE23" s="26"/>
      <c r="NF23" s="26"/>
      <c r="NG23" s="26"/>
      <c r="NH23" s="26"/>
      <c r="NI23" s="26"/>
      <c r="NJ23" s="26"/>
      <c r="NK23" s="26"/>
      <c r="NL23" s="26"/>
      <c r="NM23" s="26"/>
      <c r="NN23" s="26"/>
      <c r="NO23" s="26"/>
      <c r="NP23" s="26"/>
      <c r="NQ23" s="26"/>
      <c r="NR23" s="26"/>
      <c r="NS23" s="26"/>
      <c r="NT23" s="26"/>
      <c r="NU23" s="26"/>
      <c r="NV23" s="26"/>
      <c r="NW23" s="26"/>
      <c r="NX23" s="26"/>
      <c r="NY23" s="26"/>
      <c r="NZ23" s="26"/>
      <c r="OA23" s="26"/>
      <c r="OB23" s="26"/>
      <c r="OC23" s="26"/>
      <c r="OD23" s="26"/>
      <c r="OE23" s="26"/>
      <c r="OF23" s="23"/>
      <c r="OG23" s="26"/>
      <c r="OH23" s="26"/>
      <c r="OI23" s="26"/>
      <c r="OJ23" s="26"/>
      <c r="OK23" s="26"/>
      <c r="OL23" s="26"/>
      <c r="OM23" s="26"/>
      <c r="ON23" s="26"/>
      <c r="OO23" s="26"/>
      <c r="OP23" s="26"/>
      <c r="OQ23" s="26"/>
      <c r="OR23" s="26"/>
      <c r="OS23" s="26"/>
      <c r="OT23" s="26"/>
      <c r="OU23" s="26"/>
      <c r="OV23" s="26"/>
      <c r="OW23" s="26"/>
      <c r="OX23" s="26"/>
      <c r="OY23" s="26"/>
      <c r="OZ23" s="26"/>
      <c r="PA23" s="26"/>
      <c r="PB23" s="26"/>
      <c r="PC23" s="26"/>
      <c r="PD23" s="26"/>
      <c r="PE23" s="26"/>
      <c r="PF23" s="26"/>
      <c r="PG23" s="26"/>
      <c r="PH23" s="26"/>
      <c r="PI23" s="26"/>
      <c r="PJ23" s="26"/>
      <c r="PK23" s="26"/>
      <c r="PL23" s="26"/>
      <c r="PM23" s="26"/>
      <c r="PN23" s="26"/>
      <c r="PO23" s="26"/>
      <c r="PP23" s="26"/>
      <c r="PQ23" s="26"/>
      <c r="PR23" s="26"/>
    </row>
    <row r="24" spans="1:434" x14ac:dyDescent="0.25">
      <c r="A24" s="24"/>
      <c r="B24" s="25" t="s">
        <v>89</v>
      </c>
      <c r="C24" s="24" t="s">
        <v>70</v>
      </c>
      <c r="D24" s="24" t="s">
        <v>76</v>
      </c>
      <c r="E24" s="24"/>
      <c r="F24" s="23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3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3"/>
      <c r="CG24" s="82"/>
      <c r="CH24" s="82"/>
      <c r="CI24" s="82"/>
      <c r="CJ24" s="82"/>
      <c r="CK24" s="82"/>
      <c r="CL24" s="82"/>
      <c r="CM24" s="82"/>
      <c r="CN24" s="82"/>
      <c r="CO24" s="82"/>
      <c r="CP24" s="82"/>
      <c r="CQ24" s="82"/>
      <c r="CR24" s="82"/>
      <c r="CS24" s="82"/>
      <c r="CT24" s="82"/>
      <c r="CU24" s="82"/>
      <c r="CV24" s="82"/>
      <c r="CW24" s="82"/>
      <c r="CX24" s="82"/>
      <c r="CY24" s="82"/>
      <c r="CZ24" s="82"/>
      <c r="DA24" s="82"/>
      <c r="DB24" s="82"/>
      <c r="DC24" s="82"/>
      <c r="DD24" s="82"/>
      <c r="DE24" s="82"/>
      <c r="DF24" s="82"/>
      <c r="DG24" s="82"/>
      <c r="DH24" s="82"/>
      <c r="DI24" s="82"/>
      <c r="DJ24" s="82"/>
      <c r="DK24" s="82"/>
      <c r="DL24" s="82"/>
      <c r="DM24" s="82"/>
      <c r="DN24" s="82"/>
      <c r="DO24" s="82"/>
      <c r="DP24" s="82"/>
      <c r="DQ24" s="82"/>
      <c r="DR24" s="82"/>
      <c r="DS24" s="23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3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3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3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3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3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3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  <c r="NQ24" s="26"/>
      <c r="NR24" s="26"/>
      <c r="NS24" s="26"/>
      <c r="NT24" s="26"/>
      <c r="NU24" s="26"/>
      <c r="NV24" s="26"/>
      <c r="NW24" s="26"/>
      <c r="NX24" s="26"/>
      <c r="NY24" s="26"/>
      <c r="NZ24" s="26"/>
      <c r="OA24" s="26"/>
      <c r="OB24" s="26"/>
      <c r="OC24" s="26"/>
      <c r="OD24" s="26"/>
      <c r="OE24" s="26"/>
      <c r="OF24" s="23"/>
      <c r="OG24" s="26"/>
      <c r="OH24" s="26"/>
      <c r="OI24" s="26"/>
      <c r="OJ24" s="26"/>
      <c r="OK24" s="26"/>
      <c r="OL24" s="26"/>
      <c r="OM24" s="26"/>
      <c r="ON24" s="26"/>
      <c r="OO24" s="26"/>
      <c r="OP24" s="26"/>
      <c r="OQ24" s="26"/>
      <c r="OR24" s="26"/>
      <c r="OS24" s="26"/>
      <c r="OT24" s="26"/>
      <c r="OU24" s="26"/>
      <c r="OV24" s="26"/>
      <c r="OW24" s="26"/>
      <c r="OX24" s="26"/>
      <c r="OY24" s="26"/>
      <c r="OZ24" s="26"/>
      <c r="PA24" s="26"/>
      <c r="PB24" s="26"/>
      <c r="PC24" s="26"/>
      <c r="PD24" s="26"/>
      <c r="PE24" s="26"/>
      <c r="PF24" s="26"/>
      <c r="PG24" s="26"/>
      <c r="PH24" s="26"/>
      <c r="PI24" s="26"/>
      <c r="PJ24" s="26"/>
      <c r="PK24" s="26"/>
      <c r="PL24" s="26"/>
      <c r="PM24" s="26"/>
      <c r="PN24" s="26"/>
      <c r="PO24" s="26"/>
      <c r="PP24" s="26"/>
      <c r="PQ24" s="26"/>
      <c r="PR24" s="26"/>
    </row>
    <row r="25" spans="1:434" x14ac:dyDescent="0.25">
      <c r="A25" s="24"/>
      <c r="B25" s="25" t="s">
        <v>90</v>
      </c>
      <c r="C25" s="24" t="s">
        <v>70</v>
      </c>
      <c r="D25" s="24" t="s">
        <v>76</v>
      </c>
      <c r="E25" s="24"/>
      <c r="F25" s="23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3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3"/>
      <c r="CG25" s="82"/>
      <c r="CH25" s="82"/>
      <c r="CI25" s="82"/>
      <c r="CJ25" s="82"/>
      <c r="CK25" s="82"/>
      <c r="CL25" s="82"/>
      <c r="CM25" s="82"/>
      <c r="CN25" s="82"/>
      <c r="CO25" s="82"/>
      <c r="CP25" s="82"/>
      <c r="CQ25" s="82"/>
      <c r="CR25" s="82"/>
      <c r="CS25" s="82"/>
      <c r="CT25" s="82"/>
      <c r="CU25" s="82"/>
      <c r="CV25" s="82"/>
      <c r="CW25" s="82"/>
      <c r="CX25" s="82"/>
      <c r="CY25" s="82"/>
      <c r="CZ25" s="82"/>
      <c r="DA25" s="82"/>
      <c r="DB25" s="82"/>
      <c r="DC25" s="82"/>
      <c r="DD25" s="82"/>
      <c r="DE25" s="82"/>
      <c r="DF25" s="82"/>
      <c r="DG25" s="82"/>
      <c r="DH25" s="82"/>
      <c r="DI25" s="82"/>
      <c r="DJ25" s="82"/>
      <c r="DK25" s="82"/>
      <c r="DL25" s="82"/>
      <c r="DM25" s="82"/>
      <c r="DN25" s="82"/>
      <c r="DO25" s="82"/>
      <c r="DP25" s="82"/>
      <c r="DQ25" s="82"/>
      <c r="DR25" s="82"/>
      <c r="DS25" s="23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3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3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3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3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3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3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  <c r="NQ25" s="26"/>
      <c r="NR25" s="26"/>
      <c r="NS25" s="26"/>
      <c r="NT25" s="26"/>
      <c r="NU25" s="26"/>
      <c r="NV25" s="26"/>
      <c r="NW25" s="26"/>
      <c r="NX25" s="26"/>
      <c r="NY25" s="26"/>
      <c r="NZ25" s="26"/>
      <c r="OA25" s="26"/>
      <c r="OB25" s="26"/>
      <c r="OC25" s="26"/>
      <c r="OD25" s="26"/>
      <c r="OE25" s="26"/>
      <c r="OF25" s="23"/>
      <c r="OG25" s="26"/>
      <c r="OH25" s="26"/>
      <c r="OI25" s="26"/>
      <c r="OJ25" s="26"/>
      <c r="OK25" s="26"/>
      <c r="OL25" s="26"/>
      <c r="OM25" s="26"/>
      <c r="ON25" s="26"/>
      <c r="OO25" s="26"/>
      <c r="OP25" s="26"/>
      <c r="OQ25" s="26"/>
      <c r="OR25" s="26"/>
      <c r="OS25" s="26"/>
      <c r="OT25" s="26"/>
      <c r="OU25" s="26"/>
      <c r="OV25" s="26"/>
      <c r="OW25" s="26"/>
      <c r="OX25" s="26"/>
      <c r="OY25" s="26"/>
      <c r="OZ25" s="26"/>
      <c r="PA25" s="26"/>
      <c r="PB25" s="26"/>
      <c r="PC25" s="26"/>
      <c r="PD25" s="26"/>
      <c r="PE25" s="26"/>
      <c r="PF25" s="26"/>
      <c r="PG25" s="26"/>
      <c r="PH25" s="26"/>
      <c r="PI25" s="26"/>
      <c r="PJ25" s="26"/>
      <c r="PK25" s="26"/>
      <c r="PL25" s="26"/>
      <c r="PM25" s="26"/>
      <c r="PN25" s="26"/>
      <c r="PO25" s="26"/>
      <c r="PP25" s="26"/>
      <c r="PQ25" s="26"/>
      <c r="PR25" s="26"/>
    </row>
    <row r="26" spans="1:434" ht="25.5" x14ac:dyDescent="0.25">
      <c r="A26" s="24"/>
      <c r="B26" s="25" t="s">
        <v>91</v>
      </c>
      <c r="C26" s="24" t="s">
        <v>66</v>
      </c>
      <c r="D26" s="24" t="s">
        <v>73</v>
      </c>
      <c r="E26" s="24"/>
      <c r="F26" s="23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3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3"/>
      <c r="CG26" s="82"/>
      <c r="CH26" s="82"/>
      <c r="CI26" s="82"/>
      <c r="CJ26" s="82"/>
      <c r="CK26" s="82"/>
      <c r="CL26" s="82"/>
      <c r="CM26" s="82"/>
      <c r="CN26" s="82"/>
      <c r="CO26" s="82"/>
      <c r="CP26" s="82"/>
      <c r="CQ26" s="82"/>
      <c r="CR26" s="82"/>
      <c r="CS26" s="82"/>
      <c r="CT26" s="82"/>
      <c r="CU26" s="82"/>
      <c r="CV26" s="82"/>
      <c r="CW26" s="82"/>
      <c r="CX26" s="82"/>
      <c r="CY26" s="82"/>
      <c r="CZ26" s="82"/>
      <c r="DA26" s="82"/>
      <c r="DB26" s="82"/>
      <c r="DC26" s="82"/>
      <c r="DD26" s="82"/>
      <c r="DE26" s="82"/>
      <c r="DF26" s="82"/>
      <c r="DG26" s="82"/>
      <c r="DH26" s="82"/>
      <c r="DI26" s="82"/>
      <c r="DJ26" s="82"/>
      <c r="DK26" s="82"/>
      <c r="DL26" s="82"/>
      <c r="DM26" s="82"/>
      <c r="DN26" s="82"/>
      <c r="DO26" s="82"/>
      <c r="DP26" s="82"/>
      <c r="DQ26" s="82"/>
      <c r="DR26" s="82"/>
      <c r="DS26" s="23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3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  <c r="GR26" s="26"/>
      <c r="GS26" s="23"/>
      <c r="GT26" s="26"/>
      <c r="GU26" s="26"/>
      <c r="GV26" s="26"/>
      <c r="GW26" s="26"/>
      <c r="GX26" s="26"/>
      <c r="GY26" s="26"/>
      <c r="GZ26" s="26"/>
      <c r="HA26" s="26"/>
      <c r="HB26" s="26"/>
      <c r="HC26" s="26"/>
      <c r="HD26" s="26"/>
      <c r="HE26" s="26"/>
      <c r="HF26" s="26"/>
      <c r="HG26" s="26"/>
      <c r="HH26" s="26"/>
      <c r="HI26" s="26"/>
      <c r="HJ26" s="26"/>
      <c r="HK26" s="26"/>
      <c r="HL26" s="26"/>
      <c r="HM26" s="26"/>
      <c r="HN26" s="26"/>
      <c r="HO26" s="26"/>
      <c r="HP26" s="26"/>
      <c r="HQ26" s="26"/>
      <c r="HR26" s="26"/>
      <c r="HS26" s="26"/>
      <c r="HT26" s="26"/>
      <c r="HU26" s="26"/>
      <c r="HV26" s="26"/>
      <c r="HW26" s="26"/>
      <c r="HX26" s="26"/>
      <c r="HY26" s="26"/>
      <c r="HZ26" s="26"/>
      <c r="IA26" s="26"/>
      <c r="IB26" s="26"/>
      <c r="IC26" s="26"/>
      <c r="ID26" s="26"/>
      <c r="IE26" s="26"/>
      <c r="IF26" s="23"/>
      <c r="IG26" s="26"/>
      <c r="IH26" s="26"/>
      <c r="II26" s="26"/>
      <c r="IJ26" s="26"/>
      <c r="IK26" s="26"/>
      <c r="IL26" s="26"/>
      <c r="IM26" s="26"/>
      <c r="IN26" s="26"/>
      <c r="IO26" s="26"/>
      <c r="IP26" s="26"/>
      <c r="IQ26" s="26"/>
      <c r="IR26" s="26"/>
      <c r="IS26" s="26"/>
      <c r="IT26" s="26"/>
      <c r="IU26" s="26"/>
      <c r="IV26" s="26"/>
      <c r="IW26" s="26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  <c r="JR26" s="26"/>
      <c r="JS26" s="23"/>
      <c r="JT26" s="26"/>
      <c r="JU26" s="26"/>
      <c r="JV26" s="26"/>
      <c r="JW26" s="26"/>
      <c r="JX26" s="26"/>
      <c r="JY26" s="26"/>
      <c r="JZ26" s="26"/>
      <c r="KA26" s="26"/>
      <c r="KB26" s="26"/>
      <c r="KC26" s="26"/>
      <c r="KD26" s="26"/>
      <c r="KE26" s="26"/>
      <c r="KF26" s="26"/>
      <c r="KG26" s="26"/>
      <c r="KH26" s="26"/>
      <c r="KI26" s="26"/>
      <c r="KJ26" s="26"/>
      <c r="KK26" s="26"/>
      <c r="KL26" s="26"/>
      <c r="KM26" s="26"/>
      <c r="KN26" s="26"/>
      <c r="KO26" s="26"/>
      <c r="KP26" s="26"/>
      <c r="KQ26" s="26"/>
      <c r="KR26" s="26"/>
      <c r="KS26" s="26"/>
      <c r="KT26" s="26"/>
      <c r="KU26" s="26"/>
      <c r="KV26" s="26"/>
      <c r="KW26" s="26"/>
      <c r="KX26" s="26"/>
      <c r="KY26" s="26"/>
      <c r="KZ26" s="26"/>
      <c r="LA26" s="26"/>
      <c r="LB26" s="26"/>
      <c r="LC26" s="26"/>
      <c r="LD26" s="26"/>
      <c r="LE26" s="26"/>
      <c r="LF26" s="23"/>
      <c r="LG26" s="26"/>
      <c r="LH26" s="26"/>
      <c r="LI26" s="26"/>
      <c r="LJ26" s="26"/>
      <c r="LK26" s="26"/>
      <c r="LL26" s="26"/>
      <c r="LM26" s="26"/>
      <c r="LN26" s="26"/>
      <c r="LO26" s="26"/>
      <c r="LP26" s="26"/>
      <c r="LQ26" s="26"/>
      <c r="LR26" s="26"/>
      <c r="LS26" s="26"/>
      <c r="LT26" s="26"/>
      <c r="LU26" s="26"/>
      <c r="LV26" s="26"/>
      <c r="LW26" s="26"/>
      <c r="LX26" s="26"/>
      <c r="LY26" s="26"/>
      <c r="LZ26" s="26"/>
      <c r="MA26" s="26"/>
      <c r="MB26" s="26"/>
      <c r="MC26" s="26"/>
      <c r="MD26" s="26"/>
      <c r="ME26" s="26"/>
      <c r="MF26" s="26"/>
      <c r="MG26" s="26"/>
      <c r="MH26" s="26"/>
      <c r="MI26" s="26"/>
      <c r="MJ26" s="26"/>
      <c r="MK26" s="26"/>
      <c r="ML26" s="26"/>
      <c r="MM26" s="26"/>
      <c r="MN26" s="26"/>
      <c r="MO26" s="26"/>
      <c r="MP26" s="26"/>
      <c r="MQ26" s="26"/>
      <c r="MR26" s="26"/>
      <c r="MS26" s="23"/>
      <c r="MT26" s="26"/>
      <c r="MU26" s="26"/>
      <c r="MV26" s="26"/>
      <c r="MW26" s="26"/>
      <c r="MX26" s="26"/>
      <c r="MY26" s="26"/>
      <c r="MZ26" s="26"/>
      <c r="NA26" s="26"/>
      <c r="NB26" s="26"/>
      <c r="NC26" s="26"/>
      <c r="ND26" s="26"/>
      <c r="NE26" s="26"/>
      <c r="NF26" s="26"/>
      <c r="NG26" s="26"/>
      <c r="NH26" s="26"/>
      <c r="NI26" s="26"/>
      <c r="NJ26" s="26"/>
      <c r="NK26" s="26"/>
      <c r="NL26" s="26"/>
      <c r="NM26" s="26"/>
      <c r="NN26" s="26"/>
      <c r="NO26" s="26"/>
      <c r="NP26" s="26"/>
      <c r="NQ26" s="26"/>
      <c r="NR26" s="26"/>
      <c r="NS26" s="26"/>
      <c r="NT26" s="26"/>
      <c r="NU26" s="26"/>
      <c r="NV26" s="26"/>
      <c r="NW26" s="26"/>
      <c r="NX26" s="26"/>
      <c r="NY26" s="26"/>
      <c r="NZ26" s="26"/>
      <c r="OA26" s="26"/>
      <c r="OB26" s="26"/>
      <c r="OC26" s="26"/>
      <c r="OD26" s="26"/>
      <c r="OE26" s="26"/>
      <c r="OF26" s="23"/>
      <c r="OG26" s="26"/>
      <c r="OH26" s="26"/>
      <c r="OI26" s="26"/>
      <c r="OJ26" s="26"/>
      <c r="OK26" s="26"/>
      <c r="OL26" s="26"/>
      <c r="OM26" s="26"/>
      <c r="ON26" s="26"/>
      <c r="OO26" s="26"/>
      <c r="OP26" s="26"/>
      <c r="OQ26" s="26"/>
      <c r="OR26" s="26"/>
      <c r="OS26" s="26"/>
      <c r="OT26" s="26"/>
      <c r="OU26" s="26"/>
      <c r="OV26" s="26"/>
      <c r="OW26" s="26"/>
      <c r="OX26" s="26"/>
      <c r="OY26" s="26"/>
      <c r="OZ26" s="26"/>
      <c r="PA26" s="26"/>
      <c r="PB26" s="26"/>
      <c r="PC26" s="26"/>
      <c r="PD26" s="26"/>
      <c r="PE26" s="26"/>
      <c r="PF26" s="26"/>
      <c r="PG26" s="26"/>
      <c r="PH26" s="26"/>
      <c r="PI26" s="26"/>
      <c r="PJ26" s="26"/>
      <c r="PK26" s="26"/>
      <c r="PL26" s="26"/>
      <c r="PM26" s="26"/>
      <c r="PN26" s="26"/>
      <c r="PO26" s="26"/>
      <c r="PP26" s="26"/>
      <c r="PQ26" s="26"/>
      <c r="PR26" s="26"/>
    </row>
    <row r="27" spans="1:434" x14ac:dyDescent="0.25">
      <c r="A27" s="24"/>
      <c r="B27" s="25" t="s">
        <v>92</v>
      </c>
      <c r="C27" s="24" t="s">
        <v>66</v>
      </c>
      <c r="D27" s="24" t="s">
        <v>67</v>
      </c>
      <c r="E27" s="24"/>
      <c r="F27" s="23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3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3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23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3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  <c r="GR27" s="26"/>
      <c r="GS27" s="23"/>
      <c r="GT27" s="26"/>
      <c r="GU27" s="26"/>
      <c r="GV27" s="26"/>
      <c r="GW27" s="26"/>
      <c r="GX27" s="26"/>
      <c r="GY27" s="26"/>
      <c r="GZ27" s="26"/>
      <c r="HA27" s="26"/>
      <c r="HB27" s="26"/>
      <c r="HC27" s="26"/>
      <c r="HD27" s="26"/>
      <c r="HE27" s="26"/>
      <c r="HF27" s="26"/>
      <c r="HG27" s="26"/>
      <c r="HH27" s="26"/>
      <c r="HI27" s="26"/>
      <c r="HJ27" s="26"/>
      <c r="HK27" s="26"/>
      <c r="HL27" s="26"/>
      <c r="HM27" s="26"/>
      <c r="HN27" s="26"/>
      <c r="HO27" s="26"/>
      <c r="HP27" s="26"/>
      <c r="HQ27" s="26"/>
      <c r="HR27" s="26"/>
      <c r="HS27" s="26"/>
      <c r="HT27" s="26"/>
      <c r="HU27" s="26"/>
      <c r="HV27" s="26"/>
      <c r="HW27" s="26"/>
      <c r="HX27" s="26"/>
      <c r="HY27" s="26"/>
      <c r="HZ27" s="26"/>
      <c r="IA27" s="26"/>
      <c r="IB27" s="26"/>
      <c r="IC27" s="26"/>
      <c r="ID27" s="26"/>
      <c r="IE27" s="26"/>
      <c r="IF27" s="23"/>
      <c r="IG27" s="26"/>
      <c r="IH27" s="26"/>
      <c r="II27" s="26"/>
      <c r="IJ27" s="26"/>
      <c r="IK27" s="26"/>
      <c r="IL27" s="26"/>
      <c r="IM27" s="26"/>
      <c r="IN27" s="26"/>
      <c r="IO27" s="26"/>
      <c r="IP27" s="26"/>
      <c r="IQ27" s="26"/>
      <c r="IR27" s="26"/>
      <c r="IS27" s="26"/>
      <c r="IT27" s="26"/>
      <c r="IU27" s="26"/>
      <c r="IV27" s="26"/>
      <c r="IW27" s="26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  <c r="JR27" s="26"/>
      <c r="JS27" s="23"/>
      <c r="JT27" s="26"/>
      <c r="JU27" s="26"/>
      <c r="JV27" s="26"/>
      <c r="JW27" s="26"/>
      <c r="JX27" s="26"/>
      <c r="JY27" s="26"/>
      <c r="JZ27" s="26"/>
      <c r="KA27" s="26"/>
      <c r="KB27" s="26"/>
      <c r="KC27" s="26"/>
      <c r="KD27" s="26"/>
      <c r="KE27" s="26"/>
      <c r="KF27" s="26"/>
      <c r="KG27" s="26"/>
      <c r="KH27" s="26"/>
      <c r="KI27" s="26"/>
      <c r="KJ27" s="26"/>
      <c r="KK27" s="26"/>
      <c r="KL27" s="26"/>
      <c r="KM27" s="26"/>
      <c r="KN27" s="26"/>
      <c r="KO27" s="26"/>
      <c r="KP27" s="26"/>
      <c r="KQ27" s="26"/>
      <c r="KR27" s="26"/>
      <c r="KS27" s="26"/>
      <c r="KT27" s="26"/>
      <c r="KU27" s="26"/>
      <c r="KV27" s="26"/>
      <c r="KW27" s="26"/>
      <c r="KX27" s="26"/>
      <c r="KY27" s="26"/>
      <c r="KZ27" s="26"/>
      <c r="LA27" s="26"/>
      <c r="LB27" s="26"/>
      <c r="LC27" s="26"/>
      <c r="LD27" s="26"/>
      <c r="LE27" s="26"/>
      <c r="LF27" s="23"/>
      <c r="LG27" s="26"/>
      <c r="LH27" s="26"/>
      <c r="LI27" s="26"/>
      <c r="LJ27" s="26"/>
      <c r="LK27" s="26"/>
      <c r="LL27" s="26"/>
      <c r="LM27" s="26"/>
      <c r="LN27" s="26"/>
      <c r="LO27" s="26"/>
      <c r="LP27" s="26"/>
      <c r="LQ27" s="26"/>
      <c r="LR27" s="26"/>
      <c r="LS27" s="26"/>
      <c r="LT27" s="26"/>
      <c r="LU27" s="26"/>
      <c r="LV27" s="26"/>
      <c r="LW27" s="26"/>
      <c r="LX27" s="26"/>
      <c r="LY27" s="26"/>
      <c r="LZ27" s="26"/>
      <c r="MA27" s="26"/>
      <c r="MB27" s="26"/>
      <c r="MC27" s="26"/>
      <c r="MD27" s="26"/>
      <c r="ME27" s="26"/>
      <c r="MF27" s="26"/>
      <c r="MG27" s="26"/>
      <c r="MH27" s="26"/>
      <c r="MI27" s="26"/>
      <c r="MJ27" s="26"/>
      <c r="MK27" s="26"/>
      <c r="ML27" s="26"/>
      <c r="MM27" s="26"/>
      <c r="MN27" s="26"/>
      <c r="MO27" s="26"/>
      <c r="MP27" s="26"/>
      <c r="MQ27" s="26"/>
      <c r="MR27" s="26"/>
      <c r="MS27" s="23"/>
      <c r="MT27" s="26"/>
      <c r="MU27" s="26"/>
      <c r="MV27" s="26"/>
      <c r="MW27" s="26"/>
      <c r="MX27" s="26"/>
      <c r="MY27" s="26"/>
      <c r="MZ27" s="26"/>
      <c r="NA27" s="26"/>
      <c r="NB27" s="26"/>
      <c r="NC27" s="26"/>
      <c r="ND27" s="26"/>
      <c r="NE27" s="26"/>
      <c r="NF27" s="26"/>
      <c r="NG27" s="26"/>
      <c r="NH27" s="26"/>
      <c r="NI27" s="26"/>
      <c r="NJ27" s="26"/>
      <c r="NK27" s="26"/>
      <c r="NL27" s="26"/>
      <c r="NM27" s="26"/>
      <c r="NN27" s="26"/>
      <c r="NO27" s="26"/>
      <c r="NP27" s="26"/>
      <c r="NQ27" s="26"/>
      <c r="NR27" s="26"/>
      <c r="NS27" s="26"/>
      <c r="NT27" s="26"/>
      <c r="NU27" s="26"/>
      <c r="NV27" s="26"/>
      <c r="NW27" s="26"/>
      <c r="NX27" s="26"/>
      <c r="NY27" s="26"/>
      <c r="NZ27" s="26"/>
      <c r="OA27" s="26"/>
      <c r="OB27" s="26"/>
      <c r="OC27" s="26"/>
      <c r="OD27" s="26"/>
      <c r="OE27" s="26"/>
      <c r="OF27" s="23"/>
      <c r="OG27" s="26"/>
      <c r="OH27" s="26"/>
      <c r="OI27" s="26"/>
      <c r="OJ27" s="26"/>
      <c r="OK27" s="26"/>
      <c r="OL27" s="26"/>
      <c r="OM27" s="26"/>
      <c r="ON27" s="26"/>
      <c r="OO27" s="26"/>
      <c r="OP27" s="26"/>
      <c r="OQ27" s="26"/>
      <c r="OR27" s="26"/>
      <c r="OS27" s="26"/>
      <c r="OT27" s="26"/>
      <c r="OU27" s="26"/>
      <c r="OV27" s="26"/>
      <c r="OW27" s="26"/>
      <c r="OX27" s="26"/>
      <c r="OY27" s="26"/>
      <c r="OZ27" s="26"/>
      <c r="PA27" s="26"/>
      <c r="PB27" s="26"/>
      <c r="PC27" s="26"/>
      <c r="PD27" s="26"/>
      <c r="PE27" s="26"/>
      <c r="PF27" s="26"/>
      <c r="PG27" s="26"/>
      <c r="PH27" s="26"/>
      <c r="PI27" s="26"/>
      <c r="PJ27" s="26"/>
      <c r="PK27" s="26"/>
      <c r="PL27" s="26"/>
      <c r="PM27" s="26"/>
      <c r="PN27" s="26"/>
      <c r="PO27" s="26"/>
      <c r="PP27" s="26"/>
      <c r="PQ27" s="26"/>
      <c r="PR27" s="26"/>
    </row>
    <row r="28" spans="1:434" x14ac:dyDescent="0.25">
      <c r="A28" s="24"/>
      <c r="B28" s="25" t="s">
        <v>93</v>
      </c>
      <c r="C28" s="24" t="s">
        <v>66</v>
      </c>
      <c r="D28" s="24" t="s">
        <v>67</v>
      </c>
      <c r="E28" s="24"/>
      <c r="F28" s="23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3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3"/>
      <c r="CG28" s="82"/>
      <c r="CH28" s="82"/>
      <c r="CI28" s="82"/>
      <c r="CJ28" s="82"/>
      <c r="CK28" s="82"/>
      <c r="CL28" s="82"/>
      <c r="CM28" s="82"/>
      <c r="CN28" s="82"/>
      <c r="CO28" s="82"/>
      <c r="CP28" s="82"/>
      <c r="CQ28" s="82"/>
      <c r="CR28" s="82"/>
      <c r="CS28" s="82"/>
      <c r="CT28" s="82"/>
      <c r="CU28" s="82"/>
      <c r="CV28" s="82"/>
      <c r="CW28" s="82"/>
      <c r="CX28" s="82"/>
      <c r="CY28" s="82"/>
      <c r="CZ28" s="82"/>
      <c r="DA28" s="82"/>
      <c r="DB28" s="82"/>
      <c r="DC28" s="82"/>
      <c r="DD28" s="82"/>
      <c r="DE28" s="82"/>
      <c r="DF28" s="82"/>
      <c r="DG28" s="82"/>
      <c r="DH28" s="82"/>
      <c r="DI28" s="82"/>
      <c r="DJ28" s="82"/>
      <c r="DK28" s="82"/>
      <c r="DL28" s="82"/>
      <c r="DM28" s="82"/>
      <c r="DN28" s="82"/>
      <c r="DO28" s="82"/>
      <c r="DP28" s="82"/>
      <c r="DQ28" s="82"/>
      <c r="DR28" s="82"/>
      <c r="DS28" s="23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3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  <c r="GR28" s="26"/>
      <c r="GS28" s="23"/>
      <c r="GT28" s="26"/>
      <c r="GU28" s="26"/>
      <c r="GV28" s="26"/>
      <c r="GW28" s="26"/>
      <c r="GX28" s="26"/>
      <c r="GY28" s="26"/>
      <c r="GZ28" s="26"/>
      <c r="HA28" s="26"/>
      <c r="HB28" s="26"/>
      <c r="HC28" s="26"/>
      <c r="HD28" s="26"/>
      <c r="HE28" s="26"/>
      <c r="HF28" s="26"/>
      <c r="HG28" s="26"/>
      <c r="HH28" s="26"/>
      <c r="HI28" s="26"/>
      <c r="HJ28" s="26"/>
      <c r="HK28" s="26"/>
      <c r="HL28" s="26"/>
      <c r="HM28" s="26"/>
      <c r="HN28" s="26"/>
      <c r="HO28" s="26"/>
      <c r="HP28" s="26"/>
      <c r="HQ28" s="26"/>
      <c r="HR28" s="26"/>
      <c r="HS28" s="26"/>
      <c r="HT28" s="26"/>
      <c r="HU28" s="26"/>
      <c r="HV28" s="26"/>
      <c r="HW28" s="26"/>
      <c r="HX28" s="26"/>
      <c r="HY28" s="26"/>
      <c r="HZ28" s="26"/>
      <c r="IA28" s="26"/>
      <c r="IB28" s="26"/>
      <c r="IC28" s="26"/>
      <c r="ID28" s="26"/>
      <c r="IE28" s="26"/>
      <c r="IF28" s="23"/>
      <c r="IG28" s="26"/>
      <c r="IH28" s="26"/>
      <c r="II28" s="26"/>
      <c r="IJ28" s="26"/>
      <c r="IK28" s="26"/>
      <c r="IL28" s="26"/>
      <c r="IM28" s="26"/>
      <c r="IN28" s="26"/>
      <c r="IO28" s="26"/>
      <c r="IP28" s="26"/>
      <c r="IQ28" s="26"/>
      <c r="IR28" s="26"/>
      <c r="IS28" s="26"/>
      <c r="IT28" s="26"/>
      <c r="IU28" s="26"/>
      <c r="IV28" s="26"/>
      <c r="IW28" s="26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/>
      <c r="JM28" s="26"/>
      <c r="JN28" s="26"/>
      <c r="JO28" s="26"/>
      <c r="JP28" s="26"/>
      <c r="JQ28" s="26"/>
      <c r="JR28" s="26"/>
      <c r="JS28" s="23"/>
      <c r="JT28" s="26"/>
      <c r="JU28" s="26"/>
      <c r="JV28" s="26"/>
      <c r="JW28" s="26"/>
      <c r="JX28" s="26"/>
      <c r="JY28" s="26"/>
      <c r="JZ28" s="26"/>
      <c r="KA28" s="26"/>
      <c r="KB28" s="26"/>
      <c r="KC28" s="26"/>
      <c r="KD28" s="26"/>
      <c r="KE28" s="26"/>
      <c r="KF28" s="26"/>
      <c r="KG28" s="26"/>
      <c r="KH28" s="26"/>
      <c r="KI28" s="26"/>
      <c r="KJ28" s="26"/>
      <c r="KK28" s="26"/>
      <c r="KL28" s="26"/>
      <c r="KM28" s="26"/>
      <c r="KN28" s="26"/>
      <c r="KO28" s="26"/>
      <c r="KP28" s="26"/>
      <c r="KQ28" s="26"/>
      <c r="KR28" s="26"/>
      <c r="KS28" s="26"/>
      <c r="KT28" s="26"/>
      <c r="KU28" s="26"/>
      <c r="KV28" s="26"/>
      <c r="KW28" s="26"/>
      <c r="KX28" s="26"/>
      <c r="KY28" s="26"/>
      <c r="KZ28" s="26"/>
      <c r="LA28" s="26"/>
      <c r="LB28" s="26"/>
      <c r="LC28" s="26"/>
      <c r="LD28" s="26"/>
      <c r="LE28" s="26"/>
      <c r="LF28" s="23"/>
      <c r="LG28" s="26"/>
      <c r="LH28" s="26"/>
      <c r="LI28" s="26"/>
      <c r="LJ28" s="26"/>
      <c r="LK28" s="26"/>
      <c r="LL28" s="26"/>
      <c r="LM28" s="26"/>
      <c r="LN28" s="26"/>
      <c r="LO28" s="26"/>
      <c r="LP28" s="26"/>
      <c r="LQ28" s="26"/>
      <c r="LR28" s="26"/>
      <c r="LS28" s="26"/>
      <c r="LT28" s="26"/>
      <c r="LU28" s="26"/>
      <c r="LV28" s="26"/>
      <c r="LW28" s="26"/>
      <c r="LX28" s="26"/>
      <c r="LY28" s="26"/>
      <c r="LZ28" s="26"/>
      <c r="MA28" s="26"/>
      <c r="MB28" s="26"/>
      <c r="MC28" s="26"/>
      <c r="MD28" s="26"/>
      <c r="ME28" s="26"/>
      <c r="MF28" s="26"/>
      <c r="MG28" s="26"/>
      <c r="MH28" s="26"/>
      <c r="MI28" s="26"/>
      <c r="MJ28" s="26"/>
      <c r="MK28" s="26"/>
      <c r="ML28" s="26"/>
      <c r="MM28" s="26"/>
      <c r="MN28" s="26"/>
      <c r="MO28" s="26"/>
      <c r="MP28" s="26"/>
      <c r="MQ28" s="26"/>
      <c r="MR28" s="26"/>
      <c r="MS28" s="23"/>
      <c r="MT28" s="26"/>
      <c r="MU28" s="26"/>
      <c r="MV28" s="26"/>
      <c r="MW28" s="26"/>
      <c r="MX28" s="26"/>
      <c r="MY28" s="26"/>
      <c r="MZ28" s="26"/>
      <c r="NA28" s="26"/>
      <c r="NB28" s="26"/>
      <c r="NC28" s="26"/>
      <c r="ND28" s="26"/>
      <c r="NE28" s="26"/>
      <c r="NF28" s="26"/>
      <c r="NG28" s="26"/>
      <c r="NH28" s="26"/>
      <c r="NI28" s="26"/>
      <c r="NJ28" s="26"/>
      <c r="NK28" s="26"/>
      <c r="NL28" s="26"/>
      <c r="NM28" s="26"/>
      <c r="NN28" s="26"/>
      <c r="NO28" s="26"/>
      <c r="NP28" s="26"/>
      <c r="NQ28" s="26"/>
      <c r="NR28" s="26"/>
      <c r="NS28" s="26"/>
      <c r="NT28" s="26"/>
      <c r="NU28" s="26"/>
      <c r="NV28" s="26"/>
      <c r="NW28" s="26"/>
      <c r="NX28" s="26"/>
      <c r="NY28" s="26"/>
      <c r="NZ28" s="26"/>
      <c r="OA28" s="26"/>
      <c r="OB28" s="26"/>
      <c r="OC28" s="26"/>
      <c r="OD28" s="26"/>
      <c r="OE28" s="26"/>
      <c r="OF28" s="23"/>
      <c r="OG28" s="26"/>
      <c r="OH28" s="26"/>
      <c r="OI28" s="26"/>
      <c r="OJ28" s="26"/>
      <c r="OK28" s="26"/>
      <c r="OL28" s="26"/>
      <c r="OM28" s="26"/>
      <c r="ON28" s="26"/>
      <c r="OO28" s="26"/>
      <c r="OP28" s="26"/>
      <c r="OQ28" s="26"/>
      <c r="OR28" s="26"/>
      <c r="OS28" s="26"/>
      <c r="OT28" s="26"/>
      <c r="OU28" s="26"/>
      <c r="OV28" s="26"/>
      <c r="OW28" s="26"/>
      <c r="OX28" s="26"/>
      <c r="OY28" s="26"/>
      <c r="OZ28" s="26"/>
      <c r="PA28" s="26"/>
      <c r="PB28" s="26"/>
      <c r="PC28" s="26"/>
      <c r="PD28" s="26"/>
      <c r="PE28" s="26"/>
      <c r="PF28" s="26"/>
      <c r="PG28" s="26"/>
      <c r="PH28" s="26"/>
      <c r="PI28" s="26"/>
      <c r="PJ28" s="26"/>
      <c r="PK28" s="26"/>
      <c r="PL28" s="26"/>
      <c r="PM28" s="26"/>
      <c r="PN28" s="26"/>
      <c r="PO28" s="26"/>
      <c r="PP28" s="26"/>
      <c r="PQ28" s="26"/>
      <c r="PR28" s="26"/>
    </row>
    <row r="29" spans="1:434" x14ac:dyDescent="0.25">
      <c r="A29" s="24"/>
      <c r="B29" s="25" t="s">
        <v>94</v>
      </c>
      <c r="C29" s="24" t="s">
        <v>70</v>
      </c>
      <c r="D29" s="24" t="s">
        <v>76</v>
      </c>
      <c r="E29" s="24"/>
      <c r="F29" s="23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3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3"/>
      <c r="CG29" s="82"/>
      <c r="CH29" s="82"/>
      <c r="CI29" s="82"/>
      <c r="CJ29" s="82"/>
      <c r="CK29" s="82"/>
      <c r="CL29" s="82"/>
      <c r="CM29" s="82"/>
      <c r="CN29" s="82"/>
      <c r="CO29" s="82"/>
      <c r="CP29" s="82"/>
      <c r="CQ29" s="82"/>
      <c r="CR29" s="82"/>
      <c r="CS29" s="82"/>
      <c r="CT29" s="82"/>
      <c r="CU29" s="82"/>
      <c r="CV29" s="82"/>
      <c r="CW29" s="82"/>
      <c r="CX29" s="82"/>
      <c r="CY29" s="82"/>
      <c r="CZ29" s="82"/>
      <c r="DA29" s="82"/>
      <c r="DB29" s="82"/>
      <c r="DC29" s="82"/>
      <c r="DD29" s="82"/>
      <c r="DE29" s="82"/>
      <c r="DF29" s="82"/>
      <c r="DG29" s="82"/>
      <c r="DH29" s="82"/>
      <c r="DI29" s="82"/>
      <c r="DJ29" s="82"/>
      <c r="DK29" s="82"/>
      <c r="DL29" s="82"/>
      <c r="DM29" s="82"/>
      <c r="DN29" s="82"/>
      <c r="DO29" s="82"/>
      <c r="DP29" s="82"/>
      <c r="DQ29" s="82"/>
      <c r="DR29" s="82"/>
      <c r="DS29" s="23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3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3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3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  <c r="IV29" s="26"/>
      <c r="IW29" s="26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6"/>
      <c r="JQ29" s="26"/>
      <c r="JR29" s="26"/>
      <c r="JS29" s="23"/>
      <c r="JT29" s="26"/>
      <c r="JU29" s="26"/>
      <c r="JV29" s="26"/>
      <c r="JW29" s="26"/>
      <c r="JX29" s="26"/>
      <c r="JY29" s="26"/>
      <c r="JZ29" s="26"/>
      <c r="KA29" s="26"/>
      <c r="KB29" s="26"/>
      <c r="KC29" s="26"/>
      <c r="KD29" s="26"/>
      <c r="KE29" s="26"/>
      <c r="KF29" s="26"/>
      <c r="KG29" s="26"/>
      <c r="KH29" s="26"/>
      <c r="KI29" s="26"/>
      <c r="KJ29" s="26"/>
      <c r="KK29" s="26"/>
      <c r="KL29" s="26"/>
      <c r="KM29" s="26"/>
      <c r="KN29" s="26"/>
      <c r="KO29" s="26"/>
      <c r="KP29" s="26"/>
      <c r="KQ29" s="26"/>
      <c r="KR29" s="26"/>
      <c r="KS29" s="26"/>
      <c r="KT29" s="26"/>
      <c r="KU29" s="26"/>
      <c r="KV29" s="26"/>
      <c r="KW29" s="26"/>
      <c r="KX29" s="26"/>
      <c r="KY29" s="26"/>
      <c r="KZ29" s="26"/>
      <c r="LA29" s="26"/>
      <c r="LB29" s="26"/>
      <c r="LC29" s="26"/>
      <c r="LD29" s="26"/>
      <c r="LE29" s="26"/>
      <c r="LF29" s="23"/>
      <c r="LG29" s="26"/>
      <c r="LH29" s="26"/>
      <c r="LI29" s="26"/>
      <c r="LJ29" s="26"/>
      <c r="LK29" s="26"/>
      <c r="LL29" s="26"/>
      <c r="LM29" s="26"/>
      <c r="LN29" s="26"/>
      <c r="LO29" s="26"/>
      <c r="LP29" s="26"/>
      <c r="LQ29" s="26"/>
      <c r="LR29" s="26"/>
      <c r="LS29" s="26"/>
      <c r="LT29" s="26"/>
      <c r="LU29" s="26"/>
      <c r="LV29" s="26"/>
      <c r="LW29" s="26"/>
      <c r="LX29" s="26"/>
      <c r="LY29" s="26"/>
      <c r="LZ29" s="26"/>
      <c r="MA29" s="26"/>
      <c r="MB29" s="26"/>
      <c r="MC29" s="26"/>
      <c r="MD29" s="26"/>
      <c r="ME29" s="26"/>
      <c r="MF29" s="26"/>
      <c r="MG29" s="26"/>
      <c r="MH29" s="26"/>
      <c r="MI29" s="26"/>
      <c r="MJ29" s="26"/>
      <c r="MK29" s="26"/>
      <c r="ML29" s="26"/>
      <c r="MM29" s="26"/>
      <c r="MN29" s="26"/>
      <c r="MO29" s="26"/>
      <c r="MP29" s="26"/>
      <c r="MQ29" s="26"/>
      <c r="MR29" s="26"/>
      <c r="MS29" s="23"/>
      <c r="MT29" s="26"/>
      <c r="MU29" s="26"/>
      <c r="MV29" s="26"/>
      <c r="MW29" s="26"/>
      <c r="MX29" s="26"/>
      <c r="MY29" s="26"/>
      <c r="MZ29" s="26"/>
      <c r="NA29" s="26"/>
      <c r="NB29" s="26"/>
      <c r="NC29" s="26"/>
      <c r="ND29" s="26"/>
      <c r="NE29" s="26"/>
      <c r="NF29" s="26"/>
      <c r="NG29" s="26"/>
      <c r="NH29" s="26"/>
      <c r="NI29" s="26"/>
      <c r="NJ29" s="26"/>
      <c r="NK29" s="26"/>
      <c r="NL29" s="26"/>
      <c r="NM29" s="26"/>
      <c r="NN29" s="26"/>
      <c r="NO29" s="26"/>
      <c r="NP29" s="26"/>
      <c r="NQ29" s="26"/>
      <c r="NR29" s="26"/>
      <c r="NS29" s="26"/>
      <c r="NT29" s="26"/>
      <c r="NU29" s="26"/>
      <c r="NV29" s="26"/>
      <c r="NW29" s="26"/>
      <c r="NX29" s="26"/>
      <c r="NY29" s="26"/>
      <c r="NZ29" s="26"/>
      <c r="OA29" s="26"/>
      <c r="OB29" s="26"/>
      <c r="OC29" s="26"/>
      <c r="OD29" s="26"/>
      <c r="OE29" s="26"/>
      <c r="OF29" s="23"/>
      <c r="OG29" s="26"/>
      <c r="OH29" s="26"/>
      <c r="OI29" s="26"/>
      <c r="OJ29" s="26"/>
      <c r="OK29" s="26"/>
      <c r="OL29" s="26"/>
      <c r="OM29" s="26"/>
      <c r="ON29" s="26"/>
      <c r="OO29" s="26"/>
      <c r="OP29" s="26"/>
      <c r="OQ29" s="26"/>
      <c r="OR29" s="26"/>
      <c r="OS29" s="26"/>
      <c r="OT29" s="26"/>
      <c r="OU29" s="26"/>
      <c r="OV29" s="26"/>
      <c r="OW29" s="26"/>
      <c r="OX29" s="26"/>
      <c r="OY29" s="26"/>
      <c r="OZ29" s="26"/>
      <c r="PA29" s="26"/>
      <c r="PB29" s="26"/>
      <c r="PC29" s="26"/>
      <c r="PD29" s="26"/>
      <c r="PE29" s="26"/>
      <c r="PF29" s="26"/>
      <c r="PG29" s="26"/>
      <c r="PH29" s="26"/>
      <c r="PI29" s="26"/>
      <c r="PJ29" s="26"/>
      <c r="PK29" s="26"/>
      <c r="PL29" s="26"/>
      <c r="PM29" s="26"/>
      <c r="PN29" s="26"/>
      <c r="PO29" s="26"/>
      <c r="PP29" s="26"/>
      <c r="PQ29" s="26"/>
      <c r="PR29" s="26"/>
    </row>
    <row r="30" spans="1:434" x14ac:dyDescent="0.25">
      <c r="A30" s="24"/>
      <c r="B30" s="25" t="s">
        <v>95</v>
      </c>
      <c r="C30" s="24" t="s">
        <v>70</v>
      </c>
      <c r="D30" s="24" t="s">
        <v>67</v>
      </c>
      <c r="E30" s="24"/>
      <c r="F30" s="23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3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3"/>
      <c r="CG30" s="82"/>
      <c r="CH30" s="82"/>
      <c r="CI30" s="82"/>
      <c r="CJ30" s="82"/>
      <c r="CK30" s="82"/>
      <c r="CL30" s="82"/>
      <c r="CM30" s="82"/>
      <c r="CN30" s="82"/>
      <c r="CO30" s="82"/>
      <c r="CP30" s="82"/>
      <c r="CQ30" s="82"/>
      <c r="CR30" s="82"/>
      <c r="CS30" s="82"/>
      <c r="CT30" s="82">
        <v>10</v>
      </c>
      <c r="CU30" s="82"/>
      <c r="CV30" s="82"/>
      <c r="CW30" s="82"/>
      <c r="CX30" s="82"/>
      <c r="CY30" s="82"/>
      <c r="CZ30" s="82"/>
      <c r="DA30" s="82">
        <v>3</v>
      </c>
      <c r="DB30" s="82"/>
      <c r="DC30" s="82"/>
      <c r="DD30" s="82"/>
      <c r="DE30" s="82">
        <v>11</v>
      </c>
      <c r="DF30" s="82">
        <v>15</v>
      </c>
      <c r="DG30" s="82"/>
      <c r="DH30" s="82"/>
      <c r="DI30" s="82"/>
      <c r="DJ30" s="82"/>
      <c r="DK30" s="82"/>
      <c r="DL30" s="82"/>
      <c r="DM30" s="82"/>
      <c r="DN30" s="82"/>
      <c r="DO30" s="82"/>
      <c r="DP30" s="82"/>
      <c r="DQ30" s="82"/>
      <c r="DR30" s="82"/>
      <c r="DS30" s="23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3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3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3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  <c r="IV30" s="26"/>
      <c r="IW30" s="26"/>
      <c r="IX30" s="26"/>
      <c r="IY30" s="26"/>
      <c r="IZ30" s="26"/>
      <c r="JA30" s="26"/>
      <c r="JB30" s="26"/>
      <c r="JC30" s="26"/>
      <c r="JD30" s="26"/>
      <c r="JE30" s="26"/>
      <c r="JF30" s="26"/>
      <c r="JG30" s="26"/>
      <c r="JH30" s="26"/>
      <c r="JI30" s="26"/>
      <c r="JJ30" s="26"/>
      <c r="JK30" s="26"/>
      <c r="JL30" s="26"/>
      <c r="JM30" s="26"/>
      <c r="JN30" s="26"/>
      <c r="JO30" s="26"/>
      <c r="JP30" s="26"/>
      <c r="JQ30" s="26"/>
      <c r="JR30" s="26"/>
      <c r="JS30" s="23"/>
      <c r="JT30" s="26"/>
      <c r="JU30" s="26"/>
      <c r="JV30" s="26"/>
      <c r="JW30" s="26"/>
      <c r="JX30" s="26"/>
      <c r="JY30" s="26"/>
      <c r="JZ30" s="26"/>
      <c r="KA30" s="26"/>
      <c r="KB30" s="26"/>
      <c r="KC30" s="26"/>
      <c r="KD30" s="26"/>
      <c r="KE30" s="26"/>
      <c r="KF30" s="26"/>
      <c r="KG30" s="26"/>
      <c r="KH30" s="26"/>
      <c r="KI30" s="26"/>
      <c r="KJ30" s="26"/>
      <c r="KK30" s="26"/>
      <c r="KL30" s="26"/>
      <c r="KM30" s="26"/>
      <c r="KN30" s="26"/>
      <c r="KO30" s="26"/>
      <c r="KP30" s="26"/>
      <c r="KQ30" s="26"/>
      <c r="KR30" s="26"/>
      <c r="KS30" s="26"/>
      <c r="KT30" s="26"/>
      <c r="KU30" s="26"/>
      <c r="KV30" s="26"/>
      <c r="KW30" s="26"/>
      <c r="KX30" s="26"/>
      <c r="KY30" s="26"/>
      <c r="KZ30" s="26"/>
      <c r="LA30" s="26"/>
      <c r="LB30" s="26"/>
      <c r="LC30" s="26"/>
      <c r="LD30" s="26"/>
      <c r="LE30" s="26"/>
      <c r="LF30" s="23"/>
      <c r="LG30" s="26"/>
      <c r="LH30" s="26"/>
      <c r="LI30" s="26"/>
      <c r="LJ30" s="26"/>
      <c r="LK30" s="26"/>
      <c r="LL30" s="26"/>
      <c r="LM30" s="26"/>
      <c r="LN30" s="26"/>
      <c r="LO30" s="26"/>
      <c r="LP30" s="26"/>
      <c r="LQ30" s="26"/>
      <c r="LR30" s="26"/>
      <c r="LS30" s="26"/>
      <c r="LT30" s="26"/>
      <c r="LU30" s="26"/>
      <c r="LV30" s="26"/>
      <c r="LW30" s="26"/>
      <c r="LX30" s="26"/>
      <c r="LY30" s="26"/>
      <c r="LZ30" s="26"/>
      <c r="MA30" s="26"/>
      <c r="MB30" s="26"/>
      <c r="MC30" s="26"/>
      <c r="MD30" s="26"/>
      <c r="ME30" s="26"/>
      <c r="MF30" s="26"/>
      <c r="MG30" s="26"/>
      <c r="MH30" s="26"/>
      <c r="MI30" s="26"/>
      <c r="MJ30" s="26"/>
      <c r="MK30" s="26"/>
      <c r="ML30" s="26"/>
      <c r="MM30" s="26"/>
      <c r="MN30" s="26"/>
      <c r="MO30" s="26"/>
      <c r="MP30" s="26"/>
      <c r="MQ30" s="26"/>
      <c r="MR30" s="26"/>
      <c r="MS30" s="23"/>
      <c r="MT30" s="26"/>
      <c r="MU30" s="26"/>
      <c r="MV30" s="26"/>
      <c r="MW30" s="26"/>
      <c r="MX30" s="26"/>
      <c r="MY30" s="26"/>
      <c r="MZ30" s="26"/>
      <c r="NA30" s="26"/>
      <c r="NB30" s="26"/>
      <c r="NC30" s="26"/>
      <c r="ND30" s="26"/>
      <c r="NE30" s="26"/>
      <c r="NF30" s="26"/>
      <c r="NG30" s="26"/>
      <c r="NH30" s="26"/>
      <c r="NI30" s="26"/>
      <c r="NJ30" s="26"/>
      <c r="NK30" s="26"/>
      <c r="NL30" s="26"/>
      <c r="NM30" s="26"/>
      <c r="NN30" s="26"/>
      <c r="NO30" s="26"/>
      <c r="NP30" s="26"/>
      <c r="NQ30" s="26"/>
      <c r="NR30" s="26"/>
      <c r="NS30" s="26"/>
      <c r="NT30" s="26"/>
      <c r="NU30" s="26"/>
      <c r="NV30" s="26"/>
      <c r="NW30" s="26"/>
      <c r="NX30" s="26"/>
      <c r="NY30" s="26"/>
      <c r="NZ30" s="26"/>
      <c r="OA30" s="26"/>
      <c r="OB30" s="26"/>
      <c r="OC30" s="26"/>
      <c r="OD30" s="26"/>
      <c r="OE30" s="26"/>
      <c r="OF30" s="23"/>
      <c r="OG30" s="26"/>
      <c r="OH30" s="26"/>
      <c r="OI30" s="26"/>
      <c r="OJ30" s="26"/>
      <c r="OK30" s="26"/>
      <c r="OL30" s="26"/>
      <c r="OM30" s="26"/>
      <c r="ON30" s="26"/>
      <c r="OO30" s="26"/>
      <c r="OP30" s="26"/>
      <c r="OQ30" s="26"/>
      <c r="OR30" s="26"/>
      <c r="OS30" s="26"/>
      <c r="OT30" s="26"/>
      <c r="OU30" s="26"/>
      <c r="OV30" s="26"/>
      <c r="OW30" s="26"/>
      <c r="OX30" s="26"/>
      <c r="OY30" s="26"/>
      <c r="OZ30" s="26"/>
      <c r="PA30" s="26"/>
      <c r="PB30" s="26"/>
      <c r="PC30" s="26"/>
      <c r="PD30" s="26"/>
      <c r="PE30" s="26"/>
      <c r="PF30" s="26"/>
      <c r="PG30" s="26"/>
      <c r="PH30" s="26"/>
      <c r="PI30" s="26"/>
      <c r="PJ30" s="26"/>
      <c r="PK30" s="26"/>
      <c r="PL30" s="26"/>
      <c r="PM30" s="26"/>
      <c r="PN30" s="26"/>
      <c r="PO30" s="26"/>
      <c r="PP30" s="26"/>
      <c r="PQ30" s="26"/>
      <c r="PR30" s="26"/>
    </row>
    <row r="31" spans="1:434" x14ac:dyDescent="0.25">
      <c r="A31" s="24"/>
      <c r="B31" s="25" t="s">
        <v>96</v>
      </c>
      <c r="C31" s="24" t="s">
        <v>70</v>
      </c>
      <c r="D31" s="24" t="s">
        <v>67</v>
      </c>
      <c r="E31" s="24"/>
      <c r="F31" s="23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3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3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R31" s="82"/>
      <c r="CS31" s="82"/>
      <c r="CT31" s="82">
        <v>17</v>
      </c>
      <c r="CU31" s="82"/>
      <c r="CV31" s="82"/>
      <c r="CW31" s="82"/>
      <c r="CX31" s="82"/>
      <c r="CY31" s="82"/>
      <c r="CZ31" s="82"/>
      <c r="DA31" s="82">
        <v>20</v>
      </c>
      <c r="DB31" s="82"/>
      <c r="DC31" s="82"/>
      <c r="DD31" s="82"/>
      <c r="DE31" s="82">
        <v>10</v>
      </c>
      <c r="DF31" s="82"/>
      <c r="DG31" s="82"/>
      <c r="DH31" s="82">
        <v>5</v>
      </c>
      <c r="DI31" s="82">
        <v>45</v>
      </c>
      <c r="DJ31" s="82"/>
      <c r="DK31" s="82"/>
      <c r="DL31" s="82">
        <v>60</v>
      </c>
      <c r="DM31" s="82"/>
      <c r="DN31" s="82"/>
      <c r="DO31" s="82"/>
      <c r="DP31" s="82"/>
      <c r="DQ31" s="82"/>
      <c r="DR31" s="82"/>
      <c r="DS31" s="23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3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3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3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  <c r="IV31" s="26"/>
      <c r="IW31" s="26"/>
      <c r="IX31" s="26"/>
      <c r="IY31" s="26"/>
      <c r="IZ31" s="26"/>
      <c r="JA31" s="26"/>
      <c r="JB31" s="26"/>
      <c r="JC31" s="26"/>
      <c r="JD31" s="26"/>
      <c r="JE31" s="26"/>
      <c r="JF31" s="26"/>
      <c r="JG31" s="26"/>
      <c r="JH31" s="26"/>
      <c r="JI31" s="26"/>
      <c r="JJ31" s="26"/>
      <c r="JK31" s="26"/>
      <c r="JL31" s="26"/>
      <c r="JM31" s="26"/>
      <c r="JN31" s="26"/>
      <c r="JO31" s="26"/>
      <c r="JP31" s="26"/>
      <c r="JQ31" s="26"/>
      <c r="JR31" s="26"/>
      <c r="JS31" s="23"/>
      <c r="JT31" s="26"/>
      <c r="JU31" s="26"/>
      <c r="JV31" s="26"/>
      <c r="JW31" s="26"/>
      <c r="JX31" s="26"/>
      <c r="JY31" s="26"/>
      <c r="JZ31" s="26"/>
      <c r="KA31" s="26"/>
      <c r="KB31" s="26"/>
      <c r="KC31" s="26"/>
      <c r="KD31" s="26"/>
      <c r="KE31" s="26"/>
      <c r="KF31" s="26"/>
      <c r="KG31" s="26"/>
      <c r="KH31" s="26"/>
      <c r="KI31" s="26"/>
      <c r="KJ31" s="26"/>
      <c r="KK31" s="26"/>
      <c r="KL31" s="26"/>
      <c r="KM31" s="26"/>
      <c r="KN31" s="26"/>
      <c r="KO31" s="26"/>
      <c r="KP31" s="26"/>
      <c r="KQ31" s="26"/>
      <c r="KR31" s="26"/>
      <c r="KS31" s="26"/>
      <c r="KT31" s="26"/>
      <c r="KU31" s="26"/>
      <c r="KV31" s="26"/>
      <c r="KW31" s="26"/>
      <c r="KX31" s="26"/>
      <c r="KY31" s="26"/>
      <c r="KZ31" s="26"/>
      <c r="LA31" s="26"/>
      <c r="LB31" s="26"/>
      <c r="LC31" s="26"/>
      <c r="LD31" s="26"/>
      <c r="LE31" s="26"/>
      <c r="LF31" s="23"/>
      <c r="LG31" s="26"/>
      <c r="LH31" s="26"/>
      <c r="LI31" s="26"/>
      <c r="LJ31" s="26"/>
      <c r="LK31" s="26"/>
      <c r="LL31" s="26"/>
      <c r="LM31" s="26"/>
      <c r="LN31" s="26"/>
      <c r="LO31" s="26"/>
      <c r="LP31" s="26"/>
      <c r="LQ31" s="26"/>
      <c r="LR31" s="26"/>
      <c r="LS31" s="26"/>
      <c r="LT31" s="26"/>
      <c r="LU31" s="26"/>
      <c r="LV31" s="26"/>
      <c r="LW31" s="26"/>
      <c r="LX31" s="26"/>
      <c r="LY31" s="26"/>
      <c r="LZ31" s="26"/>
      <c r="MA31" s="26"/>
      <c r="MB31" s="26"/>
      <c r="MC31" s="26"/>
      <c r="MD31" s="26"/>
      <c r="ME31" s="26"/>
      <c r="MF31" s="26"/>
      <c r="MG31" s="26"/>
      <c r="MH31" s="26"/>
      <c r="MI31" s="26"/>
      <c r="MJ31" s="26"/>
      <c r="MK31" s="26"/>
      <c r="ML31" s="26"/>
      <c r="MM31" s="26"/>
      <c r="MN31" s="26"/>
      <c r="MO31" s="26"/>
      <c r="MP31" s="26"/>
      <c r="MQ31" s="26"/>
      <c r="MR31" s="26"/>
      <c r="MS31" s="23"/>
      <c r="MT31" s="26"/>
      <c r="MU31" s="26"/>
      <c r="MV31" s="26"/>
      <c r="MW31" s="26"/>
      <c r="MX31" s="26"/>
      <c r="MY31" s="26"/>
      <c r="MZ31" s="26"/>
      <c r="NA31" s="26"/>
      <c r="NB31" s="26"/>
      <c r="NC31" s="26"/>
      <c r="ND31" s="26"/>
      <c r="NE31" s="26"/>
      <c r="NF31" s="26"/>
      <c r="NG31" s="26"/>
      <c r="NH31" s="26"/>
      <c r="NI31" s="26"/>
      <c r="NJ31" s="26"/>
      <c r="NK31" s="26"/>
      <c r="NL31" s="26"/>
      <c r="NM31" s="26"/>
      <c r="NN31" s="26"/>
      <c r="NO31" s="26"/>
      <c r="NP31" s="26"/>
      <c r="NQ31" s="26"/>
      <c r="NR31" s="26"/>
      <c r="NS31" s="26"/>
      <c r="NT31" s="26"/>
      <c r="NU31" s="26"/>
      <c r="NV31" s="26"/>
      <c r="NW31" s="26"/>
      <c r="NX31" s="26"/>
      <c r="NY31" s="26"/>
      <c r="NZ31" s="26"/>
      <c r="OA31" s="26"/>
      <c r="OB31" s="26"/>
      <c r="OC31" s="26"/>
      <c r="OD31" s="26"/>
      <c r="OE31" s="26"/>
      <c r="OF31" s="23"/>
      <c r="OG31" s="26"/>
      <c r="OH31" s="26"/>
      <c r="OI31" s="26"/>
      <c r="OJ31" s="26"/>
      <c r="OK31" s="26"/>
      <c r="OL31" s="26"/>
      <c r="OM31" s="26"/>
      <c r="ON31" s="26"/>
      <c r="OO31" s="26"/>
      <c r="OP31" s="26"/>
      <c r="OQ31" s="26"/>
      <c r="OR31" s="26"/>
      <c r="OS31" s="26"/>
      <c r="OT31" s="26"/>
      <c r="OU31" s="26"/>
      <c r="OV31" s="26"/>
      <c r="OW31" s="26"/>
      <c r="OX31" s="26"/>
      <c r="OY31" s="26"/>
      <c r="OZ31" s="26"/>
      <c r="PA31" s="26"/>
      <c r="PB31" s="26"/>
      <c r="PC31" s="26"/>
      <c r="PD31" s="26"/>
      <c r="PE31" s="26"/>
      <c r="PF31" s="26"/>
      <c r="PG31" s="26"/>
      <c r="PH31" s="26"/>
      <c r="PI31" s="26"/>
      <c r="PJ31" s="26"/>
      <c r="PK31" s="26"/>
      <c r="PL31" s="26"/>
      <c r="PM31" s="26"/>
      <c r="PN31" s="26"/>
      <c r="PO31" s="26"/>
      <c r="PP31" s="26"/>
      <c r="PQ31" s="26"/>
      <c r="PR31" s="26"/>
    </row>
    <row r="32" spans="1:434" x14ac:dyDescent="0.25">
      <c r="A32" s="24"/>
      <c r="B32" s="25" t="s">
        <v>97</v>
      </c>
      <c r="C32" s="24" t="s">
        <v>66</v>
      </c>
      <c r="D32" s="24" t="s">
        <v>76</v>
      </c>
      <c r="E32" s="24"/>
      <c r="F32" s="23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3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3"/>
      <c r="CG32" s="82"/>
      <c r="CH32" s="82"/>
      <c r="CI32" s="82"/>
      <c r="CJ32" s="82"/>
      <c r="CK32" s="82"/>
      <c r="CL32" s="82"/>
      <c r="CM32" s="82"/>
      <c r="CN32" s="82"/>
      <c r="CO32" s="82"/>
      <c r="CP32" s="82"/>
      <c r="CQ32" s="82"/>
      <c r="CR32" s="82"/>
      <c r="CS32" s="82"/>
      <c r="CT32" s="82">
        <v>5</v>
      </c>
      <c r="CU32" s="82"/>
      <c r="CV32" s="82"/>
      <c r="CW32" s="82"/>
      <c r="CX32" s="82"/>
      <c r="CY32" s="82"/>
      <c r="CZ32" s="82"/>
      <c r="DA32" s="82"/>
      <c r="DB32" s="82"/>
      <c r="DC32" s="82"/>
      <c r="DD32" s="82"/>
      <c r="DE32" s="82"/>
      <c r="DF32" s="82"/>
      <c r="DG32" s="82"/>
      <c r="DH32" s="82"/>
      <c r="DI32" s="82">
        <v>5</v>
      </c>
      <c r="DJ32" s="82"/>
      <c r="DK32" s="82"/>
      <c r="DL32" s="82">
        <v>120</v>
      </c>
      <c r="DM32" s="82"/>
      <c r="DN32" s="82"/>
      <c r="DO32" s="82"/>
      <c r="DP32" s="82"/>
      <c r="DQ32" s="82"/>
      <c r="DR32" s="82"/>
      <c r="DS32" s="23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3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  <c r="GR32" s="26"/>
      <c r="GS32" s="23"/>
      <c r="GT32" s="26"/>
      <c r="GU32" s="26"/>
      <c r="GV32" s="26"/>
      <c r="GW32" s="26"/>
      <c r="GX32" s="26"/>
      <c r="GY32" s="26"/>
      <c r="GZ32" s="26"/>
      <c r="HA32" s="26"/>
      <c r="HB32" s="26"/>
      <c r="HC32" s="26"/>
      <c r="HD32" s="26"/>
      <c r="HE32" s="26"/>
      <c r="HF32" s="26"/>
      <c r="HG32" s="26"/>
      <c r="HH32" s="26"/>
      <c r="HI32" s="26"/>
      <c r="HJ32" s="26"/>
      <c r="HK32" s="26"/>
      <c r="HL32" s="26"/>
      <c r="HM32" s="26"/>
      <c r="HN32" s="26"/>
      <c r="HO32" s="26"/>
      <c r="HP32" s="26"/>
      <c r="HQ32" s="26"/>
      <c r="HR32" s="26"/>
      <c r="HS32" s="26"/>
      <c r="HT32" s="26"/>
      <c r="HU32" s="26"/>
      <c r="HV32" s="26"/>
      <c r="HW32" s="26"/>
      <c r="HX32" s="26"/>
      <c r="HY32" s="26"/>
      <c r="HZ32" s="26"/>
      <c r="IA32" s="26"/>
      <c r="IB32" s="26"/>
      <c r="IC32" s="26"/>
      <c r="ID32" s="26"/>
      <c r="IE32" s="26"/>
      <c r="IF32" s="23"/>
      <c r="IG32" s="26"/>
      <c r="IH32" s="26"/>
      <c r="II32" s="26"/>
      <c r="IJ32" s="26"/>
      <c r="IK32" s="26"/>
      <c r="IL32" s="26"/>
      <c r="IM32" s="26"/>
      <c r="IN32" s="26"/>
      <c r="IO32" s="26"/>
      <c r="IP32" s="26"/>
      <c r="IQ32" s="26"/>
      <c r="IR32" s="26"/>
      <c r="IS32" s="26"/>
      <c r="IT32" s="26"/>
      <c r="IU32" s="26"/>
      <c r="IV32" s="26"/>
      <c r="IW32" s="26"/>
      <c r="IX32" s="26"/>
      <c r="IY32" s="26"/>
      <c r="IZ32" s="26"/>
      <c r="JA32" s="26"/>
      <c r="JB32" s="26"/>
      <c r="JC32" s="26"/>
      <c r="JD32" s="26"/>
      <c r="JE32" s="26"/>
      <c r="JF32" s="26"/>
      <c r="JG32" s="26"/>
      <c r="JH32" s="26"/>
      <c r="JI32" s="26"/>
      <c r="JJ32" s="26"/>
      <c r="JK32" s="26"/>
      <c r="JL32" s="26"/>
      <c r="JM32" s="26"/>
      <c r="JN32" s="26"/>
      <c r="JO32" s="26"/>
      <c r="JP32" s="26"/>
      <c r="JQ32" s="26"/>
      <c r="JR32" s="26"/>
      <c r="JS32" s="23"/>
      <c r="JT32" s="26"/>
      <c r="JU32" s="26"/>
      <c r="JV32" s="26"/>
      <c r="JW32" s="26"/>
      <c r="JX32" s="26"/>
      <c r="JY32" s="26"/>
      <c r="JZ32" s="26"/>
      <c r="KA32" s="26"/>
      <c r="KB32" s="26"/>
      <c r="KC32" s="26"/>
      <c r="KD32" s="26"/>
      <c r="KE32" s="26"/>
      <c r="KF32" s="26"/>
      <c r="KG32" s="26"/>
      <c r="KH32" s="26"/>
      <c r="KI32" s="26"/>
      <c r="KJ32" s="26"/>
      <c r="KK32" s="26"/>
      <c r="KL32" s="26"/>
      <c r="KM32" s="26"/>
      <c r="KN32" s="26"/>
      <c r="KO32" s="26"/>
      <c r="KP32" s="26"/>
      <c r="KQ32" s="26"/>
      <c r="KR32" s="26"/>
      <c r="KS32" s="26"/>
      <c r="KT32" s="26"/>
      <c r="KU32" s="26"/>
      <c r="KV32" s="26"/>
      <c r="KW32" s="26"/>
      <c r="KX32" s="26"/>
      <c r="KY32" s="26"/>
      <c r="KZ32" s="26"/>
      <c r="LA32" s="26"/>
      <c r="LB32" s="26"/>
      <c r="LC32" s="26"/>
      <c r="LD32" s="26"/>
      <c r="LE32" s="26"/>
      <c r="LF32" s="23"/>
      <c r="LG32" s="26"/>
      <c r="LH32" s="26"/>
      <c r="LI32" s="26"/>
      <c r="LJ32" s="26"/>
      <c r="LK32" s="26"/>
      <c r="LL32" s="26"/>
      <c r="LM32" s="26"/>
      <c r="LN32" s="26"/>
      <c r="LO32" s="26"/>
      <c r="LP32" s="26"/>
      <c r="LQ32" s="26"/>
      <c r="LR32" s="26"/>
      <c r="LS32" s="26"/>
      <c r="LT32" s="26"/>
      <c r="LU32" s="26"/>
      <c r="LV32" s="26"/>
      <c r="LW32" s="26"/>
      <c r="LX32" s="26"/>
      <c r="LY32" s="26"/>
      <c r="LZ32" s="26"/>
      <c r="MA32" s="26"/>
      <c r="MB32" s="26"/>
      <c r="MC32" s="26"/>
      <c r="MD32" s="26"/>
      <c r="ME32" s="26"/>
      <c r="MF32" s="26"/>
      <c r="MG32" s="26"/>
      <c r="MH32" s="26"/>
      <c r="MI32" s="26"/>
      <c r="MJ32" s="26"/>
      <c r="MK32" s="26"/>
      <c r="ML32" s="26"/>
      <c r="MM32" s="26"/>
      <c r="MN32" s="26"/>
      <c r="MO32" s="26"/>
      <c r="MP32" s="26"/>
      <c r="MQ32" s="26"/>
      <c r="MR32" s="26"/>
      <c r="MS32" s="23"/>
      <c r="MT32" s="26"/>
      <c r="MU32" s="26"/>
      <c r="MV32" s="26"/>
      <c r="MW32" s="26"/>
      <c r="MX32" s="26"/>
      <c r="MY32" s="26"/>
      <c r="MZ32" s="26"/>
      <c r="NA32" s="26"/>
      <c r="NB32" s="26"/>
      <c r="NC32" s="26"/>
      <c r="ND32" s="26"/>
      <c r="NE32" s="26"/>
      <c r="NF32" s="26"/>
      <c r="NG32" s="26"/>
      <c r="NH32" s="26"/>
      <c r="NI32" s="26"/>
      <c r="NJ32" s="26"/>
      <c r="NK32" s="26"/>
      <c r="NL32" s="26"/>
      <c r="NM32" s="26"/>
      <c r="NN32" s="26"/>
      <c r="NO32" s="26"/>
      <c r="NP32" s="26"/>
      <c r="NQ32" s="26"/>
      <c r="NR32" s="26"/>
      <c r="NS32" s="26"/>
      <c r="NT32" s="26"/>
      <c r="NU32" s="26"/>
      <c r="NV32" s="26"/>
      <c r="NW32" s="26"/>
      <c r="NX32" s="26"/>
      <c r="NY32" s="26"/>
      <c r="NZ32" s="26"/>
      <c r="OA32" s="26"/>
      <c r="OB32" s="26"/>
      <c r="OC32" s="26"/>
      <c r="OD32" s="26"/>
      <c r="OE32" s="26"/>
      <c r="OF32" s="23"/>
      <c r="OG32" s="26"/>
      <c r="OH32" s="26"/>
      <c r="OI32" s="26"/>
      <c r="OJ32" s="26"/>
      <c r="OK32" s="26"/>
      <c r="OL32" s="26"/>
      <c r="OM32" s="26"/>
      <c r="ON32" s="26"/>
      <c r="OO32" s="26"/>
      <c r="OP32" s="26"/>
      <c r="OQ32" s="26"/>
      <c r="OR32" s="26"/>
      <c r="OS32" s="26"/>
      <c r="OT32" s="26"/>
      <c r="OU32" s="26"/>
      <c r="OV32" s="26"/>
      <c r="OW32" s="26"/>
      <c r="OX32" s="26"/>
      <c r="OY32" s="26"/>
      <c r="OZ32" s="26"/>
      <c r="PA32" s="26"/>
      <c r="PB32" s="26"/>
      <c r="PC32" s="26"/>
      <c r="PD32" s="26"/>
      <c r="PE32" s="26"/>
      <c r="PF32" s="26"/>
      <c r="PG32" s="26"/>
      <c r="PH32" s="26"/>
      <c r="PI32" s="26"/>
      <c r="PJ32" s="26"/>
      <c r="PK32" s="26"/>
      <c r="PL32" s="26"/>
      <c r="PM32" s="26"/>
      <c r="PN32" s="26"/>
      <c r="PO32" s="26"/>
      <c r="PP32" s="26"/>
      <c r="PQ32" s="26"/>
      <c r="PR32" s="26"/>
    </row>
    <row r="33" spans="1:434" x14ac:dyDescent="0.25">
      <c r="A33" s="24"/>
      <c r="B33" s="25" t="s">
        <v>98</v>
      </c>
      <c r="C33" s="24" t="s">
        <v>66</v>
      </c>
      <c r="D33" s="24" t="s">
        <v>76</v>
      </c>
      <c r="E33" s="24"/>
      <c r="F33" s="23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3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3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2"/>
      <c r="CZ33" s="82"/>
      <c r="DA33" s="82"/>
      <c r="DB33" s="82"/>
      <c r="DC33" s="82"/>
      <c r="DD33" s="82"/>
      <c r="DE33" s="82"/>
      <c r="DF33" s="82"/>
      <c r="DG33" s="82"/>
      <c r="DH33" s="82"/>
      <c r="DI33" s="82"/>
      <c r="DJ33" s="82"/>
      <c r="DK33" s="82"/>
      <c r="DL33" s="82">
        <v>20</v>
      </c>
      <c r="DM33" s="82"/>
      <c r="DN33" s="82"/>
      <c r="DO33" s="82"/>
      <c r="DP33" s="82"/>
      <c r="DQ33" s="82"/>
      <c r="DR33" s="82"/>
      <c r="DS33" s="23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3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3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3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6"/>
      <c r="IZ33" s="26"/>
      <c r="JA33" s="26"/>
      <c r="JB33" s="26"/>
      <c r="JC33" s="26"/>
      <c r="JD33" s="26"/>
      <c r="JE33" s="26"/>
      <c r="JF33" s="26"/>
      <c r="JG33" s="26"/>
      <c r="JH33" s="26"/>
      <c r="JI33" s="26"/>
      <c r="JJ33" s="26"/>
      <c r="JK33" s="26"/>
      <c r="JL33" s="26"/>
      <c r="JM33" s="26"/>
      <c r="JN33" s="26"/>
      <c r="JO33" s="26"/>
      <c r="JP33" s="26"/>
      <c r="JQ33" s="26"/>
      <c r="JR33" s="26"/>
      <c r="JS33" s="23"/>
      <c r="JT33" s="26"/>
      <c r="JU33" s="26"/>
      <c r="JV33" s="26"/>
      <c r="JW33" s="26"/>
      <c r="JX33" s="26"/>
      <c r="JY33" s="26"/>
      <c r="JZ33" s="26"/>
      <c r="KA33" s="26"/>
      <c r="KB33" s="26"/>
      <c r="KC33" s="26"/>
      <c r="KD33" s="26"/>
      <c r="KE33" s="26"/>
      <c r="KF33" s="26"/>
      <c r="KG33" s="26"/>
      <c r="KH33" s="26"/>
      <c r="KI33" s="26"/>
      <c r="KJ33" s="26"/>
      <c r="KK33" s="26"/>
      <c r="KL33" s="26"/>
      <c r="KM33" s="26"/>
      <c r="KN33" s="26"/>
      <c r="KO33" s="26"/>
      <c r="KP33" s="26"/>
      <c r="KQ33" s="26"/>
      <c r="KR33" s="26"/>
      <c r="KS33" s="26"/>
      <c r="KT33" s="26"/>
      <c r="KU33" s="26"/>
      <c r="KV33" s="26"/>
      <c r="KW33" s="26"/>
      <c r="KX33" s="26"/>
      <c r="KY33" s="26"/>
      <c r="KZ33" s="26"/>
      <c r="LA33" s="26"/>
      <c r="LB33" s="26"/>
      <c r="LC33" s="26"/>
      <c r="LD33" s="26"/>
      <c r="LE33" s="26"/>
      <c r="LF33" s="23"/>
      <c r="LG33" s="26"/>
      <c r="LH33" s="26"/>
      <c r="LI33" s="26"/>
      <c r="LJ33" s="26"/>
      <c r="LK33" s="26"/>
      <c r="LL33" s="26"/>
      <c r="LM33" s="26"/>
      <c r="LN33" s="26"/>
      <c r="LO33" s="26"/>
      <c r="LP33" s="26"/>
      <c r="LQ33" s="26"/>
      <c r="LR33" s="26"/>
      <c r="LS33" s="26"/>
      <c r="LT33" s="26"/>
      <c r="LU33" s="26"/>
      <c r="LV33" s="26"/>
      <c r="LW33" s="26"/>
      <c r="LX33" s="26"/>
      <c r="LY33" s="26"/>
      <c r="LZ33" s="26"/>
      <c r="MA33" s="26"/>
      <c r="MB33" s="26"/>
      <c r="MC33" s="26"/>
      <c r="MD33" s="26"/>
      <c r="ME33" s="26"/>
      <c r="MF33" s="26"/>
      <c r="MG33" s="26"/>
      <c r="MH33" s="26"/>
      <c r="MI33" s="26"/>
      <c r="MJ33" s="26"/>
      <c r="MK33" s="26"/>
      <c r="ML33" s="26"/>
      <c r="MM33" s="26"/>
      <c r="MN33" s="26"/>
      <c r="MO33" s="26"/>
      <c r="MP33" s="26"/>
      <c r="MQ33" s="26"/>
      <c r="MR33" s="26"/>
      <c r="MS33" s="23"/>
      <c r="MT33" s="26"/>
      <c r="MU33" s="26"/>
      <c r="MV33" s="26"/>
      <c r="MW33" s="26"/>
      <c r="MX33" s="26"/>
      <c r="MY33" s="26"/>
      <c r="MZ33" s="26"/>
      <c r="NA33" s="26"/>
      <c r="NB33" s="26"/>
      <c r="NC33" s="26"/>
      <c r="ND33" s="26"/>
      <c r="NE33" s="26"/>
      <c r="NF33" s="26"/>
      <c r="NG33" s="26"/>
      <c r="NH33" s="26"/>
      <c r="NI33" s="26"/>
      <c r="NJ33" s="26"/>
      <c r="NK33" s="26"/>
      <c r="NL33" s="26"/>
      <c r="NM33" s="26"/>
      <c r="NN33" s="26"/>
      <c r="NO33" s="26"/>
      <c r="NP33" s="26"/>
      <c r="NQ33" s="26"/>
      <c r="NR33" s="26"/>
      <c r="NS33" s="26"/>
      <c r="NT33" s="26"/>
      <c r="NU33" s="26"/>
      <c r="NV33" s="26"/>
      <c r="NW33" s="26"/>
      <c r="NX33" s="26"/>
      <c r="NY33" s="26"/>
      <c r="NZ33" s="26"/>
      <c r="OA33" s="26"/>
      <c r="OB33" s="26"/>
      <c r="OC33" s="26"/>
      <c r="OD33" s="26"/>
      <c r="OE33" s="26"/>
      <c r="OF33" s="23"/>
      <c r="OG33" s="26"/>
      <c r="OH33" s="26"/>
      <c r="OI33" s="26"/>
      <c r="OJ33" s="26"/>
      <c r="OK33" s="26"/>
      <c r="OL33" s="26"/>
      <c r="OM33" s="26"/>
      <c r="ON33" s="26"/>
      <c r="OO33" s="26"/>
      <c r="OP33" s="26"/>
      <c r="OQ33" s="26"/>
      <c r="OR33" s="26"/>
      <c r="OS33" s="26"/>
      <c r="OT33" s="26"/>
      <c r="OU33" s="26"/>
      <c r="OV33" s="26"/>
      <c r="OW33" s="26"/>
      <c r="OX33" s="26"/>
      <c r="OY33" s="26"/>
      <c r="OZ33" s="26"/>
      <c r="PA33" s="26"/>
      <c r="PB33" s="26"/>
      <c r="PC33" s="26"/>
      <c r="PD33" s="26"/>
      <c r="PE33" s="26"/>
      <c r="PF33" s="26"/>
      <c r="PG33" s="26"/>
      <c r="PH33" s="26"/>
      <c r="PI33" s="26"/>
      <c r="PJ33" s="26"/>
      <c r="PK33" s="26"/>
      <c r="PL33" s="26"/>
      <c r="PM33" s="26"/>
      <c r="PN33" s="26"/>
      <c r="PO33" s="26"/>
      <c r="PP33" s="26"/>
      <c r="PQ33" s="26"/>
      <c r="PR33" s="26"/>
    </row>
    <row r="34" spans="1:434" x14ac:dyDescent="0.25">
      <c r="A34" s="24"/>
      <c r="B34" s="25" t="s">
        <v>99</v>
      </c>
      <c r="C34" s="24" t="s">
        <v>66</v>
      </c>
      <c r="D34" s="24" t="s">
        <v>76</v>
      </c>
      <c r="E34" s="24"/>
      <c r="F34" s="23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3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3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  <c r="CS34" s="82"/>
      <c r="CT34" s="82">
        <v>35</v>
      </c>
      <c r="CU34" s="82">
        <v>10</v>
      </c>
      <c r="CV34" s="82">
        <v>15</v>
      </c>
      <c r="CW34" s="82"/>
      <c r="CX34" s="82"/>
      <c r="CY34" s="82"/>
      <c r="CZ34" s="82"/>
      <c r="DA34" s="82"/>
      <c r="DB34" s="82"/>
      <c r="DC34" s="82"/>
      <c r="DD34" s="82">
        <v>30</v>
      </c>
      <c r="DE34" s="82"/>
      <c r="DF34" s="82"/>
      <c r="DG34" s="82"/>
      <c r="DH34" s="82"/>
      <c r="DI34" s="82"/>
      <c r="DJ34" s="82"/>
      <c r="DK34" s="82"/>
      <c r="DL34" s="82">
        <v>10</v>
      </c>
      <c r="DM34" s="82"/>
      <c r="DN34" s="82"/>
      <c r="DO34" s="82"/>
      <c r="DP34" s="82"/>
      <c r="DQ34" s="82"/>
      <c r="DR34" s="82"/>
      <c r="DS34" s="23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3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  <c r="GR34" s="26"/>
      <c r="GS34" s="23"/>
      <c r="GT34" s="26"/>
      <c r="GU34" s="26"/>
      <c r="GV34" s="26"/>
      <c r="GW34" s="26"/>
      <c r="GX34" s="26"/>
      <c r="GY34" s="26"/>
      <c r="GZ34" s="26"/>
      <c r="HA34" s="26"/>
      <c r="HB34" s="26"/>
      <c r="HC34" s="26"/>
      <c r="HD34" s="26"/>
      <c r="HE34" s="26"/>
      <c r="HF34" s="26"/>
      <c r="HG34" s="26"/>
      <c r="HH34" s="26"/>
      <c r="HI34" s="26"/>
      <c r="HJ34" s="26"/>
      <c r="HK34" s="26"/>
      <c r="HL34" s="26"/>
      <c r="HM34" s="26"/>
      <c r="HN34" s="26"/>
      <c r="HO34" s="26"/>
      <c r="HP34" s="26"/>
      <c r="HQ34" s="26"/>
      <c r="HR34" s="26"/>
      <c r="HS34" s="26"/>
      <c r="HT34" s="26"/>
      <c r="HU34" s="26"/>
      <c r="HV34" s="26"/>
      <c r="HW34" s="26"/>
      <c r="HX34" s="26"/>
      <c r="HY34" s="26"/>
      <c r="HZ34" s="26"/>
      <c r="IA34" s="26"/>
      <c r="IB34" s="26"/>
      <c r="IC34" s="26"/>
      <c r="ID34" s="26"/>
      <c r="IE34" s="26"/>
      <c r="IF34" s="23"/>
      <c r="IG34" s="26"/>
      <c r="IH34" s="26"/>
      <c r="II34" s="26"/>
      <c r="IJ34" s="26"/>
      <c r="IK34" s="26"/>
      <c r="IL34" s="26"/>
      <c r="IM34" s="26"/>
      <c r="IN34" s="26"/>
      <c r="IO34" s="26"/>
      <c r="IP34" s="26"/>
      <c r="IQ34" s="26"/>
      <c r="IR34" s="26"/>
      <c r="IS34" s="26"/>
      <c r="IT34" s="26"/>
      <c r="IU34" s="26"/>
      <c r="IV34" s="26"/>
      <c r="IW34" s="26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  <c r="JR34" s="26"/>
      <c r="JS34" s="23"/>
      <c r="JT34" s="26"/>
      <c r="JU34" s="26"/>
      <c r="JV34" s="26"/>
      <c r="JW34" s="26"/>
      <c r="JX34" s="26"/>
      <c r="JY34" s="26"/>
      <c r="JZ34" s="26"/>
      <c r="KA34" s="26"/>
      <c r="KB34" s="26"/>
      <c r="KC34" s="26"/>
      <c r="KD34" s="26"/>
      <c r="KE34" s="26"/>
      <c r="KF34" s="26"/>
      <c r="KG34" s="26"/>
      <c r="KH34" s="26"/>
      <c r="KI34" s="26"/>
      <c r="KJ34" s="26"/>
      <c r="KK34" s="26"/>
      <c r="KL34" s="26"/>
      <c r="KM34" s="26"/>
      <c r="KN34" s="26"/>
      <c r="KO34" s="26"/>
      <c r="KP34" s="26"/>
      <c r="KQ34" s="26"/>
      <c r="KR34" s="26"/>
      <c r="KS34" s="26"/>
      <c r="KT34" s="26"/>
      <c r="KU34" s="26"/>
      <c r="KV34" s="26"/>
      <c r="KW34" s="26"/>
      <c r="KX34" s="26"/>
      <c r="KY34" s="26"/>
      <c r="KZ34" s="26"/>
      <c r="LA34" s="26"/>
      <c r="LB34" s="26"/>
      <c r="LC34" s="26"/>
      <c r="LD34" s="26"/>
      <c r="LE34" s="26"/>
      <c r="LF34" s="23"/>
      <c r="LG34" s="26"/>
      <c r="LH34" s="26"/>
      <c r="LI34" s="26"/>
      <c r="LJ34" s="26"/>
      <c r="LK34" s="26"/>
      <c r="LL34" s="26"/>
      <c r="LM34" s="26"/>
      <c r="LN34" s="26"/>
      <c r="LO34" s="26"/>
      <c r="LP34" s="26"/>
      <c r="LQ34" s="26"/>
      <c r="LR34" s="26"/>
      <c r="LS34" s="26"/>
      <c r="LT34" s="26"/>
      <c r="LU34" s="26"/>
      <c r="LV34" s="26"/>
      <c r="LW34" s="26"/>
      <c r="LX34" s="26"/>
      <c r="LY34" s="26"/>
      <c r="LZ34" s="26"/>
      <c r="MA34" s="26"/>
      <c r="MB34" s="26"/>
      <c r="MC34" s="26"/>
      <c r="MD34" s="26"/>
      <c r="ME34" s="26"/>
      <c r="MF34" s="26"/>
      <c r="MG34" s="26"/>
      <c r="MH34" s="26"/>
      <c r="MI34" s="26"/>
      <c r="MJ34" s="26"/>
      <c r="MK34" s="26"/>
      <c r="ML34" s="26"/>
      <c r="MM34" s="26"/>
      <c r="MN34" s="26"/>
      <c r="MO34" s="26"/>
      <c r="MP34" s="26"/>
      <c r="MQ34" s="26"/>
      <c r="MR34" s="26"/>
      <c r="MS34" s="23"/>
      <c r="MT34" s="26"/>
      <c r="MU34" s="26"/>
      <c r="MV34" s="26"/>
      <c r="MW34" s="26"/>
      <c r="MX34" s="26"/>
      <c r="MY34" s="26"/>
      <c r="MZ34" s="26"/>
      <c r="NA34" s="26"/>
      <c r="NB34" s="26"/>
      <c r="NC34" s="26"/>
      <c r="ND34" s="26"/>
      <c r="NE34" s="26"/>
      <c r="NF34" s="26"/>
      <c r="NG34" s="26"/>
      <c r="NH34" s="26"/>
      <c r="NI34" s="26"/>
      <c r="NJ34" s="26"/>
      <c r="NK34" s="26"/>
      <c r="NL34" s="26"/>
      <c r="NM34" s="26"/>
      <c r="NN34" s="26"/>
      <c r="NO34" s="26"/>
      <c r="NP34" s="26"/>
      <c r="NQ34" s="26"/>
      <c r="NR34" s="26"/>
      <c r="NS34" s="26"/>
      <c r="NT34" s="26"/>
      <c r="NU34" s="26"/>
      <c r="NV34" s="26"/>
      <c r="NW34" s="26"/>
      <c r="NX34" s="26"/>
      <c r="NY34" s="26"/>
      <c r="NZ34" s="26"/>
      <c r="OA34" s="26"/>
      <c r="OB34" s="26"/>
      <c r="OC34" s="26"/>
      <c r="OD34" s="26"/>
      <c r="OE34" s="26"/>
      <c r="OF34" s="23"/>
      <c r="OG34" s="26"/>
      <c r="OH34" s="26"/>
      <c r="OI34" s="26"/>
      <c r="OJ34" s="26"/>
      <c r="OK34" s="26"/>
      <c r="OL34" s="26"/>
      <c r="OM34" s="26"/>
      <c r="ON34" s="26"/>
      <c r="OO34" s="26"/>
      <c r="OP34" s="26"/>
      <c r="OQ34" s="26"/>
      <c r="OR34" s="26"/>
      <c r="OS34" s="26"/>
      <c r="OT34" s="26"/>
      <c r="OU34" s="26"/>
      <c r="OV34" s="26"/>
      <c r="OW34" s="26"/>
      <c r="OX34" s="26"/>
      <c r="OY34" s="26"/>
      <c r="OZ34" s="26"/>
      <c r="PA34" s="26"/>
      <c r="PB34" s="26"/>
      <c r="PC34" s="26"/>
      <c r="PD34" s="26"/>
      <c r="PE34" s="26"/>
      <c r="PF34" s="26"/>
      <c r="PG34" s="26"/>
      <c r="PH34" s="26"/>
      <c r="PI34" s="26"/>
      <c r="PJ34" s="26"/>
      <c r="PK34" s="26"/>
      <c r="PL34" s="26"/>
      <c r="PM34" s="26"/>
      <c r="PN34" s="26"/>
      <c r="PO34" s="26"/>
      <c r="PP34" s="26"/>
      <c r="PQ34" s="26"/>
      <c r="PR34" s="26"/>
    </row>
    <row r="35" spans="1:434" x14ac:dyDescent="0.25">
      <c r="A35" s="24"/>
      <c r="B35" s="25" t="s">
        <v>100</v>
      </c>
      <c r="C35" s="24" t="s">
        <v>70</v>
      </c>
      <c r="D35" s="24" t="s">
        <v>67</v>
      </c>
      <c r="E35" s="24"/>
      <c r="F35" s="23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3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3"/>
      <c r="CG35" s="82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R35" s="82"/>
      <c r="CS35" s="82"/>
      <c r="CT35" s="82"/>
      <c r="CU35" s="82"/>
      <c r="CV35" s="82"/>
      <c r="CW35" s="82"/>
      <c r="CX35" s="82"/>
      <c r="CY35" s="82"/>
      <c r="CZ35" s="82"/>
      <c r="DA35" s="82"/>
      <c r="DB35" s="82"/>
      <c r="DC35" s="82"/>
      <c r="DD35" s="82">
        <v>5</v>
      </c>
      <c r="DE35" s="82"/>
      <c r="DF35" s="82"/>
      <c r="DG35" s="82"/>
      <c r="DH35" s="82">
        <v>17</v>
      </c>
      <c r="DI35" s="82"/>
      <c r="DJ35" s="82"/>
      <c r="DK35" s="82"/>
      <c r="DL35" s="82">
        <v>20</v>
      </c>
      <c r="DM35" s="82"/>
      <c r="DN35" s="82"/>
      <c r="DO35" s="82"/>
      <c r="DP35" s="82"/>
      <c r="DQ35" s="82"/>
      <c r="DR35" s="82"/>
      <c r="DS35" s="23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3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  <c r="GR35" s="26"/>
      <c r="GS35" s="23"/>
      <c r="GT35" s="26"/>
      <c r="GU35" s="26"/>
      <c r="GV35" s="26"/>
      <c r="GW35" s="26"/>
      <c r="GX35" s="26"/>
      <c r="GY35" s="26"/>
      <c r="GZ35" s="26"/>
      <c r="HA35" s="26"/>
      <c r="HB35" s="26"/>
      <c r="HC35" s="26"/>
      <c r="HD35" s="26"/>
      <c r="HE35" s="26"/>
      <c r="HF35" s="26"/>
      <c r="HG35" s="26"/>
      <c r="HH35" s="26"/>
      <c r="HI35" s="26"/>
      <c r="HJ35" s="26"/>
      <c r="HK35" s="26"/>
      <c r="HL35" s="26"/>
      <c r="HM35" s="26"/>
      <c r="HN35" s="26"/>
      <c r="HO35" s="26"/>
      <c r="HP35" s="26"/>
      <c r="HQ35" s="26"/>
      <c r="HR35" s="26"/>
      <c r="HS35" s="26"/>
      <c r="HT35" s="26"/>
      <c r="HU35" s="26"/>
      <c r="HV35" s="26"/>
      <c r="HW35" s="26"/>
      <c r="HX35" s="26"/>
      <c r="HY35" s="26"/>
      <c r="HZ35" s="26"/>
      <c r="IA35" s="26"/>
      <c r="IB35" s="26"/>
      <c r="IC35" s="26"/>
      <c r="ID35" s="26"/>
      <c r="IE35" s="26"/>
      <c r="IF35" s="23"/>
      <c r="IG35" s="26"/>
      <c r="IH35" s="26"/>
      <c r="II35" s="26"/>
      <c r="IJ35" s="26"/>
      <c r="IK35" s="26"/>
      <c r="IL35" s="26"/>
      <c r="IM35" s="26"/>
      <c r="IN35" s="26"/>
      <c r="IO35" s="26"/>
      <c r="IP35" s="26"/>
      <c r="IQ35" s="26"/>
      <c r="IR35" s="26"/>
      <c r="IS35" s="26"/>
      <c r="IT35" s="26"/>
      <c r="IU35" s="26"/>
      <c r="IV35" s="26"/>
      <c r="IW35" s="26"/>
      <c r="IX35" s="26"/>
      <c r="IY35" s="26"/>
      <c r="IZ35" s="26"/>
      <c r="JA35" s="26"/>
      <c r="JB35" s="26"/>
      <c r="JC35" s="26"/>
      <c r="JD35" s="26"/>
      <c r="JE35" s="26"/>
      <c r="JF35" s="26"/>
      <c r="JG35" s="26"/>
      <c r="JH35" s="26"/>
      <c r="JI35" s="26"/>
      <c r="JJ35" s="26"/>
      <c r="JK35" s="26"/>
      <c r="JL35" s="26"/>
      <c r="JM35" s="26"/>
      <c r="JN35" s="26"/>
      <c r="JO35" s="26"/>
      <c r="JP35" s="26"/>
      <c r="JQ35" s="26"/>
      <c r="JR35" s="26"/>
      <c r="JS35" s="23"/>
      <c r="JT35" s="26"/>
      <c r="JU35" s="26"/>
      <c r="JV35" s="26"/>
      <c r="JW35" s="26"/>
      <c r="JX35" s="26"/>
      <c r="JY35" s="26"/>
      <c r="JZ35" s="26"/>
      <c r="KA35" s="26"/>
      <c r="KB35" s="26"/>
      <c r="KC35" s="26"/>
      <c r="KD35" s="26"/>
      <c r="KE35" s="26"/>
      <c r="KF35" s="26"/>
      <c r="KG35" s="26"/>
      <c r="KH35" s="26"/>
      <c r="KI35" s="26"/>
      <c r="KJ35" s="26"/>
      <c r="KK35" s="26"/>
      <c r="KL35" s="26"/>
      <c r="KM35" s="26"/>
      <c r="KN35" s="26"/>
      <c r="KO35" s="26"/>
      <c r="KP35" s="26"/>
      <c r="KQ35" s="26"/>
      <c r="KR35" s="26"/>
      <c r="KS35" s="26"/>
      <c r="KT35" s="26"/>
      <c r="KU35" s="26"/>
      <c r="KV35" s="26"/>
      <c r="KW35" s="26"/>
      <c r="KX35" s="26"/>
      <c r="KY35" s="26"/>
      <c r="KZ35" s="26"/>
      <c r="LA35" s="26"/>
      <c r="LB35" s="26"/>
      <c r="LC35" s="26"/>
      <c r="LD35" s="26"/>
      <c r="LE35" s="26"/>
      <c r="LF35" s="23"/>
      <c r="LG35" s="26"/>
      <c r="LH35" s="26"/>
      <c r="LI35" s="26"/>
      <c r="LJ35" s="26"/>
      <c r="LK35" s="26"/>
      <c r="LL35" s="26"/>
      <c r="LM35" s="26"/>
      <c r="LN35" s="26"/>
      <c r="LO35" s="26"/>
      <c r="LP35" s="26"/>
      <c r="LQ35" s="26"/>
      <c r="LR35" s="26"/>
      <c r="LS35" s="26"/>
      <c r="LT35" s="26"/>
      <c r="LU35" s="26"/>
      <c r="LV35" s="26"/>
      <c r="LW35" s="26"/>
      <c r="LX35" s="26"/>
      <c r="LY35" s="26"/>
      <c r="LZ35" s="26"/>
      <c r="MA35" s="26"/>
      <c r="MB35" s="26"/>
      <c r="MC35" s="26"/>
      <c r="MD35" s="26"/>
      <c r="ME35" s="26"/>
      <c r="MF35" s="26"/>
      <c r="MG35" s="26"/>
      <c r="MH35" s="26"/>
      <c r="MI35" s="26"/>
      <c r="MJ35" s="26"/>
      <c r="MK35" s="26"/>
      <c r="ML35" s="26"/>
      <c r="MM35" s="26"/>
      <c r="MN35" s="26"/>
      <c r="MO35" s="26"/>
      <c r="MP35" s="26"/>
      <c r="MQ35" s="26"/>
      <c r="MR35" s="26"/>
      <c r="MS35" s="23"/>
      <c r="MT35" s="26"/>
      <c r="MU35" s="26"/>
      <c r="MV35" s="26"/>
      <c r="MW35" s="26"/>
      <c r="MX35" s="26"/>
      <c r="MY35" s="26"/>
      <c r="MZ35" s="26"/>
      <c r="NA35" s="26"/>
      <c r="NB35" s="26"/>
      <c r="NC35" s="26"/>
      <c r="ND35" s="26"/>
      <c r="NE35" s="26"/>
      <c r="NF35" s="26"/>
      <c r="NG35" s="26"/>
      <c r="NH35" s="26"/>
      <c r="NI35" s="26"/>
      <c r="NJ35" s="26"/>
      <c r="NK35" s="26"/>
      <c r="NL35" s="26"/>
      <c r="NM35" s="26"/>
      <c r="NN35" s="26"/>
      <c r="NO35" s="26"/>
      <c r="NP35" s="26"/>
      <c r="NQ35" s="26"/>
      <c r="NR35" s="26"/>
      <c r="NS35" s="26"/>
      <c r="NT35" s="26"/>
      <c r="NU35" s="26"/>
      <c r="NV35" s="26"/>
      <c r="NW35" s="26"/>
      <c r="NX35" s="26"/>
      <c r="NY35" s="26"/>
      <c r="NZ35" s="26"/>
      <c r="OA35" s="26"/>
      <c r="OB35" s="26"/>
      <c r="OC35" s="26"/>
      <c r="OD35" s="26"/>
      <c r="OE35" s="26"/>
      <c r="OF35" s="23"/>
      <c r="OG35" s="26"/>
      <c r="OH35" s="26"/>
      <c r="OI35" s="26"/>
      <c r="OJ35" s="26"/>
      <c r="OK35" s="26"/>
      <c r="OL35" s="26"/>
      <c r="OM35" s="26"/>
      <c r="ON35" s="26"/>
      <c r="OO35" s="26"/>
      <c r="OP35" s="26"/>
      <c r="OQ35" s="26"/>
      <c r="OR35" s="26"/>
      <c r="OS35" s="26"/>
      <c r="OT35" s="26"/>
      <c r="OU35" s="26"/>
      <c r="OV35" s="26"/>
      <c r="OW35" s="26"/>
      <c r="OX35" s="26"/>
      <c r="OY35" s="26"/>
      <c r="OZ35" s="26"/>
      <c r="PA35" s="26"/>
      <c r="PB35" s="26"/>
      <c r="PC35" s="26"/>
      <c r="PD35" s="26"/>
      <c r="PE35" s="26"/>
      <c r="PF35" s="26"/>
      <c r="PG35" s="26"/>
      <c r="PH35" s="26"/>
      <c r="PI35" s="26"/>
      <c r="PJ35" s="26"/>
      <c r="PK35" s="26"/>
      <c r="PL35" s="26"/>
      <c r="PM35" s="26"/>
      <c r="PN35" s="26"/>
      <c r="PO35" s="26"/>
      <c r="PP35" s="26"/>
      <c r="PQ35" s="26"/>
      <c r="PR35" s="26"/>
    </row>
    <row r="36" spans="1:434" x14ac:dyDescent="0.25">
      <c r="A36" s="24"/>
      <c r="B36" s="25" t="s">
        <v>101</v>
      </c>
      <c r="C36" s="24" t="s">
        <v>66</v>
      </c>
      <c r="D36" s="24" t="s">
        <v>76</v>
      </c>
      <c r="E36" s="24"/>
      <c r="F36" s="23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3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3"/>
      <c r="CG36" s="82"/>
      <c r="CH36" s="82"/>
      <c r="CI36" s="82"/>
      <c r="CJ36" s="82"/>
      <c r="CK36" s="82"/>
      <c r="CL36" s="82"/>
      <c r="CM36" s="82"/>
      <c r="CN36" s="82"/>
      <c r="CO36" s="82"/>
      <c r="CP36" s="82"/>
      <c r="CQ36" s="82"/>
      <c r="CR36" s="82"/>
      <c r="CS36" s="82"/>
      <c r="CT36" s="82"/>
      <c r="CU36" s="82"/>
      <c r="CV36" s="82"/>
      <c r="CW36" s="82"/>
      <c r="CX36" s="82"/>
      <c r="CY36" s="82"/>
      <c r="CZ36" s="82"/>
      <c r="DA36" s="82"/>
      <c r="DB36" s="82"/>
      <c r="DC36" s="82"/>
      <c r="DD36" s="82"/>
      <c r="DE36" s="82"/>
      <c r="DF36" s="82"/>
      <c r="DG36" s="82"/>
      <c r="DH36" s="82"/>
      <c r="DI36" s="82"/>
      <c r="DJ36" s="82"/>
      <c r="DK36" s="82"/>
      <c r="DL36" s="82"/>
      <c r="DM36" s="82"/>
      <c r="DN36" s="82"/>
      <c r="DO36" s="82"/>
      <c r="DP36" s="82"/>
      <c r="DQ36" s="82"/>
      <c r="DR36" s="82"/>
      <c r="DS36" s="23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3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3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3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  <c r="JD36" s="26"/>
      <c r="JE36" s="26"/>
      <c r="JF36" s="26"/>
      <c r="JG36" s="26"/>
      <c r="JH36" s="26"/>
      <c r="JI36" s="26"/>
      <c r="JJ36" s="26"/>
      <c r="JK36" s="26"/>
      <c r="JL36" s="26"/>
      <c r="JM36" s="26"/>
      <c r="JN36" s="26"/>
      <c r="JO36" s="26"/>
      <c r="JP36" s="26"/>
      <c r="JQ36" s="26"/>
      <c r="JR36" s="26"/>
      <c r="JS36" s="23"/>
      <c r="JT36" s="26"/>
      <c r="JU36" s="26"/>
      <c r="JV36" s="26"/>
      <c r="JW36" s="26"/>
      <c r="JX36" s="26"/>
      <c r="JY36" s="26"/>
      <c r="JZ36" s="26"/>
      <c r="KA36" s="26"/>
      <c r="KB36" s="26"/>
      <c r="KC36" s="26"/>
      <c r="KD36" s="26"/>
      <c r="KE36" s="26"/>
      <c r="KF36" s="26"/>
      <c r="KG36" s="26"/>
      <c r="KH36" s="26"/>
      <c r="KI36" s="26"/>
      <c r="KJ36" s="26"/>
      <c r="KK36" s="26"/>
      <c r="KL36" s="26"/>
      <c r="KM36" s="26"/>
      <c r="KN36" s="26"/>
      <c r="KO36" s="26"/>
      <c r="KP36" s="26"/>
      <c r="KQ36" s="26"/>
      <c r="KR36" s="26"/>
      <c r="KS36" s="26"/>
      <c r="KT36" s="26"/>
      <c r="KU36" s="26"/>
      <c r="KV36" s="26"/>
      <c r="KW36" s="26"/>
      <c r="KX36" s="26"/>
      <c r="KY36" s="26"/>
      <c r="KZ36" s="26"/>
      <c r="LA36" s="26"/>
      <c r="LB36" s="26"/>
      <c r="LC36" s="26"/>
      <c r="LD36" s="26"/>
      <c r="LE36" s="26"/>
      <c r="LF36" s="23"/>
      <c r="LG36" s="26"/>
      <c r="LH36" s="26"/>
      <c r="LI36" s="26"/>
      <c r="LJ36" s="26"/>
      <c r="LK36" s="26"/>
      <c r="LL36" s="26"/>
      <c r="LM36" s="26"/>
      <c r="LN36" s="26"/>
      <c r="LO36" s="26"/>
      <c r="LP36" s="26"/>
      <c r="LQ36" s="26"/>
      <c r="LR36" s="26"/>
      <c r="LS36" s="26"/>
      <c r="LT36" s="26"/>
      <c r="LU36" s="26"/>
      <c r="LV36" s="26"/>
      <c r="LW36" s="26"/>
      <c r="LX36" s="26"/>
      <c r="LY36" s="26"/>
      <c r="LZ36" s="26"/>
      <c r="MA36" s="26"/>
      <c r="MB36" s="26"/>
      <c r="MC36" s="26"/>
      <c r="MD36" s="26"/>
      <c r="ME36" s="26"/>
      <c r="MF36" s="26"/>
      <c r="MG36" s="26"/>
      <c r="MH36" s="26"/>
      <c r="MI36" s="26"/>
      <c r="MJ36" s="26"/>
      <c r="MK36" s="26"/>
      <c r="ML36" s="26"/>
      <c r="MM36" s="26"/>
      <c r="MN36" s="26"/>
      <c r="MO36" s="26"/>
      <c r="MP36" s="26"/>
      <c r="MQ36" s="26"/>
      <c r="MR36" s="26"/>
      <c r="MS36" s="23"/>
      <c r="MT36" s="26"/>
      <c r="MU36" s="26"/>
      <c r="MV36" s="26"/>
      <c r="MW36" s="26"/>
      <c r="MX36" s="26"/>
      <c r="MY36" s="26"/>
      <c r="MZ36" s="26"/>
      <c r="NA36" s="26"/>
      <c r="NB36" s="26"/>
      <c r="NC36" s="26"/>
      <c r="ND36" s="26"/>
      <c r="NE36" s="26"/>
      <c r="NF36" s="26"/>
      <c r="NG36" s="26"/>
      <c r="NH36" s="26"/>
      <c r="NI36" s="26"/>
      <c r="NJ36" s="26"/>
      <c r="NK36" s="26"/>
      <c r="NL36" s="26"/>
      <c r="NM36" s="26"/>
      <c r="NN36" s="26"/>
      <c r="NO36" s="26"/>
      <c r="NP36" s="26"/>
      <c r="NQ36" s="26"/>
      <c r="NR36" s="26"/>
      <c r="NS36" s="26"/>
      <c r="NT36" s="26"/>
      <c r="NU36" s="26"/>
      <c r="NV36" s="26"/>
      <c r="NW36" s="26"/>
      <c r="NX36" s="26"/>
      <c r="NY36" s="26"/>
      <c r="NZ36" s="26"/>
      <c r="OA36" s="26"/>
      <c r="OB36" s="26"/>
      <c r="OC36" s="26"/>
      <c r="OD36" s="26"/>
      <c r="OE36" s="26"/>
      <c r="OF36" s="23"/>
      <c r="OG36" s="26"/>
      <c r="OH36" s="26"/>
      <c r="OI36" s="26"/>
      <c r="OJ36" s="26"/>
      <c r="OK36" s="26"/>
      <c r="OL36" s="26"/>
      <c r="OM36" s="26"/>
      <c r="ON36" s="26"/>
      <c r="OO36" s="26"/>
      <c r="OP36" s="26"/>
      <c r="OQ36" s="26"/>
      <c r="OR36" s="26"/>
      <c r="OS36" s="26"/>
      <c r="OT36" s="26"/>
      <c r="OU36" s="26"/>
      <c r="OV36" s="26"/>
      <c r="OW36" s="26"/>
      <c r="OX36" s="26"/>
      <c r="OY36" s="26"/>
      <c r="OZ36" s="26"/>
      <c r="PA36" s="26"/>
      <c r="PB36" s="26"/>
      <c r="PC36" s="26"/>
      <c r="PD36" s="26"/>
      <c r="PE36" s="26"/>
      <c r="PF36" s="26"/>
      <c r="PG36" s="26"/>
      <c r="PH36" s="26"/>
      <c r="PI36" s="26"/>
      <c r="PJ36" s="26"/>
      <c r="PK36" s="26"/>
      <c r="PL36" s="26"/>
      <c r="PM36" s="26"/>
      <c r="PN36" s="26"/>
      <c r="PO36" s="26"/>
      <c r="PP36" s="26"/>
      <c r="PQ36" s="26"/>
      <c r="PR36" s="26"/>
    </row>
    <row r="37" spans="1:434" x14ac:dyDescent="0.25">
      <c r="A37" s="24"/>
      <c r="B37" s="25" t="s">
        <v>102</v>
      </c>
      <c r="C37" s="24" t="s">
        <v>70</v>
      </c>
      <c r="D37" s="24" t="s">
        <v>67</v>
      </c>
      <c r="E37" s="24"/>
      <c r="F37" s="23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3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3"/>
      <c r="CG37" s="82"/>
      <c r="CH37" s="82"/>
      <c r="CI37" s="82"/>
      <c r="CJ37" s="82"/>
      <c r="CK37" s="82"/>
      <c r="CL37" s="82"/>
      <c r="CM37" s="82"/>
      <c r="CN37" s="82"/>
      <c r="CO37" s="82"/>
      <c r="CP37" s="82"/>
      <c r="CQ37" s="82"/>
      <c r="CR37" s="82"/>
      <c r="CS37" s="82"/>
      <c r="CT37" s="82"/>
      <c r="CU37" s="82"/>
      <c r="CV37" s="82"/>
      <c r="CW37" s="82"/>
      <c r="CX37" s="82"/>
      <c r="CY37" s="82"/>
      <c r="CZ37" s="82"/>
      <c r="DA37" s="82"/>
      <c r="DB37" s="82"/>
      <c r="DC37" s="82"/>
      <c r="DD37" s="82"/>
      <c r="DE37" s="82"/>
      <c r="DF37" s="82"/>
      <c r="DG37" s="82"/>
      <c r="DH37" s="82"/>
      <c r="DI37" s="82"/>
      <c r="DJ37" s="82"/>
      <c r="DK37" s="82"/>
      <c r="DL37" s="82"/>
      <c r="DM37" s="82"/>
      <c r="DN37" s="82"/>
      <c r="DO37" s="82"/>
      <c r="DP37" s="82"/>
      <c r="DQ37" s="82"/>
      <c r="DR37" s="82"/>
      <c r="DS37" s="23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3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  <c r="GR37" s="26"/>
      <c r="GS37" s="23"/>
      <c r="GT37" s="26"/>
      <c r="GU37" s="26"/>
      <c r="GV37" s="26"/>
      <c r="GW37" s="26"/>
      <c r="GX37" s="26"/>
      <c r="GY37" s="26"/>
      <c r="GZ37" s="26"/>
      <c r="HA37" s="26"/>
      <c r="HB37" s="26"/>
      <c r="HC37" s="26"/>
      <c r="HD37" s="26"/>
      <c r="HE37" s="26"/>
      <c r="HF37" s="26"/>
      <c r="HG37" s="26"/>
      <c r="HH37" s="26"/>
      <c r="HI37" s="26"/>
      <c r="HJ37" s="26"/>
      <c r="HK37" s="26"/>
      <c r="HL37" s="26"/>
      <c r="HM37" s="26"/>
      <c r="HN37" s="26"/>
      <c r="HO37" s="26"/>
      <c r="HP37" s="26"/>
      <c r="HQ37" s="26"/>
      <c r="HR37" s="26"/>
      <c r="HS37" s="26"/>
      <c r="HT37" s="26"/>
      <c r="HU37" s="26"/>
      <c r="HV37" s="26"/>
      <c r="HW37" s="26"/>
      <c r="HX37" s="26"/>
      <c r="HY37" s="26"/>
      <c r="HZ37" s="26"/>
      <c r="IA37" s="26"/>
      <c r="IB37" s="26"/>
      <c r="IC37" s="26"/>
      <c r="ID37" s="26"/>
      <c r="IE37" s="26"/>
      <c r="IF37" s="23"/>
      <c r="IG37" s="26"/>
      <c r="IH37" s="26"/>
      <c r="II37" s="26"/>
      <c r="IJ37" s="26"/>
      <c r="IK37" s="26"/>
      <c r="IL37" s="26"/>
      <c r="IM37" s="26"/>
      <c r="IN37" s="26"/>
      <c r="IO37" s="26"/>
      <c r="IP37" s="26"/>
      <c r="IQ37" s="26"/>
      <c r="IR37" s="26"/>
      <c r="IS37" s="26"/>
      <c r="IT37" s="26"/>
      <c r="IU37" s="26"/>
      <c r="IV37" s="26"/>
      <c r="IW37" s="26"/>
      <c r="IX37" s="26"/>
      <c r="IY37" s="26"/>
      <c r="IZ37" s="26"/>
      <c r="JA37" s="26"/>
      <c r="JB37" s="26"/>
      <c r="JC37" s="26"/>
      <c r="JD37" s="26"/>
      <c r="JE37" s="26"/>
      <c r="JF37" s="26"/>
      <c r="JG37" s="26"/>
      <c r="JH37" s="26"/>
      <c r="JI37" s="26"/>
      <c r="JJ37" s="26"/>
      <c r="JK37" s="26"/>
      <c r="JL37" s="26"/>
      <c r="JM37" s="26"/>
      <c r="JN37" s="26"/>
      <c r="JO37" s="26"/>
      <c r="JP37" s="26"/>
      <c r="JQ37" s="26"/>
      <c r="JR37" s="26"/>
      <c r="JS37" s="23"/>
      <c r="JT37" s="26"/>
      <c r="JU37" s="26"/>
      <c r="JV37" s="26"/>
      <c r="JW37" s="26"/>
      <c r="JX37" s="26"/>
      <c r="JY37" s="26"/>
      <c r="JZ37" s="26"/>
      <c r="KA37" s="26"/>
      <c r="KB37" s="26"/>
      <c r="KC37" s="26"/>
      <c r="KD37" s="26"/>
      <c r="KE37" s="26"/>
      <c r="KF37" s="26"/>
      <c r="KG37" s="26"/>
      <c r="KH37" s="26"/>
      <c r="KI37" s="26"/>
      <c r="KJ37" s="26"/>
      <c r="KK37" s="26"/>
      <c r="KL37" s="26"/>
      <c r="KM37" s="26"/>
      <c r="KN37" s="26"/>
      <c r="KO37" s="26"/>
      <c r="KP37" s="26"/>
      <c r="KQ37" s="26"/>
      <c r="KR37" s="26"/>
      <c r="KS37" s="26"/>
      <c r="KT37" s="26"/>
      <c r="KU37" s="26"/>
      <c r="KV37" s="26"/>
      <c r="KW37" s="26"/>
      <c r="KX37" s="26"/>
      <c r="KY37" s="26"/>
      <c r="KZ37" s="26"/>
      <c r="LA37" s="26"/>
      <c r="LB37" s="26"/>
      <c r="LC37" s="26"/>
      <c r="LD37" s="26"/>
      <c r="LE37" s="26"/>
      <c r="LF37" s="23"/>
      <c r="LG37" s="26"/>
      <c r="LH37" s="26"/>
      <c r="LI37" s="26"/>
      <c r="LJ37" s="26"/>
      <c r="LK37" s="26"/>
      <c r="LL37" s="26"/>
      <c r="LM37" s="26"/>
      <c r="LN37" s="26"/>
      <c r="LO37" s="26"/>
      <c r="LP37" s="26"/>
      <c r="LQ37" s="26"/>
      <c r="LR37" s="26"/>
      <c r="LS37" s="26"/>
      <c r="LT37" s="26"/>
      <c r="LU37" s="26"/>
      <c r="LV37" s="26"/>
      <c r="LW37" s="26"/>
      <c r="LX37" s="26"/>
      <c r="LY37" s="26"/>
      <c r="LZ37" s="26"/>
      <c r="MA37" s="26"/>
      <c r="MB37" s="26"/>
      <c r="MC37" s="26"/>
      <c r="MD37" s="26"/>
      <c r="ME37" s="26"/>
      <c r="MF37" s="26"/>
      <c r="MG37" s="26"/>
      <c r="MH37" s="26"/>
      <c r="MI37" s="26"/>
      <c r="MJ37" s="26"/>
      <c r="MK37" s="26"/>
      <c r="ML37" s="26"/>
      <c r="MM37" s="26"/>
      <c r="MN37" s="26"/>
      <c r="MO37" s="26"/>
      <c r="MP37" s="26"/>
      <c r="MQ37" s="26"/>
      <c r="MR37" s="26"/>
      <c r="MS37" s="23"/>
      <c r="MT37" s="26"/>
      <c r="MU37" s="26"/>
      <c r="MV37" s="26"/>
      <c r="MW37" s="26"/>
      <c r="MX37" s="26"/>
      <c r="MY37" s="26"/>
      <c r="MZ37" s="26"/>
      <c r="NA37" s="26"/>
      <c r="NB37" s="26"/>
      <c r="NC37" s="26"/>
      <c r="ND37" s="26"/>
      <c r="NE37" s="26"/>
      <c r="NF37" s="26"/>
      <c r="NG37" s="26"/>
      <c r="NH37" s="26"/>
      <c r="NI37" s="26"/>
      <c r="NJ37" s="26"/>
      <c r="NK37" s="26"/>
      <c r="NL37" s="26"/>
      <c r="NM37" s="26"/>
      <c r="NN37" s="26"/>
      <c r="NO37" s="26"/>
      <c r="NP37" s="26"/>
      <c r="NQ37" s="26"/>
      <c r="NR37" s="26"/>
      <c r="NS37" s="26"/>
      <c r="NT37" s="26"/>
      <c r="NU37" s="26"/>
      <c r="NV37" s="26"/>
      <c r="NW37" s="26"/>
      <c r="NX37" s="26"/>
      <c r="NY37" s="26"/>
      <c r="NZ37" s="26"/>
      <c r="OA37" s="26"/>
      <c r="OB37" s="26"/>
      <c r="OC37" s="26"/>
      <c r="OD37" s="26"/>
      <c r="OE37" s="26"/>
      <c r="OF37" s="23"/>
      <c r="OG37" s="26"/>
      <c r="OH37" s="26"/>
      <c r="OI37" s="26"/>
      <c r="OJ37" s="26"/>
      <c r="OK37" s="26"/>
      <c r="OL37" s="26"/>
      <c r="OM37" s="26"/>
      <c r="ON37" s="26"/>
      <c r="OO37" s="26"/>
      <c r="OP37" s="26"/>
      <c r="OQ37" s="26"/>
      <c r="OR37" s="26"/>
      <c r="OS37" s="26"/>
      <c r="OT37" s="26"/>
      <c r="OU37" s="26"/>
      <c r="OV37" s="26"/>
      <c r="OW37" s="26"/>
      <c r="OX37" s="26"/>
      <c r="OY37" s="26"/>
      <c r="OZ37" s="26"/>
      <c r="PA37" s="26"/>
      <c r="PB37" s="26"/>
      <c r="PC37" s="26"/>
      <c r="PD37" s="26"/>
      <c r="PE37" s="26"/>
      <c r="PF37" s="26"/>
      <c r="PG37" s="26"/>
      <c r="PH37" s="26"/>
      <c r="PI37" s="26"/>
      <c r="PJ37" s="26"/>
      <c r="PK37" s="26"/>
      <c r="PL37" s="26"/>
      <c r="PM37" s="26"/>
      <c r="PN37" s="26"/>
      <c r="PO37" s="26"/>
      <c r="PP37" s="26"/>
      <c r="PQ37" s="26"/>
      <c r="PR37" s="26"/>
    </row>
    <row r="38" spans="1:434" x14ac:dyDescent="0.25">
      <c r="A38" s="24"/>
      <c r="B38" s="25" t="s">
        <v>103</v>
      </c>
      <c r="C38" s="24" t="s">
        <v>70</v>
      </c>
      <c r="D38" s="24" t="s">
        <v>104</v>
      </c>
      <c r="E38" s="24"/>
      <c r="F38" s="23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3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3"/>
      <c r="CG38" s="82"/>
      <c r="CH38" s="82"/>
      <c r="CI38" s="82"/>
      <c r="CJ38" s="82"/>
      <c r="CK38" s="82"/>
      <c r="CL38" s="82"/>
      <c r="CM38" s="82"/>
      <c r="CN38" s="82"/>
      <c r="CO38" s="82"/>
      <c r="CP38" s="82"/>
      <c r="CQ38" s="82"/>
      <c r="CR38" s="82"/>
      <c r="CS38" s="82"/>
      <c r="CT38" s="82">
        <v>20</v>
      </c>
      <c r="CU38" s="82"/>
      <c r="CV38" s="82">
        <v>70</v>
      </c>
      <c r="CW38" s="82"/>
      <c r="CX38" s="82"/>
      <c r="CY38" s="82"/>
      <c r="CZ38" s="82">
        <v>15</v>
      </c>
      <c r="DA38" s="82"/>
      <c r="DB38" s="82"/>
      <c r="DC38" s="82">
        <v>20</v>
      </c>
      <c r="DD38" s="82"/>
      <c r="DE38" s="82">
        <v>40</v>
      </c>
      <c r="DF38" s="82">
        <v>20</v>
      </c>
      <c r="DG38" s="82">
        <v>30</v>
      </c>
      <c r="DH38" s="82">
        <v>30</v>
      </c>
      <c r="DI38" s="82">
        <v>15</v>
      </c>
      <c r="DJ38" s="82"/>
      <c r="DK38" s="82"/>
      <c r="DL38" s="82"/>
      <c r="DM38" s="82"/>
      <c r="DN38" s="82"/>
      <c r="DO38" s="82"/>
      <c r="DP38" s="82"/>
      <c r="DQ38" s="82"/>
      <c r="DR38" s="82"/>
      <c r="DS38" s="23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3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  <c r="GR38" s="26"/>
      <c r="GS38" s="23"/>
      <c r="GT38" s="26"/>
      <c r="GU38" s="26"/>
      <c r="GV38" s="26"/>
      <c r="GW38" s="26"/>
      <c r="GX38" s="26"/>
      <c r="GY38" s="26"/>
      <c r="GZ38" s="26"/>
      <c r="HA38" s="26"/>
      <c r="HB38" s="26"/>
      <c r="HC38" s="26"/>
      <c r="HD38" s="26"/>
      <c r="HE38" s="26"/>
      <c r="HF38" s="26"/>
      <c r="HG38" s="26"/>
      <c r="HH38" s="26"/>
      <c r="HI38" s="26"/>
      <c r="HJ38" s="26"/>
      <c r="HK38" s="26"/>
      <c r="HL38" s="26"/>
      <c r="HM38" s="26"/>
      <c r="HN38" s="26"/>
      <c r="HO38" s="26"/>
      <c r="HP38" s="26"/>
      <c r="HQ38" s="26"/>
      <c r="HR38" s="26"/>
      <c r="HS38" s="26"/>
      <c r="HT38" s="26"/>
      <c r="HU38" s="26"/>
      <c r="HV38" s="26"/>
      <c r="HW38" s="26"/>
      <c r="HX38" s="26"/>
      <c r="HY38" s="26"/>
      <c r="HZ38" s="26"/>
      <c r="IA38" s="26"/>
      <c r="IB38" s="26"/>
      <c r="IC38" s="26"/>
      <c r="ID38" s="26"/>
      <c r="IE38" s="26"/>
      <c r="IF38" s="23"/>
      <c r="IG38" s="26"/>
      <c r="IH38" s="26"/>
      <c r="II38" s="26"/>
      <c r="IJ38" s="26"/>
      <c r="IK38" s="26"/>
      <c r="IL38" s="26"/>
      <c r="IM38" s="26"/>
      <c r="IN38" s="26"/>
      <c r="IO38" s="26"/>
      <c r="IP38" s="26"/>
      <c r="IQ38" s="26"/>
      <c r="IR38" s="26"/>
      <c r="IS38" s="26"/>
      <c r="IT38" s="26"/>
      <c r="IU38" s="26"/>
      <c r="IV38" s="26"/>
      <c r="IW38" s="26"/>
      <c r="IX38" s="26"/>
      <c r="IY38" s="26"/>
      <c r="IZ38" s="26"/>
      <c r="JA38" s="26"/>
      <c r="JB38" s="26"/>
      <c r="JC38" s="26"/>
      <c r="JD38" s="26"/>
      <c r="JE38" s="26"/>
      <c r="JF38" s="26"/>
      <c r="JG38" s="26"/>
      <c r="JH38" s="26"/>
      <c r="JI38" s="26"/>
      <c r="JJ38" s="26"/>
      <c r="JK38" s="26"/>
      <c r="JL38" s="26"/>
      <c r="JM38" s="26"/>
      <c r="JN38" s="26"/>
      <c r="JO38" s="26"/>
      <c r="JP38" s="26"/>
      <c r="JQ38" s="26"/>
      <c r="JR38" s="26"/>
      <c r="JS38" s="23"/>
      <c r="JT38" s="26"/>
      <c r="JU38" s="26"/>
      <c r="JV38" s="26"/>
      <c r="JW38" s="26"/>
      <c r="JX38" s="26"/>
      <c r="JY38" s="26"/>
      <c r="JZ38" s="26"/>
      <c r="KA38" s="26"/>
      <c r="KB38" s="26"/>
      <c r="KC38" s="26"/>
      <c r="KD38" s="26"/>
      <c r="KE38" s="26"/>
      <c r="KF38" s="26"/>
      <c r="KG38" s="26"/>
      <c r="KH38" s="26"/>
      <c r="KI38" s="26"/>
      <c r="KJ38" s="26"/>
      <c r="KK38" s="26"/>
      <c r="KL38" s="26"/>
      <c r="KM38" s="26"/>
      <c r="KN38" s="26"/>
      <c r="KO38" s="26"/>
      <c r="KP38" s="26"/>
      <c r="KQ38" s="26"/>
      <c r="KR38" s="26"/>
      <c r="KS38" s="26"/>
      <c r="KT38" s="26"/>
      <c r="KU38" s="26"/>
      <c r="KV38" s="26"/>
      <c r="KW38" s="26"/>
      <c r="KX38" s="26"/>
      <c r="KY38" s="26"/>
      <c r="KZ38" s="26"/>
      <c r="LA38" s="26"/>
      <c r="LB38" s="26"/>
      <c r="LC38" s="26"/>
      <c r="LD38" s="26"/>
      <c r="LE38" s="26"/>
      <c r="LF38" s="23"/>
      <c r="LG38" s="26"/>
      <c r="LH38" s="26"/>
      <c r="LI38" s="26"/>
      <c r="LJ38" s="26"/>
      <c r="LK38" s="26"/>
      <c r="LL38" s="26"/>
      <c r="LM38" s="26"/>
      <c r="LN38" s="26"/>
      <c r="LO38" s="26"/>
      <c r="LP38" s="26"/>
      <c r="LQ38" s="26"/>
      <c r="LR38" s="26"/>
      <c r="LS38" s="26"/>
      <c r="LT38" s="26"/>
      <c r="LU38" s="26"/>
      <c r="LV38" s="26"/>
      <c r="LW38" s="26"/>
      <c r="LX38" s="26"/>
      <c r="LY38" s="26"/>
      <c r="LZ38" s="26"/>
      <c r="MA38" s="26"/>
      <c r="MB38" s="26"/>
      <c r="MC38" s="26"/>
      <c r="MD38" s="26"/>
      <c r="ME38" s="26"/>
      <c r="MF38" s="26"/>
      <c r="MG38" s="26"/>
      <c r="MH38" s="26"/>
      <c r="MI38" s="26"/>
      <c r="MJ38" s="26"/>
      <c r="MK38" s="26"/>
      <c r="ML38" s="26"/>
      <c r="MM38" s="26"/>
      <c r="MN38" s="26"/>
      <c r="MO38" s="26"/>
      <c r="MP38" s="26"/>
      <c r="MQ38" s="26"/>
      <c r="MR38" s="26"/>
      <c r="MS38" s="23"/>
      <c r="MT38" s="26"/>
      <c r="MU38" s="26"/>
      <c r="MV38" s="26"/>
      <c r="MW38" s="26"/>
      <c r="MX38" s="26"/>
      <c r="MY38" s="26"/>
      <c r="MZ38" s="26"/>
      <c r="NA38" s="26"/>
      <c r="NB38" s="26"/>
      <c r="NC38" s="26"/>
      <c r="ND38" s="26"/>
      <c r="NE38" s="26"/>
      <c r="NF38" s="26"/>
      <c r="NG38" s="26"/>
      <c r="NH38" s="26"/>
      <c r="NI38" s="26"/>
      <c r="NJ38" s="26"/>
      <c r="NK38" s="26"/>
      <c r="NL38" s="26"/>
      <c r="NM38" s="26"/>
      <c r="NN38" s="26"/>
      <c r="NO38" s="26"/>
      <c r="NP38" s="26"/>
      <c r="NQ38" s="26"/>
      <c r="NR38" s="26"/>
      <c r="NS38" s="26"/>
      <c r="NT38" s="26"/>
      <c r="NU38" s="26"/>
      <c r="NV38" s="26"/>
      <c r="NW38" s="26"/>
      <c r="NX38" s="26"/>
      <c r="NY38" s="26"/>
      <c r="NZ38" s="26"/>
      <c r="OA38" s="26"/>
      <c r="OB38" s="26"/>
      <c r="OC38" s="26"/>
      <c r="OD38" s="26"/>
      <c r="OE38" s="26"/>
      <c r="OF38" s="23"/>
      <c r="OG38" s="26"/>
      <c r="OH38" s="26"/>
      <c r="OI38" s="26"/>
      <c r="OJ38" s="26"/>
      <c r="OK38" s="26"/>
      <c r="OL38" s="26"/>
      <c r="OM38" s="26"/>
      <c r="ON38" s="26"/>
      <c r="OO38" s="26"/>
      <c r="OP38" s="26"/>
      <c r="OQ38" s="26"/>
      <c r="OR38" s="26"/>
      <c r="OS38" s="26"/>
      <c r="OT38" s="26"/>
      <c r="OU38" s="26"/>
      <c r="OV38" s="26"/>
      <c r="OW38" s="26"/>
      <c r="OX38" s="26"/>
      <c r="OY38" s="26"/>
      <c r="OZ38" s="26"/>
      <c r="PA38" s="26"/>
      <c r="PB38" s="26"/>
      <c r="PC38" s="26"/>
      <c r="PD38" s="26"/>
      <c r="PE38" s="26"/>
      <c r="PF38" s="26"/>
      <c r="PG38" s="26"/>
      <c r="PH38" s="26"/>
      <c r="PI38" s="26"/>
      <c r="PJ38" s="26"/>
      <c r="PK38" s="26"/>
      <c r="PL38" s="26"/>
      <c r="PM38" s="26"/>
      <c r="PN38" s="26"/>
      <c r="PO38" s="26"/>
      <c r="PP38" s="26"/>
      <c r="PQ38" s="26"/>
      <c r="PR38" s="26"/>
    </row>
    <row r="39" spans="1:434" x14ac:dyDescent="0.25">
      <c r="A39" s="24"/>
      <c r="B39" s="25" t="s">
        <v>105</v>
      </c>
      <c r="C39" s="24" t="s">
        <v>70</v>
      </c>
      <c r="D39" s="24" t="s">
        <v>76</v>
      </c>
      <c r="E39" s="24"/>
      <c r="F39" s="23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3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3"/>
      <c r="CG39" s="82"/>
      <c r="CH39" s="82"/>
      <c r="CI39" s="82"/>
      <c r="CJ39" s="82"/>
      <c r="CK39" s="82"/>
      <c r="CL39" s="82"/>
      <c r="CM39" s="82"/>
      <c r="CN39" s="82"/>
      <c r="CO39" s="82"/>
      <c r="CP39" s="82"/>
      <c r="CQ39" s="82"/>
      <c r="CR39" s="82"/>
      <c r="CS39" s="82"/>
      <c r="CT39" s="82"/>
      <c r="CU39" s="82"/>
      <c r="CV39" s="82">
        <v>32</v>
      </c>
      <c r="CW39" s="82"/>
      <c r="CX39" s="82"/>
      <c r="CY39" s="82"/>
      <c r="CZ39" s="82">
        <v>10</v>
      </c>
      <c r="DA39" s="82"/>
      <c r="DB39" s="82"/>
      <c r="DC39" s="82"/>
      <c r="DD39" s="82"/>
      <c r="DE39" s="82">
        <v>30</v>
      </c>
      <c r="DF39" s="82"/>
      <c r="DG39" s="82"/>
      <c r="DH39" s="82">
        <v>20</v>
      </c>
      <c r="DI39" s="82">
        <v>10</v>
      </c>
      <c r="DJ39" s="82"/>
      <c r="DK39" s="82"/>
      <c r="DL39" s="82"/>
      <c r="DM39" s="82"/>
      <c r="DN39" s="82"/>
      <c r="DO39" s="82"/>
      <c r="DP39" s="82"/>
      <c r="DQ39" s="82">
        <v>5</v>
      </c>
      <c r="DR39" s="82"/>
      <c r="DS39" s="23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3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  <c r="GR39" s="26"/>
      <c r="GS39" s="23"/>
      <c r="GT39" s="26"/>
      <c r="GU39" s="26"/>
      <c r="GV39" s="26"/>
      <c r="GW39" s="26"/>
      <c r="GX39" s="26"/>
      <c r="GY39" s="26"/>
      <c r="GZ39" s="26"/>
      <c r="HA39" s="26"/>
      <c r="HB39" s="26"/>
      <c r="HC39" s="26"/>
      <c r="HD39" s="26"/>
      <c r="HE39" s="26"/>
      <c r="HF39" s="26"/>
      <c r="HG39" s="26"/>
      <c r="HH39" s="26"/>
      <c r="HI39" s="26"/>
      <c r="HJ39" s="26"/>
      <c r="HK39" s="26"/>
      <c r="HL39" s="26"/>
      <c r="HM39" s="26"/>
      <c r="HN39" s="26"/>
      <c r="HO39" s="26"/>
      <c r="HP39" s="26"/>
      <c r="HQ39" s="26"/>
      <c r="HR39" s="26"/>
      <c r="HS39" s="26"/>
      <c r="HT39" s="26"/>
      <c r="HU39" s="26"/>
      <c r="HV39" s="26"/>
      <c r="HW39" s="26"/>
      <c r="HX39" s="26"/>
      <c r="HY39" s="26"/>
      <c r="HZ39" s="26"/>
      <c r="IA39" s="26"/>
      <c r="IB39" s="26"/>
      <c r="IC39" s="26"/>
      <c r="ID39" s="26"/>
      <c r="IE39" s="26"/>
      <c r="IF39" s="23"/>
      <c r="IG39" s="26"/>
      <c r="IH39" s="26"/>
      <c r="II39" s="26"/>
      <c r="IJ39" s="26"/>
      <c r="IK39" s="26"/>
      <c r="IL39" s="26"/>
      <c r="IM39" s="26"/>
      <c r="IN39" s="26"/>
      <c r="IO39" s="26"/>
      <c r="IP39" s="26"/>
      <c r="IQ39" s="26"/>
      <c r="IR39" s="26"/>
      <c r="IS39" s="26"/>
      <c r="IT39" s="26"/>
      <c r="IU39" s="26"/>
      <c r="IV39" s="26"/>
      <c r="IW39" s="26"/>
      <c r="IX39" s="26"/>
      <c r="IY39" s="26"/>
      <c r="IZ39" s="26"/>
      <c r="JA39" s="26"/>
      <c r="JB39" s="26"/>
      <c r="JC39" s="26"/>
      <c r="JD39" s="26"/>
      <c r="JE39" s="26"/>
      <c r="JF39" s="26"/>
      <c r="JG39" s="26"/>
      <c r="JH39" s="26"/>
      <c r="JI39" s="26"/>
      <c r="JJ39" s="26"/>
      <c r="JK39" s="26"/>
      <c r="JL39" s="26"/>
      <c r="JM39" s="26"/>
      <c r="JN39" s="26"/>
      <c r="JO39" s="26"/>
      <c r="JP39" s="26"/>
      <c r="JQ39" s="26"/>
      <c r="JR39" s="26"/>
      <c r="JS39" s="23"/>
      <c r="JT39" s="26"/>
      <c r="JU39" s="26"/>
      <c r="JV39" s="26"/>
      <c r="JW39" s="26"/>
      <c r="JX39" s="26"/>
      <c r="JY39" s="26"/>
      <c r="JZ39" s="26"/>
      <c r="KA39" s="26"/>
      <c r="KB39" s="26"/>
      <c r="KC39" s="26"/>
      <c r="KD39" s="26"/>
      <c r="KE39" s="26"/>
      <c r="KF39" s="26"/>
      <c r="KG39" s="26"/>
      <c r="KH39" s="26"/>
      <c r="KI39" s="26"/>
      <c r="KJ39" s="26"/>
      <c r="KK39" s="26"/>
      <c r="KL39" s="26"/>
      <c r="KM39" s="26"/>
      <c r="KN39" s="26"/>
      <c r="KO39" s="26"/>
      <c r="KP39" s="26"/>
      <c r="KQ39" s="26"/>
      <c r="KR39" s="26"/>
      <c r="KS39" s="26"/>
      <c r="KT39" s="26"/>
      <c r="KU39" s="26"/>
      <c r="KV39" s="26"/>
      <c r="KW39" s="26"/>
      <c r="KX39" s="26"/>
      <c r="KY39" s="26"/>
      <c r="KZ39" s="26"/>
      <c r="LA39" s="26"/>
      <c r="LB39" s="26"/>
      <c r="LC39" s="26"/>
      <c r="LD39" s="26"/>
      <c r="LE39" s="26"/>
      <c r="LF39" s="23"/>
      <c r="LG39" s="26"/>
      <c r="LH39" s="26"/>
      <c r="LI39" s="26"/>
      <c r="LJ39" s="26"/>
      <c r="LK39" s="26"/>
      <c r="LL39" s="26"/>
      <c r="LM39" s="26"/>
      <c r="LN39" s="26"/>
      <c r="LO39" s="26"/>
      <c r="LP39" s="26"/>
      <c r="LQ39" s="26"/>
      <c r="LR39" s="26"/>
      <c r="LS39" s="26"/>
      <c r="LT39" s="26"/>
      <c r="LU39" s="26"/>
      <c r="LV39" s="26"/>
      <c r="LW39" s="26"/>
      <c r="LX39" s="26"/>
      <c r="LY39" s="26"/>
      <c r="LZ39" s="26"/>
      <c r="MA39" s="26"/>
      <c r="MB39" s="26"/>
      <c r="MC39" s="26"/>
      <c r="MD39" s="26"/>
      <c r="ME39" s="26"/>
      <c r="MF39" s="26"/>
      <c r="MG39" s="26"/>
      <c r="MH39" s="26"/>
      <c r="MI39" s="26"/>
      <c r="MJ39" s="26"/>
      <c r="MK39" s="26"/>
      <c r="ML39" s="26"/>
      <c r="MM39" s="26"/>
      <c r="MN39" s="26"/>
      <c r="MO39" s="26"/>
      <c r="MP39" s="26"/>
      <c r="MQ39" s="26"/>
      <c r="MR39" s="26"/>
      <c r="MS39" s="23"/>
      <c r="MT39" s="26"/>
      <c r="MU39" s="26"/>
      <c r="MV39" s="26"/>
      <c r="MW39" s="26"/>
      <c r="MX39" s="26"/>
      <c r="MY39" s="26"/>
      <c r="MZ39" s="26"/>
      <c r="NA39" s="26"/>
      <c r="NB39" s="26"/>
      <c r="NC39" s="26"/>
      <c r="ND39" s="26"/>
      <c r="NE39" s="26"/>
      <c r="NF39" s="26"/>
      <c r="NG39" s="26"/>
      <c r="NH39" s="26"/>
      <c r="NI39" s="26"/>
      <c r="NJ39" s="26"/>
      <c r="NK39" s="26"/>
      <c r="NL39" s="26"/>
      <c r="NM39" s="26"/>
      <c r="NN39" s="26"/>
      <c r="NO39" s="26"/>
      <c r="NP39" s="26"/>
      <c r="NQ39" s="26"/>
      <c r="NR39" s="26"/>
      <c r="NS39" s="26"/>
      <c r="NT39" s="26"/>
      <c r="NU39" s="26"/>
      <c r="NV39" s="26"/>
      <c r="NW39" s="26"/>
      <c r="NX39" s="26"/>
      <c r="NY39" s="26"/>
      <c r="NZ39" s="26"/>
      <c r="OA39" s="26"/>
      <c r="OB39" s="26"/>
      <c r="OC39" s="26"/>
      <c r="OD39" s="26"/>
      <c r="OE39" s="26"/>
      <c r="OF39" s="23"/>
      <c r="OG39" s="26"/>
      <c r="OH39" s="26"/>
      <c r="OI39" s="26"/>
      <c r="OJ39" s="26"/>
      <c r="OK39" s="26"/>
      <c r="OL39" s="26"/>
      <c r="OM39" s="26"/>
      <c r="ON39" s="26"/>
      <c r="OO39" s="26"/>
      <c r="OP39" s="26"/>
      <c r="OQ39" s="26"/>
      <c r="OR39" s="26"/>
      <c r="OS39" s="26"/>
      <c r="OT39" s="26"/>
      <c r="OU39" s="26"/>
      <c r="OV39" s="26"/>
      <c r="OW39" s="26"/>
      <c r="OX39" s="26"/>
      <c r="OY39" s="26"/>
      <c r="OZ39" s="26"/>
      <c r="PA39" s="26"/>
      <c r="PB39" s="26"/>
      <c r="PC39" s="26"/>
      <c r="PD39" s="26"/>
      <c r="PE39" s="26"/>
      <c r="PF39" s="26"/>
      <c r="PG39" s="26"/>
      <c r="PH39" s="26"/>
      <c r="PI39" s="26"/>
      <c r="PJ39" s="26"/>
      <c r="PK39" s="26"/>
      <c r="PL39" s="26"/>
      <c r="PM39" s="26"/>
      <c r="PN39" s="26"/>
      <c r="PO39" s="26"/>
      <c r="PP39" s="26"/>
      <c r="PQ39" s="26"/>
      <c r="PR39" s="26"/>
    </row>
    <row r="40" spans="1:434" x14ac:dyDescent="0.25">
      <c r="A40" s="24"/>
      <c r="B40" s="25" t="s">
        <v>106</v>
      </c>
      <c r="C40" s="24" t="s">
        <v>70</v>
      </c>
      <c r="D40" s="24" t="s">
        <v>76</v>
      </c>
      <c r="E40" s="24"/>
      <c r="F40" s="23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3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3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>
        <v>5</v>
      </c>
      <c r="CU40" s="82"/>
      <c r="CV40" s="82">
        <v>45</v>
      </c>
      <c r="CW40" s="82"/>
      <c r="CX40" s="82"/>
      <c r="CY40" s="82"/>
      <c r="CZ40" s="82">
        <v>10</v>
      </c>
      <c r="DA40" s="82"/>
      <c r="DB40" s="82"/>
      <c r="DC40" s="82"/>
      <c r="DD40" s="82"/>
      <c r="DE40" s="82">
        <v>30</v>
      </c>
      <c r="DF40" s="82"/>
      <c r="DG40" s="82"/>
      <c r="DH40" s="82">
        <v>20</v>
      </c>
      <c r="DI40" s="82">
        <v>10</v>
      </c>
      <c r="DJ40" s="82"/>
      <c r="DK40" s="82"/>
      <c r="DL40" s="82"/>
      <c r="DM40" s="82"/>
      <c r="DN40" s="82"/>
      <c r="DO40" s="82"/>
      <c r="DP40" s="82"/>
      <c r="DQ40" s="82">
        <v>3</v>
      </c>
      <c r="DR40" s="82"/>
      <c r="DS40" s="23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3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3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3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3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3"/>
      <c r="LG40" s="26"/>
      <c r="LH40" s="26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3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  <c r="NQ40" s="26"/>
      <c r="NR40" s="26"/>
      <c r="NS40" s="26"/>
      <c r="NT40" s="26"/>
      <c r="NU40" s="26"/>
      <c r="NV40" s="26"/>
      <c r="NW40" s="26"/>
      <c r="NX40" s="26"/>
      <c r="NY40" s="26"/>
      <c r="NZ40" s="26"/>
      <c r="OA40" s="26"/>
      <c r="OB40" s="26"/>
      <c r="OC40" s="26"/>
      <c r="OD40" s="26"/>
      <c r="OE40" s="26"/>
      <c r="OF40" s="23"/>
      <c r="OG40" s="26"/>
      <c r="OH40" s="26"/>
      <c r="OI40" s="26"/>
      <c r="OJ40" s="26"/>
      <c r="OK40" s="26"/>
      <c r="OL40" s="26"/>
      <c r="OM40" s="26"/>
      <c r="ON40" s="26"/>
      <c r="OO40" s="26"/>
      <c r="OP40" s="26"/>
      <c r="OQ40" s="26"/>
      <c r="OR40" s="26"/>
      <c r="OS40" s="26"/>
      <c r="OT40" s="26"/>
      <c r="OU40" s="26"/>
      <c r="OV40" s="26"/>
      <c r="OW40" s="26"/>
      <c r="OX40" s="26"/>
      <c r="OY40" s="26"/>
      <c r="OZ40" s="26"/>
      <c r="PA40" s="26"/>
      <c r="PB40" s="26"/>
      <c r="PC40" s="26"/>
      <c r="PD40" s="26"/>
      <c r="PE40" s="26"/>
      <c r="PF40" s="26"/>
      <c r="PG40" s="26"/>
      <c r="PH40" s="26"/>
      <c r="PI40" s="26"/>
      <c r="PJ40" s="26"/>
      <c r="PK40" s="26"/>
      <c r="PL40" s="26"/>
      <c r="PM40" s="26"/>
      <c r="PN40" s="26"/>
      <c r="PO40" s="26"/>
      <c r="PP40" s="26"/>
      <c r="PQ40" s="26"/>
      <c r="PR40" s="26"/>
    </row>
    <row r="41" spans="1:434" x14ac:dyDescent="0.25">
      <c r="A41" s="24"/>
      <c r="B41" s="25" t="s">
        <v>107</v>
      </c>
      <c r="C41" s="24" t="s">
        <v>70</v>
      </c>
      <c r="D41" s="24" t="s">
        <v>76</v>
      </c>
      <c r="E41" s="24"/>
      <c r="F41" s="23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3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3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>
        <v>15</v>
      </c>
      <c r="CV41" s="82">
        <v>30</v>
      </c>
      <c r="CW41" s="82"/>
      <c r="CX41" s="82">
        <v>4</v>
      </c>
      <c r="CY41" s="82"/>
      <c r="CZ41" s="82">
        <v>10</v>
      </c>
      <c r="DA41" s="82"/>
      <c r="DB41" s="82"/>
      <c r="DC41" s="82"/>
      <c r="DD41" s="82">
        <v>20</v>
      </c>
      <c r="DE41" s="82"/>
      <c r="DF41" s="82"/>
      <c r="DG41" s="82"/>
      <c r="DH41" s="82">
        <v>10</v>
      </c>
      <c r="DI41" s="82">
        <v>10</v>
      </c>
      <c r="DJ41" s="82"/>
      <c r="DK41" s="82"/>
      <c r="DL41" s="82"/>
      <c r="DM41" s="82"/>
      <c r="DN41" s="82"/>
      <c r="DO41" s="82"/>
      <c r="DP41" s="82"/>
      <c r="DQ41" s="82">
        <v>20</v>
      </c>
      <c r="DR41" s="82"/>
      <c r="DS41" s="23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3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  <c r="GR41" s="26"/>
      <c r="GS41" s="23"/>
      <c r="GT41" s="26"/>
      <c r="GU41" s="26"/>
      <c r="GV41" s="26"/>
      <c r="GW41" s="26"/>
      <c r="GX41" s="26"/>
      <c r="GY41" s="26"/>
      <c r="GZ41" s="26"/>
      <c r="HA41" s="26"/>
      <c r="HB41" s="26"/>
      <c r="HC41" s="26"/>
      <c r="HD41" s="26"/>
      <c r="HE41" s="26"/>
      <c r="HF41" s="26"/>
      <c r="HG41" s="26"/>
      <c r="HH41" s="26"/>
      <c r="HI41" s="26"/>
      <c r="HJ41" s="26"/>
      <c r="HK41" s="26"/>
      <c r="HL41" s="26"/>
      <c r="HM41" s="26"/>
      <c r="HN41" s="26"/>
      <c r="HO41" s="26"/>
      <c r="HP41" s="26"/>
      <c r="HQ41" s="26"/>
      <c r="HR41" s="26"/>
      <c r="HS41" s="26"/>
      <c r="HT41" s="26"/>
      <c r="HU41" s="26"/>
      <c r="HV41" s="26"/>
      <c r="HW41" s="26"/>
      <c r="HX41" s="26"/>
      <c r="HY41" s="26"/>
      <c r="HZ41" s="26"/>
      <c r="IA41" s="26"/>
      <c r="IB41" s="26"/>
      <c r="IC41" s="26"/>
      <c r="ID41" s="26"/>
      <c r="IE41" s="26"/>
      <c r="IF41" s="23"/>
      <c r="IG41" s="26"/>
      <c r="IH41" s="26"/>
      <c r="II41" s="26"/>
      <c r="IJ41" s="26"/>
      <c r="IK41" s="26"/>
      <c r="IL41" s="26"/>
      <c r="IM41" s="26"/>
      <c r="IN41" s="26"/>
      <c r="IO41" s="26"/>
      <c r="IP41" s="26"/>
      <c r="IQ41" s="26"/>
      <c r="IR41" s="26"/>
      <c r="IS41" s="26"/>
      <c r="IT41" s="26"/>
      <c r="IU41" s="26"/>
      <c r="IV41" s="26"/>
      <c r="IW41" s="26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  <c r="JR41" s="26"/>
      <c r="JS41" s="23"/>
      <c r="JT41" s="26"/>
      <c r="JU41" s="26"/>
      <c r="JV41" s="26"/>
      <c r="JW41" s="26"/>
      <c r="JX41" s="26"/>
      <c r="JY41" s="26"/>
      <c r="JZ41" s="26"/>
      <c r="KA41" s="26"/>
      <c r="KB41" s="26"/>
      <c r="KC41" s="26"/>
      <c r="KD41" s="26"/>
      <c r="KE41" s="26"/>
      <c r="KF41" s="26"/>
      <c r="KG41" s="26"/>
      <c r="KH41" s="26"/>
      <c r="KI41" s="26"/>
      <c r="KJ41" s="26"/>
      <c r="KK41" s="26"/>
      <c r="KL41" s="26"/>
      <c r="KM41" s="26"/>
      <c r="KN41" s="26"/>
      <c r="KO41" s="26"/>
      <c r="KP41" s="26"/>
      <c r="KQ41" s="26"/>
      <c r="KR41" s="26"/>
      <c r="KS41" s="26"/>
      <c r="KT41" s="26"/>
      <c r="KU41" s="26"/>
      <c r="KV41" s="26"/>
      <c r="KW41" s="26"/>
      <c r="KX41" s="26"/>
      <c r="KY41" s="26"/>
      <c r="KZ41" s="26"/>
      <c r="LA41" s="26"/>
      <c r="LB41" s="26"/>
      <c r="LC41" s="26"/>
      <c r="LD41" s="26"/>
      <c r="LE41" s="26"/>
      <c r="LF41" s="23"/>
      <c r="LG41" s="26"/>
      <c r="LH41" s="26"/>
      <c r="LI41" s="26"/>
      <c r="LJ41" s="26"/>
      <c r="LK41" s="26"/>
      <c r="LL41" s="26"/>
      <c r="LM41" s="26"/>
      <c r="LN41" s="26"/>
      <c r="LO41" s="26"/>
      <c r="LP41" s="26"/>
      <c r="LQ41" s="26"/>
      <c r="LR41" s="26"/>
      <c r="LS41" s="26"/>
      <c r="LT41" s="26"/>
      <c r="LU41" s="26"/>
      <c r="LV41" s="26"/>
      <c r="LW41" s="26"/>
      <c r="LX41" s="26"/>
      <c r="LY41" s="26"/>
      <c r="LZ41" s="26"/>
      <c r="MA41" s="26"/>
      <c r="MB41" s="26"/>
      <c r="MC41" s="26"/>
      <c r="MD41" s="26"/>
      <c r="ME41" s="26"/>
      <c r="MF41" s="26"/>
      <c r="MG41" s="26"/>
      <c r="MH41" s="26"/>
      <c r="MI41" s="26"/>
      <c r="MJ41" s="26"/>
      <c r="MK41" s="26"/>
      <c r="ML41" s="26"/>
      <c r="MM41" s="26"/>
      <c r="MN41" s="26"/>
      <c r="MO41" s="26"/>
      <c r="MP41" s="26"/>
      <c r="MQ41" s="26"/>
      <c r="MR41" s="26"/>
      <c r="MS41" s="23"/>
      <c r="MT41" s="26"/>
      <c r="MU41" s="26"/>
      <c r="MV41" s="26"/>
      <c r="MW41" s="26"/>
      <c r="MX41" s="26"/>
      <c r="MY41" s="26"/>
      <c r="MZ41" s="26"/>
      <c r="NA41" s="26"/>
      <c r="NB41" s="26"/>
      <c r="NC41" s="26"/>
      <c r="ND41" s="26"/>
      <c r="NE41" s="26"/>
      <c r="NF41" s="26"/>
      <c r="NG41" s="26"/>
      <c r="NH41" s="26"/>
      <c r="NI41" s="26"/>
      <c r="NJ41" s="26"/>
      <c r="NK41" s="26"/>
      <c r="NL41" s="26"/>
      <c r="NM41" s="26"/>
      <c r="NN41" s="26"/>
      <c r="NO41" s="26"/>
      <c r="NP41" s="26"/>
      <c r="NQ41" s="26"/>
      <c r="NR41" s="26"/>
      <c r="NS41" s="26"/>
      <c r="NT41" s="26"/>
      <c r="NU41" s="26"/>
      <c r="NV41" s="26"/>
      <c r="NW41" s="26"/>
      <c r="NX41" s="26"/>
      <c r="NY41" s="26"/>
      <c r="NZ41" s="26"/>
      <c r="OA41" s="26"/>
      <c r="OB41" s="26"/>
      <c r="OC41" s="26"/>
      <c r="OD41" s="26"/>
      <c r="OE41" s="26"/>
      <c r="OF41" s="23"/>
      <c r="OG41" s="26"/>
      <c r="OH41" s="26"/>
      <c r="OI41" s="26"/>
      <c r="OJ41" s="26"/>
      <c r="OK41" s="26"/>
      <c r="OL41" s="26"/>
      <c r="OM41" s="26"/>
      <c r="ON41" s="26"/>
      <c r="OO41" s="26"/>
      <c r="OP41" s="26"/>
      <c r="OQ41" s="26"/>
      <c r="OR41" s="26"/>
      <c r="OS41" s="26"/>
      <c r="OT41" s="26"/>
      <c r="OU41" s="26"/>
      <c r="OV41" s="26"/>
      <c r="OW41" s="26"/>
      <c r="OX41" s="26"/>
      <c r="OY41" s="26"/>
      <c r="OZ41" s="26"/>
      <c r="PA41" s="26"/>
      <c r="PB41" s="26"/>
      <c r="PC41" s="26"/>
      <c r="PD41" s="26"/>
      <c r="PE41" s="26"/>
      <c r="PF41" s="26"/>
      <c r="PG41" s="26"/>
      <c r="PH41" s="26"/>
      <c r="PI41" s="26"/>
      <c r="PJ41" s="26"/>
      <c r="PK41" s="26"/>
      <c r="PL41" s="26"/>
      <c r="PM41" s="26"/>
      <c r="PN41" s="26"/>
      <c r="PO41" s="26"/>
      <c r="PP41" s="26"/>
      <c r="PQ41" s="26"/>
      <c r="PR41" s="26"/>
    </row>
    <row r="42" spans="1:434" x14ac:dyDescent="0.25">
      <c r="A42" s="24"/>
      <c r="B42" s="25" t="s">
        <v>108</v>
      </c>
      <c r="C42" s="24" t="s">
        <v>70</v>
      </c>
      <c r="D42" s="24" t="s">
        <v>76</v>
      </c>
      <c r="E42" s="24"/>
      <c r="F42" s="23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3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3"/>
      <c r="CG42" s="82"/>
      <c r="CH42" s="82"/>
      <c r="CI42" s="82"/>
      <c r="CJ42" s="82"/>
      <c r="CK42" s="82"/>
      <c r="CL42" s="82"/>
      <c r="CM42" s="82"/>
      <c r="CN42" s="82"/>
      <c r="CO42" s="82"/>
      <c r="CP42" s="82"/>
      <c r="CQ42" s="82"/>
      <c r="CR42" s="82"/>
      <c r="CS42" s="82"/>
      <c r="CT42" s="82">
        <v>8</v>
      </c>
      <c r="CU42" s="82"/>
      <c r="CV42" s="82">
        <v>45</v>
      </c>
      <c r="CW42" s="82"/>
      <c r="CX42" s="82">
        <v>5</v>
      </c>
      <c r="CY42" s="82"/>
      <c r="CZ42" s="82">
        <v>10</v>
      </c>
      <c r="DA42" s="82"/>
      <c r="DB42" s="82"/>
      <c r="DC42" s="82">
        <v>20</v>
      </c>
      <c r="DD42" s="82">
        <v>15</v>
      </c>
      <c r="DE42" s="82">
        <v>20</v>
      </c>
      <c r="DF42" s="82">
        <v>30</v>
      </c>
      <c r="DG42" s="82">
        <v>35</v>
      </c>
      <c r="DH42" s="82">
        <v>20</v>
      </c>
      <c r="DI42" s="82">
        <v>15</v>
      </c>
      <c r="DJ42" s="82"/>
      <c r="DK42" s="82"/>
      <c r="DL42" s="82"/>
      <c r="DM42" s="82"/>
      <c r="DN42" s="82"/>
      <c r="DO42" s="82"/>
      <c r="DP42" s="82"/>
      <c r="DQ42" s="82">
        <v>20</v>
      </c>
      <c r="DR42" s="82"/>
      <c r="DS42" s="23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3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  <c r="GR42" s="26"/>
      <c r="GS42" s="23"/>
      <c r="GT42" s="26"/>
      <c r="GU42" s="26"/>
      <c r="GV42" s="26"/>
      <c r="GW42" s="26"/>
      <c r="GX42" s="26"/>
      <c r="GY42" s="26"/>
      <c r="GZ42" s="26"/>
      <c r="HA42" s="26"/>
      <c r="HB42" s="26"/>
      <c r="HC42" s="26"/>
      <c r="HD42" s="26"/>
      <c r="HE42" s="26"/>
      <c r="HF42" s="26"/>
      <c r="HG42" s="26"/>
      <c r="HH42" s="26"/>
      <c r="HI42" s="26"/>
      <c r="HJ42" s="26"/>
      <c r="HK42" s="26"/>
      <c r="HL42" s="26"/>
      <c r="HM42" s="26"/>
      <c r="HN42" s="26"/>
      <c r="HO42" s="26"/>
      <c r="HP42" s="26"/>
      <c r="HQ42" s="26"/>
      <c r="HR42" s="26"/>
      <c r="HS42" s="26"/>
      <c r="HT42" s="26"/>
      <c r="HU42" s="26"/>
      <c r="HV42" s="26"/>
      <c r="HW42" s="26"/>
      <c r="HX42" s="26"/>
      <c r="HY42" s="26"/>
      <c r="HZ42" s="26"/>
      <c r="IA42" s="26"/>
      <c r="IB42" s="26"/>
      <c r="IC42" s="26"/>
      <c r="ID42" s="26"/>
      <c r="IE42" s="26"/>
      <c r="IF42" s="23"/>
      <c r="IG42" s="26"/>
      <c r="IH42" s="26"/>
      <c r="II42" s="26"/>
      <c r="IJ42" s="26"/>
      <c r="IK42" s="26"/>
      <c r="IL42" s="26"/>
      <c r="IM42" s="26"/>
      <c r="IN42" s="26"/>
      <c r="IO42" s="26"/>
      <c r="IP42" s="26"/>
      <c r="IQ42" s="26"/>
      <c r="IR42" s="26"/>
      <c r="IS42" s="26"/>
      <c r="IT42" s="26"/>
      <c r="IU42" s="26"/>
      <c r="IV42" s="26"/>
      <c r="IW42" s="26"/>
      <c r="IX42" s="26"/>
      <c r="IY42" s="26"/>
      <c r="IZ42" s="26"/>
      <c r="JA42" s="26"/>
      <c r="JB42" s="26"/>
      <c r="JC42" s="26"/>
      <c r="JD42" s="26"/>
      <c r="JE42" s="26"/>
      <c r="JF42" s="26"/>
      <c r="JG42" s="26"/>
      <c r="JH42" s="26"/>
      <c r="JI42" s="26"/>
      <c r="JJ42" s="26"/>
      <c r="JK42" s="26"/>
      <c r="JL42" s="26"/>
      <c r="JM42" s="26"/>
      <c r="JN42" s="26"/>
      <c r="JO42" s="26"/>
      <c r="JP42" s="26"/>
      <c r="JQ42" s="26"/>
      <c r="JR42" s="26"/>
      <c r="JS42" s="23"/>
      <c r="JT42" s="26"/>
      <c r="JU42" s="26"/>
      <c r="JV42" s="26"/>
      <c r="JW42" s="26"/>
      <c r="JX42" s="26"/>
      <c r="JY42" s="26"/>
      <c r="JZ42" s="26"/>
      <c r="KA42" s="26"/>
      <c r="KB42" s="26"/>
      <c r="KC42" s="26"/>
      <c r="KD42" s="26"/>
      <c r="KE42" s="26"/>
      <c r="KF42" s="26"/>
      <c r="KG42" s="26"/>
      <c r="KH42" s="26"/>
      <c r="KI42" s="26"/>
      <c r="KJ42" s="26"/>
      <c r="KK42" s="26"/>
      <c r="KL42" s="26"/>
      <c r="KM42" s="26"/>
      <c r="KN42" s="26"/>
      <c r="KO42" s="26"/>
      <c r="KP42" s="26"/>
      <c r="KQ42" s="26"/>
      <c r="KR42" s="26"/>
      <c r="KS42" s="26"/>
      <c r="KT42" s="26"/>
      <c r="KU42" s="26"/>
      <c r="KV42" s="26"/>
      <c r="KW42" s="26"/>
      <c r="KX42" s="26"/>
      <c r="KY42" s="26"/>
      <c r="KZ42" s="26"/>
      <c r="LA42" s="26"/>
      <c r="LB42" s="26"/>
      <c r="LC42" s="26"/>
      <c r="LD42" s="26"/>
      <c r="LE42" s="26"/>
      <c r="LF42" s="23"/>
      <c r="LG42" s="26"/>
      <c r="LH42" s="26"/>
      <c r="LI42" s="26"/>
      <c r="LJ42" s="26"/>
      <c r="LK42" s="26"/>
      <c r="LL42" s="26"/>
      <c r="LM42" s="26"/>
      <c r="LN42" s="26"/>
      <c r="LO42" s="26"/>
      <c r="LP42" s="26"/>
      <c r="LQ42" s="26"/>
      <c r="LR42" s="26"/>
      <c r="LS42" s="26"/>
      <c r="LT42" s="26"/>
      <c r="LU42" s="26"/>
      <c r="LV42" s="26"/>
      <c r="LW42" s="26"/>
      <c r="LX42" s="26"/>
      <c r="LY42" s="26"/>
      <c r="LZ42" s="26"/>
      <c r="MA42" s="26"/>
      <c r="MB42" s="26"/>
      <c r="MC42" s="26"/>
      <c r="MD42" s="26"/>
      <c r="ME42" s="26"/>
      <c r="MF42" s="26"/>
      <c r="MG42" s="26"/>
      <c r="MH42" s="26"/>
      <c r="MI42" s="26"/>
      <c r="MJ42" s="26"/>
      <c r="MK42" s="26"/>
      <c r="ML42" s="26"/>
      <c r="MM42" s="26"/>
      <c r="MN42" s="26"/>
      <c r="MO42" s="26"/>
      <c r="MP42" s="26"/>
      <c r="MQ42" s="26"/>
      <c r="MR42" s="26"/>
      <c r="MS42" s="23"/>
      <c r="MT42" s="26"/>
      <c r="MU42" s="26"/>
      <c r="MV42" s="26"/>
      <c r="MW42" s="26"/>
      <c r="MX42" s="26"/>
      <c r="MY42" s="26"/>
      <c r="MZ42" s="26"/>
      <c r="NA42" s="26"/>
      <c r="NB42" s="26"/>
      <c r="NC42" s="26"/>
      <c r="ND42" s="26"/>
      <c r="NE42" s="26"/>
      <c r="NF42" s="26"/>
      <c r="NG42" s="26"/>
      <c r="NH42" s="26"/>
      <c r="NI42" s="26"/>
      <c r="NJ42" s="26"/>
      <c r="NK42" s="26"/>
      <c r="NL42" s="26"/>
      <c r="NM42" s="26"/>
      <c r="NN42" s="26"/>
      <c r="NO42" s="26"/>
      <c r="NP42" s="26"/>
      <c r="NQ42" s="26"/>
      <c r="NR42" s="26"/>
      <c r="NS42" s="26"/>
      <c r="NT42" s="26"/>
      <c r="NU42" s="26"/>
      <c r="NV42" s="26"/>
      <c r="NW42" s="26"/>
      <c r="NX42" s="26"/>
      <c r="NY42" s="26"/>
      <c r="NZ42" s="26"/>
      <c r="OA42" s="26"/>
      <c r="OB42" s="26"/>
      <c r="OC42" s="26"/>
      <c r="OD42" s="26"/>
      <c r="OE42" s="26"/>
      <c r="OF42" s="23"/>
      <c r="OG42" s="26"/>
      <c r="OH42" s="26"/>
      <c r="OI42" s="26"/>
      <c r="OJ42" s="26"/>
      <c r="OK42" s="26"/>
      <c r="OL42" s="26"/>
      <c r="OM42" s="26"/>
      <c r="ON42" s="26"/>
      <c r="OO42" s="26"/>
      <c r="OP42" s="26"/>
      <c r="OQ42" s="26"/>
      <c r="OR42" s="26"/>
      <c r="OS42" s="26"/>
      <c r="OT42" s="26"/>
      <c r="OU42" s="26"/>
      <c r="OV42" s="26"/>
      <c r="OW42" s="26"/>
      <c r="OX42" s="26"/>
      <c r="OY42" s="26"/>
      <c r="OZ42" s="26"/>
      <c r="PA42" s="26"/>
      <c r="PB42" s="26"/>
      <c r="PC42" s="26"/>
      <c r="PD42" s="26"/>
      <c r="PE42" s="26"/>
      <c r="PF42" s="26"/>
      <c r="PG42" s="26"/>
      <c r="PH42" s="26"/>
      <c r="PI42" s="26"/>
      <c r="PJ42" s="26"/>
      <c r="PK42" s="26"/>
      <c r="PL42" s="26"/>
      <c r="PM42" s="26"/>
      <c r="PN42" s="26"/>
      <c r="PO42" s="26"/>
      <c r="PP42" s="26"/>
      <c r="PQ42" s="26"/>
      <c r="PR42" s="26"/>
    </row>
    <row r="43" spans="1:434" x14ac:dyDescent="0.25">
      <c r="A43" s="24"/>
      <c r="B43" s="25" t="s">
        <v>109</v>
      </c>
      <c r="C43" s="24" t="s">
        <v>70</v>
      </c>
      <c r="D43" s="24" t="s">
        <v>76</v>
      </c>
      <c r="E43" s="24"/>
      <c r="F43" s="23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3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3"/>
      <c r="CG43" s="82"/>
      <c r="CH43" s="82"/>
      <c r="CI43" s="82"/>
      <c r="CJ43" s="82"/>
      <c r="CK43" s="82"/>
      <c r="CL43" s="82"/>
      <c r="CM43" s="82"/>
      <c r="CN43" s="82"/>
      <c r="CO43" s="82"/>
      <c r="CP43" s="82"/>
      <c r="CQ43" s="82"/>
      <c r="CR43" s="82"/>
      <c r="CS43" s="82"/>
      <c r="CT43" s="82">
        <v>8</v>
      </c>
      <c r="CU43" s="82"/>
      <c r="CV43" s="82">
        <v>60</v>
      </c>
      <c r="CW43" s="82"/>
      <c r="CX43" s="82"/>
      <c r="CY43" s="82"/>
      <c r="CZ43" s="82">
        <v>10</v>
      </c>
      <c r="DA43" s="82"/>
      <c r="DB43" s="82"/>
      <c r="DC43" s="82">
        <v>20</v>
      </c>
      <c r="DD43" s="82">
        <v>20</v>
      </c>
      <c r="DE43" s="82">
        <v>25</v>
      </c>
      <c r="DF43" s="82">
        <v>40</v>
      </c>
      <c r="DG43" s="82">
        <v>35</v>
      </c>
      <c r="DH43" s="82">
        <v>20</v>
      </c>
      <c r="DI43" s="82"/>
      <c r="DJ43" s="82"/>
      <c r="DK43" s="82"/>
      <c r="DL43" s="82"/>
      <c r="DM43" s="82"/>
      <c r="DN43" s="82"/>
      <c r="DO43" s="82"/>
      <c r="DP43" s="82"/>
      <c r="DQ43" s="82">
        <v>10</v>
      </c>
      <c r="DR43" s="82"/>
      <c r="DS43" s="23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3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3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3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3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6"/>
      <c r="KR43" s="26"/>
      <c r="KS43" s="26"/>
      <c r="KT43" s="26"/>
      <c r="KU43" s="26"/>
      <c r="KV43" s="26"/>
      <c r="KW43" s="26"/>
      <c r="KX43" s="26"/>
      <c r="KY43" s="26"/>
      <c r="KZ43" s="26"/>
      <c r="LA43" s="26"/>
      <c r="LB43" s="26"/>
      <c r="LC43" s="26"/>
      <c r="LD43" s="26"/>
      <c r="LE43" s="26"/>
      <c r="LF43" s="23"/>
      <c r="LG43" s="26"/>
      <c r="LH43" s="26"/>
      <c r="LI43" s="26"/>
      <c r="LJ43" s="26"/>
      <c r="LK43" s="26"/>
      <c r="LL43" s="26"/>
      <c r="LM43" s="26"/>
      <c r="LN43" s="26"/>
      <c r="LO43" s="26"/>
      <c r="LP43" s="26"/>
      <c r="LQ43" s="26"/>
      <c r="LR43" s="26"/>
      <c r="LS43" s="26"/>
      <c r="LT43" s="26"/>
      <c r="LU43" s="26"/>
      <c r="LV43" s="26"/>
      <c r="LW43" s="26"/>
      <c r="LX43" s="26"/>
      <c r="LY43" s="26"/>
      <c r="LZ43" s="26"/>
      <c r="MA43" s="26"/>
      <c r="MB43" s="26"/>
      <c r="MC43" s="26"/>
      <c r="MD43" s="26"/>
      <c r="ME43" s="26"/>
      <c r="MF43" s="26"/>
      <c r="MG43" s="26"/>
      <c r="MH43" s="26"/>
      <c r="MI43" s="26"/>
      <c r="MJ43" s="26"/>
      <c r="MK43" s="26"/>
      <c r="ML43" s="26"/>
      <c r="MM43" s="26"/>
      <c r="MN43" s="26"/>
      <c r="MO43" s="26"/>
      <c r="MP43" s="26"/>
      <c r="MQ43" s="26"/>
      <c r="MR43" s="26"/>
      <c r="MS43" s="23"/>
      <c r="MT43" s="26"/>
      <c r="MU43" s="26"/>
      <c r="MV43" s="26"/>
      <c r="MW43" s="26"/>
      <c r="MX43" s="26"/>
      <c r="MY43" s="26"/>
      <c r="MZ43" s="26"/>
      <c r="NA43" s="26"/>
      <c r="NB43" s="26"/>
      <c r="NC43" s="26"/>
      <c r="ND43" s="26"/>
      <c r="NE43" s="26"/>
      <c r="NF43" s="26"/>
      <c r="NG43" s="26"/>
      <c r="NH43" s="26"/>
      <c r="NI43" s="26"/>
      <c r="NJ43" s="26"/>
      <c r="NK43" s="26"/>
      <c r="NL43" s="26"/>
      <c r="NM43" s="26"/>
      <c r="NN43" s="26"/>
      <c r="NO43" s="26"/>
      <c r="NP43" s="26"/>
      <c r="NQ43" s="26"/>
      <c r="NR43" s="26"/>
      <c r="NS43" s="26"/>
      <c r="NT43" s="26"/>
      <c r="NU43" s="26"/>
      <c r="NV43" s="26"/>
      <c r="NW43" s="26"/>
      <c r="NX43" s="26"/>
      <c r="NY43" s="26"/>
      <c r="NZ43" s="26"/>
      <c r="OA43" s="26"/>
      <c r="OB43" s="26"/>
      <c r="OC43" s="26"/>
      <c r="OD43" s="26"/>
      <c r="OE43" s="26"/>
      <c r="OF43" s="23"/>
      <c r="OG43" s="26"/>
      <c r="OH43" s="26"/>
      <c r="OI43" s="26"/>
      <c r="OJ43" s="26"/>
      <c r="OK43" s="26"/>
      <c r="OL43" s="26"/>
      <c r="OM43" s="26"/>
      <c r="ON43" s="26"/>
      <c r="OO43" s="26"/>
      <c r="OP43" s="26"/>
      <c r="OQ43" s="26"/>
      <c r="OR43" s="26"/>
      <c r="OS43" s="26"/>
      <c r="OT43" s="26"/>
      <c r="OU43" s="26"/>
      <c r="OV43" s="26"/>
      <c r="OW43" s="26"/>
      <c r="OX43" s="26"/>
      <c r="OY43" s="26"/>
      <c r="OZ43" s="26"/>
      <c r="PA43" s="26"/>
      <c r="PB43" s="26"/>
      <c r="PC43" s="26"/>
      <c r="PD43" s="26"/>
      <c r="PE43" s="26"/>
      <c r="PF43" s="26"/>
      <c r="PG43" s="26"/>
      <c r="PH43" s="26"/>
      <c r="PI43" s="26"/>
      <c r="PJ43" s="26"/>
      <c r="PK43" s="26"/>
      <c r="PL43" s="26"/>
      <c r="PM43" s="26"/>
      <c r="PN43" s="26"/>
      <c r="PO43" s="26"/>
      <c r="PP43" s="26"/>
      <c r="PQ43" s="26"/>
      <c r="PR43" s="26"/>
    </row>
    <row r="44" spans="1:434" x14ac:dyDescent="0.25">
      <c r="A44" s="24"/>
      <c r="B44" s="25" t="s">
        <v>110</v>
      </c>
      <c r="C44" s="24" t="s">
        <v>70</v>
      </c>
      <c r="D44" s="24" t="s">
        <v>76</v>
      </c>
      <c r="E44" s="24"/>
      <c r="F44" s="23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3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3"/>
      <c r="CG44" s="82"/>
      <c r="CH44" s="82"/>
      <c r="CI44" s="82"/>
      <c r="CJ44" s="82"/>
      <c r="CK44" s="82"/>
      <c r="CL44" s="82"/>
      <c r="CM44" s="82"/>
      <c r="CN44" s="82"/>
      <c r="CO44" s="82"/>
      <c r="CP44" s="82"/>
      <c r="CQ44" s="82"/>
      <c r="CR44" s="82"/>
      <c r="CS44" s="82"/>
      <c r="CT44" s="82">
        <v>10</v>
      </c>
      <c r="CU44" s="82"/>
      <c r="CV44" s="82">
        <v>65</v>
      </c>
      <c r="CW44" s="82"/>
      <c r="CX44" s="82">
        <v>7</v>
      </c>
      <c r="CY44" s="82"/>
      <c r="CZ44" s="82">
        <v>20</v>
      </c>
      <c r="DA44" s="82"/>
      <c r="DB44" s="82"/>
      <c r="DC44" s="82">
        <v>20</v>
      </c>
      <c r="DD44" s="82">
        <v>40</v>
      </c>
      <c r="DE44" s="82">
        <v>40</v>
      </c>
      <c r="DF44" s="82">
        <v>30</v>
      </c>
      <c r="DG44" s="82">
        <v>35</v>
      </c>
      <c r="DH44" s="82">
        <v>25</v>
      </c>
      <c r="DI44" s="82">
        <v>15</v>
      </c>
      <c r="DJ44" s="82"/>
      <c r="DK44" s="82"/>
      <c r="DL44" s="82"/>
      <c r="DM44" s="82"/>
      <c r="DN44" s="82"/>
      <c r="DO44" s="82"/>
      <c r="DP44" s="82"/>
      <c r="DQ44" s="82"/>
      <c r="DR44" s="82"/>
      <c r="DS44" s="23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3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3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3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  <c r="JR44" s="26"/>
      <c r="JS44" s="23"/>
      <c r="JT44" s="26"/>
      <c r="JU44" s="26"/>
      <c r="JV44" s="26"/>
      <c r="JW44" s="26"/>
      <c r="JX44" s="26"/>
      <c r="JY44" s="26"/>
      <c r="JZ44" s="26"/>
      <c r="KA44" s="26"/>
      <c r="KB44" s="26"/>
      <c r="KC44" s="26"/>
      <c r="KD44" s="26"/>
      <c r="KE44" s="26"/>
      <c r="KF44" s="26"/>
      <c r="KG44" s="26"/>
      <c r="KH44" s="26"/>
      <c r="KI44" s="26"/>
      <c r="KJ44" s="26"/>
      <c r="KK44" s="26"/>
      <c r="KL44" s="26"/>
      <c r="KM44" s="26"/>
      <c r="KN44" s="26"/>
      <c r="KO44" s="26"/>
      <c r="KP44" s="26"/>
      <c r="KQ44" s="26"/>
      <c r="KR44" s="26"/>
      <c r="KS44" s="26"/>
      <c r="KT44" s="26"/>
      <c r="KU44" s="26"/>
      <c r="KV44" s="26"/>
      <c r="KW44" s="26"/>
      <c r="KX44" s="26"/>
      <c r="KY44" s="26"/>
      <c r="KZ44" s="26"/>
      <c r="LA44" s="26"/>
      <c r="LB44" s="26"/>
      <c r="LC44" s="26"/>
      <c r="LD44" s="26"/>
      <c r="LE44" s="26"/>
      <c r="LF44" s="23"/>
      <c r="LG44" s="26"/>
      <c r="LH44" s="26"/>
      <c r="LI44" s="26"/>
      <c r="LJ44" s="26"/>
      <c r="LK44" s="26"/>
      <c r="LL44" s="26"/>
      <c r="LM44" s="26"/>
      <c r="LN44" s="26"/>
      <c r="LO44" s="26"/>
      <c r="LP44" s="26"/>
      <c r="LQ44" s="26"/>
      <c r="LR44" s="26"/>
      <c r="LS44" s="26"/>
      <c r="LT44" s="26"/>
      <c r="LU44" s="26"/>
      <c r="LV44" s="26"/>
      <c r="LW44" s="26"/>
      <c r="LX44" s="26"/>
      <c r="LY44" s="26"/>
      <c r="LZ44" s="26"/>
      <c r="MA44" s="26"/>
      <c r="MB44" s="26"/>
      <c r="MC44" s="26"/>
      <c r="MD44" s="26"/>
      <c r="ME44" s="26"/>
      <c r="MF44" s="26"/>
      <c r="MG44" s="26"/>
      <c r="MH44" s="26"/>
      <c r="MI44" s="26"/>
      <c r="MJ44" s="26"/>
      <c r="MK44" s="26"/>
      <c r="ML44" s="26"/>
      <c r="MM44" s="26"/>
      <c r="MN44" s="26"/>
      <c r="MO44" s="26"/>
      <c r="MP44" s="26"/>
      <c r="MQ44" s="26"/>
      <c r="MR44" s="26"/>
      <c r="MS44" s="23"/>
      <c r="MT44" s="26"/>
      <c r="MU44" s="26"/>
      <c r="MV44" s="26"/>
      <c r="MW44" s="26"/>
      <c r="MX44" s="26"/>
      <c r="MY44" s="26"/>
      <c r="MZ44" s="26"/>
      <c r="NA44" s="26"/>
      <c r="NB44" s="26"/>
      <c r="NC44" s="26"/>
      <c r="ND44" s="26"/>
      <c r="NE44" s="26"/>
      <c r="NF44" s="26"/>
      <c r="NG44" s="26"/>
      <c r="NH44" s="26"/>
      <c r="NI44" s="26"/>
      <c r="NJ44" s="26"/>
      <c r="NK44" s="26"/>
      <c r="NL44" s="26"/>
      <c r="NM44" s="26"/>
      <c r="NN44" s="26"/>
      <c r="NO44" s="26"/>
      <c r="NP44" s="26"/>
      <c r="NQ44" s="26"/>
      <c r="NR44" s="26"/>
      <c r="NS44" s="26"/>
      <c r="NT44" s="26"/>
      <c r="NU44" s="26"/>
      <c r="NV44" s="26"/>
      <c r="NW44" s="26"/>
      <c r="NX44" s="26"/>
      <c r="NY44" s="26"/>
      <c r="NZ44" s="26"/>
      <c r="OA44" s="26"/>
      <c r="OB44" s="26"/>
      <c r="OC44" s="26"/>
      <c r="OD44" s="26"/>
      <c r="OE44" s="26"/>
      <c r="OF44" s="23"/>
      <c r="OG44" s="26"/>
      <c r="OH44" s="26"/>
      <c r="OI44" s="26"/>
      <c r="OJ44" s="26"/>
      <c r="OK44" s="26"/>
      <c r="OL44" s="26"/>
      <c r="OM44" s="26"/>
      <c r="ON44" s="26"/>
      <c r="OO44" s="26"/>
      <c r="OP44" s="26"/>
      <c r="OQ44" s="26"/>
      <c r="OR44" s="26"/>
      <c r="OS44" s="26"/>
      <c r="OT44" s="26"/>
      <c r="OU44" s="26"/>
      <c r="OV44" s="26"/>
      <c r="OW44" s="26"/>
      <c r="OX44" s="26"/>
      <c r="OY44" s="26"/>
      <c r="OZ44" s="26"/>
      <c r="PA44" s="26"/>
      <c r="PB44" s="26"/>
      <c r="PC44" s="26"/>
      <c r="PD44" s="26"/>
      <c r="PE44" s="26"/>
      <c r="PF44" s="26"/>
      <c r="PG44" s="26"/>
      <c r="PH44" s="26"/>
      <c r="PI44" s="26"/>
      <c r="PJ44" s="26"/>
      <c r="PK44" s="26"/>
      <c r="PL44" s="26"/>
      <c r="PM44" s="26"/>
      <c r="PN44" s="26"/>
      <c r="PO44" s="26"/>
      <c r="PP44" s="26"/>
      <c r="PQ44" s="26"/>
      <c r="PR44" s="26"/>
    </row>
    <row r="45" spans="1:434" x14ac:dyDescent="0.25">
      <c r="A45" s="24"/>
      <c r="B45" s="25" t="s">
        <v>111</v>
      </c>
      <c r="C45" s="24" t="s">
        <v>70</v>
      </c>
      <c r="D45" s="24" t="s">
        <v>76</v>
      </c>
      <c r="E45" s="24"/>
      <c r="F45" s="23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3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3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  <c r="CT45" s="82">
        <v>20</v>
      </c>
      <c r="CU45" s="82"/>
      <c r="CV45" s="82">
        <v>20</v>
      </c>
      <c r="CW45" s="82"/>
      <c r="CX45" s="82">
        <v>7</v>
      </c>
      <c r="CY45" s="82"/>
      <c r="CZ45" s="82"/>
      <c r="DA45" s="82"/>
      <c r="DB45" s="82"/>
      <c r="DC45" s="82"/>
      <c r="DD45" s="82"/>
      <c r="DE45" s="82"/>
      <c r="DF45" s="82"/>
      <c r="DG45" s="82"/>
      <c r="DH45" s="82"/>
      <c r="DI45" s="82"/>
      <c r="DJ45" s="82"/>
      <c r="DK45" s="82"/>
      <c r="DL45" s="82"/>
      <c r="DM45" s="82"/>
      <c r="DN45" s="82"/>
      <c r="DO45" s="82"/>
      <c r="DP45" s="82"/>
      <c r="DQ45" s="82"/>
      <c r="DR45" s="82"/>
      <c r="DS45" s="23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3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3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3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3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  <c r="KS45" s="26"/>
      <c r="KT45" s="26"/>
      <c r="KU45" s="26"/>
      <c r="KV45" s="26"/>
      <c r="KW45" s="26"/>
      <c r="KX45" s="26"/>
      <c r="KY45" s="26"/>
      <c r="KZ45" s="26"/>
      <c r="LA45" s="26"/>
      <c r="LB45" s="26"/>
      <c r="LC45" s="26"/>
      <c r="LD45" s="26"/>
      <c r="LE45" s="26"/>
      <c r="LF45" s="23"/>
      <c r="LG45" s="26"/>
      <c r="LH45" s="26"/>
      <c r="LI45" s="26"/>
      <c r="LJ45" s="26"/>
      <c r="LK45" s="26"/>
      <c r="LL45" s="26"/>
      <c r="LM45" s="26"/>
      <c r="LN45" s="26"/>
      <c r="LO45" s="26"/>
      <c r="LP45" s="26"/>
      <c r="LQ45" s="26"/>
      <c r="LR45" s="26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3"/>
      <c r="MT45" s="26"/>
      <c r="MU45" s="26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  <c r="NQ45" s="26"/>
      <c r="NR45" s="26"/>
      <c r="NS45" s="26"/>
      <c r="NT45" s="26"/>
      <c r="NU45" s="26"/>
      <c r="NV45" s="26"/>
      <c r="NW45" s="26"/>
      <c r="NX45" s="26"/>
      <c r="NY45" s="26"/>
      <c r="NZ45" s="26"/>
      <c r="OA45" s="26"/>
      <c r="OB45" s="26"/>
      <c r="OC45" s="26"/>
      <c r="OD45" s="26"/>
      <c r="OE45" s="26"/>
      <c r="OF45" s="23"/>
      <c r="OG45" s="26"/>
      <c r="OH45" s="26"/>
      <c r="OI45" s="26"/>
      <c r="OJ45" s="26"/>
      <c r="OK45" s="26"/>
      <c r="OL45" s="26"/>
      <c r="OM45" s="26"/>
      <c r="ON45" s="26"/>
      <c r="OO45" s="26"/>
      <c r="OP45" s="26"/>
      <c r="OQ45" s="26"/>
      <c r="OR45" s="26"/>
      <c r="OS45" s="26"/>
      <c r="OT45" s="26"/>
      <c r="OU45" s="26"/>
      <c r="OV45" s="26"/>
      <c r="OW45" s="26"/>
      <c r="OX45" s="26"/>
      <c r="OY45" s="26"/>
      <c r="OZ45" s="26"/>
      <c r="PA45" s="26"/>
      <c r="PB45" s="26"/>
      <c r="PC45" s="26"/>
      <c r="PD45" s="26"/>
      <c r="PE45" s="26"/>
      <c r="PF45" s="26"/>
      <c r="PG45" s="26"/>
      <c r="PH45" s="26"/>
      <c r="PI45" s="26"/>
      <c r="PJ45" s="26"/>
      <c r="PK45" s="26"/>
      <c r="PL45" s="26"/>
      <c r="PM45" s="26"/>
      <c r="PN45" s="26"/>
      <c r="PO45" s="26"/>
      <c r="PP45" s="26"/>
      <c r="PQ45" s="26"/>
      <c r="PR45" s="26"/>
    </row>
    <row r="46" spans="1:434" x14ac:dyDescent="0.25">
      <c r="A46" s="24"/>
      <c r="B46" s="25" t="s">
        <v>112</v>
      </c>
      <c r="C46" s="24" t="s">
        <v>70</v>
      </c>
      <c r="D46" s="24" t="s">
        <v>104</v>
      </c>
      <c r="E46" s="24"/>
      <c r="F46" s="23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3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3"/>
      <c r="CG46" s="82"/>
      <c r="CH46" s="82"/>
      <c r="CI46" s="82"/>
      <c r="CJ46" s="82"/>
      <c r="CK46" s="82"/>
      <c r="CL46" s="82"/>
      <c r="CM46" s="82"/>
      <c r="CN46" s="82"/>
      <c r="CO46" s="82"/>
      <c r="CP46" s="82"/>
      <c r="CQ46" s="82"/>
      <c r="CR46" s="82"/>
      <c r="CS46" s="82"/>
      <c r="CT46" s="82"/>
      <c r="CU46" s="82"/>
      <c r="CV46" s="82"/>
      <c r="CW46" s="82"/>
      <c r="CX46" s="82"/>
      <c r="CY46" s="82"/>
      <c r="CZ46" s="82"/>
      <c r="DA46" s="82"/>
      <c r="DB46" s="82"/>
      <c r="DC46" s="82"/>
      <c r="DD46" s="82"/>
      <c r="DE46" s="82"/>
      <c r="DF46" s="82"/>
      <c r="DG46" s="82"/>
      <c r="DH46" s="82"/>
      <c r="DI46" s="82"/>
      <c r="DJ46" s="82"/>
      <c r="DK46" s="82"/>
      <c r="DL46" s="82"/>
      <c r="DM46" s="82"/>
      <c r="DN46" s="82"/>
      <c r="DO46" s="82"/>
      <c r="DP46" s="82"/>
      <c r="DQ46" s="82"/>
      <c r="DR46" s="82"/>
      <c r="DS46" s="23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3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  <c r="GR46" s="26"/>
      <c r="GS46" s="23"/>
      <c r="GT46" s="26"/>
      <c r="GU46" s="26"/>
      <c r="GV46" s="26"/>
      <c r="GW46" s="26"/>
      <c r="GX46" s="26"/>
      <c r="GY46" s="26"/>
      <c r="GZ46" s="26"/>
      <c r="HA46" s="26"/>
      <c r="HB46" s="26"/>
      <c r="HC46" s="26"/>
      <c r="HD46" s="26"/>
      <c r="HE46" s="26"/>
      <c r="HF46" s="26"/>
      <c r="HG46" s="26"/>
      <c r="HH46" s="26"/>
      <c r="HI46" s="26"/>
      <c r="HJ46" s="26"/>
      <c r="HK46" s="26"/>
      <c r="HL46" s="26"/>
      <c r="HM46" s="26"/>
      <c r="HN46" s="26"/>
      <c r="HO46" s="26"/>
      <c r="HP46" s="26"/>
      <c r="HQ46" s="26"/>
      <c r="HR46" s="26"/>
      <c r="HS46" s="26"/>
      <c r="HT46" s="26"/>
      <c r="HU46" s="26"/>
      <c r="HV46" s="26"/>
      <c r="HW46" s="26"/>
      <c r="HX46" s="26"/>
      <c r="HY46" s="26"/>
      <c r="HZ46" s="26"/>
      <c r="IA46" s="26"/>
      <c r="IB46" s="26"/>
      <c r="IC46" s="26"/>
      <c r="ID46" s="26"/>
      <c r="IE46" s="26"/>
      <c r="IF46" s="23"/>
      <c r="IG46" s="26"/>
      <c r="IH46" s="26"/>
      <c r="II46" s="26"/>
      <c r="IJ46" s="26"/>
      <c r="IK46" s="26"/>
      <c r="IL46" s="26"/>
      <c r="IM46" s="26"/>
      <c r="IN46" s="26"/>
      <c r="IO46" s="26"/>
      <c r="IP46" s="26"/>
      <c r="IQ46" s="26"/>
      <c r="IR46" s="26"/>
      <c r="IS46" s="26"/>
      <c r="IT46" s="26"/>
      <c r="IU46" s="26"/>
      <c r="IV46" s="26"/>
      <c r="IW46" s="26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6"/>
      <c r="JO46" s="26"/>
      <c r="JP46" s="26"/>
      <c r="JQ46" s="26"/>
      <c r="JR46" s="26"/>
      <c r="JS46" s="23"/>
      <c r="JT46" s="26"/>
      <c r="JU46" s="26"/>
      <c r="JV46" s="26"/>
      <c r="JW46" s="26"/>
      <c r="JX46" s="26"/>
      <c r="JY46" s="26"/>
      <c r="JZ46" s="26"/>
      <c r="KA46" s="26"/>
      <c r="KB46" s="26"/>
      <c r="KC46" s="26"/>
      <c r="KD46" s="26"/>
      <c r="KE46" s="26"/>
      <c r="KF46" s="26"/>
      <c r="KG46" s="26"/>
      <c r="KH46" s="26"/>
      <c r="KI46" s="26"/>
      <c r="KJ46" s="26"/>
      <c r="KK46" s="26"/>
      <c r="KL46" s="26"/>
      <c r="KM46" s="26"/>
      <c r="KN46" s="26"/>
      <c r="KO46" s="26"/>
      <c r="KP46" s="26"/>
      <c r="KQ46" s="26"/>
      <c r="KR46" s="26"/>
      <c r="KS46" s="26"/>
      <c r="KT46" s="26"/>
      <c r="KU46" s="26"/>
      <c r="KV46" s="26"/>
      <c r="KW46" s="26"/>
      <c r="KX46" s="26"/>
      <c r="KY46" s="26"/>
      <c r="KZ46" s="26"/>
      <c r="LA46" s="26"/>
      <c r="LB46" s="26"/>
      <c r="LC46" s="26"/>
      <c r="LD46" s="26"/>
      <c r="LE46" s="26"/>
      <c r="LF46" s="23"/>
      <c r="LG46" s="26"/>
      <c r="LH46" s="26"/>
      <c r="LI46" s="26"/>
      <c r="LJ46" s="26"/>
      <c r="LK46" s="26"/>
      <c r="LL46" s="26"/>
      <c r="LM46" s="26"/>
      <c r="LN46" s="26"/>
      <c r="LO46" s="26"/>
      <c r="LP46" s="26"/>
      <c r="LQ46" s="26"/>
      <c r="LR46" s="26"/>
      <c r="LS46" s="26"/>
      <c r="LT46" s="26"/>
      <c r="LU46" s="26"/>
      <c r="LV46" s="26"/>
      <c r="LW46" s="26"/>
      <c r="LX46" s="26"/>
      <c r="LY46" s="26"/>
      <c r="LZ46" s="26"/>
      <c r="MA46" s="26"/>
      <c r="MB46" s="26"/>
      <c r="MC46" s="26"/>
      <c r="MD46" s="26"/>
      <c r="ME46" s="26"/>
      <c r="MF46" s="26"/>
      <c r="MG46" s="26"/>
      <c r="MH46" s="26"/>
      <c r="MI46" s="26"/>
      <c r="MJ46" s="26"/>
      <c r="MK46" s="26"/>
      <c r="ML46" s="26"/>
      <c r="MM46" s="26"/>
      <c r="MN46" s="26"/>
      <c r="MO46" s="26"/>
      <c r="MP46" s="26"/>
      <c r="MQ46" s="26"/>
      <c r="MR46" s="26"/>
      <c r="MS46" s="23"/>
      <c r="MT46" s="26"/>
      <c r="MU46" s="26"/>
      <c r="MV46" s="26"/>
      <c r="MW46" s="26"/>
      <c r="MX46" s="26"/>
      <c r="MY46" s="26"/>
      <c r="MZ46" s="26"/>
      <c r="NA46" s="26"/>
      <c r="NB46" s="26"/>
      <c r="NC46" s="26"/>
      <c r="ND46" s="26"/>
      <c r="NE46" s="26"/>
      <c r="NF46" s="26"/>
      <c r="NG46" s="26"/>
      <c r="NH46" s="26"/>
      <c r="NI46" s="26"/>
      <c r="NJ46" s="26"/>
      <c r="NK46" s="26"/>
      <c r="NL46" s="26"/>
      <c r="NM46" s="26"/>
      <c r="NN46" s="26"/>
      <c r="NO46" s="26"/>
      <c r="NP46" s="26"/>
      <c r="NQ46" s="26"/>
      <c r="NR46" s="26"/>
      <c r="NS46" s="26"/>
      <c r="NT46" s="26"/>
      <c r="NU46" s="26"/>
      <c r="NV46" s="26"/>
      <c r="NW46" s="26"/>
      <c r="NX46" s="26"/>
      <c r="NY46" s="26"/>
      <c r="NZ46" s="26"/>
      <c r="OA46" s="26"/>
      <c r="OB46" s="26"/>
      <c r="OC46" s="26"/>
      <c r="OD46" s="26"/>
      <c r="OE46" s="26"/>
      <c r="OF46" s="23"/>
      <c r="OG46" s="26"/>
      <c r="OH46" s="26"/>
      <c r="OI46" s="26"/>
      <c r="OJ46" s="26"/>
      <c r="OK46" s="26"/>
      <c r="OL46" s="26"/>
      <c r="OM46" s="26"/>
      <c r="ON46" s="26"/>
      <c r="OO46" s="26"/>
      <c r="OP46" s="26"/>
      <c r="OQ46" s="26"/>
      <c r="OR46" s="26"/>
      <c r="OS46" s="26"/>
      <c r="OT46" s="26"/>
      <c r="OU46" s="26"/>
      <c r="OV46" s="26"/>
      <c r="OW46" s="26"/>
      <c r="OX46" s="26"/>
      <c r="OY46" s="26"/>
      <c r="OZ46" s="26"/>
      <c r="PA46" s="26"/>
      <c r="PB46" s="26"/>
      <c r="PC46" s="26"/>
      <c r="PD46" s="26"/>
      <c r="PE46" s="26"/>
      <c r="PF46" s="26"/>
      <c r="PG46" s="26"/>
      <c r="PH46" s="26"/>
      <c r="PI46" s="26"/>
      <c r="PJ46" s="26"/>
      <c r="PK46" s="26"/>
      <c r="PL46" s="26"/>
      <c r="PM46" s="26"/>
      <c r="PN46" s="26"/>
      <c r="PO46" s="26"/>
      <c r="PP46" s="26"/>
      <c r="PQ46" s="26"/>
      <c r="PR46" s="26"/>
    </row>
    <row r="47" spans="1:434" ht="21.95" customHeight="1" x14ac:dyDescent="0.25">
      <c r="A47" s="84" t="s">
        <v>113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  <c r="FU47" s="85"/>
      <c r="FV47" s="85"/>
      <c r="FW47" s="85"/>
      <c r="FX47" s="85"/>
      <c r="FY47" s="85"/>
      <c r="FZ47" s="85"/>
      <c r="GA47" s="85"/>
      <c r="GB47" s="85"/>
      <c r="GC47" s="85"/>
      <c r="GD47" s="85"/>
      <c r="GE47" s="85"/>
      <c r="GF47" s="85"/>
      <c r="GG47" s="85"/>
      <c r="GH47" s="85"/>
      <c r="GI47" s="85"/>
      <c r="GJ47" s="85"/>
      <c r="GK47" s="85"/>
      <c r="GL47" s="85"/>
      <c r="GM47" s="85"/>
      <c r="GN47" s="85"/>
      <c r="GO47" s="85"/>
      <c r="GP47" s="85"/>
      <c r="GQ47" s="85"/>
      <c r="GR47" s="85"/>
      <c r="GS47" s="85"/>
      <c r="GT47" s="85"/>
      <c r="GU47" s="85"/>
      <c r="GV47" s="85"/>
      <c r="GW47" s="85"/>
      <c r="GX47" s="85"/>
      <c r="GY47" s="85"/>
      <c r="GZ47" s="85"/>
      <c r="HA47" s="85"/>
      <c r="HB47" s="85"/>
      <c r="HC47" s="85"/>
      <c r="HD47" s="85"/>
      <c r="HE47" s="85"/>
      <c r="HF47" s="85"/>
      <c r="HG47" s="85"/>
      <c r="HH47" s="85"/>
      <c r="HI47" s="85"/>
      <c r="HJ47" s="85"/>
      <c r="HK47" s="85"/>
      <c r="HL47" s="85"/>
      <c r="HM47" s="85"/>
      <c r="HN47" s="85"/>
      <c r="HO47" s="85"/>
      <c r="HP47" s="85"/>
      <c r="HQ47" s="85"/>
      <c r="HR47" s="85"/>
      <c r="HS47" s="85"/>
      <c r="HT47" s="85"/>
      <c r="HU47" s="85"/>
      <c r="HV47" s="85"/>
      <c r="HW47" s="85"/>
      <c r="HX47" s="85"/>
      <c r="HY47" s="85"/>
      <c r="HZ47" s="85"/>
      <c r="IA47" s="85"/>
      <c r="IB47" s="85"/>
      <c r="IC47" s="85"/>
      <c r="ID47" s="85"/>
      <c r="IE47" s="85"/>
      <c r="IF47" s="85"/>
      <c r="IG47" s="85"/>
      <c r="IH47" s="85"/>
      <c r="II47" s="85"/>
      <c r="IJ47" s="85"/>
      <c r="IK47" s="85"/>
      <c r="IL47" s="85"/>
      <c r="IM47" s="85"/>
      <c r="IN47" s="85"/>
      <c r="IO47" s="85"/>
      <c r="IP47" s="85"/>
      <c r="IQ47" s="85"/>
      <c r="IR47" s="85"/>
      <c r="IS47" s="85"/>
      <c r="IT47" s="85"/>
      <c r="IU47" s="85"/>
      <c r="IV47" s="85"/>
      <c r="IW47" s="85"/>
      <c r="IX47" s="85"/>
      <c r="IY47" s="85"/>
      <c r="IZ47" s="85"/>
      <c r="JA47" s="85"/>
      <c r="JB47" s="85"/>
      <c r="JC47" s="85"/>
      <c r="JD47" s="85"/>
      <c r="JE47" s="85"/>
      <c r="JF47" s="85"/>
      <c r="JG47" s="85"/>
      <c r="JH47" s="85"/>
      <c r="JI47" s="85"/>
      <c r="JJ47" s="85"/>
      <c r="JK47" s="85"/>
      <c r="JL47" s="85"/>
      <c r="JM47" s="85"/>
      <c r="JN47" s="85"/>
      <c r="JO47" s="85"/>
      <c r="JP47" s="85"/>
      <c r="JQ47" s="85"/>
      <c r="JR47" s="85"/>
      <c r="JS47" s="85"/>
      <c r="JT47" s="85"/>
      <c r="JU47" s="85"/>
      <c r="JV47" s="85"/>
      <c r="JW47" s="85"/>
      <c r="JX47" s="85"/>
      <c r="JY47" s="85"/>
      <c r="JZ47" s="85"/>
      <c r="KA47" s="85"/>
      <c r="KB47" s="85"/>
      <c r="KC47" s="85"/>
      <c r="KD47" s="85"/>
      <c r="KE47" s="85"/>
      <c r="KF47" s="85"/>
      <c r="KG47" s="85"/>
      <c r="KH47" s="85"/>
      <c r="KI47" s="85"/>
      <c r="KJ47" s="85"/>
      <c r="KK47" s="85"/>
      <c r="KL47" s="85"/>
      <c r="KM47" s="85"/>
      <c r="KN47" s="85"/>
      <c r="KO47" s="85"/>
      <c r="KP47" s="85"/>
      <c r="KQ47" s="85"/>
      <c r="KR47" s="85"/>
      <c r="KS47" s="85"/>
      <c r="KT47" s="85"/>
      <c r="KU47" s="85"/>
      <c r="KV47" s="85"/>
      <c r="KW47" s="85"/>
      <c r="KX47" s="85"/>
      <c r="KY47" s="85"/>
      <c r="KZ47" s="85"/>
      <c r="LA47" s="85"/>
      <c r="LB47" s="85"/>
      <c r="LC47" s="85"/>
      <c r="LD47" s="85"/>
      <c r="LE47" s="85"/>
      <c r="LF47" s="85"/>
      <c r="LG47" s="85"/>
      <c r="LH47" s="85"/>
      <c r="LI47" s="85"/>
      <c r="LJ47" s="85"/>
      <c r="LK47" s="85"/>
      <c r="LL47" s="85"/>
      <c r="LM47" s="85"/>
      <c r="LN47" s="85"/>
      <c r="LO47" s="85"/>
      <c r="LP47" s="85"/>
      <c r="LQ47" s="85"/>
      <c r="LR47" s="85"/>
      <c r="LS47" s="85"/>
      <c r="LT47" s="85"/>
      <c r="LU47" s="85"/>
      <c r="LV47" s="85"/>
      <c r="LW47" s="85"/>
      <c r="LX47" s="85"/>
      <c r="LY47" s="85"/>
      <c r="LZ47" s="85"/>
      <c r="MA47" s="85"/>
      <c r="MB47" s="85"/>
      <c r="MC47" s="85"/>
      <c r="MD47" s="85"/>
      <c r="ME47" s="85"/>
      <c r="MF47" s="85"/>
      <c r="MG47" s="85"/>
      <c r="MH47" s="85"/>
      <c r="MI47" s="85"/>
      <c r="MJ47" s="85"/>
      <c r="MK47" s="85"/>
      <c r="ML47" s="85"/>
      <c r="MM47" s="85"/>
      <c r="MN47" s="85"/>
      <c r="MO47" s="85"/>
      <c r="MP47" s="85"/>
      <c r="MQ47" s="85"/>
      <c r="MR47" s="85"/>
      <c r="MS47" s="85"/>
      <c r="MT47" s="85"/>
      <c r="MU47" s="85"/>
      <c r="MV47" s="85"/>
      <c r="MW47" s="85"/>
      <c r="MX47" s="85"/>
      <c r="MY47" s="85"/>
      <c r="MZ47" s="85"/>
      <c r="NA47" s="85"/>
      <c r="NB47" s="85"/>
      <c r="NC47" s="85"/>
      <c r="ND47" s="85"/>
      <c r="NE47" s="85"/>
      <c r="NF47" s="85"/>
      <c r="NG47" s="85"/>
      <c r="NH47" s="85"/>
      <c r="NI47" s="85"/>
      <c r="NJ47" s="85"/>
      <c r="NK47" s="85"/>
      <c r="NL47" s="85"/>
      <c r="NM47" s="85"/>
      <c r="NN47" s="85"/>
      <c r="NO47" s="85"/>
      <c r="NP47" s="85"/>
      <c r="NQ47" s="85"/>
      <c r="NR47" s="85"/>
      <c r="NS47" s="85"/>
      <c r="NT47" s="85"/>
      <c r="NU47" s="85"/>
      <c r="NV47" s="85"/>
      <c r="NW47" s="85"/>
      <c r="NX47" s="85"/>
      <c r="NY47" s="85"/>
      <c r="NZ47" s="85"/>
      <c r="OA47" s="85"/>
      <c r="OB47" s="85"/>
      <c r="OC47" s="85"/>
      <c r="OD47" s="85"/>
      <c r="OE47" s="85"/>
      <c r="OF47" s="85"/>
      <c r="OG47" s="85"/>
      <c r="OH47" s="85"/>
      <c r="OI47" s="85"/>
      <c r="OJ47" s="85"/>
      <c r="OK47" s="85"/>
      <c r="OL47" s="85"/>
      <c r="OM47" s="85"/>
      <c r="ON47" s="85"/>
      <c r="OO47" s="85"/>
      <c r="OP47" s="85"/>
      <c r="OQ47" s="85"/>
      <c r="OR47" s="85"/>
      <c r="OS47" s="85"/>
      <c r="OT47" s="85"/>
      <c r="OU47" s="85"/>
      <c r="OV47" s="85"/>
      <c r="OW47" s="85"/>
      <c r="OX47" s="85"/>
      <c r="OY47" s="85"/>
      <c r="OZ47" s="85"/>
      <c r="PA47" s="85"/>
      <c r="PB47" s="85"/>
      <c r="PC47" s="85"/>
      <c r="PD47" s="85"/>
      <c r="PE47" s="85"/>
      <c r="PF47" s="85"/>
      <c r="PG47" s="85"/>
      <c r="PH47" s="85"/>
      <c r="PI47" s="85"/>
      <c r="PJ47" s="85"/>
      <c r="PK47" s="85"/>
      <c r="PL47" s="85"/>
      <c r="PM47" s="85"/>
      <c r="PN47" s="85"/>
      <c r="PO47" s="85"/>
      <c r="PP47" s="85"/>
      <c r="PQ47" s="85"/>
      <c r="PR47" s="86"/>
    </row>
    <row r="48" spans="1:434" ht="25.5" x14ac:dyDescent="0.25">
      <c r="A48" s="24"/>
      <c r="B48" s="25" t="s">
        <v>114</v>
      </c>
      <c r="C48" s="24" t="s">
        <v>66</v>
      </c>
      <c r="D48" s="24" t="s">
        <v>73</v>
      </c>
      <c r="E48" s="24"/>
      <c r="F48" s="23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3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3"/>
      <c r="CG48" s="82"/>
      <c r="CH48" s="82"/>
      <c r="CI48" s="82"/>
      <c r="CJ48" s="82"/>
      <c r="CK48" s="82"/>
      <c r="CL48" s="82"/>
      <c r="CM48" s="82"/>
      <c r="CN48" s="82"/>
      <c r="CO48" s="82"/>
      <c r="CP48" s="82"/>
      <c r="CQ48" s="82"/>
      <c r="CR48" s="82"/>
      <c r="CS48" s="82"/>
      <c r="CT48" s="82">
        <v>24</v>
      </c>
      <c r="CU48" s="82"/>
      <c r="CV48" s="82"/>
      <c r="CW48" s="82"/>
      <c r="CX48" s="82"/>
      <c r="CY48" s="82"/>
      <c r="CZ48" s="82"/>
      <c r="DA48" s="82">
        <v>9</v>
      </c>
      <c r="DB48" s="82"/>
      <c r="DC48" s="82"/>
      <c r="DD48" s="82"/>
      <c r="DE48" s="82"/>
      <c r="DF48" s="82"/>
      <c r="DG48" s="82"/>
      <c r="DH48" s="82">
        <v>30</v>
      </c>
      <c r="DI48" s="82">
        <v>60</v>
      </c>
      <c r="DJ48" s="82"/>
      <c r="DK48" s="82"/>
      <c r="DL48" s="82">
        <v>36</v>
      </c>
      <c r="DM48" s="82"/>
      <c r="DN48" s="82"/>
      <c r="DO48" s="82"/>
      <c r="DP48" s="82"/>
      <c r="DQ48" s="82">
        <v>6</v>
      </c>
      <c r="DR48" s="82"/>
      <c r="DS48" s="23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3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  <c r="GR48" s="26"/>
      <c r="GS48" s="23"/>
      <c r="GT48" s="26"/>
      <c r="GU48" s="26"/>
      <c r="GV48" s="26"/>
      <c r="GW48" s="26"/>
      <c r="GX48" s="26"/>
      <c r="GY48" s="26"/>
      <c r="GZ48" s="26"/>
      <c r="HA48" s="26"/>
      <c r="HB48" s="26"/>
      <c r="HC48" s="26"/>
      <c r="HD48" s="26"/>
      <c r="HE48" s="26"/>
      <c r="HF48" s="26"/>
      <c r="HG48" s="26"/>
      <c r="HH48" s="26"/>
      <c r="HI48" s="26"/>
      <c r="HJ48" s="26"/>
      <c r="HK48" s="26"/>
      <c r="HL48" s="26"/>
      <c r="HM48" s="26"/>
      <c r="HN48" s="26"/>
      <c r="HO48" s="26"/>
      <c r="HP48" s="26"/>
      <c r="HQ48" s="26"/>
      <c r="HR48" s="26"/>
      <c r="HS48" s="26"/>
      <c r="HT48" s="26"/>
      <c r="HU48" s="26"/>
      <c r="HV48" s="26"/>
      <c r="HW48" s="26"/>
      <c r="HX48" s="26"/>
      <c r="HY48" s="26"/>
      <c r="HZ48" s="26"/>
      <c r="IA48" s="26"/>
      <c r="IB48" s="26"/>
      <c r="IC48" s="26"/>
      <c r="ID48" s="26"/>
      <c r="IE48" s="26"/>
      <c r="IF48" s="23"/>
      <c r="IG48" s="26"/>
      <c r="IH48" s="26"/>
      <c r="II48" s="26"/>
      <c r="IJ48" s="26"/>
      <c r="IK48" s="26"/>
      <c r="IL48" s="26"/>
      <c r="IM48" s="26"/>
      <c r="IN48" s="26"/>
      <c r="IO48" s="26"/>
      <c r="IP48" s="26"/>
      <c r="IQ48" s="26"/>
      <c r="IR48" s="26"/>
      <c r="IS48" s="26"/>
      <c r="IT48" s="26"/>
      <c r="IU48" s="26"/>
      <c r="IV48" s="26"/>
      <c r="IW48" s="26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  <c r="JM48" s="26"/>
      <c r="JN48" s="26"/>
      <c r="JO48" s="26"/>
      <c r="JP48" s="26"/>
      <c r="JQ48" s="26"/>
      <c r="JR48" s="26"/>
      <c r="JS48" s="23"/>
      <c r="JT48" s="26"/>
      <c r="JU48" s="26"/>
      <c r="JV48" s="26"/>
      <c r="JW48" s="26"/>
      <c r="JX48" s="26"/>
      <c r="JY48" s="26"/>
      <c r="JZ48" s="26"/>
      <c r="KA48" s="26"/>
      <c r="KB48" s="26"/>
      <c r="KC48" s="26"/>
      <c r="KD48" s="26"/>
      <c r="KE48" s="26"/>
      <c r="KF48" s="26"/>
      <c r="KG48" s="26"/>
      <c r="KH48" s="26"/>
      <c r="KI48" s="26"/>
      <c r="KJ48" s="26"/>
      <c r="KK48" s="26"/>
      <c r="KL48" s="26"/>
      <c r="KM48" s="26"/>
      <c r="KN48" s="26"/>
      <c r="KO48" s="26"/>
      <c r="KP48" s="26"/>
      <c r="KQ48" s="26"/>
      <c r="KR48" s="26"/>
      <c r="KS48" s="26"/>
      <c r="KT48" s="26"/>
      <c r="KU48" s="26"/>
      <c r="KV48" s="26"/>
      <c r="KW48" s="26"/>
      <c r="KX48" s="26"/>
      <c r="KY48" s="26"/>
      <c r="KZ48" s="26"/>
      <c r="LA48" s="26"/>
      <c r="LB48" s="26"/>
      <c r="LC48" s="26"/>
      <c r="LD48" s="26"/>
      <c r="LE48" s="26"/>
      <c r="LF48" s="23"/>
      <c r="LG48" s="26"/>
      <c r="LH48" s="26"/>
      <c r="LI48" s="26"/>
      <c r="LJ48" s="26"/>
      <c r="LK48" s="26"/>
      <c r="LL48" s="26"/>
      <c r="LM48" s="26"/>
      <c r="LN48" s="26"/>
      <c r="LO48" s="26"/>
      <c r="LP48" s="26"/>
      <c r="LQ48" s="26"/>
      <c r="LR48" s="26"/>
      <c r="LS48" s="26"/>
      <c r="LT48" s="26"/>
      <c r="LU48" s="26"/>
      <c r="LV48" s="26"/>
      <c r="LW48" s="26"/>
      <c r="LX48" s="26"/>
      <c r="LY48" s="26"/>
      <c r="LZ48" s="26"/>
      <c r="MA48" s="26"/>
      <c r="MB48" s="26"/>
      <c r="MC48" s="26"/>
      <c r="MD48" s="26"/>
      <c r="ME48" s="26"/>
      <c r="MF48" s="26"/>
      <c r="MG48" s="26"/>
      <c r="MH48" s="26"/>
      <c r="MI48" s="26"/>
      <c r="MJ48" s="26"/>
      <c r="MK48" s="26"/>
      <c r="ML48" s="26"/>
      <c r="MM48" s="26"/>
      <c r="MN48" s="26"/>
      <c r="MO48" s="26"/>
      <c r="MP48" s="26"/>
      <c r="MQ48" s="26"/>
      <c r="MR48" s="26"/>
      <c r="MS48" s="23"/>
      <c r="MT48" s="26"/>
      <c r="MU48" s="26"/>
      <c r="MV48" s="26"/>
      <c r="MW48" s="26"/>
      <c r="MX48" s="26"/>
      <c r="MY48" s="26"/>
      <c r="MZ48" s="26"/>
      <c r="NA48" s="26"/>
      <c r="NB48" s="26"/>
      <c r="NC48" s="26"/>
      <c r="ND48" s="26"/>
      <c r="NE48" s="26"/>
      <c r="NF48" s="26"/>
      <c r="NG48" s="26"/>
      <c r="NH48" s="26"/>
      <c r="NI48" s="26"/>
      <c r="NJ48" s="26"/>
      <c r="NK48" s="26"/>
      <c r="NL48" s="26"/>
      <c r="NM48" s="26"/>
      <c r="NN48" s="26"/>
      <c r="NO48" s="26"/>
      <c r="NP48" s="26"/>
      <c r="NQ48" s="26"/>
      <c r="NR48" s="26"/>
      <c r="NS48" s="26"/>
      <c r="NT48" s="26"/>
      <c r="NU48" s="26"/>
      <c r="NV48" s="26"/>
      <c r="NW48" s="26"/>
      <c r="NX48" s="26"/>
      <c r="NY48" s="26"/>
      <c r="NZ48" s="26"/>
      <c r="OA48" s="26"/>
      <c r="OB48" s="26"/>
      <c r="OC48" s="26"/>
      <c r="OD48" s="26"/>
      <c r="OE48" s="26"/>
      <c r="OF48" s="23"/>
      <c r="OG48" s="26"/>
      <c r="OH48" s="26"/>
      <c r="OI48" s="26"/>
      <c r="OJ48" s="26"/>
      <c r="OK48" s="26"/>
      <c r="OL48" s="26"/>
      <c r="OM48" s="26"/>
      <c r="ON48" s="26"/>
      <c r="OO48" s="26"/>
      <c r="OP48" s="26"/>
      <c r="OQ48" s="26"/>
      <c r="OR48" s="26"/>
      <c r="OS48" s="26"/>
      <c r="OT48" s="26"/>
      <c r="OU48" s="26"/>
      <c r="OV48" s="26"/>
      <c r="OW48" s="26"/>
      <c r="OX48" s="26"/>
      <c r="OY48" s="26"/>
      <c r="OZ48" s="26"/>
      <c r="PA48" s="26"/>
      <c r="PB48" s="26"/>
      <c r="PC48" s="26"/>
      <c r="PD48" s="26"/>
      <c r="PE48" s="26"/>
      <c r="PF48" s="26"/>
      <c r="PG48" s="26"/>
      <c r="PH48" s="26"/>
      <c r="PI48" s="26"/>
      <c r="PJ48" s="26"/>
      <c r="PK48" s="26"/>
      <c r="PL48" s="26"/>
      <c r="PM48" s="26"/>
      <c r="PN48" s="26"/>
      <c r="PO48" s="26"/>
      <c r="PP48" s="26"/>
      <c r="PQ48" s="26"/>
      <c r="PR48" s="26"/>
    </row>
    <row r="49" spans="1:434" x14ac:dyDescent="0.25">
      <c r="A49" s="24"/>
      <c r="B49" s="25" t="s">
        <v>115</v>
      </c>
      <c r="C49" s="24" t="s">
        <v>70</v>
      </c>
      <c r="D49" s="24" t="s">
        <v>76</v>
      </c>
      <c r="E49" s="24"/>
      <c r="F49" s="23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3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3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82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>
        <v>50</v>
      </c>
      <c r="DG49" s="82"/>
      <c r="DH49" s="82"/>
      <c r="DI49" s="82"/>
      <c r="DJ49" s="82"/>
      <c r="DK49" s="82"/>
      <c r="DL49" s="82">
        <v>20</v>
      </c>
      <c r="DM49" s="82"/>
      <c r="DN49" s="82"/>
      <c r="DO49" s="82"/>
      <c r="DP49" s="82"/>
      <c r="DQ49" s="82"/>
      <c r="DR49" s="82"/>
      <c r="DS49" s="23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3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  <c r="GR49" s="26"/>
      <c r="GS49" s="23"/>
      <c r="GT49" s="26"/>
      <c r="GU49" s="26"/>
      <c r="GV49" s="26"/>
      <c r="GW49" s="26"/>
      <c r="GX49" s="26"/>
      <c r="GY49" s="26"/>
      <c r="GZ49" s="26"/>
      <c r="HA49" s="26"/>
      <c r="HB49" s="26"/>
      <c r="HC49" s="26"/>
      <c r="HD49" s="26"/>
      <c r="HE49" s="26"/>
      <c r="HF49" s="26"/>
      <c r="HG49" s="26"/>
      <c r="HH49" s="26"/>
      <c r="HI49" s="26"/>
      <c r="HJ49" s="26"/>
      <c r="HK49" s="26"/>
      <c r="HL49" s="26"/>
      <c r="HM49" s="26"/>
      <c r="HN49" s="26"/>
      <c r="HO49" s="26"/>
      <c r="HP49" s="26"/>
      <c r="HQ49" s="26"/>
      <c r="HR49" s="26"/>
      <c r="HS49" s="26"/>
      <c r="HT49" s="26"/>
      <c r="HU49" s="26"/>
      <c r="HV49" s="26"/>
      <c r="HW49" s="26"/>
      <c r="HX49" s="26"/>
      <c r="HY49" s="26"/>
      <c r="HZ49" s="26"/>
      <c r="IA49" s="26"/>
      <c r="IB49" s="26"/>
      <c r="IC49" s="26"/>
      <c r="ID49" s="26"/>
      <c r="IE49" s="26"/>
      <c r="IF49" s="23"/>
      <c r="IG49" s="26"/>
      <c r="IH49" s="26"/>
      <c r="II49" s="26"/>
      <c r="IJ49" s="26"/>
      <c r="IK49" s="26"/>
      <c r="IL49" s="26"/>
      <c r="IM49" s="26"/>
      <c r="IN49" s="26"/>
      <c r="IO49" s="26"/>
      <c r="IP49" s="26"/>
      <c r="IQ49" s="26"/>
      <c r="IR49" s="26"/>
      <c r="IS49" s="26"/>
      <c r="IT49" s="26"/>
      <c r="IU49" s="26"/>
      <c r="IV49" s="26"/>
      <c r="IW49" s="26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6"/>
      <c r="JO49" s="26"/>
      <c r="JP49" s="26"/>
      <c r="JQ49" s="26"/>
      <c r="JR49" s="26"/>
      <c r="JS49" s="23"/>
      <c r="JT49" s="26"/>
      <c r="JU49" s="26"/>
      <c r="JV49" s="26"/>
      <c r="JW49" s="26"/>
      <c r="JX49" s="26"/>
      <c r="JY49" s="26"/>
      <c r="JZ49" s="26"/>
      <c r="KA49" s="26"/>
      <c r="KB49" s="26"/>
      <c r="KC49" s="26"/>
      <c r="KD49" s="26"/>
      <c r="KE49" s="26"/>
      <c r="KF49" s="26"/>
      <c r="KG49" s="26"/>
      <c r="KH49" s="26"/>
      <c r="KI49" s="26"/>
      <c r="KJ49" s="26"/>
      <c r="KK49" s="26"/>
      <c r="KL49" s="26"/>
      <c r="KM49" s="26"/>
      <c r="KN49" s="26"/>
      <c r="KO49" s="26"/>
      <c r="KP49" s="26"/>
      <c r="KQ49" s="26"/>
      <c r="KR49" s="26"/>
      <c r="KS49" s="26"/>
      <c r="KT49" s="26"/>
      <c r="KU49" s="26"/>
      <c r="KV49" s="26"/>
      <c r="KW49" s="26"/>
      <c r="KX49" s="26"/>
      <c r="KY49" s="26"/>
      <c r="KZ49" s="26"/>
      <c r="LA49" s="26"/>
      <c r="LB49" s="26"/>
      <c r="LC49" s="26"/>
      <c r="LD49" s="26"/>
      <c r="LE49" s="26"/>
      <c r="LF49" s="23"/>
      <c r="LG49" s="26"/>
      <c r="LH49" s="26"/>
      <c r="LI49" s="26"/>
      <c r="LJ49" s="26"/>
      <c r="LK49" s="26"/>
      <c r="LL49" s="26"/>
      <c r="LM49" s="26"/>
      <c r="LN49" s="26"/>
      <c r="LO49" s="26"/>
      <c r="LP49" s="26"/>
      <c r="LQ49" s="26"/>
      <c r="LR49" s="26"/>
      <c r="LS49" s="26"/>
      <c r="LT49" s="26"/>
      <c r="LU49" s="26"/>
      <c r="LV49" s="26"/>
      <c r="LW49" s="26"/>
      <c r="LX49" s="26"/>
      <c r="LY49" s="26"/>
      <c r="LZ49" s="26"/>
      <c r="MA49" s="26"/>
      <c r="MB49" s="26"/>
      <c r="MC49" s="26"/>
      <c r="MD49" s="26"/>
      <c r="ME49" s="26"/>
      <c r="MF49" s="26"/>
      <c r="MG49" s="26"/>
      <c r="MH49" s="26"/>
      <c r="MI49" s="26"/>
      <c r="MJ49" s="26"/>
      <c r="MK49" s="26"/>
      <c r="ML49" s="26"/>
      <c r="MM49" s="26"/>
      <c r="MN49" s="26"/>
      <c r="MO49" s="26"/>
      <c r="MP49" s="26"/>
      <c r="MQ49" s="26"/>
      <c r="MR49" s="26"/>
      <c r="MS49" s="23"/>
      <c r="MT49" s="26"/>
      <c r="MU49" s="26"/>
      <c r="MV49" s="26"/>
      <c r="MW49" s="26"/>
      <c r="MX49" s="26"/>
      <c r="MY49" s="26"/>
      <c r="MZ49" s="26"/>
      <c r="NA49" s="26"/>
      <c r="NB49" s="26"/>
      <c r="NC49" s="26"/>
      <c r="ND49" s="26"/>
      <c r="NE49" s="26"/>
      <c r="NF49" s="26"/>
      <c r="NG49" s="26"/>
      <c r="NH49" s="26"/>
      <c r="NI49" s="26"/>
      <c r="NJ49" s="26"/>
      <c r="NK49" s="26"/>
      <c r="NL49" s="26"/>
      <c r="NM49" s="26"/>
      <c r="NN49" s="26"/>
      <c r="NO49" s="26"/>
      <c r="NP49" s="26"/>
      <c r="NQ49" s="26"/>
      <c r="NR49" s="26"/>
      <c r="NS49" s="26"/>
      <c r="NT49" s="26"/>
      <c r="NU49" s="26"/>
      <c r="NV49" s="26"/>
      <c r="NW49" s="26"/>
      <c r="NX49" s="26"/>
      <c r="NY49" s="26"/>
      <c r="NZ49" s="26"/>
      <c r="OA49" s="26"/>
      <c r="OB49" s="26"/>
      <c r="OC49" s="26"/>
      <c r="OD49" s="26"/>
      <c r="OE49" s="26"/>
      <c r="OF49" s="23"/>
      <c r="OG49" s="26"/>
      <c r="OH49" s="26"/>
      <c r="OI49" s="26"/>
      <c r="OJ49" s="26"/>
      <c r="OK49" s="26"/>
      <c r="OL49" s="26"/>
      <c r="OM49" s="26"/>
      <c r="ON49" s="26"/>
      <c r="OO49" s="26"/>
      <c r="OP49" s="26"/>
      <c r="OQ49" s="26"/>
      <c r="OR49" s="26"/>
      <c r="OS49" s="26"/>
      <c r="OT49" s="26"/>
      <c r="OU49" s="26"/>
      <c r="OV49" s="26"/>
      <c r="OW49" s="26"/>
      <c r="OX49" s="26"/>
      <c r="OY49" s="26"/>
      <c r="OZ49" s="26"/>
      <c r="PA49" s="26"/>
      <c r="PB49" s="26"/>
      <c r="PC49" s="26"/>
      <c r="PD49" s="26"/>
      <c r="PE49" s="26"/>
      <c r="PF49" s="26"/>
      <c r="PG49" s="26"/>
      <c r="PH49" s="26"/>
      <c r="PI49" s="26"/>
      <c r="PJ49" s="26"/>
      <c r="PK49" s="26"/>
      <c r="PL49" s="26"/>
      <c r="PM49" s="26"/>
      <c r="PN49" s="26"/>
      <c r="PO49" s="26"/>
      <c r="PP49" s="26"/>
      <c r="PQ49" s="26"/>
      <c r="PR49" s="26"/>
    </row>
    <row r="50" spans="1:434" x14ac:dyDescent="0.25">
      <c r="A50" s="24"/>
      <c r="B50" s="25" t="s">
        <v>116</v>
      </c>
      <c r="C50" s="24" t="s">
        <v>66</v>
      </c>
      <c r="D50" s="24" t="s">
        <v>76</v>
      </c>
      <c r="E50" s="24"/>
      <c r="F50" s="23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3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3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82">
        <v>14</v>
      </c>
      <c r="CU50" s="82"/>
      <c r="CV50" s="82"/>
      <c r="CW50" s="82"/>
      <c r="CX50" s="82"/>
      <c r="CY50" s="82"/>
      <c r="CZ50" s="82"/>
      <c r="DA50" s="82">
        <v>6</v>
      </c>
      <c r="DB50" s="82"/>
      <c r="DC50" s="82"/>
      <c r="DD50" s="82"/>
      <c r="DE50" s="82"/>
      <c r="DF50" s="82">
        <v>15</v>
      </c>
      <c r="DG50" s="82">
        <v>5</v>
      </c>
      <c r="DH50" s="82">
        <v>25</v>
      </c>
      <c r="DI50" s="82">
        <v>20</v>
      </c>
      <c r="DJ50" s="82"/>
      <c r="DK50" s="82"/>
      <c r="DL50" s="82">
        <v>6</v>
      </c>
      <c r="DM50" s="82"/>
      <c r="DN50" s="82"/>
      <c r="DO50" s="82"/>
      <c r="DP50" s="82"/>
      <c r="DQ50" s="82">
        <v>10</v>
      </c>
      <c r="DR50" s="82"/>
      <c r="DS50" s="23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3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  <c r="GR50" s="26"/>
      <c r="GS50" s="23"/>
      <c r="GT50" s="26"/>
      <c r="GU50" s="26"/>
      <c r="GV50" s="26"/>
      <c r="GW50" s="26"/>
      <c r="GX50" s="26"/>
      <c r="GY50" s="26"/>
      <c r="GZ50" s="26"/>
      <c r="HA50" s="26"/>
      <c r="HB50" s="26"/>
      <c r="HC50" s="26"/>
      <c r="HD50" s="26"/>
      <c r="HE50" s="26"/>
      <c r="HF50" s="26"/>
      <c r="HG50" s="26"/>
      <c r="HH50" s="26"/>
      <c r="HI50" s="26"/>
      <c r="HJ50" s="26"/>
      <c r="HK50" s="26"/>
      <c r="HL50" s="26"/>
      <c r="HM50" s="26"/>
      <c r="HN50" s="26"/>
      <c r="HO50" s="26"/>
      <c r="HP50" s="26"/>
      <c r="HQ50" s="26"/>
      <c r="HR50" s="26"/>
      <c r="HS50" s="26"/>
      <c r="HT50" s="26"/>
      <c r="HU50" s="26"/>
      <c r="HV50" s="26"/>
      <c r="HW50" s="26"/>
      <c r="HX50" s="26"/>
      <c r="HY50" s="26"/>
      <c r="HZ50" s="26"/>
      <c r="IA50" s="26"/>
      <c r="IB50" s="26"/>
      <c r="IC50" s="26"/>
      <c r="ID50" s="26"/>
      <c r="IE50" s="26"/>
      <c r="IF50" s="23"/>
      <c r="IG50" s="26"/>
      <c r="IH50" s="26"/>
      <c r="II50" s="26"/>
      <c r="IJ50" s="26"/>
      <c r="IK50" s="26"/>
      <c r="IL50" s="26"/>
      <c r="IM50" s="26"/>
      <c r="IN50" s="26"/>
      <c r="IO50" s="26"/>
      <c r="IP50" s="26"/>
      <c r="IQ50" s="26"/>
      <c r="IR50" s="26"/>
      <c r="IS50" s="26"/>
      <c r="IT50" s="26"/>
      <c r="IU50" s="26"/>
      <c r="IV50" s="26"/>
      <c r="IW50" s="26"/>
      <c r="IX50" s="26"/>
      <c r="IY50" s="26"/>
      <c r="IZ50" s="26"/>
      <c r="JA50" s="26"/>
      <c r="JB50" s="26"/>
      <c r="JC50" s="26"/>
      <c r="JD50" s="26"/>
      <c r="JE50" s="26"/>
      <c r="JF50" s="26"/>
      <c r="JG50" s="26"/>
      <c r="JH50" s="26"/>
      <c r="JI50" s="26"/>
      <c r="JJ50" s="26"/>
      <c r="JK50" s="26"/>
      <c r="JL50" s="26"/>
      <c r="JM50" s="26"/>
      <c r="JN50" s="26"/>
      <c r="JO50" s="26"/>
      <c r="JP50" s="26"/>
      <c r="JQ50" s="26"/>
      <c r="JR50" s="26"/>
      <c r="JS50" s="23"/>
      <c r="JT50" s="26"/>
      <c r="JU50" s="26"/>
      <c r="JV50" s="26"/>
      <c r="JW50" s="26"/>
      <c r="JX50" s="26"/>
      <c r="JY50" s="26"/>
      <c r="JZ50" s="26"/>
      <c r="KA50" s="26"/>
      <c r="KB50" s="26"/>
      <c r="KC50" s="26"/>
      <c r="KD50" s="26"/>
      <c r="KE50" s="26"/>
      <c r="KF50" s="26"/>
      <c r="KG50" s="26"/>
      <c r="KH50" s="26"/>
      <c r="KI50" s="26"/>
      <c r="KJ50" s="26"/>
      <c r="KK50" s="26"/>
      <c r="KL50" s="26"/>
      <c r="KM50" s="26"/>
      <c r="KN50" s="26"/>
      <c r="KO50" s="26"/>
      <c r="KP50" s="26"/>
      <c r="KQ50" s="26"/>
      <c r="KR50" s="26"/>
      <c r="KS50" s="26"/>
      <c r="KT50" s="26"/>
      <c r="KU50" s="26"/>
      <c r="KV50" s="26"/>
      <c r="KW50" s="26"/>
      <c r="KX50" s="26"/>
      <c r="KY50" s="26"/>
      <c r="KZ50" s="26"/>
      <c r="LA50" s="26"/>
      <c r="LB50" s="26"/>
      <c r="LC50" s="26"/>
      <c r="LD50" s="26"/>
      <c r="LE50" s="26"/>
      <c r="LF50" s="23"/>
      <c r="LG50" s="26"/>
      <c r="LH50" s="26"/>
      <c r="LI50" s="26"/>
      <c r="LJ50" s="26"/>
      <c r="LK50" s="26"/>
      <c r="LL50" s="26"/>
      <c r="LM50" s="26"/>
      <c r="LN50" s="26"/>
      <c r="LO50" s="26"/>
      <c r="LP50" s="26"/>
      <c r="LQ50" s="26"/>
      <c r="LR50" s="26"/>
      <c r="LS50" s="26"/>
      <c r="LT50" s="26"/>
      <c r="LU50" s="26"/>
      <c r="LV50" s="26"/>
      <c r="LW50" s="26"/>
      <c r="LX50" s="26"/>
      <c r="LY50" s="26"/>
      <c r="LZ50" s="26"/>
      <c r="MA50" s="26"/>
      <c r="MB50" s="26"/>
      <c r="MC50" s="26"/>
      <c r="MD50" s="26"/>
      <c r="ME50" s="26"/>
      <c r="MF50" s="26"/>
      <c r="MG50" s="26"/>
      <c r="MH50" s="26"/>
      <c r="MI50" s="26"/>
      <c r="MJ50" s="26"/>
      <c r="MK50" s="26"/>
      <c r="ML50" s="26"/>
      <c r="MM50" s="26"/>
      <c r="MN50" s="26"/>
      <c r="MO50" s="26"/>
      <c r="MP50" s="26"/>
      <c r="MQ50" s="26"/>
      <c r="MR50" s="26"/>
      <c r="MS50" s="23"/>
      <c r="MT50" s="26"/>
      <c r="MU50" s="26"/>
      <c r="MV50" s="26"/>
      <c r="MW50" s="26"/>
      <c r="MX50" s="26"/>
      <c r="MY50" s="26"/>
      <c r="MZ50" s="26"/>
      <c r="NA50" s="26"/>
      <c r="NB50" s="26"/>
      <c r="NC50" s="26"/>
      <c r="ND50" s="26"/>
      <c r="NE50" s="26"/>
      <c r="NF50" s="26"/>
      <c r="NG50" s="26"/>
      <c r="NH50" s="26"/>
      <c r="NI50" s="26"/>
      <c r="NJ50" s="26"/>
      <c r="NK50" s="26"/>
      <c r="NL50" s="26"/>
      <c r="NM50" s="26"/>
      <c r="NN50" s="26"/>
      <c r="NO50" s="26"/>
      <c r="NP50" s="26"/>
      <c r="NQ50" s="26"/>
      <c r="NR50" s="26"/>
      <c r="NS50" s="26"/>
      <c r="NT50" s="26"/>
      <c r="NU50" s="26"/>
      <c r="NV50" s="26"/>
      <c r="NW50" s="26"/>
      <c r="NX50" s="26"/>
      <c r="NY50" s="26"/>
      <c r="NZ50" s="26"/>
      <c r="OA50" s="26"/>
      <c r="OB50" s="26"/>
      <c r="OC50" s="26"/>
      <c r="OD50" s="26"/>
      <c r="OE50" s="26"/>
      <c r="OF50" s="23"/>
      <c r="OG50" s="26"/>
      <c r="OH50" s="26"/>
      <c r="OI50" s="26"/>
      <c r="OJ50" s="26"/>
      <c r="OK50" s="26"/>
      <c r="OL50" s="26"/>
      <c r="OM50" s="26"/>
      <c r="ON50" s="26"/>
      <c r="OO50" s="26"/>
      <c r="OP50" s="26"/>
      <c r="OQ50" s="26"/>
      <c r="OR50" s="26"/>
      <c r="OS50" s="26"/>
      <c r="OT50" s="26"/>
      <c r="OU50" s="26"/>
      <c r="OV50" s="26"/>
      <c r="OW50" s="26"/>
      <c r="OX50" s="26"/>
      <c r="OY50" s="26"/>
      <c r="OZ50" s="26"/>
      <c r="PA50" s="26"/>
      <c r="PB50" s="26"/>
      <c r="PC50" s="26"/>
      <c r="PD50" s="26"/>
      <c r="PE50" s="26"/>
      <c r="PF50" s="26"/>
      <c r="PG50" s="26"/>
      <c r="PH50" s="26"/>
      <c r="PI50" s="26"/>
      <c r="PJ50" s="26"/>
      <c r="PK50" s="26"/>
      <c r="PL50" s="26"/>
      <c r="PM50" s="26"/>
      <c r="PN50" s="26"/>
      <c r="PO50" s="26"/>
      <c r="PP50" s="26"/>
      <c r="PQ50" s="26"/>
      <c r="PR50" s="26"/>
    </row>
    <row r="51" spans="1:434" x14ac:dyDescent="0.25">
      <c r="A51" s="24"/>
      <c r="B51" s="25" t="s">
        <v>117</v>
      </c>
      <c r="C51" s="24" t="s">
        <v>70</v>
      </c>
      <c r="D51" s="24" t="s">
        <v>76</v>
      </c>
      <c r="E51" s="24"/>
      <c r="F51" s="23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3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3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82">
        <v>10</v>
      </c>
      <c r="CU51" s="82"/>
      <c r="CV51" s="82"/>
      <c r="CW51" s="82"/>
      <c r="CX51" s="82"/>
      <c r="CY51" s="82"/>
      <c r="CZ51" s="82">
        <v>30</v>
      </c>
      <c r="DA51" s="82">
        <v>30</v>
      </c>
      <c r="DB51" s="82"/>
      <c r="DC51" s="82"/>
      <c r="DD51" s="82"/>
      <c r="DE51" s="82"/>
      <c r="DF51" s="82"/>
      <c r="DG51" s="82"/>
      <c r="DH51" s="82"/>
      <c r="DI51" s="82"/>
      <c r="DJ51" s="82"/>
      <c r="DK51" s="82"/>
      <c r="DL51" s="82">
        <v>20</v>
      </c>
      <c r="DM51" s="82"/>
      <c r="DN51" s="82"/>
      <c r="DO51" s="82"/>
      <c r="DP51" s="82"/>
      <c r="DQ51" s="82">
        <v>2</v>
      </c>
      <c r="DR51" s="82"/>
      <c r="DS51" s="23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3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  <c r="GR51" s="26"/>
      <c r="GS51" s="23"/>
      <c r="GT51" s="26"/>
      <c r="GU51" s="26"/>
      <c r="GV51" s="26"/>
      <c r="GW51" s="26"/>
      <c r="GX51" s="26"/>
      <c r="GY51" s="26"/>
      <c r="GZ51" s="26"/>
      <c r="HA51" s="26"/>
      <c r="HB51" s="26"/>
      <c r="HC51" s="26"/>
      <c r="HD51" s="26"/>
      <c r="HE51" s="26"/>
      <c r="HF51" s="26"/>
      <c r="HG51" s="26"/>
      <c r="HH51" s="26"/>
      <c r="HI51" s="26"/>
      <c r="HJ51" s="26"/>
      <c r="HK51" s="26"/>
      <c r="HL51" s="26"/>
      <c r="HM51" s="26"/>
      <c r="HN51" s="26"/>
      <c r="HO51" s="26"/>
      <c r="HP51" s="26"/>
      <c r="HQ51" s="26"/>
      <c r="HR51" s="26"/>
      <c r="HS51" s="26"/>
      <c r="HT51" s="26"/>
      <c r="HU51" s="26"/>
      <c r="HV51" s="26"/>
      <c r="HW51" s="26"/>
      <c r="HX51" s="26"/>
      <c r="HY51" s="26"/>
      <c r="HZ51" s="26"/>
      <c r="IA51" s="26"/>
      <c r="IB51" s="26"/>
      <c r="IC51" s="26"/>
      <c r="ID51" s="26"/>
      <c r="IE51" s="26"/>
      <c r="IF51" s="23"/>
      <c r="IG51" s="26"/>
      <c r="IH51" s="26"/>
      <c r="II51" s="26"/>
      <c r="IJ51" s="26"/>
      <c r="IK51" s="26"/>
      <c r="IL51" s="26"/>
      <c r="IM51" s="26"/>
      <c r="IN51" s="26"/>
      <c r="IO51" s="26"/>
      <c r="IP51" s="26"/>
      <c r="IQ51" s="26"/>
      <c r="IR51" s="26"/>
      <c r="IS51" s="26"/>
      <c r="IT51" s="26"/>
      <c r="IU51" s="26"/>
      <c r="IV51" s="26"/>
      <c r="IW51" s="26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  <c r="JM51" s="26"/>
      <c r="JN51" s="26"/>
      <c r="JO51" s="26"/>
      <c r="JP51" s="26"/>
      <c r="JQ51" s="26"/>
      <c r="JR51" s="26"/>
      <c r="JS51" s="23"/>
      <c r="JT51" s="26"/>
      <c r="JU51" s="26"/>
      <c r="JV51" s="26"/>
      <c r="JW51" s="26"/>
      <c r="JX51" s="26"/>
      <c r="JY51" s="26"/>
      <c r="JZ51" s="26"/>
      <c r="KA51" s="26"/>
      <c r="KB51" s="26"/>
      <c r="KC51" s="26"/>
      <c r="KD51" s="26"/>
      <c r="KE51" s="26"/>
      <c r="KF51" s="26"/>
      <c r="KG51" s="26"/>
      <c r="KH51" s="26"/>
      <c r="KI51" s="26"/>
      <c r="KJ51" s="26"/>
      <c r="KK51" s="26"/>
      <c r="KL51" s="26"/>
      <c r="KM51" s="26"/>
      <c r="KN51" s="26"/>
      <c r="KO51" s="26"/>
      <c r="KP51" s="26"/>
      <c r="KQ51" s="26"/>
      <c r="KR51" s="26"/>
      <c r="KS51" s="26"/>
      <c r="KT51" s="26"/>
      <c r="KU51" s="26"/>
      <c r="KV51" s="26"/>
      <c r="KW51" s="26"/>
      <c r="KX51" s="26"/>
      <c r="KY51" s="26"/>
      <c r="KZ51" s="26"/>
      <c r="LA51" s="26"/>
      <c r="LB51" s="26"/>
      <c r="LC51" s="26"/>
      <c r="LD51" s="26"/>
      <c r="LE51" s="26"/>
      <c r="LF51" s="23"/>
      <c r="LG51" s="26"/>
      <c r="LH51" s="26"/>
      <c r="LI51" s="26"/>
      <c r="LJ51" s="26"/>
      <c r="LK51" s="26"/>
      <c r="LL51" s="26"/>
      <c r="LM51" s="26"/>
      <c r="LN51" s="26"/>
      <c r="LO51" s="26"/>
      <c r="LP51" s="26"/>
      <c r="LQ51" s="26"/>
      <c r="LR51" s="26"/>
      <c r="LS51" s="26"/>
      <c r="LT51" s="26"/>
      <c r="LU51" s="26"/>
      <c r="LV51" s="26"/>
      <c r="LW51" s="26"/>
      <c r="LX51" s="26"/>
      <c r="LY51" s="26"/>
      <c r="LZ51" s="26"/>
      <c r="MA51" s="26"/>
      <c r="MB51" s="26"/>
      <c r="MC51" s="26"/>
      <c r="MD51" s="26"/>
      <c r="ME51" s="26"/>
      <c r="MF51" s="26"/>
      <c r="MG51" s="26"/>
      <c r="MH51" s="26"/>
      <c r="MI51" s="26"/>
      <c r="MJ51" s="26"/>
      <c r="MK51" s="26"/>
      <c r="ML51" s="26"/>
      <c r="MM51" s="26"/>
      <c r="MN51" s="26"/>
      <c r="MO51" s="26"/>
      <c r="MP51" s="26"/>
      <c r="MQ51" s="26"/>
      <c r="MR51" s="26"/>
      <c r="MS51" s="23"/>
      <c r="MT51" s="26"/>
      <c r="MU51" s="26"/>
      <c r="MV51" s="26"/>
      <c r="MW51" s="26"/>
      <c r="MX51" s="26"/>
      <c r="MY51" s="26"/>
      <c r="MZ51" s="26"/>
      <c r="NA51" s="26"/>
      <c r="NB51" s="26"/>
      <c r="NC51" s="26"/>
      <c r="ND51" s="26"/>
      <c r="NE51" s="26"/>
      <c r="NF51" s="26"/>
      <c r="NG51" s="26"/>
      <c r="NH51" s="26"/>
      <c r="NI51" s="26"/>
      <c r="NJ51" s="26"/>
      <c r="NK51" s="26"/>
      <c r="NL51" s="26"/>
      <c r="NM51" s="26"/>
      <c r="NN51" s="26"/>
      <c r="NO51" s="26"/>
      <c r="NP51" s="26"/>
      <c r="NQ51" s="26"/>
      <c r="NR51" s="26"/>
      <c r="NS51" s="26"/>
      <c r="NT51" s="26"/>
      <c r="NU51" s="26"/>
      <c r="NV51" s="26"/>
      <c r="NW51" s="26"/>
      <c r="NX51" s="26"/>
      <c r="NY51" s="26"/>
      <c r="NZ51" s="26"/>
      <c r="OA51" s="26"/>
      <c r="OB51" s="26"/>
      <c r="OC51" s="26"/>
      <c r="OD51" s="26"/>
      <c r="OE51" s="26"/>
      <c r="OF51" s="23"/>
      <c r="OG51" s="26"/>
      <c r="OH51" s="26"/>
      <c r="OI51" s="26"/>
      <c r="OJ51" s="26"/>
      <c r="OK51" s="26"/>
      <c r="OL51" s="26"/>
      <c r="OM51" s="26"/>
      <c r="ON51" s="26"/>
      <c r="OO51" s="26"/>
      <c r="OP51" s="26"/>
      <c r="OQ51" s="26"/>
      <c r="OR51" s="26"/>
      <c r="OS51" s="26"/>
      <c r="OT51" s="26"/>
      <c r="OU51" s="26"/>
      <c r="OV51" s="26"/>
      <c r="OW51" s="26"/>
      <c r="OX51" s="26"/>
      <c r="OY51" s="26"/>
      <c r="OZ51" s="26"/>
      <c r="PA51" s="26"/>
      <c r="PB51" s="26"/>
      <c r="PC51" s="26"/>
      <c r="PD51" s="26"/>
      <c r="PE51" s="26"/>
      <c r="PF51" s="26"/>
      <c r="PG51" s="26"/>
      <c r="PH51" s="26"/>
      <c r="PI51" s="26"/>
      <c r="PJ51" s="26"/>
      <c r="PK51" s="26"/>
      <c r="PL51" s="26"/>
      <c r="PM51" s="26"/>
      <c r="PN51" s="26"/>
      <c r="PO51" s="26"/>
      <c r="PP51" s="26"/>
      <c r="PQ51" s="26"/>
      <c r="PR51" s="26"/>
    </row>
    <row r="52" spans="1:434" x14ac:dyDescent="0.25">
      <c r="A52" s="24"/>
      <c r="B52" s="25" t="s">
        <v>118</v>
      </c>
      <c r="C52" s="24" t="s">
        <v>66</v>
      </c>
      <c r="D52" s="24" t="s">
        <v>76</v>
      </c>
      <c r="E52" s="24"/>
      <c r="F52" s="23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3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3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82">
        <v>16</v>
      </c>
      <c r="CU52" s="82"/>
      <c r="CV52" s="82"/>
      <c r="CW52" s="82"/>
      <c r="CX52" s="82"/>
      <c r="CY52" s="82"/>
      <c r="CZ52" s="82"/>
      <c r="DA52" s="82">
        <v>3</v>
      </c>
      <c r="DB52" s="82"/>
      <c r="DC52" s="82"/>
      <c r="DD52" s="82"/>
      <c r="DE52" s="82"/>
      <c r="DF52" s="82"/>
      <c r="DG52" s="82"/>
      <c r="DH52" s="82"/>
      <c r="DI52" s="82"/>
      <c r="DJ52" s="82"/>
      <c r="DK52" s="82"/>
      <c r="DL52" s="82">
        <v>3</v>
      </c>
      <c r="DM52" s="82"/>
      <c r="DN52" s="82"/>
      <c r="DO52" s="82"/>
      <c r="DP52" s="82"/>
      <c r="DQ52" s="82">
        <v>2</v>
      </c>
      <c r="DR52" s="82"/>
      <c r="DS52" s="23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3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  <c r="GR52" s="26"/>
      <c r="GS52" s="23"/>
      <c r="GT52" s="26"/>
      <c r="GU52" s="26"/>
      <c r="GV52" s="26"/>
      <c r="GW52" s="26"/>
      <c r="GX52" s="26"/>
      <c r="GY52" s="26"/>
      <c r="GZ52" s="26"/>
      <c r="HA52" s="26"/>
      <c r="HB52" s="26"/>
      <c r="HC52" s="26"/>
      <c r="HD52" s="26"/>
      <c r="HE52" s="26"/>
      <c r="HF52" s="26"/>
      <c r="HG52" s="26"/>
      <c r="HH52" s="26"/>
      <c r="HI52" s="26"/>
      <c r="HJ52" s="26"/>
      <c r="HK52" s="26"/>
      <c r="HL52" s="26"/>
      <c r="HM52" s="26"/>
      <c r="HN52" s="26"/>
      <c r="HO52" s="26"/>
      <c r="HP52" s="26"/>
      <c r="HQ52" s="26"/>
      <c r="HR52" s="26"/>
      <c r="HS52" s="26"/>
      <c r="HT52" s="26"/>
      <c r="HU52" s="26"/>
      <c r="HV52" s="26"/>
      <c r="HW52" s="26"/>
      <c r="HX52" s="26"/>
      <c r="HY52" s="26"/>
      <c r="HZ52" s="26"/>
      <c r="IA52" s="26"/>
      <c r="IB52" s="26"/>
      <c r="IC52" s="26"/>
      <c r="ID52" s="26"/>
      <c r="IE52" s="26"/>
      <c r="IF52" s="23"/>
      <c r="IG52" s="26"/>
      <c r="IH52" s="26"/>
      <c r="II52" s="26"/>
      <c r="IJ52" s="26"/>
      <c r="IK52" s="26"/>
      <c r="IL52" s="26"/>
      <c r="IM52" s="26"/>
      <c r="IN52" s="26"/>
      <c r="IO52" s="26"/>
      <c r="IP52" s="26"/>
      <c r="IQ52" s="26"/>
      <c r="IR52" s="26"/>
      <c r="IS52" s="26"/>
      <c r="IT52" s="26"/>
      <c r="IU52" s="26"/>
      <c r="IV52" s="26"/>
      <c r="IW52" s="26"/>
      <c r="IX52" s="26"/>
      <c r="IY52" s="26"/>
      <c r="IZ52" s="26"/>
      <c r="JA52" s="26"/>
      <c r="JB52" s="26"/>
      <c r="JC52" s="26"/>
      <c r="JD52" s="26"/>
      <c r="JE52" s="26"/>
      <c r="JF52" s="26"/>
      <c r="JG52" s="26"/>
      <c r="JH52" s="26"/>
      <c r="JI52" s="26"/>
      <c r="JJ52" s="26"/>
      <c r="JK52" s="26"/>
      <c r="JL52" s="26"/>
      <c r="JM52" s="26"/>
      <c r="JN52" s="26"/>
      <c r="JO52" s="26"/>
      <c r="JP52" s="26"/>
      <c r="JQ52" s="26"/>
      <c r="JR52" s="26"/>
      <c r="JS52" s="23"/>
      <c r="JT52" s="26"/>
      <c r="JU52" s="26"/>
      <c r="JV52" s="26"/>
      <c r="JW52" s="26"/>
      <c r="JX52" s="26"/>
      <c r="JY52" s="26"/>
      <c r="JZ52" s="26"/>
      <c r="KA52" s="26"/>
      <c r="KB52" s="26"/>
      <c r="KC52" s="26"/>
      <c r="KD52" s="26"/>
      <c r="KE52" s="26"/>
      <c r="KF52" s="26"/>
      <c r="KG52" s="26"/>
      <c r="KH52" s="26"/>
      <c r="KI52" s="26"/>
      <c r="KJ52" s="26"/>
      <c r="KK52" s="26"/>
      <c r="KL52" s="26"/>
      <c r="KM52" s="26"/>
      <c r="KN52" s="26"/>
      <c r="KO52" s="26"/>
      <c r="KP52" s="26"/>
      <c r="KQ52" s="26"/>
      <c r="KR52" s="26"/>
      <c r="KS52" s="26"/>
      <c r="KT52" s="26"/>
      <c r="KU52" s="26"/>
      <c r="KV52" s="26"/>
      <c r="KW52" s="26"/>
      <c r="KX52" s="26"/>
      <c r="KY52" s="26"/>
      <c r="KZ52" s="26"/>
      <c r="LA52" s="26"/>
      <c r="LB52" s="26"/>
      <c r="LC52" s="26"/>
      <c r="LD52" s="26"/>
      <c r="LE52" s="26"/>
      <c r="LF52" s="23"/>
      <c r="LG52" s="26"/>
      <c r="LH52" s="26"/>
      <c r="LI52" s="26"/>
      <c r="LJ52" s="26"/>
      <c r="LK52" s="26"/>
      <c r="LL52" s="26"/>
      <c r="LM52" s="26"/>
      <c r="LN52" s="26"/>
      <c r="LO52" s="26"/>
      <c r="LP52" s="26"/>
      <c r="LQ52" s="26"/>
      <c r="LR52" s="26"/>
      <c r="LS52" s="26"/>
      <c r="LT52" s="26"/>
      <c r="LU52" s="26"/>
      <c r="LV52" s="26"/>
      <c r="LW52" s="26"/>
      <c r="LX52" s="26"/>
      <c r="LY52" s="26"/>
      <c r="LZ52" s="26"/>
      <c r="MA52" s="26"/>
      <c r="MB52" s="26"/>
      <c r="MC52" s="26"/>
      <c r="MD52" s="26"/>
      <c r="ME52" s="26"/>
      <c r="MF52" s="26"/>
      <c r="MG52" s="26"/>
      <c r="MH52" s="26"/>
      <c r="MI52" s="26"/>
      <c r="MJ52" s="26"/>
      <c r="MK52" s="26"/>
      <c r="ML52" s="26"/>
      <c r="MM52" s="26"/>
      <c r="MN52" s="26"/>
      <c r="MO52" s="26"/>
      <c r="MP52" s="26"/>
      <c r="MQ52" s="26"/>
      <c r="MR52" s="26"/>
      <c r="MS52" s="23"/>
      <c r="MT52" s="26"/>
      <c r="MU52" s="26"/>
      <c r="MV52" s="26"/>
      <c r="MW52" s="26"/>
      <c r="MX52" s="26"/>
      <c r="MY52" s="26"/>
      <c r="MZ52" s="26"/>
      <c r="NA52" s="26"/>
      <c r="NB52" s="26"/>
      <c r="NC52" s="26"/>
      <c r="ND52" s="26"/>
      <c r="NE52" s="26"/>
      <c r="NF52" s="26"/>
      <c r="NG52" s="26"/>
      <c r="NH52" s="26"/>
      <c r="NI52" s="26"/>
      <c r="NJ52" s="26"/>
      <c r="NK52" s="26"/>
      <c r="NL52" s="26"/>
      <c r="NM52" s="26"/>
      <c r="NN52" s="26"/>
      <c r="NO52" s="26"/>
      <c r="NP52" s="26"/>
      <c r="NQ52" s="26"/>
      <c r="NR52" s="26"/>
      <c r="NS52" s="26"/>
      <c r="NT52" s="26"/>
      <c r="NU52" s="26"/>
      <c r="NV52" s="26"/>
      <c r="NW52" s="26"/>
      <c r="NX52" s="26"/>
      <c r="NY52" s="26"/>
      <c r="NZ52" s="26"/>
      <c r="OA52" s="26"/>
      <c r="OB52" s="26"/>
      <c r="OC52" s="26"/>
      <c r="OD52" s="26"/>
      <c r="OE52" s="26"/>
      <c r="OF52" s="23"/>
      <c r="OG52" s="26"/>
      <c r="OH52" s="26"/>
      <c r="OI52" s="26"/>
      <c r="OJ52" s="26"/>
      <c r="OK52" s="26"/>
      <c r="OL52" s="26"/>
      <c r="OM52" s="26"/>
      <c r="ON52" s="26"/>
      <c r="OO52" s="26"/>
      <c r="OP52" s="26"/>
      <c r="OQ52" s="26"/>
      <c r="OR52" s="26"/>
      <c r="OS52" s="26"/>
      <c r="OT52" s="26"/>
      <c r="OU52" s="26"/>
      <c r="OV52" s="26"/>
      <c r="OW52" s="26"/>
      <c r="OX52" s="26"/>
      <c r="OY52" s="26"/>
      <c r="OZ52" s="26"/>
      <c r="PA52" s="26"/>
      <c r="PB52" s="26"/>
      <c r="PC52" s="26"/>
      <c r="PD52" s="26"/>
      <c r="PE52" s="26"/>
      <c r="PF52" s="26"/>
      <c r="PG52" s="26"/>
      <c r="PH52" s="26"/>
      <c r="PI52" s="26"/>
      <c r="PJ52" s="26"/>
      <c r="PK52" s="26"/>
      <c r="PL52" s="26"/>
      <c r="PM52" s="26"/>
      <c r="PN52" s="26"/>
      <c r="PO52" s="26"/>
      <c r="PP52" s="26"/>
      <c r="PQ52" s="26"/>
      <c r="PR52" s="26"/>
    </row>
    <row r="53" spans="1:434" ht="25.5" x14ac:dyDescent="0.25">
      <c r="A53" s="24"/>
      <c r="B53" s="25" t="s">
        <v>119</v>
      </c>
      <c r="C53" s="24" t="s">
        <v>70</v>
      </c>
      <c r="D53" s="24" t="s">
        <v>73</v>
      </c>
      <c r="E53" s="24"/>
      <c r="F53" s="23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3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3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82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  <c r="DK53" s="82"/>
      <c r="DL53" s="82">
        <v>40</v>
      </c>
      <c r="DM53" s="82"/>
      <c r="DN53" s="82"/>
      <c r="DO53" s="82"/>
      <c r="DP53" s="82"/>
      <c r="DQ53" s="82"/>
      <c r="DR53" s="82"/>
      <c r="DS53" s="23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3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  <c r="GR53" s="26"/>
      <c r="GS53" s="23"/>
      <c r="GT53" s="26"/>
      <c r="GU53" s="26"/>
      <c r="GV53" s="26"/>
      <c r="GW53" s="26"/>
      <c r="GX53" s="26"/>
      <c r="GY53" s="26"/>
      <c r="GZ53" s="26"/>
      <c r="HA53" s="26"/>
      <c r="HB53" s="26"/>
      <c r="HC53" s="26"/>
      <c r="HD53" s="26"/>
      <c r="HE53" s="26"/>
      <c r="HF53" s="26"/>
      <c r="HG53" s="26"/>
      <c r="HH53" s="26"/>
      <c r="HI53" s="26"/>
      <c r="HJ53" s="26"/>
      <c r="HK53" s="26"/>
      <c r="HL53" s="26"/>
      <c r="HM53" s="26"/>
      <c r="HN53" s="26"/>
      <c r="HO53" s="26"/>
      <c r="HP53" s="26"/>
      <c r="HQ53" s="26"/>
      <c r="HR53" s="26"/>
      <c r="HS53" s="26"/>
      <c r="HT53" s="26"/>
      <c r="HU53" s="26"/>
      <c r="HV53" s="26"/>
      <c r="HW53" s="26"/>
      <c r="HX53" s="26"/>
      <c r="HY53" s="26"/>
      <c r="HZ53" s="26"/>
      <c r="IA53" s="26"/>
      <c r="IB53" s="26"/>
      <c r="IC53" s="26"/>
      <c r="ID53" s="26"/>
      <c r="IE53" s="26"/>
      <c r="IF53" s="23"/>
      <c r="IG53" s="26"/>
      <c r="IH53" s="26"/>
      <c r="II53" s="26"/>
      <c r="IJ53" s="26"/>
      <c r="IK53" s="26"/>
      <c r="IL53" s="26"/>
      <c r="IM53" s="26"/>
      <c r="IN53" s="26"/>
      <c r="IO53" s="26"/>
      <c r="IP53" s="26"/>
      <c r="IQ53" s="26"/>
      <c r="IR53" s="26"/>
      <c r="IS53" s="26"/>
      <c r="IT53" s="26"/>
      <c r="IU53" s="26"/>
      <c r="IV53" s="26"/>
      <c r="IW53" s="26"/>
      <c r="IX53" s="26"/>
      <c r="IY53" s="26"/>
      <c r="IZ53" s="26"/>
      <c r="JA53" s="26"/>
      <c r="JB53" s="26"/>
      <c r="JC53" s="26"/>
      <c r="JD53" s="26"/>
      <c r="JE53" s="26"/>
      <c r="JF53" s="26"/>
      <c r="JG53" s="26"/>
      <c r="JH53" s="26"/>
      <c r="JI53" s="26"/>
      <c r="JJ53" s="26"/>
      <c r="JK53" s="26"/>
      <c r="JL53" s="26"/>
      <c r="JM53" s="26"/>
      <c r="JN53" s="26"/>
      <c r="JO53" s="26"/>
      <c r="JP53" s="26"/>
      <c r="JQ53" s="26"/>
      <c r="JR53" s="26"/>
      <c r="JS53" s="23"/>
      <c r="JT53" s="26"/>
      <c r="JU53" s="26"/>
      <c r="JV53" s="26"/>
      <c r="JW53" s="26"/>
      <c r="JX53" s="26"/>
      <c r="JY53" s="26"/>
      <c r="JZ53" s="26"/>
      <c r="KA53" s="26"/>
      <c r="KB53" s="26"/>
      <c r="KC53" s="26"/>
      <c r="KD53" s="26"/>
      <c r="KE53" s="26"/>
      <c r="KF53" s="26"/>
      <c r="KG53" s="26"/>
      <c r="KH53" s="26"/>
      <c r="KI53" s="26"/>
      <c r="KJ53" s="26"/>
      <c r="KK53" s="26"/>
      <c r="KL53" s="26"/>
      <c r="KM53" s="26"/>
      <c r="KN53" s="26"/>
      <c r="KO53" s="26"/>
      <c r="KP53" s="26"/>
      <c r="KQ53" s="26"/>
      <c r="KR53" s="26"/>
      <c r="KS53" s="26"/>
      <c r="KT53" s="26"/>
      <c r="KU53" s="26"/>
      <c r="KV53" s="26"/>
      <c r="KW53" s="26"/>
      <c r="KX53" s="26"/>
      <c r="KY53" s="26"/>
      <c r="KZ53" s="26"/>
      <c r="LA53" s="26"/>
      <c r="LB53" s="26"/>
      <c r="LC53" s="26"/>
      <c r="LD53" s="26"/>
      <c r="LE53" s="26"/>
      <c r="LF53" s="23"/>
      <c r="LG53" s="26"/>
      <c r="LH53" s="26"/>
      <c r="LI53" s="26"/>
      <c r="LJ53" s="26"/>
      <c r="LK53" s="26"/>
      <c r="LL53" s="26"/>
      <c r="LM53" s="26"/>
      <c r="LN53" s="26"/>
      <c r="LO53" s="26"/>
      <c r="LP53" s="26"/>
      <c r="LQ53" s="26"/>
      <c r="LR53" s="26"/>
      <c r="LS53" s="26"/>
      <c r="LT53" s="26"/>
      <c r="LU53" s="26"/>
      <c r="LV53" s="26"/>
      <c r="LW53" s="26"/>
      <c r="LX53" s="26"/>
      <c r="LY53" s="26"/>
      <c r="LZ53" s="26"/>
      <c r="MA53" s="26"/>
      <c r="MB53" s="26"/>
      <c r="MC53" s="26"/>
      <c r="MD53" s="26"/>
      <c r="ME53" s="26"/>
      <c r="MF53" s="26"/>
      <c r="MG53" s="26"/>
      <c r="MH53" s="26"/>
      <c r="MI53" s="26"/>
      <c r="MJ53" s="26"/>
      <c r="MK53" s="26"/>
      <c r="ML53" s="26"/>
      <c r="MM53" s="26"/>
      <c r="MN53" s="26"/>
      <c r="MO53" s="26"/>
      <c r="MP53" s="26"/>
      <c r="MQ53" s="26"/>
      <c r="MR53" s="26"/>
      <c r="MS53" s="23"/>
      <c r="MT53" s="26"/>
      <c r="MU53" s="26"/>
      <c r="MV53" s="26"/>
      <c r="MW53" s="26"/>
      <c r="MX53" s="26"/>
      <c r="MY53" s="26"/>
      <c r="MZ53" s="26"/>
      <c r="NA53" s="26"/>
      <c r="NB53" s="26"/>
      <c r="NC53" s="26"/>
      <c r="ND53" s="26"/>
      <c r="NE53" s="26"/>
      <c r="NF53" s="26"/>
      <c r="NG53" s="26"/>
      <c r="NH53" s="26"/>
      <c r="NI53" s="26"/>
      <c r="NJ53" s="26"/>
      <c r="NK53" s="26"/>
      <c r="NL53" s="26"/>
      <c r="NM53" s="26"/>
      <c r="NN53" s="26"/>
      <c r="NO53" s="26"/>
      <c r="NP53" s="26"/>
      <c r="NQ53" s="26"/>
      <c r="NR53" s="26"/>
      <c r="NS53" s="26"/>
      <c r="NT53" s="26"/>
      <c r="NU53" s="26"/>
      <c r="NV53" s="26"/>
      <c r="NW53" s="26"/>
      <c r="NX53" s="26"/>
      <c r="NY53" s="26"/>
      <c r="NZ53" s="26"/>
      <c r="OA53" s="26"/>
      <c r="OB53" s="26"/>
      <c r="OC53" s="26"/>
      <c r="OD53" s="26"/>
      <c r="OE53" s="26"/>
      <c r="OF53" s="23"/>
      <c r="OG53" s="26"/>
      <c r="OH53" s="26"/>
      <c r="OI53" s="26"/>
      <c r="OJ53" s="26"/>
      <c r="OK53" s="26"/>
      <c r="OL53" s="26"/>
      <c r="OM53" s="26"/>
      <c r="ON53" s="26"/>
      <c r="OO53" s="26"/>
      <c r="OP53" s="26"/>
      <c r="OQ53" s="26"/>
      <c r="OR53" s="26"/>
      <c r="OS53" s="26"/>
      <c r="OT53" s="26"/>
      <c r="OU53" s="26"/>
      <c r="OV53" s="26"/>
      <c r="OW53" s="26"/>
      <c r="OX53" s="26"/>
      <c r="OY53" s="26"/>
      <c r="OZ53" s="26"/>
      <c r="PA53" s="26"/>
      <c r="PB53" s="26"/>
      <c r="PC53" s="26"/>
      <c r="PD53" s="26"/>
      <c r="PE53" s="26"/>
      <c r="PF53" s="26"/>
      <c r="PG53" s="26"/>
      <c r="PH53" s="26"/>
      <c r="PI53" s="26"/>
      <c r="PJ53" s="26"/>
      <c r="PK53" s="26"/>
      <c r="PL53" s="26"/>
      <c r="PM53" s="26"/>
      <c r="PN53" s="26"/>
      <c r="PO53" s="26"/>
      <c r="PP53" s="26"/>
      <c r="PQ53" s="26"/>
      <c r="PR53" s="26"/>
    </row>
    <row r="54" spans="1:434" x14ac:dyDescent="0.25">
      <c r="A54" s="24"/>
      <c r="B54" s="25" t="s">
        <v>120</v>
      </c>
      <c r="C54" s="24" t="s">
        <v>66</v>
      </c>
      <c r="D54" s="24" t="s">
        <v>67</v>
      </c>
      <c r="E54" s="24"/>
      <c r="F54" s="23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3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3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82">
        <v>20</v>
      </c>
      <c r="CU54" s="82"/>
      <c r="CV54" s="82"/>
      <c r="CW54" s="82"/>
      <c r="CX54" s="82"/>
      <c r="CY54" s="82"/>
      <c r="CZ54" s="82">
        <v>2</v>
      </c>
      <c r="DA54" s="82">
        <v>10</v>
      </c>
      <c r="DB54" s="82"/>
      <c r="DC54" s="82"/>
      <c r="DD54" s="82"/>
      <c r="DE54" s="82"/>
      <c r="DF54" s="82">
        <v>25</v>
      </c>
      <c r="DG54" s="82">
        <v>10</v>
      </c>
      <c r="DH54" s="82">
        <v>20</v>
      </c>
      <c r="DI54" s="82"/>
      <c r="DJ54" s="82"/>
      <c r="DK54" s="82"/>
      <c r="DL54" s="82">
        <v>30</v>
      </c>
      <c r="DM54" s="82"/>
      <c r="DN54" s="82"/>
      <c r="DO54" s="82"/>
      <c r="DP54" s="82"/>
      <c r="DQ54" s="82">
        <v>20</v>
      </c>
      <c r="DR54" s="82"/>
      <c r="DS54" s="23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3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  <c r="GR54" s="26"/>
      <c r="GS54" s="23"/>
      <c r="GT54" s="26"/>
      <c r="GU54" s="26"/>
      <c r="GV54" s="26"/>
      <c r="GW54" s="26"/>
      <c r="GX54" s="26"/>
      <c r="GY54" s="26"/>
      <c r="GZ54" s="26"/>
      <c r="HA54" s="26"/>
      <c r="HB54" s="26"/>
      <c r="HC54" s="26"/>
      <c r="HD54" s="26"/>
      <c r="HE54" s="26"/>
      <c r="HF54" s="26"/>
      <c r="HG54" s="26"/>
      <c r="HH54" s="26"/>
      <c r="HI54" s="26"/>
      <c r="HJ54" s="26"/>
      <c r="HK54" s="26"/>
      <c r="HL54" s="26"/>
      <c r="HM54" s="26"/>
      <c r="HN54" s="26"/>
      <c r="HO54" s="26"/>
      <c r="HP54" s="26"/>
      <c r="HQ54" s="26"/>
      <c r="HR54" s="26"/>
      <c r="HS54" s="26"/>
      <c r="HT54" s="26"/>
      <c r="HU54" s="26"/>
      <c r="HV54" s="26"/>
      <c r="HW54" s="26"/>
      <c r="HX54" s="26"/>
      <c r="HY54" s="26"/>
      <c r="HZ54" s="26"/>
      <c r="IA54" s="26"/>
      <c r="IB54" s="26"/>
      <c r="IC54" s="26"/>
      <c r="ID54" s="26"/>
      <c r="IE54" s="26"/>
      <c r="IF54" s="23"/>
      <c r="IG54" s="26"/>
      <c r="IH54" s="26"/>
      <c r="II54" s="26"/>
      <c r="IJ54" s="26"/>
      <c r="IK54" s="26"/>
      <c r="IL54" s="26"/>
      <c r="IM54" s="26"/>
      <c r="IN54" s="26"/>
      <c r="IO54" s="26"/>
      <c r="IP54" s="26"/>
      <c r="IQ54" s="26"/>
      <c r="IR54" s="26"/>
      <c r="IS54" s="26"/>
      <c r="IT54" s="26"/>
      <c r="IU54" s="26"/>
      <c r="IV54" s="26"/>
      <c r="IW54" s="26"/>
      <c r="IX54" s="26"/>
      <c r="IY54" s="26"/>
      <c r="IZ54" s="26"/>
      <c r="JA54" s="26"/>
      <c r="JB54" s="26"/>
      <c r="JC54" s="26"/>
      <c r="JD54" s="26"/>
      <c r="JE54" s="26"/>
      <c r="JF54" s="26"/>
      <c r="JG54" s="26"/>
      <c r="JH54" s="26"/>
      <c r="JI54" s="26"/>
      <c r="JJ54" s="26"/>
      <c r="JK54" s="26"/>
      <c r="JL54" s="26"/>
      <c r="JM54" s="26"/>
      <c r="JN54" s="26"/>
      <c r="JO54" s="26"/>
      <c r="JP54" s="26"/>
      <c r="JQ54" s="26"/>
      <c r="JR54" s="26"/>
      <c r="JS54" s="23"/>
      <c r="JT54" s="26"/>
      <c r="JU54" s="26"/>
      <c r="JV54" s="26"/>
      <c r="JW54" s="26"/>
      <c r="JX54" s="26"/>
      <c r="JY54" s="26"/>
      <c r="JZ54" s="26"/>
      <c r="KA54" s="26"/>
      <c r="KB54" s="26"/>
      <c r="KC54" s="26"/>
      <c r="KD54" s="26"/>
      <c r="KE54" s="26"/>
      <c r="KF54" s="26"/>
      <c r="KG54" s="26"/>
      <c r="KH54" s="26"/>
      <c r="KI54" s="26"/>
      <c r="KJ54" s="26"/>
      <c r="KK54" s="26"/>
      <c r="KL54" s="26"/>
      <c r="KM54" s="26"/>
      <c r="KN54" s="26"/>
      <c r="KO54" s="26"/>
      <c r="KP54" s="26"/>
      <c r="KQ54" s="26"/>
      <c r="KR54" s="26"/>
      <c r="KS54" s="26"/>
      <c r="KT54" s="26"/>
      <c r="KU54" s="26"/>
      <c r="KV54" s="26"/>
      <c r="KW54" s="26"/>
      <c r="KX54" s="26"/>
      <c r="KY54" s="26"/>
      <c r="KZ54" s="26"/>
      <c r="LA54" s="26"/>
      <c r="LB54" s="26"/>
      <c r="LC54" s="26"/>
      <c r="LD54" s="26"/>
      <c r="LE54" s="26"/>
      <c r="LF54" s="23"/>
      <c r="LG54" s="26"/>
      <c r="LH54" s="26"/>
      <c r="LI54" s="26"/>
      <c r="LJ54" s="26"/>
      <c r="LK54" s="26"/>
      <c r="LL54" s="26"/>
      <c r="LM54" s="26"/>
      <c r="LN54" s="26"/>
      <c r="LO54" s="26"/>
      <c r="LP54" s="26"/>
      <c r="LQ54" s="26"/>
      <c r="LR54" s="26"/>
      <c r="LS54" s="26"/>
      <c r="LT54" s="26"/>
      <c r="LU54" s="26"/>
      <c r="LV54" s="26"/>
      <c r="LW54" s="26"/>
      <c r="LX54" s="26"/>
      <c r="LY54" s="26"/>
      <c r="LZ54" s="26"/>
      <c r="MA54" s="26"/>
      <c r="MB54" s="26"/>
      <c r="MC54" s="26"/>
      <c r="MD54" s="26"/>
      <c r="ME54" s="26"/>
      <c r="MF54" s="26"/>
      <c r="MG54" s="26"/>
      <c r="MH54" s="26"/>
      <c r="MI54" s="26"/>
      <c r="MJ54" s="26"/>
      <c r="MK54" s="26"/>
      <c r="ML54" s="26"/>
      <c r="MM54" s="26"/>
      <c r="MN54" s="26"/>
      <c r="MO54" s="26"/>
      <c r="MP54" s="26"/>
      <c r="MQ54" s="26"/>
      <c r="MR54" s="26"/>
      <c r="MS54" s="23"/>
      <c r="MT54" s="26"/>
      <c r="MU54" s="26"/>
      <c r="MV54" s="26"/>
      <c r="MW54" s="26"/>
      <c r="MX54" s="26"/>
      <c r="MY54" s="26"/>
      <c r="MZ54" s="26"/>
      <c r="NA54" s="26"/>
      <c r="NB54" s="26"/>
      <c r="NC54" s="26"/>
      <c r="ND54" s="26"/>
      <c r="NE54" s="26"/>
      <c r="NF54" s="26"/>
      <c r="NG54" s="26"/>
      <c r="NH54" s="26"/>
      <c r="NI54" s="26"/>
      <c r="NJ54" s="26"/>
      <c r="NK54" s="26"/>
      <c r="NL54" s="26"/>
      <c r="NM54" s="26"/>
      <c r="NN54" s="26"/>
      <c r="NO54" s="26"/>
      <c r="NP54" s="26"/>
      <c r="NQ54" s="26"/>
      <c r="NR54" s="26"/>
      <c r="NS54" s="26"/>
      <c r="NT54" s="26"/>
      <c r="NU54" s="26"/>
      <c r="NV54" s="26"/>
      <c r="NW54" s="26"/>
      <c r="NX54" s="26"/>
      <c r="NY54" s="26"/>
      <c r="NZ54" s="26"/>
      <c r="OA54" s="26"/>
      <c r="OB54" s="26"/>
      <c r="OC54" s="26"/>
      <c r="OD54" s="26"/>
      <c r="OE54" s="26"/>
      <c r="OF54" s="23"/>
      <c r="OG54" s="26"/>
      <c r="OH54" s="26"/>
      <c r="OI54" s="26"/>
      <c r="OJ54" s="26"/>
      <c r="OK54" s="26"/>
      <c r="OL54" s="26"/>
      <c r="OM54" s="26"/>
      <c r="ON54" s="26"/>
      <c r="OO54" s="26"/>
      <c r="OP54" s="26"/>
      <c r="OQ54" s="26"/>
      <c r="OR54" s="26"/>
      <c r="OS54" s="26"/>
      <c r="OT54" s="26"/>
      <c r="OU54" s="26"/>
      <c r="OV54" s="26"/>
      <c r="OW54" s="26"/>
      <c r="OX54" s="26"/>
      <c r="OY54" s="26"/>
      <c r="OZ54" s="26"/>
      <c r="PA54" s="26"/>
      <c r="PB54" s="26"/>
      <c r="PC54" s="26"/>
      <c r="PD54" s="26"/>
      <c r="PE54" s="26"/>
      <c r="PF54" s="26"/>
      <c r="PG54" s="26"/>
      <c r="PH54" s="26"/>
      <c r="PI54" s="26"/>
      <c r="PJ54" s="26"/>
      <c r="PK54" s="26"/>
      <c r="PL54" s="26"/>
      <c r="PM54" s="26"/>
      <c r="PN54" s="26"/>
      <c r="PO54" s="26"/>
      <c r="PP54" s="26"/>
      <c r="PQ54" s="26"/>
      <c r="PR54" s="26"/>
    </row>
    <row r="55" spans="1:434" x14ac:dyDescent="0.25">
      <c r="A55" s="24"/>
      <c r="B55" s="25" t="s">
        <v>121</v>
      </c>
      <c r="C55" s="24" t="s">
        <v>66</v>
      </c>
      <c r="D55" s="24" t="s">
        <v>76</v>
      </c>
      <c r="E55" s="24"/>
      <c r="F55" s="23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3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3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>
        <v>5</v>
      </c>
      <c r="CR55" s="82"/>
      <c r="CS55" s="82"/>
      <c r="CT55" s="82">
        <v>30</v>
      </c>
      <c r="CU55" s="82">
        <v>5</v>
      </c>
      <c r="CV55" s="82"/>
      <c r="CW55" s="82"/>
      <c r="CX55" s="82"/>
      <c r="CY55" s="82"/>
      <c r="CZ55" s="82"/>
      <c r="DA55" s="82">
        <v>10</v>
      </c>
      <c r="DB55" s="82"/>
      <c r="DC55" s="82"/>
      <c r="DD55" s="82"/>
      <c r="DE55" s="82"/>
      <c r="DF55" s="82">
        <v>30</v>
      </c>
      <c r="DG55" s="82">
        <v>10</v>
      </c>
      <c r="DH55" s="82">
        <v>20</v>
      </c>
      <c r="DI55" s="82"/>
      <c r="DJ55" s="82"/>
      <c r="DK55" s="82"/>
      <c r="DL55" s="82">
        <v>30</v>
      </c>
      <c r="DM55" s="82"/>
      <c r="DN55" s="82"/>
      <c r="DO55" s="82"/>
      <c r="DP55" s="82"/>
      <c r="DQ55" s="82"/>
      <c r="DR55" s="82"/>
      <c r="DS55" s="23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3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  <c r="GR55" s="26"/>
      <c r="GS55" s="23"/>
      <c r="GT55" s="26"/>
      <c r="GU55" s="26"/>
      <c r="GV55" s="26"/>
      <c r="GW55" s="26"/>
      <c r="GX55" s="26"/>
      <c r="GY55" s="26"/>
      <c r="GZ55" s="26"/>
      <c r="HA55" s="26"/>
      <c r="HB55" s="26"/>
      <c r="HC55" s="26"/>
      <c r="HD55" s="26"/>
      <c r="HE55" s="26"/>
      <c r="HF55" s="26"/>
      <c r="HG55" s="26"/>
      <c r="HH55" s="26"/>
      <c r="HI55" s="26"/>
      <c r="HJ55" s="26"/>
      <c r="HK55" s="26"/>
      <c r="HL55" s="26"/>
      <c r="HM55" s="26"/>
      <c r="HN55" s="26"/>
      <c r="HO55" s="26"/>
      <c r="HP55" s="26"/>
      <c r="HQ55" s="26"/>
      <c r="HR55" s="26"/>
      <c r="HS55" s="26"/>
      <c r="HT55" s="26"/>
      <c r="HU55" s="26"/>
      <c r="HV55" s="26"/>
      <c r="HW55" s="26"/>
      <c r="HX55" s="26"/>
      <c r="HY55" s="26"/>
      <c r="HZ55" s="26"/>
      <c r="IA55" s="26"/>
      <c r="IB55" s="26"/>
      <c r="IC55" s="26"/>
      <c r="ID55" s="26"/>
      <c r="IE55" s="26"/>
      <c r="IF55" s="23"/>
      <c r="IG55" s="26"/>
      <c r="IH55" s="26"/>
      <c r="II55" s="26"/>
      <c r="IJ55" s="26"/>
      <c r="IK55" s="26"/>
      <c r="IL55" s="26"/>
      <c r="IM55" s="26"/>
      <c r="IN55" s="26"/>
      <c r="IO55" s="26"/>
      <c r="IP55" s="26"/>
      <c r="IQ55" s="26"/>
      <c r="IR55" s="26"/>
      <c r="IS55" s="26"/>
      <c r="IT55" s="26"/>
      <c r="IU55" s="26"/>
      <c r="IV55" s="26"/>
      <c r="IW55" s="26"/>
      <c r="IX55" s="26"/>
      <c r="IY55" s="26"/>
      <c r="IZ55" s="26"/>
      <c r="JA55" s="26"/>
      <c r="JB55" s="26"/>
      <c r="JC55" s="26"/>
      <c r="JD55" s="26"/>
      <c r="JE55" s="26"/>
      <c r="JF55" s="26"/>
      <c r="JG55" s="26"/>
      <c r="JH55" s="26"/>
      <c r="JI55" s="26"/>
      <c r="JJ55" s="26"/>
      <c r="JK55" s="26"/>
      <c r="JL55" s="26"/>
      <c r="JM55" s="26"/>
      <c r="JN55" s="26"/>
      <c r="JO55" s="26"/>
      <c r="JP55" s="26"/>
      <c r="JQ55" s="26"/>
      <c r="JR55" s="26"/>
      <c r="JS55" s="23"/>
      <c r="JT55" s="26"/>
      <c r="JU55" s="26"/>
      <c r="JV55" s="26"/>
      <c r="JW55" s="26"/>
      <c r="JX55" s="26"/>
      <c r="JY55" s="26"/>
      <c r="JZ55" s="26"/>
      <c r="KA55" s="26"/>
      <c r="KB55" s="26"/>
      <c r="KC55" s="26"/>
      <c r="KD55" s="26"/>
      <c r="KE55" s="26"/>
      <c r="KF55" s="26"/>
      <c r="KG55" s="26"/>
      <c r="KH55" s="26"/>
      <c r="KI55" s="26"/>
      <c r="KJ55" s="26"/>
      <c r="KK55" s="26"/>
      <c r="KL55" s="26"/>
      <c r="KM55" s="26"/>
      <c r="KN55" s="26"/>
      <c r="KO55" s="26"/>
      <c r="KP55" s="26"/>
      <c r="KQ55" s="26"/>
      <c r="KR55" s="26"/>
      <c r="KS55" s="26"/>
      <c r="KT55" s="26"/>
      <c r="KU55" s="26"/>
      <c r="KV55" s="26"/>
      <c r="KW55" s="26"/>
      <c r="KX55" s="26"/>
      <c r="KY55" s="26"/>
      <c r="KZ55" s="26"/>
      <c r="LA55" s="26"/>
      <c r="LB55" s="26"/>
      <c r="LC55" s="26"/>
      <c r="LD55" s="26"/>
      <c r="LE55" s="26"/>
      <c r="LF55" s="23"/>
      <c r="LG55" s="26"/>
      <c r="LH55" s="26"/>
      <c r="LI55" s="26"/>
      <c r="LJ55" s="26"/>
      <c r="LK55" s="26"/>
      <c r="LL55" s="26"/>
      <c r="LM55" s="26"/>
      <c r="LN55" s="26"/>
      <c r="LO55" s="26"/>
      <c r="LP55" s="26"/>
      <c r="LQ55" s="26"/>
      <c r="LR55" s="26"/>
      <c r="LS55" s="26"/>
      <c r="LT55" s="26"/>
      <c r="LU55" s="26"/>
      <c r="LV55" s="26"/>
      <c r="LW55" s="26"/>
      <c r="LX55" s="26"/>
      <c r="LY55" s="26"/>
      <c r="LZ55" s="26"/>
      <c r="MA55" s="26"/>
      <c r="MB55" s="26"/>
      <c r="MC55" s="26"/>
      <c r="MD55" s="26"/>
      <c r="ME55" s="26"/>
      <c r="MF55" s="26"/>
      <c r="MG55" s="26"/>
      <c r="MH55" s="26"/>
      <c r="MI55" s="26"/>
      <c r="MJ55" s="26"/>
      <c r="MK55" s="26"/>
      <c r="ML55" s="26"/>
      <c r="MM55" s="26"/>
      <c r="MN55" s="26"/>
      <c r="MO55" s="26"/>
      <c r="MP55" s="26"/>
      <c r="MQ55" s="26"/>
      <c r="MR55" s="26"/>
      <c r="MS55" s="23"/>
      <c r="MT55" s="26"/>
      <c r="MU55" s="26"/>
      <c r="MV55" s="26"/>
      <c r="MW55" s="26"/>
      <c r="MX55" s="26"/>
      <c r="MY55" s="26"/>
      <c r="MZ55" s="26"/>
      <c r="NA55" s="26"/>
      <c r="NB55" s="26"/>
      <c r="NC55" s="26"/>
      <c r="ND55" s="26"/>
      <c r="NE55" s="26"/>
      <c r="NF55" s="26"/>
      <c r="NG55" s="26"/>
      <c r="NH55" s="26"/>
      <c r="NI55" s="26"/>
      <c r="NJ55" s="26"/>
      <c r="NK55" s="26"/>
      <c r="NL55" s="26"/>
      <c r="NM55" s="26"/>
      <c r="NN55" s="26"/>
      <c r="NO55" s="26"/>
      <c r="NP55" s="26"/>
      <c r="NQ55" s="26"/>
      <c r="NR55" s="26"/>
      <c r="NS55" s="26"/>
      <c r="NT55" s="26"/>
      <c r="NU55" s="26"/>
      <c r="NV55" s="26"/>
      <c r="NW55" s="26"/>
      <c r="NX55" s="26"/>
      <c r="NY55" s="26"/>
      <c r="NZ55" s="26"/>
      <c r="OA55" s="26"/>
      <c r="OB55" s="26"/>
      <c r="OC55" s="26"/>
      <c r="OD55" s="26"/>
      <c r="OE55" s="26"/>
      <c r="OF55" s="23"/>
      <c r="OG55" s="26"/>
      <c r="OH55" s="26"/>
      <c r="OI55" s="26"/>
      <c r="OJ55" s="26"/>
      <c r="OK55" s="26"/>
      <c r="OL55" s="26"/>
      <c r="OM55" s="26"/>
      <c r="ON55" s="26"/>
      <c r="OO55" s="26"/>
      <c r="OP55" s="26"/>
      <c r="OQ55" s="26"/>
      <c r="OR55" s="26"/>
      <c r="OS55" s="26"/>
      <c r="OT55" s="26"/>
      <c r="OU55" s="26"/>
      <c r="OV55" s="26"/>
      <c r="OW55" s="26"/>
      <c r="OX55" s="26"/>
      <c r="OY55" s="26"/>
      <c r="OZ55" s="26"/>
      <c r="PA55" s="26"/>
      <c r="PB55" s="26"/>
      <c r="PC55" s="26"/>
      <c r="PD55" s="26"/>
      <c r="PE55" s="26"/>
      <c r="PF55" s="26"/>
      <c r="PG55" s="26"/>
      <c r="PH55" s="26"/>
      <c r="PI55" s="26"/>
      <c r="PJ55" s="26"/>
      <c r="PK55" s="26"/>
      <c r="PL55" s="26"/>
      <c r="PM55" s="26"/>
      <c r="PN55" s="26"/>
      <c r="PO55" s="26"/>
      <c r="PP55" s="26"/>
      <c r="PQ55" s="26"/>
      <c r="PR55" s="26"/>
    </row>
    <row r="56" spans="1:434" x14ac:dyDescent="0.25">
      <c r="A56" s="24"/>
      <c r="B56" s="25" t="s">
        <v>122</v>
      </c>
      <c r="C56" s="24" t="s">
        <v>70</v>
      </c>
      <c r="D56" s="24" t="s">
        <v>67</v>
      </c>
      <c r="E56" s="24"/>
      <c r="F56" s="23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3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3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82"/>
      <c r="CU56" s="82"/>
      <c r="CV56" s="82"/>
      <c r="CW56" s="82"/>
      <c r="CX56" s="82"/>
      <c r="CY56" s="82"/>
      <c r="CZ56" s="82"/>
      <c r="DA56" s="82"/>
      <c r="DB56" s="82"/>
      <c r="DC56" s="82"/>
      <c r="DD56" s="82"/>
      <c r="DE56" s="82"/>
      <c r="DF56" s="82">
        <v>60</v>
      </c>
      <c r="DG56" s="82">
        <v>20</v>
      </c>
      <c r="DH56" s="82"/>
      <c r="DI56" s="82"/>
      <c r="DJ56" s="82"/>
      <c r="DK56" s="82"/>
      <c r="DL56" s="82"/>
      <c r="DM56" s="82"/>
      <c r="DN56" s="82"/>
      <c r="DO56" s="82"/>
      <c r="DP56" s="82"/>
      <c r="DQ56" s="82"/>
      <c r="DR56" s="82"/>
      <c r="DS56" s="23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3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  <c r="GR56" s="26"/>
      <c r="GS56" s="23"/>
      <c r="GT56" s="26"/>
      <c r="GU56" s="26"/>
      <c r="GV56" s="26"/>
      <c r="GW56" s="26"/>
      <c r="GX56" s="26"/>
      <c r="GY56" s="26"/>
      <c r="GZ56" s="26"/>
      <c r="HA56" s="26"/>
      <c r="HB56" s="26"/>
      <c r="HC56" s="26"/>
      <c r="HD56" s="26"/>
      <c r="HE56" s="26"/>
      <c r="HF56" s="26"/>
      <c r="HG56" s="26"/>
      <c r="HH56" s="26"/>
      <c r="HI56" s="26"/>
      <c r="HJ56" s="26"/>
      <c r="HK56" s="26"/>
      <c r="HL56" s="26"/>
      <c r="HM56" s="26"/>
      <c r="HN56" s="26"/>
      <c r="HO56" s="26"/>
      <c r="HP56" s="26"/>
      <c r="HQ56" s="26"/>
      <c r="HR56" s="26"/>
      <c r="HS56" s="26"/>
      <c r="HT56" s="26"/>
      <c r="HU56" s="26"/>
      <c r="HV56" s="26"/>
      <c r="HW56" s="26"/>
      <c r="HX56" s="26"/>
      <c r="HY56" s="26"/>
      <c r="HZ56" s="26"/>
      <c r="IA56" s="26"/>
      <c r="IB56" s="26"/>
      <c r="IC56" s="26"/>
      <c r="ID56" s="26"/>
      <c r="IE56" s="26"/>
      <c r="IF56" s="23"/>
      <c r="IG56" s="26"/>
      <c r="IH56" s="26"/>
      <c r="II56" s="26"/>
      <c r="IJ56" s="26"/>
      <c r="IK56" s="26"/>
      <c r="IL56" s="26"/>
      <c r="IM56" s="26"/>
      <c r="IN56" s="26"/>
      <c r="IO56" s="26"/>
      <c r="IP56" s="26"/>
      <c r="IQ56" s="26"/>
      <c r="IR56" s="26"/>
      <c r="IS56" s="26"/>
      <c r="IT56" s="26"/>
      <c r="IU56" s="26"/>
      <c r="IV56" s="26"/>
      <c r="IW56" s="26"/>
      <c r="IX56" s="26"/>
      <c r="IY56" s="26"/>
      <c r="IZ56" s="26"/>
      <c r="JA56" s="26"/>
      <c r="JB56" s="26"/>
      <c r="JC56" s="26"/>
      <c r="JD56" s="26"/>
      <c r="JE56" s="26"/>
      <c r="JF56" s="26"/>
      <c r="JG56" s="26"/>
      <c r="JH56" s="26"/>
      <c r="JI56" s="26"/>
      <c r="JJ56" s="26"/>
      <c r="JK56" s="26"/>
      <c r="JL56" s="26"/>
      <c r="JM56" s="26"/>
      <c r="JN56" s="26"/>
      <c r="JO56" s="26"/>
      <c r="JP56" s="26"/>
      <c r="JQ56" s="26"/>
      <c r="JR56" s="26"/>
      <c r="JS56" s="23"/>
      <c r="JT56" s="26"/>
      <c r="JU56" s="26"/>
      <c r="JV56" s="26"/>
      <c r="JW56" s="26"/>
      <c r="JX56" s="26"/>
      <c r="JY56" s="26"/>
      <c r="JZ56" s="26"/>
      <c r="KA56" s="26"/>
      <c r="KB56" s="26"/>
      <c r="KC56" s="26"/>
      <c r="KD56" s="26"/>
      <c r="KE56" s="26"/>
      <c r="KF56" s="26"/>
      <c r="KG56" s="26"/>
      <c r="KH56" s="26"/>
      <c r="KI56" s="26"/>
      <c r="KJ56" s="26"/>
      <c r="KK56" s="26"/>
      <c r="KL56" s="26"/>
      <c r="KM56" s="26"/>
      <c r="KN56" s="26"/>
      <c r="KO56" s="26"/>
      <c r="KP56" s="26"/>
      <c r="KQ56" s="26"/>
      <c r="KR56" s="26"/>
      <c r="KS56" s="26"/>
      <c r="KT56" s="26"/>
      <c r="KU56" s="26"/>
      <c r="KV56" s="26"/>
      <c r="KW56" s="26"/>
      <c r="KX56" s="26"/>
      <c r="KY56" s="26"/>
      <c r="KZ56" s="26"/>
      <c r="LA56" s="26"/>
      <c r="LB56" s="26"/>
      <c r="LC56" s="26"/>
      <c r="LD56" s="26"/>
      <c r="LE56" s="26"/>
      <c r="LF56" s="23"/>
      <c r="LG56" s="26"/>
      <c r="LH56" s="26"/>
      <c r="LI56" s="26"/>
      <c r="LJ56" s="26"/>
      <c r="LK56" s="26"/>
      <c r="LL56" s="26"/>
      <c r="LM56" s="26"/>
      <c r="LN56" s="26"/>
      <c r="LO56" s="26"/>
      <c r="LP56" s="26"/>
      <c r="LQ56" s="26"/>
      <c r="LR56" s="26"/>
      <c r="LS56" s="26"/>
      <c r="LT56" s="26"/>
      <c r="LU56" s="26"/>
      <c r="LV56" s="26"/>
      <c r="LW56" s="26"/>
      <c r="LX56" s="26"/>
      <c r="LY56" s="26"/>
      <c r="LZ56" s="26"/>
      <c r="MA56" s="26"/>
      <c r="MB56" s="26"/>
      <c r="MC56" s="26"/>
      <c r="MD56" s="26"/>
      <c r="ME56" s="26"/>
      <c r="MF56" s="26"/>
      <c r="MG56" s="26"/>
      <c r="MH56" s="26"/>
      <c r="MI56" s="26"/>
      <c r="MJ56" s="26"/>
      <c r="MK56" s="26"/>
      <c r="ML56" s="26"/>
      <c r="MM56" s="26"/>
      <c r="MN56" s="26"/>
      <c r="MO56" s="26"/>
      <c r="MP56" s="26"/>
      <c r="MQ56" s="26"/>
      <c r="MR56" s="26"/>
      <c r="MS56" s="23"/>
      <c r="MT56" s="26"/>
      <c r="MU56" s="26"/>
      <c r="MV56" s="26"/>
      <c r="MW56" s="26"/>
      <c r="MX56" s="26"/>
      <c r="MY56" s="26"/>
      <c r="MZ56" s="26"/>
      <c r="NA56" s="26"/>
      <c r="NB56" s="26"/>
      <c r="NC56" s="26"/>
      <c r="ND56" s="26"/>
      <c r="NE56" s="26"/>
      <c r="NF56" s="26"/>
      <c r="NG56" s="26"/>
      <c r="NH56" s="26"/>
      <c r="NI56" s="26"/>
      <c r="NJ56" s="26"/>
      <c r="NK56" s="26"/>
      <c r="NL56" s="26"/>
      <c r="NM56" s="26"/>
      <c r="NN56" s="26"/>
      <c r="NO56" s="26"/>
      <c r="NP56" s="26"/>
      <c r="NQ56" s="26"/>
      <c r="NR56" s="26"/>
      <c r="NS56" s="26"/>
      <c r="NT56" s="26"/>
      <c r="NU56" s="26"/>
      <c r="NV56" s="26"/>
      <c r="NW56" s="26"/>
      <c r="NX56" s="26"/>
      <c r="NY56" s="26"/>
      <c r="NZ56" s="26"/>
      <c r="OA56" s="26"/>
      <c r="OB56" s="26"/>
      <c r="OC56" s="26"/>
      <c r="OD56" s="26"/>
      <c r="OE56" s="26"/>
      <c r="OF56" s="23"/>
      <c r="OG56" s="26"/>
      <c r="OH56" s="26"/>
      <c r="OI56" s="26"/>
      <c r="OJ56" s="26"/>
      <c r="OK56" s="26"/>
      <c r="OL56" s="26"/>
      <c r="OM56" s="26"/>
      <c r="ON56" s="26"/>
      <c r="OO56" s="26"/>
      <c r="OP56" s="26"/>
      <c r="OQ56" s="26"/>
      <c r="OR56" s="26"/>
      <c r="OS56" s="26"/>
      <c r="OT56" s="26"/>
      <c r="OU56" s="26"/>
      <c r="OV56" s="26"/>
      <c r="OW56" s="26"/>
      <c r="OX56" s="26"/>
      <c r="OY56" s="26"/>
      <c r="OZ56" s="26"/>
      <c r="PA56" s="26"/>
      <c r="PB56" s="26"/>
      <c r="PC56" s="26"/>
      <c r="PD56" s="26"/>
      <c r="PE56" s="26"/>
      <c r="PF56" s="26"/>
      <c r="PG56" s="26"/>
      <c r="PH56" s="26"/>
      <c r="PI56" s="26"/>
      <c r="PJ56" s="26"/>
      <c r="PK56" s="26"/>
      <c r="PL56" s="26"/>
      <c r="PM56" s="26"/>
      <c r="PN56" s="26"/>
      <c r="PO56" s="26"/>
      <c r="PP56" s="26"/>
      <c r="PQ56" s="26"/>
      <c r="PR56" s="26"/>
    </row>
    <row r="57" spans="1:434" ht="21.95" customHeight="1" x14ac:dyDescent="0.25">
      <c r="A57" s="84" t="s">
        <v>123</v>
      </c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  <c r="FU57" s="85"/>
      <c r="FV57" s="85"/>
      <c r="FW57" s="85"/>
      <c r="FX57" s="85"/>
      <c r="FY57" s="85"/>
      <c r="FZ57" s="85"/>
      <c r="GA57" s="85"/>
      <c r="GB57" s="85"/>
      <c r="GC57" s="85"/>
      <c r="GD57" s="85"/>
      <c r="GE57" s="85"/>
      <c r="GF57" s="85"/>
      <c r="GG57" s="85"/>
      <c r="GH57" s="85"/>
      <c r="GI57" s="85"/>
      <c r="GJ57" s="85"/>
      <c r="GK57" s="85"/>
      <c r="GL57" s="85"/>
      <c r="GM57" s="85"/>
      <c r="GN57" s="85"/>
      <c r="GO57" s="85"/>
      <c r="GP57" s="85"/>
      <c r="GQ57" s="85"/>
      <c r="GR57" s="85"/>
      <c r="GS57" s="85"/>
      <c r="GT57" s="85"/>
      <c r="GU57" s="85"/>
      <c r="GV57" s="85"/>
      <c r="GW57" s="85"/>
      <c r="GX57" s="85"/>
      <c r="GY57" s="85"/>
      <c r="GZ57" s="85"/>
      <c r="HA57" s="85"/>
      <c r="HB57" s="85"/>
      <c r="HC57" s="85"/>
      <c r="HD57" s="85"/>
      <c r="HE57" s="85"/>
      <c r="HF57" s="85"/>
      <c r="HG57" s="85"/>
      <c r="HH57" s="85"/>
      <c r="HI57" s="85"/>
      <c r="HJ57" s="85"/>
      <c r="HK57" s="85"/>
      <c r="HL57" s="85"/>
      <c r="HM57" s="85"/>
      <c r="HN57" s="85"/>
      <c r="HO57" s="85"/>
      <c r="HP57" s="85"/>
      <c r="HQ57" s="85"/>
      <c r="HR57" s="85"/>
      <c r="HS57" s="85"/>
      <c r="HT57" s="85"/>
      <c r="HU57" s="85"/>
      <c r="HV57" s="85"/>
      <c r="HW57" s="85"/>
      <c r="HX57" s="85"/>
      <c r="HY57" s="85"/>
      <c r="HZ57" s="85"/>
      <c r="IA57" s="85"/>
      <c r="IB57" s="85"/>
      <c r="IC57" s="85"/>
      <c r="ID57" s="85"/>
      <c r="IE57" s="85"/>
      <c r="IF57" s="85"/>
      <c r="IG57" s="85"/>
      <c r="IH57" s="85"/>
      <c r="II57" s="85"/>
      <c r="IJ57" s="85"/>
      <c r="IK57" s="85"/>
      <c r="IL57" s="85"/>
      <c r="IM57" s="85"/>
      <c r="IN57" s="85"/>
      <c r="IO57" s="85"/>
      <c r="IP57" s="85"/>
      <c r="IQ57" s="85"/>
      <c r="IR57" s="85"/>
      <c r="IS57" s="85"/>
      <c r="IT57" s="85"/>
      <c r="IU57" s="85"/>
      <c r="IV57" s="85"/>
      <c r="IW57" s="85"/>
      <c r="IX57" s="85"/>
      <c r="IY57" s="85"/>
      <c r="IZ57" s="85"/>
      <c r="JA57" s="85"/>
      <c r="JB57" s="85"/>
      <c r="JC57" s="85"/>
      <c r="JD57" s="85"/>
      <c r="JE57" s="85"/>
      <c r="JF57" s="85"/>
      <c r="JG57" s="85"/>
      <c r="JH57" s="85"/>
      <c r="JI57" s="85"/>
      <c r="JJ57" s="85"/>
      <c r="JK57" s="85"/>
      <c r="JL57" s="85"/>
      <c r="JM57" s="85"/>
      <c r="JN57" s="85"/>
      <c r="JO57" s="85"/>
      <c r="JP57" s="85"/>
      <c r="JQ57" s="85"/>
      <c r="JR57" s="85"/>
      <c r="JS57" s="85"/>
      <c r="JT57" s="85"/>
      <c r="JU57" s="85"/>
      <c r="JV57" s="85"/>
      <c r="JW57" s="85"/>
      <c r="JX57" s="85"/>
      <c r="JY57" s="85"/>
      <c r="JZ57" s="85"/>
      <c r="KA57" s="85"/>
      <c r="KB57" s="85"/>
      <c r="KC57" s="85"/>
      <c r="KD57" s="85"/>
      <c r="KE57" s="85"/>
      <c r="KF57" s="85"/>
      <c r="KG57" s="85"/>
      <c r="KH57" s="85"/>
      <c r="KI57" s="85"/>
      <c r="KJ57" s="85"/>
      <c r="KK57" s="85"/>
      <c r="KL57" s="85"/>
      <c r="KM57" s="85"/>
      <c r="KN57" s="85"/>
      <c r="KO57" s="85"/>
      <c r="KP57" s="85"/>
      <c r="KQ57" s="85"/>
      <c r="KR57" s="85"/>
      <c r="KS57" s="85"/>
      <c r="KT57" s="85"/>
      <c r="KU57" s="85"/>
      <c r="KV57" s="85"/>
      <c r="KW57" s="85"/>
      <c r="KX57" s="85"/>
      <c r="KY57" s="85"/>
      <c r="KZ57" s="85"/>
      <c r="LA57" s="85"/>
      <c r="LB57" s="85"/>
      <c r="LC57" s="85"/>
      <c r="LD57" s="85"/>
      <c r="LE57" s="85"/>
      <c r="LF57" s="85"/>
      <c r="LG57" s="85"/>
      <c r="LH57" s="85"/>
      <c r="LI57" s="85"/>
      <c r="LJ57" s="85"/>
      <c r="LK57" s="85"/>
      <c r="LL57" s="85"/>
      <c r="LM57" s="85"/>
      <c r="LN57" s="85"/>
      <c r="LO57" s="85"/>
      <c r="LP57" s="85"/>
      <c r="LQ57" s="85"/>
      <c r="LR57" s="85"/>
      <c r="LS57" s="85"/>
      <c r="LT57" s="85"/>
      <c r="LU57" s="85"/>
      <c r="LV57" s="85"/>
      <c r="LW57" s="85"/>
      <c r="LX57" s="85"/>
      <c r="LY57" s="85"/>
      <c r="LZ57" s="85"/>
      <c r="MA57" s="85"/>
      <c r="MB57" s="85"/>
      <c r="MC57" s="85"/>
      <c r="MD57" s="85"/>
      <c r="ME57" s="85"/>
      <c r="MF57" s="85"/>
      <c r="MG57" s="85"/>
      <c r="MH57" s="85"/>
      <c r="MI57" s="85"/>
      <c r="MJ57" s="85"/>
      <c r="MK57" s="85"/>
      <c r="ML57" s="85"/>
      <c r="MM57" s="85"/>
      <c r="MN57" s="85"/>
      <c r="MO57" s="85"/>
      <c r="MP57" s="85"/>
      <c r="MQ57" s="85"/>
      <c r="MR57" s="85"/>
      <c r="MS57" s="85"/>
      <c r="MT57" s="85"/>
      <c r="MU57" s="85"/>
      <c r="MV57" s="85"/>
      <c r="MW57" s="85"/>
      <c r="MX57" s="85"/>
      <c r="MY57" s="85"/>
      <c r="MZ57" s="85"/>
      <c r="NA57" s="85"/>
      <c r="NB57" s="85"/>
      <c r="NC57" s="85"/>
      <c r="ND57" s="85"/>
      <c r="NE57" s="85"/>
      <c r="NF57" s="85"/>
      <c r="NG57" s="85"/>
      <c r="NH57" s="85"/>
      <c r="NI57" s="85"/>
      <c r="NJ57" s="85"/>
      <c r="NK57" s="85"/>
      <c r="NL57" s="85"/>
      <c r="NM57" s="85"/>
      <c r="NN57" s="85"/>
      <c r="NO57" s="85"/>
      <c r="NP57" s="85"/>
      <c r="NQ57" s="85"/>
      <c r="NR57" s="85"/>
      <c r="NS57" s="85"/>
      <c r="NT57" s="85"/>
      <c r="NU57" s="85"/>
      <c r="NV57" s="85"/>
      <c r="NW57" s="85"/>
      <c r="NX57" s="85"/>
      <c r="NY57" s="85"/>
      <c r="NZ57" s="85"/>
      <c r="OA57" s="85"/>
      <c r="OB57" s="85"/>
      <c r="OC57" s="85"/>
      <c r="OD57" s="85"/>
      <c r="OE57" s="85"/>
      <c r="OF57" s="85"/>
      <c r="OG57" s="85"/>
      <c r="OH57" s="85"/>
      <c r="OI57" s="85"/>
      <c r="OJ57" s="85"/>
      <c r="OK57" s="85"/>
      <c r="OL57" s="85"/>
      <c r="OM57" s="85"/>
      <c r="ON57" s="85"/>
      <c r="OO57" s="85"/>
      <c r="OP57" s="85"/>
      <c r="OQ57" s="85"/>
      <c r="OR57" s="85"/>
      <c r="OS57" s="85"/>
      <c r="OT57" s="85"/>
      <c r="OU57" s="85"/>
      <c r="OV57" s="85"/>
      <c r="OW57" s="85"/>
      <c r="OX57" s="85"/>
      <c r="OY57" s="85"/>
      <c r="OZ57" s="85"/>
      <c r="PA57" s="85"/>
      <c r="PB57" s="85"/>
      <c r="PC57" s="85"/>
      <c r="PD57" s="85"/>
      <c r="PE57" s="85"/>
      <c r="PF57" s="85"/>
      <c r="PG57" s="85"/>
      <c r="PH57" s="85"/>
      <c r="PI57" s="85"/>
      <c r="PJ57" s="85"/>
      <c r="PK57" s="85"/>
      <c r="PL57" s="85"/>
      <c r="PM57" s="85"/>
      <c r="PN57" s="85"/>
      <c r="PO57" s="85"/>
      <c r="PP57" s="85"/>
      <c r="PQ57" s="85"/>
      <c r="PR57" s="86"/>
    </row>
    <row r="58" spans="1:434" ht="25.5" x14ac:dyDescent="0.25">
      <c r="A58" s="24"/>
      <c r="B58" s="25" t="s">
        <v>124</v>
      </c>
      <c r="C58" s="24" t="s">
        <v>66</v>
      </c>
      <c r="D58" s="24" t="s">
        <v>73</v>
      </c>
      <c r="E58" s="24"/>
      <c r="F58" s="23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3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3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82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  <c r="DK58" s="82"/>
      <c r="DL58" s="82">
        <v>60</v>
      </c>
      <c r="DM58" s="82"/>
      <c r="DN58" s="82"/>
      <c r="DO58" s="82"/>
      <c r="DP58" s="82"/>
      <c r="DQ58" s="82"/>
      <c r="DR58" s="82"/>
      <c r="DS58" s="23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3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  <c r="GR58" s="26"/>
      <c r="GS58" s="23"/>
      <c r="GT58" s="26"/>
      <c r="GU58" s="26"/>
      <c r="GV58" s="26"/>
      <c r="GW58" s="26"/>
      <c r="GX58" s="26"/>
      <c r="GY58" s="26"/>
      <c r="GZ58" s="26"/>
      <c r="HA58" s="26"/>
      <c r="HB58" s="26"/>
      <c r="HC58" s="26"/>
      <c r="HD58" s="26"/>
      <c r="HE58" s="26"/>
      <c r="HF58" s="26"/>
      <c r="HG58" s="26"/>
      <c r="HH58" s="26"/>
      <c r="HI58" s="26"/>
      <c r="HJ58" s="26"/>
      <c r="HK58" s="26"/>
      <c r="HL58" s="26"/>
      <c r="HM58" s="26"/>
      <c r="HN58" s="26"/>
      <c r="HO58" s="26"/>
      <c r="HP58" s="26"/>
      <c r="HQ58" s="26"/>
      <c r="HR58" s="26"/>
      <c r="HS58" s="26"/>
      <c r="HT58" s="26"/>
      <c r="HU58" s="26"/>
      <c r="HV58" s="26"/>
      <c r="HW58" s="26"/>
      <c r="HX58" s="26"/>
      <c r="HY58" s="26"/>
      <c r="HZ58" s="26"/>
      <c r="IA58" s="26"/>
      <c r="IB58" s="26"/>
      <c r="IC58" s="26"/>
      <c r="ID58" s="26"/>
      <c r="IE58" s="26"/>
      <c r="IF58" s="23"/>
      <c r="IG58" s="26"/>
      <c r="IH58" s="26"/>
      <c r="II58" s="26"/>
      <c r="IJ58" s="26"/>
      <c r="IK58" s="26"/>
      <c r="IL58" s="26"/>
      <c r="IM58" s="26"/>
      <c r="IN58" s="26"/>
      <c r="IO58" s="26"/>
      <c r="IP58" s="26"/>
      <c r="IQ58" s="26"/>
      <c r="IR58" s="26"/>
      <c r="IS58" s="26"/>
      <c r="IT58" s="26"/>
      <c r="IU58" s="26"/>
      <c r="IV58" s="26"/>
      <c r="IW58" s="26"/>
      <c r="IX58" s="26"/>
      <c r="IY58" s="26"/>
      <c r="IZ58" s="26"/>
      <c r="JA58" s="26"/>
      <c r="JB58" s="26"/>
      <c r="JC58" s="26"/>
      <c r="JD58" s="26"/>
      <c r="JE58" s="26"/>
      <c r="JF58" s="26"/>
      <c r="JG58" s="26"/>
      <c r="JH58" s="26"/>
      <c r="JI58" s="26"/>
      <c r="JJ58" s="26"/>
      <c r="JK58" s="26"/>
      <c r="JL58" s="26"/>
      <c r="JM58" s="26"/>
      <c r="JN58" s="26"/>
      <c r="JO58" s="26"/>
      <c r="JP58" s="26"/>
      <c r="JQ58" s="26"/>
      <c r="JR58" s="26"/>
      <c r="JS58" s="23"/>
      <c r="JT58" s="26"/>
      <c r="JU58" s="26"/>
      <c r="JV58" s="26"/>
      <c r="JW58" s="26"/>
      <c r="JX58" s="26"/>
      <c r="JY58" s="26"/>
      <c r="JZ58" s="26"/>
      <c r="KA58" s="26"/>
      <c r="KB58" s="26"/>
      <c r="KC58" s="26"/>
      <c r="KD58" s="26"/>
      <c r="KE58" s="26"/>
      <c r="KF58" s="26"/>
      <c r="KG58" s="26"/>
      <c r="KH58" s="26"/>
      <c r="KI58" s="26"/>
      <c r="KJ58" s="26"/>
      <c r="KK58" s="26"/>
      <c r="KL58" s="26"/>
      <c r="KM58" s="26"/>
      <c r="KN58" s="26"/>
      <c r="KO58" s="26"/>
      <c r="KP58" s="26"/>
      <c r="KQ58" s="26"/>
      <c r="KR58" s="26"/>
      <c r="KS58" s="26"/>
      <c r="KT58" s="26"/>
      <c r="KU58" s="26"/>
      <c r="KV58" s="26"/>
      <c r="KW58" s="26"/>
      <c r="KX58" s="26"/>
      <c r="KY58" s="26"/>
      <c r="KZ58" s="26"/>
      <c r="LA58" s="26"/>
      <c r="LB58" s="26"/>
      <c r="LC58" s="26"/>
      <c r="LD58" s="26"/>
      <c r="LE58" s="26"/>
      <c r="LF58" s="23"/>
      <c r="LG58" s="26"/>
      <c r="LH58" s="26"/>
      <c r="LI58" s="26"/>
      <c r="LJ58" s="26"/>
      <c r="LK58" s="26"/>
      <c r="LL58" s="26"/>
      <c r="LM58" s="26"/>
      <c r="LN58" s="26"/>
      <c r="LO58" s="26"/>
      <c r="LP58" s="26"/>
      <c r="LQ58" s="26"/>
      <c r="LR58" s="26"/>
      <c r="LS58" s="26"/>
      <c r="LT58" s="26"/>
      <c r="LU58" s="26"/>
      <c r="LV58" s="26"/>
      <c r="LW58" s="26"/>
      <c r="LX58" s="26"/>
      <c r="LY58" s="26"/>
      <c r="LZ58" s="26"/>
      <c r="MA58" s="26"/>
      <c r="MB58" s="26"/>
      <c r="MC58" s="26"/>
      <c r="MD58" s="26"/>
      <c r="ME58" s="26"/>
      <c r="MF58" s="26"/>
      <c r="MG58" s="26"/>
      <c r="MH58" s="26"/>
      <c r="MI58" s="26"/>
      <c r="MJ58" s="26"/>
      <c r="MK58" s="26"/>
      <c r="ML58" s="26"/>
      <c r="MM58" s="26"/>
      <c r="MN58" s="26"/>
      <c r="MO58" s="26"/>
      <c r="MP58" s="26"/>
      <c r="MQ58" s="26"/>
      <c r="MR58" s="26"/>
      <c r="MS58" s="23"/>
      <c r="MT58" s="26"/>
      <c r="MU58" s="26"/>
      <c r="MV58" s="26"/>
      <c r="MW58" s="26"/>
      <c r="MX58" s="26"/>
      <c r="MY58" s="26"/>
      <c r="MZ58" s="26"/>
      <c r="NA58" s="26"/>
      <c r="NB58" s="26"/>
      <c r="NC58" s="26"/>
      <c r="ND58" s="26"/>
      <c r="NE58" s="26"/>
      <c r="NF58" s="26"/>
      <c r="NG58" s="26"/>
      <c r="NH58" s="26"/>
      <c r="NI58" s="26"/>
      <c r="NJ58" s="26"/>
      <c r="NK58" s="26"/>
      <c r="NL58" s="26"/>
      <c r="NM58" s="26"/>
      <c r="NN58" s="26"/>
      <c r="NO58" s="26"/>
      <c r="NP58" s="26"/>
      <c r="NQ58" s="26"/>
      <c r="NR58" s="26"/>
      <c r="NS58" s="26"/>
      <c r="NT58" s="26"/>
      <c r="NU58" s="26"/>
      <c r="NV58" s="26"/>
      <c r="NW58" s="26"/>
      <c r="NX58" s="26"/>
      <c r="NY58" s="26"/>
      <c r="NZ58" s="26"/>
      <c r="OA58" s="26"/>
      <c r="OB58" s="26"/>
      <c r="OC58" s="26"/>
      <c r="OD58" s="26"/>
      <c r="OE58" s="26"/>
      <c r="OF58" s="23"/>
      <c r="OG58" s="26"/>
      <c r="OH58" s="26"/>
      <c r="OI58" s="26"/>
      <c r="OJ58" s="26"/>
      <c r="OK58" s="26"/>
      <c r="OL58" s="26"/>
      <c r="OM58" s="26"/>
      <c r="ON58" s="26"/>
      <c r="OO58" s="26"/>
      <c r="OP58" s="26"/>
      <c r="OQ58" s="26"/>
      <c r="OR58" s="26"/>
      <c r="OS58" s="26"/>
      <c r="OT58" s="26"/>
      <c r="OU58" s="26"/>
      <c r="OV58" s="26"/>
      <c r="OW58" s="26"/>
      <c r="OX58" s="26"/>
      <c r="OY58" s="26"/>
      <c r="OZ58" s="26"/>
      <c r="PA58" s="26"/>
      <c r="PB58" s="26"/>
      <c r="PC58" s="26"/>
      <c r="PD58" s="26"/>
      <c r="PE58" s="26"/>
      <c r="PF58" s="26"/>
      <c r="PG58" s="26"/>
      <c r="PH58" s="26"/>
      <c r="PI58" s="26"/>
      <c r="PJ58" s="26"/>
      <c r="PK58" s="26"/>
      <c r="PL58" s="26"/>
      <c r="PM58" s="26"/>
      <c r="PN58" s="26"/>
      <c r="PO58" s="26"/>
      <c r="PP58" s="26"/>
      <c r="PQ58" s="26"/>
      <c r="PR58" s="26"/>
    </row>
    <row r="59" spans="1:434" x14ac:dyDescent="0.25">
      <c r="A59" s="24"/>
      <c r="B59" s="25" t="s">
        <v>125</v>
      </c>
      <c r="C59" s="24" t="s">
        <v>70</v>
      </c>
      <c r="D59" s="24" t="s">
        <v>76</v>
      </c>
      <c r="E59" s="24"/>
      <c r="F59" s="23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3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3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82">
        <v>7</v>
      </c>
      <c r="CU59" s="82"/>
      <c r="CV59" s="82">
        <v>7</v>
      </c>
      <c r="CW59" s="82"/>
      <c r="CX59" s="82"/>
      <c r="CY59" s="82"/>
      <c r="CZ59" s="82">
        <v>20</v>
      </c>
      <c r="DA59" s="82"/>
      <c r="DB59" s="82"/>
      <c r="DC59" s="82"/>
      <c r="DD59" s="82">
        <v>35</v>
      </c>
      <c r="DE59" s="82">
        <v>15</v>
      </c>
      <c r="DF59" s="82"/>
      <c r="DG59" s="82"/>
      <c r="DH59" s="82">
        <v>10</v>
      </c>
      <c r="DI59" s="82"/>
      <c r="DJ59" s="82"/>
      <c r="DK59" s="82"/>
      <c r="DL59" s="82">
        <v>30</v>
      </c>
      <c r="DM59" s="82"/>
      <c r="DN59" s="82"/>
      <c r="DO59" s="82"/>
      <c r="DP59" s="82"/>
      <c r="DQ59" s="82">
        <v>2</v>
      </c>
      <c r="DR59" s="82"/>
      <c r="DS59" s="23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3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  <c r="GR59" s="26"/>
      <c r="GS59" s="23"/>
      <c r="GT59" s="26"/>
      <c r="GU59" s="26"/>
      <c r="GV59" s="26"/>
      <c r="GW59" s="26"/>
      <c r="GX59" s="26"/>
      <c r="GY59" s="26"/>
      <c r="GZ59" s="26"/>
      <c r="HA59" s="26"/>
      <c r="HB59" s="26"/>
      <c r="HC59" s="26"/>
      <c r="HD59" s="26"/>
      <c r="HE59" s="26"/>
      <c r="HF59" s="26"/>
      <c r="HG59" s="26"/>
      <c r="HH59" s="26"/>
      <c r="HI59" s="26"/>
      <c r="HJ59" s="26"/>
      <c r="HK59" s="26"/>
      <c r="HL59" s="26"/>
      <c r="HM59" s="26"/>
      <c r="HN59" s="26"/>
      <c r="HO59" s="26"/>
      <c r="HP59" s="26"/>
      <c r="HQ59" s="26"/>
      <c r="HR59" s="26"/>
      <c r="HS59" s="26"/>
      <c r="HT59" s="26"/>
      <c r="HU59" s="26"/>
      <c r="HV59" s="26"/>
      <c r="HW59" s="26"/>
      <c r="HX59" s="26"/>
      <c r="HY59" s="26"/>
      <c r="HZ59" s="26"/>
      <c r="IA59" s="26"/>
      <c r="IB59" s="26"/>
      <c r="IC59" s="26"/>
      <c r="ID59" s="26"/>
      <c r="IE59" s="26"/>
      <c r="IF59" s="23"/>
      <c r="IG59" s="26"/>
      <c r="IH59" s="26"/>
      <c r="II59" s="26"/>
      <c r="IJ59" s="26"/>
      <c r="IK59" s="26"/>
      <c r="IL59" s="26"/>
      <c r="IM59" s="26"/>
      <c r="IN59" s="26"/>
      <c r="IO59" s="26"/>
      <c r="IP59" s="26"/>
      <c r="IQ59" s="26"/>
      <c r="IR59" s="26"/>
      <c r="IS59" s="26"/>
      <c r="IT59" s="26"/>
      <c r="IU59" s="26"/>
      <c r="IV59" s="26"/>
      <c r="IW59" s="26"/>
      <c r="IX59" s="26"/>
      <c r="IY59" s="26"/>
      <c r="IZ59" s="26"/>
      <c r="JA59" s="26"/>
      <c r="JB59" s="26"/>
      <c r="JC59" s="26"/>
      <c r="JD59" s="26"/>
      <c r="JE59" s="26"/>
      <c r="JF59" s="26"/>
      <c r="JG59" s="26"/>
      <c r="JH59" s="26"/>
      <c r="JI59" s="26"/>
      <c r="JJ59" s="26"/>
      <c r="JK59" s="26"/>
      <c r="JL59" s="26"/>
      <c r="JM59" s="26"/>
      <c r="JN59" s="26"/>
      <c r="JO59" s="26"/>
      <c r="JP59" s="26"/>
      <c r="JQ59" s="26"/>
      <c r="JR59" s="26"/>
      <c r="JS59" s="23"/>
      <c r="JT59" s="26"/>
      <c r="JU59" s="26"/>
      <c r="JV59" s="26"/>
      <c r="JW59" s="26"/>
      <c r="JX59" s="26"/>
      <c r="JY59" s="26"/>
      <c r="JZ59" s="26"/>
      <c r="KA59" s="26"/>
      <c r="KB59" s="26"/>
      <c r="KC59" s="26"/>
      <c r="KD59" s="26"/>
      <c r="KE59" s="26"/>
      <c r="KF59" s="26"/>
      <c r="KG59" s="26"/>
      <c r="KH59" s="26"/>
      <c r="KI59" s="26"/>
      <c r="KJ59" s="26"/>
      <c r="KK59" s="26"/>
      <c r="KL59" s="26"/>
      <c r="KM59" s="26"/>
      <c r="KN59" s="26"/>
      <c r="KO59" s="26"/>
      <c r="KP59" s="26"/>
      <c r="KQ59" s="26"/>
      <c r="KR59" s="26"/>
      <c r="KS59" s="26"/>
      <c r="KT59" s="26"/>
      <c r="KU59" s="26"/>
      <c r="KV59" s="26"/>
      <c r="KW59" s="26"/>
      <c r="KX59" s="26"/>
      <c r="KY59" s="26"/>
      <c r="KZ59" s="26"/>
      <c r="LA59" s="26"/>
      <c r="LB59" s="26"/>
      <c r="LC59" s="26"/>
      <c r="LD59" s="26"/>
      <c r="LE59" s="26"/>
      <c r="LF59" s="23"/>
      <c r="LG59" s="26"/>
      <c r="LH59" s="26"/>
      <c r="LI59" s="26"/>
      <c r="LJ59" s="26"/>
      <c r="LK59" s="26"/>
      <c r="LL59" s="26"/>
      <c r="LM59" s="26"/>
      <c r="LN59" s="26"/>
      <c r="LO59" s="26"/>
      <c r="LP59" s="26"/>
      <c r="LQ59" s="26"/>
      <c r="LR59" s="26"/>
      <c r="LS59" s="26"/>
      <c r="LT59" s="26"/>
      <c r="LU59" s="26"/>
      <c r="LV59" s="26"/>
      <c r="LW59" s="26"/>
      <c r="LX59" s="26"/>
      <c r="LY59" s="26"/>
      <c r="LZ59" s="26"/>
      <c r="MA59" s="26"/>
      <c r="MB59" s="26"/>
      <c r="MC59" s="26"/>
      <c r="MD59" s="26"/>
      <c r="ME59" s="26"/>
      <c r="MF59" s="26"/>
      <c r="MG59" s="26"/>
      <c r="MH59" s="26"/>
      <c r="MI59" s="26"/>
      <c r="MJ59" s="26"/>
      <c r="MK59" s="26"/>
      <c r="ML59" s="26"/>
      <c r="MM59" s="26"/>
      <c r="MN59" s="26"/>
      <c r="MO59" s="26"/>
      <c r="MP59" s="26"/>
      <c r="MQ59" s="26"/>
      <c r="MR59" s="26"/>
      <c r="MS59" s="23"/>
      <c r="MT59" s="26"/>
      <c r="MU59" s="26"/>
      <c r="MV59" s="26"/>
      <c r="MW59" s="26"/>
      <c r="MX59" s="26"/>
      <c r="MY59" s="26"/>
      <c r="MZ59" s="26"/>
      <c r="NA59" s="26"/>
      <c r="NB59" s="26"/>
      <c r="NC59" s="26"/>
      <c r="ND59" s="26"/>
      <c r="NE59" s="26"/>
      <c r="NF59" s="26"/>
      <c r="NG59" s="26"/>
      <c r="NH59" s="26"/>
      <c r="NI59" s="26"/>
      <c r="NJ59" s="26"/>
      <c r="NK59" s="26"/>
      <c r="NL59" s="26"/>
      <c r="NM59" s="26"/>
      <c r="NN59" s="26"/>
      <c r="NO59" s="26"/>
      <c r="NP59" s="26"/>
      <c r="NQ59" s="26"/>
      <c r="NR59" s="26"/>
      <c r="NS59" s="26"/>
      <c r="NT59" s="26"/>
      <c r="NU59" s="26"/>
      <c r="NV59" s="26"/>
      <c r="NW59" s="26"/>
      <c r="NX59" s="26"/>
      <c r="NY59" s="26"/>
      <c r="NZ59" s="26"/>
      <c r="OA59" s="26"/>
      <c r="OB59" s="26"/>
      <c r="OC59" s="26"/>
      <c r="OD59" s="26"/>
      <c r="OE59" s="26"/>
      <c r="OF59" s="23"/>
      <c r="OG59" s="26"/>
      <c r="OH59" s="26"/>
      <c r="OI59" s="26"/>
      <c r="OJ59" s="26"/>
      <c r="OK59" s="26"/>
      <c r="OL59" s="26"/>
      <c r="OM59" s="26"/>
      <c r="ON59" s="26"/>
      <c r="OO59" s="26"/>
      <c r="OP59" s="26"/>
      <c r="OQ59" s="26"/>
      <c r="OR59" s="26"/>
      <c r="OS59" s="26"/>
      <c r="OT59" s="26"/>
      <c r="OU59" s="26"/>
      <c r="OV59" s="26"/>
      <c r="OW59" s="26"/>
      <c r="OX59" s="26"/>
      <c r="OY59" s="26"/>
      <c r="OZ59" s="26"/>
      <c r="PA59" s="26"/>
      <c r="PB59" s="26"/>
      <c r="PC59" s="26"/>
      <c r="PD59" s="26"/>
      <c r="PE59" s="26"/>
      <c r="PF59" s="26"/>
      <c r="PG59" s="26"/>
      <c r="PH59" s="26"/>
      <c r="PI59" s="26"/>
      <c r="PJ59" s="26"/>
      <c r="PK59" s="26"/>
      <c r="PL59" s="26"/>
      <c r="PM59" s="26"/>
      <c r="PN59" s="26"/>
      <c r="PO59" s="26"/>
      <c r="PP59" s="26"/>
      <c r="PQ59" s="26"/>
      <c r="PR59" s="26"/>
    </row>
    <row r="60" spans="1:434" ht="25.5" x14ac:dyDescent="0.25">
      <c r="A60" s="24"/>
      <c r="B60" s="25" t="s">
        <v>126</v>
      </c>
      <c r="C60" s="24" t="s">
        <v>70</v>
      </c>
      <c r="D60" s="24" t="s">
        <v>73</v>
      </c>
      <c r="E60" s="24"/>
      <c r="F60" s="23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3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3"/>
      <c r="CG60" s="82"/>
      <c r="CH60" s="82"/>
      <c r="CI60" s="82"/>
      <c r="CJ60" s="82"/>
      <c r="CK60" s="82"/>
      <c r="CL60" s="82"/>
      <c r="CM60" s="82"/>
      <c r="CN60" s="82"/>
      <c r="CO60" s="82"/>
      <c r="CP60" s="82"/>
      <c r="CQ60" s="82"/>
      <c r="CR60" s="82"/>
      <c r="CS60" s="82"/>
      <c r="CT60" s="82">
        <v>1</v>
      </c>
      <c r="CU60" s="82"/>
      <c r="CV60" s="82"/>
      <c r="CW60" s="82"/>
      <c r="CX60" s="82"/>
      <c r="CY60" s="82"/>
      <c r="CZ60" s="82"/>
      <c r="DA60" s="82"/>
      <c r="DB60" s="82"/>
      <c r="DC60" s="82"/>
      <c r="DD60" s="82"/>
      <c r="DE60" s="82"/>
      <c r="DF60" s="82"/>
      <c r="DG60" s="82"/>
      <c r="DH60" s="82"/>
      <c r="DI60" s="82"/>
      <c r="DJ60" s="82"/>
      <c r="DK60" s="82"/>
      <c r="DL60" s="82">
        <v>30</v>
      </c>
      <c r="DM60" s="82"/>
      <c r="DN60" s="82"/>
      <c r="DO60" s="82"/>
      <c r="DP60" s="82"/>
      <c r="DQ60" s="82"/>
      <c r="DR60" s="82"/>
      <c r="DS60" s="23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3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  <c r="GR60" s="26"/>
      <c r="GS60" s="23"/>
      <c r="GT60" s="26"/>
      <c r="GU60" s="26"/>
      <c r="GV60" s="26"/>
      <c r="GW60" s="26"/>
      <c r="GX60" s="26"/>
      <c r="GY60" s="26"/>
      <c r="GZ60" s="26"/>
      <c r="HA60" s="26"/>
      <c r="HB60" s="26"/>
      <c r="HC60" s="26"/>
      <c r="HD60" s="26"/>
      <c r="HE60" s="26"/>
      <c r="HF60" s="26"/>
      <c r="HG60" s="26"/>
      <c r="HH60" s="26"/>
      <c r="HI60" s="26"/>
      <c r="HJ60" s="26"/>
      <c r="HK60" s="26"/>
      <c r="HL60" s="26"/>
      <c r="HM60" s="26"/>
      <c r="HN60" s="26"/>
      <c r="HO60" s="26"/>
      <c r="HP60" s="26"/>
      <c r="HQ60" s="26"/>
      <c r="HR60" s="26"/>
      <c r="HS60" s="26"/>
      <c r="HT60" s="26"/>
      <c r="HU60" s="26"/>
      <c r="HV60" s="26"/>
      <c r="HW60" s="26"/>
      <c r="HX60" s="26"/>
      <c r="HY60" s="26"/>
      <c r="HZ60" s="26"/>
      <c r="IA60" s="26"/>
      <c r="IB60" s="26"/>
      <c r="IC60" s="26"/>
      <c r="ID60" s="26"/>
      <c r="IE60" s="26"/>
      <c r="IF60" s="23"/>
      <c r="IG60" s="26"/>
      <c r="IH60" s="26"/>
      <c r="II60" s="26"/>
      <c r="IJ60" s="26"/>
      <c r="IK60" s="26"/>
      <c r="IL60" s="26"/>
      <c r="IM60" s="26"/>
      <c r="IN60" s="26"/>
      <c r="IO60" s="26"/>
      <c r="IP60" s="26"/>
      <c r="IQ60" s="26"/>
      <c r="IR60" s="26"/>
      <c r="IS60" s="26"/>
      <c r="IT60" s="26"/>
      <c r="IU60" s="26"/>
      <c r="IV60" s="26"/>
      <c r="IW60" s="26"/>
      <c r="IX60" s="26"/>
      <c r="IY60" s="26"/>
      <c r="IZ60" s="26"/>
      <c r="JA60" s="26"/>
      <c r="JB60" s="26"/>
      <c r="JC60" s="26"/>
      <c r="JD60" s="26"/>
      <c r="JE60" s="26"/>
      <c r="JF60" s="26"/>
      <c r="JG60" s="26"/>
      <c r="JH60" s="26"/>
      <c r="JI60" s="26"/>
      <c r="JJ60" s="26"/>
      <c r="JK60" s="26"/>
      <c r="JL60" s="26"/>
      <c r="JM60" s="26"/>
      <c r="JN60" s="26"/>
      <c r="JO60" s="26"/>
      <c r="JP60" s="26"/>
      <c r="JQ60" s="26"/>
      <c r="JR60" s="26"/>
      <c r="JS60" s="23"/>
      <c r="JT60" s="26"/>
      <c r="JU60" s="26"/>
      <c r="JV60" s="26"/>
      <c r="JW60" s="26"/>
      <c r="JX60" s="26"/>
      <c r="JY60" s="26"/>
      <c r="JZ60" s="26"/>
      <c r="KA60" s="26"/>
      <c r="KB60" s="26"/>
      <c r="KC60" s="26"/>
      <c r="KD60" s="26"/>
      <c r="KE60" s="26"/>
      <c r="KF60" s="26"/>
      <c r="KG60" s="26"/>
      <c r="KH60" s="26"/>
      <c r="KI60" s="26"/>
      <c r="KJ60" s="26"/>
      <c r="KK60" s="26"/>
      <c r="KL60" s="26"/>
      <c r="KM60" s="26"/>
      <c r="KN60" s="26"/>
      <c r="KO60" s="26"/>
      <c r="KP60" s="26"/>
      <c r="KQ60" s="26"/>
      <c r="KR60" s="26"/>
      <c r="KS60" s="26"/>
      <c r="KT60" s="26"/>
      <c r="KU60" s="26"/>
      <c r="KV60" s="26"/>
      <c r="KW60" s="26"/>
      <c r="KX60" s="26"/>
      <c r="KY60" s="26"/>
      <c r="KZ60" s="26"/>
      <c r="LA60" s="26"/>
      <c r="LB60" s="26"/>
      <c r="LC60" s="26"/>
      <c r="LD60" s="26"/>
      <c r="LE60" s="26"/>
      <c r="LF60" s="23"/>
      <c r="LG60" s="26"/>
      <c r="LH60" s="26"/>
      <c r="LI60" s="26"/>
      <c r="LJ60" s="26"/>
      <c r="LK60" s="26"/>
      <c r="LL60" s="26"/>
      <c r="LM60" s="26"/>
      <c r="LN60" s="26"/>
      <c r="LO60" s="26"/>
      <c r="LP60" s="26"/>
      <c r="LQ60" s="26"/>
      <c r="LR60" s="26"/>
      <c r="LS60" s="26"/>
      <c r="LT60" s="26"/>
      <c r="LU60" s="26"/>
      <c r="LV60" s="26"/>
      <c r="LW60" s="26"/>
      <c r="LX60" s="26"/>
      <c r="LY60" s="26"/>
      <c r="LZ60" s="26"/>
      <c r="MA60" s="26"/>
      <c r="MB60" s="26"/>
      <c r="MC60" s="26"/>
      <c r="MD60" s="26"/>
      <c r="ME60" s="26"/>
      <c r="MF60" s="26"/>
      <c r="MG60" s="26"/>
      <c r="MH60" s="26"/>
      <c r="MI60" s="26"/>
      <c r="MJ60" s="26"/>
      <c r="MK60" s="26"/>
      <c r="ML60" s="26"/>
      <c r="MM60" s="26"/>
      <c r="MN60" s="26"/>
      <c r="MO60" s="26"/>
      <c r="MP60" s="26"/>
      <c r="MQ60" s="26"/>
      <c r="MR60" s="26"/>
      <c r="MS60" s="23"/>
      <c r="MT60" s="26"/>
      <c r="MU60" s="26"/>
      <c r="MV60" s="26"/>
      <c r="MW60" s="26"/>
      <c r="MX60" s="26"/>
      <c r="MY60" s="26"/>
      <c r="MZ60" s="26"/>
      <c r="NA60" s="26"/>
      <c r="NB60" s="26"/>
      <c r="NC60" s="26"/>
      <c r="ND60" s="26"/>
      <c r="NE60" s="26"/>
      <c r="NF60" s="26"/>
      <c r="NG60" s="26"/>
      <c r="NH60" s="26"/>
      <c r="NI60" s="26"/>
      <c r="NJ60" s="26"/>
      <c r="NK60" s="26"/>
      <c r="NL60" s="26"/>
      <c r="NM60" s="26"/>
      <c r="NN60" s="26"/>
      <c r="NO60" s="26"/>
      <c r="NP60" s="26"/>
      <c r="NQ60" s="26"/>
      <c r="NR60" s="26"/>
      <c r="NS60" s="26"/>
      <c r="NT60" s="26"/>
      <c r="NU60" s="26"/>
      <c r="NV60" s="26"/>
      <c r="NW60" s="26"/>
      <c r="NX60" s="26"/>
      <c r="NY60" s="26"/>
      <c r="NZ60" s="26"/>
      <c r="OA60" s="26"/>
      <c r="OB60" s="26"/>
      <c r="OC60" s="26"/>
      <c r="OD60" s="26"/>
      <c r="OE60" s="26"/>
      <c r="OF60" s="23"/>
      <c r="OG60" s="26"/>
      <c r="OH60" s="26"/>
      <c r="OI60" s="26"/>
      <c r="OJ60" s="26"/>
      <c r="OK60" s="26"/>
      <c r="OL60" s="26"/>
      <c r="OM60" s="26"/>
      <c r="ON60" s="26"/>
      <c r="OO60" s="26"/>
      <c r="OP60" s="26"/>
      <c r="OQ60" s="26"/>
      <c r="OR60" s="26"/>
      <c r="OS60" s="26"/>
      <c r="OT60" s="26"/>
      <c r="OU60" s="26"/>
      <c r="OV60" s="26"/>
      <c r="OW60" s="26"/>
      <c r="OX60" s="26"/>
      <c r="OY60" s="26"/>
      <c r="OZ60" s="26"/>
      <c r="PA60" s="26"/>
      <c r="PB60" s="26"/>
      <c r="PC60" s="26"/>
      <c r="PD60" s="26"/>
      <c r="PE60" s="26"/>
      <c r="PF60" s="26"/>
      <c r="PG60" s="26"/>
      <c r="PH60" s="26"/>
      <c r="PI60" s="26"/>
      <c r="PJ60" s="26"/>
      <c r="PK60" s="26"/>
      <c r="PL60" s="26"/>
      <c r="PM60" s="26"/>
      <c r="PN60" s="26"/>
      <c r="PO60" s="26"/>
      <c r="PP60" s="26"/>
      <c r="PQ60" s="26"/>
      <c r="PR60" s="26"/>
    </row>
    <row r="61" spans="1:434" x14ac:dyDescent="0.25">
      <c r="A61" s="24"/>
      <c r="B61" s="25" t="s">
        <v>127</v>
      </c>
      <c r="C61" s="24" t="s">
        <v>66</v>
      </c>
      <c r="D61" s="24" t="s">
        <v>67</v>
      </c>
      <c r="E61" s="24"/>
      <c r="F61" s="23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3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3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>
        <v>15</v>
      </c>
      <c r="CU61" s="82"/>
      <c r="CV61" s="82"/>
      <c r="CW61" s="82"/>
      <c r="CX61" s="82"/>
      <c r="CY61" s="82"/>
      <c r="CZ61" s="82"/>
      <c r="DA61" s="82">
        <v>3</v>
      </c>
      <c r="DB61" s="82"/>
      <c r="DC61" s="82"/>
      <c r="DD61" s="82">
        <v>25</v>
      </c>
      <c r="DE61" s="82"/>
      <c r="DF61" s="82"/>
      <c r="DG61" s="82"/>
      <c r="DH61" s="82"/>
      <c r="DI61" s="82"/>
      <c r="DJ61" s="82"/>
      <c r="DK61" s="82"/>
      <c r="DL61" s="82">
        <v>60</v>
      </c>
      <c r="DM61" s="82"/>
      <c r="DN61" s="82"/>
      <c r="DO61" s="82"/>
      <c r="DP61" s="82"/>
      <c r="DQ61" s="82">
        <v>2</v>
      </c>
      <c r="DR61" s="82"/>
      <c r="DS61" s="23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3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  <c r="GR61" s="26"/>
      <c r="GS61" s="23"/>
      <c r="GT61" s="26"/>
      <c r="GU61" s="26"/>
      <c r="GV61" s="26"/>
      <c r="GW61" s="26"/>
      <c r="GX61" s="26"/>
      <c r="GY61" s="26"/>
      <c r="GZ61" s="26"/>
      <c r="HA61" s="26"/>
      <c r="HB61" s="26"/>
      <c r="HC61" s="26"/>
      <c r="HD61" s="26"/>
      <c r="HE61" s="26"/>
      <c r="HF61" s="26"/>
      <c r="HG61" s="26"/>
      <c r="HH61" s="26"/>
      <c r="HI61" s="26"/>
      <c r="HJ61" s="26"/>
      <c r="HK61" s="26"/>
      <c r="HL61" s="26"/>
      <c r="HM61" s="26"/>
      <c r="HN61" s="26"/>
      <c r="HO61" s="26"/>
      <c r="HP61" s="26"/>
      <c r="HQ61" s="26"/>
      <c r="HR61" s="26"/>
      <c r="HS61" s="26"/>
      <c r="HT61" s="26"/>
      <c r="HU61" s="26"/>
      <c r="HV61" s="26"/>
      <c r="HW61" s="26"/>
      <c r="HX61" s="26"/>
      <c r="HY61" s="26"/>
      <c r="HZ61" s="26"/>
      <c r="IA61" s="26"/>
      <c r="IB61" s="26"/>
      <c r="IC61" s="26"/>
      <c r="ID61" s="26"/>
      <c r="IE61" s="26"/>
      <c r="IF61" s="23"/>
      <c r="IG61" s="26"/>
      <c r="IH61" s="26"/>
      <c r="II61" s="26"/>
      <c r="IJ61" s="26"/>
      <c r="IK61" s="26"/>
      <c r="IL61" s="26"/>
      <c r="IM61" s="26"/>
      <c r="IN61" s="26"/>
      <c r="IO61" s="26"/>
      <c r="IP61" s="26"/>
      <c r="IQ61" s="26"/>
      <c r="IR61" s="26"/>
      <c r="IS61" s="26"/>
      <c r="IT61" s="26"/>
      <c r="IU61" s="26"/>
      <c r="IV61" s="26"/>
      <c r="IW61" s="26"/>
      <c r="IX61" s="26"/>
      <c r="IY61" s="26"/>
      <c r="IZ61" s="26"/>
      <c r="JA61" s="26"/>
      <c r="JB61" s="26"/>
      <c r="JC61" s="26"/>
      <c r="JD61" s="26"/>
      <c r="JE61" s="26"/>
      <c r="JF61" s="26"/>
      <c r="JG61" s="26"/>
      <c r="JH61" s="26"/>
      <c r="JI61" s="26"/>
      <c r="JJ61" s="26"/>
      <c r="JK61" s="26"/>
      <c r="JL61" s="26"/>
      <c r="JM61" s="26"/>
      <c r="JN61" s="26"/>
      <c r="JO61" s="26"/>
      <c r="JP61" s="26"/>
      <c r="JQ61" s="26"/>
      <c r="JR61" s="26"/>
      <c r="JS61" s="23"/>
      <c r="JT61" s="26"/>
      <c r="JU61" s="26"/>
      <c r="JV61" s="26"/>
      <c r="JW61" s="26"/>
      <c r="JX61" s="26"/>
      <c r="JY61" s="26"/>
      <c r="JZ61" s="26"/>
      <c r="KA61" s="26"/>
      <c r="KB61" s="26"/>
      <c r="KC61" s="26"/>
      <c r="KD61" s="26"/>
      <c r="KE61" s="26"/>
      <c r="KF61" s="26"/>
      <c r="KG61" s="26"/>
      <c r="KH61" s="26"/>
      <c r="KI61" s="26"/>
      <c r="KJ61" s="26"/>
      <c r="KK61" s="26"/>
      <c r="KL61" s="26"/>
      <c r="KM61" s="26"/>
      <c r="KN61" s="26"/>
      <c r="KO61" s="26"/>
      <c r="KP61" s="26"/>
      <c r="KQ61" s="26"/>
      <c r="KR61" s="26"/>
      <c r="KS61" s="26"/>
      <c r="KT61" s="26"/>
      <c r="KU61" s="26"/>
      <c r="KV61" s="26"/>
      <c r="KW61" s="26"/>
      <c r="KX61" s="26"/>
      <c r="KY61" s="26"/>
      <c r="KZ61" s="26"/>
      <c r="LA61" s="26"/>
      <c r="LB61" s="26"/>
      <c r="LC61" s="26"/>
      <c r="LD61" s="26"/>
      <c r="LE61" s="26"/>
      <c r="LF61" s="23"/>
      <c r="LG61" s="26"/>
      <c r="LH61" s="26"/>
      <c r="LI61" s="26"/>
      <c r="LJ61" s="26"/>
      <c r="LK61" s="26"/>
      <c r="LL61" s="26"/>
      <c r="LM61" s="26"/>
      <c r="LN61" s="26"/>
      <c r="LO61" s="26"/>
      <c r="LP61" s="26"/>
      <c r="LQ61" s="26"/>
      <c r="LR61" s="26"/>
      <c r="LS61" s="26"/>
      <c r="LT61" s="26"/>
      <c r="LU61" s="26"/>
      <c r="LV61" s="26"/>
      <c r="LW61" s="26"/>
      <c r="LX61" s="26"/>
      <c r="LY61" s="26"/>
      <c r="LZ61" s="26"/>
      <c r="MA61" s="26"/>
      <c r="MB61" s="26"/>
      <c r="MC61" s="26"/>
      <c r="MD61" s="26"/>
      <c r="ME61" s="26"/>
      <c r="MF61" s="26"/>
      <c r="MG61" s="26"/>
      <c r="MH61" s="26"/>
      <c r="MI61" s="26"/>
      <c r="MJ61" s="26"/>
      <c r="MK61" s="26"/>
      <c r="ML61" s="26"/>
      <c r="MM61" s="26"/>
      <c r="MN61" s="26"/>
      <c r="MO61" s="26"/>
      <c r="MP61" s="26"/>
      <c r="MQ61" s="26"/>
      <c r="MR61" s="26"/>
      <c r="MS61" s="23"/>
      <c r="MT61" s="26"/>
      <c r="MU61" s="26"/>
      <c r="MV61" s="26"/>
      <c r="MW61" s="26"/>
      <c r="MX61" s="26"/>
      <c r="MY61" s="26"/>
      <c r="MZ61" s="26"/>
      <c r="NA61" s="26"/>
      <c r="NB61" s="26"/>
      <c r="NC61" s="26"/>
      <c r="ND61" s="26"/>
      <c r="NE61" s="26"/>
      <c r="NF61" s="26"/>
      <c r="NG61" s="26"/>
      <c r="NH61" s="26"/>
      <c r="NI61" s="26"/>
      <c r="NJ61" s="26"/>
      <c r="NK61" s="26"/>
      <c r="NL61" s="26"/>
      <c r="NM61" s="26"/>
      <c r="NN61" s="26"/>
      <c r="NO61" s="26"/>
      <c r="NP61" s="26"/>
      <c r="NQ61" s="26"/>
      <c r="NR61" s="26"/>
      <c r="NS61" s="26"/>
      <c r="NT61" s="26"/>
      <c r="NU61" s="26"/>
      <c r="NV61" s="26"/>
      <c r="NW61" s="26"/>
      <c r="NX61" s="26"/>
      <c r="NY61" s="26"/>
      <c r="NZ61" s="26"/>
      <c r="OA61" s="26"/>
      <c r="OB61" s="26"/>
      <c r="OC61" s="26"/>
      <c r="OD61" s="26"/>
      <c r="OE61" s="26"/>
      <c r="OF61" s="23"/>
      <c r="OG61" s="26"/>
      <c r="OH61" s="26"/>
      <c r="OI61" s="26"/>
      <c r="OJ61" s="26"/>
      <c r="OK61" s="26"/>
      <c r="OL61" s="26"/>
      <c r="OM61" s="26"/>
      <c r="ON61" s="26"/>
      <c r="OO61" s="26"/>
      <c r="OP61" s="26"/>
      <c r="OQ61" s="26"/>
      <c r="OR61" s="26"/>
      <c r="OS61" s="26"/>
      <c r="OT61" s="26"/>
      <c r="OU61" s="26"/>
      <c r="OV61" s="26"/>
      <c r="OW61" s="26"/>
      <c r="OX61" s="26"/>
      <c r="OY61" s="26"/>
      <c r="OZ61" s="26"/>
      <c r="PA61" s="26"/>
      <c r="PB61" s="26"/>
      <c r="PC61" s="26"/>
      <c r="PD61" s="26"/>
      <c r="PE61" s="26"/>
      <c r="PF61" s="26"/>
      <c r="PG61" s="26"/>
      <c r="PH61" s="26"/>
      <c r="PI61" s="26"/>
      <c r="PJ61" s="26"/>
      <c r="PK61" s="26"/>
      <c r="PL61" s="26"/>
      <c r="PM61" s="26"/>
      <c r="PN61" s="26"/>
      <c r="PO61" s="26"/>
      <c r="PP61" s="26"/>
      <c r="PQ61" s="26"/>
      <c r="PR61" s="26"/>
    </row>
    <row r="62" spans="1:434" x14ac:dyDescent="0.25">
      <c r="A62" s="24"/>
      <c r="B62" s="25" t="s">
        <v>128</v>
      </c>
      <c r="C62" s="24" t="s">
        <v>70</v>
      </c>
      <c r="D62" s="24" t="s">
        <v>76</v>
      </c>
      <c r="E62" s="24"/>
      <c r="F62" s="23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3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3"/>
      <c r="CG62" s="82"/>
      <c r="CH62" s="82"/>
      <c r="CI62" s="82"/>
      <c r="CJ62" s="82"/>
      <c r="CK62" s="82"/>
      <c r="CL62" s="82"/>
      <c r="CM62" s="82"/>
      <c r="CN62" s="82"/>
      <c r="CO62" s="82"/>
      <c r="CP62" s="82"/>
      <c r="CQ62" s="82"/>
      <c r="CR62" s="82"/>
      <c r="CS62" s="82"/>
      <c r="CT62" s="82"/>
      <c r="CU62" s="82"/>
      <c r="CV62" s="82"/>
      <c r="CW62" s="82"/>
      <c r="CX62" s="82"/>
      <c r="CY62" s="82"/>
      <c r="CZ62" s="82"/>
      <c r="DA62" s="82"/>
      <c r="DB62" s="82"/>
      <c r="DC62" s="82"/>
      <c r="DD62" s="82"/>
      <c r="DE62" s="82"/>
      <c r="DF62" s="82"/>
      <c r="DG62" s="82"/>
      <c r="DH62" s="82"/>
      <c r="DI62" s="82"/>
      <c r="DJ62" s="82"/>
      <c r="DK62" s="82"/>
      <c r="DL62" s="82">
        <v>30</v>
      </c>
      <c r="DM62" s="82"/>
      <c r="DN62" s="82"/>
      <c r="DO62" s="82"/>
      <c r="DP62" s="82"/>
      <c r="DQ62" s="82"/>
      <c r="DR62" s="82"/>
      <c r="DS62" s="23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3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  <c r="GR62" s="26"/>
      <c r="GS62" s="23"/>
      <c r="GT62" s="26"/>
      <c r="GU62" s="26"/>
      <c r="GV62" s="26"/>
      <c r="GW62" s="26"/>
      <c r="GX62" s="26"/>
      <c r="GY62" s="26"/>
      <c r="GZ62" s="26"/>
      <c r="HA62" s="26"/>
      <c r="HB62" s="26"/>
      <c r="HC62" s="26"/>
      <c r="HD62" s="26"/>
      <c r="HE62" s="26"/>
      <c r="HF62" s="26"/>
      <c r="HG62" s="26"/>
      <c r="HH62" s="26"/>
      <c r="HI62" s="26"/>
      <c r="HJ62" s="26"/>
      <c r="HK62" s="26"/>
      <c r="HL62" s="26"/>
      <c r="HM62" s="26"/>
      <c r="HN62" s="26"/>
      <c r="HO62" s="26"/>
      <c r="HP62" s="26"/>
      <c r="HQ62" s="26"/>
      <c r="HR62" s="26"/>
      <c r="HS62" s="26"/>
      <c r="HT62" s="26"/>
      <c r="HU62" s="26"/>
      <c r="HV62" s="26"/>
      <c r="HW62" s="26"/>
      <c r="HX62" s="26"/>
      <c r="HY62" s="26"/>
      <c r="HZ62" s="26"/>
      <c r="IA62" s="26"/>
      <c r="IB62" s="26"/>
      <c r="IC62" s="26"/>
      <c r="ID62" s="26"/>
      <c r="IE62" s="26"/>
      <c r="IF62" s="23"/>
      <c r="IG62" s="26"/>
      <c r="IH62" s="26"/>
      <c r="II62" s="26"/>
      <c r="IJ62" s="26"/>
      <c r="IK62" s="26"/>
      <c r="IL62" s="26"/>
      <c r="IM62" s="26"/>
      <c r="IN62" s="26"/>
      <c r="IO62" s="26"/>
      <c r="IP62" s="26"/>
      <c r="IQ62" s="26"/>
      <c r="IR62" s="26"/>
      <c r="IS62" s="26"/>
      <c r="IT62" s="26"/>
      <c r="IU62" s="26"/>
      <c r="IV62" s="26"/>
      <c r="IW62" s="26"/>
      <c r="IX62" s="26"/>
      <c r="IY62" s="26"/>
      <c r="IZ62" s="26"/>
      <c r="JA62" s="26"/>
      <c r="JB62" s="26"/>
      <c r="JC62" s="26"/>
      <c r="JD62" s="26"/>
      <c r="JE62" s="26"/>
      <c r="JF62" s="26"/>
      <c r="JG62" s="26"/>
      <c r="JH62" s="26"/>
      <c r="JI62" s="26"/>
      <c r="JJ62" s="26"/>
      <c r="JK62" s="26"/>
      <c r="JL62" s="26"/>
      <c r="JM62" s="26"/>
      <c r="JN62" s="26"/>
      <c r="JO62" s="26"/>
      <c r="JP62" s="26"/>
      <c r="JQ62" s="26"/>
      <c r="JR62" s="26"/>
      <c r="JS62" s="23"/>
      <c r="JT62" s="26"/>
      <c r="JU62" s="26"/>
      <c r="JV62" s="26"/>
      <c r="JW62" s="26"/>
      <c r="JX62" s="26"/>
      <c r="JY62" s="26"/>
      <c r="JZ62" s="26"/>
      <c r="KA62" s="26"/>
      <c r="KB62" s="26"/>
      <c r="KC62" s="26"/>
      <c r="KD62" s="26"/>
      <c r="KE62" s="26"/>
      <c r="KF62" s="26"/>
      <c r="KG62" s="26"/>
      <c r="KH62" s="26"/>
      <c r="KI62" s="26"/>
      <c r="KJ62" s="26"/>
      <c r="KK62" s="26"/>
      <c r="KL62" s="26"/>
      <c r="KM62" s="26"/>
      <c r="KN62" s="26"/>
      <c r="KO62" s="26"/>
      <c r="KP62" s="26"/>
      <c r="KQ62" s="26"/>
      <c r="KR62" s="26"/>
      <c r="KS62" s="26"/>
      <c r="KT62" s="26"/>
      <c r="KU62" s="26"/>
      <c r="KV62" s="26"/>
      <c r="KW62" s="26"/>
      <c r="KX62" s="26"/>
      <c r="KY62" s="26"/>
      <c r="KZ62" s="26"/>
      <c r="LA62" s="26"/>
      <c r="LB62" s="26"/>
      <c r="LC62" s="26"/>
      <c r="LD62" s="26"/>
      <c r="LE62" s="26"/>
      <c r="LF62" s="23"/>
      <c r="LG62" s="26"/>
      <c r="LH62" s="26"/>
      <c r="LI62" s="26"/>
      <c r="LJ62" s="26"/>
      <c r="LK62" s="26"/>
      <c r="LL62" s="26"/>
      <c r="LM62" s="26"/>
      <c r="LN62" s="26"/>
      <c r="LO62" s="26"/>
      <c r="LP62" s="26"/>
      <c r="LQ62" s="26"/>
      <c r="LR62" s="26"/>
      <c r="LS62" s="26"/>
      <c r="LT62" s="26"/>
      <c r="LU62" s="26"/>
      <c r="LV62" s="26"/>
      <c r="LW62" s="26"/>
      <c r="LX62" s="26"/>
      <c r="LY62" s="26"/>
      <c r="LZ62" s="26"/>
      <c r="MA62" s="26"/>
      <c r="MB62" s="26"/>
      <c r="MC62" s="26"/>
      <c r="MD62" s="26"/>
      <c r="ME62" s="26"/>
      <c r="MF62" s="26"/>
      <c r="MG62" s="26"/>
      <c r="MH62" s="26"/>
      <c r="MI62" s="26"/>
      <c r="MJ62" s="26"/>
      <c r="MK62" s="26"/>
      <c r="ML62" s="26"/>
      <c r="MM62" s="26"/>
      <c r="MN62" s="26"/>
      <c r="MO62" s="26"/>
      <c r="MP62" s="26"/>
      <c r="MQ62" s="26"/>
      <c r="MR62" s="26"/>
      <c r="MS62" s="23"/>
      <c r="MT62" s="26"/>
      <c r="MU62" s="26"/>
      <c r="MV62" s="26"/>
      <c r="MW62" s="26"/>
      <c r="MX62" s="26"/>
      <c r="MY62" s="26"/>
      <c r="MZ62" s="26"/>
      <c r="NA62" s="26"/>
      <c r="NB62" s="26"/>
      <c r="NC62" s="26"/>
      <c r="ND62" s="26"/>
      <c r="NE62" s="26"/>
      <c r="NF62" s="26"/>
      <c r="NG62" s="26"/>
      <c r="NH62" s="26"/>
      <c r="NI62" s="26"/>
      <c r="NJ62" s="26"/>
      <c r="NK62" s="26"/>
      <c r="NL62" s="26"/>
      <c r="NM62" s="26"/>
      <c r="NN62" s="26"/>
      <c r="NO62" s="26"/>
      <c r="NP62" s="26"/>
      <c r="NQ62" s="26"/>
      <c r="NR62" s="26"/>
      <c r="NS62" s="26"/>
      <c r="NT62" s="26"/>
      <c r="NU62" s="26"/>
      <c r="NV62" s="26"/>
      <c r="NW62" s="26"/>
      <c r="NX62" s="26"/>
      <c r="NY62" s="26"/>
      <c r="NZ62" s="26"/>
      <c r="OA62" s="26"/>
      <c r="OB62" s="26"/>
      <c r="OC62" s="26"/>
      <c r="OD62" s="26"/>
      <c r="OE62" s="26"/>
      <c r="OF62" s="23"/>
      <c r="OG62" s="26"/>
      <c r="OH62" s="26"/>
      <c r="OI62" s="26"/>
      <c r="OJ62" s="26"/>
      <c r="OK62" s="26"/>
      <c r="OL62" s="26"/>
      <c r="OM62" s="26"/>
      <c r="ON62" s="26"/>
      <c r="OO62" s="26"/>
      <c r="OP62" s="26"/>
      <c r="OQ62" s="26"/>
      <c r="OR62" s="26"/>
      <c r="OS62" s="26"/>
      <c r="OT62" s="26"/>
      <c r="OU62" s="26"/>
      <c r="OV62" s="26"/>
      <c r="OW62" s="26"/>
      <c r="OX62" s="26"/>
      <c r="OY62" s="26"/>
      <c r="OZ62" s="26"/>
      <c r="PA62" s="26"/>
      <c r="PB62" s="26"/>
      <c r="PC62" s="26"/>
      <c r="PD62" s="26"/>
      <c r="PE62" s="26"/>
      <c r="PF62" s="26"/>
      <c r="PG62" s="26"/>
      <c r="PH62" s="26"/>
      <c r="PI62" s="26"/>
      <c r="PJ62" s="26"/>
      <c r="PK62" s="26"/>
      <c r="PL62" s="26"/>
      <c r="PM62" s="26"/>
      <c r="PN62" s="26"/>
      <c r="PO62" s="26"/>
      <c r="PP62" s="26"/>
      <c r="PQ62" s="26"/>
      <c r="PR62" s="26"/>
    </row>
    <row r="63" spans="1:434" x14ac:dyDescent="0.25">
      <c r="A63" s="24"/>
      <c r="B63" s="25" t="s">
        <v>129</v>
      </c>
      <c r="C63" s="24" t="s">
        <v>70</v>
      </c>
      <c r="D63" s="24" t="s">
        <v>76</v>
      </c>
      <c r="E63" s="24"/>
      <c r="F63" s="23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3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3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23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3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  <c r="GR63" s="26"/>
      <c r="GS63" s="23"/>
      <c r="GT63" s="26"/>
      <c r="GU63" s="26"/>
      <c r="GV63" s="26"/>
      <c r="GW63" s="26"/>
      <c r="GX63" s="26"/>
      <c r="GY63" s="26"/>
      <c r="GZ63" s="26"/>
      <c r="HA63" s="26"/>
      <c r="HB63" s="26"/>
      <c r="HC63" s="26"/>
      <c r="HD63" s="26"/>
      <c r="HE63" s="26"/>
      <c r="HF63" s="26"/>
      <c r="HG63" s="26"/>
      <c r="HH63" s="26"/>
      <c r="HI63" s="26"/>
      <c r="HJ63" s="26"/>
      <c r="HK63" s="26"/>
      <c r="HL63" s="26"/>
      <c r="HM63" s="26"/>
      <c r="HN63" s="26"/>
      <c r="HO63" s="26"/>
      <c r="HP63" s="26"/>
      <c r="HQ63" s="26"/>
      <c r="HR63" s="26"/>
      <c r="HS63" s="26"/>
      <c r="HT63" s="26"/>
      <c r="HU63" s="26"/>
      <c r="HV63" s="26"/>
      <c r="HW63" s="26"/>
      <c r="HX63" s="26"/>
      <c r="HY63" s="26"/>
      <c r="HZ63" s="26"/>
      <c r="IA63" s="26"/>
      <c r="IB63" s="26"/>
      <c r="IC63" s="26"/>
      <c r="ID63" s="26"/>
      <c r="IE63" s="26"/>
      <c r="IF63" s="23"/>
      <c r="IG63" s="26"/>
      <c r="IH63" s="26"/>
      <c r="II63" s="26"/>
      <c r="IJ63" s="26"/>
      <c r="IK63" s="26"/>
      <c r="IL63" s="26"/>
      <c r="IM63" s="26"/>
      <c r="IN63" s="26"/>
      <c r="IO63" s="26"/>
      <c r="IP63" s="26"/>
      <c r="IQ63" s="26"/>
      <c r="IR63" s="26"/>
      <c r="IS63" s="26"/>
      <c r="IT63" s="26"/>
      <c r="IU63" s="26"/>
      <c r="IV63" s="26"/>
      <c r="IW63" s="26"/>
      <c r="IX63" s="26"/>
      <c r="IY63" s="26"/>
      <c r="IZ63" s="26"/>
      <c r="JA63" s="26"/>
      <c r="JB63" s="26"/>
      <c r="JC63" s="26"/>
      <c r="JD63" s="26"/>
      <c r="JE63" s="26"/>
      <c r="JF63" s="26"/>
      <c r="JG63" s="26"/>
      <c r="JH63" s="26"/>
      <c r="JI63" s="26"/>
      <c r="JJ63" s="26"/>
      <c r="JK63" s="26"/>
      <c r="JL63" s="26"/>
      <c r="JM63" s="26"/>
      <c r="JN63" s="26"/>
      <c r="JO63" s="26"/>
      <c r="JP63" s="26"/>
      <c r="JQ63" s="26"/>
      <c r="JR63" s="26"/>
      <c r="JS63" s="23"/>
      <c r="JT63" s="26"/>
      <c r="JU63" s="26"/>
      <c r="JV63" s="26"/>
      <c r="JW63" s="26"/>
      <c r="JX63" s="26"/>
      <c r="JY63" s="26"/>
      <c r="JZ63" s="26"/>
      <c r="KA63" s="26"/>
      <c r="KB63" s="26"/>
      <c r="KC63" s="26"/>
      <c r="KD63" s="26"/>
      <c r="KE63" s="26"/>
      <c r="KF63" s="26"/>
      <c r="KG63" s="26"/>
      <c r="KH63" s="26"/>
      <c r="KI63" s="26"/>
      <c r="KJ63" s="26"/>
      <c r="KK63" s="26"/>
      <c r="KL63" s="26"/>
      <c r="KM63" s="26"/>
      <c r="KN63" s="26"/>
      <c r="KO63" s="26"/>
      <c r="KP63" s="26"/>
      <c r="KQ63" s="26"/>
      <c r="KR63" s="26"/>
      <c r="KS63" s="26"/>
      <c r="KT63" s="26"/>
      <c r="KU63" s="26"/>
      <c r="KV63" s="26"/>
      <c r="KW63" s="26"/>
      <c r="KX63" s="26"/>
      <c r="KY63" s="26"/>
      <c r="KZ63" s="26"/>
      <c r="LA63" s="26"/>
      <c r="LB63" s="26"/>
      <c r="LC63" s="26"/>
      <c r="LD63" s="26"/>
      <c r="LE63" s="26"/>
      <c r="LF63" s="23"/>
      <c r="LG63" s="26"/>
      <c r="LH63" s="26"/>
      <c r="LI63" s="26"/>
      <c r="LJ63" s="26"/>
      <c r="LK63" s="26"/>
      <c r="LL63" s="26"/>
      <c r="LM63" s="26"/>
      <c r="LN63" s="26"/>
      <c r="LO63" s="26"/>
      <c r="LP63" s="26"/>
      <c r="LQ63" s="26"/>
      <c r="LR63" s="26"/>
      <c r="LS63" s="26"/>
      <c r="LT63" s="26"/>
      <c r="LU63" s="26"/>
      <c r="LV63" s="26"/>
      <c r="LW63" s="26"/>
      <c r="LX63" s="26"/>
      <c r="LY63" s="26"/>
      <c r="LZ63" s="26"/>
      <c r="MA63" s="26"/>
      <c r="MB63" s="26"/>
      <c r="MC63" s="26"/>
      <c r="MD63" s="26"/>
      <c r="ME63" s="26"/>
      <c r="MF63" s="26"/>
      <c r="MG63" s="26"/>
      <c r="MH63" s="26"/>
      <c r="MI63" s="26"/>
      <c r="MJ63" s="26"/>
      <c r="MK63" s="26"/>
      <c r="ML63" s="26"/>
      <c r="MM63" s="26"/>
      <c r="MN63" s="26"/>
      <c r="MO63" s="26"/>
      <c r="MP63" s="26"/>
      <c r="MQ63" s="26"/>
      <c r="MR63" s="26"/>
      <c r="MS63" s="23"/>
      <c r="MT63" s="26"/>
      <c r="MU63" s="26"/>
      <c r="MV63" s="26"/>
      <c r="MW63" s="26"/>
      <c r="MX63" s="26"/>
      <c r="MY63" s="26"/>
      <c r="MZ63" s="26"/>
      <c r="NA63" s="26"/>
      <c r="NB63" s="26"/>
      <c r="NC63" s="26"/>
      <c r="ND63" s="26"/>
      <c r="NE63" s="26"/>
      <c r="NF63" s="26"/>
      <c r="NG63" s="26"/>
      <c r="NH63" s="26"/>
      <c r="NI63" s="26"/>
      <c r="NJ63" s="26"/>
      <c r="NK63" s="26"/>
      <c r="NL63" s="26"/>
      <c r="NM63" s="26"/>
      <c r="NN63" s="26"/>
      <c r="NO63" s="26"/>
      <c r="NP63" s="26"/>
      <c r="NQ63" s="26"/>
      <c r="NR63" s="26"/>
      <c r="NS63" s="26"/>
      <c r="NT63" s="26"/>
      <c r="NU63" s="26"/>
      <c r="NV63" s="26"/>
      <c r="NW63" s="26"/>
      <c r="NX63" s="26"/>
      <c r="NY63" s="26"/>
      <c r="NZ63" s="26"/>
      <c r="OA63" s="26"/>
      <c r="OB63" s="26"/>
      <c r="OC63" s="26"/>
      <c r="OD63" s="26"/>
      <c r="OE63" s="26"/>
      <c r="OF63" s="23"/>
      <c r="OG63" s="26"/>
      <c r="OH63" s="26"/>
      <c r="OI63" s="26"/>
      <c r="OJ63" s="26"/>
      <c r="OK63" s="26"/>
      <c r="OL63" s="26"/>
      <c r="OM63" s="26"/>
      <c r="ON63" s="26"/>
      <c r="OO63" s="26"/>
      <c r="OP63" s="26"/>
      <c r="OQ63" s="26"/>
      <c r="OR63" s="26"/>
      <c r="OS63" s="26"/>
      <c r="OT63" s="26"/>
      <c r="OU63" s="26"/>
      <c r="OV63" s="26"/>
      <c r="OW63" s="26"/>
      <c r="OX63" s="26"/>
      <c r="OY63" s="26"/>
      <c r="OZ63" s="26"/>
      <c r="PA63" s="26"/>
      <c r="PB63" s="26"/>
      <c r="PC63" s="26"/>
      <c r="PD63" s="26"/>
      <c r="PE63" s="26"/>
      <c r="PF63" s="26"/>
      <c r="PG63" s="26"/>
      <c r="PH63" s="26"/>
      <c r="PI63" s="26"/>
      <c r="PJ63" s="26"/>
      <c r="PK63" s="26"/>
      <c r="PL63" s="26"/>
      <c r="PM63" s="26"/>
      <c r="PN63" s="26"/>
      <c r="PO63" s="26"/>
      <c r="PP63" s="26"/>
      <c r="PQ63" s="26"/>
      <c r="PR63" s="26"/>
    </row>
    <row r="64" spans="1:434" x14ac:dyDescent="0.25">
      <c r="A64" s="24"/>
      <c r="B64" s="25" t="s">
        <v>130</v>
      </c>
      <c r="C64" s="24" t="s">
        <v>70</v>
      </c>
      <c r="D64" s="24" t="s">
        <v>67</v>
      </c>
      <c r="E64" s="24"/>
      <c r="F64" s="23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3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3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  <c r="CT64" s="82"/>
      <c r="CU64" s="82"/>
      <c r="CV64" s="82"/>
      <c r="CW64" s="82"/>
      <c r="CX64" s="82"/>
      <c r="CY64" s="82"/>
      <c r="CZ64" s="82"/>
      <c r="DA64" s="82"/>
      <c r="DB64" s="82"/>
      <c r="DC64" s="82"/>
      <c r="DD64" s="82"/>
      <c r="DE64" s="82"/>
      <c r="DF64" s="82"/>
      <c r="DG64" s="82"/>
      <c r="DH64" s="82"/>
      <c r="DI64" s="82"/>
      <c r="DJ64" s="82"/>
      <c r="DK64" s="82"/>
      <c r="DL64" s="82"/>
      <c r="DM64" s="82"/>
      <c r="DN64" s="82"/>
      <c r="DO64" s="82"/>
      <c r="DP64" s="82"/>
      <c r="DQ64" s="82"/>
      <c r="DR64" s="82"/>
      <c r="DS64" s="23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3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  <c r="GR64" s="26"/>
      <c r="GS64" s="23"/>
      <c r="GT64" s="26"/>
      <c r="GU64" s="26"/>
      <c r="GV64" s="26"/>
      <c r="GW64" s="26"/>
      <c r="GX64" s="26"/>
      <c r="GY64" s="26"/>
      <c r="GZ64" s="26"/>
      <c r="HA64" s="26"/>
      <c r="HB64" s="26"/>
      <c r="HC64" s="26"/>
      <c r="HD64" s="26"/>
      <c r="HE64" s="26"/>
      <c r="HF64" s="26"/>
      <c r="HG64" s="26"/>
      <c r="HH64" s="26"/>
      <c r="HI64" s="26"/>
      <c r="HJ64" s="26"/>
      <c r="HK64" s="26"/>
      <c r="HL64" s="26"/>
      <c r="HM64" s="26"/>
      <c r="HN64" s="26"/>
      <c r="HO64" s="26"/>
      <c r="HP64" s="26"/>
      <c r="HQ64" s="26"/>
      <c r="HR64" s="26"/>
      <c r="HS64" s="26"/>
      <c r="HT64" s="26"/>
      <c r="HU64" s="26"/>
      <c r="HV64" s="26"/>
      <c r="HW64" s="26"/>
      <c r="HX64" s="26"/>
      <c r="HY64" s="26"/>
      <c r="HZ64" s="26"/>
      <c r="IA64" s="26"/>
      <c r="IB64" s="26"/>
      <c r="IC64" s="26"/>
      <c r="ID64" s="26"/>
      <c r="IE64" s="26"/>
      <c r="IF64" s="23"/>
      <c r="IG64" s="26"/>
      <c r="IH64" s="26"/>
      <c r="II64" s="26"/>
      <c r="IJ64" s="26"/>
      <c r="IK64" s="26"/>
      <c r="IL64" s="26"/>
      <c r="IM64" s="26"/>
      <c r="IN64" s="26"/>
      <c r="IO64" s="26"/>
      <c r="IP64" s="26"/>
      <c r="IQ64" s="26"/>
      <c r="IR64" s="26"/>
      <c r="IS64" s="26"/>
      <c r="IT64" s="26"/>
      <c r="IU64" s="26"/>
      <c r="IV64" s="26"/>
      <c r="IW64" s="26"/>
      <c r="IX64" s="26"/>
      <c r="IY64" s="26"/>
      <c r="IZ64" s="26"/>
      <c r="JA64" s="26"/>
      <c r="JB64" s="26"/>
      <c r="JC64" s="26"/>
      <c r="JD64" s="26"/>
      <c r="JE64" s="26"/>
      <c r="JF64" s="26"/>
      <c r="JG64" s="26"/>
      <c r="JH64" s="26"/>
      <c r="JI64" s="26"/>
      <c r="JJ64" s="26"/>
      <c r="JK64" s="26"/>
      <c r="JL64" s="26"/>
      <c r="JM64" s="26"/>
      <c r="JN64" s="26"/>
      <c r="JO64" s="26"/>
      <c r="JP64" s="26"/>
      <c r="JQ64" s="26"/>
      <c r="JR64" s="26"/>
      <c r="JS64" s="23"/>
      <c r="JT64" s="26"/>
      <c r="JU64" s="26"/>
      <c r="JV64" s="26"/>
      <c r="JW64" s="26"/>
      <c r="JX64" s="26"/>
      <c r="JY64" s="26"/>
      <c r="JZ64" s="26"/>
      <c r="KA64" s="26"/>
      <c r="KB64" s="26"/>
      <c r="KC64" s="26"/>
      <c r="KD64" s="26"/>
      <c r="KE64" s="26"/>
      <c r="KF64" s="26"/>
      <c r="KG64" s="26"/>
      <c r="KH64" s="26"/>
      <c r="KI64" s="26"/>
      <c r="KJ64" s="26"/>
      <c r="KK64" s="26"/>
      <c r="KL64" s="26"/>
      <c r="KM64" s="26"/>
      <c r="KN64" s="26"/>
      <c r="KO64" s="26"/>
      <c r="KP64" s="26"/>
      <c r="KQ64" s="26"/>
      <c r="KR64" s="26"/>
      <c r="KS64" s="26"/>
      <c r="KT64" s="26"/>
      <c r="KU64" s="26"/>
      <c r="KV64" s="26"/>
      <c r="KW64" s="26"/>
      <c r="KX64" s="26"/>
      <c r="KY64" s="26"/>
      <c r="KZ64" s="26"/>
      <c r="LA64" s="26"/>
      <c r="LB64" s="26"/>
      <c r="LC64" s="26"/>
      <c r="LD64" s="26"/>
      <c r="LE64" s="26"/>
      <c r="LF64" s="23"/>
      <c r="LG64" s="26"/>
      <c r="LH64" s="26"/>
      <c r="LI64" s="26"/>
      <c r="LJ64" s="26"/>
      <c r="LK64" s="26"/>
      <c r="LL64" s="26"/>
      <c r="LM64" s="26"/>
      <c r="LN64" s="26"/>
      <c r="LO64" s="26"/>
      <c r="LP64" s="26"/>
      <c r="LQ64" s="26"/>
      <c r="LR64" s="26"/>
      <c r="LS64" s="26"/>
      <c r="LT64" s="26"/>
      <c r="LU64" s="26"/>
      <c r="LV64" s="26"/>
      <c r="LW64" s="26"/>
      <c r="LX64" s="26"/>
      <c r="LY64" s="26"/>
      <c r="LZ64" s="26"/>
      <c r="MA64" s="26"/>
      <c r="MB64" s="26"/>
      <c r="MC64" s="26"/>
      <c r="MD64" s="26"/>
      <c r="ME64" s="26"/>
      <c r="MF64" s="26"/>
      <c r="MG64" s="26"/>
      <c r="MH64" s="26"/>
      <c r="MI64" s="26"/>
      <c r="MJ64" s="26"/>
      <c r="MK64" s="26"/>
      <c r="ML64" s="26"/>
      <c r="MM64" s="26"/>
      <c r="MN64" s="26"/>
      <c r="MO64" s="26"/>
      <c r="MP64" s="26"/>
      <c r="MQ64" s="26"/>
      <c r="MR64" s="26"/>
      <c r="MS64" s="23"/>
      <c r="MT64" s="26"/>
      <c r="MU64" s="26"/>
      <c r="MV64" s="26"/>
      <c r="MW64" s="26"/>
      <c r="MX64" s="26"/>
      <c r="MY64" s="26"/>
      <c r="MZ64" s="26"/>
      <c r="NA64" s="26"/>
      <c r="NB64" s="26"/>
      <c r="NC64" s="26"/>
      <c r="ND64" s="26"/>
      <c r="NE64" s="26"/>
      <c r="NF64" s="26"/>
      <c r="NG64" s="26"/>
      <c r="NH64" s="26"/>
      <c r="NI64" s="26"/>
      <c r="NJ64" s="26"/>
      <c r="NK64" s="26"/>
      <c r="NL64" s="26"/>
      <c r="NM64" s="26"/>
      <c r="NN64" s="26"/>
      <c r="NO64" s="26"/>
      <c r="NP64" s="26"/>
      <c r="NQ64" s="26"/>
      <c r="NR64" s="26"/>
      <c r="NS64" s="26"/>
      <c r="NT64" s="26"/>
      <c r="NU64" s="26"/>
      <c r="NV64" s="26"/>
      <c r="NW64" s="26"/>
      <c r="NX64" s="26"/>
      <c r="NY64" s="26"/>
      <c r="NZ64" s="26"/>
      <c r="OA64" s="26"/>
      <c r="OB64" s="26"/>
      <c r="OC64" s="26"/>
      <c r="OD64" s="26"/>
      <c r="OE64" s="26"/>
      <c r="OF64" s="23"/>
      <c r="OG64" s="26"/>
      <c r="OH64" s="26"/>
      <c r="OI64" s="26"/>
      <c r="OJ64" s="26"/>
      <c r="OK64" s="26"/>
      <c r="OL64" s="26"/>
      <c r="OM64" s="26"/>
      <c r="ON64" s="26"/>
      <c r="OO64" s="26"/>
      <c r="OP64" s="26"/>
      <c r="OQ64" s="26"/>
      <c r="OR64" s="26"/>
      <c r="OS64" s="26"/>
      <c r="OT64" s="26"/>
      <c r="OU64" s="26"/>
      <c r="OV64" s="26"/>
      <c r="OW64" s="26"/>
      <c r="OX64" s="26"/>
      <c r="OY64" s="26"/>
      <c r="OZ64" s="26"/>
      <c r="PA64" s="26"/>
      <c r="PB64" s="26"/>
      <c r="PC64" s="26"/>
      <c r="PD64" s="26"/>
      <c r="PE64" s="26"/>
      <c r="PF64" s="26"/>
      <c r="PG64" s="26"/>
      <c r="PH64" s="26"/>
      <c r="PI64" s="26"/>
      <c r="PJ64" s="26"/>
      <c r="PK64" s="26"/>
      <c r="PL64" s="26"/>
      <c r="PM64" s="26"/>
      <c r="PN64" s="26"/>
      <c r="PO64" s="26"/>
      <c r="PP64" s="26"/>
      <c r="PQ64" s="26"/>
      <c r="PR64" s="26"/>
    </row>
    <row r="65" spans="1:434" x14ac:dyDescent="0.25">
      <c r="A65" s="24"/>
      <c r="B65" s="25" t="s">
        <v>131</v>
      </c>
      <c r="C65" s="24" t="s">
        <v>81</v>
      </c>
      <c r="D65" s="24" t="s">
        <v>76</v>
      </c>
      <c r="E65" s="24"/>
      <c r="F65" s="23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3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3"/>
      <c r="CG65" s="82"/>
      <c r="CH65" s="82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  <c r="CT65" s="82">
        <v>3</v>
      </c>
      <c r="CU65" s="82"/>
      <c r="CV65" s="82"/>
      <c r="CW65" s="82"/>
      <c r="CX65" s="82"/>
      <c r="CY65" s="82"/>
      <c r="CZ65" s="82">
        <v>5</v>
      </c>
      <c r="DA65" s="82"/>
      <c r="DB65" s="82"/>
      <c r="DC65" s="82"/>
      <c r="DD65" s="82">
        <v>15</v>
      </c>
      <c r="DE65" s="82"/>
      <c r="DF65" s="82"/>
      <c r="DG65" s="82"/>
      <c r="DH65" s="82">
        <v>15</v>
      </c>
      <c r="DI65" s="82"/>
      <c r="DJ65" s="82"/>
      <c r="DK65" s="82"/>
      <c r="DL65" s="82">
        <v>5</v>
      </c>
      <c r="DM65" s="82"/>
      <c r="DN65" s="82"/>
      <c r="DO65" s="82"/>
      <c r="DP65" s="82"/>
      <c r="DQ65" s="82">
        <v>3</v>
      </c>
      <c r="DR65" s="82"/>
      <c r="DS65" s="23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3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  <c r="GR65" s="26"/>
      <c r="GS65" s="23"/>
      <c r="GT65" s="26"/>
      <c r="GU65" s="26"/>
      <c r="GV65" s="26"/>
      <c r="GW65" s="26"/>
      <c r="GX65" s="26"/>
      <c r="GY65" s="26"/>
      <c r="GZ65" s="26"/>
      <c r="HA65" s="26"/>
      <c r="HB65" s="26"/>
      <c r="HC65" s="26"/>
      <c r="HD65" s="26"/>
      <c r="HE65" s="26"/>
      <c r="HF65" s="26"/>
      <c r="HG65" s="26"/>
      <c r="HH65" s="26"/>
      <c r="HI65" s="26"/>
      <c r="HJ65" s="26"/>
      <c r="HK65" s="26"/>
      <c r="HL65" s="26"/>
      <c r="HM65" s="26"/>
      <c r="HN65" s="26"/>
      <c r="HO65" s="26"/>
      <c r="HP65" s="26"/>
      <c r="HQ65" s="26"/>
      <c r="HR65" s="26"/>
      <c r="HS65" s="26"/>
      <c r="HT65" s="26"/>
      <c r="HU65" s="26"/>
      <c r="HV65" s="26"/>
      <c r="HW65" s="26"/>
      <c r="HX65" s="26"/>
      <c r="HY65" s="26"/>
      <c r="HZ65" s="26"/>
      <c r="IA65" s="26"/>
      <c r="IB65" s="26"/>
      <c r="IC65" s="26"/>
      <c r="ID65" s="26"/>
      <c r="IE65" s="26"/>
      <c r="IF65" s="23"/>
      <c r="IG65" s="26"/>
      <c r="IH65" s="26"/>
      <c r="II65" s="26"/>
      <c r="IJ65" s="26"/>
      <c r="IK65" s="26"/>
      <c r="IL65" s="26"/>
      <c r="IM65" s="26"/>
      <c r="IN65" s="26"/>
      <c r="IO65" s="26"/>
      <c r="IP65" s="26"/>
      <c r="IQ65" s="26"/>
      <c r="IR65" s="26"/>
      <c r="IS65" s="26"/>
      <c r="IT65" s="26"/>
      <c r="IU65" s="26"/>
      <c r="IV65" s="26"/>
      <c r="IW65" s="26"/>
      <c r="IX65" s="26"/>
      <c r="IY65" s="26"/>
      <c r="IZ65" s="26"/>
      <c r="JA65" s="26"/>
      <c r="JB65" s="26"/>
      <c r="JC65" s="26"/>
      <c r="JD65" s="26"/>
      <c r="JE65" s="26"/>
      <c r="JF65" s="26"/>
      <c r="JG65" s="26"/>
      <c r="JH65" s="26"/>
      <c r="JI65" s="26"/>
      <c r="JJ65" s="26"/>
      <c r="JK65" s="26"/>
      <c r="JL65" s="26"/>
      <c r="JM65" s="26"/>
      <c r="JN65" s="26"/>
      <c r="JO65" s="26"/>
      <c r="JP65" s="26"/>
      <c r="JQ65" s="26"/>
      <c r="JR65" s="26"/>
      <c r="JS65" s="23"/>
      <c r="JT65" s="26"/>
      <c r="JU65" s="26"/>
      <c r="JV65" s="26"/>
      <c r="JW65" s="26"/>
      <c r="JX65" s="26"/>
      <c r="JY65" s="26"/>
      <c r="JZ65" s="26"/>
      <c r="KA65" s="26"/>
      <c r="KB65" s="26"/>
      <c r="KC65" s="26"/>
      <c r="KD65" s="26"/>
      <c r="KE65" s="26"/>
      <c r="KF65" s="26"/>
      <c r="KG65" s="26"/>
      <c r="KH65" s="26"/>
      <c r="KI65" s="26"/>
      <c r="KJ65" s="26"/>
      <c r="KK65" s="26"/>
      <c r="KL65" s="26"/>
      <c r="KM65" s="26"/>
      <c r="KN65" s="26"/>
      <c r="KO65" s="26"/>
      <c r="KP65" s="26"/>
      <c r="KQ65" s="26"/>
      <c r="KR65" s="26"/>
      <c r="KS65" s="26"/>
      <c r="KT65" s="26"/>
      <c r="KU65" s="26"/>
      <c r="KV65" s="26"/>
      <c r="KW65" s="26"/>
      <c r="KX65" s="26"/>
      <c r="KY65" s="26"/>
      <c r="KZ65" s="26"/>
      <c r="LA65" s="26"/>
      <c r="LB65" s="26"/>
      <c r="LC65" s="26"/>
      <c r="LD65" s="26"/>
      <c r="LE65" s="26"/>
      <c r="LF65" s="23"/>
      <c r="LG65" s="26"/>
      <c r="LH65" s="26"/>
      <c r="LI65" s="26"/>
      <c r="LJ65" s="26"/>
      <c r="LK65" s="26"/>
      <c r="LL65" s="26"/>
      <c r="LM65" s="26"/>
      <c r="LN65" s="26"/>
      <c r="LO65" s="26"/>
      <c r="LP65" s="26"/>
      <c r="LQ65" s="26"/>
      <c r="LR65" s="26"/>
      <c r="LS65" s="26"/>
      <c r="LT65" s="26"/>
      <c r="LU65" s="26"/>
      <c r="LV65" s="26"/>
      <c r="LW65" s="26"/>
      <c r="LX65" s="26"/>
      <c r="LY65" s="26"/>
      <c r="LZ65" s="26"/>
      <c r="MA65" s="26"/>
      <c r="MB65" s="26"/>
      <c r="MC65" s="26"/>
      <c r="MD65" s="26"/>
      <c r="ME65" s="26"/>
      <c r="MF65" s="26"/>
      <c r="MG65" s="26"/>
      <c r="MH65" s="26"/>
      <c r="MI65" s="26"/>
      <c r="MJ65" s="26"/>
      <c r="MK65" s="26"/>
      <c r="ML65" s="26"/>
      <c r="MM65" s="26"/>
      <c r="MN65" s="26"/>
      <c r="MO65" s="26"/>
      <c r="MP65" s="26"/>
      <c r="MQ65" s="26"/>
      <c r="MR65" s="26"/>
      <c r="MS65" s="23"/>
      <c r="MT65" s="26"/>
      <c r="MU65" s="26"/>
      <c r="MV65" s="26"/>
      <c r="MW65" s="26"/>
      <c r="MX65" s="26"/>
      <c r="MY65" s="26"/>
      <c r="MZ65" s="26"/>
      <c r="NA65" s="26"/>
      <c r="NB65" s="26"/>
      <c r="NC65" s="26"/>
      <c r="ND65" s="26"/>
      <c r="NE65" s="26"/>
      <c r="NF65" s="26"/>
      <c r="NG65" s="26"/>
      <c r="NH65" s="26"/>
      <c r="NI65" s="26"/>
      <c r="NJ65" s="26"/>
      <c r="NK65" s="26"/>
      <c r="NL65" s="26"/>
      <c r="NM65" s="26"/>
      <c r="NN65" s="26"/>
      <c r="NO65" s="26"/>
      <c r="NP65" s="26"/>
      <c r="NQ65" s="26"/>
      <c r="NR65" s="26"/>
      <c r="NS65" s="26"/>
      <c r="NT65" s="26"/>
      <c r="NU65" s="26"/>
      <c r="NV65" s="26"/>
      <c r="NW65" s="26"/>
      <c r="NX65" s="26"/>
      <c r="NY65" s="26"/>
      <c r="NZ65" s="26"/>
      <c r="OA65" s="26"/>
      <c r="OB65" s="26"/>
      <c r="OC65" s="26"/>
      <c r="OD65" s="26"/>
      <c r="OE65" s="26"/>
      <c r="OF65" s="23"/>
      <c r="OG65" s="26"/>
      <c r="OH65" s="26"/>
      <c r="OI65" s="26"/>
      <c r="OJ65" s="26"/>
      <c r="OK65" s="26"/>
      <c r="OL65" s="26"/>
      <c r="OM65" s="26"/>
      <c r="ON65" s="26"/>
      <c r="OO65" s="26"/>
      <c r="OP65" s="26"/>
      <c r="OQ65" s="26"/>
      <c r="OR65" s="26"/>
      <c r="OS65" s="26"/>
      <c r="OT65" s="26"/>
      <c r="OU65" s="26"/>
      <c r="OV65" s="26"/>
      <c r="OW65" s="26"/>
      <c r="OX65" s="26"/>
      <c r="OY65" s="26"/>
      <c r="OZ65" s="26"/>
      <c r="PA65" s="26"/>
      <c r="PB65" s="26"/>
      <c r="PC65" s="26"/>
      <c r="PD65" s="26"/>
      <c r="PE65" s="26"/>
      <c r="PF65" s="26"/>
      <c r="PG65" s="26"/>
      <c r="PH65" s="26"/>
      <c r="PI65" s="26"/>
      <c r="PJ65" s="26"/>
      <c r="PK65" s="26"/>
      <c r="PL65" s="26"/>
      <c r="PM65" s="26"/>
      <c r="PN65" s="26"/>
      <c r="PO65" s="26"/>
      <c r="PP65" s="26"/>
      <c r="PQ65" s="26"/>
      <c r="PR65" s="26"/>
    </row>
    <row r="66" spans="1:434" ht="21.95" customHeight="1" x14ac:dyDescent="0.25">
      <c r="A66" s="84" t="s">
        <v>132</v>
      </c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  <c r="FU66" s="85"/>
      <c r="FV66" s="85"/>
      <c r="FW66" s="85"/>
      <c r="FX66" s="85"/>
      <c r="FY66" s="85"/>
      <c r="FZ66" s="85"/>
      <c r="GA66" s="85"/>
      <c r="GB66" s="85"/>
      <c r="GC66" s="85"/>
      <c r="GD66" s="85"/>
      <c r="GE66" s="85"/>
      <c r="GF66" s="85"/>
      <c r="GG66" s="85"/>
      <c r="GH66" s="85"/>
      <c r="GI66" s="85"/>
      <c r="GJ66" s="85"/>
      <c r="GK66" s="85"/>
      <c r="GL66" s="85"/>
      <c r="GM66" s="85"/>
      <c r="GN66" s="85"/>
      <c r="GO66" s="85"/>
      <c r="GP66" s="85"/>
      <c r="GQ66" s="85"/>
      <c r="GR66" s="85"/>
      <c r="GS66" s="85"/>
      <c r="GT66" s="85"/>
      <c r="GU66" s="85"/>
      <c r="GV66" s="85"/>
      <c r="GW66" s="85"/>
      <c r="GX66" s="85"/>
      <c r="GY66" s="85"/>
      <c r="GZ66" s="85"/>
      <c r="HA66" s="85"/>
      <c r="HB66" s="85"/>
      <c r="HC66" s="85"/>
      <c r="HD66" s="85"/>
      <c r="HE66" s="85"/>
      <c r="HF66" s="85"/>
      <c r="HG66" s="85"/>
      <c r="HH66" s="85"/>
      <c r="HI66" s="85"/>
      <c r="HJ66" s="85"/>
      <c r="HK66" s="85"/>
      <c r="HL66" s="85"/>
      <c r="HM66" s="85"/>
      <c r="HN66" s="85"/>
      <c r="HO66" s="85"/>
      <c r="HP66" s="85"/>
      <c r="HQ66" s="85"/>
      <c r="HR66" s="85"/>
      <c r="HS66" s="85"/>
      <c r="HT66" s="85"/>
      <c r="HU66" s="85"/>
      <c r="HV66" s="85"/>
      <c r="HW66" s="85"/>
      <c r="HX66" s="85"/>
      <c r="HY66" s="85"/>
      <c r="HZ66" s="85"/>
      <c r="IA66" s="85"/>
      <c r="IB66" s="85"/>
      <c r="IC66" s="85"/>
      <c r="ID66" s="85"/>
      <c r="IE66" s="85"/>
      <c r="IF66" s="85"/>
      <c r="IG66" s="85"/>
      <c r="IH66" s="85"/>
      <c r="II66" s="85"/>
      <c r="IJ66" s="85"/>
      <c r="IK66" s="85"/>
      <c r="IL66" s="85"/>
      <c r="IM66" s="85"/>
      <c r="IN66" s="85"/>
      <c r="IO66" s="85"/>
      <c r="IP66" s="85"/>
      <c r="IQ66" s="85"/>
      <c r="IR66" s="85"/>
      <c r="IS66" s="85"/>
      <c r="IT66" s="85"/>
      <c r="IU66" s="85"/>
      <c r="IV66" s="85"/>
      <c r="IW66" s="85"/>
      <c r="IX66" s="85"/>
      <c r="IY66" s="85"/>
      <c r="IZ66" s="85"/>
      <c r="JA66" s="85"/>
      <c r="JB66" s="85"/>
      <c r="JC66" s="85"/>
      <c r="JD66" s="85"/>
      <c r="JE66" s="85"/>
      <c r="JF66" s="85"/>
      <c r="JG66" s="85"/>
      <c r="JH66" s="85"/>
      <c r="JI66" s="85"/>
      <c r="JJ66" s="85"/>
      <c r="JK66" s="85"/>
      <c r="JL66" s="85"/>
      <c r="JM66" s="85"/>
      <c r="JN66" s="85"/>
      <c r="JO66" s="85"/>
      <c r="JP66" s="85"/>
      <c r="JQ66" s="85"/>
      <c r="JR66" s="85"/>
      <c r="JS66" s="85"/>
      <c r="JT66" s="85"/>
      <c r="JU66" s="85"/>
      <c r="JV66" s="85"/>
      <c r="JW66" s="85"/>
      <c r="JX66" s="85"/>
      <c r="JY66" s="85"/>
      <c r="JZ66" s="85"/>
      <c r="KA66" s="85"/>
      <c r="KB66" s="85"/>
      <c r="KC66" s="85"/>
      <c r="KD66" s="85"/>
      <c r="KE66" s="85"/>
      <c r="KF66" s="85"/>
      <c r="KG66" s="85"/>
      <c r="KH66" s="85"/>
      <c r="KI66" s="85"/>
      <c r="KJ66" s="85"/>
      <c r="KK66" s="85"/>
      <c r="KL66" s="85"/>
      <c r="KM66" s="85"/>
      <c r="KN66" s="85"/>
      <c r="KO66" s="85"/>
      <c r="KP66" s="85"/>
      <c r="KQ66" s="85"/>
      <c r="KR66" s="85"/>
      <c r="KS66" s="85"/>
      <c r="KT66" s="85"/>
      <c r="KU66" s="85"/>
      <c r="KV66" s="85"/>
      <c r="KW66" s="85"/>
      <c r="KX66" s="85"/>
      <c r="KY66" s="85"/>
      <c r="KZ66" s="85"/>
      <c r="LA66" s="85"/>
      <c r="LB66" s="85"/>
      <c r="LC66" s="85"/>
      <c r="LD66" s="85"/>
      <c r="LE66" s="85"/>
      <c r="LF66" s="85"/>
      <c r="LG66" s="85"/>
      <c r="LH66" s="85"/>
      <c r="LI66" s="85"/>
      <c r="LJ66" s="85"/>
      <c r="LK66" s="85"/>
      <c r="LL66" s="85"/>
      <c r="LM66" s="85"/>
      <c r="LN66" s="85"/>
      <c r="LO66" s="85"/>
      <c r="LP66" s="85"/>
      <c r="LQ66" s="85"/>
      <c r="LR66" s="85"/>
      <c r="LS66" s="85"/>
      <c r="LT66" s="85"/>
      <c r="LU66" s="85"/>
      <c r="LV66" s="85"/>
      <c r="LW66" s="85"/>
      <c r="LX66" s="85"/>
      <c r="LY66" s="85"/>
      <c r="LZ66" s="85"/>
      <c r="MA66" s="85"/>
      <c r="MB66" s="85"/>
      <c r="MC66" s="85"/>
      <c r="MD66" s="85"/>
      <c r="ME66" s="85"/>
      <c r="MF66" s="85"/>
      <c r="MG66" s="85"/>
      <c r="MH66" s="85"/>
      <c r="MI66" s="85"/>
      <c r="MJ66" s="85"/>
      <c r="MK66" s="85"/>
      <c r="ML66" s="85"/>
      <c r="MM66" s="85"/>
      <c r="MN66" s="85"/>
      <c r="MO66" s="85"/>
      <c r="MP66" s="85"/>
      <c r="MQ66" s="85"/>
      <c r="MR66" s="85"/>
      <c r="MS66" s="85"/>
      <c r="MT66" s="85"/>
      <c r="MU66" s="85"/>
      <c r="MV66" s="85"/>
      <c r="MW66" s="85"/>
      <c r="MX66" s="85"/>
      <c r="MY66" s="85"/>
      <c r="MZ66" s="85"/>
      <c r="NA66" s="85"/>
      <c r="NB66" s="85"/>
      <c r="NC66" s="85"/>
      <c r="ND66" s="85"/>
      <c r="NE66" s="85"/>
      <c r="NF66" s="85"/>
      <c r="NG66" s="85"/>
      <c r="NH66" s="85"/>
      <c r="NI66" s="85"/>
      <c r="NJ66" s="85"/>
      <c r="NK66" s="85"/>
      <c r="NL66" s="85"/>
      <c r="NM66" s="85"/>
      <c r="NN66" s="85"/>
      <c r="NO66" s="85"/>
      <c r="NP66" s="85"/>
      <c r="NQ66" s="85"/>
      <c r="NR66" s="85"/>
      <c r="NS66" s="85"/>
      <c r="NT66" s="85"/>
      <c r="NU66" s="85"/>
      <c r="NV66" s="85"/>
      <c r="NW66" s="85"/>
      <c r="NX66" s="85"/>
      <c r="NY66" s="85"/>
      <c r="NZ66" s="85"/>
      <c r="OA66" s="85"/>
      <c r="OB66" s="85"/>
      <c r="OC66" s="85"/>
      <c r="OD66" s="85"/>
      <c r="OE66" s="85"/>
      <c r="OF66" s="85"/>
      <c r="OG66" s="85"/>
      <c r="OH66" s="85"/>
      <c r="OI66" s="85"/>
      <c r="OJ66" s="85"/>
      <c r="OK66" s="85"/>
      <c r="OL66" s="85"/>
      <c r="OM66" s="85"/>
      <c r="ON66" s="85"/>
      <c r="OO66" s="85"/>
      <c r="OP66" s="85"/>
      <c r="OQ66" s="85"/>
      <c r="OR66" s="85"/>
      <c r="OS66" s="85"/>
      <c r="OT66" s="85"/>
      <c r="OU66" s="85"/>
      <c r="OV66" s="85"/>
      <c r="OW66" s="85"/>
      <c r="OX66" s="85"/>
      <c r="OY66" s="85"/>
      <c r="OZ66" s="85"/>
      <c r="PA66" s="85"/>
      <c r="PB66" s="85"/>
      <c r="PC66" s="85"/>
      <c r="PD66" s="85"/>
      <c r="PE66" s="85"/>
      <c r="PF66" s="85"/>
      <c r="PG66" s="85"/>
      <c r="PH66" s="85"/>
      <c r="PI66" s="85"/>
      <c r="PJ66" s="85"/>
      <c r="PK66" s="85"/>
      <c r="PL66" s="85"/>
      <c r="PM66" s="85"/>
      <c r="PN66" s="85"/>
      <c r="PO66" s="85"/>
      <c r="PP66" s="85"/>
      <c r="PQ66" s="85"/>
      <c r="PR66" s="86"/>
    </row>
    <row r="67" spans="1:434" ht="25.5" x14ac:dyDescent="0.25">
      <c r="A67" s="24"/>
      <c r="B67" s="25" t="s">
        <v>133</v>
      </c>
      <c r="C67" s="24" t="s">
        <v>66</v>
      </c>
      <c r="D67" s="24" t="s">
        <v>73</v>
      </c>
      <c r="E67" s="24"/>
      <c r="F67" s="23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3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3"/>
      <c r="CG67" s="82"/>
      <c r="CH67" s="82"/>
      <c r="CI67" s="82"/>
      <c r="CJ67" s="82"/>
      <c r="CK67" s="82"/>
      <c r="CL67" s="82"/>
      <c r="CM67" s="82"/>
      <c r="CN67" s="82"/>
      <c r="CO67" s="82"/>
      <c r="CP67" s="82"/>
      <c r="CQ67" s="82"/>
      <c r="CR67" s="82"/>
      <c r="CS67" s="82"/>
      <c r="CT67" s="82"/>
      <c r="CU67" s="82"/>
      <c r="CV67" s="82"/>
      <c r="CW67" s="82"/>
      <c r="CX67" s="82"/>
      <c r="CY67" s="82"/>
      <c r="CZ67" s="82"/>
      <c r="DA67" s="82"/>
      <c r="DB67" s="82"/>
      <c r="DC67" s="82"/>
      <c r="DD67" s="82"/>
      <c r="DE67" s="82"/>
      <c r="DF67" s="82"/>
      <c r="DG67" s="82"/>
      <c r="DH67" s="82"/>
      <c r="DI67" s="82"/>
      <c r="DJ67" s="82"/>
      <c r="DK67" s="82"/>
      <c r="DL67" s="82">
        <v>30</v>
      </c>
      <c r="DM67" s="82"/>
      <c r="DN67" s="82"/>
      <c r="DO67" s="82"/>
      <c r="DP67" s="82"/>
      <c r="DQ67" s="82"/>
      <c r="DR67" s="82"/>
      <c r="DS67" s="23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3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  <c r="GR67" s="26"/>
      <c r="GS67" s="23"/>
      <c r="GT67" s="26"/>
      <c r="GU67" s="26"/>
      <c r="GV67" s="26"/>
      <c r="GW67" s="26"/>
      <c r="GX67" s="26"/>
      <c r="GY67" s="26"/>
      <c r="GZ67" s="26"/>
      <c r="HA67" s="26"/>
      <c r="HB67" s="26"/>
      <c r="HC67" s="26"/>
      <c r="HD67" s="26"/>
      <c r="HE67" s="26"/>
      <c r="HF67" s="26"/>
      <c r="HG67" s="26"/>
      <c r="HH67" s="26"/>
      <c r="HI67" s="26"/>
      <c r="HJ67" s="26"/>
      <c r="HK67" s="26"/>
      <c r="HL67" s="26"/>
      <c r="HM67" s="26"/>
      <c r="HN67" s="26"/>
      <c r="HO67" s="26"/>
      <c r="HP67" s="26"/>
      <c r="HQ67" s="26"/>
      <c r="HR67" s="26"/>
      <c r="HS67" s="26"/>
      <c r="HT67" s="26"/>
      <c r="HU67" s="26"/>
      <c r="HV67" s="26"/>
      <c r="HW67" s="26"/>
      <c r="HX67" s="26"/>
      <c r="HY67" s="26"/>
      <c r="HZ67" s="26"/>
      <c r="IA67" s="26"/>
      <c r="IB67" s="26"/>
      <c r="IC67" s="26"/>
      <c r="ID67" s="26"/>
      <c r="IE67" s="26"/>
      <c r="IF67" s="23"/>
      <c r="IG67" s="26"/>
      <c r="IH67" s="26"/>
      <c r="II67" s="26"/>
      <c r="IJ67" s="26"/>
      <c r="IK67" s="26"/>
      <c r="IL67" s="26"/>
      <c r="IM67" s="26"/>
      <c r="IN67" s="26"/>
      <c r="IO67" s="26"/>
      <c r="IP67" s="26"/>
      <c r="IQ67" s="26"/>
      <c r="IR67" s="26"/>
      <c r="IS67" s="26"/>
      <c r="IT67" s="26"/>
      <c r="IU67" s="26"/>
      <c r="IV67" s="26"/>
      <c r="IW67" s="26"/>
      <c r="IX67" s="26"/>
      <c r="IY67" s="26"/>
      <c r="IZ67" s="26"/>
      <c r="JA67" s="26"/>
      <c r="JB67" s="26"/>
      <c r="JC67" s="26"/>
      <c r="JD67" s="26"/>
      <c r="JE67" s="26"/>
      <c r="JF67" s="26"/>
      <c r="JG67" s="26"/>
      <c r="JH67" s="26"/>
      <c r="JI67" s="26"/>
      <c r="JJ67" s="26"/>
      <c r="JK67" s="26"/>
      <c r="JL67" s="26"/>
      <c r="JM67" s="26"/>
      <c r="JN67" s="26"/>
      <c r="JO67" s="26"/>
      <c r="JP67" s="26"/>
      <c r="JQ67" s="26"/>
      <c r="JR67" s="26"/>
      <c r="JS67" s="23"/>
      <c r="JT67" s="26"/>
      <c r="JU67" s="26"/>
      <c r="JV67" s="26"/>
      <c r="JW67" s="26"/>
      <c r="JX67" s="26"/>
      <c r="JY67" s="26"/>
      <c r="JZ67" s="26"/>
      <c r="KA67" s="26"/>
      <c r="KB67" s="26"/>
      <c r="KC67" s="26"/>
      <c r="KD67" s="26"/>
      <c r="KE67" s="26"/>
      <c r="KF67" s="26"/>
      <c r="KG67" s="26"/>
      <c r="KH67" s="26"/>
      <c r="KI67" s="26"/>
      <c r="KJ67" s="26"/>
      <c r="KK67" s="26"/>
      <c r="KL67" s="26"/>
      <c r="KM67" s="26"/>
      <c r="KN67" s="26"/>
      <c r="KO67" s="26"/>
      <c r="KP67" s="26"/>
      <c r="KQ67" s="26"/>
      <c r="KR67" s="26"/>
      <c r="KS67" s="26"/>
      <c r="KT67" s="26"/>
      <c r="KU67" s="26"/>
      <c r="KV67" s="26"/>
      <c r="KW67" s="26"/>
      <c r="KX67" s="26"/>
      <c r="KY67" s="26"/>
      <c r="KZ67" s="26"/>
      <c r="LA67" s="26"/>
      <c r="LB67" s="26"/>
      <c r="LC67" s="26"/>
      <c r="LD67" s="26"/>
      <c r="LE67" s="26"/>
      <c r="LF67" s="23"/>
      <c r="LG67" s="26"/>
      <c r="LH67" s="26"/>
      <c r="LI67" s="26"/>
      <c r="LJ67" s="26"/>
      <c r="LK67" s="26"/>
      <c r="LL67" s="26"/>
      <c r="LM67" s="26"/>
      <c r="LN67" s="26"/>
      <c r="LO67" s="26"/>
      <c r="LP67" s="26"/>
      <c r="LQ67" s="26"/>
      <c r="LR67" s="26"/>
      <c r="LS67" s="26"/>
      <c r="LT67" s="26"/>
      <c r="LU67" s="26"/>
      <c r="LV67" s="26"/>
      <c r="LW67" s="26"/>
      <c r="LX67" s="26"/>
      <c r="LY67" s="26"/>
      <c r="LZ67" s="26"/>
      <c r="MA67" s="26"/>
      <c r="MB67" s="26"/>
      <c r="MC67" s="26"/>
      <c r="MD67" s="26"/>
      <c r="ME67" s="26"/>
      <c r="MF67" s="26"/>
      <c r="MG67" s="26"/>
      <c r="MH67" s="26"/>
      <c r="MI67" s="26"/>
      <c r="MJ67" s="26"/>
      <c r="MK67" s="26"/>
      <c r="ML67" s="26"/>
      <c r="MM67" s="26"/>
      <c r="MN67" s="26"/>
      <c r="MO67" s="26"/>
      <c r="MP67" s="26"/>
      <c r="MQ67" s="26"/>
      <c r="MR67" s="26"/>
      <c r="MS67" s="23"/>
      <c r="MT67" s="26"/>
      <c r="MU67" s="26"/>
      <c r="MV67" s="26"/>
      <c r="MW67" s="26"/>
      <c r="MX67" s="26"/>
      <c r="MY67" s="26"/>
      <c r="MZ67" s="26"/>
      <c r="NA67" s="26"/>
      <c r="NB67" s="26"/>
      <c r="NC67" s="26"/>
      <c r="ND67" s="26"/>
      <c r="NE67" s="26"/>
      <c r="NF67" s="26"/>
      <c r="NG67" s="26"/>
      <c r="NH67" s="26"/>
      <c r="NI67" s="26"/>
      <c r="NJ67" s="26"/>
      <c r="NK67" s="26"/>
      <c r="NL67" s="26"/>
      <c r="NM67" s="26"/>
      <c r="NN67" s="26"/>
      <c r="NO67" s="26"/>
      <c r="NP67" s="26"/>
      <c r="NQ67" s="26"/>
      <c r="NR67" s="26"/>
      <c r="NS67" s="26"/>
      <c r="NT67" s="26"/>
      <c r="NU67" s="26"/>
      <c r="NV67" s="26"/>
      <c r="NW67" s="26"/>
      <c r="NX67" s="26"/>
      <c r="NY67" s="26"/>
      <c r="NZ67" s="26"/>
      <c r="OA67" s="26"/>
      <c r="OB67" s="26"/>
      <c r="OC67" s="26"/>
      <c r="OD67" s="26"/>
      <c r="OE67" s="26"/>
      <c r="OF67" s="23"/>
      <c r="OG67" s="26"/>
      <c r="OH67" s="26"/>
      <c r="OI67" s="26"/>
      <c r="OJ67" s="26"/>
      <c r="OK67" s="26"/>
      <c r="OL67" s="26"/>
      <c r="OM67" s="26"/>
      <c r="ON67" s="26"/>
      <c r="OO67" s="26"/>
      <c r="OP67" s="26"/>
      <c r="OQ67" s="26"/>
      <c r="OR67" s="26"/>
      <c r="OS67" s="26"/>
      <c r="OT67" s="26"/>
      <c r="OU67" s="26"/>
      <c r="OV67" s="26"/>
      <c r="OW67" s="26"/>
      <c r="OX67" s="26"/>
      <c r="OY67" s="26"/>
      <c r="OZ67" s="26"/>
      <c r="PA67" s="26"/>
      <c r="PB67" s="26"/>
      <c r="PC67" s="26"/>
      <c r="PD67" s="26"/>
      <c r="PE67" s="26"/>
      <c r="PF67" s="26"/>
      <c r="PG67" s="26"/>
      <c r="PH67" s="26"/>
      <c r="PI67" s="26"/>
      <c r="PJ67" s="26"/>
      <c r="PK67" s="26"/>
      <c r="PL67" s="26"/>
      <c r="PM67" s="26"/>
      <c r="PN67" s="26"/>
      <c r="PO67" s="26"/>
      <c r="PP67" s="26"/>
      <c r="PQ67" s="26"/>
      <c r="PR67" s="26"/>
    </row>
    <row r="68" spans="1:434" ht="25.5" x14ac:dyDescent="0.25">
      <c r="A68" s="24"/>
      <c r="B68" s="25" t="s">
        <v>134</v>
      </c>
      <c r="C68" s="24" t="s">
        <v>70</v>
      </c>
      <c r="D68" s="24" t="s">
        <v>73</v>
      </c>
      <c r="E68" s="24"/>
      <c r="F68" s="23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3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3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  <c r="CT68" s="82">
        <v>15</v>
      </c>
      <c r="CU68" s="82"/>
      <c r="CV68" s="82"/>
      <c r="CW68" s="82"/>
      <c r="CX68" s="82"/>
      <c r="CY68" s="82"/>
      <c r="CZ68" s="82">
        <v>10</v>
      </c>
      <c r="DA68" s="82">
        <v>30</v>
      </c>
      <c r="DB68" s="82"/>
      <c r="DC68" s="82"/>
      <c r="DD68" s="82"/>
      <c r="DE68" s="82"/>
      <c r="DF68" s="82"/>
      <c r="DG68" s="82"/>
      <c r="DH68" s="82">
        <v>20</v>
      </c>
      <c r="DI68" s="82"/>
      <c r="DJ68" s="82"/>
      <c r="DK68" s="82"/>
      <c r="DL68" s="82">
        <v>20</v>
      </c>
      <c r="DM68" s="82"/>
      <c r="DN68" s="82"/>
      <c r="DO68" s="82"/>
      <c r="DP68" s="82"/>
      <c r="DQ68" s="82">
        <v>2</v>
      </c>
      <c r="DR68" s="82"/>
      <c r="DS68" s="23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3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  <c r="GR68" s="26"/>
      <c r="GS68" s="23"/>
      <c r="GT68" s="26"/>
      <c r="GU68" s="26"/>
      <c r="GV68" s="26"/>
      <c r="GW68" s="26"/>
      <c r="GX68" s="26"/>
      <c r="GY68" s="26"/>
      <c r="GZ68" s="26"/>
      <c r="HA68" s="26"/>
      <c r="HB68" s="26"/>
      <c r="HC68" s="26"/>
      <c r="HD68" s="26"/>
      <c r="HE68" s="26"/>
      <c r="HF68" s="26"/>
      <c r="HG68" s="26"/>
      <c r="HH68" s="26"/>
      <c r="HI68" s="26"/>
      <c r="HJ68" s="26"/>
      <c r="HK68" s="26"/>
      <c r="HL68" s="26"/>
      <c r="HM68" s="26"/>
      <c r="HN68" s="26"/>
      <c r="HO68" s="26"/>
      <c r="HP68" s="26"/>
      <c r="HQ68" s="26"/>
      <c r="HR68" s="26"/>
      <c r="HS68" s="26"/>
      <c r="HT68" s="26"/>
      <c r="HU68" s="26"/>
      <c r="HV68" s="26"/>
      <c r="HW68" s="26"/>
      <c r="HX68" s="26"/>
      <c r="HY68" s="26"/>
      <c r="HZ68" s="26"/>
      <c r="IA68" s="26"/>
      <c r="IB68" s="26"/>
      <c r="IC68" s="26"/>
      <c r="ID68" s="26"/>
      <c r="IE68" s="26"/>
      <c r="IF68" s="23"/>
      <c r="IG68" s="26"/>
      <c r="IH68" s="26"/>
      <c r="II68" s="26"/>
      <c r="IJ68" s="26"/>
      <c r="IK68" s="26"/>
      <c r="IL68" s="26"/>
      <c r="IM68" s="26"/>
      <c r="IN68" s="26"/>
      <c r="IO68" s="26"/>
      <c r="IP68" s="26"/>
      <c r="IQ68" s="26"/>
      <c r="IR68" s="26"/>
      <c r="IS68" s="26"/>
      <c r="IT68" s="26"/>
      <c r="IU68" s="26"/>
      <c r="IV68" s="26"/>
      <c r="IW68" s="26"/>
      <c r="IX68" s="26"/>
      <c r="IY68" s="26"/>
      <c r="IZ68" s="26"/>
      <c r="JA68" s="26"/>
      <c r="JB68" s="26"/>
      <c r="JC68" s="26"/>
      <c r="JD68" s="26"/>
      <c r="JE68" s="26"/>
      <c r="JF68" s="26"/>
      <c r="JG68" s="26"/>
      <c r="JH68" s="26"/>
      <c r="JI68" s="26"/>
      <c r="JJ68" s="26"/>
      <c r="JK68" s="26"/>
      <c r="JL68" s="26"/>
      <c r="JM68" s="26"/>
      <c r="JN68" s="26"/>
      <c r="JO68" s="26"/>
      <c r="JP68" s="26"/>
      <c r="JQ68" s="26"/>
      <c r="JR68" s="26"/>
      <c r="JS68" s="23"/>
      <c r="JT68" s="26"/>
      <c r="JU68" s="26"/>
      <c r="JV68" s="26"/>
      <c r="JW68" s="26"/>
      <c r="JX68" s="26"/>
      <c r="JY68" s="26"/>
      <c r="JZ68" s="26"/>
      <c r="KA68" s="26"/>
      <c r="KB68" s="26"/>
      <c r="KC68" s="26"/>
      <c r="KD68" s="26"/>
      <c r="KE68" s="26"/>
      <c r="KF68" s="26"/>
      <c r="KG68" s="26"/>
      <c r="KH68" s="26"/>
      <c r="KI68" s="26"/>
      <c r="KJ68" s="26"/>
      <c r="KK68" s="26"/>
      <c r="KL68" s="26"/>
      <c r="KM68" s="26"/>
      <c r="KN68" s="26"/>
      <c r="KO68" s="26"/>
      <c r="KP68" s="26"/>
      <c r="KQ68" s="26"/>
      <c r="KR68" s="26"/>
      <c r="KS68" s="26"/>
      <c r="KT68" s="26"/>
      <c r="KU68" s="26"/>
      <c r="KV68" s="26"/>
      <c r="KW68" s="26"/>
      <c r="KX68" s="26"/>
      <c r="KY68" s="26"/>
      <c r="KZ68" s="26"/>
      <c r="LA68" s="26"/>
      <c r="LB68" s="26"/>
      <c r="LC68" s="26"/>
      <c r="LD68" s="26"/>
      <c r="LE68" s="26"/>
      <c r="LF68" s="23"/>
      <c r="LG68" s="26"/>
      <c r="LH68" s="26"/>
      <c r="LI68" s="26"/>
      <c r="LJ68" s="26"/>
      <c r="LK68" s="26"/>
      <c r="LL68" s="26"/>
      <c r="LM68" s="26"/>
      <c r="LN68" s="26"/>
      <c r="LO68" s="26"/>
      <c r="LP68" s="26"/>
      <c r="LQ68" s="26"/>
      <c r="LR68" s="26"/>
      <c r="LS68" s="26"/>
      <c r="LT68" s="26"/>
      <c r="LU68" s="26"/>
      <c r="LV68" s="26"/>
      <c r="LW68" s="26"/>
      <c r="LX68" s="26"/>
      <c r="LY68" s="26"/>
      <c r="LZ68" s="26"/>
      <c r="MA68" s="26"/>
      <c r="MB68" s="26"/>
      <c r="MC68" s="26"/>
      <c r="MD68" s="26"/>
      <c r="ME68" s="26"/>
      <c r="MF68" s="26"/>
      <c r="MG68" s="26"/>
      <c r="MH68" s="26"/>
      <c r="MI68" s="26"/>
      <c r="MJ68" s="26"/>
      <c r="MK68" s="26"/>
      <c r="ML68" s="26"/>
      <c r="MM68" s="26"/>
      <c r="MN68" s="26"/>
      <c r="MO68" s="26"/>
      <c r="MP68" s="26"/>
      <c r="MQ68" s="26"/>
      <c r="MR68" s="26"/>
      <c r="MS68" s="23"/>
      <c r="MT68" s="26"/>
      <c r="MU68" s="26"/>
      <c r="MV68" s="26"/>
      <c r="MW68" s="26"/>
      <c r="MX68" s="26"/>
      <c r="MY68" s="26"/>
      <c r="MZ68" s="26"/>
      <c r="NA68" s="26"/>
      <c r="NB68" s="26"/>
      <c r="NC68" s="26"/>
      <c r="ND68" s="26"/>
      <c r="NE68" s="26"/>
      <c r="NF68" s="26"/>
      <c r="NG68" s="26"/>
      <c r="NH68" s="26"/>
      <c r="NI68" s="26"/>
      <c r="NJ68" s="26"/>
      <c r="NK68" s="26"/>
      <c r="NL68" s="26"/>
      <c r="NM68" s="26"/>
      <c r="NN68" s="26"/>
      <c r="NO68" s="26"/>
      <c r="NP68" s="26"/>
      <c r="NQ68" s="26"/>
      <c r="NR68" s="26"/>
      <c r="NS68" s="26"/>
      <c r="NT68" s="26"/>
      <c r="NU68" s="26"/>
      <c r="NV68" s="26"/>
      <c r="NW68" s="26"/>
      <c r="NX68" s="26"/>
      <c r="NY68" s="26"/>
      <c r="NZ68" s="26"/>
      <c r="OA68" s="26"/>
      <c r="OB68" s="26"/>
      <c r="OC68" s="26"/>
      <c r="OD68" s="26"/>
      <c r="OE68" s="26"/>
      <c r="OF68" s="23"/>
      <c r="OG68" s="26"/>
      <c r="OH68" s="26"/>
      <c r="OI68" s="26"/>
      <c r="OJ68" s="26"/>
      <c r="OK68" s="26"/>
      <c r="OL68" s="26"/>
      <c r="OM68" s="26"/>
      <c r="ON68" s="26"/>
      <c r="OO68" s="26"/>
      <c r="OP68" s="26"/>
      <c r="OQ68" s="26"/>
      <c r="OR68" s="26"/>
      <c r="OS68" s="26"/>
      <c r="OT68" s="26"/>
      <c r="OU68" s="26"/>
      <c r="OV68" s="26"/>
      <c r="OW68" s="26"/>
      <c r="OX68" s="26"/>
      <c r="OY68" s="26"/>
      <c r="OZ68" s="26"/>
      <c r="PA68" s="26"/>
      <c r="PB68" s="26"/>
      <c r="PC68" s="26"/>
      <c r="PD68" s="26"/>
      <c r="PE68" s="26"/>
      <c r="PF68" s="26"/>
      <c r="PG68" s="26"/>
      <c r="PH68" s="26"/>
      <c r="PI68" s="26"/>
      <c r="PJ68" s="26"/>
      <c r="PK68" s="26"/>
      <c r="PL68" s="26"/>
      <c r="PM68" s="26"/>
      <c r="PN68" s="26"/>
      <c r="PO68" s="26"/>
      <c r="PP68" s="26"/>
      <c r="PQ68" s="26"/>
      <c r="PR68" s="26"/>
    </row>
    <row r="69" spans="1:434" x14ac:dyDescent="0.25">
      <c r="A69" s="24"/>
      <c r="B69" s="25" t="s">
        <v>135</v>
      </c>
      <c r="C69" s="24" t="s">
        <v>70</v>
      </c>
      <c r="D69" s="24" t="s">
        <v>76</v>
      </c>
      <c r="E69" s="24"/>
      <c r="F69" s="23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3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3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  <c r="CT69" s="82">
        <v>10</v>
      </c>
      <c r="CU69" s="82"/>
      <c r="CV69" s="82"/>
      <c r="CW69" s="82"/>
      <c r="CX69" s="82"/>
      <c r="CY69" s="82"/>
      <c r="CZ69" s="82">
        <v>10</v>
      </c>
      <c r="DA69" s="82">
        <v>40</v>
      </c>
      <c r="DB69" s="82"/>
      <c r="DC69" s="82"/>
      <c r="DD69" s="82"/>
      <c r="DE69" s="82"/>
      <c r="DF69" s="82"/>
      <c r="DG69" s="82"/>
      <c r="DH69" s="82"/>
      <c r="DI69" s="82">
        <v>10</v>
      </c>
      <c r="DJ69" s="82"/>
      <c r="DK69" s="82"/>
      <c r="DL69" s="82">
        <v>20</v>
      </c>
      <c r="DM69" s="82"/>
      <c r="DN69" s="82"/>
      <c r="DO69" s="82"/>
      <c r="DP69" s="82"/>
      <c r="DQ69" s="82"/>
      <c r="DR69" s="82"/>
      <c r="DS69" s="23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3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  <c r="GR69" s="26"/>
      <c r="GS69" s="23"/>
      <c r="GT69" s="26"/>
      <c r="GU69" s="26"/>
      <c r="GV69" s="26"/>
      <c r="GW69" s="26"/>
      <c r="GX69" s="26"/>
      <c r="GY69" s="26"/>
      <c r="GZ69" s="26"/>
      <c r="HA69" s="26"/>
      <c r="HB69" s="26"/>
      <c r="HC69" s="26"/>
      <c r="HD69" s="26"/>
      <c r="HE69" s="26"/>
      <c r="HF69" s="26"/>
      <c r="HG69" s="26"/>
      <c r="HH69" s="26"/>
      <c r="HI69" s="26"/>
      <c r="HJ69" s="26"/>
      <c r="HK69" s="26"/>
      <c r="HL69" s="26"/>
      <c r="HM69" s="26"/>
      <c r="HN69" s="26"/>
      <c r="HO69" s="26"/>
      <c r="HP69" s="26"/>
      <c r="HQ69" s="26"/>
      <c r="HR69" s="26"/>
      <c r="HS69" s="26"/>
      <c r="HT69" s="26"/>
      <c r="HU69" s="26"/>
      <c r="HV69" s="26"/>
      <c r="HW69" s="26"/>
      <c r="HX69" s="26"/>
      <c r="HY69" s="26"/>
      <c r="HZ69" s="26"/>
      <c r="IA69" s="26"/>
      <c r="IB69" s="26"/>
      <c r="IC69" s="26"/>
      <c r="ID69" s="26"/>
      <c r="IE69" s="26"/>
      <c r="IF69" s="23"/>
      <c r="IG69" s="26"/>
      <c r="IH69" s="26"/>
      <c r="II69" s="26"/>
      <c r="IJ69" s="26"/>
      <c r="IK69" s="26"/>
      <c r="IL69" s="26"/>
      <c r="IM69" s="26"/>
      <c r="IN69" s="26"/>
      <c r="IO69" s="26"/>
      <c r="IP69" s="26"/>
      <c r="IQ69" s="26"/>
      <c r="IR69" s="26"/>
      <c r="IS69" s="26"/>
      <c r="IT69" s="26"/>
      <c r="IU69" s="26"/>
      <c r="IV69" s="26"/>
      <c r="IW69" s="26"/>
      <c r="IX69" s="26"/>
      <c r="IY69" s="26"/>
      <c r="IZ69" s="26"/>
      <c r="JA69" s="26"/>
      <c r="JB69" s="26"/>
      <c r="JC69" s="26"/>
      <c r="JD69" s="26"/>
      <c r="JE69" s="26"/>
      <c r="JF69" s="26"/>
      <c r="JG69" s="26"/>
      <c r="JH69" s="26"/>
      <c r="JI69" s="26"/>
      <c r="JJ69" s="26"/>
      <c r="JK69" s="26"/>
      <c r="JL69" s="26"/>
      <c r="JM69" s="26"/>
      <c r="JN69" s="26"/>
      <c r="JO69" s="26"/>
      <c r="JP69" s="26"/>
      <c r="JQ69" s="26"/>
      <c r="JR69" s="26"/>
      <c r="JS69" s="23"/>
      <c r="JT69" s="26"/>
      <c r="JU69" s="26"/>
      <c r="JV69" s="26"/>
      <c r="JW69" s="26"/>
      <c r="JX69" s="26"/>
      <c r="JY69" s="26"/>
      <c r="JZ69" s="26"/>
      <c r="KA69" s="26"/>
      <c r="KB69" s="26"/>
      <c r="KC69" s="26"/>
      <c r="KD69" s="26"/>
      <c r="KE69" s="26"/>
      <c r="KF69" s="26"/>
      <c r="KG69" s="26"/>
      <c r="KH69" s="26"/>
      <c r="KI69" s="26"/>
      <c r="KJ69" s="26"/>
      <c r="KK69" s="26"/>
      <c r="KL69" s="26"/>
      <c r="KM69" s="26"/>
      <c r="KN69" s="26"/>
      <c r="KO69" s="26"/>
      <c r="KP69" s="26"/>
      <c r="KQ69" s="26"/>
      <c r="KR69" s="26"/>
      <c r="KS69" s="26"/>
      <c r="KT69" s="26"/>
      <c r="KU69" s="26"/>
      <c r="KV69" s="26"/>
      <c r="KW69" s="26"/>
      <c r="KX69" s="26"/>
      <c r="KY69" s="26"/>
      <c r="KZ69" s="26"/>
      <c r="LA69" s="26"/>
      <c r="LB69" s="26"/>
      <c r="LC69" s="26"/>
      <c r="LD69" s="26"/>
      <c r="LE69" s="26"/>
      <c r="LF69" s="23"/>
      <c r="LG69" s="26"/>
      <c r="LH69" s="26"/>
      <c r="LI69" s="26"/>
      <c r="LJ69" s="26"/>
      <c r="LK69" s="26"/>
      <c r="LL69" s="26"/>
      <c r="LM69" s="26"/>
      <c r="LN69" s="26"/>
      <c r="LO69" s="26"/>
      <c r="LP69" s="26"/>
      <c r="LQ69" s="26"/>
      <c r="LR69" s="26"/>
      <c r="LS69" s="26"/>
      <c r="LT69" s="26"/>
      <c r="LU69" s="26"/>
      <c r="LV69" s="26"/>
      <c r="LW69" s="26"/>
      <c r="LX69" s="26"/>
      <c r="LY69" s="26"/>
      <c r="LZ69" s="26"/>
      <c r="MA69" s="26"/>
      <c r="MB69" s="26"/>
      <c r="MC69" s="26"/>
      <c r="MD69" s="26"/>
      <c r="ME69" s="26"/>
      <c r="MF69" s="26"/>
      <c r="MG69" s="26"/>
      <c r="MH69" s="26"/>
      <c r="MI69" s="26"/>
      <c r="MJ69" s="26"/>
      <c r="MK69" s="26"/>
      <c r="ML69" s="26"/>
      <c r="MM69" s="26"/>
      <c r="MN69" s="26"/>
      <c r="MO69" s="26"/>
      <c r="MP69" s="26"/>
      <c r="MQ69" s="26"/>
      <c r="MR69" s="26"/>
      <c r="MS69" s="23"/>
      <c r="MT69" s="26"/>
      <c r="MU69" s="26"/>
      <c r="MV69" s="26"/>
      <c r="MW69" s="26"/>
      <c r="MX69" s="26"/>
      <c r="MY69" s="26"/>
      <c r="MZ69" s="26"/>
      <c r="NA69" s="26"/>
      <c r="NB69" s="26"/>
      <c r="NC69" s="26"/>
      <c r="ND69" s="26"/>
      <c r="NE69" s="26"/>
      <c r="NF69" s="26"/>
      <c r="NG69" s="26"/>
      <c r="NH69" s="26"/>
      <c r="NI69" s="26"/>
      <c r="NJ69" s="26"/>
      <c r="NK69" s="26"/>
      <c r="NL69" s="26"/>
      <c r="NM69" s="26"/>
      <c r="NN69" s="26"/>
      <c r="NO69" s="26"/>
      <c r="NP69" s="26"/>
      <c r="NQ69" s="26"/>
      <c r="NR69" s="26"/>
      <c r="NS69" s="26"/>
      <c r="NT69" s="26"/>
      <c r="NU69" s="26"/>
      <c r="NV69" s="26"/>
      <c r="NW69" s="26"/>
      <c r="NX69" s="26"/>
      <c r="NY69" s="26"/>
      <c r="NZ69" s="26"/>
      <c r="OA69" s="26"/>
      <c r="OB69" s="26"/>
      <c r="OC69" s="26"/>
      <c r="OD69" s="26"/>
      <c r="OE69" s="26"/>
      <c r="OF69" s="23"/>
      <c r="OG69" s="26"/>
      <c r="OH69" s="26"/>
      <c r="OI69" s="26"/>
      <c r="OJ69" s="26"/>
      <c r="OK69" s="26"/>
      <c r="OL69" s="26"/>
      <c r="OM69" s="26"/>
      <c r="ON69" s="26"/>
      <c r="OO69" s="26"/>
      <c r="OP69" s="26"/>
      <c r="OQ69" s="26"/>
      <c r="OR69" s="26"/>
      <c r="OS69" s="26"/>
      <c r="OT69" s="26"/>
      <c r="OU69" s="26"/>
      <c r="OV69" s="26"/>
      <c r="OW69" s="26"/>
      <c r="OX69" s="26"/>
      <c r="OY69" s="26"/>
      <c r="OZ69" s="26"/>
      <c r="PA69" s="26"/>
      <c r="PB69" s="26"/>
      <c r="PC69" s="26"/>
      <c r="PD69" s="26"/>
      <c r="PE69" s="26"/>
      <c r="PF69" s="26"/>
      <c r="PG69" s="26"/>
      <c r="PH69" s="26"/>
      <c r="PI69" s="26"/>
      <c r="PJ69" s="26"/>
      <c r="PK69" s="26"/>
      <c r="PL69" s="26"/>
      <c r="PM69" s="26"/>
      <c r="PN69" s="26"/>
      <c r="PO69" s="26"/>
      <c r="PP69" s="26"/>
      <c r="PQ69" s="26"/>
      <c r="PR69" s="26"/>
    </row>
    <row r="70" spans="1:434" ht="25.5" x14ac:dyDescent="0.25">
      <c r="A70" s="24"/>
      <c r="B70" s="25" t="s">
        <v>136</v>
      </c>
      <c r="C70" s="24" t="s">
        <v>70</v>
      </c>
      <c r="D70" s="24" t="s">
        <v>73</v>
      </c>
      <c r="E70" s="24"/>
      <c r="F70" s="23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3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3"/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  <c r="CT70" s="82">
        <v>3</v>
      </c>
      <c r="CU70" s="82"/>
      <c r="CV70" s="82"/>
      <c r="CW70" s="82"/>
      <c r="CX70" s="82"/>
      <c r="CY70" s="82"/>
      <c r="CZ70" s="82"/>
      <c r="DA70" s="82">
        <v>5</v>
      </c>
      <c r="DB70" s="82"/>
      <c r="DC70" s="82"/>
      <c r="DD70" s="82"/>
      <c r="DE70" s="82"/>
      <c r="DF70" s="82"/>
      <c r="DG70" s="82"/>
      <c r="DH70" s="82">
        <v>15</v>
      </c>
      <c r="DI70" s="82"/>
      <c r="DJ70" s="82"/>
      <c r="DK70" s="82"/>
      <c r="DL70" s="82">
        <v>40</v>
      </c>
      <c r="DM70" s="82"/>
      <c r="DN70" s="82"/>
      <c r="DO70" s="82"/>
      <c r="DP70" s="82"/>
      <c r="DQ70" s="82"/>
      <c r="DR70" s="82"/>
      <c r="DS70" s="23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3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  <c r="GR70" s="26"/>
      <c r="GS70" s="23"/>
      <c r="GT70" s="26"/>
      <c r="GU70" s="26"/>
      <c r="GV70" s="26"/>
      <c r="GW70" s="26"/>
      <c r="GX70" s="26"/>
      <c r="GY70" s="26"/>
      <c r="GZ70" s="26"/>
      <c r="HA70" s="26"/>
      <c r="HB70" s="26"/>
      <c r="HC70" s="26"/>
      <c r="HD70" s="26"/>
      <c r="HE70" s="26"/>
      <c r="HF70" s="26"/>
      <c r="HG70" s="26"/>
      <c r="HH70" s="26"/>
      <c r="HI70" s="26"/>
      <c r="HJ70" s="26"/>
      <c r="HK70" s="26"/>
      <c r="HL70" s="26"/>
      <c r="HM70" s="26"/>
      <c r="HN70" s="26"/>
      <c r="HO70" s="26"/>
      <c r="HP70" s="26"/>
      <c r="HQ70" s="26"/>
      <c r="HR70" s="26"/>
      <c r="HS70" s="26"/>
      <c r="HT70" s="26"/>
      <c r="HU70" s="26"/>
      <c r="HV70" s="26"/>
      <c r="HW70" s="26"/>
      <c r="HX70" s="26"/>
      <c r="HY70" s="26"/>
      <c r="HZ70" s="26"/>
      <c r="IA70" s="26"/>
      <c r="IB70" s="26"/>
      <c r="IC70" s="26"/>
      <c r="ID70" s="26"/>
      <c r="IE70" s="26"/>
      <c r="IF70" s="23"/>
      <c r="IG70" s="26"/>
      <c r="IH70" s="26"/>
      <c r="II70" s="26"/>
      <c r="IJ70" s="26"/>
      <c r="IK70" s="26"/>
      <c r="IL70" s="26"/>
      <c r="IM70" s="26"/>
      <c r="IN70" s="26"/>
      <c r="IO70" s="26"/>
      <c r="IP70" s="26"/>
      <c r="IQ70" s="26"/>
      <c r="IR70" s="26"/>
      <c r="IS70" s="26"/>
      <c r="IT70" s="26"/>
      <c r="IU70" s="26"/>
      <c r="IV70" s="26"/>
      <c r="IW70" s="26"/>
      <c r="IX70" s="26"/>
      <c r="IY70" s="26"/>
      <c r="IZ70" s="26"/>
      <c r="JA70" s="26"/>
      <c r="JB70" s="26"/>
      <c r="JC70" s="26"/>
      <c r="JD70" s="26"/>
      <c r="JE70" s="26"/>
      <c r="JF70" s="26"/>
      <c r="JG70" s="26"/>
      <c r="JH70" s="26"/>
      <c r="JI70" s="26"/>
      <c r="JJ70" s="26"/>
      <c r="JK70" s="26"/>
      <c r="JL70" s="26"/>
      <c r="JM70" s="26"/>
      <c r="JN70" s="26"/>
      <c r="JO70" s="26"/>
      <c r="JP70" s="26"/>
      <c r="JQ70" s="26"/>
      <c r="JR70" s="26"/>
      <c r="JS70" s="23"/>
      <c r="JT70" s="26"/>
      <c r="JU70" s="26"/>
      <c r="JV70" s="26"/>
      <c r="JW70" s="26"/>
      <c r="JX70" s="26"/>
      <c r="JY70" s="26"/>
      <c r="JZ70" s="26"/>
      <c r="KA70" s="26"/>
      <c r="KB70" s="26"/>
      <c r="KC70" s="26"/>
      <c r="KD70" s="26"/>
      <c r="KE70" s="26"/>
      <c r="KF70" s="26"/>
      <c r="KG70" s="26"/>
      <c r="KH70" s="26"/>
      <c r="KI70" s="26"/>
      <c r="KJ70" s="26"/>
      <c r="KK70" s="26"/>
      <c r="KL70" s="26"/>
      <c r="KM70" s="26"/>
      <c r="KN70" s="26"/>
      <c r="KO70" s="26"/>
      <c r="KP70" s="26"/>
      <c r="KQ70" s="26"/>
      <c r="KR70" s="26"/>
      <c r="KS70" s="26"/>
      <c r="KT70" s="26"/>
      <c r="KU70" s="26"/>
      <c r="KV70" s="26"/>
      <c r="KW70" s="26"/>
      <c r="KX70" s="26"/>
      <c r="KY70" s="26"/>
      <c r="KZ70" s="26"/>
      <c r="LA70" s="26"/>
      <c r="LB70" s="26"/>
      <c r="LC70" s="26"/>
      <c r="LD70" s="26"/>
      <c r="LE70" s="26"/>
      <c r="LF70" s="23"/>
      <c r="LG70" s="26"/>
      <c r="LH70" s="26"/>
      <c r="LI70" s="26"/>
      <c r="LJ70" s="26"/>
      <c r="LK70" s="26"/>
      <c r="LL70" s="26"/>
      <c r="LM70" s="26"/>
      <c r="LN70" s="26"/>
      <c r="LO70" s="26"/>
      <c r="LP70" s="26"/>
      <c r="LQ70" s="26"/>
      <c r="LR70" s="26"/>
      <c r="LS70" s="26"/>
      <c r="LT70" s="26"/>
      <c r="LU70" s="26"/>
      <c r="LV70" s="26"/>
      <c r="LW70" s="26"/>
      <c r="LX70" s="26"/>
      <c r="LY70" s="26"/>
      <c r="LZ70" s="26"/>
      <c r="MA70" s="26"/>
      <c r="MB70" s="26"/>
      <c r="MC70" s="26"/>
      <c r="MD70" s="26"/>
      <c r="ME70" s="26"/>
      <c r="MF70" s="26"/>
      <c r="MG70" s="26"/>
      <c r="MH70" s="26"/>
      <c r="MI70" s="26"/>
      <c r="MJ70" s="26"/>
      <c r="MK70" s="26"/>
      <c r="ML70" s="26"/>
      <c r="MM70" s="26"/>
      <c r="MN70" s="26"/>
      <c r="MO70" s="26"/>
      <c r="MP70" s="26"/>
      <c r="MQ70" s="26"/>
      <c r="MR70" s="26"/>
      <c r="MS70" s="23"/>
      <c r="MT70" s="26"/>
      <c r="MU70" s="26"/>
      <c r="MV70" s="26"/>
      <c r="MW70" s="26"/>
      <c r="MX70" s="26"/>
      <c r="MY70" s="26"/>
      <c r="MZ70" s="26"/>
      <c r="NA70" s="26"/>
      <c r="NB70" s="26"/>
      <c r="NC70" s="26"/>
      <c r="ND70" s="26"/>
      <c r="NE70" s="26"/>
      <c r="NF70" s="26"/>
      <c r="NG70" s="26"/>
      <c r="NH70" s="26"/>
      <c r="NI70" s="26"/>
      <c r="NJ70" s="26"/>
      <c r="NK70" s="26"/>
      <c r="NL70" s="26"/>
      <c r="NM70" s="26"/>
      <c r="NN70" s="26"/>
      <c r="NO70" s="26"/>
      <c r="NP70" s="26"/>
      <c r="NQ70" s="26"/>
      <c r="NR70" s="26"/>
      <c r="NS70" s="26"/>
      <c r="NT70" s="26"/>
      <c r="NU70" s="26"/>
      <c r="NV70" s="26"/>
      <c r="NW70" s="26"/>
      <c r="NX70" s="26"/>
      <c r="NY70" s="26"/>
      <c r="NZ70" s="26"/>
      <c r="OA70" s="26"/>
      <c r="OB70" s="26"/>
      <c r="OC70" s="26"/>
      <c r="OD70" s="26"/>
      <c r="OE70" s="26"/>
      <c r="OF70" s="23"/>
      <c r="OG70" s="26"/>
      <c r="OH70" s="26"/>
      <c r="OI70" s="26"/>
      <c r="OJ70" s="26"/>
      <c r="OK70" s="26"/>
      <c r="OL70" s="26"/>
      <c r="OM70" s="26"/>
      <c r="ON70" s="26"/>
      <c r="OO70" s="26"/>
      <c r="OP70" s="26"/>
      <c r="OQ70" s="26"/>
      <c r="OR70" s="26"/>
      <c r="OS70" s="26"/>
      <c r="OT70" s="26"/>
      <c r="OU70" s="26"/>
      <c r="OV70" s="26"/>
      <c r="OW70" s="26"/>
      <c r="OX70" s="26"/>
      <c r="OY70" s="26"/>
      <c r="OZ70" s="26"/>
      <c r="PA70" s="26"/>
      <c r="PB70" s="26"/>
      <c r="PC70" s="26"/>
      <c r="PD70" s="26"/>
      <c r="PE70" s="26"/>
      <c r="PF70" s="26"/>
      <c r="PG70" s="26"/>
      <c r="PH70" s="26"/>
      <c r="PI70" s="26"/>
      <c r="PJ70" s="26"/>
      <c r="PK70" s="26"/>
      <c r="PL70" s="26"/>
      <c r="PM70" s="26"/>
      <c r="PN70" s="26"/>
      <c r="PO70" s="26"/>
      <c r="PP70" s="26"/>
      <c r="PQ70" s="26"/>
      <c r="PR70" s="26"/>
    </row>
    <row r="71" spans="1:434" x14ac:dyDescent="0.25">
      <c r="A71" s="24"/>
      <c r="B71" s="25" t="s">
        <v>137</v>
      </c>
      <c r="C71" s="24" t="s">
        <v>66</v>
      </c>
      <c r="D71" s="24" t="s">
        <v>67</v>
      </c>
      <c r="E71" s="24"/>
      <c r="F71" s="23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3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3"/>
      <c r="CG71" s="82"/>
      <c r="CH71" s="82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  <c r="CT71" s="82">
        <v>5</v>
      </c>
      <c r="CU71" s="82">
        <v>2</v>
      </c>
      <c r="CV71" s="82"/>
      <c r="CW71" s="82"/>
      <c r="CX71" s="82"/>
      <c r="CY71" s="82"/>
      <c r="CZ71" s="82"/>
      <c r="DA71" s="82"/>
      <c r="DB71" s="82"/>
      <c r="DC71" s="82">
        <v>5</v>
      </c>
      <c r="DD71" s="82"/>
      <c r="DE71" s="82"/>
      <c r="DF71" s="82">
        <v>10</v>
      </c>
      <c r="DG71" s="82">
        <v>3</v>
      </c>
      <c r="DH71" s="82">
        <v>5</v>
      </c>
      <c r="DI71" s="82">
        <v>2</v>
      </c>
      <c r="DJ71" s="82"/>
      <c r="DK71" s="82"/>
      <c r="DL71" s="82">
        <v>20</v>
      </c>
      <c r="DM71" s="82"/>
      <c r="DN71" s="82"/>
      <c r="DO71" s="82"/>
      <c r="DP71" s="82"/>
      <c r="DQ71" s="82"/>
      <c r="DR71" s="82"/>
      <c r="DS71" s="23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3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  <c r="GR71" s="26"/>
      <c r="GS71" s="23"/>
      <c r="GT71" s="26"/>
      <c r="GU71" s="26"/>
      <c r="GV71" s="26"/>
      <c r="GW71" s="26"/>
      <c r="GX71" s="26"/>
      <c r="GY71" s="26"/>
      <c r="GZ71" s="26"/>
      <c r="HA71" s="26"/>
      <c r="HB71" s="26"/>
      <c r="HC71" s="26"/>
      <c r="HD71" s="26"/>
      <c r="HE71" s="26"/>
      <c r="HF71" s="26"/>
      <c r="HG71" s="26"/>
      <c r="HH71" s="26"/>
      <c r="HI71" s="26"/>
      <c r="HJ71" s="26"/>
      <c r="HK71" s="26"/>
      <c r="HL71" s="26"/>
      <c r="HM71" s="26"/>
      <c r="HN71" s="26"/>
      <c r="HO71" s="26"/>
      <c r="HP71" s="26"/>
      <c r="HQ71" s="26"/>
      <c r="HR71" s="26"/>
      <c r="HS71" s="26"/>
      <c r="HT71" s="26"/>
      <c r="HU71" s="26"/>
      <c r="HV71" s="26"/>
      <c r="HW71" s="26"/>
      <c r="HX71" s="26"/>
      <c r="HY71" s="26"/>
      <c r="HZ71" s="26"/>
      <c r="IA71" s="26"/>
      <c r="IB71" s="26"/>
      <c r="IC71" s="26"/>
      <c r="ID71" s="26"/>
      <c r="IE71" s="26"/>
      <c r="IF71" s="23"/>
      <c r="IG71" s="26"/>
      <c r="IH71" s="26"/>
      <c r="II71" s="26"/>
      <c r="IJ71" s="26"/>
      <c r="IK71" s="26"/>
      <c r="IL71" s="26"/>
      <c r="IM71" s="26"/>
      <c r="IN71" s="26"/>
      <c r="IO71" s="26"/>
      <c r="IP71" s="26"/>
      <c r="IQ71" s="26"/>
      <c r="IR71" s="26"/>
      <c r="IS71" s="26"/>
      <c r="IT71" s="26"/>
      <c r="IU71" s="26"/>
      <c r="IV71" s="26"/>
      <c r="IW71" s="26"/>
      <c r="IX71" s="26"/>
      <c r="IY71" s="26"/>
      <c r="IZ71" s="26"/>
      <c r="JA71" s="26"/>
      <c r="JB71" s="26"/>
      <c r="JC71" s="26"/>
      <c r="JD71" s="26"/>
      <c r="JE71" s="26"/>
      <c r="JF71" s="26"/>
      <c r="JG71" s="26"/>
      <c r="JH71" s="26"/>
      <c r="JI71" s="26"/>
      <c r="JJ71" s="26"/>
      <c r="JK71" s="26"/>
      <c r="JL71" s="26"/>
      <c r="JM71" s="26"/>
      <c r="JN71" s="26"/>
      <c r="JO71" s="26"/>
      <c r="JP71" s="26"/>
      <c r="JQ71" s="26"/>
      <c r="JR71" s="26"/>
      <c r="JS71" s="23"/>
      <c r="JT71" s="26"/>
      <c r="JU71" s="26"/>
      <c r="JV71" s="26"/>
      <c r="JW71" s="26"/>
      <c r="JX71" s="26"/>
      <c r="JY71" s="26"/>
      <c r="JZ71" s="26"/>
      <c r="KA71" s="26"/>
      <c r="KB71" s="26"/>
      <c r="KC71" s="26"/>
      <c r="KD71" s="26"/>
      <c r="KE71" s="26"/>
      <c r="KF71" s="26"/>
      <c r="KG71" s="26"/>
      <c r="KH71" s="26"/>
      <c r="KI71" s="26"/>
      <c r="KJ71" s="26"/>
      <c r="KK71" s="26"/>
      <c r="KL71" s="26"/>
      <c r="KM71" s="26"/>
      <c r="KN71" s="26"/>
      <c r="KO71" s="26"/>
      <c r="KP71" s="26"/>
      <c r="KQ71" s="26"/>
      <c r="KR71" s="26"/>
      <c r="KS71" s="26"/>
      <c r="KT71" s="26"/>
      <c r="KU71" s="26"/>
      <c r="KV71" s="26"/>
      <c r="KW71" s="26"/>
      <c r="KX71" s="26"/>
      <c r="KY71" s="26"/>
      <c r="KZ71" s="26"/>
      <c r="LA71" s="26"/>
      <c r="LB71" s="26"/>
      <c r="LC71" s="26"/>
      <c r="LD71" s="26"/>
      <c r="LE71" s="26"/>
      <c r="LF71" s="23"/>
      <c r="LG71" s="26"/>
      <c r="LH71" s="26"/>
      <c r="LI71" s="26"/>
      <c r="LJ71" s="26"/>
      <c r="LK71" s="26"/>
      <c r="LL71" s="26"/>
      <c r="LM71" s="26"/>
      <c r="LN71" s="26"/>
      <c r="LO71" s="26"/>
      <c r="LP71" s="26"/>
      <c r="LQ71" s="26"/>
      <c r="LR71" s="26"/>
      <c r="LS71" s="26"/>
      <c r="LT71" s="26"/>
      <c r="LU71" s="26"/>
      <c r="LV71" s="26"/>
      <c r="LW71" s="26"/>
      <c r="LX71" s="26"/>
      <c r="LY71" s="26"/>
      <c r="LZ71" s="26"/>
      <c r="MA71" s="26"/>
      <c r="MB71" s="26"/>
      <c r="MC71" s="26"/>
      <c r="MD71" s="26"/>
      <c r="ME71" s="26"/>
      <c r="MF71" s="26"/>
      <c r="MG71" s="26"/>
      <c r="MH71" s="26"/>
      <c r="MI71" s="26"/>
      <c r="MJ71" s="26"/>
      <c r="MK71" s="26"/>
      <c r="ML71" s="26"/>
      <c r="MM71" s="26"/>
      <c r="MN71" s="26"/>
      <c r="MO71" s="26"/>
      <c r="MP71" s="26"/>
      <c r="MQ71" s="26"/>
      <c r="MR71" s="26"/>
      <c r="MS71" s="23"/>
      <c r="MT71" s="26"/>
      <c r="MU71" s="26"/>
      <c r="MV71" s="26"/>
      <c r="MW71" s="26"/>
      <c r="MX71" s="26"/>
      <c r="MY71" s="26"/>
      <c r="MZ71" s="26"/>
      <c r="NA71" s="26"/>
      <c r="NB71" s="26"/>
      <c r="NC71" s="26"/>
      <c r="ND71" s="26"/>
      <c r="NE71" s="26"/>
      <c r="NF71" s="26"/>
      <c r="NG71" s="26"/>
      <c r="NH71" s="26"/>
      <c r="NI71" s="26"/>
      <c r="NJ71" s="26"/>
      <c r="NK71" s="26"/>
      <c r="NL71" s="26"/>
      <c r="NM71" s="26"/>
      <c r="NN71" s="26"/>
      <c r="NO71" s="26"/>
      <c r="NP71" s="26"/>
      <c r="NQ71" s="26"/>
      <c r="NR71" s="26"/>
      <c r="NS71" s="26"/>
      <c r="NT71" s="26"/>
      <c r="NU71" s="26"/>
      <c r="NV71" s="26"/>
      <c r="NW71" s="26"/>
      <c r="NX71" s="26"/>
      <c r="NY71" s="26"/>
      <c r="NZ71" s="26"/>
      <c r="OA71" s="26"/>
      <c r="OB71" s="26"/>
      <c r="OC71" s="26"/>
      <c r="OD71" s="26"/>
      <c r="OE71" s="26"/>
      <c r="OF71" s="23"/>
      <c r="OG71" s="26"/>
      <c r="OH71" s="26"/>
      <c r="OI71" s="26"/>
      <c r="OJ71" s="26"/>
      <c r="OK71" s="26"/>
      <c r="OL71" s="26"/>
      <c r="OM71" s="26"/>
      <c r="ON71" s="26"/>
      <c r="OO71" s="26"/>
      <c r="OP71" s="26"/>
      <c r="OQ71" s="26"/>
      <c r="OR71" s="26"/>
      <c r="OS71" s="26"/>
      <c r="OT71" s="26"/>
      <c r="OU71" s="26"/>
      <c r="OV71" s="26"/>
      <c r="OW71" s="26"/>
      <c r="OX71" s="26"/>
      <c r="OY71" s="26"/>
      <c r="OZ71" s="26"/>
      <c r="PA71" s="26"/>
      <c r="PB71" s="26"/>
      <c r="PC71" s="26"/>
      <c r="PD71" s="26"/>
      <c r="PE71" s="26"/>
      <c r="PF71" s="26"/>
      <c r="PG71" s="26"/>
      <c r="PH71" s="26"/>
      <c r="PI71" s="26"/>
      <c r="PJ71" s="26"/>
      <c r="PK71" s="26"/>
      <c r="PL71" s="26"/>
      <c r="PM71" s="26"/>
      <c r="PN71" s="26"/>
      <c r="PO71" s="26"/>
      <c r="PP71" s="26"/>
      <c r="PQ71" s="26"/>
      <c r="PR71" s="26"/>
    </row>
    <row r="72" spans="1:434" x14ac:dyDescent="0.25">
      <c r="A72" s="24"/>
      <c r="B72" s="25" t="s">
        <v>138</v>
      </c>
      <c r="C72" s="24" t="s">
        <v>70</v>
      </c>
      <c r="D72" s="24" t="s">
        <v>76</v>
      </c>
      <c r="E72" s="24"/>
      <c r="F72" s="23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3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3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  <c r="CT72" s="82">
        <v>1</v>
      </c>
      <c r="CU72" s="82"/>
      <c r="CV72" s="82"/>
      <c r="CW72" s="82"/>
      <c r="CX72" s="82"/>
      <c r="CY72" s="82"/>
      <c r="CZ72" s="82">
        <v>5</v>
      </c>
      <c r="DA72" s="82"/>
      <c r="DB72" s="82"/>
      <c r="DC72" s="82"/>
      <c r="DD72" s="82">
        <v>20</v>
      </c>
      <c r="DE72" s="82"/>
      <c r="DF72" s="82"/>
      <c r="DG72" s="82"/>
      <c r="DH72" s="82"/>
      <c r="DI72" s="82"/>
      <c r="DJ72" s="82"/>
      <c r="DK72" s="82"/>
      <c r="DL72" s="82">
        <v>20</v>
      </c>
      <c r="DM72" s="82"/>
      <c r="DN72" s="82"/>
      <c r="DO72" s="82"/>
      <c r="DP72" s="82"/>
      <c r="DQ72" s="82">
        <v>1</v>
      </c>
      <c r="DR72" s="82"/>
      <c r="DS72" s="23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3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  <c r="GR72" s="26"/>
      <c r="GS72" s="23"/>
      <c r="GT72" s="26"/>
      <c r="GU72" s="26"/>
      <c r="GV72" s="26"/>
      <c r="GW72" s="26"/>
      <c r="GX72" s="26"/>
      <c r="GY72" s="26"/>
      <c r="GZ72" s="26"/>
      <c r="HA72" s="26"/>
      <c r="HB72" s="26"/>
      <c r="HC72" s="26"/>
      <c r="HD72" s="26"/>
      <c r="HE72" s="26"/>
      <c r="HF72" s="26"/>
      <c r="HG72" s="26"/>
      <c r="HH72" s="26"/>
      <c r="HI72" s="26"/>
      <c r="HJ72" s="26"/>
      <c r="HK72" s="26"/>
      <c r="HL72" s="26"/>
      <c r="HM72" s="26"/>
      <c r="HN72" s="26"/>
      <c r="HO72" s="26"/>
      <c r="HP72" s="26"/>
      <c r="HQ72" s="26"/>
      <c r="HR72" s="26"/>
      <c r="HS72" s="26"/>
      <c r="HT72" s="26"/>
      <c r="HU72" s="26"/>
      <c r="HV72" s="26"/>
      <c r="HW72" s="26"/>
      <c r="HX72" s="26"/>
      <c r="HY72" s="26"/>
      <c r="HZ72" s="26"/>
      <c r="IA72" s="26"/>
      <c r="IB72" s="26"/>
      <c r="IC72" s="26"/>
      <c r="ID72" s="26"/>
      <c r="IE72" s="26"/>
      <c r="IF72" s="23"/>
      <c r="IG72" s="26"/>
      <c r="IH72" s="26"/>
      <c r="II72" s="26"/>
      <c r="IJ72" s="26"/>
      <c r="IK72" s="26"/>
      <c r="IL72" s="26"/>
      <c r="IM72" s="26"/>
      <c r="IN72" s="26"/>
      <c r="IO72" s="26"/>
      <c r="IP72" s="26"/>
      <c r="IQ72" s="26"/>
      <c r="IR72" s="26"/>
      <c r="IS72" s="26"/>
      <c r="IT72" s="26"/>
      <c r="IU72" s="26"/>
      <c r="IV72" s="26"/>
      <c r="IW72" s="26"/>
      <c r="IX72" s="26"/>
      <c r="IY72" s="26"/>
      <c r="IZ72" s="26"/>
      <c r="JA72" s="26"/>
      <c r="JB72" s="26"/>
      <c r="JC72" s="26"/>
      <c r="JD72" s="26"/>
      <c r="JE72" s="26"/>
      <c r="JF72" s="26"/>
      <c r="JG72" s="26"/>
      <c r="JH72" s="26"/>
      <c r="JI72" s="26"/>
      <c r="JJ72" s="26"/>
      <c r="JK72" s="26"/>
      <c r="JL72" s="26"/>
      <c r="JM72" s="26"/>
      <c r="JN72" s="26"/>
      <c r="JO72" s="26"/>
      <c r="JP72" s="26"/>
      <c r="JQ72" s="26"/>
      <c r="JR72" s="26"/>
      <c r="JS72" s="23"/>
      <c r="JT72" s="26"/>
      <c r="JU72" s="26"/>
      <c r="JV72" s="26"/>
      <c r="JW72" s="26"/>
      <c r="JX72" s="26"/>
      <c r="JY72" s="26"/>
      <c r="JZ72" s="26"/>
      <c r="KA72" s="26"/>
      <c r="KB72" s="26"/>
      <c r="KC72" s="26"/>
      <c r="KD72" s="26"/>
      <c r="KE72" s="26"/>
      <c r="KF72" s="26"/>
      <c r="KG72" s="26"/>
      <c r="KH72" s="26"/>
      <c r="KI72" s="26"/>
      <c r="KJ72" s="26"/>
      <c r="KK72" s="26"/>
      <c r="KL72" s="26"/>
      <c r="KM72" s="26"/>
      <c r="KN72" s="26"/>
      <c r="KO72" s="26"/>
      <c r="KP72" s="26"/>
      <c r="KQ72" s="26"/>
      <c r="KR72" s="26"/>
      <c r="KS72" s="26"/>
      <c r="KT72" s="26"/>
      <c r="KU72" s="26"/>
      <c r="KV72" s="26"/>
      <c r="KW72" s="26"/>
      <c r="KX72" s="26"/>
      <c r="KY72" s="26"/>
      <c r="KZ72" s="26"/>
      <c r="LA72" s="26"/>
      <c r="LB72" s="26"/>
      <c r="LC72" s="26"/>
      <c r="LD72" s="26"/>
      <c r="LE72" s="26"/>
      <c r="LF72" s="23"/>
      <c r="LG72" s="26"/>
      <c r="LH72" s="26"/>
      <c r="LI72" s="26"/>
      <c r="LJ72" s="26"/>
      <c r="LK72" s="26"/>
      <c r="LL72" s="26"/>
      <c r="LM72" s="26"/>
      <c r="LN72" s="26"/>
      <c r="LO72" s="26"/>
      <c r="LP72" s="26"/>
      <c r="LQ72" s="26"/>
      <c r="LR72" s="26"/>
      <c r="LS72" s="26"/>
      <c r="LT72" s="26"/>
      <c r="LU72" s="26"/>
      <c r="LV72" s="26"/>
      <c r="LW72" s="26"/>
      <c r="LX72" s="26"/>
      <c r="LY72" s="26"/>
      <c r="LZ72" s="26"/>
      <c r="MA72" s="26"/>
      <c r="MB72" s="26"/>
      <c r="MC72" s="26"/>
      <c r="MD72" s="26"/>
      <c r="ME72" s="26"/>
      <c r="MF72" s="26"/>
      <c r="MG72" s="26"/>
      <c r="MH72" s="26"/>
      <c r="MI72" s="26"/>
      <c r="MJ72" s="26"/>
      <c r="MK72" s="26"/>
      <c r="ML72" s="26"/>
      <c r="MM72" s="26"/>
      <c r="MN72" s="26"/>
      <c r="MO72" s="26"/>
      <c r="MP72" s="26"/>
      <c r="MQ72" s="26"/>
      <c r="MR72" s="26"/>
      <c r="MS72" s="23"/>
      <c r="MT72" s="26"/>
      <c r="MU72" s="26"/>
      <c r="MV72" s="26"/>
      <c r="MW72" s="26"/>
      <c r="MX72" s="26"/>
      <c r="MY72" s="26"/>
      <c r="MZ72" s="26"/>
      <c r="NA72" s="26"/>
      <c r="NB72" s="26"/>
      <c r="NC72" s="26"/>
      <c r="ND72" s="26"/>
      <c r="NE72" s="26"/>
      <c r="NF72" s="26"/>
      <c r="NG72" s="26"/>
      <c r="NH72" s="26"/>
      <c r="NI72" s="26"/>
      <c r="NJ72" s="26"/>
      <c r="NK72" s="26"/>
      <c r="NL72" s="26"/>
      <c r="NM72" s="26"/>
      <c r="NN72" s="26"/>
      <c r="NO72" s="26"/>
      <c r="NP72" s="26"/>
      <c r="NQ72" s="26"/>
      <c r="NR72" s="26"/>
      <c r="NS72" s="26"/>
      <c r="NT72" s="26"/>
      <c r="NU72" s="26"/>
      <c r="NV72" s="26"/>
      <c r="NW72" s="26"/>
      <c r="NX72" s="26"/>
      <c r="NY72" s="26"/>
      <c r="NZ72" s="26"/>
      <c r="OA72" s="26"/>
      <c r="OB72" s="26"/>
      <c r="OC72" s="26"/>
      <c r="OD72" s="26"/>
      <c r="OE72" s="26"/>
      <c r="OF72" s="23"/>
      <c r="OG72" s="26"/>
      <c r="OH72" s="26"/>
      <c r="OI72" s="26"/>
      <c r="OJ72" s="26"/>
      <c r="OK72" s="26"/>
      <c r="OL72" s="26"/>
      <c r="OM72" s="26"/>
      <c r="ON72" s="26"/>
      <c r="OO72" s="26"/>
      <c r="OP72" s="26"/>
      <c r="OQ72" s="26"/>
      <c r="OR72" s="26"/>
      <c r="OS72" s="26"/>
      <c r="OT72" s="26"/>
      <c r="OU72" s="26"/>
      <c r="OV72" s="26"/>
      <c r="OW72" s="26"/>
      <c r="OX72" s="26"/>
      <c r="OY72" s="26"/>
      <c r="OZ72" s="26"/>
      <c r="PA72" s="26"/>
      <c r="PB72" s="26"/>
      <c r="PC72" s="26"/>
      <c r="PD72" s="26"/>
      <c r="PE72" s="26"/>
      <c r="PF72" s="26"/>
      <c r="PG72" s="26"/>
      <c r="PH72" s="26"/>
      <c r="PI72" s="26"/>
      <c r="PJ72" s="26"/>
      <c r="PK72" s="26"/>
      <c r="PL72" s="26"/>
      <c r="PM72" s="26"/>
      <c r="PN72" s="26"/>
      <c r="PO72" s="26"/>
      <c r="PP72" s="26"/>
      <c r="PQ72" s="26"/>
      <c r="PR72" s="26"/>
    </row>
    <row r="73" spans="1:434" x14ac:dyDescent="0.25">
      <c r="A73" s="24"/>
      <c r="B73" s="25" t="s">
        <v>139</v>
      </c>
      <c r="C73" s="24" t="s">
        <v>70</v>
      </c>
      <c r="D73" s="24" t="s">
        <v>76</v>
      </c>
      <c r="E73" s="24"/>
      <c r="F73" s="23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3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3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  <c r="CT73" s="82"/>
      <c r="CU73" s="82"/>
      <c r="CV73" s="82"/>
      <c r="CW73" s="82"/>
      <c r="CX73" s="82"/>
      <c r="CY73" s="82"/>
      <c r="CZ73" s="82"/>
      <c r="DA73" s="82"/>
      <c r="DB73" s="82"/>
      <c r="DC73" s="82"/>
      <c r="DD73" s="82"/>
      <c r="DE73" s="82"/>
      <c r="DF73" s="82"/>
      <c r="DG73" s="82"/>
      <c r="DH73" s="82"/>
      <c r="DI73" s="82"/>
      <c r="DJ73" s="82"/>
      <c r="DK73" s="82"/>
      <c r="DL73" s="82">
        <v>30</v>
      </c>
      <c r="DM73" s="82"/>
      <c r="DN73" s="82"/>
      <c r="DO73" s="82"/>
      <c r="DP73" s="82"/>
      <c r="DQ73" s="82"/>
      <c r="DR73" s="82"/>
      <c r="DS73" s="23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3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  <c r="GI73" s="26"/>
      <c r="GJ73" s="26"/>
      <c r="GK73" s="26"/>
      <c r="GL73" s="26"/>
      <c r="GM73" s="26"/>
      <c r="GN73" s="26"/>
      <c r="GO73" s="26"/>
      <c r="GP73" s="26"/>
      <c r="GQ73" s="26"/>
      <c r="GR73" s="26"/>
      <c r="GS73" s="23"/>
      <c r="GT73" s="26"/>
      <c r="GU73" s="26"/>
      <c r="GV73" s="26"/>
      <c r="GW73" s="26"/>
      <c r="GX73" s="26"/>
      <c r="GY73" s="26"/>
      <c r="GZ73" s="26"/>
      <c r="HA73" s="26"/>
      <c r="HB73" s="26"/>
      <c r="HC73" s="26"/>
      <c r="HD73" s="26"/>
      <c r="HE73" s="26"/>
      <c r="HF73" s="26"/>
      <c r="HG73" s="26"/>
      <c r="HH73" s="26"/>
      <c r="HI73" s="26"/>
      <c r="HJ73" s="26"/>
      <c r="HK73" s="26"/>
      <c r="HL73" s="26"/>
      <c r="HM73" s="26"/>
      <c r="HN73" s="26"/>
      <c r="HO73" s="26"/>
      <c r="HP73" s="26"/>
      <c r="HQ73" s="26"/>
      <c r="HR73" s="26"/>
      <c r="HS73" s="26"/>
      <c r="HT73" s="26"/>
      <c r="HU73" s="26"/>
      <c r="HV73" s="26"/>
      <c r="HW73" s="26"/>
      <c r="HX73" s="26"/>
      <c r="HY73" s="26"/>
      <c r="HZ73" s="26"/>
      <c r="IA73" s="26"/>
      <c r="IB73" s="26"/>
      <c r="IC73" s="26"/>
      <c r="ID73" s="26"/>
      <c r="IE73" s="26"/>
      <c r="IF73" s="23"/>
      <c r="IG73" s="26"/>
      <c r="IH73" s="26"/>
      <c r="II73" s="26"/>
      <c r="IJ73" s="26"/>
      <c r="IK73" s="26"/>
      <c r="IL73" s="26"/>
      <c r="IM73" s="26"/>
      <c r="IN73" s="26"/>
      <c r="IO73" s="26"/>
      <c r="IP73" s="26"/>
      <c r="IQ73" s="26"/>
      <c r="IR73" s="26"/>
      <c r="IS73" s="26"/>
      <c r="IT73" s="26"/>
      <c r="IU73" s="26"/>
      <c r="IV73" s="26"/>
      <c r="IW73" s="26"/>
      <c r="IX73" s="26"/>
      <c r="IY73" s="26"/>
      <c r="IZ73" s="26"/>
      <c r="JA73" s="26"/>
      <c r="JB73" s="26"/>
      <c r="JC73" s="26"/>
      <c r="JD73" s="26"/>
      <c r="JE73" s="26"/>
      <c r="JF73" s="26"/>
      <c r="JG73" s="26"/>
      <c r="JH73" s="26"/>
      <c r="JI73" s="26"/>
      <c r="JJ73" s="26"/>
      <c r="JK73" s="26"/>
      <c r="JL73" s="26"/>
      <c r="JM73" s="26"/>
      <c r="JN73" s="26"/>
      <c r="JO73" s="26"/>
      <c r="JP73" s="26"/>
      <c r="JQ73" s="26"/>
      <c r="JR73" s="26"/>
      <c r="JS73" s="23"/>
      <c r="JT73" s="26"/>
      <c r="JU73" s="26"/>
      <c r="JV73" s="26"/>
      <c r="JW73" s="26"/>
      <c r="JX73" s="26"/>
      <c r="JY73" s="26"/>
      <c r="JZ73" s="26"/>
      <c r="KA73" s="26"/>
      <c r="KB73" s="26"/>
      <c r="KC73" s="26"/>
      <c r="KD73" s="26"/>
      <c r="KE73" s="26"/>
      <c r="KF73" s="26"/>
      <c r="KG73" s="26"/>
      <c r="KH73" s="26"/>
      <c r="KI73" s="26"/>
      <c r="KJ73" s="26"/>
      <c r="KK73" s="26"/>
      <c r="KL73" s="26"/>
      <c r="KM73" s="26"/>
      <c r="KN73" s="26"/>
      <c r="KO73" s="26"/>
      <c r="KP73" s="26"/>
      <c r="KQ73" s="26"/>
      <c r="KR73" s="26"/>
      <c r="KS73" s="26"/>
      <c r="KT73" s="26"/>
      <c r="KU73" s="26"/>
      <c r="KV73" s="26"/>
      <c r="KW73" s="26"/>
      <c r="KX73" s="26"/>
      <c r="KY73" s="26"/>
      <c r="KZ73" s="26"/>
      <c r="LA73" s="26"/>
      <c r="LB73" s="26"/>
      <c r="LC73" s="26"/>
      <c r="LD73" s="26"/>
      <c r="LE73" s="26"/>
      <c r="LF73" s="23"/>
      <c r="LG73" s="26"/>
      <c r="LH73" s="26"/>
      <c r="LI73" s="26"/>
      <c r="LJ73" s="26"/>
      <c r="LK73" s="26"/>
      <c r="LL73" s="26"/>
      <c r="LM73" s="26"/>
      <c r="LN73" s="26"/>
      <c r="LO73" s="26"/>
      <c r="LP73" s="26"/>
      <c r="LQ73" s="26"/>
      <c r="LR73" s="26"/>
      <c r="LS73" s="26"/>
      <c r="LT73" s="26"/>
      <c r="LU73" s="26"/>
      <c r="LV73" s="26"/>
      <c r="LW73" s="26"/>
      <c r="LX73" s="26"/>
      <c r="LY73" s="26"/>
      <c r="LZ73" s="26"/>
      <c r="MA73" s="26"/>
      <c r="MB73" s="26"/>
      <c r="MC73" s="26"/>
      <c r="MD73" s="26"/>
      <c r="ME73" s="26"/>
      <c r="MF73" s="26"/>
      <c r="MG73" s="26"/>
      <c r="MH73" s="26"/>
      <c r="MI73" s="26"/>
      <c r="MJ73" s="26"/>
      <c r="MK73" s="26"/>
      <c r="ML73" s="26"/>
      <c r="MM73" s="26"/>
      <c r="MN73" s="26"/>
      <c r="MO73" s="26"/>
      <c r="MP73" s="26"/>
      <c r="MQ73" s="26"/>
      <c r="MR73" s="26"/>
      <c r="MS73" s="23"/>
      <c r="MT73" s="26"/>
      <c r="MU73" s="26"/>
      <c r="MV73" s="26"/>
      <c r="MW73" s="26"/>
      <c r="MX73" s="26"/>
      <c r="MY73" s="26"/>
      <c r="MZ73" s="26"/>
      <c r="NA73" s="26"/>
      <c r="NB73" s="26"/>
      <c r="NC73" s="26"/>
      <c r="ND73" s="26"/>
      <c r="NE73" s="26"/>
      <c r="NF73" s="26"/>
      <c r="NG73" s="26"/>
      <c r="NH73" s="26"/>
      <c r="NI73" s="26"/>
      <c r="NJ73" s="26"/>
      <c r="NK73" s="26"/>
      <c r="NL73" s="26"/>
      <c r="NM73" s="26"/>
      <c r="NN73" s="26"/>
      <c r="NO73" s="26"/>
      <c r="NP73" s="26"/>
      <c r="NQ73" s="26"/>
      <c r="NR73" s="26"/>
      <c r="NS73" s="26"/>
      <c r="NT73" s="26"/>
      <c r="NU73" s="26"/>
      <c r="NV73" s="26"/>
      <c r="NW73" s="26"/>
      <c r="NX73" s="26"/>
      <c r="NY73" s="26"/>
      <c r="NZ73" s="26"/>
      <c r="OA73" s="26"/>
      <c r="OB73" s="26"/>
      <c r="OC73" s="26"/>
      <c r="OD73" s="26"/>
      <c r="OE73" s="26"/>
      <c r="OF73" s="23"/>
      <c r="OG73" s="26"/>
      <c r="OH73" s="26"/>
      <c r="OI73" s="26"/>
      <c r="OJ73" s="26"/>
      <c r="OK73" s="26"/>
      <c r="OL73" s="26"/>
      <c r="OM73" s="26"/>
      <c r="ON73" s="26"/>
      <c r="OO73" s="26"/>
      <c r="OP73" s="26"/>
      <c r="OQ73" s="26"/>
      <c r="OR73" s="26"/>
      <c r="OS73" s="26"/>
      <c r="OT73" s="26"/>
      <c r="OU73" s="26"/>
      <c r="OV73" s="26"/>
      <c r="OW73" s="26"/>
      <c r="OX73" s="26"/>
      <c r="OY73" s="26"/>
      <c r="OZ73" s="26"/>
      <c r="PA73" s="26"/>
      <c r="PB73" s="26"/>
      <c r="PC73" s="26"/>
      <c r="PD73" s="26"/>
      <c r="PE73" s="26"/>
      <c r="PF73" s="26"/>
      <c r="PG73" s="26"/>
      <c r="PH73" s="26"/>
      <c r="PI73" s="26"/>
      <c r="PJ73" s="26"/>
      <c r="PK73" s="26"/>
      <c r="PL73" s="26"/>
      <c r="PM73" s="26"/>
      <c r="PN73" s="26"/>
      <c r="PO73" s="26"/>
      <c r="PP73" s="26"/>
      <c r="PQ73" s="26"/>
      <c r="PR73" s="26"/>
    </row>
    <row r="74" spans="1:434" ht="25.5" x14ac:dyDescent="0.25">
      <c r="A74" s="24"/>
      <c r="B74" s="25" t="s">
        <v>140</v>
      </c>
      <c r="C74" s="24" t="s">
        <v>81</v>
      </c>
      <c r="D74" s="24" t="s">
        <v>73</v>
      </c>
      <c r="E74" s="24"/>
      <c r="F74" s="23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3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3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  <c r="CT74" s="82"/>
      <c r="CU74" s="82"/>
      <c r="CV74" s="82"/>
      <c r="CW74" s="82"/>
      <c r="CX74" s="82"/>
      <c r="CY74" s="82"/>
      <c r="CZ74" s="82"/>
      <c r="DA74" s="82">
        <v>2</v>
      </c>
      <c r="DB74" s="82"/>
      <c r="DC74" s="82"/>
      <c r="DD74" s="82"/>
      <c r="DE74" s="82"/>
      <c r="DF74" s="82">
        <v>5</v>
      </c>
      <c r="DG74" s="82"/>
      <c r="DH74" s="82"/>
      <c r="DI74" s="82"/>
      <c r="DJ74" s="82"/>
      <c r="DK74" s="82"/>
      <c r="DL74" s="82"/>
      <c r="DM74" s="82"/>
      <c r="DN74" s="82"/>
      <c r="DO74" s="82"/>
      <c r="DP74" s="82"/>
      <c r="DQ74" s="82">
        <v>2</v>
      </c>
      <c r="DR74" s="82"/>
      <c r="DS74" s="23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3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  <c r="GR74" s="26"/>
      <c r="GS74" s="23"/>
      <c r="GT74" s="26"/>
      <c r="GU74" s="26"/>
      <c r="GV74" s="26"/>
      <c r="GW74" s="26"/>
      <c r="GX74" s="26"/>
      <c r="GY74" s="26"/>
      <c r="GZ74" s="26"/>
      <c r="HA74" s="26"/>
      <c r="HB74" s="26"/>
      <c r="HC74" s="26"/>
      <c r="HD74" s="26"/>
      <c r="HE74" s="26"/>
      <c r="HF74" s="26"/>
      <c r="HG74" s="26"/>
      <c r="HH74" s="26"/>
      <c r="HI74" s="26"/>
      <c r="HJ74" s="26"/>
      <c r="HK74" s="26"/>
      <c r="HL74" s="26"/>
      <c r="HM74" s="26"/>
      <c r="HN74" s="26"/>
      <c r="HO74" s="26"/>
      <c r="HP74" s="26"/>
      <c r="HQ74" s="26"/>
      <c r="HR74" s="26"/>
      <c r="HS74" s="26"/>
      <c r="HT74" s="26"/>
      <c r="HU74" s="26"/>
      <c r="HV74" s="26"/>
      <c r="HW74" s="26"/>
      <c r="HX74" s="26"/>
      <c r="HY74" s="26"/>
      <c r="HZ74" s="26"/>
      <c r="IA74" s="26"/>
      <c r="IB74" s="26"/>
      <c r="IC74" s="26"/>
      <c r="ID74" s="26"/>
      <c r="IE74" s="26"/>
      <c r="IF74" s="23"/>
      <c r="IG74" s="26"/>
      <c r="IH74" s="26"/>
      <c r="II74" s="26"/>
      <c r="IJ74" s="26"/>
      <c r="IK74" s="26"/>
      <c r="IL74" s="26"/>
      <c r="IM74" s="26"/>
      <c r="IN74" s="26"/>
      <c r="IO74" s="26"/>
      <c r="IP74" s="26"/>
      <c r="IQ74" s="26"/>
      <c r="IR74" s="26"/>
      <c r="IS74" s="26"/>
      <c r="IT74" s="26"/>
      <c r="IU74" s="26"/>
      <c r="IV74" s="26"/>
      <c r="IW74" s="26"/>
      <c r="IX74" s="26"/>
      <c r="IY74" s="26"/>
      <c r="IZ74" s="26"/>
      <c r="JA74" s="26"/>
      <c r="JB74" s="26"/>
      <c r="JC74" s="26"/>
      <c r="JD74" s="26"/>
      <c r="JE74" s="26"/>
      <c r="JF74" s="26"/>
      <c r="JG74" s="26"/>
      <c r="JH74" s="26"/>
      <c r="JI74" s="26"/>
      <c r="JJ74" s="26"/>
      <c r="JK74" s="26"/>
      <c r="JL74" s="26"/>
      <c r="JM74" s="26"/>
      <c r="JN74" s="26"/>
      <c r="JO74" s="26"/>
      <c r="JP74" s="26"/>
      <c r="JQ74" s="26"/>
      <c r="JR74" s="26"/>
      <c r="JS74" s="23"/>
      <c r="JT74" s="26"/>
      <c r="JU74" s="26"/>
      <c r="JV74" s="26"/>
      <c r="JW74" s="26"/>
      <c r="JX74" s="26"/>
      <c r="JY74" s="26"/>
      <c r="JZ74" s="26"/>
      <c r="KA74" s="26"/>
      <c r="KB74" s="26"/>
      <c r="KC74" s="26"/>
      <c r="KD74" s="26"/>
      <c r="KE74" s="26"/>
      <c r="KF74" s="26"/>
      <c r="KG74" s="26"/>
      <c r="KH74" s="26"/>
      <c r="KI74" s="26"/>
      <c r="KJ74" s="26"/>
      <c r="KK74" s="26"/>
      <c r="KL74" s="26"/>
      <c r="KM74" s="26"/>
      <c r="KN74" s="26"/>
      <c r="KO74" s="26"/>
      <c r="KP74" s="26"/>
      <c r="KQ74" s="26"/>
      <c r="KR74" s="26"/>
      <c r="KS74" s="26"/>
      <c r="KT74" s="26"/>
      <c r="KU74" s="26"/>
      <c r="KV74" s="26"/>
      <c r="KW74" s="26"/>
      <c r="KX74" s="26"/>
      <c r="KY74" s="26"/>
      <c r="KZ74" s="26"/>
      <c r="LA74" s="26"/>
      <c r="LB74" s="26"/>
      <c r="LC74" s="26"/>
      <c r="LD74" s="26"/>
      <c r="LE74" s="26"/>
      <c r="LF74" s="23"/>
      <c r="LG74" s="26"/>
      <c r="LH74" s="26"/>
      <c r="LI74" s="26"/>
      <c r="LJ74" s="26"/>
      <c r="LK74" s="26"/>
      <c r="LL74" s="26"/>
      <c r="LM74" s="26"/>
      <c r="LN74" s="26"/>
      <c r="LO74" s="26"/>
      <c r="LP74" s="26"/>
      <c r="LQ74" s="26"/>
      <c r="LR74" s="26"/>
      <c r="LS74" s="26"/>
      <c r="LT74" s="26"/>
      <c r="LU74" s="26"/>
      <c r="LV74" s="26"/>
      <c r="LW74" s="26"/>
      <c r="LX74" s="26"/>
      <c r="LY74" s="26"/>
      <c r="LZ74" s="26"/>
      <c r="MA74" s="26"/>
      <c r="MB74" s="26"/>
      <c r="MC74" s="26"/>
      <c r="MD74" s="26"/>
      <c r="ME74" s="26"/>
      <c r="MF74" s="26"/>
      <c r="MG74" s="26"/>
      <c r="MH74" s="26"/>
      <c r="MI74" s="26"/>
      <c r="MJ74" s="26"/>
      <c r="MK74" s="26"/>
      <c r="ML74" s="26"/>
      <c r="MM74" s="26"/>
      <c r="MN74" s="26"/>
      <c r="MO74" s="26"/>
      <c r="MP74" s="26"/>
      <c r="MQ74" s="26"/>
      <c r="MR74" s="26"/>
      <c r="MS74" s="23"/>
      <c r="MT74" s="26"/>
      <c r="MU74" s="26"/>
      <c r="MV74" s="26"/>
      <c r="MW74" s="26"/>
      <c r="MX74" s="26"/>
      <c r="MY74" s="26"/>
      <c r="MZ74" s="26"/>
      <c r="NA74" s="26"/>
      <c r="NB74" s="26"/>
      <c r="NC74" s="26"/>
      <c r="ND74" s="26"/>
      <c r="NE74" s="26"/>
      <c r="NF74" s="26"/>
      <c r="NG74" s="26"/>
      <c r="NH74" s="26"/>
      <c r="NI74" s="26"/>
      <c r="NJ74" s="26"/>
      <c r="NK74" s="26"/>
      <c r="NL74" s="26"/>
      <c r="NM74" s="26"/>
      <c r="NN74" s="26"/>
      <c r="NO74" s="26"/>
      <c r="NP74" s="26"/>
      <c r="NQ74" s="26"/>
      <c r="NR74" s="26"/>
      <c r="NS74" s="26"/>
      <c r="NT74" s="26"/>
      <c r="NU74" s="26"/>
      <c r="NV74" s="26"/>
      <c r="NW74" s="26"/>
      <c r="NX74" s="26"/>
      <c r="NY74" s="26"/>
      <c r="NZ74" s="26"/>
      <c r="OA74" s="26"/>
      <c r="OB74" s="26"/>
      <c r="OC74" s="26"/>
      <c r="OD74" s="26"/>
      <c r="OE74" s="26"/>
      <c r="OF74" s="23"/>
      <c r="OG74" s="26"/>
      <c r="OH74" s="26"/>
      <c r="OI74" s="26"/>
      <c r="OJ74" s="26"/>
      <c r="OK74" s="26"/>
      <c r="OL74" s="26"/>
      <c r="OM74" s="26"/>
      <c r="ON74" s="26"/>
      <c r="OO74" s="26"/>
      <c r="OP74" s="26"/>
      <c r="OQ74" s="26"/>
      <c r="OR74" s="26"/>
      <c r="OS74" s="26"/>
      <c r="OT74" s="26"/>
      <c r="OU74" s="26"/>
      <c r="OV74" s="26"/>
      <c r="OW74" s="26"/>
      <c r="OX74" s="26"/>
      <c r="OY74" s="26"/>
      <c r="OZ74" s="26"/>
      <c r="PA74" s="26"/>
      <c r="PB74" s="26"/>
      <c r="PC74" s="26"/>
      <c r="PD74" s="26"/>
      <c r="PE74" s="26"/>
      <c r="PF74" s="26"/>
      <c r="PG74" s="26"/>
      <c r="PH74" s="26"/>
      <c r="PI74" s="26"/>
      <c r="PJ74" s="26"/>
      <c r="PK74" s="26"/>
      <c r="PL74" s="26"/>
      <c r="PM74" s="26"/>
      <c r="PN74" s="26"/>
      <c r="PO74" s="26"/>
      <c r="PP74" s="26"/>
      <c r="PQ74" s="26"/>
      <c r="PR74" s="26"/>
    </row>
    <row r="75" spans="1:434" x14ac:dyDescent="0.25">
      <c r="A75" s="24"/>
      <c r="B75" s="25" t="s">
        <v>141</v>
      </c>
      <c r="C75" s="24" t="s">
        <v>81</v>
      </c>
      <c r="D75" s="24" t="s">
        <v>76</v>
      </c>
      <c r="E75" s="24"/>
      <c r="F75" s="23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3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3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  <c r="CT75" s="82"/>
      <c r="CU75" s="82"/>
      <c r="CV75" s="82"/>
      <c r="CW75" s="82"/>
      <c r="CX75" s="82"/>
      <c r="CY75" s="82"/>
      <c r="CZ75" s="82"/>
      <c r="DA75" s="82"/>
      <c r="DB75" s="82"/>
      <c r="DC75" s="82"/>
      <c r="DD75" s="82"/>
      <c r="DE75" s="82"/>
      <c r="DF75" s="82"/>
      <c r="DG75" s="82"/>
      <c r="DH75" s="82"/>
      <c r="DI75" s="82"/>
      <c r="DJ75" s="82"/>
      <c r="DK75" s="82"/>
      <c r="DL75" s="82"/>
      <c r="DM75" s="82"/>
      <c r="DN75" s="82"/>
      <c r="DO75" s="82"/>
      <c r="DP75" s="82"/>
      <c r="DQ75" s="82"/>
      <c r="DR75" s="82"/>
      <c r="DS75" s="23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3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  <c r="GI75" s="26"/>
      <c r="GJ75" s="26"/>
      <c r="GK75" s="26"/>
      <c r="GL75" s="26"/>
      <c r="GM75" s="26"/>
      <c r="GN75" s="26"/>
      <c r="GO75" s="26"/>
      <c r="GP75" s="26"/>
      <c r="GQ75" s="26"/>
      <c r="GR75" s="26"/>
      <c r="GS75" s="23"/>
      <c r="GT75" s="26"/>
      <c r="GU75" s="26"/>
      <c r="GV75" s="26"/>
      <c r="GW75" s="26"/>
      <c r="GX75" s="26"/>
      <c r="GY75" s="26"/>
      <c r="GZ75" s="26"/>
      <c r="HA75" s="26"/>
      <c r="HB75" s="26"/>
      <c r="HC75" s="26"/>
      <c r="HD75" s="26"/>
      <c r="HE75" s="26"/>
      <c r="HF75" s="26"/>
      <c r="HG75" s="26"/>
      <c r="HH75" s="26"/>
      <c r="HI75" s="26"/>
      <c r="HJ75" s="26"/>
      <c r="HK75" s="26"/>
      <c r="HL75" s="26"/>
      <c r="HM75" s="26"/>
      <c r="HN75" s="26"/>
      <c r="HO75" s="26"/>
      <c r="HP75" s="26"/>
      <c r="HQ75" s="26"/>
      <c r="HR75" s="26"/>
      <c r="HS75" s="26"/>
      <c r="HT75" s="26"/>
      <c r="HU75" s="26"/>
      <c r="HV75" s="26"/>
      <c r="HW75" s="26"/>
      <c r="HX75" s="26"/>
      <c r="HY75" s="26"/>
      <c r="HZ75" s="26"/>
      <c r="IA75" s="26"/>
      <c r="IB75" s="26"/>
      <c r="IC75" s="26"/>
      <c r="ID75" s="26"/>
      <c r="IE75" s="26"/>
      <c r="IF75" s="23"/>
      <c r="IG75" s="26"/>
      <c r="IH75" s="26"/>
      <c r="II75" s="26"/>
      <c r="IJ75" s="26"/>
      <c r="IK75" s="26"/>
      <c r="IL75" s="26"/>
      <c r="IM75" s="26"/>
      <c r="IN75" s="26"/>
      <c r="IO75" s="26"/>
      <c r="IP75" s="26"/>
      <c r="IQ75" s="26"/>
      <c r="IR75" s="26"/>
      <c r="IS75" s="26"/>
      <c r="IT75" s="26"/>
      <c r="IU75" s="26"/>
      <c r="IV75" s="26"/>
      <c r="IW75" s="26"/>
      <c r="IX75" s="26"/>
      <c r="IY75" s="26"/>
      <c r="IZ75" s="26"/>
      <c r="JA75" s="26"/>
      <c r="JB75" s="26"/>
      <c r="JC75" s="26"/>
      <c r="JD75" s="26"/>
      <c r="JE75" s="26"/>
      <c r="JF75" s="26"/>
      <c r="JG75" s="26"/>
      <c r="JH75" s="26"/>
      <c r="JI75" s="26"/>
      <c r="JJ75" s="26"/>
      <c r="JK75" s="26"/>
      <c r="JL75" s="26"/>
      <c r="JM75" s="26"/>
      <c r="JN75" s="26"/>
      <c r="JO75" s="26"/>
      <c r="JP75" s="26"/>
      <c r="JQ75" s="26"/>
      <c r="JR75" s="26"/>
      <c r="JS75" s="23"/>
      <c r="JT75" s="26"/>
      <c r="JU75" s="26"/>
      <c r="JV75" s="26"/>
      <c r="JW75" s="26"/>
      <c r="JX75" s="26"/>
      <c r="JY75" s="26"/>
      <c r="JZ75" s="26"/>
      <c r="KA75" s="26"/>
      <c r="KB75" s="26"/>
      <c r="KC75" s="26"/>
      <c r="KD75" s="26"/>
      <c r="KE75" s="26"/>
      <c r="KF75" s="26"/>
      <c r="KG75" s="26"/>
      <c r="KH75" s="26"/>
      <c r="KI75" s="26"/>
      <c r="KJ75" s="26"/>
      <c r="KK75" s="26"/>
      <c r="KL75" s="26"/>
      <c r="KM75" s="26"/>
      <c r="KN75" s="26"/>
      <c r="KO75" s="26"/>
      <c r="KP75" s="26"/>
      <c r="KQ75" s="26"/>
      <c r="KR75" s="26"/>
      <c r="KS75" s="26"/>
      <c r="KT75" s="26"/>
      <c r="KU75" s="26"/>
      <c r="KV75" s="26"/>
      <c r="KW75" s="26"/>
      <c r="KX75" s="26"/>
      <c r="KY75" s="26"/>
      <c r="KZ75" s="26"/>
      <c r="LA75" s="26"/>
      <c r="LB75" s="26"/>
      <c r="LC75" s="26"/>
      <c r="LD75" s="26"/>
      <c r="LE75" s="26"/>
      <c r="LF75" s="23"/>
      <c r="LG75" s="26"/>
      <c r="LH75" s="26"/>
      <c r="LI75" s="26"/>
      <c r="LJ75" s="26"/>
      <c r="LK75" s="26"/>
      <c r="LL75" s="26"/>
      <c r="LM75" s="26"/>
      <c r="LN75" s="26"/>
      <c r="LO75" s="26"/>
      <c r="LP75" s="26"/>
      <c r="LQ75" s="26"/>
      <c r="LR75" s="26"/>
      <c r="LS75" s="26"/>
      <c r="LT75" s="26"/>
      <c r="LU75" s="26"/>
      <c r="LV75" s="26"/>
      <c r="LW75" s="26"/>
      <c r="LX75" s="26"/>
      <c r="LY75" s="26"/>
      <c r="LZ75" s="26"/>
      <c r="MA75" s="26"/>
      <c r="MB75" s="26"/>
      <c r="MC75" s="26"/>
      <c r="MD75" s="26"/>
      <c r="ME75" s="26"/>
      <c r="MF75" s="26"/>
      <c r="MG75" s="26"/>
      <c r="MH75" s="26"/>
      <c r="MI75" s="26"/>
      <c r="MJ75" s="26"/>
      <c r="MK75" s="26"/>
      <c r="ML75" s="26"/>
      <c r="MM75" s="26"/>
      <c r="MN75" s="26"/>
      <c r="MO75" s="26"/>
      <c r="MP75" s="26"/>
      <c r="MQ75" s="26"/>
      <c r="MR75" s="26"/>
      <c r="MS75" s="23"/>
      <c r="MT75" s="26"/>
      <c r="MU75" s="26"/>
      <c r="MV75" s="26"/>
      <c r="MW75" s="26"/>
      <c r="MX75" s="26"/>
      <c r="MY75" s="26"/>
      <c r="MZ75" s="26"/>
      <c r="NA75" s="26"/>
      <c r="NB75" s="26"/>
      <c r="NC75" s="26"/>
      <c r="ND75" s="26"/>
      <c r="NE75" s="26"/>
      <c r="NF75" s="26"/>
      <c r="NG75" s="26"/>
      <c r="NH75" s="26"/>
      <c r="NI75" s="26"/>
      <c r="NJ75" s="26"/>
      <c r="NK75" s="26"/>
      <c r="NL75" s="26"/>
      <c r="NM75" s="26"/>
      <c r="NN75" s="26"/>
      <c r="NO75" s="26"/>
      <c r="NP75" s="26"/>
      <c r="NQ75" s="26"/>
      <c r="NR75" s="26"/>
      <c r="NS75" s="26"/>
      <c r="NT75" s="26"/>
      <c r="NU75" s="26"/>
      <c r="NV75" s="26"/>
      <c r="NW75" s="26"/>
      <c r="NX75" s="26"/>
      <c r="NY75" s="26"/>
      <c r="NZ75" s="26"/>
      <c r="OA75" s="26"/>
      <c r="OB75" s="26"/>
      <c r="OC75" s="26"/>
      <c r="OD75" s="26"/>
      <c r="OE75" s="26"/>
      <c r="OF75" s="23"/>
      <c r="OG75" s="26"/>
      <c r="OH75" s="26"/>
      <c r="OI75" s="26"/>
      <c r="OJ75" s="26"/>
      <c r="OK75" s="26"/>
      <c r="OL75" s="26"/>
      <c r="OM75" s="26"/>
      <c r="ON75" s="26"/>
      <c r="OO75" s="26"/>
      <c r="OP75" s="26"/>
      <c r="OQ75" s="26"/>
      <c r="OR75" s="26"/>
      <c r="OS75" s="26"/>
      <c r="OT75" s="26"/>
      <c r="OU75" s="26"/>
      <c r="OV75" s="26"/>
      <c r="OW75" s="26"/>
      <c r="OX75" s="26"/>
      <c r="OY75" s="26"/>
      <c r="OZ75" s="26"/>
      <c r="PA75" s="26"/>
      <c r="PB75" s="26"/>
      <c r="PC75" s="26"/>
      <c r="PD75" s="26"/>
      <c r="PE75" s="26"/>
      <c r="PF75" s="26"/>
      <c r="PG75" s="26"/>
      <c r="PH75" s="26"/>
      <c r="PI75" s="26"/>
      <c r="PJ75" s="26"/>
      <c r="PK75" s="26"/>
      <c r="PL75" s="26"/>
      <c r="PM75" s="26"/>
      <c r="PN75" s="26"/>
      <c r="PO75" s="26"/>
      <c r="PP75" s="26"/>
      <c r="PQ75" s="26"/>
      <c r="PR75" s="26"/>
    </row>
    <row r="76" spans="1:434" ht="21.95" customHeight="1" x14ac:dyDescent="0.25">
      <c r="A76" s="84" t="s">
        <v>142</v>
      </c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  <c r="FU76" s="85"/>
      <c r="FV76" s="85"/>
      <c r="FW76" s="85"/>
      <c r="FX76" s="85"/>
      <c r="FY76" s="85"/>
      <c r="FZ76" s="85"/>
      <c r="GA76" s="85"/>
      <c r="GB76" s="85"/>
      <c r="GC76" s="85"/>
      <c r="GD76" s="85"/>
      <c r="GE76" s="85"/>
      <c r="GF76" s="85"/>
      <c r="GG76" s="85"/>
      <c r="GH76" s="85"/>
      <c r="GI76" s="85"/>
      <c r="GJ76" s="85"/>
      <c r="GK76" s="85"/>
      <c r="GL76" s="85"/>
      <c r="GM76" s="85"/>
      <c r="GN76" s="85"/>
      <c r="GO76" s="85"/>
      <c r="GP76" s="85"/>
      <c r="GQ76" s="85"/>
      <c r="GR76" s="85"/>
      <c r="GS76" s="85"/>
      <c r="GT76" s="85"/>
      <c r="GU76" s="85"/>
      <c r="GV76" s="85"/>
      <c r="GW76" s="85"/>
      <c r="GX76" s="85"/>
      <c r="GY76" s="85"/>
      <c r="GZ76" s="85"/>
      <c r="HA76" s="85"/>
      <c r="HB76" s="85"/>
      <c r="HC76" s="85"/>
      <c r="HD76" s="85"/>
      <c r="HE76" s="85"/>
      <c r="HF76" s="85"/>
      <c r="HG76" s="85"/>
      <c r="HH76" s="85"/>
      <c r="HI76" s="85"/>
      <c r="HJ76" s="85"/>
      <c r="HK76" s="85"/>
      <c r="HL76" s="85"/>
      <c r="HM76" s="85"/>
      <c r="HN76" s="85"/>
      <c r="HO76" s="85"/>
      <c r="HP76" s="85"/>
      <c r="HQ76" s="85"/>
      <c r="HR76" s="85"/>
      <c r="HS76" s="85"/>
      <c r="HT76" s="85"/>
      <c r="HU76" s="85"/>
      <c r="HV76" s="85"/>
      <c r="HW76" s="85"/>
      <c r="HX76" s="85"/>
      <c r="HY76" s="85"/>
      <c r="HZ76" s="85"/>
      <c r="IA76" s="85"/>
      <c r="IB76" s="85"/>
      <c r="IC76" s="85"/>
      <c r="ID76" s="85"/>
      <c r="IE76" s="85"/>
      <c r="IF76" s="85"/>
      <c r="IG76" s="85"/>
      <c r="IH76" s="85"/>
      <c r="II76" s="85"/>
      <c r="IJ76" s="85"/>
      <c r="IK76" s="85"/>
      <c r="IL76" s="85"/>
      <c r="IM76" s="85"/>
      <c r="IN76" s="85"/>
      <c r="IO76" s="85"/>
      <c r="IP76" s="85"/>
      <c r="IQ76" s="85"/>
      <c r="IR76" s="85"/>
      <c r="IS76" s="85"/>
      <c r="IT76" s="85"/>
      <c r="IU76" s="85"/>
      <c r="IV76" s="85"/>
      <c r="IW76" s="85"/>
      <c r="IX76" s="85"/>
      <c r="IY76" s="85"/>
      <c r="IZ76" s="85"/>
      <c r="JA76" s="85"/>
      <c r="JB76" s="85"/>
      <c r="JC76" s="85"/>
      <c r="JD76" s="85"/>
      <c r="JE76" s="85"/>
      <c r="JF76" s="85"/>
      <c r="JG76" s="85"/>
      <c r="JH76" s="85"/>
      <c r="JI76" s="85"/>
      <c r="JJ76" s="85"/>
      <c r="JK76" s="85"/>
      <c r="JL76" s="85"/>
      <c r="JM76" s="85"/>
      <c r="JN76" s="85"/>
      <c r="JO76" s="85"/>
      <c r="JP76" s="85"/>
      <c r="JQ76" s="85"/>
      <c r="JR76" s="85"/>
      <c r="JS76" s="85"/>
      <c r="JT76" s="85"/>
      <c r="JU76" s="85"/>
      <c r="JV76" s="85"/>
      <c r="JW76" s="85"/>
      <c r="JX76" s="85"/>
      <c r="JY76" s="85"/>
      <c r="JZ76" s="85"/>
      <c r="KA76" s="85"/>
      <c r="KB76" s="85"/>
      <c r="KC76" s="85"/>
      <c r="KD76" s="85"/>
      <c r="KE76" s="85"/>
      <c r="KF76" s="85"/>
      <c r="KG76" s="85"/>
      <c r="KH76" s="85"/>
      <c r="KI76" s="85"/>
      <c r="KJ76" s="85"/>
      <c r="KK76" s="85"/>
      <c r="KL76" s="85"/>
      <c r="KM76" s="85"/>
      <c r="KN76" s="85"/>
      <c r="KO76" s="85"/>
      <c r="KP76" s="85"/>
      <c r="KQ76" s="85"/>
      <c r="KR76" s="85"/>
      <c r="KS76" s="85"/>
      <c r="KT76" s="85"/>
      <c r="KU76" s="85"/>
      <c r="KV76" s="85"/>
      <c r="KW76" s="85"/>
      <c r="KX76" s="85"/>
      <c r="KY76" s="85"/>
      <c r="KZ76" s="85"/>
      <c r="LA76" s="85"/>
      <c r="LB76" s="85"/>
      <c r="LC76" s="85"/>
      <c r="LD76" s="85"/>
      <c r="LE76" s="85"/>
      <c r="LF76" s="85"/>
      <c r="LG76" s="85"/>
      <c r="LH76" s="85"/>
      <c r="LI76" s="85"/>
      <c r="LJ76" s="85"/>
      <c r="LK76" s="85"/>
      <c r="LL76" s="85"/>
      <c r="LM76" s="85"/>
      <c r="LN76" s="85"/>
      <c r="LO76" s="85"/>
      <c r="LP76" s="85"/>
      <c r="LQ76" s="85"/>
      <c r="LR76" s="85"/>
      <c r="LS76" s="85"/>
      <c r="LT76" s="85"/>
      <c r="LU76" s="85"/>
      <c r="LV76" s="85"/>
      <c r="LW76" s="85"/>
      <c r="LX76" s="85"/>
      <c r="LY76" s="85"/>
      <c r="LZ76" s="85"/>
      <c r="MA76" s="85"/>
      <c r="MB76" s="85"/>
      <c r="MC76" s="85"/>
      <c r="MD76" s="85"/>
      <c r="ME76" s="85"/>
      <c r="MF76" s="85"/>
      <c r="MG76" s="85"/>
      <c r="MH76" s="85"/>
      <c r="MI76" s="85"/>
      <c r="MJ76" s="85"/>
      <c r="MK76" s="85"/>
      <c r="ML76" s="85"/>
      <c r="MM76" s="85"/>
      <c r="MN76" s="85"/>
      <c r="MO76" s="85"/>
      <c r="MP76" s="85"/>
      <c r="MQ76" s="85"/>
      <c r="MR76" s="85"/>
      <c r="MS76" s="85"/>
      <c r="MT76" s="85"/>
      <c r="MU76" s="85"/>
      <c r="MV76" s="85"/>
      <c r="MW76" s="85"/>
      <c r="MX76" s="85"/>
      <c r="MY76" s="85"/>
      <c r="MZ76" s="85"/>
      <c r="NA76" s="85"/>
      <c r="NB76" s="85"/>
      <c r="NC76" s="85"/>
      <c r="ND76" s="85"/>
      <c r="NE76" s="85"/>
      <c r="NF76" s="85"/>
      <c r="NG76" s="85"/>
      <c r="NH76" s="85"/>
      <c r="NI76" s="85"/>
      <c r="NJ76" s="85"/>
      <c r="NK76" s="85"/>
      <c r="NL76" s="85"/>
      <c r="NM76" s="85"/>
      <c r="NN76" s="85"/>
      <c r="NO76" s="85"/>
      <c r="NP76" s="85"/>
      <c r="NQ76" s="85"/>
      <c r="NR76" s="85"/>
      <c r="NS76" s="85"/>
      <c r="NT76" s="85"/>
      <c r="NU76" s="85"/>
      <c r="NV76" s="85"/>
      <c r="NW76" s="85"/>
      <c r="NX76" s="85"/>
      <c r="NY76" s="85"/>
      <c r="NZ76" s="85"/>
      <c r="OA76" s="85"/>
      <c r="OB76" s="85"/>
      <c r="OC76" s="85"/>
      <c r="OD76" s="85"/>
      <c r="OE76" s="85"/>
      <c r="OF76" s="85"/>
      <c r="OG76" s="85"/>
      <c r="OH76" s="85"/>
      <c r="OI76" s="85"/>
      <c r="OJ76" s="85"/>
      <c r="OK76" s="85"/>
      <c r="OL76" s="85"/>
      <c r="OM76" s="85"/>
      <c r="ON76" s="85"/>
      <c r="OO76" s="85"/>
      <c r="OP76" s="85"/>
      <c r="OQ76" s="85"/>
      <c r="OR76" s="85"/>
      <c r="OS76" s="85"/>
      <c r="OT76" s="85"/>
      <c r="OU76" s="85"/>
      <c r="OV76" s="85"/>
      <c r="OW76" s="85"/>
      <c r="OX76" s="85"/>
      <c r="OY76" s="85"/>
      <c r="OZ76" s="85"/>
      <c r="PA76" s="85"/>
      <c r="PB76" s="85"/>
      <c r="PC76" s="85"/>
      <c r="PD76" s="85"/>
      <c r="PE76" s="85"/>
      <c r="PF76" s="85"/>
      <c r="PG76" s="85"/>
      <c r="PH76" s="85"/>
      <c r="PI76" s="85"/>
      <c r="PJ76" s="85"/>
      <c r="PK76" s="85"/>
      <c r="PL76" s="85"/>
      <c r="PM76" s="85"/>
      <c r="PN76" s="85"/>
      <c r="PO76" s="85"/>
      <c r="PP76" s="85"/>
      <c r="PQ76" s="85"/>
      <c r="PR76" s="86"/>
    </row>
    <row r="77" spans="1:434" x14ac:dyDescent="0.25">
      <c r="A77" s="24"/>
      <c r="B77" s="25" t="s">
        <v>143</v>
      </c>
      <c r="C77" s="24" t="s">
        <v>66</v>
      </c>
      <c r="D77" s="24" t="s">
        <v>76</v>
      </c>
      <c r="E77" s="24"/>
      <c r="F77" s="23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3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3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  <c r="CT77" s="82">
        <v>10</v>
      </c>
      <c r="CU77" s="82"/>
      <c r="CV77" s="82"/>
      <c r="CW77" s="82"/>
      <c r="CX77" s="82"/>
      <c r="CY77" s="82"/>
      <c r="CZ77" s="82"/>
      <c r="DA77" s="82">
        <v>30</v>
      </c>
      <c r="DB77" s="82"/>
      <c r="DC77" s="82"/>
      <c r="DD77" s="82"/>
      <c r="DE77" s="82"/>
      <c r="DF77" s="82"/>
      <c r="DG77" s="82"/>
      <c r="DH77" s="82"/>
      <c r="DI77" s="82"/>
      <c r="DJ77" s="82"/>
      <c r="DK77" s="82"/>
      <c r="DL77" s="82">
        <v>40</v>
      </c>
      <c r="DM77" s="82"/>
      <c r="DN77" s="82"/>
      <c r="DO77" s="82"/>
      <c r="DP77" s="82"/>
      <c r="DQ77" s="82">
        <v>3</v>
      </c>
      <c r="DR77" s="82"/>
      <c r="DS77" s="23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3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  <c r="GI77" s="26"/>
      <c r="GJ77" s="26"/>
      <c r="GK77" s="26"/>
      <c r="GL77" s="26"/>
      <c r="GM77" s="26"/>
      <c r="GN77" s="26"/>
      <c r="GO77" s="26"/>
      <c r="GP77" s="26"/>
      <c r="GQ77" s="26"/>
      <c r="GR77" s="26"/>
      <c r="GS77" s="23"/>
      <c r="GT77" s="26"/>
      <c r="GU77" s="26"/>
      <c r="GV77" s="26"/>
      <c r="GW77" s="26"/>
      <c r="GX77" s="26"/>
      <c r="GY77" s="26"/>
      <c r="GZ77" s="26"/>
      <c r="HA77" s="26"/>
      <c r="HB77" s="26"/>
      <c r="HC77" s="26"/>
      <c r="HD77" s="26"/>
      <c r="HE77" s="26"/>
      <c r="HF77" s="26"/>
      <c r="HG77" s="26"/>
      <c r="HH77" s="26"/>
      <c r="HI77" s="26"/>
      <c r="HJ77" s="26"/>
      <c r="HK77" s="26"/>
      <c r="HL77" s="26"/>
      <c r="HM77" s="26"/>
      <c r="HN77" s="26"/>
      <c r="HO77" s="26"/>
      <c r="HP77" s="26"/>
      <c r="HQ77" s="26"/>
      <c r="HR77" s="26"/>
      <c r="HS77" s="26"/>
      <c r="HT77" s="26"/>
      <c r="HU77" s="26"/>
      <c r="HV77" s="26"/>
      <c r="HW77" s="26"/>
      <c r="HX77" s="26"/>
      <c r="HY77" s="26"/>
      <c r="HZ77" s="26"/>
      <c r="IA77" s="26"/>
      <c r="IB77" s="26"/>
      <c r="IC77" s="26"/>
      <c r="ID77" s="26"/>
      <c r="IE77" s="26"/>
      <c r="IF77" s="23"/>
      <c r="IG77" s="26"/>
      <c r="IH77" s="26"/>
      <c r="II77" s="26"/>
      <c r="IJ77" s="26"/>
      <c r="IK77" s="26"/>
      <c r="IL77" s="26"/>
      <c r="IM77" s="26"/>
      <c r="IN77" s="26"/>
      <c r="IO77" s="26"/>
      <c r="IP77" s="26"/>
      <c r="IQ77" s="26"/>
      <c r="IR77" s="26"/>
      <c r="IS77" s="26"/>
      <c r="IT77" s="26"/>
      <c r="IU77" s="26"/>
      <c r="IV77" s="26"/>
      <c r="IW77" s="26"/>
      <c r="IX77" s="26"/>
      <c r="IY77" s="26"/>
      <c r="IZ77" s="26"/>
      <c r="JA77" s="26"/>
      <c r="JB77" s="26"/>
      <c r="JC77" s="26"/>
      <c r="JD77" s="26"/>
      <c r="JE77" s="26"/>
      <c r="JF77" s="26"/>
      <c r="JG77" s="26"/>
      <c r="JH77" s="26"/>
      <c r="JI77" s="26"/>
      <c r="JJ77" s="26"/>
      <c r="JK77" s="26"/>
      <c r="JL77" s="26"/>
      <c r="JM77" s="26"/>
      <c r="JN77" s="26"/>
      <c r="JO77" s="26"/>
      <c r="JP77" s="26"/>
      <c r="JQ77" s="26"/>
      <c r="JR77" s="26"/>
      <c r="JS77" s="23"/>
      <c r="JT77" s="26"/>
      <c r="JU77" s="26"/>
      <c r="JV77" s="26"/>
      <c r="JW77" s="26"/>
      <c r="JX77" s="26"/>
      <c r="JY77" s="26"/>
      <c r="JZ77" s="26"/>
      <c r="KA77" s="26"/>
      <c r="KB77" s="26"/>
      <c r="KC77" s="26"/>
      <c r="KD77" s="26"/>
      <c r="KE77" s="26"/>
      <c r="KF77" s="26"/>
      <c r="KG77" s="26"/>
      <c r="KH77" s="26"/>
      <c r="KI77" s="26"/>
      <c r="KJ77" s="26"/>
      <c r="KK77" s="26"/>
      <c r="KL77" s="26"/>
      <c r="KM77" s="26"/>
      <c r="KN77" s="26"/>
      <c r="KO77" s="26"/>
      <c r="KP77" s="26"/>
      <c r="KQ77" s="26"/>
      <c r="KR77" s="26"/>
      <c r="KS77" s="26"/>
      <c r="KT77" s="26"/>
      <c r="KU77" s="26"/>
      <c r="KV77" s="26"/>
      <c r="KW77" s="26"/>
      <c r="KX77" s="26"/>
      <c r="KY77" s="26"/>
      <c r="KZ77" s="26"/>
      <c r="LA77" s="26"/>
      <c r="LB77" s="26"/>
      <c r="LC77" s="26"/>
      <c r="LD77" s="26"/>
      <c r="LE77" s="26"/>
      <c r="LF77" s="23"/>
      <c r="LG77" s="26"/>
      <c r="LH77" s="26"/>
      <c r="LI77" s="26"/>
      <c r="LJ77" s="26"/>
      <c r="LK77" s="26"/>
      <c r="LL77" s="26"/>
      <c r="LM77" s="26"/>
      <c r="LN77" s="26"/>
      <c r="LO77" s="26"/>
      <c r="LP77" s="26"/>
      <c r="LQ77" s="26"/>
      <c r="LR77" s="26"/>
      <c r="LS77" s="26"/>
      <c r="LT77" s="26"/>
      <c r="LU77" s="26"/>
      <c r="LV77" s="26"/>
      <c r="LW77" s="26"/>
      <c r="LX77" s="26"/>
      <c r="LY77" s="26"/>
      <c r="LZ77" s="26"/>
      <c r="MA77" s="26"/>
      <c r="MB77" s="26"/>
      <c r="MC77" s="26"/>
      <c r="MD77" s="26"/>
      <c r="ME77" s="26"/>
      <c r="MF77" s="26"/>
      <c r="MG77" s="26"/>
      <c r="MH77" s="26"/>
      <c r="MI77" s="26"/>
      <c r="MJ77" s="26"/>
      <c r="MK77" s="26"/>
      <c r="ML77" s="26"/>
      <c r="MM77" s="26"/>
      <c r="MN77" s="26"/>
      <c r="MO77" s="26"/>
      <c r="MP77" s="26"/>
      <c r="MQ77" s="26"/>
      <c r="MR77" s="26"/>
      <c r="MS77" s="23"/>
      <c r="MT77" s="26"/>
      <c r="MU77" s="26"/>
      <c r="MV77" s="26"/>
      <c r="MW77" s="26"/>
      <c r="MX77" s="26"/>
      <c r="MY77" s="26"/>
      <c r="MZ77" s="26"/>
      <c r="NA77" s="26"/>
      <c r="NB77" s="26"/>
      <c r="NC77" s="26"/>
      <c r="ND77" s="26"/>
      <c r="NE77" s="26"/>
      <c r="NF77" s="26"/>
      <c r="NG77" s="26"/>
      <c r="NH77" s="26"/>
      <c r="NI77" s="26"/>
      <c r="NJ77" s="26"/>
      <c r="NK77" s="26"/>
      <c r="NL77" s="26"/>
      <c r="NM77" s="26"/>
      <c r="NN77" s="26"/>
      <c r="NO77" s="26"/>
      <c r="NP77" s="26"/>
      <c r="NQ77" s="26"/>
      <c r="NR77" s="26"/>
      <c r="NS77" s="26"/>
      <c r="NT77" s="26"/>
      <c r="NU77" s="26"/>
      <c r="NV77" s="26"/>
      <c r="NW77" s="26"/>
      <c r="NX77" s="26"/>
      <c r="NY77" s="26"/>
      <c r="NZ77" s="26"/>
      <c r="OA77" s="26"/>
      <c r="OB77" s="26"/>
      <c r="OC77" s="26"/>
      <c r="OD77" s="26"/>
      <c r="OE77" s="26"/>
      <c r="OF77" s="23"/>
      <c r="OG77" s="26"/>
      <c r="OH77" s="26"/>
      <c r="OI77" s="26"/>
      <c r="OJ77" s="26"/>
      <c r="OK77" s="26"/>
      <c r="OL77" s="26"/>
      <c r="OM77" s="26"/>
      <c r="ON77" s="26"/>
      <c r="OO77" s="26"/>
      <c r="OP77" s="26"/>
      <c r="OQ77" s="26"/>
      <c r="OR77" s="26"/>
      <c r="OS77" s="26"/>
      <c r="OT77" s="26"/>
      <c r="OU77" s="26"/>
      <c r="OV77" s="26"/>
      <c r="OW77" s="26"/>
      <c r="OX77" s="26"/>
      <c r="OY77" s="26"/>
      <c r="OZ77" s="26"/>
      <c r="PA77" s="26"/>
      <c r="PB77" s="26"/>
      <c r="PC77" s="26"/>
      <c r="PD77" s="26"/>
      <c r="PE77" s="26"/>
      <c r="PF77" s="26"/>
      <c r="PG77" s="26"/>
      <c r="PH77" s="26"/>
      <c r="PI77" s="26"/>
      <c r="PJ77" s="26"/>
      <c r="PK77" s="26"/>
      <c r="PL77" s="26"/>
      <c r="PM77" s="26"/>
      <c r="PN77" s="26"/>
      <c r="PO77" s="26"/>
      <c r="PP77" s="26"/>
      <c r="PQ77" s="26"/>
      <c r="PR77" s="26"/>
    </row>
    <row r="78" spans="1:434" x14ac:dyDescent="0.25">
      <c r="A78" s="24"/>
      <c r="B78" s="25" t="s">
        <v>144</v>
      </c>
      <c r="C78" s="24" t="s">
        <v>70</v>
      </c>
      <c r="D78" s="24" t="s">
        <v>76</v>
      </c>
      <c r="E78" s="24"/>
      <c r="F78" s="23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3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3"/>
      <c r="CG78" s="82"/>
      <c r="CH78" s="82"/>
      <c r="CI78" s="82"/>
      <c r="CJ78" s="82"/>
      <c r="CK78" s="82"/>
      <c r="CL78" s="82"/>
      <c r="CM78" s="82"/>
      <c r="CN78" s="82"/>
      <c r="CO78" s="82"/>
      <c r="CP78" s="82"/>
      <c r="CQ78" s="82"/>
      <c r="CR78" s="82"/>
      <c r="CS78" s="82"/>
      <c r="CT78" s="82">
        <v>10</v>
      </c>
      <c r="CU78" s="82">
        <v>2</v>
      </c>
      <c r="CV78" s="82"/>
      <c r="CW78" s="82"/>
      <c r="CX78" s="82"/>
      <c r="CY78" s="82"/>
      <c r="CZ78" s="82">
        <v>2</v>
      </c>
      <c r="DA78" s="82">
        <v>30</v>
      </c>
      <c r="DB78" s="82"/>
      <c r="DC78" s="82"/>
      <c r="DD78" s="82"/>
      <c r="DE78" s="82"/>
      <c r="DF78" s="82"/>
      <c r="DG78" s="82"/>
      <c r="DH78" s="82"/>
      <c r="DI78" s="82"/>
      <c r="DJ78" s="82"/>
      <c r="DK78" s="82"/>
      <c r="DL78" s="82">
        <v>20</v>
      </c>
      <c r="DM78" s="82"/>
      <c r="DN78" s="82"/>
      <c r="DO78" s="82"/>
      <c r="DP78" s="82"/>
      <c r="DQ78" s="82"/>
      <c r="DR78" s="82"/>
      <c r="DS78" s="23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3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26"/>
      <c r="GR78" s="26"/>
      <c r="GS78" s="23"/>
      <c r="GT78" s="26"/>
      <c r="GU78" s="26"/>
      <c r="GV78" s="26"/>
      <c r="GW78" s="26"/>
      <c r="GX78" s="26"/>
      <c r="GY78" s="26"/>
      <c r="GZ78" s="26"/>
      <c r="HA78" s="26"/>
      <c r="HB78" s="26"/>
      <c r="HC78" s="26"/>
      <c r="HD78" s="26"/>
      <c r="HE78" s="26"/>
      <c r="HF78" s="26"/>
      <c r="HG78" s="26"/>
      <c r="HH78" s="26"/>
      <c r="HI78" s="26"/>
      <c r="HJ78" s="26"/>
      <c r="HK78" s="26"/>
      <c r="HL78" s="26"/>
      <c r="HM78" s="26"/>
      <c r="HN78" s="26"/>
      <c r="HO78" s="26"/>
      <c r="HP78" s="26"/>
      <c r="HQ78" s="26"/>
      <c r="HR78" s="26"/>
      <c r="HS78" s="26"/>
      <c r="HT78" s="26"/>
      <c r="HU78" s="26"/>
      <c r="HV78" s="26"/>
      <c r="HW78" s="26"/>
      <c r="HX78" s="26"/>
      <c r="HY78" s="26"/>
      <c r="HZ78" s="26"/>
      <c r="IA78" s="26"/>
      <c r="IB78" s="26"/>
      <c r="IC78" s="26"/>
      <c r="ID78" s="26"/>
      <c r="IE78" s="26"/>
      <c r="IF78" s="23"/>
      <c r="IG78" s="26"/>
      <c r="IH78" s="26"/>
      <c r="II78" s="26"/>
      <c r="IJ78" s="26"/>
      <c r="IK78" s="26"/>
      <c r="IL78" s="26"/>
      <c r="IM78" s="26"/>
      <c r="IN78" s="26"/>
      <c r="IO78" s="26"/>
      <c r="IP78" s="26"/>
      <c r="IQ78" s="26"/>
      <c r="IR78" s="26"/>
      <c r="IS78" s="26"/>
      <c r="IT78" s="26"/>
      <c r="IU78" s="26"/>
      <c r="IV78" s="26"/>
      <c r="IW78" s="26"/>
      <c r="IX78" s="26"/>
      <c r="IY78" s="26"/>
      <c r="IZ78" s="26"/>
      <c r="JA78" s="26"/>
      <c r="JB78" s="26"/>
      <c r="JC78" s="26"/>
      <c r="JD78" s="26"/>
      <c r="JE78" s="26"/>
      <c r="JF78" s="26"/>
      <c r="JG78" s="26"/>
      <c r="JH78" s="26"/>
      <c r="JI78" s="26"/>
      <c r="JJ78" s="26"/>
      <c r="JK78" s="26"/>
      <c r="JL78" s="26"/>
      <c r="JM78" s="26"/>
      <c r="JN78" s="26"/>
      <c r="JO78" s="26"/>
      <c r="JP78" s="26"/>
      <c r="JQ78" s="26"/>
      <c r="JR78" s="26"/>
      <c r="JS78" s="23"/>
      <c r="JT78" s="26"/>
      <c r="JU78" s="26"/>
      <c r="JV78" s="26"/>
      <c r="JW78" s="26"/>
      <c r="JX78" s="26"/>
      <c r="JY78" s="26"/>
      <c r="JZ78" s="26"/>
      <c r="KA78" s="26"/>
      <c r="KB78" s="26"/>
      <c r="KC78" s="26"/>
      <c r="KD78" s="26"/>
      <c r="KE78" s="26"/>
      <c r="KF78" s="26"/>
      <c r="KG78" s="26"/>
      <c r="KH78" s="26"/>
      <c r="KI78" s="26"/>
      <c r="KJ78" s="26"/>
      <c r="KK78" s="26"/>
      <c r="KL78" s="26"/>
      <c r="KM78" s="26"/>
      <c r="KN78" s="26"/>
      <c r="KO78" s="26"/>
      <c r="KP78" s="26"/>
      <c r="KQ78" s="26"/>
      <c r="KR78" s="26"/>
      <c r="KS78" s="26"/>
      <c r="KT78" s="26"/>
      <c r="KU78" s="26"/>
      <c r="KV78" s="26"/>
      <c r="KW78" s="26"/>
      <c r="KX78" s="26"/>
      <c r="KY78" s="26"/>
      <c r="KZ78" s="26"/>
      <c r="LA78" s="26"/>
      <c r="LB78" s="26"/>
      <c r="LC78" s="26"/>
      <c r="LD78" s="26"/>
      <c r="LE78" s="26"/>
      <c r="LF78" s="23"/>
      <c r="LG78" s="26"/>
      <c r="LH78" s="26"/>
      <c r="LI78" s="26"/>
      <c r="LJ78" s="26"/>
      <c r="LK78" s="26"/>
      <c r="LL78" s="26"/>
      <c r="LM78" s="26"/>
      <c r="LN78" s="26"/>
      <c r="LO78" s="26"/>
      <c r="LP78" s="26"/>
      <c r="LQ78" s="26"/>
      <c r="LR78" s="26"/>
      <c r="LS78" s="26"/>
      <c r="LT78" s="26"/>
      <c r="LU78" s="26"/>
      <c r="LV78" s="26"/>
      <c r="LW78" s="26"/>
      <c r="LX78" s="26"/>
      <c r="LY78" s="26"/>
      <c r="LZ78" s="26"/>
      <c r="MA78" s="26"/>
      <c r="MB78" s="26"/>
      <c r="MC78" s="26"/>
      <c r="MD78" s="26"/>
      <c r="ME78" s="26"/>
      <c r="MF78" s="26"/>
      <c r="MG78" s="26"/>
      <c r="MH78" s="26"/>
      <c r="MI78" s="26"/>
      <c r="MJ78" s="26"/>
      <c r="MK78" s="26"/>
      <c r="ML78" s="26"/>
      <c r="MM78" s="26"/>
      <c r="MN78" s="26"/>
      <c r="MO78" s="26"/>
      <c r="MP78" s="26"/>
      <c r="MQ78" s="26"/>
      <c r="MR78" s="26"/>
      <c r="MS78" s="23"/>
      <c r="MT78" s="26"/>
      <c r="MU78" s="26"/>
      <c r="MV78" s="26"/>
      <c r="MW78" s="26"/>
      <c r="MX78" s="26"/>
      <c r="MY78" s="26"/>
      <c r="MZ78" s="26"/>
      <c r="NA78" s="26"/>
      <c r="NB78" s="26"/>
      <c r="NC78" s="26"/>
      <c r="ND78" s="26"/>
      <c r="NE78" s="26"/>
      <c r="NF78" s="26"/>
      <c r="NG78" s="26"/>
      <c r="NH78" s="26"/>
      <c r="NI78" s="26"/>
      <c r="NJ78" s="26"/>
      <c r="NK78" s="26"/>
      <c r="NL78" s="26"/>
      <c r="NM78" s="26"/>
      <c r="NN78" s="26"/>
      <c r="NO78" s="26"/>
      <c r="NP78" s="26"/>
      <c r="NQ78" s="26"/>
      <c r="NR78" s="26"/>
      <c r="NS78" s="26"/>
      <c r="NT78" s="26"/>
      <c r="NU78" s="26"/>
      <c r="NV78" s="26"/>
      <c r="NW78" s="26"/>
      <c r="NX78" s="26"/>
      <c r="NY78" s="26"/>
      <c r="NZ78" s="26"/>
      <c r="OA78" s="26"/>
      <c r="OB78" s="26"/>
      <c r="OC78" s="26"/>
      <c r="OD78" s="26"/>
      <c r="OE78" s="26"/>
      <c r="OF78" s="23"/>
      <c r="OG78" s="26"/>
      <c r="OH78" s="26"/>
      <c r="OI78" s="26"/>
      <c r="OJ78" s="26"/>
      <c r="OK78" s="26"/>
      <c r="OL78" s="26"/>
      <c r="OM78" s="26"/>
      <c r="ON78" s="26"/>
      <c r="OO78" s="26"/>
      <c r="OP78" s="26"/>
      <c r="OQ78" s="26"/>
      <c r="OR78" s="26"/>
      <c r="OS78" s="26"/>
      <c r="OT78" s="26"/>
      <c r="OU78" s="26"/>
      <c r="OV78" s="26"/>
      <c r="OW78" s="26"/>
      <c r="OX78" s="26"/>
      <c r="OY78" s="26"/>
      <c r="OZ78" s="26"/>
      <c r="PA78" s="26"/>
      <c r="PB78" s="26"/>
      <c r="PC78" s="26"/>
      <c r="PD78" s="26"/>
      <c r="PE78" s="26"/>
      <c r="PF78" s="26"/>
      <c r="PG78" s="26"/>
      <c r="PH78" s="26"/>
      <c r="PI78" s="26"/>
      <c r="PJ78" s="26"/>
      <c r="PK78" s="26"/>
      <c r="PL78" s="26"/>
      <c r="PM78" s="26"/>
      <c r="PN78" s="26"/>
      <c r="PO78" s="26"/>
      <c r="PP78" s="26"/>
      <c r="PQ78" s="26"/>
      <c r="PR78" s="26"/>
    </row>
    <row r="79" spans="1:434" x14ac:dyDescent="0.25">
      <c r="A79" s="24"/>
      <c r="B79" s="25" t="s">
        <v>145</v>
      </c>
      <c r="C79" s="24" t="s">
        <v>66</v>
      </c>
      <c r="D79" s="24" t="s">
        <v>76</v>
      </c>
      <c r="E79" s="24"/>
      <c r="F79" s="23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3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3"/>
      <c r="CG79" s="82"/>
      <c r="CH79" s="82"/>
      <c r="CI79" s="82"/>
      <c r="CJ79" s="82"/>
      <c r="CK79" s="82"/>
      <c r="CL79" s="82"/>
      <c r="CM79" s="82"/>
      <c r="CN79" s="82"/>
      <c r="CO79" s="82"/>
      <c r="CP79" s="82"/>
      <c r="CQ79" s="82"/>
      <c r="CR79" s="82"/>
      <c r="CS79" s="82"/>
      <c r="CT79" s="82"/>
      <c r="CU79" s="82"/>
      <c r="CV79" s="82"/>
      <c r="CW79" s="82"/>
      <c r="CX79" s="82"/>
      <c r="CY79" s="82"/>
      <c r="CZ79" s="82"/>
      <c r="DA79" s="82"/>
      <c r="DB79" s="82"/>
      <c r="DC79" s="82"/>
      <c r="DD79" s="82"/>
      <c r="DE79" s="82"/>
      <c r="DF79" s="82"/>
      <c r="DG79" s="82"/>
      <c r="DH79" s="82"/>
      <c r="DI79" s="82"/>
      <c r="DJ79" s="82"/>
      <c r="DK79" s="82"/>
      <c r="DL79" s="82">
        <v>120</v>
      </c>
      <c r="DM79" s="82"/>
      <c r="DN79" s="82"/>
      <c r="DO79" s="82"/>
      <c r="DP79" s="82"/>
      <c r="DQ79" s="82"/>
      <c r="DR79" s="82"/>
      <c r="DS79" s="23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3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  <c r="GI79" s="26"/>
      <c r="GJ79" s="26"/>
      <c r="GK79" s="26"/>
      <c r="GL79" s="26"/>
      <c r="GM79" s="26"/>
      <c r="GN79" s="26"/>
      <c r="GO79" s="26"/>
      <c r="GP79" s="26"/>
      <c r="GQ79" s="26"/>
      <c r="GR79" s="26"/>
      <c r="GS79" s="23"/>
      <c r="GT79" s="26"/>
      <c r="GU79" s="26"/>
      <c r="GV79" s="26"/>
      <c r="GW79" s="26"/>
      <c r="GX79" s="26"/>
      <c r="GY79" s="26"/>
      <c r="GZ79" s="26"/>
      <c r="HA79" s="26"/>
      <c r="HB79" s="26"/>
      <c r="HC79" s="26"/>
      <c r="HD79" s="26"/>
      <c r="HE79" s="26"/>
      <c r="HF79" s="26"/>
      <c r="HG79" s="26"/>
      <c r="HH79" s="26"/>
      <c r="HI79" s="26"/>
      <c r="HJ79" s="26"/>
      <c r="HK79" s="26"/>
      <c r="HL79" s="26"/>
      <c r="HM79" s="26"/>
      <c r="HN79" s="26"/>
      <c r="HO79" s="26"/>
      <c r="HP79" s="26"/>
      <c r="HQ79" s="26"/>
      <c r="HR79" s="26"/>
      <c r="HS79" s="26"/>
      <c r="HT79" s="26"/>
      <c r="HU79" s="26"/>
      <c r="HV79" s="26"/>
      <c r="HW79" s="26"/>
      <c r="HX79" s="26"/>
      <c r="HY79" s="26"/>
      <c r="HZ79" s="26"/>
      <c r="IA79" s="26"/>
      <c r="IB79" s="26"/>
      <c r="IC79" s="26"/>
      <c r="ID79" s="26"/>
      <c r="IE79" s="26"/>
      <c r="IF79" s="23"/>
      <c r="IG79" s="26"/>
      <c r="IH79" s="26"/>
      <c r="II79" s="26"/>
      <c r="IJ79" s="26"/>
      <c r="IK79" s="26"/>
      <c r="IL79" s="26"/>
      <c r="IM79" s="26"/>
      <c r="IN79" s="26"/>
      <c r="IO79" s="26"/>
      <c r="IP79" s="26"/>
      <c r="IQ79" s="26"/>
      <c r="IR79" s="26"/>
      <c r="IS79" s="26"/>
      <c r="IT79" s="26"/>
      <c r="IU79" s="26"/>
      <c r="IV79" s="26"/>
      <c r="IW79" s="26"/>
      <c r="IX79" s="26"/>
      <c r="IY79" s="26"/>
      <c r="IZ79" s="26"/>
      <c r="JA79" s="26"/>
      <c r="JB79" s="26"/>
      <c r="JC79" s="26"/>
      <c r="JD79" s="26"/>
      <c r="JE79" s="26"/>
      <c r="JF79" s="26"/>
      <c r="JG79" s="26"/>
      <c r="JH79" s="26"/>
      <c r="JI79" s="26"/>
      <c r="JJ79" s="26"/>
      <c r="JK79" s="26"/>
      <c r="JL79" s="26"/>
      <c r="JM79" s="26"/>
      <c r="JN79" s="26"/>
      <c r="JO79" s="26"/>
      <c r="JP79" s="26"/>
      <c r="JQ79" s="26"/>
      <c r="JR79" s="26"/>
      <c r="JS79" s="23"/>
      <c r="JT79" s="26"/>
      <c r="JU79" s="26"/>
      <c r="JV79" s="26"/>
      <c r="JW79" s="26"/>
      <c r="JX79" s="26"/>
      <c r="JY79" s="26"/>
      <c r="JZ79" s="26"/>
      <c r="KA79" s="26"/>
      <c r="KB79" s="26"/>
      <c r="KC79" s="26"/>
      <c r="KD79" s="26"/>
      <c r="KE79" s="26"/>
      <c r="KF79" s="26"/>
      <c r="KG79" s="26"/>
      <c r="KH79" s="26"/>
      <c r="KI79" s="26"/>
      <c r="KJ79" s="26"/>
      <c r="KK79" s="26"/>
      <c r="KL79" s="26"/>
      <c r="KM79" s="26"/>
      <c r="KN79" s="26"/>
      <c r="KO79" s="26"/>
      <c r="KP79" s="26"/>
      <c r="KQ79" s="26"/>
      <c r="KR79" s="26"/>
      <c r="KS79" s="26"/>
      <c r="KT79" s="26"/>
      <c r="KU79" s="26"/>
      <c r="KV79" s="26"/>
      <c r="KW79" s="26"/>
      <c r="KX79" s="26"/>
      <c r="KY79" s="26"/>
      <c r="KZ79" s="26"/>
      <c r="LA79" s="26"/>
      <c r="LB79" s="26"/>
      <c r="LC79" s="26"/>
      <c r="LD79" s="26"/>
      <c r="LE79" s="26"/>
      <c r="LF79" s="23"/>
      <c r="LG79" s="26"/>
      <c r="LH79" s="26"/>
      <c r="LI79" s="26"/>
      <c r="LJ79" s="26"/>
      <c r="LK79" s="26"/>
      <c r="LL79" s="26"/>
      <c r="LM79" s="26"/>
      <c r="LN79" s="26"/>
      <c r="LO79" s="26"/>
      <c r="LP79" s="26"/>
      <c r="LQ79" s="26"/>
      <c r="LR79" s="26"/>
      <c r="LS79" s="26"/>
      <c r="LT79" s="26"/>
      <c r="LU79" s="26"/>
      <c r="LV79" s="26"/>
      <c r="LW79" s="26"/>
      <c r="LX79" s="26"/>
      <c r="LY79" s="26"/>
      <c r="LZ79" s="26"/>
      <c r="MA79" s="26"/>
      <c r="MB79" s="26"/>
      <c r="MC79" s="26"/>
      <c r="MD79" s="26"/>
      <c r="ME79" s="26"/>
      <c r="MF79" s="26"/>
      <c r="MG79" s="26"/>
      <c r="MH79" s="26"/>
      <c r="MI79" s="26"/>
      <c r="MJ79" s="26"/>
      <c r="MK79" s="26"/>
      <c r="ML79" s="26"/>
      <c r="MM79" s="26"/>
      <c r="MN79" s="26"/>
      <c r="MO79" s="26"/>
      <c r="MP79" s="26"/>
      <c r="MQ79" s="26"/>
      <c r="MR79" s="26"/>
      <c r="MS79" s="23"/>
      <c r="MT79" s="26"/>
      <c r="MU79" s="26"/>
      <c r="MV79" s="26"/>
      <c r="MW79" s="26"/>
      <c r="MX79" s="26"/>
      <c r="MY79" s="26"/>
      <c r="MZ79" s="26"/>
      <c r="NA79" s="26"/>
      <c r="NB79" s="26"/>
      <c r="NC79" s="26"/>
      <c r="ND79" s="26"/>
      <c r="NE79" s="26"/>
      <c r="NF79" s="26"/>
      <c r="NG79" s="26"/>
      <c r="NH79" s="26"/>
      <c r="NI79" s="26"/>
      <c r="NJ79" s="26"/>
      <c r="NK79" s="26"/>
      <c r="NL79" s="26"/>
      <c r="NM79" s="26"/>
      <c r="NN79" s="26"/>
      <c r="NO79" s="26"/>
      <c r="NP79" s="26"/>
      <c r="NQ79" s="26"/>
      <c r="NR79" s="26"/>
      <c r="NS79" s="26"/>
      <c r="NT79" s="26"/>
      <c r="NU79" s="26"/>
      <c r="NV79" s="26"/>
      <c r="NW79" s="26"/>
      <c r="NX79" s="26"/>
      <c r="NY79" s="26"/>
      <c r="NZ79" s="26"/>
      <c r="OA79" s="26"/>
      <c r="OB79" s="26"/>
      <c r="OC79" s="26"/>
      <c r="OD79" s="26"/>
      <c r="OE79" s="26"/>
      <c r="OF79" s="23"/>
      <c r="OG79" s="26"/>
      <c r="OH79" s="26"/>
      <c r="OI79" s="26"/>
      <c r="OJ79" s="26"/>
      <c r="OK79" s="26"/>
      <c r="OL79" s="26"/>
      <c r="OM79" s="26"/>
      <c r="ON79" s="26"/>
      <c r="OO79" s="26"/>
      <c r="OP79" s="26"/>
      <c r="OQ79" s="26"/>
      <c r="OR79" s="26"/>
      <c r="OS79" s="26"/>
      <c r="OT79" s="26"/>
      <c r="OU79" s="26"/>
      <c r="OV79" s="26"/>
      <c r="OW79" s="26"/>
      <c r="OX79" s="26"/>
      <c r="OY79" s="26"/>
      <c r="OZ79" s="26"/>
      <c r="PA79" s="26"/>
      <c r="PB79" s="26"/>
      <c r="PC79" s="26"/>
      <c r="PD79" s="26"/>
      <c r="PE79" s="26"/>
      <c r="PF79" s="26"/>
      <c r="PG79" s="26"/>
      <c r="PH79" s="26"/>
      <c r="PI79" s="26"/>
      <c r="PJ79" s="26"/>
      <c r="PK79" s="26"/>
      <c r="PL79" s="26"/>
      <c r="PM79" s="26"/>
      <c r="PN79" s="26"/>
      <c r="PO79" s="26"/>
      <c r="PP79" s="26"/>
      <c r="PQ79" s="26"/>
      <c r="PR79" s="26"/>
    </row>
    <row r="80" spans="1:434" x14ac:dyDescent="0.25">
      <c r="A80" s="24"/>
      <c r="B80" s="25" t="s">
        <v>146</v>
      </c>
      <c r="C80" s="24" t="s">
        <v>70</v>
      </c>
      <c r="D80" s="24" t="s">
        <v>76</v>
      </c>
      <c r="E80" s="24"/>
      <c r="F80" s="23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3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3"/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  <c r="CT80" s="82"/>
      <c r="CU80" s="82"/>
      <c r="CV80" s="82"/>
      <c r="CW80" s="82"/>
      <c r="CX80" s="82"/>
      <c r="CY80" s="82"/>
      <c r="CZ80" s="82"/>
      <c r="DA80" s="82"/>
      <c r="DB80" s="82"/>
      <c r="DC80" s="82"/>
      <c r="DD80" s="82"/>
      <c r="DE80" s="82"/>
      <c r="DF80" s="82"/>
      <c r="DG80" s="82"/>
      <c r="DH80" s="82"/>
      <c r="DI80" s="82"/>
      <c r="DJ80" s="82"/>
      <c r="DK80" s="82"/>
      <c r="DL80" s="82">
        <v>60</v>
      </c>
      <c r="DM80" s="82"/>
      <c r="DN80" s="82"/>
      <c r="DO80" s="82"/>
      <c r="DP80" s="82"/>
      <c r="DQ80" s="82"/>
      <c r="DR80" s="82"/>
      <c r="DS80" s="23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3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  <c r="GI80" s="26"/>
      <c r="GJ80" s="26"/>
      <c r="GK80" s="26"/>
      <c r="GL80" s="26"/>
      <c r="GM80" s="26"/>
      <c r="GN80" s="26"/>
      <c r="GO80" s="26"/>
      <c r="GP80" s="26"/>
      <c r="GQ80" s="26"/>
      <c r="GR80" s="26"/>
      <c r="GS80" s="23"/>
      <c r="GT80" s="26"/>
      <c r="GU80" s="26"/>
      <c r="GV80" s="26"/>
      <c r="GW80" s="26"/>
      <c r="GX80" s="26"/>
      <c r="GY80" s="26"/>
      <c r="GZ80" s="26"/>
      <c r="HA80" s="26"/>
      <c r="HB80" s="26"/>
      <c r="HC80" s="26"/>
      <c r="HD80" s="26"/>
      <c r="HE80" s="26"/>
      <c r="HF80" s="26"/>
      <c r="HG80" s="26"/>
      <c r="HH80" s="26"/>
      <c r="HI80" s="26"/>
      <c r="HJ80" s="26"/>
      <c r="HK80" s="26"/>
      <c r="HL80" s="26"/>
      <c r="HM80" s="26"/>
      <c r="HN80" s="26"/>
      <c r="HO80" s="26"/>
      <c r="HP80" s="26"/>
      <c r="HQ80" s="26"/>
      <c r="HR80" s="26"/>
      <c r="HS80" s="26"/>
      <c r="HT80" s="26"/>
      <c r="HU80" s="26"/>
      <c r="HV80" s="26"/>
      <c r="HW80" s="26"/>
      <c r="HX80" s="26"/>
      <c r="HY80" s="26"/>
      <c r="HZ80" s="26"/>
      <c r="IA80" s="26"/>
      <c r="IB80" s="26"/>
      <c r="IC80" s="26"/>
      <c r="ID80" s="26"/>
      <c r="IE80" s="26"/>
      <c r="IF80" s="23"/>
      <c r="IG80" s="26"/>
      <c r="IH80" s="26"/>
      <c r="II80" s="26"/>
      <c r="IJ80" s="26"/>
      <c r="IK80" s="26"/>
      <c r="IL80" s="26"/>
      <c r="IM80" s="26"/>
      <c r="IN80" s="26"/>
      <c r="IO80" s="26"/>
      <c r="IP80" s="26"/>
      <c r="IQ80" s="26"/>
      <c r="IR80" s="26"/>
      <c r="IS80" s="26"/>
      <c r="IT80" s="26"/>
      <c r="IU80" s="26"/>
      <c r="IV80" s="26"/>
      <c r="IW80" s="26"/>
      <c r="IX80" s="26"/>
      <c r="IY80" s="26"/>
      <c r="IZ80" s="26"/>
      <c r="JA80" s="26"/>
      <c r="JB80" s="26"/>
      <c r="JC80" s="26"/>
      <c r="JD80" s="26"/>
      <c r="JE80" s="26"/>
      <c r="JF80" s="26"/>
      <c r="JG80" s="26"/>
      <c r="JH80" s="26"/>
      <c r="JI80" s="26"/>
      <c r="JJ80" s="26"/>
      <c r="JK80" s="26"/>
      <c r="JL80" s="26"/>
      <c r="JM80" s="26"/>
      <c r="JN80" s="26"/>
      <c r="JO80" s="26"/>
      <c r="JP80" s="26"/>
      <c r="JQ80" s="26"/>
      <c r="JR80" s="26"/>
      <c r="JS80" s="23"/>
      <c r="JT80" s="26"/>
      <c r="JU80" s="26"/>
      <c r="JV80" s="26"/>
      <c r="JW80" s="26"/>
      <c r="JX80" s="26"/>
      <c r="JY80" s="26"/>
      <c r="JZ80" s="26"/>
      <c r="KA80" s="26"/>
      <c r="KB80" s="26"/>
      <c r="KC80" s="26"/>
      <c r="KD80" s="26"/>
      <c r="KE80" s="26"/>
      <c r="KF80" s="26"/>
      <c r="KG80" s="26"/>
      <c r="KH80" s="26"/>
      <c r="KI80" s="26"/>
      <c r="KJ80" s="26"/>
      <c r="KK80" s="26"/>
      <c r="KL80" s="26"/>
      <c r="KM80" s="26"/>
      <c r="KN80" s="26"/>
      <c r="KO80" s="26"/>
      <c r="KP80" s="26"/>
      <c r="KQ80" s="26"/>
      <c r="KR80" s="26"/>
      <c r="KS80" s="26"/>
      <c r="KT80" s="26"/>
      <c r="KU80" s="26"/>
      <c r="KV80" s="26"/>
      <c r="KW80" s="26"/>
      <c r="KX80" s="26"/>
      <c r="KY80" s="26"/>
      <c r="KZ80" s="26"/>
      <c r="LA80" s="26"/>
      <c r="LB80" s="26"/>
      <c r="LC80" s="26"/>
      <c r="LD80" s="26"/>
      <c r="LE80" s="26"/>
      <c r="LF80" s="23"/>
      <c r="LG80" s="26"/>
      <c r="LH80" s="26"/>
      <c r="LI80" s="26"/>
      <c r="LJ80" s="26"/>
      <c r="LK80" s="26"/>
      <c r="LL80" s="26"/>
      <c r="LM80" s="26"/>
      <c r="LN80" s="26"/>
      <c r="LO80" s="26"/>
      <c r="LP80" s="26"/>
      <c r="LQ80" s="26"/>
      <c r="LR80" s="26"/>
      <c r="LS80" s="26"/>
      <c r="LT80" s="26"/>
      <c r="LU80" s="26"/>
      <c r="LV80" s="26"/>
      <c r="LW80" s="26"/>
      <c r="LX80" s="26"/>
      <c r="LY80" s="26"/>
      <c r="LZ80" s="26"/>
      <c r="MA80" s="26"/>
      <c r="MB80" s="26"/>
      <c r="MC80" s="26"/>
      <c r="MD80" s="26"/>
      <c r="ME80" s="26"/>
      <c r="MF80" s="26"/>
      <c r="MG80" s="26"/>
      <c r="MH80" s="26"/>
      <c r="MI80" s="26"/>
      <c r="MJ80" s="26"/>
      <c r="MK80" s="26"/>
      <c r="ML80" s="26"/>
      <c r="MM80" s="26"/>
      <c r="MN80" s="26"/>
      <c r="MO80" s="26"/>
      <c r="MP80" s="26"/>
      <c r="MQ80" s="26"/>
      <c r="MR80" s="26"/>
      <c r="MS80" s="23"/>
      <c r="MT80" s="26"/>
      <c r="MU80" s="26"/>
      <c r="MV80" s="26"/>
      <c r="MW80" s="26"/>
      <c r="MX80" s="26"/>
      <c r="MY80" s="26"/>
      <c r="MZ80" s="26"/>
      <c r="NA80" s="26"/>
      <c r="NB80" s="26"/>
      <c r="NC80" s="26"/>
      <c r="ND80" s="26"/>
      <c r="NE80" s="26"/>
      <c r="NF80" s="26"/>
      <c r="NG80" s="26"/>
      <c r="NH80" s="26"/>
      <c r="NI80" s="26"/>
      <c r="NJ80" s="26"/>
      <c r="NK80" s="26"/>
      <c r="NL80" s="26"/>
      <c r="NM80" s="26"/>
      <c r="NN80" s="26"/>
      <c r="NO80" s="26"/>
      <c r="NP80" s="26"/>
      <c r="NQ80" s="26"/>
      <c r="NR80" s="26"/>
      <c r="NS80" s="26"/>
      <c r="NT80" s="26"/>
      <c r="NU80" s="26"/>
      <c r="NV80" s="26"/>
      <c r="NW80" s="26"/>
      <c r="NX80" s="26"/>
      <c r="NY80" s="26"/>
      <c r="NZ80" s="26"/>
      <c r="OA80" s="26"/>
      <c r="OB80" s="26"/>
      <c r="OC80" s="26"/>
      <c r="OD80" s="26"/>
      <c r="OE80" s="26"/>
      <c r="OF80" s="23"/>
      <c r="OG80" s="26"/>
      <c r="OH80" s="26"/>
      <c r="OI80" s="26"/>
      <c r="OJ80" s="26"/>
      <c r="OK80" s="26"/>
      <c r="OL80" s="26"/>
      <c r="OM80" s="26"/>
      <c r="ON80" s="26"/>
      <c r="OO80" s="26"/>
      <c r="OP80" s="26"/>
      <c r="OQ80" s="26"/>
      <c r="OR80" s="26"/>
      <c r="OS80" s="26"/>
      <c r="OT80" s="26"/>
      <c r="OU80" s="26"/>
      <c r="OV80" s="26"/>
      <c r="OW80" s="26"/>
      <c r="OX80" s="26"/>
      <c r="OY80" s="26"/>
      <c r="OZ80" s="26"/>
      <c r="PA80" s="26"/>
      <c r="PB80" s="26"/>
      <c r="PC80" s="26"/>
      <c r="PD80" s="26"/>
      <c r="PE80" s="26"/>
      <c r="PF80" s="26"/>
      <c r="PG80" s="26"/>
      <c r="PH80" s="26"/>
      <c r="PI80" s="26"/>
      <c r="PJ80" s="26"/>
      <c r="PK80" s="26"/>
      <c r="PL80" s="26"/>
      <c r="PM80" s="26"/>
      <c r="PN80" s="26"/>
      <c r="PO80" s="26"/>
      <c r="PP80" s="26"/>
      <c r="PQ80" s="26"/>
      <c r="PR80" s="26"/>
    </row>
    <row r="81" spans="1:434" x14ac:dyDescent="0.25">
      <c r="A81" s="24"/>
      <c r="B81" s="25" t="s">
        <v>147</v>
      </c>
      <c r="C81" s="24" t="s">
        <v>66</v>
      </c>
      <c r="D81" s="24" t="s">
        <v>76</v>
      </c>
      <c r="E81" s="24"/>
      <c r="F81" s="23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3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3"/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  <c r="CT81" s="82">
        <v>90</v>
      </c>
      <c r="CU81" s="82"/>
      <c r="CV81" s="82"/>
      <c r="CW81" s="82"/>
      <c r="CX81" s="82"/>
      <c r="CY81" s="82"/>
      <c r="CZ81" s="82"/>
      <c r="DA81" s="82">
        <v>30</v>
      </c>
      <c r="DB81" s="82"/>
      <c r="DC81" s="82"/>
      <c r="DD81" s="82"/>
      <c r="DE81" s="82"/>
      <c r="DF81" s="82"/>
      <c r="DG81" s="82"/>
      <c r="DH81" s="82"/>
      <c r="DI81" s="82"/>
      <c r="DJ81" s="82"/>
      <c r="DK81" s="82"/>
      <c r="DL81" s="82"/>
      <c r="DM81" s="82"/>
      <c r="DN81" s="82"/>
      <c r="DO81" s="82"/>
      <c r="DP81" s="82"/>
      <c r="DQ81" s="82"/>
      <c r="DR81" s="82"/>
      <c r="DS81" s="23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3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  <c r="GR81" s="26"/>
      <c r="GS81" s="23"/>
      <c r="GT81" s="26"/>
      <c r="GU81" s="26"/>
      <c r="GV81" s="26"/>
      <c r="GW81" s="26"/>
      <c r="GX81" s="26"/>
      <c r="GY81" s="26"/>
      <c r="GZ81" s="26"/>
      <c r="HA81" s="26"/>
      <c r="HB81" s="26"/>
      <c r="HC81" s="26"/>
      <c r="HD81" s="26"/>
      <c r="HE81" s="26"/>
      <c r="HF81" s="26"/>
      <c r="HG81" s="26"/>
      <c r="HH81" s="26"/>
      <c r="HI81" s="26"/>
      <c r="HJ81" s="26"/>
      <c r="HK81" s="26"/>
      <c r="HL81" s="26"/>
      <c r="HM81" s="26"/>
      <c r="HN81" s="26"/>
      <c r="HO81" s="26"/>
      <c r="HP81" s="26"/>
      <c r="HQ81" s="26"/>
      <c r="HR81" s="26"/>
      <c r="HS81" s="26"/>
      <c r="HT81" s="26"/>
      <c r="HU81" s="26"/>
      <c r="HV81" s="26"/>
      <c r="HW81" s="26"/>
      <c r="HX81" s="26"/>
      <c r="HY81" s="26"/>
      <c r="HZ81" s="26"/>
      <c r="IA81" s="26"/>
      <c r="IB81" s="26"/>
      <c r="IC81" s="26"/>
      <c r="ID81" s="26"/>
      <c r="IE81" s="26"/>
      <c r="IF81" s="23"/>
      <c r="IG81" s="26"/>
      <c r="IH81" s="26"/>
      <c r="II81" s="26"/>
      <c r="IJ81" s="26"/>
      <c r="IK81" s="26"/>
      <c r="IL81" s="26"/>
      <c r="IM81" s="26"/>
      <c r="IN81" s="26"/>
      <c r="IO81" s="26"/>
      <c r="IP81" s="26"/>
      <c r="IQ81" s="26"/>
      <c r="IR81" s="26"/>
      <c r="IS81" s="26"/>
      <c r="IT81" s="26"/>
      <c r="IU81" s="26"/>
      <c r="IV81" s="26"/>
      <c r="IW81" s="26"/>
      <c r="IX81" s="26"/>
      <c r="IY81" s="26"/>
      <c r="IZ81" s="26"/>
      <c r="JA81" s="26"/>
      <c r="JB81" s="26"/>
      <c r="JC81" s="26"/>
      <c r="JD81" s="26"/>
      <c r="JE81" s="26"/>
      <c r="JF81" s="26"/>
      <c r="JG81" s="26"/>
      <c r="JH81" s="26"/>
      <c r="JI81" s="26"/>
      <c r="JJ81" s="26"/>
      <c r="JK81" s="26"/>
      <c r="JL81" s="26"/>
      <c r="JM81" s="26"/>
      <c r="JN81" s="26"/>
      <c r="JO81" s="26"/>
      <c r="JP81" s="26"/>
      <c r="JQ81" s="26"/>
      <c r="JR81" s="26"/>
      <c r="JS81" s="23"/>
      <c r="JT81" s="26"/>
      <c r="JU81" s="26"/>
      <c r="JV81" s="26"/>
      <c r="JW81" s="26"/>
      <c r="JX81" s="26"/>
      <c r="JY81" s="26"/>
      <c r="JZ81" s="26"/>
      <c r="KA81" s="26"/>
      <c r="KB81" s="26"/>
      <c r="KC81" s="26"/>
      <c r="KD81" s="26"/>
      <c r="KE81" s="26"/>
      <c r="KF81" s="26"/>
      <c r="KG81" s="26"/>
      <c r="KH81" s="26"/>
      <c r="KI81" s="26"/>
      <c r="KJ81" s="26"/>
      <c r="KK81" s="26"/>
      <c r="KL81" s="26"/>
      <c r="KM81" s="26"/>
      <c r="KN81" s="26"/>
      <c r="KO81" s="26"/>
      <c r="KP81" s="26"/>
      <c r="KQ81" s="26"/>
      <c r="KR81" s="26"/>
      <c r="KS81" s="26"/>
      <c r="KT81" s="26"/>
      <c r="KU81" s="26"/>
      <c r="KV81" s="26"/>
      <c r="KW81" s="26"/>
      <c r="KX81" s="26"/>
      <c r="KY81" s="26"/>
      <c r="KZ81" s="26"/>
      <c r="LA81" s="26"/>
      <c r="LB81" s="26"/>
      <c r="LC81" s="26"/>
      <c r="LD81" s="26"/>
      <c r="LE81" s="26"/>
      <c r="LF81" s="23"/>
      <c r="LG81" s="26"/>
      <c r="LH81" s="26"/>
      <c r="LI81" s="26"/>
      <c r="LJ81" s="26"/>
      <c r="LK81" s="26"/>
      <c r="LL81" s="26"/>
      <c r="LM81" s="26"/>
      <c r="LN81" s="26"/>
      <c r="LO81" s="26"/>
      <c r="LP81" s="26"/>
      <c r="LQ81" s="26"/>
      <c r="LR81" s="26"/>
      <c r="LS81" s="26"/>
      <c r="LT81" s="26"/>
      <c r="LU81" s="26"/>
      <c r="LV81" s="26"/>
      <c r="LW81" s="26"/>
      <c r="LX81" s="26"/>
      <c r="LY81" s="26"/>
      <c r="LZ81" s="26"/>
      <c r="MA81" s="26"/>
      <c r="MB81" s="26"/>
      <c r="MC81" s="26"/>
      <c r="MD81" s="26"/>
      <c r="ME81" s="26"/>
      <c r="MF81" s="26"/>
      <c r="MG81" s="26"/>
      <c r="MH81" s="26"/>
      <c r="MI81" s="26"/>
      <c r="MJ81" s="26"/>
      <c r="MK81" s="26"/>
      <c r="ML81" s="26"/>
      <c r="MM81" s="26"/>
      <c r="MN81" s="26"/>
      <c r="MO81" s="26"/>
      <c r="MP81" s="26"/>
      <c r="MQ81" s="26"/>
      <c r="MR81" s="26"/>
      <c r="MS81" s="23"/>
      <c r="MT81" s="26"/>
      <c r="MU81" s="26"/>
      <c r="MV81" s="26"/>
      <c r="MW81" s="26"/>
      <c r="MX81" s="26"/>
      <c r="MY81" s="26"/>
      <c r="MZ81" s="26"/>
      <c r="NA81" s="26"/>
      <c r="NB81" s="26"/>
      <c r="NC81" s="26"/>
      <c r="ND81" s="26"/>
      <c r="NE81" s="26"/>
      <c r="NF81" s="26"/>
      <c r="NG81" s="26"/>
      <c r="NH81" s="26"/>
      <c r="NI81" s="26"/>
      <c r="NJ81" s="26"/>
      <c r="NK81" s="26"/>
      <c r="NL81" s="26"/>
      <c r="NM81" s="26"/>
      <c r="NN81" s="26"/>
      <c r="NO81" s="26"/>
      <c r="NP81" s="26"/>
      <c r="NQ81" s="26"/>
      <c r="NR81" s="26"/>
      <c r="NS81" s="26"/>
      <c r="NT81" s="26"/>
      <c r="NU81" s="26"/>
      <c r="NV81" s="26"/>
      <c r="NW81" s="26"/>
      <c r="NX81" s="26"/>
      <c r="NY81" s="26"/>
      <c r="NZ81" s="26"/>
      <c r="OA81" s="26"/>
      <c r="OB81" s="26"/>
      <c r="OC81" s="26"/>
      <c r="OD81" s="26"/>
      <c r="OE81" s="26"/>
      <c r="OF81" s="23"/>
      <c r="OG81" s="26"/>
      <c r="OH81" s="26"/>
      <c r="OI81" s="26"/>
      <c r="OJ81" s="26"/>
      <c r="OK81" s="26"/>
      <c r="OL81" s="26"/>
      <c r="OM81" s="26"/>
      <c r="ON81" s="26"/>
      <c r="OO81" s="26"/>
      <c r="OP81" s="26"/>
      <c r="OQ81" s="26"/>
      <c r="OR81" s="26"/>
      <c r="OS81" s="26"/>
      <c r="OT81" s="26"/>
      <c r="OU81" s="26"/>
      <c r="OV81" s="26"/>
      <c r="OW81" s="26"/>
      <c r="OX81" s="26"/>
      <c r="OY81" s="26"/>
      <c r="OZ81" s="26"/>
      <c r="PA81" s="26"/>
      <c r="PB81" s="26"/>
      <c r="PC81" s="26"/>
      <c r="PD81" s="26"/>
      <c r="PE81" s="26"/>
      <c r="PF81" s="26"/>
      <c r="PG81" s="26"/>
      <c r="PH81" s="26"/>
      <c r="PI81" s="26"/>
      <c r="PJ81" s="26"/>
      <c r="PK81" s="26"/>
      <c r="PL81" s="26"/>
      <c r="PM81" s="26"/>
      <c r="PN81" s="26"/>
      <c r="PO81" s="26"/>
      <c r="PP81" s="26"/>
      <c r="PQ81" s="26"/>
      <c r="PR81" s="26"/>
    </row>
    <row r="82" spans="1:434" x14ac:dyDescent="0.25">
      <c r="A82" s="24"/>
      <c r="B82" s="25" t="s">
        <v>148</v>
      </c>
      <c r="C82" s="24" t="s">
        <v>66</v>
      </c>
      <c r="D82" s="24" t="s">
        <v>76</v>
      </c>
      <c r="E82" s="24"/>
      <c r="F82" s="23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3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3"/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  <c r="CT82" s="82"/>
      <c r="CU82" s="82"/>
      <c r="CV82" s="82"/>
      <c r="CW82" s="82"/>
      <c r="CX82" s="82"/>
      <c r="CY82" s="82"/>
      <c r="CZ82" s="82"/>
      <c r="DA82" s="82"/>
      <c r="DB82" s="82"/>
      <c r="DC82" s="82"/>
      <c r="DD82" s="82"/>
      <c r="DE82" s="82"/>
      <c r="DF82" s="82"/>
      <c r="DG82" s="82"/>
      <c r="DH82" s="82"/>
      <c r="DI82" s="82"/>
      <c r="DJ82" s="82"/>
      <c r="DK82" s="82"/>
      <c r="DL82" s="82">
        <v>60</v>
      </c>
      <c r="DM82" s="82"/>
      <c r="DN82" s="82"/>
      <c r="DO82" s="82"/>
      <c r="DP82" s="82"/>
      <c r="DQ82" s="82"/>
      <c r="DR82" s="82"/>
      <c r="DS82" s="23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3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  <c r="GI82" s="26"/>
      <c r="GJ82" s="26"/>
      <c r="GK82" s="26"/>
      <c r="GL82" s="26"/>
      <c r="GM82" s="26"/>
      <c r="GN82" s="26"/>
      <c r="GO82" s="26"/>
      <c r="GP82" s="26"/>
      <c r="GQ82" s="26"/>
      <c r="GR82" s="26"/>
      <c r="GS82" s="23"/>
      <c r="GT82" s="26"/>
      <c r="GU82" s="26"/>
      <c r="GV82" s="26"/>
      <c r="GW82" s="26"/>
      <c r="GX82" s="26"/>
      <c r="GY82" s="26"/>
      <c r="GZ82" s="26"/>
      <c r="HA82" s="26"/>
      <c r="HB82" s="26"/>
      <c r="HC82" s="26"/>
      <c r="HD82" s="26"/>
      <c r="HE82" s="26"/>
      <c r="HF82" s="26"/>
      <c r="HG82" s="26"/>
      <c r="HH82" s="26"/>
      <c r="HI82" s="26"/>
      <c r="HJ82" s="26"/>
      <c r="HK82" s="26"/>
      <c r="HL82" s="26"/>
      <c r="HM82" s="26"/>
      <c r="HN82" s="26"/>
      <c r="HO82" s="26"/>
      <c r="HP82" s="26"/>
      <c r="HQ82" s="26"/>
      <c r="HR82" s="26"/>
      <c r="HS82" s="26"/>
      <c r="HT82" s="26"/>
      <c r="HU82" s="26"/>
      <c r="HV82" s="26"/>
      <c r="HW82" s="26"/>
      <c r="HX82" s="26"/>
      <c r="HY82" s="26"/>
      <c r="HZ82" s="26"/>
      <c r="IA82" s="26"/>
      <c r="IB82" s="26"/>
      <c r="IC82" s="26"/>
      <c r="ID82" s="26"/>
      <c r="IE82" s="26"/>
      <c r="IF82" s="23"/>
      <c r="IG82" s="26"/>
      <c r="IH82" s="26"/>
      <c r="II82" s="26"/>
      <c r="IJ82" s="26"/>
      <c r="IK82" s="26"/>
      <c r="IL82" s="26"/>
      <c r="IM82" s="26"/>
      <c r="IN82" s="26"/>
      <c r="IO82" s="26"/>
      <c r="IP82" s="26"/>
      <c r="IQ82" s="26"/>
      <c r="IR82" s="26"/>
      <c r="IS82" s="26"/>
      <c r="IT82" s="26"/>
      <c r="IU82" s="26"/>
      <c r="IV82" s="26"/>
      <c r="IW82" s="26"/>
      <c r="IX82" s="26"/>
      <c r="IY82" s="26"/>
      <c r="IZ82" s="26"/>
      <c r="JA82" s="26"/>
      <c r="JB82" s="26"/>
      <c r="JC82" s="26"/>
      <c r="JD82" s="26"/>
      <c r="JE82" s="26"/>
      <c r="JF82" s="26"/>
      <c r="JG82" s="26"/>
      <c r="JH82" s="26"/>
      <c r="JI82" s="26"/>
      <c r="JJ82" s="26"/>
      <c r="JK82" s="26"/>
      <c r="JL82" s="26"/>
      <c r="JM82" s="26"/>
      <c r="JN82" s="26"/>
      <c r="JO82" s="26"/>
      <c r="JP82" s="26"/>
      <c r="JQ82" s="26"/>
      <c r="JR82" s="26"/>
      <c r="JS82" s="23"/>
      <c r="JT82" s="26"/>
      <c r="JU82" s="26"/>
      <c r="JV82" s="26"/>
      <c r="JW82" s="26"/>
      <c r="JX82" s="26"/>
      <c r="JY82" s="26"/>
      <c r="JZ82" s="26"/>
      <c r="KA82" s="26"/>
      <c r="KB82" s="26"/>
      <c r="KC82" s="26"/>
      <c r="KD82" s="26"/>
      <c r="KE82" s="26"/>
      <c r="KF82" s="26"/>
      <c r="KG82" s="26"/>
      <c r="KH82" s="26"/>
      <c r="KI82" s="26"/>
      <c r="KJ82" s="26"/>
      <c r="KK82" s="26"/>
      <c r="KL82" s="26"/>
      <c r="KM82" s="26"/>
      <c r="KN82" s="26"/>
      <c r="KO82" s="26"/>
      <c r="KP82" s="26"/>
      <c r="KQ82" s="26"/>
      <c r="KR82" s="26"/>
      <c r="KS82" s="26"/>
      <c r="KT82" s="26"/>
      <c r="KU82" s="26"/>
      <c r="KV82" s="26"/>
      <c r="KW82" s="26"/>
      <c r="KX82" s="26"/>
      <c r="KY82" s="26"/>
      <c r="KZ82" s="26"/>
      <c r="LA82" s="26"/>
      <c r="LB82" s="26"/>
      <c r="LC82" s="26"/>
      <c r="LD82" s="26"/>
      <c r="LE82" s="26"/>
      <c r="LF82" s="23"/>
      <c r="LG82" s="26"/>
      <c r="LH82" s="26"/>
      <c r="LI82" s="26"/>
      <c r="LJ82" s="26"/>
      <c r="LK82" s="26"/>
      <c r="LL82" s="26"/>
      <c r="LM82" s="26"/>
      <c r="LN82" s="26"/>
      <c r="LO82" s="26"/>
      <c r="LP82" s="26"/>
      <c r="LQ82" s="26"/>
      <c r="LR82" s="26"/>
      <c r="LS82" s="26"/>
      <c r="LT82" s="26"/>
      <c r="LU82" s="26"/>
      <c r="LV82" s="26"/>
      <c r="LW82" s="26"/>
      <c r="LX82" s="26"/>
      <c r="LY82" s="26"/>
      <c r="LZ82" s="26"/>
      <c r="MA82" s="26"/>
      <c r="MB82" s="26"/>
      <c r="MC82" s="26"/>
      <c r="MD82" s="26"/>
      <c r="ME82" s="26"/>
      <c r="MF82" s="26"/>
      <c r="MG82" s="26"/>
      <c r="MH82" s="26"/>
      <c r="MI82" s="26"/>
      <c r="MJ82" s="26"/>
      <c r="MK82" s="26"/>
      <c r="ML82" s="26"/>
      <c r="MM82" s="26"/>
      <c r="MN82" s="26"/>
      <c r="MO82" s="26"/>
      <c r="MP82" s="26"/>
      <c r="MQ82" s="26"/>
      <c r="MR82" s="26"/>
      <c r="MS82" s="23"/>
      <c r="MT82" s="26"/>
      <c r="MU82" s="26"/>
      <c r="MV82" s="26"/>
      <c r="MW82" s="26"/>
      <c r="MX82" s="26"/>
      <c r="MY82" s="26"/>
      <c r="MZ82" s="26"/>
      <c r="NA82" s="26"/>
      <c r="NB82" s="26"/>
      <c r="NC82" s="26"/>
      <c r="ND82" s="26"/>
      <c r="NE82" s="26"/>
      <c r="NF82" s="26"/>
      <c r="NG82" s="26"/>
      <c r="NH82" s="26"/>
      <c r="NI82" s="26"/>
      <c r="NJ82" s="26"/>
      <c r="NK82" s="26"/>
      <c r="NL82" s="26"/>
      <c r="NM82" s="26"/>
      <c r="NN82" s="26"/>
      <c r="NO82" s="26"/>
      <c r="NP82" s="26"/>
      <c r="NQ82" s="26"/>
      <c r="NR82" s="26"/>
      <c r="NS82" s="26"/>
      <c r="NT82" s="26"/>
      <c r="NU82" s="26"/>
      <c r="NV82" s="26"/>
      <c r="NW82" s="26"/>
      <c r="NX82" s="26"/>
      <c r="NY82" s="26"/>
      <c r="NZ82" s="26"/>
      <c r="OA82" s="26"/>
      <c r="OB82" s="26"/>
      <c r="OC82" s="26"/>
      <c r="OD82" s="26"/>
      <c r="OE82" s="26"/>
      <c r="OF82" s="23"/>
      <c r="OG82" s="26"/>
      <c r="OH82" s="26"/>
      <c r="OI82" s="26"/>
      <c r="OJ82" s="26"/>
      <c r="OK82" s="26"/>
      <c r="OL82" s="26"/>
      <c r="OM82" s="26"/>
      <c r="ON82" s="26"/>
      <c r="OO82" s="26"/>
      <c r="OP82" s="26"/>
      <c r="OQ82" s="26"/>
      <c r="OR82" s="26"/>
      <c r="OS82" s="26"/>
      <c r="OT82" s="26"/>
      <c r="OU82" s="26"/>
      <c r="OV82" s="26"/>
      <c r="OW82" s="26"/>
      <c r="OX82" s="26"/>
      <c r="OY82" s="26"/>
      <c r="OZ82" s="26"/>
      <c r="PA82" s="26"/>
      <c r="PB82" s="26"/>
      <c r="PC82" s="26"/>
      <c r="PD82" s="26"/>
      <c r="PE82" s="26"/>
      <c r="PF82" s="26"/>
      <c r="PG82" s="26"/>
      <c r="PH82" s="26"/>
      <c r="PI82" s="26"/>
      <c r="PJ82" s="26"/>
      <c r="PK82" s="26"/>
      <c r="PL82" s="26"/>
      <c r="PM82" s="26"/>
      <c r="PN82" s="26"/>
      <c r="PO82" s="26"/>
      <c r="PP82" s="26"/>
      <c r="PQ82" s="26"/>
      <c r="PR82" s="26"/>
    </row>
    <row r="83" spans="1:434" x14ac:dyDescent="0.25">
      <c r="A83" s="24"/>
      <c r="B83" s="25" t="s">
        <v>149</v>
      </c>
      <c r="C83" s="24" t="s">
        <v>70</v>
      </c>
      <c r="D83" s="24" t="s">
        <v>76</v>
      </c>
      <c r="E83" s="24"/>
      <c r="F83" s="23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3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3"/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  <c r="CT83" s="82"/>
      <c r="CU83" s="82"/>
      <c r="CV83" s="82"/>
      <c r="CW83" s="82"/>
      <c r="CX83" s="82"/>
      <c r="CY83" s="82"/>
      <c r="CZ83" s="82"/>
      <c r="DA83" s="82"/>
      <c r="DB83" s="82"/>
      <c r="DC83" s="82"/>
      <c r="DD83" s="82"/>
      <c r="DE83" s="82"/>
      <c r="DF83" s="82"/>
      <c r="DG83" s="82"/>
      <c r="DH83" s="82"/>
      <c r="DI83" s="82"/>
      <c r="DJ83" s="82"/>
      <c r="DK83" s="82"/>
      <c r="DL83" s="82"/>
      <c r="DM83" s="82"/>
      <c r="DN83" s="82"/>
      <c r="DO83" s="82"/>
      <c r="DP83" s="82"/>
      <c r="DQ83" s="82"/>
      <c r="DR83" s="82"/>
      <c r="DS83" s="23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3"/>
      <c r="FG83" s="26"/>
      <c r="FH83" s="26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  <c r="FU83" s="26"/>
      <c r="FV83" s="26"/>
      <c r="FW83" s="26"/>
      <c r="FX83" s="26"/>
      <c r="FY83" s="26"/>
      <c r="FZ83" s="26"/>
      <c r="GA83" s="26"/>
      <c r="GB83" s="26"/>
      <c r="GC83" s="26"/>
      <c r="GD83" s="26"/>
      <c r="GE83" s="26"/>
      <c r="GF83" s="26"/>
      <c r="GG83" s="26"/>
      <c r="GH83" s="26"/>
      <c r="GI83" s="26"/>
      <c r="GJ83" s="26"/>
      <c r="GK83" s="26"/>
      <c r="GL83" s="26"/>
      <c r="GM83" s="26"/>
      <c r="GN83" s="26"/>
      <c r="GO83" s="26"/>
      <c r="GP83" s="26"/>
      <c r="GQ83" s="26"/>
      <c r="GR83" s="26"/>
      <c r="GS83" s="23"/>
      <c r="GT83" s="26"/>
      <c r="GU83" s="26"/>
      <c r="GV83" s="26"/>
      <c r="GW83" s="26"/>
      <c r="GX83" s="26"/>
      <c r="GY83" s="26"/>
      <c r="GZ83" s="26"/>
      <c r="HA83" s="26"/>
      <c r="HB83" s="26"/>
      <c r="HC83" s="26"/>
      <c r="HD83" s="26"/>
      <c r="HE83" s="26"/>
      <c r="HF83" s="26"/>
      <c r="HG83" s="26"/>
      <c r="HH83" s="26"/>
      <c r="HI83" s="26"/>
      <c r="HJ83" s="26"/>
      <c r="HK83" s="26"/>
      <c r="HL83" s="26"/>
      <c r="HM83" s="26"/>
      <c r="HN83" s="26"/>
      <c r="HO83" s="26"/>
      <c r="HP83" s="26"/>
      <c r="HQ83" s="26"/>
      <c r="HR83" s="26"/>
      <c r="HS83" s="26"/>
      <c r="HT83" s="26"/>
      <c r="HU83" s="26"/>
      <c r="HV83" s="26"/>
      <c r="HW83" s="26"/>
      <c r="HX83" s="26"/>
      <c r="HY83" s="26"/>
      <c r="HZ83" s="26"/>
      <c r="IA83" s="26"/>
      <c r="IB83" s="26"/>
      <c r="IC83" s="26"/>
      <c r="ID83" s="26"/>
      <c r="IE83" s="26"/>
      <c r="IF83" s="23"/>
      <c r="IG83" s="26"/>
      <c r="IH83" s="26"/>
      <c r="II83" s="26"/>
      <c r="IJ83" s="26"/>
      <c r="IK83" s="26"/>
      <c r="IL83" s="26"/>
      <c r="IM83" s="26"/>
      <c r="IN83" s="26"/>
      <c r="IO83" s="26"/>
      <c r="IP83" s="26"/>
      <c r="IQ83" s="26"/>
      <c r="IR83" s="26"/>
      <c r="IS83" s="26"/>
      <c r="IT83" s="26"/>
      <c r="IU83" s="26"/>
      <c r="IV83" s="26"/>
      <c r="IW83" s="26"/>
      <c r="IX83" s="26"/>
      <c r="IY83" s="26"/>
      <c r="IZ83" s="26"/>
      <c r="JA83" s="26"/>
      <c r="JB83" s="26"/>
      <c r="JC83" s="26"/>
      <c r="JD83" s="26"/>
      <c r="JE83" s="26"/>
      <c r="JF83" s="26"/>
      <c r="JG83" s="26"/>
      <c r="JH83" s="26"/>
      <c r="JI83" s="26"/>
      <c r="JJ83" s="26"/>
      <c r="JK83" s="26"/>
      <c r="JL83" s="26"/>
      <c r="JM83" s="26"/>
      <c r="JN83" s="26"/>
      <c r="JO83" s="26"/>
      <c r="JP83" s="26"/>
      <c r="JQ83" s="26"/>
      <c r="JR83" s="26"/>
      <c r="JS83" s="23"/>
      <c r="JT83" s="26"/>
      <c r="JU83" s="26"/>
      <c r="JV83" s="26"/>
      <c r="JW83" s="26"/>
      <c r="JX83" s="26"/>
      <c r="JY83" s="26"/>
      <c r="JZ83" s="26"/>
      <c r="KA83" s="26"/>
      <c r="KB83" s="26"/>
      <c r="KC83" s="26"/>
      <c r="KD83" s="26"/>
      <c r="KE83" s="26"/>
      <c r="KF83" s="26"/>
      <c r="KG83" s="26"/>
      <c r="KH83" s="26"/>
      <c r="KI83" s="26"/>
      <c r="KJ83" s="26"/>
      <c r="KK83" s="26"/>
      <c r="KL83" s="26"/>
      <c r="KM83" s="26"/>
      <c r="KN83" s="26"/>
      <c r="KO83" s="26"/>
      <c r="KP83" s="26"/>
      <c r="KQ83" s="26"/>
      <c r="KR83" s="26"/>
      <c r="KS83" s="26"/>
      <c r="KT83" s="26"/>
      <c r="KU83" s="26"/>
      <c r="KV83" s="26"/>
      <c r="KW83" s="26"/>
      <c r="KX83" s="26"/>
      <c r="KY83" s="26"/>
      <c r="KZ83" s="26"/>
      <c r="LA83" s="26"/>
      <c r="LB83" s="26"/>
      <c r="LC83" s="26"/>
      <c r="LD83" s="26"/>
      <c r="LE83" s="26"/>
      <c r="LF83" s="23"/>
      <c r="LG83" s="26"/>
      <c r="LH83" s="26"/>
      <c r="LI83" s="26"/>
      <c r="LJ83" s="26"/>
      <c r="LK83" s="26"/>
      <c r="LL83" s="26"/>
      <c r="LM83" s="26"/>
      <c r="LN83" s="26"/>
      <c r="LO83" s="26"/>
      <c r="LP83" s="26"/>
      <c r="LQ83" s="26"/>
      <c r="LR83" s="26"/>
      <c r="LS83" s="26"/>
      <c r="LT83" s="26"/>
      <c r="LU83" s="26"/>
      <c r="LV83" s="26"/>
      <c r="LW83" s="26"/>
      <c r="LX83" s="26"/>
      <c r="LY83" s="26"/>
      <c r="LZ83" s="26"/>
      <c r="MA83" s="26"/>
      <c r="MB83" s="26"/>
      <c r="MC83" s="26"/>
      <c r="MD83" s="26"/>
      <c r="ME83" s="26"/>
      <c r="MF83" s="26"/>
      <c r="MG83" s="26"/>
      <c r="MH83" s="26"/>
      <c r="MI83" s="26"/>
      <c r="MJ83" s="26"/>
      <c r="MK83" s="26"/>
      <c r="ML83" s="26"/>
      <c r="MM83" s="26"/>
      <c r="MN83" s="26"/>
      <c r="MO83" s="26"/>
      <c r="MP83" s="26"/>
      <c r="MQ83" s="26"/>
      <c r="MR83" s="26"/>
      <c r="MS83" s="23"/>
      <c r="MT83" s="26"/>
      <c r="MU83" s="26"/>
      <c r="MV83" s="26"/>
      <c r="MW83" s="26"/>
      <c r="MX83" s="26"/>
      <c r="MY83" s="26"/>
      <c r="MZ83" s="26"/>
      <c r="NA83" s="26"/>
      <c r="NB83" s="26"/>
      <c r="NC83" s="26"/>
      <c r="ND83" s="26"/>
      <c r="NE83" s="26"/>
      <c r="NF83" s="26"/>
      <c r="NG83" s="26"/>
      <c r="NH83" s="26"/>
      <c r="NI83" s="26"/>
      <c r="NJ83" s="26"/>
      <c r="NK83" s="26"/>
      <c r="NL83" s="26"/>
      <c r="NM83" s="26"/>
      <c r="NN83" s="26"/>
      <c r="NO83" s="26"/>
      <c r="NP83" s="26"/>
      <c r="NQ83" s="26"/>
      <c r="NR83" s="26"/>
      <c r="NS83" s="26"/>
      <c r="NT83" s="26"/>
      <c r="NU83" s="26"/>
      <c r="NV83" s="26"/>
      <c r="NW83" s="26"/>
      <c r="NX83" s="26"/>
      <c r="NY83" s="26"/>
      <c r="NZ83" s="26"/>
      <c r="OA83" s="26"/>
      <c r="OB83" s="26"/>
      <c r="OC83" s="26"/>
      <c r="OD83" s="26"/>
      <c r="OE83" s="26"/>
      <c r="OF83" s="23"/>
      <c r="OG83" s="26"/>
      <c r="OH83" s="26"/>
      <c r="OI83" s="26"/>
      <c r="OJ83" s="26"/>
      <c r="OK83" s="26"/>
      <c r="OL83" s="26"/>
      <c r="OM83" s="26"/>
      <c r="ON83" s="26"/>
      <c r="OO83" s="26"/>
      <c r="OP83" s="26"/>
      <c r="OQ83" s="26"/>
      <c r="OR83" s="26"/>
      <c r="OS83" s="26"/>
      <c r="OT83" s="26"/>
      <c r="OU83" s="26"/>
      <c r="OV83" s="26"/>
      <c r="OW83" s="26"/>
      <c r="OX83" s="26"/>
      <c r="OY83" s="26"/>
      <c r="OZ83" s="26"/>
      <c r="PA83" s="26"/>
      <c r="PB83" s="26"/>
      <c r="PC83" s="26"/>
      <c r="PD83" s="26"/>
      <c r="PE83" s="26"/>
      <c r="PF83" s="26"/>
      <c r="PG83" s="26"/>
      <c r="PH83" s="26"/>
      <c r="PI83" s="26"/>
      <c r="PJ83" s="26"/>
      <c r="PK83" s="26"/>
      <c r="PL83" s="26"/>
      <c r="PM83" s="26"/>
      <c r="PN83" s="26"/>
      <c r="PO83" s="26"/>
      <c r="PP83" s="26"/>
      <c r="PQ83" s="26"/>
      <c r="PR83" s="26"/>
    </row>
    <row r="84" spans="1:434" ht="21.95" customHeight="1" x14ac:dyDescent="0.25">
      <c r="A84" s="84" t="s">
        <v>150</v>
      </c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  <c r="FU84" s="85"/>
      <c r="FV84" s="85"/>
      <c r="FW84" s="85"/>
      <c r="FX84" s="85"/>
      <c r="FY84" s="85"/>
      <c r="FZ84" s="85"/>
      <c r="GA84" s="85"/>
      <c r="GB84" s="85"/>
      <c r="GC84" s="85"/>
      <c r="GD84" s="85"/>
      <c r="GE84" s="85"/>
      <c r="GF84" s="85"/>
      <c r="GG84" s="85"/>
      <c r="GH84" s="85"/>
      <c r="GI84" s="85"/>
      <c r="GJ84" s="85"/>
      <c r="GK84" s="85"/>
      <c r="GL84" s="85"/>
      <c r="GM84" s="85"/>
      <c r="GN84" s="85"/>
      <c r="GO84" s="85"/>
      <c r="GP84" s="85"/>
      <c r="GQ84" s="85"/>
      <c r="GR84" s="85"/>
      <c r="GS84" s="85"/>
      <c r="GT84" s="85"/>
      <c r="GU84" s="85"/>
      <c r="GV84" s="85"/>
      <c r="GW84" s="85"/>
      <c r="GX84" s="85"/>
      <c r="GY84" s="85"/>
      <c r="GZ84" s="85"/>
      <c r="HA84" s="85"/>
      <c r="HB84" s="85"/>
      <c r="HC84" s="85"/>
      <c r="HD84" s="85"/>
      <c r="HE84" s="85"/>
      <c r="HF84" s="85"/>
      <c r="HG84" s="85"/>
      <c r="HH84" s="85"/>
      <c r="HI84" s="85"/>
      <c r="HJ84" s="85"/>
      <c r="HK84" s="85"/>
      <c r="HL84" s="85"/>
      <c r="HM84" s="85"/>
      <c r="HN84" s="85"/>
      <c r="HO84" s="85"/>
      <c r="HP84" s="85"/>
      <c r="HQ84" s="85"/>
      <c r="HR84" s="85"/>
      <c r="HS84" s="85"/>
      <c r="HT84" s="85"/>
      <c r="HU84" s="85"/>
      <c r="HV84" s="85"/>
      <c r="HW84" s="85"/>
      <c r="HX84" s="85"/>
      <c r="HY84" s="85"/>
      <c r="HZ84" s="85"/>
      <c r="IA84" s="85"/>
      <c r="IB84" s="85"/>
      <c r="IC84" s="85"/>
      <c r="ID84" s="85"/>
      <c r="IE84" s="85"/>
      <c r="IF84" s="85"/>
      <c r="IG84" s="85"/>
      <c r="IH84" s="85"/>
      <c r="II84" s="85"/>
      <c r="IJ84" s="85"/>
      <c r="IK84" s="85"/>
      <c r="IL84" s="85"/>
      <c r="IM84" s="85"/>
      <c r="IN84" s="85"/>
      <c r="IO84" s="85"/>
      <c r="IP84" s="85"/>
      <c r="IQ84" s="85"/>
      <c r="IR84" s="85"/>
      <c r="IS84" s="85"/>
      <c r="IT84" s="85"/>
      <c r="IU84" s="85"/>
      <c r="IV84" s="85"/>
      <c r="IW84" s="85"/>
      <c r="IX84" s="85"/>
      <c r="IY84" s="85"/>
      <c r="IZ84" s="85"/>
      <c r="JA84" s="85"/>
      <c r="JB84" s="85"/>
      <c r="JC84" s="85"/>
      <c r="JD84" s="85"/>
      <c r="JE84" s="85"/>
      <c r="JF84" s="85"/>
      <c r="JG84" s="85"/>
      <c r="JH84" s="85"/>
      <c r="JI84" s="85"/>
      <c r="JJ84" s="85"/>
      <c r="JK84" s="85"/>
      <c r="JL84" s="85"/>
      <c r="JM84" s="85"/>
      <c r="JN84" s="85"/>
      <c r="JO84" s="85"/>
      <c r="JP84" s="85"/>
      <c r="JQ84" s="85"/>
      <c r="JR84" s="85"/>
      <c r="JS84" s="85"/>
      <c r="JT84" s="85"/>
      <c r="JU84" s="85"/>
      <c r="JV84" s="85"/>
      <c r="JW84" s="85"/>
      <c r="JX84" s="85"/>
      <c r="JY84" s="85"/>
      <c r="JZ84" s="85"/>
      <c r="KA84" s="85"/>
      <c r="KB84" s="85"/>
      <c r="KC84" s="85"/>
      <c r="KD84" s="85"/>
      <c r="KE84" s="85"/>
      <c r="KF84" s="85"/>
      <c r="KG84" s="85"/>
      <c r="KH84" s="85"/>
      <c r="KI84" s="85"/>
      <c r="KJ84" s="85"/>
      <c r="KK84" s="85"/>
      <c r="KL84" s="85"/>
      <c r="KM84" s="85"/>
      <c r="KN84" s="85"/>
      <c r="KO84" s="85"/>
      <c r="KP84" s="85"/>
      <c r="KQ84" s="85"/>
      <c r="KR84" s="85"/>
      <c r="KS84" s="85"/>
      <c r="KT84" s="85"/>
      <c r="KU84" s="85"/>
      <c r="KV84" s="85"/>
      <c r="KW84" s="85"/>
      <c r="KX84" s="85"/>
      <c r="KY84" s="85"/>
      <c r="KZ84" s="85"/>
      <c r="LA84" s="85"/>
      <c r="LB84" s="85"/>
      <c r="LC84" s="85"/>
      <c r="LD84" s="85"/>
      <c r="LE84" s="85"/>
      <c r="LF84" s="85"/>
      <c r="LG84" s="85"/>
      <c r="LH84" s="85"/>
      <c r="LI84" s="85"/>
      <c r="LJ84" s="85"/>
      <c r="LK84" s="85"/>
      <c r="LL84" s="85"/>
      <c r="LM84" s="85"/>
      <c r="LN84" s="85"/>
      <c r="LO84" s="85"/>
      <c r="LP84" s="85"/>
      <c r="LQ84" s="85"/>
      <c r="LR84" s="85"/>
      <c r="LS84" s="85"/>
      <c r="LT84" s="85"/>
      <c r="LU84" s="85"/>
      <c r="LV84" s="85"/>
      <c r="LW84" s="85"/>
      <c r="LX84" s="85"/>
      <c r="LY84" s="85"/>
      <c r="LZ84" s="85"/>
      <c r="MA84" s="85"/>
      <c r="MB84" s="85"/>
      <c r="MC84" s="85"/>
      <c r="MD84" s="85"/>
      <c r="ME84" s="85"/>
      <c r="MF84" s="85"/>
      <c r="MG84" s="85"/>
      <c r="MH84" s="85"/>
      <c r="MI84" s="85"/>
      <c r="MJ84" s="85"/>
      <c r="MK84" s="85"/>
      <c r="ML84" s="85"/>
      <c r="MM84" s="85"/>
      <c r="MN84" s="85"/>
      <c r="MO84" s="85"/>
      <c r="MP84" s="85"/>
      <c r="MQ84" s="85"/>
      <c r="MR84" s="85"/>
      <c r="MS84" s="85"/>
      <c r="MT84" s="85"/>
      <c r="MU84" s="85"/>
      <c r="MV84" s="85"/>
      <c r="MW84" s="85"/>
      <c r="MX84" s="85"/>
      <c r="MY84" s="85"/>
      <c r="MZ84" s="85"/>
      <c r="NA84" s="85"/>
      <c r="NB84" s="85"/>
      <c r="NC84" s="85"/>
      <c r="ND84" s="85"/>
      <c r="NE84" s="85"/>
      <c r="NF84" s="85"/>
      <c r="NG84" s="85"/>
      <c r="NH84" s="85"/>
      <c r="NI84" s="85"/>
      <c r="NJ84" s="85"/>
      <c r="NK84" s="85"/>
      <c r="NL84" s="85"/>
      <c r="NM84" s="85"/>
      <c r="NN84" s="85"/>
      <c r="NO84" s="85"/>
      <c r="NP84" s="85"/>
      <c r="NQ84" s="85"/>
      <c r="NR84" s="85"/>
      <c r="NS84" s="85"/>
      <c r="NT84" s="85"/>
      <c r="NU84" s="85"/>
      <c r="NV84" s="85"/>
      <c r="NW84" s="85"/>
      <c r="NX84" s="85"/>
      <c r="NY84" s="85"/>
      <c r="NZ84" s="85"/>
      <c r="OA84" s="85"/>
      <c r="OB84" s="85"/>
      <c r="OC84" s="85"/>
      <c r="OD84" s="85"/>
      <c r="OE84" s="85"/>
      <c r="OF84" s="85"/>
      <c r="OG84" s="85"/>
      <c r="OH84" s="85"/>
      <c r="OI84" s="85"/>
      <c r="OJ84" s="85"/>
      <c r="OK84" s="85"/>
      <c r="OL84" s="85"/>
      <c r="OM84" s="85"/>
      <c r="ON84" s="85"/>
      <c r="OO84" s="85"/>
      <c r="OP84" s="85"/>
      <c r="OQ84" s="85"/>
      <c r="OR84" s="85"/>
      <c r="OS84" s="85"/>
      <c r="OT84" s="85"/>
      <c r="OU84" s="85"/>
      <c r="OV84" s="85"/>
      <c r="OW84" s="85"/>
      <c r="OX84" s="85"/>
      <c r="OY84" s="85"/>
      <c r="OZ84" s="85"/>
      <c r="PA84" s="85"/>
      <c r="PB84" s="85"/>
      <c r="PC84" s="85"/>
      <c r="PD84" s="85"/>
      <c r="PE84" s="85"/>
      <c r="PF84" s="85"/>
      <c r="PG84" s="85"/>
      <c r="PH84" s="85"/>
      <c r="PI84" s="85"/>
      <c r="PJ84" s="85"/>
      <c r="PK84" s="85"/>
      <c r="PL84" s="85"/>
      <c r="PM84" s="85"/>
      <c r="PN84" s="85"/>
      <c r="PO84" s="85"/>
      <c r="PP84" s="85"/>
      <c r="PQ84" s="85"/>
      <c r="PR84" s="86"/>
    </row>
    <row r="85" spans="1:434" ht="25.5" x14ac:dyDescent="0.25">
      <c r="A85" s="24"/>
      <c r="B85" s="25" t="s">
        <v>151</v>
      </c>
      <c r="C85" s="24" t="s">
        <v>66</v>
      </c>
      <c r="D85" s="24" t="s">
        <v>73</v>
      </c>
      <c r="E85" s="24"/>
      <c r="F85" s="23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3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3"/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  <c r="CT85" s="82"/>
      <c r="CU85" s="82"/>
      <c r="CV85" s="82"/>
      <c r="CW85" s="82"/>
      <c r="CX85" s="82"/>
      <c r="CY85" s="82"/>
      <c r="CZ85" s="82"/>
      <c r="DA85" s="82"/>
      <c r="DB85" s="82"/>
      <c r="DC85" s="82"/>
      <c r="DD85" s="82"/>
      <c r="DE85" s="82"/>
      <c r="DF85" s="82"/>
      <c r="DG85" s="82"/>
      <c r="DH85" s="82"/>
      <c r="DI85" s="82"/>
      <c r="DJ85" s="82"/>
      <c r="DK85" s="82"/>
      <c r="DL85" s="82">
        <v>60</v>
      </c>
      <c r="DM85" s="82"/>
      <c r="DN85" s="82"/>
      <c r="DO85" s="82"/>
      <c r="DP85" s="82"/>
      <c r="DQ85" s="82"/>
      <c r="DR85" s="82"/>
      <c r="DS85" s="23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3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  <c r="GI85" s="26"/>
      <c r="GJ85" s="26"/>
      <c r="GK85" s="26"/>
      <c r="GL85" s="26"/>
      <c r="GM85" s="26"/>
      <c r="GN85" s="26"/>
      <c r="GO85" s="26"/>
      <c r="GP85" s="26"/>
      <c r="GQ85" s="26"/>
      <c r="GR85" s="26"/>
      <c r="GS85" s="23"/>
      <c r="GT85" s="26"/>
      <c r="GU85" s="26"/>
      <c r="GV85" s="26"/>
      <c r="GW85" s="26"/>
      <c r="GX85" s="26"/>
      <c r="GY85" s="26"/>
      <c r="GZ85" s="26"/>
      <c r="HA85" s="26"/>
      <c r="HB85" s="26"/>
      <c r="HC85" s="26"/>
      <c r="HD85" s="26"/>
      <c r="HE85" s="26"/>
      <c r="HF85" s="26"/>
      <c r="HG85" s="26"/>
      <c r="HH85" s="26"/>
      <c r="HI85" s="26"/>
      <c r="HJ85" s="26"/>
      <c r="HK85" s="26"/>
      <c r="HL85" s="26"/>
      <c r="HM85" s="26"/>
      <c r="HN85" s="26"/>
      <c r="HO85" s="26"/>
      <c r="HP85" s="26"/>
      <c r="HQ85" s="26"/>
      <c r="HR85" s="26"/>
      <c r="HS85" s="26"/>
      <c r="HT85" s="26"/>
      <c r="HU85" s="26"/>
      <c r="HV85" s="26"/>
      <c r="HW85" s="26"/>
      <c r="HX85" s="26"/>
      <c r="HY85" s="26"/>
      <c r="HZ85" s="26"/>
      <c r="IA85" s="26"/>
      <c r="IB85" s="26"/>
      <c r="IC85" s="26"/>
      <c r="ID85" s="26"/>
      <c r="IE85" s="26"/>
      <c r="IF85" s="23"/>
      <c r="IG85" s="26"/>
      <c r="IH85" s="26"/>
      <c r="II85" s="26"/>
      <c r="IJ85" s="26"/>
      <c r="IK85" s="26"/>
      <c r="IL85" s="26"/>
      <c r="IM85" s="26"/>
      <c r="IN85" s="26"/>
      <c r="IO85" s="26"/>
      <c r="IP85" s="26"/>
      <c r="IQ85" s="26"/>
      <c r="IR85" s="26"/>
      <c r="IS85" s="26"/>
      <c r="IT85" s="26"/>
      <c r="IU85" s="26"/>
      <c r="IV85" s="26"/>
      <c r="IW85" s="26"/>
      <c r="IX85" s="26"/>
      <c r="IY85" s="26"/>
      <c r="IZ85" s="26"/>
      <c r="JA85" s="26"/>
      <c r="JB85" s="26"/>
      <c r="JC85" s="26"/>
      <c r="JD85" s="26"/>
      <c r="JE85" s="26"/>
      <c r="JF85" s="26"/>
      <c r="JG85" s="26"/>
      <c r="JH85" s="26"/>
      <c r="JI85" s="26"/>
      <c r="JJ85" s="26"/>
      <c r="JK85" s="26"/>
      <c r="JL85" s="26"/>
      <c r="JM85" s="26"/>
      <c r="JN85" s="26"/>
      <c r="JO85" s="26"/>
      <c r="JP85" s="26"/>
      <c r="JQ85" s="26"/>
      <c r="JR85" s="26"/>
      <c r="JS85" s="23"/>
      <c r="JT85" s="26"/>
      <c r="JU85" s="26"/>
      <c r="JV85" s="26"/>
      <c r="JW85" s="26"/>
      <c r="JX85" s="26"/>
      <c r="JY85" s="26"/>
      <c r="JZ85" s="26"/>
      <c r="KA85" s="26"/>
      <c r="KB85" s="26"/>
      <c r="KC85" s="26"/>
      <c r="KD85" s="26"/>
      <c r="KE85" s="26"/>
      <c r="KF85" s="26"/>
      <c r="KG85" s="26"/>
      <c r="KH85" s="26"/>
      <c r="KI85" s="26"/>
      <c r="KJ85" s="26"/>
      <c r="KK85" s="26"/>
      <c r="KL85" s="26"/>
      <c r="KM85" s="26"/>
      <c r="KN85" s="26"/>
      <c r="KO85" s="26"/>
      <c r="KP85" s="26"/>
      <c r="KQ85" s="26"/>
      <c r="KR85" s="26"/>
      <c r="KS85" s="26"/>
      <c r="KT85" s="26"/>
      <c r="KU85" s="26"/>
      <c r="KV85" s="26"/>
      <c r="KW85" s="26"/>
      <c r="KX85" s="26"/>
      <c r="KY85" s="26"/>
      <c r="KZ85" s="26"/>
      <c r="LA85" s="26"/>
      <c r="LB85" s="26"/>
      <c r="LC85" s="26"/>
      <c r="LD85" s="26"/>
      <c r="LE85" s="26"/>
      <c r="LF85" s="23"/>
      <c r="LG85" s="26"/>
      <c r="LH85" s="26"/>
      <c r="LI85" s="26"/>
      <c r="LJ85" s="26"/>
      <c r="LK85" s="26"/>
      <c r="LL85" s="26"/>
      <c r="LM85" s="26"/>
      <c r="LN85" s="26"/>
      <c r="LO85" s="26"/>
      <c r="LP85" s="26"/>
      <c r="LQ85" s="26"/>
      <c r="LR85" s="26"/>
      <c r="LS85" s="26"/>
      <c r="LT85" s="26"/>
      <c r="LU85" s="26"/>
      <c r="LV85" s="26"/>
      <c r="LW85" s="26"/>
      <c r="LX85" s="26"/>
      <c r="LY85" s="26"/>
      <c r="LZ85" s="26"/>
      <c r="MA85" s="26"/>
      <c r="MB85" s="26"/>
      <c r="MC85" s="26"/>
      <c r="MD85" s="26"/>
      <c r="ME85" s="26"/>
      <c r="MF85" s="26"/>
      <c r="MG85" s="26"/>
      <c r="MH85" s="26"/>
      <c r="MI85" s="26"/>
      <c r="MJ85" s="26"/>
      <c r="MK85" s="26"/>
      <c r="ML85" s="26"/>
      <c r="MM85" s="26"/>
      <c r="MN85" s="26"/>
      <c r="MO85" s="26"/>
      <c r="MP85" s="26"/>
      <c r="MQ85" s="26"/>
      <c r="MR85" s="26"/>
      <c r="MS85" s="23"/>
      <c r="MT85" s="26"/>
      <c r="MU85" s="26"/>
      <c r="MV85" s="26"/>
      <c r="MW85" s="26"/>
      <c r="MX85" s="26"/>
      <c r="MY85" s="26"/>
      <c r="MZ85" s="26"/>
      <c r="NA85" s="26"/>
      <c r="NB85" s="26"/>
      <c r="NC85" s="26"/>
      <c r="ND85" s="26"/>
      <c r="NE85" s="26"/>
      <c r="NF85" s="26"/>
      <c r="NG85" s="26"/>
      <c r="NH85" s="26"/>
      <c r="NI85" s="26"/>
      <c r="NJ85" s="26"/>
      <c r="NK85" s="26"/>
      <c r="NL85" s="26"/>
      <c r="NM85" s="26"/>
      <c r="NN85" s="26"/>
      <c r="NO85" s="26"/>
      <c r="NP85" s="26"/>
      <c r="NQ85" s="26"/>
      <c r="NR85" s="26"/>
      <c r="NS85" s="26"/>
      <c r="NT85" s="26"/>
      <c r="NU85" s="26"/>
      <c r="NV85" s="26"/>
      <c r="NW85" s="26"/>
      <c r="NX85" s="26"/>
      <c r="NY85" s="26"/>
      <c r="NZ85" s="26"/>
      <c r="OA85" s="26"/>
      <c r="OB85" s="26"/>
      <c r="OC85" s="26"/>
      <c r="OD85" s="26"/>
      <c r="OE85" s="26"/>
      <c r="OF85" s="23"/>
      <c r="OG85" s="26"/>
      <c r="OH85" s="26"/>
      <c r="OI85" s="26"/>
      <c r="OJ85" s="26"/>
      <c r="OK85" s="26"/>
      <c r="OL85" s="26"/>
      <c r="OM85" s="26"/>
      <c r="ON85" s="26"/>
      <c r="OO85" s="26"/>
      <c r="OP85" s="26"/>
      <c r="OQ85" s="26"/>
      <c r="OR85" s="26"/>
      <c r="OS85" s="26"/>
      <c r="OT85" s="26"/>
      <c r="OU85" s="26"/>
      <c r="OV85" s="26"/>
      <c r="OW85" s="26"/>
      <c r="OX85" s="26"/>
      <c r="OY85" s="26"/>
      <c r="OZ85" s="26"/>
      <c r="PA85" s="26"/>
      <c r="PB85" s="26"/>
      <c r="PC85" s="26"/>
      <c r="PD85" s="26"/>
      <c r="PE85" s="26"/>
      <c r="PF85" s="26"/>
      <c r="PG85" s="26"/>
      <c r="PH85" s="26"/>
      <c r="PI85" s="26"/>
      <c r="PJ85" s="26"/>
      <c r="PK85" s="26"/>
      <c r="PL85" s="26"/>
      <c r="PM85" s="26"/>
      <c r="PN85" s="26"/>
      <c r="PO85" s="26"/>
      <c r="PP85" s="26"/>
      <c r="PQ85" s="26"/>
      <c r="PR85" s="26"/>
    </row>
    <row r="86" spans="1:434" x14ac:dyDescent="0.25">
      <c r="A86" s="24"/>
      <c r="B86" s="25" t="s">
        <v>152</v>
      </c>
      <c r="C86" s="24" t="s">
        <v>70</v>
      </c>
      <c r="D86" s="24" t="s">
        <v>67</v>
      </c>
      <c r="E86" s="24"/>
      <c r="F86" s="23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3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3"/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  <c r="CT86" s="82"/>
      <c r="CU86" s="82"/>
      <c r="CV86" s="82"/>
      <c r="CW86" s="82"/>
      <c r="CX86" s="82"/>
      <c r="CY86" s="82"/>
      <c r="CZ86" s="82"/>
      <c r="DA86" s="82">
        <v>30</v>
      </c>
      <c r="DB86" s="82"/>
      <c r="DC86" s="82"/>
      <c r="DD86" s="82"/>
      <c r="DE86" s="82"/>
      <c r="DF86" s="82"/>
      <c r="DG86" s="82"/>
      <c r="DH86" s="82"/>
      <c r="DI86" s="82"/>
      <c r="DJ86" s="82"/>
      <c r="DK86" s="82"/>
      <c r="DL86" s="82">
        <v>30</v>
      </c>
      <c r="DM86" s="82"/>
      <c r="DN86" s="82"/>
      <c r="DO86" s="82"/>
      <c r="DP86" s="82"/>
      <c r="DQ86" s="82"/>
      <c r="DR86" s="82"/>
      <c r="DS86" s="23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3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  <c r="GI86" s="26"/>
      <c r="GJ86" s="26"/>
      <c r="GK86" s="26"/>
      <c r="GL86" s="26"/>
      <c r="GM86" s="26"/>
      <c r="GN86" s="26"/>
      <c r="GO86" s="26"/>
      <c r="GP86" s="26"/>
      <c r="GQ86" s="26"/>
      <c r="GR86" s="26"/>
      <c r="GS86" s="23"/>
      <c r="GT86" s="26"/>
      <c r="GU86" s="26"/>
      <c r="GV86" s="26"/>
      <c r="GW86" s="26"/>
      <c r="GX86" s="26"/>
      <c r="GY86" s="26"/>
      <c r="GZ86" s="26"/>
      <c r="HA86" s="26"/>
      <c r="HB86" s="26"/>
      <c r="HC86" s="26"/>
      <c r="HD86" s="26"/>
      <c r="HE86" s="26"/>
      <c r="HF86" s="26"/>
      <c r="HG86" s="26"/>
      <c r="HH86" s="26"/>
      <c r="HI86" s="26"/>
      <c r="HJ86" s="26"/>
      <c r="HK86" s="26"/>
      <c r="HL86" s="26"/>
      <c r="HM86" s="26"/>
      <c r="HN86" s="26"/>
      <c r="HO86" s="26"/>
      <c r="HP86" s="26"/>
      <c r="HQ86" s="26"/>
      <c r="HR86" s="26"/>
      <c r="HS86" s="26"/>
      <c r="HT86" s="26"/>
      <c r="HU86" s="26"/>
      <c r="HV86" s="26"/>
      <c r="HW86" s="26"/>
      <c r="HX86" s="26"/>
      <c r="HY86" s="26"/>
      <c r="HZ86" s="26"/>
      <c r="IA86" s="26"/>
      <c r="IB86" s="26"/>
      <c r="IC86" s="26"/>
      <c r="ID86" s="26"/>
      <c r="IE86" s="26"/>
      <c r="IF86" s="23"/>
      <c r="IG86" s="26"/>
      <c r="IH86" s="26"/>
      <c r="II86" s="26"/>
      <c r="IJ86" s="26"/>
      <c r="IK86" s="26"/>
      <c r="IL86" s="26"/>
      <c r="IM86" s="26"/>
      <c r="IN86" s="26"/>
      <c r="IO86" s="26"/>
      <c r="IP86" s="26"/>
      <c r="IQ86" s="26"/>
      <c r="IR86" s="26"/>
      <c r="IS86" s="26"/>
      <c r="IT86" s="26"/>
      <c r="IU86" s="26"/>
      <c r="IV86" s="26"/>
      <c r="IW86" s="26"/>
      <c r="IX86" s="26"/>
      <c r="IY86" s="26"/>
      <c r="IZ86" s="26"/>
      <c r="JA86" s="26"/>
      <c r="JB86" s="26"/>
      <c r="JC86" s="26"/>
      <c r="JD86" s="26"/>
      <c r="JE86" s="26"/>
      <c r="JF86" s="26"/>
      <c r="JG86" s="26"/>
      <c r="JH86" s="26"/>
      <c r="JI86" s="26"/>
      <c r="JJ86" s="26"/>
      <c r="JK86" s="26"/>
      <c r="JL86" s="26"/>
      <c r="JM86" s="26"/>
      <c r="JN86" s="26"/>
      <c r="JO86" s="26"/>
      <c r="JP86" s="26"/>
      <c r="JQ86" s="26"/>
      <c r="JR86" s="26"/>
      <c r="JS86" s="23"/>
      <c r="JT86" s="26"/>
      <c r="JU86" s="26"/>
      <c r="JV86" s="26"/>
      <c r="JW86" s="26"/>
      <c r="JX86" s="26"/>
      <c r="JY86" s="26"/>
      <c r="JZ86" s="26"/>
      <c r="KA86" s="26"/>
      <c r="KB86" s="26"/>
      <c r="KC86" s="26"/>
      <c r="KD86" s="26"/>
      <c r="KE86" s="26"/>
      <c r="KF86" s="26"/>
      <c r="KG86" s="26"/>
      <c r="KH86" s="26"/>
      <c r="KI86" s="26"/>
      <c r="KJ86" s="26"/>
      <c r="KK86" s="26"/>
      <c r="KL86" s="26"/>
      <c r="KM86" s="26"/>
      <c r="KN86" s="26"/>
      <c r="KO86" s="26"/>
      <c r="KP86" s="26"/>
      <c r="KQ86" s="26"/>
      <c r="KR86" s="26"/>
      <c r="KS86" s="26"/>
      <c r="KT86" s="26"/>
      <c r="KU86" s="26"/>
      <c r="KV86" s="26"/>
      <c r="KW86" s="26"/>
      <c r="KX86" s="26"/>
      <c r="KY86" s="26"/>
      <c r="KZ86" s="26"/>
      <c r="LA86" s="26"/>
      <c r="LB86" s="26"/>
      <c r="LC86" s="26"/>
      <c r="LD86" s="26"/>
      <c r="LE86" s="26"/>
      <c r="LF86" s="23"/>
      <c r="LG86" s="26"/>
      <c r="LH86" s="26"/>
      <c r="LI86" s="26"/>
      <c r="LJ86" s="26"/>
      <c r="LK86" s="26"/>
      <c r="LL86" s="26"/>
      <c r="LM86" s="26"/>
      <c r="LN86" s="26"/>
      <c r="LO86" s="26"/>
      <c r="LP86" s="26"/>
      <c r="LQ86" s="26"/>
      <c r="LR86" s="26"/>
      <c r="LS86" s="26"/>
      <c r="LT86" s="26"/>
      <c r="LU86" s="26"/>
      <c r="LV86" s="26"/>
      <c r="LW86" s="26"/>
      <c r="LX86" s="26"/>
      <c r="LY86" s="26"/>
      <c r="LZ86" s="26"/>
      <c r="MA86" s="26"/>
      <c r="MB86" s="26"/>
      <c r="MC86" s="26"/>
      <c r="MD86" s="26"/>
      <c r="ME86" s="26"/>
      <c r="MF86" s="26"/>
      <c r="MG86" s="26"/>
      <c r="MH86" s="26"/>
      <c r="MI86" s="26"/>
      <c r="MJ86" s="26"/>
      <c r="MK86" s="26"/>
      <c r="ML86" s="26"/>
      <c r="MM86" s="26"/>
      <c r="MN86" s="26"/>
      <c r="MO86" s="26"/>
      <c r="MP86" s="26"/>
      <c r="MQ86" s="26"/>
      <c r="MR86" s="26"/>
      <c r="MS86" s="23"/>
      <c r="MT86" s="26"/>
      <c r="MU86" s="26"/>
      <c r="MV86" s="26"/>
      <c r="MW86" s="26"/>
      <c r="MX86" s="26"/>
      <c r="MY86" s="26"/>
      <c r="MZ86" s="26"/>
      <c r="NA86" s="26"/>
      <c r="NB86" s="26"/>
      <c r="NC86" s="26"/>
      <c r="ND86" s="26"/>
      <c r="NE86" s="26"/>
      <c r="NF86" s="26"/>
      <c r="NG86" s="26"/>
      <c r="NH86" s="26"/>
      <c r="NI86" s="26"/>
      <c r="NJ86" s="26"/>
      <c r="NK86" s="26"/>
      <c r="NL86" s="26"/>
      <c r="NM86" s="26"/>
      <c r="NN86" s="26"/>
      <c r="NO86" s="26"/>
      <c r="NP86" s="26"/>
      <c r="NQ86" s="26"/>
      <c r="NR86" s="26"/>
      <c r="NS86" s="26"/>
      <c r="NT86" s="26"/>
      <c r="NU86" s="26"/>
      <c r="NV86" s="26"/>
      <c r="NW86" s="26"/>
      <c r="NX86" s="26"/>
      <c r="NY86" s="26"/>
      <c r="NZ86" s="26"/>
      <c r="OA86" s="26"/>
      <c r="OB86" s="26"/>
      <c r="OC86" s="26"/>
      <c r="OD86" s="26"/>
      <c r="OE86" s="26"/>
      <c r="OF86" s="23"/>
      <c r="OG86" s="26"/>
      <c r="OH86" s="26"/>
      <c r="OI86" s="26"/>
      <c r="OJ86" s="26"/>
      <c r="OK86" s="26"/>
      <c r="OL86" s="26"/>
      <c r="OM86" s="26"/>
      <c r="ON86" s="26"/>
      <c r="OO86" s="26"/>
      <c r="OP86" s="26"/>
      <c r="OQ86" s="26"/>
      <c r="OR86" s="26"/>
      <c r="OS86" s="26"/>
      <c r="OT86" s="26"/>
      <c r="OU86" s="26"/>
      <c r="OV86" s="26"/>
      <c r="OW86" s="26"/>
      <c r="OX86" s="26"/>
      <c r="OY86" s="26"/>
      <c r="OZ86" s="26"/>
      <c r="PA86" s="26"/>
      <c r="PB86" s="26"/>
      <c r="PC86" s="26"/>
      <c r="PD86" s="26"/>
      <c r="PE86" s="26"/>
      <c r="PF86" s="26"/>
      <c r="PG86" s="26"/>
      <c r="PH86" s="26"/>
      <c r="PI86" s="26"/>
      <c r="PJ86" s="26"/>
      <c r="PK86" s="26"/>
      <c r="PL86" s="26"/>
      <c r="PM86" s="26"/>
      <c r="PN86" s="26"/>
      <c r="PO86" s="26"/>
      <c r="PP86" s="26"/>
      <c r="PQ86" s="26"/>
      <c r="PR86" s="26"/>
    </row>
    <row r="87" spans="1:434" x14ac:dyDescent="0.25">
      <c r="A87" s="24"/>
      <c r="B87" s="25" t="s">
        <v>153</v>
      </c>
      <c r="C87" s="24" t="s">
        <v>66</v>
      </c>
      <c r="D87" s="24" t="s">
        <v>67</v>
      </c>
      <c r="E87" s="24"/>
      <c r="F87" s="23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3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3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82">
        <v>5</v>
      </c>
      <c r="CU87" s="82"/>
      <c r="CV87" s="82"/>
      <c r="CW87" s="82"/>
      <c r="CX87" s="82"/>
      <c r="CY87" s="82"/>
      <c r="CZ87" s="82"/>
      <c r="DA87" s="82">
        <v>30</v>
      </c>
      <c r="DB87" s="82"/>
      <c r="DC87" s="82"/>
      <c r="DD87" s="82"/>
      <c r="DE87" s="82"/>
      <c r="DF87" s="82"/>
      <c r="DG87" s="82"/>
      <c r="DH87" s="82"/>
      <c r="DI87" s="82"/>
      <c r="DJ87" s="82"/>
      <c r="DK87" s="82"/>
      <c r="DL87" s="82">
        <v>30</v>
      </c>
      <c r="DM87" s="82"/>
      <c r="DN87" s="82"/>
      <c r="DO87" s="82"/>
      <c r="DP87" s="82"/>
      <c r="DQ87" s="82"/>
      <c r="DR87" s="82"/>
      <c r="DS87" s="23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3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 s="26"/>
      <c r="GL87" s="26"/>
      <c r="GM87" s="26"/>
      <c r="GN87" s="26"/>
      <c r="GO87" s="26"/>
      <c r="GP87" s="26"/>
      <c r="GQ87" s="26"/>
      <c r="GR87" s="26"/>
      <c r="GS87" s="23"/>
      <c r="GT87" s="26"/>
      <c r="GU87" s="26"/>
      <c r="GV87" s="26"/>
      <c r="GW87" s="26"/>
      <c r="GX87" s="26"/>
      <c r="GY87" s="26"/>
      <c r="GZ87" s="26"/>
      <c r="HA87" s="26"/>
      <c r="HB87" s="26"/>
      <c r="HC87" s="26"/>
      <c r="HD87" s="26"/>
      <c r="HE87" s="26"/>
      <c r="HF87" s="26"/>
      <c r="HG87" s="26"/>
      <c r="HH87" s="26"/>
      <c r="HI87" s="26"/>
      <c r="HJ87" s="26"/>
      <c r="HK87" s="26"/>
      <c r="HL87" s="26"/>
      <c r="HM87" s="26"/>
      <c r="HN87" s="26"/>
      <c r="HO87" s="26"/>
      <c r="HP87" s="26"/>
      <c r="HQ87" s="26"/>
      <c r="HR87" s="26"/>
      <c r="HS87" s="26"/>
      <c r="HT87" s="26"/>
      <c r="HU87" s="26"/>
      <c r="HV87" s="26"/>
      <c r="HW87" s="26"/>
      <c r="HX87" s="26"/>
      <c r="HY87" s="26"/>
      <c r="HZ87" s="26"/>
      <c r="IA87" s="26"/>
      <c r="IB87" s="26"/>
      <c r="IC87" s="26"/>
      <c r="ID87" s="26"/>
      <c r="IE87" s="26"/>
      <c r="IF87" s="23"/>
      <c r="IG87" s="26"/>
      <c r="IH87" s="26"/>
      <c r="II87" s="26"/>
      <c r="IJ87" s="26"/>
      <c r="IK87" s="26"/>
      <c r="IL87" s="26"/>
      <c r="IM87" s="26"/>
      <c r="IN87" s="26"/>
      <c r="IO87" s="26"/>
      <c r="IP87" s="26"/>
      <c r="IQ87" s="26"/>
      <c r="IR87" s="26"/>
      <c r="IS87" s="26"/>
      <c r="IT87" s="26"/>
      <c r="IU87" s="26"/>
      <c r="IV87" s="26"/>
      <c r="IW87" s="26"/>
      <c r="IX87" s="26"/>
      <c r="IY87" s="26"/>
      <c r="IZ87" s="26"/>
      <c r="JA87" s="26"/>
      <c r="JB87" s="26"/>
      <c r="JC87" s="26"/>
      <c r="JD87" s="26"/>
      <c r="JE87" s="26"/>
      <c r="JF87" s="26"/>
      <c r="JG87" s="26"/>
      <c r="JH87" s="26"/>
      <c r="JI87" s="26"/>
      <c r="JJ87" s="26"/>
      <c r="JK87" s="26"/>
      <c r="JL87" s="26"/>
      <c r="JM87" s="26"/>
      <c r="JN87" s="26"/>
      <c r="JO87" s="26"/>
      <c r="JP87" s="26"/>
      <c r="JQ87" s="26"/>
      <c r="JR87" s="26"/>
      <c r="JS87" s="23"/>
      <c r="JT87" s="26"/>
      <c r="JU87" s="26"/>
      <c r="JV87" s="26"/>
      <c r="JW87" s="26"/>
      <c r="JX87" s="26"/>
      <c r="JY87" s="26"/>
      <c r="JZ87" s="26"/>
      <c r="KA87" s="26"/>
      <c r="KB87" s="26"/>
      <c r="KC87" s="26"/>
      <c r="KD87" s="26"/>
      <c r="KE87" s="26"/>
      <c r="KF87" s="26"/>
      <c r="KG87" s="26"/>
      <c r="KH87" s="26"/>
      <c r="KI87" s="26"/>
      <c r="KJ87" s="26"/>
      <c r="KK87" s="26"/>
      <c r="KL87" s="26"/>
      <c r="KM87" s="26"/>
      <c r="KN87" s="26"/>
      <c r="KO87" s="26"/>
      <c r="KP87" s="26"/>
      <c r="KQ87" s="26"/>
      <c r="KR87" s="26"/>
      <c r="KS87" s="26"/>
      <c r="KT87" s="26"/>
      <c r="KU87" s="26"/>
      <c r="KV87" s="26"/>
      <c r="KW87" s="26"/>
      <c r="KX87" s="26"/>
      <c r="KY87" s="26"/>
      <c r="KZ87" s="26"/>
      <c r="LA87" s="26"/>
      <c r="LB87" s="26"/>
      <c r="LC87" s="26"/>
      <c r="LD87" s="26"/>
      <c r="LE87" s="26"/>
      <c r="LF87" s="23"/>
      <c r="LG87" s="26"/>
      <c r="LH87" s="26"/>
      <c r="LI87" s="26"/>
      <c r="LJ87" s="26"/>
      <c r="LK87" s="26"/>
      <c r="LL87" s="26"/>
      <c r="LM87" s="26"/>
      <c r="LN87" s="26"/>
      <c r="LO87" s="26"/>
      <c r="LP87" s="26"/>
      <c r="LQ87" s="26"/>
      <c r="LR87" s="26"/>
      <c r="LS87" s="26"/>
      <c r="LT87" s="26"/>
      <c r="LU87" s="26"/>
      <c r="LV87" s="26"/>
      <c r="LW87" s="26"/>
      <c r="LX87" s="26"/>
      <c r="LY87" s="26"/>
      <c r="LZ87" s="26"/>
      <c r="MA87" s="26"/>
      <c r="MB87" s="26"/>
      <c r="MC87" s="26"/>
      <c r="MD87" s="26"/>
      <c r="ME87" s="26"/>
      <c r="MF87" s="26"/>
      <c r="MG87" s="26"/>
      <c r="MH87" s="26"/>
      <c r="MI87" s="26"/>
      <c r="MJ87" s="26"/>
      <c r="MK87" s="26"/>
      <c r="ML87" s="26"/>
      <c r="MM87" s="26"/>
      <c r="MN87" s="26"/>
      <c r="MO87" s="26"/>
      <c r="MP87" s="26"/>
      <c r="MQ87" s="26"/>
      <c r="MR87" s="26"/>
      <c r="MS87" s="23"/>
      <c r="MT87" s="26"/>
      <c r="MU87" s="26"/>
      <c r="MV87" s="26"/>
      <c r="MW87" s="26"/>
      <c r="MX87" s="26"/>
      <c r="MY87" s="26"/>
      <c r="MZ87" s="26"/>
      <c r="NA87" s="26"/>
      <c r="NB87" s="26"/>
      <c r="NC87" s="26"/>
      <c r="ND87" s="26"/>
      <c r="NE87" s="26"/>
      <c r="NF87" s="26"/>
      <c r="NG87" s="26"/>
      <c r="NH87" s="26"/>
      <c r="NI87" s="26"/>
      <c r="NJ87" s="26"/>
      <c r="NK87" s="26"/>
      <c r="NL87" s="26"/>
      <c r="NM87" s="26"/>
      <c r="NN87" s="26"/>
      <c r="NO87" s="26"/>
      <c r="NP87" s="26"/>
      <c r="NQ87" s="26"/>
      <c r="NR87" s="26"/>
      <c r="NS87" s="26"/>
      <c r="NT87" s="26"/>
      <c r="NU87" s="26"/>
      <c r="NV87" s="26"/>
      <c r="NW87" s="26"/>
      <c r="NX87" s="26"/>
      <c r="NY87" s="26"/>
      <c r="NZ87" s="26"/>
      <c r="OA87" s="26"/>
      <c r="OB87" s="26"/>
      <c r="OC87" s="26"/>
      <c r="OD87" s="26"/>
      <c r="OE87" s="26"/>
      <c r="OF87" s="23"/>
      <c r="OG87" s="26"/>
      <c r="OH87" s="26"/>
      <c r="OI87" s="26"/>
      <c r="OJ87" s="26"/>
      <c r="OK87" s="26"/>
      <c r="OL87" s="26"/>
      <c r="OM87" s="26"/>
      <c r="ON87" s="26"/>
      <c r="OO87" s="26"/>
      <c r="OP87" s="26"/>
      <c r="OQ87" s="26"/>
      <c r="OR87" s="26"/>
      <c r="OS87" s="26"/>
      <c r="OT87" s="26"/>
      <c r="OU87" s="26"/>
      <c r="OV87" s="26"/>
      <c r="OW87" s="26"/>
      <c r="OX87" s="26"/>
      <c r="OY87" s="26"/>
      <c r="OZ87" s="26"/>
      <c r="PA87" s="26"/>
      <c r="PB87" s="26"/>
      <c r="PC87" s="26"/>
      <c r="PD87" s="26"/>
      <c r="PE87" s="26"/>
      <c r="PF87" s="26"/>
      <c r="PG87" s="26"/>
      <c r="PH87" s="26"/>
      <c r="PI87" s="26"/>
      <c r="PJ87" s="26"/>
      <c r="PK87" s="26"/>
      <c r="PL87" s="26"/>
      <c r="PM87" s="26"/>
      <c r="PN87" s="26"/>
      <c r="PO87" s="26"/>
      <c r="PP87" s="26"/>
      <c r="PQ87" s="26"/>
      <c r="PR87" s="26"/>
    </row>
    <row r="88" spans="1:434" ht="26.1" customHeight="1" x14ac:dyDescent="0.25">
      <c r="A88" s="24"/>
      <c r="B88" s="25" t="s">
        <v>154</v>
      </c>
      <c r="C88" s="24" t="s">
        <v>66</v>
      </c>
      <c r="D88" s="24" t="s">
        <v>73</v>
      </c>
      <c r="E88" s="24"/>
      <c r="F88" s="23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3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3"/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>
        <v>2</v>
      </c>
      <c r="CR88" s="82"/>
      <c r="CS88" s="82"/>
      <c r="CT88" s="82">
        <v>3</v>
      </c>
      <c r="CU88" s="82"/>
      <c r="CV88" s="82"/>
      <c r="CW88" s="82"/>
      <c r="CX88" s="82"/>
      <c r="CY88" s="82"/>
      <c r="CZ88" s="82"/>
      <c r="DA88" s="82"/>
      <c r="DB88" s="82"/>
      <c r="DC88" s="82"/>
      <c r="DD88" s="82"/>
      <c r="DE88" s="82"/>
      <c r="DF88" s="82"/>
      <c r="DG88" s="82"/>
      <c r="DH88" s="82"/>
      <c r="DI88" s="82"/>
      <c r="DJ88" s="82"/>
      <c r="DK88" s="82"/>
      <c r="DL88" s="82">
        <v>30</v>
      </c>
      <c r="DM88" s="82"/>
      <c r="DN88" s="82"/>
      <c r="DO88" s="82"/>
      <c r="DP88" s="82"/>
      <c r="DQ88" s="82"/>
      <c r="DR88" s="82"/>
      <c r="DS88" s="23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3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  <c r="GR88" s="26"/>
      <c r="GS88" s="23"/>
      <c r="GT88" s="26"/>
      <c r="GU88" s="26"/>
      <c r="GV88" s="26"/>
      <c r="GW88" s="26"/>
      <c r="GX88" s="26"/>
      <c r="GY88" s="26"/>
      <c r="GZ88" s="26"/>
      <c r="HA88" s="26"/>
      <c r="HB88" s="26"/>
      <c r="HC88" s="26"/>
      <c r="HD88" s="26"/>
      <c r="HE88" s="26"/>
      <c r="HF88" s="26"/>
      <c r="HG88" s="26"/>
      <c r="HH88" s="26"/>
      <c r="HI88" s="26"/>
      <c r="HJ88" s="26"/>
      <c r="HK88" s="26"/>
      <c r="HL88" s="26"/>
      <c r="HM88" s="26"/>
      <c r="HN88" s="26"/>
      <c r="HO88" s="26"/>
      <c r="HP88" s="26"/>
      <c r="HQ88" s="26"/>
      <c r="HR88" s="26"/>
      <c r="HS88" s="26"/>
      <c r="HT88" s="26"/>
      <c r="HU88" s="26"/>
      <c r="HV88" s="26"/>
      <c r="HW88" s="26"/>
      <c r="HX88" s="26"/>
      <c r="HY88" s="26"/>
      <c r="HZ88" s="26"/>
      <c r="IA88" s="26"/>
      <c r="IB88" s="26"/>
      <c r="IC88" s="26"/>
      <c r="ID88" s="26"/>
      <c r="IE88" s="26"/>
      <c r="IF88" s="23"/>
      <c r="IG88" s="26"/>
      <c r="IH88" s="26"/>
      <c r="II88" s="26"/>
      <c r="IJ88" s="26"/>
      <c r="IK88" s="26"/>
      <c r="IL88" s="26"/>
      <c r="IM88" s="26"/>
      <c r="IN88" s="26"/>
      <c r="IO88" s="26"/>
      <c r="IP88" s="26"/>
      <c r="IQ88" s="26"/>
      <c r="IR88" s="26"/>
      <c r="IS88" s="26"/>
      <c r="IT88" s="26"/>
      <c r="IU88" s="26"/>
      <c r="IV88" s="26"/>
      <c r="IW88" s="26"/>
      <c r="IX88" s="26"/>
      <c r="IY88" s="26"/>
      <c r="IZ88" s="26"/>
      <c r="JA88" s="26"/>
      <c r="JB88" s="26"/>
      <c r="JC88" s="26"/>
      <c r="JD88" s="26"/>
      <c r="JE88" s="26"/>
      <c r="JF88" s="26"/>
      <c r="JG88" s="26"/>
      <c r="JH88" s="26"/>
      <c r="JI88" s="26"/>
      <c r="JJ88" s="26"/>
      <c r="JK88" s="26"/>
      <c r="JL88" s="26"/>
      <c r="JM88" s="26"/>
      <c r="JN88" s="26"/>
      <c r="JO88" s="26"/>
      <c r="JP88" s="26"/>
      <c r="JQ88" s="26"/>
      <c r="JR88" s="26"/>
      <c r="JS88" s="23"/>
      <c r="JT88" s="26"/>
      <c r="JU88" s="26"/>
      <c r="JV88" s="26"/>
      <c r="JW88" s="26"/>
      <c r="JX88" s="26"/>
      <c r="JY88" s="26"/>
      <c r="JZ88" s="26"/>
      <c r="KA88" s="26"/>
      <c r="KB88" s="26"/>
      <c r="KC88" s="26"/>
      <c r="KD88" s="26"/>
      <c r="KE88" s="26"/>
      <c r="KF88" s="26"/>
      <c r="KG88" s="26"/>
      <c r="KH88" s="26"/>
      <c r="KI88" s="26"/>
      <c r="KJ88" s="26"/>
      <c r="KK88" s="26"/>
      <c r="KL88" s="26"/>
      <c r="KM88" s="26"/>
      <c r="KN88" s="26"/>
      <c r="KO88" s="26"/>
      <c r="KP88" s="26"/>
      <c r="KQ88" s="26"/>
      <c r="KR88" s="26"/>
      <c r="KS88" s="26"/>
      <c r="KT88" s="26"/>
      <c r="KU88" s="26"/>
      <c r="KV88" s="26"/>
      <c r="KW88" s="26"/>
      <c r="KX88" s="26"/>
      <c r="KY88" s="26"/>
      <c r="KZ88" s="26"/>
      <c r="LA88" s="26"/>
      <c r="LB88" s="26"/>
      <c r="LC88" s="26"/>
      <c r="LD88" s="26"/>
      <c r="LE88" s="26"/>
      <c r="LF88" s="23"/>
      <c r="LG88" s="26"/>
      <c r="LH88" s="26"/>
      <c r="LI88" s="26"/>
      <c r="LJ88" s="26"/>
      <c r="LK88" s="26"/>
      <c r="LL88" s="26"/>
      <c r="LM88" s="26"/>
      <c r="LN88" s="26"/>
      <c r="LO88" s="26"/>
      <c r="LP88" s="26"/>
      <c r="LQ88" s="26"/>
      <c r="LR88" s="26"/>
      <c r="LS88" s="26"/>
      <c r="LT88" s="26"/>
      <c r="LU88" s="26"/>
      <c r="LV88" s="26"/>
      <c r="LW88" s="26"/>
      <c r="LX88" s="26"/>
      <c r="LY88" s="26"/>
      <c r="LZ88" s="26"/>
      <c r="MA88" s="26"/>
      <c r="MB88" s="26"/>
      <c r="MC88" s="26"/>
      <c r="MD88" s="26"/>
      <c r="ME88" s="26"/>
      <c r="MF88" s="26"/>
      <c r="MG88" s="26"/>
      <c r="MH88" s="26"/>
      <c r="MI88" s="26"/>
      <c r="MJ88" s="26"/>
      <c r="MK88" s="26"/>
      <c r="ML88" s="26"/>
      <c r="MM88" s="26"/>
      <c r="MN88" s="26"/>
      <c r="MO88" s="26"/>
      <c r="MP88" s="26"/>
      <c r="MQ88" s="26"/>
      <c r="MR88" s="26"/>
      <c r="MS88" s="23"/>
      <c r="MT88" s="26"/>
      <c r="MU88" s="26"/>
      <c r="MV88" s="26"/>
      <c r="MW88" s="26"/>
      <c r="MX88" s="26"/>
      <c r="MY88" s="26"/>
      <c r="MZ88" s="26"/>
      <c r="NA88" s="26"/>
      <c r="NB88" s="26"/>
      <c r="NC88" s="26"/>
      <c r="ND88" s="26"/>
      <c r="NE88" s="26"/>
      <c r="NF88" s="26"/>
      <c r="NG88" s="26"/>
      <c r="NH88" s="26"/>
      <c r="NI88" s="26"/>
      <c r="NJ88" s="26"/>
      <c r="NK88" s="26"/>
      <c r="NL88" s="26"/>
      <c r="NM88" s="26"/>
      <c r="NN88" s="26"/>
      <c r="NO88" s="26"/>
      <c r="NP88" s="26"/>
      <c r="NQ88" s="26"/>
      <c r="NR88" s="26"/>
      <c r="NS88" s="26"/>
      <c r="NT88" s="26"/>
      <c r="NU88" s="26"/>
      <c r="NV88" s="26"/>
      <c r="NW88" s="26"/>
      <c r="NX88" s="26"/>
      <c r="NY88" s="26"/>
      <c r="NZ88" s="26"/>
      <c r="OA88" s="26"/>
      <c r="OB88" s="26"/>
      <c r="OC88" s="26"/>
      <c r="OD88" s="26"/>
      <c r="OE88" s="26"/>
      <c r="OF88" s="23"/>
      <c r="OG88" s="26"/>
      <c r="OH88" s="26"/>
      <c r="OI88" s="26"/>
      <c r="OJ88" s="26"/>
      <c r="OK88" s="26"/>
      <c r="OL88" s="26"/>
      <c r="OM88" s="26"/>
      <c r="ON88" s="26"/>
      <c r="OO88" s="26"/>
      <c r="OP88" s="26"/>
      <c r="OQ88" s="26"/>
      <c r="OR88" s="26"/>
      <c r="OS88" s="26"/>
      <c r="OT88" s="26"/>
      <c r="OU88" s="26"/>
      <c r="OV88" s="26"/>
      <c r="OW88" s="26"/>
      <c r="OX88" s="26"/>
      <c r="OY88" s="26"/>
      <c r="OZ88" s="26"/>
      <c r="PA88" s="26"/>
      <c r="PB88" s="26"/>
      <c r="PC88" s="26"/>
      <c r="PD88" s="26"/>
      <c r="PE88" s="26"/>
      <c r="PF88" s="26"/>
      <c r="PG88" s="26"/>
      <c r="PH88" s="26"/>
      <c r="PI88" s="26"/>
      <c r="PJ88" s="26"/>
      <c r="PK88" s="26"/>
      <c r="PL88" s="26"/>
      <c r="PM88" s="26"/>
      <c r="PN88" s="26"/>
      <c r="PO88" s="26"/>
      <c r="PP88" s="26"/>
      <c r="PQ88" s="26"/>
      <c r="PR88" s="26"/>
    </row>
    <row r="89" spans="1:434" x14ac:dyDescent="0.25">
      <c r="A89" s="24"/>
      <c r="B89" s="25" t="s">
        <v>155</v>
      </c>
      <c r="C89" s="24" t="s">
        <v>70</v>
      </c>
      <c r="D89" s="24" t="s">
        <v>76</v>
      </c>
      <c r="E89" s="24"/>
      <c r="F89" s="23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3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3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>
        <v>10</v>
      </c>
      <c r="DB89" s="82"/>
      <c r="DC89" s="82"/>
      <c r="DD89" s="82"/>
      <c r="DE89" s="82"/>
      <c r="DF89" s="82"/>
      <c r="DG89" s="82"/>
      <c r="DH89" s="82"/>
      <c r="DI89" s="82"/>
      <c r="DJ89" s="82"/>
      <c r="DK89" s="82"/>
      <c r="DL89" s="82">
        <v>20</v>
      </c>
      <c r="DM89" s="82"/>
      <c r="DN89" s="82"/>
      <c r="DO89" s="82"/>
      <c r="DP89" s="82"/>
      <c r="DQ89" s="82"/>
      <c r="DR89" s="82"/>
      <c r="DS89" s="23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3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 s="26"/>
      <c r="GL89" s="26"/>
      <c r="GM89" s="26"/>
      <c r="GN89" s="26"/>
      <c r="GO89" s="26"/>
      <c r="GP89" s="26"/>
      <c r="GQ89" s="26"/>
      <c r="GR89" s="26"/>
      <c r="GS89" s="23"/>
      <c r="GT89" s="26"/>
      <c r="GU89" s="26"/>
      <c r="GV89" s="26"/>
      <c r="GW89" s="26"/>
      <c r="GX89" s="26"/>
      <c r="GY89" s="26"/>
      <c r="GZ89" s="26"/>
      <c r="HA89" s="26"/>
      <c r="HB89" s="26"/>
      <c r="HC89" s="26"/>
      <c r="HD89" s="26"/>
      <c r="HE89" s="26"/>
      <c r="HF89" s="26"/>
      <c r="HG89" s="26"/>
      <c r="HH89" s="26"/>
      <c r="HI89" s="26"/>
      <c r="HJ89" s="26"/>
      <c r="HK89" s="26"/>
      <c r="HL89" s="26"/>
      <c r="HM89" s="26"/>
      <c r="HN89" s="26"/>
      <c r="HO89" s="26"/>
      <c r="HP89" s="26"/>
      <c r="HQ89" s="26"/>
      <c r="HR89" s="26"/>
      <c r="HS89" s="26"/>
      <c r="HT89" s="26"/>
      <c r="HU89" s="26"/>
      <c r="HV89" s="26"/>
      <c r="HW89" s="26"/>
      <c r="HX89" s="26"/>
      <c r="HY89" s="26"/>
      <c r="HZ89" s="26"/>
      <c r="IA89" s="26"/>
      <c r="IB89" s="26"/>
      <c r="IC89" s="26"/>
      <c r="ID89" s="26"/>
      <c r="IE89" s="26"/>
      <c r="IF89" s="23"/>
      <c r="IG89" s="26"/>
      <c r="IH89" s="26"/>
      <c r="II89" s="26"/>
      <c r="IJ89" s="26"/>
      <c r="IK89" s="26"/>
      <c r="IL89" s="26"/>
      <c r="IM89" s="26"/>
      <c r="IN89" s="26"/>
      <c r="IO89" s="26"/>
      <c r="IP89" s="26"/>
      <c r="IQ89" s="26"/>
      <c r="IR89" s="26"/>
      <c r="IS89" s="26"/>
      <c r="IT89" s="26"/>
      <c r="IU89" s="26"/>
      <c r="IV89" s="26"/>
      <c r="IW89" s="26"/>
      <c r="IX89" s="26"/>
      <c r="IY89" s="26"/>
      <c r="IZ89" s="26"/>
      <c r="JA89" s="26"/>
      <c r="JB89" s="26"/>
      <c r="JC89" s="26"/>
      <c r="JD89" s="26"/>
      <c r="JE89" s="26"/>
      <c r="JF89" s="26"/>
      <c r="JG89" s="26"/>
      <c r="JH89" s="26"/>
      <c r="JI89" s="26"/>
      <c r="JJ89" s="26"/>
      <c r="JK89" s="26"/>
      <c r="JL89" s="26"/>
      <c r="JM89" s="26"/>
      <c r="JN89" s="26"/>
      <c r="JO89" s="26"/>
      <c r="JP89" s="26"/>
      <c r="JQ89" s="26"/>
      <c r="JR89" s="26"/>
      <c r="JS89" s="23"/>
      <c r="JT89" s="26"/>
      <c r="JU89" s="26"/>
      <c r="JV89" s="26"/>
      <c r="JW89" s="26"/>
      <c r="JX89" s="26"/>
      <c r="JY89" s="26"/>
      <c r="JZ89" s="26"/>
      <c r="KA89" s="26"/>
      <c r="KB89" s="26"/>
      <c r="KC89" s="26"/>
      <c r="KD89" s="26"/>
      <c r="KE89" s="26"/>
      <c r="KF89" s="26"/>
      <c r="KG89" s="26"/>
      <c r="KH89" s="26"/>
      <c r="KI89" s="26"/>
      <c r="KJ89" s="26"/>
      <c r="KK89" s="26"/>
      <c r="KL89" s="26"/>
      <c r="KM89" s="26"/>
      <c r="KN89" s="26"/>
      <c r="KO89" s="26"/>
      <c r="KP89" s="26"/>
      <c r="KQ89" s="26"/>
      <c r="KR89" s="26"/>
      <c r="KS89" s="26"/>
      <c r="KT89" s="26"/>
      <c r="KU89" s="26"/>
      <c r="KV89" s="26"/>
      <c r="KW89" s="26"/>
      <c r="KX89" s="26"/>
      <c r="KY89" s="26"/>
      <c r="KZ89" s="26"/>
      <c r="LA89" s="26"/>
      <c r="LB89" s="26"/>
      <c r="LC89" s="26"/>
      <c r="LD89" s="26"/>
      <c r="LE89" s="26"/>
      <c r="LF89" s="23"/>
      <c r="LG89" s="26"/>
      <c r="LH89" s="26"/>
      <c r="LI89" s="26"/>
      <c r="LJ89" s="26"/>
      <c r="LK89" s="26"/>
      <c r="LL89" s="26"/>
      <c r="LM89" s="26"/>
      <c r="LN89" s="26"/>
      <c r="LO89" s="26"/>
      <c r="LP89" s="26"/>
      <c r="LQ89" s="26"/>
      <c r="LR89" s="26"/>
      <c r="LS89" s="26"/>
      <c r="LT89" s="26"/>
      <c r="LU89" s="26"/>
      <c r="LV89" s="26"/>
      <c r="LW89" s="26"/>
      <c r="LX89" s="26"/>
      <c r="LY89" s="26"/>
      <c r="LZ89" s="26"/>
      <c r="MA89" s="26"/>
      <c r="MB89" s="26"/>
      <c r="MC89" s="26"/>
      <c r="MD89" s="26"/>
      <c r="ME89" s="26"/>
      <c r="MF89" s="26"/>
      <c r="MG89" s="26"/>
      <c r="MH89" s="26"/>
      <c r="MI89" s="26"/>
      <c r="MJ89" s="26"/>
      <c r="MK89" s="26"/>
      <c r="ML89" s="26"/>
      <c r="MM89" s="26"/>
      <c r="MN89" s="26"/>
      <c r="MO89" s="26"/>
      <c r="MP89" s="26"/>
      <c r="MQ89" s="26"/>
      <c r="MR89" s="26"/>
      <c r="MS89" s="23"/>
      <c r="MT89" s="26"/>
      <c r="MU89" s="26"/>
      <c r="MV89" s="26"/>
      <c r="MW89" s="26"/>
      <c r="MX89" s="26"/>
      <c r="MY89" s="26"/>
      <c r="MZ89" s="26"/>
      <c r="NA89" s="26"/>
      <c r="NB89" s="26"/>
      <c r="NC89" s="26"/>
      <c r="ND89" s="26"/>
      <c r="NE89" s="26"/>
      <c r="NF89" s="26"/>
      <c r="NG89" s="26"/>
      <c r="NH89" s="26"/>
      <c r="NI89" s="26"/>
      <c r="NJ89" s="26"/>
      <c r="NK89" s="26"/>
      <c r="NL89" s="26"/>
      <c r="NM89" s="26"/>
      <c r="NN89" s="26"/>
      <c r="NO89" s="26"/>
      <c r="NP89" s="26"/>
      <c r="NQ89" s="26"/>
      <c r="NR89" s="26"/>
      <c r="NS89" s="26"/>
      <c r="NT89" s="26"/>
      <c r="NU89" s="26"/>
      <c r="NV89" s="26"/>
      <c r="NW89" s="26"/>
      <c r="NX89" s="26"/>
      <c r="NY89" s="26"/>
      <c r="NZ89" s="26"/>
      <c r="OA89" s="26"/>
      <c r="OB89" s="26"/>
      <c r="OC89" s="26"/>
      <c r="OD89" s="26"/>
      <c r="OE89" s="26"/>
      <c r="OF89" s="23"/>
      <c r="OG89" s="26"/>
      <c r="OH89" s="26"/>
      <c r="OI89" s="26"/>
      <c r="OJ89" s="26"/>
      <c r="OK89" s="26"/>
      <c r="OL89" s="26"/>
      <c r="OM89" s="26"/>
      <c r="ON89" s="26"/>
      <c r="OO89" s="26"/>
      <c r="OP89" s="26"/>
      <c r="OQ89" s="26"/>
      <c r="OR89" s="26"/>
      <c r="OS89" s="26"/>
      <c r="OT89" s="26"/>
      <c r="OU89" s="26"/>
      <c r="OV89" s="26"/>
      <c r="OW89" s="26"/>
      <c r="OX89" s="26"/>
      <c r="OY89" s="26"/>
      <c r="OZ89" s="26"/>
      <c r="PA89" s="26"/>
      <c r="PB89" s="26"/>
      <c r="PC89" s="26"/>
      <c r="PD89" s="26"/>
      <c r="PE89" s="26"/>
      <c r="PF89" s="26"/>
      <c r="PG89" s="26"/>
      <c r="PH89" s="26"/>
      <c r="PI89" s="26"/>
      <c r="PJ89" s="26"/>
      <c r="PK89" s="26"/>
      <c r="PL89" s="26"/>
      <c r="PM89" s="26"/>
      <c r="PN89" s="26"/>
      <c r="PO89" s="26"/>
      <c r="PP89" s="26"/>
      <c r="PQ89" s="26"/>
      <c r="PR89" s="26"/>
    </row>
    <row r="90" spans="1:434" x14ac:dyDescent="0.25">
      <c r="A90" s="24"/>
      <c r="B90" s="25" t="s">
        <v>156</v>
      </c>
      <c r="C90" s="24" t="s">
        <v>70</v>
      </c>
      <c r="D90" s="24" t="s">
        <v>76</v>
      </c>
      <c r="E90" s="24"/>
      <c r="F90" s="23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3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3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>
        <v>10</v>
      </c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82">
        <v>20</v>
      </c>
      <c r="DM90" s="82"/>
      <c r="DN90" s="82"/>
      <c r="DO90" s="82"/>
      <c r="DP90" s="82"/>
      <c r="DQ90" s="82"/>
      <c r="DR90" s="82"/>
      <c r="DS90" s="23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3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  <c r="GI90" s="26"/>
      <c r="GJ90" s="26"/>
      <c r="GK90" s="26"/>
      <c r="GL90" s="26"/>
      <c r="GM90" s="26"/>
      <c r="GN90" s="26"/>
      <c r="GO90" s="26"/>
      <c r="GP90" s="26"/>
      <c r="GQ90" s="26"/>
      <c r="GR90" s="26"/>
      <c r="GS90" s="23"/>
      <c r="GT90" s="26"/>
      <c r="GU90" s="26"/>
      <c r="GV90" s="26"/>
      <c r="GW90" s="26"/>
      <c r="GX90" s="26"/>
      <c r="GY90" s="26"/>
      <c r="GZ90" s="26"/>
      <c r="HA90" s="26"/>
      <c r="HB90" s="26"/>
      <c r="HC90" s="26"/>
      <c r="HD90" s="26"/>
      <c r="HE90" s="26"/>
      <c r="HF90" s="26"/>
      <c r="HG90" s="26"/>
      <c r="HH90" s="26"/>
      <c r="HI90" s="26"/>
      <c r="HJ90" s="26"/>
      <c r="HK90" s="26"/>
      <c r="HL90" s="26"/>
      <c r="HM90" s="26"/>
      <c r="HN90" s="26"/>
      <c r="HO90" s="26"/>
      <c r="HP90" s="26"/>
      <c r="HQ90" s="26"/>
      <c r="HR90" s="26"/>
      <c r="HS90" s="26"/>
      <c r="HT90" s="26"/>
      <c r="HU90" s="26"/>
      <c r="HV90" s="26"/>
      <c r="HW90" s="26"/>
      <c r="HX90" s="26"/>
      <c r="HY90" s="26"/>
      <c r="HZ90" s="26"/>
      <c r="IA90" s="26"/>
      <c r="IB90" s="26"/>
      <c r="IC90" s="26"/>
      <c r="ID90" s="26"/>
      <c r="IE90" s="26"/>
      <c r="IF90" s="23"/>
      <c r="IG90" s="26"/>
      <c r="IH90" s="26"/>
      <c r="II90" s="26"/>
      <c r="IJ90" s="26"/>
      <c r="IK90" s="26"/>
      <c r="IL90" s="26"/>
      <c r="IM90" s="26"/>
      <c r="IN90" s="26"/>
      <c r="IO90" s="26"/>
      <c r="IP90" s="26"/>
      <c r="IQ90" s="26"/>
      <c r="IR90" s="26"/>
      <c r="IS90" s="26"/>
      <c r="IT90" s="26"/>
      <c r="IU90" s="26"/>
      <c r="IV90" s="26"/>
      <c r="IW90" s="26"/>
      <c r="IX90" s="26"/>
      <c r="IY90" s="26"/>
      <c r="IZ90" s="26"/>
      <c r="JA90" s="26"/>
      <c r="JB90" s="26"/>
      <c r="JC90" s="26"/>
      <c r="JD90" s="26"/>
      <c r="JE90" s="26"/>
      <c r="JF90" s="26"/>
      <c r="JG90" s="26"/>
      <c r="JH90" s="26"/>
      <c r="JI90" s="26"/>
      <c r="JJ90" s="26"/>
      <c r="JK90" s="26"/>
      <c r="JL90" s="26"/>
      <c r="JM90" s="26"/>
      <c r="JN90" s="26"/>
      <c r="JO90" s="26"/>
      <c r="JP90" s="26"/>
      <c r="JQ90" s="26"/>
      <c r="JR90" s="26"/>
      <c r="JS90" s="23"/>
      <c r="JT90" s="26"/>
      <c r="JU90" s="26"/>
      <c r="JV90" s="26"/>
      <c r="JW90" s="26"/>
      <c r="JX90" s="26"/>
      <c r="JY90" s="26"/>
      <c r="JZ90" s="26"/>
      <c r="KA90" s="26"/>
      <c r="KB90" s="26"/>
      <c r="KC90" s="26"/>
      <c r="KD90" s="26"/>
      <c r="KE90" s="26"/>
      <c r="KF90" s="26"/>
      <c r="KG90" s="26"/>
      <c r="KH90" s="26"/>
      <c r="KI90" s="26"/>
      <c r="KJ90" s="26"/>
      <c r="KK90" s="26"/>
      <c r="KL90" s="26"/>
      <c r="KM90" s="26"/>
      <c r="KN90" s="26"/>
      <c r="KO90" s="26"/>
      <c r="KP90" s="26"/>
      <c r="KQ90" s="26"/>
      <c r="KR90" s="26"/>
      <c r="KS90" s="26"/>
      <c r="KT90" s="26"/>
      <c r="KU90" s="26"/>
      <c r="KV90" s="26"/>
      <c r="KW90" s="26"/>
      <c r="KX90" s="26"/>
      <c r="KY90" s="26"/>
      <c r="KZ90" s="26"/>
      <c r="LA90" s="26"/>
      <c r="LB90" s="26"/>
      <c r="LC90" s="26"/>
      <c r="LD90" s="26"/>
      <c r="LE90" s="26"/>
      <c r="LF90" s="23"/>
      <c r="LG90" s="26"/>
      <c r="LH90" s="26"/>
      <c r="LI90" s="26"/>
      <c r="LJ90" s="26"/>
      <c r="LK90" s="26"/>
      <c r="LL90" s="26"/>
      <c r="LM90" s="26"/>
      <c r="LN90" s="26"/>
      <c r="LO90" s="26"/>
      <c r="LP90" s="26"/>
      <c r="LQ90" s="26"/>
      <c r="LR90" s="26"/>
      <c r="LS90" s="26"/>
      <c r="LT90" s="26"/>
      <c r="LU90" s="26"/>
      <c r="LV90" s="26"/>
      <c r="LW90" s="26"/>
      <c r="LX90" s="26"/>
      <c r="LY90" s="26"/>
      <c r="LZ90" s="26"/>
      <c r="MA90" s="26"/>
      <c r="MB90" s="26"/>
      <c r="MC90" s="26"/>
      <c r="MD90" s="26"/>
      <c r="ME90" s="26"/>
      <c r="MF90" s="26"/>
      <c r="MG90" s="26"/>
      <c r="MH90" s="26"/>
      <c r="MI90" s="26"/>
      <c r="MJ90" s="26"/>
      <c r="MK90" s="26"/>
      <c r="ML90" s="26"/>
      <c r="MM90" s="26"/>
      <c r="MN90" s="26"/>
      <c r="MO90" s="26"/>
      <c r="MP90" s="26"/>
      <c r="MQ90" s="26"/>
      <c r="MR90" s="26"/>
      <c r="MS90" s="23"/>
      <c r="MT90" s="26"/>
      <c r="MU90" s="26"/>
      <c r="MV90" s="26"/>
      <c r="MW90" s="26"/>
      <c r="MX90" s="26"/>
      <c r="MY90" s="26"/>
      <c r="MZ90" s="26"/>
      <c r="NA90" s="26"/>
      <c r="NB90" s="26"/>
      <c r="NC90" s="26"/>
      <c r="ND90" s="26"/>
      <c r="NE90" s="26"/>
      <c r="NF90" s="26"/>
      <c r="NG90" s="26"/>
      <c r="NH90" s="26"/>
      <c r="NI90" s="26"/>
      <c r="NJ90" s="26"/>
      <c r="NK90" s="26"/>
      <c r="NL90" s="26"/>
      <c r="NM90" s="26"/>
      <c r="NN90" s="26"/>
      <c r="NO90" s="26"/>
      <c r="NP90" s="26"/>
      <c r="NQ90" s="26"/>
      <c r="NR90" s="26"/>
      <c r="NS90" s="26"/>
      <c r="NT90" s="26"/>
      <c r="NU90" s="26"/>
      <c r="NV90" s="26"/>
      <c r="NW90" s="26"/>
      <c r="NX90" s="26"/>
      <c r="NY90" s="26"/>
      <c r="NZ90" s="26"/>
      <c r="OA90" s="26"/>
      <c r="OB90" s="26"/>
      <c r="OC90" s="26"/>
      <c r="OD90" s="26"/>
      <c r="OE90" s="26"/>
      <c r="OF90" s="23"/>
      <c r="OG90" s="26"/>
      <c r="OH90" s="26"/>
      <c r="OI90" s="26"/>
      <c r="OJ90" s="26"/>
      <c r="OK90" s="26"/>
      <c r="OL90" s="26"/>
      <c r="OM90" s="26"/>
      <c r="ON90" s="26"/>
      <c r="OO90" s="26"/>
      <c r="OP90" s="26"/>
      <c r="OQ90" s="26"/>
      <c r="OR90" s="26"/>
      <c r="OS90" s="26"/>
      <c r="OT90" s="26"/>
      <c r="OU90" s="26"/>
      <c r="OV90" s="26"/>
      <c r="OW90" s="26"/>
      <c r="OX90" s="26"/>
      <c r="OY90" s="26"/>
      <c r="OZ90" s="26"/>
      <c r="PA90" s="26"/>
      <c r="PB90" s="26"/>
      <c r="PC90" s="26"/>
      <c r="PD90" s="26"/>
      <c r="PE90" s="26"/>
      <c r="PF90" s="26"/>
      <c r="PG90" s="26"/>
      <c r="PH90" s="26"/>
      <c r="PI90" s="26"/>
      <c r="PJ90" s="26"/>
      <c r="PK90" s="26"/>
      <c r="PL90" s="26"/>
      <c r="PM90" s="26"/>
      <c r="PN90" s="26"/>
      <c r="PO90" s="26"/>
      <c r="PP90" s="26"/>
      <c r="PQ90" s="26"/>
      <c r="PR90" s="26"/>
    </row>
    <row r="91" spans="1:434" x14ac:dyDescent="0.25">
      <c r="A91" s="24"/>
      <c r="B91" s="25" t="s">
        <v>157</v>
      </c>
      <c r="C91" s="24" t="s">
        <v>70</v>
      </c>
      <c r="D91" s="24" t="s">
        <v>76</v>
      </c>
      <c r="E91" s="24"/>
      <c r="F91" s="23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3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3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82">
        <v>4</v>
      </c>
      <c r="CU91" s="82">
        <v>2</v>
      </c>
      <c r="CV91" s="82"/>
      <c r="CW91" s="82"/>
      <c r="CX91" s="82">
        <v>4</v>
      </c>
      <c r="CY91" s="82"/>
      <c r="CZ91" s="82"/>
      <c r="DA91" s="82">
        <v>30</v>
      </c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82"/>
      <c r="DM91" s="82"/>
      <c r="DN91" s="82"/>
      <c r="DO91" s="82"/>
      <c r="DP91" s="82"/>
      <c r="DQ91" s="82"/>
      <c r="DR91" s="82"/>
      <c r="DS91" s="23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3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  <c r="GB91" s="26"/>
      <c r="GC91" s="26"/>
      <c r="GD91" s="26"/>
      <c r="GE91" s="26"/>
      <c r="GF91" s="26"/>
      <c r="GG91" s="26"/>
      <c r="GH91" s="26"/>
      <c r="GI91" s="26"/>
      <c r="GJ91" s="26"/>
      <c r="GK91" s="26"/>
      <c r="GL91" s="26"/>
      <c r="GM91" s="26"/>
      <c r="GN91" s="26"/>
      <c r="GO91" s="26"/>
      <c r="GP91" s="26"/>
      <c r="GQ91" s="26"/>
      <c r="GR91" s="26"/>
      <c r="GS91" s="23"/>
      <c r="GT91" s="26"/>
      <c r="GU91" s="26"/>
      <c r="GV91" s="26"/>
      <c r="GW91" s="26"/>
      <c r="GX91" s="26"/>
      <c r="GY91" s="26"/>
      <c r="GZ91" s="26"/>
      <c r="HA91" s="26"/>
      <c r="HB91" s="26"/>
      <c r="HC91" s="26"/>
      <c r="HD91" s="26"/>
      <c r="HE91" s="26"/>
      <c r="HF91" s="26"/>
      <c r="HG91" s="26"/>
      <c r="HH91" s="26"/>
      <c r="HI91" s="26"/>
      <c r="HJ91" s="26"/>
      <c r="HK91" s="26"/>
      <c r="HL91" s="26"/>
      <c r="HM91" s="26"/>
      <c r="HN91" s="26"/>
      <c r="HO91" s="26"/>
      <c r="HP91" s="26"/>
      <c r="HQ91" s="26"/>
      <c r="HR91" s="26"/>
      <c r="HS91" s="26"/>
      <c r="HT91" s="26"/>
      <c r="HU91" s="26"/>
      <c r="HV91" s="26"/>
      <c r="HW91" s="26"/>
      <c r="HX91" s="26"/>
      <c r="HY91" s="26"/>
      <c r="HZ91" s="26"/>
      <c r="IA91" s="26"/>
      <c r="IB91" s="26"/>
      <c r="IC91" s="26"/>
      <c r="ID91" s="26"/>
      <c r="IE91" s="26"/>
      <c r="IF91" s="23"/>
      <c r="IG91" s="26"/>
      <c r="IH91" s="26"/>
      <c r="II91" s="26"/>
      <c r="IJ91" s="26"/>
      <c r="IK91" s="26"/>
      <c r="IL91" s="26"/>
      <c r="IM91" s="26"/>
      <c r="IN91" s="26"/>
      <c r="IO91" s="26"/>
      <c r="IP91" s="26"/>
      <c r="IQ91" s="26"/>
      <c r="IR91" s="26"/>
      <c r="IS91" s="26"/>
      <c r="IT91" s="26"/>
      <c r="IU91" s="26"/>
      <c r="IV91" s="26"/>
      <c r="IW91" s="26"/>
      <c r="IX91" s="26"/>
      <c r="IY91" s="26"/>
      <c r="IZ91" s="26"/>
      <c r="JA91" s="26"/>
      <c r="JB91" s="26"/>
      <c r="JC91" s="26"/>
      <c r="JD91" s="26"/>
      <c r="JE91" s="26"/>
      <c r="JF91" s="26"/>
      <c r="JG91" s="26"/>
      <c r="JH91" s="26"/>
      <c r="JI91" s="26"/>
      <c r="JJ91" s="26"/>
      <c r="JK91" s="26"/>
      <c r="JL91" s="26"/>
      <c r="JM91" s="26"/>
      <c r="JN91" s="26"/>
      <c r="JO91" s="26"/>
      <c r="JP91" s="26"/>
      <c r="JQ91" s="26"/>
      <c r="JR91" s="26"/>
      <c r="JS91" s="23"/>
      <c r="JT91" s="26"/>
      <c r="JU91" s="26"/>
      <c r="JV91" s="26"/>
      <c r="JW91" s="26"/>
      <c r="JX91" s="26"/>
      <c r="JY91" s="26"/>
      <c r="JZ91" s="26"/>
      <c r="KA91" s="26"/>
      <c r="KB91" s="26"/>
      <c r="KC91" s="26"/>
      <c r="KD91" s="26"/>
      <c r="KE91" s="26"/>
      <c r="KF91" s="26"/>
      <c r="KG91" s="26"/>
      <c r="KH91" s="26"/>
      <c r="KI91" s="26"/>
      <c r="KJ91" s="26"/>
      <c r="KK91" s="26"/>
      <c r="KL91" s="26"/>
      <c r="KM91" s="26"/>
      <c r="KN91" s="26"/>
      <c r="KO91" s="26"/>
      <c r="KP91" s="26"/>
      <c r="KQ91" s="26"/>
      <c r="KR91" s="26"/>
      <c r="KS91" s="26"/>
      <c r="KT91" s="26"/>
      <c r="KU91" s="26"/>
      <c r="KV91" s="26"/>
      <c r="KW91" s="26"/>
      <c r="KX91" s="26"/>
      <c r="KY91" s="26"/>
      <c r="KZ91" s="26"/>
      <c r="LA91" s="26"/>
      <c r="LB91" s="26"/>
      <c r="LC91" s="26"/>
      <c r="LD91" s="26"/>
      <c r="LE91" s="26"/>
      <c r="LF91" s="23"/>
      <c r="LG91" s="26"/>
      <c r="LH91" s="26"/>
      <c r="LI91" s="26"/>
      <c r="LJ91" s="26"/>
      <c r="LK91" s="26"/>
      <c r="LL91" s="26"/>
      <c r="LM91" s="26"/>
      <c r="LN91" s="26"/>
      <c r="LO91" s="26"/>
      <c r="LP91" s="26"/>
      <c r="LQ91" s="26"/>
      <c r="LR91" s="26"/>
      <c r="LS91" s="26"/>
      <c r="LT91" s="26"/>
      <c r="LU91" s="26"/>
      <c r="LV91" s="26"/>
      <c r="LW91" s="26"/>
      <c r="LX91" s="26"/>
      <c r="LY91" s="26"/>
      <c r="LZ91" s="26"/>
      <c r="MA91" s="26"/>
      <c r="MB91" s="26"/>
      <c r="MC91" s="26"/>
      <c r="MD91" s="26"/>
      <c r="ME91" s="26"/>
      <c r="MF91" s="26"/>
      <c r="MG91" s="26"/>
      <c r="MH91" s="26"/>
      <c r="MI91" s="26"/>
      <c r="MJ91" s="26"/>
      <c r="MK91" s="26"/>
      <c r="ML91" s="26"/>
      <c r="MM91" s="26"/>
      <c r="MN91" s="26"/>
      <c r="MO91" s="26"/>
      <c r="MP91" s="26"/>
      <c r="MQ91" s="26"/>
      <c r="MR91" s="26"/>
      <c r="MS91" s="23"/>
      <c r="MT91" s="26"/>
      <c r="MU91" s="26"/>
      <c r="MV91" s="26"/>
      <c r="MW91" s="26"/>
      <c r="MX91" s="26"/>
      <c r="MY91" s="26"/>
      <c r="MZ91" s="26"/>
      <c r="NA91" s="26"/>
      <c r="NB91" s="26"/>
      <c r="NC91" s="26"/>
      <c r="ND91" s="26"/>
      <c r="NE91" s="26"/>
      <c r="NF91" s="26"/>
      <c r="NG91" s="26"/>
      <c r="NH91" s="26"/>
      <c r="NI91" s="26"/>
      <c r="NJ91" s="26"/>
      <c r="NK91" s="26"/>
      <c r="NL91" s="26"/>
      <c r="NM91" s="26"/>
      <c r="NN91" s="26"/>
      <c r="NO91" s="26"/>
      <c r="NP91" s="26"/>
      <c r="NQ91" s="26"/>
      <c r="NR91" s="26"/>
      <c r="NS91" s="26"/>
      <c r="NT91" s="26"/>
      <c r="NU91" s="26"/>
      <c r="NV91" s="26"/>
      <c r="NW91" s="26"/>
      <c r="NX91" s="26"/>
      <c r="NY91" s="26"/>
      <c r="NZ91" s="26"/>
      <c r="OA91" s="26"/>
      <c r="OB91" s="26"/>
      <c r="OC91" s="26"/>
      <c r="OD91" s="26"/>
      <c r="OE91" s="26"/>
      <c r="OF91" s="23"/>
      <c r="OG91" s="26"/>
      <c r="OH91" s="26"/>
      <c r="OI91" s="26"/>
      <c r="OJ91" s="26"/>
      <c r="OK91" s="26"/>
      <c r="OL91" s="26"/>
      <c r="OM91" s="26"/>
      <c r="ON91" s="26"/>
      <c r="OO91" s="26"/>
      <c r="OP91" s="26"/>
      <c r="OQ91" s="26"/>
      <c r="OR91" s="26"/>
      <c r="OS91" s="26"/>
      <c r="OT91" s="26"/>
      <c r="OU91" s="26"/>
      <c r="OV91" s="26"/>
      <c r="OW91" s="26"/>
      <c r="OX91" s="26"/>
      <c r="OY91" s="26"/>
      <c r="OZ91" s="26"/>
      <c r="PA91" s="26"/>
      <c r="PB91" s="26"/>
      <c r="PC91" s="26"/>
      <c r="PD91" s="26"/>
      <c r="PE91" s="26"/>
      <c r="PF91" s="26"/>
      <c r="PG91" s="26"/>
      <c r="PH91" s="26"/>
      <c r="PI91" s="26"/>
      <c r="PJ91" s="26"/>
      <c r="PK91" s="26"/>
      <c r="PL91" s="26"/>
      <c r="PM91" s="26"/>
      <c r="PN91" s="26"/>
      <c r="PO91" s="26"/>
      <c r="PP91" s="26"/>
      <c r="PQ91" s="26"/>
      <c r="PR91" s="26"/>
    </row>
    <row r="92" spans="1:434" ht="25.5" x14ac:dyDescent="0.25">
      <c r="A92" s="24"/>
      <c r="B92" s="25" t="s">
        <v>158</v>
      </c>
      <c r="C92" s="24" t="s">
        <v>66</v>
      </c>
      <c r="D92" s="24" t="s">
        <v>73</v>
      </c>
      <c r="E92" s="24"/>
      <c r="F92" s="23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3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3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>
        <v>3</v>
      </c>
      <c r="CR92" s="82"/>
      <c r="CS92" s="82"/>
      <c r="CT92" s="82">
        <v>4</v>
      </c>
      <c r="CU92" s="82"/>
      <c r="CV92" s="82"/>
      <c r="CW92" s="82"/>
      <c r="CX92" s="82">
        <v>7</v>
      </c>
      <c r="CY92" s="82"/>
      <c r="CZ92" s="82"/>
      <c r="DA92" s="82">
        <v>20</v>
      </c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82"/>
      <c r="DM92" s="82"/>
      <c r="DN92" s="82"/>
      <c r="DO92" s="82"/>
      <c r="DP92" s="82"/>
      <c r="DQ92" s="82"/>
      <c r="DR92" s="82"/>
      <c r="DS92" s="23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3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  <c r="GI92" s="26"/>
      <c r="GJ92" s="26"/>
      <c r="GK92" s="26"/>
      <c r="GL92" s="26"/>
      <c r="GM92" s="26"/>
      <c r="GN92" s="26"/>
      <c r="GO92" s="26"/>
      <c r="GP92" s="26"/>
      <c r="GQ92" s="26"/>
      <c r="GR92" s="26"/>
      <c r="GS92" s="23"/>
      <c r="GT92" s="26"/>
      <c r="GU92" s="26"/>
      <c r="GV92" s="26"/>
      <c r="GW92" s="26"/>
      <c r="GX92" s="26"/>
      <c r="GY92" s="26"/>
      <c r="GZ92" s="26"/>
      <c r="HA92" s="26"/>
      <c r="HB92" s="26"/>
      <c r="HC92" s="26"/>
      <c r="HD92" s="26"/>
      <c r="HE92" s="26"/>
      <c r="HF92" s="26"/>
      <c r="HG92" s="26"/>
      <c r="HH92" s="26"/>
      <c r="HI92" s="26"/>
      <c r="HJ92" s="26"/>
      <c r="HK92" s="26"/>
      <c r="HL92" s="26"/>
      <c r="HM92" s="26"/>
      <c r="HN92" s="26"/>
      <c r="HO92" s="26"/>
      <c r="HP92" s="26"/>
      <c r="HQ92" s="26"/>
      <c r="HR92" s="26"/>
      <c r="HS92" s="26"/>
      <c r="HT92" s="26"/>
      <c r="HU92" s="26"/>
      <c r="HV92" s="26"/>
      <c r="HW92" s="26"/>
      <c r="HX92" s="26"/>
      <c r="HY92" s="26"/>
      <c r="HZ92" s="26"/>
      <c r="IA92" s="26"/>
      <c r="IB92" s="26"/>
      <c r="IC92" s="26"/>
      <c r="ID92" s="26"/>
      <c r="IE92" s="26"/>
      <c r="IF92" s="23"/>
      <c r="IG92" s="26"/>
      <c r="IH92" s="26"/>
      <c r="II92" s="26"/>
      <c r="IJ92" s="26"/>
      <c r="IK92" s="26"/>
      <c r="IL92" s="26"/>
      <c r="IM92" s="26"/>
      <c r="IN92" s="26"/>
      <c r="IO92" s="26"/>
      <c r="IP92" s="26"/>
      <c r="IQ92" s="26"/>
      <c r="IR92" s="26"/>
      <c r="IS92" s="26"/>
      <c r="IT92" s="26"/>
      <c r="IU92" s="26"/>
      <c r="IV92" s="26"/>
      <c r="IW92" s="26"/>
      <c r="IX92" s="26"/>
      <c r="IY92" s="26"/>
      <c r="IZ92" s="26"/>
      <c r="JA92" s="26"/>
      <c r="JB92" s="26"/>
      <c r="JC92" s="26"/>
      <c r="JD92" s="26"/>
      <c r="JE92" s="26"/>
      <c r="JF92" s="26"/>
      <c r="JG92" s="26"/>
      <c r="JH92" s="26"/>
      <c r="JI92" s="26"/>
      <c r="JJ92" s="26"/>
      <c r="JK92" s="26"/>
      <c r="JL92" s="26"/>
      <c r="JM92" s="26"/>
      <c r="JN92" s="26"/>
      <c r="JO92" s="26"/>
      <c r="JP92" s="26"/>
      <c r="JQ92" s="26"/>
      <c r="JR92" s="26"/>
      <c r="JS92" s="23"/>
      <c r="JT92" s="26"/>
      <c r="JU92" s="26"/>
      <c r="JV92" s="26"/>
      <c r="JW92" s="26"/>
      <c r="JX92" s="26"/>
      <c r="JY92" s="26"/>
      <c r="JZ92" s="26"/>
      <c r="KA92" s="26"/>
      <c r="KB92" s="26"/>
      <c r="KC92" s="26"/>
      <c r="KD92" s="26"/>
      <c r="KE92" s="26"/>
      <c r="KF92" s="26"/>
      <c r="KG92" s="26"/>
      <c r="KH92" s="26"/>
      <c r="KI92" s="26"/>
      <c r="KJ92" s="26"/>
      <c r="KK92" s="26"/>
      <c r="KL92" s="26"/>
      <c r="KM92" s="26"/>
      <c r="KN92" s="26"/>
      <c r="KO92" s="26"/>
      <c r="KP92" s="26"/>
      <c r="KQ92" s="26"/>
      <c r="KR92" s="26"/>
      <c r="KS92" s="26"/>
      <c r="KT92" s="26"/>
      <c r="KU92" s="26"/>
      <c r="KV92" s="26"/>
      <c r="KW92" s="26"/>
      <c r="KX92" s="26"/>
      <c r="KY92" s="26"/>
      <c r="KZ92" s="26"/>
      <c r="LA92" s="26"/>
      <c r="LB92" s="26"/>
      <c r="LC92" s="26"/>
      <c r="LD92" s="26"/>
      <c r="LE92" s="26"/>
      <c r="LF92" s="23"/>
      <c r="LG92" s="26"/>
      <c r="LH92" s="26"/>
      <c r="LI92" s="26"/>
      <c r="LJ92" s="26"/>
      <c r="LK92" s="26"/>
      <c r="LL92" s="26"/>
      <c r="LM92" s="26"/>
      <c r="LN92" s="26"/>
      <c r="LO92" s="26"/>
      <c r="LP92" s="26"/>
      <c r="LQ92" s="26"/>
      <c r="LR92" s="26"/>
      <c r="LS92" s="26"/>
      <c r="LT92" s="26"/>
      <c r="LU92" s="26"/>
      <c r="LV92" s="26"/>
      <c r="LW92" s="26"/>
      <c r="LX92" s="26"/>
      <c r="LY92" s="26"/>
      <c r="LZ92" s="26"/>
      <c r="MA92" s="26"/>
      <c r="MB92" s="26"/>
      <c r="MC92" s="26"/>
      <c r="MD92" s="26"/>
      <c r="ME92" s="26"/>
      <c r="MF92" s="26"/>
      <c r="MG92" s="26"/>
      <c r="MH92" s="26"/>
      <c r="MI92" s="26"/>
      <c r="MJ92" s="26"/>
      <c r="MK92" s="26"/>
      <c r="ML92" s="26"/>
      <c r="MM92" s="26"/>
      <c r="MN92" s="26"/>
      <c r="MO92" s="26"/>
      <c r="MP92" s="26"/>
      <c r="MQ92" s="26"/>
      <c r="MR92" s="26"/>
      <c r="MS92" s="23"/>
      <c r="MT92" s="26"/>
      <c r="MU92" s="26"/>
      <c r="MV92" s="26"/>
      <c r="MW92" s="26"/>
      <c r="MX92" s="26"/>
      <c r="MY92" s="26"/>
      <c r="MZ92" s="26"/>
      <c r="NA92" s="26"/>
      <c r="NB92" s="26"/>
      <c r="NC92" s="26"/>
      <c r="ND92" s="26"/>
      <c r="NE92" s="26"/>
      <c r="NF92" s="26"/>
      <c r="NG92" s="26"/>
      <c r="NH92" s="26"/>
      <c r="NI92" s="26"/>
      <c r="NJ92" s="26"/>
      <c r="NK92" s="26"/>
      <c r="NL92" s="26"/>
      <c r="NM92" s="26"/>
      <c r="NN92" s="26"/>
      <c r="NO92" s="26"/>
      <c r="NP92" s="26"/>
      <c r="NQ92" s="26"/>
      <c r="NR92" s="26"/>
      <c r="NS92" s="26"/>
      <c r="NT92" s="26"/>
      <c r="NU92" s="26"/>
      <c r="NV92" s="26"/>
      <c r="NW92" s="26"/>
      <c r="NX92" s="26"/>
      <c r="NY92" s="26"/>
      <c r="NZ92" s="26"/>
      <c r="OA92" s="26"/>
      <c r="OB92" s="26"/>
      <c r="OC92" s="26"/>
      <c r="OD92" s="26"/>
      <c r="OE92" s="26"/>
      <c r="OF92" s="23"/>
      <c r="OG92" s="26"/>
      <c r="OH92" s="26"/>
      <c r="OI92" s="26"/>
      <c r="OJ92" s="26"/>
      <c r="OK92" s="26"/>
      <c r="OL92" s="26"/>
      <c r="OM92" s="26"/>
      <c r="ON92" s="26"/>
      <c r="OO92" s="26"/>
      <c r="OP92" s="26"/>
      <c r="OQ92" s="26"/>
      <c r="OR92" s="26"/>
      <c r="OS92" s="26"/>
      <c r="OT92" s="26"/>
      <c r="OU92" s="26"/>
      <c r="OV92" s="26"/>
      <c r="OW92" s="26"/>
      <c r="OX92" s="26"/>
      <c r="OY92" s="26"/>
      <c r="OZ92" s="26"/>
      <c r="PA92" s="26"/>
      <c r="PB92" s="26"/>
      <c r="PC92" s="26"/>
      <c r="PD92" s="26"/>
      <c r="PE92" s="26"/>
      <c r="PF92" s="26"/>
      <c r="PG92" s="26"/>
      <c r="PH92" s="26"/>
      <c r="PI92" s="26"/>
      <c r="PJ92" s="26"/>
      <c r="PK92" s="26"/>
      <c r="PL92" s="26"/>
      <c r="PM92" s="26"/>
      <c r="PN92" s="26"/>
      <c r="PO92" s="26"/>
      <c r="PP92" s="26"/>
      <c r="PQ92" s="26"/>
      <c r="PR92" s="26"/>
    </row>
    <row r="93" spans="1:434" ht="25.5" x14ac:dyDescent="0.25">
      <c r="A93" s="24"/>
      <c r="B93" s="25" t="s">
        <v>159</v>
      </c>
      <c r="C93" s="24" t="s">
        <v>66</v>
      </c>
      <c r="D93" s="24" t="s">
        <v>73</v>
      </c>
      <c r="E93" s="24"/>
      <c r="F93" s="23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3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3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82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  <c r="DK93" s="82"/>
      <c r="DL93" s="82"/>
      <c r="DM93" s="82"/>
      <c r="DN93" s="82"/>
      <c r="DO93" s="82"/>
      <c r="DP93" s="82"/>
      <c r="DQ93" s="82"/>
      <c r="DR93" s="82"/>
      <c r="DS93" s="23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3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  <c r="GI93" s="26"/>
      <c r="GJ93" s="26"/>
      <c r="GK93" s="26"/>
      <c r="GL93" s="26"/>
      <c r="GM93" s="26"/>
      <c r="GN93" s="26"/>
      <c r="GO93" s="26"/>
      <c r="GP93" s="26"/>
      <c r="GQ93" s="26"/>
      <c r="GR93" s="26"/>
      <c r="GS93" s="23"/>
      <c r="GT93" s="26"/>
      <c r="GU93" s="26"/>
      <c r="GV93" s="26"/>
      <c r="GW93" s="26"/>
      <c r="GX93" s="26"/>
      <c r="GY93" s="26"/>
      <c r="GZ93" s="26"/>
      <c r="HA93" s="26"/>
      <c r="HB93" s="26"/>
      <c r="HC93" s="26"/>
      <c r="HD93" s="26"/>
      <c r="HE93" s="26"/>
      <c r="HF93" s="26"/>
      <c r="HG93" s="26"/>
      <c r="HH93" s="26"/>
      <c r="HI93" s="26"/>
      <c r="HJ93" s="26"/>
      <c r="HK93" s="26"/>
      <c r="HL93" s="26"/>
      <c r="HM93" s="26"/>
      <c r="HN93" s="26"/>
      <c r="HO93" s="26"/>
      <c r="HP93" s="26"/>
      <c r="HQ93" s="26"/>
      <c r="HR93" s="26"/>
      <c r="HS93" s="26"/>
      <c r="HT93" s="26"/>
      <c r="HU93" s="26"/>
      <c r="HV93" s="26"/>
      <c r="HW93" s="26"/>
      <c r="HX93" s="26"/>
      <c r="HY93" s="26"/>
      <c r="HZ93" s="26"/>
      <c r="IA93" s="26"/>
      <c r="IB93" s="26"/>
      <c r="IC93" s="26"/>
      <c r="ID93" s="26"/>
      <c r="IE93" s="26"/>
      <c r="IF93" s="23"/>
      <c r="IG93" s="26"/>
      <c r="IH93" s="26"/>
      <c r="II93" s="26"/>
      <c r="IJ93" s="26"/>
      <c r="IK93" s="26"/>
      <c r="IL93" s="26"/>
      <c r="IM93" s="26"/>
      <c r="IN93" s="26"/>
      <c r="IO93" s="26"/>
      <c r="IP93" s="26"/>
      <c r="IQ93" s="26"/>
      <c r="IR93" s="26"/>
      <c r="IS93" s="26"/>
      <c r="IT93" s="26"/>
      <c r="IU93" s="26"/>
      <c r="IV93" s="26"/>
      <c r="IW93" s="26"/>
      <c r="IX93" s="26"/>
      <c r="IY93" s="26"/>
      <c r="IZ93" s="26"/>
      <c r="JA93" s="26"/>
      <c r="JB93" s="26"/>
      <c r="JC93" s="26"/>
      <c r="JD93" s="26"/>
      <c r="JE93" s="26"/>
      <c r="JF93" s="26"/>
      <c r="JG93" s="26"/>
      <c r="JH93" s="26"/>
      <c r="JI93" s="26"/>
      <c r="JJ93" s="26"/>
      <c r="JK93" s="26"/>
      <c r="JL93" s="26"/>
      <c r="JM93" s="26"/>
      <c r="JN93" s="26"/>
      <c r="JO93" s="26"/>
      <c r="JP93" s="26"/>
      <c r="JQ93" s="26"/>
      <c r="JR93" s="26"/>
      <c r="JS93" s="23"/>
      <c r="JT93" s="26"/>
      <c r="JU93" s="26"/>
      <c r="JV93" s="26"/>
      <c r="JW93" s="26"/>
      <c r="JX93" s="26"/>
      <c r="JY93" s="26"/>
      <c r="JZ93" s="26"/>
      <c r="KA93" s="26"/>
      <c r="KB93" s="26"/>
      <c r="KC93" s="26"/>
      <c r="KD93" s="26"/>
      <c r="KE93" s="26"/>
      <c r="KF93" s="26"/>
      <c r="KG93" s="26"/>
      <c r="KH93" s="26"/>
      <c r="KI93" s="26"/>
      <c r="KJ93" s="26"/>
      <c r="KK93" s="26"/>
      <c r="KL93" s="26"/>
      <c r="KM93" s="26"/>
      <c r="KN93" s="26"/>
      <c r="KO93" s="26"/>
      <c r="KP93" s="26"/>
      <c r="KQ93" s="26"/>
      <c r="KR93" s="26"/>
      <c r="KS93" s="26"/>
      <c r="KT93" s="26"/>
      <c r="KU93" s="26"/>
      <c r="KV93" s="26"/>
      <c r="KW93" s="26"/>
      <c r="KX93" s="26"/>
      <c r="KY93" s="26"/>
      <c r="KZ93" s="26"/>
      <c r="LA93" s="26"/>
      <c r="LB93" s="26"/>
      <c r="LC93" s="26"/>
      <c r="LD93" s="26"/>
      <c r="LE93" s="26"/>
      <c r="LF93" s="23"/>
      <c r="LG93" s="26"/>
      <c r="LH93" s="26"/>
      <c r="LI93" s="26"/>
      <c r="LJ93" s="26"/>
      <c r="LK93" s="26"/>
      <c r="LL93" s="26"/>
      <c r="LM93" s="26"/>
      <c r="LN93" s="26"/>
      <c r="LO93" s="26"/>
      <c r="LP93" s="26"/>
      <c r="LQ93" s="26"/>
      <c r="LR93" s="26"/>
      <c r="LS93" s="26"/>
      <c r="LT93" s="26"/>
      <c r="LU93" s="26"/>
      <c r="LV93" s="26"/>
      <c r="LW93" s="26"/>
      <c r="LX93" s="26"/>
      <c r="LY93" s="26"/>
      <c r="LZ93" s="26"/>
      <c r="MA93" s="26"/>
      <c r="MB93" s="26"/>
      <c r="MC93" s="26"/>
      <c r="MD93" s="26"/>
      <c r="ME93" s="26"/>
      <c r="MF93" s="26"/>
      <c r="MG93" s="26"/>
      <c r="MH93" s="26"/>
      <c r="MI93" s="26"/>
      <c r="MJ93" s="26"/>
      <c r="MK93" s="26"/>
      <c r="ML93" s="26"/>
      <c r="MM93" s="26"/>
      <c r="MN93" s="26"/>
      <c r="MO93" s="26"/>
      <c r="MP93" s="26"/>
      <c r="MQ93" s="26"/>
      <c r="MR93" s="26"/>
      <c r="MS93" s="23"/>
      <c r="MT93" s="26"/>
      <c r="MU93" s="26"/>
      <c r="MV93" s="26"/>
      <c r="MW93" s="26"/>
      <c r="MX93" s="26"/>
      <c r="MY93" s="26"/>
      <c r="MZ93" s="26"/>
      <c r="NA93" s="26"/>
      <c r="NB93" s="26"/>
      <c r="NC93" s="26"/>
      <c r="ND93" s="26"/>
      <c r="NE93" s="26"/>
      <c r="NF93" s="26"/>
      <c r="NG93" s="26"/>
      <c r="NH93" s="26"/>
      <c r="NI93" s="26"/>
      <c r="NJ93" s="26"/>
      <c r="NK93" s="26"/>
      <c r="NL93" s="26"/>
      <c r="NM93" s="26"/>
      <c r="NN93" s="26"/>
      <c r="NO93" s="26"/>
      <c r="NP93" s="26"/>
      <c r="NQ93" s="26"/>
      <c r="NR93" s="26"/>
      <c r="NS93" s="26"/>
      <c r="NT93" s="26"/>
      <c r="NU93" s="26"/>
      <c r="NV93" s="26"/>
      <c r="NW93" s="26"/>
      <c r="NX93" s="26"/>
      <c r="NY93" s="26"/>
      <c r="NZ93" s="26"/>
      <c r="OA93" s="26"/>
      <c r="OB93" s="26"/>
      <c r="OC93" s="26"/>
      <c r="OD93" s="26"/>
      <c r="OE93" s="26"/>
      <c r="OF93" s="23"/>
      <c r="OG93" s="26"/>
      <c r="OH93" s="26"/>
      <c r="OI93" s="26"/>
      <c r="OJ93" s="26"/>
      <c r="OK93" s="26"/>
      <c r="OL93" s="26"/>
      <c r="OM93" s="26"/>
      <c r="ON93" s="26"/>
      <c r="OO93" s="26"/>
      <c r="OP93" s="26"/>
      <c r="OQ93" s="26"/>
      <c r="OR93" s="26"/>
      <c r="OS93" s="26"/>
      <c r="OT93" s="26"/>
      <c r="OU93" s="26"/>
      <c r="OV93" s="26"/>
      <c r="OW93" s="26"/>
      <c r="OX93" s="26"/>
      <c r="OY93" s="26"/>
      <c r="OZ93" s="26"/>
      <c r="PA93" s="26"/>
      <c r="PB93" s="26"/>
      <c r="PC93" s="26"/>
      <c r="PD93" s="26"/>
      <c r="PE93" s="26"/>
      <c r="PF93" s="26"/>
      <c r="PG93" s="26"/>
      <c r="PH93" s="26"/>
      <c r="PI93" s="26"/>
      <c r="PJ93" s="26"/>
      <c r="PK93" s="26"/>
      <c r="PL93" s="26"/>
      <c r="PM93" s="26"/>
      <c r="PN93" s="26"/>
      <c r="PO93" s="26"/>
      <c r="PP93" s="26"/>
      <c r="PQ93" s="26"/>
      <c r="PR93" s="26"/>
    </row>
    <row r="94" spans="1:434" x14ac:dyDescent="0.25">
      <c r="A94" s="24"/>
      <c r="B94" s="25" t="s">
        <v>160</v>
      </c>
      <c r="C94" s="24" t="s">
        <v>70</v>
      </c>
      <c r="D94" s="24" t="s">
        <v>76</v>
      </c>
      <c r="E94" s="24"/>
      <c r="F94" s="23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3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3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  <c r="DK94" s="82"/>
      <c r="DL94" s="82"/>
      <c r="DM94" s="82"/>
      <c r="DN94" s="82"/>
      <c r="DO94" s="82"/>
      <c r="DP94" s="82"/>
      <c r="DQ94" s="82"/>
      <c r="DR94" s="82"/>
      <c r="DS94" s="23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3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  <c r="GI94" s="26"/>
      <c r="GJ94" s="26"/>
      <c r="GK94" s="26"/>
      <c r="GL94" s="26"/>
      <c r="GM94" s="26"/>
      <c r="GN94" s="26"/>
      <c r="GO94" s="26"/>
      <c r="GP94" s="26"/>
      <c r="GQ94" s="26"/>
      <c r="GR94" s="26"/>
      <c r="GS94" s="23"/>
      <c r="GT94" s="26"/>
      <c r="GU94" s="26"/>
      <c r="GV94" s="26"/>
      <c r="GW94" s="26"/>
      <c r="GX94" s="26"/>
      <c r="GY94" s="26"/>
      <c r="GZ94" s="26"/>
      <c r="HA94" s="26"/>
      <c r="HB94" s="26"/>
      <c r="HC94" s="26"/>
      <c r="HD94" s="26"/>
      <c r="HE94" s="26"/>
      <c r="HF94" s="26"/>
      <c r="HG94" s="26"/>
      <c r="HH94" s="26"/>
      <c r="HI94" s="26"/>
      <c r="HJ94" s="26"/>
      <c r="HK94" s="26"/>
      <c r="HL94" s="26"/>
      <c r="HM94" s="26"/>
      <c r="HN94" s="26"/>
      <c r="HO94" s="26"/>
      <c r="HP94" s="26"/>
      <c r="HQ94" s="26"/>
      <c r="HR94" s="26"/>
      <c r="HS94" s="26"/>
      <c r="HT94" s="26"/>
      <c r="HU94" s="26"/>
      <c r="HV94" s="26"/>
      <c r="HW94" s="26"/>
      <c r="HX94" s="26"/>
      <c r="HY94" s="26"/>
      <c r="HZ94" s="26"/>
      <c r="IA94" s="26"/>
      <c r="IB94" s="26"/>
      <c r="IC94" s="26"/>
      <c r="ID94" s="26"/>
      <c r="IE94" s="26"/>
      <c r="IF94" s="23"/>
      <c r="IG94" s="26"/>
      <c r="IH94" s="26"/>
      <c r="II94" s="26"/>
      <c r="IJ94" s="26"/>
      <c r="IK94" s="26"/>
      <c r="IL94" s="26"/>
      <c r="IM94" s="26"/>
      <c r="IN94" s="26"/>
      <c r="IO94" s="26"/>
      <c r="IP94" s="26"/>
      <c r="IQ94" s="26"/>
      <c r="IR94" s="26"/>
      <c r="IS94" s="26"/>
      <c r="IT94" s="26"/>
      <c r="IU94" s="26"/>
      <c r="IV94" s="26"/>
      <c r="IW94" s="26"/>
      <c r="IX94" s="26"/>
      <c r="IY94" s="26"/>
      <c r="IZ94" s="26"/>
      <c r="JA94" s="26"/>
      <c r="JB94" s="26"/>
      <c r="JC94" s="26"/>
      <c r="JD94" s="26"/>
      <c r="JE94" s="26"/>
      <c r="JF94" s="26"/>
      <c r="JG94" s="26"/>
      <c r="JH94" s="26"/>
      <c r="JI94" s="26"/>
      <c r="JJ94" s="26"/>
      <c r="JK94" s="26"/>
      <c r="JL94" s="26"/>
      <c r="JM94" s="26"/>
      <c r="JN94" s="26"/>
      <c r="JO94" s="26"/>
      <c r="JP94" s="26"/>
      <c r="JQ94" s="26"/>
      <c r="JR94" s="26"/>
      <c r="JS94" s="23"/>
      <c r="JT94" s="26"/>
      <c r="JU94" s="26"/>
      <c r="JV94" s="26"/>
      <c r="JW94" s="26"/>
      <c r="JX94" s="26"/>
      <c r="JY94" s="26"/>
      <c r="JZ94" s="26"/>
      <c r="KA94" s="26"/>
      <c r="KB94" s="26"/>
      <c r="KC94" s="26"/>
      <c r="KD94" s="26"/>
      <c r="KE94" s="26"/>
      <c r="KF94" s="26"/>
      <c r="KG94" s="26"/>
      <c r="KH94" s="26"/>
      <c r="KI94" s="26"/>
      <c r="KJ94" s="26"/>
      <c r="KK94" s="26"/>
      <c r="KL94" s="26"/>
      <c r="KM94" s="26"/>
      <c r="KN94" s="26"/>
      <c r="KO94" s="26"/>
      <c r="KP94" s="26"/>
      <c r="KQ94" s="26"/>
      <c r="KR94" s="26"/>
      <c r="KS94" s="26"/>
      <c r="KT94" s="26"/>
      <c r="KU94" s="26"/>
      <c r="KV94" s="26"/>
      <c r="KW94" s="26"/>
      <c r="KX94" s="26"/>
      <c r="KY94" s="26"/>
      <c r="KZ94" s="26"/>
      <c r="LA94" s="26"/>
      <c r="LB94" s="26"/>
      <c r="LC94" s="26"/>
      <c r="LD94" s="26"/>
      <c r="LE94" s="26"/>
      <c r="LF94" s="23"/>
      <c r="LG94" s="26"/>
      <c r="LH94" s="26"/>
      <c r="LI94" s="26"/>
      <c r="LJ94" s="26"/>
      <c r="LK94" s="26"/>
      <c r="LL94" s="26"/>
      <c r="LM94" s="26"/>
      <c r="LN94" s="26"/>
      <c r="LO94" s="26"/>
      <c r="LP94" s="26"/>
      <c r="LQ94" s="26"/>
      <c r="LR94" s="26"/>
      <c r="LS94" s="26"/>
      <c r="LT94" s="26"/>
      <c r="LU94" s="26"/>
      <c r="LV94" s="26"/>
      <c r="LW94" s="26"/>
      <c r="LX94" s="26"/>
      <c r="LY94" s="26"/>
      <c r="LZ94" s="26"/>
      <c r="MA94" s="26"/>
      <c r="MB94" s="26"/>
      <c r="MC94" s="26"/>
      <c r="MD94" s="26"/>
      <c r="ME94" s="26"/>
      <c r="MF94" s="26"/>
      <c r="MG94" s="26"/>
      <c r="MH94" s="26"/>
      <c r="MI94" s="26"/>
      <c r="MJ94" s="26"/>
      <c r="MK94" s="26"/>
      <c r="ML94" s="26"/>
      <c r="MM94" s="26"/>
      <c r="MN94" s="26"/>
      <c r="MO94" s="26"/>
      <c r="MP94" s="26"/>
      <c r="MQ94" s="26"/>
      <c r="MR94" s="26"/>
      <c r="MS94" s="23"/>
      <c r="MT94" s="26"/>
      <c r="MU94" s="26"/>
      <c r="MV94" s="26"/>
      <c r="MW94" s="26"/>
      <c r="MX94" s="26"/>
      <c r="MY94" s="26"/>
      <c r="MZ94" s="26"/>
      <c r="NA94" s="26"/>
      <c r="NB94" s="26"/>
      <c r="NC94" s="26"/>
      <c r="ND94" s="26"/>
      <c r="NE94" s="26"/>
      <c r="NF94" s="26"/>
      <c r="NG94" s="26"/>
      <c r="NH94" s="26"/>
      <c r="NI94" s="26"/>
      <c r="NJ94" s="26"/>
      <c r="NK94" s="26"/>
      <c r="NL94" s="26"/>
      <c r="NM94" s="26"/>
      <c r="NN94" s="26"/>
      <c r="NO94" s="26"/>
      <c r="NP94" s="26"/>
      <c r="NQ94" s="26"/>
      <c r="NR94" s="26"/>
      <c r="NS94" s="26"/>
      <c r="NT94" s="26"/>
      <c r="NU94" s="26"/>
      <c r="NV94" s="26"/>
      <c r="NW94" s="26"/>
      <c r="NX94" s="26"/>
      <c r="NY94" s="26"/>
      <c r="NZ94" s="26"/>
      <c r="OA94" s="26"/>
      <c r="OB94" s="26"/>
      <c r="OC94" s="26"/>
      <c r="OD94" s="26"/>
      <c r="OE94" s="26"/>
      <c r="OF94" s="23"/>
      <c r="OG94" s="26"/>
      <c r="OH94" s="26"/>
      <c r="OI94" s="26"/>
      <c r="OJ94" s="26"/>
      <c r="OK94" s="26"/>
      <c r="OL94" s="26"/>
      <c r="OM94" s="26"/>
      <c r="ON94" s="26"/>
      <c r="OO94" s="26"/>
      <c r="OP94" s="26"/>
      <c r="OQ94" s="26"/>
      <c r="OR94" s="26"/>
      <c r="OS94" s="26"/>
      <c r="OT94" s="26"/>
      <c r="OU94" s="26"/>
      <c r="OV94" s="26"/>
      <c r="OW94" s="26"/>
      <c r="OX94" s="26"/>
      <c r="OY94" s="26"/>
      <c r="OZ94" s="26"/>
      <c r="PA94" s="26"/>
      <c r="PB94" s="26"/>
      <c r="PC94" s="26"/>
      <c r="PD94" s="26"/>
      <c r="PE94" s="26"/>
      <c r="PF94" s="26"/>
      <c r="PG94" s="26"/>
      <c r="PH94" s="26"/>
      <c r="PI94" s="26"/>
      <c r="PJ94" s="26"/>
      <c r="PK94" s="26"/>
      <c r="PL94" s="26"/>
      <c r="PM94" s="26"/>
      <c r="PN94" s="26"/>
      <c r="PO94" s="26"/>
      <c r="PP94" s="26"/>
      <c r="PQ94" s="26"/>
      <c r="PR94" s="26"/>
    </row>
    <row r="95" spans="1:434" x14ac:dyDescent="0.25">
      <c r="A95" s="24"/>
      <c r="B95" s="25" t="s">
        <v>161</v>
      </c>
      <c r="C95" s="24" t="s">
        <v>66</v>
      </c>
      <c r="D95" s="24" t="s">
        <v>76</v>
      </c>
      <c r="E95" s="24"/>
      <c r="F95" s="23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3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3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82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  <c r="DK95" s="82"/>
      <c r="DL95" s="82"/>
      <c r="DM95" s="82"/>
      <c r="DN95" s="82"/>
      <c r="DO95" s="82"/>
      <c r="DP95" s="82"/>
      <c r="DQ95" s="82"/>
      <c r="DR95" s="82"/>
      <c r="DS95" s="23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3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  <c r="GR95" s="26"/>
      <c r="GS95" s="23"/>
      <c r="GT95" s="26"/>
      <c r="GU95" s="26"/>
      <c r="GV95" s="26"/>
      <c r="GW95" s="26"/>
      <c r="GX95" s="26"/>
      <c r="GY95" s="26"/>
      <c r="GZ95" s="26"/>
      <c r="HA95" s="26"/>
      <c r="HB95" s="26"/>
      <c r="HC95" s="26"/>
      <c r="HD95" s="26"/>
      <c r="HE95" s="26"/>
      <c r="HF95" s="26"/>
      <c r="HG95" s="26"/>
      <c r="HH95" s="26"/>
      <c r="HI95" s="26"/>
      <c r="HJ95" s="26"/>
      <c r="HK95" s="26"/>
      <c r="HL95" s="26"/>
      <c r="HM95" s="26"/>
      <c r="HN95" s="26"/>
      <c r="HO95" s="26"/>
      <c r="HP95" s="26"/>
      <c r="HQ95" s="26"/>
      <c r="HR95" s="26"/>
      <c r="HS95" s="26"/>
      <c r="HT95" s="26"/>
      <c r="HU95" s="26"/>
      <c r="HV95" s="26"/>
      <c r="HW95" s="26"/>
      <c r="HX95" s="26"/>
      <c r="HY95" s="26"/>
      <c r="HZ95" s="26"/>
      <c r="IA95" s="26"/>
      <c r="IB95" s="26"/>
      <c r="IC95" s="26"/>
      <c r="ID95" s="26"/>
      <c r="IE95" s="26"/>
      <c r="IF95" s="23"/>
      <c r="IG95" s="26"/>
      <c r="IH95" s="26"/>
      <c r="II95" s="26"/>
      <c r="IJ95" s="26"/>
      <c r="IK95" s="26"/>
      <c r="IL95" s="26"/>
      <c r="IM95" s="26"/>
      <c r="IN95" s="26"/>
      <c r="IO95" s="26"/>
      <c r="IP95" s="26"/>
      <c r="IQ95" s="26"/>
      <c r="IR95" s="26"/>
      <c r="IS95" s="26"/>
      <c r="IT95" s="26"/>
      <c r="IU95" s="26"/>
      <c r="IV95" s="26"/>
      <c r="IW95" s="26"/>
      <c r="IX95" s="26"/>
      <c r="IY95" s="26"/>
      <c r="IZ95" s="26"/>
      <c r="JA95" s="26"/>
      <c r="JB95" s="26"/>
      <c r="JC95" s="26"/>
      <c r="JD95" s="26"/>
      <c r="JE95" s="26"/>
      <c r="JF95" s="26"/>
      <c r="JG95" s="26"/>
      <c r="JH95" s="26"/>
      <c r="JI95" s="26"/>
      <c r="JJ95" s="26"/>
      <c r="JK95" s="26"/>
      <c r="JL95" s="26"/>
      <c r="JM95" s="26"/>
      <c r="JN95" s="26"/>
      <c r="JO95" s="26"/>
      <c r="JP95" s="26"/>
      <c r="JQ95" s="26"/>
      <c r="JR95" s="26"/>
      <c r="JS95" s="23"/>
      <c r="JT95" s="26"/>
      <c r="JU95" s="26"/>
      <c r="JV95" s="26"/>
      <c r="JW95" s="26"/>
      <c r="JX95" s="26"/>
      <c r="JY95" s="26"/>
      <c r="JZ95" s="26"/>
      <c r="KA95" s="26"/>
      <c r="KB95" s="26"/>
      <c r="KC95" s="26"/>
      <c r="KD95" s="26"/>
      <c r="KE95" s="26"/>
      <c r="KF95" s="26"/>
      <c r="KG95" s="26"/>
      <c r="KH95" s="26"/>
      <c r="KI95" s="26"/>
      <c r="KJ95" s="26"/>
      <c r="KK95" s="26"/>
      <c r="KL95" s="26"/>
      <c r="KM95" s="26"/>
      <c r="KN95" s="26"/>
      <c r="KO95" s="26"/>
      <c r="KP95" s="26"/>
      <c r="KQ95" s="26"/>
      <c r="KR95" s="26"/>
      <c r="KS95" s="26"/>
      <c r="KT95" s="26"/>
      <c r="KU95" s="26"/>
      <c r="KV95" s="26"/>
      <c r="KW95" s="26"/>
      <c r="KX95" s="26"/>
      <c r="KY95" s="26"/>
      <c r="KZ95" s="26"/>
      <c r="LA95" s="26"/>
      <c r="LB95" s="26"/>
      <c r="LC95" s="26"/>
      <c r="LD95" s="26"/>
      <c r="LE95" s="26"/>
      <c r="LF95" s="23"/>
      <c r="LG95" s="26"/>
      <c r="LH95" s="26"/>
      <c r="LI95" s="26"/>
      <c r="LJ95" s="26"/>
      <c r="LK95" s="26"/>
      <c r="LL95" s="26"/>
      <c r="LM95" s="26"/>
      <c r="LN95" s="26"/>
      <c r="LO95" s="26"/>
      <c r="LP95" s="26"/>
      <c r="LQ95" s="26"/>
      <c r="LR95" s="26"/>
      <c r="LS95" s="26"/>
      <c r="LT95" s="26"/>
      <c r="LU95" s="26"/>
      <c r="LV95" s="26"/>
      <c r="LW95" s="26"/>
      <c r="LX95" s="26"/>
      <c r="LY95" s="26"/>
      <c r="LZ95" s="26"/>
      <c r="MA95" s="26"/>
      <c r="MB95" s="26"/>
      <c r="MC95" s="26"/>
      <c r="MD95" s="26"/>
      <c r="ME95" s="26"/>
      <c r="MF95" s="26"/>
      <c r="MG95" s="26"/>
      <c r="MH95" s="26"/>
      <c r="MI95" s="26"/>
      <c r="MJ95" s="26"/>
      <c r="MK95" s="26"/>
      <c r="ML95" s="26"/>
      <c r="MM95" s="26"/>
      <c r="MN95" s="26"/>
      <c r="MO95" s="26"/>
      <c r="MP95" s="26"/>
      <c r="MQ95" s="26"/>
      <c r="MR95" s="26"/>
      <c r="MS95" s="23"/>
      <c r="MT95" s="26"/>
      <c r="MU95" s="26"/>
      <c r="MV95" s="26"/>
      <c r="MW95" s="26"/>
      <c r="MX95" s="26"/>
      <c r="MY95" s="26"/>
      <c r="MZ95" s="26"/>
      <c r="NA95" s="26"/>
      <c r="NB95" s="26"/>
      <c r="NC95" s="26"/>
      <c r="ND95" s="26"/>
      <c r="NE95" s="26"/>
      <c r="NF95" s="26"/>
      <c r="NG95" s="26"/>
      <c r="NH95" s="26"/>
      <c r="NI95" s="26"/>
      <c r="NJ95" s="26"/>
      <c r="NK95" s="26"/>
      <c r="NL95" s="26"/>
      <c r="NM95" s="26"/>
      <c r="NN95" s="26"/>
      <c r="NO95" s="26"/>
      <c r="NP95" s="26"/>
      <c r="NQ95" s="26"/>
      <c r="NR95" s="26"/>
      <c r="NS95" s="26"/>
      <c r="NT95" s="26"/>
      <c r="NU95" s="26"/>
      <c r="NV95" s="26"/>
      <c r="NW95" s="26"/>
      <c r="NX95" s="26"/>
      <c r="NY95" s="26"/>
      <c r="NZ95" s="26"/>
      <c r="OA95" s="26"/>
      <c r="OB95" s="26"/>
      <c r="OC95" s="26"/>
      <c r="OD95" s="26"/>
      <c r="OE95" s="26"/>
      <c r="OF95" s="23"/>
      <c r="OG95" s="26"/>
      <c r="OH95" s="26"/>
      <c r="OI95" s="26"/>
      <c r="OJ95" s="26"/>
      <c r="OK95" s="26"/>
      <c r="OL95" s="26"/>
      <c r="OM95" s="26"/>
      <c r="ON95" s="26"/>
      <c r="OO95" s="26"/>
      <c r="OP95" s="26"/>
      <c r="OQ95" s="26"/>
      <c r="OR95" s="26"/>
      <c r="OS95" s="26"/>
      <c r="OT95" s="26"/>
      <c r="OU95" s="26"/>
      <c r="OV95" s="26"/>
      <c r="OW95" s="26"/>
      <c r="OX95" s="26"/>
      <c r="OY95" s="26"/>
      <c r="OZ95" s="26"/>
      <c r="PA95" s="26"/>
      <c r="PB95" s="26"/>
      <c r="PC95" s="26"/>
      <c r="PD95" s="26"/>
      <c r="PE95" s="26"/>
      <c r="PF95" s="26"/>
      <c r="PG95" s="26"/>
      <c r="PH95" s="26"/>
      <c r="PI95" s="26"/>
      <c r="PJ95" s="26"/>
      <c r="PK95" s="26"/>
      <c r="PL95" s="26"/>
      <c r="PM95" s="26"/>
      <c r="PN95" s="26"/>
      <c r="PO95" s="26"/>
      <c r="PP95" s="26"/>
      <c r="PQ95" s="26"/>
      <c r="PR95" s="26"/>
    </row>
    <row r="96" spans="1:434" ht="25.5" x14ac:dyDescent="0.25">
      <c r="A96" s="24"/>
      <c r="B96" s="25" t="s">
        <v>162</v>
      </c>
      <c r="C96" s="24" t="s">
        <v>70</v>
      </c>
      <c r="D96" s="24" t="s">
        <v>73</v>
      </c>
      <c r="E96" s="24"/>
      <c r="F96" s="23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3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3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>
        <v>2</v>
      </c>
      <c r="CV96" s="82"/>
      <c r="CW96" s="82"/>
      <c r="CX96" s="82">
        <v>20</v>
      </c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  <c r="DK96" s="82"/>
      <c r="DL96" s="82"/>
      <c r="DM96" s="82"/>
      <c r="DN96" s="82"/>
      <c r="DO96" s="82"/>
      <c r="DP96" s="82"/>
      <c r="DQ96" s="82">
        <v>10</v>
      </c>
      <c r="DR96" s="82"/>
      <c r="DS96" s="23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6"/>
      <c r="EZ96" s="26"/>
      <c r="FA96" s="26"/>
      <c r="FB96" s="26"/>
      <c r="FC96" s="26"/>
      <c r="FD96" s="26"/>
      <c r="FE96" s="26"/>
      <c r="FF96" s="23"/>
      <c r="FG96" s="26"/>
      <c r="FH96" s="26"/>
      <c r="FI96" s="26"/>
      <c r="FJ96" s="26"/>
      <c r="FK96" s="26"/>
      <c r="FL96" s="26"/>
      <c r="FM96" s="26"/>
      <c r="FN96" s="26"/>
      <c r="FO96" s="26"/>
      <c r="FP96" s="26"/>
      <c r="FQ96" s="26"/>
      <c r="FR96" s="26"/>
      <c r="FS96" s="26"/>
      <c r="FT96" s="26"/>
      <c r="FU96" s="26"/>
      <c r="FV96" s="26"/>
      <c r="FW96" s="26"/>
      <c r="FX96" s="26"/>
      <c r="FY96" s="26"/>
      <c r="FZ96" s="26"/>
      <c r="GA96" s="26"/>
      <c r="GB96" s="26"/>
      <c r="GC96" s="26"/>
      <c r="GD96" s="26"/>
      <c r="GE96" s="26"/>
      <c r="GF96" s="26"/>
      <c r="GG96" s="26"/>
      <c r="GH96" s="26"/>
      <c r="GI96" s="26"/>
      <c r="GJ96" s="26"/>
      <c r="GK96" s="26"/>
      <c r="GL96" s="26"/>
      <c r="GM96" s="26"/>
      <c r="GN96" s="26"/>
      <c r="GO96" s="26"/>
      <c r="GP96" s="26"/>
      <c r="GQ96" s="26"/>
      <c r="GR96" s="26"/>
      <c r="GS96" s="23"/>
      <c r="GT96" s="26"/>
      <c r="GU96" s="26"/>
      <c r="GV96" s="26"/>
      <c r="GW96" s="26"/>
      <c r="GX96" s="26"/>
      <c r="GY96" s="26"/>
      <c r="GZ96" s="26"/>
      <c r="HA96" s="26"/>
      <c r="HB96" s="26"/>
      <c r="HC96" s="26"/>
      <c r="HD96" s="26"/>
      <c r="HE96" s="26"/>
      <c r="HF96" s="26"/>
      <c r="HG96" s="26"/>
      <c r="HH96" s="26"/>
      <c r="HI96" s="26"/>
      <c r="HJ96" s="26"/>
      <c r="HK96" s="26"/>
      <c r="HL96" s="26"/>
      <c r="HM96" s="26"/>
      <c r="HN96" s="26"/>
      <c r="HO96" s="26"/>
      <c r="HP96" s="26"/>
      <c r="HQ96" s="26"/>
      <c r="HR96" s="26"/>
      <c r="HS96" s="26"/>
      <c r="HT96" s="26"/>
      <c r="HU96" s="26"/>
      <c r="HV96" s="26"/>
      <c r="HW96" s="26"/>
      <c r="HX96" s="26"/>
      <c r="HY96" s="26"/>
      <c r="HZ96" s="26"/>
      <c r="IA96" s="26"/>
      <c r="IB96" s="26"/>
      <c r="IC96" s="26"/>
      <c r="ID96" s="26"/>
      <c r="IE96" s="26"/>
      <c r="IF96" s="23"/>
      <c r="IG96" s="26"/>
      <c r="IH96" s="26"/>
      <c r="II96" s="26"/>
      <c r="IJ96" s="26"/>
      <c r="IK96" s="26"/>
      <c r="IL96" s="26"/>
      <c r="IM96" s="26"/>
      <c r="IN96" s="26"/>
      <c r="IO96" s="26"/>
      <c r="IP96" s="26"/>
      <c r="IQ96" s="26"/>
      <c r="IR96" s="26"/>
      <c r="IS96" s="26"/>
      <c r="IT96" s="26"/>
      <c r="IU96" s="26"/>
      <c r="IV96" s="26"/>
      <c r="IW96" s="26"/>
      <c r="IX96" s="26"/>
      <c r="IY96" s="26"/>
      <c r="IZ96" s="26"/>
      <c r="JA96" s="26"/>
      <c r="JB96" s="26"/>
      <c r="JC96" s="26"/>
      <c r="JD96" s="26"/>
      <c r="JE96" s="26"/>
      <c r="JF96" s="26"/>
      <c r="JG96" s="26"/>
      <c r="JH96" s="26"/>
      <c r="JI96" s="26"/>
      <c r="JJ96" s="26"/>
      <c r="JK96" s="26"/>
      <c r="JL96" s="26"/>
      <c r="JM96" s="26"/>
      <c r="JN96" s="26"/>
      <c r="JO96" s="26"/>
      <c r="JP96" s="26"/>
      <c r="JQ96" s="26"/>
      <c r="JR96" s="26"/>
      <c r="JS96" s="23"/>
      <c r="JT96" s="26"/>
      <c r="JU96" s="26"/>
      <c r="JV96" s="26"/>
      <c r="JW96" s="26"/>
      <c r="JX96" s="26"/>
      <c r="JY96" s="26"/>
      <c r="JZ96" s="26"/>
      <c r="KA96" s="26"/>
      <c r="KB96" s="26"/>
      <c r="KC96" s="26"/>
      <c r="KD96" s="26"/>
      <c r="KE96" s="26"/>
      <c r="KF96" s="26"/>
      <c r="KG96" s="26"/>
      <c r="KH96" s="26"/>
      <c r="KI96" s="26"/>
      <c r="KJ96" s="26"/>
      <c r="KK96" s="26"/>
      <c r="KL96" s="26"/>
      <c r="KM96" s="26"/>
      <c r="KN96" s="26"/>
      <c r="KO96" s="26"/>
      <c r="KP96" s="26"/>
      <c r="KQ96" s="26"/>
      <c r="KR96" s="26"/>
      <c r="KS96" s="26"/>
      <c r="KT96" s="26"/>
      <c r="KU96" s="26"/>
      <c r="KV96" s="26"/>
      <c r="KW96" s="26"/>
      <c r="KX96" s="26"/>
      <c r="KY96" s="26"/>
      <c r="KZ96" s="26"/>
      <c r="LA96" s="26"/>
      <c r="LB96" s="26"/>
      <c r="LC96" s="26"/>
      <c r="LD96" s="26"/>
      <c r="LE96" s="26"/>
      <c r="LF96" s="23"/>
      <c r="LG96" s="26"/>
      <c r="LH96" s="26"/>
      <c r="LI96" s="26"/>
      <c r="LJ96" s="26"/>
      <c r="LK96" s="26"/>
      <c r="LL96" s="26"/>
      <c r="LM96" s="26"/>
      <c r="LN96" s="26"/>
      <c r="LO96" s="26"/>
      <c r="LP96" s="26"/>
      <c r="LQ96" s="26"/>
      <c r="LR96" s="26"/>
      <c r="LS96" s="26"/>
      <c r="LT96" s="26"/>
      <c r="LU96" s="26"/>
      <c r="LV96" s="26"/>
      <c r="LW96" s="26"/>
      <c r="LX96" s="26"/>
      <c r="LY96" s="26"/>
      <c r="LZ96" s="26"/>
      <c r="MA96" s="26"/>
      <c r="MB96" s="26"/>
      <c r="MC96" s="26"/>
      <c r="MD96" s="26"/>
      <c r="ME96" s="26"/>
      <c r="MF96" s="26"/>
      <c r="MG96" s="26"/>
      <c r="MH96" s="26"/>
      <c r="MI96" s="26"/>
      <c r="MJ96" s="26"/>
      <c r="MK96" s="26"/>
      <c r="ML96" s="26"/>
      <c r="MM96" s="26"/>
      <c r="MN96" s="26"/>
      <c r="MO96" s="26"/>
      <c r="MP96" s="26"/>
      <c r="MQ96" s="26"/>
      <c r="MR96" s="26"/>
      <c r="MS96" s="23"/>
      <c r="MT96" s="26"/>
      <c r="MU96" s="26"/>
      <c r="MV96" s="26"/>
      <c r="MW96" s="26"/>
      <c r="MX96" s="26"/>
      <c r="MY96" s="26"/>
      <c r="MZ96" s="26"/>
      <c r="NA96" s="26"/>
      <c r="NB96" s="26"/>
      <c r="NC96" s="26"/>
      <c r="ND96" s="26"/>
      <c r="NE96" s="26"/>
      <c r="NF96" s="26"/>
      <c r="NG96" s="26"/>
      <c r="NH96" s="26"/>
      <c r="NI96" s="26"/>
      <c r="NJ96" s="26"/>
      <c r="NK96" s="26"/>
      <c r="NL96" s="26"/>
      <c r="NM96" s="26"/>
      <c r="NN96" s="26"/>
      <c r="NO96" s="26"/>
      <c r="NP96" s="26"/>
      <c r="NQ96" s="26"/>
      <c r="NR96" s="26"/>
      <c r="NS96" s="26"/>
      <c r="NT96" s="26"/>
      <c r="NU96" s="26"/>
      <c r="NV96" s="26"/>
      <c r="NW96" s="26"/>
      <c r="NX96" s="26"/>
      <c r="NY96" s="26"/>
      <c r="NZ96" s="26"/>
      <c r="OA96" s="26"/>
      <c r="OB96" s="26"/>
      <c r="OC96" s="26"/>
      <c r="OD96" s="26"/>
      <c r="OE96" s="26"/>
      <c r="OF96" s="23"/>
      <c r="OG96" s="26"/>
      <c r="OH96" s="26"/>
      <c r="OI96" s="26"/>
      <c r="OJ96" s="26"/>
      <c r="OK96" s="26"/>
      <c r="OL96" s="26"/>
      <c r="OM96" s="26"/>
      <c r="ON96" s="26"/>
      <c r="OO96" s="26"/>
      <c r="OP96" s="26"/>
      <c r="OQ96" s="26"/>
      <c r="OR96" s="26"/>
      <c r="OS96" s="26"/>
      <c r="OT96" s="26"/>
      <c r="OU96" s="26"/>
      <c r="OV96" s="26"/>
      <c r="OW96" s="26"/>
      <c r="OX96" s="26"/>
      <c r="OY96" s="26"/>
      <c r="OZ96" s="26"/>
      <c r="PA96" s="26"/>
      <c r="PB96" s="26"/>
      <c r="PC96" s="26"/>
      <c r="PD96" s="26"/>
      <c r="PE96" s="26"/>
      <c r="PF96" s="26"/>
      <c r="PG96" s="26"/>
      <c r="PH96" s="26"/>
      <c r="PI96" s="26"/>
      <c r="PJ96" s="26"/>
      <c r="PK96" s="26"/>
      <c r="PL96" s="26"/>
      <c r="PM96" s="26"/>
      <c r="PN96" s="26"/>
      <c r="PO96" s="26"/>
      <c r="PP96" s="26"/>
      <c r="PQ96" s="26"/>
      <c r="PR96" s="26"/>
    </row>
    <row r="97" spans="1:434" ht="21.95" customHeight="1" x14ac:dyDescent="0.25">
      <c r="A97" s="84" t="s">
        <v>163</v>
      </c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  <c r="FU97" s="85"/>
      <c r="FV97" s="85"/>
      <c r="FW97" s="85"/>
      <c r="FX97" s="85"/>
      <c r="FY97" s="85"/>
      <c r="FZ97" s="85"/>
      <c r="GA97" s="85"/>
      <c r="GB97" s="85"/>
      <c r="GC97" s="85"/>
      <c r="GD97" s="85"/>
      <c r="GE97" s="85"/>
      <c r="GF97" s="85"/>
      <c r="GG97" s="85"/>
      <c r="GH97" s="85"/>
      <c r="GI97" s="85"/>
      <c r="GJ97" s="85"/>
      <c r="GK97" s="85"/>
      <c r="GL97" s="85"/>
      <c r="GM97" s="85"/>
      <c r="GN97" s="85"/>
      <c r="GO97" s="85"/>
      <c r="GP97" s="85"/>
      <c r="GQ97" s="85"/>
      <c r="GR97" s="85"/>
      <c r="GS97" s="85"/>
      <c r="GT97" s="85"/>
      <c r="GU97" s="85"/>
      <c r="GV97" s="85"/>
      <c r="GW97" s="85"/>
      <c r="GX97" s="85"/>
      <c r="GY97" s="85"/>
      <c r="GZ97" s="85"/>
      <c r="HA97" s="85"/>
      <c r="HB97" s="85"/>
      <c r="HC97" s="85"/>
      <c r="HD97" s="85"/>
      <c r="HE97" s="85"/>
      <c r="HF97" s="85"/>
      <c r="HG97" s="85"/>
      <c r="HH97" s="85"/>
      <c r="HI97" s="85"/>
      <c r="HJ97" s="85"/>
      <c r="HK97" s="85"/>
      <c r="HL97" s="85"/>
      <c r="HM97" s="85"/>
      <c r="HN97" s="85"/>
      <c r="HO97" s="85"/>
      <c r="HP97" s="85"/>
      <c r="HQ97" s="85"/>
      <c r="HR97" s="85"/>
      <c r="HS97" s="85"/>
      <c r="HT97" s="85"/>
      <c r="HU97" s="85"/>
      <c r="HV97" s="85"/>
      <c r="HW97" s="85"/>
      <c r="HX97" s="85"/>
      <c r="HY97" s="85"/>
      <c r="HZ97" s="85"/>
      <c r="IA97" s="85"/>
      <c r="IB97" s="85"/>
      <c r="IC97" s="85"/>
      <c r="ID97" s="85"/>
      <c r="IE97" s="85"/>
      <c r="IF97" s="85"/>
      <c r="IG97" s="85"/>
      <c r="IH97" s="85"/>
      <c r="II97" s="85"/>
      <c r="IJ97" s="85"/>
      <c r="IK97" s="85"/>
      <c r="IL97" s="85"/>
      <c r="IM97" s="85"/>
      <c r="IN97" s="85"/>
      <c r="IO97" s="85"/>
      <c r="IP97" s="85"/>
      <c r="IQ97" s="85"/>
      <c r="IR97" s="85"/>
      <c r="IS97" s="85"/>
      <c r="IT97" s="85"/>
      <c r="IU97" s="85"/>
      <c r="IV97" s="85"/>
      <c r="IW97" s="85"/>
      <c r="IX97" s="85"/>
      <c r="IY97" s="85"/>
      <c r="IZ97" s="85"/>
      <c r="JA97" s="85"/>
      <c r="JB97" s="85"/>
      <c r="JC97" s="85"/>
      <c r="JD97" s="85"/>
      <c r="JE97" s="85"/>
      <c r="JF97" s="85"/>
      <c r="JG97" s="85"/>
      <c r="JH97" s="85"/>
      <c r="JI97" s="85"/>
      <c r="JJ97" s="85"/>
      <c r="JK97" s="85"/>
      <c r="JL97" s="85"/>
      <c r="JM97" s="85"/>
      <c r="JN97" s="85"/>
      <c r="JO97" s="85"/>
      <c r="JP97" s="85"/>
      <c r="JQ97" s="85"/>
      <c r="JR97" s="85"/>
      <c r="JS97" s="85"/>
      <c r="JT97" s="85"/>
      <c r="JU97" s="85"/>
      <c r="JV97" s="85"/>
      <c r="JW97" s="85"/>
      <c r="JX97" s="85"/>
      <c r="JY97" s="85"/>
      <c r="JZ97" s="85"/>
      <c r="KA97" s="85"/>
      <c r="KB97" s="85"/>
      <c r="KC97" s="85"/>
      <c r="KD97" s="85"/>
      <c r="KE97" s="85"/>
      <c r="KF97" s="85"/>
      <c r="KG97" s="85"/>
      <c r="KH97" s="85"/>
      <c r="KI97" s="85"/>
      <c r="KJ97" s="85"/>
      <c r="KK97" s="85"/>
      <c r="KL97" s="85"/>
      <c r="KM97" s="85"/>
      <c r="KN97" s="85"/>
      <c r="KO97" s="85"/>
      <c r="KP97" s="85"/>
      <c r="KQ97" s="85"/>
      <c r="KR97" s="85"/>
      <c r="KS97" s="85"/>
      <c r="KT97" s="85"/>
      <c r="KU97" s="85"/>
      <c r="KV97" s="85"/>
      <c r="KW97" s="85"/>
      <c r="KX97" s="85"/>
      <c r="KY97" s="85"/>
      <c r="KZ97" s="85"/>
      <c r="LA97" s="85"/>
      <c r="LB97" s="85"/>
      <c r="LC97" s="85"/>
      <c r="LD97" s="85"/>
      <c r="LE97" s="85"/>
      <c r="LF97" s="85"/>
      <c r="LG97" s="85"/>
      <c r="LH97" s="85"/>
      <c r="LI97" s="85"/>
      <c r="LJ97" s="85"/>
      <c r="LK97" s="85"/>
      <c r="LL97" s="85"/>
      <c r="LM97" s="85"/>
      <c r="LN97" s="85"/>
      <c r="LO97" s="85"/>
      <c r="LP97" s="85"/>
      <c r="LQ97" s="85"/>
      <c r="LR97" s="85"/>
      <c r="LS97" s="85"/>
      <c r="LT97" s="85"/>
      <c r="LU97" s="85"/>
      <c r="LV97" s="85"/>
      <c r="LW97" s="85"/>
      <c r="LX97" s="85"/>
      <c r="LY97" s="85"/>
      <c r="LZ97" s="85"/>
      <c r="MA97" s="85"/>
      <c r="MB97" s="85"/>
      <c r="MC97" s="85"/>
      <c r="MD97" s="85"/>
      <c r="ME97" s="85"/>
      <c r="MF97" s="85"/>
      <c r="MG97" s="85"/>
      <c r="MH97" s="85"/>
      <c r="MI97" s="85"/>
      <c r="MJ97" s="85"/>
      <c r="MK97" s="85"/>
      <c r="ML97" s="85"/>
      <c r="MM97" s="85"/>
      <c r="MN97" s="85"/>
      <c r="MO97" s="85"/>
      <c r="MP97" s="85"/>
      <c r="MQ97" s="85"/>
      <c r="MR97" s="85"/>
      <c r="MS97" s="85"/>
      <c r="MT97" s="85"/>
      <c r="MU97" s="85"/>
      <c r="MV97" s="85"/>
      <c r="MW97" s="85"/>
      <c r="MX97" s="85"/>
      <c r="MY97" s="85"/>
      <c r="MZ97" s="85"/>
      <c r="NA97" s="85"/>
      <c r="NB97" s="85"/>
      <c r="NC97" s="85"/>
      <c r="ND97" s="85"/>
      <c r="NE97" s="85"/>
      <c r="NF97" s="85"/>
      <c r="NG97" s="85"/>
      <c r="NH97" s="85"/>
      <c r="NI97" s="85"/>
      <c r="NJ97" s="85"/>
      <c r="NK97" s="85"/>
      <c r="NL97" s="85"/>
      <c r="NM97" s="85"/>
      <c r="NN97" s="85"/>
      <c r="NO97" s="85"/>
      <c r="NP97" s="85"/>
      <c r="NQ97" s="85"/>
      <c r="NR97" s="85"/>
      <c r="NS97" s="85"/>
      <c r="NT97" s="85"/>
      <c r="NU97" s="85"/>
      <c r="NV97" s="85"/>
      <c r="NW97" s="85"/>
      <c r="NX97" s="85"/>
      <c r="NY97" s="85"/>
      <c r="NZ97" s="85"/>
      <c r="OA97" s="85"/>
      <c r="OB97" s="85"/>
      <c r="OC97" s="85"/>
      <c r="OD97" s="85"/>
      <c r="OE97" s="85"/>
      <c r="OF97" s="85"/>
      <c r="OG97" s="85"/>
      <c r="OH97" s="85"/>
      <c r="OI97" s="85"/>
      <c r="OJ97" s="85"/>
      <c r="OK97" s="85"/>
      <c r="OL97" s="85"/>
      <c r="OM97" s="85"/>
      <c r="ON97" s="85"/>
      <c r="OO97" s="85"/>
      <c r="OP97" s="85"/>
      <c r="OQ97" s="85"/>
      <c r="OR97" s="85"/>
      <c r="OS97" s="85"/>
      <c r="OT97" s="85"/>
      <c r="OU97" s="85"/>
      <c r="OV97" s="85"/>
      <c r="OW97" s="85"/>
      <c r="OX97" s="85"/>
      <c r="OY97" s="85"/>
      <c r="OZ97" s="85"/>
      <c r="PA97" s="85"/>
      <c r="PB97" s="85"/>
      <c r="PC97" s="85"/>
      <c r="PD97" s="85"/>
      <c r="PE97" s="85"/>
      <c r="PF97" s="85"/>
      <c r="PG97" s="85"/>
      <c r="PH97" s="85"/>
      <c r="PI97" s="85"/>
      <c r="PJ97" s="85"/>
      <c r="PK97" s="85"/>
      <c r="PL97" s="85"/>
      <c r="PM97" s="85"/>
      <c r="PN97" s="85"/>
      <c r="PO97" s="85"/>
      <c r="PP97" s="85"/>
      <c r="PQ97" s="85"/>
      <c r="PR97" s="86"/>
    </row>
    <row r="98" spans="1:434" x14ac:dyDescent="0.25">
      <c r="A98" s="24"/>
      <c r="B98" s="25" t="s">
        <v>164</v>
      </c>
      <c r="C98" s="24" t="s">
        <v>70</v>
      </c>
      <c r="D98" s="24" t="s">
        <v>67</v>
      </c>
      <c r="E98" s="24"/>
      <c r="F98" s="23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3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83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>
        <v>1</v>
      </c>
      <c r="CR98" s="82"/>
      <c r="CS98" s="82"/>
      <c r="CT98" s="82">
        <v>12</v>
      </c>
      <c r="CU98" s="82"/>
      <c r="CV98" s="82"/>
      <c r="CW98" s="82"/>
      <c r="CX98" s="82"/>
      <c r="CY98" s="82"/>
      <c r="CZ98" s="82"/>
      <c r="DA98" s="82">
        <v>20</v>
      </c>
      <c r="DB98" s="82"/>
      <c r="DC98" s="82"/>
      <c r="DD98" s="82"/>
      <c r="DE98" s="82"/>
      <c r="DF98" s="82"/>
      <c r="DG98" s="82"/>
      <c r="DH98" s="82"/>
      <c r="DI98" s="82"/>
      <c r="DJ98" s="82"/>
      <c r="DK98" s="82"/>
      <c r="DL98" s="82">
        <v>60</v>
      </c>
      <c r="DM98" s="82"/>
      <c r="DN98" s="82"/>
      <c r="DO98" s="82"/>
      <c r="DP98" s="82"/>
      <c r="DQ98" s="82"/>
      <c r="DR98" s="82"/>
      <c r="DS98" s="23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3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  <c r="GR98" s="26"/>
      <c r="GS98" s="23"/>
      <c r="GT98" s="26"/>
      <c r="GU98" s="26"/>
      <c r="GV98" s="26"/>
      <c r="GW98" s="26"/>
      <c r="GX98" s="26"/>
      <c r="GY98" s="26"/>
      <c r="GZ98" s="26"/>
      <c r="HA98" s="26"/>
      <c r="HB98" s="26"/>
      <c r="HC98" s="26"/>
      <c r="HD98" s="26"/>
      <c r="HE98" s="26"/>
      <c r="HF98" s="26"/>
      <c r="HG98" s="26"/>
      <c r="HH98" s="26"/>
      <c r="HI98" s="26"/>
      <c r="HJ98" s="26"/>
      <c r="HK98" s="26"/>
      <c r="HL98" s="26"/>
      <c r="HM98" s="26"/>
      <c r="HN98" s="26"/>
      <c r="HO98" s="26"/>
      <c r="HP98" s="26"/>
      <c r="HQ98" s="26"/>
      <c r="HR98" s="26"/>
      <c r="HS98" s="26"/>
      <c r="HT98" s="26"/>
      <c r="HU98" s="26"/>
      <c r="HV98" s="26"/>
      <c r="HW98" s="26"/>
      <c r="HX98" s="26"/>
      <c r="HY98" s="26"/>
      <c r="HZ98" s="26"/>
      <c r="IA98" s="26"/>
      <c r="IB98" s="26"/>
      <c r="IC98" s="26"/>
      <c r="ID98" s="26"/>
      <c r="IE98" s="26"/>
      <c r="IF98" s="23"/>
      <c r="IG98" s="26"/>
      <c r="IH98" s="26"/>
      <c r="II98" s="26"/>
      <c r="IJ98" s="26"/>
      <c r="IK98" s="26"/>
      <c r="IL98" s="26"/>
      <c r="IM98" s="26"/>
      <c r="IN98" s="26"/>
      <c r="IO98" s="26"/>
      <c r="IP98" s="26"/>
      <c r="IQ98" s="26"/>
      <c r="IR98" s="26"/>
      <c r="IS98" s="26"/>
      <c r="IT98" s="26"/>
      <c r="IU98" s="26"/>
      <c r="IV98" s="26"/>
      <c r="IW98" s="26"/>
      <c r="IX98" s="26"/>
      <c r="IY98" s="26"/>
      <c r="IZ98" s="26"/>
      <c r="JA98" s="26"/>
      <c r="JB98" s="26"/>
      <c r="JC98" s="26"/>
      <c r="JD98" s="26"/>
      <c r="JE98" s="26"/>
      <c r="JF98" s="26"/>
      <c r="JG98" s="26"/>
      <c r="JH98" s="26"/>
      <c r="JI98" s="26"/>
      <c r="JJ98" s="26"/>
      <c r="JK98" s="26"/>
      <c r="JL98" s="26"/>
      <c r="JM98" s="26"/>
      <c r="JN98" s="26"/>
      <c r="JO98" s="26"/>
      <c r="JP98" s="26"/>
      <c r="JQ98" s="26"/>
      <c r="JR98" s="26"/>
      <c r="JS98" s="23"/>
      <c r="JT98" s="26"/>
      <c r="JU98" s="26"/>
      <c r="JV98" s="26"/>
      <c r="JW98" s="26"/>
      <c r="JX98" s="26"/>
      <c r="JY98" s="26"/>
      <c r="JZ98" s="26"/>
      <c r="KA98" s="26"/>
      <c r="KB98" s="26"/>
      <c r="KC98" s="26"/>
      <c r="KD98" s="26"/>
      <c r="KE98" s="26"/>
      <c r="KF98" s="26"/>
      <c r="KG98" s="26"/>
      <c r="KH98" s="26"/>
      <c r="KI98" s="26"/>
      <c r="KJ98" s="26"/>
      <c r="KK98" s="26"/>
      <c r="KL98" s="26"/>
      <c r="KM98" s="26"/>
      <c r="KN98" s="26"/>
      <c r="KO98" s="26"/>
      <c r="KP98" s="26"/>
      <c r="KQ98" s="26"/>
      <c r="KR98" s="26"/>
      <c r="KS98" s="26"/>
      <c r="KT98" s="26"/>
      <c r="KU98" s="26"/>
      <c r="KV98" s="26"/>
      <c r="KW98" s="26"/>
      <c r="KX98" s="26"/>
      <c r="KY98" s="26"/>
      <c r="KZ98" s="26"/>
      <c r="LA98" s="26"/>
      <c r="LB98" s="26"/>
      <c r="LC98" s="26"/>
      <c r="LD98" s="26"/>
      <c r="LE98" s="26"/>
      <c r="LF98" s="23"/>
      <c r="LG98" s="26"/>
      <c r="LH98" s="26"/>
      <c r="LI98" s="26"/>
      <c r="LJ98" s="26"/>
      <c r="LK98" s="26"/>
      <c r="LL98" s="26"/>
      <c r="LM98" s="26"/>
      <c r="LN98" s="26"/>
      <c r="LO98" s="26"/>
      <c r="LP98" s="26"/>
      <c r="LQ98" s="26"/>
      <c r="LR98" s="26"/>
      <c r="LS98" s="26"/>
      <c r="LT98" s="26"/>
      <c r="LU98" s="26"/>
      <c r="LV98" s="26"/>
      <c r="LW98" s="26"/>
      <c r="LX98" s="26"/>
      <c r="LY98" s="26"/>
      <c r="LZ98" s="26"/>
      <c r="MA98" s="26"/>
      <c r="MB98" s="26"/>
      <c r="MC98" s="26"/>
      <c r="MD98" s="26"/>
      <c r="ME98" s="26"/>
      <c r="MF98" s="26"/>
      <c r="MG98" s="26"/>
      <c r="MH98" s="26"/>
      <c r="MI98" s="26"/>
      <c r="MJ98" s="26"/>
      <c r="MK98" s="26"/>
      <c r="ML98" s="26"/>
      <c r="MM98" s="26"/>
      <c r="MN98" s="26"/>
      <c r="MO98" s="26"/>
      <c r="MP98" s="26"/>
      <c r="MQ98" s="26"/>
      <c r="MR98" s="26"/>
      <c r="MS98" s="23"/>
      <c r="MT98" s="26"/>
      <c r="MU98" s="26"/>
      <c r="MV98" s="26"/>
      <c r="MW98" s="26"/>
      <c r="MX98" s="26"/>
      <c r="MY98" s="26"/>
      <c r="MZ98" s="26"/>
      <c r="NA98" s="26"/>
      <c r="NB98" s="26"/>
      <c r="NC98" s="26"/>
      <c r="ND98" s="26"/>
      <c r="NE98" s="26"/>
      <c r="NF98" s="26"/>
      <c r="NG98" s="26"/>
      <c r="NH98" s="26"/>
      <c r="NI98" s="26"/>
      <c r="NJ98" s="26"/>
      <c r="NK98" s="26"/>
      <c r="NL98" s="26"/>
      <c r="NM98" s="26"/>
      <c r="NN98" s="26"/>
      <c r="NO98" s="26"/>
      <c r="NP98" s="26"/>
      <c r="NQ98" s="26"/>
      <c r="NR98" s="26"/>
      <c r="NS98" s="26"/>
      <c r="NT98" s="26"/>
      <c r="NU98" s="26"/>
      <c r="NV98" s="26"/>
      <c r="NW98" s="26"/>
      <c r="NX98" s="26"/>
      <c r="NY98" s="26"/>
      <c r="NZ98" s="26"/>
      <c r="OA98" s="26"/>
      <c r="OB98" s="26"/>
      <c r="OC98" s="26"/>
      <c r="OD98" s="26"/>
      <c r="OE98" s="26"/>
      <c r="OF98" s="23"/>
      <c r="OG98" s="26"/>
      <c r="OH98" s="26"/>
      <c r="OI98" s="26"/>
      <c r="OJ98" s="26"/>
      <c r="OK98" s="26"/>
      <c r="OL98" s="26"/>
      <c r="OM98" s="26"/>
      <c r="ON98" s="26"/>
      <c r="OO98" s="26"/>
      <c r="OP98" s="26"/>
      <c r="OQ98" s="26"/>
      <c r="OR98" s="26"/>
      <c r="OS98" s="26"/>
      <c r="OT98" s="26"/>
      <c r="OU98" s="26"/>
      <c r="OV98" s="26"/>
      <c r="OW98" s="26"/>
      <c r="OX98" s="26"/>
      <c r="OY98" s="26"/>
      <c r="OZ98" s="26"/>
      <c r="PA98" s="26"/>
      <c r="PB98" s="26"/>
      <c r="PC98" s="26"/>
      <c r="PD98" s="26"/>
      <c r="PE98" s="26"/>
      <c r="PF98" s="26"/>
      <c r="PG98" s="26"/>
      <c r="PH98" s="26"/>
      <c r="PI98" s="26"/>
      <c r="PJ98" s="26"/>
      <c r="PK98" s="26"/>
      <c r="PL98" s="26"/>
      <c r="PM98" s="26"/>
      <c r="PN98" s="26"/>
      <c r="PO98" s="26"/>
      <c r="PP98" s="26"/>
      <c r="PQ98" s="26"/>
      <c r="PR98" s="26"/>
    </row>
    <row r="99" spans="1:434" x14ac:dyDescent="0.25">
      <c r="A99" s="24"/>
      <c r="B99" s="25" t="s">
        <v>165</v>
      </c>
      <c r="C99" s="24" t="s">
        <v>70</v>
      </c>
      <c r="D99" s="24" t="s">
        <v>67</v>
      </c>
      <c r="E99" s="24"/>
      <c r="F99" s="23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3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83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82"/>
      <c r="CU99" s="82"/>
      <c r="CV99" s="82"/>
      <c r="CW99" s="82"/>
      <c r="CX99" s="82"/>
      <c r="CY99" s="82"/>
      <c r="CZ99" s="82"/>
      <c r="DA99" s="82">
        <v>30</v>
      </c>
      <c r="DB99" s="82"/>
      <c r="DC99" s="82"/>
      <c r="DD99" s="82"/>
      <c r="DE99" s="82"/>
      <c r="DF99" s="82"/>
      <c r="DG99" s="82"/>
      <c r="DH99" s="82"/>
      <c r="DI99" s="82"/>
      <c r="DJ99" s="82"/>
      <c r="DK99" s="82"/>
      <c r="DL99" s="82">
        <v>20</v>
      </c>
      <c r="DM99" s="82"/>
      <c r="DN99" s="82"/>
      <c r="DO99" s="82"/>
      <c r="DP99" s="82"/>
      <c r="DQ99" s="82"/>
      <c r="DR99" s="82"/>
      <c r="DS99" s="23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3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  <c r="GR99" s="26"/>
      <c r="GS99" s="23"/>
      <c r="GT99" s="26"/>
      <c r="GU99" s="26"/>
      <c r="GV99" s="26"/>
      <c r="GW99" s="26"/>
      <c r="GX99" s="26"/>
      <c r="GY99" s="26"/>
      <c r="GZ99" s="26"/>
      <c r="HA99" s="26"/>
      <c r="HB99" s="26"/>
      <c r="HC99" s="26"/>
      <c r="HD99" s="26"/>
      <c r="HE99" s="26"/>
      <c r="HF99" s="26"/>
      <c r="HG99" s="26"/>
      <c r="HH99" s="26"/>
      <c r="HI99" s="26"/>
      <c r="HJ99" s="26"/>
      <c r="HK99" s="26"/>
      <c r="HL99" s="26"/>
      <c r="HM99" s="26"/>
      <c r="HN99" s="26"/>
      <c r="HO99" s="26"/>
      <c r="HP99" s="26"/>
      <c r="HQ99" s="26"/>
      <c r="HR99" s="26"/>
      <c r="HS99" s="26"/>
      <c r="HT99" s="26"/>
      <c r="HU99" s="26"/>
      <c r="HV99" s="26"/>
      <c r="HW99" s="26"/>
      <c r="HX99" s="26"/>
      <c r="HY99" s="26"/>
      <c r="HZ99" s="26"/>
      <c r="IA99" s="26"/>
      <c r="IB99" s="26"/>
      <c r="IC99" s="26"/>
      <c r="ID99" s="26"/>
      <c r="IE99" s="26"/>
      <c r="IF99" s="23"/>
      <c r="IG99" s="26"/>
      <c r="IH99" s="26"/>
      <c r="II99" s="26"/>
      <c r="IJ99" s="26"/>
      <c r="IK99" s="26"/>
      <c r="IL99" s="26"/>
      <c r="IM99" s="26"/>
      <c r="IN99" s="26"/>
      <c r="IO99" s="26"/>
      <c r="IP99" s="26"/>
      <c r="IQ99" s="26"/>
      <c r="IR99" s="26"/>
      <c r="IS99" s="26"/>
      <c r="IT99" s="26"/>
      <c r="IU99" s="26"/>
      <c r="IV99" s="26"/>
      <c r="IW99" s="26"/>
      <c r="IX99" s="26"/>
      <c r="IY99" s="26"/>
      <c r="IZ99" s="26"/>
      <c r="JA99" s="26"/>
      <c r="JB99" s="26"/>
      <c r="JC99" s="26"/>
      <c r="JD99" s="26"/>
      <c r="JE99" s="26"/>
      <c r="JF99" s="26"/>
      <c r="JG99" s="26"/>
      <c r="JH99" s="26"/>
      <c r="JI99" s="26"/>
      <c r="JJ99" s="26"/>
      <c r="JK99" s="26"/>
      <c r="JL99" s="26"/>
      <c r="JM99" s="26"/>
      <c r="JN99" s="26"/>
      <c r="JO99" s="26"/>
      <c r="JP99" s="26"/>
      <c r="JQ99" s="26"/>
      <c r="JR99" s="26"/>
      <c r="JS99" s="23"/>
      <c r="JT99" s="26"/>
      <c r="JU99" s="26"/>
      <c r="JV99" s="26"/>
      <c r="JW99" s="26"/>
      <c r="JX99" s="26"/>
      <c r="JY99" s="26"/>
      <c r="JZ99" s="26"/>
      <c r="KA99" s="26"/>
      <c r="KB99" s="26"/>
      <c r="KC99" s="26"/>
      <c r="KD99" s="26"/>
      <c r="KE99" s="26"/>
      <c r="KF99" s="26"/>
      <c r="KG99" s="26"/>
      <c r="KH99" s="26"/>
      <c r="KI99" s="26"/>
      <c r="KJ99" s="26"/>
      <c r="KK99" s="26"/>
      <c r="KL99" s="26"/>
      <c r="KM99" s="26"/>
      <c r="KN99" s="26"/>
      <c r="KO99" s="26"/>
      <c r="KP99" s="26"/>
      <c r="KQ99" s="26"/>
      <c r="KR99" s="26"/>
      <c r="KS99" s="26"/>
      <c r="KT99" s="26"/>
      <c r="KU99" s="26"/>
      <c r="KV99" s="26"/>
      <c r="KW99" s="26"/>
      <c r="KX99" s="26"/>
      <c r="KY99" s="26"/>
      <c r="KZ99" s="26"/>
      <c r="LA99" s="26"/>
      <c r="LB99" s="26"/>
      <c r="LC99" s="26"/>
      <c r="LD99" s="26"/>
      <c r="LE99" s="26"/>
      <c r="LF99" s="23"/>
      <c r="LG99" s="26"/>
      <c r="LH99" s="26"/>
      <c r="LI99" s="26"/>
      <c r="LJ99" s="26"/>
      <c r="LK99" s="26"/>
      <c r="LL99" s="26"/>
      <c r="LM99" s="26"/>
      <c r="LN99" s="26"/>
      <c r="LO99" s="26"/>
      <c r="LP99" s="26"/>
      <c r="LQ99" s="26"/>
      <c r="LR99" s="26"/>
      <c r="LS99" s="26"/>
      <c r="LT99" s="26"/>
      <c r="LU99" s="26"/>
      <c r="LV99" s="26"/>
      <c r="LW99" s="26"/>
      <c r="LX99" s="26"/>
      <c r="LY99" s="26"/>
      <c r="LZ99" s="26"/>
      <c r="MA99" s="26"/>
      <c r="MB99" s="26"/>
      <c r="MC99" s="26"/>
      <c r="MD99" s="26"/>
      <c r="ME99" s="26"/>
      <c r="MF99" s="26"/>
      <c r="MG99" s="26"/>
      <c r="MH99" s="26"/>
      <c r="MI99" s="26"/>
      <c r="MJ99" s="26"/>
      <c r="MK99" s="26"/>
      <c r="ML99" s="26"/>
      <c r="MM99" s="26"/>
      <c r="MN99" s="26"/>
      <c r="MO99" s="26"/>
      <c r="MP99" s="26"/>
      <c r="MQ99" s="26"/>
      <c r="MR99" s="26"/>
      <c r="MS99" s="23"/>
      <c r="MT99" s="26"/>
      <c r="MU99" s="26"/>
      <c r="MV99" s="26"/>
      <c r="MW99" s="26"/>
      <c r="MX99" s="26"/>
      <c r="MY99" s="26"/>
      <c r="MZ99" s="26"/>
      <c r="NA99" s="26"/>
      <c r="NB99" s="26"/>
      <c r="NC99" s="26"/>
      <c r="ND99" s="26"/>
      <c r="NE99" s="26"/>
      <c r="NF99" s="26"/>
      <c r="NG99" s="26"/>
      <c r="NH99" s="26"/>
      <c r="NI99" s="26"/>
      <c r="NJ99" s="26"/>
      <c r="NK99" s="26"/>
      <c r="NL99" s="26"/>
      <c r="NM99" s="26"/>
      <c r="NN99" s="26"/>
      <c r="NO99" s="26"/>
      <c r="NP99" s="26"/>
      <c r="NQ99" s="26"/>
      <c r="NR99" s="26"/>
      <c r="NS99" s="26"/>
      <c r="NT99" s="26"/>
      <c r="NU99" s="26"/>
      <c r="NV99" s="26"/>
      <c r="NW99" s="26"/>
      <c r="NX99" s="26"/>
      <c r="NY99" s="26"/>
      <c r="NZ99" s="26"/>
      <c r="OA99" s="26"/>
      <c r="OB99" s="26"/>
      <c r="OC99" s="26"/>
      <c r="OD99" s="26"/>
      <c r="OE99" s="26"/>
      <c r="OF99" s="23"/>
      <c r="OG99" s="26"/>
      <c r="OH99" s="26"/>
      <c r="OI99" s="26"/>
      <c r="OJ99" s="26"/>
      <c r="OK99" s="26"/>
      <c r="OL99" s="26"/>
      <c r="OM99" s="26"/>
      <c r="ON99" s="26"/>
      <c r="OO99" s="26"/>
      <c r="OP99" s="26"/>
      <c r="OQ99" s="26"/>
      <c r="OR99" s="26"/>
      <c r="OS99" s="26"/>
      <c r="OT99" s="26"/>
      <c r="OU99" s="26"/>
      <c r="OV99" s="26"/>
      <c r="OW99" s="26"/>
      <c r="OX99" s="26"/>
      <c r="OY99" s="26"/>
      <c r="OZ99" s="26"/>
      <c r="PA99" s="26"/>
      <c r="PB99" s="26"/>
      <c r="PC99" s="26"/>
      <c r="PD99" s="26"/>
      <c r="PE99" s="26"/>
      <c r="PF99" s="26"/>
      <c r="PG99" s="26"/>
      <c r="PH99" s="26"/>
      <c r="PI99" s="26"/>
      <c r="PJ99" s="26"/>
      <c r="PK99" s="26"/>
      <c r="PL99" s="26"/>
      <c r="PM99" s="26"/>
      <c r="PN99" s="26"/>
      <c r="PO99" s="26"/>
      <c r="PP99" s="26"/>
      <c r="PQ99" s="26"/>
      <c r="PR99" s="26"/>
    </row>
    <row r="100" spans="1:434" x14ac:dyDescent="0.25">
      <c r="A100" s="24"/>
      <c r="B100" s="25" t="s">
        <v>166</v>
      </c>
      <c r="C100" s="24" t="s">
        <v>66</v>
      </c>
      <c r="D100" s="24" t="s">
        <v>67</v>
      </c>
      <c r="E100" s="24"/>
      <c r="F100" s="23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3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83"/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>
        <v>1</v>
      </c>
      <c r="CR100" s="82"/>
      <c r="CS100" s="82"/>
      <c r="CT100" s="82">
        <v>20</v>
      </c>
      <c r="CU100" s="82"/>
      <c r="CV100" s="82"/>
      <c r="CW100" s="82"/>
      <c r="CX100" s="82"/>
      <c r="CY100" s="82"/>
      <c r="CZ100" s="82"/>
      <c r="DA100" s="82">
        <v>10</v>
      </c>
      <c r="DB100" s="82"/>
      <c r="DC100" s="82"/>
      <c r="DD100" s="82"/>
      <c r="DE100" s="82"/>
      <c r="DF100" s="82"/>
      <c r="DG100" s="82"/>
      <c r="DH100" s="82"/>
      <c r="DI100" s="82"/>
      <c r="DJ100" s="82"/>
      <c r="DK100" s="82"/>
      <c r="DL100" s="82">
        <v>40</v>
      </c>
      <c r="DM100" s="82"/>
      <c r="DN100" s="82"/>
      <c r="DO100" s="82"/>
      <c r="DP100" s="82"/>
      <c r="DQ100" s="82"/>
      <c r="DR100" s="82"/>
      <c r="DS100" s="23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3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  <c r="GR100" s="26"/>
      <c r="GS100" s="23"/>
      <c r="GT100" s="26"/>
      <c r="GU100" s="26"/>
      <c r="GV100" s="26"/>
      <c r="GW100" s="26"/>
      <c r="GX100" s="26"/>
      <c r="GY100" s="26"/>
      <c r="GZ100" s="26"/>
      <c r="HA100" s="26"/>
      <c r="HB100" s="26"/>
      <c r="HC100" s="26"/>
      <c r="HD100" s="26"/>
      <c r="HE100" s="26"/>
      <c r="HF100" s="26"/>
      <c r="HG100" s="26"/>
      <c r="HH100" s="26"/>
      <c r="HI100" s="26"/>
      <c r="HJ100" s="26"/>
      <c r="HK100" s="26"/>
      <c r="HL100" s="26"/>
      <c r="HM100" s="26"/>
      <c r="HN100" s="26"/>
      <c r="HO100" s="26"/>
      <c r="HP100" s="26"/>
      <c r="HQ100" s="26"/>
      <c r="HR100" s="26"/>
      <c r="HS100" s="26"/>
      <c r="HT100" s="26"/>
      <c r="HU100" s="26"/>
      <c r="HV100" s="26"/>
      <c r="HW100" s="26"/>
      <c r="HX100" s="26"/>
      <c r="HY100" s="26"/>
      <c r="HZ100" s="26"/>
      <c r="IA100" s="26"/>
      <c r="IB100" s="26"/>
      <c r="IC100" s="26"/>
      <c r="ID100" s="26"/>
      <c r="IE100" s="26"/>
      <c r="IF100" s="23"/>
      <c r="IG100" s="26"/>
      <c r="IH100" s="26"/>
      <c r="II100" s="26"/>
      <c r="IJ100" s="26"/>
      <c r="IK100" s="26"/>
      <c r="IL100" s="26"/>
      <c r="IM100" s="26"/>
      <c r="IN100" s="26"/>
      <c r="IO100" s="26"/>
      <c r="IP100" s="26"/>
      <c r="IQ100" s="26"/>
      <c r="IR100" s="26"/>
      <c r="IS100" s="26"/>
      <c r="IT100" s="26"/>
      <c r="IU100" s="26"/>
      <c r="IV100" s="26"/>
      <c r="IW100" s="26"/>
      <c r="IX100" s="26"/>
      <c r="IY100" s="26"/>
      <c r="IZ100" s="26"/>
      <c r="JA100" s="26"/>
      <c r="JB100" s="26"/>
      <c r="JC100" s="26"/>
      <c r="JD100" s="26"/>
      <c r="JE100" s="26"/>
      <c r="JF100" s="26"/>
      <c r="JG100" s="26"/>
      <c r="JH100" s="26"/>
      <c r="JI100" s="26"/>
      <c r="JJ100" s="26"/>
      <c r="JK100" s="26"/>
      <c r="JL100" s="26"/>
      <c r="JM100" s="26"/>
      <c r="JN100" s="26"/>
      <c r="JO100" s="26"/>
      <c r="JP100" s="26"/>
      <c r="JQ100" s="26"/>
      <c r="JR100" s="26"/>
      <c r="JS100" s="23"/>
      <c r="JT100" s="26"/>
      <c r="JU100" s="26"/>
      <c r="JV100" s="26"/>
      <c r="JW100" s="26"/>
      <c r="JX100" s="26"/>
      <c r="JY100" s="26"/>
      <c r="JZ100" s="26"/>
      <c r="KA100" s="26"/>
      <c r="KB100" s="26"/>
      <c r="KC100" s="26"/>
      <c r="KD100" s="26"/>
      <c r="KE100" s="26"/>
      <c r="KF100" s="26"/>
      <c r="KG100" s="26"/>
      <c r="KH100" s="26"/>
      <c r="KI100" s="26"/>
      <c r="KJ100" s="26"/>
      <c r="KK100" s="26"/>
      <c r="KL100" s="26"/>
      <c r="KM100" s="26"/>
      <c r="KN100" s="26"/>
      <c r="KO100" s="26"/>
      <c r="KP100" s="26"/>
      <c r="KQ100" s="26"/>
      <c r="KR100" s="26"/>
      <c r="KS100" s="26"/>
      <c r="KT100" s="26"/>
      <c r="KU100" s="26"/>
      <c r="KV100" s="26"/>
      <c r="KW100" s="26"/>
      <c r="KX100" s="26"/>
      <c r="KY100" s="26"/>
      <c r="KZ100" s="26"/>
      <c r="LA100" s="26"/>
      <c r="LB100" s="26"/>
      <c r="LC100" s="26"/>
      <c r="LD100" s="26"/>
      <c r="LE100" s="26"/>
      <c r="LF100" s="23"/>
      <c r="LG100" s="26"/>
      <c r="LH100" s="26"/>
      <c r="LI100" s="26"/>
      <c r="LJ100" s="26"/>
      <c r="LK100" s="26"/>
      <c r="LL100" s="26"/>
      <c r="LM100" s="26"/>
      <c r="LN100" s="26"/>
      <c r="LO100" s="26"/>
      <c r="LP100" s="26"/>
      <c r="LQ100" s="26"/>
      <c r="LR100" s="26"/>
      <c r="LS100" s="26"/>
      <c r="LT100" s="26"/>
      <c r="LU100" s="26"/>
      <c r="LV100" s="26"/>
      <c r="LW100" s="26"/>
      <c r="LX100" s="26"/>
      <c r="LY100" s="26"/>
      <c r="LZ100" s="26"/>
      <c r="MA100" s="26"/>
      <c r="MB100" s="26"/>
      <c r="MC100" s="26"/>
      <c r="MD100" s="26"/>
      <c r="ME100" s="26"/>
      <c r="MF100" s="26"/>
      <c r="MG100" s="26"/>
      <c r="MH100" s="26"/>
      <c r="MI100" s="26"/>
      <c r="MJ100" s="26"/>
      <c r="MK100" s="26"/>
      <c r="ML100" s="26"/>
      <c r="MM100" s="26"/>
      <c r="MN100" s="26"/>
      <c r="MO100" s="26"/>
      <c r="MP100" s="26"/>
      <c r="MQ100" s="26"/>
      <c r="MR100" s="26"/>
      <c r="MS100" s="23"/>
      <c r="MT100" s="26"/>
      <c r="MU100" s="26"/>
      <c r="MV100" s="26"/>
      <c r="MW100" s="26"/>
      <c r="MX100" s="26"/>
      <c r="MY100" s="26"/>
      <c r="MZ100" s="26"/>
      <c r="NA100" s="26"/>
      <c r="NB100" s="26"/>
      <c r="NC100" s="26"/>
      <c r="ND100" s="26"/>
      <c r="NE100" s="26"/>
      <c r="NF100" s="26"/>
      <c r="NG100" s="26"/>
      <c r="NH100" s="26"/>
      <c r="NI100" s="26"/>
      <c r="NJ100" s="26"/>
      <c r="NK100" s="26"/>
      <c r="NL100" s="26"/>
      <c r="NM100" s="26"/>
      <c r="NN100" s="26"/>
      <c r="NO100" s="26"/>
      <c r="NP100" s="26"/>
      <c r="NQ100" s="26"/>
      <c r="NR100" s="26"/>
      <c r="NS100" s="26"/>
      <c r="NT100" s="26"/>
      <c r="NU100" s="26"/>
      <c r="NV100" s="26"/>
      <c r="NW100" s="26"/>
      <c r="NX100" s="26"/>
      <c r="NY100" s="26"/>
      <c r="NZ100" s="26"/>
      <c r="OA100" s="26"/>
      <c r="OB100" s="26"/>
      <c r="OC100" s="26"/>
      <c r="OD100" s="26"/>
      <c r="OE100" s="26"/>
      <c r="OF100" s="23"/>
      <c r="OG100" s="26"/>
      <c r="OH100" s="26"/>
      <c r="OI100" s="26"/>
      <c r="OJ100" s="26"/>
      <c r="OK100" s="26"/>
      <c r="OL100" s="26"/>
      <c r="OM100" s="26"/>
      <c r="ON100" s="26"/>
      <c r="OO100" s="26"/>
      <c r="OP100" s="26"/>
      <c r="OQ100" s="26"/>
      <c r="OR100" s="26"/>
      <c r="OS100" s="26"/>
      <c r="OT100" s="26"/>
      <c r="OU100" s="26"/>
      <c r="OV100" s="26"/>
      <c r="OW100" s="26"/>
      <c r="OX100" s="26"/>
      <c r="OY100" s="26"/>
      <c r="OZ100" s="26"/>
      <c r="PA100" s="26"/>
      <c r="PB100" s="26"/>
      <c r="PC100" s="26"/>
      <c r="PD100" s="26"/>
      <c r="PE100" s="26"/>
      <c r="PF100" s="26"/>
      <c r="PG100" s="26"/>
      <c r="PH100" s="26"/>
      <c r="PI100" s="26"/>
      <c r="PJ100" s="26"/>
      <c r="PK100" s="26"/>
      <c r="PL100" s="26"/>
      <c r="PM100" s="26"/>
      <c r="PN100" s="26"/>
      <c r="PO100" s="26"/>
      <c r="PP100" s="26"/>
      <c r="PQ100" s="26"/>
      <c r="PR100" s="26"/>
    </row>
    <row r="101" spans="1:434" x14ac:dyDescent="0.25">
      <c r="A101" s="24"/>
      <c r="B101" s="25" t="s">
        <v>167</v>
      </c>
      <c r="C101" s="24" t="s">
        <v>70</v>
      </c>
      <c r="D101" s="24" t="s">
        <v>67</v>
      </c>
      <c r="E101" s="24"/>
      <c r="F101" s="23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3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83"/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>
        <v>2</v>
      </c>
      <c r="CR101" s="82"/>
      <c r="CS101" s="82"/>
      <c r="CT101" s="82">
        <v>5</v>
      </c>
      <c r="CU101" s="82"/>
      <c r="CV101" s="82"/>
      <c r="CW101" s="82"/>
      <c r="CX101" s="82"/>
      <c r="CY101" s="82"/>
      <c r="CZ101" s="82"/>
      <c r="DA101" s="82">
        <v>3</v>
      </c>
      <c r="DB101" s="82"/>
      <c r="DC101" s="82"/>
      <c r="DD101" s="82"/>
      <c r="DE101" s="82"/>
      <c r="DF101" s="82"/>
      <c r="DG101" s="82"/>
      <c r="DH101" s="82"/>
      <c r="DI101" s="82"/>
      <c r="DJ101" s="82"/>
      <c r="DK101" s="82"/>
      <c r="DL101" s="82">
        <v>75</v>
      </c>
      <c r="DM101" s="82"/>
      <c r="DN101" s="82"/>
      <c r="DO101" s="82"/>
      <c r="DP101" s="82"/>
      <c r="DQ101" s="82"/>
      <c r="DR101" s="82"/>
      <c r="DS101" s="23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3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  <c r="GR101" s="26"/>
      <c r="GS101" s="23"/>
      <c r="GT101" s="26"/>
      <c r="GU101" s="26"/>
      <c r="GV101" s="26"/>
      <c r="GW101" s="26"/>
      <c r="GX101" s="26"/>
      <c r="GY101" s="26"/>
      <c r="GZ101" s="26"/>
      <c r="HA101" s="26"/>
      <c r="HB101" s="26"/>
      <c r="HC101" s="26"/>
      <c r="HD101" s="26"/>
      <c r="HE101" s="26"/>
      <c r="HF101" s="26"/>
      <c r="HG101" s="26"/>
      <c r="HH101" s="26"/>
      <c r="HI101" s="26"/>
      <c r="HJ101" s="26"/>
      <c r="HK101" s="26"/>
      <c r="HL101" s="26"/>
      <c r="HM101" s="26"/>
      <c r="HN101" s="26"/>
      <c r="HO101" s="26"/>
      <c r="HP101" s="26"/>
      <c r="HQ101" s="26"/>
      <c r="HR101" s="26"/>
      <c r="HS101" s="26"/>
      <c r="HT101" s="26"/>
      <c r="HU101" s="26"/>
      <c r="HV101" s="26"/>
      <c r="HW101" s="26"/>
      <c r="HX101" s="26"/>
      <c r="HY101" s="26"/>
      <c r="HZ101" s="26"/>
      <c r="IA101" s="26"/>
      <c r="IB101" s="26"/>
      <c r="IC101" s="26"/>
      <c r="ID101" s="26"/>
      <c r="IE101" s="26"/>
      <c r="IF101" s="23"/>
      <c r="IG101" s="26"/>
      <c r="IH101" s="26"/>
      <c r="II101" s="26"/>
      <c r="IJ101" s="26"/>
      <c r="IK101" s="26"/>
      <c r="IL101" s="26"/>
      <c r="IM101" s="26"/>
      <c r="IN101" s="26"/>
      <c r="IO101" s="26"/>
      <c r="IP101" s="26"/>
      <c r="IQ101" s="26"/>
      <c r="IR101" s="26"/>
      <c r="IS101" s="26"/>
      <c r="IT101" s="26"/>
      <c r="IU101" s="26"/>
      <c r="IV101" s="26"/>
      <c r="IW101" s="26"/>
      <c r="IX101" s="26"/>
      <c r="IY101" s="26"/>
      <c r="IZ101" s="26"/>
      <c r="JA101" s="26"/>
      <c r="JB101" s="26"/>
      <c r="JC101" s="26"/>
      <c r="JD101" s="26"/>
      <c r="JE101" s="26"/>
      <c r="JF101" s="26"/>
      <c r="JG101" s="26"/>
      <c r="JH101" s="26"/>
      <c r="JI101" s="26"/>
      <c r="JJ101" s="26"/>
      <c r="JK101" s="26"/>
      <c r="JL101" s="26"/>
      <c r="JM101" s="26"/>
      <c r="JN101" s="26"/>
      <c r="JO101" s="26"/>
      <c r="JP101" s="26"/>
      <c r="JQ101" s="26"/>
      <c r="JR101" s="26"/>
      <c r="JS101" s="23"/>
      <c r="JT101" s="26"/>
      <c r="JU101" s="26"/>
      <c r="JV101" s="26"/>
      <c r="JW101" s="26"/>
      <c r="JX101" s="26"/>
      <c r="JY101" s="26"/>
      <c r="JZ101" s="26"/>
      <c r="KA101" s="26"/>
      <c r="KB101" s="26"/>
      <c r="KC101" s="26"/>
      <c r="KD101" s="26"/>
      <c r="KE101" s="26"/>
      <c r="KF101" s="26"/>
      <c r="KG101" s="26"/>
      <c r="KH101" s="26"/>
      <c r="KI101" s="26"/>
      <c r="KJ101" s="26"/>
      <c r="KK101" s="26"/>
      <c r="KL101" s="26"/>
      <c r="KM101" s="26"/>
      <c r="KN101" s="26"/>
      <c r="KO101" s="26"/>
      <c r="KP101" s="26"/>
      <c r="KQ101" s="26"/>
      <c r="KR101" s="26"/>
      <c r="KS101" s="26"/>
      <c r="KT101" s="26"/>
      <c r="KU101" s="26"/>
      <c r="KV101" s="26"/>
      <c r="KW101" s="26"/>
      <c r="KX101" s="26"/>
      <c r="KY101" s="26"/>
      <c r="KZ101" s="26"/>
      <c r="LA101" s="26"/>
      <c r="LB101" s="26"/>
      <c r="LC101" s="26"/>
      <c r="LD101" s="26"/>
      <c r="LE101" s="26"/>
      <c r="LF101" s="23"/>
      <c r="LG101" s="26"/>
      <c r="LH101" s="26"/>
      <c r="LI101" s="26"/>
      <c r="LJ101" s="26"/>
      <c r="LK101" s="26"/>
      <c r="LL101" s="26"/>
      <c r="LM101" s="26"/>
      <c r="LN101" s="26"/>
      <c r="LO101" s="26"/>
      <c r="LP101" s="26"/>
      <c r="LQ101" s="26"/>
      <c r="LR101" s="26"/>
      <c r="LS101" s="26"/>
      <c r="LT101" s="26"/>
      <c r="LU101" s="26"/>
      <c r="LV101" s="26"/>
      <c r="LW101" s="26"/>
      <c r="LX101" s="26"/>
      <c r="LY101" s="26"/>
      <c r="LZ101" s="26"/>
      <c r="MA101" s="26"/>
      <c r="MB101" s="26"/>
      <c r="MC101" s="26"/>
      <c r="MD101" s="26"/>
      <c r="ME101" s="26"/>
      <c r="MF101" s="26"/>
      <c r="MG101" s="26"/>
      <c r="MH101" s="26"/>
      <c r="MI101" s="26"/>
      <c r="MJ101" s="26"/>
      <c r="MK101" s="26"/>
      <c r="ML101" s="26"/>
      <c r="MM101" s="26"/>
      <c r="MN101" s="26"/>
      <c r="MO101" s="26"/>
      <c r="MP101" s="26"/>
      <c r="MQ101" s="26"/>
      <c r="MR101" s="26"/>
      <c r="MS101" s="23"/>
      <c r="MT101" s="26"/>
      <c r="MU101" s="26"/>
      <c r="MV101" s="26"/>
      <c r="MW101" s="26"/>
      <c r="MX101" s="26"/>
      <c r="MY101" s="26"/>
      <c r="MZ101" s="26"/>
      <c r="NA101" s="26"/>
      <c r="NB101" s="26"/>
      <c r="NC101" s="26"/>
      <c r="ND101" s="26"/>
      <c r="NE101" s="26"/>
      <c r="NF101" s="26"/>
      <c r="NG101" s="26"/>
      <c r="NH101" s="26"/>
      <c r="NI101" s="26"/>
      <c r="NJ101" s="26"/>
      <c r="NK101" s="26"/>
      <c r="NL101" s="26"/>
      <c r="NM101" s="26"/>
      <c r="NN101" s="26"/>
      <c r="NO101" s="26"/>
      <c r="NP101" s="26"/>
      <c r="NQ101" s="26"/>
      <c r="NR101" s="26"/>
      <c r="NS101" s="26"/>
      <c r="NT101" s="26"/>
      <c r="NU101" s="26"/>
      <c r="NV101" s="26"/>
      <c r="NW101" s="26"/>
      <c r="NX101" s="26"/>
      <c r="NY101" s="26"/>
      <c r="NZ101" s="26"/>
      <c r="OA101" s="26"/>
      <c r="OB101" s="26"/>
      <c r="OC101" s="26"/>
      <c r="OD101" s="26"/>
      <c r="OE101" s="26"/>
      <c r="OF101" s="23"/>
      <c r="OG101" s="26"/>
      <c r="OH101" s="26"/>
      <c r="OI101" s="26"/>
      <c r="OJ101" s="26"/>
      <c r="OK101" s="26"/>
      <c r="OL101" s="26"/>
      <c r="OM101" s="26"/>
      <c r="ON101" s="26"/>
      <c r="OO101" s="26"/>
      <c r="OP101" s="26"/>
      <c r="OQ101" s="26"/>
      <c r="OR101" s="26"/>
      <c r="OS101" s="26"/>
      <c r="OT101" s="26"/>
      <c r="OU101" s="26"/>
      <c r="OV101" s="26"/>
      <c r="OW101" s="26"/>
      <c r="OX101" s="26"/>
      <c r="OY101" s="26"/>
      <c r="OZ101" s="26"/>
      <c r="PA101" s="26"/>
      <c r="PB101" s="26"/>
      <c r="PC101" s="26"/>
      <c r="PD101" s="26"/>
      <c r="PE101" s="26"/>
      <c r="PF101" s="26"/>
      <c r="PG101" s="26"/>
      <c r="PH101" s="26"/>
      <c r="PI101" s="26"/>
      <c r="PJ101" s="26"/>
      <c r="PK101" s="26"/>
      <c r="PL101" s="26"/>
      <c r="PM101" s="26"/>
      <c r="PN101" s="26"/>
      <c r="PO101" s="26"/>
      <c r="PP101" s="26"/>
      <c r="PQ101" s="26"/>
      <c r="PR101" s="26"/>
    </row>
    <row r="102" spans="1:434" x14ac:dyDescent="0.25">
      <c r="A102" s="24"/>
      <c r="B102" s="25" t="s">
        <v>168</v>
      </c>
      <c r="C102" s="24" t="s">
        <v>66</v>
      </c>
      <c r="D102" s="24" t="s">
        <v>67</v>
      </c>
      <c r="E102" s="24"/>
      <c r="F102" s="23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3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83"/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  <c r="CT102" s="82"/>
      <c r="CU102" s="82"/>
      <c r="CV102" s="82"/>
      <c r="CW102" s="82"/>
      <c r="CX102" s="82"/>
      <c r="CY102" s="82"/>
      <c r="CZ102" s="82"/>
      <c r="DA102" s="82"/>
      <c r="DB102" s="82"/>
      <c r="DC102" s="82"/>
      <c r="DD102" s="82"/>
      <c r="DE102" s="82"/>
      <c r="DF102" s="82"/>
      <c r="DG102" s="82"/>
      <c r="DH102" s="82"/>
      <c r="DI102" s="82"/>
      <c r="DJ102" s="82"/>
      <c r="DK102" s="82"/>
      <c r="DL102" s="82">
        <v>40</v>
      </c>
      <c r="DM102" s="82"/>
      <c r="DN102" s="82"/>
      <c r="DO102" s="82"/>
      <c r="DP102" s="82"/>
      <c r="DQ102" s="82"/>
      <c r="DR102" s="82"/>
      <c r="DS102" s="23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3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  <c r="GR102" s="26"/>
      <c r="GS102" s="23"/>
      <c r="GT102" s="26"/>
      <c r="GU102" s="26"/>
      <c r="GV102" s="26"/>
      <c r="GW102" s="26"/>
      <c r="GX102" s="26"/>
      <c r="GY102" s="26"/>
      <c r="GZ102" s="26"/>
      <c r="HA102" s="26"/>
      <c r="HB102" s="26"/>
      <c r="HC102" s="26"/>
      <c r="HD102" s="26"/>
      <c r="HE102" s="26"/>
      <c r="HF102" s="26"/>
      <c r="HG102" s="26"/>
      <c r="HH102" s="26"/>
      <c r="HI102" s="26"/>
      <c r="HJ102" s="26"/>
      <c r="HK102" s="26"/>
      <c r="HL102" s="26"/>
      <c r="HM102" s="26"/>
      <c r="HN102" s="26"/>
      <c r="HO102" s="26"/>
      <c r="HP102" s="26"/>
      <c r="HQ102" s="26"/>
      <c r="HR102" s="26"/>
      <c r="HS102" s="26"/>
      <c r="HT102" s="26"/>
      <c r="HU102" s="26"/>
      <c r="HV102" s="26"/>
      <c r="HW102" s="26"/>
      <c r="HX102" s="26"/>
      <c r="HY102" s="26"/>
      <c r="HZ102" s="26"/>
      <c r="IA102" s="26"/>
      <c r="IB102" s="26"/>
      <c r="IC102" s="26"/>
      <c r="ID102" s="26"/>
      <c r="IE102" s="26"/>
      <c r="IF102" s="23"/>
      <c r="IG102" s="26"/>
      <c r="IH102" s="26"/>
      <c r="II102" s="26"/>
      <c r="IJ102" s="26"/>
      <c r="IK102" s="26"/>
      <c r="IL102" s="26"/>
      <c r="IM102" s="26"/>
      <c r="IN102" s="26"/>
      <c r="IO102" s="26"/>
      <c r="IP102" s="26"/>
      <c r="IQ102" s="26"/>
      <c r="IR102" s="26"/>
      <c r="IS102" s="26"/>
      <c r="IT102" s="26"/>
      <c r="IU102" s="26"/>
      <c r="IV102" s="26"/>
      <c r="IW102" s="26"/>
      <c r="IX102" s="26"/>
      <c r="IY102" s="26"/>
      <c r="IZ102" s="26"/>
      <c r="JA102" s="26"/>
      <c r="JB102" s="26"/>
      <c r="JC102" s="26"/>
      <c r="JD102" s="26"/>
      <c r="JE102" s="26"/>
      <c r="JF102" s="26"/>
      <c r="JG102" s="26"/>
      <c r="JH102" s="26"/>
      <c r="JI102" s="26"/>
      <c r="JJ102" s="26"/>
      <c r="JK102" s="26"/>
      <c r="JL102" s="26"/>
      <c r="JM102" s="26"/>
      <c r="JN102" s="26"/>
      <c r="JO102" s="26"/>
      <c r="JP102" s="26"/>
      <c r="JQ102" s="26"/>
      <c r="JR102" s="26"/>
      <c r="JS102" s="23"/>
      <c r="JT102" s="26"/>
      <c r="JU102" s="26"/>
      <c r="JV102" s="26"/>
      <c r="JW102" s="26"/>
      <c r="JX102" s="26"/>
      <c r="JY102" s="26"/>
      <c r="JZ102" s="26"/>
      <c r="KA102" s="26"/>
      <c r="KB102" s="26"/>
      <c r="KC102" s="26"/>
      <c r="KD102" s="26"/>
      <c r="KE102" s="26"/>
      <c r="KF102" s="26"/>
      <c r="KG102" s="26"/>
      <c r="KH102" s="26"/>
      <c r="KI102" s="26"/>
      <c r="KJ102" s="26"/>
      <c r="KK102" s="26"/>
      <c r="KL102" s="26"/>
      <c r="KM102" s="26"/>
      <c r="KN102" s="26"/>
      <c r="KO102" s="26"/>
      <c r="KP102" s="26"/>
      <c r="KQ102" s="26"/>
      <c r="KR102" s="26"/>
      <c r="KS102" s="26"/>
      <c r="KT102" s="26"/>
      <c r="KU102" s="26"/>
      <c r="KV102" s="26"/>
      <c r="KW102" s="26"/>
      <c r="KX102" s="26"/>
      <c r="KY102" s="26"/>
      <c r="KZ102" s="26"/>
      <c r="LA102" s="26"/>
      <c r="LB102" s="26"/>
      <c r="LC102" s="26"/>
      <c r="LD102" s="26"/>
      <c r="LE102" s="26"/>
      <c r="LF102" s="23"/>
      <c r="LG102" s="26"/>
      <c r="LH102" s="26"/>
      <c r="LI102" s="26"/>
      <c r="LJ102" s="26"/>
      <c r="LK102" s="26"/>
      <c r="LL102" s="26"/>
      <c r="LM102" s="26"/>
      <c r="LN102" s="26"/>
      <c r="LO102" s="26"/>
      <c r="LP102" s="26"/>
      <c r="LQ102" s="26"/>
      <c r="LR102" s="26"/>
      <c r="LS102" s="26"/>
      <c r="LT102" s="26"/>
      <c r="LU102" s="26"/>
      <c r="LV102" s="26"/>
      <c r="LW102" s="26"/>
      <c r="LX102" s="26"/>
      <c r="LY102" s="26"/>
      <c r="LZ102" s="26"/>
      <c r="MA102" s="26"/>
      <c r="MB102" s="26"/>
      <c r="MC102" s="26"/>
      <c r="MD102" s="26"/>
      <c r="ME102" s="26"/>
      <c r="MF102" s="26"/>
      <c r="MG102" s="26"/>
      <c r="MH102" s="26"/>
      <c r="MI102" s="26"/>
      <c r="MJ102" s="26"/>
      <c r="MK102" s="26"/>
      <c r="ML102" s="26"/>
      <c r="MM102" s="26"/>
      <c r="MN102" s="26"/>
      <c r="MO102" s="26"/>
      <c r="MP102" s="26"/>
      <c r="MQ102" s="26"/>
      <c r="MR102" s="26"/>
      <c r="MS102" s="23"/>
      <c r="MT102" s="26"/>
      <c r="MU102" s="26"/>
      <c r="MV102" s="26"/>
      <c r="MW102" s="26"/>
      <c r="MX102" s="26"/>
      <c r="MY102" s="26"/>
      <c r="MZ102" s="26"/>
      <c r="NA102" s="26"/>
      <c r="NB102" s="26"/>
      <c r="NC102" s="26"/>
      <c r="ND102" s="26"/>
      <c r="NE102" s="26"/>
      <c r="NF102" s="26"/>
      <c r="NG102" s="26"/>
      <c r="NH102" s="26"/>
      <c r="NI102" s="26"/>
      <c r="NJ102" s="26"/>
      <c r="NK102" s="26"/>
      <c r="NL102" s="26"/>
      <c r="NM102" s="26"/>
      <c r="NN102" s="26"/>
      <c r="NO102" s="26"/>
      <c r="NP102" s="26"/>
      <c r="NQ102" s="26"/>
      <c r="NR102" s="26"/>
      <c r="NS102" s="26"/>
      <c r="NT102" s="26"/>
      <c r="NU102" s="26"/>
      <c r="NV102" s="26"/>
      <c r="NW102" s="26"/>
      <c r="NX102" s="26"/>
      <c r="NY102" s="26"/>
      <c r="NZ102" s="26"/>
      <c r="OA102" s="26"/>
      <c r="OB102" s="26"/>
      <c r="OC102" s="26"/>
      <c r="OD102" s="26"/>
      <c r="OE102" s="26"/>
      <c r="OF102" s="23"/>
      <c r="OG102" s="26"/>
      <c r="OH102" s="26"/>
      <c r="OI102" s="26"/>
      <c r="OJ102" s="26"/>
      <c r="OK102" s="26"/>
      <c r="OL102" s="26"/>
      <c r="OM102" s="26"/>
      <c r="ON102" s="26"/>
      <c r="OO102" s="26"/>
      <c r="OP102" s="26"/>
      <c r="OQ102" s="26"/>
      <c r="OR102" s="26"/>
      <c r="OS102" s="26"/>
      <c r="OT102" s="26"/>
      <c r="OU102" s="26"/>
      <c r="OV102" s="26"/>
      <c r="OW102" s="26"/>
      <c r="OX102" s="26"/>
      <c r="OY102" s="26"/>
      <c r="OZ102" s="26"/>
      <c r="PA102" s="26"/>
      <c r="PB102" s="26"/>
      <c r="PC102" s="26"/>
      <c r="PD102" s="26"/>
      <c r="PE102" s="26"/>
      <c r="PF102" s="26"/>
      <c r="PG102" s="26"/>
      <c r="PH102" s="26"/>
      <c r="PI102" s="26"/>
      <c r="PJ102" s="26"/>
      <c r="PK102" s="26"/>
      <c r="PL102" s="26"/>
      <c r="PM102" s="26"/>
      <c r="PN102" s="26"/>
      <c r="PO102" s="26"/>
      <c r="PP102" s="26"/>
      <c r="PQ102" s="26"/>
      <c r="PR102" s="26"/>
    </row>
    <row r="103" spans="1:434" x14ac:dyDescent="0.25">
      <c r="A103" s="24"/>
      <c r="B103" s="25" t="s">
        <v>169</v>
      </c>
      <c r="C103" s="24" t="s">
        <v>70</v>
      </c>
      <c r="D103" s="24" t="s">
        <v>67</v>
      </c>
      <c r="E103" s="24"/>
      <c r="F103" s="23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3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83"/>
      <c r="CG103" s="82"/>
      <c r="CH103" s="82"/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  <c r="CT103" s="82"/>
      <c r="CU103" s="82"/>
      <c r="CV103" s="82"/>
      <c r="CW103" s="82"/>
      <c r="CX103" s="82"/>
      <c r="CY103" s="82"/>
      <c r="CZ103" s="82"/>
      <c r="DA103" s="82"/>
      <c r="DB103" s="82"/>
      <c r="DC103" s="82"/>
      <c r="DD103" s="82"/>
      <c r="DE103" s="82"/>
      <c r="DF103" s="82"/>
      <c r="DG103" s="82"/>
      <c r="DH103" s="82"/>
      <c r="DI103" s="82"/>
      <c r="DJ103" s="82"/>
      <c r="DK103" s="82"/>
      <c r="DL103" s="82"/>
      <c r="DM103" s="82"/>
      <c r="DN103" s="82"/>
      <c r="DO103" s="82"/>
      <c r="DP103" s="82"/>
      <c r="DQ103" s="82"/>
      <c r="DR103" s="82"/>
      <c r="DS103" s="23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3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  <c r="GR103" s="26"/>
      <c r="GS103" s="23"/>
      <c r="GT103" s="26"/>
      <c r="GU103" s="26"/>
      <c r="GV103" s="26"/>
      <c r="GW103" s="26"/>
      <c r="GX103" s="26"/>
      <c r="GY103" s="26"/>
      <c r="GZ103" s="26"/>
      <c r="HA103" s="26"/>
      <c r="HB103" s="26"/>
      <c r="HC103" s="26"/>
      <c r="HD103" s="26"/>
      <c r="HE103" s="26"/>
      <c r="HF103" s="26"/>
      <c r="HG103" s="26"/>
      <c r="HH103" s="26"/>
      <c r="HI103" s="26"/>
      <c r="HJ103" s="26"/>
      <c r="HK103" s="26"/>
      <c r="HL103" s="26"/>
      <c r="HM103" s="26"/>
      <c r="HN103" s="26"/>
      <c r="HO103" s="26"/>
      <c r="HP103" s="26"/>
      <c r="HQ103" s="26"/>
      <c r="HR103" s="26"/>
      <c r="HS103" s="26"/>
      <c r="HT103" s="26"/>
      <c r="HU103" s="26"/>
      <c r="HV103" s="26"/>
      <c r="HW103" s="26"/>
      <c r="HX103" s="26"/>
      <c r="HY103" s="26"/>
      <c r="HZ103" s="26"/>
      <c r="IA103" s="26"/>
      <c r="IB103" s="26"/>
      <c r="IC103" s="26"/>
      <c r="ID103" s="26"/>
      <c r="IE103" s="26"/>
      <c r="IF103" s="23"/>
      <c r="IG103" s="26"/>
      <c r="IH103" s="26"/>
      <c r="II103" s="26"/>
      <c r="IJ103" s="26"/>
      <c r="IK103" s="26"/>
      <c r="IL103" s="26"/>
      <c r="IM103" s="26"/>
      <c r="IN103" s="26"/>
      <c r="IO103" s="26"/>
      <c r="IP103" s="26"/>
      <c r="IQ103" s="26"/>
      <c r="IR103" s="26"/>
      <c r="IS103" s="26"/>
      <c r="IT103" s="26"/>
      <c r="IU103" s="26"/>
      <c r="IV103" s="26"/>
      <c r="IW103" s="26"/>
      <c r="IX103" s="26"/>
      <c r="IY103" s="26"/>
      <c r="IZ103" s="26"/>
      <c r="JA103" s="26"/>
      <c r="JB103" s="26"/>
      <c r="JC103" s="26"/>
      <c r="JD103" s="26"/>
      <c r="JE103" s="26"/>
      <c r="JF103" s="26"/>
      <c r="JG103" s="26"/>
      <c r="JH103" s="26"/>
      <c r="JI103" s="26"/>
      <c r="JJ103" s="26"/>
      <c r="JK103" s="26"/>
      <c r="JL103" s="26"/>
      <c r="JM103" s="26"/>
      <c r="JN103" s="26"/>
      <c r="JO103" s="26"/>
      <c r="JP103" s="26"/>
      <c r="JQ103" s="26"/>
      <c r="JR103" s="26"/>
      <c r="JS103" s="23"/>
      <c r="JT103" s="26"/>
      <c r="JU103" s="26"/>
      <c r="JV103" s="26"/>
      <c r="JW103" s="26"/>
      <c r="JX103" s="26"/>
      <c r="JY103" s="26"/>
      <c r="JZ103" s="26"/>
      <c r="KA103" s="26"/>
      <c r="KB103" s="26"/>
      <c r="KC103" s="26"/>
      <c r="KD103" s="26"/>
      <c r="KE103" s="26"/>
      <c r="KF103" s="26"/>
      <c r="KG103" s="26"/>
      <c r="KH103" s="26"/>
      <c r="KI103" s="26"/>
      <c r="KJ103" s="26"/>
      <c r="KK103" s="26"/>
      <c r="KL103" s="26"/>
      <c r="KM103" s="26"/>
      <c r="KN103" s="26"/>
      <c r="KO103" s="26"/>
      <c r="KP103" s="26"/>
      <c r="KQ103" s="26"/>
      <c r="KR103" s="26"/>
      <c r="KS103" s="26"/>
      <c r="KT103" s="26"/>
      <c r="KU103" s="26"/>
      <c r="KV103" s="26"/>
      <c r="KW103" s="26"/>
      <c r="KX103" s="26"/>
      <c r="KY103" s="26"/>
      <c r="KZ103" s="26"/>
      <c r="LA103" s="26"/>
      <c r="LB103" s="26"/>
      <c r="LC103" s="26"/>
      <c r="LD103" s="26"/>
      <c r="LE103" s="26"/>
      <c r="LF103" s="23"/>
      <c r="LG103" s="26"/>
      <c r="LH103" s="26"/>
      <c r="LI103" s="26"/>
      <c r="LJ103" s="26"/>
      <c r="LK103" s="26"/>
      <c r="LL103" s="26"/>
      <c r="LM103" s="26"/>
      <c r="LN103" s="26"/>
      <c r="LO103" s="26"/>
      <c r="LP103" s="26"/>
      <c r="LQ103" s="26"/>
      <c r="LR103" s="26"/>
      <c r="LS103" s="26"/>
      <c r="LT103" s="26"/>
      <c r="LU103" s="26"/>
      <c r="LV103" s="26"/>
      <c r="LW103" s="26"/>
      <c r="LX103" s="26"/>
      <c r="LY103" s="26"/>
      <c r="LZ103" s="26"/>
      <c r="MA103" s="26"/>
      <c r="MB103" s="26"/>
      <c r="MC103" s="26"/>
      <c r="MD103" s="26"/>
      <c r="ME103" s="26"/>
      <c r="MF103" s="26"/>
      <c r="MG103" s="26"/>
      <c r="MH103" s="26"/>
      <c r="MI103" s="26"/>
      <c r="MJ103" s="26"/>
      <c r="MK103" s="26"/>
      <c r="ML103" s="26"/>
      <c r="MM103" s="26"/>
      <c r="MN103" s="26"/>
      <c r="MO103" s="26"/>
      <c r="MP103" s="26"/>
      <c r="MQ103" s="26"/>
      <c r="MR103" s="26"/>
      <c r="MS103" s="23"/>
      <c r="MT103" s="26"/>
      <c r="MU103" s="26"/>
      <c r="MV103" s="26"/>
      <c r="MW103" s="26"/>
      <c r="MX103" s="26"/>
      <c r="MY103" s="26"/>
      <c r="MZ103" s="26"/>
      <c r="NA103" s="26"/>
      <c r="NB103" s="26"/>
      <c r="NC103" s="26"/>
      <c r="ND103" s="26"/>
      <c r="NE103" s="26"/>
      <c r="NF103" s="26"/>
      <c r="NG103" s="26"/>
      <c r="NH103" s="26"/>
      <c r="NI103" s="26"/>
      <c r="NJ103" s="26"/>
      <c r="NK103" s="26"/>
      <c r="NL103" s="26"/>
      <c r="NM103" s="26"/>
      <c r="NN103" s="26"/>
      <c r="NO103" s="26"/>
      <c r="NP103" s="26"/>
      <c r="NQ103" s="26"/>
      <c r="NR103" s="26"/>
      <c r="NS103" s="26"/>
      <c r="NT103" s="26"/>
      <c r="NU103" s="26"/>
      <c r="NV103" s="26"/>
      <c r="NW103" s="26"/>
      <c r="NX103" s="26"/>
      <c r="NY103" s="26"/>
      <c r="NZ103" s="26"/>
      <c r="OA103" s="26"/>
      <c r="OB103" s="26"/>
      <c r="OC103" s="26"/>
      <c r="OD103" s="26"/>
      <c r="OE103" s="26"/>
      <c r="OF103" s="23"/>
      <c r="OG103" s="26"/>
      <c r="OH103" s="26"/>
      <c r="OI103" s="26"/>
      <c r="OJ103" s="26"/>
      <c r="OK103" s="26"/>
      <c r="OL103" s="26"/>
      <c r="OM103" s="26"/>
      <c r="ON103" s="26"/>
      <c r="OO103" s="26"/>
      <c r="OP103" s="26"/>
      <c r="OQ103" s="26"/>
      <c r="OR103" s="26"/>
      <c r="OS103" s="26"/>
      <c r="OT103" s="26"/>
      <c r="OU103" s="26"/>
      <c r="OV103" s="26"/>
      <c r="OW103" s="26"/>
      <c r="OX103" s="26"/>
      <c r="OY103" s="26"/>
      <c r="OZ103" s="26"/>
      <c r="PA103" s="26"/>
      <c r="PB103" s="26"/>
      <c r="PC103" s="26"/>
      <c r="PD103" s="26"/>
      <c r="PE103" s="26"/>
      <c r="PF103" s="26"/>
      <c r="PG103" s="26"/>
      <c r="PH103" s="26"/>
      <c r="PI103" s="26"/>
      <c r="PJ103" s="26"/>
      <c r="PK103" s="26"/>
      <c r="PL103" s="26"/>
      <c r="PM103" s="26"/>
      <c r="PN103" s="26"/>
      <c r="PO103" s="26"/>
      <c r="PP103" s="26"/>
      <c r="PQ103" s="26"/>
      <c r="PR103" s="26"/>
    </row>
    <row r="104" spans="1:434" ht="25.5" x14ac:dyDescent="0.25">
      <c r="A104" s="24"/>
      <c r="B104" s="25" t="s">
        <v>170</v>
      </c>
      <c r="C104" s="24" t="s">
        <v>81</v>
      </c>
      <c r="D104" s="24" t="s">
        <v>73</v>
      </c>
      <c r="E104" s="24"/>
      <c r="F104" s="23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3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83"/>
      <c r="CG104" s="82"/>
      <c r="CH104" s="82"/>
      <c r="CI104" s="82"/>
      <c r="CJ104" s="82"/>
      <c r="CK104" s="82"/>
      <c r="CL104" s="82"/>
      <c r="CM104" s="82"/>
      <c r="CN104" s="82"/>
      <c r="CO104" s="82"/>
      <c r="CP104" s="82"/>
      <c r="CQ104" s="82">
        <v>1</v>
      </c>
      <c r="CR104" s="82"/>
      <c r="CS104" s="82"/>
      <c r="CT104" s="82">
        <v>3</v>
      </c>
      <c r="CU104" s="82"/>
      <c r="CV104" s="82"/>
      <c r="CW104" s="82"/>
      <c r="CX104" s="82">
        <v>2</v>
      </c>
      <c r="CY104" s="82"/>
      <c r="CZ104" s="82">
        <v>1</v>
      </c>
      <c r="DA104" s="82">
        <v>10</v>
      </c>
      <c r="DB104" s="82"/>
      <c r="DC104" s="82"/>
      <c r="DD104" s="82"/>
      <c r="DE104" s="82"/>
      <c r="DF104" s="82"/>
      <c r="DG104" s="82"/>
      <c r="DH104" s="82"/>
      <c r="DI104" s="82"/>
      <c r="DJ104" s="82"/>
      <c r="DK104" s="82"/>
      <c r="DL104" s="82">
        <v>20</v>
      </c>
      <c r="DM104" s="82"/>
      <c r="DN104" s="82"/>
      <c r="DO104" s="82"/>
      <c r="DP104" s="82"/>
      <c r="DQ104" s="82"/>
      <c r="DR104" s="82"/>
      <c r="DS104" s="23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3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3"/>
      <c r="GT104" s="26"/>
      <c r="GU104" s="26"/>
      <c r="GV104" s="26"/>
      <c r="GW104" s="26"/>
      <c r="GX104" s="26"/>
      <c r="GY104" s="26"/>
      <c r="GZ104" s="26"/>
      <c r="HA104" s="26"/>
      <c r="HB104" s="26"/>
      <c r="HC104" s="26"/>
      <c r="HD104" s="26"/>
      <c r="HE104" s="26"/>
      <c r="HF104" s="26"/>
      <c r="HG104" s="26"/>
      <c r="HH104" s="26"/>
      <c r="HI104" s="26"/>
      <c r="HJ104" s="26"/>
      <c r="HK104" s="26"/>
      <c r="HL104" s="26"/>
      <c r="HM104" s="26"/>
      <c r="HN104" s="26"/>
      <c r="HO104" s="26"/>
      <c r="HP104" s="26"/>
      <c r="HQ104" s="26"/>
      <c r="HR104" s="26"/>
      <c r="HS104" s="26"/>
      <c r="HT104" s="26"/>
      <c r="HU104" s="26"/>
      <c r="HV104" s="26"/>
      <c r="HW104" s="26"/>
      <c r="HX104" s="26"/>
      <c r="HY104" s="26"/>
      <c r="HZ104" s="26"/>
      <c r="IA104" s="26"/>
      <c r="IB104" s="26"/>
      <c r="IC104" s="26"/>
      <c r="ID104" s="26"/>
      <c r="IE104" s="26"/>
      <c r="IF104" s="23"/>
      <c r="IG104" s="26"/>
      <c r="IH104" s="26"/>
      <c r="II104" s="26"/>
      <c r="IJ104" s="26"/>
      <c r="IK104" s="26"/>
      <c r="IL104" s="26"/>
      <c r="IM104" s="26"/>
      <c r="IN104" s="26"/>
      <c r="IO104" s="26"/>
      <c r="IP104" s="26"/>
      <c r="IQ104" s="26"/>
      <c r="IR104" s="26"/>
      <c r="IS104" s="26"/>
      <c r="IT104" s="26"/>
      <c r="IU104" s="26"/>
      <c r="IV104" s="26"/>
      <c r="IW104" s="26"/>
      <c r="IX104" s="26"/>
      <c r="IY104" s="26"/>
      <c r="IZ104" s="26"/>
      <c r="JA104" s="26"/>
      <c r="JB104" s="26"/>
      <c r="JC104" s="26"/>
      <c r="JD104" s="26"/>
      <c r="JE104" s="26"/>
      <c r="JF104" s="26"/>
      <c r="JG104" s="26"/>
      <c r="JH104" s="26"/>
      <c r="JI104" s="26"/>
      <c r="JJ104" s="26"/>
      <c r="JK104" s="26"/>
      <c r="JL104" s="26"/>
      <c r="JM104" s="26"/>
      <c r="JN104" s="26"/>
      <c r="JO104" s="26"/>
      <c r="JP104" s="26"/>
      <c r="JQ104" s="26"/>
      <c r="JR104" s="26"/>
      <c r="JS104" s="23"/>
      <c r="JT104" s="26"/>
      <c r="JU104" s="26"/>
      <c r="JV104" s="26"/>
      <c r="JW104" s="26"/>
      <c r="JX104" s="26"/>
      <c r="JY104" s="26"/>
      <c r="JZ104" s="26"/>
      <c r="KA104" s="26"/>
      <c r="KB104" s="26"/>
      <c r="KC104" s="26"/>
      <c r="KD104" s="26"/>
      <c r="KE104" s="26"/>
      <c r="KF104" s="26"/>
      <c r="KG104" s="26"/>
      <c r="KH104" s="26"/>
      <c r="KI104" s="26"/>
      <c r="KJ104" s="26"/>
      <c r="KK104" s="26"/>
      <c r="KL104" s="26"/>
      <c r="KM104" s="26"/>
      <c r="KN104" s="26"/>
      <c r="KO104" s="26"/>
      <c r="KP104" s="26"/>
      <c r="KQ104" s="26"/>
      <c r="KR104" s="26"/>
      <c r="KS104" s="26"/>
      <c r="KT104" s="26"/>
      <c r="KU104" s="26"/>
      <c r="KV104" s="26"/>
      <c r="KW104" s="26"/>
      <c r="KX104" s="26"/>
      <c r="KY104" s="26"/>
      <c r="KZ104" s="26"/>
      <c r="LA104" s="26"/>
      <c r="LB104" s="26"/>
      <c r="LC104" s="26"/>
      <c r="LD104" s="26"/>
      <c r="LE104" s="26"/>
      <c r="LF104" s="23"/>
      <c r="LG104" s="26"/>
      <c r="LH104" s="26"/>
      <c r="LI104" s="26"/>
      <c r="LJ104" s="26"/>
      <c r="LK104" s="26"/>
      <c r="LL104" s="26"/>
      <c r="LM104" s="26"/>
      <c r="LN104" s="26"/>
      <c r="LO104" s="26"/>
      <c r="LP104" s="26"/>
      <c r="LQ104" s="26"/>
      <c r="LR104" s="26"/>
      <c r="LS104" s="26"/>
      <c r="LT104" s="26"/>
      <c r="LU104" s="26"/>
      <c r="LV104" s="26"/>
      <c r="LW104" s="26"/>
      <c r="LX104" s="26"/>
      <c r="LY104" s="26"/>
      <c r="LZ104" s="26"/>
      <c r="MA104" s="26"/>
      <c r="MB104" s="26"/>
      <c r="MC104" s="26"/>
      <c r="MD104" s="26"/>
      <c r="ME104" s="26"/>
      <c r="MF104" s="26"/>
      <c r="MG104" s="26"/>
      <c r="MH104" s="26"/>
      <c r="MI104" s="26"/>
      <c r="MJ104" s="26"/>
      <c r="MK104" s="26"/>
      <c r="ML104" s="26"/>
      <c r="MM104" s="26"/>
      <c r="MN104" s="26"/>
      <c r="MO104" s="26"/>
      <c r="MP104" s="26"/>
      <c r="MQ104" s="26"/>
      <c r="MR104" s="26"/>
      <c r="MS104" s="23"/>
      <c r="MT104" s="26"/>
      <c r="MU104" s="26"/>
      <c r="MV104" s="26"/>
      <c r="MW104" s="26"/>
      <c r="MX104" s="26"/>
      <c r="MY104" s="26"/>
      <c r="MZ104" s="26"/>
      <c r="NA104" s="26"/>
      <c r="NB104" s="26"/>
      <c r="NC104" s="26"/>
      <c r="ND104" s="26"/>
      <c r="NE104" s="26"/>
      <c r="NF104" s="26"/>
      <c r="NG104" s="26"/>
      <c r="NH104" s="26"/>
      <c r="NI104" s="26"/>
      <c r="NJ104" s="26"/>
      <c r="NK104" s="26"/>
      <c r="NL104" s="26"/>
      <c r="NM104" s="26"/>
      <c r="NN104" s="26"/>
      <c r="NO104" s="26"/>
      <c r="NP104" s="26"/>
      <c r="NQ104" s="26"/>
      <c r="NR104" s="26"/>
      <c r="NS104" s="26"/>
      <c r="NT104" s="26"/>
      <c r="NU104" s="26"/>
      <c r="NV104" s="26"/>
      <c r="NW104" s="26"/>
      <c r="NX104" s="26"/>
      <c r="NY104" s="26"/>
      <c r="NZ104" s="26"/>
      <c r="OA104" s="26"/>
      <c r="OB104" s="26"/>
      <c r="OC104" s="26"/>
      <c r="OD104" s="26"/>
      <c r="OE104" s="26"/>
      <c r="OF104" s="23"/>
      <c r="OG104" s="26"/>
      <c r="OH104" s="26"/>
      <c r="OI104" s="26"/>
      <c r="OJ104" s="26"/>
      <c r="OK104" s="26"/>
      <c r="OL104" s="26"/>
      <c r="OM104" s="26"/>
      <c r="ON104" s="26"/>
      <c r="OO104" s="26"/>
      <c r="OP104" s="26"/>
      <c r="OQ104" s="26"/>
      <c r="OR104" s="26"/>
      <c r="OS104" s="26"/>
      <c r="OT104" s="26"/>
      <c r="OU104" s="26"/>
      <c r="OV104" s="26"/>
      <c r="OW104" s="26"/>
      <c r="OX104" s="26"/>
      <c r="OY104" s="26"/>
      <c r="OZ104" s="26"/>
      <c r="PA104" s="26"/>
      <c r="PB104" s="26"/>
      <c r="PC104" s="26"/>
      <c r="PD104" s="26"/>
      <c r="PE104" s="26"/>
      <c r="PF104" s="26"/>
      <c r="PG104" s="26"/>
      <c r="PH104" s="26"/>
      <c r="PI104" s="26"/>
      <c r="PJ104" s="26"/>
      <c r="PK104" s="26"/>
      <c r="PL104" s="26"/>
      <c r="PM104" s="26"/>
      <c r="PN104" s="26"/>
      <c r="PO104" s="26"/>
      <c r="PP104" s="26"/>
      <c r="PQ104" s="26"/>
      <c r="PR104" s="26"/>
    </row>
    <row r="105" spans="1:434" x14ac:dyDescent="0.25">
      <c r="A105" s="24"/>
      <c r="B105" s="25" t="s">
        <v>171</v>
      </c>
      <c r="C105" s="24" t="s">
        <v>81</v>
      </c>
      <c r="D105" s="24" t="s">
        <v>67</v>
      </c>
      <c r="E105" s="24"/>
      <c r="F105" s="23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3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83"/>
      <c r="CG105" s="82"/>
      <c r="CH105" s="82"/>
      <c r="CI105" s="82"/>
      <c r="CJ105" s="82"/>
      <c r="CK105" s="82"/>
      <c r="CL105" s="82"/>
      <c r="CM105" s="82"/>
      <c r="CN105" s="82"/>
      <c r="CO105" s="82"/>
      <c r="CP105" s="82"/>
      <c r="CQ105" s="82"/>
      <c r="CR105" s="82"/>
      <c r="CS105" s="82"/>
      <c r="CT105" s="82"/>
      <c r="CU105" s="82"/>
      <c r="CV105" s="82"/>
      <c r="CW105" s="82"/>
      <c r="CX105" s="82"/>
      <c r="CY105" s="82"/>
      <c r="CZ105" s="82"/>
      <c r="DA105" s="82"/>
      <c r="DB105" s="82"/>
      <c r="DC105" s="82"/>
      <c r="DD105" s="82"/>
      <c r="DE105" s="82"/>
      <c r="DF105" s="82"/>
      <c r="DG105" s="82"/>
      <c r="DH105" s="82"/>
      <c r="DI105" s="82"/>
      <c r="DJ105" s="82"/>
      <c r="DK105" s="82"/>
      <c r="DL105" s="82">
        <v>30</v>
      </c>
      <c r="DM105" s="82"/>
      <c r="DN105" s="82"/>
      <c r="DO105" s="82"/>
      <c r="DP105" s="82"/>
      <c r="DQ105" s="82"/>
      <c r="DR105" s="82"/>
      <c r="DS105" s="23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3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  <c r="GR105" s="26"/>
      <c r="GS105" s="23"/>
      <c r="GT105" s="26"/>
      <c r="GU105" s="26"/>
      <c r="GV105" s="26"/>
      <c r="GW105" s="26"/>
      <c r="GX105" s="26"/>
      <c r="GY105" s="26"/>
      <c r="GZ105" s="26"/>
      <c r="HA105" s="26"/>
      <c r="HB105" s="26"/>
      <c r="HC105" s="26"/>
      <c r="HD105" s="26"/>
      <c r="HE105" s="26"/>
      <c r="HF105" s="26"/>
      <c r="HG105" s="26"/>
      <c r="HH105" s="26"/>
      <c r="HI105" s="26"/>
      <c r="HJ105" s="26"/>
      <c r="HK105" s="26"/>
      <c r="HL105" s="26"/>
      <c r="HM105" s="26"/>
      <c r="HN105" s="26"/>
      <c r="HO105" s="26"/>
      <c r="HP105" s="26"/>
      <c r="HQ105" s="26"/>
      <c r="HR105" s="26"/>
      <c r="HS105" s="26"/>
      <c r="HT105" s="26"/>
      <c r="HU105" s="26"/>
      <c r="HV105" s="26"/>
      <c r="HW105" s="26"/>
      <c r="HX105" s="26"/>
      <c r="HY105" s="26"/>
      <c r="HZ105" s="26"/>
      <c r="IA105" s="26"/>
      <c r="IB105" s="26"/>
      <c r="IC105" s="26"/>
      <c r="ID105" s="26"/>
      <c r="IE105" s="26"/>
      <c r="IF105" s="23"/>
      <c r="IG105" s="26"/>
      <c r="IH105" s="26"/>
      <c r="II105" s="26"/>
      <c r="IJ105" s="26"/>
      <c r="IK105" s="26"/>
      <c r="IL105" s="26"/>
      <c r="IM105" s="26"/>
      <c r="IN105" s="26"/>
      <c r="IO105" s="26"/>
      <c r="IP105" s="26"/>
      <c r="IQ105" s="26"/>
      <c r="IR105" s="26"/>
      <c r="IS105" s="26"/>
      <c r="IT105" s="26"/>
      <c r="IU105" s="26"/>
      <c r="IV105" s="26"/>
      <c r="IW105" s="26"/>
      <c r="IX105" s="26"/>
      <c r="IY105" s="26"/>
      <c r="IZ105" s="26"/>
      <c r="JA105" s="26"/>
      <c r="JB105" s="26"/>
      <c r="JC105" s="26"/>
      <c r="JD105" s="26"/>
      <c r="JE105" s="26"/>
      <c r="JF105" s="26"/>
      <c r="JG105" s="26"/>
      <c r="JH105" s="26"/>
      <c r="JI105" s="26"/>
      <c r="JJ105" s="26"/>
      <c r="JK105" s="26"/>
      <c r="JL105" s="26"/>
      <c r="JM105" s="26"/>
      <c r="JN105" s="26"/>
      <c r="JO105" s="26"/>
      <c r="JP105" s="26"/>
      <c r="JQ105" s="26"/>
      <c r="JR105" s="26"/>
      <c r="JS105" s="23"/>
      <c r="JT105" s="26"/>
      <c r="JU105" s="26"/>
      <c r="JV105" s="26"/>
      <c r="JW105" s="26"/>
      <c r="JX105" s="26"/>
      <c r="JY105" s="26"/>
      <c r="JZ105" s="26"/>
      <c r="KA105" s="26"/>
      <c r="KB105" s="26"/>
      <c r="KC105" s="26"/>
      <c r="KD105" s="26"/>
      <c r="KE105" s="26"/>
      <c r="KF105" s="26"/>
      <c r="KG105" s="26"/>
      <c r="KH105" s="26"/>
      <c r="KI105" s="26"/>
      <c r="KJ105" s="26"/>
      <c r="KK105" s="26"/>
      <c r="KL105" s="26"/>
      <c r="KM105" s="26"/>
      <c r="KN105" s="26"/>
      <c r="KO105" s="26"/>
      <c r="KP105" s="26"/>
      <c r="KQ105" s="26"/>
      <c r="KR105" s="26"/>
      <c r="KS105" s="26"/>
      <c r="KT105" s="26"/>
      <c r="KU105" s="26"/>
      <c r="KV105" s="26"/>
      <c r="KW105" s="26"/>
      <c r="KX105" s="26"/>
      <c r="KY105" s="26"/>
      <c r="KZ105" s="26"/>
      <c r="LA105" s="26"/>
      <c r="LB105" s="26"/>
      <c r="LC105" s="26"/>
      <c r="LD105" s="26"/>
      <c r="LE105" s="26"/>
      <c r="LF105" s="23"/>
      <c r="LG105" s="26"/>
      <c r="LH105" s="26"/>
      <c r="LI105" s="26"/>
      <c r="LJ105" s="26"/>
      <c r="LK105" s="26"/>
      <c r="LL105" s="26"/>
      <c r="LM105" s="26"/>
      <c r="LN105" s="26"/>
      <c r="LO105" s="26"/>
      <c r="LP105" s="26"/>
      <c r="LQ105" s="26"/>
      <c r="LR105" s="26"/>
      <c r="LS105" s="26"/>
      <c r="LT105" s="26"/>
      <c r="LU105" s="26"/>
      <c r="LV105" s="26"/>
      <c r="LW105" s="26"/>
      <c r="LX105" s="26"/>
      <c r="LY105" s="26"/>
      <c r="LZ105" s="26"/>
      <c r="MA105" s="26"/>
      <c r="MB105" s="26"/>
      <c r="MC105" s="26"/>
      <c r="MD105" s="26"/>
      <c r="ME105" s="26"/>
      <c r="MF105" s="26"/>
      <c r="MG105" s="26"/>
      <c r="MH105" s="26"/>
      <c r="MI105" s="26"/>
      <c r="MJ105" s="26"/>
      <c r="MK105" s="26"/>
      <c r="ML105" s="26"/>
      <c r="MM105" s="26"/>
      <c r="MN105" s="26"/>
      <c r="MO105" s="26"/>
      <c r="MP105" s="26"/>
      <c r="MQ105" s="26"/>
      <c r="MR105" s="26"/>
      <c r="MS105" s="23"/>
      <c r="MT105" s="26"/>
      <c r="MU105" s="26"/>
      <c r="MV105" s="26"/>
      <c r="MW105" s="26"/>
      <c r="MX105" s="26"/>
      <c r="MY105" s="26"/>
      <c r="MZ105" s="26"/>
      <c r="NA105" s="26"/>
      <c r="NB105" s="26"/>
      <c r="NC105" s="26"/>
      <c r="ND105" s="26"/>
      <c r="NE105" s="26"/>
      <c r="NF105" s="26"/>
      <c r="NG105" s="26"/>
      <c r="NH105" s="26"/>
      <c r="NI105" s="26"/>
      <c r="NJ105" s="26"/>
      <c r="NK105" s="26"/>
      <c r="NL105" s="26"/>
      <c r="NM105" s="26"/>
      <c r="NN105" s="26"/>
      <c r="NO105" s="26"/>
      <c r="NP105" s="26"/>
      <c r="NQ105" s="26"/>
      <c r="NR105" s="26"/>
      <c r="NS105" s="26"/>
      <c r="NT105" s="26"/>
      <c r="NU105" s="26"/>
      <c r="NV105" s="26"/>
      <c r="NW105" s="26"/>
      <c r="NX105" s="26"/>
      <c r="NY105" s="26"/>
      <c r="NZ105" s="26"/>
      <c r="OA105" s="26"/>
      <c r="OB105" s="26"/>
      <c r="OC105" s="26"/>
      <c r="OD105" s="26"/>
      <c r="OE105" s="26"/>
      <c r="OF105" s="23"/>
      <c r="OG105" s="26"/>
      <c r="OH105" s="26"/>
      <c r="OI105" s="26"/>
      <c r="OJ105" s="26"/>
      <c r="OK105" s="26"/>
      <c r="OL105" s="26"/>
      <c r="OM105" s="26"/>
      <c r="ON105" s="26"/>
      <c r="OO105" s="26"/>
      <c r="OP105" s="26"/>
      <c r="OQ105" s="26"/>
      <c r="OR105" s="26"/>
      <c r="OS105" s="26"/>
      <c r="OT105" s="26"/>
      <c r="OU105" s="26"/>
      <c r="OV105" s="26"/>
      <c r="OW105" s="26"/>
      <c r="OX105" s="26"/>
      <c r="OY105" s="26"/>
      <c r="OZ105" s="26"/>
      <c r="PA105" s="26"/>
      <c r="PB105" s="26"/>
      <c r="PC105" s="26"/>
      <c r="PD105" s="26"/>
      <c r="PE105" s="26"/>
      <c r="PF105" s="26"/>
      <c r="PG105" s="26"/>
      <c r="PH105" s="26"/>
      <c r="PI105" s="26"/>
      <c r="PJ105" s="26"/>
      <c r="PK105" s="26"/>
      <c r="PL105" s="26"/>
      <c r="PM105" s="26"/>
      <c r="PN105" s="26"/>
      <c r="PO105" s="26"/>
      <c r="PP105" s="26"/>
      <c r="PQ105" s="26"/>
      <c r="PR105" s="26"/>
    </row>
    <row r="106" spans="1:434" x14ac:dyDescent="0.25">
      <c r="A106" s="24"/>
      <c r="B106" s="25" t="s">
        <v>172</v>
      </c>
      <c r="C106" s="24" t="s">
        <v>70</v>
      </c>
      <c r="D106" s="24" t="s">
        <v>76</v>
      </c>
      <c r="E106" s="24"/>
      <c r="F106" s="23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3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83"/>
      <c r="CG106" s="82"/>
      <c r="CH106" s="82"/>
      <c r="CI106" s="82"/>
      <c r="CJ106" s="82"/>
      <c r="CK106" s="82"/>
      <c r="CL106" s="82"/>
      <c r="CM106" s="82"/>
      <c r="CN106" s="82"/>
      <c r="CO106" s="82"/>
      <c r="CP106" s="82"/>
      <c r="CQ106" s="82"/>
      <c r="CR106" s="82"/>
      <c r="CS106" s="82"/>
      <c r="CT106" s="82"/>
      <c r="CU106" s="82"/>
      <c r="CV106" s="82"/>
      <c r="CW106" s="82"/>
      <c r="CX106" s="82"/>
      <c r="CY106" s="82"/>
      <c r="CZ106" s="82"/>
      <c r="DA106" s="82"/>
      <c r="DB106" s="82"/>
      <c r="DC106" s="82"/>
      <c r="DD106" s="82"/>
      <c r="DE106" s="82"/>
      <c r="DF106" s="82"/>
      <c r="DG106" s="82"/>
      <c r="DH106" s="82"/>
      <c r="DI106" s="82"/>
      <c r="DJ106" s="82"/>
      <c r="DK106" s="82"/>
      <c r="DL106" s="82"/>
      <c r="DM106" s="82"/>
      <c r="DN106" s="82"/>
      <c r="DO106" s="82"/>
      <c r="DP106" s="82"/>
      <c r="DQ106" s="82"/>
      <c r="DR106" s="82"/>
      <c r="DS106" s="23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3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  <c r="GR106" s="26"/>
      <c r="GS106" s="23"/>
      <c r="GT106" s="26"/>
      <c r="GU106" s="26"/>
      <c r="GV106" s="26"/>
      <c r="GW106" s="26"/>
      <c r="GX106" s="26"/>
      <c r="GY106" s="26"/>
      <c r="GZ106" s="26"/>
      <c r="HA106" s="26"/>
      <c r="HB106" s="26"/>
      <c r="HC106" s="26"/>
      <c r="HD106" s="26"/>
      <c r="HE106" s="26"/>
      <c r="HF106" s="26"/>
      <c r="HG106" s="26"/>
      <c r="HH106" s="26"/>
      <c r="HI106" s="26"/>
      <c r="HJ106" s="26"/>
      <c r="HK106" s="26"/>
      <c r="HL106" s="26"/>
      <c r="HM106" s="26"/>
      <c r="HN106" s="26"/>
      <c r="HO106" s="26"/>
      <c r="HP106" s="26"/>
      <c r="HQ106" s="26"/>
      <c r="HR106" s="26"/>
      <c r="HS106" s="26"/>
      <c r="HT106" s="26"/>
      <c r="HU106" s="26"/>
      <c r="HV106" s="26"/>
      <c r="HW106" s="26"/>
      <c r="HX106" s="26"/>
      <c r="HY106" s="26"/>
      <c r="HZ106" s="26"/>
      <c r="IA106" s="26"/>
      <c r="IB106" s="26"/>
      <c r="IC106" s="26"/>
      <c r="ID106" s="26"/>
      <c r="IE106" s="26"/>
      <c r="IF106" s="23"/>
      <c r="IG106" s="26"/>
      <c r="IH106" s="26"/>
      <c r="II106" s="26"/>
      <c r="IJ106" s="26"/>
      <c r="IK106" s="26"/>
      <c r="IL106" s="26"/>
      <c r="IM106" s="26"/>
      <c r="IN106" s="26"/>
      <c r="IO106" s="26"/>
      <c r="IP106" s="26"/>
      <c r="IQ106" s="26"/>
      <c r="IR106" s="26"/>
      <c r="IS106" s="26"/>
      <c r="IT106" s="26"/>
      <c r="IU106" s="26"/>
      <c r="IV106" s="26"/>
      <c r="IW106" s="26"/>
      <c r="IX106" s="26"/>
      <c r="IY106" s="26"/>
      <c r="IZ106" s="26"/>
      <c r="JA106" s="26"/>
      <c r="JB106" s="26"/>
      <c r="JC106" s="26"/>
      <c r="JD106" s="26"/>
      <c r="JE106" s="26"/>
      <c r="JF106" s="26"/>
      <c r="JG106" s="26"/>
      <c r="JH106" s="26"/>
      <c r="JI106" s="26"/>
      <c r="JJ106" s="26"/>
      <c r="JK106" s="26"/>
      <c r="JL106" s="26"/>
      <c r="JM106" s="26"/>
      <c r="JN106" s="26"/>
      <c r="JO106" s="26"/>
      <c r="JP106" s="26"/>
      <c r="JQ106" s="26"/>
      <c r="JR106" s="26"/>
      <c r="JS106" s="23"/>
      <c r="JT106" s="26"/>
      <c r="JU106" s="26"/>
      <c r="JV106" s="26"/>
      <c r="JW106" s="26"/>
      <c r="JX106" s="26"/>
      <c r="JY106" s="26"/>
      <c r="JZ106" s="26"/>
      <c r="KA106" s="26"/>
      <c r="KB106" s="26"/>
      <c r="KC106" s="26"/>
      <c r="KD106" s="26"/>
      <c r="KE106" s="26"/>
      <c r="KF106" s="26"/>
      <c r="KG106" s="26"/>
      <c r="KH106" s="26"/>
      <c r="KI106" s="26"/>
      <c r="KJ106" s="26"/>
      <c r="KK106" s="26"/>
      <c r="KL106" s="26"/>
      <c r="KM106" s="26"/>
      <c r="KN106" s="26"/>
      <c r="KO106" s="26"/>
      <c r="KP106" s="26"/>
      <c r="KQ106" s="26"/>
      <c r="KR106" s="26"/>
      <c r="KS106" s="26"/>
      <c r="KT106" s="26"/>
      <c r="KU106" s="26"/>
      <c r="KV106" s="26"/>
      <c r="KW106" s="26"/>
      <c r="KX106" s="26"/>
      <c r="KY106" s="26"/>
      <c r="KZ106" s="26"/>
      <c r="LA106" s="26"/>
      <c r="LB106" s="26"/>
      <c r="LC106" s="26"/>
      <c r="LD106" s="26"/>
      <c r="LE106" s="26"/>
      <c r="LF106" s="23"/>
      <c r="LG106" s="26"/>
      <c r="LH106" s="26"/>
      <c r="LI106" s="26"/>
      <c r="LJ106" s="26"/>
      <c r="LK106" s="26"/>
      <c r="LL106" s="26"/>
      <c r="LM106" s="26"/>
      <c r="LN106" s="26"/>
      <c r="LO106" s="26"/>
      <c r="LP106" s="26"/>
      <c r="LQ106" s="26"/>
      <c r="LR106" s="26"/>
      <c r="LS106" s="26"/>
      <c r="LT106" s="26"/>
      <c r="LU106" s="26"/>
      <c r="LV106" s="26"/>
      <c r="LW106" s="26"/>
      <c r="LX106" s="26"/>
      <c r="LY106" s="26"/>
      <c r="LZ106" s="26"/>
      <c r="MA106" s="26"/>
      <c r="MB106" s="26"/>
      <c r="MC106" s="26"/>
      <c r="MD106" s="26"/>
      <c r="ME106" s="26"/>
      <c r="MF106" s="26"/>
      <c r="MG106" s="26"/>
      <c r="MH106" s="26"/>
      <c r="MI106" s="26"/>
      <c r="MJ106" s="26"/>
      <c r="MK106" s="26"/>
      <c r="ML106" s="26"/>
      <c r="MM106" s="26"/>
      <c r="MN106" s="26"/>
      <c r="MO106" s="26"/>
      <c r="MP106" s="26"/>
      <c r="MQ106" s="26"/>
      <c r="MR106" s="26"/>
      <c r="MS106" s="23"/>
      <c r="MT106" s="26"/>
      <c r="MU106" s="26"/>
      <c r="MV106" s="26"/>
      <c r="MW106" s="26"/>
      <c r="MX106" s="26"/>
      <c r="MY106" s="26"/>
      <c r="MZ106" s="26"/>
      <c r="NA106" s="26"/>
      <c r="NB106" s="26"/>
      <c r="NC106" s="26"/>
      <c r="ND106" s="26"/>
      <c r="NE106" s="26"/>
      <c r="NF106" s="26"/>
      <c r="NG106" s="26"/>
      <c r="NH106" s="26"/>
      <c r="NI106" s="26"/>
      <c r="NJ106" s="26"/>
      <c r="NK106" s="26"/>
      <c r="NL106" s="26"/>
      <c r="NM106" s="26"/>
      <c r="NN106" s="26"/>
      <c r="NO106" s="26"/>
      <c r="NP106" s="26"/>
      <c r="NQ106" s="26"/>
      <c r="NR106" s="26"/>
      <c r="NS106" s="26"/>
      <c r="NT106" s="26"/>
      <c r="NU106" s="26"/>
      <c r="NV106" s="26"/>
      <c r="NW106" s="26"/>
      <c r="NX106" s="26"/>
      <c r="NY106" s="26"/>
      <c r="NZ106" s="26"/>
      <c r="OA106" s="26"/>
      <c r="OB106" s="26"/>
      <c r="OC106" s="26"/>
      <c r="OD106" s="26"/>
      <c r="OE106" s="26"/>
      <c r="OF106" s="23"/>
      <c r="OG106" s="26"/>
      <c r="OH106" s="26"/>
      <c r="OI106" s="26"/>
      <c r="OJ106" s="26"/>
      <c r="OK106" s="26"/>
      <c r="OL106" s="26"/>
      <c r="OM106" s="26"/>
      <c r="ON106" s="26"/>
      <c r="OO106" s="26"/>
      <c r="OP106" s="26"/>
      <c r="OQ106" s="26"/>
      <c r="OR106" s="26"/>
      <c r="OS106" s="26"/>
      <c r="OT106" s="26"/>
      <c r="OU106" s="26"/>
      <c r="OV106" s="26"/>
      <c r="OW106" s="26"/>
      <c r="OX106" s="26"/>
      <c r="OY106" s="26"/>
      <c r="OZ106" s="26"/>
      <c r="PA106" s="26"/>
      <c r="PB106" s="26"/>
      <c r="PC106" s="26"/>
      <c r="PD106" s="26"/>
      <c r="PE106" s="26"/>
      <c r="PF106" s="26"/>
      <c r="PG106" s="26"/>
      <c r="PH106" s="26"/>
      <c r="PI106" s="26"/>
      <c r="PJ106" s="26"/>
      <c r="PK106" s="26"/>
      <c r="PL106" s="26"/>
      <c r="PM106" s="26"/>
      <c r="PN106" s="26"/>
      <c r="PO106" s="26"/>
      <c r="PP106" s="26"/>
      <c r="PQ106" s="26"/>
      <c r="PR106" s="26"/>
    </row>
    <row r="107" spans="1:434" x14ac:dyDescent="0.25">
      <c r="A107" s="24"/>
      <c r="B107" s="25" t="s">
        <v>173</v>
      </c>
      <c r="C107" s="24" t="s">
        <v>70</v>
      </c>
      <c r="D107" s="24" t="s">
        <v>76</v>
      </c>
      <c r="E107" s="24"/>
      <c r="F107" s="23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3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83"/>
      <c r="CG107" s="82"/>
      <c r="CH107" s="82"/>
      <c r="CI107" s="82"/>
      <c r="CJ107" s="82"/>
      <c r="CK107" s="82"/>
      <c r="CL107" s="82"/>
      <c r="CM107" s="82"/>
      <c r="CN107" s="82"/>
      <c r="CO107" s="82"/>
      <c r="CP107" s="82"/>
      <c r="CQ107" s="82"/>
      <c r="CR107" s="82"/>
      <c r="CS107" s="82"/>
      <c r="CT107" s="82"/>
      <c r="CU107" s="82"/>
      <c r="CV107" s="82"/>
      <c r="CW107" s="82"/>
      <c r="CX107" s="82"/>
      <c r="CY107" s="82"/>
      <c r="CZ107" s="82"/>
      <c r="DA107" s="82"/>
      <c r="DB107" s="82"/>
      <c r="DC107" s="82"/>
      <c r="DD107" s="82"/>
      <c r="DE107" s="82"/>
      <c r="DF107" s="82"/>
      <c r="DG107" s="82"/>
      <c r="DH107" s="82"/>
      <c r="DI107" s="82"/>
      <c r="DJ107" s="82"/>
      <c r="DK107" s="82"/>
      <c r="DL107" s="82">
        <v>40</v>
      </c>
      <c r="DM107" s="82"/>
      <c r="DN107" s="82"/>
      <c r="DO107" s="82"/>
      <c r="DP107" s="82"/>
      <c r="DQ107" s="82"/>
      <c r="DR107" s="82"/>
      <c r="DS107" s="23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3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  <c r="GI107" s="26"/>
      <c r="GJ107" s="26"/>
      <c r="GK107" s="26"/>
      <c r="GL107" s="26"/>
      <c r="GM107" s="26"/>
      <c r="GN107" s="26"/>
      <c r="GO107" s="26"/>
      <c r="GP107" s="26"/>
      <c r="GQ107" s="26"/>
      <c r="GR107" s="26"/>
      <c r="GS107" s="23"/>
      <c r="GT107" s="26"/>
      <c r="GU107" s="26"/>
      <c r="GV107" s="26"/>
      <c r="GW107" s="26"/>
      <c r="GX107" s="26"/>
      <c r="GY107" s="26"/>
      <c r="GZ107" s="26"/>
      <c r="HA107" s="26"/>
      <c r="HB107" s="26"/>
      <c r="HC107" s="26"/>
      <c r="HD107" s="26"/>
      <c r="HE107" s="26"/>
      <c r="HF107" s="26"/>
      <c r="HG107" s="26"/>
      <c r="HH107" s="26"/>
      <c r="HI107" s="26"/>
      <c r="HJ107" s="26"/>
      <c r="HK107" s="26"/>
      <c r="HL107" s="26"/>
      <c r="HM107" s="26"/>
      <c r="HN107" s="26"/>
      <c r="HO107" s="26"/>
      <c r="HP107" s="26"/>
      <c r="HQ107" s="26"/>
      <c r="HR107" s="26"/>
      <c r="HS107" s="26"/>
      <c r="HT107" s="26"/>
      <c r="HU107" s="26"/>
      <c r="HV107" s="26"/>
      <c r="HW107" s="26"/>
      <c r="HX107" s="26"/>
      <c r="HY107" s="26"/>
      <c r="HZ107" s="26"/>
      <c r="IA107" s="26"/>
      <c r="IB107" s="26"/>
      <c r="IC107" s="26"/>
      <c r="ID107" s="26"/>
      <c r="IE107" s="26"/>
      <c r="IF107" s="23"/>
      <c r="IG107" s="26"/>
      <c r="IH107" s="26"/>
      <c r="II107" s="26"/>
      <c r="IJ107" s="26"/>
      <c r="IK107" s="26"/>
      <c r="IL107" s="26"/>
      <c r="IM107" s="26"/>
      <c r="IN107" s="26"/>
      <c r="IO107" s="26"/>
      <c r="IP107" s="26"/>
      <c r="IQ107" s="26"/>
      <c r="IR107" s="26"/>
      <c r="IS107" s="26"/>
      <c r="IT107" s="26"/>
      <c r="IU107" s="26"/>
      <c r="IV107" s="26"/>
      <c r="IW107" s="26"/>
      <c r="IX107" s="26"/>
      <c r="IY107" s="26"/>
      <c r="IZ107" s="26"/>
      <c r="JA107" s="26"/>
      <c r="JB107" s="26"/>
      <c r="JC107" s="26"/>
      <c r="JD107" s="26"/>
      <c r="JE107" s="26"/>
      <c r="JF107" s="26"/>
      <c r="JG107" s="26"/>
      <c r="JH107" s="26"/>
      <c r="JI107" s="26"/>
      <c r="JJ107" s="26"/>
      <c r="JK107" s="26"/>
      <c r="JL107" s="26"/>
      <c r="JM107" s="26"/>
      <c r="JN107" s="26"/>
      <c r="JO107" s="26"/>
      <c r="JP107" s="26"/>
      <c r="JQ107" s="26"/>
      <c r="JR107" s="26"/>
      <c r="JS107" s="23"/>
      <c r="JT107" s="26"/>
      <c r="JU107" s="26"/>
      <c r="JV107" s="26"/>
      <c r="JW107" s="26"/>
      <c r="JX107" s="26"/>
      <c r="JY107" s="26"/>
      <c r="JZ107" s="26"/>
      <c r="KA107" s="26"/>
      <c r="KB107" s="26"/>
      <c r="KC107" s="26"/>
      <c r="KD107" s="26"/>
      <c r="KE107" s="26"/>
      <c r="KF107" s="26"/>
      <c r="KG107" s="26"/>
      <c r="KH107" s="26"/>
      <c r="KI107" s="26"/>
      <c r="KJ107" s="26"/>
      <c r="KK107" s="26"/>
      <c r="KL107" s="26"/>
      <c r="KM107" s="26"/>
      <c r="KN107" s="26"/>
      <c r="KO107" s="26"/>
      <c r="KP107" s="26"/>
      <c r="KQ107" s="26"/>
      <c r="KR107" s="26"/>
      <c r="KS107" s="26"/>
      <c r="KT107" s="26"/>
      <c r="KU107" s="26"/>
      <c r="KV107" s="26"/>
      <c r="KW107" s="26"/>
      <c r="KX107" s="26"/>
      <c r="KY107" s="26"/>
      <c r="KZ107" s="26"/>
      <c r="LA107" s="26"/>
      <c r="LB107" s="26"/>
      <c r="LC107" s="26"/>
      <c r="LD107" s="26"/>
      <c r="LE107" s="26"/>
      <c r="LF107" s="23"/>
      <c r="LG107" s="26"/>
      <c r="LH107" s="26"/>
      <c r="LI107" s="26"/>
      <c r="LJ107" s="26"/>
      <c r="LK107" s="26"/>
      <c r="LL107" s="26"/>
      <c r="LM107" s="26"/>
      <c r="LN107" s="26"/>
      <c r="LO107" s="26"/>
      <c r="LP107" s="26"/>
      <c r="LQ107" s="26"/>
      <c r="LR107" s="26"/>
      <c r="LS107" s="26"/>
      <c r="LT107" s="26"/>
      <c r="LU107" s="26"/>
      <c r="LV107" s="26"/>
      <c r="LW107" s="26"/>
      <c r="LX107" s="26"/>
      <c r="LY107" s="26"/>
      <c r="LZ107" s="26"/>
      <c r="MA107" s="26"/>
      <c r="MB107" s="26"/>
      <c r="MC107" s="26"/>
      <c r="MD107" s="26"/>
      <c r="ME107" s="26"/>
      <c r="MF107" s="26"/>
      <c r="MG107" s="26"/>
      <c r="MH107" s="26"/>
      <c r="MI107" s="26"/>
      <c r="MJ107" s="26"/>
      <c r="MK107" s="26"/>
      <c r="ML107" s="26"/>
      <c r="MM107" s="26"/>
      <c r="MN107" s="26"/>
      <c r="MO107" s="26"/>
      <c r="MP107" s="26"/>
      <c r="MQ107" s="26"/>
      <c r="MR107" s="26"/>
      <c r="MS107" s="23"/>
      <c r="MT107" s="26"/>
      <c r="MU107" s="26"/>
      <c r="MV107" s="26"/>
      <c r="MW107" s="26"/>
      <c r="MX107" s="26"/>
      <c r="MY107" s="26"/>
      <c r="MZ107" s="26"/>
      <c r="NA107" s="26"/>
      <c r="NB107" s="26"/>
      <c r="NC107" s="26"/>
      <c r="ND107" s="26"/>
      <c r="NE107" s="26"/>
      <c r="NF107" s="26"/>
      <c r="NG107" s="26"/>
      <c r="NH107" s="26"/>
      <c r="NI107" s="26"/>
      <c r="NJ107" s="26"/>
      <c r="NK107" s="26"/>
      <c r="NL107" s="26"/>
      <c r="NM107" s="26"/>
      <c r="NN107" s="26"/>
      <c r="NO107" s="26"/>
      <c r="NP107" s="26"/>
      <c r="NQ107" s="26"/>
      <c r="NR107" s="26"/>
      <c r="NS107" s="26"/>
      <c r="NT107" s="26"/>
      <c r="NU107" s="26"/>
      <c r="NV107" s="26"/>
      <c r="NW107" s="26"/>
      <c r="NX107" s="26"/>
      <c r="NY107" s="26"/>
      <c r="NZ107" s="26"/>
      <c r="OA107" s="26"/>
      <c r="OB107" s="26"/>
      <c r="OC107" s="26"/>
      <c r="OD107" s="26"/>
      <c r="OE107" s="26"/>
      <c r="OF107" s="23"/>
      <c r="OG107" s="26"/>
      <c r="OH107" s="26"/>
      <c r="OI107" s="26"/>
      <c r="OJ107" s="26"/>
      <c r="OK107" s="26"/>
      <c r="OL107" s="26"/>
      <c r="OM107" s="26"/>
      <c r="ON107" s="26"/>
      <c r="OO107" s="26"/>
      <c r="OP107" s="26"/>
      <c r="OQ107" s="26"/>
      <c r="OR107" s="26"/>
      <c r="OS107" s="26"/>
      <c r="OT107" s="26"/>
      <c r="OU107" s="26"/>
      <c r="OV107" s="26"/>
      <c r="OW107" s="26"/>
      <c r="OX107" s="26"/>
      <c r="OY107" s="26"/>
      <c r="OZ107" s="26"/>
      <c r="PA107" s="26"/>
      <c r="PB107" s="26"/>
      <c r="PC107" s="26"/>
      <c r="PD107" s="26"/>
      <c r="PE107" s="26"/>
      <c r="PF107" s="26"/>
      <c r="PG107" s="26"/>
      <c r="PH107" s="26"/>
      <c r="PI107" s="26"/>
      <c r="PJ107" s="26"/>
      <c r="PK107" s="26"/>
      <c r="PL107" s="26"/>
      <c r="PM107" s="26"/>
      <c r="PN107" s="26"/>
      <c r="PO107" s="26"/>
      <c r="PP107" s="26"/>
      <c r="PQ107" s="26"/>
      <c r="PR107" s="26"/>
    </row>
    <row r="108" spans="1:434" ht="21.95" customHeight="1" x14ac:dyDescent="0.25">
      <c r="A108" s="84" t="s">
        <v>174</v>
      </c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  <c r="FU108" s="85"/>
      <c r="FV108" s="85"/>
      <c r="FW108" s="85"/>
      <c r="FX108" s="85"/>
      <c r="FY108" s="85"/>
      <c r="FZ108" s="85"/>
      <c r="GA108" s="85"/>
      <c r="GB108" s="85"/>
      <c r="GC108" s="85"/>
      <c r="GD108" s="85"/>
      <c r="GE108" s="85"/>
      <c r="GF108" s="85"/>
      <c r="GG108" s="85"/>
      <c r="GH108" s="85"/>
      <c r="GI108" s="85"/>
      <c r="GJ108" s="85"/>
      <c r="GK108" s="85"/>
      <c r="GL108" s="85"/>
      <c r="GM108" s="85"/>
      <c r="GN108" s="85"/>
      <c r="GO108" s="85"/>
      <c r="GP108" s="85"/>
      <c r="GQ108" s="85"/>
      <c r="GR108" s="85"/>
      <c r="GS108" s="85"/>
      <c r="GT108" s="85"/>
      <c r="GU108" s="85"/>
      <c r="GV108" s="85"/>
      <c r="GW108" s="85"/>
      <c r="GX108" s="85"/>
      <c r="GY108" s="85"/>
      <c r="GZ108" s="85"/>
      <c r="HA108" s="85"/>
      <c r="HB108" s="85"/>
      <c r="HC108" s="85"/>
      <c r="HD108" s="85"/>
      <c r="HE108" s="85"/>
      <c r="HF108" s="85"/>
      <c r="HG108" s="85"/>
      <c r="HH108" s="85"/>
      <c r="HI108" s="85"/>
      <c r="HJ108" s="85"/>
      <c r="HK108" s="85"/>
      <c r="HL108" s="85"/>
      <c r="HM108" s="85"/>
      <c r="HN108" s="85"/>
      <c r="HO108" s="85"/>
      <c r="HP108" s="85"/>
      <c r="HQ108" s="85"/>
      <c r="HR108" s="85"/>
      <c r="HS108" s="85"/>
      <c r="HT108" s="85"/>
      <c r="HU108" s="85"/>
      <c r="HV108" s="85"/>
      <c r="HW108" s="85"/>
      <c r="HX108" s="85"/>
      <c r="HY108" s="85"/>
      <c r="HZ108" s="85"/>
      <c r="IA108" s="85"/>
      <c r="IB108" s="85"/>
      <c r="IC108" s="85"/>
      <c r="ID108" s="85"/>
      <c r="IE108" s="85"/>
      <c r="IF108" s="85"/>
      <c r="IG108" s="85"/>
      <c r="IH108" s="85"/>
      <c r="II108" s="85"/>
      <c r="IJ108" s="85"/>
      <c r="IK108" s="85"/>
      <c r="IL108" s="85"/>
      <c r="IM108" s="85"/>
      <c r="IN108" s="85"/>
      <c r="IO108" s="85"/>
      <c r="IP108" s="85"/>
      <c r="IQ108" s="85"/>
      <c r="IR108" s="85"/>
      <c r="IS108" s="85"/>
      <c r="IT108" s="85"/>
      <c r="IU108" s="85"/>
      <c r="IV108" s="85"/>
      <c r="IW108" s="85"/>
      <c r="IX108" s="85"/>
      <c r="IY108" s="85"/>
      <c r="IZ108" s="85"/>
      <c r="JA108" s="85"/>
      <c r="JB108" s="85"/>
      <c r="JC108" s="85"/>
      <c r="JD108" s="85"/>
      <c r="JE108" s="85"/>
      <c r="JF108" s="85"/>
      <c r="JG108" s="85"/>
      <c r="JH108" s="85"/>
      <c r="JI108" s="85"/>
      <c r="JJ108" s="85"/>
      <c r="JK108" s="85"/>
      <c r="JL108" s="85"/>
      <c r="JM108" s="85"/>
      <c r="JN108" s="85"/>
      <c r="JO108" s="85"/>
      <c r="JP108" s="85"/>
      <c r="JQ108" s="85"/>
      <c r="JR108" s="85"/>
      <c r="JS108" s="85"/>
      <c r="JT108" s="85"/>
      <c r="JU108" s="85"/>
      <c r="JV108" s="85"/>
      <c r="JW108" s="85"/>
      <c r="JX108" s="85"/>
      <c r="JY108" s="85"/>
      <c r="JZ108" s="85"/>
      <c r="KA108" s="85"/>
      <c r="KB108" s="85"/>
      <c r="KC108" s="85"/>
      <c r="KD108" s="85"/>
      <c r="KE108" s="85"/>
      <c r="KF108" s="85"/>
      <c r="KG108" s="85"/>
      <c r="KH108" s="85"/>
      <c r="KI108" s="85"/>
      <c r="KJ108" s="85"/>
      <c r="KK108" s="85"/>
      <c r="KL108" s="85"/>
      <c r="KM108" s="85"/>
      <c r="KN108" s="85"/>
      <c r="KO108" s="85"/>
      <c r="KP108" s="85"/>
      <c r="KQ108" s="85"/>
      <c r="KR108" s="85"/>
      <c r="KS108" s="85"/>
      <c r="KT108" s="85"/>
      <c r="KU108" s="85"/>
      <c r="KV108" s="85"/>
      <c r="KW108" s="85"/>
      <c r="KX108" s="85"/>
      <c r="KY108" s="85"/>
      <c r="KZ108" s="85"/>
      <c r="LA108" s="85"/>
      <c r="LB108" s="85"/>
      <c r="LC108" s="85"/>
      <c r="LD108" s="85"/>
      <c r="LE108" s="85"/>
      <c r="LF108" s="85"/>
      <c r="LG108" s="85"/>
      <c r="LH108" s="85"/>
      <c r="LI108" s="85"/>
      <c r="LJ108" s="85"/>
      <c r="LK108" s="85"/>
      <c r="LL108" s="85"/>
      <c r="LM108" s="85"/>
      <c r="LN108" s="85"/>
      <c r="LO108" s="85"/>
      <c r="LP108" s="85"/>
      <c r="LQ108" s="85"/>
      <c r="LR108" s="85"/>
      <c r="LS108" s="85"/>
      <c r="LT108" s="85"/>
      <c r="LU108" s="85"/>
      <c r="LV108" s="85"/>
      <c r="LW108" s="85"/>
      <c r="LX108" s="85"/>
      <c r="LY108" s="85"/>
      <c r="LZ108" s="85"/>
      <c r="MA108" s="85"/>
      <c r="MB108" s="85"/>
      <c r="MC108" s="85"/>
      <c r="MD108" s="85"/>
      <c r="ME108" s="85"/>
      <c r="MF108" s="85"/>
      <c r="MG108" s="85"/>
      <c r="MH108" s="85"/>
      <c r="MI108" s="85"/>
      <c r="MJ108" s="85"/>
      <c r="MK108" s="85"/>
      <c r="ML108" s="85"/>
      <c r="MM108" s="85"/>
      <c r="MN108" s="85"/>
      <c r="MO108" s="85"/>
      <c r="MP108" s="85"/>
      <c r="MQ108" s="85"/>
      <c r="MR108" s="85"/>
      <c r="MS108" s="85"/>
      <c r="MT108" s="85"/>
      <c r="MU108" s="85"/>
      <c r="MV108" s="85"/>
      <c r="MW108" s="85"/>
      <c r="MX108" s="85"/>
      <c r="MY108" s="85"/>
      <c r="MZ108" s="85"/>
      <c r="NA108" s="85"/>
      <c r="NB108" s="85"/>
      <c r="NC108" s="85"/>
      <c r="ND108" s="85"/>
      <c r="NE108" s="85"/>
      <c r="NF108" s="85"/>
      <c r="NG108" s="85"/>
      <c r="NH108" s="85"/>
      <c r="NI108" s="85"/>
      <c r="NJ108" s="85"/>
      <c r="NK108" s="85"/>
      <c r="NL108" s="85"/>
      <c r="NM108" s="85"/>
      <c r="NN108" s="85"/>
      <c r="NO108" s="85"/>
      <c r="NP108" s="85"/>
      <c r="NQ108" s="85"/>
      <c r="NR108" s="85"/>
      <c r="NS108" s="85"/>
      <c r="NT108" s="85"/>
      <c r="NU108" s="85"/>
      <c r="NV108" s="85"/>
      <c r="NW108" s="85"/>
      <c r="NX108" s="85"/>
      <c r="NY108" s="85"/>
      <c r="NZ108" s="85"/>
      <c r="OA108" s="85"/>
      <c r="OB108" s="85"/>
      <c r="OC108" s="85"/>
      <c r="OD108" s="85"/>
      <c r="OE108" s="85"/>
      <c r="OF108" s="85"/>
      <c r="OG108" s="85"/>
      <c r="OH108" s="85"/>
      <c r="OI108" s="85"/>
      <c r="OJ108" s="85"/>
      <c r="OK108" s="85"/>
      <c r="OL108" s="85"/>
      <c r="OM108" s="85"/>
      <c r="ON108" s="85"/>
      <c r="OO108" s="85"/>
      <c r="OP108" s="85"/>
      <c r="OQ108" s="85"/>
      <c r="OR108" s="85"/>
      <c r="OS108" s="85"/>
      <c r="OT108" s="85"/>
      <c r="OU108" s="85"/>
      <c r="OV108" s="85"/>
      <c r="OW108" s="85"/>
      <c r="OX108" s="85"/>
      <c r="OY108" s="85"/>
      <c r="OZ108" s="85"/>
      <c r="PA108" s="85"/>
      <c r="PB108" s="85"/>
      <c r="PC108" s="85"/>
      <c r="PD108" s="85"/>
      <c r="PE108" s="85"/>
      <c r="PF108" s="85"/>
      <c r="PG108" s="85"/>
      <c r="PH108" s="85"/>
      <c r="PI108" s="85"/>
      <c r="PJ108" s="85"/>
      <c r="PK108" s="85"/>
      <c r="PL108" s="85"/>
      <c r="PM108" s="85"/>
      <c r="PN108" s="85"/>
      <c r="PO108" s="85"/>
      <c r="PP108" s="85"/>
      <c r="PQ108" s="85"/>
      <c r="PR108" s="86"/>
    </row>
    <row r="109" spans="1:434" x14ac:dyDescent="0.25">
      <c r="A109" s="24"/>
      <c r="B109" s="25" t="s">
        <v>175</v>
      </c>
      <c r="C109" s="24" t="s">
        <v>70</v>
      </c>
      <c r="D109" s="24" t="s">
        <v>76</v>
      </c>
      <c r="E109" s="24"/>
      <c r="F109" s="23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3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3"/>
      <c r="CG109" s="82"/>
      <c r="CH109" s="82"/>
      <c r="CI109" s="82"/>
      <c r="CJ109" s="82"/>
      <c r="CK109" s="82"/>
      <c r="CL109" s="82"/>
      <c r="CM109" s="82"/>
      <c r="CN109" s="82"/>
      <c r="CO109" s="82"/>
      <c r="CP109" s="82"/>
      <c r="CQ109" s="82"/>
      <c r="CR109" s="82"/>
      <c r="CS109" s="82"/>
      <c r="CT109" s="82"/>
      <c r="CU109" s="82"/>
      <c r="CV109" s="82"/>
      <c r="CW109" s="82"/>
      <c r="CX109" s="82"/>
      <c r="CY109" s="82"/>
      <c r="CZ109" s="82"/>
      <c r="DA109" s="82"/>
      <c r="DB109" s="82"/>
      <c r="DC109" s="82"/>
      <c r="DD109" s="82"/>
      <c r="DE109" s="82"/>
      <c r="DF109" s="82"/>
      <c r="DG109" s="82"/>
      <c r="DH109" s="82"/>
      <c r="DI109" s="82"/>
      <c r="DJ109" s="82"/>
      <c r="DK109" s="82"/>
      <c r="DL109" s="82"/>
      <c r="DM109" s="82"/>
      <c r="DN109" s="82"/>
      <c r="DO109" s="82"/>
      <c r="DP109" s="82"/>
      <c r="DQ109" s="82"/>
      <c r="DR109" s="82"/>
      <c r="DS109" s="23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3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  <c r="GR109" s="26"/>
      <c r="GS109" s="23"/>
      <c r="GT109" s="26"/>
      <c r="GU109" s="26"/>
      <c r="GV109" s="26"/>
      <c r="GW109" s="26"/>
      <c r="GX109" s="26"/>
      <c r="GY109" s="26"/>
      <c r="GZ109" s="26"/>
      <c r="HA109" s="26"/>
      <c r="HB109" s="26"/>
      <c r="HC109" s="26"/>
      <c r="HD109" s="26"/>
      <c r="HE109" s="26"/>
      <c r="HF109" s="26"/>
      <c r="HG109" s="26"/>
      <c r="HH109" s="26"/>
      <c r="HI109" s="26"/>
      <c r="HJ109" s="26"/>
      <c r="HK109" s="26"/>
      <c r="HL109" s="26"/>
      <c r="HM109" s="26"/>
      <c r="HN109" s="26"/>
      <c r="HO109" s="26"/>
      <c r="HP109" s="26"/>
      <c r="HQ109" s="26"/>
      <c r="HR109" s="26"/>
      <c r="HS109" s="26"/>
      <c r="HT109" s="26"/>
      <c r="HU109" s="26"/>
      <c r="HV109" s="26"/>
      <c r="HW109" s="26"/>
      <c r="HX109" s="26"/>
      <c r="HY109" s="26"/>
      <c r="HZ109" s="26"/>
      <c r="IA109" s="26"/>
      <c r="IB109" s="26"/>
      <c r="IC109" s="26"/>
      <c r="ID109" s="26"/>
      <c r="IE109" s="26"/>
      <c r="IF109" s="23"/>
      <c r="IG109" s="26"/>
      <c r="IH109" s="26"/>
      <c r="II109" s="26"/>
      <c r="IJ109" s="26"/>
      <c r="IK109" s="26"/>
      <c r="IL109" s="26"/>
      <c r="IM109" s="26"/>
      <c r="IN109" s="26"/>
      <c r="IO109" s="26"/>
      <c r="IP109" s="26"/>
      <c r="IQ109" s="26"/>
      <c r="IR109" s="26"/>
      <c r="IS109" s="26"/>
      <c r="IT109" s="26"/>
      <c r="IU109" s="26"/>
      <c r="IV109" s="26"/>
      <c r="IW109" s="26"/>
      <c r="IX109" s="26"/>
      <c r="IY109" s="26"/>
      <c r="IZ109" s="26"/>
      <c r="JA109" s="26"/>
      <c r="JB109" s="26"/>
      <c r="JC109" s="26"/>
      <c r="JD109" s="26"/>
      <c r="JE109" s="26"/>
      <c r="JF109" s="26"/>
      <c r="JG109" s="26"/>
      <c r="JH109" s="26"/>
      <c r="JI109" s="26"/>
      <c r="JJ109" s="26"/>
      <c r="JK109" s="26"/>
      <c r="JL109" s="26"/>
      <c r="JM109" s="26"/>
      <c r="JN109" s="26"/>
      <c r="JO109" s="26"/>
      <c r="JP109" s="26"/>
      <c r="JQ109" s="26"/>
      <c r="JR109" s="26"/>
      <c r="JS109" s="23"/>
      <c r="JT109" s="26"/>
      <c r="JU109" s="26"/>
      <c r="JV109" s="26"/>
      <c r="JW109" s="26"/>
      <c r="JX109" s="26"/>
      <c r="JY109" s="26"/>
      <c r="JZ109" s="26"/>
      <c r="KA109" s="26"/>
      <c r="KB109" s="26"/>
      <c r="KC109" s="26"/>
      <c r="KD109" s="26"/>
      <c r="KE109" s="26"/>
      <c r="KF109" s="26"/>
      <c r="KG109" s="26"/>
      <c r="KH109" s="26"/>
      <c r="KI109" s="26"/>
      <c r="KJ109" s="26"/>
      <c r="KK109" s="26"/>
      <c r="KL109" s="26"/>
      <c r="KM109" s="26"/>
      <c r="KN109" s="26"/>
      <c r="KO109" s="26"/>
      <c r="KP109" s="26"/>
      <c r="KQ109" s="26"/>
      <c r="KR109" s="26"/>
      <c r="KS109" s="26"/>
      <c r="KT109" s="26"/>
      <c r="KU109" s="26"/>
      <c r="KV109" s="26"/>
      <c r="KW109" s="26"/>
      <c r="KX109" s="26"/>
      <c r="KY109" s="26"/>
      <c r="KZ109" s="26"/>
      <c r="LA109" s="26"/>
      <c r="LB109" s="26"/>
      <c r="LC109" s="26"/>
      <c r="LD109" s="26"/>
      <c r="LE109" s="26"/>
      <c r="LF109" s="23"/>
      <c r="LG109" s="26"/>
      <c r="LH109" s="26"/>
      <c r="LI109" s="26"/>
      <c r="LJ109" s="26"/>
      <c r="LK109" s="26"/>
      <c r="LL109" s="26"/>
      <c r="LM109" s="26"/>
      <c r="LN109" s="26"/>
      <c r="LO109" s="26"/>
      <c r="LP109" s="26"/>
      <c r="LQ109" s="26"/>
      <c r="LR109" s="26"/>
      <c r="LS109" s="26"/>
      <c r="LT109" s="26"/>
      <c r="LU109" s="26"/>
      <c r="LV109" s="26"/>
      <c r="LW109" s="26"/>
      <c r="LX109" s="26"/>
      <c r="LY109" s="26"/>
      <c r="LZ109" s="26"/>
      <c r="MA109" s="26"/>
      <c r="MB109" s="26"/>
      <c r="MC109" s="26"/>
      <c r="MD109" s="26"/>
      <c r="ME109" s="26"/>
      <c r="MF109" s="26"/>
      <c r="MG109" s="26"/>
      <c r="MH109" s="26"/>
      <c r="MI109" s="26"/>
      <c r="MJ109" s="26"/>
      <c r="MK109" s="26"/>
      <c r="ML109" s="26"/>
      <c r="MM109" s="26"/>
      <c r="MN109" s="26"/>
      <c r="MO109" s="26"/>
      <c r="MP109" s="26"/>
      <c r="MQ109" s="26"/>
      <c r="MR109" s="26"/>
      <c r="MS109" s="23"/>
      <c r="MT109" s="26"/>
      <c r="MU109" s="26"/>
      <c r="MV109" s="26"/>
      <c r="MW109" s="26"/>
      <c r="MX109" s="26"/>
      <c r="MY109" s="26"/>
      <c r="MZ109" s="26"/>
      <c r="NA109" s="26"/>
      <c r="NB109" s="26"/>
      <c r="NC109" s="26"/>
      <c r="ND109" s="26"/>
      <c r="NE109" s="26"/>
      <c r="NF109" s="26"/>
      <c r="NG109" s="26"/>
      <c r="NH109" s="26"/>
      <c r="NI109" s="26"/>
      <c r="NJ109" s="26"/>
      <c r="NK109" s="26"/>
      <c r="NL109" s="26"/>
      <c r="NM109" s="26"/>
      <c r="NN109" s="26"/>
      <c r="NO109" s="26"/>
      <c r="NP109" s="26"/>
      <c r="NQ109" s="26"/>
      <c r="NR109" s="26"/>
      <c r="NS109" s="26"/>
      <c r="NT109" s="26"/>
      <c r="NU109" s="26"/>
      <c r="NV109" s="26"/>
      <c r="NW109" s="26"/>
      <c r="NX109" s="26"/>
      <c r="NY109" s="26"/>
      <c r="NZ109" s="26"/>
      <c r="OA109" s="26"/>
      <c r="OB109" s="26"/>
      <c r="OC109" s="26"/>
      <c r="OD109" s="26"/>
      <c r="OE109" s="26"/>
      <c r="OF109" s="23"/>
      <c r="OG109" s="26"/>
      <c r="OH109" s="26"/>
      <c r="OI109" s="26"/>
      <c r="OJ109" s="26"/>
      <c r="OK109" s="26"/>
      <c r="OL109" s="26"/>
      <c r="OM109" s="26"/>
      <c r="ON109" s="26"/>
      <c r="OO109" s="26"/>
      <c r="OP109" s="26"/>
      <c r="OQ109" s="26"/>
      <c r="OR109" s="26"/>
      <c r="OS109" s="26"/>
      <c r="OT109" s="26"/>
      <c r="OU109" s="26"/>
      <c r="OV109" s="26"/>
      <c r="OW109" s="26"/>
      <c r="OX109" s="26"/>
      <c r="OY109" s="26"/>
      <c r="OZ109" s="26"/>
      <c r="PA109" s="26"/>
      <c r="PB109" s="26"/>
      <c r="PC109" s="26"/>
      <c r="PD109" s="26"/>
      <c r="PE109" s="26"/>
      <c r="PF109" s="26"/>
      <c r="PG109" s="26"/>
      <c r="PH109" s="26"/>
      <c r="PI109" s="26"/>
      <c r="PJ109" s="26"/>
      <c r="PK109" s="26"/>
      <c r="PL109" s="26"/>
      <c r="PM109" s="26"/>
      <c r="PN109" s="26"/>
      <c r="PO109" s="26"/>
      <c r="PP109" s="26"/>
      <c r="PQ109" s="26"/>
      <c r="PR109" s="26"/>
    </row>
    <row r="110" spans="1:434" x14ac:dyDescent="0.25">
      <c r="A110" s="24"/>
      <c r="B110" s="25" t="s">
        <v>176</v>
      </c>
      <c r="C110" s="24" t="s">
        <v>70</v>
      </c>
      <c r="D110" s="24" t="s">
        <v>76</v>
      </c>
      <c r="E110" s="24"/>
      <c r="F110" s="23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3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3"/>
      <c r="CG110" s="82"/>
      <c r="CH110" s="82"/>
      <c r="CI110" s="82"/>
      <c r="CJ110" s="82"/>
      <c r="CK110" s="82"/>
      <c r="CL110" s="82"/>
      <c r="CM110" s="82"/>
      <c r="CN110" s="82"/>
      <c r="CO110" s="82"/>
      <c r="CP110" s="82"/>
      <c r="CQ110" s="82"/>
      <c r="CR110" s="82"/>
      <c r="CS110" s="82"/>
      <c r="CT110" s="82"/>
      <c r="CU110" s="82"/>
      <c r="CV110" s="82"/>
      <c r="CW110" s="82"/>
      <c r="CX110" s="82"/>
      <c r="CY110" s="82"/>
      <c r="CZ110" s="82"/>
      <c r="DA110" s="82"/>
      <c r="DB110" s="82"/>
      <c r="DC110" s="82"/>
      <c r="DD110" s="82"/>
      <c r="DE110" s="82"/>
      <c r="DF110" s="82"/>
      <c r="DG110" s="82"/>
      <c r="DH110" s="82"/>
      <c r="DI110" s="82"/>
      <c r="DJ110" s="82"/>
      <c r="DK110" s="82"/>
      <c r="DL110" s="82"/>
      <c r="DM110" s="82"/>
      <c r="DN110" s="82"/>
      <c r="DO110" s="82"/>
      <c r="DP110" s="82"/>
      <c r="DQ110" s="82"/>
      <c r="DR110" s="82"/>
      <c r="DS110" s="23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3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  <c r="GI110" s="26"/>
      <c r="GJ110" s="26"/>
      <c r="GK110" s="26"/>
      <c r="GL110" s="26"/>
      <c r="GM110" s="26"/>
      <c r="GN110" s="26"/>
      <c r="GO110" s="26"/>
      <c r="GP110" s="26"/>
      <c r="GQ110" s="26"/>
      <c r="GR110" s="26"/>
      <c r="GS110" s="23"/>
      <c r="GT110" s="26"/>
      <c r="GU110" s="26"/>
      <c r="GV110" s="26"/>
      <c r="GW110" s="26"/>
      <c r="GX110" s="26"/>
      <c r="GY110" s="26"/>
      <c r="GZ110" s="26"/>
      <c r="HA110" s="26"/>
      <c r="HB110" s="26"/>
      <c r="HC110" s="26"/>
      <c r="HD110" s="26"/>
      <c r="HE110" s="26"/>
      <c r="HF110" s="26"/>
      <c r="HG110" s="26"/>
      <c r="HH110" s="26"/>
      <c r="HI110" s="26"/>
      <c r="HJ110" s="26"/>
      <c r="HK110" s="26"/>
      <c r="HL110" s="26"/>
      <c r="HM110" s="26"/>
      <c r="HN110" s="26"/>
      <c r="HO110" s="26"/>
      <c r="HP110" s="26"/>
      <c r="HQ110" s="26"/>
      <c r="HR110" s="26"/>
      <c r="HS110" s="26"/>
      <c r="HT110" s="26"/>
      <c r="HU110" s="26"/>
      <c r="HV110" s="26"/>
      <c r="HW110" s="26"/>
      <c r="HX110" s="26"/>
      <c r="HY110" s="26"/>
      <c r="HZ110" s="26"/>
      <c r="IA110" s="26"/>
      <c r="IB110" s="26"/>
      <c r="IC110" s="26"/>
      <c r="ID110" s="26"/>
      <c r="IE110" s="26"/>
      <c r="IF110" s="23"/>
      <c r="IG110" s="26"/>
      <c r="IH110" s="26"/>
      <c r="II110" s="26"/>
      <c r="IJ110" s="26"/>
      <c r="IK110" s="26"/>
      <c r="IL110" s="26"/>
      <c r="IM110" s="26"/>
      <c r="IN110" s="26"/>
      <c r="IO110" s="26"/>
      <c r="IP110" s="26"/>
      <c r="IQ110" s="26"/>
      <c r="IR110" s="26"/>
      <c r="IS110" s="26"/>
      <c r="IT110" s="26"/>
      <c r="IU110" s="26"/>
      <c r="IV110" s="26"/>
      <c r="IW110" s="26"/>
      <c r="IX110" s="26"/>
      <c r="IY110" s="26"/>
      <c r="IZ110" s="26"/>
      <c r="JA110" s="26"/>
      <c r="JB110" s="26"/>
      <c r="JC110" s="26"/>
      <c r="JD110" s="26"/>
      <c r="JE110" s="26"/>
      <c r="JF110" s="26"/>
      <c r="JG110" s="26"/>
      <c r="JH110" s="26"/>
      <c r="JI110" s="26"/>
      <c r="JJ110" s="26"/>
      <c r="JK110" s="26"/>
      <c r="JL110" s="26"/>
      <c r="JM110" s="26"/>
      <c r="JN110" s="26"/>
      <c r="JO110" s="26"/>
      <c r="JP110" s="26"/>
      <c r="JQ110" s="26"/>
      <c r="JR110" s="26"/>
      <c r="JS110" s="23"/>
      <c r="JT110" s="26"/>
      <c r="JU110" s="26"/>
      <c r="JV110" s="26"/>
      <c r="JW110" s="26"/>
      <c r="JX110" s="26"/>
      <c r="JY110" s="26"/>
      <c r="JZ110" s="26"/>
      <c r="KA110" s="26"/>
      <c r="KB110" s="26"/>
      <c r="KC110" s="26"/>
      <c r="KD110" s="26"/>
      <c r="KE110" s="26"/>
      <c r="KF110" s="26"/>
      <c r="KG110" s="26"/>
      <c r="KH110" s="26"/>
      <c r="KI110" s="26"/>
      <c r="KJ110" s="26"/>
      <c r="KK110" s="26"/>
      <c r="KL110" s="26"/>
      <c r="KM110" s="26"/>
      <c r="KN110" s="26"/>
      <c r="KO110" s="26"/>
      <c r="KP110" s="26"/>
      <c r="KQ110" s="26"/>
      <c r="KR110" s="26"/>
      <c r="KS110" s="26"/>
      <c r="KT110" s="26"/>
      <c r="KU110" s="26"/>
      <c r="KV110" s="26"/>
      <c r="KW110" s="26"/>
      <c r="KX110" s="26"/>
      <c r="KY110" s="26"/>
      <c r="KZ110" s="26"/>
      <c r="LA110" s="26"/>
      <c r="LB110" s="26"/>
      <c r="LC110" s="26"/>
      <c r="LD110" s="26"/>
      <c r="LE110" s="26"/>
      <c r="LF110" s="23"/>
      <c r="LG110" s="26"/>
      <c r="LH110" s="26"/>
      <c r="LI110" s="26"/>
      <c r="LJ110" s="26"/>
      <c r="LK110" s="26"/>
      <c r="LL110" s="26"/>
      <c r="LM110" s="26"/>
      <c r="LN110" s="26"/>
      <c r="LO110" s="26"/>
      <c r="LP110" s="26"/>
      <c r="LQ110" s="26"/>
      <c r="LR110" s="26"/>
      <c r="LS110" s="26"/>
      <c r="LT110" s="26"/>
      <c r="LU110" s="26"/>
      <c r="LV110" s="26"/>
      <c r="LW110" s="26"/>
      <c r="LX110" s="26"/>
      <c r="LY110" s="26"/>
      <c r="LZ110" s="26"/>
      <c r="MA110" s="26"/>
      <c r="MB110" s="26"/>
      <c r="MC110" s="26"/>
      <c r="MD110" s="26"/>
      <c r="ME110" s="26"/>
      <c r="MF110" s="26"/>
      <c r="MG110" s="26"/>
      <c r="MH110" s="26"/>
      <c r="MI110" s="26"/>
      <c r="MJ110" s="26"/>
      <c r="MK110" s="26"/>
      <c r="ML110" s="26"/>
      <c r="MM110" s="26"/>
      <c r="MN110" s="26"/>
      <c r="MO110" s="26"/>
      <c r="MP110" s="26"/>
      <c r="MQ110" s="26"/>
      <c r="MR110" s="26"/>
      <c r="MS110" s="23"/>
      <c r="MT110" s="26"/>
      <c r="MU110" s="26"/>
      <c r="MV110" s="26"/>
      <c r="MW110" s="26"/>
      <c r="MX110" s="26"/>
      <c r="MY110" s="26"/>
      <c r="MZ110" s="26"/>
      <c r="NA110" s="26"/>
      <c r="NB110" s="26"/>
      <c r="NC110" s="26"/>
      <c r="ND110" s="26"/>
      <c r="NE110" s="26"/>
      <c r="NF110" s="26"/>
      <c r="NG110" s="26"/>
      <c r="NH110" s="26"/>
      <c r="NI110" s="26"/>
      <c r="NJ110" s="26"/>
      <c r="NK110" s="26"/>
      <c r="NL110" s="26"/>
      <c r="NM110" s="26"/>
      <c r="NN110" s="26"/>
      <c r="NO110" s="26"/>
      <c r="NP110" s="26"/>
      <c r="NQ110" s="26"/>
      <c r="NR110" s="26"/>
      <c r="NS110" s="26"/>
      <c r="NT110" s="26"/>
      <c r="NU110" s="26"/>
      <c r="NV110" s="26"/>
      <c r="NW110" s="26"/>
      <c r="NX110" s="26"/>
      <c r="NY110" s="26"/>
      <c r="NZ110" s="26"/>
      <c r="OA110" s="26"/>
      <c r="OB110" s="26"/>
      <c r="OC110" s="26"/>
      <c r="OD110" s="26"/>
      <c r="OE110" s="26"/>
      <c r="OF110" s="23"/>
      <c r="OG110" s="26"/>
      <c r="OH110" s="26"/>
      <c r="OI110" s="26"/>
      <c r="OJ110" s="26"/>
      <c r="OK110" s="26"/>
      <c r="OL110" s="26"/>
      <c r="OM110" s="26"/>
      <c r="ON110" s="26"/>
      <c r="OO110" s="26"/>
      <c r="OP110" s="26"/>
      <c r="OQ110" s="26"/>
      <c r="OR110" s="26"/>
      <c r="OS110" s="26"/>
      <c r="OT110" s="26"/>
      <c r="OU110" s="26"/>
      <c r="OV110" s="26"/>
      <c r="OW110" s="26"/>
      <c r="OX110" s="26"/>
      <c r="OY110" s="26"/>
      <c r="OZ110" s="26"/>
      <c r="PA110" s="26"/>
      <c r="PB110" s="26"/>
      <c r="PC110" s="26"/>
      <c r="PD110" s="26"/>
      <c r="PE110" s="26"/>
      <c r="PF110" s="26"/>
      <c r="PG110" s="26"/>
      <c r="PH110" s="26"/>
      <c r="PI110" s="26"/>
      <c r="PJ110" s="26"/>
      <c r="PK110" s="26"/>
      <c r="PL110" s="26"/>
      <c r="PM110" s="26"/>
      <c r="PN110" s="26"/>
      <c r="PO110" s="26"/>
      <c r="PP110" s="26"/>
      <c r="PQ110" s="26"/>
      <c r="PR110" s="26"/>
    </row>
    <row r="111" spans="1:434" ht="25.5" x14ac:dyDescent="0.25">
      <c r="A111" s="24"/>
      <c r="B111" s="25" t="s">
        <v>177</v>
      </c>
      <c r="C111" s="24" t="s">
        <v>70</v>
      </c>
      <c r="D111" s="24" t="s">
        <v>73</v>
      </c>
      <c r="E111" s="24"/>
      <c r="F111" s="23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3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3"/>
      <c r="CG111" s="82"/>
      <c r="CH111" s="82"/>
      <c r="CI111" s="82"/>
      <c r="CJ111" s="82"/>
      <c r="CK111" s="82"/>
      <c r="CL111" s="82"/>
      <c r="CM111" s="82"/>
      <c r="CN111" s="82"/>
      <c r="CO111" s="82"/>
      <c r="CP111" s="82"/>
      <c r="CQ111" s="82"/>
      <c r="CR111" s="82"/>
      <c r="CS111" s="82"/>
      <c r="CT111" s="82"/>
      <c r="CU111" s="82"/>
      <c r="CV111" s="82"/>
      <c r="CW111" s="82"/>
      <c r="CX111" s="82"/>
      <c r="CY111" s="82"/>
      <c r="CZ111" s="82"/>
      <c r="DA111" s="82"/>
      <c r="DB111" s="82"/>
      <c r="DC111" s="82"/>
      <c r="DD111" s="82"/>
      <c r="DE111" s="82"/>
      <c r="DF111" s="82"/>
      <c r="DG111" s="82"/>
      <c r="DH111" s="82"/>
      <c r="DI111" s="82"/>
      <c r="DJ111" s="82"/>
      <c r="DK111" s="82"/>
      <c r="DL111" s="82"/>
      <c r="DM111" s="82"/>
      <c r="DN111" s="82"/>
      <c r="DO111" s="82"/>
      <c r="DP111" s="82"/>
      <c r="DQ111" s="82"/>
      <c r="DR111" s="82"/>
      <c r="DS111" s="23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3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  <c r="GI111" s="26"/>
      <c r="GJ111" s="26"/>
      <c r="GK111" s="26"/>
      <c r="GL111" s="26"/>
      <c r="GM111" s="26"/>
      <c r="GN111" s="26"/>
      <c r="GO111" s="26"/>
      <c r="GP111" s="26"/>
      <c r="GQ111" s="26"/>
      <c r="GR111" s="26"/>
      <c r="GS111" s="23"/>
      <c r="GT111" s="26"/>
      <c r="GU111" s="26"/>
      <c r="GV111" s="26"/>
      <c r="GW111" s="26"/>
      <c r="GX111" s="26"/>
      <c r="GY111" s="26"/>
      <c r="GZ111" s="26"/>
      <c r="HA111" s="26"/>
      <c r="HB111" s="26"/>
      <c r="HC111" s="26"/>
      <c r="HD111" s="26"/>
      <c r="HE111" s="26"/>
      <c r="HF111" s="26"/>
      <c r="HG111" s="26"/>
      <c r="HH111" s="26"/>
      <c r="HI111" s="26"/>
      <c r="HJ111" s="26"/>
      <c r="HK111" s="26"/>
      <c r="HL111" s="26"/>
      <c r="HM111" s="26"/>
      <c r="HN111" s="26"/>
      <c r="HO111" s="26"/>
      <c r="HP111" s="26"/>
      <c r="HQ111" s="26"/>
      <c r="HR111" s="26"/>
      <c r="HS111" s="26"/>
      <c r="HT111" s="26"/>
      <c r="HU111" s="26"/>
      <c r="HV111" s="26"/>
      <c r="HW111" s="26"/>
      <c r="HX111" s="26"/>
      <c r="HY111" s="26"/>
      <c r="HZ111" s="26"/>
      <c r="IA111" s="26"/>
      <c r="IB111" s="26"/>
      <c r="IC111" s="26"/>
      <c r="ID111" s="26"/>
      <c r="IE111" s="26"/>
      <c r="IF111" s="23"/>
      <c r="IG111" s="26"/>
      <c r="IH111" s="26"/>
      <c r="II111" s="26"/>
      <c r="IJ111" s="26"/>
      <c r="IK111" s="26"/>
      <c r="IL111" s="26"/>
      <c r="IM111" s="26"/>
      <c r="IN111" s="26"/>
      <c r="IO111" s="26"/>
      <c r="IP111" s="26"/>
      <c r="IQ111" s="26"/>
      <c r="IR111" s="26"/>
      <c r="IS111" s="26"/>
      <c r="IT111" s="26"/>
      <c r="IU111" s="26"/>
      <c r="IV111" s="26"/>
      <c r="IW111" s="26"/>
      <c r="IX111" s="26"/>
      <c r="IY111" s="26"/>
      <c r="IZ111" s="26"/>
      <c r="JA111" s="26"/>
      <c r="JB111" s="26"/>
      <c r="JC111" s="26"/>
      <c r="JD111" s="26"/>
      <c r="JE111" s="26"/>
      <c r="JF111" s="26"/>
      <c r="JG111" s="26"/>
      <c r="JH111" s="26"/>
      <c r="JI111" s="26"/>
      <c r="JJ111" s="26"/>
      <c r="JK111" s="26"/>
      <c r="JL111" s="26"/>
      <c r="JM111" s="26"/>
      <c r="JN111" s="26"/>
      <c r="JO111" s="26"/>
      <c r="JP111" s="26"/>
      <c r="JQ111" s="26"/>
      <c r="JR111" s="26"/>
      <c r="JS111" s="23"/>
      <c r="JT111" s="26"/>
      <c r="JU111" s="26"/>
      <c r="JV111" s="26"/>
      <c r="JW111" s="26"/>
      <c r="JX111" s="26"/>
      <c r="JY111" s="26"/>
      <c r="JZ111" s="26"/>
      <c r="KA111" s="26"/>
      <c r="KB111" s="26"/>
      <c r="KC111" s="26"/>
      <c r="KD111" s="26"/>
      <c r="KE111" s="26"/>
      <c r="KF111" s="26"/>
      <c r="KG111" s="26"/>
      <c r="KH111" s="26"/>
      <c r="KI111" s="26"/>
      <c r="KJ111" s="26"/>
      <c r="KK111" s="26"/>
      <c r="KL111" s="26"/>
      <c r="KM111" s="26"/>
      <c r="KN111" s="26"/>
      <c r="KO111" s="26"/>
      <c r="KP111" s="26"/>
      <c r="KQ111" s="26"/>
      <c r="KR111" s="26"/>
      <c r="KS111" s="26"/>
      <c r="KT111" s="26"/>
      <c r="KU111" s="26"/>
      <c r="KV111" s="26"/>
      <c r="KW111" s="26"/>
      <c r="KX111" s="26"/>
      <c r="KY111" s="26"/>
      <c r="KZ111" s="26"/>
      <c r="LA111" s="26"/>
      <c r="LB111" s="26"/>
      <c r="LC111" s="26"/>
      <c r="LD111" s="26"/>
      <c r="LE111" s="26"/>
      <c r="LF111" s="23"/>
      <c r="LG111" s="26"/>
      <c r="LH111" s="26"/>
      <c r="LI111" s="26"/>
      <c r="LJ111" s="26"/>
      <c r="LK111" s="26"/>
      <c r="LL111" s="26"/>
      <c r="LM111" s="26"/>
      <c r="LN111" s="26"/>
      <c r="LO111" s="26"/>
      <c r="LP111" s="26"/>
      <c r="LQ111" s="26"/>
      <c r="LR111" s="26"/>
      <c r="LS111" s="26"/>
      <c r="LT111" s="26"/>
      <c r="LU111" s="26"/>
      <c r="LV111" s="26"/>
      <c r="LW111" s="26"/>
      <c r="LX111" s="26"/>
      <c r="LY111" s="26"/>
      <c r="LZ111" s="26"/>
      <c r="MA111" s="26"/>
      <c r="MB111" s="26"/>
      <c r="MC111" s="26"/>
      <c r="MD111" s="26"/>
      <c r="ME111" s="26"/>
      <c r="MF111" s="26"/>
      <c r="MG111" s="26"/>
      <c r="MH111" s="26"/>
      <c r="MI111" s="26"/>
      <c r="MJ111" s="26"/>
      <c r="MK111" s="26"/>
      <c r="ML111" s="26"/>
      <c r="MM111" s="26"/>
      <c r="MN111" s="26"/>
      <c r="MO111" s="26"/>
      <c r="MP111" s="26"/>
      <c r="MQ111" s="26"/>
      <c r="MR111" s="26"/>
      <c r="MS111" s="23"/>
      <c r="MT111" s="26"/>
      <c r="MU111" s="26"/>
      <c r="MV111" s="26"/>
      <c r="MW111" s="26"/>
      <c r="MX111" s="26"/>
      <c r="MY111" s="26"/>
      <c r="MZ111" s="26"/>
      <c r="NA111" s="26"/>
      <c r="NB111" s="26"/>
      <c r="NC111" s="26"/>
      <c r="ND111" s="26"/>
      <c r="NE111" s="26"/>
      <c r="NF111" s="26"/>
      <c r="NG111" s="26"/>
      <c r="NH111" s="26"/>
      <c r="NI111" s="26"/>
      <c r="NJ111" s="26"/>
      <c r="NK111" s="26"/>
      <c r="NL111" s="26"/>
      <c r="NM111" s="26"/>
      <c r="NN111" s="26"/>
      <c r="NO111" s="26"/>
      <c r="NP111" s="26"/>
      <c r="NQ111" s="26"/>
      <c r="NR111" s="26"/>
      <c r="NS111" s="26"/>
      <c r="NT111" s="26"/>
      <c r="NU111" s="26"/>
      <c r="NV111" s="26"/>
      <c r="NW111" s="26"/>
      <c r="NX111" s="26"/>
      <c r="NY111" s="26"/>
      <c r="NZ111" s="26"/>
      <c r="OA111" s="26"/>
      <c r="OB111" s="26"/>
      <c r="OC111" s="26"/>
      <c r="OD111" s="26"/>
      <c r="OE111" s="26"/>
      <c r="OF111" s="23"/>
      <c r="OG111" s="26"/>
      <c r="OH111" s="26"/>
      <c r="OI111" s="26"/>
      <c r="OJ111" s="26"/>
      <c r="OK111" s="26"/>
      <c r="OL111" s="26"/>
      <c r="OM111" s="26"/>
      <c r="ON111" s="26"/>
      <c r="OO111" s="26"/>
      <c r="OP111" s="26"/>
      <c r="OQ111" s="26"/>
      <c r="OR111" s="26"/>
      <c r="OS111" s="26"/>
      <c r="OT111" s="26"/>
      <c r="OU111" s="26"/>
      <c r="OV111" s="26"/>
      <c r="OW111" s="26"/>
      <c r="OX111" s="26"/>
      <c r="OY111" s="26"/>
      <c r="OZ111" s="26"/>
      <c r="PA111" s="26"/>
      <c r="PB111" s="26"/>
      <c r="PC111" s="26"/>
      <c r="PD111" s="26"/>
      <c r="PE111" s="26"/>
      <c r="PF111" s="26"/>
      <c r="PG111" s="26"/>
      <c r="PH111" s="26"/>
      <c r="PI111" s="26"/>
      <c r="PJ111" s="26"/>
      <c r="PK111" s="26"/>
      <c r="PL111" s="26"/>
      <c r="PM111" s="26"/>
      <c r="PN111" s="26"/>
      <c r="PO111" s="26"/>
      <c r="PP111" s="26"/>
      <c r="PQ111" s="26"/>
      <c r="PR111" s="26"/>
    </row>
    <row r="112" spans="1:434" x14ac:dyDescent="0.25">
      <c r="A112" s="24"/>
      <c r="B112" s="25" t="s">
        <v>178</v>
      </c>
      <c r="C112" s="24" t="s">
        <v>66</v>
      </c>
      <c r="D112" s="24" t="s">
        <v>179</v>
      </c>
      <c r="E112" s="24"/>
      <c r="F112" s="23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3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3"/>
      <c r="CG112" s="82"/>
      <c r="CH112" s="82"/>
      <c r="CI112" s="82"/>
      <c r="CJ112" s="82"/>
      <c r="CK112" s="82"/>
      <c r="CL112" s="82"/>
      <c r="CM112" s="82"/>
      <c r="CN112" s="82"/>
      <c r="CO112" s="82"/>
      <c r="CP112" s="82"/>
      <c r="CQ112" s="82"/>
      <c r="CR112" s="82"/>
      <c r="CS112" s="82"/>
      <c r="CT112" s="82"/>
      <c r="CU112" s="82"/>
      <c r="CV112" s="82"/>
      <c r="CW112" s="82"/>
      <c r="CX112" s="82"/>
      <c r="CY112" s="82"/>
      <c r="CZ112" s="82"/>
      <c r="DA112" s="82"/>
      <c r="DB112" s="82"/>
      <c r="DC112" s="82"/>
      <c r="DD112" s="82"/>
      <c r="DE112" s="82"/>
      <c r="DF112" s="82"/>
      <c r="DG112" s="82"/>
      <c r="DH112" s="82"/>
      <c r="DI112" s="82"/>
      <c r="DJ112" s="82"/>
      <c r="DK112" s="82"/>
      <c r="DL112" s="82"/>
      <c r="DM112" s="82"/>
      <c r="DN112" s="82"/>
      <c r="DO112" s="82"/>
      <c r="DP112" s="82"/>
      <c r="DQ112" s="82"/>
      <c r="DR112" s="82"/>
      <c r="DS112" s="23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3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  <c r="GR112" s="26"/>
      <c r="GS112" s="23"/>
      <c r="GT112" s="26"/>
      <c r="GU112" s="26"/>
      <c r="GV112" s="26"/>
      <c r="GW112" s="26"/>
      <c r="GX112" s="26"/>
      <c r="GY112" s="26"/>
      <c r="GZ112" s="26"/>
      <c r="HA112" s="26"/>
      <c r="HB112" s="26"/>
      <c r="HC112" s="26"/>
      <c r="HD112" s="26"/>
      <c r="HE112" s="26"/>
      <c r="HF112" s="26"/>
      <c r="HG112" s="26"/>
      <c r="HH112" s="26"/>
      <c r="HI112" s="26"/>
      <c r="HJ112" s="26"/>
      <c r="HK112" s="26"/>
      <c r="HL112" s="26"/>
      <c r="HM112" s="26"/>
      <c r="HN112" s="26"/>
      <c r="HO112" s="26"/>
      <c r="HP112" s="26"/>
      <c r="HQ112" s="26"/>
      <c r="HR112" s="26"/>
      <c r="HS112" s="26"/>
      <c r="HT112" s="26"/>
      <c r="HU112" s="26"/>
      <c r="HV112" s="26"/>
      <c r="HW112" s="26"/>
      <c r="HX112" s="26"/>
      <c r="HY112" s="26"/>
      <c r="HZ112" s="26"/>
      <c r="IA112" s="26"/>
      <c r="IB112" s="26"/>
      <c r="IC112" s="26"/>
      <c r="ID112" s="26"/>
      <c r="IE112" s="26"/>
      <c r="IF112" s="23"/>
      <c r="IG112" s="26"/>
      <c r="IH112" s="26"/>
      <c r="II112" s="26"/>
      <c r="IJ112" s="26"/>
      <c r="IK112" s="26"/>
      <c r="IL112" s="26"/>
      <c r="IM112" s="26"/>
      <c r="IN112" s="26"/>
      <c r="IO112" s="26"/>
      <c r="IP112" s="26"/>
      <c r="IQ112" s="26"/>
      <c r="IR112" s="26"/>
      <c r="IS112" s="26"/>
      <c r="IT112" s="26"/>
      <c r="IU112" s="26"/>
      <c r="IV112" s="26"/>
      <c r="IW112" s="26"/>
      <c r="IX112" s="26"/>
      <c r="IY112" s="26"/>
      <c r="IZ112" s="26"/>
      <c r="JA112" s="26"/>
      <c r="JB112" s="26"/>
      <c r="JC112" s="26"/>
      <c r="JD112" s="26"/>
      <c r="JE112" s="26"/>
      <c r="JF112" s="26"/>
      <c r="JG112" s="26"/>
      <c r="JH112" s="26"/>
      <c r="JI112" s="26"/>
      <c r="JJ112" s="26"/>
      <c r="JK112" s="26"/>
      <c r="JL112" s="26"/>
      <c r="JM112" s="26"/>
      <c r="JN112" s="26"/>
      <c r="JO112" s="26"/>
      <c r="JP112" s="26"/>
      <c r="JQ112" s="26"/>
      <c r="JR112" s="26"/>
      <c r="JS112" s="23"/>
      <c r="JT112" s="26"/>
      <c r="JU112" s="26"/>
      <c r="JV112" s="26"/>
      <c r="JW112" s="26"/>
      <c r="JX112" s="26"/>
      <c r="JY112" s="26"/>
      <c r="JZ112" s="26"/>
      <c r="KA112" s="26"/>
      <c r="KB112" s="26"/>
      <c r="KC112" s="26"/>
      <c r="KD112" s="26"/>
      <c r="KE112" s="26"/>
      <c r="KF112" s="26"/>
      <c r="KG112" s="26"/>
      <c r="KH112" s="26"/>
      <c r="KI112" s="26"/>
      <c r="KJ112" s="26"/>
      <c r="KK112" s="26"/>
      <c r="KL112" s="26"/>
      <c r="KM112" s="26"/>
      <c r="KN112" s="26"/>
      <c r="KO112" s="26"/>
      <c r="KP112" s="26"/>
      <c r="KQ112" s="26"/>
      <c r="KR112" s="26"/>
      <c r="KS112" s="26"/>
      <c r="KT112" s="26"/>
      <c r="KU112" s="26"/>
      <c r="KV112" s="26"/>
      <c r="KW112" s="26"/>
      <c r="KX112" s="26"/>
      <c r="KY112" s="26"/>
      <c r="KZ112" s="26"/>
      <c r="LA112" s="26"/>
      <c r="LB112" s="26"/>
      <c r="LC112" s="26"/>
      <c r="LD112" s="26"/>
      <c r="LE112" s="26"/>
      <c r="LF112" s="23"/>
      <c r="LG112" s="26"/>
      <c r="LH112" s="26"/>
      <c r="LI112" s="26"/>
      <c r="LJ112" s="26"/>
      <c r="LK112" s="26"/>
      <c r="LL112" s="26"/>
      <c r="LM112" s="26"/>
      <c r="LN112" s="26"/>
      <c r="LO112" s="26"/>
      <c r="LP112" s="26"/>
      <c r="LQ112" s="26"/>
      <c r="LR112" s="26"/>
      <c r="LS112" s="26"/>
      <c r="LT112" s="26"/>
      <c r="LU112" s="26"/>
      <c r="LV112" s="26"/>
      <c r="LW112" s="26"/>
      <c r="LX112" s="26"/>
      <c r="LY112" s="26"/>
      <c r="LZ112" s="26"/>
      <c r="MA112" s="26"/>
      <c r="MB112" s="26"/>
      <c r="MC112" s="26"/>
      <c r="MD112" s="26"/>
      <c r="ME112" s="26"/>
      <c r="MF112" s="26"/>
      <c r="MG112" s="26"/>
      <c r="MH112" s="26"/>
      <c r="MI112" s="26"/>
      <c r="MJ112" s="26"/>
      <c r="MK112" s="26"/>
      <c r="ML112" s="26"/>
      <c r="MM112" s="26"/>
      <c r="MN112" s="26"/>
      <c r="MO112" s="26"/>
      <c r="MP112" s="26"/>
      <c r="MQ112" s="26"/>
      <c r="MR112" s="26"/>
      <c r="MS112" s="23"/>
      <c r="MT112" s="26"/>
      <c r="MU112" s="26"/>
      <c r="MV112" s="26"/>
      <c r="MW112" s="26"/>
      <c r="MX112" s="26"/>
      <c r="MY112" s="26"/>
      <c r="MZ112" s="26"/>
      <c r="NA112" s="26"/>
      <c r="NB112" s="26"/>
      <c r="NC112" s="26"/>
      <c r="ND112" s="26"/>
      <c r="NE112" s="26"/>
      <c r="NF112" s="26"/>
      <c r="NG112" s="26"/>
      <c r="NH112" s="26"/>
      <c r="NI112" s="26"/>
      <c r="NJ112" s="26"/>
      <c r="NK112" s="26"/>
      <c r="NL112" s="26"/>
      <c r="NM112" s="26"/>
      <c r="NN112" s="26"/>
      <c r="NO112" s="26"/>
      <c r="NP112" s="26"/>
      <c r="NQ112" s="26"/>
      <c r="NR112" s="26"/>
      <c r="NS112" s="26"/>
      <c r="NT112" s="26"/>
      <c r="NU112" s="26"/>
      <c r="NV112" s="26"/>
      <c r="NW112" s="26"/>
      <c r="NX112" s="26"/>
      <c r="NY112" s="26"/>
      <c r="NZ112" s="26"/>
      <c r="OA112" s="26"/>
      <c r="OB112" s="26"/>
      <c r="OC112" s="26"/>
      <c r="OD112" s="26"/>
      <c r="OE112" s="26"/>
      <c r="OF112" s="23"/>
      <c r="OG112" s="26"/>
      <c r="OH112" s="26"/>
      <c r="OI112" s="26"/>
      <c r="OJ112" s="26"/>
      <c r="OK112" s="26"/>
      <c r="OL112" s="26"/>
      <c r="OM112" s="26"/>
      <c r="ON112" s="26"/>
      <c r="OO112" s="26"/>
      <c r="OP112" s="26"/>
      <c r="OQ112" s="26"/>
      <c r="OR112" s="26"/>
      <c r="OS112" s="26"/>
      <c r="OT112" s="26"/>
      <c r="OU112" s="26"/>
      <c r="OV112" s="26"/>
      <c r="OW112" s="26"/>
      <c r="OX112" s="26"/>
      <c r="OY112" s="26"/>
      <c r="OZ112" s="26"/>
      <c r="PA112" s="26"/>
      <c r="PB112" s="26"/>
      <c r="PC112" s="26"/>
      <c r="PD112" s="26"/>
      <c r="PE112" s="26"/>
      <c r="PF112" s="26"/>
      <c r="PG112" s="26"/>
      <c r="PH112" s="26"/>
      <c r="PI112" s="26"/>
      <c r="PJ112" s="26"/>
      <c r="PK112" s="26"/>
      <c r="PL112" s="26"/>
      <c r="PM112" s="26"/>
      <c r="PN112" s="26"/>
      <c r="PO112" s="26"/>
      <c r="PP112" s="26"/>
      <c r="PQ112" s="26"/>
      <c r="PR112" s="26"/>
    </row>
    <row r="113" spans="1:434" x14ac:dyDescent="0.25">
      <c r="A113" s="24"/>
      <c r="B113" s="25" t="s">
        <v>180</v>
      </c>
      <c r="C113" s="24" t="s">
        <v>70</v>
      </c>
      <c r="D113" s="24" t="s">
        <v>76</v>
      </c>
      <c r="E113" s="24"/>
      <c r="F113" s="23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3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3"/>
      <c r="CG113" s="82"/>
      <c r="CH113" s="82"/>
      <c r="CI113" s="82"/>
      <c r="CJ113" s="82"/>
      <c r="CK113" s="82"/>
      <c r="CL113" s="82"/>
      <c r="CM113" s="82"/>
      <c r="CN113" s="82"/>
      <c r="CO113" s="82"/>
      <c r="CP113" s="82"/>
      <c r="CQ113" s="82"/>
      <c r="CR113" s="82"/>
      <c r="CS113" s="82"/>
      <c r="CT113" s="82">
        <v>40</v>
      </c>
      <c r="CU113" s="82"/>
      <c r="CV113" s="82"/>
      <c r="CW113" s="82"/>
      <c r="CX113" s="82"/>
      <c r="CY113" s="82"/>
      <c r="CZ113" s="82"/>
      <c r="DA113" s="82"/>
      <c r="DB113" s="82"/>
      <c r="DC113" s="82"/>
      <c r="DD113" s="82"/>
      <c r="DE113" s="82"/>
      <c r="DF113" s="82"/>
      <c r="DG113" s="82"/>
      <c r="DH113" s="82"/>
      <c r="DI113" s="82"/>
      <c r="DJ113" s="82"/>
      <c r="DK113" s="82"/>
      <c r="DL113" s="82"/>
      <c r="DM113" s="82"/>
      <c r="DN113" s="82"/>
      <c r="DO113" s="82"/>
      <c r="DP113" s="82"/>
      <c r="DQ113" s="82"/>
      <c r="DR113" s="82"/>
      <c r="DS113" s="23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3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  <c r="GI113" s="26"/>
      <c r="GJ113" s="26"/>
      <c r="GK113" s="26"/>
      <c r="GL113" s="26"/>
      <c r="GM113" s="26"/>
      <c r="GN113" s="26"/>
      <c r="GO113" s="26"/>
      <c r="GP113" s="26"/>
      <c r="GQ113" s="26"/>
      <c r="GR113" s="26"/>
      <c r="GS113" s="23"/>
      <c r="GT113" s="26"/>
      <c r="GU113" s="26"/>
      <c r="GV113" s="26"/>
      <c r="GW113" s="26"/>
      <c r="GX113" s="26"/>
      <c r="GY113" s="26"/>
      <c r="GZ113" s="26"/>
      <c r="HA113" s="26"/>
      <c r="HB113" s="26"/>
      <c r="HC113" s="26"/>
      <c r="HD113" s="26"/>
      <c r="HE113" s="26"/>
      <c r="HF113" s="26"/>
      <c r="HG113" s="26"/>
      <c r="HH113" s="26"/>
      <c r="HI113" s="26"/>
      <c r="HJ113" s="26"/>
      <c r="HK113" s="26"/>
      <c r="HL113" s="26"/>
      <c r="HM113" s="26"/>
      <c r="HN113" s="26"/>
      <c r="HO113" s="26"/>
      <c r="HP113" s="26"/>
      <c r="HQ113" s="26"/>
      <c r="HR113" s="26"/>
      <c r="HS113" s="26"/>
      <c r="HT113" s="26"/>
      <c r="HU113" s="26"/>
      <c r="HV113" s="26"/>
      <c r="HW113" s="26"/>
      <c r="HX113" s="26"/>
      <c r="HY113" s="26"/>
      <c r="HZ113" s="26"/>
      <c r="IA113" s="26"/>
      <c r="IB113" s="26"/>
      <c r="IC113" s="26"/>
      <c r="ID113" s="26"/>
      <c r="IE113" s="26"/>
      <c r="IF113" s="23"/>
      <c r="IG113" s="26"/>
      <c r="IH113" s="26"/>
      <c r="II113" s="26"/>
      <c r="IJ113" s="26"/>
      <c r="IK113" s="26"/>
      <c r="IL113" s="26"/>
      <c r="IM113" s="26"/>
      <c r="IN113" s="26"/>
      <c r="IO113" s="26"/>
      <c r="IP113" s="26"/>
      <c r="IQ113" s="26"/>
      <c r="IR113" s="26"/>
      <c r="IS113" s="26"/>
      <c r="IT113" s="26"/>
      <c r="IU113" s="26"/>
      <c r="IV113" s="26"/>
      <c r="IW113" s="26"/>
      <c r="IX113" s="26"/>
      <c r="IY113" s="26"/>
      <c r="IZ113" s="26"/>
      <c r="JA113" s="26"/>
      <c r="JB113" s="26"/>
      <c r="JC113" s="26"/>
      <c r="JD113" s="26"/>
      <c r="JE113" s="26"/>
      <c r="JF113" s="26"/>
      <c r="JG113" s="26"/>
      <c r="JH113" s="26"/>
      <c r="JI113" s="26"/>
      <c r="JJ113" s="26"/>
      <c r="JK113" s="26"/>
      <c r="JL113" s="26"/>
      <c r="JM113" s="26"/>
      <c r="JN113" s="26"/>
      <c r="JO113" s="26"/>
      <c r="JP113" s="26"/>
      <c r="JQ113" s="26"/>
      <c r="JR113" s="26"/>
      <c r="JS113" s="23"/>
      <c r="JT113" s="26"/>
      <c r="JU113" s="26"/>
      <c r="JV113" s="26"/>
      <c r="JW113" s="26"/>
      <c r="JX113" s="26"/>
      <c r="JY113" s="26"/>
      <c r="JZ113" s="26"/>
      <c r="KA113" s="26"/>
      <c r="KB113" s="26"/>
      <c r="KC113" s="26"/>
      <c r="KD113" s="26"/>
      <c r="KE113" s="26"/>
      <c r="KF113" s="26"/>
      <c r="KG113" s="26"/>
      <c r="KH113" s="26"/>
      <c r="KI113" s="26"/>
      <c r="KJ113" s="26"/>
      <c r="KK113" s="26"/>
      <c r="KL113" s="26"/>
      <c r="KM113" s="26"/>
      <c r="KN113" s="26"/>
      <c r="KO113" s="26"/>
      <c r="KP113" s="26"/>
      <c r="KQ113" s="26"/>
      <c r="KR113" s="26"/>
      <c r="KS113" s="26"/>
      <c r="KT113" s="26"/>
      <c r="KU113" s="26"/>
      <c r="KV113" s="26"/>
      <c r="KW113" s="26"/>
      <c r="KX113" s="26"/>
      <c r="KY113" s="26"/>
      <c r="KZ113" s="26"/>
      <c r="LA113" s="26"/>
      <c r="LB113" s="26"/>
      <c r="LC113" s="26"/>
      <c r="LD113" s="26"/>
      <c r="LE113" s="26"/>
      <c r="LF113" s="23"/>
      <c r="LG113" s="26"/>
      <c r="LH113" s="26"/>
      <c r="LI113" s="26"/>
      <c r="LJ113" s="26"/>
      <c r="LK113" s="26"/>
      <c r="LL113" s="26"/>
      <c r="LM113" s="26"/>
      <c r="LN113" s="26"/>
      <c r="LO113" s="26"/>
      <c r="LP113" s="26"/>
      <c r="LQ113" s="26"/>
      <c r="LR113" s="26"/>
      <c r="LS113" s="26"/>
      <c r="LT113" s="26"/>
      <c r="LU113" s="26"/>
      <c r="LV113" s="26"/>
      <c r="LW113" s="26"/>
      <c r="LX113" s="26"/>
      <c r="LY113" s="26"/>
      <c r="LZ113" s="26"/>
      <c r="MA113" s="26"/>
      <c r="MB113" s="26"/>
      <c r="MC113" s="26"/>
      <c r="MD113" s="26"/>
      <c r="ME113" s="26"/>
      <c r="MF113" s="26"/>
      <c r="MG113" s="26"/>
      <c r="MH113" s="26"/>
      <c r="MI113" s="26"/>
      <c r="MJ113" s="26"/>
      <c r="MK113" s="26"/>
      <c r="ML113" s="26"/>
      <c r="MM113" s="26"/>
      <c r="MN113" s="26"/>
      <c r="MO113" s="26"/>
      <c r="MP113" s="26"/>
      <c r="MQ113" s="26"/>
      <c r="MR113" s="26"/>
      <c r="MS113" s="23"/>
      <c r="MT113" s="26"/>
      <c r="MU113" s="26"/>
      <c r="MV113" s="26"/>
      <c r="MW113" s="26"/>
      <c r="MX113" s="26"/>
      <c r="MY113" s="26"/>
      <c r="MZ113" s="26"/>
      <c r="NA113" s="26"/>
      <c r="NB113" s="26"/>
      <c r="NC113" s="26"/>
      <c r="ND113" s="26"/>
      <c r="NE113" s="26"/>
      <c r="NF113" s="26"/>
      <c r="NG113" s="26"/>
      <c r="NH113" s="26"/>
      <c r="NI113" s="26"/>
      <c r="NJ113" s="26"/>
      <c r="NK113" s="26"/>
      <c r="NL113" s="26"/>
      <c r="NM113" s="26"/>
      <c r="NN113" s="26"/>
      <c r="NO113" s="26"/>
      <c r="NP113" s="26"/>
      <c r="NQ113" s="26"/>
      <c r="NR113" s="26"/>
      <c r="NS113" s="26"/>
      <c r="NT113" s="26"/>
      <c r="NU113" s="26"/>
      <c r="NV113" s="26"/>
      <c r="NW113" s="26"/>
      <c r="NX113" s="26"/>
      <c r="NY113" s="26"/>
      <c r="NZ113" s="26"/>
      <c r="OA113" s="26"/>
      <c r="OB113" s="26"/>
      <c r="OC113" s="26"/>
      <c r="OD113" s="26"/>
      <c r="OE113" s="26"/>
      <c r="OF113" s="23"/>
      <c r="OG113" s="26"/>
      <c r="OH113" s="26"/>
      <c r="OI113" s="26"/>
      <c r="OJ113" s="26"/>
      <c r="OK113" s="26"/>
      <c r="OL113" s="26"/>
      <c r="OM113" s="26"/>
      <c r="ON113" s="26"/>
      <c r="OO113" s="26"/>
      <c r="OP113" s="26"/>
      <c r="OQ113" s="26"/>
      <c r="OR113" s="26"/>
      <c r="OS113" s="26"/>
      <c r="OT113" s="26"/>
      <c r="OU113" s="26"/>
      <c r="OV113" s="26"/>
      <c r="OW113" s="26"/>
      <c r="OX113" s="26"/>
      <c r="OY113" s="26"/>
      <c r="OZ113" s="26"/>
      <c r="PA113" s="26"/>
      <c r="PB113" s="26"/>
      <c r="PC113" s="26"/>
      <c r="PD113" s="26"/>
      <c r="PE113" s="26"/>
      <c r="PF113" s="26"/>
      <c r="PG113" s="26"/>
      <c r="PH113" s="26"/>
      <c r="PI113" s="26"/>
      <c r="PJ113" s="26"/>
      <c r="PK113" s="26"/>
      <c r="PL113" s="26"/>
      <c r="PM113" s="26"/>
      <c r="PN113" s="26"/>
      <c r="PO113" s="26"/>
      <c r="PP113" s="26"/>
      <c r="PQ113" s="26"/>
      <c r="PR113" s="26"/>
    </row>
    <row r="114" spans="1:434" x14ac:dyDescent="0.25">
      <c r="A114" s="24"/>
      <c r="B114" s="25" t="s">
        <v>181</v>
      </c>
      <c r="C114" s="24" t="s">
        <v>70</v>
      </c>
      <c r="D114" s="24" t="s">
        <v>76</v>
      </c>
      <c r="E114" s="24"/>
      <c r="F114" s="23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3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3"/>
      <c r="CG114" s="82"/>
      <c r="CH114" s="82"/>
      <c r="CI114" s="82"/>
      <c r="CJ114" s="82"/>
      <c r="CK114" s="82"/>
      <c r="CL114" s="82"/>
      <c r="CM114" s="82"/>
      <c r="CN114" s="82"/>
      <c r="CO114" s="82"/>
      <c r="CP114" s="82"/>
      <c r="CQ114" s="82"/>
      <c r="CR114" s="82"/>
      <c r="CS114" s="82"/>
      <c r="CT114" s="82"/>
      <c r="CU114" s="82"/>
      <c r="CV114" s="82"/>
      <c r="CW114" s="82"/>
      <c r="CX114" s="82"/>
      <c r="CY114" s="82"/>
      <c r="CZ114" s="82"/>
      <c r="DA114" s="82"/>
      <c r="DB114" s="82"/>
      <c r="DC114" s="82"/>
      <c r="DD114" s="82"/>
      <c r="DE114" s="82"/>
      <c r="DF114" s="82"/>
      <c r="DG114" s="82"/>
      <c r="DH114" s="82"/>
      <c r="DI114" s="82"/>
      <c r="DJ114" s="82"/>
      <c r="DK114" s="82"/>
      <c r="DL114" s="82">
        <v>30</v>
      </c>
      <c r="DM114" s="82"/>
      <c r="DN114" s="82"/>
      <c r="DO114" s="82"/>
      <c r="DP114" s="82"/>
      <c r="DQ114" s="82"/>
      <c r="DR114" s="82"/>
      <c r="DS114" s="23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3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  <c r="GI114" s="26"/>
      <c r="GJ114" s="26"/>
      <c r="GK114" s="26"/>
      <c r="GL114" s="26"/>
      <c r="GM114" s="26"/>
      <c r="GN114" s="26"/>
      <c r="GO114" s="26"/>
      <c r="GP114" s="26"/>
      <c r="GQ114" s="26"/>
      <c r="GR114" s="26"/>
      <c r="GS114" s="23"/>
      <c r="GT114" s="26"/>
      <c r="GU114" s="26"/>
      <c r="GV114" s="26"/>
      <c r="GW114" s="26"/>
      <c r="GX114" s="26"/>
      <c r="GY114" s="26"/>
      <c r="GZ114" s="26"/>
      <c r="HA114" s="26"/>
      <c r="HB114" s="26"/>
      <c r="HC114" s="26"/>
      <c r="HD114" s="26"/>
      <c r="HE114" s="26"/>
      <c r="HF114" s="26"/>
      <c r="HG114" s="26"/>
      <c r="HH114" s="26"/>
      <c r="HI114" s="26"/>
      <c r="HJ114" s="26"/>
      <c r="HK114" s="26"/>
      <c r="HL114" s="26"/>
      <c r="HM114" s="26"/>
      <c r="HN114" s="26"/>
      <c r="HO114" s="26"/>
      <c r="HP114" s="26"/>
      <c r="HQ114" s="26"/>
      <c r="HR114" s="26"/>
      <c r="HS114" s="26"/>
      <c r="HT114" s="26"/>
      <c r="HU114" s="26"/>
      <c r="HV114" s="26"/>
      <c r="HW114" s="26"/>
      <c r="HX114" s="26"/>
      <c r="HY114" s="26"/>
      <c r="HZ114" s="26"/>
      <c r="IA114" s="26"/>
      <c r="IB114" s="26"/>
      <c r="IC114" s="26"/>
      <c r="ID114" s="26"/>
      <c r="IE114" s="26"/>
      <c r="IF114" s="23"/>
      <c r="IG114" s="26"/>
      <c r="IH114" s="26"/>
      <c r="II114" s="26"/>
      <c r="IJ114" s="26"/>
      <c r="IK114" s="26"/>
      <c r="IL114" s="26"/>
      <c r="IM114" s="26"/>
      <c r="IN114" s="26"/>
      <c r="IO114" s="26"/>
      <c r="IP114" s="26"/>
      <c r="IQ114" s="26"/>
      <c r="IR114" s="26"/>
      <c r="IS114" s="26"/>
      <c r="IT114" s="26"/>
      <c r="IU114" s="26"/>
      <c r="IV114" s="26"/>
      <c r="IW114" s="26"/>
      <c r="IX114" s="26"/>
      <c r="IY114" s="26"/>
      <c r="IZ114" s="26"/>
      <c r="JA114" s="26"/>
      <c r="JB114" s="26"/>
      <c r="JC114" s="26"/>
      <c r="JD114" s="26"/>
      <c r="JE114" s="26"/>
      <c r="JF114" s="26"/>
      <c r="JG114" s="26"/>
      <c r="JH114" s="26"/>
      <c r="JI114" s="26"/>
      <c r="JJ114" s="26"/>
      <c r="JK114" s="26"/>
      <c r="JL114" s="26"/>
      <c r="JM114" s="26"/>
      <c r="JN114" s="26"/>
      <c r="JO114" s="26"/>
      <c r="JP114" s="26"/>
      <c r="JQ114" s="26"/>
      <c r="JR114" s="26"/>
      <c r="JS114" s="23"/>
      <c r="JT114" s="26"/>
      <c r="JU114" s="26"/>
      <c r="JV114" s="26"/>
      <c r="JW114" s="26"/>
      <c r="JX114" s="26"/>
      <c r="JY114" s="26"/>
      <c r="JZ114" s="26"/>
      <c r="KA114" s="26"/>
      <c r="KB114" s="26"/>
      <c r="KC114" s="26"/>
      <c r="KD114" s="26"/>
      <c r="KE114" s="26"/>
      <c r="KF114" s="26"/>
      <c r="KG114" s="26"/>
      <c r="KH114" s="26"/>
      <c r="KI114" s="26"/>
      <c r="KJ114" s="26"/>
      <c r="KK114" s="26"/>
      <c r="KL114" s="26"/>
      <c r="KM114" s="26"/>
      <c r="KN114" s="26"/>
      <c r="KO114" s="26"/>
      <c r="KP114" s="26"/>
      <c r="KQ114" s="26"/>
      <c r="KR114" s="26"/>
      <c r="KS114" s="26"/>
      <c r="KT114" s="26"/>
      <c r="KU114" s="26"/>
      <c r="KV114" s="26"/>
      <c r="KW114" s="26"/>
      <c r="KX114" s="26"/>
      <c r="KY114" s="26"/>
      <c r="KZ114" s="26"/>
      <c r="LA114" s="26"/>
      <c r="LB114" s="26"/>
      <c r="LC114" s="26"/>
      <c r="LD114" s="26"/>
      <c r="LE114" s="26"/>
      <c r="LF114" s="23"/>
      <c r="LG114" s="26"/>
      <c r="LH114" s="26"/>
      <c r="LI114" s="26"/>
      <c r="LJ114" s="26"/>
      <c r="LK114" s="26"/>
      <c r="LL114" s="26"/>
      <c r="LM114" s="26"/>
      <c r="LN114" s="26"/>
      <c r="LO114" s="26"/>
      <c r="LP114" s="26"/>
      <c r="LQ114" s="26"/>
      <c r="LR114" s="26"/>
      <c r="LS114" s="26"/>
      <c r="LT114" s="26"/>
      <c r="LU114" s="26"/>
      <c r="LV114" s="26"/>
      <c r="LW114" s="26"/>
      <c r="LX114" s="26"/>
      <c r="LY114" s="26"/>
      <c r="LZ114" s="26"/>
      <c r="MA114" s="26"/>
      <c r="MB114" s="26"/>
      <c r="MC114" s="26"/>
      <c r="MD114" s="26"/>
      <c r="ME114" s="26"/>
      <c r="MF114" s="26"/>
      <c r="MG114" s="26"/>
      <c r="MH114" s="26"/>
      <c r="MI114" s="26"/>
      <c r="MJ114" s="26"/>
      <c r="MK114" s="26"/>
      <c r="ML114" s="26"/>
      <c r="MM114" s="26"/>
      <c r="MN114" s="26"/>
      <c r="MO114" s="26"/>
      <c r="MP114" s="26"/>
      <c r="MQ114" s="26"/>
      <c r="MR114" s="26"/>
      <c r="MS114" s="23"/>
      <c r="MT114" s="26"/>
      <c r="MU114" s="26"/>
      <c r="MV114" s="26"/>
      <c r="MW114" s="26"/>
      <c r="MX114" s="26"/>
      <c r="MY114" s="26"/>
      <c r="MZ114" s="26"/>
      <c r="NA114" s="26"/>
      <c r="NB114" s="26"/>
      <c r="NC114" s="26"/>
      <c r="ND114" s="26"/>
      <c r="NE114" s="26"/>
      <c r="NF114" s="26"/>
      <c r="NG114" s="26"/>
      <c r="NH114" s="26"/>
      <c r="NI114" s="26"/>
      <c r="NJ114" s="26"/>
      <c r="NK114" s="26"/>
      <c r="NL114" s="26"/>
      <c r="NM114" s="26"/>
      <c r="NN114" s="26"/>
      <c r="NO114" s="26"/>
      <c r="NP114" s="26"/>
      <c r="NQ114" s="26"/>
      <c r="NR114" s="26"/>
      <c r="NS114" s="26"/>
      <c r="NT114" s="26"/>
      <c r="NU114" s="26"/>
      <c r="NV114" s="26"/>
      <c r="NW114" s="26"/>
      <c r="NX114" s="26"/>
      <c r="NY114" s="26"/>
      <c r="NZ114" s="26"/>
      <c r="OA114" s="26"/>
      <c r="OB114" s="26"/>
      <c r="OC114" s="26"/>
      <c r="OD114" s="26"/>
      <c r="OE114" s="26"/>
      <c r="OF114" s="23"/>
      <c r="OG114" s="26"/>
      <c r="OH114" s="26"/>
      <c r="OI114" s="26"/>
      <c r="OJ114" s="26"/>
      <c r="OK114" s="26"/>
      <c r="OL114" s="26"/>
      <c r="OM114" s="26"/>
      <c r="ON114" s="26"/>
      <c r="OO114" s="26"/>
      <c r="OP114" s="26"/>
      <c r="OQ114" s="26"/>
      <c r="OR114" s="26"/>
      <c r="OS114" s="26"/>
      <c r="OT114" s="26"/>
      <c r="OU114" s="26"/>
      <c r="OV114" s="26"/>
      <c r="OW114" s="26"/>
      <c r="OX114" s="26"/>
      <c r="OY114" s="26"/>
      <c r="OZ114" s="26"/>
      <c r="PA114" s="26"/>
      <c r="PB114" s="26"/>
      <c r="PC114" s="26"/>
      <c r="PD114" s="26"/>
      <c r="PE114" s="26"/>
      <c r="PF114" s="26"/>
      <c r="PG114" s="26"/>
      <c r="PH114" s="26"/>
      <c r="PI114" s="26"/>
      <c r="PJ114" s="26"/>
      <c r="PK114" s="26"/>
      <c r="PL114" s="26"/>
      <c r="PM114" s="26"/>
      <c r="PN114" s="26"/>
      <c r="PO114" s="26"/>
      <c r="PP114" s="26"/>
      <c r="PQ114" s="26"/>
      <c r="PR114" s="26"/>
    </row>
    <row r="115" spans="1:434" ht="21.95" customHeight="1" x14ac:dyDescent="0.25">
      <c r="A115" s="84" t="s">
        <v>182</v>
      </c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  <c r="FU115" s="85"/>
      <c r="FV115" s="85"/>
      <c r="FW115" s="85"/>
      <c r="FX115" s="85"/>
      <c r="FY115" s="85"/>
      <c r="FZ115" s="85"/>
      <c r="GA115" s="85"/>
      <c r="GB115" s="85"/>
      <c r="GC115" s="85"/>
      <c r="GD115" s="85"/>
      <c r="GE115" s="85"/>
      <c r="GF115" s="85"/>
      <c r="GG115" s="85"/>
      <c r="GH115" s="85"/>
      <c r="GI115" s="85"/>
      <c r="GJ115" s="85"/>
      <c r="GK115" s="85"/>
      <c r="GL115" s="85"/>
      <c r="GM115" s="85"/>
      <c r="GN115" s="85"/>
      <c r="GO115" s="85"/>
      <c r="GP115" s="85"/>
      <c r="GQ115" s="85"/>
      <c r="GR115" s="85"/>
      <c r="GS115" s="85"/>
      <c r="GT115" s="85"/>
      <c r="GU115" s="85"/>
      <c r="GV115" s="85"/>
      <c r="GW115" s="85"/>
      <c r="GX115" s="85"/>
      <c r="GY115" s="85"/>
      <c r="GZ115" s="85"/>
      <c r="HA115" s="85"/>
      <c r="HB115" s="85"/>
      <c r="HC115" s="85"/>
      <c r="HD115" s="85"/>
      <c r="HE115" s="85"/>
      <c r="HF115" s="85"/>
      <c r="HG115" s="85"/>
      <c r="HH115" s="85"/>
      <c r="HI115" s="85"/>
      <c r="HJ115" s="85"/>
      <c r="HK115" s="85"/>
      <c r="HL115" s="85"/>
      <c r="HM115" s="85"/>
      <c r="HN115" s="85"/>
      <c r="HO115" s="85"/>
      <c r="HP115" s="85"/>
      <c r="HQ115" s="85"/>
      <c r="HR115" s="85"/>
      <c r="HS115" s="85"/>
      <c r="HT115" s="85"/>
      <c r="HU115" s="85"/>
      <c r="HV115" s="85"/>
      <c r="HW115" s="85"/>
      <c r="HX115" s="85"/>
      <c r="HY115" s="85"/>
      <c r="HZ115" s="85"/>
      <c r="IA115" s="85"/>
      <c r="IB115" s="85"/>
      <c r="IC115" s="85"/>
      <c r="ID115" s="85"/>
      <c r="IE115" s="85"/>
      <c r="IF115" s="85"/>
      <c r="IG115" s="85"/>
      <c r="IH115" s="85"/>
      <c r="II115" s="85"/>
      <c r="IJ115" s="85"/>
      <c r="IK115" s="85"/>
      <c r="IL115" s="85"/>
      <c r="IM115" s="85"/>
      <c r="IN115" s="85"/>
      <c r="IO115" s="85"/>
      <c r="IP115" s="85"/>
      <c r="IQ115" s="85"/>
      <c r="IR115" s="85"/>
      <c r="IS115" s="85"/>
      <c r="IT115" s="85"/>
      <c r="IU115" s="85"/>
      <c r="IV115" s="85"/>
      <c r="IW115" s="85"/>
      <c r="IX115" s="85"/>
      <c r="IY115" s="85"/>
      <c r="IZ115" s="85"/>
      <c r="JA115" s="85"/>
      <c r="JB115" s="85"/>
      <c r="JC115" s="85"/>
      <c r="JD115" s="85"/>
      <c r="JE115" s="85"/>
      <c r="JF115" s="85"/>
      <c r="JG115" s="85"/>
      <c r="JH115" s="85"/>
      <c r="JI115" s="85"/>
      <c r="JJ115" s="85"/>
      <c r="JK115" s="85"/>
      <c r="JL115" s="85"/>
      <c r="JM115" s="85"/>
      <c r="JN115" s="85"/>
      <c r="JO115" s="85"/>
      <c r="JP115" s="85"/>
      <c r="JQ115" s="85"/>
      <c r="JR115" s="85"/>
      <c r="JS115" s="85"/>
      <c r="JT115" s="85"/>
      <c r="JU115" s="85"/>
      <c r="JV115" s="85"/>
      <c r="JW115" s="85"/>
      <c r="JX115" s="85"/>
      <c r="JY115" s="85"/>
      <c r="JZ115" s="85"/>
      <c r="KA115" s="85"/>
      <c r="KB115" s="85"/>
      <c r="KC115" s="85"/>
      <c r="KD115" s="85"/>
      <c r="KE115" s="85"/>
      <c r="KF115" s="85"/>
      <c r="KG115" s="85"/>
      <c r="KH115" s="85"/>
      <c r="KI115" s="85"/>
      <c r="KJ115" s="85"/>
      <c r="KK115" s="85"/>
      <c r="KL115" s="85"/>
      <c r="KM115" s="85"/>
      <c r="KN115" s="85"/>
      <c r="KO115" s="85"/>
      <c r="KP115" s="85"/>
      <c r="KQ115" s="85"/>
      <c r="KR115" s="85"/>
      <c r="KS115" s="85"/>
      <c r="KT115" s="85"/>
      <c r="KU115" s="85"/>
      <c r="KV115" s="85"/>
      <c r="KW115" s="85"/>
      <c r="KX115" s="85"/>
      <c r="KY115" s="85"/>
      <c r="KZ115" s="85"/>
      <c r="LA115" s="85"/>
      <c r="LB115" s="85"/>
      <c r="LC115" s="85"/>
      <c r="LD115" s="85"/>
      <c r="LE115" s="85"/>
      <c r="LF115" s="85"/>
      <c r="LG115" s="85"/>
      <c r="LH115" s="85"/>
      <c r="LI115" s="85"/>
      <c r="LJ115" s="85"/>
      <c r="LK115" s="85"/>
      <c r="LL115" s="85"/>
      <c r="LM115" s="85"/>
      <c r="LN115" s="85"/>
      <c r="LO115" s="85"/>
      <c r="LP115" s="85"/>
      <c r="LQ115" s="85"/>
      <c r="LR115" s="85"/>
      <c r="LS115" s="85"/>
      <c r="LT115" s="85"/>
      <c r="LU115" s="85"/>
      <c r="LV115" s="85"/>
      <c r="LW115" s="85"/>
      <c r="LX115" s="85"/>
      <c r="LY115" s="85"/>
      <c r="LZ115" s="85"/>
      <c r="MA115" s="85"/>
      <c r="MB115" s="85"/>
      <c r="MC115" s="85"/>
      <c r="MD115" s="85"/>
      <c r="ME115" s="85"/>
      <c r="MF115" s="85"/>
      <c r="MG115" s="85"/>
      <c r="MH115" s="85"/>
      <c r="MI115" s="85"/>
      <c r="MJ115" s="85"/>
      <c r="MK115" s="85"/>
      <c r="ML115" s="85"/>
      <c r="MM115" s="85"/>
      <c r="MN115" s="85"/>
      <c r="MO115" s="85"/>
      <c r="MP115" s="85"/>
      <c r="MQ115" s="85"/>
      <c r="MR115" s="85"/>
      <c r="MS115" s="85"/>
      <c r="MT115" s="85"/>
      <c r="MU115" s="85"/>
      <c r="MV115" s="85"/>
      <c r="MW115" s="85"/>
      <c r="MX115" s="85"/>
      <c r="MY115" s="85"/>
      <c r="MZ115" s="85"/>
      <c r="NA115" s="85"/>
      <c r="NB115" s="85"/>
      <c r="NC115" s="85"/>
      <c r="ND115" s="85"/>
      <c r="NE115" s="85"/>
      <c r="NF115" s="85"/>
      <c r="NG115" s="85"/>
      <c r="NH115" s="85"/>
      <c r="NI115" s="85"/>
      <c r="NJ115" s="85"/>
      <c r="NK115" s="85"/>
      <c r="NL115" s="85"/>
      <c r="NM115" s="85"/>
      <c r="NN115" s="85"/>
      <c r="NO115" s="85"/>
      <c r="NP115" s="85"/>
      <c r="NQ115" s="85"/>
      <c r="NR115" s="85"/>
      <c r="NS115" s="85"/>
      <c r="NT115" s="85"/>
      <c r="NU115" s="85"/>
      <c r="NV115" s="85"/>
      <c r="NW115" s="85"/>
      <c r="NX115" s="85"/>
      <c r="NY115" s="85"/>
      <c r="NZ115" s="85"/>
      <c r="OA115" s="85"/>
      <c r="OB115" s="85"/>
      <c r="OC115" s="85"/>
      <c r="OD115" s="85"/>
      <c r="OE115" s="85"/>
      <c r="OF115" s="85"/>
      <c r="OG115" s="85"/>
      <c r="OH115" s="85"/>
      <c r="OI115" s="85"/>
      <c r="OJ115" s="85"/>
      <c r="OK115" s="85"/>
      <c r="OL115" s="85"/>
      <c r="OM115" s="85"/>
      <c r="ON115" s="85"/>
      <c r="OO115" s="85"/>
      <c r="OP115" s="85"/>
      <c r="OQ115" s="85"/>
      <c r="OR115" s="85"/>
      <c r="OS115" s="85"/>
      <c r="OT115" s="85"/>
      <c r="OU115" s="85"/>
      <c r="OV115" s="85"/>
      <c r="OW115" s="85"/>
      <c r="OX115" s="85"/>
      <c r="OY115" s="85"/>
      <c r="OZ115" s="85"/>
      <c r="PA115" s="85"/>
      <c r="PB115" s="85"/>
      <c r="PC115" s="85"/>
      <c r="PD115" s="85"/>
      <c r="PE115" s="85"/>
      <c r="PF115" s="85"/>
      <c r="PG115" s="85"/>
      <c r="PH115" s="85"/>
      <c r="PI115" s="85"/>
      <c r="PJ115" s="85"/>
      <c r="PK115" s="85"/>
      <c r="PL115" s="85"/>
      <c r="PM115" s="85"/>
      <c r="PN115" s="85"/>
      <c r="PO115" s="85"/>
      <c r="PP115" s="85"/>
      <c r="PQ115" s="85"/>
      <c r="PR115" s="86"/>
    </row>
    <row r="116" spans="1:434" ht="25.5" x14ac:dyDescent="0.25">
      <c r="A116" s="24"/>
      <c r="B116" s="25" t="s">
        <v>183</v>
      </c>
      <c r="C116" s="24" t="s">
        <v>70</v>
      </c>
      <c r="D116" s="24" t="s">
        <v>73</v>
      </c>
      <c r="E116" s="24"/>
      <c r="F116" s="23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3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3"/>
      <c r="CG116" s="82"/>
      <c r="CH116" s="82"/>
      <c r="CI116" s="82"/>
      <c r="CJ116" s="82"/>
      <c r="CK116" s="82"/>
      <c r="CL116" s="82"/>
      <c r="CM116" s="82"/>
      <c r="CN116" s="82"/>
      <c r="CO116" s="82"/>
      <c r="CP116" s="82"/>
      <c r="CQ116" s="82"/>
      <c r="CR116" s="82"/>
      <c r="CS116" s="82"/>
      <c r="CT116" s="82"/>
      <c r="CU116" s="82"/>
      <c r="CV116" s="82"/>
      <c r="CW116" s="82"/>
      <c r="CX116" s="82"/>
      <c r="CY116" s="82"/>
      <c r="CZ116" s="82"/>
      <c r="DA116" s="82"/>
      <c r="DB116" s="82"/>
      <c r="DC116" s="82"/>
      <c r="DD116" s="82"/>
      <c r="DE116" s="82"/>
      <c r="DF116" s="82"/>
      <c r="DG116" s="82"/>
      <c r="DH116" s="82"/>
      <c r="DI116" s="82"/>
      <c r="DJ116" s="82"/>
      <c r="DK116" s="82"/>
      <c r="DL116" s="82">
        <v>10</v>
      </c>
      <c r="DM116" s="82"/>
      <c r="DN116" s="82"/>
      <c r="DO116" s="82"/>
      <c r="DP116" s="82"/>
      <c r="DQ116" s="82"/>
      <c r="DR116" s="82"/>
      <c r="DS116" s="23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3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  <c r="GR116" s="26"/>
      <c r="GS116" s="23"/>
      <c r="GT116" s="26"/>
      <c r="GU116" s="26"/>
      <c r="GV116" s="26"/>
      <c r="GW116" s="26"/>
      <c r="GX116" s="26"/>
      <c r="GY116" s="26"/>
      <c r="GZ116" s="26"/>
      <c r="HA116" s="26"/>
      <c r="HB116" s="26"/>
      <c r="HC116" s="26"/>
      <c r="HD116" s="26"/>
      <c r="HE116" s="26"/>
      <c r="HF116" s="26"/>
      <c r="HG116" s="26"/>
      <c r="HH116" s="26"/>
      <c r="HI116" s="26"/>
      <c r="HJ116" s="26"/>
      <c r="HK116" s="26"/>
      <c r="HL116" s="26"/>
      <c r="HM116" s="26"/>
      <c r="HN116" s="26"/>
      <c r="HO116" s="26"/>
      <c r="HP116" s="26"/>
      <c r="HQ116" s="26"/>
      <c r="HR116" s="26"/>
      <c r="HS116" s="26"/>
      <c r="HT116" s="26"/>
      <c r="HU116" s="26"/>
      <c r="HV116" s="26"/>
      <c r="HW116" s="26"/>
      <c r="HX116" s="26"/>
      <c r="HY116" s="26"/>
      <c r="HZ116" s="26"/>
      <c r="IA116" s="26"/>
      <c r="IB116" s="26"/>
      <c r="IC116" s="26"/>
      <c r="ID116" s="26"/>
      <c r="IE116" s="26"/>
      <c r="IF116" s="23"/>
      <c r="IG116" s="26"/>
      <c r="IH116" s="26"/>
      <c r="II116" s="26"/>
      <c r="IJ116" s="26"/>
      <c r="IK116" s="26"/>
      <c r="IL116" s="26"/>
      <c r="IM116" s="26"/>
      <c r="IN116" s="26"/>
      <c r="IO116" s="26"/>
      <c r="IP116" s="26"/>
      <c r="IQ116" s="26"/>
      <c r="IR116" s="26"/>
      <c r="IS116" s="26"/>
      <c r="IT116" s="26"/>
      <c r="IU116" s="26"/>
      <c r="IV116" s="26"/>
      <c r="IW116" s="26"/>
      <c r="IX116" s="26"/>
      <c r="IY116" s="26"/>
      <c r="IZ116" s="26"/>
      <c r="JA116" s="26"/>
      <c r="JB116" s="26"/>
      <c r="JC116" s="26"/>
      <c r="JD116" s="26"/>
      <c r="JE116" s="26"/>
      <c r="JF116" s="26"/>
      <c r="JG116" s="26"/>
      <c r="JH116" s="26"/>
      <c r="JI116" s="26"/>
      <c r="JJ116" s="26"/>
      <c r="JK116" s="26"/>
      <c r="JL116" s="26"/>
      <c r="JM116" s="26"/>
      <c r="JN116" s="26"/>
      <c r="JO116" s="26"/>
      <c r="JP116" s="26"/>
      <c r="JQ116" s="26"/>
      <c r="JR116" s="26"/>
      <c r="JS116" s="23"/>
      <c r="JT116" s="26"/>
      <c r="JU116" s="26"/>
      <c r="JV116" s="26"/>
      <c r="JW116" s="26"/>
      <c r="JX116" s="26"/>
      <c r="JY116" s="26"/>
      <c r="JZ116" s="26"/>
      <c r="KA116" s="26"/>
      <c r="KB116" s="26"/>
      <c r="KC116" s="26"/>
      <c r="KD116" s="26"/>
      <c r="KE116" s="26"/>
      <c r="KF116" s="26"/>
      <c r="KG116" s="26"/>
      <c r="KH116" s="26"/>
      <c r="KI116" s="26"/>
      <c r="KJ116" s="26"/>
      <c r="KK116" s="26"/>
      <c r="KL116" s="26"/>
      <c r="KM116" s="26"/>
      <c r="KN116" s="26"/>
      <c r="KO116" s="26"/>
      <c r="KP116" s="26"/>
      <c r="KQ116" s="26"/>
      <c r="KR116" s="26"/>
      <c r="KS116" s="26"/>
      <c r="KT116" s="26"/>
      <c r="KU116" s="26"/>
      <c r="KV116" s="26"/>
      <c r="KW116" s="26"/>
      <c r="KX116" s="26"/>
      <c r="KY116" s="26"/>
      <c r="KZ116" s="26"/>
      <c r="LA116" s="26"/>
      <c r="LB116" s="26"/>
      <c r="LC116" s="26"/>
      <c r="LD116" s="26"/>
      <c r="LE116" s="26"/>
      <c r="LF116" s="23"/>
      <c r="LG116" s="26"/>
      <c r="LH116" s="26"/>
      <c r="LI116" s="26"/>
      <c r="LJ116" s="26"/>
      <c r="LK116" s="26"/>
      <c r="LL116" s="26"/>
      <c r="LM116" s="26"/>
      <c r="LN116" s="26"/>
      <c r="LO116" s="26"/>
      <c r="LP116" s="26"/>
      <c r="LQ116" s="26"/>
      <c r="LR116" s="26"/>
      <c r="LS116" s="26"/>
      <c r="LT116" s="26"/>
      <c r="LU116" s="26"/>
      <c r="LV116" s="26"/>
      <c r="LW116" s="26"/>
      <c r="LX116" s="26"/>
      <c r="LY116" s="26"/>
      <c r="LZ116" s="26"/>
      <c r="MA116" s="26"/>
      <c r="MB116" s="26"/>
      <c r="MC116" s="26"/>
      <c r="MD116" s="26"/>
      <c r="ME116" s="26"/>
      <c r="MF116" s="26"/>
      <c r="MG116" s="26"/>
      <c r="MH116" s="26"/>
      <c r="MI116" s="26"/>
      <c r="MJ116" s="26"/>
      <c r="MK116" s="26"/>
      <c r="ML116" s="26"/>
      <c r="MM116" s="26"/>
      <c r="MN116" s="26"/>
      <c r="MO116" s="26"/>
      <c r="MP116" s="26"/>
      <c r="MQ116" s="26"/>
      <c r="MR116" s="26"/>
      <c r="MS116" s="23"/>
      <c r="MT116" s="26"/>
      <c r="MU116" s="26"/>
      <c r="MV116" s="26"/>
      <c r="MW116" s="26"/>
      <c r="MX116" s="26"/>
      <c r="MY116" s="26"/>
      <c r="MZ116" s="26"/>
      <c r="NA116" s="26"/>
      <c r="NB116" s="26"/>
      <c r="NC116" s="26"/>
      <c r="ND116" s="26"/>
      <c r="NE116" s="26"/>
      <c r="NF116" s="26"/>
      <c r="NG116" s="26"/>
      <c r="NH116" s="26"/>
      <c r="NI116" s="26"/>
      <c r="NJ116" s="26"/>
      <c r="NK116" s="26"/>
      <c r="NL116" s="26"/>
      <c r="NM116" s="26"/>
      <c r="NN116" s="26"/>
      <c r="NO116" s="26"/>
      <c r="NP116" s="26"/>
      <c r="NQ116" s="26"/>
      <c r="NR116" s="26"/>
      <c r="NS116" s="26"/>
      <c r="NT116" s="26"/>
      <c r="NU116" s="26"/>
      <c r="NV116" s="26"/>
      <c r="NW116" s="26"/>
      <c r="NX116" s="26"/>
      <c r="NY116" s="26"/>
      <c r="NZ116" s="26"/>
      <c r="OA116" s="26"/>
      <c r="OB116" s="26"/>
      <c r="OC116" s="26"/>
      <c r="OD116" s="26"/>
      <c r="OE116" s="26"/>
      <c r="OF116" s="23"/>
      <c r="OG116" s="26"/>
      <c r="OH116" s="26"/>
      <c r="OI116" s="26"/>
      <c r="OJ116" s="26"/>
      <c r="OK116" s="26"/>
      <c r="OL116" s="26"/>
      <c r="OM116" s="26"/>
      <c r="ON116" s="26"/>
      <c r="OO116" s="26"/>
      <c r="OP116" s="26"/>
      <c r="OQ116" s="26"/>
      <c r="OR116" s="26"/>
      <c r="OS116" s="26"/>
      <c r="OT116" s="26"/>
      <c r="OU116" s="26"/>
      <c r="OV116" s="26"/>
      <c r="OW116" s="26"/>
      <c r="OX116" s="26"/>
      <c r="OY116" s="26"/>
      <c r="OZ116" s="26"/>
      <c r="PA116" s="26"/>
      <c r="PB116" s="26"/>
      <c r="PC116" s="26"/>
      <c r="PD116" s="26"/>
      <c r="PE116" s="26"/>
      <c r="PF116" s="26"/>
      <c r="PG116" s="26"/>
      <c r="PH116" s="26"/>
      <c r="PI116" s="26"/>
      <c r="PJ116" s="26"/>
      <c r="PK116" s="26"/>
      <c r="PL116" s="26"/>
      <c r="PM116" s="26"/>
      <c r="PN116" s="26"/>
      <c r="PO116" s="26"/>
      <c r="PP116" s="26"/>
      <c r="PQ116" s="26"/>
      <c r="PR116" s="26"/>
    </row>
    <row r="117" spans="1:434" ht="25.5" x14ac:dyDescent="0.25">
      <c r="A117" s="24"/>
      <c r="B117" s="25" t="s">
        <v>184</v>
      </c>
      <c r="C117" s="24" t="s">
        <v>70</v>
      </c>
      <c r="D117" s="24" t="s">
        <v>73</v>
      </c>
      <c r="E117" s="24"/>
      <c r="F117" s="23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3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3"/>
      <c r="CG117" s="82"/>
      <c r="CH117" s="82"/>
      <c r="CI117" s="82"/>
      <c r="CJ117" s="82"/>
      <c r="CK117" s="82"/>
      <c r="CL117" s="82"/>
      <c r="CM117" s="82"/>
      <c r="CN117" s="82"/>
      <c r="CO117" s="82"/>
      <c r="CP117" s="82"/>
      <c r="CQ117" s="82"/>
      <c r="CR117" s="82"/>
      <c r="CS117" s="82"/>
      <c r="CT117" s="82"/>
      <c r="CU117" s="82"/>
      <c r="CV117" s="82"/>
      <c r="CW117" s="82"/>
      <c r="CX117" s="82"/>
      <c r="CY117" s="82"/>
      <c r="CZ117" s="82"/>
      <c r="DA117" s="82"/>
      <c r="DB117" s="82"/>
      <c r="DC117" s="82"/>
      <c r="DD117" s="82"/>
      <c r="DE117" s="82"/>
      <c r="DF117" s="82"/>
      <c r="DG117" s="82"/>
      <c r="DH117" s="82"/>
      <c r="DI117" s="82"/>
      <c r="DJ117" s="82"/>
      <c r="DK117" s="82"/>
      <c r="DL117" s="82">
        <v>15</v>
      </c>
      <c r="DM117" s="82"/>
      <c r="DN117" s="82"/>
      <c r="DO117" s="82"/>
      <c r="DP117" s="82"/>
      <c r="DQ117" s="82"/>
      <c r="DR117" s="82"/>
      <c r="DS117" s="23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3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  <c r="GI117" s="26"/>
      <c r="GJ117" s="26"/>
      <c r="GK117" s="26"/>
      <c r="GL117" s="26"/>
      <c r="GM117" s="26"/>
      <c r="GN117" s="26"/>
      <c r="GO117" s="26"/>
      <c r="GP117" s="26"/>
      <c r="GQ117" s="26"/>
      <c r="GR117" s="26"/>
      <c r="GS117" s="23"/>
      <c r="GT117" s="26"/>
      <c r="GU117" s="26"/>
      <c r="GV117" s="26"/>
      <c r="GW117" s="26"/>
      <c r="GX117" s="26"/>
      <c r="GY117" s="26"/>
      <c r="GZ117" s="26"/>
      <c r="HA117" s="26"/>
      <c r="HB117" s="26"/>
      <c r="HC117" s="26"/>
      <c r="HD117" s="26"/>
      <c r="HE117" s="26"/>
      <c r="HF117" s="26"/>
      <c r="HG117" s="26"/>
      <c r="HH117" s="26"/>
      <c r="HI117" s="26"/>
      <c r="HJ117" s="26"/>
      <c r="HK117" s="26"/>
      <c r="HL117" s="26"/>
      <c r="HM117" s="26"/>
      <c r="HN117" s="26"/>
      <c r="HO117" s="26"/>
      <c r="HP117" s="26"/>
      <c r="HQ117" s="26"/>
      <c r="HR117" s="26"/>
      <c r="HS117" s="26"/>
      <c r="HT117" s="26"/>
      <c r="HU117" s="26"/>
      <c r="HV117" s="26"/>
      <c r="HW117" s="26"/>
      <c r="HX117" s="26"/>
      <c r="HY117" s="26"/>
      <c r="HZ117" s="26"/>
      <c r="IA117" s="26"/>
      <c r="IB117" s="26"/>
      <c r="IC117" s="26"/>
      <c r="ID117" s="26"/>
      <c r="IE117" s="26"/>
      <c r="IF117" s="23"/>
      <c r="IG117" s="26"/>
      <c r="IH117" s="26"/>
      <c r="II117" s="26"/>
      <c r="IJ117" s="26"/>
      <c r="IK117" s="26"/>
      <c r="IL117" s="26"/>
      <c r="IM117" s="26"/>
      <c r="IN117" s="26"/>
      <c r="IO117" s="26"/>
      <c r="IP117" s="26"/>
      <c r="IQ117" s="26"/>
      <c r="IR117" s="26"/>
      <c r="IS117" s="26"/>
      <c r="IT117" s="26"/>
      <c r="IU117" s="26"/>
      <c r="IV117" s="26"/>
      <c r="IW117" s="26"/>
      <c r="IX117" s="26"/>
      <c r="IY117" s="26"/>
      <c r="IZ117" s="26"/>
      <c r="JA117" s="26"/>
      <c r="JB117" s="26"/>
      <c r="JC117" s="26"/>
      <c r="JD117" s="26"/>
      <c r="JE117" s="26"/>
      <c r="JF117" s="26"/>
      <c r="JG117" s="26"/>
      <c r="JH117" s="26"/>
      <c r="JI117" s="26"/>
      <c r="JJ117" s="26"/>
      <c r="JK117" s="26"/>
      <c r="JL117" s="26"/>
      <c r="JM117" s="26"/>
      <c r="JN117" s="26"/>
      <c r="JO117" s="26"/>
      <c r="JP117" s="26"/>
      <c r="JQ117" s="26"/>
      <c r="JR117" s="26"/>
      <c r="JS117" s="23"/>
      <c r="JT117" s="26"/>
      <c r="JU117" s="26"/>
      <c r="JV117" s="26"/>
      <c r="JW117" s="26"/>
      <c r="JX117" s="26"/>
      <c r="JY117" s="26"/>
      <c r="JZ117" s="26"/>
      <c r="KA117" s="26"/>
      <c r="KB117" s="26"/>
      <c r="KC117" s="26"/>
      <c r="KD117" s="26"/>
      <c r="KE117" s="26"/>
      <c r="KF117" s="26"/>
      <c r="KG117" s="26"/>
      <c r="KH117" s="26"/>
      <c r="KI117" s="26"/>
      <c r="KJ117" s="26"/>
      <c r="KK117" s="26"/>
      <c r="KL117" s="26"/>
      <c r="KM117" s="26"/>
      <c r="KN117" s="26"/>
      <c r="KO117" s="26"/>
      <c r="KP117" s="26"/>
      <c r="KQ117" s="26"/>
      <c r="KR117" s="26"/>
      <c r="KS117" s="26"/>
      <c r="KT117" s="26"/>
      <c r="KU117" s="26"/>
      <c r="KV117" s="26"/>
      <c r="KW117" s="26"/>
      <c r="KX117" s="26"/>
      <c r="KY117" s="26"/>
      <c r="KZ117" s="26"/>
      <c r="LA117" s="26"/>
      <c r="LB117" s="26"/>
      <c r="LC117" s="26"/>
      <c r="LD117" s="26"/>
      <c r="LE117" s="26"/>
      <c r="LF117" s="23"/>
      <c r="LG117" s="26"/>
      <c r="LH117" s="26"/>
      <c r="LI117" s="26"/>
      <c r="LJ117" s="26"/>
      <c r="LK117" s="26"/>
      <c r="LL117" s="26"/>
      <c r="LM117" s="26"/>
      <c r="LN117" s="26"/>
      <c r="LO117" s="26"/>
      <c r="LP117" s="26"/>
      <c r="LQ117" s="26"/>
      <c r="LR117" s="26"/>
      <c r="LS117" s="26"/>
      <c r="LT117" s="26"/>
      <c r="LU117" s="26"/>
      <c r="LV117" s="26"/>
      <c r="LW117" s="26"/>
      <c r="LX117" s="26"/>
      <c r="LY117" s="26"/>
      <c r="LZ117" s="26"/>
      <c r="MA117" s="26"/>
      <c r="MB117" s="26"/>
      <c r="MC117" s="26"/>
      <c r="MD117" s="26"/>
      <c r="ME117" s="26"/>
      <c r="MF117" s="26"/>
      <c r="MG117" s="26"/>
      <c r="MH117" s="26"/>
      <c r="MI117" s="26"/>
      <c r="MJ117" s="26"/>
      <c r="MK117" s="26"/>
      <c r="ML117" s="26"/>
      <c r="MM117" s="26"/>
      <c r="MN117" s="26"/>
      <c r="MO117" s="26"/>
      <c r="MP117" s="26"/>
      <c r="MQ117" s="26"/>
      <c r="MR117" s="26"/>
      <c r="MS117" s="23"/>
      <c r="MT117" s="26"/>
      <c r="MU117" s="26"/>
      <c r="MV117" s="26"/>
      <c r="MW117" s="26"/>
      <c r="MX117" s="26"/>
      <c r="MY117" s="26"/>
      <c r="MZ117" s="26"/>
      <c r="NA117" s="26"/>
      <c r="NB117" s="26"/>
      <c r="NC117" s="26"/>
      <c r="ND117" s="26"/>
      <c r="NE117" s="26"/>
      <c r="NF117" s="26"/>
      <c r="NG117" s="26"/>
      <c r="NH117" s="26"/>
      <c r="NI117" s="26"/>
      <c r="NJ117" s="26"/>
      <c r="NK117" s="26"/>
      <c r="NL117" s="26"/>
      <c r="NM117" s="26"/>
      <c r="NN117" s="26"/>
      <c r="NO117" s="26"/>
      <c r="NP117" s="26"/>
      <c r="NQ117" s="26"/>
      <c r="NR117" s="26"/>
      <c r="NS117" s="26"/>
      <c r="NT117" s="26"/>
      <c r="NU117" s="26"/>
      <c r="NV117" s="26"/>
      <c r="NW117" s="26"/>
      <c r="NX117" s="26"/>
      <c r="NY117" s="26"/>
      <c r="NZ117" s="26"/>
      <c r="OA117" s="26"/>
      <c r="OB117" s="26"/>
      <c r="OC117" s="26"/>
      <c r="OD117" s="26"/>
      <c r="OE117" s="26"/>
      <c r="OF117" s="23"/>
      <c r="OG117" s="26"/>
      <c r="OH117" s="26"/>
      <c r="OI117" s="26"/>
      <c r="OJ117" s="26"/>
      <c r="OK117" s="26"/>
      <c r="OL117" s="26"/>
      <c r="OM117" s="26"/>
      <c r="ON117" s="26"/>
      <c r="OO117" s="26"/>
      <c r="OP117" s="26"/>
      <c r="OQ117" s="26"/>
      <c r="OR117" s="26"/>
      <c r="OS117" s="26"/>
      <c r="OT117" s="26"/>
      <c r="OU117" s="26"/>
      <c r="OV117" s="26"/>
      <c r="OW117" s="26"/>
      <c r="OX117" s="26"/>
      <c r="OY117" s="26"/>
      <c r="OZ117" s="26"/>
      <c r="PA117" s="26"/>
      <c r="PB117" s="26"/>
      <c r="PC117" s="26"/>
      <c r="PD117" s="26"/>
      <c r="PE117" s="26"/>
      <c r="PF117" s="26"/>
      <c r="PG117" s="26"/>
      <c r="PH117" s="26"/>
      <c r="PI117" s="26"/>
      <c r="PJ117" s="26"/>
      <c r="PK117" s="26"/>
      <c r="PL117" s="26"/>
      <c r="PM117" s="26"/>
      <c r="PN117" s="26"/>
      <c r="PO117" s="26"/>
      <c r="PP117" s="26"/>
      <c r="PQ117" s="26"/>
      <c r="PR117" s="26"/>
    </row>
    <row r="118" spans="1:434" x14ac:dyDescent="0.25">
      <c r="A118" s="24"/>
      <c r="B118" s="25" t="s">
        <v>185</v>
      </c>
      <c r="C118" s="24" t="s">
        <v>70</v>
      </c>
      <c r="D118" s="24" t="s">
        <v>67</v>
      </c>
      <c r="E118" s="24"/>
      <c r="F118" s="23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3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3"/>
      <c r="CG118" s="82"/>
      <c r="CH118" s="82"/>
      <c r="CI118" s="82"/>
      <c r="CJ118" s="82"/>
      <c r="CK118" s="82"/>
      <c r="CL118" s="82"/>
      <c r="CM118" s="82"/>
      <c r="CN118" s="82"/>
      <c r="CO118" s="82"/>
      <c r="CP118" s="82"/>
      <c r="CQ118" s="82"/>
      <c r="CR118" s="82"/>
      <c r="CS118" s="82"/>
      <c r="CT118" s="82"/>
      <c r="CU118" s="82"/>
      <c r="CV118" s="82"/>
      <c r="CW118" s="82"/>
      <c r="CX118" s="82"/>
      <c r="CY118" s="82"/>
      <c r="CZ118" s="82"/>
      <c r="DA118" s="82"/>
      <c r="DB118" s="82"/>
      <c r="DC118" s="82"/>
      <c r="DD118" s="82"/>
      <c r="DE118" s="82"/>
      <c r="DF118" s="82"/>
      <c r="DG118" s="82"/>
      <c r="DH118" s="82"/>
      <c r="DI118" s="82"/>
      <c r="DJ118" s="82"/>
      <c r="DK118" s="82"/>
      <c r="DL118" s="82">
        <v>10</v>
      </c>
      <c r="DM118" s="82"/>
      <c r="DN118" s="82"/>
      <c r="DO118" s="82"/>
      <c r="DP118" s="82"/>
      <c r="DQ118" s="82"/>
      <c r="DR118" s="82"/>
      <c r="DS118" s="23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3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  <c r="GI118" s="26"/>
      <c r="GJ118" s="26"/>
      <c r="GK118" s="26"/>
      <c r="GL118" s="26"/>
      <c r="GM118" s="26"/>
      <c r="GN118" s="26"/>
      <c r="GO118" s="26"/>
      <c r="GP118" s="26"/>
      <c r="GQ118" s="26"/>
      <c r="GR118" s="26"/>
      <c r="GS118" s="23"/>
      <c r="GT118" s="26"/>
      <c r="GU118" s="26"/>
      <c r="GV118" s="26"/>
      <c r="GW118" s="26"/>
      <c r="GX118" s="26"/>
      <c r="GY118" s="26"/>
      <c r="GZ118" s="26"/>
      <c r="HA118" s="26"/>
      <c r="HB118" s="26"/>
      <c r="HC118" s="26"/>
      <c r="HD118" s="26"/>
      <c r="HE118" s="26"/>
      <c r="HF118" s="26"/>
      <c r="HG118" s="26"/>
      <c r="HH118" s="26"/>
      <c r="HI118" s="26"/>
      <c r="HJ118" s="26"/>
      <c r="HK118" s="26"/>
      <c r="HL118" s="26"/>
      <c r="HM118" s="26"/>
      <c r="HN118" s="26"/>
      <c r="HO118" s="26"/>
      <c r="HP118" s="26"/>
      <c r="HQ118" s="26"/>
      <c r="HR118" s="26"/>
      <c r="HS118" s="26"/>
      <c r="HT118" s="26"/>
      <c r="HU118" s="26"/>
      <c r="HV118" s="26"/>
      <c r="HW118" s="26"/>
      <c r="HX118" s="26"/>
      <c r="HY118" s="26"/>
      <c r="HZ118" s="26"/>
      <c r="IA118" s="26"/>
      <c r="IB118" s="26"/>
      <c r="IC118" s="26"/>
      <c r="ID118" s="26"/>
      <c r="IE118" s="26"/>
      <c r="IF118" s="23"/>
      <c r="IG118" s="26"/>
      <c r="IH118" s="26"/>
      <c r="II118" s="26"/>
      <c r="IJ118" s="26"/>
      <c r="IK118" s="26"/>
      <c r="IL118" s="26"/>
      <c r="IM118" s="26"/>
      <c r="IN118" s="26"/>
      <c r="IO118" s="26"/>
      <c r="IP118" s="26"/>
      <c r="IQ118" s="26"/>
      <c r="IR118" s="26"/>
      <c r="IS118" s="26"/>
      <c r="IT118" s="26"/>
      <c r="IU118" s="26"/>
      <c r="IV118" s="26"/>
      <c r="IW118" s="26"/>
      <c r="IX118" s="26"/>
      <c r="IY118" s="26"/>
      <c r="IZ118" s="26"/>
      <c r="JA118" s="26"/>
      <c r="JB118" s="26"/>
      <c r="JC118" s="26"/>
      <c r="JD118" s="26"/>
      <c r="JE118" s="26"/>
      <c r="JF118" s="26"/>
      <c r="JG118" s="26"/>
      <c r="JH118" s="26"/>
      <c r="JI118" s="26"/>
      <c r="JJ118" s="26"/>
      <c r="JK118" s="26"/>
      <c r="JL118" s="26"/>
      <c r="JM118" s="26"/>
      <c r="JN118" s="26"/>
      <c r="JO118" s="26"/>
      <c r="JP118" s="26"/>
      <c r="JQ118" s="26"/>
      <c r="JR118" s="26"/>
      <c r="JS118" s="23"/>
      <c r="JT118" s="26"/>
      <c r="JU118" s="26"/>
      <c r="JV118" s="26"/>
      <c r="JW118" s="26"/>
      <c r="JX118" s="26"/>
      <c r="JY118" s="26"/>
      <c r="JZ118" s="26"/>
      <c r="KA118" s="26"/>
      <c r="KB118" s="26"/>
      <c r="KC118" s="26"/>
      <c r="KD118" s="26"/>
      <c r="KE118" s="26"/>
      <c r="KF118" s="26"/>
      <c r="KG118" s="26"/>
      <c r="KH118" s="26"/>
      <c r="KI118" s="26"/>
      <c r="KJ118" s="26"/>
      <c r="KK118" s="26"/>
      <c r="KL118" s="26"/>
      <c r="KM118" s="26"/>
      <c r="KN118" s="26"/>
      <c r="KO118" s="26"/>
      <c r="KP118" s="26"/>
      <c r="KQ118" s="26"/>
      <c r="KR118" s="26"/>
      <c r="KS118" s="26"/>
      <c r="KT118" s="26"/>
      <c r="KU118" s="26"/>
      <c r="KV118" s="26"/>
      <c r="KW118" s="26"/>
      <c r="KX118" s="26"/>
      <c r="KY118" s="26"/>
      <c r="KZ118" s="26"/>
      <c r="LA118" s="26"/>
      <c r="LB118" s="26"/>
      <c r="LC118" s="26"/>
      <c r="LD118" s="26"/>
      <c r="LE118" s="26"/>
      <c r="LF118" s="23"/>
      <c r="LG118" s="26"/>
      <c r="LH118" s="26"/>
      <c r="LI118" s="26"/>
      <c r="LJ118" s="26"/>
      <c r="LK118" s="26"/>
      <c r="LL118" s="26"/>
      <c r="LM118" s="26"/>
      <c r="LN118" s="26"/>
      <c r="LO118" s="26"/>
      <c r="LP118" s="26"/>
      <c r="LQ118" s="26"/>
      <c r="LR118" s="26"/>
      <c r="LS118" s="26"/>
      <c r="LT118" s="26"/>
      <c r="LU118" s="26"/>
      <c r="LV118" s="26"/>
      <c r="LW118" s="26"/>
      <c r="LX118" s="26"/>
      <c r="LY118" s="26"/>
      <c r="LZ118" s="26"/>
      <c r="MA118" s="26"/>
      <c r="MB118" s="26"/>
      <c r="MC118" s="26"/>
      <c r="MD118" s="26"/>
      <c r="ME118" s="26"/>
      <c r="MF118" s="26"/>
      <c r="MG118" s="26"/>
      <c r="MH118" s="26"/>
      <c r="MI118" s="26"/>
      <c r="MJ118" s="26"/>
      <c r="MK118" s="26"/>
      <c r="ML118" s="26"/>
      <c r="MM118" s="26"/>
      <c r="MN118" s="26"/>
      <c r="MO118" s="26"/>
      <c r="MP118" s="26"/>
      <c r="MQ118" s="26"/>
      <c r="MR118" s="26"/>
      <c r="MS118" s="23"/>
      <c r="MT118" s="26"/>
      <c r="MU118" s="26"/>
      <c r="MV118" s="26"/>
      <c r="MW118" s="26"/>
      <c r="MX118" s="26"/>
      <c r="MY118" s="26"/>
      <c r="MZ118" s="26"/>
      <c r="NA118" s="26"/>
      <c r="NB118" s="26"/>
      <c r="NC118" s="26"/>
      <c r="ND118" s="26"/>
      <c r="NE118" s="26"/>
      <c r="NF118" s="26"/>
      <c r="NG118" s="26"/>
      <c r="NH118" s="26"/>
      <c r="NI118" s="26"/>
      <c r="NJ118" s="26"/>
      <c r="NK118" s="26"/>
      <c r="NL118" s="26"/>
      <c r="NM118" s="26"/>
      <c r="NN118" s="26"/>
      <c r="NO118" s="26"/>
      <c r="NP118" s="26"/>
      <c r="NQ118" s="26"/>
      <c r="NR118" s="26"/>
      <c r="NS118" s="26"/>
      <c r="NT118" s="26"/>
      <c r="NU118" s="26"/>
      <c r="NV118" s="26"/>
      <c r="NW118" s="26"/>
      <c r="NX118" s="26"/>
      <c r="NY118" s="26"/>
      <c r="NZ118" s="26"/>
      <c r="OA118" s="26"/>
      <c r="OB118" s="26"/>
      <c r="OC118" s="26"/>
      <c r="OD118" s="26"/>
      <c r="OE118" s="26"/>
      <c r="OF118" s="23"/>
      <c r="OG118" s="26"/>
      <c r="OH118" s="26"/>
      <c r="OI118" s="26"/>
      <c r="OJ118" s="26"/>
      <c r="OK118" s="26"/>
      <c r="OL118" s="26"/>
      <c r="OM118" s="26"/>
      <c r="ON118" s="26"/>
      <c r="OO118" s="26"/>
      <c r="OP118" s="26"/>
      <c r="OQ118" s="26"/>
      <c r="OR118" s="26"/>
      <c r="OS118" s="26"/>
      <c r="OT118" s="26"/>
      <c r="OU118" s="26"/>
      <c r="OV118" s="26"/>
      <c r="OW118" s="26"/>
      <c r="OX118" s="26"/>
      <c r="OY118" s="26"/>
      <c r="OZ118" s="26"/>
      <c r="PA118" s="26"/>
      <c r="PB118" s="26"/>
      <c r="PC118" s="26"/>
      <c r="PD118" s="26"/>
      <c r="PE118" s="26"/>
      <c r="PF118" s="26"/>
      <c r="PG118" s="26"/>
      <c r="PH118" s="26"/>
      <c r="PI118" s="26"/>
      <c r="PJ118" s="26"/>
      <c r="PK118" s="26"/>
      <c r="PL118" s="26"/>
      <c r="PM118" s="26"/>
      <c r="PN118" s="26"/>
      <c r="PO118" s="26"/>
      <c r="PP118" s="26"/>
      <c r="PQ118" s="26"/>
      <c r="PR118" s="26"/>
    </row>
    <row r="119" spans="1:434" x14ac:dyDescent="0.25">
      <c r="A119" s="24"/>
      <c r="B119" s="25" t="s">
        <v>186</v>
      </c>
      <c r="C119" s="24" t="s">
        <v>70</v>
      </c>
      <c r="D119" s="24" t="s">
        <v>67</v>
      </c>
      <c r="E119" s="24"/>
      <c r="F119" s="23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3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3"/>
      <c r="CG119" s="82"/>
      <c r="CH119" s="82"/>
      <c r="CI119" s="82"/>
      <c r="CJ119" s="82"/>
      <c r="CK119" s="82"/>
      <c r="CL119" s="82"/>
      <c r="CM119" s="82"/>
      <c r="CN119" s="82"/>
      <c r="CO119" s="82"/>
      <c r="CP119" s="82"/>
      <c r="CQ119" s="82"/>
      <c r="CR119" s="82"/>
      <c r="CS119" s="82"/>
      <c r="CT119" s="82"/>
      <c r="CU119" s="82"/>
      <c r="CV119" s="82"/>
      <c r="CW119" s="82"/>
      <c r="CX119" s="82"/>
      <c r="CY119" s="82"/>
      <c r="CZ119" s="82"/>
      <c r="DA119" s="82"/>
      <c r="DB119" s="82"/>
      <c r="DC119" s="82"/>
      <c r="DD119" s="82"/>
      <c r="DE119" s="82"/>
      <c r="DF119" s="82"/>
      <c r="DG119" s="82"/>
      <c r="DH119" s="82"/>
      <c r="DI119" s="82"/>
      <c r="DJ119" s="82"/>
      <c r="DK119" s="82"/>
      <c r="DL119" s="82">
        <v>30</v>
      </c>
      <c r="DM119" s="82"/>
      <c r="DN119" s="82"/>
      <c r="DO119" s="82"/>
      <c r="DP119" s="82"/>
      <c r="DQ119" s="82"/>
      <c r="DR119" s="82"/>
      <c r="DS119" s="23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3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  <c r="GI119" s="26"/>
      <c r="GJ119" s="26"/>
      <c r="GK119" s="26"/>
      <c r="GL119" s="26"/>
      <c r="GM119" s="26"/>
      <c r="GN119" s="26"/>
      <c r="GO119" s="26"/>
      <c r="GP119" s="26"/>
      <c r="GQ119" s="26"/>
      <c r="GR119" s="26"/>
      <c r="GS119" s="23"/>
      <c r="GT119" s="26"/>
      <c r="GU119" s="26"/>
      <c r="GV119" s="26"/>
      <c r="GW119" s="26"/>
      <c r="GX119" s="26"/>
      <c r="GY119" s="26"/>
      <c r="GZ119" s="26"/>
      <c r="HA119" s="26"/>
      <c r="HB119" s="26"/>
      <c r="HC119" s="26"/>
      <c r="HD119" s="26"/>
      <c r="HE119" s="26"/>
      <c r="HF119" s="26"/>
      <c r="HG119" s="26"/>
      <c r="HH119" s="26"/>
      <c r="HI119" s="26"/>
      <c r="HJ119" s="26"/>
      <c r="HK119" s="26"/>
      <c r="HL119" s="26"/>
      <c r="HM119" s="26"/>
      <c r="HN119" s="26"/>
      <c r="HO119" s="26"/>
      <c r="HP119" s="26"/>
      <c r="HQ119" s="26"/>
      <c r="HR119" s="26"/>
      <c r="HS119" s="26"/>
      <c r="HT119" s="26"/>
      <c r="HU119" s="26"/>
      <c r="HV119" s="26"/>
      <c r="HW119" s="26"/>
      <c r="HX119" s="26"/>
      <c r="HY119" s="26"/>
      <c r="HZ119" s="26"/>
      <c r="IA119" s="26"/>
      <c r="IB119" s="26"/>
      <c r="IC119" s="26"/>
      <c r="ID119" s="26"/>
      <c r="IE119" s="26"/>
      <c r="IF119" s="23"/>
      <c r="IG119" s="26"/>
      <c r="IH119" s="26"/>
      <c r="II119" s="26"/>
      <c r="IJ119" s="26"/>
      <c r="IK119" s="26"/>
      <c r="IL119" s="26"/>
      <c r="IM119" s="26"/>
      <c r="IN119" s="26"/>
      <c r="IO119" s="26"/>
      <c r="IP119" s="26"/>
      <c r="IQ119" s="26"/>
      <c r="IR119" s="26"/>
      <c r="IS119" s="26"/>
      <c r="IT119" s="26"/>
      <c r="IU119" s="26"/>
      <c r="IV119" s="26"/>
      <c r="IW119" s="26"/>
      <c r="IX119" s="26"/>
      <c r="IY119" s="26"/>
      <c r="IZ119" s="26"/>
      <c r="JA119" s="26"/>
      <c r="JB119" s="26"/>
      <c r="JC119" s="26"/>
      <c r="JD119" s="26"/>
      <c r="JE119" s="26"/>
      <c r="JF119" s="26"/>
      <c r="JG119" s="26"/>
      <c r="JH119" s="26"/>
      <c r="JI119" s="26"/>
      <c r="JJ119" s="26"/>
      <c r="JK119" s="26"/>
      <c r="JL119" s="26"/>
      <c r="JM119" s="26"/>
      <c r="JN119" s="26"/>
      <c r="JO119" s="26"/>
      <c r="JP119" s="26"/>
      <c r="JQ119" s="26"/>
      <c r="JR119" s="26"/>
      <c r="JS119" s="23"/>
      <c r="JT119" s="26"/>
      <c r="JU119" s="26"/>
      <c r="JV119" s="26"/>
      <c r="JW119" s="26"/>
      <c r="JX119" s="26"/>
      <c r="JY119" s="26"/>
      <c r="JZ119" s="26"/>
      <c r="KA119" s="26"/>
      <c r="KB119" s="26"/>
      <c r="KC119" s="26"/>
      <c r="KD119" s="26"/>
      <c r="KE119" s="26"/>
      <c r="KF119" s="26"/>
      <c r="KG119" s="26"/>
      <c r="KH119" s="26"/>
      <c r="KI119" s="26"/>
      <c r="KJ119" s="26"/>
      <c r="KK119" s="26"/>
      <c r="KL119" s="26"/>
      <c r="KM119" s="26"/>
      <c r="KN119" s="26"/>
      <c r="KO119" s="26"/>
      <c r="KP119" s="26"/>
      <c r="KQ119" s="26"/>
      <c r="KR119" s="26"/>
      <c r="KS119" s="26"/>
      <c r="KT119" s="26"/>
      <c r="KU119" s="26"/>
      <c r="KV119" s="26"/>
      <c r="KW119" s="26"/>
      <c r="KX119" s="26"/>
      <c r="KY119" s="26"/>
      <c r="KZ119" s="26"/>
      <c r="LA119" s="26"/>
      <c r="LB119" s="26"/>
      <c r="LC119" s="26"/>
      <c r="LD119" s="26"/>
      <c r="LE119" s="26"/>
      <c r="LF119" s="23"/>
      <c r="LG119" s="26"/>
      <c r="LH119" s="26"/>
      <c r="LI119" s="26"/>
      <c r="LJ119" s="26"/>
      <c r="LK119" s="26"/>
      <c r="LL119" s="26"/>
      <c r="LM119" s="26"/>
      <c r="LN119" s="26"/>
      <c r="LO119" s="26"/>
      <c r="LP119" s="26"/>
      <c r="LQ119" s="26"/>
      <c r="LR119" s="26"/>
      <c r="LS119" s="26"/>
      <c r="LT119" s="26"/>
      <c r="LU119" s="26"/>
      <c r="LV119" s="26"/>
      <c r="LW119" s="26"/>
      <c r="LX119" s="26"/>
      <c r="LY119" s="26"/>
      <c r="LZ119" s="26"/>
      <c r="MA119" s="26"/>
      <c r="MB119" s="26"/>
      <c r="MC119" s="26"/>
      <c r="MD119" s="26"/>
      <c r="ME119" s="26"/>
      <c r="MF119" s="26"/>
      <c r="MG119" s="26"/>
      <c r="MH119" s="26"/>
      <c r="MI119" s="26"/>
      <c r="MJ119" s="26"/>
      <c r="MK119" s="26"/>
      <c r="ML119" s="26"/>
      <c r="MM119" s="26"/>
      <c r="MN119" s="26"/>
      <c r="MO119" s="26"/>
      <c r="MP119" s="26"/>
      <c r="MQ119" s="26"/>
      <c r="MR119" s="26"/>
      <c r="MS119" s="23"/>
      <c r="MT119" s="26"/>
      <c r="MU119" s="26"/>
      <c r="MV119" s="26"/>
      <c r="MW119" s="26"/>
      <c r="MX119" s="26"/>
      <c r="MY119" s="26"/>
      <c r="MZ119" s="26"/>
      <c r="NA119" s="26"/>
      <c r="NB119" s="26"/>
      <c r="NC119" s="26"/>
      <c r="ND119" s="26"/>
      <c r="NE119" s="26"/>
      <c r="NF119" s="26"/>
      <c r="NG119" s="26"/>
      <c r="NH119" s="26"/>
      <c r="NI119" s="26"/>
      <c r="NJ119" s="26"/>
      <c r="NK119" s="26"/>
      <c r="NL119" s="26"/>
      <c r="NM119" s="26"/>
      <c r="NN119" s="26"/>
      <c r="NO119" s="26"/>
      <c r="NP119" s="26"/>
      <c r="NQ119" s="26"/>
      <c r="NR119" s="26"/>
      <c r="NS119" s="26"/>
      <c r="NT119" s="26"/>
      <c r="NU119" s="26"/>
      <c r="NV119" s="26"/>
      <c r="NW119" s="26"/>
      <c r="NX119" s="26"/>
      <c r="NY119" s="26"/>
      <c r="NZ119" s="26"/>
      <c r="OA119" s="26"/>
      <c r="OB119" s="26"/>
      <c r="OC119" s="26"/>
      <c r="OD119" s="26"/>
      <c r="OE119" s="26"/>
      <c r="OF119" s="23"/>
      <c r="OG119" s="26"/>
      <c r="OH119" s="26"/>
      <c r="OI119" s="26"/>
      <c r="OJ119" s="26"/>
      <c r="OK119" s="26"/>
      <c r="OL119" s="26"/>
      <c r="OM119" s="26"/>
      <c r="ON119" s="26"/>
      <c r="OO119" s="26"/>
      <c r="OP119" s="26"/>
      <c r="OQ119" s="26"/>
      <c r="OR119" s="26"/>
      <c r="OS119" s="26"/>
      <c r="OT119" s="26"/>
      <c r="OU119" s="26"/>
      <c r="OV119" s="26"/>
      <c r="OW119" s="26"/>
      <c r="OX119" s="26"/>
      <c r="OY119" s="26"/>
      <c r="OZ119" s="26"/>
      <c r="PA119" s="26"/>
      <c r="PB119" s="26"/>
      <c r="PC119" s="26"/>
      <c r="PD119" s="26"/>
      <c r="PE119" s="26"/>
      <c r="PF119" s="26"/>
      <c r="PG119" s="26"/>
      <c r="PH119" s="26"/>
      <c r="PI119" s="26"/>
      <c r="PJ119" s="26"/>
      <c r="PK119" s="26"/>
      <c r="PL119" s="26"/>
      <c r="PM119" s="26"/>
      <c r="PN119" s="26"/>
      <c r="PO119" s="26"/>
      <c r="PP119" s="26"/>
      <c r="PQ119" s="26"/>
      <c r="PR119" s="26"/>
    </row>
    <row r="120" spans="1:434" x14ac:dyDescent="0.25">
      <c r="A120" s="24"/>
      <c r="B120" s="25" t="s">
        <v>187</v>
      </c>
      <c r="C120" s="24" t="s">
        <v>70</v>
      </c>
      <c r="D120" s="24" t="s">
        <v>67</v>
      </c>
      <c r="E120" s="24"/>
      <c r="F120" s="23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3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3"/>
      <c r="CG120" s="82"/>
      <c r="CH120" s="82"/>
      <c r="CI120" s="82"/>
      <c r="CJ120" s="82"/>
      <c r="CK120" s="82"/>
      <c r="CL120" s="82"/>
      <c r="CM120" s="82"/>
      <c r="CN120" s="82"/>
      <c r="CO120" s="82"/>
      <c r="CP120" s="82"/>
      <c r="CQ120" s="82"/>
      <c r="CR120" s="82"/>
      <c r="CS120" s="82"/>
      <c r="CT120" s="82"/>
      <c r="CU120" s="82"/>
      <c r="CV120" s="82"/>
      <c r="CW120" s="82"/>
      <c r="CX120" s="82"/>
      <c r="CY120" s="82"/>
      <c r="CZ120" s="82"/>
      <c r="DA120" s="82"/>
      <c r="DB120" s="82"/>
      <c r="DC120" s="82"/>
      <c r="DD120" s="82"/>
      <c r="DE120" s="82"/>
      <c r="DF120" s="82"/>
      <c r="DG120" s="82"/>
      <c r="DH120" s="82"/>
      <c r="DI120" s="82"/>
      <c r="DJ120" s="82"/>
      <c r="DK120" s="82"/>
      <c r="DL120" s="82">
        <v>30</v>
      </c>
      <c r="DM120" s="82"/>
      <c r="DN120" s="82"/>
      <c r="DO120" s="82"/>
      <c r="DP120" s="82"/>
      <c r="DQ120" s="82"/>
      <c r="DR120" s="82"/>
      <c r="DS120" s="23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3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  <c r="GI120" s="26"/>
      <c r="GJ120" s="26"/>
      <c r="GK120" s="26"/>
      <c r="GL120" s="26"/>
      <c r="GM120" s="26"/>
      <c r="GN120" s="26"/>
      <c r="GO120" s="26"/>
      <c r="GP120" s="26"/>
      <c r="GQ120" s="26"/>
      <c r="GR120" s="26"/>
      <c r="GS120" s="23"/>
      <c r="GT120" s="26"/>
      <c r="GU120" s="26"/>
      <c r="GV120" s="26"/>
      <c r="GW120" s="26"/>
      <c r="GX120" s="26"/>
      <c r="GY120" s="26"/>
      <c r="GZ120" s="26"/>
      <c r="HA120" s="26"/>
      <c r="HB120" s="26"/>
      <c r="HC120" s="26"/>
      <c r="HD120" s="26"/>
      <c r="HE120" s="26"/>
      <c r="HF120" s="26"/>
      <c r="HG120" s="26"/>
      <c r="HH120" s="26"/>
      <c r="HI120" s="26"/>
      <c r="HJ120" s="26"/>
      <c r="HK120" s="26"/>
      <c r="HL120" s="26"/>
      <c r="HM120" s="26"/>
      <c r="HN120" s="26"/>
      <c r="HO120" s="26"/>
      <c r="HP120" s="26"/>
      <c r="HQ120" s="26"/>
      <c r="HR120" s="26"/>
      <c r="HS120" s="26"/>
      <c r="HT120" s="26"/>
      <c r="HU120" s="26"/>
      <c r="HV120" s="26"/>
      <c r="HW120" s="26"/>
      <c r="HX120" s="26"/>
      <c r="HY120" s="26"/>
      <c r="HZ120" s="26"/>
      <c r="IA120" s="26"/>
      <c r="IB120" s="26"/>
      <c r="IC120" s="26"/>
      <c r="ID120" s="26"/>
      <c r="IE120" s="26"/>
      <c r="IF120" s="23"/>
      <c r="IG120" s="26"/>
      <c r="IH120" s="26"/>
      <c r="II120" s="26"/>
      <c r="IJ120" s="26"/>
      <c r="IK120" s="26"/>
      <c r="IL120" s="26"/>
      <c r="IM120" s="26"/>
      <c r="IN120" s="26"/>
      <c r="IO120" s="26"/>
      <c r="IP120" s="26"/>
      <c r="IQ120" s="26"/>
      <c r="IR120" s="26"/>
      <c r="IS120" s="26"/>
      <c r="IT120" s="26"/>
      <c r="IU120" s="26"/>
      <c r="IV120" s="26"/>
      <c r="IW120" s="26"/>
      <c r="IX120" s="26"/>
      <c r="IY120" s="26"/>
      <c r="IZ120" s="26"/>
      <c r="JA120" s="26"/>
      <c r="JB120" s="26"/>
      <c r="JC120" s="26"/>
      <c r="JD120" s="26"/>
      <c r="JE120" s="26"/>
      <c r="JF120" s="26"/>
      <c r="JG120" s="26"/>
      <c r="JH120" s="26"/>
      <c r="JI120" s="26"/>
      <c r="JJ120" s="26"/>
      <c r="JK120" s="26"/>
      <c r="JL120" s="26"/>
      <c r="JM120" s="26"/>
      <c r="JN120" s="26"/>
      <c r="JO120" s="26"/>
      <c r="JP120" s="26"/>
      <c r="JQ120" s="26"/>
      <c r="JR120" s="26"/>
      <c r="JS120" s="23"/>
      <c r="JT120" s="26"/>
      <c r="JU120" s="26"/>
      <c r="JV120" s="26"/>
      <c r="JW120" s="26"/>
      <c r="JX120" s="26"/>
      <c r="JY120" s="26"/>
      <c r="JZ120" s="26"/>
      <c r="KA120" s="26"/>
      <c r="KB120" s="26"/>
      <c r="KC120" s="26"/>
      <c r="KD120" s="26"/>
      <c r="KE120" s="26"/>
      <c r="KF120" s="26"/>
      <c r="KG120" s="26"/>
      <c r="KH120" s="26"/>
      <c r="KI120" s="26"/>
      <c r="KJ120" s="26"/>
      <c r="KK120" s="26"/>
      <c r="KL120" s="26"/>
      <c r="KM120" s="26"/>
      <c r="KN120" s="26"/>
      <c r="KO120" s="26"/>
      <c r="KP120" s="26"/>
      <c r="KQ120" s="26"/>
      <c r="KR120" s="26"/>
      <c r="KS120" s="26"/>
      <c r="KT120" s="26"/>
      <c r="KU120" s="26"/>
      <c r="KV120" s="26"/>
      <c r="KW120" s="26"/>
      <c r="KX120" s="26"/>
      <c r="KY120" s="26"/>
      <c r="KZ120" s="26"/>
      <c r="LA120" s="26"/>
      <c r="LB120" s="26"/>
      <c r="LC120" s="26"/>
      <c r="LD120" s="26"/>
      <c r="LE120" s="26"/>
      <c r="LF120" s="23"/>
      <c r="LG120" s="26"/>
      <c r="LH120" s="26"/>
      <c r="LI120" s="26"/>
      <c r="LJ120" s="26"/>
      <c r="LK120" s="26"/>
      <c r="LL120" s="26"/>
      <c r="LM120" s="26"/>
      <c r="LN120" s="26"/>
      <c r="LO120" s="26"/>
      <c r="LP120" s="26"/>
      <c r="LQ120" s="26"/>
      <c r="LR120" s="26"/>
      <c r="LS120" s="26"/>
      <c r="LT120" s="26"/>
      <c r="LU120" s="26"/>
      <c r="LV120" s="26"/>
      <c r="LW120" s="26"/>
      <c r="LX120" s="26"/>
      <c r="LY120" s="26"/>
      <c r="LZ120" s="26"/>
      <c r="MA120" s="26"/>
      <c r="MB120" s="26"/>
      <c r="MC120" s="26"/>
      <c r="MD120" s="26"/>
      <c r="ME120" s="26"/>
      <c r="MF120" s="26"/>
      <c r="MG120" s="26"/>
      <c r="MH120" s="26"/>
      <c r="MI120" s="26"/>
      <c r="MJ120" s="26"/>
      <c r="MK120" s="26"/>
      <c r="ML120" s="26"/>
      <c r="MM120" s="26"/>
      <c r="MN120" s="26"/>
      <c r="MO120" s="26"/>
      <c r="MP120" s="26"/>
      <c r="MQ120" s="26"/>
      <c r="MR120" s="26"/>
      <c r="MS120" s="23"/>
      <c r="MT120" s="26"/>
      <c r="MU120" s="26"/>
      <c r="MV120" s="26"/>
      <c r="MW120" s="26"/>
      <c r="MX120" s="26"/>
      <c r="MY120" s="26"/>
      <c r="MZ120" s="26"/>
      <c r="NA120" s="26"/>
      <c r="NB120" s="26"/>
      <c r="NC120" s="26"/>
      <c r="ND120" s="26"/>
      <c r="NE120" s="26"/>
      <c r="NF120" s="26"/>
      <c r="NG120" s="26"/>
      <c r="NH120" s="26"/>
      <c r="NI120" s="26"/>
      <c r="NJ120" s="26"/>
      <c r="NK120" s="26"/>
      <c r="NL120" s="26"/>
      <c r="NM120" s="26"/>
      <c r="NN120" s="26"/>
      <c r="NO120" s="26"/>
      <c r="NP120" s="26"/>
      <c r="NQ120" s="26"/>
      <c r="NR120" s="26"/>
      <c r="NS120" s="26"/>
      <c r="NT120" s="26"/>
      <c r="NU120" s="26"/>
      <c r="NV120" s="26"/>
      <c r="NW120" s="26"/>
      <c r="NX120" s="26"/>
      <c r="NY120" s="26"/>
      <c r="NZ120" s="26"/>
      <c r="OA120" s="26"/>
      <c r="OB120" s="26"/>
      <c r="OC120" s="26"/>
      <c r="OD120" s="26"/>
      <c r="OE120" s="26"/>
      <c r="OF120" s="23"/>
      <c r="OG120" s="26"/>
      <c r="OH120" s="26"/>
      <c r="OI120" s="26"/>
      <c r="OJ120" s="26"/>
      <c r="OK120" s="26"/>
      <c r="OL120" s="26"/>
      <c r="OM120" s="26"/>
      <c r="ON120" s="26"/>
      <c r="OO120" s="26"/>
      <c r="OP120" s="26"/>
      <c r="OQ120" s="26"/>
      <c r="OR120" s="26"/>
      <c r="OS120" s="26"/>
      <c r="OT120" s="26"/>
      <c r="OU120" s="26"/>
      <c r="OV120" s="26"/>
      <c r="OW120" s="26"/>
      <c r="OX120" s="26"/>
      <c r="OY120" s="26"/>
      <c r="OZ120" s="26"/>
      <c r="PA120" s="26"/>
      <c r="PB120" s="26"/>
      <c r="PC120" s="26"/>
      <c r="PD120" s="26"/>
      <c r="PE120" s="26"/>
      <c r="PF120" s="26"/>
      <c r="PG120" s="26"/>
      <c r="PH120" s="26"/>
      <c r="PI120" s="26"/>
      <c r="PJ120" s="26"/>
      <c r="PK120" s="26"/>
      <c r="PL120" s="26"/>
      <c r="PM120" s="26"/>
      <c r="PN120" s="26"/>
      <c r="PO120" s="26"/>
      <c r="PP120" s="26"/>
      <c r="PQ120" s="26"/>
      <c r="PR120" s="26"/>
    </row>
    <row r="121" spans="1:434" x14ac:dyDescent="0.25">
      <c r="A121" s="24"/>
      <c r="B121" s="25" t="s">
        <v>188</v>
      </c>
      <c r="C121" s="24" t="s">
        <v>70</v>
      </c>
      <c r="D121" s="24" t="s">
        <v>67</v>
      </c>
      <c r="E121" s="24"/>
      <c r="F121" s="23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3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3"/>
      <c r="CG121" s="82"/>
      <c r="CH121" s="82"/>
      <c r="CI121" s="82"/>
      <c r="CJ121" s="82"/>
      <c r="CK121" s="82"/>
      <c r="CL121" s="82"/>
      <c r="CM121" s="82"/>
      <c r="CN121" s="82"/>
      <c r="CO121" s="82"/>
      <c r="CP121" s="82"/>
      <c r="CQ121" s="82"/>
      <c r="CR121" s="82"/>
      <c r="CS121" s="82"/>
      <c r="CT121" s="82"/>
      <c r="CU121" s="82"/>
      <c r="CV121" s="82"/>
      <c r="CW121" s="82"/>
      <c r="CX121" s="82"/>
      <c r="CY121" s="82"/>
      <c r="CZ121" s="82"/>
      <c r="DA121" s="82"/>
      <c r="DB121" s="82"/>
      <c r="DC121" s="82"/>
      <c r="DD121" s="82"/>
      <c r="DE121" s="82"/>
      <c r="DF121" s="82"/>
      <c r="DG121" s="82"/>
      <c r="DH121" s="82"/>
      <c r="DI121" s="82"/>
      <c r="DJ121" s="82"/>
      <c r="DK121" s="82"/>
      <c r="DL121" s="82">
        <v>30</v>
      </c>
      <c r="DM121" s="82"/>
      <c r="DN121" s="82"/>
      <c r="DO121" s="82"/>
      <c r="DP121" s="82"/>
      <c r="DQ121" s="82"/>
      <c r="DR121" s="82"/>
      <c r="DS121" s="23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3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  <c r="GR121" s="26"/>
      <c r="GS121" s="23"/>
      <c r="GT121" s="26"/>
      <c r="GU121" s="26"/>
      <c r="GV121" s="26"/>
      <c r="GW121" s="26"/>
      <c r="GX121" s="26"/>
      <c r="GY121" s="26"/>
      <c r="GZ121" s="26"/>
      <c r="HA121" s="26"/>
      <c r="HB121" s="26"/>
      <c r="HC121" s="26"/>
      <c r="HD121" s="26"/>
      <c r="HE121" s="26"/>
      <c r="HF121" s="26"/>
      <c r="HG121" s="26"/>
      <c r="HH121" s="26"/>
      <c r="HI121" s="26"/>
      <c r="HJ121" s="26"/>
      <c r="HK121" s="26"/>
      <c r="HL121" s="26"/>
      <c r="HM121" s="26"/>
      <c r="HN121" s="26"/>
      <c r="HO121" s="26"/>
      <c r="HP121" s="26"/>
      <c r="HQ121" s="26"/>
      <c r="HR121" s="26"/>
      <c r="HS121" s="26"/>
      <c r="HT121" s="26"/>
      <c r="HU121" s="26"/>
      <c r="HV121" s="26"/>
      <c r="HW121" s="26"/>
      <c r="HX121" s="26"/>
      <c r="HY121" s="26"/>
      <c r="HZ121" s="26"/>
      <c r="IA121" s="26"/>
      <c r="IB121" s="26"/>
      <c r="IC121" s="26"/>
      <c r="ID121" s="26"/>
      <c r="IE121" s="26"/>
      <c r="IF121" s="23"/>
      <c r="IG121" s="26"/>
      <c r="IH121" s="26"/>
      <c r="II121" s="26"/>
      <c r="IJ121" s="26"/>
      <c r="IK121" s="26"/>
      <c r="IL121" s="26"/>
      <c r="IM121" s="26"/>
      <c r="IN121" s="26"/>
      <c r="IO121" s="26"/>
      <c r="IP121" s="26"/>
      <c r="IQ121" s="26"/>
      <c r="IR121" s="26"/>
      <c r="IS121" s="26"/>
      <c r="IT121" s="26"/>
      <c r="IU121" s="26"/>
      <c r="IV121" s="26"/>
      <c r="IW121" s="26"/>
      <c r="IX121" s="26"/>
      <c r="IY121" s="26"/>
      <c r="IZ121" s="26"/>
      <c r="JA121" s="26"/>
      <c r="JB121" s="26"/>
      <c r="JC121" s="26"/>
      <c r="JD121" s="26"/>
      <c r="JE121" s="26"/>
      <c r="JF121" s="26"/>
      <c r="JG121" s="26"/>
      <c r="JH121" s="26"/>
      <c r="JI121" s="26"/>
      <c r="JJ121" s="26"/>
      <c r="JK121" s="26"/>
      <c r="JL121" s="26"/>
      <c r="JM121" s="26"/>
      <c r="JN121" s="26"/>
      <c r="JO121" s="26"/>
      <c r="JP121" s="26"/>
      <c r="JQ121" s="26"/>
      <c r="JR121" s="26"/>
      <c r="JS121" s="23"/>
      <c r="JT121" s="26"/>
      <c r="JU121" s="26"/>
      <c r="JV121" s="26"/>
      <c r="JW121" s="26"/>
      <c r="JX121" s="26"/>
      <c r="JY121" s="26"/>
      <c r="JZ121" s="26"/>
      <c r="KA121" s="26"/>
      <c r="KB121" s="26"/>
      <c r="KC121" s="26"/>
      <c r="KD121" s="26"/>
      <c r="KE121" s="26"/>
      <c r="KF121" s="26"/>
      <c r="KG121" s="26"/>
      <c r="KH121" s="26"/>
      <c r="KI121" s="26"/>
      <c r="KJ121" s="26"/>
      <c r="KK121" s="26"/>
      <c r="KL121" s="26"/>
      <c r="KM121" s="26"/>
      <c r="KN121" s="26"/>
      <c r="KO121" s="26"/>
      <c r="KP121" s="26"/>
      <c r="KQ121" s="26"/>
      <c r="KR121" s="26"/>
      <c r="KS121" s="26"/>
      <c r="KT121" s="26"/>
      <c r="KU121" s="26"/>
      <c r="KV121" s="26"/>
      <c r="KW121" s="26"/>
      <c r="KX121" s="26"/>
      <c r="KY121" s="26"/>
      <c r="KZ121" s="26"/>
      <c r="LA121" s="26"/>
      <c r="LB121" s="26"/>
      <c r="LC121" s="26"/>
      <c r="LD121" s="26"/>
      <c r="LE121" s="26"/>
      <c r="LF121" s="23"/>
      <c r="LG121" s="26"/>
      <c r="LH121" s="26"/>
      <c r="LI121" s="26"/>
      <c r="LJ121" s="26"/>
      <c r="LK121" s="26"/>
      <c r="LL121" s="26"/>
      <c r="LM121" s="26"/>
      <c r="LN121" s="26"/>
      <c r="LO121" s="26"/>
      <c r="LP121" s="26"/>
      <c r="LQ121" s="26"/>
      <c r="LR121" s="26"/>
      <c r="LS121" s="26"/>
      <c r="LT121" s="26"/>
      <c r="LU121" s="26"/>
      <c r="LV121" s="26"/>
      <c r="LW121" s="26"/>
      <c r="LX121" s="26"/>
      <c r="LY121" s="26"/>
      <c r="LZ121" s="26"/>
      <c r="MA121" s="26"/>
      <c r="MB121" s="26"/>
      <c r="MC121" s="26"/>
      <c r="MD121" s="26"/>
      <c r="ME121" s="26"/>
      <c r="MF121" s="26"/>
      <c r="MG121" s="26"/>
      <c r="MH121" s="26"/>
      <c r="MI121" s="26"/>
      <c r="MJ121" s="26"/>
      <c r="MK121" s="26"/>
      <c r="ML121" s="26"/>
      <c r="MM121" s="26"/>
      <c r="MN121" s="26"/>
      <c r="MO121" s="26"/>
      <c r="MP121" s="26"/>
      <c r="MQ121" s="26"/>
      <c r="MR121" s="26"/>
      <c r="MS121" s="23"/>
      <c r="MT121" s="26"/>
      <c r="MU121" s="26"/>
      <c r="MV121" s="26"/>
      <c r="MW121" s="26"/>
      <c r="MX121" s="26"/>
      <c r="MY121" s="26"/>
      <c r="MZ121" s="26"/>
      <c r="NA121" s="26"/>
      <c r="NB121" s="26"/>
      <c r="NC121" s="26"/>
      <c r="ND121" s="26"/>
      <c r="NE121" s="26"/>
      <c r="NF121" s="26"/>
      <c r="NG121" s="26"/>
      <c r="NH121" s="26"/>
      <c r="NI121" s="26"/>
      <c r="NJ121" s="26"/>
      <c r="NK121" s="26"/>
      <c r="NL121" s="26"/>
      <c r="NM121" s="26"/>
      <c r="NN121" s="26"/>
      <c r="NO121" s="26"/>
      <c r="NP121" s="26"/>
      <c r="NQ121" s="26"/>
      <c r="NR121" s="26"/>
      <c r="NS121" s="26"/>
      <c r="NT121" s="26"/>
      <c r="NU121" s="26"/>
      <c r="NV121" s="26"/>
      <c r="NW121" s="26"/>
      <c r="NX121" s="26"/>
      <c r="NY121" s="26"/>
      <c r="NZ121" s="26"/>
      <c r="OA121" s="26"/>
      <c r="OB121" s="26"/>
      <c r="OC121" s="26"/>
      <c r="OD121" s="26"/>
      <c r="OE121" s="26"/>
      <c r="OF121" s="23"/>
      <c r="OG121" s="26"/>
      <c r="OH121" s="26"/>
      <c r="OI121" s="26"/>
      <c r="OJ121" s="26"/>
      <c r="OK121" s="26"/>
      <c r="OL121" s="26"/>
      <c r="OM121" s="26"/>
      <c r="ON121" s="26"/>
      <c r="OO121" s="26"/>
      <c r="OP121" s="26"/>
      <c r="OQ121" s="26"/>
      <c r="OR121" s="26"/>
      <c r="OS121" s="26"/>
      <c r="OT121" s="26"/>
      <c r="OU121" s="26"/>
      <c r="OV121" s="26"/>
      <c r="OW121" s="26"/>
      <c r="OX121" s="26"/>
      <c r="OY121" s="26"/>
      <c r="OZ121" s="26"/>
      <c r="PA121" s="26"/>
      <c r="PB121" s="26"/>
      <c r="PC121" s="26"/>
      <c r="PD121" s="26"/>
      <c r="PE121" s="26"/>
      <c r="PF121" s="26"/>
      <c r="PG121" s="26"/>
      <c r="PH121" s="26"/>
      <c r="PI121" s="26"/>
      <c r="PJ121" s="26"/>
      <c r="PK121" s="26"/>
      <c r="PL121" s="26"/>
      <c r="PM121" s="26"/>
      <c r="PN121" s="26"/>
      <c r="PO121" s="26"/>
      <c r="PP121" s="26"/>
      <c r="PQ121" s="26"/>
      <c r="PR121" s="26"/>
    </row>
    <row r="122" spans="1:434" x14ac:dyDescent="0.25">
      <c r="A122" s="24"/>
      <c r="B122" s="25" t="s">
        <v>189</v>
      </c>
      <c r="C122" s="24" t="s">
        <v>70</v>
      </c>
      <c r="D122" s="24" t="s">
        <v>67</v>
      </c>
      <c r="E122" s="24"/>
      <c r="F122" s="23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3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3"/>
      <c r="CG122" s="82"/>
      <c r="CH122" s="82"/>
      <c r="CI122" s="82"/>
      <c r="CJ122" s="82"/>
      <c r="CK122" s="82"/>
      <c r="CL122" s="82"/>
      <c r="CM122" s="82"/>
      <c r="CN122" s="82"/>
      <c r="CO122" s="82"/>
      <c r="CP122" s="82"/>
      <c r="CQ122" s="82"/>
      <c r="CR122" s="82"/>
      <c r="CS122" s="82"/>
      <c r="CT122" s="82"/>
      <c r="CU122" s="82"/>
      <c r="CV122" s="82"/>
      <c r="CW122" s="82"/>
      <c r="CX122" s="82"/>
      <c r="CY122" s="82"/>
      <c r="CZ122" s="82"/>
      <c r="DA122" s="82"/>
      <c r="DB122" s="82"/>
      <c r="DC122" s="82"/>
      <c r="DD122" s="82"/>
      <c r="DE122" s="82"/>
      <c r="DF122" s="82"/>
      <c r="DG122" s="82"/>
      <c r="DH122" s="82"/>
      <c r="DI122" s="82"/>
      <c r="DJ122" s="82"/>
      <c r="DK122" s="82"/>
      <c r="DL122" s="82">
        <v>30</v>
      </c>
      <c r="DM122" s="82"/>
      <c r="DN122" s="82"/>
      <c r="DO122" s="82"/>
      <c r="DP122" s="82"/>
      <c r="DQ122" s="82"/>
      <c r="DR122" s="82"/>
      <c r="DS122" s="23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3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  <c r="GI122" s="26"/>
      <c r="GJ122" s="26"/>
      <c r="GK122" s="26"/>
      <c r="GL122" s="26"/>
      <c r="GM122" s="26"/>
      <c r="GN122" s="26"/>
      <c r="GO122" s="26"/>
      <c r="GP122" s="26"/>
      <c r="GQ122" s="26"/>
      <c r="GR122" s="26"/>
      <c r="GS122" s="23"/>
      <c r="GT122" s="26"/>
      <c r="GU122" s="26"/>
      <c r="GV122" s="26"/>
      <c r="GW122" s="26"/>
      <c r="GX122" s="26"/>
      <c r="GY122" s="26"/>
      <c r="GZ122" s="26"/>
      <c r="HA122" s="26"/>
      <c r="HB122" s="26"/>
      <c r="HC122" s="26"/>
      <c r="HD122" s="26"/>
      <c r="HE122" s="26"/>
      <c r="HF122" s="26"/>
      <c r="HG122" s="26"/>
      <c r="HH122" s="26"/>
      <c r="HI122" s="26"/>
      <c r="HJ122" s="26"/>
      <c r="HK122" s="26"/>
      <c r="HL122" s="26"/>
      <c r="HM122" s="26"/>
      <c r="HN122" s="26"/>
      <c r="HO122" s="26"/>
      <c r="HP122" s="26"/>
      <c r="HQ122" s="26"/>
      <c r="HR122" s="26"/>
      <c r="HS122" s="26"/>
      <c r="HT122" s="26"/>
      <c r="HU122" s="26"/>
      <c r="HV122" s="26"/>
      <c r="HW122" s="26"/>
      <c r="HX122" s="26"/>
      <c r="HY122" s="26"/>
      <c r="HZ122" s="26"/>
      <c r="IA122" s="26"/>
      <c r="IB122" s="26"/>
      <c r="IC122" s="26"/>
      <c r="ID122" s="26"/>
      <c r="IE122" s="26"/>
      <c r="IF122" s="23"/>
      <c r="IG122" s="26"/>
      <c r="IH122" s="26"/>
      <c r="II122" s="26"/>
      <c r="IJ122" s="26"/>
      <c r="IK122" s="26"/>
      <c r="IL122" s="26"/>
      <c r="IM122" s="26"/>
      <c r="IN122" s="26"/>
      <c r="IO122" s="26"/>
      <c r="IP122" s="26"/>
      <c r="IQ122" s="26"/>
      <c r="IR122" s="26"/>
      <c r="IS122" s="26"/>
      <c r="IT122" s="26"/>
      <c r="IU122" s="26"/>
      <c r="IV122" s="26"/>
      <c r="IW122" s="26"/>
      <c r="IX122" s="26"/>
      <c r="IY122" s="26"/>
      <c r="IZ122" s="26"/>
      <c r="JA122" s="26"/>
      <c r="JB122" s="26"/>
      <c r="JC122" s="26"/>
      <c r="JD122" s="26"/>
      <c r="JE122" s="26"/>
      <c r="JF122" s="26"/>
      <c r="JG122" s="26"/>
      <c r="JH122" s="26"/>
      <c r="JI122" s="26"/>
      <c r="JJ122" s="26"/>
      <c r="JK122" s="26"/>
      <c r="JL122" s="26"/>
      <c r="JM122" s="26"/>
      <c r="JN122" s="26"/>
      <c r="JO122" s="26"/>
      <c r="JP122" s="26"/>
      <c r="JQ122" s="26"/>
      <c r="JR122" s="26"/>
      <c r="JS122" s="23"/>
      <c r="JT122" s="26"/>
      <c r="JU122" s="26"/>
      <c r="JV122" s="26"/>
      <c r="JW122" s="26"/>
      <c r="JX122" s="26"/>
      <c r="JY122" s="26"/>
      <c r="JZ122" s="26"/>
      <c r="KA122" s="26"/>
      <c r="KB122" s="26"/>
      <c r="KC122" s="26"/>
      <c r="KD122" s="26"/>
      <c r="KE122" s="26"/>
      <c r="KF122" s="26"/>
      <c r="KG122" s="26"/>
      <c r="KH122" s="26"/>
      <c r="KI122" s="26"/>
      <c r="KJ122" s="26"/>
      <c r="KK122" s="26"/>
      <c r="KL122" s="26"/>
      <c r="KM122" s="26"/>
      <c r="KN122" s="26"/>
      <c r="KO122" s="26"/>
      <c r="KP122" s="26"/>
      <c r="KQ122" s="26"/>
      <c r="KR122" s="26"/>
      <c r="KS122" s="26"/>
      <c r="KT122" s="26"/>
      <c r="KU122" s="26"/>
      <c r="KV122" s="26"/>
      <c r="KW122" s="26"/>
      <c r="KX122" s="26"/>
      <c r="KY122" s="26"/>
      <c r="KZ122" s="26"/>
      <c r="LA122" s="26"/>
      <c r="LB122" s="26"/>
      <c r="LC122" s="26"/>
      <c r="LD122" s="26"/>
      <c r="LE122" s="26"/>
      <c r="LF122" s="23"/>
      <c r="LG122" s="26"/>
      <c r="LH122" s="26"/>
      <c r="LI122" s="26"/>
      <c r="LJ122" s="26"/>
      <c r="LK122" s="26"/>
      <c r="LL122" s="26"/>
      <c r="LM122" s="26"/>
      <c r="LN122" s="26"/>
      <c r="LO122" s="26"/>
      <c r="LP122" s="26"/>
      <c r="LQ122" s="26"/>
      <c r="LR122" s="26"/>
      <c r="LS122" s="26"/>
      <c r="LT122" s="26"/>
      <c r="LU122" s="26"/>
      <c r="LV122" s="26"/>
      <c r="LW122" s="26"/>
      <c r="LX122" s="26"/>
      <c r="LY122" s="26"/>
      <c r="LZ122" s="26"/>
      <c r="MA122" s="26"/>
      <c r="MB122" s="26"/>
      <c r="MC122" s="26"/>
      <c r="MD122" s="26"/>
      <c r="ME122" s="26"/>
      <c r="MF122" s="26"/>
      <c r="MG122" s="26"/>
      <c r="MH122" s="26"/>
      <c r="MI122" s="26"/>
      <c r="MJ122" s="26"/>
      <c r="MK122" s="26"/>
      <c r="ML122" s="26"/>
      <c r="MM122" s="26"/>
      <c r="MN122" s="26"/>
      <c r="MO122" s="26"/>
      <c r="MP122" s="26"/>
      <c r="MQ122" s="26"/>
      <c r="MR122" s="26"/>
      <c r="MS122" s="23"/>
      <c r="MT122" s="26"/>
      <c r="MU122" s="26"/>
      <c r="MV122" s="26"/>
      <c r="MW122" s="26"/>
      <c r="MX122" s="26"/>
      <c r="MY122" s="26"/>
      <c r="MZ122" s="26"/>
      <c r="NA122" s="26"/>
      <c r="NB122" s="26"/>
      <c r="NC122" s="26"/>
      <c r="ND122" s="26"/>
      <c r="NE122" s="26"/>
      <c r="NF122" s="26"/>
      <c r="NG122" s="26"/>
      <c r="NH122" s="26"/>
      <c r="NI122" s="26"/>
      <c r="NJ122" s="26"/>
      <c r="NK122" s="26"/>
      <c r="NL122" s="26"/>
      <c r="NM122" s="26"/>
      <c r="NN122" s="26"/>
      <c r="NO122" s="26"/>
      <c r="NP122" s="26"/>
      <c r="NQ122" s="26"/>
      <c r="NR122" s="26"/>
      <c r="NS122" s="26"/>
      <c r="NT122" s="26"/>
      <c r="NU122" s="26"/>
      <c r="NV122" s="26"/>
      <c r="NW122" s="26"/>
      <c r="NX122" s="26"/>
      <c r="NY122" s="26"/>
      <c r="NZ122" s="26"/>
      <c r="OA122" s="26"/>
      <c r="OB122" s="26"/>
      <c r="OC122" s="26"/>
      <c r="OD122" s="26"/>
      <c r="OE122" s="26"/>
      <c r="OF122" s="23"/>
      <c r="OG122" s="26"/>
      <c r="OH122" s="26"/>
      <c r="OI122" s="26"/>
      <c r="OJ122" s="26"/>
      <c r="OK122" s="26"/>
      <c r="OL122" s="26"/>
      <c r="OM122" s="26"/>
      <c r="ON122" s="26"/>
      <c r="OO122" s="26"/>
      <c r="OP122" s="26"/>
      <c r="OQ122" s="26"/>
      <c r="OR122" s="26"/>
      <c r="OS122" s="26"/>
      <c r="OT122" s="26"/>
      <c r="OU122" s="26"/>
      <c r="OV122" s="26"/>
      <c r="OW122" s="26"/>
      <c r="OX122" s="26"/>
      <c r="OY122" s="26"/>
      <c r="OZ122" s="26"/>
      <c r="PA122" s="26"/>
      <c r="PB122" s="26"/>
      <c r="PC122" s="26"/>
      <c r="PD122" s="26"/>
      <c r="PE122" s="26"/>
      <c r="PF122" s="26"/>
      <c r="PG122" s="26"/>
      <c r="PH122" s="26"/>
      <c r="PI122" s="26"/>
      <c r="PJ122" s="26"/>
      <c r="PK122" s="26"/>
      <c r="PL122" s="26"/>
      <c r="PM122" s="26"/>
      <c r="PN122" s="26"/>
      <c r="PO122" s="26"/>
      <c r="PP122" s="26"/>
      <c r="PQ122" s="26"/>
      <c r="PR122" s="26"/>
    </row>
    <row r="123" spans="1:434" x14ac:dyDescent="0.25">
      <c r="A123" s="24"/>
      <c r="B123" s="25" t="s">
        <v>190</v>
      </c>
      <c r="C123" s="24" t="s">
        <v>66</v>
      </c>
      <c r="D123" s="24" t="s">
        <v>67</v>
      </c>
      <c r="E123" s="24"/>
      <c r="F123" s="23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3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3"/>
      <c r="CG123" s="82"/>
      <c r="CH123" s="82"/>
      <c r="CI123" s="82"/>
      <c r="CJ123" s="82"/>
      <c r="CK123" s="82"/>
      <c r="CL123" s="82"/>
      <c r="CM123" s="82"/>
      <c r="CN123" s="82"/>
      <c r="CO123" s="82"/>
      <c r="CP123" s="82"/>
      <c r="CQ123" s="82"/>
      <c r="CR123" s="82"/>
      <c r="CS123" s="82"/>
      <c r="CT123" s="82"/>
      <c r="CU123" s="82"/>
      <c r="CV123" s="82"/>
      <c r="CW123" s="82"/>
      <c r="CX123" s="82"/>
      <c r="CY123" s="82"/>
      <c r="CZ123" s="82"/>
      <c r="DA123" s="82"/>
      <c r="DB123" s="82"/>
      <c r="DC123" s="82"/>
      <c r="DD123" s="82"/>
      <c r="DE123" s="82"/>
      <c r="DF123" s="82"/>
      <c r="DG123" s="82"/>
      <c r="DH123" s="82"/>
      <c r="DI123" s="82"/>
      <c r="DJ123" s="82"/>
      <c r="DK123" s="82"/>
      <c r="DL123" s="82">
        <v>30</v>
      </c>
      <c r="DM123" s="82"/>
      <c r="DN123" s="82"/>
      <c r="DO123" s="82"/>
      <c r="DP123" s="82"/>
      <c r="DQ123" s="82"/>
      <c r="DR123" s="82"/>
      <c r="DS123" s="23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3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  <c r="GR123" s="26"/>
      <c r="GS123" s="23"/>
      <c r="GT123" s="26"/>
      <c r="GU123" s="26"/>
      <c r="GV123" s="26"/>
      <c r="GW123" s="26"/>
      <c r="GX123" s="26"/>
      <c r="GY123" s="26"/>
      <c r="GZ123" s="26"/>
      <c r="HA123" s="26"/>
      <c r="HB123" s="26"/>
      <c r="HC123" s="26"/>
      <c r="HD123" s="26"/>
      <c r="HE123" s="26"/>
      <c r="HF123" s="26"/>
      <c r="HG123" s="26"/>
      <c r="HH123" s="26"/>
      <c r="HI123" s="26"/>
      <c r="HJ123" s="26"/>
      <c r="HK123" s="26"/>
      <c r="HL123" s="26"/>
      <c r="HM123" s="26"/>
      <c r="HN123" s="26"/>
      <c r="HO123" s="26"/>
      <c r="HP123" s="26"/>
      <c r="HQ123" s="26"/>
      <c r="HR123" s="26"/>
      <c r="HS123" s="26"/>
      <c r="HT123" s="26"/>
      <c r="HU123" s="26"/>
      <c r="HV123" s="26"/>
      <c r="HW123" s="26"/>
      <c r="HX123" s="26"/>
      <c r="HY123" s="26"/>
      <c r="HZ123" s="26"/>
      <c r="IA123" s="26"/>
      <c r="IB123" s="26"/>
      <c r="IC123" s="26"/>
      <c r="ID123" s="26"/>
      <c r="IE123" s="26"/>
      <c r="IF123" s="23"/>
      <c r="IG123" s="26"/>
      <c r="IH123" s="26"/>
      <c r="II123" s="26"/>
      <c r="IJ123" s="26"/>
      <c r="IK123" s="26"/>
      <c r="IL123" s="26"/>
      <c r="IM123" s="26"/>
      <c r="IN123" s="26"/>
      <c r="IO123" s="26"/>
      <c r="IP123" s="26"/>
      <c r="IQ123" s="26"/>
      <c r="IR123" s="26"/>
      <c r="IS123" s="26"/>
      <c r="IT123" s="26"/>
      <c r="IU123" s="26"/>
      <c r="IV123" s="26"/>
      <c r="IW123" s="26"/>
      <c r="IX123" s="26"/>
      <c r="IY123" s="26"/>
      <c r="IZ123" s="26"/>
      <c r="JA123" s="26"/>
      <c r="JB123" s="26"/>
      <c r="JC123" s="26"/>
      <c r="JD123" s="26"/>
      <c r="JE123" s="26"/>
      <c r="JF123" s="26"/>
      <c r="JG123" s="26"/>
      <c r="JH123" s="26"/>
      <c r="JI123" s="26"/>
      <c r="JJ123" s="26"/>
      <c r="JK123" s="26"/>
      <c r="JL123" s="26"/>
      <c r="JM123" s="26"/>
      <c r="JN123" s="26"/>
      <c r="JO123" s="26"/>
      <c r="JP123" s="26"/>
      <c r="JQ123" s="26"/>
      <c r="JR123" s="26"/>
      <c r="JS123" s="23"/>
      <c r="JT123" s="26"/>
      <c r="JU123" s="26"/>
      <c r="JV123" s="26"/>
      <c r="JW123" s="26"/>
      <c r="JX123" s="26"/>
      <c r="JY123" s="26"/>
      <c r="JZ123" s="26"/>
      <c r="KA123" s="26"/>
      <c r="KB123" s="26"/>
      <c r="KC123" s="26"/>
      <c r="KD123" s="26"/>
      <c r="KE123" s="26"/>
      <c r="KF123" s="26"/>
      <c r="KG123" s="26"/>
      <c r="KH123" s="26"/>
      <c r="KI123" s="26"/>
      <c r="KJ123" s="26"/>
      <c r="KK123" s="26"/>
      <c r="KL123" s="26"/>
      <c r="KM123" s="26"/>
      <c r="KN123" s="26"/>
      <c r="KO123" s="26"/>
      <c r="KP123" s="26"/>
      <c r="KQ123" s="26"/>
      <c r="KR123" s="26"/>
      <c r="KS123" s="26"/>
      <c r="KT123" s="26"/>
      <c r="KU123" s="26"/>
      <c r="KV123" s="26"/>
      <c r="KW123" s="26"/>
      <c r="KX123" s="26"/>
      <c r="KY123" s="26"/>
      <c r="KZ123" s="26"/>
      <c r="LA123" s="26"/>
      <c r="LB123" s="26"/>
      <c r="LC123" s="26"/>
      <c r="LD123" s="26"/>
      <c r="LE123" s="26"/>
      <c r="LF123" s="23"/>
      <c r="LG123" s="26"/>
      <c r="LH123" s="26"/>
      <c r="LI123" s="26"/>
      <c r="LJ123" s="26"/>
      <c r="LK123" s="26"/>
      <c r="LL123" s="26"/>
      <c r="LM123" s="26"/>
      <c r="LN123" s="26"/>
      <c r="LO123" s="26"/>
      <c r="LP123" s="26"/>
      <c r="LQ123" s="26"/>
      <c r="LR123" s="26"/>
      <c r="LS123" s="26"/>
      <c r="LT123" s="26"/>
      <c r="LU123" s="26"/>
      <c r="LV123" s="26"/>
      <c r="LW123" s="26"/>
      <c r="LX123" s="26"/>
      <c r="LY123" s="26"/>
      <c r="LZ123" s="26"/>
      <c r="MA123" s="26"/>
      <c r="MB123" s="26"/>
      <c r="MC123" s="26"/>
      <c r="MD123" s="26"/>
      <c r="ME123" s="26"/>
      <c r="MF123" s="26"/>
      <c r="MG123" s="26"/>
      <c r="MH123" s="26"/>
      <c r="MI123" s="26"/>
      <c r="MJ123" s="26"/>
      <c r="MK123" s="26"/>
      <c r="ML123" s="26"/>
      <c r="MM123" s="26"/>
      <c r="MN123" s="26"/>
      <c r="MO123" s="26"/>
      <c r="MP123" s="26"/>
      <c r="MQ123" s="26"/>
      <c r="MR123" s="26"/>
      <c r="MS123" s="23"/>
      <c r="MT123" s="26"/>
      <c r="MU123" s="26"/>
      <c r="MV123" s="26"/>
      <c r="MW123" s="26"/>
      <c r="MX123" s="26"/>
      <c r="MY123" s="26"/>
      <c r="MZ123" s="26"/>
      <c r="NA123" s="26"/>
      <c r="NB123" s="26"/>
      <c r="NC123" s="26"/>
      <c r="ND123" s="26"/>
      <c r="NE123" s="26"/>
      <c r="NF123" s="26"/>
      <c r="NG123" s="26"/>
      <c r="NH123" s="26"/>
      <c r="NI123" s="26"/>
      <c r="NJ123" s="26"/>
      <c r="NK123" s="26"/>
      <c r="NL123" s="26"/>
      <c r="NM123" s="26"/>
      <c r="NN123" s="26"/>
      <c r="NO123" s="26"/>
      <c r="NP123" s="26"/>
      <c r="NQ123" s="26"/>
      <c r="NR123" s="26"/>
      <c r="NS123" s="26"/>
      <c r="NT123" s="26"/>
      <c r="NU123" s="26"/>
      <c r="NV123" s="26"/>
      <c r="NW123" s="26"/>
      <c r="NX123" s="26"/>
      <c r="NY123" s="26"/>
      <c r="NZ123" s="26"/>
      <c r="OA123" s="26"/>
      <c r="OB123" s="26"/>
      <c r="OC123" s="26"/>
      <c r="OD123" s="26"/>
      <c r="OE123" s="26"/>
      <c r="OF123" s="23"/>
      <c r="OG123" s="26"/>
      <c r="OH123" s="26"/>
      <c r="OI123" s="26"/>
      <c r="OJ123" s="26"/>
      <c r="OK123" s="26"/>
      <c r="OL123" s="26"/>
      <c r="OM123" s="26"/>
      <c r="ON123" s="26"/>
      <c r="OO123" s="26"/>
      <c r="OP123" s="26"/>
      <c r="OQ123" s="26"/>
      <c r="OR123" s="26"/>
      <c r="OS123" s="26"/>
      <c r="OT123" s="26"/>
      <c r="OU123" s="26"/>
      <c r="OV123" s="26"/>
      <c r="OW123" s="26"/>
      <c r="OX123" s="26"/>
      <c r="OY123" s="26"/>
      <c r="OZ123" s="26"/>
      <c r="PA123" s="26"/>
      <c r="PB123" s="26"/>
      <c r="PC123" s="26"/>
      <c r="PD123" s="26"/>
      <c r="PE123" s="26"/>
      <c r="PF123" s="26"/>
      <c r="PG123" s="26"/>
      <c r="PH123" s="26"/>
      <c r="PI123" s="26"/>
      <c r="PJ123" s="26"/>
      <c r="PK123" s="26"/>
      <c r="PL123" s="26"/>
      <c r="PM123" s="26"/>
      <c r="PN123" s="26"/>
      <c r="PO123" s="26"/>
      <c r="PP123" s="26"/>
      <c r="PQ123" s="26"/>
      <c r="PR123" s="26"/>
    </row>
    <row r="124" spans="1:434" x14ac:dyDescent="0.25">
      <c r="A124" s="24"/>
      <c r="B124" s="25" t="s">
        <v>191</v>
      </c>
      <c r="C124" s="24" t="s">
        <v>70</v>
      </c>
      <c r="D124" s="24" t="s">
        <v>67</v>
      </c>
      <c r="E124" s="24"/>
      <c r="F124" s="23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3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3"/>
      <c r="CG124" s="82"/>
      <c r="CH124" s="82"/>
      <c r="CI124" s="82"/>
      <c r="CJ124" s="82"/>
      <c r="CK124" s="82"/>
      <c r="CL124" s="82"/>
      <c r="CM124" s="82"/>
      <c r="CN124" s="82"/>
      <c r="CO124" s="82"/>
      <c r="CP124" s="82"/>
      <c r="CQ124" s="82"/>
      <c r="CR124" s="82"/>
      <c r="CS124" s="82"/>
      <c r="CT124" s="82"/>
      <c r="CU124" s="82"/>
      <c r="CV124" s="82"/>
      <c r="CW124" s="82"/>
      <c r="CX124" s="82"/>
      <c r="CY124" s="82"/>
      <c r="CZ124" s="82"/>
      <c r="DA124" s="82"/>
      <c r="DB124" s="82"/>
      <c r="DC124" s="82"/>
      <c r="DD124" s="82"/>
      <c r="DE124" s="82"/>
      <c r="DF124" s="82"/>
      <c r="DG124" s="82"/>
      <c r="DH124" s="82"/>
      <c r="DI124" s="82"/>
      <c r="DJ124" s="82"/>
      <c r="DK124" s="82"/>
      <c r="DL124" s="82"/>
      <c r="DM124" s="82"/>
      <c r="DN124" s="82"/>
      <c r="DO124" s="82"/>
      <c r="DP124" s="82"/>
      <c r="DQ124" s="82"/>
      <c r="DR124" s="82"/>
      <c r="DS124" s="23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3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  <c r="GR124" s="26"/>
      <c r="GS124" s="23"/>
      <c r="GT124" s="26"/>
      <c r="GU124" s="26"/>
      <c r="GV124" s="26"/>
      <c r="GW124" s="26"/>
      <c r="GX124" s="26"/>
      <c r="GY124" s="26"/>
      <c r="GZ124" s="26"/>
      <c r="HA124" s="26"/>
      <c r="HB124" s="26"/>
      <c r="HC124" s="26"/>
      <c r="HD124" s="26"/>
      <c r="HE124" s="26"/>
      <c r="HF124" s="26"/>
      <c r="HG124" s="26"/>
      <c r="HH124" s="26"/>
      <c r="HI124" s="26"/>
      <c r="HJ124" s="26"/>
      <c r="HK124" s="26"/>
      <c r="HL124" s="26"/>
      <c r="HM124" s="26"/>
      <c r="HN124" s="26"/>
      <c r="HO124" s="26"/>
      <c r="HP124" s="26"/>
      <c r="HQ124" s="26"/>
      <c r="HR124" s="26"/>
      <c r="HS124" s="26"/>
      <c r="HT124" s="26"/>
      <c r="HU124" s="26"/>
      <c r="HV124" s="26"/>
      <c r="HW124" s="26"/>
      <c r="HX124" s="26"/>
      <c r="HY124" s="26"/>
      <c r="HZ124" s="26"/>
      <c r="IA124" s="26"/>
      <c r="IB124" s="26"/>
      <c r="IC124" s="26"/>
      <c r="ID124" s="26"/>
      <c r="IE124" s="26"/>
      <c r="IF124" s="23"/>
      <c r="IG124" s="26"/>
      <c r="IH124" s="26"/>
      <c r="II124" s="26"/>
      <c r="IJ124" s="26"/>
      <c r="IK124" s="26"/>
      <c r="IL124" s="26"/>
      <c r="IM124" s="26"/>
      <c r="IN124" s="26"/>
      <c r="IO124" s="26"/>
      <c r="IP124" s="26"/>
      <c r="IQ124" s="26"/>
      <c r="IR124" s="26"/>
      <c r="IS124" s="26"/>
      <c r="IT124" s="26"/>
      <c r="IU124" s="26"/>
      <c r="IV124" s="26"/>
      <c r="IW124" s="26"/>
      <c r="IX124" s="26"/>
      <c r="IY124" s="26"/>
      <c r="IZ124" s="26"/>
      <c r="JA124" s="26"/>
      <c r="JB124" s="26"/>
      <c r="JC124" s="26"/>
      <c r="JD124" s="26"/>
      <c r="JE124" s="26"/>
      <c r="JF124" s="26"/>
      <c r="JG124" s="26"/>
      <c r="JH124" s="26"/>
      <c r="JI124" s="26"/>
      <c r="JJ124" s="26"/>
      <c r="JK124" s="26"/>
      <c r="JL124" s="26"/>
      <c r="JM124" s="26"/>
      <c r="JN124" s="26"/>
      <c r="JO124" s="26"/>
      <c r="JP124" s="26"/>
      <c r="JQ124" s="26"/>
      <c r="JR124" s="26"/>
      <c r="JS124" s="23"/>
      <c r="JT124" s="26"/>
      <c r="JU124" s="26"/>
      <c r="JV124" s="26"/>
      <c r="JW124" s="26"/>
      <c r="JX124" s="26"/>
      <c r="JY124" s="26"/>
      <c r="JZ124" s="26"/>
      <c r="KA124" s="26"/>
      <c r="KB124" s="26"/>
      <c r="KC124" s="26"/>
      <c r="KD124" s="26"/>
      <c r="KE124" s="26"/>
      <c r="KF124" s="26"/>
      <c r="KG124" s="26"/>
      <c r="KH124" s="26"/>
      <c r="KI124" s="26"/>
      <c r="KJ124" s="26"/>
      <c r="KK124" s="26"/>
      <c r="KL124" s="26"/>
      <c r="KM124" s="26"/>
      <c r="KN124" s="26"/>
      <c r="KO124" s="26"/>
      <c r="KP124" s="26"/>
      <c r="KQ124" s="26"/>
      <c r="KR124" s="26"/>
      <c r="KS124" s="26"/>
      <c r="KT124" s="26"/>
      <c r="KU124" s="26"/>
      <c r="KV124" s="26"/>
      <c r="KW124" s="26"/>
      <c r="KX124" s="26"/>
      <c r="KY124" s="26"/>
      <c r="KZ124" s="26"/>
      <c r="LA124" s="26"/>
      <c r="LB124" s="26"/>
      <c r="LC124" s="26"/>
      <c r="LD124" s="26"/>
      <c r="LE124" s="26"/>
      <c r="LF124" s="23"/>
      <c r="LG124" s="26"/>
      <c r="LH124" s="26"/>
      <c r="LI124" s="26"/>
      <c r="LJ124" s="26"/>
      <c r="LK124" s="26"/>
      <c r="LL124" s="26"/>
      <c r="LM124" s="26"/>
      <c r="LN124" s="26"/>
      <c r="LO124" s="26"/>
      <c r="LP124" s="26"/>
      <c r="LQ124" s="26"/>
      <c r="LR124" s="26"/>
      <c r="LS124" s="26"/>
      <c r="LT124" s="26"/>
      <c r="LU124" s="26"/>
      <c r="LV124" s="26"/>
      <c r="LW124" s="26"/>
      <c r="LX124" s="26"/>
      <c r="LY124" s="26"/>
      <c r="LZ124" s="26"/>
      <c r="MA124" s="26"/>
      <c r="MB124" s="26"/>
      <c r="MC124" s="26"/>
      <c r="MD124" s="26"/>
      <c r="ME124" s="26"/>
      <c r="MF124" s="26"/>
      <c r="MG124" s="26"/>
      <c r="MH124" s="26"/>
      <c r="MI124" s="26"/>
      <c r="MJ124" s="26"/>
      <c r="MK124" s="26"/>
      <c r="ML124" s="26"/>
      <c r="MM124" s="26"/>
      <c r="MN124" s="26"/>
      <c r="MO124" s="26"/>
      <c r="MP124" s="26"/>
      <c r="MQ124" s="26"/>
      <c r="MR124" s="26"/>
      <c r="MS124" s="23"/>
      <c r="MT124" s="26"/>
      <c r="MU124" s="26"/>
      <c r="MV124" s="26"/>
      <c r="MW124" s="26"/>
      <c r="MX124" s="26"/>
      <c r="MY124" s="26"/>
      <c r="MZ124" s="26"/>
      <c r="NA124" s="26"/>
      <c r="NB124" s="26"/>
      <c r="NC124" s="26"/>
      <c r="ND124" s="26"/>
      <c r="NE124" s="26"/>
      <c r="NF124" s="26"/>
      <c r="NG124" s="26"/>
      <c r="NH124" s="26"/>
      <c r="NI124" s="26"/>
      <c r="NJ124" s="26"/>
      <c r="NK124" s="26"/>
      <c r="NL124" s="26"/>
      <c r="NM124" s="26"/>
      <c r="NN124" s="26"/>
      <c r="NO124" s="26"/>
      <c r="NP124" s="26"/>
      <c r="NQ124" s="26"/>
      <c r="NR124" s="26"/>
      <c r="NS124" s="26"/>
      <c r="NT124" s="26"/>
      <c r="NU124" s="26"/>
      <c r="NV124" s="26"/>
      <c r="NW124" s="26"/>
      <c r="NX124" s="26"/>
      <c r="NY124" s="26"/>
      <c r="NZ124" s="26"/>
      <c r="OA124" s="26"/>
      <c r="OB124" s="26"/>
      <c r="OC124" s="26"/>
      <c r="OD124" s="26"/>
      <c r="OE124" s="26"/>
      <c r="OF124" s="23"/>
      <c r="OG124" s="26"/>
      <c r="OH124" s="26"/>
      <c r="OI124" s="26"/>
      <c r="OJ124" s="26"/>
      <c r="OK124" s="26"/>
      <c r="OL124" s="26"/>
      <c r="OM124" s="26"/>
      <c r="ON124" s="26"/>
      <c r="OO124" s="26"/>
      <c r="OP124" s="26"/>
      <c r="OQ124" s="26"/>
      <c r="OR124" s="26"/>
      <c r="OS124" s="26"/>
      <c r="OT124" s="26"/>
      <c r="OU124" s="26"/>
      <c r="OV124" s="26"/>
      <c r="OW124" s="26"/>
      <c r="OX124" s="26"/>
      <c r="OY124" s="26"/>
      <c r="OZ124" s="26"/>
      <c r="PA124" s="26"/>
      <c r="PB124" s="26"/>
      <c r="PC124" s="26"/>
      <c r="PD124" s="26"/>
      <c r="PE124" s="26"/>
      <c r="PF124" s="26"/>
      <c r="PG124" s="26"/>
      <c r="PH124" s="26"/>
      <c r="PI124" s="26"/>
      <c r="PJ124" s="26"/>
      <c r="PK124" s="26"/>
      <c r="PL124" s="26"/>
      <c r="PM124" s="26"/>
      <c r="PN124" s="26"/>
      <c r="PO124" s="26"/>
      <c r="PP124" s="26"/>
      <c r="PQ124" s="26"/>
      <c r="PR124" s="26"/>
    </row>
    <row r="125" spans="1:434" x14ac:dyDescent="0.25">
      <c r="A125" s="24"/>
      <c r="B125" s="25" t="s">
        <v>192</v>
      </c>
      <c r="C125" s="24" t="s">
        <v>70</v>
      </c>
      <c r="D125" s="24" t="s">
        <v>67</v>
      </c>
      <c r="E125" s="24"/>
      <c r="F125" s="23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3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3"/>
      <c r="CG125" s="82"/>
      <c r="CH125" s="82"/>
      <c r="CI125" s="82"/>
      <c r="CJ125" s="82"/>
      <c r="CK125" s="82"/>
      <c r="CL125" s="82"/>
      <c r="CM125" s="82"/>
      <c r="CN125" s="82"/>
      <c r="CO125" s="82"/>
      <c r="CP125" s="82"/>
      <c r="CQ125" s="82"/>
      <c r="CR125" s="82"/>
      <c r="CS125" s="82"/>
      <c r="CT125" s="82"/>
      <c r="CU125" s="82"/>
      <c r="CV125" s="82"/>
      <c r="CW125" s="82"/>
      <c r="CX125" s="82"/>
      <c r="CY125" s="82"/>
      <c r="CZ125" s="82"/>
      <c r="DA125" s="82"/>
      <c r="DB125" s="82"/>
      <c r="DC125" s="82"/>
      <c r="DD125" s="82"/>
      <c r="DE125" s="82"/>
      <c r="DF125" s="82"/>
      <c r="DG125" s="82"/>
      <c r="DH125" s="82"/>
      <c r="DI125" s="82"/>
      <c r="DJ125" s="82"/>
      <c r="DK125" s="82"/>
      <c r="DL125" s="82"/>
      <c r="DM125" s="82"/>
      <c r="DN125" s="82"/>
      <c r="DO125" s="82"/>
      <c r="DP125" s="82"/>
      <c r="DQ125" s="82"/>
      <c r="DR125" s="82"/>
      <c r="DS125" s="23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3"/>
      <c r="FG125" s="26"/>
      <c r="FH125" s="26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  <c r="GI125" s="26"/>
      <c r="GJ125" s="26"/>
      <c r="GK125" s="26"/>
      <c r="GL125" s="26"/>
      <c r="GM125" s="26"/>
      <c r="GN125" s="26"/>
      <c r="GO125" s="26"/>
      <c r="GP125" s="26"/>
      <c r="GQ125" s="26"/>
      <c r="GR125" s="26"/>
      <c r="GS125" s="23"/>
      <c r="GT125" s="26"/>
      <c r="GU125" s="26"/>
      <c r="GV125" s="26"/>
      <c r="GW125" s="26"/>
      <c r="GX125" s="26"/>
      <c r="GY125" s="26"/>
      <c r="GZ125" s="26"/>
      <c r="HA125" s="26"/>
      <c r="HB125" s="26"/>
      <c r="HC125" s="26"/>
      <c r="HD125" s="26"/>
      <c r="HE125" s="26"/>
      <c r="HF125" s="26"/>
      <c r="HG125" s="26"/>
      <c r="HH125" s="26"/>
      <c r="HI125" s="26"/>
      <c r="HJ125" s="26"/>
      <c r="HK125" s="26"/>
      <c r="HL125" s="26"/>
      <c r="HM125" s="26"/>
      <c r="HN125" s="26"/>
      <c r="HO125" s="26"/>
      <c r="HP125" s="26"/>
      <c r="HQ125" s="26"/>
      <c r="HR125" s="26"/>
      <c r="HS125" s="26"/>
      <c r="HT125" s="26"/>
      <c r="HU125" s="26"/>
      <c r="HV125" s="26"/>
      <c r="HW125" s="26"/>
      <c r="HX125" s="26"/>
      <c r="HY125" s="26"/>
      <c r="HZ125" s="26"/>
      <c r="IA125" s="26"/>
      <c r="IB125" s="26"/>
      <c r="IC125" s="26"/>
      <c r="ID125" s="26"/>
      <c r="IE125" s="26"/>
      <c r="IF125" s="23"/>
      <c r="IG125" s="26"/>
      <c r="IH125" s="26"/>
      <c r="II125" s="26"/>
      <c r="IJ125" s="26"/>
      <c r="IK125" s="26"/>
      <c r="IL125" s="26"/>
      <c r="IM125" s="26"/>
      <c r="IN125" s="26"/>
      <c r="IO125" s="26"/>
      <c r="IP125" s="26"/>
      <c r="IQ125" s="26"/>
      <c r="IR125" s="26"/>
      <c r="IS125" s="26"/>
      <c r="IT125" s="26"/>
      <c r="IU125" s="26"/>
      <c r="IV125" s="26"/>
      <c r="IW125" s="26"/>
      <c r="IX125" s="26"/>
      <c r="IY125" s="26"/>
      <c r="IZ125" s="26"/>
      <c r="JA125" s="26"/>
      <c r="JB125" s="26"/>
      <c r="JC125" s="26"/>
      <c r="JD125" s="26"/>
      <c r="JE125" s="26"/>
      <c r="JF125" s="26"/>
      <c r="JG125" s="26"/>
      <c r="JH125" s="26"/>
      <c r="JI125" s="26"/>
      <c r="JJ125" s="26"/>
      <c r="JK125" s="26"/>
      <c r="JL125" s="26"/>
      <c r="JM125" s="26"/>
      <c r="JN125" s="26"/>
      <c r="JO125" s="26"/>
      <c r="JP125" s="26"/>
      <c r="JQ125" s="26"/>
      <c r="JR125" s="26"/>
      <c r="JS125" s="23"/>
      <c r="JT125" s="26"/>
      <c r="JU125" s="26"/>
      <c r="JV125" s="26"/>
      <c r="JW125" s="26"/>
      <c r="JX125" s="26"/>
      <c r="JY125" s="26"/>
      <c r="JZ125" s="26"/>
      <c r="KA125" s="26"/>
      <c r="KB125" s="26"/>
      <c r="KC125" s="26"/>
      <c r="KD125" s="26"/>
      <c r="KE125" s="26"/>
      <c r="KF125" s="26"/>
      <c r="KG125" s="26"/>
      <c r="KH125" s="26"/>
      <c r="KI125" s="26"/>
      <c r="KJ125" s="26"/>
      <c r="KK125" s="26"/>
      <c r="KL125" s="26"/>
      <c r="KM125" s="26"/>
      <c r="KN125" s="26"/>
      <c r="KO125" s="26"/>
      <c r="KP125" s="26"/>
      <c r="KQ125" s="26"/>
      <c r="KR125" s="26"/>
      <c r="KS125" s="26"/>
      <c r="KT125" s="26"/>
      <c r="KU125" s="26"/>
      <c r="KV125" s="26"/>
      <c r="KW125" s="26"/>
      <c r="KX125" s="26"/>
      <c r="KY125" s="26"/>
      <c r="KZ125" s="26"/>
      <c r="LA125" s="26"/>
      <c r="LB125" s="26"/>
      <c r="LC125" s="26"/>
      <c r="LD125" s="26"/>
      <c r="LE125" s="26"/>
      <c r="LF125" s="23"/>
      <c r="LG125" s="26"/>
      <c r="LH125" s="26"/>
      <c r="LI125" s="26"/>
      <c r="LJ125" s="26"/>
      <c r="LK125" s="26"/>
      <c r="LL125" s="26"/>
      <c r="LM125" s="26"/>
      <c r="LN125" s="26"/>
      <c r="LO125" s="26"/>
      <c r="LP125" s="26"/>
      <c r="LQ125" s="26"/>
      <c r="LR125" s="26"/>
      <c r="LS125" s="26"/>
      <c r="LT125" s="26"/>
      <c r="LU125" s="26"/>
      <c r="LV125" s="26"/>
      <c r="LW125" s="26"/>
      <c r="LX125" s="26"/>
      <c r="LY125" s="26"/>
      <c r="LZ125" s="26"/>
      <c r="MA125" s="26"/>
      <c r="MB125" s="26"/>
      <c r="MC125" s="26"/>
      <c r="MD125" s="26"/>
      <c r="ME125" s="26"/>
      <c r="MF125" s="26"/>
      <c r="MG125" s="26"/>
      <c r="MH125" s="26"/>
      <c r="MI125" s="26"/>
      <c r="MJ125" s="26"/>
      <c r="MK125" s="26"/>
      <c r="ML125" s="26"/>
      <c r="MM125" s="26"/>
      <c r="MN125" s="26"/>
      <c r="MO125" s="26"/>
      <c r="MP125" s="26"/>
      <c r="MQ125" s="26"/>
      <c r="MR125" s="26"/>
      <c r="MS125" s="23"/>
      <c r="MT125" s="26"/>
      <c r="MU125" s="26"/>
      <c r="MV125" s="26"/>
      <c r="MW125" s="26"/>
      <c r="MX125" s="26"/>
      <c r="MY125" s="26"/>
      <c r="MZ125" s="26"/>
      <c r="NA125" s="26"/>
      <c r="NB125" s="26"/>
      <c r="NC125" s="26"/>
      <c r="ND125" s="26"/>
      <c r="NE125" s="26"/>
      <c r="NF125" s="26"/>
      <c r="NG125" s="26"/>
      <c r="NH125" s="26"/>
      <c r="NI125" s="26"/>
      <c r="NJ125" s="26"/>
      <c r="NK125" s="26"/>
      <c r="NL125" s="26"/>
      <c r="NM125" s="26"/>
      <c r="NN125" s="26"/>
      <c r="NO125" s="26"/>
      <c r="NP125" s="26"/>
      <c r="NQ125" s="26"/>
      <c r="NR125" s="26"/>
      <c r="NS125" s="26"/>
      <c r="NT125" s="26"/>
      <c r="NU125" s="26"/>
      <c r="NV125" s="26"/>
      <c r="NW125" s="26"/>
      <c r="NX125" s="26"/>
      <c r="NY125" s="26"/>
      <c r="NZ125" s="26"/>
      <c r="OA125" s="26"/>
      <c r="OB125" s="26"/>
      <c r="OC125" s="26"/>
      <c r="OD125" s="26"/>
      <c r="OE125" s="26"/>
      <c r="OF125" s="23"/>
      <c r="OG125" s="26"/>
      <c r="OH125" s="26"/>
      <c r="OI125" s="26"/>
      <c r="OJ125" s="26"/>
      <c r="OK125" s="26"/>
      <c r="OL125" s="26"/>
      <c r="OM125" s="26"/>
      <c r="ON125" s="26"/>
      <c r="OO125" s="26"/>
      <c r="OP125" s="26"/>
      <c r="OQ125" s="26"/>
      <c r="OR125" s="26"/>
      <c r="OS125" s="26"/>
      <c r="OT125" s="26"/>
      <c r="OU125" s="26"/>
      <c r="OV125" s="26"/>
      <c r="OW125" s="26"/>
      <c r="OX125" s="26"/>
      <c r="OY125" s="26"/>
      <c r="OZ125" s="26"/>
      <c r="PA125" s="26"/>
      <c r="PB125" s="26"/>
      <c r="PC125" s="26"/>
      <c r="PD125" s="26"/>
      <c r="PE125" s="26"/>
      <c r="PF125" s="26"/>
      <c r="PG125" s="26"/>
      <c r="PH125" s="26"/>
      <c r="PI125" s="26"/>
      <c r="PJ125" s="26"/>
      <c r="PK125" s="26"/>
      <c r="PL125" s="26"/>
      <c r="PM125" s="26"/>
      <c r="PN125" s="26"/>
      <c r="PO125" s="26"/>
      <c r="PP125" s="26"/>
      <c r="PQ125" s="26"/>
      <c r="PR125" s="26"/>
    </row>
    <row r="126" spans="1:434" x14ac:dyDescent="0.25">
      <c r="A126" s="24"/>
      <c r="B126" s="25" t="s">
        <v>193</v>
      </c>
      <c r="C126" s="24" t="s">
        <v>70</v>
      </c>
      <c r="D126" s="24" t="s">
        <v>67</v>
      </c>
      <c r="E126" s="24"/>
      <c r="F126" s="23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3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3"/>
      <c r="CG126" s="82"/>
      <c r="CH126" s="82"/>
      <c r="CI126" s="82"/>
      <c r="CJ126" s="82"/>
      <c r="CK126" s="82"/>
      <c r="CL126" s="82"/>
      <c r="CM126" s="82"/>
      <c r="CN126" s="82"/>
      <c r="CO126" s="82"/>
      <c r="CP126" s="82"/>
      <c r="CQ126" s="82"/>
      <c r="CR126" s="82"/>
      <c r="CS126" s="82"/>
      <c r="CT126" s="82"/>
      <c r="CU126" s="82"/>
      <c r="CV126" s="82"/>
      <c r="CW126" s="82"/>
      <c r="CX126" s="82"/>
      <c r="CY126" s="82"/>
      <c r="CZ126" s="82"/>
      <c r="DA126" s="82"/>
      <c r="DB126" s="82"/>
      <c r="DC126" s="82"/>
      <c r="DD126" s="82"/>
      <c r="DE126" s="82"/>
      <c r="DF126" s="82"/>
      <c r="DG126" s="82"/>
      <c r="DH126" s="82"/>
      <c r="DI126" s="82"/>
      <c r="DJ126" s="82"/>
      <c r="DK126" s="82"/>
      <c r="DL126" s="82"/>
      <c r="DM126" s="82"/>
      <c r="DN126" s="82"/>
      <c r="DO126" s="82"/>
      <c r="DP126" s="82"/>
      <c r="DQ126" s="82"/>
      <c r="DR126" s="82"/>
      <c r="DS126" s="23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3"/>
      <c r="FG126" s="26"/>
      <c r="FH126" s="26"/>
      <c r="FI126" s="26"/>
      <c r="FJ126" s="26"/>
      <c r="FK126" s="26"/>
      <c r="FL126" s="26"/>
      <c r="FM126" s="26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  <c r="GI126" s="26"/>
      <c r="GJ126" s="26"/>
      <c r="GK126" s="26"/>
      <c r="GL126" s="26"/>
      <c r="GM126" s="26"/>
      <c r="GN126" s="26"/>
      <c r="GO126" s="26"/>
      <c r="GP126" s="26"/>
      <c r="GQ126" s="26"/>
      <c r="GR126" s="26"/>
      <c r="GS126" s="23"/>
      <c r="GT126" s="26"/>
      <c r="GU126" s="26"/>
      <c r="GV126" s="26"/>
      <c r="GW126" s="26"/>
      <c r="GX126" s="26"/>
      <c r="GY126" s="26"/>
      <c r="GZ126" s="26"/>
      <c r="HA126" s="26"/>
      <c r="HB126" s="26"/>
      <c r="HC126" s="26"/>
      <c r="HD126" s="26"/>
      <c r="HE126" s="26"/>
      <c r="HF126" s="26"/>
      <c r="HG126" s="26"/>
      <c r="HH126" s="26"/>
      <c r="HI126" s="26"/>
      <c r="HJ126" s="26"/>
      <c r="HK126" s="26"/>
      <c r="HL126" s="26"/>
      <c r="HM126" s="26"/>
      <c r="HN126" s="26"/>
      <c r="HO126" s="26"/>
      <c r="HP126" s="26"/>
      <c r="HQ126" s="26"/>
      <c r="HR126" s="26"/>
      <c r="HS126" s="26"/>
      <c r="HT126" s="26"/>
      <c r="HU126" s="26"/>
      <c r="HV126" s="26"/>
      <c r="HW126" s="26"/>
      <c r="HX126" s="26"/>
      <c r="HY126" s="26"/>
      <c r="HZ126" s="26"/>
      <c r="IA126" s="26"/>
      <c r="IB126" s="26"/>
      <c r="IC126" s="26"/>
      <c r="ID126" s="26"/>
      <c r="IE126" s="26"/>
      <c r="IF126" s="23"/>
      <c r="IG126" s="26"/>
      <c r="IH126" s="26"/>
      <c r="II126" s="26"/>
      <c r="IJ126" s="26"/>
      <c r="IK126" s="26"/>
      <c r="IL126" s="26"/>
      <c r="IM126" s="26"/>
      <c r="IN126" s="26"/>
      <c r="IO126" s="26"/>
      <c r="IP126" s="26"/>
      <c r="IQ126" s="26"/>
      <c r="IR126" s="26"/>
      <c r="IS126" s="26"/>
      <c r="IT126" s="26"/>
      <c r="IU126" s="26"/>
      <c r="IV126" s="26"/>
      <c r="IW126" s="26"/>
      <c r="IX126" s="26"/>
      <c r="IY126" s="26"/>
      <c r="IZ126" s="26"/>
      <c r="JA126" s="26"/>
      <c r="JB126" s="26"/>
      <c r="JC126" s="26"/>
      <c r="JD126" s="26"/>
      <c r="JE126" s="26"/>
      <c r="JF126" s="26"/>
      <c r="JG126" s="26"/>
      <c r="JH126" s="26"/>
      <c r="JI126" s="26"/>
      <c r="JJ126" s="26"/>
      <c r="JK126" s="26"/>
      <c r="JL126" s="26"/>
      <c r="JM126" s="26"/>
      <c r="JN126" s="26"/>
      <c r="JO126" s="26"/>
      <c r="JP126" s="26"/>
      <c r="JQ126" s="26"/>
      <c r="JR126" s="26"/>
      <c r="JS126" s="23"/>
      <c r="JT126" s="26"/>
      <c r="JU126" s="26"/>
      <c r="JV126" s="26"/>
      <c r="JW126" s="26"/>
      <c r="JX126" s="26"/>
      <c r="JY126" s="26"/>
      <c r="JZ126" s="26"/>
      <c r="KA126" s="26"/>
      <c r="KB126" s="26"/>
      <c r="KC126" s="26"/>
      <c r="KD126" s="26"/>
      <c r="KE126" s="26"/>
      <c r="KF126" s="26"/>
      <c r="KG126" s="26"/>
      <c r="KH126" s="26"/>
      <c r="KI126" s="26"/>
      <c r="KJ126" s="26"/>
      <c r="KK126" s="26"/>
      <c r="KL126" s="26"/>
      <c r="KM126" s="26"/>
      <c r="KN126" s="26"/>
      <c r="KO126" s="26"/>
      <c r="KP126" s="26"/>
      <c r="KQ126" s="26"/>
      <c r="KR126" s="26"/>
      <c r="KS126" s="26"/>
      <c r="KT126" s="26"/>
      <c r="KU126" s="26"/>
      <c r="KV126" s="26"/>
      <c r="KW126" s="26"/>
      <c r="KX126" s="26"/>
      <c r="KY126" s="26"/>
      <c r="KZ126" s="26"/>
      <c r="LA126" s="26"/>
      <c r="LB126" s="26"/>
      <c r="LC126" s="26"/>
      <c r="LD126" s="26"/>
      <c r="LE126" s="26"/>
      <c r="LF126" s="23"/>
      <c r="LG126" s="26"/>
      <c r="LH126" s="26"/>
      <c r="LI126" s="26"/>
      <c r="LJ126" s="26"/>
      <c r="LK126" s="26"/>
      <c r="LL126" s="26"/>
      <c r="LM126" s="26"/>
      <c r="LN126" s="26"/>
      <c r="LO126" s="26"/>
      <c r="LP126" s="26"/>
      <c r="LQ126" s="26"/>
      <c r="LR126" s="26"/>
      <c r="LS126" s="26"/>
      <c r="LT126" s="26"/>
      <c r="LU126" s="26"/>
      <c r="LV126" s="26"/>
      <c r="LW126" s="26"/>
      <c r="LX126" s="26"/>
      <c r="LY126" s="26"/>
      <c r="LZ126" s="26"/>
      <c r="MA126" s="26"/>
      <c r="MB126" s="26"/>
      <c r="MC126" s="26"/>
      <c r="MD126" s="26"/>
      <c r="ME126" s="26"/>
      <c r="MF126" s="26"/>
      <c r="MG126" s="26"/>
      <c r="MH126" s="26"/>
      <c r="MI126" s="26"/>
      <c r="MJ126" s="26"/>
      <c r="MK126" s="26"/>
      <c r="ML126" s="26"/>
      <c r="MM126" s="26"/>
      <c r="MN126" s="26"/>
      <c r="MO126" s="26"/>
      <c r="MP126" s="26"/>
      <c r="MQ126" s="26"/>
      <c r="MR126" s="26"/>
      <c r="MS126" s="23"/>
      <c r="MT126" s="26"/>
      <c r="MU126" s="26"/>
      <c r="MV126" s="26"/>
      <c r="MW126" s="26"/>
      <c r="MX126" s="26"/>
      <c r="MY126" s="26"/>
      <c r="MZ126" s="26"/>
      <c r="NA126" s="26"/>
      <c r="NB126" s="26"/>
      <c r="NC126" s="26"/>
      <c r="ND126" s="26"/>
      <c r="NE126" s="26"/>
      <c r="NF126" s="26"/>
      <c r="NG126" s="26"/>
      <c r="NH126" s="26"/>
      <c r="NI126" s="26"/>
      <c r="NJ126" s="26"/>
      <c r="NK126" s="26"/>
      <c r="NL126" s="26"/>
      <c r="NM126" s="26"/>
      <c r="NN126" s="26"/>
      <c r="NO126" s="26"/>
      <c r="NP126" s="26"/>
      <c r="NQ126" s="26"/>
      <c r="NR126" s="26"/>
      <c r="NS126" s="26"/>
      <c r="NT126" s="26"/>
      <c r="NU126" s="26"/>
      <c r="NV126" s="26"/>
      <c r="NW126" s="26"/>
      <c r="NX126" s="26"/>
      <c r="NY126" s="26"/>
      <c r="NZ126" s="26"/>
      <c r="OA126" s="26"/>
      <c r="OB126" s="26"/>
      <c r="OC126" s="26"/>
      <c r="OD126" s="26"/>
      <c r="OE126" s="26"/>
      <c r="OF126" s="23"/>
      <c r="OG126" s="26"/>
      <c r="OH126" s="26"/>
      <c r="OI126" s="26"/>
      <c r="OJ126" s="26"/>
      <c r="OK126" s="26"/>
      <c r="OL126" s="26"/>
      <c r="OM126" s="26"/>
      <c r="ON126" s="26"/>
      <c r="OO126" s="26"/>
      <c r="OP126" s="26"/>
      <c r="OQ126" s="26"/>
      <c r="OR126" s="26"/>
      <c r="OS126" s="26"/>
      <c r="OT126" s="26"/>
      <c r="OU126" s="26"/>
      <c r="OV126" s="26"/>
      <c r="OW126" s="26"/>
      <c r="OX126" s="26"/>
      <c r="OY126" s="26"/>
      <c r="OZ126" s="26"/>
      <c r="PA126" s="26"/>
      <c r="PB126" s="26"/>
      <c r="PC126" s="26"/>
      <c r="PD126" s="26"/>
      <c r="PE126" s="26"/>
      <c r="PF126" s="26"/>
      <c r="PG126" s="26"/>
      <c r="PH126" s="26"/>
      <c r="PI126" s="26"/>
      <c r="PJ126" s="26"/>
      <c r="PK126" s="26"/>
      <c r="PL126" s="26"/>
      <c r="PM126" s="26"/>
      <c r="PN126" s="26"/>
      <c r="PO126" s="26"/>
      <c r="PP126" s="26"/>
      <c r="PQ126" s="26"/>
      <c r="PR126" s="26"/>
    </row>
    <row r="127" spans="1:434" x14ac:dyDescent="0.25">
      <c r="A127" s="24"/>
      <c r="B127" s="25" t="s">
        <v>194</v>
      </c>
      <c r="C127" s="24" t="s">
        <v>70</v>
      </c>
      <c r="D127" s="24" t="s">
        <v>67</v>
      </c>
      <c r="E127" s="24"/>
      <c r="F127" s="23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3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3"/>
      <c r="CG127" s="82"/>
      <c r="CH127" s="82"/>
      <c r="CI127" s="82"/>
      <c r="CJ127" s="82"/>
      <c r="CK127" s="82"/>
      <c r="CL127" s="82"/>
      <c r="CM127" s="82"/>
      <c r="CN127" s="82"/>
      <c r="CO127" s="82"/>
      <c r="CP127" s="82"/>
      <c r="CQ127" s="82"/>
      <c r="CR127" s="82"/>
      <c r="CS127" s="82"/>
      <c r="CT127" s="82"/>
      <c r="CU127" s="82"/>
      <c r="CV127" s="82"/>
      <c r="CW127" s="82"/>
      <c r="CX127" s="82"/>
      <c r="CY127" s="82"/>
      <c r="CZ127" s="82"/>
      <c r="DA127" s="82"/>
      <c r="DB127" s="82"/>
      <c r="DC127" s="82"/>
      <c r="DD127" s="82"/>
      <c r="DE127" s="82"/>
      <c r="DF127" s="82"/>
      <c r="DG127" s="82"/>
      <c r="DH127" s="82"/>
      <c r="DI127" s="82"/>
      <c r="DJ127" s="82"/>
      <c r="DK127" s="82"/>
      <c r="DL127" s="82">
        <v>20</v>
      </c>
      <c r="DM127" s="82"/>
      <c r="DN127" s="82"/>
      <c r="DO127" s="82"/>
      <c r="DP127" s="82"/>
      <c r="DQ127" s="82"/>
      <c r="DR127" s="82"/>
      <c r="DS127" s="23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3"/>
      <c r="FG127" s="26"/>
      <c r="FH127" s="26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  <c r="GI127" s="26"/>
      <c r="GJ127" s="26"/>
      <c r="GK127" s="26"/>
      <c r="GL127" s="26"/>
      <c r="GM127" s="26"/>
      <c r="GN127" s="26"/>
      <c r="GO127" s="26"/>
      <c r="GP127" s="26"/>
      <c r="GQ127" s="26"/>
      <c r="GR127" s="26"/>
      <c r="GS127" s="23"/>
      <c r="GT127" s="26"/>
      <c r="GU127" s="26"/>
      <c r="GV127" s="26"/>
      <c r="GW127" s="26"/>
      <c r="GX127" s="26"/>
      <c r="GY127" s="26"/>
      <c r="GZ127" s="26"/>
      <c r="HA127" s="26"/>
      <c r="HB127" s="26"/>
      <c r="HC127" s="26"/>
      <c r="HD127" s="26"/>
      <c r="HE127" s="26"/>
      <c r="HF127" s="26"/>
      <c r="HG127" s="26"/>
      <c r="HH127" s="26"/>
      <c r="HI127" s="26"/>
      <c r="HJ127" s="26"/>
      <c r="HK127" s="26"/>
      <c r="HL127" s="26"/>
      <c r="HM127" s="26"/>
      <c r="HN127" s="26"/>
      <c r="HO127" s="26"/>
      <c r="HP127" s="26"/>
      <c r="HQ127" s="26"/>
      <c r="HR127" s="26"/>
      <c r="HS127" s="26"/>
      <c r="HT127" s="26"/>
      <c r="HU127" s="26"/>
      <c r="HV127" s="26"/>
      <c r="HW127" s="26"/>
      <c r="HX127" s="26"/>
      <c r="HY127" s="26"/>
      <c r="HZ127" s="26"/>
      <c r="IA127" s="26"/>
      <c r="IB127" s="26"/>
      <c r="IC127" s="26"/>
      <c r="ID127" s="26"/>
      <c r="IE127" s="26"/>
      <c r="IF127" s="23"/>
      <c r="IG127" s="26"/>
      <c r="IH127" s="26"/>
      <c r="II127" s="26"/>
      <c r="IJ127" s="26"/>
      <c r="IK127" s="26"/>
      <c r="IL127" s="26"/>
      <c r="IM127" s="26"/>
      <c r="IN127" s="26"/>
      <c r="IO127" s="26"/>
      <c r="IP127" s="26"/>
      <c r="IQ127" s="26"/>
      <c r="IR127" s="26"/>
      <c r="IS127" s="26"/>
      <c r="IT127" s="26"/>
      <c r="IU127" s="26"/>
      <c r="IV127" s="26"/>
      <c r="IW127" s="26"/>
      <c r="IX127" s="26"/>
      <c r="IY127" s="26"/>
      <c r="IZ127" s="26"/>
      <c r="JA127" s="26"/>
      <c r="JB127" s="26"/>
      <c r="JC127" s="26"/>
      <c r="JD127" s="26"/>
      <c r="JE127" s="26"/>
      <c r="JF127" s="26"/>
      <c r="JG127" s="26"/>
      <c r="JH127" s="26"/>
      <c r="JI127" s="26"/>
      <c r="JJ127" s="26"/>
      <c r="JK127" s="26"/>
      <c r="JL127" s="26"/>
      <c r="JM127" s="26"/>
      <c r="JN127" s="26"/>
      <c r="JO127" s="26"/>
      <c r="JP127" s="26"/>
      <c r="JQ127" s="26"/>
      <c r="JR127" s="26"/>
      <c r="JS127" s="23"/>
      <c r="JT127" s="26"/>
      <c r="JU127" s="26"/>
      <c r="JV127" s="26"/>
      <c r="JW127" s="26"/>
      <c r="JX127" s="26"/>
      <c r="JY127" s="26"/>
      <c r="JZ127" s="26"/>
      <c r="KA127" s="26"/>
      <c r="KB127" s="26"/>
      <c r="KC127" s="26"/>
      <c r="KD127" s="26"/>
      <c r="KE127" s="26"/>
      <c r="KF127" s="26"/>
      <c r="KG127" s="26"/>
      <c r="KH127" s="26"/>
      <c r="KI127" s="26"/>
      <c r="KJ127" s="26"/>
      <c r="KK127" s="26"/>
      <c r="KL127" s="26"/>
      <c r="KM127" s="26"/>
      <c r="KN127" s="26"/>
      <c r="KO127" s="26"/>
      <c r="KP127" s="26"/>
      <c r="KQ127" s="26"/>
      <c r="KR127" s="26"/>
      <c r="KS127" s="26"/>
      <c r="KT127" s="26"/>
      <c r="KU127" s="26"/>
      <c r="KV127" s="26"/>
      <c r="KW127" s="26"/>
      <c r="KX127" s="26"/>
      <c r="KY127" s="26"/>
      <c r="KZ127" s="26"/>
      <c r="LA127" s="26"/>
      <c r="LB127" s="26"/>
      <c r="LC127" s="26"/>
      <c r="LD127" s="26"/>
      <c r="LE127" s="26"/>
      <c r="LF127" s="23"/>
      <c r="LG127" s="26"/>
      <c r="LH127" s="26"/>
      <c r="LI127" s="26"/>
      <c r="LJ127" s="26"/>
      <c r="LK127" s="26"/>
      <c r="LL127" s="26"/>
      <c r="LM127" s="26"/>
      <c r="LN127" s="26"/>
      <c r="LO127" s="26"/>
      <c r="LP127" s="26"/>
      <c r="LQ127" s="26"/>
      <c r="LR127" s="26"/>
      <c r="LS127" s="26"/>
      <c r="LT127" s="26"/>
      <c r="LU127" s="26"/>
      <c r="LV127" s="26"/>
      <c r="LW127" s="26"/>
      <c r="LX127" s="26"/>
      <c r="LY127" s="26"/>
      <c r="LZ127" s="26"/>
      <c r="MA127" s="26"/>
      <c r="MB127" s="26"/>
      <c r="MC127" s="26"/>
      <c r="MD127" s="26"/>
      <c r="ME127" s="26"/>
      <c r="MF127" s="26"/>
      <c r="MG127" s="26"/>
      <c r="MH127" s="26"/>
      <c r="MI127" s="26"/>
      <c r="MJ127" s="26"/>
      <c r="MK127" s="26"/>
      <c r="ML127" s="26"/>
      <c r="MM127" s="26"/>
      <c r="MN127" s="26"/>
      <c r="MO127" s="26"/>
      <c r="MP127" s="26"/>
      <c r="MQ127" s="26"/>
      <c r="MR127" s="26"/>
      <c r="MS127" s="23"/>
      <c r="MT127" s="26"/>
      <c r="MU127" s="26"/>
      <c r="MV127" s="26"/>
      <c r="MW127" s="26"/>
      <c r="MX127" s="26"/>
      <c r="MY127" s="26"/>
      <c r="MZ127" s="26"/>
      <c r="NA127" s="26"/>
      <c r="NB127" s="26"/>
      <c r="NC127" s="26"/>
      <c r="ND127" s="26"/>
      <c r="NE127" s="26"/>
      <c r="NF127" s="26"/>
      <c r="NG127" s="26"/>
      <c r="NH127" s="26"/>
      <c r="NI127" s="26"/>
      <c r="NJ127" s="26"/>
      <c r="NK127" s="26"/>
      <c r="NL127" s="26"/>
      <c r="NM127" s="26"/>
      <c r="NN127" s="26"/>
      <c r="NO127" s="26"/>
      <c r="NP127" s="26"/>
      <c r="NQ127" s="26"/>
      <c r="NR127" s="26"/>
      <c r="NS127" s="26"/>
      <c r="NT127" s="26"/>
      <c r="NU127" s="26"/>
      <c r="NV127" s="26"/>
      <c r="NW127" s="26"/>
      <c r="NX127" s="26"/>
      <c r="NY127" s="26"/>
      <c r="NZ127" s="26"/>
      <c r="OA127" s="26"/>
      <c r="OB127" s="26"/>
      <c r="OC127" s="26"/>
      <c r="OD127" s="26"/>
      <c r="OE127" s="26"/>
      <c r="OF127" s="23"/>
      <c r="OG127" s="26"/>
      <c r="OH127" s="26"/>
      <c r="OI127" s="26"/>
      <c r="OJ127" s="26"/>
      <c r="OK127" s="26"/>
      <c r="OL127" s="26"/>
      <c r="OM127" s="26"/>
      <c r="ON127" s="26"/>
      <c r="OO127" s="26"/>
      <c r="OP127" s="26"/>
      <c r="OQ127" s="26"/>
      <c r="OR127" s="26"/>
      <c r="OS127" s="26"/>
      <c r="OT127" s="26"/>
      <c r="OU127" s="26"/>
      <c r="OV127" s="26"/>
      <c r="OW127" s="26"/>
      <c r="OX127" s="26"/>
      <c r="OY127" s="26"/>
      <c r="OZ127" s="26"/>
      <c r="PA127" s="26"/>
      <c r="PB127" s="26"/>
      <c r="PC127" s="26"/>
      <c r="PD127" s="26"/>
      <c r="PE127" s="26"/>
      <c r="PF127" s="26"/>
      <c r="PG127" s="26"/>
      <c r="PH127" s="26"/>
      <c r="PI127" s="26"/>
      <c r="PJ127" s="26"/>
      <c r="PK127" s="26"/>
      <c r="PL127" s="26"/>
      <c r="PM127" s="26"/>
      <c r="PN127" s="26"/>
      <c r="PO127" s="26"/>
      <c r="PP127" s="26"/>
      <c r="PQ127" s="26"/>
      <c r="PR127" s="26"/>
    </row>
    <row r="128" spans="1:434" x14ac:dyDescent="0.25">
      <c r="A128" s="24"/>
      <c r="B128" s="25" t="s">
        <v>195</v>
      </c>
      <c r="C128" s="24" t="s">
        <v>66</v>
      </c>
      <c r="D128" s="24" t="s">
        <v>76</v>
      </c>
      <c r="E128" s="24"/>
      <c r="F128" s="23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3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3"/>
      <c r="CG128" s="82"/>
      <c r="CH128" s="82"/>
      <c r="CI128" s="82"/>
      <c r="CJ128" s="82"/>
      <c r="CK128" s="82"/>
      <c r="CL128" s="82"/>
      <c r="CM128" s="82"/>
      <c r="CN128" s="82"/>
      <c r="CO128" s="82"/>
      <c r="CP128" s="82"/>
      <c r="CQ128" s="82"/>
      <c r="CR128" s="82"/>
      <c r="CS128" s="82"/>
      <c r="CT128" s="82"/>
      <c r="CU128" s="82"/>
      <c r="CV128" s="82"/>
      <c r="CW128" s="82"/>
      <c r="CX128" s="82"/>
      <c r="CY128" s="82"/>
      <c r="CZ128" s="82"/>
      <c r="DA128" s="82"/>
      <c r="DB128" s="82"/>
      <c r="DC128" s="82"/>
      <c r="DD128" s="82"/>
      <c r="DE128" s="82"/>
      <c r="DF128" s="82"/>
      <c r="DG128" s="82"/>
      <c r="DH128" s="82"/>
      <c r="DI128" s="82"/>
      <c r="DJ128" s="82"/>
      <c r="DK128" s="82"/>
      <c r="DL128" s="82"/>
      <c r="DM128" s="82"/>
      <c r="DN128" s="82"/>
      <c r="DO128" s="82"/>
      <c r="DP128" s="82"/>
      <c r="DQ128" s="82"/>
      <c r="DR128" s="82"/>
      <c r="DS128" s="23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3"/>
      <c r="FG128" s="26"/>
      <c r="FH128" s="26"/>
      <c r="FI128" s="26"/>
      <c r="FJ128" s="26"/>
      <c r="FK128" s="26"/>
      <c r="FL128" s="26"/>
      <c r="FM128" s="26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  <c r="GH128" s="26"/>
      <c r="GI128" s="26"/>
      <c r="GJ128" s="26"/>
      <c r="GK128" s="26"/>
      <c r="GL128" s="26"/>
      <c r="GM128" s="26"/>
      <c r="GN128" s="26"/>
      <c r="GO128" s="26"/>
      <c r="GP128" s="26"/>
      <c r="GQ128" s="26"/>
      <c r="GR128" s="26"/>
      <c r="GS128" s="23"/>
      <c r="GT128" s="26"/>
      <c r="GU128" s="26"/>
      <c r="GV128" s="26"/>
      <c r="GW128" s="26"/>
      <c r="GX128" s="26"/>
      <c r="GY128" s="26"/>
      <c r="GZ128" s="26"/>
      <c r="HA128" s="26"/>
      <c r="HB128" s="26"/>
      <c r="HC128" s="26"/>
      <c r="HD128" s="26"/>
      <c r="HE128" s="26"/>
      <c r="HF128" s="26"/>
      <c r="HG128" s="26"/>
      <c r="HH128" s="26"/>
      <c r="HI128" s="26"/>
      <c r="HJ128" s="26"/>
      <c r="HK128" s="26"/>
      <c r="HL128" s="26"/>
      <c r="HM128" s="26"/>
      <c r="HN128" s="26"/>
      <c r="HO128" s="26"/>
      <c r="HP128" s="26"/>
      <c r="HQ128" s="26"/>
      <c r="HR128" s="26"/>
      <c r="HS128" s="26"/>
      <c r="HT128" s="26"/>
      <c r="HU128" s="26"/>
      <c r="HV128" s="26"/>
      <c r="HW128" s="26"/>
      <c r="HX128" s="26"/>
      <c r="HY128" s="26"/>
      <c r="HZ128" s="26"/>
      <c r="IA128" s="26"/>
      <c r="IB128" s="26"/>
      <c r="IC128" s="26"/>
      <c r="ID128" s="26"/>
      <c r="IE128" s="26"/>
      <c r="IF128" s="23"/>
      <c r="IG128" s="26"/>
      <c r="IH128" s="26"/>
      <c r="II128" s="26"/>
      <c r="IJ128" s="26"/>
      <c r="IK128" s="26"/>
      <c r="IL128" s="26"/>
      <c r="IM128" s="26"/>
      <c r="IN128" s="26"/>
      <c r="IO128" s="26"/>
      <c r="IP128" s="26"/>
      <c r="IQ128" s="26"/>
      <c r="IR128" s="26"/>
      <c r="IS128" s="26"/>
      <c r="IT128" s="26"/>
      <c r="IU128" s="26"/>
      <c r="IV128" s="26"/>
      <c r="IW128" s="26"/>
      <c r="IX128" s="26"/>
      <c r="IY128" s="26"/>
      <c r="IZ128" s="26"/>
      <c r="JA128" s="26"/>
      <c r="JB128" s="26"/>
      <c r="JC128" s="26"/>
      <c r="JD128" s="26"/>
      <c r="JE128" s="26"/>
      <c r="JF128" s="26"/>
      <c r="JG128" s="26"/>
      <c r="JH128" s="26"/>
      <c r="JI128" s="26"/>
      <c r="JJ128" s="26"/>
      <c r="JK128" s="26"/>
      <c r="JL128" s="26"/>
      <c r="JM128" s="26"/>
      <c r="JN128" s="26"/>
      <c r="JO128" s="26"/>
      <c r="JP128" s="26"/>
      <c r="JQ128" s="26"/>
      <c r="JR128" s="26"/>
      <c r="JS128" s="23"/>
      <c r="JT128" s="26"/>
      <c r="JU128" s="26"/>
      <c r="JV128" s="26"/>
      <c r="JW128" s="26"/>
      <c r="JX128" s="26"/>
      <c r="JY128" s="26"/>
      <c r="JZ128" s="26"/>
      <c r="KA128" s="26"/>
      <c r="KB128" s="26"/>
      <c r="KC128" s="26"/>
      <c r="KD128" s="26"/>
      <c r="KE128" s="26"/>
      <c r="KF128" s="26"/>
      <c r="KG128" s="26"/>
      <c r="KH128" s="26"/>
      <c r="KI128" s="26"/>
      <c r="KJ128" s="26"/>
      <c r="KK128" s="26"/>
      <c r="KL128" s="26"/>
      <c r="KM128" s="26"/>
      <c r="KN128" s="26"/>
      <c r="KO128" s="26"/>
      <c r="KP128" s="26"/>
      <c r="KQ128" s="26"/>
      <c r="KR128" s="26"/>
      <c r="KS128" s="26"/>
      <c r="KT128" s="26"/>
      <c r="KU128" s="26"/>
      <c r="KV128" s="26"/>
      <c r="KW128" s="26"/>
      <c r="KX128" s="26"/>
      <c r="KY128" s="26"/>
      <c r="KZ128" s="26"/>
      <c r="LA128" s="26"/>
      <c r="LB128" s="26"/>
      <c r="LC128" s="26"/>
      <c r="LD128" s="26"/>
      <c r="LE128" s="26"/>
      <c r="LF128" s="23"/>
      <c r="LG128" s="26"/>
      <c r="LH128" s="26"/>
      <c r="LI128" s="26"/>
      <c r="LJ128" s="26"/>
      <c r="LK128" s="26"/>
      <c r="LL128" s="26"/>
      <c r="LM128" s="26"/>
      <c r="LN128" s="26"/>
      <c r="LO128" s="26"/>
      <c r="LP128" s="26"/>
      <c r="LQ128" s="26"/>
      <c r="LR128" s="26"/>
      <c r="LS128" s="26"/>
      <c r="LT128" s="26"/>
      <c r="LU128" s="26"/>
      <c r="LV128" s="26"/>
      <c r="LW128" s="26"/>
      <c r="LX128" s="26"/>
      <c r="LY128" s="26"/>
      <c r="LZ128" s="26"/>
      <c r="MA128" s="26"/>
      <c r="MB128" s="26"/>
      <c r="MC128" s="26"/>
      <c r="MD128" s="26"/>
      <c r="ME128" s="26"/>
      <c r="MF128" s="26"/>
      <c r="MG128" s="26"/>
      <c r="MH128" s="26"/>
      <c r="MI128" s="26"/>
      <c r="MJ128" s="26"/>
      <c r="MK128" s="26"/>
      <c r="ML128" s="26"/>
      <c r="MM128" s="26"/>
      <c r="MN128" s="26"/>
      <c r="MO128" s="26"/>
      <c r="MP128" s="26"/>
      <c r="MQ128" s="26"/>
      <c r="MR128" s="26"/>
      <c r="MS128" s="23"/>
      <c r="MT128" s="26"/>
      <c r="MU128" s="26"/>
      <c r="MV128" s="26"/>
      <c r="MW128" s="26"/>
      <c r="MX128" s="26"/>
      <c r="MY128" s="26"/>
      <c r="MZ128" s="26"/>
      <c r="NA128" s="26"/>
      <c r="NB128" s="26"/>
      <c r="NC128" s="26"/>
      <c r="ND128" s="26"/>
      <c r="NE128" s="26"/>
      <c r="NF128" s="26"/>
      <c r="NG128" s="26"/>
      <c r="NH128" s="26"/>
      <c r="NI128" s="26"/>
      <c r="NJ128" s="26"/>
      <c r="NK128" s="26"/>
      <c r="NL128" s="26"/>
      <c r="NM128" s="26"/>
      <c r="NN128" s="26"/>
      <c r="NO128" s="26"/>
      <c r="NP128" s="26"/>
      <c r="NQ128" s="26"/>
      <c r="NR128" s="26"/>
      <c r="NS128" s="26"/>
      <c r="NT128" s="26"/>
      <c r="NU128" s="26"/>
      <c r="NV128" s="26"/>
      <c r="NW128" s="26"/>
      <c r="NX128" s="26"/>
      <c r="NY128" s="26"/>
      <c r="NZ128" s="26"/>
      <c r="OA128" s="26"/>
      <c r="OB128" s="26"/>
      <c r="OC128" s="26"/>
      <c r="OD128" s="26"/>
      <c r="OE128" s="26"/>
      <c r="OF128" s="23"/>
      <c r="OG128" s="26"/>
      <c r="OH128" s="26"/>
      <c r="OI128" s="26"/>
      <c r="OJ128" s="26"/>
      <c r="OK128" s="26"/>
      <c r="OL128" s="26"/>
      <c r="OM128" s="26"/>
      <c r="ON128" s="26"/>
      <c r="OO128" s="26"/>
      <c r="OP128" s="26"/>
      <c r="OQ128" s="26"/>
      <c r="OR128" s="26"/>
      <c r="OS128" s="26"/>
      <c r="OT128" s="26"/>
      <c r="OU128" s="26"/>
      <c r="OV128" s="26"/>
      <c r="OW128" s="26"/>
      <c r="OX128" s="26"/>
      <c r="OY128" s="26"/>
      <c r="OZ128" s="26"/>
      <c r="PA128" s="26"/>
      <c r="PB128" s="26"/>
      <c r="PC128" s="26"/>
      <c r="PD128" s="26"/>
      <c r="PE128" s="26"/>
      <c r="PF128" s="26"/>
      <c r="PG128" s="26"/>
      <c r="PH128" s="26"/>
      <c r="PI128" s="26"/>
      <c r="PJ128" s="26"/>
      <c r="PK128" s="26"/>
      <c r="PL128" s="26"/>
      <c r="PM128" s="26"/>
      <c r="PN128" s="26"/>
      <c r="PO128" s="26"/>
      <c r="PP128" s="26"/>
      <c r="PQ128" s="26"/>
      <c r="PR128" s="26"/>
    </row>
    <row r="129" spans="1:434" x14ac:dyDescent="0.25">
      <c r="A129" s="24"/>
      <c r="B129" s="25" t="s">
        <v>196</v>
      </c>
      <c r="C129" s="24" t="s">
        <v>66</v>
      </c>
      <c r="D129" s="24" t="s">
        <v>76</v>
      </c>
      <c r="E129" s="24"/>
      <c r="F129" s="23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3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3"/>
      <c r="CG129" s="82"/>
      <c r="CH129" s="82"/>
      <c r="CI129" s="82"/>
      <c r="CJ129" s="82"/>
      <c r="CK129" s="82"/>
      <c r="CL129" s="82"/>
      <c r="CM129" s="82"/>
      <c r="CN129" s="82"/>
      <c r="CO129" s="82"/>
      <c r="CP129" s="82"/>
      <c r="CQ129" s="82"/>
      <c r="CR129" s="82"/>
      <c r="CS129" s="82"/>
      <c r="CT129" s="82"/>
      <c r="CU129" s="82"/>
      <c r="CV129" s="82"/>
      <c r="CW129" s="82"/>
      <c r="CX129" s="82"/>
      <c r="CY129" s="82"/>
      <c r="CZ129" s="82"/>
      <c r="DA129" s="82"/>
      <c r="DB129" s="82"/>
      <c r="DC129" s="82"/>
      <c r="DD129" s="82"/>
      <c r="DE129" s="82"/>
      <c r="DF129" s="82"/>
      <c r="DG129" s="82"/>
      <c r="DH129" s="82"/>
      <c r="DI129" s="82"/>
      <c r="DJ129" s="82"/>
      <c r="DK129" s="82"/>
      <c r="DL129" s="82"/>
      <c r="DM129" s="82"/>
      <c r="DN129" s="82"/>
      <c r="DO129" s="82"/>
      <c r="DP129" s="82"/>
      <c r="DQ129" s="82"/>
      <c r="DR129" s="82"/>
      <c r="DS129" s="23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3"/>
      <c r="FG129" s="26"/>
      <c r="FH129" s="26"/>
      <c r="FI129" s="26"/>
      <c r="FJ129" s="26"/>
      <c r="FK129" s="26"/>
      <c r="FL129" s="26"/>
      <c r="FM129" s="26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  <c r="GI129" s="26"/>
      <c r="GJ129" s="26"/>
      <c r="GK129" s="26"/>
      <c r="GL129" s="26"/>
      <c r="GM129" s="26"/>
      <c r="GN129" s="26"/>
      <c r="GO129" s="26"/>
      <c r="GP129" s="26"/>
      <c r="GQ129" s="26"/>
      <c r="GR129" s="26"/>
      <c r="GS129" s="23"/>
      <c r="GT129" s="26"/>
      <c r="GU129" s="26"/>
      <c r="GV129" s="26"/>
      <c r="GW129" s="26"/>
      <c r="GX129" s="26"/>
      <c r="GY129" s="26"/>
      <c r="GZ129" s="26"/>
      <c r="HA129" s="26"/>
      <c r="HB129" s="26"/>
      <c r="HC129" s="26"/>
      <c r="HD129" s="26"/>
      <c r="HE129" s="26"/>
      <c r="HF129" s="26"/>
      <c r="HG129" s="26"/>
      <c r="HH129" s="26"/>
      <c r="HI129" s="26"/>
      <c r="HJ129" s="26"/>
      <c r="HK129" s="26"/>
      <c r="HL129" s="26"/>
      <c r="HM129" s="26"/>
      <c r="HN129" s="26"/>
      <c r="HO129" s="26"/>
      <c r="HP129" s="26"/>
      <c r="HQ129" s="26"/>
      <c r="HR129" s="26"/>
      <c r="HS129" s="26"/>
      <c r="HT129" s="26"/>
      <c r="HU129" s="26"/>
      <c r="HV129" s="26"/>
      <c r="HW129" s="26"/>
      <c r="HX129" s="26"/>
      <c r="HY129" s="26"/>
      <c r="HZ129" s="26"/>
      <c r="IA129" s="26"/>
      <c r="IB129" s="26"/>
      <c r="IC129" s="26"/>
      <c r="ID129" s="26"/>
      <c r="IE129" s="26"/>
      <c r="IF129" s="23"/>
      <c r="IG129" s="26"/>
      <c r="IH129" s="26"/>
      <c r="II129" s="26"/>
      <c r="IJ129" s="26"/>
      <c r="IK129" s="26"/>
      <c r="IL129" s="26"/>
      <c r="IM129" s="26"/>
      <c r="IN129" s="26"/>
      <c r="IO129" s="26"/>
      <c r="IP129" s="26"/>
      <c r="IQ129" s="26"/>
      <c r="IR129" s="26"/>
      <c r="IS129" s="26"/>
      <c r="IT129" s="26"/>
      <c r="IU129" s="26"/>
      <c r="IV129" s="26"/>
      <c r="IW129" s="26"/>
      <c r="IX129" s="26"/>
      <c r="IY129" s="26"/>
      <c r="IZ129" s="26"/>
      <c r="JA129" s="26"/>
      <c r="JB129" s="26"/>
      <c r="JC129" s="26"/>
      <c r="JD129" s="26"/>
      <c r="JE129" s="26"/>
      <c r="JF129" s="26"/>
      <c r="JG129" s="26"/>
      <c r="JH129" s="26"/>
      <c r="JI129" s="26"/>
      <c r="JJ129" s="26"/>
      <c r="JK129" s="26"/>
      <c r="JL129" s="26"/>
      <c r="JM129" s="26"/>
      <c r="JN129" s="26"/>
      <c r="JO129" s="26"/>
      <c r="JP129" s="26"/>
      <c r="JQ129" s="26"/>
      <c r="JR129" s="26"/>
      <c r="JS129" s="23"/>
      <c r="JT129" s="26"/>
      <c r="JU129" s="26"/>
      <c r="JV129" s="26"/>
      <c r="JW129" s="26"/>
      <c r="JX129" s="26"/>
      <c r="JY129" s="26"/>
      <c r="JZ129" s="26"/>
      <c r="KA129" s="26"/>
      <c r="KB129" s="26"/>
      <c r="KC129" s="26"/>
      <c r="KD129" s="26"/>
      <c r="KE129" s="26"/>
      <c r="KF129" s="26"/>
      <c r="KG129" s="26"/>
      <c r="KH129" s="26"/>
      <c r="KI129" s="26"/>
      <c r="KJ129" s="26"/>
      <c r="KK129" s="26"/>
      <c r="KL129" s="26"/>
      <c r="KM129" s="26"/>
      <c r="KN129" s="26"/>
      <c r="KO129" s="26"/>
      <c r="KP129" s="26"/>
      <c r="KQ129" s="26"/>
      <c r="KR129" s="26"/>
      <c r="KS129" s="26"/>
      <c r="KT129" s="26"/>
      <c r="KU129" s="26"/>
      <c r="KV129" s="26"/>
      <c r="KW129" s="26"/>
      <c r="KX129" s="26"/>
      <c r="KY129" s="26"/>
      <c r="KZ129" s="26"/>
      <c r="LA129" s="26"/>
      <c r="LB129" s="26"/>
      <c r="LC129" s="26"/>
      <c r="LD129" s="26"/>
      <c r="LE129" s="26"/>
      <c r="LF129" s="23"/>
      <c r="LG129" s="26"/>
      <c r="LH129" s="26"/>
      <c r="LI129" s="26"/>
      <c r="LJ129" s="26"/>
      <c r="LK129" s="26"/>
      <c r="LL129" s="26"/>
      <c r="LM129" s="26"/>
      <c r="LN129" s="26"/>
      <c r="LO129" s="26"/>
      <c r="LP129" s="26"/>
      <c r="LQ129" s="26"/>
      <c r="LR129" s="26"/>
      <c r="LS129" s="26"/>
      <c r="LT129" s="26"/>
      <c r="LU129" s="26"/>
      <c r="LV129" s="26"/>
      <c r="LW129" s="26"/>
      <c r="LX129" s="26"/>
      <c r="LY129" s="26"/>
      <c r="LZ129" s="26"/>
      <c r="MA129" s="26"/>
      <c r="MB129" s="26"/>
      <c r="MC129" s="26"/>
      <c r="MD129" s="26"/>
      <c r="ME129" s="26"/>
      <c r="MF129" s="26"/>
      <c r="MG129" s="26"/>
      <c r="MH129" s="26"/>
      <c r="MI129" s="26"/>
      <c r="MJ129" s="26"/>
      <c r="MK129" s="26"/>
      <c r="ML129" s="26"/>
      <c r="MM129" s="26"/>
      <c r="MN129" s="26"/>
      <c r="MO129" s="26"/>
      <c r="MP129" s="26"/>
      <c r="MQ129" s="26"/>
      <c r="MR129" s="26"/>
      <c r="MS129" s="23"/>
      <c r="MT129" s="26"/>
      <c r="MU129" s="26"/>
      <c r="MV129" s="26"/>
      <c r="MW129" s="26"/>
      <c r="MX129" s="26"/>
      <c r="MY129" s="26"/>
      <c r="MZ129" s="26"/>
      <c r="NA129" s="26"/>
      <c r="NB129" s="26"/>
      <c r="NC129" s="26"/>
      <c r="ND129" s="26"/>
      <c r="NE129" s="26"/>
      <c r="NF129" s="26"/>
      <c r="NG129" s="26"/>
      <c r="NH129" s="26"/>
      <c r="NI129" s="26"/>
      <c r="NJ129" s="26"/>
      <c r="NK129" s="26"/>
      <c r="NL129" s="26"/>
      <c r="NM129" s="26"/>
      <c r="NN129" s="26"/>
      <c r="NO129" s="26"/>
      <c r="NP129" s="26"/>
      <c r="NQ129" s="26"/>
      <c r="NR129" s="26"/>
      <c r="NS129" s="26"/>
      <c r="NT129" s="26"/>
      <c r="NU129" s="26"/>
      <c r="NV129" s="26"/>
      <c r="NW129" s="26"/>
      <c r="NX129" s="26"/>
      <c r="NY129" s="26"/>
      <c r="NZ129" s="26"/>
      <c r="OA129" s="26"/>
      <c r="OB129" s="26"/>
      <c r="OC129" s="26"/>
      <c r="OD129" s="26"/>
      <c r="OE129" s="26"/>
      <c r="OF129" s="23"/>
      <c r="OG129" s="26"/>
      <c r="OH129" s="26"/>
      <c r="OI129" s="26"/>
      <c r="OJ129" s="26"/>
      <c r="OK129" s="26"/>
      <c r="OL129" s="26"/>
      <c r="OM129" s="26"/>
      <c r="ON129" s="26"/>
      <c r="OO129" s="26"/>
      <c r="OP129" s="26"/>
      <c r="OQ129" s="26"/>
      <c r="OR129" s="26"/>
      <c r="OS129" s="26"/>
      <c r="OT129" s="26"/>
      <c r="OU129" s="26"/>
      <c r="OV129" s="26"/>
      <c r="OW129" s="26"/>
      <c r="OX129" s="26"/>
      <c r="OY129" s="26"/>
      <c r="OZ129" s="26"/>
      <c r="PA129" s="26"/>
      <c r="PB129" s="26"/>
      <c r="PC129" s="26"/>
      <c r="PD129" s="26"/>
      <c r="PE129" s="26"/>
      <c r="PF129" s="26"/>
      <c r="PG129" s="26"/>
      <c r="PH129" s="26"/>
      <c r="PI129" s="26"/>
      <c r="PJ129" s="26"/>
      <c r="PK129" s="26"/>
      <c r="PL129" s="26"/>
      <c r="PM129" s="26"/>
      <c r="PN129" s="26"/>
      <c r="PO129" s="26"/>
      <c r="PP129" s="26"/>
      <c r="PQ129" s="26"/>
      <c r="PR129" s="26"/>
    </row>
    <row r="130" spans="1:434" ht="25.5" x14ac:dyDescent="0.25">
      <c r="A130" s="24"/>
      <c r="B130" s="25" t="s">
        <v>197</v>
      </c>
      <c r="C130" s="24" t="s">
        <v>66</v>
      </c>
      <c r="D130" s="24" t="s">
        <v>73</v>
      </c>
      <c r="E130" s="24"/>
      <c r="F130" s="23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3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3"/>
      <c r="CG130" s="82"/>
      <c r="CH130" s="82"/>
      <c r="CI130" s="82"/>
      <c r="CJ130" s="82"/>
      <c r="CK130" s="82"/>
      <c r="CL130" s="82"/>
      <c r="CM130" s="82"/>
      <c r="CN130" s="82"/>
      <c r="CO130" s="82"/>
      <c r="CP130" s="82"/>
      <c r="CQ130" s="82"/>
      <c r="CR130" s="82"/>
      <c r="CS130" s="82"/>
      <c r="CT130" s="82"/>
      <c r="CU130" s="82"/>
      <c r="CV130" s="82"/>
      <c r="CW130" s="82"/>
      <c r="CX130" s="82"/>
      <c r="CY130" s="82"/>
      <c r="CZ130" s="82"/>
      <c r="DA130" s="82"/>
      <c r="DB130" s="82"/>
      <c r="DC130" s="82"/>
      <c r="DD130" s="82"/>
      <c r="DE130" s="82"/>
      <c r="DF130" s="82"/>
      <c r="DG130" s="82"/>
      <c r="DH130" s="82"/>
      <c r="DI130" s="82"/>
      <c r="DJ130" s="82"/>
      <c r="DK130" s="82"/>
      <c r="DL130" s="82"/>
      <c r="DM130" s="82"/>
      <c r="DN130" s="82"/>
      <c r="DO130" s="82"/>
      <c r="DP130" s="82"/>
      <c r="DQ130" s="82"/>
      <c r="DR130" s="82"/>
      <c r="DS130" s="23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3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  <c r="GI130" s="26"/>
      <c r="GJ130" s="26"/>
      <c r="GK130" s="26"/>
      <c r="GL130" s="26"/>
      <c r="GM130" s="26"/>
      <c r="GN130" s="26"/>
      <c r="GO130" s="26"/>
      <c r="GP130" s="26"/>
      <c r="GQ130" s="26"/>
      <c r="GR130" s="26"/>
      <c r="GS130" s="23"/>
      <c r="GT130" s="26"/>
      <c r="GU130" s="26"/>
      <c r="GV130" s="26"/>
      <c r="GW130" s="26"/>
      <c r="GX130" s="26"/>
      <c r="GY130" s="26"/>
      <c r="GZ130" s="26"/>
      <c r="HA130" s="26"/>
      <c r="HB130" s="26"/>
      <c r="HC130" s="26"/>
      <c r="HD130" s="26"/>
      <c r="HE130" s="26"/>
      <c r="HF130" s="26"/>
      <c r="HG130" s="26"/>
      <c r="HH130" s="26"/>
      <c r="HI130" s="26"/>
      <c r="HJ130" s="26"/>
      <c r="HK130" s="26"/>
      <c r="HL130" s="26"/>
      <c r="HM130" s="26"/>
      <c r="HN130" s="26"/>
      <c r="HO130" s="26"/>
      <c r="HP130" s="26"/>
      <c r="HQ130" s="26"/>
      <c r="HR130" s="26"/>
      <c r="HS130" s="26"/>
      <c r="HT130" s="26"/>
      <c r="HU130" s="26"/>
      <c r="HV130" s="26"/>
      <c r="HW130" s="26"/>
      <c r="HX130" s="26"/>
      <c r="HY130" s="26"/>
      <c r="HZ130" s="26"/>
      <c r="IA130" s="26"/>
      <c r="IB130" s="26"/>
      <c r="IC130" s="26"/>
      <c r="ID130" s="26"/>
      <c r="IE130" s="26"/>
      <c r="IF130" s="23"/>
      <c r="IG130" s="26"/>
      <c r="IH130" s="26"/>
      <c r="II130" s="26"/>
      <c r="IJ130" s="26"/>
      <c r="IK130" s="26"/>
      <c r="IL130" s="26"/>
      <c r="IM130" s="26"/>
      <c r="IN130" s="26"/>
      <c r="IO130" s="26"/>
      <c r="IP130" s="26"/>
      <c r="IQ130" s="26"/>
      <c r="IR130" s="26"/>
      <c r="IS130" s="26"/>
      <c r="IT130" s="26"/>
      <c r="IU130" s="26"/>
      <c r="IV130" s="26"/>
      <c r="IW130" s="26"/>
      <c r="IX130" s="26"/>
      <c r="IY130" s="26"/>
      <c r="IZ130" s="26"/>
      <c r="JA130" s="26"/>
      <c r="JB130" s="26"/>
      <c r="JC130" s="26"/>
      <c r="JD130" s="26"/>
      <c r="JE130" s="26"/>
      <c r="JF130" s="26"/>
      <c r="JG130" s="26"/>
      <c r="JH130" s="26"/>
      <c r="JI130" s="26"/>
      <c r="JJ130" s="26"/>
      <c r="JK130" s="26"/>
      <c r="JL130" s="26"/>
      <c r="JM130" s="26"/>
      <c r="JN130" s="26"/>
      <c r="JO130" s="26"/>
      <c r="JP130" s="26"/>
      <c r="JQ130" s="26"/>
      <c r="JR130" s="26"/>
      <c r="JS130" s="23"/>
      <c r="JT130" s="26"/>
      <c r="JU130" s="26"/>
      <c r="JV130" s="26"/>
      <c r="JW130" s="26"/>
      <c r="JX130" s="26"/>
      <c r="JY130" s="26"/>
      <c r="JZ130" s="26"/>
      <c r="KA130" s="26"/>
      <c r="KB130" s="26"/>
      <c r="KC130" s="26"/>
      <c r="KD130" s="26"/>
      <c r="KE130" s="26"/>
      <c r="KF130" s="26"/>
      <c r="KG130" s="26"/>
      <c r="KH130" s="26"/>
      <c r="KI130" s="26"/>
      <c r="KJ130" s="26"/>
      <c r="KK130" s="26"/>
      <c r="KL130" s="26"/>
      <c r="KM130" s="26"/>
      <c r="KN130" s="26"/>
      <c r="KO130" s="26"/>
      <c r="KP130" s="26"/>
      <c r="KQ130" s="26"/>
      <c r="KR130" s="26"/>
      <c r="KS130" s="26"/>
      <c r="KT130" s="26"/>
      <c r="KU130" s="26"/>
      <c r="KV130" s="26"/>
      <c r="KW130" s="26"/>
      <c r="KX130" s="26"/>
      <c r="KY130" s="26"/>
      <c r="KZ130" s="26"/>
      <c r="LA130" s="26"/>
      <c r="LB130" s="26"/>
      <c r="LC130" s="26"/>
      <c r="LD130" s="26"/>
      <c r="LE130" s="26"/>
      <c r="LF130" s="23"/>
      <c r="LG130" s="26"/>
      <c r="LH130" s="26"/>
      <c r="LI130" s="26"/>
      <c r="LJ130" s="26"/>
      <c r="LK130" s="26"/>
      <c r="LL130" s="26"/>
      <c r="LM130" s="26"/>
      <c r="LN130" s="26"/>
      <c r="LO130" s="26"/>
      <c r="LP130" s="26"/>
      <c r="LQ130" s="26"/>
      <c r="LR130" s="26"/>
      <c r="LS130" s="26"/>
      <c r="LT130" s="26"/>
      <c r="LU130" s="26"/>
      <c r="LV130" s="26"/>
      <c r="LW130" s="26"/>
      <c r="LX130" s="26"/>
      <c r="LY130" s="26"/>
      <c r="LZ130" s="26"/>
      <c r="MA130" s="26"/>
      <c r="MB130" s="26"/>
      <c r="MC130" s="26"/>
      <c r="MD130" s="26"/>
      <c r="ME130" s="26"/>
      <c r="MF130" s="26"/>
      <c r="MG130" s="26"/>
      <c r="MH130" s="26"/>
      <c r="MI130" s="26"/>
      <c r="MJ130" s="26"/>
      <c r="MK130" s="26"/>
      <c r="ML130" s="26"/>
      <c r="MM130" s="26"/>
      <c r="MN130" s="26"/>
      <c r="MO130" s="26"/>
      <c r="MP130" s="26"/>
      <c r="MQ130" s="26"/>
      <c r="MR130" s="26"/>
      <c r="MS130" s="23"/>
      <c r="MT130" s="26"/>
      <c r="MU130" s="26"/>
      <c r="MV130" s="26"/>
      <c r="MW130" s="26"/>
      <c r="MX130" s="26"/>
      <c r="MY130" s="26"/>
      <c r="MZ130" s="26"/>
      <c r="NA130" s="26"/>
      <c r="NB130" s="26"/>
      <c r="NC130" s="26"/>
      <c r="ND130" s="26"/>
      <c r="NE130" s="26"/>
      <c r="NF130" s="26"/>
      <c r="NG130" s="26"/>
      <c r="NH130" s="26"/>
      <c r="NI130" s="26"/>
      <c r="NJ130" s="26"/>
      <c r="NK130" s="26"/>
      <c r="NL130" s="26"/>
      <c r="NM130" s="26"/>
      <c r="NN130" s="26"/>
      <c r="NO130" s="26"/>
      <c r="NP130" s="26"/>
      <c r="NQ130" s="26"/>
      <c r="NR130" s="26"/>
      <c r="NS130" s="26"/>
      <c r="NT130" s="26"/>
      <c r="NU130" s="26"/>
      <c r="NV130" s="26"/>
      <c r="NW130" s="26"/>
      <c r="NX130" s="26"/>
      <c r="NY130" s="26"/>
      <c r="NZ130" s="26"/>
      <c r="OA130" s="26"/>
      <c r="OB130" s="26"/>
      <c r="OC130" s="26"/>
      <c r="OD130" s="26"/>
      <c r="OE130" s="26"/>
      <c r="OF130" s="23"/>
      <c r="OG130" s="26"/>
      <c r="OH130" s="26"/>
      <c r="OI130" s="26"/>
      <c r="OJ130" s="26"/>
      <c r="OK130" s="26"/>
      <c r="OL130" s="26"/>
      <c r="OM130" s="26"/>
      <c r="ON130" s="26"/>
      <c r="OO130" s="26"/>
      <c r="OP130" s="26"/>
      <c r="OQ130" s="26"/>
      <c r="OR130" s="26"/>
      <c r="OS130" s="26"/>
      <c r="OT130" s="26"/>
      <c r="OU130" s="26"/>
      <c r="OV130" s="26"/>
      <c r="OW130" s="26"/>
      <c r="OX130" s="26"/>
      <c r="OY130" s="26"/>
      <c r="OZ130" s="26"/>
      <c r="PA130" s="26"/>
      <c r="PB130" s="26"/>
      <c r="PC130" s="26"/>
      <c r="PD130" s="26"/>
      <c r="PE130" s="26"/>
      <c r="PF130" s="26"/>
      <c r="PG130" s="26"/>
      <c r="PH130" s="26"/>
      <c r="PI130" s="26"/>
      <c r="PJ130" s="26"/>
      <c r="PK130" s="26"/>
      <c r="PL130" s="26"/>
      <c r="PM130" s="26"/>
      <c r="PN130" s="26"/>
      <c r="PO130" s="26"/>
      <c r="PP130" s="26"/>
      <c r="PQ130" s="26"/>
      <c r="PR130" s="26"/>
    </row>
    <row r="131" spans="1:434" x14ac:dyDescent="0.25">
      <c r="A131" s="24"/>
      <c r="B131" s="25" t="s">
        <v>198</v>
      </c>
      <c r="C131" s="24" t="s">
        <v>70</v>
      </c>
      <c r="D131" s="24" t="s">
        <v>67</v>
      </c>
      <c r="E131" s="24"/>
      <c r="F131" s="23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3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3"/>
      <c r="CG131" s="82"/>
      <c r="CH131" s="82"/>
      <c r="CI131" s="82"/>
      <c r="CJ131" s="82"/>
      <c r="CK131" s="82"/>
      <c r="CL131" s="82"/>
      <c r="CM131" s="82"/>
      <c r="CN131" s="82"/>
      <c r="CO131" s="82"/>
      <c r="CP131" s="82"/>
      <c r="CQ131" s="82"/>
      <c r="CR131" s="82"/>
      <c r="CS131" s="82"/>
      <c r="CT131" s="82"/>
      <c r="CU131" s="82"/>
      <c r="CV131" s="82"/>
      <c r="CW131" s="82"/>
      <c r="CX131" s="82"/>
      <c r="CY131" s="82"/>
      <c r="CZ131" s="82"/>
      <c r="DA131" s="82"/>
      <c r="DB131" s="82"/>
      <c r="DC131" s="82"/>
      <c r="DD131" s="82"/>
      <c r="DE131" s="82"/>
      <c r="DF131" s="82"/>
      <c r="DG131" s="82"/>
      <c r="DH131" s="82"/>
      <c r="DI131" s="82"/>
      <c r="DJ131" s="82"/>
      <c r="DK131" s="82"/>
      <c r="DL131" s="82"/>
      <c r="DM131" s="82"/>
      <c r="DN131" s="82"/>
      <c r="DO131" s="82"/>
      <c r="DP131" s="82"/>
      <c r="DQ131" s="82"/>
      <c r="DR131" s="82"/>
      <c r="DS131" s="23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  <c r="EY131" s="26"/>
      <c r="EZ131" s="26"/>
      <c r="FA131" s="26"/>
      <c r="FB131" s="26"/>
      <c r="FC131" s="26"/>
      <c r="FD131" s="26"/>
      <c r="FE131" s="26"/>
      <c r="FF131" s="23"/>
      <c r="FG131" s="26"/>
      <c r="FH131" s="26"/>
      <c r="FI131" s="26"/>
      <c r="FJ131" s="26"/>
      <c r="FK131" s="26"/>
      <c r="FL131" s="26"/>
      <c r="FM131" s="26"/>
      <c r="FN131" s="26"/>
      <c r="FO131" s="26"/>
      <c r="FP131" s="26"/>
      <c r="FQ131" s="26"/>
      <c r="FR131" s="26"/>
      <c r="FS131" s="26"/>
      <c r="FT131" s="26"/>
      <c r="FU131" s="26"/>
      <c r="FV131" s="26"/>
      <c r="FW131" s="26"/>
      <c r="FX131" s="26"/>
      <c r="FY131" s="26"/>
      <c r="FZ131" s="26"/>
      <c r="GA131" s="26"/>
      <c r="GB131" s="26"/>
      <c r="GC131" s="26"/>
      <c r="GD131" s="26"/>
      <c r="GE131" s="26"/>
      <c r="GF131" s="26"/>
      <c r="GG131" s="26"/>
      <c r="GH131" s="26"/>
      <c r="GI131" s="26"/>
      <c r="GJ131" s="26"/>
      <c r="GK131" s="26"/>
      <c r="GL131" s="26"/>
      <c r="GM131" s="26"/>
      <c r="GN131" s="26"/>
      <c r="GO131" s="26"/>
      <c r="GP131" s="26"/>
      <c r="GQ131" s="26"/>
      <c r="GR131" s="26"/>
      <c r="GS131" s="23"/>
      <c r="GT131" s="26"/>
      <c r="GU131" s="26"/>
      <c r="GV131" s="26"/>
      <c r="GW131" s="26"/>
      <c r="GX131" s="26"/>
      <c r="GY131" s="26"/>
      <c r="GZ131" s="26"/>
      <c r="HA131" s="26"/>
      <c r="HB131" s="26"/>
      <c r="HC131" s="26"/>
      <c r="HD131" s="26"/>
      <c r="HE131" s="26"/>
      <c r="HF131" s="26"/>
      <c r="HG131" s="26"/>
      <c r="HH131" s="26"/>
      <c r="HI131" s="26"/>
      <c r="HJ131" s="26"/>
      <c r="HK131" s="26"/>
      <c r="HL131" s="26"/>
      <c r="HM131" s="26"/>
      <c r="HN131" s="26"/>
      <c r="HO131" s="26"/>
      <c r="HP131" s="26"/>
      <c r="HQ131" s="26"/>
      <c r="HR131" s="26"/>
      <c r="HS131" s="26"/>
      <c r="HT131" s="26"/>
      <c r="HU131" s="26"/>
      <c r="HV131" s="26"/>
      <c r="HW131" s="26"/>
      <c r="HX131" s="26"/>
      <c r="HY131" s="26"/>
      <c r="HZ131" s="26"/>
      <c r="IA131" s="26"/>
      <c r="IB131" s="26"/>
      <c r="IC131" s="26"/>
      <c r="ID131" s="26"/>
      <c r="IE131" s="26"/>
      <c r="IF131" s="23"/>
      <c r="IG131" s="26"/>
      <c r="IH131" s="26"/>
      <c r="II131" s="26"/>
      <c r="IJ131" s="26"/>
      <c r="IK131" s="26"/>
      <c r="IL131" s="26"/>
      <c r="IM131" s="26"/>
      <c r="IN131" s="26"/>
      <c r="IO131" s="26"/>
      <c r="IP131" s="26"/>
      <c r="IQ131" s="26"/>
      <c r="IR131" s="26"/>
      <c r="IS131" s="26"/>
      <c r="IT131" s="26"/>
      <c r="IU131" s="26"/>
      <c r="IV131" s="26"/>
      <c r="IW131" s="26"/>
      <c r="IX131" s="26"/>
      <c r="IY131" s="26"/>
      <c r="IZ131" s="26"/>
      <c r="JA131" s="26"/>
      <c r="JB131" s="26"/>
      <c r="JC131" s="26"/>
      <c r="JD131" s="26"/>
      <c r="JE131" s="26"/>
      <c r="JF131" s="26"/>
      <c r="JG131" s="26"/>
      <c r="JH131" s="26"/>
      <c r="JI131" s="26"/>
      <c r="JJ131" s="26"/>
      <c r="JK131" s="26"/>
      <c r="JL131" s="26"/>
      <c r="JM131" s="26"/>
      <c r="JN131" s="26"/>
      <c r="JO131" s="26"/>
      <c r="JP131" s="26"/>
      <c r="JQ131" s="26"/>
      <c r="JR131" s="26"/>
      <c r="JS131" s="23"/>
      <c r="JT131" s="26"/>
      <c r="JU131" s="26"/>
      <c r="JV131" s="26"/>
      <c r="JW131" s="26"/>
      <c r="JX131" s="26"/>
      <c r="JY131" s="26"/>
      <c r="JZ131" s="26"/>
      <c r="KA131" s="26"/>
      <c r="KB131" s="26"/>
      <c r="KC131" s="26"/>
      <c r="KD131" s="26"/>
      <c r="KE131" s="26"/>
      <c r="KF131" s="26"/>
      <c r="KG131" s="26"/>
      <c r="KH131" s="26"/>
      <c r="KI131" s="26"/>
      <c r="KJ131" s="26"/>
      <c r="KK131" s="26"/>
      <c r="KL131" s="26"/>
      <c r="KM131" s="26"/>
      <c r="KN131" s="26"/>
      <c r="KO131" s="26"/>
      <c r="KP131" s="26"/>
      <c r="KQ131" s="26"/>
      <c r="KR131" s="26"/>
      <c r="KS131" s="26"/>
      <c r="KT131" s="26"/>
      <c r="KU131" s="26"/>
      <c r="KV131" s="26"/>
      <c r="KW131" s="26"/>
      <c r="KX131" s="26"/>
      <c r="KY131" s="26"/>
      <c r="KZ131" s="26"/>
      <c r="LA131" s="26"/>
      <c r="LB131" s="26"/>
      <c r="LC131" s="26"/>
      <c r="LD131" s="26"/>
      <c r="LE131" s="26"/>
      <c r="LF131" s="23"/>
      <c r="LG131" s="26"/>
      <c r="LH131" s="26"/>
      <c r="LI131" s="26"/>
      <c r="LJ131" s="26"/>
      <c r="LK131" s="26"/>
      <c r="LL131" s="26"/>
      <c r="LM131" s="26"/>
      <c r="LN131" s="26"/>
      <c r="LO131" s="26"/>
      <c r="LP131" s="26"/>
      <c r="LQ131" s="26"/>
      <c r="LR131" s="26"/>
      <c r="LS131" s="26"/>
      <c r="LT131" s="26"/>
      <c r="LU131" s="26"/>
      <c r="LV131" s="26"/>
      <c r="LW131" s="26"/>
      <c r="LX131" s="26"/>
      <c r="LY131" s="26"/>
      <c r="LZ131" s="26"/>
      <c r="MA131" s="26"/>
      <c r="MB131" s="26"/>
      <c r="MC131" s="26"/>
      <c r="MD131" s="26"/>
      <c r="ME131" s="26"/>
      <c r="MF131" s="26"/>
      <c r="MG131" s="26"/>
      <c r="MH131" s="26"/>
      <c r="MI131" s="26"/>
      <c r="MJ131" s="26"/>
      <c r="MK131" s="26"/>
      <c r="ML131" s="26"/>
      <c r="MM131" s="26"/>
      <c r="MN131" s="26"/>
      <c r="MO131" s="26"/>
      <c r="MP131" s="26"/>
      <c r="MQ131" s="26"/>
      <c r="MR131" s="26"/>
      <c r="MS131" s="23"/>
      <c r="MT131" s="26"/>
      <c r="MU131" s="26"/>
      <c r="MV131" s="26"/>
      <c r="MW131" s="26"/>
      <c r="MX131" s="26"/>
      <c r="MY131" s="26"/>
      <c r="MZ131" s="26"/>
      <c r="NA131" s="26"/>
      <c r="NB131" s="26"/>
      <c r="NC131" s="26"/>
      <c r="ND131" s="26"/>
      <c r="NE131" s="26"/>
      <c r="NF131" s="26"/>
      <c r="NG131" s="26"/>
      <c r="NH131" s="26"/>
      <c r="NI131" s="26"/>
      <c r="NJ131" s="26"/>
      <c r="NK131" s="26"/>
      <c r="NL131" s="26"/>
      <c r="NM131" s="26"/>
      <c r="NN131" s="26"/>
      <c r="NO131" s="26"/>
      <c r="NP131" s="26"/>
      <c r="NQ131" s="26"/>
      <c r="NR131" s="26"/>
      <c r="NS131" s="26"/>
      <c r="NT131" s="26"/>
      <c r="NU131" s="26"/>
      <c r="NV131" s="26"/>
      <c r="NW131" s="26"/>
      <c r="NX131" s="26"/>
      <c r="NY131" s="26"/>
      <c r="NZ131" s="26"/>
      <c r="OA131" s="26"/>
      <c r="OB131" s="26"/>
      <c r="OC131" s="26"/>
      <c r="OD131" s="26"/>
      <c r="OE131" s="26"/>
      <c r="OF131" s="23"/>
      <c r="OG131" s="26"/>
      <c r="OH131" s="26"/>
      <c r="OI131" s="26"/>
      <c r="OJ131" s="26"/>
      <c r="OK131" s="26"/>
      <c r="OL131" s="26"/>
      <c r="OM131" s="26"/>
      <c r="ON131" s="26"/>
      <c r="OO131" s="26"/>
      <c r="OP131" s="26"/>
      <c r="OQ131" s="26"/>
      <c r="OR131" s="26"/>
      <c r="OS131" s="26"/>
      <c r="OT131" s="26"/>
      <c r="OU131" s="26"/>
      <c r="OV131" s="26"/>
      <c r="OW131" s="26"/>
      <c r="OX131" s="26"/>
      <c r="OY131" s="26"/>
      <c r="OZ131" s="26"/>
      <c r="PA131" s="26"/>
      <c r="PB131" s="26"/>
      <c r="PC131" s="26"/>
      <c r="PD131" s="26"/>
      <c r="PE131" s="26"/>
      <c r="PF131" s="26"/>
      <c r="PG131" s="26"/>
      <c r="PH131" s="26"/>
      <c r="PI131" s="26"/>
      <c r="PJ131" s="26"/>
      <c r="PK131" s="26"/>
      <c r="PL131" s="26"/>
      <c r="PM131" s="26"/>
      <c r="PN131" s="26"/>
      <c r="PO131" s="26"/>
      <c r="PP131" s="26"/>
      <c r="PQ131" s="26"/>
      <c r="PR131" s="26"/>
    </row>
    <row r="132" spans="1:434" x14ac:dyDescent="0.25">
      <c r="A132" s="24"/>
      <c r="B132" s="25" t="s">
        <v>199</v>
      </c>
      <c r="C132" s="24" t="s">
        <v>70</v>
      </c>
      <c r="D132" s="24" t="s">
        <v>67</v>
      </c>
      <c r="E132" s="24"/>
      <c r="F132" s="23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3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3"/>
      <c r="CG132" s="82"/>
      <c r="CH132" s="82"/>
      <c r="CI132" s="82"/>
      <c r="CJ132" s="82"/>
      <c r="CK132" s="82"/>
      <c r="CL132" s="82"/>
      <c r="CM132" s="82"/>
      <c r="CN132" s="82"/>
      <c r="CO132" s="82"/>
      <c r="CP132" s="82"/>
      <c r="CQ132" s="82"/>
      <c r="CR132" s="82"/>
      <c r="CS132" s="82"/>
      <c r="CT132" s="82"/>
      <c r="CU132" s="82"/>
      <c r="CV132" s="82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  <c r="DK132" s="82"/>
      <c r="DL132" s="82"/>
      <c r="DM132" s="82"/>
      <c r="DN132" s="82"/>
      <c r="DO132" s="82"/>
      <c r="DP132" s="82"/>
      <c r="DQ132" s="82"/>
      <c r="DR132" s="82"/>
      <c r="DS132" s="23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3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  <c r="FU132" s="26"/>
      <c r="FV132" s="26"/>
      <c r="FW132" s="26"/>
      <c r="FX132" s="26"/>
      <c r="FY132" s="26"/>
      <c r="FZ132" s="26"/>
      <c r="GA132" s="26"/>
      <c r="GB132" s="26"/>
      <c r="GC132" s="26"/>
      <c r="GD132" s="26"/>
      <c r="GE132" s="26"/>
      <c r="GF132" s="26"/>
      <c r="GG132" s="26"/>
      <c r="GH132" s="26"/>
      <c r="GI132" s="26"/>
      <c r="GJ132" s="26"/>
      <c r="GK132" s="26"/>
      <c r="GL132" s="26"/>
      <c r="GM132" s="26"/>
      <c r="GN132" s="26"/>
      <c r="GO132" s="26"/>
      <c r="GP132" s="26"/>
      <c r="GQ132" s="26"/>
      <c r="GR132" s="26"/>
      <c r="GS132" s="23"/>
      <c r="GT132" s="26"/>
      <c r="GU132" s="26"/>
      <c r="GV132" s="26"/>
      <c r="GW132" s="26"/>
      <c r="GX132" s="26"/>
      <c r="GY132" s="26"/>
      <c r="GZ132" s="26"/>
      <c r="HA132" s="26"/>
      <c r="HB132" s="26"/>
      <c r="HC132" s="26"/>
      <c r="HD132" s="26"/>
      <c r="HE132" s="26"/>
      <c r="HF132" s="26"/>
      <c r="HG132" s="26"/>
      <c r="HH132" s="26"/>
      <c r="HI132" s="26"/>
      <c r="HJ132" s="26"/>
      <c r="HK132" s="26"/>
      <c r="HL132" s="26"/>
      <c r="HM132" s="26"/>
      <c r="HN132" s="26"/>
      <c r="HO132" s="26"/>
      <c r="HP132" s="26"/>
      <c r="HQ132" s="26"/>
      <c r="HR132" s="26"/>
      <c r="HS132" s="26"/>
      <c r="HT132" s="26"/>
      <c r="HU132" s="26"/>
      <c r="HV132" s="26"/>
      <c r="HW132" s="26"/>
      <c r="HX132" s="26"/>
      <c r="HY132" s="26"/>
      <c r="HZ132" s="26"/>
      <c r="IA132" s="26"/>
      <c r="IB132" s="26"/>
      <c r="IC132" s="26"/>
      <c r="ID132" s="26"/>
      <c r="IE132" s="26"/>
      <c r="IF132" s="23"/>
      <c r="IG132" s="26"/>
      <c r="IH132" s="26"/>
      <c r="II132" s="26"/>
      <c r="IJ132" s="26"/>
      <c r="IK132" s="26"/>
      <c r="IL132" s="26"/>
      <c r="IM132" s="26"/>
      <c r="IN132" s="26"/>
      <c r="IO132" s="26"/>
      <c r="IP132" s="26"/>
      <c r="IQ132" s="26"/>
      <c r="IR132" s="26"/>
      <c r="IS132" s="26"/>
      <c r="IT132" s="26"/>
      <c r="IU132" s="26"/>
      <c r="IV132" s="26"/>
      <c r="IW132" s="26"/>
      <c r="IX132" s="26"/>
      <c r="IY132" s="26"/>
      <c r="IZ132" s="26"/>
      <c r="JA132" s="26"/>
      <c r="JB132" s="26"/>
      <c r="JC132" s="26"/>
      <c r="JD132" s="26"/>
      <c r="JE132" s="26"/>
      <c r="JF132" s="26"/>
      <c r="JG132" s="26"/>
      <c r="JH132" s="26"/>
      <c r="JI132" s="26"/>
      <c r="JJ132" s="26"/>
      <c r="JK132" s="26"/>
      <c r="JL132" s="26"/>
      <c r="JM132" s="26"/>
      <c r="JN132" s="26"/>
      <c r="JO132" s="26"/>
      <c r="JP132" s="26"/>
      <c r="JQ132" s="26"/>
      <c r="JR132" s="26"/>
      <c r="JS132" s="23"/>
      <c r="JT132" s="26"/>
      <c r="JU132" s="26"/>
      <c r="JV132" s="26"/>
      <c r="JW132" s="26"/>
      <c r="JX132" s="26"/>
      <c r="JY132" s="26"/>
      <c r="JZ132" s="26"/>
      <c r="KA132" s="26"/>
      <c r="KB132" s="26"/>
      <c r="KC132" s="26"/>
      <c r="KD132" s="26"/>
      <c r="KE132" s="26"/>
      <c r="KF132" s="26"/>
      <c r="KG132" s="26"/>
      <c r="KH132" s="26"/>
      <c r="KI132" s="26"/>
      <c r="KJ132" s="26"/>
      <c r="KK132" s="26"/>
      <c r="KL132" s="26"/>
      <c r="KM132" s="26"/>
      <c r="KN132" s="26"/>
      <c r="KO132" s="26"/>
      <c r="KP132" s="26"/>
      <c r="KQ132" s="26"/>
      <c r="KR132" s="26"/>
      <c r="KS132" s="26"/>
      <c r="KT132" s="26"/>
      <c r="KU132" s="26"/>
      <c r="KV132" s="26"/>
      <c r="KW132" s="26"/>
      <c r="KX132" s="26"/>
      <c r="KY132" s="26"/>
      <c r="KZ132" s="26"/>
      <c r="LA132" s="26"/>
      <c r="LB132" s="26"/>
      <c r="LC132" s="26"/>
      <c r="LD132" s="26"/>
      <c r="LE132" s="26"/>
      <c r="LF132" s="23"/>
      <c r="LG132" s="26"/>
      <c r="LH132" s="26"/>
      <c r="LI132" s="26"/>
      <c r="LJ132" s="26"/>
      <c r="LK132" s="26"/>
      <c r="LL132" s="26"/>
      <c r="LM132" s="26"/>
      <c r="LN132" s="26"/>
      <c r="LO132" s="26"/>
      <c r="LP132" s="26"/>
      <c r="LQ132" s="26"/>
      <c r="LR132" s="26"/>
      <c r="LS132" s="26"/>
      <c r="LT132" s="26"/>
      <c r="LU132" s="26"/>
      <c r="LV132" s="26"/>
      <c r="LW132" s="26"/>
      <c r="LX132" s="26"/>
      <c r="LY132" s="26"/>
      <c r="LZ132" s="26"/>
      <c r="MA132" s="26"/>
      <c r="MB132" s="26"/>
      <c r="MC132" s="26"/>
      <c r="MD132" s="26"/>
      <c r="ME132" s="26"/>
      <c r="MF132" s="26"/>
      <c r="MG132" s="26"/>
      <c r="MH132" s="26"/>
      <c r="MI132" s="26"/>
      <c r="MJ132" s="26"/>
      <c r="MK132" s="26"/>
      <c r="ML132" s="26"/>
      <c r="MM132" s="26"/>
      <c r="MN132" s="26"/>
      <c r="MO132" s="26"/>
      <c r="MP132" s="26"/>
      <c r="MQ132" s="26"/>
      <c r="MR132" s="26"/>
      <c r="MS132" s="23"/>
      <c r="MT132" s="26"/>
      <c r="MU132" s="26"/>
      <c r="MV132" s="26"/>
      <c r="MW132" s="26"/>
      <c r="MX132" s="26"/>
      <c r="MY132" s="26"/>
      <c r="MZ132" s="26"/>
      <c r="NA132" s="26"/>
      <c r="NB132" s="26"/>
      <c r="NC132" s="26"/>
      <c r="ND132" s="26"/>
      <c r="NE132" s="26"/>
      <c r="NF132" s="26"/>
      <c r="NG132" s="26"/>
      <c r="NH132" s="26"/>
      <c r="NI132" s="26"/>
      <c r="NJ132" s="26"/>
      <c r="NK132" s="26"/>
      <c r="NL132" s="26"/>
      <c r="NM132" s="26"/>
      <c r="NN132" s="26"/>
      <c r="NO132" s="26"/>
      <c r="NP132" s="26"/>
      <c r="NQ132" s="26"/>
      <c r="NR132" s="26"/>
      <c r="NS132" s="26"/>
      <c r="NT132" s="26"/>
      <c r="NU132" s="26"/>
      <c r="NV132" s="26"/>
      <c r="NW132" s="26"/>
      <c r="NX132" s="26"/>
      <c r="NY132" s="26"/>
      <c r="NZ132" s="26"/>
      <c r="OA132" s="26"/>
      <c r="OB132" s="26"/>
      <c r="OC132" s="26"/>
      <c r="OD132" s="26"/>
      <c r="OE132" s="26"/>
      <c r="OF132" s="23"/>
      <c r="OG132" s="26"/>
      <c r="OH132" s="26"/>
      <c r="OI132" s="26"/>
      <c r="OJ132" s="26"/>
      <c r="OK132" s="26"/>
      <c r="OL132" s="26"/>
      <c r="OM132" s="26"/>
      <c r="ON132" s="26"/>
      <c r="OO132" s="26"/>
      <c r="OP132" s="26"/>
      <c r="OQ132" s="26"/>
      <c r="OR132" s="26"/>
      <c r="OS132" s="26"/>
      <c r="OT132" s="26"/>
      <c r="OU132" s="26"/>
      <c r="OV132" s="26"/>
      <c r="OW132" s="26"/>
      <c r="OX132" s="26"/>
      <c r="OY132" s="26"/>
      <c r="OZ132" s="26"/>
      <c r="PA132" s="26"/>
      <c r="PB132" s="26"/>
      <c r="PC132" s="26"/>
      <c r="PD132" s="26"/>
      <c r="PE132" s="26"/>
      <c r="PF132" s="26"/>
      <c r="PG132" s="26"/>
      <c r="PH132" s="26"/>
      <c r="PI132" s="26"/>
      <c r="PJ132" s="26"/>
      <c r="PK132" s="26"/>
      <c r="PL132" s="26"/>
      <c r="PM132" s="26"/>
      <c r="PN132" s="26"/>
      <c r="PO132" s="26"/>
      <c r="PP132" s="26"/>
      <c r="PQ132" s="26"/>
      <c r="PR132" s="26"/>
    </row>
    <row r="133" spans="1:434" x14ac:dyDescent="0.25">
      <c r="A133" s="24"/>
      <c r="B133" s="25" t="s">
        <v>200</v>
      </c>
      <c r="C133" s="24" t="s">
        <v>81</v>
      </c>
      <c r="D133" s="24" t="s">
        <v>76</v>
      </c>
      <c r="E133" s="24"/>
      <c r="F133" s="23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3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3"/>
      <c r="CG133" s="82"/>
      <c r="CH133" s="82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82"/>
      <c r="CU133" s="82"/>
      <c r="CV133" s="82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  <c r="DK133" s="82"/>
      <c r="DL133" s="82"/>
      <c r="DM133" s="82"/>
      <c r="DN133" s="82"/>
      <c r="DO133" s="82"/>
      <c r="DP133" s="82"/>
      <c r="DQ133" s="82"/>
      <c r="DR133" s="82"/>
      <c r="DS133" s="23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  <c r="EP133" s="26"/>
      <c r="EQ133" s="26"/>
      <c r="ER133" s="26"/>
      <c r="ES133" s="26"/>
      <c r="ET133" s="26"/>
      <c r="EU133" s="26"/>
      <c r="EV133" s="26"/>
      <c r="EW133" s="26"/>
      <c r="EX133" s="26"/>
      <c r="EY133" s="26"/>
      <c r="EZ133" s="26"/>
      <c r="FA133" s="26"/>
      <c r="FB133" s="26"/>
      <c r="FC133" s="26"/>
      <c r="FD133" s="26"/>
      <c r="FE133" s="26"/>
      <c r="FF133" s="23"/>
      <c r="FG133" s="26"/>
      <c r="FH133" s="26"/>
      <c r="FI133" s="26"/>
      <c r="FJ133" s="26"/>
      <c r="FK133" s="26"/>
      <c r="FL133" s="26"/>
      <c r="FM133" s="26"/>
      <c r="FN133" s="26"/>
      <c r="FO133" s="26"/>
      <c r="FP133" s="26"/>
      <c r="FQ133" s="26"/>
      <c r="FR133" s="26"/>
      <c r="FS133" s="26"/>
      <c r="FT133" s="26"/>
      <c r="FU133" s="26"/>
      <c r="FV133" s="26"/>
      <c r="FW133" s="26"/>
      <c r="FX133" s="26"/>
      <c r="FY133" s="26"/>
      <c r="FZ133" s="26"/>
      <c r="GA133" s="26"/>
      <c r="GB133" s="26"/>
      <c r="GC133" s="26"/>
      <c r="GD133" s="26"/>
      <c r="GE133" s="26"/>
      <c r="GF133" s="26"/>
      <c r="GG133" s="26"/>
      <c r="GH133" s="26"/>
      <c r="GI133" s="26"/>
      <c r="GJ133" s="26"/>
      <c r="GK133" s="26"/>
      <c r="GL133" s="26"/>
      <c r="GM133" s="26"/>
      <c r="GN133" s="26"/>
      <c r="GO133" s="26"/>
      <c r="GP133" s="26"/>
      <c r="GQ133" s="26"/>
      <c r="GR133" s="26"/>
      <c r="GS133" s="23"/>
      <c r="GT133" s="26"/>
      <c r="GU133" s="26"/>
      <c r="GV133" s="26"/>
      <c r="GW133" s="26"/>
      <c r="GX133" s="26"/>
      <c r="GY133" s="26"/>
      <c r="GZ133" s="26"/>
      <c r="HA133" s="26"/>
      <c r="HB133" s="26"/>
      <c r="HC133" s="26"/>
      <c r="HD133" s="26"/>
      <c r="HE133" s="26"/>
      <c r="HF133" s="26"/>
      <c r="HG133" s="26"/>
      <c r="HH133" s="26"/>
      <c r="HI133" s="26"/>
      <c r="HJ133" s="26"/>
      <c r="HK133" s="26"/>
      <c r="HL133" s="26"/>
      <c r="HM133" s="26"/>
      <c r="HN133" s="26"/>
      <c r="HO133" s="26"/>
      <c r="HP133" s="26"/>
      <c r="HQ133" s="26"/>
      <c r="HR133" s="26"/>
      <c r="HS133" s="26"/>
      <c r="HT133" s="26"/>
      <c r="HU133" s="26"/>
      <c r="HV133" s="26"/>
      <c r="HW133" s="26"/>
      <c r="HX133" s="26"/>
      <c r="HY133" s="26"/>
      <c r="HZ133" s="26"/>
      <c r="IA133" s="26"/>
      <c r="IB133" s="26"/>
      <c r="IC133" s="26"/>
      <c r="ID133" s="26"/>
      <c r="IE133" s="26"/>
      <c r="IF133" s="23"/>
      <c r="IG133" s="26"/>
      <c r="IH133" s="26"/>
      <c r="II133" s="26"/>
      <c r="IJ133" s="26"/>
      <c r="IK133" s="26"/>
      <c r="IL133" s="26"/>
      <c r="IM133" s="26"/>
      <c r="IN133" s="26"/>
      <c r="IO133" s="26"/>
      <c r="IP133" s="26"/>
      <c r="IQ133" s="26"/>
      <c r="IR133" s="26"/>
      <c r="IS133" s="26"/>
      <c r="IT133" s="26"/>
      <c r="IU133" s="26"/>
      <c r="IV133" s="26"/>
      <c r="IW133" s="26"/>
      <c r="IX133" s="26"/>
      <c r="IY133" s="26"/>
      <c r="IZ133" s="26"/>
      <c r="JA133" s="26"/>
      <c r="JB133" s="26"/>
      <c r="JC133" s="26"/>
      <c r="JD133" s="26"/>
      <c r="JE133" s="26"/>
      <c r="JF133" s="26"/>
      <c r="JG133" s="26"/>
      <c r="JH133" s="26"/>
      <c r="JI133" s="26"/>
      <c r="JJ133" s="26"/>
      <c r="JK133" s="26"/>
      <c r="JL133" s="26"/>
      <c r="JM133" s="26"/>
      <c r="JN133" s="26"/>
      <c r="JO133" s="26"/>
      <c r="JP133" s="26"/>
      <c r="JQ133" s="26"/>
      <c r="JR133" s="26"/>
      <c r="JS133" s="23"/>
      <c r="JT133" s="26"/>
      <c r="JU133" s="26"/>
      <c r="JV133" s="26"/>
      <c r="JW133" s="26"/>
      <c r="JX133" s="26"/>
      <c r="JY133" s="26"/>
      <c r="JZ133" s="26"/>
      <c r="KA133" s="26"/>
      <c r="KB133" s="26"/>
      <c r="KC133" s="26"/>
      <c r="KD133" s="26"/>
      <c r="KE133" s="26"/>
      <c r="KF133" s="26"/>
      <c r="KG133" s="26"/>
      <c r="KH133" s="26"/>
      <c r="KI133" s="26"/>
      <c r="KJ133" s="26"/>
      <c r="KK133" s="26"/>
      <c r="KL133" s="26"/>
      <c r="KM133" s="26"/>
      <c r="KN133" s="26"/>
      <c r="KO133" s="26"/>
      <c r="KP133" s="26"/>
      <c r="KQ133" s="26"/>
      <c r="KR133" s="26"/>
      <c r="KS133" s="26"/>
      <c r="KT133" s="26"/>
      <c r="KU133" s="26"/>
      <c r="KV133" s="26"/>
      <c r="KW133" s="26"/>
      <c r="KX133" s="26"/>
      <c r="KY133" s="26"/>
      <c r="KZ133" s="26"/>
      <c r="LA133" s="26"/>
      <c r="LB133" s="26"/>
      <c r="LC133" s="26"/>
      <c r="LD133" s="26"/>
      <c r="LE133" s="26"/>
      <c r="LF133" s="23"/>
      <c r="LG133" s="26"/>
      <c r="LH133" s="26"/>
      <c r="LI133" s="26"/>
      <c r="LJ133" s="26"/>
      <c r="LK133" s="26"/>
      <c r="LL133" s="26"/>
      <c r="LM133" s="26"/>
      <c r="LN133" s="26"/>
      <c r="LO133" s="26"/>
      <c r="LP133" s="26"/>
      <c r="LQ133" s="26"/>
      <c r="LR133" s="26"/>
      <c r="LS133" s="26"/>
      <c r="LT133" s="26"/>
      <c r="LU133" s="26"/>
      <c r="LV133" s="26"/>
      <c r="LW133" s="26"/>
      <c r="LX133" s="26"/>
      <c r="LY133" s="26"/>
      <c r="LZ133" s="26"/>
      <c r="MA133" s="26"/>
      <c r="MB133" s="26"/>
      <c r="MC133" s="26"/>
      <c r="MD133" s="26"/>
      <c r="ME133" s="26"/>
      <c r="MF133" s="26"/>
      <c r="MG133" s="26"/>
      <c r="MH133" s="26"/>
      <c r="MI133" s="26"/>
      <c r="MJ133" s="26"/>
      <c r="MK133" s="26"/>
      <c r="ML133" s="26"/>
      <c r="MM133" s="26"/>
      <c r="MN133" s="26"/>
      <c r="MO133" s="26"/>
      <c r="MP133" s="26"/>
      <c r="MQ133" s="26"/>
      <c r="MR133" s="26"/>
      <c r="MS133" s="23"/>
      <c r="MT133" s="26"/>
      <c r="MU133" s="26"/>
      <c r="MV133" s="26"/>
      <c r="MW133" s="26"/>
      <c r="MX133" s="26"/>
      <c r="MY133" s="26"/>
      <c r="MZ133" s="26"/>
      <c r="NA133" s="26"/>
      <c r="NB133" s="26"/>
      <c r="NC133" s="26"/>
      <c r="ND133" s="26"/>
      <c r="NE133" s="26"/>
      <c r="NF133" s="26"/>
      <c r="NG133" s="26"/>
      <c r="NH133" s="26"/>
      <c r="NI133" s="26"/>
      <c r="NJ133" s="26"/>
      <c r="NK133" s="26"/>
      <c r="NL133" s="26"/>
      <c r="NM133" s="26"/>
      <c r="NN133" s="26"/>
      <c r="NO133" s="26"/>
      <c r="NP133" s="26"/>
      <c r="NQ133" s="26"/>
      <c r="NR133" s="26"/>
      <c r="NS133" s="26"/>
      <c r="NT133" s="26"/>
      <c r="NU133" s="26"/>
      <c r="NV133" s="26"/>
      <c r="NW133" s="26"/>
      <c r="NX133" s="26"/>
      <c r="NY133" s="26"/>
      <c r="NZ133" s="26"/>
      <c r="OA133" s="26"/>
      <c r="OB133" s="26"/>
      <c r="OC133" s="26"/>
      <c r="OD133" s="26"/>
      <c r="OE133" s="26"/>
      <c r="OF133" s="23"/>
      <c r="OG133" s="26"/>
      <c r="OH133" s="26"/>
      <c r="OI133" s="26"/>
      <c r="OJ133" s="26"/>
      <c r="OK133" s="26"/>
      <c r="OL133" s="26"/>
      <c r="OM133" s="26"/>
      <c r="ON133" s="26"/>
      <c r="OO133" s="26"/>
      <c r="OP133" s="26"/>
      <c r="OQ133" s="26"/>
      <c r="OR133" s="26"/>
      <c r="OS133" s="26"/>
      <c r="OT133" s="26"/>
      <c r="OU133" s="26"/>
      <c r="OV133" s="26"/>
      <c r="OW133" s="26"/>
      <c r="OX133" s="26"/>
      <c r="OY133" s="26"/>
      <c r="OZ133" s="26"/>
      <c r="PA133" s="26"/>
      <c r="PB133" s="26"/>
      <c r="PC133" s="26"/>
      <c r="PD133" s="26"/>
      <c r="PE133" s="26"/>
      <c r="PF133" s="26"/>
      <c r="PG133" s="26"/>
      <c r="PH133" s="26"/>
      <c r="PI133" s="26"/>
      <c r="PJ133" s="26"/>
      <c r="PK133" s="26"/>
      <c r="PL133" s="26"/>
      <c r="PM133" s="26"/>
      <c r="PN133" s="26"/>
      <c r="PO133" s="26"/>
      <c r="PP133" s="26"/>
      <c r="PQ133" s="26"/>
      <c r="PR133" s="26"/>
    </row>
    <row r="134" spans="1:434" x14ac:dyDescent="0.25">
      <c r="A134" s="24"/>
      <c r="B134" s="25" t="s">
        <v>201</v>
      </c>
      <c r="C134" s="24" t="s">
        <v>70</v>
      </c>
      <c r="D134" s="24" t="s">
        <v>76</v>
      </c>
      <c r="E134" s="24"/>
      <c r="F134" s="23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3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3"/>
      <c r="CG134" s="82"/>
      <c r="CH134" s="82"/>
      <c r="CI134" s="82"/>
      <c r="CJ134" s="82"/>
      <c r="CK134" s="82"/>
      <c r="CL134" s="82"/>
      <c r="CM134" s="82"/>
      <c r="CN134" s="82"/>
      <c r="CO134" s="82"/>
      <c r="CP134" s="82"/>
      <c r="CQ134" s="82"/>
      <c r="CR134" s="82"/>
      <c r="CS134" s="82"/>
      <c r="CT134" s="82"/>
      <c r="CU134" s="82"/>
      <c r="CV134" s="82"/>
      <c r="CW134" s="82"/>
      <c r="CX134" s="82"/>
      <c r="CY134" s="82"/>
      <c r="CZ134" s="82"/>
      <c r="DA134" s="82"/>
      <c r="DB134" s="82"/>
      <c r="DC134" s="82"/>
      <c r="DD134" s="82"/>
      <c r="DE134" s="82"/>
      <c r="DF134" s="82"/>
      <c r="DG134" s="82"/>
      <c r="DH134" s="82"/>
      <c r="DI134" s="82"/>
      <c r="DJ134" s="82"/>
      <c r="DK134" s="82"/>
      <c r="DL134" s="82">
        <v>20</v>
      </c>
      <c r="DM134" s="82"/>
      <c r="DN134" s="82"/>
      <c r="DO134" s="82"/>
      <c r="DP134" s="82"/>
      <c r="DQ134" s="82"/>
      <c r="DR134" s="82"/>
      <c r="DS134" s="23"/>
      <c r="DT134" s="26"/>
      <c r="DU134" s="26"/>
      <c r="DV134" s="26"/>
      <c r="DW134" s="26"/>
      <c r="DX134" s="26"/>
      <c r="DY134" s="26"/>
      <c r="DZ134" s="26"/>
      <c r="EA134" s="26"/>
      <c r="EB134" s="26"/>
      <c r="EC134" s="26"/>
      <c r="ED134" s="26"/>
      <c r="EE134" s="26"/>
      <c r="EF134" s="26"/>
      <c r="EG134" s="26"/>
      <c r="EH134" s="26"/>
      <c r="EI134" s="26"/>
      <c r="EJ134" s="26"/>
      <c r="EK134" s="26"/>
      <c r="EL134" s="26"/>
      <c r="EM134" s="26"/>
      <c r="EN134" s="26"/>
      <c r="EO134" s="26"/>
      <c r="EP134" s="26"/>
      <c r="EQ134" s="26"/>
      <c r="ER134" s="26"/>
      <c r="ES134" s="26"/>
      <c r="ET134" s="26"/>
      <c r="EU134" s="26"/>
      <c r="EV134" s="26"/>
      <c r="EW134" s="26"/>
      <c r="EX134" s="26"/>
      <c r="EY134" s="26"/>
      <c r="EZ134" s="26"/>
      <c r="FA134" s="26"/>
      <c r="FB134" s="26"/>
      <c r="FC134" s="26"/>
      <c r="FD134" s="26"/>
      <c r="FE134" s="26"/>
      <c r="FF134" s="23"/>
      <c r="FG134" s="26"/>
      <c r="FH134" s="26"/>
      <c r="FI134" s="26"/>
      <c r="FJ134" s="26"/>
      <c r="FK134" s="26"/>
      <c r="FL134" s="26"/>
      <c r="FM134" s="26"/>
      <c r="FN134" s="26"/>
      <c r="FO134" s="26"/>
      <c r="FP134" s="26"/>
      <c r="FQ134" s="26"/>
      <c r="FR134" s="26"/>
      <c r="FS134" s="26"/>
      <c r="FT134" s="26"/>
      <c r="FU134" s="26"/>
      <c r="FV134" s="26"/>
      <c r="FW134" s="26"/>
      <c r="FX134" s="26"/>
      <c r="FY134" s="26"/>
      <c r="FZ134" s="26"/>
      <c r="GA134" s="26"/>
      <c r="GB134" s="26"/>
      <c r="GC134" s="26"/>
      <c r="GD134" s="26"/>
      <c r="GE134" s="26"/>
      <c r="GF134" s="26"/>
      <c r="GG134" s="26"/>
      <c r="GH134" s="26"/>
      <c r="GI134" s="26"/>
      <c r="GJ134" s="26"/>
      <c r="GK134" s="26"/>
      <c r="GL134" s="26"/>
      <c r="GM134" s="26"/>
      <c r="GN134" s="26"/>
      <c r="GO134" s="26"/>
      <c r="GP134" s="26"/>
      <c r="GQ134" s="26"/>
      <c r="GR134" s="26"/>
      <c r="GS134" s="23"/>
      <c r="GT134" s="26"/>
      <c r="GU134" s="26"/>
      <c r="GV134" s="26"/>
      <c r="GW134" s="26"/>
      <c r="GX134" s="26"/>
      <c r="GY134" s="26"/>
      <c r="GZ134" s="26"/>
      <c r="HA134" s="26"/>
      <c r="HB134" s="26"/>
      <c r="HC134" s="26"/>
      <c r="HD134" s="26"/>
      <c r="HE134" s="26"/>
      <c r="HF134" s="26"/>
      <c r="HG134" s="26"/>
      <c r="HH134" s="26"/>
      <c r="HI134" s="26"/>
      <c r="HJ134" s="26"/>
      <c r="HK134" s="26"/>
      <c r="HL134" s="26"/>
      <c r="HM134" s="26"/>
      <c r="HN134" s="26"/>
      <c r="HO134" s="26"/>
      <c r="HP134" s="26"/>
      <c r="HQ134" s="26"/>
      <c r="HR134" s="26"/>
      <c r="HS134" s="26"/>
      <c r="HT134" s="26"/>
      <c r="HU134" s="26"/>
      <c r="HV134" s="26"/>
      <c r="HW134" s="26"/>
      <c r="HX134" s="26"/>
      <c r="HY134" s="26"/>
      <c r="HZ134" s="26"/>
      <c r="IA134" s="26"/>
      <c r="IB134" s="26"/>
      <c r="IC134" s="26"/>
      <c r="ID134" s="26"/>
      <c r="IE134" s="26"/>
      <c r="IF134" s="23"/>
      <c r="IG134" s="26"/>
      <c r="IH134" s="26"/>
      <c r="II134" s="26"/>
      <c r="IJ134" s="26"/>
      <c r="IK134" s="26"/>
      <c r="IL134" s="26"/>
      <c r="IM134" s="26"/>
      <c r="IN134" s="26"/>
      <c r="IO134" s="26"/>
      <c r="IP134" s="26"/>
      <c r="IQ134" s="26"/>
      <c r="IR134" s="26"/>
      <c r="IS134" s="26"/>
      <c r="IT134" s="26"/>
      <c r="IU134" s="26"/>
      <c r="IV134" s="26"/>
      <c r="IW134" s="26"/>
      <c r="IX134" s="26"/>
      <c r="IY134" s="26"/>
      <c r="IZ134" s="26"/>
      <c r="JA134" s="26"/>
      <c r="JB134" s="26"/>
      <c r="JC134" s="26"/>
      <c r="JD134" s="26"/>
      <c r="JE134" s="26"/>
      <c r="JF134" s="26"/>
      <c r="JG134" s="26"/>
      <c r="JH134" s="26"/>
      <c r="JI134" s="26"/>
      <c r="JJ134" s="26"/>
      <c r="JK134" s="26"/>
      <c r="JL134" s="26"/>
      <c r="JM134" s="26"/>
      <c r="JN134" s="26"/>
      <c r="JO134" s="26"/>
      <c r="JP134" s="26"/>
      <c r="JQ134" s="26"/>
      <c r="JR134" s="26"/>
      <c r="JS134" s="23"/>
      <c r="JT134" s="26"/>
      <c r="JU134" s="26"/>
      <c r="JV134" s="26"/>
      <c r="JW134" s="26"/>
      <c r="JX134" s="26"/>
      <c r="JY134" s="26"/>
      <c r="JZ134" s="26"/>
      <c r="KA134" s="26"/>
      <c r="KB134" s="26"/>
      <c r="KC134" s="26"/>
      <c r="KD134" s="26"/>
      <c r="KE134" s="26"/>
      <c r="KF134" s="26"/>
      <c r="KG134" s="26"/>
      <c r="KH134" s="26"/>
      <c r="KI134" s="26"/>
      <c r="KJ134" s="26"/>
      <c r="KK134" s="26"/>
      <c r="KL134" s="26"/>
      <c r="KM134" s="26"/>
      <c r="KN134" s="26"/>
      <c r="KO134" s="26"/>
      <c r="KP134" s="26"/>
      <c r="KQ134" s="26"/>
      <c r="KR134" s="26"/>
      <c r="KS134" s="26"/>
      <c r="KT134" s="26"/>
      <c r="KU134" s="26"/>
      <c r="KV134" s="26"/>
      <c r="KW134" s="26"/>
      <c r="KX134" s="26"/>
      <c r="KY134" s="26"/>
      <c r="KZ134" s="26"/>
      <c r="LA134" s="26"/>
      <c r="LB134" s="26"/>
      <c r="LC134" s="26"/>
      <c r="LD134" s="26"/>
      <c r="LE134" s="26"/>
      <c r="LF134" s="23"/>
      <c r="LG134" s="26"/>
      <c r="LH134" s="26"/>
      <c r="LI134" s="26"/>
      <c r="LJ134" s="26"/>
      <c r="LK134" s="26"/>
      <c r="LL134" s="26"/>
      <c r="LM134" s="26"/>
      <c r="LN134" s="26"/>
      <c r="LO134" s="26"/>
      <c r="LP134" s="26"/>
      <c r="LQ134" s="26"/>
      <c r="LR134" s="26"/>
      <c r="LS134" s="26"/>
      <c r="LT134" s="26"/>
      <c r="LU134" s="26"/>
      <c r="LV134" s="26"/>
      <c r="LW134" s="26"/>
      <c r="LX134" s="26"/>
      <c r="LY134" s="26"/>
      <c r="LZ134" s="26"/>
      <c r="MA134" s="26"/>
      <c r="MB134" s="26"/>
      <c r="MC134" s="26"/>
      <c r="MD134" s="26"/>
      <c r="ME134" s="26"/>
      <c r="MF134" s="26"/>
      <c r="MG134" s="26"/>
      <c r="MH134" s="26"/>
      <c r="MI134" s="26"/>
      <c r="MJ134" s="26"/>
      <c r="MK134" s="26"/>
      <c r="ML134" s="26"/>
      <c r="MM134" s="26"/>
      <c r="MN134" s="26"/>
      <c r="MO134" s="26"/>
      <c r="MP134" s="26"/>
      <c r="MQ134" s="26"/>
      <c r="MR134" s="26"/>
      <c r="MS134" s="23"/>
      <c r="MT134" s="26"/>
      <c r="MU134" s="26"/>
      <c r="MV134" s="26"/>
      <c r="MW134" s="26"/>
      <c r="MX134" s="26"/>
      <c r="MY134" s="26"/>
      <c r="MZ134" s="26"/>
      <c r="NA134" s="26"/>
      <c r="NB134" s="26"/>
      <c r="NC134" s="26"/>
      <c r="ND134" s="26"/>
      <c r="NE134" s="26"/>
      <c r="NF134" s="26"/>
      <c r="NG134" s="26"/>
      <c r="NH134" s="26"/>
      <c r="NI134" s="26"/>
      <c r="NJ134" s="26"/>
      <c r="NK134" s="26"/>
      <c r="NL134" s="26"/>
      <c r="NM134" s="26"/>
      <c r="NN134" s="26"/>
      <c r="NO134" s="26"/>
      <c r="NP134" s="26"/>
      <c r="NQ134" s="26"/>
      <c r="NR134" s="26"/>
      <c r="NS134" s="26"/>
      <c r="NT134" s="26"/>
      <c r="NU134" s="26"/>
      <c r="NV134" s="26"/>
      <c r="NW134" s="26"/>
      <c r="NX134" s="26"/>
      <c r="NY134" s="26"/>
      <c r="NZ134" s="26"/>
      <c r="OA134" s="26"/>
      <c r="OB134" s="26"/>
      <c r="OC134" s="26"/>
      <c r="OD134" s="26"/>
      <c r="OE134" s="26"/>
      <c r="OF134" s="23"/>
      <c r="OG134" s="26"/>
      <c r="OH134" s="26"/>
      <c r="OI134" s="26"/>
      <c r="OJ134" s="26"/>
      <c r="OK134" s="26"/>
      <c r="OL134" s="26"/>
      <c r="OM134" s="26"/>
      <c r="ON134" s="26"/>
      <c r="OO134" s="26"/>
      <c r="OP134" s="26"/>
      <c r="OQ134" s="26"/>
      <c r="OR134" s="26"/>
      <c r="OS134" s="26"/>
      <c r="OT134" s="26"/>
      <c r="OU134" s="26"/>
      <c r="OV134" s="26"/>
      <c r="OW134" s="26"/>
      <c r="OX134" s="26"/>
      <c r="OY134" s="26"/>
      <c r="OZ134" s="26"/>
      <c r="PA134" s="26"/>
      <c r="PB134" s="26"/>
      <c r="PC134" s="26"/>
      <c r="PD134" s="26"/>
      <c r="PE134" s="26"/>
      <c r="PF134" s="26"/>
      <c r="PG134" s="26"/>
      <c r="PH134" s="26"/>
      <c r="PI134" s="26"/>
      <c r="PJ134" s="26"/>
      <c r="PK134" s="26"/>
      <c r="PL134" s="26"/>
      <c r="PM134" s="26"/>
      <c r="PN134" s="26"/>
      <c r="PO134" s="26"/>
      <c r="PP134" s="26"/>
      <c r="PQ134" s="26"/>
      <c r="PR134" s="26"/>
    </row>
    <row r="135" spans="1:434" ht="21.95" customHeight="1" x14ac:dyDescent="0.25">
      <c r="A135" s="84" t="s">
        <v>202</v>
      </c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  <c r="FU135" s="85"/>
      <c r="FV135" s="85"/>
      <c r="FW135" s="85"/>
      <c r="FX135" s="85"/>
      <c r="FY135" s="85"/>
      <c r="FZ135" s="85"/>
      <c r="GA135" s="85"/>
      <c r="GB135" s="85"/>
      <c r="GC135" s="85"/>
      <c r="GD135" s="85"/>
      <c r="GE135" s="85"/>
      <c r="GF135" s="85"/>
      <c r="GG135" s="85"/>
      <c r="GH135" s="85"/>
      <c r="GI135" s="85"/>
      <c r="GJ135" s="85"/>
      <c r="GK135" s="85"/>
      <c r="GL135" s="85"/>
      <c r="GM135" s="85"/>
      <c r="GN135" s="85"/>
      <c r="GO135" s="85"/>
      <c r="GP135" s="85"/>
      <c r="GQ135" s="85"/>
      <c r="GR135" s="85"/>
      <c r="GS135" s="85"/>
      <c r="GT135" s="85"/>
      <c r="GU135" s="85"/>
      <c r="GV135" s="85"/>
      <c r="GW135" s="85"/>
      <c r="GX135" s="85"/>
      <c r="GY135" s="85"/>
      <c r="GZ135" s="85"/>
      <c r="HA135" s="85"/>
      <c r="HB135" s="85"/>
      <c r="HC135" s="85"/>
      <c r="HD135" s="85"/>
      <c r="HE135" s="85"/>
      <c r="HF135" s="85"/>
      <c r="HG135" s="85"/>
      <c r="HH135" s="85"/>
      <c r="HI135" s="85"/>
      <c r="HJ135" s="85"/>
      <c r="HK135" s="85"/>
      <c r="HL135" s="85"/>
      <c r="HM135" s="85"/>
      <c r="HN135" s="85"/>
      <c r="HO135" s="85"/>
      <c r="HP135" s="85"/>
      <c r="HQ135" s="85"/>
      <c r="HR135" s="85"/>
      <c r="HS135" s="85"/>
      <c r="HT135" s="85"/>
      <c r="HU135" s="85"/>
      <c r="HV135" s="85"/>
      <c r="HW135" s="85"/>
      <c r="HX135" s="85"/>
      <c r="HY135" s="85"/>
      <c r="HZ135" s="85"/>
      <c r="IA135" s="85"/>
      <c r="IB135" s="85"/>
      <c r="IC135" s="85"/>
      <c r="ID135" s="85"/>
      <c r="IE135" s="85"/>
      <c r="IF135" s="85"/>
      <c r="IG135" s="85"/>
      <c r="IH135" s="85"/>
      <c r="II135" s="85"/>
      <c r="IJ135" s="85"/>
      <c r="IK135" s="85"/>
      <c r="IL135" s="85"/>
      <c r="IM135" s="85"/>
      <c r="IN135" s="85"/>
      <c r="IO135" s="85"/>
      <c r="IP135" s="85"/>
      <c r="IQ135" s="85"/>
      <c r="IR135" s="85"/>
      <c r="IS135" s="85"/>
      <c r="IT135" s="85"/>
      <c r="IU135" s="85"/>
      <c r="IV135" s="85"/>
      <c r="IW135" s="85"/>
      <c r="IX135" s="85"/>
      <c r="IY135" s="85"/>
      <c r="IZ135" s="85"/>
      <c r="JA135" s="85"/>
      <c r="JB135" s="85"/>
      <c r="JC135" s="85"/>
      <c r="JD135" s="85"/>
      <c r="JE135" s="85"/>
      <c r="JF135" s="85"/>
      <c r="JG135" s="85"/>
      <c r="JH135" s="85"/>
      <c r="JI135" s="85"/>
      <c r="JJ135" s="85"/>
      <c r="JK135" s="85"/>
      <c r="JL135" s="85"/>
      <c r="JM135" s="85"/>
      <c r="JN135" s="85"/>
      <c r="JO135" s="85"/>
      <c r="JP135" s="85"/>
      <c r="JQ135" s="85"/>
      <c r="JR135" s="85"/>
      <c r="JS135" s="85"/>
      <c r="JT135" s="85"/>
      <c r="JU135" s="85"/>
      <c r="JV135" s="85"/>
      <c r="JW135" s="85"/>
      <c r="JX135" s="85"/>
      <c r="JY135" s="85"/>
      <c r="JZ135" s="85"/>
      <c r="KA135" s="85"/>
      <c r="KB135" s="85"/>
      <c r="KC135" s="85"/>
      <c r="KD135" s="85"/>
      <c r="KE135" s="85"/>
      <c r="KF135" s="85"/>
      <c r="KG135" s="85"/>
      <c r="KH135" s="85"/>
      <c r="KI135" s="85"/>
      <c r="KJ135" s="85"/>
      <c r="KK135" s="85"/>
      <c r="KL135" s="85"/>
      <c r="KM135" s="85"/>
      <c r="KN135" s="85"/>
      <c r="KO135" s="85"/>
      <c r="KP135" s="85"/>
      <c r="KQ135" s="85"/>
      <c r="KR135" s="85"/>
      <c r="KS135" s="85"/>
      <c r="KT135" s="85"/>
      <c r="KU135" s="85"/>
      <c r="KV135" s="85"/>
      <c r="KW135" s="85"/>
      <c r="KX135" s="85"/>
      <c r="KY135" s="85"/>
      <c r="KZ135" s="85"/>
      <c r="LA135" s="85"/>
      <c r="LB135" s="85"/>
      <c r="LC135" s="85"/>
      <c r="LD135" s="85"/>
      <c r="LE135" s="85"/>
      <c r="LF135" s="85"/>
      <c r="LG135" s="85"/>
      <c r="LH135" s="85"/>
      <c r="LI135" s="85"/>
      <c r="LJ135" s="85"/>
      <c r="LK135" s="85"/>
      <c r="LL135" s="85"/>
      <c r="LM135" s="85"/>
      <c r="LN135" s="85"/>
      <c r="LO135" s="85"/>
      <c r="LP135" s="85"/>
      <c r="LQ135" s="85"/>
      <c r="LR135" s="85"/>
      <c r="LS135" s="85"/>
      <c r="LT135" s="85"/>
      <c r="LU135" s="85"/>
      <c r="LV135" s="85"/>
      <c r="LW135" s="85"/>
      <c r="LX135" s="85"/>
      <c r="LY135" s="85"/>
      <c r="LZ135" s="85"/>
      <c r="MA135" s="85"/>
      <c r="MB135" s="85"/>
      <c r="MC135" s="85"/>
      <c r="MD135" s="85"/>
      <c r="ME135" s="85"/>
      <c r="MF135" s="85"/>
      <c r="MG135" s="85"/>
      <c r="MH135" s="85"/>
      <c r="MI135" s="85"/>
      <c r="MJ135" s="85"/>
      <c r="MK135" s="85"/>
      <c r="ML135" s="85"/>
      <c r="MM135" s="85"/>
      <c r="MN135" s="85"/>
      <c r="MO135" s="85"/>
      <c r="MP135" s="85"/>
      <c r="MQ135" s="85"/>
      <c r="MR135" s="85"/>
      <c r="MS135" s="85"/>
      <c r="MT135" s="85"/>
      <c r="MU135" s="85"/>
      <c r="MV135" s="85"/>
      <c r="MW135" s="85"/>
      <c r="MX135" s="85"/>
      <c r="MY135" s="85"/>
      <c r="MZ135" s="85"/>
      <c r="NA135" s="85"/>
      <c r="NB135" s="85"/>
      <c r="NC135" s="85"/>
      <c r="ND135" s="85"/>
      <c r="NE135" s="85"/>
      <c r="NF135" s="85"/>
      <c r="NG135" s="85"/>
      <c r="NH135" s="85"/>
      <c r="NI135" s="85"/>
      <c r="NJ135" s="85"/>
      <c r="NK135" s="85"/>
      <c r="NL135" s="85"/>
      <c r="NM135" s="85"/>
      <c r="NN135" s="85"/>
      <c r="NO135" s="85"/>
      <c r="NP135" s="85"/>
      <c r="NQ135" s="85"/>
      <c r="NR135" s="85"/>
      <c r="NS135" s="85"/>
      <c r="NT135" s="85"/>
      <c r="NU135" s="85"/>
      <c r="NV135" s="85"/>
      <c r="NW135" s="85"/>
      <c r="NX135" s="85"/>
      <c r="NY135" s="85"/>
      <c r="NZ135" s="85"/>
      <c r="OA135" s="85"/>
      <c r="OB135" s="85"/>
      <c r="OC135" s="85"/>
      <c r="OD135" s="85"/>
      <c r="OE135" s="85"/>
      <c r="OF135" s="85"/>
      <c r="OG135" s="85"/>
      <c r="OH135" s="85"/>
      <c r="OI135" s="85"/>
      <c r="OJ135" s="85"/>
      <c r="OK135" s="85"/>
      <c r="OL135" s="85"/>
      <c r="OM135" s="85"/>
      <c r="ON135" s="85"/>
      <c r="OO135" s="85"/>
      <c r="OP135" s="85"/>
      <c r="OQ135" s="85"/>
      <c r="OR135" s="85"/>
      <c r="OS135" s="85"/>
      <c r="OT135" s="85"/>
      <c r="OU135" s="85"/>
      <c r="OV135" s="85"/>
      <c r="OW135" s="85"/>
      <c r="OX135" s="85"/>
      <c r="OY135" s="85"/>
      <c r="OZ135" s="85"/>
      <c r="PA135" s="85"/>
      <c r="PB135" s="85"/>
      <c r="PC135" s="85"/>
      <c r="PD135" s="85"/>
      <c r="PE135" s="85"/>
      <c r="PF135" s="85"/>
      <c r="PG135" s="85"/>
      <c r="PH135" s="85"/>
      <c r="PI135" s="85"/>
      <c r="PJ135" s="85"/>
      <c r="PK135" s="85"/>
      <c r="PL135" s="85"/>
      <c r="PM135" s="85"/>
      <c r="PN135" s="85"/>
      <c r="PO135" s="85"/>
      <c r="PP135" s="85"/>
      <c r="PQ135" s="85"/>
      <c r="PR135" s="86"/>
    </row>
    <row r="136" spans="1:434" x14ac:dyDescent="0.25">
      <c r="A136" s="24"/>
      <c r="B136" s="25" t="s">
        <v>203</v>
      </c>
      <c r="C136" s="24" t="s">
        <v>70</v>
      </c>
      <c r="D136" s="24" t="s">
        <v>76</v>
      </c>
      <c r="E136" s="24"/>
      <c r="F136" s="23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3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3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3"/>
      <c r="DT136" s="26"/>
      <c r="DU136" s="26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  <c r="EH136" s="26"/>
      <c r="EI136" s="26"/>
      <c r="EJ136" s="26"/>
      <c r="EK136" s="26"/>
      <c r="EL136" s="26"/>
      <c r="EM136" s="26"/>
      <c r="EN136" s="26"/>
      <c r="EO136" s="26"/>
      <c r="EP136" s="26"/>
      <c r="EQ136" s="26"/>
      <c r="ER136" s="26"/>
      <c r="ES136" s="26"/>
      <c r="ET136" s="26"/>
      <c r="EU136" s="26"/>
      <c r="EV136" s="26"/>
      <c r="EW136" s="26"/>
      <c r="EX136" s="26"/>
      <c r="EY136" s="26"/>
      <c r="EZ136" s="26"/>
      <c r="FA136" s="26"/>
      <c r="FB136" s="26"/>
      <c r="FC136" s="26"/>
      <c r="FD136" s="26"/>
      <c r="FE136" s="26"/>
      <c r="FF136" s="23"/>
      <c r="FG136" s="26"/>
      <c r="FH136" s="26"/>
      <c r="FI136" s="26"/>
      <c r="FJ136" s="26"/>
      <c r="FK136" s="26"/>
      <c r="FL136" s="26"/>
      <c r="FM136" s="26"/>
      <c r="FN136" s="26"/>
      <c r="FO136" s="26"/>
      <c r="FP136" s="26"/>
      <c r="FQ136" s="26"/>
      <c r="FR136" s="26"/>
      <c r="FS136" s="26"/>
      <c r="FT136" s="26"/>
      <c r="FU136" s="26"/>
      <c r="FV136" s="26"/>
      <c r="FW136" s="26"/>
      <c r="FX136" s="26"/>
      <c r="FY136" s="26"/>
      <c r="FZ136" s="26"/>
      <c r="GA136" s="26"/>
      <c r="GB136" s="26"/>
      <c r="GC136" s="26"/>
      <c r="GD136" s="26"/>
      <c r="GE136" s="26"/>
      <c r="GF136" s="26"/>
      <c r="GG136" s="26"/>
      <c r="GH136" s="26"/>
      <c r="GI136" s="26"/>
      <c r="GJ136" s="26"/>
      <c r="GK136" s="26"/>
      <c r="GL136" s="26"/>
      <c r="GM136" s="26"/>
      <c r="GN136" s="26"/>
      <c r="GO136" s="26"/>
      <c r="GP136" s="26"/>
      <c r="GQ136" s="26"/>
      <c r="GR136" s="26"/>
      <c r="GS136" s="23"/>
      <c r="GT136" s="26"/>
      <c r="GU136" s="26"/>
      <c r="GV136" s="26"/>
      <c r="GW136" s="26"/>
      <c r="GX136" s="26"/>
      <c r="GY136" s="26"/>
      <c r="GZ136" s="26"/>
      <c r="HA136" s="26"/>
      <c r="HB136" s="26"/>
      <c r="HC136" s="26"/>
      <c r="HD136" s="26"/>
      <c r="HE136" s="26"/>
      <c r="HF136" s="26"/>
      <c r="HG136" s="26"/>
      <c r="HH136" s="26"/>
      <c r="HI136" s="26"/>
      <c r="HJ136" s="26"/>
      <c r="HK136" s="26"/>
      <c r="HL136" s="26"/>
      <c r="HM136" s="26"/>
      <c r="HN136" s="26"/>
      <c r="HO136" s="26"/>
      <c r="HP136" s="26"/>
      <c r="HQ136" s="26"/>
      <c r="HR136" s="26"/>
      <c r="HS136" s="26"/>
      <c r="HT136" s="26"/>
      <c r="HU136" s="26"/>
      <c r="HV136" s="26"/>
      <c r="HW136" s="26"/>
      <c r="HX136" s="26"/>
      <c r="HY136" s="26"/>
      <c r="HZ136" s="26"/>
      <c r="IA136" s="26"/>
      <c r="IB136" s="26"/>
      <c r="IC136" s="26"/>
      <c r="ID136" s="26"/>
      <c r="IE136" s="26"/>
      <c r="IF136" s="23"/>
      <c r="IG136" s="26"/>
      <c r="IH136" s="26"/>
      <c r="II136" s="26"/>
      <c r="IJ136" s="26"/>
      <c r="IK136" s="26"/>
      <c r="IL136" s="26"/>
      <c r="IM136" s="26"/>
      <c r="IN136" s="26"/>
      <c r="IO136" s="26"/>
      <c r="IP136" s="26"/>
      <c r="IQ136" s="26"/>
      <c r="IR136" s="26"/>
      <c r="IS136" s="26"/>
      <c r="IT136" s="26"/>
      <c r="IU136" s="26"/>
      <c r="IV136" s="26"/>
      <c r="IW136" s="26"/>
      <c r="IX136" s="26"/>
      <c r="IY136" s="26"/>
      <c r="IZ136" s="26"/>
      <c r="JA136" s="26"/>
      <c r="JB136" s="26"/>
      <c r="JC136" s="26"/>
      <c r="JD136" s="26"/>
      <c r="JE136" s="26"/>
      <c r="JF136" s="26"/>
      <c r="JG136" s="26"/>
      <c r="JH136" s="26"/>
      <c r="JI136" s="26"/>
      <c r="JJ136" s="26"/>
      <c r="JK136" s="26"/>
      <c r="JL136" s="26"/>
      <c r="JM136" s="26"/>
      <c r="JN136" s="26"/>
      <c r="JO136" s="26"/>
      <c r="JP136" s="26"/>
      <c r="JQ136" s="26"/>
      <c r="JR136" s="26"/>
      <c r="JS136" s="23"/>
      <c r="JT136" s="26"/>
      <c r="JU136" s="26"/>
      <c r="JV136" s="26"/>
      <c r="JW136" s="26"/>
      <c r="JX136" s="26"/>
      <c r="JY136" s="26"/>
      <c r="JZ136" s="26"/>
      <c r="KA136" s="26"/>
      <c r="KB136" s="26"/>
      <c r="KC136" s="26"/>
      <c r="KD136" s="26"/>
      <c r="KE136" s="26"/>
      <c r="KF136" s="26"/>
      <c r="KG136" s="26"/>
      <c r="KH136" s="26"/>
      <c r="KI136" s="26"/>
      <c r="KJ136" s="26"/>
      <c r="KK136" s="26"/>
      <c r="KL136" s="26"/>
      <c r="KM136" s="26"/>
      <c r="KN136" s="26"/>
      <c r="KO136" s="26"/>
      <c r="KP136" s="26"/>
      <c r="KQ136" s="26"/>
      <c r="KR136" s="26"/>
      <c r="KS136" s="26"/>
      <c r="KT136" s="26"/>
      <c r="KU136" s="26"/>
      <c r="KV136" s="26"/>
      <c r="KW136" s="26"/>
      <c r="KX136" s="26"/>
      <c r="KY136" s="26"/>
      <c r="KZ136" s="26"/>
      <c r="LA136" s="26"/>
      <c r="LB136" s="26"/>
      <c r="LC136" s="26"/>
      <c r="LD136" s="26"/>
      <c r="LE136" s="26"/>
      <c r="LF136" s="23"/>
      <c r="LG136" s="26"/>
      <c r="LH136" s="26"/>
      <c r="LI136" s="26"/>
      <c r="LJ136" s="26"/>
      <c r="LK136" s="26"/>
      <c r="LL136" s="26"/>
      <c r="LM136" s="26"/>
      <c r="LN136" s="26"/>
      <c r="LO136" s="26"/>
      <c r="LP136" s="26"/>
      <c r="LQ136" s="26"/>
      <c r="LR136" s="26"/>
      <c r="LS136" s="26"/>
      <c r="LT136" s="26"/>
      <c r="LU136" s="26"/>
      <c r="LV136" s="26"/>
      <c r="LW136" s="26"/>
      <c r="LX136" s="26"/>
      <c r="LY136" s="26"/>
      <c r="LZ136" s="26"/>
      <c r="MA136" s="26"/>
      <c r="MB136" s="26"/>
      <c r="MC136" s="26"/>
      <c r="MD136" s="26"/>
      <c r="ME136" s="26"/>
      <c r="MF136" s="26"/>
      <c r="MG136" s="26"/>
      <c r="MH136" s="26"/>
      <c r="MI136" s="26"/>
      <c r="MJ136" s="26"/>
      <c r="MK136" s="26"/>
      <c r="ML136" s="26"/>
      <c r="MM136" s="26"/>
      <c r="MN136" s="26"/>
      <c r="MO136" s="26"/>
      <c r="MP136" s="26"/>
      <c r="MQ136" s="26"/>
      <c r="MR136" s="26"/>
      <c r="MS136" s="23"/>
      <c r="MT136" s="26"/>
      <c r="MU136" s="26"/>
      <c r="MV136" s="26"/>
      <c r="MW136" s="26"/>
      <c r="MX136" s="26"/>
      <c r="MY136" s="26"/>
      <c r="MZ136" s="26"/>
      <c r="NA136" s="26"/>
      <c r="NB136" s="26"/>
      <c r="NC136" s="26"/>
      <c r="ND136" s="26"/>
      <c r="NE136" s="26"/>
      <c r="NF136" s="26"/>
      <c r="NG136" s="26"/>
      <c r="NH136" s="26"/>
      <c r="NI136" s="26"/>
      <c r="NJ136" s="26"/>
      <c r="NK136" s="26"/>
      <c r="NL136" s="26"/>
      <c r="NM136" s="26"/>
      <c r="NN136" s="26"/>
      <c r="NO136" s="26"/>
      <c r="NP136" s="26"/>
      <c r="NQ136" s="26"/>
      <c r="NR136" s="26"/>
      <c r="NS136" s="26"/>
      <c r="NT136" s="26"/>
      <c r="NU136" s="26"/>
      <c r="NV136" s="26"/>
      <c r="NW136" s="26"/>
      <c r="NX136" s="26"/>
      <c r="NY136" s="26"/>
      <c r="NZ136" s="26"/>
      <c r="OA136" s="26"/>
      <c r="OB136" s="26"/>
      <c r="OC136" s="26"/>
      <c r="OD136" s="26"/>
      <c r="OE136" s="26"/>
      <c r="OF136" s="23"/>
      <c r="OG136" s="26"/>
      <c r="OH136" s="26"/>
      <c r="OI136" s="26"/>
      <c r="OJ136" s="26"/>
      <c r="OK136" s="26"/>
      <c r="OL136" s="26"/>
      <c r="OM136" s="26"/>
      <c r="ON136" s="26"/>
      <c r="OO136" s="26"/>
      <c r="OP136" s="26"/>
      <c r="OQ136" s="26"/>
      <c r="OR136" s="26"/>
      <c r="OS136" s="26"/>
      <c r="OT136" s="26"/>
      <c r="OU136" s="26"/>
      <c r="OV136" s="26"/>
      <c r="OW136" s="26"/>
      <c r="OX136" s="26"/>
      <c r="OY136" s="26"/>
      <c r="OZ136" s="26"/>
      <c r="PA136" s="26"/>
      <c r="PB136" s="26"/>
      <c r="PC136" s="26"/>
      <c r="PD136" s="26"/>
      <c r="PE136" s="26"/>
      <c r="PF136" s="26"/>
      <c r="PG136" s="26"/>
      <c r="PH136" s="26"/>
      <c r="PI136" s="26"/>
      <c r="PJ136" s="26"/>
      <c r="PK136" s="26"/>
      <c r="PL136" s="26"/>
      <c r="PM136" s="26"/>
      <c r="PN136" s="26"/>
      <c r="PO136" s="26"/>
      <c r="PP136" s="26"/>
      <c r="PQ136" s="26"/>
      <c r="PR136" s="26"/>
    </row>
    <row r="137" spans="1:434" x14ac:dyDescent="0.25">
      <c r="A137" s="24"/>
      <c r="B137" s="25" t="s">
        <v>204</v>
      </c>
      <c r="C137" s="24" t="s">
        <v>66</v>
      </c>
      <c r="D137" s="24" t="s">
        <v>76</v>
      </c>
      <c r="E137" s="24"/>
      <c r="F137" s="23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3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3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3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3"/>
      <c r="FG137" s="26"/>
      <c r="FH137" s="26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26"/>
      <c r="FV137" s="26"/>
      <c r="FW137" s="26"/>
      <c r="FX137" s="26"/>
      <c r="FY137" s="26"/>
      <c r="FZ137" s="26"/>
      <c r="GA137" s="26"/>
      <c r="GB137" s="26"/>
      <c r="GC137" s="26"/>
      <c r="GD137" s="26"/>
      <c r="GE137" s="26"/>
      <c r="GF137" s="26"/>
      <c r="GG137" s="26"/>
      <c r="GH137" s="26"/>
      <c r="GI137" s="26"/>
      <c r="GJ137" s="26"/>
      <c r="GK137" s="26"/>
      <c r="GL137" s="26"/>
      <c r="GM137" s="26"/>
      <c r="GN137" s="26"/>
      <c r="GO137" s="26"/>
      <c r="GP137" s="26"/>
      <c r="GQ137" s="26"/>
      <c r="GR137" s="26"/>
      <c r="GS137" s="23"/>
      <c r="GT137" s="26"/>
      <c r="GU137" s="26"/>
      <c r="GV137" s="26"/>
      <c r="GW137" s="26"/>
      <c r="GX137" s="26"/>
      <c r="GY137" s="26"/>
      <c r="GZ137" s="26"/>
      <c r="HA137" s="26"/>
      <c r="HB137" s="26"/>
      <c r="HC137" s="26"/>
      <c r="HD137" s="26"/>
      <c r="HE137" s="26"/>
      <c r="HF137" s="26"/>
      <c r="HG137" s="26"/>
      <c r="HH137" s="26"/>
      <c r="HI137" s="26"/>
      <c r="HJ137" s="26"/>
      <c r="HK137" s="26"/>
      <c r="HL137" s="26"/>
      <c r="HM137" s="26"/>
      <c r="HN137" s="26"/>
      <c r="HO137" s="26"/>
      <c r="HP137" s="26"/>
      <c r="HQ137" s="26"/>
      <c r="HR137" s="26"/>
      <c r="HS137" s="26"/>
      <c r="HT137" s="26"/>
      <c r="HU137" s="26"/>
      <c r="HV137" s="26"/>
      <c r="HW137" s="26"/>
      <c r="HX137" s="26"/>
      <c r="HY137" s="26"/>
      <c r="HZ137" s="26"/>
      <c r="IA137" s="26"/>
      <c r="IB137" s="26"/>
      <c r="IC137" s="26"/>
      <c r="ID137" s="26"/>
      <c r="IE137" s="26"/>
      <c r="IF137" s="23"/>
      <c r="IG137" s="26"/>
      <c r="IH137" s="26"/>
      <c r="II137" s="26"/>
      <c r="IJ137" s="26"/>
      <c r="IK137" s="26"/>
      <c r="IL137" s="26"/>
      <c r="IM137" s="26"/>
      <c r="IN137" s="26"/>
      <c r="IO137" s="26"/>
      <c r="IP137" s="26"/>
      <c r="IQ137" s="26"/>
      <c r="IR137" s="26"/>
      <c r="IS137" s="26"/>
      <c r="IT137" s="26"/>
      <c r="IU137" s="26"/>
      <c r="IV137" s="26"/>
      <c r="IW137" s="26"/>
      <c r="IX137" s="26"/>
      <c r="IY137" s="26"/>
      <c r="IZ137" s="26"/>
      <c r="JA137" s="26"/>
      <c r="JB137" s="26"/>
      <c r="JC137" s="26"/>
      <c r="JD137" s="26"/>
      <c r="JE137" s="26"/>
      <c r="JF137" s="26"/>
      <c r="JG137" s="26"/>
      <c r="JH137" s="26"/>
      <c r="JI137" s="26"/>
      <c r="JJ137" s="26"/>
      <c r="JK137" s="26"/>
      <c r="JL137" s="26"/>
      <c r="JM137" s="26"/>
      <c r="JN137" s="26"/>
      <c r="JO137" s="26"/>
      <c r="JP137" s="26"/>
      <c r="JQ137" s="26"/>
      <c r="JR137" s="26"/>
      <c r="JS137" s="23"/>
      <c r="JT137" s="26"/>
      <c r="JU137" s="26"/>
      <c r="JV137" s="26"/>
      <c r="JW137" s="26"/>
      <c r="JX137" s="26"/>
      <c r="JY137" s="26"/>
      <c r="JZ137" s="26"/>
      <c r="KA137" s="26"/>
      <c r="KB137" s="26"/>
      <c r="KC137" s="26"/>
      <c r="KD137" s="26"/>
      <c r="KE137" s="26"/>
      <c r="KF137" s="26"/>
      <c r="KG137" s="26"/>
      <c r="KH137" s="26"/>
      <c r="KI137" s="26"/>
      <c r="KJ137" s="26"/>
      <c r="KK137" s="26"/>
      <c r="KL137" s="26"/>
      <c r="KM137" s="26"/>
      <c r="KN137" s="26"/>
      <c r="KO137" s="26"/>
      <c r="KP137" s="26"/>
      <c r="KQ137" s="26"/>
      <c r="KR137" s="26"/>
      <c r="KS137" s="26"/>
      <c r="KT137" s="26"/>
      <c r="KU137" s="26"/>
      <c r="KV137" s="26"/>
      <c r="KW137" s="26"/>
      <c r="KX137" s="26"/>
      <c r="KY137" s="26"/>
      <c r="KZ137" s="26"/>
      <c r="LA137" s="26"/>
      <c r="LB137" s="26"/>
      <c r="LC137" s="26"/>
      <c r="LD137" s="26"/>
      <c r="LE137" s="26"/>
      <c r="LF137" s="23"/>
      <c r="LG137" s="26"/>
      <c r="LH137" s="26"/>
      <c r="LI137" s="26"/>
      <c r="LJ137" s="26"/>
      <c r="LK137" s="26"/>
      <c r="LL137" s="26"/>
      <c r="LM137" s="26"/>
      <c r="LN137" s="26"/>
      <c r="LO137" s="26"/>
      <c r="LP137" s="26"/>
      <c r="LQ137" s="26"/>
      <c r="LR137" s="26"/>
      <c r="LS137" s="26"/>
      <c r="LT137" s="26"/>
      <c r="LU137" s="26"/>
      <c r="LV137" s="26"/>
      <c r="LW137" s="26"/>
      <c r="LX137" s="26"/>
      <c r="LY137" s="26"/>
      <c r="LZ137" s="26"/>
      <c r="MA137" s="26"/>
      <c r="MB137" s="26"/>
      <c r="MC137" s="26"/>
      <c r="MD137" s="26"/>
      <c r="ME137" s="26"/>
      <c r="MF137" s="26"/>
      <c r="MG137" s="26"/>
      <c r="MH137" s="26"/>
      <c r="MI137" s="26"/>
      <c r="MJ137" s="26"/>
      <c r="MK137" s="26"/>
      <c r="ML137" s="26"/>
      <c r="MM137" s="26"/>
      <c r="MN137" s="26"/>
      <c r="MO137" s="26"/>
      <c r="MP137" s="26"/>
      <c r="MQ137" s="26"/>
      <c r="MR137" s="26"/>
      <c r="MS137" s="23"/>
      <c r="MT137" s="26"/>
      <c r="MU137" s="26"/>
      <c r="MV137" s="26"/>
      <c r="MW137" s="26"/>
      <c r="MX137" s="26"/>
      <c r="MY137" s="26"/>
      <c r="MZ137" s="26"/>
      <c r="NA137" s="26"/>
      <c r="NB137" s="26"/>
      <c r="NC137" s="26"/>
      <c r="ND137" s="26"/>
      <c r="NE137" s="26"/>
      <c r="NF137" s="26"/>
      <c r="NG137" s="26"/>
      <c r="NH137" s="26"/>
      <c r="NI137" s="26"/>
      <c r="NJ137" s="26"/>
      <c r="NK137" s="26"/>
      <c r="NL137" s="26"/>
      <c r="NM137" s="26"/>
      <c r="NN137" s="26"/>
      <c r="NO137" s="26"/>
      <c r="NP137" s="26"/>
      <c r="NQ137" s="26"/>
      <c r="NR137" s="26"/>
      <c r="NS137" s="26"/>
      <c r="NT137" s="26"/>
      <c r="NU137" s="26"/>
      <c r="NV137" s="26"/>
      <c r="NW137" s="26"/>
      <c r="NX137" s="26"/>
      <c r="NY137" s="26"/>
      <c r="NZ137" s="26"/>
      <c r="OA137" s="26"/>
      <c r="OB137" s="26"/>
      <c r="OC137" s="26"/>
      <c r="OD137" s="26"/>
      <c r="OE137" s="26"/>
      <c r="OF137" s="23"/>
      <c r="OG137" s="26"/>
      <c r="OH137" s="26"/>
      <c r="OI137" s="26"/>
      <c r="OJ137" s="26"/>
      <c r="OK137" s="26"/>
      <c r="OL137" s="26"/>
      <c r="OM137" s="26"/>
      <c r="ON137" s="26"/>
      <c r="OO137" s="26"/>
      <c r="OP137" s="26"/>
      <c r="OQ137" s="26"/>
      <c r="OR137" s="26"/>
      <c r="OS137" s="26"/>
      <c r="OT137" s="26"/>
      <c r="OU137" s="26"/>
      <c r="OV137" s="26"/>
      <c r="OW137" s="26"/>
      <c r="OX137" s="26"/>
      <c r="OY137" s="26"/>
      <c r="OZ137" s="26"/>
      <c r="PA137" s="26"/>
      <c r="PB137" s="26"/>
      <c r="PC137" s="26"/>
      <c r="PD137" s="26"/>
      <c r="PE137" s="26"/>
      <c r="PF137" s="26"/>
      <c r="PG137" s="26"/>
      <c r="PH137" s="26"/>
      <c r="PI137" s="26"/>
      <c r="PJ137" s="26"/>
      <c r="PK137" s="26"/>
      <c r="PL137" s="26"/>
      <c r="PM137" s="26"/>
      <c r="PN137" s="26"/>
      <c r="PO137" s="26"/>
      <c r="PP137" s="26"/>
      <c r="PQ137" s="26"/>
      <c r="PR137" s="26"/>
    </row>
    <row r="138" spans="1:434" x14ac:dyDescent="0.25">
      <c r="A138" s="24"/>
      <c r="B138" s="25" t="s">
        <v>205</v>
      </c>
      <c r="C138" s="24" t="s">
        <v>70</v>
      </c>
      <c r="D138" s="24" t="s">
        <v>76</v>
      </c>
      <c r="E138" s="24"/>
      <c r="F138" s="23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3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3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3"/>
      <c r="DT138" s="26"/>
      <c r="DU138" s="26"/>
      <c r="DV138" s="26"/>
      <c r="DW138" s="26"/>
      <c r="DX138" s="26"/>
      <c r="DY138" s="26"/>
      <c r="DZ138" s="26"/>
      <c r="EA138" s="26"/>
      <c r="EB138" s="26"/>
      <c r="EC138" s="26"/>
      <c r="ED138" s="26"/>
      <c r="EE138" s="26"/>
      <c r="EF138" s="26"/>
      <c r="EG138" s="26"/>
      <c r="EH138" s="26"/>
      <c r="EI138" s="26"/>
      <c r="EJ138" s="26"/>
      <c r="EK138" s="26"/>
      <c r="EL138" s="26"/>
      <c r="EM138" s="26"/>
      <c r="EN138" s="26"/>
      <c r="EO138" s="26"/>
      <c r="EP138" s="26"/>
      <c r="EQ138" s="26"/>
      <c r="ER138" s="26"/>
      <c r="ES138" s="26"/>
      <c r="ET138" s="26"/>
      <c r="EU138" s="26"/>
      <c r="EV138" s="26"/>
      <c r="EW138" s="26"/>
      <c r="EX138" s="26"/>
      <c r="EY138" s="26"/>
      <c r="EZ138" s="26"/>
      <c r="FA138" s="26"/>
      <c r="FB138" s="26"/>
      <c r="FC138" s="26"/>
      <c r="FD138" s="26"/>
      <c r="FE138" s="26"/>
      <c r="FF138" s="23"/>
      <c r="FG138" s="26"/>
      <c r="FH138" s="26"/>
      <c r="FI138" s="26"/>
      <c r="FJ138" s="26"/>
      <c r="FK138" s="26"/>
      <c r="FL138" s="26"/>
      <c r="FM138" s="26"/>
      <c r="FN138" s="26"/>
      <c r="FO138" s="26"/>
      <c r="FP138" s="26"/>
      <c r="FQ138" s="26"/>
      <c r="FR138" s="26"/>
      <c r="FS138" s="26"/>
      <c r="FT138" s="26"/>
      <c r="FU138" s="26"/>
      <c r="FV138" s="26"/>
      <c r="FW138" s="26"/>
      <c r="FX138" s="26"/>
      <c r="FY138" s="26"/>
      <c r="FZ138" s="26"/>
      <c r="GA138" s="26"/>
      <c r="GB138" s="26"/>
      <c r="GC138" s="26"/>
      <c r="GD138" s="26"/>
      <c r="GE138" s="26"/>
      <c r="GF138" s="26"/>
      <c r="GG138" s="26"/>
      <c r="GH138" s="26"/>
      <c r="GI138" s="26"/>
      <c r="GJ138" s="26"/>
      <c r="GK138" s="26"/>
      <c r="GL138" s="26"/>
      <c r="GM138" s="26"/>
      <c r="GN138" s="26"/>
      <c r="GO138" s="26"/>
      <c r="GP138" s="26"/>
      <c r="GQ138" s="26"/>
      <c r="GR138" s="26"/>
      <c r="GS138" s="23"/>
      <c r="GT138" s="26"/>
      <c r="GU138" s="26"/>
      <c r="GV138" s="26"/>
      <c r="GW138" s="26"/>
      <c r="GX138" s="26"/>
      <c r="GY138" s="26"/>
      <c r="GZ138" s="26"/>
      <c r="HA138" s="26"/>
      <c r="HB138" s="26"/>
      <c r="HC138" s="26"/>
      <c r="HD138" s="26"/>
      <c r="HE138" s="26"/>
      <c r="HF138" s="26"/>
      <c r="HG138" s="26"/>
      <c r="HH138" s="26"/>
      <c r="HI138" s="26"/>
      <c r="HJ138" s="26"/>
      <c r="HK138" s="26"/>
      <c r="HL138" s="26"/>
      <c r="HM138" s="26"/>
      <c r="HN138" s="26"/>
      <c r="HO138" s="26"/>
      <c r="HP138" s="26"/>
      <c r="HQ138" s="26"/>
      <c r="HR138" s="26"/>
      <c r="HS138" s="26"/>
      <c r="HT138" s="26"/>
      <c r="HU138" s="26"/>
      <c r="HV138" s="26"/>
      <c r="HW138" s="26"/>
      <c r="HX138" s="26"/>
      <c r="HY138" s="26"/>
      <c r="HZ138" s="26"/>
      <c r="IA138" s="26"/>
      <c r="IB138" s="26"/>
      <c r="IC138" s="26"/>
      <c r="ID138" s="26"/>
      <c r="IE138" s="26"/>
      <c r="IF138" s="23"/>
      <c r="IG138" s="26"/>
      <c r="IH138" s="26"/>
      <c r="II138" s="26"/>
      <c r="IJ138" s="26"/>
      <c r="IK138" s="26"/>
      <c r="IL138" s="26"/>
      <c r="IM138" s="26"/>
      <c r="IN138" s="26"/>
      <c r="IO138" s="26"/>
      <c r="IP138" s="26"/>
      <c r="IQ138" s="26"/>
      <c r="IR138" s="26"/>
      <c r="IS138" s="26"/>
      <c r="IT138" s="26"/>
      <c r="IU138" s="26"/>
      <c r="IV138" s="26"/>
      <c r="IW138" s="26"/>
      <c r="IX138" s="26"/>
      <c r="IY138" s="26"/>
      <c r="IZ138" s="26"/>
      <c r="JA138" s="26"/>
      <c r="JB138" s="26"/>
      <c r="JC138" s="26"/>
      <c r="JD138" s="26"/>
      <c r="JE138" s="26"/>
      <c r="JF138" s="26"/>
      <c r="JG138" s="26"/>
      <c r="JH138" s="26"/>
      <c r="JI138" s="26"/>
      <c r="JJ138" s="26"/>
      <c r="JK138" s="26"/>
      <c r="JL138" s="26"/>
      <c r="JM138" s="26"/>
      <c r="JN138" s="26"/>
      <c r="JO138" s="26"/>
      <c r="JP138" s="26"/>
      <c r="JQ138" s="26"/>
      <c r="JR138" s="26"/>
      <c r="JS138" s="23"/>
      <c r="JT138" s="26"/>
      <c r="JU138" s="26"/>
      <c r="JV138" s="26"/>
      <c r="JW138" s="26"/>
      <c r="JX138" s="26"/>
      <c r="JY138" s="26"/>
      <c r="JZ138" s="26"/>
      <c r="KA138" s="26"/>
      <c r="KB138" s="26"/>
      <c r="KC138" s="26"/>
      <c r="KD138" s="26"/>
      <c r="KE138" s="26"/>
      <c r="KF138" s="26"/>
      <c r="KG138" s="26"/>
      <c r="KH138" s="26"/>
      <c r="KI138" s="26"/>
      <c r="KJ138" s="26"/>
      <c r="KK138" s="26"/>
      <c r="KL138" s="26"/>
      <c r="KM138" s="26"/>
      <c r="KN138" s="26"/>
      <c r="KO138" s="26"/>
      <c r="KP138" s="26"/>
      <c r="KQ138" s="26"/>
      <c r="KR138" s="26"/>
      <c r="KS138" s="26"/>
      <c r="KT138" s="26"/>
      <c r="KU138" s="26"/>
      <c r="KV138" s="26"/>
      <c r="KW138" s="26"/>
      <c r="KX138" s="26"/>
      <c r="KY138" s="26"/>
      <c r="KZ138" s="26"/>
      <c r="LA138" s="26"/>
      <c r="LB138" s="26"/>
      <c r="LC138" s="26"/>
      <c r="LD138" s="26"/>
      <c r="LE138" s="26"/>
      <c r="LF138" s="23"/>
      <c r="LG138" s="26"/>
      <c r="LH138" s="26"/>
      <c r="LI138" s="26"/>
      <c r="LJ138" s="26"/>
      <c r="LK138" s="26"/>
      <c r="LL138" s="26"/>
      <c r="LM138" s="26"/>
      <c r="LN138" s="26"/>
      <c r="LO138" s="26"/>
      <c r="LP138" s="26"/>
      <c r="LQ138" s="26"/>
      <c r="LR138" s="26"/>
      <c r="LS138" s="26"/>
      <c r="LT138" s="26"/>
      <c r="LU138" s="26"/>
      <c r="LV138" s="26"/>
      <c r="LW138" s="26"/>
      <c r="LX138" s="26"/>
      <c r="LY138" s="26"/>
      <c r="LZ138" s="26"/>
      <c r="MA138" s="26"/>
      <c r="MB138" s="26"/>
      <c r="MC138" s="26"/>
      <c r="MD138" s="26"/>
      <c r="ME138" s="26"/>
      <c r="MF138" s="26"/>
      <c r="MG138" s="26"/>
      <c r="MH138" s="26"/>
      <c r="MI138" s="26"/>
      <c r="MJ138" s="26"/>
      <c r="MK138" s="26"/>
      <c r="ML138" s="26"/>
      <c r="MM138" s="26"/>
      <c r="MN138" s="26"/>
      <c r="MO138" s="26"/>
      <c r="MP138" s="26"/>
      <c r="MQ138" s="26"/>
      <c r="MR138" s="26"/>
      <c r="MS138" s="23"/>
      <c r="MT138" s="26"/>
      <c r="MU138" s="26"/>
      <c r="MV138" s="26"/>
      <c r="MW138" s="26"/>
      <c r="MX138" s="26"/>
      <c r="MY138" s="26"/>
      <c r="MZ138" s="26"/>
      <c r="NA138" s="26"/>
      <c r="NB138" s="26"/>
      <c r="NC138" s="26"/>
      <c r="ND138" s="26"/>
      <c r="NE138" s="26"/>
      <c r="NF138" s="26"/>
      <c r="NG138" s="26"/>
      <c r="NH138" s="26"/>
      <c r="NI138" s="26"/>
      <c r="NJ138" s="26"/>
      <c r="NK138" s="26"/>
      <c r="NL138" s="26"/>
      <c r="NM138" s="26"/>
      <c r="NN138" s="26"/>
      <c r="NO138" s="26"/>
      <c r="NP138" s="26"/>
      <c r="NQ138" s="26"/>
      <c r="NR138" s="26"/>
      <c r="NS138" s="26"/>
      <c r="NT138" s="26"/>
      <c r="NU138" s="26"/>
      <c r="NV138" s="26"/>
      <c r="NW138" s="26"/>
      <c r="NX138" s="26"/>
      <c r="NY138" s="26"/>
      <c r="NZ138" s="26"/>
      <c r="OA138" s="26"/>
      <c r="OB138" s="26"/>
      <c r="OC138" s="26"/>
      <c r="OD138" s="26"/>
      <c r="OE138" s="26"/>
      <c r="OF138" s="23"/>
      <c r="OG138" s="26"/>
      <c r="OH138" s="26"/>
      <c r="OI138" s="26"/>
      <c r="OJ138" s="26"/>
      <c r="OK138" s="26"/>
      <c r="OL138" s="26"/>
      <c r="OM138" s="26"/>
      <c r="ON138" s="26"/>
      <c r="OO138" s="26"/>
      <c r="OP138" s="26"/>
      <c r="OQ138" s="26"/>
      <c r="OR138" s="26"/>
      <c r="OS138" s="26"/>
      <c r="OT138" s="26"/>
      <c r="OU138" s="26"/>
      <c r="OV138" s="26"/>
      <c r="OW138" s="26"/>
      <c r="OX138" s="26"/>
      <c r="OY138" s="26"/>
      <c r="OZ138" s="26"/>
      <c r="PA138" s="26"/>
      <c r="PB138" s="26"/>
      <c r="PC138" s="26"/>
      <c r="PD138" s="26"/>
      <c r="PE138" s="26"/>
      <c r="PF138" s="26"/>
      <c r="PG138" s="26"/>
      <c r="PH138" s="26"/>
      <c r="PI138" s="26"/>
      <c r="PJ138" s="26"/>
      <c r="PK138" s="26"/>
      <c r="PL138" s="26"/>
      <c r="PM138" s="26"/>
      <c r="PN138" s="26"/>
      <c r="PO138" s="26"/>
      <c r="PP138" s="26"/>
      <c r="PQ138" s="26"/>
      <c r="PR138" s="26"/>
    </row>
    <row r="139" spans="1:434" x14ac:dyDescent="0.25">
      <c r="A139" s="24"/>
      <c r="B139" s="25" t="s">
        <v>206</v>
      </c>
      <c r="C139" s="24" t="s">
        <v>66</v>
      </c>
      <c r="D139" s="24" t="s">
        <v>76</v>
      </c>
      <c r="E139" s="24"/>
      <c r="F139" s="23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3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3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3"/>
      <c r="DT139" s="26"/>
      <c r="DU139" s="26"/>
      <c r="DV139" s="26"/>
      <c r="DW139" s="26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  <c r="EH139" s="26"/>
      <c r="EI139" s="26"/>
      <c r="EJ139" s="26"/>
      <c r="EK139" s="26"/>
      <c r="EL139" s="26"/>
      <c r="EM139" s="26"/>
      <c r="EN139" s="26"/>
      <c r="EO139" s="26"/>
      <c r="EP139" s="26"/>
      <c r="EQ139" s="26"/>
      <c r="ER139" s="26"/>
      <c r="ES139" s="26"/>
      <c r="ET139" s="26"/>
      <c r="EU139" s="26"/>
      <c r="EV139" s="26"/>
      <c r="EW139" s="26"/>
      <c r="EX139" s="26"/>
      <c r="EY139" s="26"/>
      <c r="EZ139" s="26"/>
      <c r="FA139" s="26"/>
      <c r="FB139" s="26"/>
      <c r="FC139" s="26"/>
      <c r="FD139" s="26"/>
      <c r="FE139" s="26"/>
      <c r="FF139" s="23"/>
      <c r="FG139" s="26"/>
      <c r="FH139" s="26"/>
      <c r="FI139" s="26"/>
      <c r="FJ139" s="26"/>
      <c r="FK139" s="26"/>
      <c r="FL139" s="26"/>
      <c r="FM139" s="26"/>
      <c r="FN139" s="26"/>
      <c r="FO139" s="26"/>
      <c r="FP139" s="26"/>
      <c r="FQ139" s="26"/>
      <c r="FR139" s="26"/>
      <c r="FS139" s="26"/>
      <c r="FT139" s="26"/>
      <c r="FU139" s="26"/>
      <c r="FV139" s="26"/>
      <c r="FW139" s="26"/>
      <c r="FX139" s="26"/>
      <c r="FY139" s="26"/>
      <c r="FZ139" s="26"/>
      <c r="GA139" s="26"/>
      <c r="GB139" s="26"/>
      <c r="GC139" s="26"/>
      <c r="GD139" s="26"/>
      <c r="GE139" s="26"/>
      <c r="GF139" s="26"/>
      <c r="GG139" s="26"/>
      <c r="GH139" s="26"/>
      <c r="GI139" s="26"/>
      <c r="GJ139" s="26"/>
      <c r="GK139" s="26"/>
      <c r="GL139" s="26"/>
      <c r="GM139" s="26"/>
      <c r="GN139" s="26"/>
      <c r="GO139" s="26"/>
      <c r="GP139" s="26"/>
      <c r="GQ139" s="26"/>
      <c r="GR139" s="26"/>
      <c r="GS139" s="23"/>
      <c r="GT139" s="26"/>
      <c r="GU139" s="26"/>
      <c r="GV139" s="26"/>
      <c r="GW139" s="26"/>
      <c r="GX139" s="26"/>
      <c r="GY139" s="26"/>
      <c r="GZ139" s="26"/>
      <c r="HA139" s="26"/>
      <c r="HB139" s="26"/>
      <c r="HC139" s="26"/>
      <c r="HD139" s="26"/>
      <c r="HE139" s="26"/>
      <c r="HF139" s="26"/>
      <c r="HG139" s="26"/>
      <c r="HH139" s="26"/>
      <c r="HI139" s="26"/>
      <c r="HJ139" s="26"/>
      <c r="HK139" s="26"/>
      <c r="HL139" s="26"/>
      <c r="HM139" s="26"/>
      <c r="HN139" s="26"/>
      <c r="HO139" s="26"/>
      <c r="HP139" s="26"/>
      <c r="HQ139" s="26"/>
      <c r="HR139" s="26"/>
      <c r="HS139" s="26"/>
      <c r="HT139" s="26"/>
      <c r="HU139" s="26"/>
      <c r="HV139" s="26"/>
      <c r="HW139" s="26"/>
      <c r="HX139" s="26"/>
      <c r="HY139" s="26"/>
      <c r="HZ139" s="26"/>
      <c r="IA139" s="26"/>
      <c r="IB139" s="26"/>
      <c r="IC139" s="26"/>
      <c r="ID139" s="26"/>
      <c r="IE139" s="26"/>
      <c r="IF139" s="23"/>
      <c r="IG139" s="26"/>
      <c r="IH139" s="26"/>
      <c r="II139" s="26"/>
      <c r="IJ139" s="26"/>
      <c r="IK139" s="26"/>
      <c r="IL139" s="26"/>
      <c r="IM139" s="26"/>
      <c r="IN139" s="26"/>
      <c r="IO139" s="26"/>
      <c r="IP139" s="26"/>
      <c r="IQ139" s="26"/>
      <c r="IR139" s="26"/>
      <c r="IS139" s="26"/>
      <c r="IT139" s="26"/>
      <c r="IU139" s="26"/>
      <c r="IV139" s="26"/>
      <c r="IW139" s="26"/>
      <c r="IX139" s="26"/>
      <c r="IY139" s="26"/>
      <c r="IZ139" s="26"/>
      <c r="JA139" s="26"/>
      <c r="JB139" s="26"/>
      <c r="JC139" s="26"/>
      <c r="JD139" s="26"/>
      <c r="JE139" s="26"/>
      <c r="JF139" s="26"/>
      <c r="JG139" s="26"/>
      <c r="JH139" s="26"/>
      <c r="JI139" s="26"/>
      <c r="JJ139" s="26"/>
      <c r="JK139" s="26"/>
      <c r="JL139" s="26"/>
      <c r="JM139" s="26"/>
      <c r="JN139" s="26"/>
      <c r="JO139" s="26"/>
      <c r="JP139" s="26"/>
      <c r="JQ139" s="26"/>
      <c r="JR139" s="26"/>
      <c r="JS139" s="23"/>
      <c r="JT139" s="26"/>
      <c r="JU139" s="26"/>
      <c r="JV139" s="26"/>
      <c r="JW139" s="26"/>
      <c r="JX139" s="26"/>
      <c r="JY139" s="26"/>
      <c r="JZ139" s="26"/>
      <c r="KA139" s="26"/>
      <c r="KB139" s="26"/>
      <c r="KC139" s="26"/>
      <c r="KD139" s="26"/>
      <c r="KE139" s="26"/>
      <c r="KF139" s="26"/>
      <c r="KG139" s="26"/>
      <c r="KH139" s="26"/>
      <c r="KI139" s="26"/>
      <c r="KJ139" s="26"/>
      <c r="KK139" s="26"/>
      <c r="KL139" s="26"/>
      <c r="KM139" s="26"/>
      <c r="KN139" s="26"/>
      <c r="KO139" s="26"/>
      <c r="KP139" s="26"/>
      <c r="KQ139" s="26"/>
      <c r="KR139" s="26"/>
      <c r="KS139" s="26"/>
      <c r="KT139" s="26"/>
      <c r="KU139" s="26"/>
      <c r="KV139" s="26"/>
      <c r="KW139" s="26"/>
      <c r="KX139" s="26"/>
      <c r="KY139" s="26"/>
      <c r="KZ139" s="26"/>
      <c r="LA139" s="26"/>
      <c r="LB139" s="26"/>
      <c r="LC139" s="26"/>
      <c r="LD139" s="26"/>
      <c r="LE139" s="26"/>
      <c r="LF139" s="23"/>
      <c r="LG139" s="26"/>
      <c r="LH139" s="26"/>
      <c r="LI139" s="26"/>
      <c r="LJ139" s="26"/>
      <c r="LK139" s="26"/>
      <c r="LL139" s="26"/>
      <c r="LM139" s="26"/>
      <c r="LN139" s="26"/>
      <c r="LO139" s="26"/>
      <c r="LP139" s="26"/>
      <c r="LQ139" s="26"/>
      <c r="LR139" s="26"/>
      <c r="LS139" s="26"/>
      <c r="LT139" s="26"/>
      <c r="LU139" s="26"/>
      <c r="LV139" s="26"/>
      <c r="LW139" s="26"/>
      <c r="LX139" s="26"/>
      <c r="LY139" s="26"/>
      <c r="LZ139" s="26"/>
      <c r="MA139" s="26"/>
      <c r="MB139" s="26"/>
      <c r="MC139" s="26"/>
      <c r="MD139" s="26"/>
      <c r="ME139" s="26"/>
      <c r="MF139" s="26"/>
      <c r="MG139" s="26"/>
      <c r="MH139" s="26"/>
      <c r="MI139" s="26"/>
      <c r="MJ139" s="26"/>
      <c r="MK139" s="26"/>
      <c r="ML139" s="26"/>
      <c r="MM139" s="26"/>
      <c r="MN139" s="26"/>
      <c r="MO139" s="26"/>
      <c r="MP139" s="26"/>
      <c r="MQ139" s="26"/>
      <c r="MR139" s="26"/>
      <c r="MS139" s="23"/>
      <c r="MT139" s="26"/>
      <c r="MU139" s="26"/>
      <c r="MV139" s="26"/>
      <c r="MW139" s="26"/>
      <c r="MX139" s="26"/>
      <c r="MY139" s="26"/>
      <c r="MZ139" s="26"/>
      <c r="NA139" s="26"/>
      <c r="NB139" s="26"/>
      <c r="NC139" s="26"/>
      <c r="ND139" s="26"/>
      <c r="NE139" s="26"/>
      <c r="NF139" s="26"/>
      <c r="NG139" s="26"/>
      <c r="NH139" s="26"/>
      <c r="NI139" s="26"/>
      <c r="NJ139" s="26"/>
      <c r="NK139" s="26"/>
      <c r="NL139" s="26"/>
      <c r="NM139" s="26"/>
      <c r="NN139" s="26"/>
      <c r="NO139" s="26"/>
      <c r="NP139" s="26"/>
      <c r="NQ139" s="26"/>
      <c r="NR139" s="26"/>
      <c r="NS139" s="26"/>
      <c r="NT139" s="26"/>
      <c r="NU139" s="26"/>
      <c r="NV139" s="26"/>
      <c r="NW139" s="26"/>
      <c r="NX139" s="26"/>
      <c r="NY139" s="26"/>
      <c r="NZ139" s="26"/>
      <c r="OA139" s="26"/>
      <c r="OB139" s="26"/>
      <c r="OC139" s="26"/>
      <c r="OD139" s="26"/>
      <c r="OE139" s="26"/>
      <c r="OF139" s="23"/>
      <c r="OG139" s="26"/>
      <c r="OH139" s="26"/>
      <c r="OI139" s="26"/>
      <c r="OJ139" s="26"/>
      <c r="OK139" s="26"/>
      <c r="OL139" s="26"/>
      <c r="OM139" s="26"/>
      <c r="ON139" s="26"/>
      <c r="OO139" s="26"/>
      <c r="OP139" s="26"/>
      <c r="OQ139" s="26"/>
      <c r="OR139" s="26"/>
      <c r="OS139" s="26"/>
      <c r="OT139" s="26"/>
      <c r="OU139" s="26"/>
      <c r="OV139" s="26"/>
      <c r="OW139" s="26"/>
      <c r="OX139" s="26"/>
      <c r="OY139" s="26"/>
      <c r="OZ139" s="26"/>
      <c r="PA139" s="26"/>
      <c r="PB139" s="26"/>
      <c r="PC139" s="26"/>
      <c r="PD139" s="26"/>
      <c r="PE139" s="26"/>
      <c r="PF139" s="26"/>
      <c r="PG139" s="26"/>
      <c r="PH139" s="26"/>
      <c r="PI139" s="26"/>
      <c r="PJ139" s="26"/>
      <c r="PK139" s="26"/>
      <c r="PL139" s="26"/>
      <c r="PM139" s="26"/>
      <c r="PN139" s="26"/>
      <c r="PO139" s="26"/>
      <c r="PP139" s="26"/>
      <c r="PQ139" s="26"/>
      <c r="PR139" s="26"/>
    </row>
    <row r="140" spans="1:434" x14ac:dyDescent="0.25">
      <c r="A140" s="24"/>
      <c r="B140" s="25" t="s">
        <v>207</v>
      </c>
      <c r="C140" s="24" t="s">
        <v>70</v>
      </c>
      <c r="D140" s="24" t="s">
        <v>76</v>
      </c>
      <c r="E140" s="24"/>
      <c r="F140" s="23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3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3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3"/>
      <c r="DT140" s="26"/>
      <c r="DU140" s="26"/>
      <c r="DV140" s="26"/>
      <c r="DW140" s="26"/>
      <c r="DX140" s="26"/>
      <c r="DY140" s="26"/>
      <c r="DZ140" s="26"/>
      <c r="EA140" s="26"/>
      <c r="EB140" s="26"/>
      <c r="EC140" s="26"/>
      <c r="ED140" s="26"/>
      <c r="EE140" s="26"/>
      <c r="EF140" s="26"/>
      <c r="EG140" s="26"/>
      <c r="EH140" s="26"/>
      <c r="EI140" s="26"/>
      <c r="EJ140" s="26"/>
      <c r="EK140" s="26"/>
      <c r="EL140" s="26"/>
      <c r="EM140" s="26"/>
      <c r="EN140" s="26"/>
      <c r="EO140" s="26"/>
      <c r="EP140" s="26"/>
      <c r="EQ140" s="26"/>
      <c r="ER140" s="26"/>
      <c r="ES140" s="26"/>
      <c r="ET140" s="26"/>
      <c r="EU140" s="26"/>
      <c r="EV140" s="26"/>
      <c r="EW140" s="26"/>
      <c r="EX140" s="26"/>
      <c r="EY140" s="26"/>
      <c r="EZ140" s="26"/>
      <c r="FA140" s="26"/>
      <c r="FB140" s="26"/>
      <c r="FC140" s="26"/>
      <c r="FD140" s="26"/>
      <c r="FE140" s="26"/>
      <c r="FF140" s="23"/>
      <c r="FG140" s="26"/>
      <c r="FH140" s="26"/>
      <c r="FI140" s="26"/>
      <c r="FJ140" s="26"/>
      <c r="FK140" s="26"/>
      <c r="FL140" s="26"/>
      <c r="FM140" s="26"/>
      <c r="FN140" s="26"/>
      <c r="FO140" s="26"/>
      <c r="FP140" s="26"/>
      <c r="FQ140" s="26"/>
      <c r="FR140" s="26"/>
      <c r="FS140" s="26"/>
      <c r="FT140" s="26"/>
      <c r="FU140" s="26"/>
      <c r="FV140" s="26"/>
      <c r="FW140" s="26"/>
      <c r="FX140" s="26"/>
      <c r="FY140" s="26"/>
      <c r="FZ140" s="26"/>
      <c r="GA140" s="26"/>
      <c r="GB140" s="26"/>
      <c r="GC140" s="26"/>
      <c r="GD140" s="26"/>
      <c r="GE140" s="26"/>
      <c r="GF140" s="26"/>
      <c r="GG140" s="26"/>
      <c r="GH140" s="26"/>
      <c r="GI140" s="26"/>
      <c r="GJ140" s="26"/>
      <c r="GK140" s="26"/>
      <c r="GL140" s="26"/>
      <c r="GM140" s="26"/>
      <c r="GN140" s="26"/>
      <c r="GO140" s="26"/>
      <c r="GP140" s="26"/>
      <c r="GQ140" s="26"/>
      <c r="GR140" s="26"/>
      <c r="GS140" s="23"/>
      <c r="GT140" s="26"/>
      <c r="GU140" s="26"/>
      <c r="GV140" s="26"/>
      <c r="GW140" s="26"/>
      <c r="GX140" s="26"/>
      <c r="GY140" s="26"/>
      <c r="GZ140" s="26"/>
      <c r="HA140" s="26"/>
      <c r="HB140" s="26"/>
      <c r="HC140" s="26"/>
      <c r="HD140" s="26"/>
      <c r="HE140" s="26"/>
      <c r="HF140" s="26"/>
      <c r="HG140" s="26"/>
      <c r="HH140" s="26"/>
      <c r="HI140" s="26"/>
      <c r="HJ140" s="26"/>
      <c r="HK140" s="26"/>
      <c r="HL140" s="26"/>
      <c r="HM140" s="26"/>
      <c r="HN140" s="26"/>
      <c r="HO140" s="26"/>
      <c r="HP140" s="26"/>
      <c r="HQ140" s="26"/>
      <c r="HR140" s="26"/>
      <c r="HS140" s="26"/>
      <c r="HT140" s="26"/>
      <c r="HU140" s="26"/>
      <c r="HV140" s="26"/>
      <c r="HW140" s="26"/>
      <c r="HX140" s="26"/>
      <c r="HY140" s="26"/>
      <c r="HZ140" s="26"/>
      <c r="IA140" s="26"/>
      <c r="IB140" s="26"/>
      <c r="IC140" s="26"/>
      <c r="ID140" s="26"/>
      <c r="IE140" s="26"/>
      <c r="IF140" s="23"/>
      <c r="IG140" s="26"/>
      <c r="IH140" s="26"/>
      <c r="II140" s="26"/>
      <c r="IJ140" s="26"/>
      <c r="IK140" s="26"/>
      <c r="IL140" s="26"/>
      <c r="IM140" s="26"/>
      <c r="IN140" s="26"/>
      <c r="IO140" s="26"/>
      <c r="IP140" s="26"/>
      <c r="IQ140" s="26"/>
      <c r="IR140" s="26"/>
      <c r="IS140" s="26"/>
      <c r="IT140" s="26"/>
      <c r="IU140" s="26"/>
      <c r="IV140" s="26"/>
      <c r="IW140" s="26"/>
      <c r="IX140" s="26"/>
      <c r="IY140" s="26"/>
      <c r="IZ140" s="26"/>
      <c r="JA140" s="26"/>
      <c r="JB140" s="26"/>
      <c r="JC140" s="26"/>
      <c r="JD140" s="26"/>
      <c r="JE140" s="26"/>
      <c r="JF140" s="26"/>
      <c r="JG140" s="26"/>
      <c r="JH140" s="26"/>
      <c r="JI140" s="26"/>
      <c r="JJ140" s="26"/>
      <c r="JK140" s="26"/>
      <c r="JL140" s="26"/>
      <c r="JM140" s="26"/>
      <c r="JN140" s="26"/>
      <c r="JO140" s="26"/>
      <c r="JP140" s="26"/>
      <c r="JQ140" s="26"/>
      <c r="JR140" s="26"/>
      <c r="JS140" s="23"/>
      <c r="JT140" s="26"/>
      <c r="JU140" s="26"/>
      <c r="JV140" s="26"/>
      <c r="JW140" s="26"/>
      <c r="JX140" s="26"/>
      <c r="JY140" s="26"/>
      <c r="JZ140" s="26"/>
      <c r="KA140" s="26"/>
      <c r="KB140" s="26"/>
      <c r="KC140" s="26"/>
      <c r="KD140" s="26"/>
      <c r="KE140" s="26"/>
      <c r="KF140" s="26"/>
      <c r="KG140" s="26"/>
      <c r="KH140" s="26"/>
      <c r="KI140" s="26"/>
      <c r="KJ140" s="26"/>
      <c r="KK140" s="26"/>
      <c r="KL140" s="26"/>
      <c r="KM140" s="26"/>
      <c r="KN140" s="26"/>
      <c r="KO140" s="26"/>
      <c r="KP140" s="26"/>
      <c r="KQ140" s="26"/>
      <c r="KR140" s="26"/>
      <c r="KS140" s="26"/>
      <c r="KT140" s="26"/>
      <c r="KU140" s="26"/>
      <c r="KV140" s="26"/>
      <c r="KW140" s="26"/>
      <c r="KX140" s="26"/>
      <c r="KY140" s="26"/>
      <c r="KZ140" s="26"/>
      <c r="LA140" s="26"/>
      <c r="LB140" s="26"/>
      <c r="LC140" s="26"/>
      <c r="LD140" s="26"/>
      <c r="LE140" s="26"/>
      <c r="LF140" s="23"/>
      <c r="LG140" s="26"/>
      <c r="LH140" s="26"/>
      <c r="LI140" s="26"/>
      <c r="LJ140" s="26"/>
      <c r="LK140" s="26"/>
      <c r="LL140" s="26"/>
      <c r="LM140" s="26"/>
      <c r="LN140" s="26"/>
      <c r="LO140" s="26"/>
      <c r="LP140" s="26"/>
      <c r="LQ140" s="26"/>
      <c r="LR140" s="26"/>
      <c r="LS140" s="26"/>
      <c r="LT140" s="26"/>
      <c r="LU140" s="26"/>
      <c r="LV140" s="26"/>
      <c r="LW140" s="26"/>
      <c r="LX140" s="26"/>
      <c r="LY140" s="26"/>
      <c r="LZ140" s="26"/>
      <c r="MA140" s="26"/>
      <c r="MB140" s="26"/>
      <c r="MC140" s="26"/>
      <c r="MD140" s="26"/>
      <c r="ME140" s="26"/>
      <c r="MF140" s="26"/>
      <c r="MG140" s="26"/>
      <c r="MH140" s="26"/>
      <c r="MI140" s="26"/>
      <c r="MJ140" s="26"/>
      <c r="MK140" s="26"/>
      <c r="ML140" s="26"/>
      <c r="MM140" s="26"/>
      <c r="MN140" s="26"/>
      <c r="MO140" s="26"/>
      <c r="MP140" s="26"/>
      <c r="MQ140" s="26"/>
      <c r="MR140" s="26"/>
      <c r="MS140" s="23"/>
      <c r="MT140" s="26"/>
      <c r="MU140" s="26"/>
      <c r="MV140" s="26"/>
      <c r="MW140" s="26"/>
      <c r="MX140" s="26"/>
      <c r="MY140" s="26"/>
      <c r="MZ140" s="26"/>
      <c r="NA140" s="26"/>
      <c r="NB140" s="26"/>
      <c r="NC140" s="26"/>
      <c r="ND140" s="26"/>
      <c r="NE140" s="26"/>
      <c r="NF140" s="26"/>
      <c r="NG140" s="26"/>
      <c r="NH140" s="26"/>
      <c r="NI140" s="26"/>
      <c r="NJ140" s="26"/>
      <c r="NK140" s="26"/>
      <c r="NL140" s="26"/>
      <c r="NM140" s="26"/>
      <c r="NN140" s="26"/>
      <c r="NO140" s="26"/>
      <c r="NP140" s="26"/>
      <c r="NQ140" s="26"/>
      <c r="NR140" s="26"/>
      <c r="NS140" s="26"/>
      <c r="NT140" s="26"/>
      <c r="NU140" s="26"/>
      <c r="NV140" s="26"/>
      <c r="NW140" s="26"/>
      <c r="NX140" s="26"/>
      <c r="NY140" s="26"/>
      <c r="NZ140" s="26"/>
      <c r="OA140" s="26"/>
      <c r="OB140" s="26"/>
      <c r="OC140" s="26"/>
      <c r="OD140" s="26"/>
      <c r="OE140" s="26"/>
      <c r="OF140" s="23"/>
      <c r="OG140" s="26"/>
      <c r="OH140" s="26"/>
      <c r="OI140" s="26"/>
      <c r="OJ140" s="26"/>
      <c r="OK140" s="26"/>
      <c r="OL140" s="26"/>
      <c r="OM140" s="26"/>
      <c r="ON140" s="26"/>
      <c r="OO140" s="26"/>
      <c r="OP140" s="26"/>
      <c r="OQ140" s="26"/>
      <c r="OR140" s="26"/>
      <c r="OS140" s="26"/>
      <c r="OT140" s="26"/>
      <c r="OU140" s="26"/>
      <c r="OV140" s="26"/>
      <c r="OW140" s="26"/>
      <c r="OX140" s="26"/>
      <c r="OY140" s="26"/>
      <c r="OZ140" s="26"/>
      <c r="PA140" s="26"/>
      <c r="PB140" s="26"/>
      <c r="PC140" s="26"/>
      <c r="PD140" s="26"/>
      <c r="PE140" s="26"/>
      <c r="PF140" s="26"/>
      <c r="PG140" s="26"/>
      <c r="PH140" s="26"/>
      <c r="PI140" s="26"/>
      <c r="PJ140" s="26"/>
      <c r="PK140" s="26"/>
      <c r="PL140" s="26"/>
      <c r="PM140" s="26"/>
      <c r="PN140" s="26"/>
      <c r="PO140" s="26"/>
      <c r="PP140" s="26"/>
      <c r="PQ140" s="26"/>
      <c r="PR140" s="26"/>
    </row>
    <row r="141" spans="1:434" x14ac:dyDescent="0.25">
      <c r="A141" s="24"/>
      <c r="B141" s="25" t="s">
        <v>208</v>
      </c>
      <c r="C141" s="24" t="s">
        <v>66</v>
      </c>
      <c r="D141" s="24" t="s">
        <v>76</v>
      </c>
      <c r="E141" s="24"/>
      <c r="F141" s="23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3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3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3"/>
      <c r="DT141" s="26"/>
      <c r="DU141" s="26"/>
      <c r="DV141" s="26"/>
      <c r="DW141" s="26"/>
      <c r="DX141" s="26"/>
      <c r="DY141" s="26"/>
      <c r="DZ141" s="26"/>
      <c r="EA141" s="26"/>
      <c r="EB141" s="26"/>
      <c r="EC141" s="26"/>
      <c r="ED141" s="26"/>
      <c r="EE141" s="26"/>
      <c r="EF141" s="26"/>
      <c r="EG141" s="26"/>
      <c r="EH141" s="26"/>
      <c r="EI141" s="26"/>
      <c r="EJ141" s="26"/>
      <c r="EK141" s="26"/>
      <c r="EL141" s="26"/>
      <c r="EM141" s="26"/>
      <c r="EN141" s="26"/>
      <c r="EO141" s="26"/>
      <c r="EP141" s="26"/>
      <c r="EQ141" s="26"/>
      <c r="ER141" s="26"/>
      <c r="ES141" s="26"/>
      <c r="ET141" s="26"/>
      <c r="EU141" s="26"/>
      <c r="EV141" s="26"/>
      <c r="EW141" s="26"/>
      <c r="EX141" s="26"/>
      <c r="EY141" s="26"/>
      <c r="EZ141" s="26"/>
      <c r="FA141" s="26"/>
      <c r="FB141" s="26"/>
      <c r="FC141" s="26"/>
      <c r="FD141" s="26"/>
      <c r="FE141" s="26"/>
      <c r="FF141" s="23"/>
      <c r="FG141" s="26"/>
      <c r="FH141" s="26"/>
      <c r="FI141" s="26"/>
      <c r="FJ141" s="26"/>
      <c r="FK141" s="26"/>
      <c r="FL141" s="26"/>
      <c r="FM141" s="26"/>
      <c r="FN141" s="26"/>
      <c r="FO141" s="26"/>
      <c r="FP141" s="26"/>
      <c r="FQ141" s="26"/>
      <c r="FR141" s="26"/>
      <c r="FS141" s="26"/>
      <c r="FT141" s="26"/>
      <c r="FU141" s="26"/>
      <c r="FV141" s="26"/>
      <c r="FW141" s="26"/>
      <c r="FX141" s="26"/>
      <c r="FY141" s="26"/>
      <c r="FZ141" s="26"/>
      <c r="GA141" s="26"/>
      <c r="GB141" s="26"/>
      <c r="GC141" s="26"/>
      <c r="GD141" s="26"/>
      <c r="GE141" s="26"/>
      <c r="GF141" s="26"/>
      <c r="GG141" s="26"/>
      <c r="GH141" s="26"/>
      <c r="GI141" s="26"/>
      <c r="GJ141" s="26"/>
      <c r="GK141" s="26"/>
      <c r="GL141" s="26"/>
      <c r="GM141" s="26"/>
      <c r="GN141" s="26"/>
      <c r="GO141" s="26"/>
      <c r="GP141" s="26"/>
      <c r="GQ141" s="26"/>
      <c r="GR141" s="26"/>
      <c r="GS141" s="23"/>
      <c r="GT141" s="26"/>
      <c r="GU141" s="26"/>
      <c r="GV141" s="26"/>
      <c r="GW141" s="26"/>
      <c r="GX141" s="26"/>
      <c r="GY141" s="26"/>
      <c r="GZ141" s="26"/>
      <c r="HA141" s="26"/>
      <c r="HB141" s="26"/>
      <c r="HC141" s="26"/>
      <c r="HD141" s="26"/>
      <c r="HE141" s="26"/>
      <c r="HF141" s="26"/>
      <c r="HG141" s="26"/>
      <c r="HH141" s="26"/>
      <c r="HI141" s="26"/>
      <c r="HJ141" s="26"/>
      <c r="HK141" s="26"/>
      <c r="HL141" s="26"/>
      <c r="HM141" s="26"/>
      <c r="HN141" s="26"/>
      <c r="HO141" s="26"/>
      <c r="HP141" s="26"/>
      <c r="HQ141" s="26"/>
      <c r="HR141" s="26"/>
      <c r="HS141" s="26"/>
      <c r="HT141" s="26"/>
      <c r="HU141" s="26"/>
      <c r="HV141" s="26"/>
      <c r="HW141" s="26"/>
      <c r="HX141" s="26"/>
      <c r="HY141" s="26"/>
      <c r="HZ141" s="26"/>
      <c r="IA141" s="26"/>
      <c r="IB141" s="26"/>
      <c r="IC141" s="26"/>
      <c r="ID141" s="26"/>
      <c r="IE141" s="26"/>
      <c r="IF141" s="23"/>
      <c r="IG141" s="26"/>
      <c r="IH141" s="26"/>
      <c r="II141" s="26"/>
      <c r="IJ141" s="26"/>
      <c r="IK141" s="26"/>
      <c r="IL141" s="26"/>
      <c r="IM141" s="26"/>
      <c r="IN141" s="26"/>
      <c r="IO141" s="26"/>
      <c r="IP141" s="26"/>
      <c r="IQ141" s="26"/>
      <c r="IR141" s="26"/>
      <c r="IS141" s="26"/>
      <c r="IT141" s="26"/>
      <c r="IU141" s="26"/>
      <c r="IV141" s="26"/>
      <c r="IW141" s="26"/>
      <c r="IX141" s="26"/>
      <c r="IY141" s="26"/>
      <c r="IZ141" s="26"/>
      <c r="JA141" s="26"/>
      <c r="JB141" s="26"/>
      <c r="JC141" s="26"/>
      <c r="JD141" s="26"/>
      <c r="JE141" s="26"/>
      <c r="JF141" s="26"/>
      <c r="JG141" s="26"/>
      <c r="JH141" s="26"/>
      <c r="JI141" s="26"/>
      <c r="JJ141" s="26"/>
      <c r="JK141" s="26"/>
      <c r="JL141" s="26"/>
      <c r="JM141" s="26"/>
      <c r="JN141" s="26"/>
      <c r="JO141" s="26"/>
      <c r="JP141" s="26"/>
      <c r="JQ141" s="26"/>
      <c r="JR141" s="26"/>
      <c r="JS141" s="23"/>
      <c r="JT141" s="26"/>
      <c r="JU141" s="26"/>
      <c r="JV141" s="26"/>
      <c r="JW141" s="26"/>
      <c r="JX141" s="26"/>
      <c r="JY141" s="26"/>
      <c r="JZ141" s="26"/>
      <c r="KA141" s="26"/>
      <c r="KB141" s="26"/>
      <c r="KC141" s="26"/>
      <c r="KD141" s="26"/>
      <c r="KE141" s="26"/>
      <c r="KF141" s="26"/>
      <c r="KG141" s="26"/>
      <c r="KH141" s="26"/>
      <c r="KI141" s="26"/>
      <c r="KJ141" s="26"/>
      <c r="KK141" s="26"/>
      <c r="KL141" s="26"/>
      <c r="KM141" s="26"/>
      <c r="KN141" s="26"/>
      <c r="KO141" s="26"/>
      <c r="KP141" s="26"/>
      <c r="KQ141" s="26"/>
      <c r="KR141" s="26"/>
      <c r="KS141" s="26"/>
      <c r="KT141" s="26"/>
      <c r="KU141" s="26"/>
      <c r="KV141" s="26"/>
      <c r="KW141" s="26"/>
      <c r="KX141" s="26"/>
      <c r="KY141" s="26"/>
      <c r="KZ141" s="26"/>
      <c r="LA141" s="26"/>
      <c r="LB141" s="26"/>
      <c r="LC141" s="26"/>
      <c r="LD141" s="26"/>
      <c r="LE141" s="26"/>
      <c r="LF141" s="23"/>
      <c r="LG141" s="26"/>
      <c r="LH141" s="26"/>
      <c r="LI141" s="26"/>
      <c r="LJ141" s="26"/>
      <c r="LK141" s="26"/>
      <c r="LL141" s="26"/>
      <c r="LM141" s="26"/>
      <c r="LN141" s="26"/>
      <c r="LO141" s="26"/>
      <c r="LP141" s="26"/>
      <c r="LQ141" s="26"/>
      <c r="LR141" s="26"/>
      <c r="LS141" s="26"/>
      <c r="LT141" s="26"/>
      <c r="LU141" s="26"/>
      <c r="LV141" s="26"/>
      <c r="LW141" s="26"/>
      <c r="LX141" s="26"/>
      <c r="LY141" s="26"/>
      <c r="LZ141" s="26"/>
      <c r="MA141" s="26"/>
      <c r="MB141" s="26"/>
      <c r="MC141" s="26"/>
      <c r="MD141" s="26"/>
      <c r="ME141" s="26"/>
      <c r="MF141" s="26"/>
      <c r="MG141" s="26"/>
      <c r="MH141" s="26"/>
      <c r="MI141" s="26"/>
      <c r="MJ141" s="26"/>
      <c r="MK141" s="26"/>
      <c r="ML141" s="26"/>
      <c r="MM141" s="26"/>
      <c r="MN141" s="26"/>
      <c r="MO141" s="26"/>
      <c r="MP141" s="26"/>
      <c r="MQ141" s="26"/>
      <c r="MR141" s="26"/>
      <c r="MS141" s="23"/>
      <c r="MT141" s="26"/>
      <c r="MU141" s="26"/>
      <c r="MV141" s="26"/>
      <c r="MW141" s="26"/>
      <c r="MX141" s="26"/>
      <c r="MY141" s="26"/>
      <c r="MZ141" s="26"/>
      <c r="NA141" s="26"/>
      <c r="NB141" s="26"/>
      <c r="NC141" s="26"/>
      <c r="ND141" s="26"/>
      <c r="NE141" s="26"/>
      <c r="NF141" s="26"/>
      <c r="NG141" s="26"/>
      <c r="NH141" s="26"/>
      <c r="NI141" s="26"/>
      <c r="NJ141" s="26"/>
      <c r="NK141" s="26"/>
      <c r="NL141" s="26"/>
      <c r="NM141" s="26"/>
      <c r="NN141" s="26"/>
      <c r="NO141" s="26"/>
      <c r="NP141" s="26"/>
      <c r="NQ141" s="26"/>
      <c r="NR141" s="26"/>
      <c r="NS141" s="26"/>
      <c r="NT141" s="26"/>
      <c r="NU141" s="26"/>
      <c r="NV141" s="26"/>
      <c r="NW141" s="26"/>
      <c r="NX141" s="26"/>
      <c r="NY141" s="26"/>
      <c r="NZ141" s="26"/>
      <c r="OA141" s="26"/>
      <c r="OB141" s="26"/>
      <c r="OC141" s="26"/>
      <c r="OD141" s="26"/>
      <c r="OE141" s="26"/>
      <c r="OF141" s="23"/>
      <c r="OG141" s="26"/>
      <c r="OH141" s="26"/>
      <c r="OI141" s="26"/>
      <c r="OJ141" s="26"/>
      <c r="OK141" s="26"/>
      <c r="OL141" s="26"/>
      <c r="OM141" s="26"/>
      <c r="ON141" s="26"/>
      <c r="OO141" s="26"/>
      <c r="OP141" s="26"/>
      <c r="OQ141" s="26"/>
      <c r="OR141" s="26"/>
      <c r="OS141" s="26"/>
      <c r="OT141" s="26"/>
      <c r="OU141" s="26"/>
      <c r="OV141" s="26"/>
      <c r="OW141" s="26"/>
      <c r="OX141" s="26"/>
      <c r="OY141" s="26"/>
      <c r="OZ141" s="26"/>
      <c r="PA141" s="26"/>
      <c r="PB141" s="26"/>
      <c r="PC141" s="26"/>
      <c r="PD141" s="26"/>
      <c r="PE141" s="26"/>
      <c r="PF141" s="26"/>
      <c r="PG141" s="26"/>
      <c r="PH141" s="26"/>
      <c r="PI141" s="26"/>
      <c r="PJ141" s="26"/>
      <c r="PK141" s="26"/>
      <c r="PL141" s="26"/>
      <c r="PM141" s="26"/>
      <c r="PN141" s="26"/>
      <c r="PO141" s="26"/>
      <c r="PP141" s="26"/>
      <c r="PQ141" s="26"/>
      <c r="PR141" s="26"/>
    </row>
    <row r="142" spans="1:434" x14ac:dyDescent="0.25">
      <c r="A142" s="24"/>
      <c r="B142" s="25" t="s">
        <v>209</v>
      </c>
      <c r="C142" s="24" t="s">
        <v>66</v>
      </c>
      <c r="D142" s="24" t="s">
        <v>76</v>
      </c>
      <c r="E142" s="24"/>
      <c r="F142" s="23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3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3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3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3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  <c r="FU142" s="26"/>
      <c r="FV142" s="26"/>
      <c r="FW142" s="26"/>
      <c r="FX142" s="26"/>
      <c r="FY142" s="26"/>
      <c r="FZ142" s="26"/>
      <c r="GA142" s="26"/>
      <c r="GB142" s="26"/>
      <c r="GC142" s="26"/>
      <c r="GD142" s="26"/>
      <c r="GE142" s="26"/>
      <c r="GF142" s="26"/>
      <c r="GG142" s="26"/>
      <c r="GH142" s="26"/>
      <c r="GI142" s="26"/>
      <c r="GJ142" s="26"/>
      <c r="GK142" s="26"/>
      <c r="GL142" s="26"/>
      <c r="GM142" s="26"/>
      <c r="GN142" s="26"/>
      <c r="GO142" s="26"/>
      <c r="GP142" s="26"/>
      <c r="GQ142" s="26"/>
      <c r="GR142" s="26"/>
      <c r="GS142" s="23"/>
      <c r="GT142" s="26"/>
      <c r="GU142" s="26"/>
      <c r="GV142" s="26"/>
      <c r="GW142" s="26"/>
      <c r="GX142" s="26"/>
      <c r="GY142" s="26"/>
      <c r="GZ142" s="26"/>
      <c r="HA142" s="26"/>
      <c r="HB142" s="26"/>
      <c r="HC142" s="26"/>
      <c r="HD142" s="26"/>
      <c r="HE142" s="26"/>
      <c r="HF142" s="26"/>
      <c r="HG142" s="26"/>
      <c r="HH142" s="26"/>
      <c r="HI142" s="26"/>
      <c r="HJ142" s="26"/>
      <c r="HK142" s="26"/>
      <c r="HL142" s="26"/>
      <c r="HM142" s="26"/>
      <c r="HN142" s="26"/>
      <c r="HO142" s="26"/>
      <c r="HP142" s="26"/>
      <c r="HQ142" s="26"/>
      <c r="HR142" s="26"/>
      <c r="HS142" s="26"/>
      <c r="HT142" s="26"/>
      <c r="HU142" s="26"/>
      <c r="HV142" s="26"/>
      <c r="HW142" s="26"/>
      <c r="HX142" s="26"/>
      <c r="HY142" s="26"/>
      <c r="HZ142" s="26"/>
      <c r="IA142" s="26"/>
      <c r="IB142" s="26"/>
      <c r="IC142" s="26"/>
      <c r="ID142" s="26"/>
      <c r="IE142" s="26"/>
      <c r="IF142" s="23"/>
      <c r="IG142" s="26"/>
      <c r="IH142" s="26"/>
      <c r="II142" s="26"/>
      <c r="IJ142" s="26"/>
      <c r="IK142" s="26"/>
      <c r="IL142" s="26"/>
      <c r="IM142" s="26"/>
      <c r="IN142" s="26"/>
      <c r="IO142" s="26"/>
      <c r="IP142" s="26"/>
      <c r="IQ142" s="26"/>
      <c r="IR142" s="26"/>
      <c r="IS142" s="26"/>
      <c r="IT142" s="26"/>
      <c r="IU142" s="26"/>
      <c r="IV142" s="26"/>
      <c r="IW142" s="26"/>
      <c r="IX142" s="26"/>
      <c r="IY142" s="26"/>
      <c r="IZ142" s="26"/>
      <c r="JA142" s="26"/>
      <c r="JB142" s="26"/>
      <c r="JC142" s="26"/>
      <c r="JD142" s="26"/>
      <c r="JE142" s="26"/>
      <c r="JF142" s="26"/>
      <c r="JG142" s="26"/>
      <c r="JH142" s="26"/>
      <c r="JI142" s="26"/>
      <c r="JJ142" s="26"/>
      <c r="JK142" s="26"/>
      <c r="JL142" s="26"/>
      <c r="JM142" s="26"/>
      <c r="JN142" s="26"/>
      <c r="JO142" s="26"/>
      <c r="JP142" s="26"/>
      <c r="JQ142" s="26"/>
      <c r="JR142" s="26"/>
      <c r="JS142" s="23"/>
      <c r="JT142" s="26"/>
      <c r="JU142" s="26"/>
      <c r="JV142" s="26"/>
      <c r="JW142" s="26"/>
      <c r="JX142" s="26"/>
      <c r="JY142" s="26"/>
      <c r="JZ142" s="26"/>
      <c r="KA142" s="26"/>
      <c r="KB142" s="26"/>
      <c r="KC142" s="26"/>
      <c r="KD142" s="26"/>
      <c r="KE142" s="26"/>
      <c r="KF142" s="26"/>
      <c r="KG142" s="26"/>
      <c r="KH142" s="26"/>
      <c r="KI142" s="26"/>
      <c r="KJ142" s="26"/>
      <c r="KK142" s="26"/>
      <c r="KL142" s="26"/>
      <c r="KM142" s="26"/>
      <c r="KN142" s="26"/>
      <c r="KO142" s="26"/>
      <c r="KP142" s="26"/>
      <c r="KQ142" s="26"/>
      <c r="KR142" s="26"/>
      <c r="KS142" s="26"/>
      <c r="KT142" s="26"/>
      <c r="KU142" s="26"/>
      <c r="KV142" s="26"/>
      <c r="KW142" s="26"/>
      <c r="KX142" s="26"/>
      <c r="KY142" s="26"/>
      <c r="KZ142" s="26"/>
      <c r="LA142" s="26"/>
      <c r="LB142" s="26"/>
      <c r="LC142" s="26"/>
      <c r="LD142" s="26"/>
      <c r="LE142" s="26"/>
      <c r="LF142" s="23"/>
      <c r="LG142" s="26"/>
      <c r="LH142" s="26"/>
      <c r="LI142" s="26"/>
      <c r="LJ142" s="26"/>
      <c r="LK142" s="26"/>
      <c r="LL142" s="26"/>
      <c r="LM142" s="26"/>
      <c r="LN142" s="26"/>
      <c r="LO142" s="26"/>
      <c r="LP142" s="26"/>
      <c r="LQ142" s="26"/>
      <c r="LR142" s="26"/>
      <c r="LS142" s="26"/>
      <c r="LT142" s="26"/>
      <c r="LU142" s="26"/>
      <c r="LV142" s="26"/>
      <c r="LW142" s="26"/>
      <c r="LX142" s="26"/>
      <c r="LY142" s="26"/>
      <c r="LZ142" s="26"/>
      <c r="MA142" s="26"/>
      <c r="MB142" s="26"/>
      <c r="MC142" s="26"/>
      <c r="MD142" s="26"/>
      <c r="ME142" s="26"/>
      <c r="MF142" s="26"/>
      <c r="MG142" s="26"/>
      <c r="MH142" s="26"/>
      <c r="MI142" s="26"/>
      <c r="MJ142" s="26"/>
      <c r="MK142" s="26"/>
      <c r="ML142" s="26"/>
      <c r="MM142" s="26"/>
      <c r="MN142" s="26"/>
      <c r="MO142" s="26"/>
      <c r="MP142" s="26"/>
      <c r="MQ142" s="26"/>
      <c r="MR142" s="26"/>
      <c r="MS142" s="23"/>
      <c r="MT142" s="26"/>
      <c r="MU142" s="26"/>
      <c r="MV142" s="26"/>
      <c r="MW142" s="26"/>
      <c r="MX142" s="26"/>
      <c r="MY142" s="26"/>
      <c r="MZ142" s="26"/>
      <c r="NA142" s="26"/>
      <c r="NB142" s="26"/>
      <c r="NC142" s="26"/>
      <c r="ND142" s="26"/>
      <c r="NE142" s="26"/>
      <c r="NF142" s="26"/>
      <c r="NG142" s="26"/>
      <c r="NH142" s="26"/>
      <c r="NI142" s="26"/>
      <c r="NJ142" s="26"/>
      <c r="NK142" s="26"/>
      <c r="NL142" s="26"/>
      <c r="NM142" s="26"/>
      <c r="NN142" s="26"/>
      <c r="NO142" s="26"/>
      <c r="NP142" s="26"/>
      <c r="NQ142" s="26"/>
      <c r="NR142" s="26"/>
      <c r="NS142" s="26"/>
      <c r="NT142" s="26"/>
      <c r="NU142" s="26"/>
      <c r="NV142" s="26"/>
      <c r="NW142" s="26"/>
      <c r="NX142" s="26"/>
      <c r="NY142" s="26"/>
      <c r="NZ142" s="26"/>
      <c r="OA142" s="26"/>
      <c r="OB142" s="26"/>
      <c r="OC142" s="26"/>
      <c r="OD142" s="26"/>
      <c r="OE142" s="26"/>
      <c r="OF142" s="23"/>
      <c r="OG142" s="26"/>
      <c r="OH142" s="26"/>
      <c r="OI142" s="26"/>
      <c r="OJ142" s="26"/>
      <c r="OK142" s="26"/>
      <c r="OL142" s="26"/>
      <c r="OM142" s="26"/>
      <c r="ON142" s="26"/>
      <c r="OO142" s="26"/>
      <c r="OP142" s="26"/>
      <c r="OQ142" s="26"/>
      <c r="OR142" s="26"/>
      <c r="OS142" s="26"/>
      <c r="OT142" s="26"/>
      <c r="OU142" s="26"/>
      <c r="OV142" s="26"/>
      <c r="OW142" s="26"/>
      <c r="OX142" s="26"/>
      <c r="OY142" s="26"/>
      <c r="OZ142" s="26"/>
      <c r="PA142" s="26"/>
      <c r="PB142" s="26"/>
      <c r="PC142" s="26"/>
      <c r="PD142" s="26"/>
      <c r="PE142" s="26"/>
      <c r="PF142" s="26"/>
      <c r="PG142" s="26"/>
      <c r="PH142" s="26"/>
      <c r="PI142" s="26"/>
      <c r="PJ142" s="26"/>
      <c r="PK142" s="26"/>
      <c r="PL142" s="26"/>
      <c r="PM142" s="26"/>
      <c r="PN142" s="26"/>
      <c r="PO142" s="26"/>
      <c r="PP142" s="26"/>
      <c r="PQ142" s="26"/>
      <c r="PR142" s="26"/>
    </row>
    <row r="143" spans="1:434" ht="21.95" customHeight="1" x14ac:dyDescent="0.25">
      <c r="A143" s="84" t="s">
        <v>210</v>
      </c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  <c r="FU143" s="85"/>
      <c r="FV143" s="85"/>
      <c r="FW143" s="85"/>
      <c r="FX143" s="85"/>
      <c r="FY143" s="85"/>
      <c r="FZ143" s="85"/>
      <c r="GA143" s="85"/>
      <c r="GB143" s="85"/>
      <c r="GC143" s="85"/>
      <c r="GD143" s="85"/>
      <c r="GE143" s="85"/>
      <c r="GF143" s="85"/>
      <c r="GG143" s="85"/>
      <c r="GH143" s="85"/>
      <c r="GI143" s="85"/>
      <c r="GJ143" s="85"/>
      <c r="GK143" s="85"/>
      <c r="GL143" s="85"/>
      <c r="GM143" s="85"/>
      <c r="GN143" s="85"/>
      <c r="GO143" s="85"/>
      <c r="GP143" s="85"/>
      <c r="GQ143" s="85"/>
      <c r="GR143" s="85"/>
      <c r="GS143" s="85"/>
      <c r="GT143" s="85"/>
      <c r="GU143" s="85"/>
      <c r="GV143" s="85"/>
      <c r="GW143" s="85"/>
      <c r="GX143" s="85"/>
      <c r="GY143" s="85"/>
      <c r="GZ143" s="85"/>
      <c r="HA143" s="85"/>
      <c r="HB143" s="85"/>
      <c r="HC143" s="85"/>
      <c r="HD143" s="85"/>
      <c r="HE143" s="85"/>
      <c r="HF143" s="85"/>
      <c r="HG143" s="85"/>
      <c r="HH143" s="85"/>
      <c r="HI143" s="85"/>
      <c r="HJ143" s="85"/>
      <c r="HK143" s="85"/>
      <c r="HL143" s="85"/>
      <c r="HM143" s="85"/>
      <c r="HN143" s="85"/>
      <c r="HO143" s="85"/>
      <c r="HP143" s="85"/>
      <c r="HQ143" s="85"/>
      <c r="HR143" s="85"/>
      <c r="HS143" s="85"/>
      <c r="HT143" s="85"/>
      <c r="HU143" s="85"/>
      <c r="HV143" s="85"/>
      <c r="HW143" s="85"/>
      <c r="HX143" s="85"/>
      <c r="HY143" s="85"/>
      <c r="HZ143" s="85"/>
      <c r="IA143" s="85"/>
      <c r="IB143" s="85"/>
      <c r="IC143" s="85"/>
      <c r="ID143" s="85"/>
      <c r="IE143" s="85"/>
      <c r="IF143" s="85"/>
      <c r="IG143" s="85"/>
      <c r="IH143" s="85"/>
      <c r="II143" s="85"/>
      <c r="IJ143" s="85"/>
      <c r="IK143" s="85"/>
      <c r="IL143" s="85"/>
      <c r="IM143" s="85"/>
      <c r="IN143" s="85"/>
      <c r="IO143" s="85"/>
      <c r="IP143" s="85"/>
      <c r="IQ143" s="85"/>
      <c r="IR143" s="85"/>
      <c r="IS143" s="85"/>
      <c r="IT143" s="85"/>
      <c r="IU143" s="85"/>
      <c r="IV143" s="85"/>
      <c r="IW143" s="85"/>
      <c r="IX143" s="85"/>
      <c r="IY143" s="85"/>
      <c r="IZ143" s="85"/>
      <c r="JA143" s="85"/>
      <c r="JB143" s="85"/>
      <c r="JC143" s="85"/>
      <c r="JD143" s="85"/>
      <c r="JE143" s="85"/>
      <c r="JF143" s="85"/>
      <c r="JG143" s="85"/>
      <c r="JH143" s="85"/>
      <c r="JI143" s="85"/>
      <c r="JJ143" s="85"/>
      <c r="JK143" s="85"/>
      <c r="JL143" s="85"/>
      <c r="JM143" s="85"/>
      <c r="JN143" s="85"/>
      <c r="JO143" s="85"/>
      <c r="JP143" s="85"/>
      <c r="JQ143" s="85"/>
      <c r="JR143" s="85"/>
      <c r="JS143" s="85"/>
      <c r="JT143" s="85"/>
      <c r="JU143" s="85"/>
      <c r="JV143" s="85"/>
      <c r="JW143" s="85"/>
      <c r="JX143" s="85"/>
      <c r="JY143" s="85"/>
      <c r="JZ143" s="85"/>
      <c r="KA143" s="85"/>
      <c r="KB143" s="85"/>
      <c r="KC143" s="85"/>
      <c r="KD143" s="85"/>
      <c r="KE143" s="85"/>
      <c r="KF143" s="85"/>
      <c r="KG143" s="85"/>
      <c r="KH143" s="85"/>
      <c r="KI143" s="85"/>
      <c r="KJ143" s="85"/>
      <c r="KK143" s="85"/>
      <c r="KL143" s="85"/>
      <c r="KM143" s="85"/>
      <c r="KN143" s="85"/>
      <c r="KO143" s="85"/>
      <c r="KP143" s="85"/>
      <c r="KQ143" s="85"/>
      <c r="KR143" s="85"/>
      <c r="KS143" s="85"/>
      <c r="KT143" s="85"/>
      <c r="KU143" s="85"/>
      <c r="KV143" s="85"/>
      <c r="KW143" s="85"/>
      <c r="KX143" s="85"/>
      <c r="KY143" s="85"/>
      <c r="KZ143" s="85"/>
      <c r="LA143" s="85"/>
      <c r="LB143" s="85"/>
      <c r="LC143" s="85"/>
      <c r="LD143" s="85"/>
      <c r="LE143" s="85"/>
      <c r="LF143" s="85"/>
      <c r="LG143" s="85"/>
      <c r="LH143" s="85"/>
      <c r="LI143" s="85"/>
      <c r="LJ143" s="85"/>
      <c r="LK143" s="85"/>
      <c r="LL143" s="85"/>
      <c r="LM143" s="85"/>
      <c r="LN143" s="85"/>
      <c r="LO143" s="85"/>
      <c r="LP143" s="85"/>
      <c r="LQ143" s="85"/>
      <c r="LR143" s="85"/>
      <c r="LS143" s="85"/>
      <c r="LT143" s="85"/>
      <c r="LU143" s="85"/>
      <c r="LV143" s="85"/>
      <c r="LW143" s="85"/>
      <c r="LX143" s="85"/>
      <c r="LY143" s="85"/>
      <c r="LZ143" s="85"/>
      <c r="MA143" s="85"/>
      <c r="MB143" s="85"/>
      <c r="MC143" s="85"/>
      <c r="MD143" s="85"/>
      <c r="ME143" s="85"/>
      <c r="MF143" s="85"/>
      <c r="MG143" s="85"/>
      <c r="MH143" s="85"/>
      <c r="MI143" s="85"/>
      <c r="MJ143" s="85"/>
      <c r="MK143" s="85"/>
      <c r="ML143" s="85"/>
      <c r="MM143" s="85"/>
      <c r="MN143" s="85"/>
      <c r="MO143" s="85"/>
      <c r="MP143" s="85"/>
      <c r="MQ143" s="85"/>
      <c r="MR143" s="85"/>
      <c r="MS143" s="85"/>
      <c r="MT143" s="85"/>
      <c r="MU143" s="85"/>
      <c r="MV143" s="85"/>
      <c r="MW143" s="85"/>
      <c r="MX143" s="85"/>
      <c r="MY143" s="85"/>
      <c r="MZ143" s="85"/>
      <c r="NA143" s="85"/>
      <c r="NB143" s="85"/>
      <c r="NC143" s="85"/>
      <c r="ND143" s="85"/>
      <c r="NE143" s="85"/>
      <c r="NF143" s="85"/>
      <c r="NG143" s="85"/>
      <c r="NH143" s="85"/>
      <c r="NI143" s="85"/>
      <c r="NJ143" s="85"/>
      <c r="NK143" s="85"/>
      <c r="NL143" s="85"/>
      <c r="NM143" s="85"/>
      <c r="NN143" s="85"/>
      <c r="NO143" s="85"/>
      <c r="NP143" s="85"/>
      <c r="NQ143" s="85"/>
      <c r="NR143" s="85"/>
      <c r="NS143" s="85"/>
      <c r="NT143" s="85"/>
      <c r="NU143" s="85"/>
      <c r="NV143" s="85"/>
      <c r="NW143" s="85"/>
      <c r="NX143" s="85"/>
      <c r="NY143" s="85"/>
      <c r="NZ143" s="85"/>
      <c r="OA143" s="85"/>
      <c r="OB143" s="85"/>
      <c r="OC143" s="85"/>
      <c r="OD143" s="85"/>
      <c r="OE143" s="85"/>
      <c r="OF143" s="85"/>
      <c r="OG143" s="85"/>
      <c r="OH143" s="85"/>
      <c r="OI143" s="85"/>
      <c r="OJ143" s="85"/>
      <c r="OK143" s="85"/>
      <c r="OL143" s="85"/>
      <c r="OM143" s="85"/>
      <c r="ON143" s="85"/>
      <c r="OO143" s="85"/>
      <c r="OP143" s="85"/>
      <c r="OQ143" s="85"/>
      <c r="OR143" s="85"/>
      <c r="OS143" s="85"/>
      <c r="OT143" s="85"/>
      <c r="OU143" s="85"/>
      <c r="OV143" s="85"/>
      <c r="OW143" s="85"/>
      <c r="OX143" s="85"/>
      <c r="OY143" s="85"/>
      <c r="OZ143" s="85"/>
      <c r="PA143" s="85"/>
      <c r="PB143" s="85"/>
      <c r="PC143" s="85"/>
      <c r="PD143" s="85"/>
      <c r="PE143" s="85"/>
      <c r="PF143" s="85"/>
      <c r="PG143" s="85"/>
      <c r="PH143" s="85"/>
      <c r="PI143" s="85"/>
      <c r="PJ143" s="85"/>
      <c r="PK143" s="85"/>
      <c r="PL143" s="85"/>
      <c r="PM143" s="85"/>
      <c r="PN143" s="85"/>
      <c r="PO143" s="85"/>
      <c r="PP143" s="85"/>
      <c r="PQ143" s="85"/>
      <c r="PR143" s="86"/>
    </row>
    <row r="144" spans="1:434" x14ac:dyDescent="0.25">
      <c r="A144" s="24"/>
      <c r="B144" s="25" t="s">
        <v>211</v>
      </c>
      <c r="C144" s="24" t="s">
        <v>81</v>
      </c>
      <c r="D144" s="24" t="s">
        <v>76</v>
      </c>
      <c r="E144" s="24"/>
      <c r="F144" s="23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3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3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3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3"/>
      <c r="FG144" s="26"/>
      <c r="FH144" s="26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  <c r="FU144" s="26"/>
      <c r="FV144" s="26"/>
      <c r="FW144" s="26"/>
      <c r="FX144" s="26"/>
      <c r="FY144" s="26"/>
      <c r="FZ144" s="26"/>
      <c r="GA144" s="26"/>
      <c r="GB144" s="26"/>
      <c r="GC144" s="26"/>
      <c r="GD144" s="26"/>
      <c r="GE144" s="26"/>
      <c r="GF144" s="26"/>
      <c r="GG144" s="26"/>
      <c r="GH144" s="26"/>
      <c r="GI144" s="26"/>
      <c r="GJ144" s="26"/>
      <c r="GK144" s="26"/>
      <c r="GL144" s="26"/>
      <c r="GM144" s="26"/>
      <c r="GN144" s="26"/>
      <c r="GO144" s="26"/>
      <c r="GP144" s="26"/>
      <c r="GQ144" s="26"/>
      <c r="GR144" s="26"/>
      <c r="GS144" s="23"/>
      <c r="GT144" s="26"/>
      <c r="GU144" s="26"/>
      <c r="GV144" s="26"/>
      <c r="GW144" s="26"/>
      <c r="GX144" s="26"/>
      <c r="GY144" s="26"/>
      <c r="GZ144" s="26"/>
      <c r="HA144" s="26"/>
      <c r="HB144" s="26"/>
      <c r="HC144" s="26"/>
      <c r="HD144" s="26"/>
      <c r="HE144" s="26"/>
      <c r="HF144" s="26"/>
      <c r="HG144" s="26"/>
      <c r="HH144" s="26"/>
      <c r="HI144" s="26"/>
      <c r="HJ144" s="26"/>
      <c r="HK144" s="26"/>
      <c r="HL144" s="26"/>
      <c r="HM144" s="26"/>
      <c r="HN144" s="26"/>
      <c r="HO144" s="26"/>
      <c r="HP144" s="26"/>
      <c r="HQ144" s="26"/>
      <c r="HR144" s="26"/>
      <c r="HS144" s="26"/>
      <c r="HT144" s="26"/>
      <c r="HU144" s="26"/>
      <c r="HV144" s="26"/>
      <c r="HW144" s="26"/>
      <c r="HX144" s="26"/>
      <c r="HY144" s="26"/>
      <c r="HZ144" s="26"/>
      <c r="IA144" s="26"/>
      <c r="IB144" s="26"/>
      <c r="IC144" s="26"/>
      <c r="ID144" s="26"/>
      <c r="IE144" s="26"/>
      <c r="IF144" s="23"/>
      <c r="IG144" s="26"/>
      <c r="IH144" s="26"/>
      <c r="II144" s="26"/>
      <c r="IJ144" s="26"/>
      <c r="IK144" s="26"/>
      <c r="IL144" s="26"/>
      <c r="IM144" s="26"/>
      <c r="IN144" s="26"/>
      <c r="IO144" s="26"/>
      <c r="IP144" s="26"/>
      <c r="IQ144" s="26"/>
      <c r="IR144" s="26"/>
      <c r="IS144" s="26"/>
      <c r="IT144" s="26"/>
      <c r="IU144" s="26"/>
      <c r="IV144" s="26"/>
      <c r="IW144" s="26"/>
      <c r="IX144" s="26"/>
      <c r="IY144" s="26"/>
      <c r="IZ144" s="26"/>
      <c r="JA144" s="26"/>
      <c r="JB144" s="26"/>
      <c r="JC144" s="26"/>
      <c r="JD144" s="26"/>
      <c r="JE144" s="26"/>
      <c r="JF144" s="26"/>
      <c r="JG144" s="26"/>
      <c r="JH144" s="26"/>
      <c r="JI144" s="26"/>
      <c r="JJ144" s="26"/>
      <c r="JK144" s="26"/>
      <c r="JL144" s="26"/>
      <c r="JM144" s="26"/>
      <c r="JN144" s="26"/>
      <c r="JO144" s="26"/>
      <c r="JP144" s="26"/>
      <c r="JQ144" s="26"/>
      <c r="JR144" s="26"/>
      <c r="JS144" s="23"/>
      <c r="JT144" s="26"/>
      <c r="JU144" s="26"/>
      <c r="JV144" s="26"/>
      <c r="JW144" s="26"/>
      <c r="JX144" s="26"/>
      <c r="JY144" s="26"/>
      <c r="JZ144" s="26"/>
      <c r="KA144" s="26"/>
      <c r="KB144" s="26"/>
      <c r="KC144" s="26"/>
      <c r="KD144" s="26"/>
      <c r="KE144" s="26"/>
      <c r="KF144" s="26"/>
      <c r="KG144" s="26"/>
      <c r="KH144" s="26"/>
      <c r="KI144" s="26"/>
      <c r="KJ144" s="26"/>
      <c r="KK144" s="26"/>
      <c r="KL144" s="26"/>
      <c r="KM144" s="26"/>
      <c r="KN144" s="26"/>
      <c r="KO144" s="26"/>
      <c r="KP144" s="26"/>
      <c r="KQ144" s="26"/>
      <c r="KR144" s="26"/>
      <c r="KS144" s="26"/>
      <c r="KT144" s="26"/>
      <c r="KU144" s="26"/>
      <c r="KV144" s="26"/>
      <c r="KW144" s="26"/>
      <c r="KX144" s="26"/>
      <c r="KY144" s="26"/>
      <c r="KZ144" s="26"/>
      <c r="LA144" s="26"/>
      <c r="LB144" s="26"/>
      <c r="LC144" s="26"/>
      <c r="LD144" s="26"/>
      <c r="LE144" s="26"/>
      <c r="LF144" s="23"/>
      <c r="LG144" s="26"/>
      <c r="LH144" s="26"/>
      <c r="LI144" s="26"/>
      <c r="LJ144" s="26"/>
      <c r="LK144" s="26"/>
      <c r="LL144" s="26"/>
      <c r="LM144" s="26"/>
      <c r="LN144" s="26"/>
      <c r="LO144" s="26"/>
      <c r="LP144" s="26"/>
      <c r="LQ144" s="26"/>
      <c r="LR144" s="26"/>
      <c r="LS144" s="26"/>
      <c r="LT144" s="26"/>
      <c r="LU144" s="26"/>
      <c r="LV144" s="26"/>
      <c r="LW144" s="26"/>
      <c r="LX144" s="26"/>
      <c r="LY144" s="26"/>
      <c r="LZ144" s="26"/>
      <c r="MA144" s="26"/>
      <c r="MB144" s="26"/>
      <c r="MC144" s="26"/>
      <c r="MD144" s="26"/>
      <c r="ME144" s="26"/>
      <c r="MF144" s="26"/>
      <c r="MG144" s="26"/>
      <c r="MH144" s="26"/>
      <c r="MI144" s="26"/>
      <c r="MJ144" s="26"/>
      <c r="MK144" s="26"/>
      <c r="ML144" s="26"/>
      <c r="MM144" s="26"/>
      <c r="MN144" s="26"/>
      <c r="MO144" s="26"/>
      <c r="MP144" s="26"/>
      <c r="MQ144" s="26"/>
      <c r="MR144" s="26"/>
      <c r="MS144" s="23"/>
      <c r="MT144" s="26"/>
      <c r="MU144" s="26"/>
      <c r="MV144" s="26"/>
      <c r="MW144" s="26"/>
      <c r="MX144" s="26"/>
      <c r="MY144" s="26"/>
      <c r="MZ144" s="26"/>
      <c r="NA144" s="26"/>
      <c r="NB144" s="26"/>
      <c r="NC144" s="26"/>
      <c r="ND144" s="26"/>
      <c r="NE144" s="26"/>
      <c r="NF144" s="26"/>
      <c r="NG144" s="26"/>
      <c r="NH144" s="26"/>
      <c r="NI144" s="26"/>
      <c r="NJ144" s="26"/>
      <c r="NK144" s="26"/>
      <c r="NL144" s="26"/>
      <c r="NM144" s="26"/>
      <c r="NN144" s="26"/>
      <c r="NO144" s="26"/>
      <c r="NP144" s="26"/>
      <c r="NQ144" s="26"/>
      <c r="NR144" s="26"/>
      <c r="NS144" s="26"/>
      <c r="NT144" s="26"/>
      <c r="NU144" s="26"/>
      <c r="NV144" s="26"/>
      <c r="NW144" s="26"/>
      <c r="NX144" s="26"/>
      <c r="NY144" s="26"/>
      <c r="NZ144" s="26"/>
      <c r="OA144" s="26"/>
      <c r="OB144" s="26"/>
      <c r="OC144" s="26"/>
      <c r="OD144" s="26"/>
      <c r="OE144" s="26"/>
      <c r="OF144" s="23"/>
      <c r="OG144" s="26"/>
      <c r="OH144" s="26"/>
      <c r="OI144" s="26"/>
      <c r="OJ144" s="26"/>
      <c r="OK144" s="26"/>
      <c r="OL144" s="26"/>
      <c r="OM144" s="26"/>
      <c r="ON144" s="26"/>
      <c r="OO144" s="26"/>
      <c r="OP144" s="26"/>
      <c r="OQ144" s="26"/>
      <c r="OR144" s="26"/>
      <c r="OS144" s="26"/>
      <c r="OT144" s="26"/>
      <c r="OU144" s="26"/>
      <c r="OV144" s="26"/>
      <c r="OW144" s="26"/>
      <c r="OX144" s="26"/>
      <c r="OY144" s="26"/>
      <c r="OZ144" s="26"/>
      <c r="PA144" s="26"/>
      <c r="PB144" s="26"/>
      <c r="PC144" s="26"/>
      <c r="PD144" s="26"/>
      <c r="PE144" s="26"/>
      <c r="PF144" s="26"/>
      <c r="PG144" s="26"/>
      <c r="PH144" s="26"/>
      <c r="PI144" s="26"/>
      <c r="PJ144" s="26"/>
      <c r="PK144" s="26"/>
      <c r="PL144" s="26"/>
      <c r="PM144" s="26"/>
      <c r="PN144" s="26"/>
      <c r="PO144" s="26"/>
      <c r="PP144" s="26"/>
      <c r="PQ144" s="26"/>
      <c r="PR144" s="26"/>
    </row>
    <row r="145" spans="1:434" x14ac:dyDescent="0.25">
      <c r="A145" s="24"/>
      <c r="B145" s="25" t="s">
        <v>212</v>
      </c>
      <c r="C145" s="24" t="s">
        <v>81</v>
      </c>
      <c r="D145" s="24" t="s">
        <v>76</v>
      </c>
      <c r="E145" s="24"/>
      <c r="F145" s="23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3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3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3"/>
      <c r="DT145" s="26"/>
      <c r="DU145" s="26"/>
      <c r="DV145" s="26"/>
      <c r="DW145" s="26"/>
      <c r="DX145" s="26"/>
      <c r="DY145" s="26"/>
      <c r="DZ145" s="26"/>
      <c r="EA145" s="26"/>
      <c r="EB145" s="26"/>
      <c r="EC145" s="26"/>
      <c r="ED145" s="26"/>
      <c r="EE145" s="26"/>
      <c r="EF145" s="26"/>
      <c r="EG145" s="26"/>
      <c r="EH145" s="26"/>
      <c r="EI145" s="26"/>
      <c r="EJ145" s="26"/>
      <c r="EK145" s="26"/>
      <c r="EL145" s="26"/>
      <c r="EM145" s="26"/>
      <c r="EN145" s="26"/>
      <c r="EO145" s="26"/>
      <c r="EP145" s="26"/>
      <c r="EQ145" s="26"/>
      <c r="ER145" s="26"/>
      <c r="ES145" s="26"/>
      <c r="ET145" s="26"/>
      <c r="EU145" s="26"/>
      <c r="EV145" s="26"/>
      <c r="EW145" s="26"/>
      <c r="EX145" s="26"/>
      <c r="EY145" s="26"/>
      <c r="EZ145" s="26"/>
      <c r="FA145" s="26"/>
      <c r="FB145" s="26"/>
      <c r="FC145" s="26"/>
      <c r="FD145" s="26"/>
      <c r="FE145" s="26"/>
      <c r="FF145" s="23"/>
      <c r="FG145" s="26"/>
      <c r="FH145" s="26"/>
      <c r="FI145" s="26"/>
      <c r="FJ145" s="26"/>
      <c r="FK145" s="26"/>
      <c r="FL145" s="26"/>
      <c r="FM145" s="26"/>
      <c r="FN145" s="26"/>
      <c r="FO145" s="26"/>
      <c r="FP145" s="26"/>
      <c r="FQ145" s="26"/>
      <c r="FR145" s="26"/>
      <c r="FS145" s="26"/>
      <c r="FT145" s="26"/>
      <c r="FU145" s="26"/>
      <c r="FV145" s="26"/>
      <c r="FW145" s="26"/>
      <c r="FX145" s="26"/>
      <c r="FY145" s="26"/>
      <c r="FZ145" s="26"/>
      <c r="GA145" s="26"/>
      <c r="GB145" s="26"/>
      <c r="GC145" s="26"/>
      <c r="GD145" s="26"/>
      <c r="GE145" s="26"/>
      <c r="GF145" s="26"/>
      <c r="GG145" s="26"/>
      <c r="GH145" s="26"/>
      <c r="GI145" s="26"/>
      <c r="GJ145" s="26"/>
      <c r="GK145" s="26"/>
      <c r="GL145" s="26"/>
      <c r="GM145" s="26"/>
      <c r="GN145" s="26"/>
      <c r="GO145" s="26"/>
      <c r="GP145" s="26"/>
      <c r="GQ145" s="26"/>
      <c r="GR145" s="26"/>
      <c r="GS145" s="23"/>
      <c r="GT145" s="26"/>
      <c r="GU145" s="26"/>
      <c r="GV145" s="26"/>
      <c r="GW145" s="26"/>
      <c r="GX145" s="26"/>
      <c r="GY145" s="26"/>
      <c r="GZ145" s="26"/>
      <c r="HA145" s="26"/>
      <c r="HB145" s="26"/>
      <c r="HC145" s="26"/>
      <c r="HD145" s="26"/>
      <c r="HE145" s="26"/>
      <c r="HF145" s="26"/>
      <c r="HG145" s="26"/>
      <c r="HH145" s="26"/>
      <c r="HI145" s="26"/>
      <c r="HJ145" s="26"/>
      <c r="HK145" s="26"/>
      <c r="HL145" s="26"/>
      <c r="HM145" s="26"/>
      <c r="HN145" s="26"/>
      <c r="HO145" s="26"/>
      <c r="HP145" s="26"/>
      <c r="HQ145" s="26"/>
      <c r="HR145" s="26"/>
      <c r="HS145" s="26"/>
      <c r="HT145" s="26"/>
      <c r="HU145" s="26"/>
      <c r="HV145" s="26"/>
      <c r="HW145" s="26"/>
      <c r="HX145" s="26"/>
      <c r="HY145" s="26"/>
      <c r="HZ145" s="26"/>
      <c r="IA145" s="26"/>
      <c r="IB145" s="26"/>
      <c r="IC145" s="26"/>
      <c r="ID145" s="26"/>
      <c r="IE145" s="26"/>
      <c r="IF145" s="23"/>
      <c r="IG145" s="26"/>
      <c r="IH145" s="26"/>
      <c r="II145" s="26"/>
      <c r="IJ145" s="26"/>
      <c r="IK145" s="26"/>
      <c r="IL145" s="26"/>
      <c r="IM145" s="26"/>
      <c r="IN145" s="26"/>
      <c r="IO145" s="26"/>
      <c r="IP145" s="26"/>
      <c r="IQ145" s="26"/>
      <c r="IR145" s="26"/>
      <c r="IS145" s="26"/>
      <c r="IT145" s="26"/>
      <c r="IU145" s="26"/>
      <c r="IV145" s="26"/>
      <c r="IW145" s="26"/>
      <c r="IX145" s="26"/>
      <c r="IY145" s="26"/>
      <c r="IZ145" s="26"/>
      <c r="JA145" s="26"/>
      <c r="JB145" s="26"/>
      <c r="JC145" s="26"/>
      <c r="JD145" s="26"/>
      <c r="JE145" s="26"/>
      <c r="JF145" s="26"/>
      <c r="JG145" s="26"/>
      <c r="JH145" s="26"/>
      <c r="JI145" s="26"/>
      <c r="JJ145" s="26"/>
      <c r="JK145" s="26"/>
      <c r="JL145" s="26"/>
      <c r="JM145" s="26"/>
      <c r="JN145" s="26"/>
      <c r="JO145" s="26"/>
      <c r="JP145" s="26"/>
      <c r="JQ145" s="26"/>
      <c r="JR145" s="26"/>
      <c r="JS145" s="23"/>
      <c r="JT145" s="26"/>
      <c r="JU145" s="26"/>
      <c r="JV145" s="26"/>
      <c r="JW145" s="26"/>
      <c r="JX145" s="26"/>
      <c r="JY145" s="26"/>
      <c r="JZ145" s="26"/>
      <c r="KA145" s="26"/>
      <c r="KB145" s="26"/>
      <c r="KC145" s="26"/>
      <c r="KD145" s="26"/>
      <c r="KE145" s="26"/>
      <c r="KF145" s="26"/>
      <c r="KG145" s="26"/>
      <c r="KH145" s="26"/>
      <c r="KI145" s="26"/>
      <c r="KJ145" s="26"/>
      <c r="KK145" s="26"/>
      <c r="KL145" s="26"/>
      <c r="KM145" s="26"/>
      <c r="KN145" s="26"/>
      <c r="KO145" s="26"/>
      <c r="KP145" s="26"/>
      <c r="KQ145" s="26"/>
      <c r="KR145" s="26"/>
      <c r="KS145" s="26"/>
      <c r="KT145" s="26"/>
      <c r="KU145" s="26"/>
      <c r="KV145" s="26"/>
      <c r="KW145" s="26"/>
      <c r="KX145" s="26"/>
      <c r="KY145" s="26"/>
      <c r="KZ145" s="26"/>
      <c r="LA145" s="26"/>
      <c r="LB145" s="26"/>
      <c r="LC145" s="26"/>
      <c r="LD145" s="26"/>
      <c r="LE145" s="26"/>
      <c r="LF145" s="23"/>
      <c r="LG145" s="26"/>
      <c r="LH145" s="26"/>
      <c r="LI145" s="26"/>
      <c r="LJ145" s="26"/>
      <c r="LK145" s="26"/>
      <c r="LL145" s="26"/>
      <c r="LM145" s="26"/>
      <c r="LN145" s="26"/>
      <c r="LO145" s="26"/>
      <c r="LP145" s="26"/>
      <c r="LQ145" s="26"/>
      <c r="LR145" s="26"/>
      <c r="LS145" s="26"/>
      <c r="LT145" s="26"/>
      <c r="LU145" s="26"/>
      <c r="LV145" s="26"/>
      <c r="LW145" s="26"/>
      <c r="LX145" s="26"/>
      <c r="LY145" s="26"/>
      <c r="LZ145" s="26"/>
      <c r="MA145" s="26"/>
      <c r="MB145" s="26"/>
      <c r="MC145" s="26"/>
      <c r="MD145" s="26"/>
      <c r="ME145" s="26"/>
      <c r="MF145" s="26"/>
      <c r="MG145" s="26"/>
      <c r="MH145" s="26"/>
      <c r="MI145" s="26"/>
      <c r="MJ145" s="26"/>
      <c r="MK145" s="26"/>
      <c r="ML145" s="26"/>
      <c r="MM145" s="26"/>
      <c r="MN145" s="26"/>
      <c r="MO145" s="26"/>
      <c r="MP145" s="26"/>
      <c r="MQ145" s="26"/>
      <c r="MR145" s="26"/>
      <c r="MS145" s="23"/>
      <c r="MT145" s="26"/>
      <c r="MU145" s="26"/>
      <c r="MV145" s="26"/>
      <c r="MW145" s="26"/>
      <c r="MX145" s="26"/>
      <c r="MY145" s="26"/>
      <c r="MZ145" s="26"/>
      <c r="NA145" s="26"/>
      <c r="NB145" s="26"/>
      <c r="NC145" s="26"/>
      <c r="ND145" s="26"/>
      <c r="NE145" s="26"/>
      <c r="NF145" s="26"/>
      <c r="NG145" s="26"/>
      <c r="NH145" s="26"/>
      <c r="NI145" s="26"/>
      <c r="NJ145" s="26"/>
      <c r="NK145" s="26"/>
      <c r="NL145" s="26"/>
      <c r="NM145" s="26"/>
      <c r="NN145" s="26"/>
      <c r="NO145" s="26"/>
      <c r="NP145" s="26"/>
      <c r="NQ145" s="26"/>
      <c r="NR145" s="26"/>
      <c r="NS145" s="26"/>
      <c r="NT145" s="26"/>
      <c r="NU145" s="26"/>
      <c r="NV145" s="26"/>
      <c r="NW145" s="26"/>
      <c r="NX145" s="26"/>
      <c r="NY145" s="26"/>
      <c r="NZ145" s="26"/>
      <c r="OA145" s="26"/>
      <c r="OB145" s="26"/>
      <c r="OC145" s="26"/>
      <c r="OD145" s="26"/>
      <c r="OE145" s="26"/>
      <c r="OF145" s="23"/>
      <c r="OG145" s="26"/>
      <c r="OH145" s="26"/>
      <c r="OI145" s="26"/>
      <c r="OJ145" s="26"/>
      <c r="OK145" s="26"/>
      <c r="OL145" s="26"/>
      <c r="OM145" s="26"/>
      <c r="ON145" s="26"/>
      <c r="OO145" s="26"/>
      <c r="OP145" s="26"/>
      <c r="OQ145" s="26"/>
      <c r="OR145" s="26"/>
      <c r="OS145" s="26"/>
      <c r="OT145" s="26"/>
      <c r="OU145" s="26"/>
      <c r="OV145" s="26"/>
      <c r="OW145" s="26"/>
      <c r="OX145" s="26"/>
      <c r="OY145" s="26"/>
      <c r="OZ145" s="26"/>
      <c r="PA145" s="26"/>
      <c r="PB145" s="26"/>
      <c r="PC145" s="26"/>
      <c r="PD145" s="26"/>
      <c r="PE145" s="26"/>
      <c r="PF145" s="26"/>
      <c r="PG145" s="26"/>
      <c r="PH145" s="26"/>
      <c r="PI145" s="26"/>
      <c r="PJ145" s="26"/>
      <c r="PK145" s="26"/>
      <c r="PL145" s="26"/>
      <c r="PM145" s="26"/>
      <c r="PN145" s="26"/>
      <c r="PO145" s="26"/>
      <c r="PP145" s="26"/>
      <c r="PQ145" s="26"/>
      <c r="PR145" s="26"/>
    </row>
    <row r="146" spans="1:434" x14ac:dyDescent="0.25">
      <c r="A146" s="24"/>
      <c r="B146" s="25" t="s">
        <v>213</v>
      </c>
      <c r="C146" s="24" t="s">
        <v>70</v>
      </c>
      <c r="D146" s="24" t="s">
        <v>76</v>
      </c>
      <c r="E146" s="24"/>
      <c r="F146" s="23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3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3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  <c r="DR146" s="26"/>
      <c r="DS146" s="23"/>
      <c r="DT146" s="26"/>
      <c r="DU146" s="26"/>
      <c r="DV146" s="26"/>
      <c r="DW146" s="26"/>
      <c r="DX146" s="26"/>
      <c r="DY146" s="26"/>
      <c r="DZ146" s="26"/>
      <c r="EA146" s="26"/>
      <c r="EB146" s="26"/>
      <c r="EC146" s="26"/>
      <c r="ED146" s="26"/>
      <c r="EE146" s="26"/>
      <c r="EF146" s="26"/>
      <c r="EG146" s="26"/>
      <c r="EH146" s="26"/>
      <c r="EI146" s="26"/>
      <c r="EJ146" s="26"/>
      <c r="EK146" s="26"/>
      <c r="EL146" s="26"/>
      <c r="EM146" s="26"/>
      <c r="EN146" s="26"/>
      <c r="EO146" s="26"/>
      <c r="EP146" s="26"/>
      <c r="EQ146" s="26"/>
      <c r="ER146" s="26"/>
      <c r="ES146" s="26"/>
      <c r="ET146" s="26"/>
      <c r="EU146" s="26"/>
      <c r="EV146" s="26"/>
      <c r="EW146" s="26"/>
      <c r="EX146" s="26"/>
      <c r="EY146" s="26"/>
      <c r="EZ146" s="26"/>
      <c r="FA146" s="26"/>
      <c r="FB146" s="26"/>
      <c r="FC146" s="26"/>
      <c r="FD146" s="26"/>
      <c r="FE146" s="26"/>
      <c r="FF146" s="23"/>
      <c r="FG146" s="26"/>
      <c r="FH146" s="26"/>
      <c r="FI146" s="26"/>
      <c r="FJ146" s="26"/>
      <c r="FK146" s="26"/>
      <c r="FL146" s="26"/>
      <c r="FM146" s="26"/>
      <c r="FN146" s="26"/>
      <c r="FO146" s="26"/>
      <c r="FP146" s="26"/>
      <c r="FQ146" s="26"/>
      <c r="FR146" s="26"/>
      <c r="FS146" s="26"/>
      <c r="FT146" s="26"/>
      <c r="FU146" s="26"/>
      <c r="FV146" s="26"/>
      <c r="FW146" s="26"/>
      <c r="FX146" s="26"/>
      <c r="FY146" s="26"/>
      <c r="FZ146" s="26"/>
      <c r="GA146" s="26"/>
      <c r="GB146" s="26"/>
      <c r="GC146" s="26"/>
      <c r="GD146" s="26"/>
      <c r="GE146" s="26"/>
      <c r="GF146" s="26"/>
      <c r="GG146" s="26"/>
      <c r="GH146" s="26"/>
      <c r="GI146" s="26"/>
      <c r="GJ146" s="26"/>
      <c r="GK146" s="26"/>
      <c r="GL146" s="26"/>
      <c r="GM146" s="26"/>
      <c r="GN146" s="26"/>
      <c r="GO146" s="26"/>
      <c r="GP146" s="26"/>
      <c r="GQ146" s="26"/>
      <c r="GR146" s="26"/>
      <c r="GS146" s="23"/>
      <c r="GT146" s="26"/>
      <c r="GU146" s="26"/>
      <c r="GV146" s="26"/>
      <c r="GW146" s="26"/>
      <c r="GX146" s="26"/>
      <c r="GY146" s="26"/>
      <c r="GZ146" s="26"/>
      <c r="HA146" s="26"/>
      <c r="HB146" s="26"/>
      <c r="HC146" s="26"/>
      <c r="HD146" s="26"/>
      <c r="HE146" s="26"/>
      <c r="HF146" s="26"/>
      <c r="HG146" s="26"/>
      <c r="HH146" s="26"/>
      <c r="HI146" s="26"/>
      <c r="HJ146" s="26"/>
      <c r="HK146" s="26"/>
      <c r="HL146" s="26"/>
      <c r="HM146" s="26"/>
      <c r="HN146" s="26"/>
      <c r="HO146" s="26"/>
      <c r="HP146" s="26"/>
      <c r="HQ146" s="26"/>
      <c r="HR146" s="26"/>
      <c r="HS146" s="26"/>
      <c r="HT146" s="26"/>
      <c r="HU146" s="26"/>
      <c r="HV146" s="26"/>
      <c r="HW146" s="26"/>
      <c r="HX146" s="26"/>
      <c r="HY146" s="26"/>
      <c r="HZ146" s="26"/>
      <c r="IA146" s="26"/>
      <c r="IB146" s="26"/>
      <c r="IC146" s="26"/>
      <c r="ID146" s="26"/>
      <c r="IE146" s="26"/>
      <c r="IF146" s="23"/>
      <c r="IG146" s="26"/>
      <c r="IH146" s="26"/>
      <c r="II146" s="26"/>
      <c r="IJ146" s="26"/>
      <c r="IK146" s="26"/>
      <c r="IL146" s="26"/>
      <c r="IM146" s="26"/>
      <c r="IN146" s="26"/>
      <c r="IO146" s="26"/>
      <c r="IP146" s="26"/>
      <c r="IQ146" s="26"/>
      <c r="IR146" s="26"/>
      <c r="IS146" s="26"/>
      <c r="IT146" s="26"/>
      <c r="IU146" s="26"/>
      <c r="IV146" s="26"/>
      <c r="IW146" s="26"/>
      <c r="IX146" s="26"/>
      <c r="IY146" s="26"/>
      <c r="IZ146" s="26"/>
      <c r="JA146" s="26"/>
      <c r="JB146" s="26"/>
      <c r="JC146" s="26"/>
      <c r="JD146" s="26"/>
      <c r="JE146" s="26"/>
      <c r="JF146" s="26"/>
      <c r="JG146" s="26"/>
      <c r="JH146" s="26"/>
      <c r="JI146" s="26"/>
      <c r="JJ146" s="26"/>
      <c r="JK146" s="26"/>
      <c r="JL146" s="26"/>
      <c r="JM146" s="26"/>
      <c r="JN146" s="26"/>
      <c r="JO146" s="26"/>
      <c r="JP146" s="26"/>
      <c r="JQ146" s="26"/>
      <c r="JR146" s="26"/>
      <c r="JS146" s="23"/>
      <c r="JT146" s="26"/>
      <c r="JU146" s="26"/>
      <c r="JV146" s="26"/>
      <c r="JW146" s="26"/>
      <c r="JX146" s="26"/>
      <c r="JY146" s="26"/>
      <c r="JZ146" s="26"/>
      <c r="KA146" s="26"/>
      <c r="KB146" s="26"/>
      <c r="KC146" s="26"/>
      <c r="KD146" s="26"/>
      <c r="KE146" s="26"/>
      <c r="KF146" s="26"/>
      <c r="KG146" s="26"/>
      <c r="KH146" s="26"/>
      <c r="KI146" s="26"/>
      <c r="KJ146" s="26"/>
      <c r="KK146" s="26"/>
      <c r="KL146" s="26"/>
      <c r="KM146" s="26"/>
      <c r="KN146" s="26"/>
      <c r="KO146" s="26"/>
      <c r="KP146" s="26"/>
      <c r="KQ146" s="26"/>
      <c r="KR146" s="26"/>
      <c r="KS146" s="26"/>
      <c r="KT146" s="26"/>
      <c r="KU146" s="26"/>
      <c r="KV146" s="26"/>
      <c r="KW146" s="26"/>
      <c r="KX146" s="26"/>
      <c r="KY146" s="26"/>
      <c r="KZ146" s="26"/>
      <c r="LA146" s="26"/>
      <c r="LB146" s="26"/>
      <c r="LC146" s="26"/>
      <c r="LD146" s="26"/>
      <c r="LE146" s="26"/>
      <c r="LF146" s="23"/>
      <c r="LG146" s="26"/>
      <c r="LH146" s="26"/>
      <c r="LI146" s="26"/>
      <c r="LJ146" s="26"/>
      <c r="LK146" s="26"/>
      <c r="LL146" s="26"/>
      <c r="LM146" s="26"/>
      <c r="LN146" s="26"/>
      <c r="LO146" s="26"/>
      <c r="LP146" s="26"/>
      <c r="LQ146" s="26"/>
      <c r="LR146" s="26"/>
      <c r="LS146" s="26"/>
      <c r="LT146" s="26"/>
      <c r="LU146" s="26"/>
      <c r="LV146" s="26"/>
      <c r="LW146" s="26"/>
      <c r="LX146" s="26"/>
      <c r="LY146" s="26"/>
      <c r="LZ146" s="26"/>
      <c r="MA146" s="26"/>
      <c r="MB146" s="26"/>
      <c r="MC146" s="26"/>
      <c r="MD146" s="26"/>
      <c r="ME146" s="26"/>
      <c r="MF146" s="26"/>
      <c r="MG146" s="26"/>
      <c r="MH146" s="26"/>
      <c r="MI146" s="26"/>
      <c r="MJ146" s="26"/>
      <c r="MK146" s="26"/>
      <c r="ML146" s="26"/>
      <c r="MM146" s="26"/>
      <c r="MN146" s="26"/>
      <c r="MO146" s="26"/>
      <c r="MP146" s="26"/>
      <c r="MQ146" s="26"/>
      <c r="MR146" s="26"/>
      <c r="MS146" s="23"/>
      <c r="MT146" s="26"/>
      <c r="MU146" s="26"/>
      <c r="MV146" s="26"/>
      <c r="MW146" s="26"/>
      <c r="MX146" s="26"/>
      <c r="MY146" s="26"/>
      <c r="MZ146" s="26"/>
      <c r="NA146" s="26"/>
      <c r="NB146" s="26"/>
      <c r="NC146" s="26"/>
      <c r="ND146" s="26"/>
      <c r="NE146" s="26"/>
      <c r="NF146" s="26"/>
      <c r="NG146" s="26"/>
      <c r="NH146" s="26"/>
      <c r="NI146" s="26"/>
      <c r="NJ146" s="26"/>
      <c r="NK146" s="26"/>
      <c r="NL146" s="26"/>
      <c r="NM146" s="26"/>
      <c r="NN146" s="26"/>
      <c r="NO146" s="26"/>
      <c r="NP146" s="26"/>
      <c r="NQ146" s="26"/>
      <c r="NR146" s="26"/>
      <c r="NS146" s="26"/>
      <c r="NT146" s="26"/>
      <c r="NU146" s="26"/>
      <c r="NV146" s="26"/>
      <c r="NW146" s="26"/>
      <c r="NX146" s="26"/>
      <c r="NY146" s="26"/>
      <c r="NZ146" s="26"/>
      <c r="OA146" s="26"/>
      <c r="OB146" s="26"/>
      <c r="OC146" s="26"/>
      <c r="OD146" s="26"/>
      <c r="OE146" s="26"/>
      <c r="OF146" s="23"/>
      <c r="OG146" s="26"/>
      <c r="OH146" s="26"/>
      <c r="OI146" s="26"/>
      <c r="OJ146" s="26"/>
      <c r="OK146" s="26"/>
      <c r="OL146" s="26"/>
      <c r="OM146" s="26"/>
      <c r="ON146" s="26"/>
      <c r="OO146" s="26"/>
      <c r="OP146" s="26"/>
      <c r="OQ146" s="26"/>
      <c r="OR146" s="26"/>
      <c r="OS146" s="26"/>
      <c r="OT146" s="26"/>
      <c r="OU146" s="26"/>
      <c r="OV146" s="26"/>
      <c r="OW146" s="26"/>
      <c r="OX146" s="26"/>
      <c r="OY146" s="26"/>
      <c r="OZ146" s="26"/>
      <c r="PA146" s="26"/>
      <c r="PB146" s="26"/>
      <c r="PC146" s="26"/>
      <c r="PD146" s="26"/>
      <c r="PE146" s="26"/>
      <c r="PF146" s="26"/>
      <c r="PG146" s="26"/>
      <c r="PH146" s="26"/>
      <c r="PI146" s="26"/>
      <c r="PJ146" s="26"/>
      <c r="PK146" s="26"/>
      <c r="PL146" s="26"/>
      <c r="PM146" s="26"/>
      <c r="PN146" s="26"/>
      <c r="PO146" s="26"/>
      <c r="PP146" s="26"/>
      <c r="PQ146" s="26"/>
      <c r="PR146" s="26"/>
    </row>
    <row r="147" spans="1:434" x14ac:dyDescent="0.25">
      <c r="A147" s="24"/>
      <c r="B147" s="25" t="s">
        <v>214</v>
      </c>
      <c r="C147" s="24" t="s">
        <v>70</v>
      </c>
      <c r="D147" s="24" t="s">
        <v>76</v>
      </c>
      <c r="E147" s="24"/>
      <c r="F147" s="23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3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3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3"/>
      <c r="DT147" s="26"/>
      <c r="DU147" s="26"/>
      <c r="DV147" s="26"/>
      <c r="DW147" s="26"/>
      <c r="DX147" s="26"/>
      <c r="DY147" s="26"/>
      <c r="DZ147" s="26"/>
      <c r="EA147" s="26"/>
      <c r="EB147" s="26"/>
      <c r="EC147" s="26"/>
      <c r="ED147" s="26"/>
      <c r="EE147" s="26"/>
      <c r="EF147" s="26"/>
      <c r="EG147" s="26"/>
      <c r="EH147" s="26"/>
      <c r="EI147" s="26"/>
      <c r="EJ147" s="26"/>
      <c r="EK147" s="26"/>
      <c r="EL147" s="26"/>
      <c r="EM147" s="26"/>
      <c r="EN147" s="26"/>
      <c r="EO147" s="26"/>
      <c r="EP147" s="26"/>
      <c r="EQ147" s="26"/>
      <c r="ER147" s="26"/>
      <c r="ES147" s="26"/>
      <c r="ET147" s="26"/>
      <c r="EU147" s="26"/>
      <c r="EV147" s="26"/>
      <c r="EW147" s="26"/>
      <c r="EX147" s="26"/>
      <c r="EY147" s="26"/>
      <c r="EZ147" s="26"/>
      <c r="FA147" s="26"/>
      <c r="FB147" s="26"/>
      <c r="FC147" s="26"/>
      <c r="FD147" s="26"/>
      <c r="FE147" s="26"/>
      <c r="FF147" s="23"/>
      <c r="FG147" s="26"/>
      <c r="FH147" s="26"/>
      <c r="FI147" s="26"/>
      <c r="FJ147" s="26"/>
      <c r="FK147" s="26"/>
      <c r="FL147" s="26"/>
      <c r="FM147" s="26"/>
      <c r="FN147" s="26"/>
      <c r="FO147" s="26"/>
      <c r="FP147" s="26"/>
      <c r="FQ147" s="26"/>
      <c r="FR147" s="26"/>
      <c r="FS147" s="26"/>
      <c r="FT147" s="26"/>
      <c r="FU147" s="26"/>
      <c r="FV147" s="26"/>
      <c r="FW147" s="26"/>
      <c r="FX147" s="26"/>
      <c r="FY147" s="26"/>
      <c r="FZ147" s="26"/>
      <c r="GA147" s="26"/>
      <c r="GB147" s="26"/>
      <c r="GC147" s="26"/>
      <c r="GD147" s="26"/>
      <c r="GE147" s="26"/>
      <c r="GF147" s="26"/>
      <c r="GG147" s="26"/>
      <c r="GH147" s="26"/>
      <c r="GI147" s="26"/>
      <c r="GJ147" s="26"/>
      <c r="GK147" s="26"/>
      <c r="GL147" s="26"/>
      <c r="GM147" s="26"/>
      <c r="GN147" s="26"/>
      <c r="GO147" s="26"/>
      <c r="GP147" s="26"/>
      <c r="GQ147" s="26"/>
      <c r="GR147" s="26"/>
      <c r="GS147" s="23"/>
      <c r="GT147" s="26"/>
      <c r="GU147" s="26"/>
      <c r="GV147" s="26"/>
      <c r="GW147" s="26"/>
      <c r="GX147" s="26"/>
      <c r="GY147" s="26"/>
      <c r="GZ147" s="26"/>
      <c r="HA147" s="26"/>
      <c r="HB147" s="26"/>
      <c r="HC147" s="26"/>
      <c r="HD147" s="26"/>
      <c r="HE147" s="26"/>
      <c r="HF147" s="26"/>
      <c r="HG147" s="26"/>
      <c r="HH147" s="26"/>
      <c r="HI147" s="26"/>
      <c r="HJ147" s="26"/>
      <c r="HK147" s="26"/>
      <c r="HL147" s="26"/>
      <c r="HM147" s="26"/>
      <c r="HN147" s="26"/>
      <c r="HO147" s="26"/>
      <c r="HP147" s="26"/>
      <c r="HQ147" s="26"/>
      <c r="HR147" s="26"/>
      <c r="HS147" s="26"/>
      <c r="HT147" s="26"/>
      <c r="HU147" s="26"/>
      <c r="HV147" s="26"/>
      <c r="HW147" s="26"/>
      <c r="HX147" s="26"/>
      <c r="HY147" s="26"/>
      <c r="HZ147" s="26"/>
      <c r="IA147" s="26"/>
      <c r="IB147" s="26"/>
      <c r="IC147" s="26"/>
      <c r="ID147" s="26"/>
      <c r="IE147" s="26"/>
      <c r="IF147" s="23"/>
      <c r="IG147" s="26"/>
      <c r="IH147" s="26"/>
      <c r="II147" s="26"/>
      <c r="IJ147" s="26"/>
      <c r="IK147" s="26"/>
      <c r="IL147" s="26"/>
      <c r="IM147" s="26"/>
      <c r="IN147" s="26"/>
      <c r="IO147" s="26"/>
      <c r="IP147" s="26"/>
      <c r="IQ147" s="26"/>
      <c r="IR147" s="26"/>
      <c r="IS147" s="26"/>
      <c r="IT147" s="26"/>
      <c r="IU147" s="26"/>
      <c r="IV147" s="26"/>
      <c r="IW147" s="26"/>
      <c r="IX147" s="26"/>
      <c r="IY147" s="26"/>
      <c r="IZ147" s="26"/>
      <c r="JA147" s="26"/>
      <c r="JB147" s="26"/>
      <c r="JC147" s="26"/>
      <c r="JD147" s="26"/>
      <c r="JE147" s="26"/>
      <c r="JF147" s="26"/>
      <c r="JG147" s="26"/>
      <c r="JH147" s="26"/>
      <c r="JI147" s="26"/>
      <c r="JJ147" s="26"/>
      <c r="JK147" s="26"/>
      <c r="JL147" s="26"/>
      <c r="JM147" s="26"/>
      <c r="JN147" s="26"/>
      <c r="JO147" s="26"/>
      <c r="JP147" s="26"/>
      <c r="JQ147" s="26"/>
      <c r="JR147" s="26"/>
      <c r="JS147" s="23"/>
      <c r="JT147" s="26"/>
      <c r="JU147" s="26"/>
      <c r="JV147" s="26"/>
      <c r="JW147" s="26"/>
      <c r="JX147" s="26"/>
      <c r="JY147" s="26"/>
      <c r="JZ147" s="26"/>
      <c r="KA147" s="26"/>
      <c r="KB147" s="26"/>
      <c r="KC147" s="26"/>
      <c r="KD147" s="26"/>
      <c r="KE147" s="26"/>
      <c r="KF147" s="26"/>
      <c r="KG147" s="26"/>
      <c r="KH147" s="26"/>
      <c r="KI147" s="26"/>
      <c r="KJ147" s="26"/>
      <c r="KK147" s="26"/>
      <c r="KL147" s="26"/>
      <c r="KM147" s="26"/>
      <c r="KN147" s="26"/>
      <c r="KO147" s="26"/>
      <c r="KP147" s="26"/>
      <c r="KQ147" s="26"/>
      <c r="KR147" s="26"/>
      <c r="KS147" s="26"/>
      <c r="KT147" s="26"/>
      <c r="KU147" s="26"/>
      <c r="KV147" s="26"/>
      <c r="KW147" s="26"/>
      <c r="KX147" s="26"/>
      <c r="KY147" s="26"/>
      <c r="KZ147" s="26"/>
      <c r="LA147" s="26"/>
      <c r="LB147" s="26"/>
      <c r="LC147" s="26"/>
      <c r="LD147" s="26"/>
      <c r="LE147" s="26"/>
      <c r="LF147" s="23"/>
      <c r="LG147" s="26"/>
      <c r="LH147" s="26"/>
      <c r="LI147" s="26"/>
      <c r="LJ147" s="26"/>
      <c r="LK147" s="26"/>
      <c r="LL147" s="26"/>
      <c r="LM147" s="26"/>
      <c r="LN147" s="26"/>
      <c r="LO147" s="26"/>
      <c r="LP147" s="26"/>
      <c r="LQ147" s="26"/>
      <c r="LR147" s="26"/>
      <c r="LS147" s="26"/>
      <c r="LT147" s="26"/>
      <c r="LU147" s="26"/>
      <c r="LV147" s="26"/>
      <c r="LW147" s="26"/>
      <c r="LX147" s="26"/>
      <c r="LY147" s="26"/>
      <c r="LZ147" s="26"/>
      <c r="MA147" s="26"/>
      <c r="MB147" s="26"/>
      <c r="MC147" s="26"/>
      <c r="MD147" s="26"/>
      <c r="ME147" s="26"/>
      <c r="MF147" s="26"/>
      <c r="MG147" s="26"/>
      <c r="MH147" s="26"/>
      <c r="MI147" s="26"/>
      <c r="MJ147" s="26"/>
      <c r="MK147" s="26"/>
      <c r="ML147" s="26"/>
      <c r="MM147" s="26"/>
      <c r="MN147" s="26"/>
      <c r="MO147" s="26"/>
      <c r="MP147" s="26"/>
      <c r="MQ147" s="26"/>
      <c r="MR147" s="26"/>
      <c r="MS147" s="23"/>
      <c r="MT147" s="26"/>
      <c r="MU147" s="26"/>
      <c r="MV147" s="26"/>
      <c r="MW147" s="26"/>
      <c r="MX147" s="26"/>
      <c r="MY147" s="26"/>
      <c r="MZ147" s="26"/>
      <c r="NA147" s="26"/>
      <c r="NB147" s="26"/>
      <c r="NC147" s="26"/>
      <c r="ND147" s="26"/>
      <c r="NE147" s="26"/>
      <c r="NF147" s="26"/>
      <c r="NG147" s="26"/>
      <c r="NH147" s="26"/>
      <c r="NI147" s="26"/>
      <c r="NJ147" s="26"/>
      <c r="NK147" s="26"/>
      <c r="NL147" s="26"/>
      <c r="NM147" s="26"/>
      <c r="NN147" s="26"/>
      <c r="NO147" s="26"/>
      <c r="NP147" s="26"/>
      <c r="NQ147" s="26"/>
      <c r="NR147" s="26"/>
      <c r="NS147" s="26"/>
      <c r="NT147" s="26"/>
      <c r="NU147" s="26"/>
      <c r="NV147" s="26"/>
      <c r="NW147" s="26"/>
      <c r="NX147" s="26"/>
      <c r="NY147" s="26"/>
      <c r="NZ147" s="26"/>
      <c r="OA147" s="26"/>
      <c r="OB147" s="26"/>
      <c r="OC147" s="26"/>
      <c r="OD147" s="26"/>
      <c r="OE147" s="26"/>
      <c r="OF147" s="23"/>
      <c r="OG147" s="26"/>
      <c r="OH147" s="26"/>
      <c r="OI147" s="26"/>
      <c r="OJ147" s="26"/>
      <c r="OK147" s="26"/>
      <c r="OL147" s="26"/>
      <c r="OM147" s="26"/>
      <c r="ON147" s="26"/>
      <c r="OO147" s="26"/>
      <c r="OP147" s="26"/>
      <c r="OQ147" s="26"/>
      <c r="OR147" s="26"/>
      <c r="OS147" s="26"/>
      <c r="OT147" s="26"/>
      <c r="OU147" s="26"/>
      <c r="OV147" s="26"/>
      <c r="OW147" s="26"/>
      <c r="OX147" s="26"/>
      <c r="OY147" s="26"/>
      <c r="OZ147" s="26"/>
      <c r="PA147" s="26"/>
      <c r="PB147" s="26"/>
      <c r="PC147" s="26"/>
      <c r="PD147" s="26"/>
      <c r="PE147" s="26"/>
      <c r="PF147" s="26"/>
      <c r="PG147" s="26"/>
      <c r="PH147" s="26"/>
      <c r="PI147" s="26"/>
      <c r="PJ147" s="26"/>
      <c r="PK147" s="26"/>
      <c r="PL147" s="26"/>
      <c r="PM147" s="26"/>
      <c r="PN147" s="26"/>
      <c r="PO147" s="26"/>
      <c r="PP147" s="26"/>
      <c r="PQ147" s="26"/>
      <c r="PR147" s="26"/>
    </row>
    <row r="148" spans="1:434" x14ac:dyDescent="0.25">
      <c r="A148" s="24"/>
      <c r="B148" s="25" t="s">
        <v>215</v>
      </c>
      <c r="C148" s="24" t="s">
        <v>70</v>
      </c>
      <c r="D148" s="24" t="s">
        <v>76</v>
      </c>
      <c r="E148" s="24"/>
      <c r="F148" s="23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3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3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  <c r="DS148" s="23"/>
      <c r="DT148" s="26"/>
      <c r="DU148" s="26"/>
      <c r="DV148" s="26"/>
      <c r="DW148" s="26"/>
      <c r="DX148" s="26"/>
      <c r="DY148" s="26"/>
      <c r="DZ148" s="26"/>
      <c r="EA148" s="26"/>
      <c r="EB148" s="26"/>
      <c r="EC148" s="26"/>
      <c r="ED148" s="26"/>
      <c r="EE148" s="26"/>
      <c r="EF148" s="26"/>
      <c r="EG148" s="26"/>
      <c r="EH148" s="26"/>
      <c r="EI148" s="26"/>
      <c r="EJ148" s="26"/>
      <c r="EK148" s="26"/>
      <c r="EL148" s="26"/>
      <c r="EM148" s="26"/>
      <c r="EN148" s="26"/>
      <c r="EO148" s="26"/>
      <c r="EP148" s="26"/>
      <c r="EQ148" s="26"/>
      <c r="ER148" s="26"/>
      <c r="ES148" s="26"/>
      <c r="ET148" s="26"/>
      <c r="EU148" s="26"/>
      <c r="EV148" s="26"/>
      <c r="EW148" s="26"/>
      <c r="EX148" s="26"/>
      <c r="EY148" s="26"/>
      <c r="EZ148" s="26"/>
      <c r="FA148" s="26"/>
      <c r="FB148" s="26"/>
      <c r="FC148" s="26"/>
      <c r="FD148" s="26"/>
      <c r="FE148" s="26"/>
      <c r="FF148" s="23"/>
      <c r="FG148" s="26"/>
      <c r="FH148" s="26"/>
      <c r="FI148" s="26"/>
      <c r="FJ148" s="26"/>
      <c r="FK148" s="26"/>
      <c r="FL148" s="26"/>
      <c r="FM148" s="26"/>
      <c r="FN148" s="26"/>
      <c r="FO148" s="26"/>
      <c r="FP148" s="26"/>
      <c r="FQ148" s="26"/>
      <c r="FR148" s="26"/>
      <c r="FS148" s="26"/>
      <c r="FT148" s="26"/>
      <c r="FU148" s="26"/>
      <c r="FV148" s="26"/>
      <c r="FW148" s="26"/>
      <c r="FX148" s="26"/>
      <c r="FY148" s="26"/>
      <c r="FZ148" s="26"/>
      <c r="GA148" s="26"/>
      <c r="GB148" s="26"/>
      <c r="GC148" s="26"/>
      <c r="GD148" s="26"/>
      <c r="GE148" s="26"/>
      <c r="GF148" s="26"/>
      <c r="GG148" s="26"/>
      <c r="GH148" s="26"/>
      <c r="GI148" s="26"/>
      <c r="GJ148" s="26"/>
      <c r="GK148" s="26"/>
      <c r="GL148" s="26"/>
      <c r="GM148" s="26"/>
      <c r="GN148" s="26"/>
      <c r="GO148" s="26"/>
      <c r="GP148" s="26"/>
      <c r="GQ148" s="26"/>
      <c r="GR148" s="26"/>
      <c r="GS148" s="23"/>
      <c r="GT148" s="26"/>
      <c r="GU148" s="26"/>
      <c r="GV148" s="26"/>
      <c r="GW148" s="26"/>
      <c r="GX148" s="26"/>
      <c r="GY148" s="26"/>
      <c r="GZ148" s="26"/>
      <c r="HA148" s="26"/>
      <c r="HB148" s="26"/>
      <c r="HC148" s="26"/>
      <c r="HD148" s="26"/>
      <c r="HE148" s="26"/>
      <c r="HF148" s="26"/>
      <c r="HG148" s="26"/>
      <c r="HH148" s="26"/>
      <c r="HI148" s="26"/>
      <c r="HJ148" s="26"/>
      <c r="HK148" s="26"/>
      <c r="HL148" s="26"/>
      <c r="HM148" s="26"/>
      <c r="HN148" s="26"/>
      <c r="HO148" s="26"/>
      <c r="HP148" s="26"/>
      <c r="HQ148" s="26"/>
      <c r="HR148" s="26"/>
      <c r="HS148" s="26"/>
      <c r="HT148" s="26"/>
      <c r="HU148" s="26"/>
      <c r="HV148" s="26"/>
      <c r="HW148" s="26"/>
      <c r="HX148" s="26"/>
      <c r="HY148" s="26"/>
      <c r="HZ148" s="26"/>
      <c r="IA148" s="26"/>
      <c r="IB148" s="26"/>
      <c r="IC148" s="26"/>
      <c r="ID148" s="26"/>
      <c r="IE148" s="26"/>
      <c r="IF148" s="23"/>
      <c r="IG148" s="26"/>
      <c r="IH148" s="26"/>
      <c r="II148" s="26"/>
      <c r="IJ148" s="26"/>
      <c r="IK148" s="26"/>
      <c r="IL148" s="26"/>
      <c r="IM148" s="26"/>
      <c r="IN148" s="26"/>
      <c r="IO148" s="26"/>
      <c r="IP148" s="26"/>
      <c r="IQ148" s="26"/>
      <c r="IR148" s="26"/>
      <c r="IS148" s="26"/>
      <c r="IT148" s="26"/>
      <c r="IU148" s="26"/>
      <c r="IV148" s="26"/>
      <c r="IW148" s="26"/>
      <c r="IX148" s="26"/>
      <c r="IY148" s="26"/>
      <c r="IZ148" s="26"/>
      <c r="JA148" s="26"/>
      <c r="JB148" s="26"/>
      <c r="JC148" s="26"/>
      <c r="JD148" s="26"/>
      <c r="JE148" s="26"/>
      <c r="JF148" s="26"/>
      <c r="JG148" s="26"/>
      <c r="JH148" s="26"/>
      <c r="JI148" s="26"/>
      <c r="JJ148" s="26"/>
      <c r="JK148" s="26"/>
      <c r="JL148" s="26"/>
      <c r="JM148" s="26"/>
      <c r="JN148" s="26"/>
      <c r="JO148" s="26"/>
      <c r="JP148" s="26"/>
      <c r="JQ148" s="26"/>
      <c r="JR148" s="26"/>
      <c r="JS148" s="23"/>
      <c r="JT148" s="26"/>
      <c r="JU148" s="26"/>
      <c r="JV148" s="26"/>
      <c r="JW148" s="26"/>
      <c r="JX148" s="26"/>
      <c r="JY148" s="26"/>
      <c r="JZ148" s="26"/>
      <c r="KA148" s="26"/>
      <c r="KB148" s="26"/>
      <c r="KC148" s="26"/>
      <c r="KD148" s="26"/>
      <c r="KE148" s="26"/>
      <c r="KF148" s="26"/>
      <c r="KG148" s="26"/>
      <c r="KH148" s="26"/>
      <c r="KI148" s="26"/>
      <c r="KJ148" s="26"/>
      <c r="KK148" s="26"/>
      <c r="KL148" s="26"/>
      <c r="KM148" s="26"/>
      <c r="KN148" s="26"/>
      <c r="KO148" s="26"/>
      <c r="KP148" s="26"/>
      <c r="KQ148" s="26"/>
      <c r="KR148" s="26"/>
      <c r="KS148" s="26"/>
      <c r="KT148" s="26"/>
      <c r="KU148" s="26"/>
      <c r="KV148" s="26"/>
      <c r="KW148" s="26"/>
      <c r="KX148" s="26"/>
      <c r="KY148" s="26"/>
      <c r="KZ148" s="26"/>
      <c r="LA148" s="26"/>
      <c r="LB148" s="26"/>
      <c r="LC148" s="26"/>
      <c r="LD148" s="26"/>
      <c r="LE148" s="26"/>
      <c r="LF148" s="23"/>
      <c r="LG148" s="26"/>
      <c r="LH148" s="26"/>
      <c r="LI148" s="26"/>
      <c r="LJ148" s="26"/>
      <c r="LK148" s="26"/>
      <c r="LL148" s="26"/>
      <c r="LM148" s="26"/>
      <c r="LN148" s="26"/>
      <c r="LO148" s="26"/>
      <c r="LP148" s="26"/>
      <c r="LQ148" s="26"/>
      <c r="LR148" s="26"/>
      <c r="LS148" s="26"/>
      <c r="LT148" s="26"/>
      <c r="LU148" s="26"/>
      <c r="LV148" s="26"/>
      <c r="LW148" s="26"/>
      <c r="LX148" s="26"/>
      <c r="LY148" s="26"/>
      <c r="LZ148" s="26"/>
      <c r="MA148" s="26"/>
      <c r="MB148" s="26"/>
      <c r="MC148" s="26"/>
      <c r="MD148" s="26"/>
      <c r="ME148" s="26"/>
      <c r="MF148" s="26"/>
      <c r="MG148" s="26"/>
      <c r="MH148" s="26"/>
      <c r="MI148" s="26"/>
      <c r="MJ148" s="26"/>
      <c r="MK148" s="26"/>
      <c r="ML148" s="26"/>
      <c r="MM148" s="26"/>
      <c r="MN148" s="26"/>
      <c r="MO148" s="26"/>
      <c r="MP148" s="26"/>
      <c r="MQ148" s="26"/>
      <c r="MR148" s="26"/>
      <c r="MS148" s="23"/>
      <c r="MT148" s="26"/>
      <c r="MU148" s="26"/>
      <c r="MV148" s="26"/>
      <c r="MW148" s="26"/>
      <c r="MX148" s="26"/>
      <c r="MY148" s="26"/>
      <c r="MZ148" s="26"/>
      <c r="NA148" s="26"/>
      <c r="NB148" s="26"/>
      <c r="NC148" s="26"/>
      <c r="ND148" s="26"/>
      <c r="NE148" s="26"/>
      <c r="NF148" s="26"/>
      <c r="NG148" s="26"/>
      <c r="NH148" s="26"/>
      <c r="NI148" s="26"/>
      <c r="NJ148" s="26"/>
      <c r="NK148" s="26"/>
      <c r="NL148" s="26"/>
      <c r="NM148" s="26"/>
      <c r="NN148" s="26"/>
      <c r="NO148" s="26"/>
      <c r="NP148" s="26"/>
      <c r="NQ148" s="26"/>
      <c r="NR148" s="26"/>
      <c r="NS148" s="26"/>
      <c r="NT148" s="26"/>
      <c r="NU148" s="26"/>
      <c r="NV148" s="26"/>
      <c r="NW148" s="26"/>
      <c r="NX148" s="26"/>
      <c r="NY148" s="26"/>
      <c r="NZ148" s="26"/>
      <c r="OA148" s="26"/>
      <c r="OB148" s="26"/>
      <c r="OC148" s="26"/>
      <c r="OD148" s="26"/>
      <c r="OE148" s="26"/>
      <c r="OF148" s="23"/>
      <c r="OG148" s="26"/>
      <c r="OH148" s="26"/>
      <c r="OI148" s="26"/>
      <c r="OJ148" s="26"/>
      <c r="OK148" s="26"/>
      <c r="OL148" s="26"/>
      <c r="OM148" s="26"/>
      <c r="ON148" s="26"/>
      <c r="OO148" s="26"/>
      <c r="OP148" s="26"/>
      <c r="OQ148" s="26"/>
      <c r="OR148" s="26"/>
      <c r="OS148" s="26"/>
      <c r="OT148" s="26"/>
      <c r="OU148" s="26"/>
      <c r="OV148" s="26"/>
      <c r="OW148" s="26"/>
      <c r="OX148" s="26"/>
      <c r="OY148" s="26"/>
      <c r="OZ148" s="26"/>
      <c r="PA148" s="26"/>
      <c r="PB148" s="26"/>
      <c r="PC148" s="26"/>
      <c r="PD148" s="26"/>
      <c r="PE148" s="26"/>
      <c r="PF148" s="26"/>
      <c r="PG148" s="26"/>
      <c r="PH148" s="26"/>
      <c r="PI148" s="26"/>
      <c r="PJ148" s="26"/>
      <c r="PK148" s="26"/>
      <c r="PL148" s="26"/>
      <c r="PM148" s="26"/>
      <c r="PN148" s="26"/>
      <c r="PO148" s="26"/>
      <c r="PP148" s="26"/>
      <c r="PQ148" s="26"/>
      <c r="PR148" s="26"/>
    </row>
    <row r="149" spans="1:434" x14ac:dyDescent="0.25">
      <c r="A149" s="24"/>
      <c r="B149" s="25" t="s">
        <v>216</v>
      </c>
      <c r="C149" s="24" t="s">
        <v>70</v>
      </c>
      <c r="D149" s="24" t="s">
        <v>76</v>
      </c>
      <c r="E149" s="24"/>
      <c r="F149" s="23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3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3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3"/>
      <c r="DT149" s="26"/>
      <c r="DU149" s="26"/>
      <c r="DV149" s="26"/>
      <c r="DW149" s="26"/>
      <c r="DX149" s="26"/>
      <c r="DY149" s="26"/>
      <c r="DZ149" s="26"/>
      <c r="EA149" s="26"/>
      <c r="EB149" s="26"/>
      <c r="EC149" s="26"/>
      <c r="ED149" s="26"/>
      <c r="EE149" s="26"/>
      <c r="EF149" s="26"/>
      <c r="EG149" s="26"/>
      <c r="EH149" s="26"/>
      <c r="EI149" s="26"/>
      <c r="EJ149" s="26"/>
      <c r="EK149" s="26"/>
      <c r="EL149" s="26"/>
      <c r="EM149" s="26"/>
      <c r="EN149" s="26"/>
      <c r="EO149" s="26"/>
      <c r="EP149" s="26"/>
      <c r="EQ149" s="26"/>
      <c r="ER149" s="26"/>
      <c r="ES149" s="26"/>
      <c r="ET149" s="26"/>
      <c r="EU149" s="26"/>
      <c r="EV149" s="26"/>
      <c r="EW149" s="26"/>
      <c r="EX149" s="26"/>
      <c r="EY149" s="26"/>
      <c r="EZ149" s="26"/>
      <c r="FA149" s="26"/>
      <c r="FB149" s="26"/>
      <c r="FC149" s="26"/>
      <c r="FD149" s="26"/>
      <c r="FE149" s="26"/>
      <c r="FF149" s="23"/>
      <c r="FG149" s="26"/>
      <c r="FH149" s="26"/>
      <c r="FI149" s="26"/>
      <c r="FJ149" s="26"/>
      <c r="FK149" s="26"/>
      <c r="FL149" s="26"/>
      <c r="FM149" s="26"/>
      <c r="FN149" s="26"/>
      <c r="FO149" s="26"/>
      <c r="FP149" s="26"/>
      <c r="FQ149" s="26"/>
      <c r="FR149" s="26"/>
      <c r="FS149" s="26"/>
      <c r="FT149" s="26"/>
      <c r="FU149" s="26"/>
      <c r="FV149" s="26"/>
      <c r="FW149" s="26"/>
      <c r="FX149" s="26"/>
      <c r="FY149" s="26"/>
      <c r="FZ149" s="26"/>
      <c r="GA149" s="26"/>
      <c r="GB149" s="26"/>
      <c r="GC149" s="26"/>
      <c r="GD149" s="26"/>
      <c r="GE149" s="26"/>
      <c r="GF149" s="26"/>
      <c r="GG149" s="26"/>
      <c r="GH149" s="26"/>
      <c r="GI149" s="26"/>
      <c r="GJ149" s="26"/>
      <c r="GK149" s="26"/>
      <c r="GL149" s="26"/>
      <c r="GM149" s="26"/>
      <c r="GN149" s="26"/>
      <c r="GO149" s="26"/>
      <c r="GP149" s="26"/>
      <c r="GQ149" s="26"/>
      <c r="GR149" s="26"/>
      <c r="GS149" s="23"/>
      <c r="GT149" s="26"/>
      <c r="GU149" s="26"/>
      <c r="GV149" s="26"/>
      <c r="GW149" s="26"/>
      <c r="GX149" s="26"/>
      <c r="GY149" s="26"/>
      <c r="GZ149" s="26"/>
      <c r="HA149" s="26"/>
      <c r="HB149" s="26"/>
      <c r="HC149" s="26"/>
      <c r="HD149" s="26"/>
      <c r="HE149" s="26"/>
      <c r="HF149" s="26"/>
      <c r="HG149" s="26"/>
      <c r="HH149" s="26"/>
      <c r="HI149" s="26"/>
      <c r="HJ149" s="26"/>
      <c r="HK149" s="26"/>
      <c r="HL149" s="26"/>
      <c r="HM149" s="26"/>
      <c r="HN149" s="26"/>
      <c r="HO149" s="26"/>
      <c r="HP149" s="26"/>
      <c r="HQ149" s="26"/>
      <c r="HR149" s="26"/>
      <c r="HS149" s="26"/>
      <c r="HT149" s="26"/>
      <c r="HU149" s="26"/>
      <c r="HV149" s="26"/>
      <c r="HW149" s="26"/>
      <c r="HX149" s="26"/>
      <c r="HY149" s="26"/>
      <c r="HZ149" s="26"/>
      <c r="IA149" s="26"/>
      <c r="IB149" s="26"/>
      <c r="IC149" s="26"/>
      <c r="ID149" s="26"/>
      <c r="IE149" s="26"/>
      <c r="IF149" s="23"/>
      <c r="IG149" s="26"/>
      <c r="IH149" s="26"/>
      <c r="II149" s="26"/>
      <c r="IJ149" s="26"/>
      <c r="IK149" s="26"/>
      <c r="IL149" s="26"/>
      <c r="IM149" s="26"/>
      <c r="IN149" s="26"/>
      <c r="IO149" s="26"/>
      <c r="IP149" s="26"/>
      <c r="IQ149" s="26"/>
      <c r="IR149" s="26"/>
      <c r="IS149" s="26"/>
      <c r="IT149" s="26"/>
      <c r="IU149" s="26"/>
      <c r="IV149" s="26"/>
      <c r="IW149" s="26"/>
      <c r="IX149" s="26"/>
      <c r="IY149" s="26"/>
      <c r="IZ149" s="26"/>
      <c r="JA149" s="26"/>
      <c r="JB149" s="26"/>
      <c r="JC149" s="26"/>
      <c r="JD149" s="26"/>
      <c r="JE149" s="26"/>
      <c r="JF149" s="26"/>
      <c r="JG149" s="26"/>
      <c r="JH149" s="26"/>
      <c r="JI149" s="26"/>
      <c r="JJ149" s="26"/>
      <c r="JK149" s="26"/>
      <c r="JL149" s="26"/>
      <c r="JM149" s="26"/>
      <c r="JN149" s="26"/>
      <c r="JO149" s="26"/>
      <c r="JP149" s="26"/>
      <c r="JQ149" s="26"/>
      <c r="JR149" s="26"/>
      <c r="JS149" s="23"/>
      <c r="JT149" s="26"/>
      <c r="JU149" s="26"/>
      <c r="JV149" s="26"/>
      <c r="JW149" s="26"/>
      <c r="JX149" s="26"/>
      <c r="JY149" s="26"/>
      <c r="JZ149" s="26"/>
      <c r="KA149" s="26"/>
      <c r="KB149" s="26"/>
      <c r="KC149" s="26"/>
      <c r="KD149" s="26"/>
      <c r="KE149" s="26"/>
      <c r="KF149" s="26"/>
      <c r="KG149" s="26"/>
      <c r="KH149" s="26"/>
      <c r="KI149" s="26"/>
      <c r="KJ149" s="26"/>
      <c r="KK149" s="26"/>
      <c r="KL149" s="26"/>
      <c r="KM149" s="26"/>
      <c r="KN149" s="26"/>
      <c r="KO149" s="26"/>
      <c r="KP149" s="26"/>
      <c r="KQ149" s="26"/>
      <c r="KR149" s="26"/>
      <c r="KS149" s="26"/>
      <c r="KT149" s="26"/>
      <c r="KU149" s="26"/>
      <c r="KV149" s="26"/>
      <c r="KW149" s="26"/>
      <c r="KX149" s="26"/>
      <c r="KY149" s="26"/>
      <c r="KZ149" s="26"/>
      <c r="LA149" s="26"/>
      <c r="LB149" s="26"/>
      <c r="LC149" s="26"/>
      <c r="LD149" s="26"/>
      <c r="LE149" s="26"/>
      <c r="LF149" s="23"/>
      <c r="LG149" s="26"/>
      <c r="LH149" s="26"/>
      <c r="LI149" s="26"/>
      <c r="LJ149" s="26"/>
      <c r="LK149" s="26"/>
      <c r="LL149" s="26"/>
      <c r="LM149" s="26"/>
      <c r="LN149" s="26"/>
      <c r="LO149" s="26"/>
      <c r="LP149" s="26"/>
      <c r="LQ149" s="26"/>
      <c r="LR149" s="26"/>
      <c r="LS149" s="26"/>
      <c r="LT149" s="26"/>
      <c r="LU149" s="26"/>
      <c r="LV149" s="26"/>
      <c r="LW149" s="26"/>
      <c r="LX149" s="26"/>
      <c r="LY149" s="26"/>
      <c r="LZ149" s="26"/>
      <c r="MA149" s="26"/>
      <c r="MB149" s="26"/>
      <c r="MC149" s="26"/>
      <c r="MD149" s="26"/>
      <c r="ME149" s="26"/>
      <c r="MF149" s="26"/>
      <c r="MG149" s="26"/>
      <c r="MH149" s="26"/>
      <c r="MI149" s="26"/>
      <c r="MJ149" s="26"/>
      <c r="MK149" s="26"/>
      <c r="ML149" s="26"/>
      <c r="MM149" s="26"/>
      <c r="MN149" s="26"/>
      <c r="MO149" s="26"/>
      <c r="MP149" s="26"/>
      <c r="MQ149" s="26"/>
      <c r="MR149" s="26"/>
      <c r="MS149" s="23"/>
      <c r="MT149" s="26"/>
      <c r="MU149" s="26"/>
      <c r="MV149" s="26"/>
      <c r="MW149" s="26"/>
      <c r="MX149" s="26"/>
      <c r="MY149" s="26"/>
      <c r="MZ149" s="26"/>
      <c r="NA149" s="26"/>
      <c r="NB149" s="26"/>
      <c r="NC149" s="26"/>
      <c r="ND149" s="26"/>
      <c r="NE149" s="26"/>
      <c r="NF149" s="26"/>
      <c r="NG149" s="26"/>
      <c r="NH149" s="26"/>
      <c r="NI149" s="26"/>
      <c r="NJ149" s="26"/>
      <c r="NK149" s="26"/>
      <c r="NL149" s="26"/>
      <c r="NM149" s="26"/>
      <c r="NN149" s="26"/>
      <c r="NO149" s="26"/>
      <c r="NP149" s="26"/>
      <c r="NQ149" s="26"/>
      <c r="NR149" s="26"/>
      <c r="NS149" s="26"/>
      <c r="NT149" s="26"/>
      <c r="NU149" s="26"/>
      <c r="NV149" s="26"/>
      <c r="NW149" s="26"/>
      <c r="NX149" s="26"/>
      <c r="NY149" s="26"/>
      <c r="NZ149" s="26"/>
      <c r="OA149" s="26"/>
      <c r="OB149" s="26"/>
      <c r="OC149" s="26"/>
      <c r="OD149" s="26"/>
      <c r="OE149" s="26"/>
      <c r="OF149" s="23"/>
      <c r="OG149" s="26"/>
      <c r="OH149" s="26"/>
      <c r="OI149" s="26"/>
      <c r="OJ149" s="26"/>
      <c r="OK149" s="26"/>
      <c r="OL149" s="26"/>
      <c r="OM149" s="26"/>
      <c r="ON149" s="26"/>
      <c r="OO149" s="26"/>
      <c r="OP149" s="26"/>
      <c r="OQ149" s="26"/>
      <c r="OR149" s="26"/>
      <c r="OS149" s="26"/>
      <c r="OT149" s="26"/>
      <c r="OU149" s="26"/>
      <c r="OV149" s="26"/>
      <c r="OW149" s="26"/>
      <c r="OX149" s="26"/>
      <c r="OY149" s="26"/>
      <c r="OZ149" s="26"/>
      <c r="PA149" s="26"/>
      <c r="PB149" s="26"/>
      <c r="PC149" s="26"/>
      <c r="PD149" s="26"/>
      <c r="PE149" s="26"/>
      <c r="PF149" s="26"/>
      <c r="PG149" s="26"/>
      <c r="PH149" s="26"/>
      <c r="PI149" s="26"/>
      <c r="PJ149" s="26"/>
      <c r="PK149" s="26"/>
      <c r="PL149" s="26"/>
      <c r="PM149" s="26"/>
      <c r="PN149" s="26"/>
      <c r="PO149" s="26"/>
      <c r="PP149" s="26"/>
      <c r="PQ149" s="26"/>
      <c r="PR149" s="26"/>
    </row>
    <row r="150" spans="1:434" x14ac:dyDescent="0.25">
      <c r="A150" s="24"/>
      <c r="B150" s="25" t="s">
        <v>210</v>
      </c>
      <c r="C150" s="24" t="s">
        <v>66</v>
      </c>
      <c r="D150" s="24" t="s">
        <v>76</v>
      </c>
      <c r="E150" s="24"/>
      <c r="F150" s="23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3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3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3"/>
      <c r="DT150" s="26"/>
      <c r="DU150" s="26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  <c r="EY150" s="26"/>
      <c r="EZ150" s="26"/>
      <c r="FA150" s="26"/>
      <c r="FB150" s="26"/>
      <c r="FC150" s="26"/>
      <c r="FD150" s="26"/>
      <c r="FE150" s="26"/>
      <c r="FF150" s="23"/>
      <c r="FG150" s="26"/>
      <c r="FH150" s="26"/>
      <c r="FI150" s="26"/>
      <c r="FJ150" s="26"/>
      <c r="FK150" s="26"/>
      <c r="FL150" s="26"/>
      <c r="FM150" s="26"/>
      <c r="FN150" s="26"/>
      <c r="FO150" s="26"/>
      <c r="FP150" s="26"/>
      <c r="FQ150" s="26"/>
      <c r="FR150" s="26"/>
      <c r="FS150" s="26"/>
      <c r="FT150" s="26"/>
      <c r="FU150" s="26"/>
      <c r="FV150" s="26"/>
      <c r="FW150" s="26"/>
      <c r="FX150" s="26"/>
      <c r="FY150" s="26"/>
      <c r="FZ150" s="26"/>
      <c r="GA150" s="26"/>
      <c r="GB150" s="26"/>
      <c r="GC150" s="26"/>
      <c r="GD150" s="26"/>
      <c r="GE150" s="26"/>
      <c r="GF150" s="26"/>
      <c r="GG150" s="26"/>
      <c r="GH150" s="26"/>
      <c r="GI150" s="26"/>
      <c r="GJ150" s="26"/>
      <c r="GK150" s="26"/>
      <c r="GL150" s="26"/>
      <c r="GM150" s="26"/>
      <c r="GN150" s="26"/>
      <c r="GO150" s="26"/>
      <c r="GP150" s="26"/>
      <c r="GQ150" s="26"/>
      <c r="GR150" s="26"/>
      <c r="GS150" s="23"/>
      <c r="GT150" s="26"/>
      <c r="GU150" s="26"/>
      <c r="GV150" s="26"/>
      <c r="GW150" s="26"/>
      <c r="GX150" s="26"/>
      <c r="GY150" s="26"/>
      <c r="GZ150" s="26"/>
      <c r="HA150" s="26"/>
      <c r="HB150" s="26"/>
      <c r="HC150" s="26"/>
      <c r="HD150" s="26"/>
      <c r="HE150" s="26"/>
      <c r="HF150" s="26"/>
      <c r="HG150" s="26"/>
      <c r="HH150" s="26"/>
      <c r="HI150" s="26"/>
      <c r="HJ150" s="26"/>
      <c r="HK150" s="26"/>
      <c r="HL150" s="26"/>
      <c r="HM150" s="26"/>
      <c r="HN150" s="26"/>
      <c r="HO150" s="26"/>
      <c r="HP150" s="26"/>
      <c r="HQ150" s="26"/>
      <c r="HR150" s="26"/>
      <c r="HS150" s="26"/>
      <c r="HT150" s="26"/>
      <c r="HU150" s="26"/>
      <c r="HV150" s="26"/>
      <c r="HW150" s="26"/>
      <c r="HX150" s="26"/>
      <c r="HY150" s="26"/>
      <c r="HZ150" s="26"/>
      <c r="IA150" s="26"/>
      <c r="IB150" s="26"/>
      <c r="IC150" s="26"/>
      <c r="ID150" s="26"/>
      <c r="IE150" s="26"/>
      <c r="IF150" s="23"/>
      <c r="IG150" s="26"/>
      <c r="IH150" s="26"/>
      <c r="II150" s="26"/>
      <c r="IJ150" s="26"/>
      <c r="IK150" s="26"/>
      <c r="IL150" s="26"/>
      <c r="IM150" s="26"/>
      <c r="IN150" s="26"/>
      <c r="IO150" s="26"/>
      <c r="IP150" s="26"/>
      <c r="IQ150" s="26"/>
      <c r="IR150" s="26"/>
      <c r="IS150" s="26"/>
      <c r="IT150" s="26"/>
      <c r="IU150" s="26"/>
      <c r="IV150" s="26"/>
      <c r="IW150" s="26"/>
      <c r="IX150" s="26"/>
      <c r="IY150" s="26"/>
      <c r="IZ150" s="26"/>
      <c r="JA150" s="26"/>
      <c r="JB150" s="26"/>
      <c r="JC150" s="26"/>
      <c r="JD150" s="26"/>
      <c r="JE150" s="26"/>
      <c r="JF150" s="26"/>
      <c r="JG150" s="26"/>
      <c r="JH150" s="26"/>
      <c r="JI150" s="26"/>
      <c r="JJ150" s="26"/>
      <c r="JK150" s="26"/>
      <c r="JL150" s="26"/>
      <c r="JM150" s="26"/>
      <c r="JN150" s="26"/>
      <c r="JO150" s="26"/>
      <c r="JP150" s="26"/>
      <c r="JQ150" s="26"/>
      <c r="JR150" s="26"/>
      <c r="JS150" s="23"/>
      <c r="JT150" s="26"/>
      <c r="JU150" s="26"/>
      <c r="JV150" s="26"/>
      <c r="JW150" s="26"/>
      <c r="JX150" s="26"/>
      <c r="JY150" s="26"/>
      <c r="JZ150" s="26"/>
      <c r="KA150" s="26"/>
      <c r="KB150" s="26"/>
      <c r="KC150" s="26"/>
      <c r="KD150" s="26"/>
      <c r="KE150" s="26"/>
      <c r="KF150" s="26"/>
      <c r="KG150" s="26"/>
      <c r="KH150" s="26"/>
      <c r="KI150" s="26"/>
      <c r="KJ150" s="26"/>
      <c r="KK150" s="26"/>
      <c r="KL150" s="26"/>
      <c r="KM150" s="26"/>
      <c r="KN150" s="26"/>
      <c r="KO150" s="26"/>
      <c r="KP150" s="26"/>
      <c r="KQ150" s="26"/>
      <c r="KR150" s="26"/>
      <c r="KS150" s="26"/>
      <c r="KT150" s="26"/>
      <c r="KU150" s="26"/>
      <c r="KV150" s="26"/>
      <c r="KW150" s="26"/>
      <c r="KX150" s="26"/>
      <c r="KY150" s="26"/>
      <c r="KZ150" s="26"/>
      <c r="LA150" s="26"/>
      <c r="LB150" s="26"/>
      <c r="LC150" s="26"/>
      <c r="LD150" s="26"/>
      <c r="LE150" s="26"/>
      <c r="LF150" s="23"/>
      <c r="LG150" s="26"/>
      <c r="LH150" s="26"/>
      <c r="LI150" s="26"/>
      <c r="LJ150" s="26"/>
      <c r="LK150" s="26"/>
      <c r="LL150" s="26"/>
      <c r="LM150" s="26"/>
      <c r="LN150" s="26"/>
      <c r="LO150" s="26"/>
      <c r="LP150" s="26"/>
      <c r="LQ150" s="26"/>
      <c r="LR150" s="26"/>
      <c r="LS150" s="26"/>
      <c r="LT150" s="26"/>
      <c r="LU150" s="26"/>
      <c r="LV150" s="26"/>
      <c r="LW150" s="26"/>
      <c r="LX150" s="26"/>
      <c r="LY150" s="26"/>
      <c r="LZ150" s="26"/>
      <c r="MA150" s="26"/>
      <c r="MB150" s="26"/>
      <c r="MC150" s="26"/>
      <c r="MD150" s="26"/>
      <c r="ME150" s="26"/>
      <c r="MF150" s="26"/>
      <c r="MG150" s="26"/>
      <c r="MH150" s="26"/>
      <c r="MI150" s="26"/>
      <c r="MJ150" s="26"/>
      <c r="MK150" s="26"/>
      <c r="ML150" s="26"/>
      <c r="MM150" s="26"/>
      <c r="MN150" s="26"/>
      <c r="MO150" s="26"/>
      <c r="MP150" s="26"/>
      <c r="MQ150" s="26"/>
      <c r="MR150" s="26"/>
      <c r="MS150" s="23"/>
      <c r="MT150" s="26"/>
      <c r="MU150" s="26"/>
      <c r="MV150" s="26"/>
      <c r="MW150" s="26"/>
      <c r="MX150" s="26"/>
      <c r="MY150" s="26"/>
      <c r="MZ150" s="26"/>
      <c r="NA150" s="26"/>
      <c r="NB150" s="26"/>
      <c r="NC150" s="26"/>
      <c r="ND150" s="26"/>
      <c r="NE150" s="26"/>
      <c r="NF150" s="26"/>
      <c r="NG150" s="26"/>
      <c r="NH150" s="26"/>
      <c r="NI150" s="26"/>
      <c r="NJ150" s="26"/>
      <c r="NK150" s="26"/>
      <c r="NL150" s="26"/>
      <c r="NM150" s="26"/>
      <c r="NN150" s="26"/>
      <c r="NO150" s="26"/>
      <c r="NP150" s="26"/>
      <c r="NQ150" s="26"/>
      <c r="NR150" s="26"/>
      <c r="NS150" s="26"/>
      <c r="NT150" s="26"/>
      <c r="NU150" s="26"/>
      <c r="NV150" s="26"/>
      <c r="NW150" s="26"/>
      <c r="NX150" s="26"/>
      <c r="NY150" s="26"/>
      <c r="NZ150" s="26"/>
      <c r="OA150" s="26"/>
      <c r="OB150" s="26"/>
      <c r="OC150" s="26"/>
      <c r="OD150" s="26"/>
      <c r="OE150" s="26"/>
      <c r="OF150" s="23"/>
      <c r="OG150" s="26"/>
      <c r="OH150" s="26"/>
      <c r="OI150" s="26"/>
      <c r="OJ150" s="26"/>
      <c r="OK150" s="26"/>
      <c r="OL150" s="26"/>
      <c r="OM150" s="26"/>
      <c r="ON150" s="26"/>
      <c r="OO150" s="26"/>
      <c r="OP150" s="26"/>
      <c r="OQ150" s="26"/>
      <c r="OR150" s="26"/>
      <c r="OS150" s="26"/>
      <c r="OT150" s="26"/>
      <c r="OU150" s="26"/>
      <c r="OV150" s="26"/>
      <c r="OW150" s="26"/>
      <c r="OX150" s="26"/>
      <c r="OY150" s="26"/>
      <c r="OZ150" s="26"/>
      <c r="PA150" s="26"/>
      <c r="PB150" s="26"/>
      <c r="PC150" s="26"/>
      <c r="PD150" s="26"/>
      <c r="PE150" s="26"/>
      <c r="PF150" s="26"/>
      <c r="PG150" s="26"/>
      <c r="PH150" s="26"/>
      <c r="PI150" s="26"/>
      <c r="PJ150" s="26"/>
      <c r="PK150" s="26"/>
      <c r="PL150" s="26"/>
      <c r="PM150" s="26"/>
      <c r="PN150" s="26"/>
      <c r="PO150" s="26"/>
      <c r="PP150" s="26"/>
      <c r="PQ150" s="26"/>
      <c r="PR150" s="26"/>
    </row>
    <row r="151" spans="1:434" x14ac:dyDescent="0.25">
      <c r="A151" s="24"/>
      <c r="B151" s="25" t="s">
        <v>217</v>
      </c>
      <c r="C151" s="24" t="s">
        <v>70</v>
      </c>
      <c r="D151" s="24" t="s">
        <v>76</v>
      </c>
      <c r="E151" s="24"/>
      <c r="F151" s="23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3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3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3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EZ151" s="26"/>
      <c r="FA151" s="26"/>
      <c r="FB151" s="26"/>
      <c r="FC151" s="26"/>
      <c r="FD151" s="26"/>
      <c r="FE151" s="26"/>
      <c r="FF151" s="23"/>
      <c r="FG151" s="26"/>
      <c r="FH151" s="26"/>
      <c r="FI151" s="26"/>
      <c r="FJ151" s="26"/>
      <c r="FK151" s="26"/>
      <c r="FL151" s="26"/>
      <c r="FM151" s="26"/>
      <c r="FN151" s="26"/>
      <c r="FO151" s="26"/>
      <c r="FP151" s="26"/>
      <c r="FQ151" s="26"/>
      <c r="FR151" s="26"/>
      <c r="FS151" s="26"/>
      <c r="FT151" s="26"/>
      <c r="FU151" s="26"/>
      <c r="FV151" s="26"/>
      <c r="FW151" s="26"/>
      <c r="FX151" s="26"/>
      <c r="FY151" s="26"/>
      <c r="FZ151" s="26"/>
      <c r="GA151" s="26"/>
      <c r="GB151" s="26"/>
      <c r="GC151" s="26"/>
      <c r="GD151" s="26"/>
      <c r="GE151" s="26"/>
      <c r="GF151" s="26"/>
      <c r="GG151" s="26"/>
      <c r="GH151" s="26"/>
      <c r="GI151" s="26"/>
      <c r="GJ151" s="26"/>
      <c r="GK151" s="26"/>
      <c r="GL151" s="26"/>
      <c r="GM151" s="26"/>
      <c r="GN151" s="26"/>
      <c r="GO151" s="26"/>
      <c r="GP151" s="26"/>
      <c r="GQ151" s="26"/>
      <c r="GR151" s="26"/>
      <c r="GS151" s="23"/>
      <c r="GT151" s="26"/>
      <c r="GU151" s="26"/>
      <c r="GV151" s="26"/>
      <c r="GW151" s="26"/>
      <c r="GX151" s="26"/>
      <c r="GY151" s="26"/>
      <c r="GZ151" s="26"/>
      <c r="HA151" s="26"/>
      <c r="HB151" s="26"/>
      <c r="HC151" s="26"/>
      <c r="HD151" s="26"/>
      <c r="HE151" s="26"/>
      <c r="HF151" s="26"/>
      <c r="HG151" s="26"/>
      <c r="HH151" s="26"/>
      <c r="HI151" s="26"/>
      <c r="HJ151" s="26"/>
      <c r="HK151" s="26"/>
      <c r="HL151" s="26"/>
      <c r="HM151" s="26"/>
      <c r="HN151" s="26"/>
      <c r="HO151" s="26"/>
      <c r="HP151" s="26"/>
      <c r="HQ151" s="26"/>
      <c r="HR151" s="26"/>
      <c r="HS151" s="26"/>
      <c r="HT151" s="26"/>
      <c r="HU151" s="26"/>
      <c r="HV151" s="26"/>
      <c r="HW151" s="26"/>
      <c r="HX151" s="26"/>
      <c r="HY151" s="26"/>
      <c r="HZ151" s="26"/>
      <c r="IA151" s="26"/>
      <c r="IB151" s="26"/>
      <c r="IC151" s="26"/>
      <c r="ID151" s="26"/>
      <c r="IE151" s="26"/>
      <c r="IF151" s="23"/>
      <c r="IG151" s="26"/>
      <c r="IH151" s="26"/>
      <c r="II151" s="26"/>
      <c r="IJ151" s="26"/>
      <c r="IK151" s="26"/>
      <c r="IL151" s="26"/>
      <c r="IM151" s="26"/>
      <c r="IN151" s="26"/>
      <c r="IO151" s="26"/>
      <c r="IP151" s="26"/>
      <c r="IQ151" s="26"/>
      <c r="IR151" s="26"/>
      <c r="IS151" s="26"/>
      <c r="IT151" s="26"/>
      <c r="IU151" s="26"/>
      <c r="IV151" s="26"/>
      <c r="IW151" s="26"/>
      <c r="IX151" s="26"/>
      <c r="IY151" s="26"/>
      <c r="IZ151" s="26"/>
      <c r="JA151" s="26"/>
      <c r="JB151" s="26"/>
      <c r="JC151" s="26"/>
      <c r="JD151" s="26"/>
      <c r="JE151" s="26"/>
      <c r="JF151" s="26"/>
      <c r="JG151" s="26"/>
      <c r="JH151" s="26"/>
      <c r="JI151" s="26"/>
      <c r="JJ151" s="26"/>
      <c r="JK151" s="26"/>
      <c r="JL151" s="26"/>
      <c r="JM151" s="26"/>
      <c r="JN151" s="26"/>
      <c r="JO151" s="26"/>
      <c r="JP151" s="26"/>
      <c r="JQ151" s="26"/>
      <c r="JR151" s="26"/>
      <c r="JS151" s="23"/>
      <c r="JT151" s="26"/>
      <c r="JU151" s="26"/>
      <c r="JV151" s="26"/>
      <c r="JW151" s="26"/>
      <c r="JX151" s="26"/>
      <c r="JY151" s="26"/>
      <c r="JZ151" s="26"/>
      <c r="KA151" s="26"/>
      <c r="KB151" s="26"/>
      <c r="KC151" s="26"/>
      <c r="KD151" s="26"/>
      <c r="KE151" s="26"/>
      <c r="KF151" s="26"/>
      <c r="KG151" s="26"/>
      <c r="KH151" s="26"/>
      <c r="KI151" s="26"/>
      <c r="KJ151" s="26"/>
      <c r="KK151" s="26"/>
      <c r="KL151" s="26"/>
      <c r="KM151" s="26"/>
      <c r="KN151" s="26"/>
      <c r="KO151" s="26"/>
      <c r="KP151" s="26"/>
      <c r="KQ151" s="26"/>
      <c r="KR151" s="26"/>
      <c r="KS151" s="26"/>
      <c r="KT151" s="26"/>
      <c r="KU151" s="26"/>
      <c r="KV151" s="26"/>
      <c r="KW151" s="26"/>
      <c r="KX151" s="26"/>
      <c r="KY151" s="26"/>
      <c r="KZ151" s="26"/>
      <c r="LA151" s="26"/>
      <c r="LB151" s="26"/>
      <c r="LC151" s="26"/>
      <c r="LD151" s="26"/>
      <c r="LE151" s="26"/>
      <c r="LF151" s="23"/>
      <c r="LG151" s="26"/>
      <c r="LH151" s="26"/>
      <c r="LI151" s="26"/>
      <c r="LJ151" s="26"/>
      <c r="LK151" s="26"/>
      <c r="LL151" s="26"/>
      <c r="LM151" s="26"/>
      <c r="LN151" s="26"/>
      <c r="LO151" s="26"/>
      <c r="LP151" s="26"/>
      <c r="LQ151" s="26"/>
      <c r="LR151" s="26"/>
      <c r="LS151" s="26"/>
      <c r="LT151" s="26"/>
      <c r="LU151" s="26"/>
      <c r="LV151" s="26"/>
      <c r="LW151" s="26"/>
      <c r="LX151" s="26"/>
      <c r="LY151" s="26"/>
      <c r="LZ151" s="26"/>
      <c r="MA151" s="26"/>
      <c r="MB151" s="26"/>
      <c r="MC151" s="26"/>
      <c r="MD151" s="26"/>
      <c r="ME151" s="26"/>
      <c r="MF151" s="26"/>
      <c r="MG151" s="26"/>
      <c r="MH151" s="26"/>
      <c r="MI151" s="26"/>
      <c r="MJ151" s="26"/>
      <c r="MK151" s="26"/>
      <c r="ML151" s="26"/>
      <c r="MM151" s="26"/>
      <c r="MN151" s="26"/>
      <c r="MO151" s="26"/>
      <c r="MP151" s="26"/>
      <c r="MQ151" s="26"/>
      <c r="MR151" s="26"/>
      <c r="MS151" s="23"/>
      <c r="MT151" s="26"/>
      <c r="MU151" s="26"/>
      <c r="MV151" s="26"/>
      <c r="MW151" s="26"/>
      <c r="MX151" s="26"/>
      <c r="MY151" s="26"/>
      <c r="MZ151" s="26"/>
      <c r="NA151" s="26"/>
      <c r="NB151" s="26"/>
      <c r="NC151" s="26"/>
      <c r="ND151" s="26"/>
      <c r="NE151" s="26"/>
      <c r="NF151" s="26"/>
      <c r="NG151" s="26"/>
      <c r="NH151" s="26"/>
      <c r="NI151" s="26"/>
      <c r="NJ151" s="26"/>
      <c r="NK151" s="26"/>
      <c r="NL151" s="26"/>
      <c r="NM151" s="26"/>
      <c r="NN151" s="26"/>
      <c r="NO151" s="26"/>
      <c r="NP151" s="26"/>
      <c r="NQ151" s="26"/>
      <c r="NR151" s="26"/>
      <c r="NS151" s="26"/>
      <c r="NT151" s="26"/>
      <c r="NU151" s="26"/>
      <c r="NV151" s="26"/>
      <c r="NW151" s="26"/>
      <c r="NX151" s="26"/>
      <c r="NY151" s="26"/>
      <c r="NZ151" s="26"/>
      <c r="OA151" s="26"/>
      <c r="OB151" s="26"/>
      <c r="OC151" s="26"/>
      <c r="OD151" s="26"/>
      <c r="OE151" s="26"/>
      <c r="OF151" s="23"/>
      <c r="OG151" s="26"/>
      <c r="OH151" s="26"/>
      <c r="OI151" s="26"/>
      <c r="OJ151" s="26"/>
      <c r="OK151" s="26"/>
      <c r="OL151" s="26"/>
      <c r="OM151" s="26"/>
      <c r="ON151" s="26"/>
      <c r="OO151" s="26"/>
      <c r="OP151" s="26"/>
      <c r="OQ151" s="26"/>
      <c r="OR151" s="26"/>
      <c r="OS151" s="26"/>
      <c r="OT151" s="26"/>
      <c r="OU151" s="26"/>
      <c r="OV151" s="26"/>
      <c r="OW151" s="26"/>
      <c r="OX151" s="26"/>
      <c r="OY151" s="26"/>
      <c r="OZ151" s="26"/>
      <c r="PA151" s="26"/>
      <c r="PB151" s="26"/>
      <c r="PC151" s="26"/>
      <c r="PD151" s="26"/>
      <c r="PE151" s="26"/>
      <c r="PF151" s="26"/>
      <c r="PG151" s="26"/>
      <c r="PH151" s="26"/>
      <c r="PI151" s="26"/>
      <c r="PJ151" s="26"/>
      <c r="PK151" s="26"/>
      <c r="PL151" s="26"/>
      <c r="PM151" s="26"/>
      <c r="PN151" s="26"/>
      <c r="PO151" s="26"/>
      <c r="PP151" s="26"/>
      <c r="PQ151" s="26"/>
      <c r="PR151" s="26"/>
    </row>
    <row r="152" spans="1:434" ht="21.95" customHeight="1" x14ac:dyDescent="0.25">
      <c r="A152" s="84" t="s">
        <v>218</v>
      </c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  <c r="FU152" s="85"/>
      <c r="FV152" s="85"/>
      <c r="FW152" s="85"/>
      <c r="FX152" s="85"/>
      <c r="FY152" s="85"/>
      <c r="FZ152" s="85"/>
      <c r="GA152" s="85"/>
      <c r="GB152" s="85"/>
      <c r="GC152" s="85"/>
      <c r="GD152" s="85"/>
      <c r="GE152" s="85"/>
      <c r="GF152" s="85"/>
      <c r="GG152" s="85"/>
      <c r="GH152" s="85"/>
      <c r="GI152" s="85"/>
      <c r="GJ152" s="85"/>
      <c r="GK152" s="85"/>
      <c r="GL152" s="85"/>
      <c r="GM152" s="85"/>
      <c r="GN152" s="85"/>
      <c r="GO152" s="85"/>
      <c r="GP152" s="85"/>
      <c r="GQ152" s="85"/>
      <c r="GR152" s="85"/>
      <c r="GS152" s="85"/>
      <c r="GT152" s="85"/>
      <c r="GU152" s="85"/>
      <c r="GV152" s="85"/>
      <c r="GW152" s="85"/>
      <c r="GX152" s="85"/>
      <c r="GY152" s="85"/>
      <c r="GZ152" s="85"/>
      <c r="HA152" s="85"/>
      <c r="HB152" s="85"/>
      <c r="HC152" s="85"/>
      <c r="HD152" s="85"/>
      <c r="HE152" s="85"/>
      <c r="HF152" s="85"/>
      <c r="HG152" s="85"/>
      <c r="HH152" s="85"/>
      <c r="HI152" s="85"/>
      <c r="HJ152" s="85"/>
      <c r="HK152" s="85"/>
      <c r="HL152" s="85"/>
      <c r="HM152" s="85"/>
      <c r="HN152" s="85"/>
      <c r="HO152" s="85"/>
      <c r="HP152" s="85"/>
      <c r="HQ152" s="85"/>
      <c r="HR152" s="85"/>
      <c r="HS152" s="85"/>
      <c r="HT152" s="85"/>
      <c r="HU152" s="85"/>
      <c r="HV152" s="85"/>
      <c r="HW152" s="85"/>
      <c r="HX152" s="85"/>
      <c r="HY152" s="85"/>
      <c r="HZ152" s="85"/>
      <c r="IA152" s="85"/>
      <c r="IB152" s="85"/>
      <c r="IC152" s="85"/>
      <c r="ID152" s="85"/>
      <c r="IE152" s="85"/>
      <c r="IF152" s="85"/>
      <c r="IG152" s="85"/>
      <c r="IH152" s="85"/>
      <c r="II152" s="85"/>
      <c r="IJ152" s="85"/>
      <c r="IK152" s="85"/>
      <c r="IL152" s="85"/>
      <c r="IM152" s="85"/>
      <c r="IN152" s="85"/>
      <c r="IO152" s="85"/>
      <c r="IP152" s="85"/>
      <c r="IQ152" s="85"/>
      <c r="IR152" s="85"/>
      <c r="IS152" s="85"/>
      <c r="IT152" s="85"/>
      <c r="IU152" s="85"/>
      <c r="IV152" s="85"/>
      <c r="IW152" s="85"/>
      <c r="IX152" s="85"/>
      <c r="IY152" s="85"/>
      <c r="IZ152" s="85"/>
      <c r="JA152" s="85"/>
      <c r="JB152" s="85"/>
      <c r="JC152" s="85"/>
      <c r="JD152" s="85"/>
      <c r="JE152" s="85"/>
      <c r="JF152" s="85"/>
      <c r="JG152" s="85"/>
      <c r="JH152" s="85"/>
      <c r="JI152" s="85"/>
      <c r="JJ152" s="85"/>
      <c r="JK152" s="85"/>
      <c r="JL152" s="85"/>
      <c r="JM152" s="85"/>
      <c r="JN152" s="85"/>
      <c r="JO152" s="85"/>
      <c r="JP152" s="85"/>
      <c r="JQ152" s="85"/>
      <c r="JR152" s="85"/>
      <c r="JS152" s="85"/>
      <c r="JT152" s="85"/>
      <c r="JU152" s="85"/>
      <c r="JV152" s="85"/>
      <c r="JW152" s="85"/>
      <c r="JX152" s="85"/>
      <c r="JY152" s="85"/>
      <c r="JZ152" s="85"/>
      <c r="KA152" s="85"/>
      <c r="KB152" s="85"/>
      <c r="KC152" s="85"/>
      <c r="KD152" s="85"/>
      <c r="KE152" s="85"/>
      <c r="KF152" s="85"/>
      <c r="KG152" s="85"/>
      <c r="KH152" s="85"/>
      <c r="KI152" s="85"/>
      <c r="KJ152" s="85"/>
      <c r="KK152" s="85"/>
      <c r="KL152" s="85"/>
      <c r="KM152" s="85"/>
      <c r="KN152" s="85"/>
      <c r="KO152" s="85"/>
      <c r="KP152" s="85"/>
      <c r="KQ152" s="85"/>
      <c r="KR152" s="85"/>
      <c r="KS152" s="85"/>
      <c r="KT152" s="85"/>
      <c r="KU152" s="85"/>
      <c r="KV152" s="85"/>
      <c r="KW152" s="85"/>
      <c r="KX152" s="85"/>
      <c r="KY152" s="85"/>
      <c r="KZ152" s="85"/>
      <c r="LA152" s="85"/>
      <c r="LB152" s="85"/>
      <c r="LC152" s="85"/>
      <c r="LD152" s="85"/>
      <c r="LE152" s="85"/>
      <c r="LF152" s="85"/>
      <c r="LG152" s="85"/>
      <c r="LH152" s="85"/>
      <c r="LI152" s="85"/>
      <c r="LJ152" s="85"/>
      <c r="LK152" s="85"/>
      <c r="LL152" s="85"/>
      <c r="LM152" s="85"/>
      <c r="LN152" s="85"/>
      <c r="LO152" s="85"/>
      <c r="LP152" s="85"/>
      <c r="LQ152" s="85"/>
      <c r="LR152" s="85"/>
      <c r="LS152" s="85"/>
      <c r="LT152" s="85"/>
      <c r="LU152" s="85"/>
      <c r="LV152" s="85"/>
      <c r="LW152" s="85"/>
      <c r="LX152" s="85"/>
      <c r="LY152" s="85"/>
      <c r="LZ152" s="85"/>
      <c r="MA152" s="85"/>
      <c r="MB152" s="85"/>
      <c r="MC152" s="85"/>
      <c r="MD152" s="85"/>
      <c r="ME152" s="85"/>
      <c r="MF152" s="85"/>
      <c r="MG152" s="85"/>
      <c r="MH152" s="85"/>
      <c r="MI152" s="85"/>
      <c r="MJ152" s="85"/>
      <c r="MK152" s="85"/>
      <c r="ML152" s="85"/>
      <c r="MM152" s="85"/>
      <c r="MN152" s="85"/>
      <c r="MO152" s="85"/>
      <c r="MP152" s="85"/>
      <c r="MQ152" s="85"/>
      <c r="MR152" s="85"/>
      <c r="MS152" s="85"/>
      <c r="MT152" s="85"/>
      <c r="MU152" s="85"/>
      <c r="MV152" s="85"/>
      <c r="MW152" s="85"/>
      <c r="MX152" s="85"/>
      <c r="MY152" s="85"/>
      <c r="MZ152" s="85"/>
      <c r="NA152" s="85"/>
      <c r="NB152" s="85"/>
      <c r="NC152" s="85"/>
      <c r="ND152" s="85"/>
      <c r="NE152" s="85"/>
      <c r="NF152" s="85"/>
      <c r="NG152" s="85"/>
      <c r="NH152" s="85"/>
      <c r="NI152" s="85"/>
      <c r="NJ152" s="85"/>
      <c r="NK152" s="85"/>
      <c r="NL152" s="85"/>
      <c r="NM152" s="85"/>
      <c r="NN152" s="85"/>
      <c r="NO152" s="85"/>
      <c r="NP152" s="85"/>
      <c r="NQ152" s="85"/>
      <c r="NR152" s="85"/>
      <c r="NS152" s="85"/>
      <c r="NT152" s="85"/>
      <c r="NU152" s="85"/>
      <c r="NV152" s="85"/>
      <c r="NW152" s="85"/>
      <c r="NX152" s="85"/>
      <c r="NY152" s="85"/>
      <c r="NZ152" s="85"/>
      <c r="OA152" s="85"/>
      <c r="OB152" s="85"/>
      <c r="OC152" s="85"/>
      <c r="OD152" s="85"/>
      <c r="OE152" s="85"/>
      <c r="OF152" s="85"/>
      <c r="OG152" s="85"/>
      <c r="OH152" s="85"/>
      <c r="OI152" s="85"/>
      <c r="OJ152" s="85"/>
      <c r="OK152" s="85"/>
      <c r="OL152" s="85"/>
      <c r="OM152" s="85"/>
      <c r="ON152" s="85"/>
      <c r="OO152" s="85"/>
      <c r="OP152" s="85"/>
      <c r="OQ152" s="85"/>
      <c r="OR152" s="85"/>
      <c r="OS152" s="85"/>
      <c r="OT152" s="85"/>
      <c r="OU152" s="85"/>
      <c r="OV152" s="85"/>
      <c r="OW152" s="85"/>
      <c r="OX152" s="85"/>
      <c r="OY152" s="85"/>
      <c r="OZ152" s="85"/>
      <c r="PA152" s="85"/>
      <c r="PB152" s="85"/>
      <c r="PC152" s="85"/>
      <c r="PD152" s="85"/>
      <c r="PE152" s="85"/>
      <c r="PF152" s="85"/>
      <c r="PG152" s="85"/>
      <c r="PH152" s="85"/>
      <c r="PI152" s="85"/>
      <c r="PJ152" s="85"/>
      <c r="PK152" s="85"/>
      <c r="PL152" s="85"/>
      <c r="PM152" s="85"/>
      <c r="PN152" s="85"/>
      <c r="PO152" s="85"/>
      <c r="PP152" s="85"/>
      <c r="PQ152" s="85"/>
      <c r="PR152" s="86"/>
    </row>
    <row r="153" spans="1:434" x14ac:dyDescent="0.25">
      <c r="A153" s="24"/>
      <c r="B153" s="25" t="s">
        <v>219</v>
      </c>
      <c r="C153" s="24" t="s">
        <v>70</v>
      </c>
      <c r="D153" s="24" t="s">
        <v>76</v>
      </c>
      <c r="E153" s="24"/>
      <c r="F153" s="23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3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3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3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3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  <c r="FU153" s="26"/>
      <c r="FV153" s="26"/>
      <c r="FW153" s="26"/>
      <c r="FX153" s="26"/>
      <c r="FY153" s="26"/>
      <c r="FZ153" s="26"/>
      <c r="GA153" s="26"/>
      <c r="GB153" s="26"/>
      <c r="GC153" s="26"/>
      <c r="GD153" s="26"/>
      <c r="GE153" s="26"/>
      <c r="GF153" s="26"/>
      <c r="GG153" s="26"/>
      <c r="GH153" s="26"/>
      <c r="GI153" s="26"/>
      <c r="GJ153" s="26"/>
      <c r="GK153" s="26"/>
      <c r="GL153" s="26"/>
      <c r="GM153" s="26"/>
      <c r="GN153" s="26"/>
      <c r="GO153" s="26"/>
      <c r="GP153" s="26"/>
      <c r="GQ153" s="26"/>
      <c r="GR153" s="26"/>
      <c r="GS153" s="23"/>
      <c r="GT153" s="26"/>
      <c r="GU153" s="26"/>
      <c r="GV153" s="26"/>
      <c r="GW153" s="26"/>
      <c r="GX153" s="26"/>
      <c r="GY153" s="26"/>
      <c r="GZ153" s="26"/>
      <c r="HA153" s="26"/>
      <c r="HB153" s="26"/>
      <c r="HC153" s="26"/>
      <c r="HD153" s="26"/>
      <c r="HE153" s="26"/>
      <c r="HF153" s="26"/>
      <c r="HG153" s="26"/>
      <c r="HH153" s="26"/>
      <c r="HI153" s="26"/>
      <c r="HJ153" s="26"/>
      <c r="HK153" s="26"/>
      <c r="HL153" s="26"/>
      <c r="HM153" s="26"/>
      <c r="HN153" s="26"/>
      <c r="HO153" s="26"/>
      <c r="HP153" s="26"/>
      <c r="HQ153" s="26"/>
      <c r="HR153" s="26"/>
      <c r="HS153" s="26"/>
      <c r="HT153" s="26"/>
      <c r="HU153" s="26"/>
      <c r="HV153" s="26"/>
      <c r="HW153" s="26"/>
      <c r="HX153" s="26"/>
      <c r="HY153" s="26"/>
      <c r="HZ153" s="26"/>
      <c r="IA153" s="26"/>
      <c r="IB153" s="26"/>
      <c r="IC153" s="26"/>
      <c r="ID153" s="26"/>
      <c r="IE153" s="26"/>
      <c r="IF153" s="23"/>
      <c r="IG153" s="26"/>
      <c r="IH153" s="26"/>
      <c r="II153" s="26"/>
      <c r="IJ153" s="26"/>
      <c r="IK153" s="26"/>
      <c r="IL153" s="26"/>
      <c r="IM153" s="26"/>
      <c r="IN153" s="26"/>
      <c r="IO153" s="26"/>
      <c r="IP153" s="26"/>
      <c r="IQ153" s="26"/>
      <c r="IR153" s="26"/>
      <c r="IS153" s="26"/>
      <c r="IT153" s="26"/>
      <c r="IU153" s="26"/>
      <c r="IV153" s="26"/>
      <c r="IW153" s="26"/>
      <c r="IX153" s="26"/>
      <c r="IY153" s="26"/>
      <c r="IZ153" s="26"/>
      <c r="JA153" s="26"/>
      <c r="JB153" s="26"/>
      <c r="JC153" s="26"/>
      <c r="JD153" s="26"/>
      <c r="JE153" s="26"/>
      <c r="JF153" s="26"/>
      <c r="JG153" s="26"/>
      <c r="JH153" s="26"/>
      <c r="JI153" s="26"/>
      <c r="JJ153" s="26"/>
      <c r="JK153" s="26"/>
      <c r="JL153" s="26"/>
      <c r="JM153" s="26"/>
      <c r="JN153" s="26"/>
      <c r="JO153" s="26"/>
      <c r="JP153" s="26"/>
      <c r="JQ153" s="26"/>
      <c r="JR153" s="26"/>
      <c r="JS153" s="23"/>
      <c r="JT153" s="26"/>
      <c r="JU153" s="26"/>
      <c r="JV153" s="26"/>
      <c r="JW153" s="26"/>
      <c r="JX153" s="26"/>
      <c r="JY153" s="26"/>
      <c r="JZ153" s="26"/>
      <c r="KA153" s="26"/>
      <c r="KB153" s="26"/>
      <c r="KC153" s="26"/>
      <c r="KD153" s="26"/>
      <c r="KE153" s="26"/>
      <c r="KF153" s="26"/>
      <c r="KG153" s="26"/>
      <c r="KH153" s="26"/>
      <c r="KI153" s="26"/>
      <c r="KJ153" s="26"/>
      <c r="KK153" s="26"/>
      <c r="KL153" s="26"/>
      <c r="KM153" s="26"/>
      <c r="KN153" s="26"/>
      <c r="KO153" s="26"/>
      <c r="KP153" s="26"/>
      <c r="KQ153" s="26"/>
      <c r="KR153" s="26"/>
      <c r="KS153" s="26"/>
      <c r="KT153" s="26"/>
      <c r="KU153" s="26"/>
      <c r="KV153" s="26"/>
      <c r="KW153" s="26"/>
      <c r="KX153" s="26"/>
      <c r="KY153" s="26"/>
      <c r="KZ153" s="26"/>
      <c r="LA153" s="26"/>
      <c r="LB153" s="26"/>
      <c r="LC153" s="26"/>
      <c r="LD153" s="26"/>
      <c r="LE153" s="26"/>
      <c r="LF153" s="23"/>
      <c r="LG153" s="26"/>
      <c r="LH153" s="26"/>
      <c r="LI153" s="26"/>
      <c r="LJ153" s="26"/>
      <c r="LK153" s="26"/>
      <c r="LL153" s="26"/>
      <c r="LM153" s="26"/>
      <c r="LN153" s="26"/>
      <c r="LO153" s="26"/>
      <c r="LP153" s="26"/>
      <c r="LQ153" s="26"/>
      <c r="LR153" s="26"/>
      <c r="LS153" s="26"/>
      <c r="LT153" s="26"/>
      <c r="LU153" s="26"/>
      <c r="LV153" s="26"/>
      <c r="LW153" s="26"/>
      <c r="LX153" s="26"/>
      <c r="LY153" s="26"/>
      <c r="LZ153" s="26"/>
      <c r="MA153" s="26"/>
      <c r="MB153" s="26"/>
      <c r="MC153" s="26"/>
      <c r="MD153" s="26"/>
      <c r="ME153" s="26"/>
      <c r="MF153" s="26"/>
      <c r="MG153" s="26"/>
      <c r="MH153" s="26"/>
      <c r="MI153" s="26"/>
      <c r="MJ153" s="26"/>
      <c r="MK153" s="26"/>
      <c r="ML153" s="26"/>
      <c r="MM153" s="26"/>
      <c r="MN153" s="26"/>
      <c r="MO153" s="26"/>
      <c r="MP153" s="26"/>
      <c r="MQ153" s="26"/>
      <c r="MR153" s="26"/>
      <c r="MS153" s="23"/>
      <c r="MT153" s="26"/>
      <c r="MU153" s="26"/>
      <c r="MV153" s="26"/>
      <c r="MW153" s="26"/>
      <c r="MX153" s="26"/>
      <c r="MY153" s="26"/>
      <c r="MZ153" s="26"/>
      <c r="NA153" s="26"/>
      <c r="NB153" s="26"/>
      <c r="NC153" s="26"/>
      <c r="ND153" s="26"/>
      <c r="NE153" s="26"/>
      <c r="NF153" s="26"/>
      <c r="NG153" s="26"/>
      <c r="NH153" s="26"/>
      <c r="NI153" s="26"/>
      <c r="NJ153" s="26"/>
      <c r="NK153" s="26"/>
      <c r="NL153" s="26"/>
      <c r="NM153" s="26"/>
      <c r="NN153" s="26"/>
      <c r="NO153" s="26"/>
      <c r="NP153" s="26"/>
      <c r="NQ153" s="26"/>
      <c r="NR153" s="26"/>
      <c r="NS153" s="26"/>
      <c r="NT153" s="26"/>
      <c r="NU153" s="26"/>
      <c r="NV153" s="26"/>
      <c r="NW153" s="26"/>
      <c r="NX153" s="26"/>
      <c r="NY153" s="26"/>
      <c r="NZ153" s="26"/>
      <c r="OA153" s="26"/>
      <c r="OB153" s="26"/>
      <c r="OC153" s="26"/>
      <c r="OD153" s="26"/>
      <c r="OE153" s="26"/>
      <c r="OF153" s="23"/>
      <c r="OG153" s="26"/>
      <c r="OH153" s="26"/>
      <c r="OI153" s="26"/>
      <c r="OJ153" s="26"/>
      <c r="OK153" s="26"/>
      <c r="OL153" s="26"/>
      <c r="OM153" s="26"/>
      <c r="ON153" s="26"/>
      <c r="OO153" s="26"/>
      <c r="OP153" s="26"/>
      <c r="OQ153" s="26"/>
      <c r="OR153" s="26"/>
      <c r="OS153" s="26"/>
      <c r="OT153" s="26"/>
      <c r="OU153" s="26"/>
      <c r="OV153" s="26"/>
      <c r="OW153" s="26"/>
      <c r="OX153" s="26"/>
      <c r="OY153" s="26"/>
      <c r="OZ153" s="26"/>
      <c r="PA153" s="26"/>
      <c r="PB153" s="26"/>
      <c r="PC153" s="26"/>
      <c r="PD153" s="26"/>
      <c r="PE153" s="26"/>
      <c r="PF153" s="26"/>
      <c r="PG153" s="26"/>
      <c r="PH153" s="26"/>
      <c r="PI153" s="26"/>
      <c r="PJ153" s="26"/>
      <c r="PK153" s="26"/>
      <c r="PL153" s="26"/>
      <c r="PM153" s="26"/>
      <c r="PN153" s="26"/>
      <c r="PO153" s="26"/>
      <c r="PP153" s="26"/>
      <c r="PQ153" s="26"/>
      <c r="PR153" s="26"/>
    </row>
    <row r="154" spans="1:434" x14ac:dyDescent="0.25">
      <c r="A154" s="24"/>
      <c r="B154" s="25" t="s">
        <v>220</v>
      </c>
      <c r="C154" s="24" t="s">
        <v>70</v>
      </c>
      <c r="D154" s="24" t="s">
        <v>76</v>
      </c>
      <c r="E154" s="24"/>
      <c r="F154" s="23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3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3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3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  <c r="EP154" s="26"/>
      <c r="EQ154" s="26"/>
      <c r="ER154" s="26"/>
      <c r="ES154" s="26"/>
      <c r="ET154" s="26"/>
      <c r="EU154" s="26"/>
      <c r="EV154" s="26"/>
      <c r="EW154" s="26"/>
      <c r="EX154" s="26"/>
      <c r="EY154" s="26"/>
      <c r="EZ154" s="26"/>
      <c r="FA154" s="26"/>
      <c r="FB154" s="26"/>
      <c r="FC154" s="26"/>
      <c r="FD154" s="26"/>
      <c r="FE154" s="26"/>
      <c r="FF154" s="23"/>
      <c r="FG154" s="26"/>
      <c r="FH154" s="26"/>
      <c r="FI154" s="26"/>
      <c r="FJ154" s="26"/>
      <c r="FK154" s="26"/>
      <c r="FL154" s="26"/>
      <c r="FM154" s="26"/>
      <c r="FN154" s="26"/>
      <c r="FO154" s="26"/>
      <c r="FP154" s="26"/>
      <c r="FQ154" s="26"/>
      <c r="FR154" s="26"/>
      <c r="FS154" s="26"/>
      <c r="FT154" s="26"/>
      <c r="FU154" s="26"/>
      <c r="FV154" s="26"/>
      <c r="FW154" s="26"/>
      <c r="FX154" s="26"/>
      <c r="FY154" s="26"/>
      <c r="FZ154" s="26"/>
      <c r="GA154" s="26"/>
      <c r="GB154" s="26"/>
      <c r="GC154" s="26"/>
      <c r="GD154" s="26"/>
      <c r="GE154" s="26"/>
      <c r="GF154" s="26"/>
      <c r="GG154" s="26"/>
      <c r="GH154" s="26"/>
      <c r="GI154" s="26"/>
      <c r="GJ154" s="26"/>
      <c r="GK154" s="26"/>
      <c r="GL154" s="26"/>
      <c r="GM154" s="26"/>
      <c r="GN154" s="26"/>
      <c r="GO154" s="26"/>
      <c r="GP154" s="26"/>
      <c r="GQ154" s="26"/>
      <c r="GR154" s="26"/>
      <c r="GS154" s="23"/>
      <c r="GT154" s="26"/>
      <c r="GU154" s="26"/>
      <c r="GV154" s="26"/>
      <c r="GW154" s="26"/>
      <c r="GX154" s="26"/>
      <c r="GY154" s="26"/>
      <c r="GZ154" s="26"/>
      <c r="HA154" s="26"/>
      <c r="HB154" s="26"/>
      <c r="HC154" s="26"/>
      <c r="HD154" s="26"/>
      <c r="HE154" s="26"/>
      <c r="HF154" s="26"/>
      <c r="HG154" s="26"/>
      <c r="HH154" s="26"/>
      <c r="HI154" s="26"/>
      <c r="HJ154" s="26"/>
      <c r="HK154" s="26"/>
      <c r="HL154" s="26"/>
      <c r="HM154" s="26"/>
      <c r="HN154" s="26"/>
      <c r="HO154" s="26"/>
      <c r="HP154" s="26"/>
      <c r="HQ154" s="26"/>
      <c r="HR154" s="26"/>
      <c r="HS154" s="26"/>
      <c r="HT154" s="26"/>
      <c r="HU154" s="26"/>
      <c r="HV154" s="26"/>
      <c r="HW154" s="26"/>
      <c r="HX154" s="26"/>
      <c r="HY154" s="26"/>
      <c r="HZ154" s="26"/>
      <c r="IA154" s="26"/>
      <c r="IB154" s="26"/>
      <c r="IC154" s="26"/>
      <c r="ID154" s="26"/>
      <c r="IE154" s="26"/>
      <c r="IF154" s="23"/>
      <c r="IG154" s="26"/>
      <c r="IH154" s="26"/>
      <c r="II154" s="26"/>
      <c r="IJ154" s="26"/>
      <c r="IK154" s="26"/>
      <c r="IL154" s="26"/>
      <c r="IM154" s="26"/>
      <c r="IN154" s="26"/>
      <c r="IO154" s="26"/>
      <c r="IP154" s="26"/>
      <c r="IQ154" s="26"/>
      <c r="IR154" s="26"/>
      <c r="IS154" s="26"/>
      <c r="IT154" s="26"/>
      <c r="IU154" s="26"/>
      <c r="IV154" s="26"/>
      <c r="IW154" s="26"/>
      <c r="IX154" s="26"/>
      <c r="IY154" s="26"/>
      <c r="IZ154" s="26"/>
      <c r="JA154" s="26"/>
      <c r="JB154" s="26"/>
      <c r="JC154" s="26"/>
      <c r="JD154" s="26"/>
      <c r="JE154" s="26"/>
      <c r="JF154" s="26"/>
      <c r="JG154" s="26"/>
      <c r="JH154" s="26"/>
      <c r="JI154" s="26"/>
      <c r="JJ154" s="26"/>
      <c r="JK154" s="26"/>
      <c r="JL154" s="26"/>
      <c r="JM154" s="26"/>
      <c r="JN154" s="26"/>
      <c r="JO154" s="26"/>
      <c r="JP154" s="26"/>
      <c r="JQ154" s="26"/>
      <c r="JR154" s="26"/>
      <c r="JS154" s="23"/>
      <c r="JT154" s="26"/>
      <c r="JU154" s="26"/>
      <c r="JV154" s="26"/>
      <c r="JW154" s="26"/>
      <c r="JX154" s="26"/>
      <c r="JY154" s="26"/>
      <c r="JZ154" s="26"/>
      <c r="KA154" s="26"/>
      <c r="KB154" s="26"/>
      <c r="KC154" s="26"/>
      <c r="KD154" s="26"/>
      <c r="KE154" s="26"/>
      <c r="KF154" s="26"/>
      <c r="KG154" s="26"/>
      <c r="KH154" s="26"/>
      <c r="KI154" s="26"/>
      <c r="KJ154" s="26"/>
      <c r="KK154" s="26"/>
      <c r="KL154" s="26"/>
      <c r="KM154" s="26"/>
      <c r="KN154" s="26"/>
      <c r="KO154" s="26"/>
      <c r="KP154" s="26"/>
      <c r="KQ154" s="26"/>
      <c r="KR154" s="26"/>
      <c r="KS154" s="26"/>
      <c r="KT154" s="26"/>
      <c r="KU154" s="26"/>
      <c r="KV154" s="26"/>
      <c r="KW154" s="26"/>
      <c r="KX154" s="26"/>
      <c r="KY154" s="26"/>
      <c r="KZ154" s="26"/>
      <c r="LA154" s="26"/>
      <c r="LB154" s="26"/>
      <c r="LC154" s="26"/>
      <c r="LD154" s="26"/>
      <c r="LE154" s="26"/>
      <c r="LF154" s="23"/>
      <c r="LG154" s="26"/>
      <c r="LH154" s="26"/>
      <c r="LI154" s="26"/>
      <c r="LJ154" s="26"/>
      <c r="LK154" s="26"/>
      <c r="LL154" s="26"/>
      <c r="LM154" s="26"/>
      <c r="LN154" s="26"/>
      <c r="LO154" s="26"/>
      <c r="LP154" s="26"/>
      <c r="LQ154" s="26"/>
      <c r="LR154" s="26"/>
      <c r="LS154" s="26"/>
      <c r="LT154" s="26"/>
      <c r="LU154" s="26"/>
      <c r="LV154" s="26"/>
      <c r="LW154" s="26"/>
      <c r="LX154" s="26"/>
      <c r="LY154" s="26"/>
      <c r="LZ154" s="26"/>
      <c r="MA154" s="26"/>
      <c r="MB154" s="26"/>
      <c r="MC154" s="26"/>
      <c r="MD154" s="26"/>
      <c r="ME154" s="26"/>
      <c r="MF154" s="26"/>
      <c r="MG154" s="26"/>
      <c r="MH154" s="26"/>
      <c r="MI154" s="26"/>
      <c r="MJ154" s="26"/>
      <c r="MK154" s="26"/>
      <c r="ML154" s="26"/>
      <c r="MM154" s="26"/>
      <c r="MN154" s="26"/>
      <c r="MO154" s="26"/>
      <c r="MP154" s="26"/>
      <c r="MQ154" s="26"/>
      <c r="MR154" s="26"/>
      <c r="MS154" s="23"/>
      <c r="MT154" s="26"/>
      <c r="MU154" s="26"/>
      <c r="MV154" s="26"/>
      <c r="MW154" s="26"/>
      <c r="MX154" s="26"/>
      <c r="MY154" s="26"/>
      <c r="MZ154" s="26"/>
      <c r="NA154" s="26"/>
      <c r="NB154" s="26"/>
      <c r="NC154" s="26"/>
      <c r="ND154" s="26"/>
      <c r="NE154" s="26"/>
      <c r="NF154" s="26"/>
      <c r="NG154" s="26"/>
      <c r="NH154" s="26"/>
      <c r="NI154" s="26"/>
      <c r="NJ154" s="26"/>
      <c r="NK154" s="26"/>
      <c r="NL154" s="26"/>
      <c r="NM154" s="26"/>
      <c r="NN154" s="26"/>
      <c r="NO154" s="26"/>
      <c r="NP154" s="26"/>
      <c r="NQ154" s="26"/>
      <c r="NR154" s="26"/>
      <c r="NS154" s="26"/>
      <c r="NT154" s="26"/>
      <c r="NU154" s="26"/>
      <c r="NV154" s="26"/>
      <c r="NW154" s="26"/>
      <c r="NX154" s="26"/>
      <c r="NY154" s="26"/>
      <c r="NZ154" s="26"/>
      <c r="OA154" s="26"/>
      <c r="OB154" s="26"/>
      <c r="OC154" s="26"/>
      <c r="OD154" s="26"/>
      <c r="OE154" s="26"/>
      <c r="OF154" s="23"/>
      <c r="OG154" s="26"/>
      <c r="OH154" s="26"/>
      <c r="OI154" s="26"/>
      <c r="OJ154" s="26"/>
      <c r="OK154" s="26"/>
      <c r="OL154" s="26"/>
      <c r="OM154" s="26"/>
      <c r="ON154" s="26"/>
      <c r="OO154" s="26"/>
      <c r="OP154" s="26"/>
      <c r="OQ154" s="26"/>
      <c r="OR154" s="26"/>
      <c r="OS154" s="26"/>
      <c r="OT154" s="26"/>
      <c r="OU154" s="26"/>
      <c r="OV154" s="26"/>
      <c r="OW154" s="26"/>
      <c r="OX154" s="26"/>
      <c r="OY154" s="26"/>
      <c r="OZ154" s="26"/>
      <c r="PA154" s="26"/>
      <c r="PB154" s="26"/>
      <c r="PC154" s="26"/>
      <c r="PD154" s="26"/>
      <c r="PE154" s="26"/>
      <c r="PF154" s="26"/>
      <c r="PG154" s="26"/>
      <c r="PH154" s="26"/>
      <c r="PI154" s="26"/>
      <c r="PJ154" s="26"/>
      <c r="PK154" s="26"/>
      <c r="PL154" s="26"/>
      <c r="PM154" s="26"/>
      <c r="PN154" s="26"/>
      <c r="PO154" s="26"/>
      <c r="PP154" s="26"/>
      <c r="PQ154" s="26"/>
      <c r="PR154" s="26"/>
    </row>
    <row r="155" spans="1:434" x14ac:dyDescent="0.25">
      <c r="A155" s="24"/>
      <c r="B155" s="25" t="s">
        <v>221</v>
      </c>
      <c r="C155" s="24" t="s">
        <v>70</v>
      </c>
      <c r="D155" s="24" t="s">
        <v>76</v>
      </c>
      <c r="E155" s="24"/>
      <c r="F155" s="23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3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3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3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  <c r="EY155" s="26"/>
      <c r="EZ155" s="26"/>
      <c r="FA155" s="26"/>
      <c r="FB155" s="26"/>
      <c r="FC155" s="26"/>
      <c r="FD155" s="26"/>
      <c r="FE155" s="26"/>
      <c r="FF155" s="23"/>
      <c r="FG155" s="26"/>
      <c r="FH155" s="26"/>
      <c r="FI155" s="26"/>
      <c r="FJ155" s="26"/>
      <c r="FK155" s="26"/>
      <c r="FL155" s="26"/>
      <c r="FM155" s="26"/>
      <c r="FN155" s="26"/>
      <c r="FO155" s="26"/>
      <c r="FP155" s="26"/>
      <c r="FQ155" s="26"/>
      <c r="FR155" s="26"/>
      <c r="FS155" s="26"/>
      <c r="FT155" s="26"/>
      <c r="FU155" s="26"/>
      <c r="FV155" s="26"/>
      <c r="FW155" s="26"/>
      <c r="FX155" s="26"/>
      <c r="FY155" s="26"/>
      <c r="FZ155" s="26"/>
      <c r="GA155" s="26"/>
      <c r="GB155" s="26"/>
      <c r="GC155" s="26"/>
      <c r="GD155" s="26"/>
      <c r="GE155" s="26"/>
      <c r="GF155" s="26"/>
      <c r="GG155" s="26"/>
      <c r="GH155" s="26"/>
      <c r="GI155" s="26"/>
      <c r="GJ155" s="26"/>
      <c r="GK155" s="26"/>
      <c r="GL155" s="26"/>
      <c r="GM155" s="26"/>
      <c r="GN155" s="26"/>
      <c r="GO155" s="26"/>
      <c r="GP155" s="26"/>
      <c r="GQ155" s="26"/>
      <c r="GR155" s="26"/>
      <c r="GS155" s="23"/>
      <c r="GT155" s="26"/>
      <c r="GU155" s="26"/>
      <c r="GV155" s="26"/>
      <c r="GW155" s="26"/>
      <c r="GX155" s="26"/>
      <c r="GY155" s="26"/>
      <c r="GZ155" s="26"/>
      <c r="HA155" s="26"/>
      <c r="HB155" s="26"/>
      <c r="HC155" s="26"/>
      <c r="HD155" s="26"/>
      <c r="HE155" s="26"/>
      <c r="HF155" s="26"/>
      <c r="HG155" s="26"/>
      <c r="HH155" s="26"/>
      <c r="HI155" s="26"/>
      <c r="HJ155" s="26"/>
      <c r="HK155" s="26"/>
      <c r="HL155" s="26"/>
      <c r="HM155" s="26"/>
      <c r="HN155" s="26"/>
      <c r="HO155" s="26"/>
      <c r="HP155" s="26"/>
      <c r="HQ155" s="26"/>
      <c r="HR155" s="26"/>
      <c r="HS155" s="26"/>
      <c r="HT155" s="26"/>
      <c r="HU155" s="26"/>
      <c r="HV155" s="26"/>
      <c r="HW155" s="26"/>
      <c r="HX155" s="26"/>
      <c r="HY155" s="26"/>
      <c r="HZ155" s="26"/>
      <c r="IA155" s="26"/>
      <c r="IB155" s="26"/>
      <c r="IC155" s="26"/>
      <c r="ID155" s="26"/>
      <c r="IE155" s="26"/>
      <c r="IF155" s="23"/>
      <c r="IG155" s="26"/>
      <c r="IH155" s="26"/>
      <c r="II155" s="26"/>
      <c r="IJ155" s="26"/>
      <c r="IK155" s="26"/>
      <c r="IL155" s="26"/>
      <c r="IM155" s="26"/>
      <c r="IN155" s="26"/>
      <c r="IO155" s="26"/>
      <c r="IP155" s="26"/>
      <c r="IQ155" s="26"/>
      <c r="IR155" s="26"/>
      <c r="IS155" s="26"/>
      <c r="IT155" s="26"/>
      <c r="IU155" s="26"/>
      <c r="IV155" s="26"/>
      <c r="IW155" s="26"/>
      <c r="IX155" s="26"/>
      <c r="IY155" s="26"/>
      <c r="IZ155" s="26"/>
      <c r="JA155" s="26"/>
      <c r="JB155" s="26"/>
      <c r="JC155" s="26"/>
      <c r="JD155" s="26"/>
      <c r="JE155" s="26"/>
      <c r="JF155" s="26"/>
      <c r="JG155" s="26"/>
      <c r="JH155" s="26"/>
      <c r="JI155" s="26"/>
      <c r="JJ155" s="26"/>
      <c r="JK155" s="26"/>
      <c r="JL155" s="26"/>
      <c r="JM155" s="26"/>
      <c r="JN155" s="26"/>
      <c r="JO155" s="26"/>
      <c r="JP155" s="26"/>
      <c r="JQ155" s="26"/>
      <c r="JR155" s="26"/>
      <c r="JS155" s="23"/>
      <c r="JT155" s="26"/>
      <c r="JU155" s="26"/>
      <c r="JV155" s="26"/>
      <c r="JW155" s="26"/>
      <c r="JX155" s="26"/>
      <c r="JY155" s="26"/>
      <c r="JZ155" s="26"/>
      <c r="KA155" s="26"/>
      <c r="KB155" s="26"/>
      <c r="KC155" s="26"/>
      <c r="KD155" s="26"/>
      <c r="KE155" s="26"/>
      <c r="KF155" s="26"/>
      <c r="KG155" s="26"/>
      <c r="KH155" s="26"/>
      <c r="KI155" s="26"/>
      <c r="KJ155" s="26"/>
      <c r="KK155" s="26"/>
      <c r="KL155" s="26"/>
      <c r="KM155" s="26"/>
      <c r="KN155" s="26"/>
      <c r="KO155" s="26"/>
      <c r="KP155" s="26"/>
      <c r="KQ155" s="26"/>
      <c r="KR155" s="26"/>
      <c r="KS155" s="26"/>
      <c r="KT155" s="26"/>
      <c r="KU155" s="26"/>
      <c r="KV155" s="26"/>
      <c r="KW155" s="26"/>
      <c r="KX155" s="26"/>
      <c r="KY155" s="26"/>
      <c r="KZ155" s="26"/>
      <c r="LA155" s="26"/>
      <c r="LB155" s="26"/>
      <c r="LC155" s="26"/>
      <c r="LD155" s="26"/>
      <c r="LE155" s="26"/>
      <c r="LF155" s="23"/>
      <c r="LG155" s="26"/>
      <c r="LH155" s="26"/>
      <c r="LI155" s="26"/>
      <c r="LJ155" s="26"/>
      <c r="LK155" s="26"/>
      <c r="LL155" s="26"/>
      <c r="LM155" s="26"/>
      <c r="LN155" s="26"/>
      <c r="LO155" s="26"/>
      <c r="LP155" s="26"/>
      <c r="LQ155" s="26"/>
      <c r="LR155" s="26"/>
      <c r="LS155" s="26"/>
      <c r="LT155" s="26"/>
      <c r="LU155" s="26"/>
      <c r="LV155" s="26"/>
      <c r="LW155" s="26"/>
      <c r="LX155" s="26"/>
      <c r="LY155" s="26"/>
      <c r="LZ155" s="26"/>
      <c r="MA155" s="26"/>
      <c r="MB155" s="26"/>
      <c r="MC155" s="26"/>
      <c r="MD155" s="26"/>
      <c r="ME155" s="26"/>
      <c r="MF155" s="26"/>
      <c r="MG155" s="26"/>
      <c r="MH155" s="26"/>
      <c r="MI155" s="26"/>
      <c r="MJ155" s="26"/>
      <c r="MK155" s="26"/>
      <c r="ML155" s="26"/>
      <c r="MM155" s="26"/>
      <c r="MN155" s="26"/>
      <c r="MO155" s="26"/>
      <c r="MP155" s="26"/>
      <c r="MQ155" s="26"/>
      <c r="MR155" s="26"/>
      <c r="MS155" s="23"/>
      <c r="MT155" s="26"/>
      <c r="MU155" s="26"/>
      <c r="MV155" s="26"/>
      <c r="MW155" s="26"/>
      <c r="MX155" s="26"/>
      <c r="MY155" s="26"/>
      <c r="MZ155" s="26"/>
      <c r="NA155" s="26"/>
      <c r="NB155" s="26"/>
      <c r="NC155" s="26"/>
      <c r="ND155" s="26"/>
      <c r="NE155" s="26"/>
      <c r="NF155" s="26"/>
      <c r="NG155" s="26"/>
      <c r="NH155" s="26"/>
      <c r="NI155" s="26"/>
      <c r="NJ155" s="26"/>
      <c r="NK155" s="26"/>
      <c r="NL155" s="26"/>
      <c r="NM155" s="26"/>
      <c r="NN155" s="26"/>
      <c r="NO155" s="26"/>
      <c r="NP155" s="26"/>
      <c r="NQ155" s="26"/>
      <c r="NR155" s="26"/>
      <c r="NS155" s="26"/>
      <c r="NT155" s="26"/>
      <c r="NU155" s="26"/>
      <c r="NV155" s="26"/>
      <c r="NW155" s="26"/>
      <c r="NX155" s="26"/>
      <c r="NY155" s="26"/>
      <c r="NZ155" s="26"/>
      <c r="OA155" s="26"/>
      <c r="OB155" s="26"/>
      <c r="OC155" s="26"/>
      <c r="OD155" s="26"/>
      <c r="OE155" s="26"/>
      <c r="OF155" s="23"/>
      <c r="OG155" s="26"/>
      <c r="OH155" s="26"/>
      <c r="OI155" s="26"/>
      <c r="OJ155" s="26"/>
      <c r="OK155" s="26"/>
      <c r="OL155" s="26"/>
      <c r="OM155" s="26"/>
      <c r="ON155" s="26"/>
      <c r="OO155" s="26"/>
      <c r="OP155" s="26"/>
      <c r="OQ155" s="26"/>
      <c r="OR155" s="26"/>
      <c r="OS155" s="26"/>
      <c r="OT155" s="26"/>
      <c r="OU155" s="26"/>
      <c r="OV155" s="26"/>
      <c r="OW155" s="26"/>
      <c r="OX155" s="26"/>
      <c r="OY155" s="26"/>
      <c r="OZ155" s="26"/>
      <c r="PA155" s="26"/>
      <c r="PB155" s="26"/>
      <c r="PC155" s="26"/>
      <c r="PD155" s="26"/>
      <c r="PE155" s="26"/>
      <c r="PF155" s="26"/>
      <c r="PG155" s="26"/>
      <c r="PH155" s="26"/>
      <c r="PI155" s="26"/>
      <c r="PJ155" s="26"/>
      <c r="PK155" s="26"/>
      <c r="PL155" s="26"/>
      <c r="PM155" s="26"/>
      <c r="PN155" s="26"/>
      <c r="PO155" s="26"/>
      <c r="PP155" s="26"/>
      <c r="PQ155" s="26"/>
      <c r="PR155" s="26"/>
    </row>
    <row r="156" spans="1:434" x14ac:dyDescent="0.25">
      <c r="A156" s="24"/>
      <c r="B156" s="25" t="s">
        <v>222</v>
      </c>
      <c r="C156" s="24" t="s">
        <v>70</v>
      </c>
      <c r="D156" s="24" t="s">
        <v>76</v>
      </c>
      <c r="E156" s="24"/>
      <c r="F156" s="23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3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3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  <c r="DR156" s="26"/>
      <c r="DS156" s="23"/>
      <c r="DT156" s="26"/>
      <c r="DU156" s="26"/>
      <c r="DV156" s="26"/>
      <c r="DW156" s="26"/>
      <c r="DX156" s="26"/>
      <c r="DY156" s="26"/>
      <c r="DZ156" s="26"/>
      <c r="EA156" s="26"/>
      <c r="EB156" s="26"/>
      <c r="EC156" s="26"/>
      <c r="ED156" s="26"/>
      <c r="EE156" s="26"/>
      <c r="EF156" s="26"/>
      <c r="EG156" s="26"/>
      <c r="EH156" s="26"/>
      <c r="EI156" s="26"/>
      <c r="EJ156" s="26"/>
      <c r="EK156" s="26"/>
      <c r="EL156" s="26"/>
      <c r="EM156" s="26"/>
      <c r="EN156" s="26"/>
      <c r="EO156" s="26"/>
      <c r="EP156" s="26"/>
      <c r="EQ156" s="26"/>
      <c r="ER156" s="26"/>
      <c r="ES156" s="26"/>
      <c r="ET156" s="26"/>
      <c r="EU156" s="26"/>
      <c r="EV156" s="26"/>
      <c r="EW156" s="26"/>
      <c r="EX156" s="26"/>
      <c r="EY156" s="26"/>
      <c r="EZ156" s="26"/>
      <c r="FA156" s="26"/>
      <c r="FB156" s="26"/>
      <c r="FC156" s="26"/>
      <c r="FD156" s="26"/>
      <c r="FE156" s="26"/>
      <c r="FF156" s="23"/>
      <c r="FG156" s="26"/>
      <c r="FH156" s="26"/>
      <c r="FI156" s="26"/>
      <c r="FJ156" s="26"/>
      <c r="FK156" s="26"/>
      <c r="FL156" s="26"/>
      <c r="FM156" s="26"/>
      <c r="FN156" s="26"/>
      <c r="FO156" s="26"/>
      <c r="FP156" s="26"/>
      <c r="FQ156" s="26"/>
      <c r="FR156" s="26"/>
      <c r="FS156" s="26"/>
      <c r="FT156" s="26"/>
      <c r="FU156" s="26"/>
      <c r="FV156" s="26"/>
      <c r="FW156" s="26"/>
      <c r="FX156" s="26"/>
      <c r="FY156" s="26"/>
      <c r="FZ156" s="26"/>
      <c r="GA156" s="26"/>
      <c r="GB156" s="26"/>
      <c r="GC156" s="26"/>
      <c r="GD156" s="26"/>
      <c r="GE156" s="26"/>
      <c r="GF156" s="26"/>
      <c r="GG156" s="26"/>
      <c r="GH156" s="26"/>
      <c r="GI156" s="26"/>
      <c r="GJ156" s="26"/>
      <c r="GK156" s="26"/>
      <c r="GL156" s="26"/>
      <c r="GM156" s="26"/>
      <c r="GN156" s="26"/>
      <c r="GO156" s="26"/>
      <c r="GP156" s="26"/>
      <c r="GQ156" s="26"/>
      <c r="GR156" s="26"/>
      <c r="GS156" s="23"/>
      <c r="GT156" s="26"/>
      <c r="GU156" s="26"/>
      <c r="GV156" s="26"/>
      <c r="GW156" s="26"/>
      <c r="GX156" s="26"/>
      <c r="GY156" s="26"/>
      <c r="GZ156" s="26"/>
      <c r="HA156" s="26"/>
      <c r="HB156" s="26"/>
      <c r="HC156" s="26"/>
      <c r="HD156" s="26"/>
      <c r="HE156" s="26"/>
      <c r="HF156" s="26"/>
      <c r="HG156" s="26"/>
      <c r="HH156" s="26"/>
      <c r="HI156" s="26"/>
      <c r="HJ156" s="26"/>
      <c r="HK156" s="26"/>
      <c r="HL156" s="26"/>
      <c r="HM156" s="26"/>
      <c r="HN156" s="26"/>
      <c r="HO156" s="26"/>
      <c r="HP156" s="26"/>
      <c r="HQ156" s="26"/>
      <c r="HR156" s="26"/>
      <c r="HS156" s="26"/>
      <c r="HT156" s="26"/>
      <c r="HU156" s="26"/>
      <c r="HV156" s="26"/>
      <c r="HW156" s="26"/>
      <c r="HX156" s="26"/>
      <c r="HY156" s="26"/>
      <c r="HZ156" s="26"/>
      <c r="IA156" s="26"/>
      <c r="IB156" s="26"/>
      <c r="IC156" s="26"/>
      <c r="ID156" s="26"/>
      <c r="IE156" s="26"/>
      <c r="IF156" s="23"/>
      <c r="IG156" s="26"/>
      <c r="IH156" s="26"/>
      <c r="II156" s="26"/>
      <c r="IJ156" s="26"/>
      <c r="IK156" s="26"/>
      <c r="IL156" s="26"/>
      <c r="IM156" s="26"/>
      <c r="IN156" s="26"/>
      <c r="IO156" s="26"/>
      <c r="IP156" s="26"/>
      <c r="IQ156" s="26"/>
      <c r="IR156" s="26"/>
      <c r="IS156" s="26"/>
      <c r="IT156" s="26"/>
      <c r="IU156" s="26"/>
      <c r="IV156" s="26"/>
      <c r="IW156" s="26"/>
      <c r="IX156" s="26"/>
      <c r="IY156" s="26"/>
      <c r="IZ156" s="26"/>
      <c r="JA156" s="26"/>
      <c r="JB156" s="26"/>
      <c r="JC156" s="26"/>
      <c r="JD156" s="26"/>
      <c r="JE156" s="26"/>
      <c r="JF156" s="26"/>
      <c r="JG156" s="26"/>
      <c r="JH156" s="26"/>
      <c r="JI156" s="26"/>
      <c r="JJ156" s="26"/>
      <c r="JK156" s="26"/>
      <c r="JL156" s="26"/>
      <c r="JM156" s="26"/>
      <c r="JN156" s="26"/>
      <c r="JO156" s="26"/>
      <c r="JP156" s="26"/>
      <c r="JQ156" s="26"/>
      <c r="JR156" s="26"/>
      <c r="JS156" s="23"/>
      <c r="JT156" s="26"/>
      <c r="JU156" s="26"/>
      <c r="JV156" s="26"/>
      <c r="JW156" s="26"/>
      <c r="JX156" s="26"/>
      <c r="JY156" s="26"/>
      <c r="JZ156" s="26"/>
      <c r="KA156" s="26"/>
      <c r="KB156" s="26"/>
      <c r="KC156" s="26"/>
      <c r="KD156" s="26"/>
      <c r="KE156" s="26"/>
      <c r="KF156" s="26"/>
      <c r="KG156" s="26"/>
      <c r="KH156" s="26"/>
      <c r="KI156" s="26"/>
      <c r="KJ156" s="26"/>
      <c r="KK156" s="26"/>
      <c r="KL156" s="26"/>
      <c r="KM156" s="26"/>
      <c r="KN156" s="26"/>
      <c r="KO156" s="26"/>
      <c r="KP156" s="26"/>
      <c r="KQ156" s="26"/>
      <c r="KR156" s="26"/>
      <c r="KS156" s="26"/>
      <c r="KT156" s="26"/>
      <c r="KU156" s="26"/>
      <c r="KV156" s="26"/>
      <c r="KW156" s="26"/>
      <c r="KX156" s="26"/>
      <c r="KY156" s="26"/>
      <c r="KZ156" s="26"/>
      <c r="LA156" s="26"/>
      <c r="LB156" s="26"/>
      <c r="LC156" s="26"/>
      <c r="LD156" s="26"/>
      <c r="LE156" s="26"/>
      <c r="LF156" s="23"/>
      <c r="LG156" s="26"/>
      <c r="LH156" s="26"/>
      <c r="LI156" s="26"/>
      <c r="LJ156" s="26"/>
      <c r="LK156" s="26"/>
      <c r="LL156" s="26"/>
      <c r="LM156" s="26"/>
      <c r="LN156" s="26"/>
      <c r="LO156" s="26"/>
      <c r="LP156" s="26"/>
      <c r="LQ156" s="26"/>
      <c r="LR156" s="26"/>
      <c r="LS156" s="26"/>
      <c r="LT156" s="26"/>
      <c r="LU156" s="26"/>
      <c r="LV156" s="26"/>
      <c r="LW156" s="26"/>
      <c r="LX156" s="26"/>
      <c r="LY156" s="26"/>
      <c r="LZ156" s="26"/>
      <c r="MA156" s="26"/>
      <c r="MB156" s="26"/>
      <c r="MC156" s="26"/>
      <c r="MD156" s="26"/>
      <c r="ME156" s="26"/>
      <c r="MF156" s="26"/>
      <c r="MG156" s="26"/>
      <c r="MH156" s="26"/>
      <c r="MI156" s="26"/>
      <c r="MJ156" s="26"/>
      <c r="MK156" s="26"/>
      <c r="ML156" s="26"/>
      <c r="MM156" s="26"/>
      <c r="MN156" s="26"/>
      <c r="MO156" s="26"/>
      <c r="MP156" s="26"/>
      <c r="MQ156" s="26"/>
      <c r="MR156" s="26"/>
      <c r="MS156" s="23"/>
      <c r="MT156" s="26"/>
      <c r="MU156" s="26"/>
      <c r="MV156" s="26"/>
      <c r="MW156" s="26"/>
      <c r="MX156" s="26"/>
      <c r="MY156" s="26"/>
      <c r="MZ156" s="26"/>
      <c r="NA156" s="26"/>
      <c r="NB156" s="26"/>
      <c r="NC156" s="26"/>
      <c r="ND156" s="26"/>
      <c r="NE156" s="26"/>
      <c r="NF156" s="26"/>
      <c r="NG156" s="26"/>
      <c r="NH156" s="26"/>
      <c r="NI156" s="26"/>
      <c r="NJ156" s="26"/>
      <c r="NK156" s="26"/>
      <c r="NL156" s="26"/>
      <c r="NM156" s="26"/>
      <c r="NN156" s="26"/>
      <c r="NO156" s="26"/>
      <c r="NP156" s="26"/>
      <c r="NQ156" s="26"/>
      <c r="NR156" s="26"/>
      <c r="NS156" s="26"/>
      <c r="NT156" s="26"/>
      <c r="NU156" s="26"/>
      <c r="NV156" s="26"/>
      <c r="NW156" s="26"/>
      <c r="NX156" s="26"/>
      <c r="NY156" s="26"/>
      <c r="NZ156" s="26"/>
      <c r="OA156" s="26"/>
      <c r="OB156" s="26"/>
      <c r="OC156" s="26"/>
      <c r="OD156" s="26"/>
      <c r="OE156" s="26"/>
      <c r="OF156" s="23"/>
      <c r="OG156" s="26"/>
      <c r="OH156" s="26"/>
      <c r="OI156" s="26"/>
      <c r="OJ156" s="26"/>
      <c r="OK156" s="26"/>
      <c r="OL156" s="26"/>
      <c r="OM156" s="26"/>
      <c r="ON156" s="26"/>
      <c r="OO156" s="26"/>
      <c r="OP156" s="26"/>
      <c r="OQ156" s="26"/>
      <c r="OR156" s="26"/>
      <c r="OS156" s="26"/>
      <c r="OT156" s="26"/>
      <c r="OU156" s="26"/>
      <c r="OV156" s="26"/>
      <c r="OW156" s="26"/>
      <c r="OX156" s="26"/>
      <c r="OY156" s="26"/>
      <c r="OZ156" s="26"/>
      <c r="PA156" s="26"/>
      <c r="PB156" s="26"/>
      <c r="PC156" s="26"/>
      <c r="PD156" s="26"/>
      <c r="PE156" s="26"/>
      <c r="PF156" s="26"/>
      <c r="PG156" s="26"/>
      <c r="PH156" s="26"/>
      <c r="PI156" s="26"/>
      <c r="PJ156" s="26"/>
      <c r="PK156" s="26"/>
      <c r="PL156" s="26"/>
      <c r="PM156" s="26"/>
      <c r="PN156" s="26"/>
      <c r="PO156" s="26"/>
      <c r="PP156" s="26"/>
      <c r="PQ156" s="26"/>
      <c r="PR156" s="26"/>
    </row>
    <row r="157" spans="1:434" x14ac:dyDescent="0.25">
      <c r="A157" s="24"/>
      <c r="B157" s="25" t="s">
        <v>223</v>
      </c>
      <c r="C157" s="24" t="s">
        <v>70</v>
      </c>
      <c r="D157" s="24" t="s">
        <v>76</v>
      </c>
      <c r="E157" s="24"/>
      <c r="F157" s="23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3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3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  <c r="DS157" s="23"/>
      <c r="DT157" s="26"/>
      <c r="DU157" s="26"/>
      <c r="DV157" s="26"/>
      <c r="DW157" s="26"/>
      <c r="DX157" s="26"/>
      <c r="DY157" s="26"/>
      <c r="DZ157" s="26"/>
      <c r="EA157" s="26"/>
      <c r="EB157" s="26"/>
      <c r="EC157" s="26"/>
      <c r="ED157" s="26"/>
      <c r="EE157" s="26"/>
      <c r="EF157" s="26"/>
      <c r="EG157" s="26"/>
      <c r="EH157" s="26"/>
      <c r="EI157" s="26"/>
      <c r="EJ157" s="26"/>
      <c r="EK157" s="26"/>
      <c r="EL157" s="26"/>
      <c r="EM157" s="26"/>
      <c r="EN157" s="26"/>
      <c r="EO157" s="26"/>
      <c r="EP157" s="26"/>
      <c r="EQ157" s="26"/>
      <c r="ER157" s="26"/>
      <c r="ES157" s="26"/>
      <c r="ET157" s="26"/>
      <c r="EU157" s="26"/>
      <c r="EV157" s="26"/>
      <c r="EW157" s="26"/>
      <c r="EX157" s="26"/>
      <c r="EY157" s="26"/>
      <c r="EZ157" s="26"/>
      <c r="FA157" s="26"/>
      <c r="FB157" s="26"/>
      <c r="FC157" s="26"/>
      <c r="FD157" s="26"/>
      <c r="FE157" s="26"/>
      <c r="FF157" s="23"/>
      <c r="FG157" s="26"/>
      <c r="FH157" s="26"/>
      <c r="FI157" s="26"/>
      <c r="FJ157" s="26"/>
      <c r="FK157" s="26"/>
      <c r="FL157" s="26"/>
      <c r="FM157" s="26"/>
      <c r="FN157" s="26"/>
      <c r="FO157" s="26"/>
      <c r="FP157" s="26"/>
      <c r="FQ157" s="26"/>
      <c r="FR157" s="26"/>
      <c r="FS157" s="26"/>
      <c r="FT157" s="26"/>
      <c r="FU157" s="26"/>
      <c r="FV157" s="26"/>
      <c r="FW157" s="26"/>
      <c r="FX157" s="26"/>
      <c r="FY157" s="26"/>
      <c r="FZ157" s="26"/>
      <c r="GA157" s="26"/>
      <c r="GB157" s="26"/>
      <c r="GC157" s="26"/>
      <c r="GD157" s="26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3"/>
      <c r="GT157" s="26"/>
      <c r="GU157" s="26"/>
      <c r="GV157" s="26"/>
      <c r="GW157" s="26"/>
      <c r="GX157" s="26"/>
      <c r="GY157" s="26"/>
      <c r="GZ157" s="26"/>
      <c r="HA157" s="26"/>
      <c r="HB157" s="26"/>
      <c r="HC157" s="26"/>
      <c r="HD157" s="26"/>
      <c r="HE157" s="26"/>
      <c r="HF157" s="26"/>
      <c r="HG157" s="26"/>
      <c r="HH157" s="26"/>
      <c r="HI157" s="26"/>
      <c r="HJ157" s="26"/>
      <c r="HK157" s="26"/>
      <c r="HL157" s="26"/>
      <c r="HM157" s="26"/>
      <c r="HN157" s="26"/>
      <c r="HO157" s="26"/>
      <c r="HP157" s="26"/>
      <c r="HQ157" s="26"/>
      <c r="HR157" s="26"/>
      <c r="HS157" s="26"/>
      <c r="HT157" s="26"/>
      <c r="HU157" s="26"/>
      <c r="HV157" s="26"/>
      <c r="HW157" s="26"/>
      <c r="HX157" s="26"/>
      <c r="HY157" s="26"/>
      <c r="HZ157" s="26"/>
      <c r="IA157" s="26"/>
      <c r="IB157" s="26"/>
      <c r="IC157" s="26"/>
      <c r="ID157" s="26"/>
      <c r="IE157" s="26"/>
      <c r="IF157" s="23"/>
      <c r="IG157" s="26"/>
      <c r="IH157" s="26"/>
      <c r="II157" s="26"/>
      <c r="IJ157" s="26"/>
      <c r="IK157" s="26"/>
      <c r="IL157" s="26"/>
      <c r="IM157" s="26"/>
      <c r="IN157" s="26"/>
      <c r="IO157" s="26"/>
      <c r="IP157" s="26"/>
      <c r="IQ157" s="26"/>
      <c r="IR157" s="26"/>
      <c r="IS157" s="26"/>
      <c r="IT157" s="26"/>
      <c r="IU157" s="26"/>
      <c r="IV157" s="26"/>
      <c r="IW157" s="26"/>
      <c r="IX157" s="26"/>
      <c r="IY157" s="26"/>
      <c r="IZ157" s="26"/>
      <c r="JA157" s="26"/>
      <c r="JB157" s="26"/>
      <c r="JC157" s="26"/>
      <c r="JD157" s="26"/>
      <c r="JE157" s="26"/>
      <c r="JF157" s="26"/>
      <c r="JG157" s="26"/>
      <c r="JH157" s="26"/>
      <c r="JI157" s="26"/>
      <c r="JJ157" s="26"/>
      <c r="JK157" s="26"/>
      <c r="JL157" s="26"/>
      <c r="JM157" s="26"/>
      <c r="JN157" s="26"/>
      <c r="JO157" s="26"/>
      <c r="JP157" s="26"/>
      <c r="JQ157" s="26"/>
      <c r="JR157" s="26"/>
      <c r="JS157" s="23"/>
      <c r="JT157" s="26"/>
      <c r="JU157" s="26"/>
      <c r="JV157" s="26"/>
      <c r="JW157" s="26"/>
      <c r="JX157" s="26"/>
      <c r="JY157" s="26"/>
      <c r="JZ157" s="26"/>
      <c r="KA157" s="26"/>
      <c r="KB157" s="26"/>
      <c r="KC157" s="26"/>
      <c r="KD157" s="26"/>
      <c r="KE157" s="26"/>
      <c r="KF157" s="26"/>
      <c r="KG157" s="26"/>
      <c r="KH157" s="26"/>
      <c r="KI157" s="26"/>
      <c r="KJ157" s="26"/>
      <c r="KK157" s="26"/>
      <c r="KL157" s="26"/>
      <c r="KM157" s="26"/>
      <c r="KN157" s="26"/>
      <c r="KO157" s="26"/>
      <c r="KP157" s="26"/>
      <c r="KQ157" s="26"/>
      <c r="KR157" s="26"/>
      <c r="KS157" s="26"/>
      <c r="KT157" s="26"/>
      <c r="KU157" s="26"/>
      <c r="KV157" s="26"/>
      <c r="KW157" s="26"/>
      <c r="KX157" s="26"/>
      <c r="KY157" s="26"/>
      <c r="KZ157" s="26"/>
      <c r="LA157" s="26"/>
      <c r="LB157" s="26"/>
      <c r="LC157" s="26"/>
      <c r="LD157" s="26"/>
      <c r="LE157" s="26"/>
      <c r="LF157" s="23"/>
      <c r="LG157" s="26"/>
      <c r="LH157" s="26"/>
      <c r="LI157" s="26"/>
      <c r="LJ157" s="26"/>
      <c r="LK157" s="26"/>
      <c r="LL157" s="26"/>
      <c r="LM157" s="26"/>
      <c r="LN157" s="26"/>
      <c r="LO157" s="26"/>
      <c r="LP157" s="26"/>
      <c r="LQ157" s="26"/>
      <c r="LR157" s="26"/>
      <c r="LS157" s="26"/>
      <c r="LT157" s="26"/>
      <c r="LU157" s="26"/>
      <c r="LV157" s="26"/>
      <c r="LW157" s="26"/>
      <c r="LX157" s="26"/>
      <c r="LY157" s="26"/>
      <c r="LZ157" s="26"/>
      <c r="MA157" s="26"/>
      <c r="MB157" s="26"/>
      <c r="MC157" s="26"/>
      <c r="MD157" s="26"/>
      <c r="ME157" s="26"/>
      <c r="MF157" s="26"/>
      <c r="MG157" s="26"/>
      <c r="MH157" s="26"/>
      <c r="MI157" s="26"/>
      <c r="MJ157" s="26"/>
      <c r="MK157" s="26"/>
      <c r="ML157" s="26"/>
      <c r="MM157" s="26"/>
      <c r="MN157" s="26"/>
      <c r="MO157" s="26"/>
      <c r="MP157" s="26"/>
      <c r="MQ157" s="26"/>
      <c r="MR157" s="26"/>
      <c r="MS157" s="23"/>
      <c r="MT157" s="26"/>
      <c r="MU157" s="26"/>
      <c r="MV157" s="26"/>
      <c r="MW157" s="26"/>
      <c r="MX157" s="26"/>
      <c r="MY157" s="26"/>
      <c r="MZ157" s="26"/>
      <c r="NA157" s="26"/>
      <c r="NB157" s="26"/>
      <c r="NC157" s="26"/>
      <c r="ND157" s="26"/>
      <c r="NE157" s="26"/>
      <c r="NF157" s="26"/>
      <c r="NG157" s="26"/>
      <c r="NH157" s="26"/>
      <c r="NI157" s="26"/>
      <c r="NJ157" s="26"/>
      <c r="NK157" s="26"/>
      <c r="NL157" s="26"/>
      <c r="NM157" s="26"/>
      <c r="NN157" s="26"/>
      <c r="NO157" s="26"/>
      <c r="NP157" s="26"/>
      <c r="NQ157" s="26"/>
      <c r="NR157" s="26"/>
      <c r="NS157" s="26"/>
      <c r="NT157" s="26"/>
      <c r="NU157" s="26"/>
      <c r="NV157" s="26"/>
      <c r="NW157" s="26"/>
      <c r="NX157" s="26"/>
      <c r="NY157" s="26"/>
      <c r="NZ157" s="26"/>
      <c r="OA157" s="26"/>
      <c r="OB157" s="26"/>
      <c r="OC157" s="26"/>
      <c r="OD157" s="26"/>
      <c r="OE157" s="26"/>
      <c r="OF157" s="23"/>
      <c r="OG157" s="26"/>
      <c r="OH157" s="26"/>
      <c r="OI157" s="26"/>
      <c r="OJ157" s="26"/>
      <c r="OK157" s="26"/>
      <c r="OL157" s="26"/>
      <c r="OM157" s="26"/>
      <c r="ON157" s="26"/>
      <c r="OO157" s="26"/>
      <c r="OP157" s="26"/>
      <c r="OQ157" s="26"/>
      <c r="OR157" s="26"/>
      <c r="OS157" s="26"/>
      <c r="OT157" s="26"/>
      <c r="OU157" s="26"/>
      <c r="OV157" s="26"/>
      <c r="OW157" s="26"/>
      <c r="OX157" s="26"/>
      <c r="OY157" s="26"/>
      <c r="OZ157" s="26"/>
      <c r="PA157" s="26"/>
      <c r="PB157" s="26"/>
      <c r="PC157" s="26"/>
      <c r="PD157" s="26"/>
      <c r="PE157" s="26"/>
      <c r="PF157" s="26"/>
      <c r="PG157" s="26"/>
      <c r="PH157" s="26"/>
      <c r="PI157" s="26"/>
      <c r="PJ157" s="26"/>
      <c r="PK157" s="26"/>
      <c r="PL157" s="26"/>
      <c r="PM157" s="26"/>
      <c r="PN157" s="26"/>
      <c r="PO157" s="26"/>
      <c r="PP157" s="26"/>
      <c r="PQ157" s="26"/>
      <c r="PR157" s="26"/>
    </row>
    <row r="158" spans="1:434" x14ac:dyDescent="0.25">
      <c r="A158" s="24"/>
      <c r="B158" s="25" t="s">
        <v>224</v>
      </c>
      <c r="C158" s="24" t="s">
        <v>66</v>
      </c>
      <c r="D158" s="24" t="s">
        <v>76</v>
      </c>
      <c r="E158" s="24"/>
      <c r="F158" s="23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3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3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3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3"/>
      <c r="FG158" s="26"/>
      <c r="FH158" s="26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  <c r="GR158" s="26"/>
      <c r="GS158" s="23"/>
      <c r="GT158" s="26"/>
      <c r="GU158" s="26"/>
      <c r="GV158" s="26"/>
      <c r="GW158" s="26"/>
      <c r="GX158" s="26"/>
      <c r="GY158" s="26"/>
      <c r="GZ158" s="26"/>
      <c r="HA158" s="26"/>
      <c r="HB158" s="26"/>
      <c r="HC158" s="26"/>
      <c r="HD158" s="26"/>
      <c r="HE158" s="26"/>
      <c r="HF158" s="26"/>
      <c r="HG158" s="26"/>
      <c r="HH158" s="26"/>
      <c r="HI158" s="26"/>
      <c r="HJ158" s="26"/>
      <c r="HK158" s="26"/>
      <c r="HL158" s="26"/>
      <c r="HM158" s="26"/>
      <c r="HN158" s="26"/>
      <c r="HO158" s="26"/>
      <c r="HP158" s="26"/>
      <c r="HQ158" s="26"/>
      <c r="HR158" s="26"/>
      <c r="HS158" s="26"/>
      <c r="HT158" s="26"/>
      <c r="HU158" s="26"/>
      <c r="HV158" s="26"/>
      <c r="HW158" s="26"/>
      <c r="HX158" s="26"/>
      <c r="HY158" s="26"/>
      <c r="HZ158" s="26"/>
      <c r="IA158" s="26"/>
      <c r="IB158" s="26"/>
      <c r="IC158" s="26"/>
      <c r="ID158" s="26"/>
      <c r="IE158" s="26"/>
      <c r="IF158" s="23"/>
      <c r="IG158" s="26"/>
      <c r="IH158" s="26"/>
      <c r="II158" s="26"/>
      <c r="IJ158" s="26"/>
      <c r="IK158" s="26"/>
      <c r="IL158" s="26"/>
      <c r="IM158" s="26"/>
      <c r="IN158" s="26"/>
      <c r="IO158" s="26"/>
      <c r="IP158" s="26"/>
      <c r="IQ158" s="26"/>
      <c r="IR158" s="26"/>
      <c r="IS158" s="26"/>
      <c r="IT158" s="26"/>
      <c r="IU158" s="26"/>
      <c r="IV158" s="26"/>
      <c r="IW158" s="26"/>
      <c r="IX158" s="26"/>
      <c r="IY158" s="26"/>
      <c r="IZ158" s="26"/>
      <c r="JA158" s="26"/>
      <c r="JB158" s="26"/>
      <c r="JC158" s="26"/>
      <c r="JD158" s="26"/>
      <c r="JE158" s="26"/>
      <c r="JF158" s="26"/>
      <c r="JG158" s="26"/>
      <c r="JH158" s="26"/>
      <c r="JI158" s="26"/>
      <c r="JJ158" s="26"/>
      <c r="JK158" s="26"/>
      <c r="JL158" s="26"/>
      <c r="JM158" s="26"/>
      <c r="JN158" s="26"/>
      <c r="JO158" s="26"/>
      <c r="JP158" s="26"/>
      <c r="JQ158" s="26"/>
      <c r="JR158" s="26"/>
      <c r="JS158" s="23"/>
      <c r="JT158" s="26"/>
      <c r="JU158" s="26"/>
      <c r="JV158" s="26"/>
      <c r="JW158" s="26"/>
      <c r="JX158" s="26"/>
      <c r="JY158" s="26"/>
      <c r="JZ158" s="26"/>
      <c r="KA158" s="26"/>
      <c r="KB158" s="26"/>
      <c r="KC158" s="26"/>
      <c r="KD158" s="26"/>
      <c r="KE158" s="26"/>
      <c r="KF158" s="26"/>
      <c r="KG158" s="26"/>
      <c r="KH158" s="26"/>
      <c r="KI158" s="26"/>
      <c r="KJ158" s="26"/>
      <c r="KK158" s="26"/>
      <c r="KL158" s="26"/>
      <c r="KM158" s="26"/>
      <c r="KN158" s="26"/>
      <c r="KO158" s="26"/>
      <c r="KP158" s="26"/>
      <c r="KQ158" s="26"/>
      <c r="KR158" s="26"/>
      <c r="KS158" s="26"/>
      <c r="KT158" s="26"/>
      <c r="KU158" s="26"/>
      <c r="KV158" s="26"/>
      <c r="KW158" s="26"/>
      <c r="KX158" s="26"/>
      <c r="KY158" s="26"/>
      <c r="KZ158" s="26"/>
      <c r="LA158" s="26"/>
      <c r="LB158" s="26"/>
      <c r="LC158" s="26"/>
      <c r="LD158" s="26"/>
      <c r="LE158" s="26"/>
      <c r="LF158" s="23"/>
      <c r="LG158" s="26"/>
      <c r="LH158" s="26"/>
      <c r="LI158" s="26"/>
      <c r="LJ158" s="26"/>
      <c r="LK158" s="26"/>
      <c r="LL158" s="26"/>
      <c r="LM158" s="26"/>
      <c r="LN158" s="26"/>
      <c r="LO158" s="26"/>
      <c r="LP158" s="26"/>
      <c r="LQ158" s="26"/>
      <c r="LR158" s="26"/>
      <c r="LS158" s="26"/>
      <c r="LT158" s="26"/>
      <c r="LU158" s="26"/>
      <c r="LV158" s="26"/>
      <c r="LW158" s="26"/>
      <c r="LX158" s="26"/>
      <c r="LY158" s="26"/>
      <c r="LZ158" s="26"/>
      <c r="MA158" s="26"/>
      <c r="MB158" s="26"/>
      <c r="MC158" s="26"/>
      <c r="MD158" s="26"/>
      <c r="ME158" s="26"/>
      <c r="MF158" s="26"/>
      <c r="MG158" s="26"/>
      <c r="MH158" s="26"/>
      <c r="MI158" s="26"/>
      <c r="MJ158" s="26"/>
      <c r="MK158" s="26"/>
      <c r="ML158" s="26"/>
      <c r="MM158" s="26"/>
      <c r="MN158" s="26"/>
      <c r="MO158" s="26"/>
      <c r="MP158" s="26"/>
      <c r="MQ158" s="26"/>
      <c r="MR158" s="26"/>
      <c r="MS158" s="23"/>
      <c r="MT158" s="26"/>
      <c r="MU158" s="26"/>
      <c r="MV158" s="26"/>
      <c r="MW158" s="26"/>
      <c r="MX158" s="26"/>
      <c r="MY158" s="26"/>
      <c r="MZ158" s="26"/>
      <c r="NA158" s="26"/>
      <c r="NB158" s="26"/>
      <c r="NC158" s="26"/>
      <c r="ND158" s="26"/>
      <c r="NE158" s="26"/>
      <c r="NF158" s="26"/>
      <c r="NG158" s="26"/>
      <c r="NH158" s="26"/>
      <c r="NI158" s="26"/>
      <c r="NJ158" s="26"/>
      <c r="NK158" s="26"/>
      <c r="NL158" s="26"/>
      <c r="NM158" s="26"/>
      <c r="NN158" s="26"/>
      <c r="NO158" s="26"/>
      <c r="NP158" s="26"/>
      <c r="NQ158" s="26"/>
      <c r="NR158" s="26"/>
      <c r="NS158" s="26"/>
      <c r="NT158" s="26"/>
      <c r="NU158" s="26"/>
      <c r="NV158" s="26"/>
      <c r="NW158" s="26"/>
      <c r="NX158" s="26"/>
      <c r="NY158" s="26"/>
      <c r="NZ158" s="26"/>
      <c r="OA158" s="26"/>
      <c r="OB158" s="26"/>
      <c r="OC158" s="26"/>
      <c r="OD158" s="26"/>
      <c r="OE158" s="26"/>
      <c r="OF158" s="23"/>
      <c r="OG158" s="26"/>
      <c r="OH158" s="26"/>
      <c r="OI158" s="26"/>
      <c r="OJ158" s="26"/>
      <c r="OK158" s="26"/>
      <c r="OL158" s="26"/>
      <c r="OM158" s="26"/>
      <c r="ON158" s="26"/>
      <c r="OO158" s="26"/>
      <c r="OP158" s="26"/>
      <c r="OQ158" s="26"/>
      <c r="OR158" s="26"/>
      <c r="OS158" s="26"/>
      <c r="OT158" s="26"/>
      <c r="OU158" s="26"/>
      <c r="OV158" s="26"/>
      <c r="OW158" s="26"/>
      <c r="OX158" s="26"/>
      <c r="OY158" s="26"/>
      <c r="OZ158" s="26"/>
      <c r="PA158" s="26"/>
      <c r="PB158" s="26"/>
      <c r="PC158" s="26"/>
      <c r="PD158" s="26"/>
      <c r="PE158" s="26"/>
      <c r="PF158" s="26"/>
      <c r="PG158" s="26"/>
      <c r="PH158" s="26"/>
      <c r="PI158" s="26"/>
      <c r="PJ158" s="26"/>
      <c r="PK158" s="26"/>
      <c r="PL158" s="26"/>
      <c r="PM158" s="26"/>
      <c r="PN158" s="26"/>
      <c r="PO158" s="26"/>
      <c r="PP158" s="26"/>
      <c r="PQ158" s="26"/>
      <c r="PR158" s="26"/>
    </row>
    <row r="159" spans="1:434" x14ac:dyDescent="0.25">
      <c r="A159" s="24"/>
      <c r="B159" s="25" t="s">
        <v>225</v>
      </c>
      <c r="C159" s="24" t="s">
        <v>70</v>
      </c>
      <c r="D159" s="24" t="s">
        <v>76</v>
      </c>
      <c r="E159" s="24"/>
      <c r="F159" s="23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3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3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3"/>
      <c r="DT159" s="26"/>
      <c r="DU159" s="26"/>
      <c r="DV159" s="26"/>
      <c r="DW159" s="26"/>
      <c r="DX159" s="26"/>
      <c r="DY159" s="26"/>
      <c r="DZ159" s="26"/>
      <c r="EA159" s="26"/>
      <c r="EB159" s="26"/>
      <c r="EC159" s="26"/>
      <c r="ED159" s="26"/>
      <c r="EE159" s="26"/>
      <c r="EF159" s="26"/>
      <c r="EG159" s="26"/>
      <c r="EH159" s="26"/>
      <c r="EI159" s="26"/>
      <c r="EJ159" s="26"/>
      <c r="EK159" s="26"/>
      <c r="EL159" s="26"/>
      <c r="EM159" s="26"/>
      <c r="EN159" s="26"/>
      <c r="EO159" s="26"/>
      <c r="EP159" s="26"/>
      <c r="EQ159" s="26"/>
      <c r="ER159" s="26"/>
      <c r="ES159" s="26"/>
      <c r="ET159" s="26"/>
      <c r="EU159" s="26"/>
      <c r="EV159" s="26"/>
      <c r="EW159" s="26"/>
      <c r="EX159" s="26"/>
      <c r="EY159" s="26"/>
      <c r="EZ159" s="26"/>
      <c r="FA159" s="26"/>
      <c r="FB159" s="26"/>
      <c r="FC159" s="26"/>
      <c r="FD159" s="26"/>
      <c r="FE159" s="26"/>
      <c r="FF159" s="23"/>
      <c r="FG159" s="26"/>
      <c r="FH159" s="26"/>
      <c r="FI159" s="26"/>
      <c r="FJ159" s="26"/>
      <c r="FK159" s="26"/>
      <c r="FL159" s="26"/>
      <c r="FM159" s="26"/>
      <c r="FN159" s="26"/>
      <c r="FO159" s="26"/>
      <c r="FP159" s="26"/>
      <c r="FQ159" s="26"/>
      <c r="FR159" s="26"/>
      <c r="FS159" s="26"/>
      <c r="FT159" s="26"/>
      <c r="FU159" s="26"/>
      <c r="FV159" s="26"/>
      <c r="FW159" s="26"/>
      <c r="FX159" s="26"/>
      <c r="FY159" s="26"/>
      <c r="FZ159" s="26"/>
      <c r="GA159" s="26"/>
      <c r="GB159" s="26"/>
      <c r="GC159" s="26"/>
      <c r="GD159" s="26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/>
      <c r="GO159" s="26"/>
      <c r="GP159" s="26"/>
      <c r="GQ159" s="26"/>
      <c r="GR159" s="26"/>
      <c r="GS159" s="23"/>
      <c r="GT159" s="26"/>
      <c r="GU159" s="26"/>
      <c r="GV159" s="26"/>
      <c r="GW159" s="26"/>
      <c r="GX159" s="26"/>
      <c r="GY159" s="26"/>
      <c r="GZ159" s="26"/>
      <c r="HA159" s="26"/>
      <c r="HB159" s="26"/>
      <c r="HC159" s="26"/>
      <c r="HD159" s="26"/>
      <c r="HE159" s="26"/>
      <c r="HF159" s="26"/>
      <c r="HG159" s="26"/>
      <c r="HH159" s="26"/>
      <c r="HI159" s="26"/>
      <c r="HJ159" s="26"/>
      <c r="HK159" s="26"/>
      <c r="HL159" s="26"/>
      <c r="HM159" s="26"/>
      <c r="HN159" s="26"/>
      <c r="HO159" s="26"/>
      <c r="HP159" s="26"/>
      <c r="HQ159" s="26"/>
      <c r="HR159" s="26"/>
      <c r="HS159" s="26"/>
      <c r="HT159" s="26"/>
      <c r="HU159" s="26"/>
      <c r="HV159" s="26"/>
      <c r="HW159" s="26"/>
      <c r="HX159" s="26"/>
      <c r="HY159" s="26"/>
      <c r="HZ159" s="26"/>
      <c r="IA159" s="26"/>
      <c r="IB159" s="26"/>
      <c r="IC159" s="26"/>
      <c r="ID159" s="26"/>
      <c r="IE159" s="26"/>
      <c r="IF159" s="23"/>
      <c r="IG159" s="26"/>
      <c r="IH159" s="26"/>
      <c r="II159" s="26"/>
      <c r="IJ159" s="26"/>
      <c r="IK159" s="26"/>
      <c r="IL159" s="26"/>
      <c r="IM159" s="26"/>
      <c r="IN159" s="26"/>
      <c r="IO159" s="26"/>
      <c r="IP159" s="26"/>
      <c r="IQ159" s="26"/>
      <c r="IR159" s="26"/>
      <c r="IS159" s="26"/>
      <c r="IT159" s="26"/>
      <c r="IU159" s="26"/>
      <c r="IV159" s="26"/>
      <c r="IW159" s="26"/>
      <c r="IX159" s="26"/>
      <c r="IY159" s="26"/>
      <c r="IZ159" s="26"/>
      <c r="JA159" s="26"/>
      <c r="JB159" s="26"/>
      <c r="JC159" s="26"/>
      <c r="JD159" s="26"/>
      <c r="JE159" s="26"/>
      <c r="JF159" s="26"/>
      <c r="JG159" s="26"/>
      <c r="JH159" s="26"/>
      <c r="JI159" s="26"/>
      <c r="JJ159" s="26"/>
      <c r="JK159" s="26"/>
      <c r="JL159" s="26"/>
      <c r="JM159" s="26"/>
      <c r="JN159" s="26"/>
      <c r="JO159" s="26"/>
      <c r="JP159" s="26"/>
      <c r="JQ159" s="26"/>
      <c r="JR159" s="26"/>
      <c r="JS159" s="23"/>
      <c r="JT159" s="26"/>
      <c r="JU159" s="26"/>
      <c r="JV159" s="26"/>
      <c r="JW159" s="26"/>
      <c r="JX159" s="26"/>
      <c r="JY159" s="26"/>
      <c r="JZ159" s="26"/>
      <c r="KA159" s="26"/>
      <c r="KB159" s="26"/>
      <c r="KC159" s="26"/>
      <c r="KD159" s="26"/>
      <c r="KE159" s="26"/>
      <c r="KF159" s="26"/>
      <c r="KG159" s="26"/>
      <c r="KH159" s="26"/>
      <c r="KI159" s="26"/>
      <c r="KJ159" s="26"/>
      <c r="KK159" s="26"/>
      <c r="KL159" s="26"/>
      <c r="KM159" s="26"/>
      <c r="KN159" s="26"/>
      <c r="KO159" s="26"/>
      <c r="KP159" s="26"/>
      <c r="KQ159" s="26"/>
      <c r="KR159" s="26"/>
      <c r="KS159" s="26"/>
      <c r="KT159" s="26"/>
      <c r="KU159" s="26"/>
      <c r="KV159" s="26"/>
      <c r="KW159" s="26"/>
      <c r="KX159" s="26"/>
      <c r="KY159" s="26"/>
      <c r="KZ159" s="26"/>
      <c r="LA159" s="26"/>
      <c r="LB159" s="26"/>
      <c r="LC159" s="26"/>
      <c r="LD159" s="26"/>
      <c r="LE159" s="26"/>
      <c r="LF159" s="23"/>
      <c r="LG159" s="26"/>
      <c r="LH159" s="26"/>
      <c r="LI159" s="26"/>
      <c r="LJ159" s="26"/>
      <c r="LK159" s="26"/>
      <c r="LL159" s="26"/>
      <c r="LM159" s="26"/>
      <c r="LN159" s="26"/>
      <c r="LO159" s="26"/>
      <c r="LP159" s="26"/>
      <c r="LQ159" s="26"/>
      <c r="LR159" s="26"/>
      <c r="LS159" s="26"/>
      <c r="LT159" s="26"/>
      <c r="LU159" s="26"/>
      <c r="LV159" s="26"/>
      <c r="LW159" s="26"/>
      <c r="LX159" s="26"/>
      <c r="LY159" s="26"/>
      <c r="LZ159" s="26"/>
      <c r="MA159" s="26"/>
      <c r="MB159" s="26"/>
      <c r="MC159" s="26"/>
      <c r="MD159" s="26"/>
      <c r="ME159" s="26"/>
      <c r="MF159" s="26"/>
      <c r="MG159" s="26"/>
      <c r="MH159" s="26"/>
      <c r="MI159" s="26"/>
      <c r="MJ159" s="26"/>
      <c r="MK159" s="26"/>
      <c r="ML159" s="26"/>
      <c r="MM159" s="26"/>
      <c r="MN159" s="26"/>
      <c r="MO159" s="26"/>
      <c r="MP159" s="26"/>
      <c r="MQ159" s="26"/>
      <c r="MR159" s="26"/>
      <c r="MS159" s="23"/>
      <c r="MT159" s="26"/>
      <c r="MU159" s="26"/>
      <c r="MV159" s="26"/>
      <c r="MW159" s="26"/>
      <c r="MX159" s="26"/>
      <c r="MY159" s="26"/>
      <c r="MZ159" s="26"/>
      <c r="NA159" s="26"/>
      <c r="NB159" s="26"/>
      <c r="NC159" s="26"/>
      <c r="ND159" s="26"/>
      <c r="NE159" s="26"/>
      <c r="NF159" s="26"/>
      <c r="NG159" s="26"/>
      <c r="NH159" s="26"/>
      <c r="NI159" s="26"/>
      <c r="NJ159" s="26"/>
      <c r="NK159" s="26"/>
      <c r="NL159" s="26"/>
      <c r="NM159" s="26"/>
      <c r="NN159" s="26"/>
      <c r="NO159" s="26"/>
      <c r="NP159" s="26"/>
      <c r="NQ159" s="26"/>
      <c r="NR159" s="26"/>
      <c r="NS159" s="26"/>
      <c r="NT159" s="26"/>
      <c r="NU159" s="26"/>
      <c r="NV159" s="26"/>
      <c r="NW159" s="26"/>
      <c r="NX159" s="26"/>
      <c r="NY159" s="26"/>
      <c r="NZ159" s="26"/>
      <c r="OA159" s="26"/>
      <c r="OB159" s="26"/>
      <c r="OC159" s="26"/>
      <c r="OD159" s="26"/>
      <c r="OE159" s="26"/>
      <c r="OF159" s="23"/>
      <c r="OG159" s="26"/>
      <c r="OH159" s="26"/>
      <c r="OI159" s="26"/>
      <c r="OJ159" s="26"/>
      <c r="OK159" s="26"/>
      <c r="OL159" s="26"/>
      <c r="OM159" s="26"/>
      <c r="ON159" s="26"/>
      <c r="OO159" s="26"/>
      <c r="OP159" s="26"/>
      <c r="OQ159" s="26"/>
      <c r="OR159" s="26"/>
      <c r="OS159" s="26"/>
      <c r="OT159" s="26"/>
      <c r="OU159" s="26"/>
      <c r="OV159" s="26"/>
      <c r="OW159" s="26"/>
      <c r="OX159" s="26"/>
      <c r="OY159" s="26"/>
      <c r="OZ159" s="26"/>
      <c r="PA159" s="26"/>
      <c r="PB159" s="26"/>
      <c r="PC159" s="26"/>
      <c r="PD159" s="26"/>
      <c r="PE159" s="26"/>
      <c r="PF159" s="26"/>
      <c r="PG159" s="26"/>
      <c r="PH159" s="26"/>
      <c r="PI159" s="26"/>
      <c r="PJ159" s="26"/>
      <c r="PK159" s="26"/>
      <c r="PL159" s="26"/>
      <c r="PM159" s="26"/>
      <c r="PN159" s="26"/>
      <c r="PO159" s="26"/>
      <c r="PP159" s="26"/>
      <c r="PQ159" s="26"/>
      <c r="PR159" s="26"/>
    </row>
    <row r="161" spans="1:434" x14ac:dyDescent="0.25">
      <c r="A161" s="27"/>
      <c r="B161" s="28" t="s">
        <v>226</v>
      </c>
      <c r="C161" s="27"/>
      <c r="D161" s="27"/>
      <c r="F161" s="23"/>
      <c r="G161" s="29">
        <f t="shared" ref="G161:AR161" si="0">SUM(G5:G159)</f>
        <v>0</v>
      </c>
      <c r="H161" s="29">
        <f t="shared" si="0"/>
        <v>0</v>
      </c>
      <c r="I161" s="29">
        <f t="shared" si="0"/>
        <v>0</v>
      </c>
      <c r="J161" s="29">
        <f t="shared" si="0"/>
        <v>0</v>
      </c>
      <c r="K161" s="29">
        <f t="shared" si="0"/>
        <v>0</v>
      </c>
      <c r="L161" s="29">
        <f t="shared" si="0"/>
        <v>0</v>
      </c>
      <c r="M161" s="29">
        <f t="shared" si="0"/>
        <v>0</v>
      </c>
      <c r="N161" s="29">
        <f t="shared" si="0"/>
        <v>0</v>
      </c>
      <c r="O161" s="29">
        <f t="shared" si="0"/>
        <v>0</v>
      </c>
      <c r="P161" s="29">
        <f t="shared" si="0"/>
        <v>0</v>
      </c>
      <c r="Q161" s="29">
        <f t="shared" si="0"/>
        <v>0</v>
      </c>
      <c r="R161" s="29">
        <f t="shared" si="0"/>
        <v>0</v>
      </c>
      <c r="S161" s="29">
        <f t="shared" si="0"/>
        <v>0</v>
      </c>
      <c r="T161" s="29">
        <f t="shared" si="0"/>
        <v>0</v>
      </c>
      <c r="U161" s="29">
        <f t="shared" si="0"/>
        <v>0</v>
      </c>
      <c r="V161" s="29">
        <f t="shared" si="0"/>
        <v>0</v>
      </c>
      <c r="W161" s="29">
        <f t="shared" si="0"/>
        <v>0</v>
      </c>
      <c r="X161" s="29">
        <f t="shared" si="0"/>
        <v>0</v>
      </c>
      <c r="Y161" s="29">
        <f t="shared" si="0"/>
        <v>0</v>
      </c>
      <c r="Z161" s="29">
        <f t="shared" si="0"/>
        <v>0</v>
      </c>
      <c r="AA161" s="29">
        <f t="shared" si="0"/>
        <v>0</v>
      </c>
      <c r="AB161" s="29">
        <f t="shared" si="0"/>
        <v>0</v>
      </c>
      <c r="AC161" s="29">
        <f t="shared" si="0"/>
        <v>0</v>
      </c>
      <c r="AD161" s="29">
        <f t="shared" si="0"/>
        <v>0</v>
      </c>
      <c r="AE161" s="29">
        <f t="shared" si="0"/>
        <v>0</v>
      </c>
      <c r="AF161" s="29">
        <f t="shared" si="0"/>
        <v>0</v>
      </c>
      <c r="AG161" s="29">
        <f t="shared" si="0"/>
        <v>0</v>
      </c>
      <c r="AH161" s="29">
        <f t="shared" si="0"/>
        <v>0</v>
      </c>
      <c r="AI161" s="29">
        <f t="shared" si="0"/>
        <v>0</v>
      </c>
      <c r="AJ161" s="29">
        <f t="shared" si="0"/>
        <v>0</v>
      </c>
      <c r="AK161" s="29">
        <f t="shared" si="0"/>
        <v>0</v>
      </c>
      <c r="AL161" s="29">
        <f t="shared" si="0"/>
        <v>0</v>
      </c>
      <c r="AM161" s="29">
        <f t="shared" si="0"/>
        <v>0</v>
      </c>
      <c r="AN161" s="29">
        <f t="shared" si="0"/>
        <v>0</v>
      </c>
      <c r="AO161" s="29">
        <f t="shared" si="0"/>
        <v>0</v>
      </c>
      <c r="AP161" s="29">
        <f t="shared" si="0"/>
        <v>0</v>
      </c>
      <c r="AQ161" s="29">
        <f t="shared" si="0"/>
        <v>0</v>
      </c>
      <c r="AR161" s="29">
        <f t="shared" si="0"/>
        <v>0</v>
      </c>
      <c r="AS161" s="23"/>
      <c r="AT161" s="29">
        <f t="shared" ref="AT161:CE161" si="1">SUM(AT5:AT159)</f>
        <v>0</v>
      </c>
      <c r="AU161" s="29">
        <f t="shared" si="1"/>
        <v>0</v>
      </c>
      <c r="AV161" s="29">
        <f t="shared" si="1"/>
        <v>0</v>
      </c>
      <c r="AW161" s="29">
        <f t="shared" si="1"/>
        <v>0</v>
      </c>
      <c r="AX161" s="29">
        <f t="shared" si="1"/>
        <v>0</v>
      </c>
      <c r="AY161" s="29">
        <f t="shared" si="1"/>
        <v>0</v>
      </c>
      <c r="AZ161" s="29">
        <f t="shared" si="1"/>
        <v>0</v>
      </c>
      <c r="BA161" s="29">
        <f t="shared" si="1"/>
        <v>0</v>
      </c>
      <c r="BB161" s="29">
        <f t="shared" si="1"/>
        <v>0</v>
      </c>
      <c r="BC161" s="29">
        <f t="shared" si="1"/>
        <v>0</v>
      </c>
      <c r="BD161" s="29">
        <f t="shared" si="1"/>
        <v>0</v>
      </c>
      <c r="BE161" s="29">
        <f t="shared" si="1"/>
        <v>0</v>
      </c>
      <c r="BF161" s="29">
        <f t="shared" si="1"/>
        <v>0</v>
      </c>
      <c r="BG161" s="29">
        <f t="shared" si="1"/>
        <v>0</v>
      </c>
      <c r="BH161" s="29">
        <f t="shared" si="1"/>
        <v>0</v>
      </c>
      <c r="BI161" s="29">
        <f t="shared" si="1"/>
        <v>0</v>
      </c>
      <c r="BJ161" s="29">
        <f t="shared" si="1"/>
        <v>0</v>
      </c>
      <c r="BK161" s="29">
        <f t="shared" si="1"/>
        <v>0</v>
      </c>
      <c r="BL161" s="29">
        <f t="shared" si="1"/>
        <v>0</v>
      </c>
      <c r="BM161" s="29">
        <f t="shared" si="1"/>
        <v>0</v>
      </c>
      <c r="BN161" s="29">
        <f t="shared" si="1"/>
        <v>0</v>
      </c>
      <c r="BO161" s="29">
        <f t="shared" si="1"/>
        <v>0</v>
      </c>
      <c r="BP161" s="29">
        <f t="shared" si="1"/>
        <v>0</v>
      </c>
      <c r="BQ161" s="29">
        <f t="shared" si="1"/>
        <v>0</v>
      </c>
      <c r="BR161" s="29">
        <f t="shared" si="1"/>
        <v>0</v>
      </c>
      <c r="BS161" s="29">
        <f t="shared" si="1"/>
        <v>0</v>
      </c>
      <c r="BT161" s="29">
        <f t="shared" si="1"/>
        <v>0</v>
      </c>
      <c r="BU161" s="29">
        <f t="shared" si="1"/>
        <v>0</v>
      </c>
      <c r="BV161" s="29">
        <f t="shared" si="1"/>
        <v>0</v>
      </c>
      <c r="BW161" s="29">
        <f t="shared" si="1"/>
        <v>0</v>
      </c>
      <c r="BX161" s="29">
        <f t="shared" si="1"/>
        <v>0</v>
      </c>
      <c r="BY161" s="29">
        <f t="shared" si="1"/>
        <v>0</v>
      </c>
      <c r="BZ161" s="29">
        <f t="shared" si="1"/>
        <v>0</v>
      </c>
      <c r="CA161" s="29">
        <f t="shared" si="1"/>
        <v>0</v>
      </c>
      <c r="CB161" s="29">
        <f t="shared" si="1"/>
        <v>0</v>
      </c>
      <c r="CC161" s="29">
        <f t="shared" si="1"/>
        <v>0</v>
      </c>
      <c r="CD161" s="29">
        <f t="shared" si="1"/>
        <v>0</v>
      </c>
      <c r="CE161" s="29">
        <f t="shared" si="1"/>
        <v>0</v>
      </c>
      <c r="CF161" s="23"/>
      <c r="CG161" s="29">
        <f t="shared" ref="CG161:DR161" si="2">SUM(CG5:CG159)</f>
        <v>0</v>
      </c>
      <c r="CH161" s="29">
        <f t="shared" si="2"/>
        <v>0</v>
      </c>
      <c r="CI161" s="29">
        <f t="shared" si="2"/>
        <v>0</v>
      </c>
      <c r="CJ161" s="29">
        <f t="shared" si="2"/>
        <v>0</v>
      </c>
      <c r="CK161" s="29">
        <f t="shared" si="2"/>
        <v>0</v>
      </c>
      <c r="CL161" s="29">
        <f t="shared" si="2"/>
        <v>0</v>
      </c>
      <c r="CM161" s="29">
        <f t="shared" si="2"/>
        <v>0</v>
      </c>
      <c r="CN161" s="29">
        <f t="shared" si="2"/>
        <v>0</v>
      </c>
      <c r="CO161" s="29">
        <f t="shared" si="2"/>
        <v>0</v>
      </c>
      <c r="CP161" s="29">
        <f t="shared" si="2"/>
        <v>0</v>
      </c>
      <c r="CQ161" s="29">
        <f t="shared" si="2"/>
        <v>15</v>
      </c>
      <c r="CR161" s="29">
        <f t="shared" si="2"/>
        <v>0</v>
      </c>
      <c r="CS161" s="29">
        <f t="shared" si="2"/>
        <v>0</v>
      </c>
      <c r="CT161" s="29">
        <f t="shared" si="2"/>
        <v>585</v>
      </c>
      <c r="CU161" s="29">
        <f t="shared" si="2"/>
        <v>38</v>
      </c>
      <c r="CV161" s="29">
        <f t="shared" si="2"/>
        <v>397</v>
      </c>
      <c r="CW161" s="29">
        <f t="shared" si="2"/>
        <v>0</v>
      </c>
      <c r="CX161" s="29">
        <f t="shared" si="2"/>
        <v>56</v>
      </c>
      <c r="CY161" s="29">
        <f t="shared" si="2"/>
        <v>0</v>
      </c>
      <c r="CZ161" s="29">
        <f t="shared" si="2"/>
        <v>175</v>
      </c>
      <c r="DA161" s="29">
        <f t="shared" si="2"/>
        <v>532</v>
      </c>
      <c r="DB161" s="29">
        <f t="shared" si="2"/>
        <v>0</v>
      </c>
      <c r="DC161" s="29">
        <f t="shared" si="2"/>
        <v>85</v>
      </c>
      <c r="DD161" s="29">
        <f t="shared" si="2"/>
        <v>240</v>
      </c>
      <c r="DE161" s="29">
        <f t="shared" si="2"/>
        <v>226</v>
      </c>
      <c r="DF161" s="29">
        <f t="shared" si="2"/>
        <v>335</v>
      </c>
      <c r="DG161" s="29">
        <f t="shared" si="2"/>
        <v>183</v>
      </c>
      <c r="DH161" s="29">
        <f t="shared" si="2"/>
        <v>349</v>
      </c>
      <c r="DI161" s="29">
        <f t="shared" si="2"/>
        <v>232</v>
      </c>
      <c r="DJ161" s="29">
        <f t="shared" si="2"/>
        <v>0</v>
      </c>
      <c r="DK161" s="29">
        <f t="shared" si="2"/>
        <v>0</v>
      </c>
      <c r="DL161" s="29">
        <f t="shared" si="2"/>
        <v>2050</v>
      </c>
      <c r="DM161" s="29">
        <f t="shared" si="2"/>
        <v>0</v>
      </c>
      <c r="DN161" s="29">
        <f t="shared" si="2"/>
        <v>0</v>
      </c>
      <c r="DO161" s="29">
        <f t="shared" si="2"/>
        <v>0</v>
      </c>
      <c r="DP161" s="29">
        <f t="shared" si="2"/>
        <v>0</v>
      </c>
      <c r="DQ161" s="29">
        <f t="shared" si="2"/>
        <v>136</v>
      </c>
      <c r="DR161" s="29">
        <f t="shared" si="2"/>
        <v>0</v>
      </c>
      <c r="DS161" s="23"/>
      <c r="DT161" s="29">
        <f t="shared" ref="DT161:FE161" si="3">SUM(DT5:DT159)</f>
        <v>0</v>
      </c>
      <c r="DU161" s="29">
        <f t="shared" si="3"/>
        <v>0</v>
      </c>
      <c r="DV161" s="29">
        <f t="shared" si="3"/>
        <v>0</v>
      </c>
      <c r="DW161" s="29">
        <f t="shared" si="3"/>
        <v>0</v>
      </c>
      <c r="DX161" s="29">
        <f t="shared" si="3"/>
        <v>0</v>
      </c>
      <c r="DY161" s="29">
        <f t="shared" si="3"/>
        <v>0</v>
      </c>
      <c r="DZ161" s="29">
        <f t="shared" si="3"/>
        <v>0</v>
      </c>
      <c r="EA161" s="29">
        <f t="shared" si="3"/>
        <v>0</v>
      </c>
      <c r="EB161" s="29">
        <f t="shared" si="3"/>
        <v>0</v>
      </c>
      <c r="EC161" s="29">
        <f t="shared" si="3"/>
        <v>0</v>
      </c>
      <c r="ED161" s="29">
        <f t="shared" si="3"/>
        <v>0</v>
      </c>
      <c r="EE161" s="29">
        <f t="shared" si="3"/>
        <v>0</v>
      </c>
      <c r="EF161" s="29">
        <f t="shared" si="3"/>
        <v>0</v>
      </c>
      <c r="EG161" s="29">
        <f t="shared" si="3"/>
        <v>0</v>
      </c>
      <c r="EH161" s="29">
        <f t="shared" si="3"/>
        <v>0</v>
      </c>
      <c r="EI161" s="29">
        <f t="shared" si="3"/>
        <v>0</v>
      </c>
      <c r="EJ161" s="29">
        <f t="shared" si="3"/>
        <v>0</v>
      </c>
      <c r="EK161" s="29">
        <f t="shared" si="3"/>
        <v>0</v>
      </c>
      <c r="EL161" s="29">
        <f t="shared" si="3"/>
        <v>0</v>
      </c>
      <c r="EM161" s="29">
        <f t="shared" si="3"/>
        <v>0</v>
      </c>
      <c r="EN161" s="29">
        <f t="shared" si="3"/>
        <v>0</v>
      </c>
      <c r="EO161" s="29">
        <f t="shared" si="3"/>
        <v>0</v>
      </c>
      <c r="EP161" s="29">
        <f t="shared" si="3"/>
        <v>0</v>
      </c>
      <c r="EQ161" s="29">
        <f t="shared" si="3"/>
        <v>0</v>
      </c>
      <c r="ER161" s="29">
        <f t="shared" si="3"/>
        <v>0</v>
      </c>
      <c r="ES161" s="29">
        <f t="shared" si="3"/>
        <v>0</v>
      </c>
      <c r="ET161" s="29">
        <f t="shared" si="3"/>
        <v>0</v>
      </c>
      <c r="EU161" s="29">
        <f t="shared" si="3"/>
        <v>0</v>
      </c>
      <c r="EV161" s="29">
        <f t="shared" si="3"/>
        <v>0</v>
      </c>
      <c r="EW161" s="29">
        <f t="shared" si="3"/>
        <v>0</v>
      </c>
      <c r="EX161" s="29">
        <f t="shared" si="3"/>
        <v>0</v>
      </c>
      <c r="EY161" s="29">
        <f t="shared" si="3"/>
        <v>0</v>
      </c>
      <c r="EZ161" s="29">
        <f t="shared" si="3"/>
        <v>0</v>
      </c>
      <c r="FA161" s="29">
        <f t="shared" si="3"/>
        <v>0</v>
      </c>
      <c r="FB161" s="29">
        <f t="shared" si="3"/>
        <v>0</v>
      </c>
      <c r="FC161" s="29">
        <f t="shared" si="3"/>
        <v>0</v>
      </c>
      <c r="FD161" s="29">
        <f t="shared" si="3"/>
        <v>0</v>
      </c>
      <c r="FE161" s="29">
        <f t="shared" si="3"/>
        <v>0</v>
      </c>
      <c r="FF161" s="23"/>
      <c r="FG161" s="29">
        <f t="shared" ref="FG161:GR161" si="4">SUM(FG5:FG159)</f>
        <v>0</v>
      </c>
      <c r="FH161" s="29">
        <f t="shared" si="4"/>
        <v>0</v>
      </c>
      <c r="FI161" s="29">
        <f t="shared" si="4"/>
        <v>0</v>
      </c>
      <c r="FJ161" s="29">
        <f t="shared" si="4"/>
        <v>0</v>
      </c>
      <c r="FK161" s="29">
        <f t="shared" si="4"/>
        <v>0</v>
      </c>
      <c r="FL161" s="29">
        <f t="shared" si="4"/>
        <v>0</v>
      </c>
      <c r="FM161" s="29">
        <f t="shared" si="4"/>
        <v>0</v>
      </c>
      <c r="FN161" s="29">
        <f t="shared" si="4"/>
        <v>0</v>
      </c>
      <c r="FO161" s="29">
        <f t="shared" si="4"/>
        <v>0</v>
      </c>
      <c r="FP161" s="29">
        <f t="shared" si="4"/>
        <v>0</v>
      </c>
      <c r="FQ161" s="29">
        <f t="shared" si="4"/>
        <v>0</v>
      </c>
      <c r="FR161" s="29">
        <f t="shared" si="4"/>
        <v>0</v>
      </c>
      <c r="FS161" s="29">
        <f t="shared" si="4"/>
        <v>0</v>
      </c>
      <c r="FT161" s="29">
        <f t="shared" si="4"/>
        <v>0</v>
      </c>
      <c r="FU161" s="29">
        <f t="shared" si="4"/>
        <v>0</v>
      </c>
      <c r="FV161" s="29">
        <f t="shared" si="4"/>
        <v>0</v>
      </c>
      <c r="FW161" s="29">
        <f t="shared" si="4"/>
        <v>0</v>
      </c>
      <c r="FX161" s="29">
        <f t="shared" si="4"/>
        <v>0</v>
      </c>
      <c r="FY161" s="29">
        <f t="shared" si="4"/>
        <v>0</v>
      </c>
      <c r="FZ161" s="29">
        <f t="shared" si="4"/>
        <v>0</v>
      </c>
      <c r="GA161" s="29">
        <f t="shared" si="4"/>
        <v>0</v>
      </c>
      <c r="GB161" s="29">
        <f t="shared" si="4"/>
        <v>0</v>
      </c>
      <c r="GC161" s="29">
        <f t="shared" si="4"/>
        <v>0</v>
      </c>
      <c r="GD161" s="29">
        <f t="shared" si="4"/>
        <v>0</v>
      </c>
      <c r="GE161" s="29">
        <f t="shared" si="4"/>
        <v>0</v>
      </c>
      <c r="GF161" s="29">
        <f t="shared" si="4"/>
        <v>0</v>
      </c>
      <c r="GG161" s="29">
        <f t="shared" si="4"/>
        <v>0</v>
      </c>
      <c r="GH161" s="29">
        <f t="shared" si="4"/>
        <v>0</v>
      </c>
      <c r="GI161" s="29">
        <f t="shared" si="4"/>
        <v>0</v>
      </c>
      <c r="GJ161" s="29">
        <f t="shared" si="4"/>
        <v>0</v>
      </c>
      <c r="GK161" s="29">
        <f t="shared" si="4"/>
        <v>0</v>
      </c>
      <c r="GL161" s="29">
        <f t="shared" si="4"/>
        <v>0</v>
      </c>
      <c r="GM161" s="29">
        <f t="shared" si="4"/>
        <v>0</v>
      </c>
      <c r="GN161" s="29">
        <f t="shared" si="4"/>
        <v>0</v>
      </c>
      <c r="GO161" s="29">
        <f t="shared" si="4"/>
        <v>0</v>
      </c>
      <c r="GP161" s="29">
        <f t="shared" si="4"/>
        <v>0</v>
      </c>
      <c r="GQ161" s="29">
        <f t="shared" si="4"/>
        <v>0</v>
      </c>
      <c r="GR161" s="29">
        <f t="shared" si="4"/>
        <v>0</v>
      </c>
      <c r="GS161" s="23"/>
      <c r="GT161" s="29">
        <f t="shared" ref="GT161:IE161" si="5">SUM(GT5:GT159)</f>
        <v>0</v>
      </c>
      <c r="GU161" s="29">
        <f t="shared" si="5"/>
        <v>0</v>
      </c>
      <c r="GV161" s="29">
        <f t="shared" si="5"/>
        <v>0</v>
      </c>
      <c r="GW161" s="29">
        <f t="shared" si="5"/>
        <v>0</v>
      </c>
      <c r="GX161" s="29">
        <f t="shared" si="5"/>
        <v>0</v>
      </c>
      <c r="GY161" s="29">
        <f t="shared" si="5"/>
        <v>0</v>
      </c>
      <c r="GZ161" s="29">
        <f t="shared" si="5"/>
        <v>0</v>
      </c>
      <c r="HA161" s="29">
        <f t="shared" si="5"/>
        <v>0</v>
      </c>
      <c r="HB161" s="29">
        <f t="shared" si="5"/>
        <v>0</v>
      </c>
      <c r="HC161" s="29">
        <f t="shared" si="5"/>
        <v>0</v>
      </c>
      <c r="HD161" s="29">
        <f t="shared" si="5"/>
        <v>0</v>
      </c>
      <c r="HE161" s="29">
        <f t="shared" si="5"/>
        <v>0</v>
      </c>
      <c r="HF161" s="29">
        <f t="shared" si="5"/>
        <v>0</v>
      </c>
      <c r="HG161" s="29">
        <f t="shared" si="5"/>
        <v>0</v>
      </c>
      <c r="HH161" s="29">
        <f t="shared" si="5"/>
        <v>0</v>
      </c>
      <c r="HI161" s="29">
        <f t="shared" si="5"/>
        <v>0</v>
      </c>
      <c r="HJ161" s="29">
        <f t="shared" si="5"/>
        <v>0</v>
      </c>
      <c r="HK161" s="29">
        <f t="shared" si="5"/>
        <v>0</v>
      </c>
      <c r="HL161" s="29">
        <f t="shared" si="5"/>
        <v>0</v>
      </c>
      <c r="HM161" s="29">
        <f t="shared" si="5"/>
        <v>0</v>
      </c>
      <c r="HN161" s="29">
        <f t="shared" si="5"/>
        <v>0</v>
      </c>
      <c r="HO161" s="29">
        <f t="shared" si="5"/>
        <v>0</v>
      </c>
      <c r="HP161" s="29">
        <f t="shared" si="5"/>
        <v>0</v>
      </c>
      <c r="HQ161" s="29">
        <f t="shared" si="5"/>
        <v>0</v>
      </c>
      <c r="HR161" s="29">
        <f t="shared" si="5"/>
        <v>0</v>
      </c>
      <c r="HS161" s="29">
        <f t="shared" si="5"/>
        <v>0</v>
      </c>
      <c r="HT161" s="29">
        <f t="shared" si="5"/>
        <v>0</v>
      </c>
      <c r="HU161" s="29">
        <f t="shared" si="5"/>
        <v>0</v>
      </c>
      <c r="HV161" s="29">
        <f t="shared" si="5"/>
        <v>0</v>
      </c>
      <c r="HW161" s="29">
        <f t="shared" si="5"/>
        <v>0</v>
      </c>
      <c r="HX161" s="29">
        <f t="shared" si="5"/>
        <v>0</v>
      </c>
      <c r="HY161" s="29">
        <f t="shared" si="5"/>
        <v>0</v>
      </c>
      <c r="HZ161" s="29">
        <f t="shared" si="5"/>
        <v>0</v>
      </c>
      <c r="IA161" s="29">
        <f t="shared" si="5"/>
        <v>0</v>
      </c>
      <c r="IB161" s="29">
        <f t="shared" si="5"/>
        <v>0</v>
      </c>
      <c r="IC161" s="29">
        <f t="shared" si="5"/>
        <v>0</v>
      </c>
      <c r="ID161" s="29">
        <f t="shared" si="5"/>
        <v>0</v>
      </c>
      <c r="IE161" s="29">
        <f t="shared" si="5"/>
        <v>0</v>
      </c>
      <c r="IF161" s="23"/>
      <c r="IG161" s="29">
        <f t="shared" ref="IG161:JR161" si="6">SUM(IG5:IG159)</f>
        <v>0</v>
      </c>
      <c r="IH161" s="29">
        <f t="shared" si="6"/>
        <v>0</v>
      </c>
      <c r="II161" s="29">
        <f t="shared" si="6"/>
        <v>0</v>
      </c>
      <c r="IJ161" s="29">
        <f t="shared" si="6"/>
        <v>0</v>
      </c>
      <c r="IK161" s="29">
        <f t="shared" si="6"/>
        <v>0</v>
      </c>
      <c r="IL161" s="29">
        <f t="shared" si="6"/>
        <v>0</v>
      </c>
      <c r="IM161" s="29">
        <f t="shared" si="6"/>
        <v>0</v>
      </c>
      <c r="IN161" s="29">
        <f t="shared" si="6"/>
        <v>0</v>
      </c>
      <c r="IO161" s="29">
        <f t="shared" si="6"/>
        <v>0</v>
      </c>
      <c r="IP161" s="29">
        <f t="shared" si="6"/>
        <v>0</v>
      </c>
      <c r="IQ161" s="29">
        <f t="shared" si="6"/>
        <v>0</v>
      </c>
      <c r="IR161" s="29">
        <f t="shared" si="6"/>
        <v>0</v>
      </c>
      <c r="IS161" s="29">
        <f t="shared" si="6"/>
        <v>0</v>
      </c>
      <c r="IT161" s="29">
        <f t="shared" si="6"/>
        <v>0</v>
      </c>
      <c r="IU161" s="29">
        <f t="shared" si="6"/>
        <v>0</v>
      </c>
      <c r="IV161" s="29">
        <f t="shared" si="6"/>
        <v>0</v>
      </c>
      <c r="IW161" s="29">
        <f t="shared" si="6"/>
        <v>0</v>
      </c>
      <c r="IX161" s="29">
        <f t="shared" si="6"/>
        <v>0</v>
      </c>
      <c r="IY161" s="29">
        <f t="shared" si="6"/>
        <v>0</v>
      </c>
      <c r="IZ161" s="29">
        <f t="shared" si="6"/>
        <v>0</v>
      </c>
      <c r="JA161" s="29">
        <f t="shared" si="6"/>
        <v>0</v>
      </c>
      <c r="JB161" s="29">
        <f t="shared" si="6"/>
        <v>0</v>
      </c>
      <c r="JC161" s="29">
        <f t="shared" si="6"/>
        <v>0</v>
      </c>
      <c r="JD161" s="29">
        <f t="shared" si="6"/>
        <v>0</v>
      </c>
      <c r="JE161" s="29">
        <f t="shared" si="6"/>
        <v>0</v>
      </c>
      <c r="JF161" s="29">
        <f t="shared" si="6"/>
        <v>0</v>
      </c>
      <c r="JG161" s="29">
        <f t="shared" si="6"/>
        <v>0</v>
      </c>
      <c r="JH161" s="29">
        <f t="shared" si="6"/>
        <v>0</v>
      </c>
      <c r="JI161" s="29">
        <f t="shared" si="6"/>
        <v>0</v>
      </c>
      <c r="JJ161" s="29">
        <f t="shared" si="6"/>
        <v>0</v>
      </c>
      <c r="JK161" s="29">
        <f t="shared" si="6"/>
        <v>0</v>
      </c>
      <c r="JL161" s="29">
        <f t="shared" si="6"/>
        <v>0</v>
      </c>
      <c r="JM161" s="29">
        <f t="shared" si="6"/>
        <v>0</v>
      </c>
      <c r="JN161" s="29">
        <f t="shared" si="6"/>
        <v>0</v>
      </c>
      <c r="JO161" s="29">
        <f t="shared" si="6"/>
        <v>0</v>
      </c>
      <c r="JP161" s="29">
        <f t="shared" si="6"/>
        <v>0</v>
      </c>
      <c r="JQ161" s="29">
        <f t="shared" si="6"/>
        <v>0</v>
      </c>
      <c r="JR161" s="29">
        <f t="shared" si="6"/>
        <v>0</v>
      </c>
      <c r="JS161" s="23"/>
      <c r="JT161" s="29">
        <f t="shared" ref="JT161:LE161" si="7">SUM(JT5:JT159)</f>
        <v>0</v>
      </c>
      <c r="JU161" s="29">
        <f t="shared" si="7"/>
        <v>0</v>
      </c>
      <c r="JV161" s="29">
        <f t="shared" si="7"/>
        <v>0</v>
      </c>
      <c r="JW161" s="29">
        <f t="shared" si="7"/>
        <v>0</v>
      </c>
      <c r="JX161" s="29">
        <f t="shared" si="7"/>
        <v>0</v>
      </c>
      <c r="JY161" s="29">
        <f t="shared" si="7"/>
        <v>0</v>
      </c>
      <c r="JZ161" s="29">
        <f t="shared" si="7"/>
        <v>0</v>
      </c>
      <c r="KA161" s="29">
        <f t="shared" si="7"/>
        <v>0</v>
      </c>
      <c r="KB161" s="29">
        <f t="shared" si="7"/>
        <v>0</v>
      </c>
      <c r="KC161" s="29">
        <f t="shared" si="7"/>
        <v>0</v>
      </c>
      <c r="KD161" s="29">
        <f t="shared" si="7"/>
        <v>0</v>
      </c>
      <c r="KE161" s="29">
        <f t="shared" si="7"/>
        <v>0</v>
      </c>
      <c r="KF161" s="29">
        <f t="shared" si="7"/>
        <v>0</v>
      </c>
      <c r="KG161" s="29">
        <f t="shared" si="7"/>
        <v>0</v>
      </c>
      <c r="KH161" s="29">
        <f t="shared" si="7"/>
        <v>0</v>
      </c>
      <c r="KI161" s="29">
        <f t="shared" si="7"/>
        <v>0</v>
      </c>
      <c r="KJ161" s="29">
        <f t="shared" si="7"/>
        <v>0</v>
      </c>
      <c r="KK161" s="29">
        <f t="shared" si="7"/>
        <v>0</v>
      </c>
      <c r="KL161" s="29">
        <f t="shared" si="7"/>
        <v>0</v>
      </c>
      <c r="KM161" s="29">
        <f t="shared" si="7"/>
        <v>0</v>
      </c>
      <c r="KN161" s="29">
        <f t="shared" si="7"/>
        <v>0</v>
      </c>
      <c r="KO161" s="29">
        <f t="shared" si="7"/>
        <v>0</v>
      </c>
      <c r="KP161" s="29">
        <f t="shared" si="7"/>
        <v>0</v>
      </c>
      <c r="KQ161" s="29">
        <f t="shared" si="7"/>
        <v>0</v>
      </c>
      <c r="KR161" s="29">
        <f t="shared" si="7"/>
        <v>0</v>
      </c>
      <c r="KS161" s="29">
        <f t="shared" si="7"/>
        <v>0</v>
      </c>
      <c r="KT161" s="29">
        <f t="shared" si="7"/>
        <v>0</v>
      </c>
      <c r="KU161" s="29">
        <f t="shared" si="7"/>
        <v>0</v>
      </c>
      <c r="KV161" s="29">
        <f t="shared" si="7"/>
        <v>0</v>
      </c>
      <c r="KW161" s="29">
        <f t="shared" si="7"/>
        <v>0</v>
      </c>
      <c r="KX161" s="29">
        <f t="shared" si="7"/>
        <v>0</v>
      </c>
      <c r="KY161" s="29">
        <f t="shared" si="7"/>
        <v>0</v>
      </c>
      <c r="KZ161" s="29">
        <f t="shared" si="7"/>
        <v>0</v>
      </c>
      <c r="LA161" s="29">
        <f t="shared" si="7"/>
        <v>0</v>
      </c>
      <c r="LB161" s="29">
        <f t="shared" si="7"/>
        <v>0</v>
      </c>
      <c r="LC161" s="29">
        <f t="shared" si="7"/>
        <v>0</v>
      </c>
      <c r="LD161" s="29">
        <f t="shared" si="7"/>
        <v>0</v>
      </c>
      <c r="LE161" s="29">
        <f t="shared" si="7"/>
        <v>0</v>
      </c>
      <c r="LF161" s="23"/>
      <c r="LG161" s="29">
        <f t="shared" ref="LG161:MR161" si="8">SUM(LG5:LG159)</f>
        <v>0</v>
      </c>
      <c r="LH161" s="29">
        <f t="shared" si="8"/>
        <v>0</v>
      </c>
      <c r="LI161" s="29">
        <f t="shared" si="8"/>
        <v>0</v>
      </c>
      <c r="LJ161" s="29">
        <f t="shared" si="8"/>
        <v>0</v>
      </c>
      <c r="LK161" s="29">
        <f t="shared" si="8"/>
        <v>0</v>
      </c>
      <c r="LL161" s="29">
        <f t="shared" si="8"/>
        <v>0</v>
      </c>
      <c r="LM161" s="29">
        <f t="shared" si="8"/>
        <v>0</v>
      </c>
      <c r="LN161" s="29">
        <f t="shared" si="8"/>
        <v>0</v>
      </c>
      <c r="LO161" s="29">
        <f t="shared" si="8"/>
        <v>0</v>
      </c>
      <c r="LP161" s="29">
        <f t="shared" si="8"/>
        <v>0</v>
      </c>
      <c r="LQ161" s="29">
        <f t="shared" si="8"/>
        <v>0</v>
      </c>
      <c r="LR161" s="29">
        <f t="shared" si="8"/>
        <v>0</v>
      </c>
      <c r="LS161" s="29">
        <f t="shared" si="8"/>
        <v>0</v>
      </c>
      <c r="LT161" s="29">
        <f t="shared" si="8"/>
        <v>0</v>
      </c>
      <c r="LU161" s="29">
        <f t="shared" si="8"/>
        <v>0</v>
      </c>
      <c r="LV161" s="29">
        <f t="shared" si="8"/>
        <v>0</v>
      </c>
      <c r="LW161" s="29">
        <f t="shared" si="8"/>
        <v>0</v>
      </c>
      <c r="LX161" s="29">
        <f t="shared" si="8"/>
        <v>0</v>
      </c>
      <c r="LY161" s="29">
        <f t="shared" si="8"/>
        <v>0</v>
      </c>
      <c r="LZ161" s="29">
        <f t="shared" si="8"/>
        <v>0</v>
      </c>
      <c r="MA161" s="29">
        <f t="shared" si="8"/>
        <v>0</v>
      </c>
      <c r="MB161" s="29">
        <f t="shared" si="8"/>
        <v>0</v>
      </c>
      <c r="MC161" s="29">
        <f t="shared" si="8"/>
        <v>0</v>
      </c>
      <c r="MD161" s="29">
        <f t="shared" si="8"/>
        <v>0</v>
      </c>
      <c r="ME161" s="29">
        <f t="shared" si="8"/>
        <v>0</v>
      </c>
      <c r="MF161" s="29">
        <f t="shared" si="8"/>
        <v>0</v>
      </c>
      <c r="MG161" s="29">
        <f t="shared" si="8"/>
        <v>0</v>
      </c>
      <c r="MH161" s="29">
        <f t="shared" si="8"/>
        <v>0</v>
      </c>
      <c r="MI161" s="29">
        <f t="shared" si="8"/>
        <v>0</v>
      </c>
      <c r="MJ161" s="29">
        <f t="shared" si="8"/>
        <v>0</v>
      </c>
      <c r="MK161" s="29">
        <f t="shared" si="8"/>
        <v>0</v>
      </c>
      <c r="ML161" s="29">
        <f t="shared" si="8"/>
        <v>0</v>
      </c>
      <c r="MM161" s="29">
        <f t="shared" si="8"/>
        <v>0</v>
      </c>
      <c r="MN161" s="29">
        <f t="shared" si="8"/>
        <v>0</v>
      </c>
      <c r="MO161" s="29">
        <f t="shared" si="8"/>
        <v>0</v>
      </c>
      <c r="MP161" s="29">
        <f t="shared" si="8"/>
        <v>0</v>
      </c>
      <c r="MQ161" s="29">
        <f t="shared" si="8"/>
        <v>0</v>
      </c>
      <c r="MR161" s="29">
        <f t="shared" si="8"/>
        <v>0</v>
      </c>
      <c r="MS161" s="23"/>
      <c r="MT161" s="29">
        <f t="shared" ref="MT161:OE161" si="9">SUM(MT5:MT159)</f>
        <v>0</v>
      </c>
      <c r="MU161" s="29">
        <f t="shared" si="9"/>
        <v>0</v>
      </c>
      <c r="MV161" s="29">
        <f t="shared" si="9"/>
        <v>0</v>
      </c>
      <c r="MW161" s="29">
        <f t="shared" si="9"/>
        <v>0</v>
      </c>
      <c r="MX161" s="29">
        <f t="shared" si="9"/>
        <v>0</v>
      </c>
      <c r="MY161" s="29">
        <f t="shared" si="9"/>
        <v>0</v>
      </c>
      <c r="MZ161" s="29">
        <f t="shared" si="9"/>
        <v>0</v>
      </c>
      <c r="NA161" s="29">
        <f t="shared" si="9"/>
        <v>0</v>
      </c>
      <c r="NB161" s="29">
        <f t="shared" si="9"/>
        <v>0</v>
      </c>
      <c r="NC161" s="29">
        <f t="shared" si="9"/>
        <v>0</v>
      </c>
      <c r="ND161" s="29">
        <f t="shared" si="9"/>
        <v>0</v>
      </c>
      <c r="NE161" s="29">
        <f t="shared" si="9"/>
        <v>0</v>
      </c>
      <c r="NF161" s="29">
        <f t="shared" si="9"/>
        <v>0</v>
      </c>
      <c r="NG161" s="29">
        <f t="shared" si="9"/>
        <v>0</v>
      </c>
      <c r="NH161" s="29">
        <f t="shared" si="9"/>
        <v>0</v>
      </c>
      <c r="NI161" s="29">
        <f t="shared" si="9"/>
        <v>0</v>
      </c>
      <c r="NJ161" s="29">
        <f t="shared" si="9"/>
        <v>0</v>
      </c>
      <c r="NK161" s="29">
        <f t="shared" si="9"/>
        <v>0</v>
      </c>
      <c r="NL161" s="29">
        <f t="shared" si="9"/>
        <v>0</v>
      </c>
      <c r="NM161" s="29">
        <f t="shared" si="9"/>
        <v>0</v>
      </c>
      <c r="NN161" s="29">
        <f t="shared" si="9"/>
        <v>0</v>
      </c>
      <c r="NO161" s="29">
        <f t="shared" si="9"/>
        <v>0</v>
      </c>
      <c r="NP161" s="29">
        <f t="shared" si="9"/>
        <v>0</v>
      </c>
      <c r="NQ161" s="29">
        <f t="shared" si="9"/>
        <v>0</v>
      </c>
      <c r="NR161" s="29">
        <f t="shared" si="9"/>
        <v>0</v>
      </c>
      <c r="NS161" s="29">
        <f t="shared" si="9"/>
        <v>0</v>
      </c>
      <c r="NT161" s="29">
        <f t="shared" si="9"/>
        <v>0</v>
      </c>
      <c r="NU161" s="29">
        <f t="shared" si="9"/>
        <v>0</v>
      </c>
      <c r="NV161" s="29">
        <f t="shared" si="9"/>
        <v>0</v>
      </c>
      <c r="NW161" s="29">
        <f t="shared" si="9"/>
        <v>0</v>
      </c>
      <c r="NX161" s="29">
        <f t="shared" si="9"/>
        <v>0</v>
      </c>
      <c r="NY161" s="29">
        <f t="shared" si="9"/>
        <v>0</v>
      </c>
      <c r="NZ161" s="29">
        <f t="shared" si="9"/>
        <v>0</v>
      </c>
      <c r="OA161" s="29">
        <f t="shared" si="9"/>
        <v>0</v>
      </c>
      <c r="OB161" s="29">
        <f t="shared" si="9"/>
        <v>0</v>
      </c>
      <c r="OC161" s="29">
        <f t="shared" si="9"/>
        <v>0</v>
      </c>
      <c r="OD161" s="29">
        <f t="shared" si="9"/>
        <v>0</v>
      </c>
      <c r="OE161" s="29">
        <f t="shared" si="9"/>
        <v>0</v>
      </c>
      <c r="OF161" s="23"/>
      <c r="OG161" s="29">
        <f t="shared" ref="OG161:PR161" si="10">SUM(OG5:OG159)</f>
        <v>0</v>
      </c>
      <c r="OH161" s="29">
        <f t="shared" si="10"/>
        <v>0</v>
      </c>
      <c r="OI161" s="29">
        <f t="shared" si="10"/>
        <v>0</v>
      </c>
      <c r="OJ161" s="29">
        <f t="shared" si="10"/>
        <v>0</v>
      </c>
      <c r="OK161" s="29">
        <f t="shared" si="10"/>
        <v>0</v>
      </c>
      <c r="OL161" s="29">
        <f t="shared" si="10"/>
        <v>0</v>
      </c>
      <c r="OM161" s="29">
        <f t="shared" si="10"/>
        <v>0</v>
      </c>
      <c r="ON161" s="29">
        <f t="shared" si="10"/>
        <v>0</v>
      </c>
      <c r="OO161" s="29">
        <f t="shared" si="10"/>
        <v>0</v>
      </c>
      <c r="OP161" s="29">
        <f t="shared" si="10"/>
        <v>0</v>
      </c>
      <c r="OQ161" s="29">
        <f t="shared" si="10"/>
        <v>0</v>
      </c>
      <c r="OR161" s="29">
        <f t="shared" si="10"/>
        <v>0</v>
      </c>
      <c r="OS161" s="29">
        <f t="shared" si="10"/>
        <v>0</v>
      </c>
      <c r="OT161" s="29">
        <f t="shared" si="10"/>
        <v>0</v>
      </c>
      <c r="OU161" s="29">
        <f t="shared" si="10"/>
        <v>0</v>
      </c>
      <c r="OV161" s="29">
        <f t="shared" si="10"/>
        <v>0</v>
      </c>
      <c r="OW161" s="29">
        <f t="shared" si="10"/>
        <v>0</v>
      </c>
      <c r="OX161" s="29">
        <f t="shared" si="10"/>
        <v>0</v>
      </c>
      <c r="OY161" s="29">
        <f t="shared" si="10"/>
        <v>0</v>
      </c>
      <c r="OZ161" s="29">
        <f t="shared" si="10"/>
        <v>0</v>
      </c>
      <c r="PA161" s="29">
        <f t="shared" si="10"/>
        <v>0</v>
      </c>
      <c r="PB161" s="29">
        <f t="shared" si="10"/>
        <v>0</v>
      </c>
      <c r="PC161" s="29">
        <f t="shared" si="10"/>
        <v>0</v>
      </c>
      <c r="PD161" s="29">
        <f t="shared" si="10"/>
        <v>0</v>
      </c>
      <c r="PE161" s="29">
        <f t="shared" si="10"/>
        <v>0</v>
      </c>
      <c r="PF161" s="29">
        <f t="shared" si="10"/>
        <v>0</v>
      </c>
      <c r="PG161" s="29">
        <f t="shared" si="10"/>
        <v>0</v>
      </c>
      <c r="PH161" s="29">
        <f t="shared" si="10"/>
        <v>0</v>
      </c>
      <c r="PI161" s="29">
        <f t="shared" si="10"/>
        <v>0</v>
      </c>
      <c r="PJ161" s="29">
        <f t="shared" si="10"/>
        <v>0</v>
      </c>
      <c r="PK161" s="29">
        <f t="shared" si="10"/>
        <v>0</v>
      </c>
      <c r="PL161" s="29">
        <f t="shared" si="10"/>
        <v>0</v>
      </c>
      <c r="PM161" s="29">
        <f t="shared" si="10"/>
        <v>0</v>
      </c>
      <c r="PN161" s="29">
        <f t="shared" si="10"/>
        <v>0</v>
      </c>
      <c r="PO161" s="29">
        <f t="shared" si="10"/>
        <v>0</v>
      </c>
      <c r="PP161" s="29">
        <f t="shared" si="10"/>
        <v>0</v>
      </c>
      <c r="PQ161" s="29">
        <f t="shared" si="10"/>
        <v>0</v>
      </c>
      <c r="PR161" s="29">
        <f t="shared" si="10"/>
        <v>0</v>
      </c>
    </row>
    <row r="162" spans="1:434" x14ac:dyDescent="0.25">
      <c r="A162" s="30"/>
      <c r="B162" s="31" t="s">
        <v>227</v>
      </c>
      <c r="C162" s="30"/>
      <c r="D162" s="30"/>
      <c r="F162" s="23"/>
      <c r="G162" s="32">
        <f t="shared" ref="G162:AR162" si="11">IFERROR(G161/40,0)</f>
        <v>0</v>
      </c>
      <c r="H162" s="32">
        <f t="shared" si="11"/>
        <v>0</v>
      </c>
      <c r="I162" s="32">
        <f t="shared" si="11"/>
        <v>0</v>
      </c>
      <c r="J162" s="32">
        <f t="shared" si="11"/>
        <v>0</v>
      </c>
      <c r="K162" s="32">
        <f t="shared" si="11"/>
        <v>0</v>
      </c>
      <c r="L162" s="32">
        <f t="shared" si="11"/>
        <v>0</v>
      </c>
      <c r="M162" s="32">
        <f t="shared" si="11"/>
        <v>0</v>
      </c>
      <c r="N162" s="32">
        <f t="shared" si="11"/>
        <v>0</v>
      </c>
      <c r="O162" s="32">
        <f t="shared" si="11"/>
        <v>0</v>
      </c>
      <c r="P162" s="32">
        <f t="shared" si="11"/>
        <v>0</v>
      </c>
      <c r="Q162" s="32">
        <f t="shared" si="11"/>
        <v>0</v>
      </c>
      <c r="R162" s="32">
        <f t="shared" si="11"/>
        <v>0</v>
      </c>
      <c r="S162" s="32">
        <f t="shared" si="11"/>
        <v>0</v>
      </c>
      <c r="T162" s="32">
        <f t="shared" si="11"/>
        <v>0</v>
      </c>
      <c r="U162" s="32">
        <f t="shared" si="11"/>
        <v>0</v>
      </c>
      <c r="V162" s="32">
        <f t="shared" si="11"/>
        <v>0</v>
      </c>
      <c r="W162" s="32">
        <f t="shared" si="11"/>
        <v>0</v>
      </c>
      <c r="X162" s="32">
        <f t="shared" si="11"/>
        <v>0</v>
      </c>
      <c r="Y162" s="32">
        <f t="shared" si="11"/>
        <v>0</v>
      </c>
      <c r="Z162" s="32">
        <f t="shared" si="11"/>
        <v>0</v>
      </c>
      <c r="AA162" s="32">
        <f t="shared" si="11"/>
        <v>0</v>
      </c>
      <c r="AB162" s="32">
        <f t="shared" si="11"/>
        <v>0</v>
      </c>
      <c r="AC162" s="32">
        <f t="shared" si="11"/>
        <v>0</v>
      </c>
      <c r="AD162" s="32">
        <f t="shared" si="11"/>
        <v>0</v>
      </c>
      <c r="AE162" s="32">
        <f t="shared" si="11"/>
        <v>0</v>
      </c>
      <c r="AF162" s="32">
        <f t="shared" si="11"/>
        <v>0</v>
      </c>
      <c r="AG162" s="32">
        <f t="shared" si="11"/>
        <v>0</v>
      </c>
      <c r="AH162" s="32">
        <f t="shared" si="11"/>
        <v>0</v>
      </c>
      <c r="AI162" s="32">
        <f t="shared" si="11"/>
        <v>0</v>
      </c>
      <c r="AJ162" s="32">
        <f t="shared" si="11"/>
        <v>0</v>
      </c>
      <c r="AK162" s="32">
        <f t="shared" si="11"/>
        <v>0</v>
      </c>
      <c r="AL162" s="32">
        <f t="shared" si="11"/>
        <v>0</v>
      </c>
      <c r="AM162" s="32">
        <f t="shared" si="11"/>
        <v>0</v>
      </c>
      <c r="AN162" s="32">
        <f t="shared" si="11"/>
        <v>0</v>
      </c>
      <c r="AO162" s="32">
        <f t="shared" si="11"/>
        <v>0</v>
      </c>
      <c r="AP162" s="32">
        <f t="shared" si="11"/>
        <v>0</v>
      </c>
      <c r="AQ162" s="32">
        <f t="shared" si="11"/>
        <v>0</v>
      </c>
      <c r="AR162" s="32">
        <f t="shared" si="11"/>
        <v>0</v>
      </c>
      <c r="AS162" s="23"/>
      <c r="AT162" s="32">
        <f t="shared" ref="AT162:CE162" si="12">IFERROR(AT161/80,0)</f>
        <v>0</v>
      </c>
      <c r="AU162" s="32">
        <f t="shared" si="12"/>
        <v>0</v>
      </c>
      <c r="AV162" s="32">
        <f t="shared" si="12"/>
        <v>0</v>
      </c>
      <c r="AW162" s="32">
        <f t="shared" si="12"/>
        <v>0</v>
      </c>
      <c r="AX162" s="32">
        <f t="shared" si="12"/>
        <v>0</v>
      </c>
      <c r="AY162" s="32">
        <f t="shared" si="12"/>
        <v>0</v>
      </c>
      <c r="AZ162" s="32">
        <f t="shared" si="12"/>
        <v>0</v>
      </c>
      <c r="BA162" s="32">
        <f t="shared" si="12"/>
        <v>0</v>
      </c>
      <c r="BB162" s="32">
        <f t="shared" si="12"/>
        <v>0</v>
      </c>
      <c r="BC162" s="32">
        <f t="shared" si="12"/>
        <v>0</v>
      </c>
      <c r="BD162" s="32">
        <f t="shared" si="12"/>
        <v>0</v>
      </c>
      <c r="BE162" s="32">
        <f t="shared" si="12"/>
        <v>0</v>
      </c>
      <c r="BF162" s="32">
        <f t="shared" si="12"/>
        <v>0</v>
      </c>
      <c r="BG162" s="32">
        <f t="shared" si="12"/>
        <v>0</v>
      </c>
      <c r="BH162" s="32">
        <f t="shared" si="12"/>
        <v>0</v>
      </c>
      <c r="BI162" s="32">
        <f t="shared" si="12"/>
        <v>0</v>
      </c>
      <c r="BJ162" s="32">
        <f t="shared" si="12"/>
        <v>0</v>
      </c>
      <c r="BK162" s="32">
        <f t="shared" si="12"/>
        <v>0</v>
      </c>
      <c r="BL162" s="32">
        <f t="shared" si="12"/>
        <v>0</v>
      </c>
      <c r="BM162" s="32">
        <f t="shared" si="12"/>
        <v>0</v>
      </c>
      <c r="BN162" s="32">
        <f t="shared" si="12"/>
        <v>0</v>
      </c>
      <c r="BO162" s="32">
        <f t="shared" si="12"/>
        <v>0</v>
      </c>
      <c r="BP162" s="32">
        <f t="shared" si="12"/>
        <v>0</v>
      </c>
      <c r="BQ162" s="32">
        <f t="shared" si="12"/>
        <v>0</v>
      </c>
      <c r="BR162" s="32">
        <f t="shared" si="12"/>
        <v>0</v>
      </c>
      <c r="BS162" s="32">
        <f t="shared" si="12"/>
        <v>0</v>
      </c>
      <c r="BT162" s="32">
        <f t="shared" si="12"/>
        <v>0</v>
      </c>
      <c r="BU162" s="32">
        <f t="shared" si="12"/>
        <v>0</v>
      </c>
      <c r="BV162" s="32">
        <f t="shared" si="12"/>
        <v>0</v>
      </c>
      <c r="BW162" s="32">
        <f t="shared" si="12"/>
        <v>0</v>
      </c>
      <c r="BX162" s="32">
        <f t="shared" si="12"/>
        <v>0</v>
      </c>
      <c r="BY162" s="32">
        <f t="shared" si="12"/>
        <v>0</v>
      </c>
      <c r="BZ162" s="32">
        <f t="shared" si="12"/>
        <v>0</v>
      </c>
      <c r="CA162" s="32">
        <f t="shared" si="12"/>
        <v>0</v>
      </c>
      <c r="CB162" s="32">
        <f t="shared" si="12"/>
        <v>0</v>
      </c>
      <c r="CC162" s="32">
        <f t="shared" si="12"/>
        <v>0</v>
      </c>
      <c r="CD162" s="32">
        <f t="shared" si="12"/>
        <v>0</v>
      </c>
      <c r="CE162" s="32">
        <f t="shared" si="12"/>
        <v>0</v>
      </c>
      <c r="CF162" s="23"/>
      <c r="CG162" s="32">
        <f t="shared" ref="CG162:DR162" si="13">IFERROR(CG161/80,0)</f>
        <v>0</v>
      </c>
      <c r="CH162" s="32">
        <f t="shared" si="13"/>
        <v>0</v>
      </c>
      <c r="CI162" s="32">
        <f t="shared" si="13"/>
        <v>0</v>
      </c>
      <c r="CJ162" s="32">
        <f t="shared" si="13"/>
        <v>0</v>
      </c>
      <c r="CK162" s="32">
        <f t="shared" si="13"/>
        <v>0</v>
      </c>
      <c r="CL162" s="32">
        <f t="shared" si="13"/>
        <v>0</v>
      </c>
      <c r="CM162" s="32">
        <f t="shared" si="13"/>
        <v>0</v>
      </c>
      <c r="CN162" s="32">
        <f t="shared" si="13"/>
        <v>0</v>
      </c>
      <c r="CO162" s="32">
        <f t="shared" si="13"/>
        <v>0</v>
      </c>
      <c r="CP162" s="32">
        <f t="shared" si="13"/>
        <v>0</v>
      </c>
      <c r="CQ162" s="32">
        <f t="shared" si="13"/>
        <v>0.1875</v>
      </c>
      <c r="CR162" s="32">
        <f t="shared" si="13"/>
        <v>0</v>
      </c>
      <c r="CS162" s="32">
        <f t="shared" si="13"/>
        <v>0</v>
      </c>
      <c r="CT162" s="32">
        <f t="shared" si="13"/>
        <v>7.3125</v>
      </c>
      <c r="CU162" s="32">
        <f t="shared" si="13"/>
        <v>0.47499999999999998</v>
      </c>
      <c r="CV162" s="32">
        <f t="shared" si="13"/>
        <v>4.9625000000000004</v>
      </c>
      <c r="CW162" s="32">
        <f t="shared" si="13"/>
        <v>0</v>
      </c>
      <c r="CX162" s="32">
        <f t="shared" si="13"/>
        <v>0.7</v>
      </c>
      <c r="CY162" s="32">
        <f t="shared" si="13"/>
        <v>0</v>
      </c>
      <c r="CZ162" s="32">
        <f t="shared" si="13"/>
        <v>2.1875</v>
      </c>
      <c r="DA162" s="32">
        <f t="shared" si="13"/>
        <v>6.65</v>
      </c>
      <c r="DB162" s="32">
        <f t="shared" si="13"/>
        <v>0</v>
      </c>
      <c r="DC162" s="32">
        <f t="shared" si="13"/>
        <v>1.0625</v>
      </c>
      <c r="DD162" s="32">
        <f t="shared" si="13"/>
        <v>3</v>
      </c>
      <c r="DE162" s="32">
        <f t="shared" si="13"/>
        <v>2.8250000000000002</v>
      </c>
      <c r="DF162" s="32">
        <f t="shared" si="13"/>
        <v>4.1875</v>
      </c>
      <c r="DG162" s="32">
        <f t="shared" si="13"/>
        <v>2.2875000000000001</v>
      </c>
      <c r="DH162" s="32">
        <f t="shared" si="13"/>
        <v>4.3624999999999998</v>
      </c>
      <c r="DI162" s="32">
        <f t="shared" si="13"/>
        <v>2.9</v>
      </c>
      <c r="DJ162" s="32">
        <f t="shared" si="13"/>
        <v>0</v>
      </c>
      <c r="DK162" s="32">
        <f t="shared" si="13"/>
        <v>0</v>
      </c>
      <c r="DL162" s="32">
        <f t="shared" si="13"/>
        <v>25.625</v>
      </c>
      <c r="DM162" s="32">
        <f t="shared" si="13"/>
        <v>0</v>
      </c>
      <c r="DN162" s="32">
        <f t="shared" si="13"/>
        <v>0</v>
      </c>
      <c r="DO162" s="32">
        <f t="shared" si="13"/>
        <v>0</v>
      </c>
      <c r="DP162" s="32">
        <f t="shared" si="13"/>
        <v>0</v>
      </c>
      <c r="DQ162" s="32">
        <f t="shared" si="13"/>
        <v>1.7</v>
      </c>
      <c r="DR162" s="32">
        <f t="shared" si="13"/>
        <v>0</v>
      </c>
      <c r="DS162" s="23"/>
      <c r="DT162" s="32">
        <f t="shared" ref="DT162:FE162" si="14">IFERROR(DT161/120,0)</f>
        <v>0</v>
      </c>
      <c r="DU162" s="32">
        <f t="shared" si="14"/>
        <v>0</v>
      </c>
      <c r="DV162" s="32">
        <f t="shared" si="14"/>
        <v>0</v>
      </c>
      <c r="DW162" s="32">
        <f t="shared" si="14"/>
        <v>0</v>
      </c>
      <c r="DX162" s="32">
        <f t="shared" si="14"/>
        <v>0</v>
      </c>
      <c r="DY162" s="32">
        <f t="shared" si="14"/>
        <v>0</v>
      </c>
      <c r="DZ162" s="32">
        <f t="shared" si="14"/>
        <v>0</v>
      </c>
      <c r="EA162" s="32">
        <f t="shared" si="14"/>
        <v>0</v>
      </c>
      <c r="EB162" s="32">
        <f t="shared" si="14"/>
        <v>0</v>
      </c>
      <c r="EC162" s="32">
        <f t="shared" si="14"/>
        <v>0</v>
      </c>
      <c r="ED162" s="32">
        <f t="shared" si="14"/>
        <v>0</v>
      </c>
      <c r="EE162" s="32">
        <f t="shared" si="14"/>
        <v>0</v>
      </c>
      <c r="EF162" s="32">
        <f t="shared" si="14"/>
        <v>0</v>
      </c>
      <c r="EG162" s="32">
        <f t="shared" si="14"/>
        <v>0</v>
      </c>
      <c r="EH162" s="32">
        <f t="shared" si="14"/>
        <v>0</v>
      </c>
      <c r="EI162" s="32">
        <f t="shared" si="14"/>
        <v>0</v>
      </c>
      <c r="EJ162" s="32">
        <f t="shared" si="14"/>
        <v>0</v>
      </c>
      <c r="EK162" s="32">
        <f t="shared" si="14"/>
        <v>0</v>
      </c>
      <c r="EL162" s="32">
        <f t="shared" si="14"/>
        <v>0</v>
      </c>
      <c r="EM162" s="32">
        <f t="shared" si="14"/>
        <v>0</v>
      </c>
      <c r="EN162" s="32">
        <f t="shared" si="14"/>
        <v>0</v>
      </c>
      <c r="EO162" s="32">
        <f t="shared" si="14"/>
        <v>0</v>
      </c>
      <c r="EP162" s="32">
        <f t="shared" si="14"/>
        <v>0</v>
      </c>
      <c r="EQ162" s="32">
        <f t="shared" si="14"/>
        <v>0</v>
      </c>
      <c r="ER162" s="32">
        <f t="shared" si="14"/>
        <v>0</v>
      </c>
      <c r="ES162" s="32">
        <f t="shared" si="14"/>
        <v>0</v>
      </c>
      <c r="ET162" s="32">
        <f t="shared" si="14"/>
        <v>0</v>
      </c>
      <c r="EU162" s="32">
        <f t="shared" si="14"/>
        <v>0</v>
      </c>
      <c r="EV162" s="32">
        <f t="shared" si="14"/>
        <v>0</v>
      </c>
      <c r="EW162" s="32">
        <f t="shared" si="14"/>
        <v>0</v>
      </c>
      <c r="EX162" s="32">
        <f t="shared" si="14"/>
        <v>0</v>
      </c>
      <c r="EY162" s="32">
        <f t="shared" si="14"/>
        <v>0</v>
      </c>
      <c r="EZ162" s="32">
        <f t="shared" si="14"/>
        <v>0</v>
      </c>
      <c r="FA162" s="32">
        <f t="shared" si="14"/>
        <v>0</v>
      </c>
      <c r="FB162" s="32">
        <f t="shared" si="14"/>
        <v>0</v>
      </c>
      <c r="FC162" s="32">
        <f t="shared" si="14"/>
        <v>0</v>
      </c>
      <c r="FD162" s="32">
        <f t="shared" si="14"/>
        <v>0</v>
      </c>
      <c r="FE162" s="32">
        <f t="shared" si="14"/>
        <v>0</v>
      </c>
      <c r="FF162" s="23"/>
      <c r="FG162" s="32">
        <f t="shared" ref="FG162:GR162" si="15">IFERROR(FG161/80,0)</f>
        <v>0</v>
      </c>
      <c r="FH162" s="32">
        <f t="shared" si="15"/>
        <v>0</v>
      </c>
      <c r="FI162" s="32">
        <f t="shared" si="15"/>
        <v>0</v>
      </c>
      <c r="FJ162" s="32">
        <f t="shared" si="15"/>
        <v>0</v>
      </c>
      <c r="FK162" s="32">
        <f t="shared" si="15"/>
        <v>0</v>
      </c>
      <c r="FL162" s="32">
        <f t="shared" si="15"/>
        <v>0</v>
      </c>
      <c r="FM162" s="32">
        <f t="shared" si="15"/>
        <v>0</v>
      </c>
      <c r="FN162" s="32">
        <f t="shared" si="15"/>
        <v>0</v>
      </c>
      <c r="FO162" s="32">
        <f t="shared" si="15"/>
        <v>0</v>
      </c>
      <c r="FP162" s="32">
        <f t="shared" si="15"/>
        <v>0</v>
      </c>
      <c r="FQ162" s="32">
        <f t="shared" si="15"/>
        <v>0</v>
      </c>
      <c r="FR162" s="32">
        <f t="shared" si="15"/>
        <v>0</v>
      </c>
      <c r="FS162" s="32">
        <f t="shared" si="15"/>
        <v>0</v>
      </c>
      <c r="FT162" s="32">
        <f t="shared" si="15"/>
        <v>0</v>
      </c>
      <c r="FU162" s="32">
        <f t="shared" si="15"/>
        <v>0</v>
      </c>
      <c r="FV162" s="32">
        <f t="shared" si="15"/>
        <v>0</v>
      </c>
      <c r="FW162" s="32">
        <f t="shared" si="15"/>
        <v>0</v>
      </c>
      <c r="FX162" s="32">
        <f t="shared" si="15"/>
        <v>0</v>
      </c>
      <c r="FY162" s="32">
        <f t="shared" si="15"/>
        <v>0</v>
      </c>
      <c r="FZ162" s="32">
        <f t="shared" si="15"/>
        <v>0</v>
      </c>
      <c r="GA162" s="32">
        <f t="shared" si="15"/>
        <v>0</v>
      </c>
      <c r="GB162" s="32">
        <f t="shared" si="15"/>
        <v>0</v>
      </c>
      <c r="GC162" s="32">
        <f t="shared" si="15"/>
        <v>0</v>
      </c>
      <c r="GD162" s="32">
        <f t="shared" si="15"/>
        <v>0</v>
      </c>
      <c r="GE162" s="32">
        <f t="shared" si="15"/>
        <v>0</v>
      </c>
      <c r="GF162" s="32">
        <f t="shared" si="15"/>
        <v>0</v>
      </c>
      <c r="GG162" s="32">
        <f t="shared" si="15"/>
        <v>0</v>
      </c>
      <c r="GH162" s="32">
        <f t="shared" si="15"/>
        <v>0</v>
      </c>
      <c r="GI162" s="32">
        <f t="shared" si="15"/>
        <v>0</v>
      </c>
      <c r="GJ162" s="32">
        <f t="shared" si="15"/>
        <v>0</v>
      </c>
      <c r="GK162" s="32">
        <f t="shared" si="15"/>
        <v>0</v>
      </c>
      <c r="GL162" s="32">
        <f t="shared" si="15"/>
        <v>0</v>
      </c>
      <c r="GM162" s="32">
        <f t="shared" si="15"/>
        <v>0</v>
      </c>
      <c r="GN162" s="32">
        <f t="shared" si="15"/>
        <v>0</v>
      </c>
      <c r="GO162" s="32">
        <f t="shared" si="15"/>
        <v>0</v>
      </c>
      <c r="GP162" s="32">
        <f t="shared" si="15"/>
        <v>0</v>
      </c>
      <c r="GQ162" s="32">
        <f t="shared" si="15"/>
        <v>0</v>
      </c>
      <c r="GR162" s="32">
        <f t="shared" si="15"/>
        <v>0</v>
      </c>
      <c r="GS162" s="23"/>
      <c r="GT162" s="32">
        <f t="shared" ref="GT162:IE162" si="16">IFERROR(GT161/40,0)</f>
        <v>0</v>
      </c>
      <c r="GU162" s="32">
        <f t="shared" si="16"/>
        <v>0</v>
      </c>
      <c r="GV162" s="32">
        <f t="shared" si="16"/>
        <v>0</v>
      </c>
      <c r="GW162" s="32">
        <f t="shared" si="16"/>
        <v>0</v>
      </c>
      <c r="GX162" s="32">
        <f t="shared" si="16"/>
        <v>0</v>
      </c>
      <c r="GY162" s="32">
        <f t="shared" si="16"/>
        <v>0</v>
      </c>
      <c r="GZ162" s="32">
        <f t="shared" si="16"/>
        <v>0</v>
      </c>
      <c r="HA162" s="32">
        <f t="shared" si="16"/>
        <v>0</v>
      </c>
      <c r="HB162" s="32">
        <f t="shared" si="16"/>
        <v>0</v>
      </c>
      <c r="HC162" s="32">
        <f t="shared" si="16"/>
        <v>0</v>
      </c>
      <c r="HD162" s="32">
        <f t="shared" si="16"/>
        <v>0</v>
      </c>
      <c r="HE162" s="32">
        <f t="shared" si="16"/>
        <v>0</v>
      </c>
      <c r="HF162" s="32">
        <f t="shared" si="16"/>
        <v>0</v>
      </c>
      <c r="HG162" s="32">
        <f t="shared" si="16"/>
        <v>0</v>
      </c>
      <c r="HH162" s="32">
        <f t="shared" si="16"/>
        <v>0</v>
      </c>
      <c r="HI162" s="32">
        <f t="shared" si="16"/>
        <v>0</v>
      </c>
      <c r="HJ162" s="32">
        <f t="shared" si="16"/>
        <v>0</v>
      </c>
      <c r="HK162" s="32">
        <f t="shared" si="16"/>
        <v>0</v>
      </c>
      <c r="HL162" s="32">
        <f t="shared" si="16"/>
        <v>0</v>
      </c>
      <c r="HM162" s="32">
        <f t="shared" si="16"/>
        <v>0</v>
      </c>
      <c r="HN162" s="32">
        <f t="shared" si="16"/>
        <v>0</v>
      </c>
      <c r="HO162" s="32">
        <f t="shared" si="16"/>
        <v>0</v>
      </c>
      <c r="HP162" s="32">
        <f t="shared" si="16"/>
        <v>0</v>
      </c>
      <c r="HQ162" s="32">
        <f t="shared" si="16"/>
        <v>0</v>
      </c>
      <c r="HR162" s="32">
        <f t="shared" si="16"/>
        <v>0</v>
      </c>
      <c r="HS162" s="32">
        <f t="shared" si="16"/>
        <v>0</v>
      </c>
      <c r="HT162" s="32">
        <f t="shared" si="16"/>
        <v>0</v>
      </c>
      <c r="HU162" s="32">
        <f t="shared" si="16"/>
        <v>0</v>
      </c>
      <c r="HV162" s="32">
        <f t="shared" si="16"/>
        <v>0</v>
      </c>
      <c r="HW162" s="32">
        <f t="shared" si="16"/>
        <v>0</v>
      </c>
      <c r="HX162" s="32">
        <f t="shared" si="16"/>
        <v>0</v>
      </c>
      <c r="HY162" s="32">
        <f t="shared" si="16"/>
        <v>0</v>
      </c>
      <c r="HZ162" s="32">
        <f t="shared" si="16"/>
        <v>0</v>
      </c>
      <c r="IA162" s="32">
        <f t="shared" si="16"/>
        <v>0</v>
      </c>
      <c r="IB162" s="32">
        <f t="shared" si="16"/>
        <v>0</v>
      </c>
      <c r="IC162" s="32">
        <f t="shared" si="16"/>
        <v>0</v>
      </c>
      <c r="ID162" s="32">
        <f t="shared" si="16"/>
        <v>0</v>
      </c>
      <c r="IE162" s="32">
        <f t="shared" si="16"/>
        <v>0</v>
      </c>
      <c r="IF162" s="23"/>
      <c r="IG162" s="32">
        <f t="shared" ref="IG162:JR162" si="17">IFERROR(IG161/30,0)</f>
        <v>0</v>
      </c>
      <c r="IH162" s="32">
        <f t="shared" si="17"/>
        <v>0</v>
      </c>
      <c r="II162" s="32">
        <f t="shared" si="17"/>
        <v>0</v>
      </c>
      <c r="IJ162" s="32">
        <f t="shared" si="17"/>
        <v>0</v>
      </c>
      <c r="IK162" s="32">
        <f t="shared" si="17"/>
        <v>0</v>
      </c>
      <c r="IL162" s="32">
        <f t="shared" si="17"/>
        <v>0</v>
      </c>
      <c r="IM162" s="32">
        <f t="shared" si="17"/>
        <v>0</v>
      </c>
      <c r="IN162" s="32">
        <f t="shared" si="17"/>
        <v>0</v>
      </c>
      <c r="IO162" s="32">
        <f t="shared" si="17"/>
        <v>0</v>
      </c>
      <c r="IP162" s="32">
        <f t="shared" si="17"/>
        <v>0</v>
      </c>
      <c r="IQ162" s="32">
        <f t="shared" si="17"/>
        <v>0</v>
      </c>
      <c r="IR162" s="32">
        <f t="shared" si="17"/>
        <v>0</v>
      </c>
      <c r="IS162" s="32">
        <f t="shared" si="17"/>
        <v>0</v>
      </c>
      <c r="IT162" s="32">
        <f t="shared" si="17"/>
        <v>0</v>
      </c>
      <c r="IU162" s="32">
        <f t="shared" si="17"/>
        <v>0</v>
      </c>
      <c r="IV162" s="32">
        <f t="shared" si="17"/>
        <v>0</v>
      </c>
      <c r="IW162" s="32">
        <f t="shared" si="17"/>
        <v>0</v>
      </c>
      <c r="IX162" s="32">
        <f t="shared" si="17"/>
        <v>0</v>
      </c>
      <c r="IY162" s="32">
        <f t="shared" si="17"/>
        <v>0</v>
      </c>
      <c r="IZ162" s="32">
        <f t="shared" si="17"/>
        <v>0</v>
      </c>
      <c r="JA162" s="32">
        <f t="shared" si="17"/>
        <v>0</v>
      </c>
      <c r="JB162" s="32">
        <f t="shared" si="17"/>
        <v>0</v>
      </c>
      <c r="JC162" s="32">
        <f t="shared" si="17"/>
        <v>0</v>
      </c>
      <c r="JD162" s="32">
        <f t="shared" si="17"/>
        <v>0</v>
      </c>
      <c r="JE162" s="32">
        <f t="shared" si="17"/>
        <v>0</v>
      </c>
      <c r="JF162" s="32">
        <f t="shared" si="17"/>
        <v>0</v>
      </c>
      <c r="JG162" s="32">
        <f t="shared" si="17"/>
        <v>0</v>
      </c>
      <c r="JH162" s="32">
        <f t="shared" si="17"/>
        <v>0</v>
      </c>
      <c r="JI162" s="32">
        <f t="shared" si="17"/>
        <v>0</v>
      </c>
      <c r="JJ162" s="32">
        <f t="shared" si="17"/>
        <v>0</v>
      </c>
      <c r="JK162" s="32">
        <f t="shared" si="17"/>
        <v>0</v>
      </c>
      <c r="JL162" s="32">
        <f t="shared" si="17"/>
        <v>0</v>
      </c>
      <c r="JM162" s="32">
        <f t="shared" si="17"/>
        <v>0</v>
      </c>
      <c r="JN162" s="32">
        <f t="shared" si="17"/>
        <v>0</v>
      </c>
      <c r="JO162" s="32">
        <f t="shared" si="17"/>
        <v>0</v>
      </c>
      <c r="JP162" s="32">
        <f t="shared" si="17"/>
        <v>0</v>
      </c>
      <c r="JQ162" s="32">
        <f t="shared" si="17"/>
        <v>0</v>
      </c>
      <c r="JR162" s="32">
        <f t="shared" si="17"/>
        <v>0</v>
      </c>
      <c r="JS162" s="23"/>
      <c r="JT162" s="32">
        <f t="shared" ref="JT162:LE162" si="18">IFERROR(JT161/20,0)</f>
        <v>0</v>
      </c>
      <c r="JU162" s="32">
        <f t="shared" si="18"/>
        <v>0</v>
      </c>
      <c r="JV162" s="32">
        <f t="shared" si="18"/>
        <v>0</v>
      </c>
      <c r="JW162" s="32">
        <f t="shared" si="18"/>
        <v>0</v>
      </c>
      <c r="JX162" s="32">
        <f t="shared" si="18"/>
        <v>0</v>
      </c>
      <c r="JY162" s="32">
        <f t="shared" si="18"/>
        <v>0</v>
      </c>
      <c r="JZ162" s="32">
        <f t="shared" si="18"/>
        <v>0</v>
      </c>
      <c r="KA162" s="32">
        <f t="shared" si="18"/>
        <v>0</v>
      </c>
      <c r="KB162" s="32">
        <f t="shared" si="18"/>
        <v>0</v>
      </c>
      <c r="KC162" s="32">
        <f t="shared" si="18"/>
        <v>0</v>
      </c>
      <c r="KD162" s="32">
        <f t="shared" si="18"/>
        <v>0</v>
      </c>
      <c r="KE162" s="32">
        <f t="shared" si="18"/>
        <v>0</v>
      </c>
      <c r="KF162" s="32">
        <f t="shared" si="18"/>
        <v>0</v>
      </c>
      <c r="KG162" s="32">
        <f t="shared" si="18"/>
        <v>0</v>
      </c>
      <c r="KH162" s="32">
        <f t="shared" si="18"/>
        <v>0</v>
      </c>
      <c r="KI162" s="32">
        <f t="shared" si="18"/>
        <v>0</v>
      </c>
      <c r="KJ162" s="32">
        <f t="shared" si="18"/>
        <v>0</v>
      </c>
      <c r="KK162" s="32">
        <f t="shared" si="18"/>
        <v>0</v>
      </c>
      <c r="KL162" s="32">
        <f t="shared" si="18"/>
        <v>0</v>
      </c>
      <c r="KM162" s="32">
        <f t="shared" si="18"/>
        <v>0</v>
      </c>
      <c r="KN162" s="32">
        <f t="shared" si="18"/>
        <v>0</v>
      </c>
      <c r="KO162" s="32">
        <f t="shared" si="18"/>
        <v>0</v>
      </c>
      <c r="KP162" s="32">
        <f t="shared" si="18"/>
        <v>0</v>
      </c>
      <c r="KQ162" s="32">
        <f t="shared" si="18"/>
        <v>0</v>
      </c>
      <c r="KR162" s="32">
        <f t="shared" si="18"/>
        <v>0</v>
      </c>
      <c r="KS162" s="32">
        <f t="shared" si="18"/>
        <v>0</v>
      </c>
      <c r="KT162" s="32">
        <f t="shared" si="18"/>
        <v>0</v>
      </c>
      <c r="KU162" s="32">
        <f t="shared" si="18"/>
        <v>0</v>
      </c>
      <c r="KV162" s="32">
        <f t="shared" si="18"/>
        <v>0</v>
      </c>
      <c r="KW162" s="32">
        <f t="shared" si="18"/>
        <v>0</v>
      </c>
      <c r="KX162" s="32">
        <f t="shared" si="18"/>
        <v>0</v>
      </c>
      <c r="KY162" s="32">
        <f t="shared" si="18"/>
        <v>0</v>
      </c>
      <c r="KZ162" s="32">
        <f t="shared" si="18"/>
        <v>0</v>
      </c>
      <c r="LA162" s="32">
        <f t="shared" si="18"/>
        <v>0</v>
      </c>
      <c r="LB162" s="32">
        <f t="shared" si="18"/>
        <v>0</v>
      </c>
      <c r="LC162" s="32">
        <f t="shared" si="18"/>
        <v>0</v>
      </c>
      <c r="LD162" s="32">
        <f t="shared" si="18"/>
        <v>0</v>
      </c>
      <c r="LE162" s="32">
        <f t="shared" si="18"/>
        <v>0</v>
      </c>
      <c r="LF162" s="23"/>
      <c r="LG162" s="32">
        <f t="shared" ref="LG162:MR162" si="19">IFERROR(LG161/30,0)</f>
        <v>0</v>
      </c>
      <c r="LH162" s="32">
        <f t="shared" si="19"/>
        <v>0</v>
      </c>
      <c r="LI162" s="32">
        <f t="shared" si="19"/>
        <v>0</v>
      </c>
      <c r="LJ162" s="32">
        <f t="shared" si="19"/>
        <v>0</v>
      </c>
      <c r="LK162" s="32">
        <f t="shared" si="19"/>
        <v>0</v>
      </c>
      <c r="LL162" s="32">
        <f t="shared" si="19"/>
        <v>0</v>
      </c>
      <c r="LM162" s="32">
        <f t="shared" si="19"/>
        <v>0</v>
      </c>
      <c r="LN162" s="32">
        <f t="shared" si="19"/>
        <v>0</v>
      </c>
      <c r="LO162" s="32">
        <f t="shared" si="19"/>
        <v>0</v>
      </c>
      <c r="LP162" s="32">
        <f t="shared" si="19"/>
        <v>0</v>
      </c>
      <c r="LQ162" s="32">
        <f t="shared" si="19"/>
        <v>0</v>
      </c>
      <c r="LR162" s="32">
        <f t="shared" si="19"/>
        <v>0</v>
      </c>
      <c r="LS162" s="32">
        <f t="shared" si="19"/>
        <v>0</v>
      </c>
      <c r="LT162" s="32">
        <f t="shared" si="19"/>
        <v>0</v>
      </c>
      <c r="LU162" s="32">
        <f t="shared" si="19"/>
        <v>0</v>
      </c>
      <c r="LV162" s="32">
        <f t="shared" si="19"/>
        <v>0</v>
      </c>
      <c r="LW162" s="32">
        <f t="shared" si="19"/>
        <v>0</v>
      </c>
      <c r="LX162" s="32">
        <f t="shared" si="19"/>
        <v>0</v>
      </c>
      <c r="LY162" s="32">
        <f t="shared" si="19"/>
        <v>0</v>
      </c>
      <c r="LZ162" s="32">
        <f t="shared" si="19"/>
        <v>0</v>
      </c>
      <c r="MA162" s="32">
        <f t="shared" si="19"/>
        <v>0</v>
      </c>
      <c r="MB162" s="32">
        <f t="shared" si="19"/>
        <v>0</v>
      </c>
      <c r="MC162" s="32">
        <f t="shared" si="19"/>
        <v>0</v>
      </c>
      <c r="MD162" s="32">
        <f t="shared" si="19"/>
        <v>0</v>
      </c>
      <c r="ME162" s="32">
        <f t="shared" si="19"/>
        <v>0</v>
      </c>
      <c r="MF162" s="32">
        <f t="shared" si="19"/>
        <v>0</v>
      </c>
      <c r="MG162" s="32">
        <f t="shared" si="19"/>
        <v>0</v>
      </c>
      <c r="MH162" s="32">
        <f t="shared" si="19"/>
        <v>0</v>
      </c>
      <c r="MI162" s="32">
        <f t="shared" si="19"/>
        <v>0</v>
      </c>
      <c r="MJ162" s="32">
        <f t="shared" si="19"/>
        <v>0</v>
      </c>
      <c r="MK162" s="32">
        <f t="shared" si="19"/>
        <v>0</v>
      </c>
      <c r="ML162" s="32">
        <f t="shared" si="19"/>
        <v>0</v>
      </c>
      <c r="MM162" s="32">
        <f t="shared" si="19"/>
        <v>0</v>
      </c>
      <c r="MN162" s="32">
        <f t="shared" si="19"/>
        <v>0</v>
      </c>
      <c r="MO162" s="32">
        <f t="shared" si="19"/>
        <v>0</v>
      </c>
      <c r="MP162" s="32">
        <f t="shared" si="19"/>
        <v>0</v>
      </c>
      <c r="MQ162" s="32">
        <f t="shared" si="19"/>
        <v>0</v>
      </c>
      <c r="MR162" s="32">
        <f t="shared" si="19"/>
        <v>0</v>
      </c>
      <c r="MS162" s="23"/>
      <c r="MT162" s="32">
        <f t="shared" ref="MT162:OE162" si="20">IFERROR(MT161/120,0)</f>
        <v>0</v>
      </c>
      <c r="MU162" s="32">
        <f t="shared" si="20"/>
        <v>0</v>
      </c>
      <c r="MV162" s="32">
        <f t="shared" si="20"/>
        <v>0</v>
      </c>
      <c r="MW162" s="32">
        <f t="shared" si="20"/>
        <v>0</v>
      </c>
      <c r="MX162" s="32">
        <f t="shared" si="20"/>
        <v>0</v>
      </c>
      <c r="MY162" s="32">
        <f t="shared" si="20"/>
        <v>0</v>
      </c>
      <c r="MZ162" s="32">
        <f t="shared" si="20"/>
        <v>0</v>
      </c>
      <c r="NA162" s="32">
        <f t="shared" si="20"/>
        <v>0</v>
      </c>
      <c r="NB162" s="32">
        <f t="shared" si="20"/>
        <v>0</v>
      </c>
      <c r="NC162" s="32">
        <f t="shared" si="20"/>
        <v>0</v>
      </c>
      <c r="ND162" s="32">
        <f t="shared" si="20"/>
        <v>0</v>
      </c>
      <c r="NE162" s="32">
        <f t="shared" si="20"/>
        <v>0</v>
      </c>
      <c r="NF162" s="32">
        <f t="shared" si="20"/>
        <v>0</v>
      </c>
      <c r="NG162" s="32">
        <f t="shared" si="20"/>
        <v>0</v>
      </c>
      <c r="NH162" s="32">
        <f t="shared" si="20"/>
        <v>0</v>
      </c>
      <c r="NI162" s="32">
        <f t="shared" si="20"/>
        <v>0</v>
      </c>
      <c r="NJ162" s="32">
        <f t="shared" si="20"/>
        <v>0</v>
      </c>
      <c r="NK162" s="32">
        <f t="shared" si="20"/>
        <v>0</v>
      </c>
      <c r="NL162" s="32">
        <f t="shared" si="20"/>
        <v>0</v>
      </c>
      <c r="NM162" s="32">
        <f t="shared" si="20"/>
        <v>0</v>
      </c>
      <c r="NN162" s="32">
        <f t="shared" si="20"/>
        <v>0</v>
      </c>
      <c r="NO162" s="32">
        <f t="shared" si="20"/>
        <v>0</v>
      </c>
      <c r="NP162" s="32">
        <f t="shared" si="20"/>
        <v>0</v>
      </c>
      <c r="NQ162" s="32">
        <f t="shared" si="20"/>
        <v>0</v>
      </c>
      <c r="NR162" s="32">
        <f t="shared" si="20"/>
        <v>0</v>
      </c>
      <c r="NS162" s="32">
        <f t="shared" si="20"/>
        <v>0</v>
      </c>
      <c r="NT162" s="32">
        <f t="shared" si="20"/>
        <v>0</v>
      </c>
      <c r="NU162" s="32">
        <f t="shared" si="20"/>
        <v>0</v>
      </c>
      <c r="NV162" s="32">
        <f t="shared" si="20"/>
        <v>0</v>
      </c>
      <c r="NW162" s="32">
        <f t="shared" si="20"/>
        <v>0</v>
      </c>
      <c r="NX162" s="32">
        <f t="shared" si="20"/>
        <v>0</v>
      </c>
      <c r="NY162" s="32">
        <f t="shared" si="20"/>
        <v>0</v>
      </c>
      <c r="NZ162" s="32">
        <f t="shared" si="20"/>
        <v>0</v>
      </c>
      <c r="OA162" s="32">
        <f t="shared" si="20"/>
        <v>0</v>
      </c>
      <c r="OB162" s="32">
        <f t="shared" si="20"/>
        <v>0</v>
      </c>
      <c r="OC162" s="32">
        <f t="shared" si="20"/>
        <v>0</v>
      </c>
      <c r="OD162" s="32">
        <f t="shared" si="20"/>
        <v>0</v>
      </c>
      <c r="OE162" s="32">
        <f t="shared" si="20"/>
        <v>0</v>
      </c>
      <c r="OF162" s="23"/>
      <c r="OG162" s="32">
        <f t="shared" ref="OG162:PR162" si="21">IFERROR(OG161/120,0)</f>
        <v>0</v>
      </c>
      <c r="OH162" s="32">
        <f t="shared" si="21"/>
        <v>0</v>
      </c>
      <c r="OI162" s="32">
        <f t="shared" si="21"/>
        <v>0</v>
      </c>
      <c r="OJ162" s="32">
        <f t="shared" si="21"/>
        <v>0</v>
      </c>
      <c r="OK162" s="32">
        <f t="shared" si="21"/>
        <v>0</v>
      </c>
      <c r="OL162" s="32">
        <f t="shared" si="21"/>
        <v>0</v>
      </c>
      <c r="OM162" s="32">
        <f t="shared" si="21"/>
        <v>0</v>
      </c>
      <c r="ON162" s="32">
        <f t="shared" si="21"/>
        <v>0</v>
      </c>
      <c r="OO162" s="32">
        <f t="shared" si="21"/>
        <v>0</v>
      </c>
      <c r="OP162" s="32">
        <f t="shared" si="21"/>
        <v>0</v>
      </c>
      <c r="OQ162" s="32">
        <f t="shared" si="21"/>
        <v>0</v>
      </c>
      <c r="OR162" s="32">
        <f t="shared" si="21"/>
        <v>0</v>
      </c>
      <c r="OS162" s="32">
        <f t="shared" si="21"/>
        <v>0</v>
      </c>
      <c r="OT162" s="32">
        <f t="shared" si="21"/>
        <v>0</v>
      </c>
      <c r="OU162" s="32">
        <f t="shared" si="21"/>
        <v>0</v>
      </c>
      <c r="OV162" s="32">
        <f t="shared" si="21"/>
        <v>0</v>
      </c>
      <c r="OW162" s="32">
        <f t="shared" si="21"/>
        <v>0</v>
      </c>
      <c r="OX162" s="32">
        <f t="shared" si="21"/>
        <v>0</v>
      </c>
      <c r="OY162" s="32">
        <f t="shared" si="21"/>
        <v>0</v>
      </c>
      <c r="OZ162" s="32">
        <f t="shared" si="21"/>
        <v>0</v>
      </c>
      <c r="PA162" s="32">
        <f t="shared" si="21"/>
        <v>0</v>
      </c>
      <c r="PB162" s="32">
        <f t="shared" si="21"/>
        <v>0</v>
      </c>
      <c r="PC162" s="32">
        <f t="shared" si="21"/>
        <v>0</v>
      </c>
      <c r="PD162" s="32">
        <f t="shared" si="21"/>
        <v>0</v>
      </c>
      <c r="PE162" s="32">
        <f t="shared" si="21"/>
        <v>0</v>
      </c>
      <c r="PF162" s="32">
        <f t="shared" si="21"/>
        <v>0</v>
      </c>
      <c r="PG162" s="32">
        <f t="shared" si="21"/>
        <v>0</v>
      </c>
      <c r="PH162" s="32">
        <f t="shared" si="21"/>
        <v>0</v>
      </c>
      <c r="PI162" s="32">
        <f t="shared" si="21"/>
        <v>0</v>
      </c>
      <c r="PJ162" s="32">
        <f t="shared" si="21"/>
        <v>0</v>
      </c>
      <c r="PK162" s="32">
        <f t="shared" si="21"/>
        <v>0</v>
      </c>
      <c r="PL162" s="32">
        <f t="shared" si="21"/>
        <v>0</v>
      </c>
      <c r="PM162" s="32">
        <f t="shared" si="21"/>
        <v>0</v>
      </c>
      <c r="PN162" s="32">
        <f t="shared" si="21"/>
        <v>0</v>
      </c>
      <c r="PO162" s="32">
        <f t="shared" si="21"/>
        <v>0</v>
      </c>
      <c r="PP162" s="32">
        <f t="shared" si="21"/>
        <v>0</v>
      </c>
      <c r="PQ162" s="32">
        <f t="shared" si="21"/>
        <v>0</v>
      </c>
      <c r="PR162" s="32">
        <f t="shared" si="21"/>
        <v>0</v>
      </c>
    </row>
    <row r="164" spans="1:434" x14ac:dyDescent="0.25">
      <c r="B164" s="31" t="s">
        <v>228</v>
      </c>
      <c r="F164" s="23"/>
      <c r="G164" s="87">
        <f>SUM(G162:AR162)</f>
        <v>0</v>
      </c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6"/>
      <c r="AS164" s="23"/>
      <c r="AT164" s="87">
        <f>SUM(AT162:CE162)</f>
        <v>0</v>
      </c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6"/>
      <c r="CF164" s="23"/>
      <c r="CG164" s="87">
        <f>SUM(CG162:DR162)</f>
        <v>70.424999999999997</v>
      </c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6"/>
      <c r="DS164" s="23"/>
      <c r="DT164" s="87">
        <f>SUM(DT162:FE162)</f>
        <v>0</v>
      </c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6"/>
      <c r="FF164" s="23"/>
      <c r="FG164" s="87">
        <f>SUM(FG162:GR162)</f>
        <v>0</v>
      </c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  <c r="FU164" s="85"/>
      <c r="FV164" s="85"/>
      <c r="FW164" s="85"/>
      <c r="FX164" s="85"/>
      <c r="FY164" s="85"/>
      <c r="FZ164" s="85"/>
      <c r="GA164" s="85"/>
      <c r="GB164" s="85"/>
      <c r="GC164" s="85"/>
      <c r="GD164" s="85"/>
      <c r="GE164" s="85"/>
      <c r="GF164" s="85"/>
      <c r="GG164" s="85"/>
      <c r="GH164" s="85"/>
      <c r="GI164" s="85"/>
      <c r="GJ164" s="85"/>
      <c r="GK164" s="85"/>
      <c r="GL164" s="85"/>
      <c r="GM164" s="85"/>
      <c r="GN164" s="85"/>
      <c r="GO164" s="85"/>
      <c r="GP164" s="85"/>
      <c r="GQ164" s="85"/>
      <c r="GR164" s="86"/>
      <c r="GS164" s="23"/>
      <c r="GT164" s="87">
        <f>SUM(GT162:IE162)</f>
        <v>0</v>
      </c>
      <c r="GU164" s="85"/>
      <c r="GV164" s="85"/>
      <c r="GW164" s="85"/>
      <c r="GX164" s="85"/>
      <c r="GY164" s="85"/>
      <c r="GZ164" s="85"/>
      <c r="HA164" s="85"/>
      <c r="HB164" s="85"/>
      <c r="HC164" s="85"/>
      <c r="HD164" s="85"/>
      <c r="HE164" s="85"/>
      <c r="HF164" s="85"/>
      <c r="HG164" s="85"/>
      <c r="HH164" s="85"/>
      <c r="HI164" s="85"/>
      <c r="HJ164" s="85"/>
      <c r="HK164" s="85"/>
      <c r="HL164" s="85"/>
      <c r="HM164" s="85"/>
      <c r="HN164" s="85"/>
      <c r="HO164" s="85"/>
      <c r="HP164" s="85"/>
      <c r="HQ164" s="85"/>
      <c r="HR164" s="85"/>
      <c r="HS164" s="85"/>
      <c r="HT164" s="85"/>
      <c r="HU164" s="85"/>
      <c r="HV164" s="85"/>
      <c r="HW164" s="85"/>
      <c r="HX164" s="85"/>
      <c r="HY164" s="85"/>
      <c r="HZ164" s="85"/>
      <c r="IA164" s="85"/>
      <c r="IB164" s="85"/>
      <c r="IC164" s="85"/>
      <c r="ID164" s="85"/>
      <c r="IE164" s="86"/>
      <c r="IF164" s="23"/>
      <c r="IG164" s="87">
        <f>SUM(IG162:JR162)</f>
        <v>0</v>
      </c>
      <c r="IH164" s="85"/>
      <c r="II164" s="85"/>
      <c r="IJ164" s="85"/>
      <c r="IK164" s="85"/>
      <c r="IL164" s="85"/>
      <c r="IM164" s="85"/>
      <c r="IN164" s="85"/>
      <c r="IO164" s="85"/>
      <c r="IP164" s="85"/>
      <c r="IQ164" s="85"/>
      <c r="IR164" s="85"/>
      <c r="IS164" s="85"/>
      <c r="IT164" s="85"/>
      <c r="IU164" s="85"/>
      <c r="IV164" s="85"/>
      <c r="IW164" s="85"/>
      <c r="IX164" s="85"/>
      <c r="IY164" s="85"/>
      <c r="IZ164" s="85"/>
      <c r="JA164" s="85"/>
      <c r="JB164" s="85"/>
      <c r="JC164" s="85"/>
      <c r="JD164" s="85"/>
      <c r="JE164" s="85"/>
      <c r="JF164" s="85"/>
      <c r="JG164" s="85"/>
      <c r="JH164" s="85"/>
      <c r="JI164" s="85"/>
      <c r="JJ164" s="85"/>
      <c r="JK164" s="85"/>
      <c r="JL164" s="85"/>
      <c r="JM164" s="85"/>
      <c r="JN164" s="85"/>
      <c r="JO164" s="85"/>
      <c r="JP164" s="85"/>
      <c r="JQ164" s="85"/>
      <c r="JR164" s="86"/>
      <c r="JS164" s="23"/>
      <c r="JT164" s="87">
        <f>SUM(JT162:LE162)</f>
        <v>0</v>
      </c>
      <c r="JU164" s="85"/>
      <c r="JV164" s="85"/>
      <c r="JW164" s="85"/>
      <c r="JX164" s="85"/>
      <c r="JY164" s="85"/>
      <c r="JZ164" s="85"/>
      <c r="KA164" s="85"/>
      <c r="KB164" s="85"/>
      <c r="KC164" s="85"/>
      <c r="KD164" s="85"/>
      <c r="KE164" s="85"/>
      <c r="KF164" s="85"/>
      <c r="KG164" s="85"/>
      <c r="KH164" s="85"/>
      <c r="KI164" s="85"/>
      <c r="KJ164" s="85"/>
      <c r="KK164" s="85"/>
      <c r="KL164" s="85"/>
      <c r="KM164" s="85"/>
      <c r="KN164" s="85"/>
      <c r="KO164" s="85"/>
      <c r="KP164" s="85"/>
      <c r="KQ164" s="85"/>
      <c r="KR164" s="85"/>
      <c r="KS164" s="85"/>
      <c r="KT164" s="85"/>
      <c r="KU164" s="85"/>
      <c r="KV164" s="85"/>
      <c r="KW164" s="85"/>
      <c r="KX164" s="85"/>
      <c r="KY164" s="85"/>
      <c r="KZ164" s="85"/>
      <c r="LA164" s="85"/>
      <c r="LB164" s="85"/>
      <c r="LC164" s="85"/>
      <c r="LD164" s="85"/>
      <c r="LE164" s="86"/>
      <c r="LF164" s="23"/>
      <c r="LG164" s="87">
        <f>SUM(LG162:MR162)</f>
        <v>0</v>
      </c>
      <c r="LH164" s="85"/>
      <c r="LI164" s="85"/>
      <c r="LJ164" s="85"/>
      <c r="LK164" s="85"/>
      <c r="LL164" s="85"/>
      <c r="LM164" s="85"/>
      <c r="LN164" s="85"/>
      <c r="LO164" s="85"/>
      <c r="LP164" s="85"/>
      <c r="LQ164" s="85"/>
      <c r="LR164" s="85"/>
      <c r="LS164" s="85"/>
      <c r="LT164" s="85"/>
      <c r="LU164" s="85"/>
      <c r="LV164" s="85"/>
      <c r="LW164" s="85"/>
      <c r="LX164" s="85"/>
      <c r="LY164" s="85"/>
      <c r="LZ164" s="85"/>
      <c r="MA164" s="85"/>
      <c r="MB164" s="85"/>
      <c r="MC164" s="85"/>
      <c r="MD164" s="85"/>
      <c r="ME164" s="85"/>
      <c r="MF164" s="85"/>
      <c r="MG164" s="85"/>
      <c r="MH164" s="85"/>
      <c r="MI164" s="85"/>
      <c r="MJ164" s="85"/>
      <c r="MK164" s="85"/>
      <c r="ML164" s="85"/>
      <c r="MM164" s="85"/>
      <c r="MN164" s="85"/>
      <c r="MO164" s="85"/>
      <c r="MP164" s="85"/>
      <c r="MQ164" s="85"/>
      <c r="MR164" s="86"/>
      <c r="MS164" s="23"/>
      <c r="MT164" s="87">
        <f>SUM(MT162:OE162)</f>
        <v>0</v>
      </c>
      <c r="MU164" s="85"/>
      <c r="MV164" s="85"/>
      <c r="MW164" s="85"/>
      <c r="MX164" s="85"/>
      <c r="MY164" s="85"/>
      <c r="MZ164" s="85"/>
      <c r="NA164" s="85"/>
      <c r="NB164" s="85"/>
      <c r="NC164" s="85"/>
      <c r="ND164" s="85"/>
      <c r="NE164" s="85"/>
      <c r="NF164" s="85"/>
      <c r="NG164" s="85"/>
      <c r="NH164" s="85"/>
      <c r="NI164" s="85"/>
      <c r="NJ164" s="85"/>
      <c r="NK164" s="85"/>
      <c r="NL164" s="85"/>
      <c r="NM164" s="85"/>
      <c r="NN164" s="85"/>
      <c r="NO164" s="85"/>
      <c r="NP164" s="85"/>
      <c r="NQ164" s="85"/>
      <c r="NR164" s="85"/>
      <c r="NS164" s="85"/>
      <c r="NT164" s="85"/>
      <c r="NU164" s="85"/>
      <c r="NV164" s="85"/>
      <c r="NW164" s="85"/>
      <c r="NX164" s="85"/>
      <c r="NY164" s="85"/>
      <c r="NZ164" s="85"/>
      <c r="OA164" s="85"/>
      <c r="OB164" s="85"/>
      <c r="OC164" s="85"/>
      <c r="OD164" s="85"/>
      <c r="OE164" s="86"/>
      <c r="OF164" s="23"/>
      <c r="OG164" s="87">
        <f>SUM(OG162:PR162)</f>
        <v>0</v>
      </c>
      <c r="OH164" s="85"/>
      <c r="OI164" s="85"/>
      <c r="OJ164" s="85"/>
      <c r="OK164" s="85"/>
      <c r="OL164" s="85"/>
      <c r="OM164" s="85"/>
      <c r="ON164" s="85"/>
      <c r="OO164" s="85"/>
      <c r="OP164" s="85"/>
      <c r="OQ164" s="85"/>
      <c r="OR164" s="85"/>
      <c r="OS164" s="85"/>
      <c r="OT164" s="85"/>
      <c r="OU164" s="85"/>
      <c r="OV164" s="85"/>
      <c r="OW164" s="85"/>
      <c r="OX164" s="85"/>
      <c r="OY164" s="85"/>
      <c r="OZ164" s="85"/>
      <c r="PA164" s="85"/>
      <c r="PB164" s="85"/>
      <c r="PC164" s="85"/>
      <c r="PD164" s="85"/>
      <c r="PE164" s="85"/>
      <c r="PF164" s="85"/>
      <c r="PG164" s="85"/>
      <c r="PH164" s="85"/>
      <c r="PI164" s="85"/>
      <c r="PJ164" s="85"/>
      <c r="PK164" s="85"/>
      <c r="PL164" s="85"/>
      <c r="PM164" s="85"/>
      <c r="PN164" s="85"/>
      <c r="PO164" s="85"/>
      <c r="PP164" s="85"/>
      <c r="PQ164" s="85"/>
      <c r="PR164" s="86"/>
    </row>
    <row r="165" spans="1:434" ht="15" customHeight="1" thickBot="1" x14ac:dyDescent="0.3"/>
    <row r="166" spans="1:434" ht="15" customHeight="1" thickBot="1" x14ac:dyDescent="0.3">
      <c r="A166" s="96" t="s">
        <v>229</v>
      </c>
      <c r="B166" s="85"/>
      <c r="C166" s="85"/>
      <c r="D166" s="85"/>
      <c r="E166" s="85"/>
      <c r="F166" s="85"/>
      <c r="G166" s="85"/>
      <c r="H166" s="86"/>
    </row>
    <row r="167" spans="1:434" x14ac:dyDescent="0.25">
      <c r="A167" s="1" t="s">
        <v>230</v>
      </c>
      <c r="B167" s="2" t="s">
        <v>231</v>
      </c>
      <c r="C167" s="91" t="s">
        <v>232</v>
      </c>
      <c r="D167" s="92"/>
      <c r="E167" s="92"/>
      <c r="F167" s="92"/>
      <c r="G167" s="92"/>
      <c r="H167" s="93"/>
    </row>
    <row r="168" spans="1:434" x14ac:dyDescent="0.25">
      <c r="A168" s="4" t="s">
        <v>233</v>
      </c>
      <c r="B168" s="5" t="s">
        <v>234</v>
      </c>
      <c r="C168" s="91" t="s">
        <v>235</v>
      </c>
      <c r="D168" s="92"/>
      <c r="E168" s="92"/>
      <c r="F168" s="92"/>
      <c r="G168" s="92"/>
      <c r="H168" s="93"/>
    </row>
    <row r="169" spans="1:434" x14ac:dyDescent="0.25">
      <c r="A169" s="6" t="s">
        <v>236</v>
      </c>
      <c r="B169" s="7" t="s">
        <v>237</v>
      </c>
      <c r="C169" s="91" t="s">
        <v>238</v>
      </c>
      <c r="D169" s="92"/>
      <c r="E169" s="92"/>
      <c r="F169" s="92"/>
      <c r="G169" s="92"/>
      <c r="H169" s="93"/>
    </row>
    <row r="170" spans="1:434" x14ac:dyDescent="0.25">
      <c r="A170" s="8" t="s">
        <v>239</v>
      </c>
      <c r="B170" s="9" t="s">
        <v>240</v>
      </c>
      <c r="C170" s="91" t="s">
        <v>241</v>
      </c>
      <c r="D170" s="92"/>
      <c r="E170" s="92"/>
      <c r="F170" s="92"/>
      <c r="G170" s="92"/>
      <c r="H170" s="93"/>
    </row>
    <row r="171" spans="1:434" x14ac:dyDescent="0.25">
      <c r="A171" s="10" t="s">
        <v>242</v>
      </c>
      <c r="B171" s="11" t="s">
        <v>243</v>
      </c>
      <c r="C171" s="91" t="s">
        <v>244</v>
      </c>
      <c r="D171" s="92"/>
      <c r="E171" s="92"/>
      <c r="F171" s="92"/>
      <c r="G171" s="92"/>
      <c r="H171" s="93"/>
    </row>
    <row r="172" spans="1:434" x14ac:dyDescent="0.25">
      <c r="A172" s="12" t="s">
        <v>245</v>
      </c>
      <c r="B172" s="13" t="s">
        <v>246</v>
      </c>
      <c r="C172" s="91" t="s">
        <v>247</v>
      </c>
      <c r="D172" s="92"/>
      <c r="E172" s="92"/>
      <c r="F172" s="92"/>
      <c r="G172" s="92"/>
      <c r="H172" s="93"/>
    </row>
    <row r="173" spans="1:434" x14ac:dyDescent="0.25">
      <c r="A173" s="14" t="s">
        <v>248</v>
      </c>
      <c r="B173" s="15" t="s">
        <v>249</v>
      </c>
      <c r="C173" s="91" t="s">
        <v>250</v>
      </c>
      <c r="D173" s="92"/>
      <c r="E173" s="92"/>
      <c r="F173" s="92"/>
      <c r="G173" s="92"/>
      <c r="H173" s="93"/>
    </row>
    <row r="174" spans="1:434" x14ac:dyDescent="0.25">
      <c r="A174" s="16" t="s">
        <v>251</v>
      </c>
      <c r="B174" s="17" t="s">
        <v>252</v>
      </c>
      <c r="C174" s="91" t="s">
        <v>253</v>
      </c>
      <c r="D174" s="92"/>
      <c r="E174" s="92"/>
      <c r="F174" s="92"/>
      <c r="G174" s="92"/>
      <c r="H174" s="93"/>
    </row>
    <row r="175" spans="1:434" x14ac:dyDescent="0.25">
      <c r="A175" s="18" t="s">
        <v>254</v>
      </c>
      <c r="B175" s="19" t="s">
        <v>255</v>
      </c>
      <c r="C175" s="91" t="s">
        <v>256</v>
      </c>
      <c r="D175" s="92"/>
      <c r="E175" s="92"/>
      <c r="F175" s="92"/>
      <c r="G175" s="92"/>
      <c r="H175" s="93"/>
    </row>
  </sheetData>
  <mergeCells count="51">
    <mergeCell ref="C175:H175"/>
    <mergeCell ref="A84:PR84"/>
    <mergeCell ref="JT164:LE164"/>
    <mergeCell ref="OG164:PR164"/>
    <mergeCell ref="C172:H172"/>
    <mergeCell ref="AT164:CE164"/>
    <mergeCell ref="FG164:GR164"/>
    <mergeCell ref="C174:H174"/>
    <mergeCell ref="GT164:IE164"/>
    <mergeCell ref="C173:H173"/>
    <mergeCell ref="C171:H171"/>
    <mergeCell ref="A152:PR152"/>
    <mergeCell ref="A135:PR135"/>
    <mergeCell ref="CF2:GR2"/>
    <mergeCell ref="CG3:DR3"/>
    <mergeCell ref="C170:H170"/>
    <mergeCell ref="DT3:FE3"/>
    <mergeCell ref="FG3:GR3"/>
    <mergeCell ref="G3:AR3"/>
    <mergeCell ref="A108:PR108"/>
    <mergeCell ref="A66:PR66"/>
    <mergeCell ref="JT3:LE3"/>
    <mergeCell ref="A57:PR57"/>
    <mergeCell ref="LG3:MR3"/>
    <mergeCell ref="A97:PR97"/>
    <mergeCell ref="GS2:MR2"/>
    <mergeCell ref="OG3:PR3"/>
    <mergeCell ref="G164:AR164"/>
    <mergeCell ref="C167:H167"/>
    <mergeCell ref="MS2:PR2"/>
    <mergeCell ref="A115:PR115"/>
    <mergeCell ref="IG164:JR164"/>
    <mergeCell ref="C169:H169"/>
    <mergeCell ref="A143:PR143"/>
    <mergeCell ref="F2:AR2"/>
    <mergeCell ref="DT164:FE164"/>
    <mergeCell ref="AS2:CE2"/>
    <mergeCell ref="IG3:JR3"/>
    <mergeCell ref="A76:PR76"/>
    <mergeCell ref="A47:PR47"/>
    <mergeCell ref="A5:PR5"/>
    <mergeCell ref="C168:H168"/>
    <mergeCell ref="MT3:OE3"/>
    <mergeCell ref="A166:H166"/>
    <mergeCell ref="A2:E3"/>
    <mergeCell ref="A17:PR17"/>
    <mergeCell ref="CG164:DR164"/>
    <mergeCell ref="GT3:IE3"/>
    <mergeCell ref="AT3:CE3"/>
    <mergeCell ref="LG164:MR164"/>
    <mergeCell ref="MT164:OE164"/>
  </mergeCells>
  <conditionalFormatting sqref="D5:D159">
    <cfRule type="cellIs" dxfId="17" priority="1" operator="equal">
      <formula>"T0: Ideation"</formula>
    </cfRule>
    <cfRule type="cellIs" dxfId="16" priority="2" operator="equal">
      <formula>"T1: R&amp;D"</formula>
    </cfRule>
    <cfRule type="cellIs" dxfId="15" priority="3" operator="equal">
      <formula>"T2: GDD/TDD/Brief"</formula>
    </cfRule>
    <cfRule type="cellIs" dxfId="14" priority="4" operator="equal">
      <formula>"T3: Prototype"</formula>
    </cfRule>
    <cfRule type="cellIs" dxfId="13" priority="5" operator="equal">
      <formula>"T4: MVP"</formula>
    </cfRule>
    <cfRule type="cellIs" dxfId="12" priority="6" operator="equal">
      <formula>"T5: Feature Complete"</formula>
    </cfRule>
    <cfRule type="cellIs" dxfId="11" priority="7" operator="equal">
      <formula>"T6: Player Tested"</formula>
    </cfRule>
    <cfRule type="cellIs" dxfId="10" priority="8" operator="equal">
      <formula>"T7: Expand"</formula>
    </cfRule>
    <cfRule type="cellIs" dxfId="9" priority="9" operator="equal">
      <formula>"T8: Scale"</formula>
    </cfRule>
  </conditionalFormatting>
  <dataValidations count="1">
    <dataValidation type="list" errorStyle="warning" allowBlank="1" errorTitle="Invalid tier" error="Use one of T0-T8 from the Tiers tab." sqref="D5:D159" xr:uid="{00000000-0002-0000-0000-000000000000}">
      <formula1>"T0: Ideation,T1: R&amp;D,T2: GDD/TDD/Brief,T3: Prototype,T4: MVP,T5: Feature Complete,T6: Player Tested,T7: Expand,T8: Scale"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workbookViewId="0">
      <pane xSplit="2" ySplit="1" topLeftCell="C2" activePane="bottomRight" state="frozen"/>
      <selection pane="topRight"/>
      <selection pane="bottomLeft"/>
      <selection pane="bottomRight" activeCell="AA20" sqref="AA20"/>
    </sheetView>
  </sheetViews>
  <sheetFormatPr defaultRowHeight="15" x14ac:dyDescent="0.25"/>
  <cols>
    <col min="1" max="1" width="22" customWidth="1"/>
    <col min="2" max="2" width="12" customWidth="1"/>
    <col min="3" max="14" width="14" customWidth="1"/>
  </cols>
  <sheetData>
    <row r="1" spans="1:14" ht="50.1" customHeight="1" x14ac:dyDescent="0.25">
      <c r="A1" s="33" t="s">
        <v>21</v>
      </c>
      <c r="B1" s="33" t="s">
        <v>257</v>
      </c>
      <c r="C1" s="21" t="s">
        <v>258</v>
      </c>
      <c r="D1" s="21" t="s">
        <v>259</v>
      </c>
      <c r="E1" s="21" t="s">
        <v>260</v>
      </c>
      <c r="F1" s="21" t="s">
        <v>261</v>
      </c>
      <c r="G1" s="21" t="s">
        <v>262</v>
      </c>
      <c r="H1" s="21" t="s">
        <v>263</v>
      </c>
      <c r="I1" s="21" t="s">
        <v>264</v>
      </c>
      <c r="J1" s="21" t="s">
        <v>265</v>
      </c>
      <c r="K1" s="21" t="s">
        <v>266</v>
      </c>
      <c r="L1" s="21" t="s">
        <v>267</v>
      </c>
      <c r="M1" s="21" t="s">
        <v>268</v>
      </c>
      <c r="N1" s="34" t="s">
        <v>269</v>
      </c>
    </row>
    <row r="2" spans="1:14" x14ac:dyDescent="0.25">
      <c r="A2" s="35" t="s">
        <v>64</v>
      </c>
      <c r="B2" s="36">
        <v>11</v>
      </c>
      <c r="C2" s="37">
        <f>SUM(Plan!G6:AR16)</f>
        <v>0</v>
      </c>
      <c r="D2" s="37">
        <f>SUM(Plan!AT6:CE16)</f>
        <v>0</v>
      </c>
      <c r="E2" s="37">
        <f>SUM(Plan!CG6:DR16)</f>
        <v>393</v>
      </c>
      <c r="F2" s="37">
        <f>SUM(Plan!DT6:FE16)</f>
        <v>0</v>
      </c>
      <c r="G2" s="37">
        <f>SUM(Plan!FG6:GR16)</f>
        <v>0</v>
      </c>
      <c r="H2" s="37">
        <f>SUM(Plan!GT6:IE16)</f>
        <v>0</v>
      </c>
      <c r="I2" s="37">
        <f>SUM(Plan!IG6:JR16)</f>
        <v>0</v>
      </c>
      <c r="J2" s="37">
        <f>SUM(Plan!JT6:LE16)</f>
        <v>0</v>
      </c>
      <c r="K2" s="37">
        <f>SUM(Plan!LG6:MR16)</f>
        <v>0</v>
      </c>
      <c r="L2" s="37">
        <f>SUM(Plan!MT6:OE16)</f>
        <v>0</v>
      </c>
      <c r="M2" s="37">
        <f>SUM(Plan!OG6:PR16)</f>
        <v>0</v>
      </c>
      <c r="N2" s="38">
        <f t="shared" ref="N2:N14" si="0">SUM(C2:M2)</f>
        <v>393</v>
      </c>
    </row>
    <row r="3" spans="1:14" x14ac:dyDescent="0.25">
      <c r="A3" s="35" t="s">
        <v>82</v>
      </c>
      <c r="B3" s="36">
        <v>29</v>
      </c>
      <c r="C3" s="37">
        <f>SUM(Plan!G18:AR46)</f>
        <v>0</v>
      </c>
      <c r="D3" s="37">
        <f>SUM(Plan!AT18:CE46)</f>
        <v>0</v>
      </c>
      <c r="E3" s="37">
        <f>SUM(Plan!CG18:DR46)</f>
        <v>1942</v>
      </c>
      <c r="F3" s="37">
        <f>SUM(Plan!DT18:FE46)</f>
        <v>0</v>
      </c>
      <c r="G3" s="37">
        <f>SUM(Plan!FG18:GR46)</f>
        <v>0</v>
      </c>
      <c r="H3" s="37">
        <f>SUM(Plan!GT18:IE46)</f>
        <v>0</v>
      </c>
      <c r="I3" s="37">
        <f>SUM(Plan!IG18:JR46)</f>
        <v>0</v>
      </c>
      <c r="J3" s="37">
        <f>SUM(Plan!JT18:LE46)</f>
        <v>0</v>
      </c>
      <c r="K3" s="37">
        <f>SUM(Plan!LG18:MR46)</f>
        <v>0</v>
      </c>
      <c r="L3" s="37">
        <f>SUM(Plan!MT18:OE46)</f>
        <v>0</v>
      </c>
      <c r="M3" s="37">
        <f>SUM(Plan!OG18:PR46)</f>
        <v>0</v>
      </c>
      <c r="N3" s="38">
        <f t="shared" si="0"/>
        <v>1942</v>
      </c>
    </row>
    <row r="4" spans="1:14" x14ac:dyDescent="0.25">
      <c r="A4" s="35" t="s">
        <v>113</v>
      </c>
      <c r="B4" s="36">
        <v>9</v>
      </c>
      <c r="C4" s="37">
        <f>SUM(Plan!G48:AR56)</f>
        <v>0</v>
      </c>
      <c r="D4" s="37">
        <f>SUM(Plan!AT48:CE56)</f>
        <v>0</v>
      </c>
      <c r="E4" s="37">
        <f>SUM(Plan!CG48:DR56)</f>
        <v>849</v>
      </c>
      <c r="F4" s="37">
        <f>SUM(Plan!DT48:FE56)</f>
        <v>0</v>
      </c>
      <c r="G4" s="37">
        <f>SUM(Plan!FG48:GR56)</f>
        <v>0</v>
      </c>
      <c r="H4" s="37">
        <f>SUM(Plan!GT48:IE56)</f>
        <v>0</v>
      </c>
      <c r="I4" s="37">
        <f>SUM(Plan!IG48:JR56)</f>
        <v>0</v>
      </c>
      <c r="J4" s="37">
        <f>SUM(Plan!JT48:LE56)</f>
        <v>0</v>
      </c>
      <c r="K4" s="37">
        <f>SUM(Plan!LG48:MR56)</f>
        <v>0</v>
      </c>
      <c r="L4" s="37">
        <f>SUM(Plan!MT48:OE56)</f>
        <v>0</v>
      </c>
      <c r="M4" s="37">
        <f>SUM(Plan!OG48:PR56)</f>
        <v>0</v>
      </c>
      <c r="N4" s="38">
        <f t="shared" si="0"/>
        <v>849</v>
      </c>
    </row>
    <row r="5" spans="1:14" x14ac:dyDescent="0.25">
      <c r="A5" s="35" t="s">
        <v>123</v>
      </c>
      <c r="B5" s="36">
        <v>8</v>
      </c>
      <c r="C5" s="37">
        <f>SUM(Plan!G58:AR65)</f>
        <v>0</v>
      </c>
      <c r="D5" s="37">
        <f>SUM(Plan!AT58:CE65)</f>
        <v>0</v>
      </c>
      <c r="E5" s="37">
        <f>SUM(Plan!CG58:DR65)</f>
        <v>398</v>
      </c>
      <c r="F5" s="37">
        <f>SUM(Plan!DT58:FE65)</f>
        <v>0</v>
      </c>
      <c r="G5" s="37">
        <f>SUM(Plan!FG58:GR65)</f>
        <v>0</v>
      </c>
      <c r="H5" s="37">
        <f>SUM(Plan!GT58:IE65)</f>
        <v>0</v>
      </c>
      <c r="I5" s="37">
        <f>SUM(Plan!IG58:JR65)</f>
        <v>0</v>
      </c>
      <c r="J5" s="37">
        <f>SUM(Plan!JT58:LE65)</f>
        <v>0</v>
      </c>
      <c r="K5" s="37">
        <f>SUM(Plan!LG58:MR65)</f>
        <v>0</v>
      </c>
      <c r="L5" s="37">
        <f>SUM(Plan!MT58:OE65)</f>
        <v>0</v>
      </c>
      <c r="M5" s="37">
        <f>SUM(Plan!OG58:PR65)</f>
        <v>0</v>
      </c>
      <c r="N5" s="38">
        <f t="shared" si="0"/>
        <v>398</v>
      </c>
    </row>
    <row r="6" spans="1:14" x14ac:dyDescent="0.25">
      <c r="A6" s="35" t="s">
        <v>132</v>
      </c>
      <c r="B6" s="36">
        <v>9</v>
      </c>
      <c r="C6" s="37">
        <f>SUM(Plan!G67:AR75)</f>
        <v>0</v>
      </c>
      <c r="D6" s="37">
        <f>SUM(Plan!AT67:CE75)</f>
        <v>0</v>
      </c>
      <c r="E6" s="37">
        <f>SUM(Plan!CG67:DR75)</f>
        <v>418</v>
      </c>
      <c r="F6" s="37">
        <f>SUM(Plan!DT67:FE75)</f>
        <v>0</v>
      </c>
      <c r="G6" s="37">
        <f>SUM(Plan!FG67:GR75)</f>
        <v>0</v>
      </c>
      <c r="H6" s="37">
        <f>SUM(Plan!GT67:IE75)</f>
        <v>0</v>
      </c>
      <c r="I6" s="37">
        <f>SUM(Plan!IG67:JR75)</f>
        <v>0</v>
      </c>
      <c r="J6" s="37">
        <f>SUM(Plan!JT67:LE75)</f>
        <v>0</v>
      </c>
      <c r="K6" s="37">
        <f>SUM(Plan!LG67:MR75)</f>
        <v>0</v>
      </c>
      <c r="L6" s="37">
        <f>SUM(Plan!MT67:OE75)</f>
        <v>0</v>
      </c>
      <c r="M6" s="37">
        <f>SUM(Plan!OG67:PR75)</f>
        <v>0</v>
      </c>
      <c r="N6" s="38">
        <f t="shared" si="0"/>
        <v>418</v>
      </c>
    </row>
    <row r="7" spans="1:14" x14ac:dyDescent="0.25">
      <c r="A7" s="35" t="s">
        <v>142</v>
      </c>
      <c r="B7" s="36">
        <v>7</v>
      </c>
      <c r="C7" s="37">
        <f>SUM(Plan!G77:AR83)</f>
        <v>0</v>
      </c>
      <c r="D7" s="37">
        <f>SUM(Plan!AT77:CE83)</f>
        <v>0</v>
      </c>
      <c r="E7" s="37">
        <f>SUM(Plan!CG77:DR83)</f>
        <v>507</v>
      </c>
      <c r="F7" s="37">
        <f>SUM(Plan!DT77:FE83)</f>
        <v>0</v>
      </c>
      <c r="G7" s="37">
        <f>SUM(Plan!FG77:GR83)</f>
        <v>0</v>
      </c>
      <c r="H7" s="37">
        <f>SUM(Plan!GT77:IE83)</f>
        <v>0</v>
      </c>
      <c r="I7" s="37">
        <f>SUM(Plan!IG77:JR83)</f>
        <v>0</v>
      </c>
      <c r="J7" s="37">
        <f>SUM(Plan!JT77:LE83)</f>
        <v>0</v>
      </c>
      <c r="K7" s="37">
        <f>SUM(Plan!LG77:MR83)</f>
        <v>0</v>
      </c>
      <c r="L7" s="37">
        <f>SUM(Plan!MT77:OE83)</f>
        <v>0</v>
      </c>
      <c r="M7" s="37">
        <f>SUM(Plan!OG77:PR83)</f>
        <v>0</v>
      </c>
      <c r="N7" s="38">
        <f t="shared" si="0"/>
        <v>507</v>
      </c>
    </row>
    <row r="8" spans="1:14" x14ac:dyDescent="0.25">
      <c r="A8" s="35" t="s">
        <v>150</v>
      </c>
      <c r="B8" s="36">
        <v>12</v>
      </c>
      <c r="C8" s="37">
        <f>SUM(Plan!G85:AR96)</f>
        <v>0</v>
      </c>
      <c r="D8" s="37">
        <f>SUM(Plan!AT85:CE96)</f>
        <v>0</v>
      </c>
      <c r="E8" s="37">
        <f>SUM(Plan!CG85:DR96)</f>
        <v>386</v>
      </c>
      <c r="F8" s="37">
        <f>SUM(Plan!DT85:FE96)</f>
        <v>0</v>
      </c>
      <c r="G8" s="37">
        <f>SUM(Plan!FG85:GR96)</f>
        <v>0</v>
      </c>
      <c r="H8" s="37">
        <f>SUM(Plan!GT85:IE96)</f>
        <v>0</v>
      </c>
      <c r="I8" s="37">
        <f>SUM(Plan!IG85:JR96)</f>
        <v>0</v>
      </c>
      <c r="J8" s="37">
        <f>SUM(Plan!JT85:LE96)</f>
        <v>0</v>
      </c>
      <c r="K8" s="37">
        <f>SUM(Plan!LG85:MR96)</f>
        <v>0</v>
      </c>
      <c r="L8" s="37">
        <f>SUM(Plan!MT85:OE96)</f>
        <v>0</v>
      </c>
      <c r="M8" s="37">
        <f>SUM(Plan!OG85:PR96)</f>
        <v>0</v>
      </c>
      <c r="N8" s="38">
        <f t="shared" si="0"/>
        <v>386</v>
      </c>
    </row>
    <row r="9" spans="1:14" x14ac:dyDescent="0.25">
      <c r="A9" s="35" t="s">
        <v>163</v>
      </c>
      <c r="B9" s="36">
        <v>10</v>
      </c>
      <c r="C9" s="37">
        <f>SUM(Plan!G98:AR107)</f>
        <v>0</v>
      </c>
      <c r="D9" s="37">
        <f>SUM(Plan!AT98:CE107)</f>
        <v>0</v>
      </c>
      <c r="E9" s="37">
        <f>SUM(Plan!CG98:DR107)</f>
        <v>446</v>
      </c>
      <c r="F9" s="37">
        <f>SUM(Plan!DT98:FE107)</f>
        <v>0</v>
      </c>
      <c r="G9" s="37">
        <f>SUM(Plan!FG98:GR107)</f>
        <v>0</v>
      </c>
      <c r="H9" s="37">
        <f>SUM(Plan!GT98:IE107)</f>
        <v>0</v>
      </c>
      <c r="I9" s="37">
        <f>SUM(Plan!IG98:JR107)</f>
        <v>0</v>
      </c>
      <c r="J9" s="37">
        <f>SUM(Plan!JT98:LE107)</f>
        <v>0</v>
      </c>
      <c r="K9" s="37">
        <f>SUM(Plan!LG98:MR107)</f>
        <v>0</v>
      </c>
      <c r="L9" s="37">
        <f>SUM(Plan!MT98:OE107)</f>
        <v>0</v>
      </c>
      <c r="M9" s="37">
        <f>SUM(Plan!OG98:PR107)</f>
        <v>0</v>
      </c>
      <c r="N9" s="38">
        <f t="shared" si="0"/>
        <v>446</v>
      </c>
    </row>
    <row r="10" spans="1:14" x14ac:dyDescent="0.25">
      <c r="A10" s="35" t="s">
        <v>174</v>
      </c>
      <c r="B10" s="36">
        <v>6</v>
      </c>
      <c r="C10" s="37">
        <f>SUM(Plan!G109:AR114)</f>
        <v>0</v>
      </c>
      <c r="D10" s="37">
        <f>SUM(Plan!AT109:CE114)</f>
        <v>0</v>
      </c>
      <c r="E10" s="37">
        <f>SUM(Plan!CG109:DR114)</f>
        <v>70</v>
      </c>
      <c r="F10" s="37">
        <f>SUM(Plan!DT109:FE114)</f>
        <v>0</v>
      </c>
      <c r="G10" s="37">
        <f>SUM(Plan!FG109:GR114)</f>
        <v>0</v>
      </c>
      <c r="H10" s="37">
        <f>SUM(Plan!GT109:IE114)</f>
        <v>0</v>
      </c>
      <c r="I10" s="37">
        <f>SUM(Plan!IG109:JR114)</f>
        <v>0</v>
      </c>
      <c r="J10" s="37">
        <f>SUM(Plan!JT109:LE114)</f>
        <v>0</v>
      </c>
      <c r="K10" s="37">
        <f>SUM(Plan!LG109:MR114)</f>
        <v>0</v>
      </c>
      <c r="L10" s="37">
        <f>SUM(Plan!MT109:OE114)</f>
        <v>0</v>
      </c>
      <c r="M10" s="37">
        <f>SUM(Plan!OG109:PR114)</f>
        <v>0</v>
      </c>
      <c r="N10" s="38">
        <f t="shared" si="0"/>
        <v>70</v>
      </c>
    </row>
    <row r="11" spans="1:14" x14ac:dyDescent="0.25">
      <c r="A11" s="35" t="s">
        <v>182</v>
      </c>
      <c r="B11" s="36">
        <v>19</v>
      </c>
      <c r="C11" s="37">
        <f>SUM(Plan!G116:AR134)</f>
        <v>0</v>
      </c>
      <c r="D11" s="37">
        <f>SUM(Plan!AT116:CE134)</f>
        <v>0</v>
      </c>
      <c r="E11" s="37">
        <f>SUM(Plan!CG116:DR134)</f>
        <v>225</v>
      </c>
      <c r="F11" s="37">
        <f>SUM(Plan!DT116:FE134)</f>
        <v>0</v>
      </c>
      <c r="G11" s="37">
        <f>SUM(Plan!FG116:GR134)</f>
        <v>0</v>
      </c>
      <c r="H11" s="37">
        <f>SUM(Plan!GT116:IE134)</f>
        <v>0</v>
      </c>
      <c r="I11" s="37">
        <f>SUM(Plan!IG116:JR134)</f>
        <v>0</v>
      </c>
      <c r="J11" s="37">
        <f>SUM(Plan!JT116:LE134)</f>
        <v>0</v>
      </c>
      <c r="K11" s="37">
        <f>SUM(Plan!LG116:MR134)</f>
        <v>0</v>
      </c>
      <c r="L11" s="37">
        <f>SUM(Plan!MT116:OE134)</f>
        <v>0</v>
      </c>
      <c r="M11" s="37">
        <f>SUM(Plan!OG116:PR134)</f>
        <v>0</v>
      </c>
      <c r="N11" s="38">
        <f t="shared" si="0"/>
        <v>225</v>
      </c>
    </row>
    <row r="12" spans="1:14" x14ac:dyDescent="0.25">
      <c r="A12" s="35" t="s">
        <v>202</v>
      </c>
      <c r="B12" s="36">
        <v>7</v>
      </c>
      <c r="C12" s="37">
        <f>SUM(Plan!G136:AR142)</f>
        <v>0</v>
      </c>
      <c r="D12" s="37">
        <f>SUM(Plan!AT136:CE142)</f>
        <v>0</v>
      </c>
      <c r="E12" s="37">
        <f>SUM(Plan!CG136:DR142)</f>
        <v>0</v>
      </c>
      <c r="F12" s="37">
        <f>SUM(Plan!DT136:FE142)</f>
        <v>0</v>
      </c>
      <c r="G12" s="37">
        <f>SUM(Plan!FG136:GR142)</f>
        <v>0</v>
      </c>
      <c r="H12" s="37">
        <f>SUM(Plan!GT136:IE142)</f>
        <v>0</v>
      </c>
      <c r="I12" s="37">
        <f>SUM(Plan!IG136:JR142)</f>
        <v>0</v>
      </c>
      <c r="J12" s="37">
        <f>SUM(Plan!JT136:LE142)</f>
        <v>0</v>
      </c>
      <c r="K12" s="37">
        <f>SUM(Plan!LG136:MR142)</f>
        <v>0</v>
      </c>
      <c r="L12" s="37">
        <f>SUM(Plan!MT136:OE142)</f>
        <v>0</v>
      </c>
      <c r="M12" s="37">
        <f>SUM(Plan!OG136:PR142)</f>
        <v>0</v>
      </c>
      <c r="N12" s="38">
        <f t="shared" si="0"/>
        <v>0</v>
      </c>
    </row>
    <row r="13" spans="1:14" x14ac:dyDescent="0.25">
      <c r="A13" s="35" t="s">
        <v>210</v>
      </c>
      <c r="B13" s="36">
        <v>8</v>
      </c>
      <c r="C13" s="37">
        <f>SUM(Plan!G144:AR151)</f>
        <v>0</v>
      </c>
      <c r="D13" s="37">
        <f>SUM(Plan!AT144:CE151)</f>
        <v>0</v>
      </c>
      <c r="E13" s="37">
        <f>SUM(Plan!CG144:DR151)</f>
        <v>0</v>
      </c>
      <c r="F13" s="37">
        <f>SUM(Plan!DT144:FE151)</f>
        <v>0</v>
      </c>
      <c r="G13" s="37">
        <f>SUM(Plan!FG144:GR151)</f>
        <v>0</v>
      </c>
      <c r="H13" s="37">
        <f>SUM(Plan!GT144:IE151)</f>
        <v>0</v>
      </c>
      <c r="I13" s="37">
        <f>SUM(Plan!IG144:JR151)</f>
        <v>0</v>
      </c>
      <c r="J13" s="37">
        <f>SUM(Plan!JT144:LE151)</f>
        <v>0</v>
      </c>
      <c r="K13" s="37">
        <f>SUM(Plan!LG144:MR151)</f>
        <v>0</v>
      </c>
      <c r="L13" s="37">
        <f>SUM(Plan!MT144:OE151)</f>
        <v>0</v>
      </c>
      <c r="M13" s="37">
        <f>SUM(Plan!OG144:PR151)</f>
        <v>0</v>
      </c>
      <c r="N13" s="38">
        <f t="shared" si="0"/>
        <v>0</v>
      </c>
    </row>
    <row r="14" spans="1:14" x14ac:dyDescent="0.25">
      <c r="A14" s="35" t="s">
        <v>218</v>
      </c>
      <c r="B14" s="36">
        <v>7</v>
      </c>
      <c r="C14" s="37">
        <f>SUM(Plan!G153:AR159)</f>
        <v>0</v>
      </c>
      <c r="D14" s="37">
        <f>SUM(Plan!AT153:CE159)</f>
        <v>0</v>
      </c>
      <c r="E14" s="37">
        <f>SUM(Plan!CG153:DR159)</f>
        <v>0</v>
      </c>
      <c r="F14" s="37">
        <f>SUM(Plan!DT153:FE159)</f>
        <v>0</v>
      </c>
      <c r="G14" s="37">
        <f>SUM(Plan!FG153:GR159)</f>
        <v>0</v>
      </c>
      <c r="H14" s="37">
        <f>SUM(Plan!GT153:IE159)</f>
        <v>0</v>
      </c>
      <c r="I14" s="37">
        <f>SUM(Plan!IG153:JR159)</f>
        <v>0</v>
      </c>
      <c r="J14" s="37">
        <f>SUM(Plan!JT153:LE159)</f>
        <v>0</v>
      </c>
      <c r="K14" s="37">
        <f>SUM(Plan!LG153:MR159)</f>
        <v>0</v>
      </c>
      <c r="L14" s="37">
        <f>SUM(Plan!MT153:OE159)</f>
        <v>0</v>
      </c>
      <c r="M14" s="37">
        <f>SUM(Plan!OG153:PR159)</f>
        <v>0</v>
      </c>
      <c r="N14" s="38">
        <f t="shared" si="0"/>
        <v>0</v>
      </c>
    </row>
    <row r="16" spans="1:14" x14ac:dyDescent="0.25">
      <c r="A16" s="39" t="s">
        <v>270</v>
      </c>
      <c r="B16" s="40"/>
      <c r="C16" s="41">
        <f t="shared" ref="C16:N16" si="1">SUM(C2:C15)</f>
        <v>0</v>
      </c>
      <c r="D16" s="41">
        <f t="shared" si="1"/>
        <v>0</v>
      </c>
      <c r="E16" s="41">
        <f t="shared" si="1"/>
        <v>5634</v>
      </c>
      <c r="F16" s="41">
        <f t="shared" si="1"/>
        <v>0</v>
      </c>
      <c r="G16" s="41">
        <f t="shared" si="1"/>
        <v>0</v>
      </c>
      <c r="H16" s="41">
        <f t="shared" si="1"/>
        <v>0</v>
      </c>
      <c r="I16" s="41">
        <f t="shared" si="1"/>
        <v>0</v>
      </c>
      <c r="J16" s="41">
        <f t="shared" si="1"/>
        <v>0</v>
      </c>
      <c r="K16" s="41">
        <f t="shared" si="1"/>
        <v>0</v>
      </c>
      <c r="L16" s="41">
        <f t="shared" si="1"/>
        <v>0</v>
      </c>
      <c r="M16" s="41">
        <f t="shared" si="1"/>
        <v>0</v>
      </c>
      <c r="N16" s="41">
        <f t="shared" si="1"/>
        <v>5634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60" customWidth="1"/>
    <col min="3" max="3" width="8" customWidth="1"/>
    <col min="4" max="4" width="22" customWidth="1"/>
  </cols>
  <sheetData>
    <row r="1" spans="1:4" x14ac:dyDescent="0.25">
      <c r="A1" s="42" t="s">
        <v>21</v>
      </c>
      <c r="B1" s="42" t="s">
        <v>22</v>
      </c>
      <c r="C1" s="42" t="s">
        <v>271</v>
      </c>
      <c r="D1" s="42" t="s">
        <v>24</v>
      </c>
    </row>
    <row r="2" spans="1:4" x14ac:dyDescent="0.25">
      <c r="A2" s="43" t="s">
        <v>64</v>
      </c>
      <c r="B2" s="3" t="s">
        <v>65</v>
      </c>
      <c r="C2" s="36" t="s">
        <v>66</v>
      </c>
      <c r="D2" s="36" t="s">
        <v>67</v>
      </c>
    </row>
    <row r="3" spans="1:4" x14ac:dyDescent="0.25">
      <c r="A3" s="43" t="s">
        <v>64</v>
      </c>
      <c r="B3" s="3" t="s">
        <v>68</v>
      </c>
      <c r="C3" s="36" t="s">
        <v>66</v>
      </c>
      <c r="D3" s="36" t="s">
        <v>67</v>
      </c>
    </row>
    <row r="4" spans="1:4" x14ac:dyDescent="0.25">
      <c r="A4" s="43" t="s">
        <v>64</v>
      </c>
      <c r="B4" s="3" t="s">
        <v>69</v>
      </c>
      <c r="C4" s="36" t="s">
        <v>70</v>
      </c>
      <c r="D4" s="36" t="s">
        <v>67</v>
      </c>
    </row>
    <row r="5" spans="1:4" x14ac:dyDescent="0.25">
      <c r="A5" s="43" t="s">
        <v>64</v>
      </c>
      <c r="B5" s="3" t="s">
        <v>71</v>
      </c>
      <c r="C5" s="36" t="s">
        <v>70</v>
      </c>
      <c r="D5" s="36" t="s">
        <v>67</v>
      </c>
    </row>
    <row r="6" spans="1:4" x14ac:dyDescent="0.25">
      <c r="A6" s="43" t="s">
        <v>64</v>
      </c>
      <c r="B6" s="3" t="s">
        <v>72</v>
      </c>
      <c r="C6" s="36" t="s">
        <v>70</v>
      </c>
      <c r="D6" s="36" t="s">
        <v>73</v>
      </c>
    </row>
    <row r="7" spans="1:4" x14ac:dyDescent="0.25">
      <c r="A7" s="43" t="s">
        <v>64</v>
      </c>
      <c r="B7" s="3" t="s">
        <v>74</v>
      </c>
      <c r="C7" s="36" t="s">
        <v>66</v>
      </c>
      <c r="D7" s="36" t="s">
        <v>67</v>
      </c>
    </row>
    <row r="8" spans="1:4" x14ac:dyDescent="0.25">
      <c r="A8" s="43" t="s">
        <v>64</v>
      </c>
      <c r="B8" s="3" t="s">
        <v>75</v>
      </c>
      <c r="C8" s="36" t="s">
        <v>70</v>
      </c>
      <c r="D8" s="36" t="s">
        <v>76</v>
      </c>
    </row>
    <row r="9" spans="1:4" x14ac:dyDescent="0.25">
      <c r="A9" s="43" t="s">
        <v>64</v>
      </c>
      <c r="B9" s="3" t="s">
        <v>77</v>
      </c>
      <c r="C9" s="36" t="s">
        <v>66</v>
      </c>
      <c r="D9" s="36" t="s">
        <v>67</v>
      </c>
    </row>
    <row r="10" spans="1:4" x14ac:dyDescent="0.25">
      <c r="A10" s="43" t="s">
        <v>64</v>
      </c>
      <c r="B10" s="3" t="s">
        <v>78</v>
      </c>
      <c r="C10" s="36" t="s">
        <v>70</v>
      </c>
      <c r="D10" s="36" t="s">
        <v>76</v>
      </c>
    </row>
    <row r="11" spans="1:4" x14ac:dyDescent="0.25">
      <c r="A11" s="43" t="s">
        <v>64</v>
      </c>
      <c r="B11" s="3" t="s">
        <v>79</v>
      </c>
      <c r="C11" s="36" t="s">
        <v>70</v>
      </c>
      <c r="D11" s="36" t="s">
        <v>67</v>
      </c>
    </row>
    <row r="12" spans="1:4" x14ac:dyDescent="0.25">
      <c r="A12" s="43" t="s">
        <v>64</v>
      </c>
      <c r="B12" s="3" t="s">
        <v>80</v>
      </c>
      <c r="C12" s="36" t="s">
        <v>81</v>
      </c>
      <c r="D12" s="36" t="s">
        <v>76</v>
      </c>
    </row>
    <row r="13" spans="1:4" x14ac:dyDescent="0.25">
      <c r="A13" s="43" t="s">
        <v>82</v>
      </c>
      <c r="B13" s="3" t="s">
        <v>83</v>
      </c>
      <c r="C13" s="36" t="s">
        <v>70</v>
      </c>
      <c r="D13" s="36" t="s">
        <v>73</v>
      </c>
    </row>
    <row r="14" spans="1:4" x14ac:dyDescent="0.25">
      <c r="A14" s="43" t="s">
        <v>82</v>
      </c>
      <c r="B14" s="3" t="s">
        <v>84</v>
      </c>
      <c r="C14" s="36" t="s">
        <v>70</v>
      </c>
      <c r="D14" s="36" t="s">
        <v>76</v>
      </c>
    </row>
    <row r="15" spans="1:4" x14ac:dyDescent="0.25">
      <c r="A15" s="43" t="s">
        <v>82</v>
      </c>
      <c r="B15" s="3" t="s">
        <v>85</v>
      </c>
      <c r="C15" s="36" t="s">
        <v>70</v>
      </c>
      <c r="D15" s="36" t="s">
        <v>76</v>
      </c>
    </row>
    <row r="16" spans="1:4" x14ac:dyDescent="0.25">
      <c r="A16" s="43" t="s">
        <v>82</v>
      </c>
      <c r="B16" s="3" t="s">
        <v>86</v>
      </c>
      <c r="C16" s="36" t="s">
        <v>70</v>
      </c>
      <c r="D16" s="36" t="s">
        <v>76</v>
      </c>
    </row>
    <row r="17" spans="1:4" x14ac:dyDescent="0.25">
      <c r="A17" s="43" t="s">
        <v>82</v>
      </c>
      <c r="B17" s="3" t="s">
        <v>87</v>
      </c>
      <c r="C17" s="36" t="s">
        <v>70</v>
      </c>
      <c r="D17" s="36" t="s">
        <v>76</v>
      </c>
    </row>
    <row r="18" spans="1:4" x14ac:dyDescent="0.25">
      <c r="A18" s="43" t="s">
        <v>82</v>
      </c>
      <c r="B18" s="3" t="s">
        <v>88</v>
      </c>
      <c r="C18" s="36" t="s">
        <v>70</v>
      </c>
      <c r="D18" s="36" t="s">
        <v>76</v>
      </c>
    </row>
    <row r="19" spans="1:4" x14ac:dyDescent="0.25">
      <c r="A19" s="43" t="s">
        <v>82</v>
      </c>
      <c r="B19" s="3" t="s">
        <v>89</v>
      </c>
      <c r="C19" s="36" t="s">
        <v>70</v>
      </c>
      <c r="D19" s="36" t="s">
        <v>76</v>
      </c>
    </row>
    <row r="20" spans="1:4" x14ac:dyDescent="0.25">
      <c r="A20" s="43" t="s">
        <v>82</v>
      </c>
      <c r="B20" s="3" t="s">
        <v>90</v>
      </c>
      <c r="C20" s="36" t="s">
        <v>70</v>
      </c>
      <c r="D20" s="36" t="s">
        <v>76</v>
      </c>
    </row>
    <row r="21" spans="1:4" x14ac:dyDescent="0.25">
      <c r="A21" s="43" t="s">
        <v>82</v>
      </c>
      <c r="B21" s="3" t="s">
        <v>91</v>
      </c>
      <c r="C21" s="36" t="s">
        <v>66</v>
      </c>
      <c r="D21" s="36" t="s">
        <v>73</v>
      </c>
    </row>
    <row r="22" spans="1:4" x14ac:dyDescent="0.25">
      <c r="A22" s="43" t="s">
        <v>82</v>
      </c>
      <c r="B22" s="3" t="s">
        <v>92</v>
      </c>
      <c r="C22" s="36" t="s">
        <v>66</v>
      </c>
      <c r="D22" s="36" t="s">
        <v>67</v>
      </c>
    </row>
    <row r="23" spans="1:4" x14ac:dyDescent="0.25">
      <c r="A23" s="43" t="s">
        <v>82</v>
      </c>
      <c r="B23" s="3" t="s">
        <v>93</v>
      </c>
      <c r="C23" s="36" t="s">
        <v>66</v>
      </c>
      <c r="D23" s="36" t="s">
        <v>67</v>
      </c>
    </row>
    <row r="24" spans="1:4" x14ac:dyDescent="0.25">
      <c r="A24" s="43" t="s">
        <v>82</v>
      </c>
      <c r="B24" s="3" t="s">
        <v>94</v>
      </c>
      <c r="C24" s="36" t="s">
        <v>70</v>
      </c>
      <c r="D24" s="36" t="s">
        <v>76</v>
      </c>
    </row>
    <row r="25" spans="1:4" x14ac:dyDescent="0.25">
      <c r="A25" s="43" t="s">
        <v>82</v>
      </c>
      <c r="B25" s="3" t="s">
        <v>95</v>
      </c>
      <c r="C25" s="36" t="s">
        <v>70</v>
      </c>
      <c r="D25" s="36" t="s">
        <v>67</v>
      </c>
    </row>
    <row r="26" spans="1:4" x14ac:dyDescent="0.25">
      <c r="A26" s="43" t="s">
        <v>82</v>
      </c>
      <c r="B26" s="3" t="s">
        <v>96</v>
      </c>
      <c r="C26" s="36" t="s">
        <v>70</v>
      </c>
      <c r="D26" s="36" t="s">
        <v>67</v>
      </c>
    </row>
    <row r="27" spans="1:4" x14ac:dyDescent="0.25">
      <c r="A27" s="43" t="s">
        <v>82</v>
      </c>
      <c r="B27" s="3" t="s">
        <v>97</v>
      </c>
      <c r="C27" s="36" t="s">
        <v>66</v>
      </c>
      <c r="D27" s="36" t="s">
        <v>76</v>
      </c>
    </row>
    <row r="28" spans="1:4" x14ac:dyDescent="0.25">
      <c r="A28" s="43" t="s">
        <v>82</v>
      </c>
      <c r="B28" s="3" t="s">
        <v>98</v>
      </c>
      <c r="C28" s="36" t="s">
        <v>66</v>
      </c>
      <c r="D28" s="36" t="s">
        <v>76</v>
      </c>
    </row>
    <row r="29" spans="1:4" x14ac:dyDescent="0.25">
      <c r="A29" s="43" t="s">
        <v>82</v>
      </c>
      <c r="B29" s="3" t="s">
        <v>99</v>
      </c>
      <c r="C29" s="36" t="s">
        <v>66</v>
      </c>
      <c r="D29" s="36" t="s">
        <v>76</v>
      </c>
    </row>
    <row r="30" spans="1:4" x14ac:dyDescent="0.25">
      <c r="A30" s="43" t="s">
        <v>82</v>
      </c>
      <c r="B30" s="3" t="s">
        <v>100</v>
      </c>
      <c r="C30" s="36" t="s">
        <v>70</v>
      </c>
      <c r="D30" s="36" t="s">
        <v>67</v>
      </c>
    </row>
    <row r="31" spans="1:4" x14ac:dyDescent="0.25">
      <c r="A31" s="43" t="s">
        <v>82</v>
      </c>
      <c r="B31" s="3" t="s">
        <v>101</v>
      </c>
      <c r="C31" s="36" t="s">
        <v>66</v>
      </c>
      <c r="D31" s="36" t="s">
        <v>76</v>
      </c>
    </row>
    <row r="32" spans="1:4" x14ac:dyDescent="0.25">
      <c r="A32" s="43" t="s">
        <v>82</v>
      </c>
      <c r="B32" s="3" t="s">
        <v>102</v>
      </c>
      <c r="C32" s="36" t="s">
        <v>70</v>
      </c>
      <c r="D32" s="36" t="s">
        <v>67</v>
      </c>
    </row>
    <row r="33" spans="1:4" x14ac:dyDescent="0.25">
      <c r="A33" s="43" t="s">
        <v>82</v>
      </c>
      <c r="B33" s="3" t="s">
        <v>103</v>
      </c>
      <c r="C33" s="36" t="s">
        <v>70</v>
      </c>
      <c r="D33" s="36" t="s">
        <v>104</v>
      </c>
    </row>
    <row r="34" spans="1:4" x14ac:dyDescent="0.25">
      <c r="A34" s="43" t="s">
        <v>82</v>
      </c>
      <c r="B34" s="3" t="s">
        <v>105</v>
      </c>
      <c r="C34" s="36" t="s">
        <v>70</v>
      </c>
      <c r="D34" s="36" t="s">
        <v>76</v>
      </c>
    </row>
    <row r="35" spans="1:4" x14ac:dyDescent="0.25">
      <c r="A35" s="43" t="s">
        <v>82</v>
      </c>
      <c r="B35" s="3" t="s">
        <v>106</v>
      </c>
      <c r="C35" s="36" t="s">
        <v>70</v>
      </c>
      <c r="D35" s="36" t="s">
        <v>76</v>
      </c>
    </row>
    <row r="36" spans="1:4" x14ac:dyDescent="0.25">
      <c r="A36" s="43" t="s">
        <v>82</v>
      </c>
      <c r="B36" s="3" t="s">
        <v>107</v>
      </c>
      <c r="C36" s="36" t="s">
        <v>70</v>
      </c>
      <c r="D36" s="36" t="s">
        <v>76</v>
      </c>
    </row>
    <row r="37" spans="1:4" x14ac:dyDescent="0.25">
      <c r="A37" s="43" t="s">
        <v>82</v>
      </c>
      <c r="B37" s="3" t="s">
        <v>108</v>
      </c>
      <c r="C37" s="36" t="s">
        <v>70</v>
      </c>
      <c r="D37" s="36" t="s">
        <v>76</v>
      </c>
    </row>
    <row r="38" spans="1:4" x14ac:dyDescent="0.25">
      <c r="A38" s="43" t="s">
        <v>82</v>
      </c>
      <c r="B38" s="3" t="s">
        <v>109</v>
      </c>
      <c r="C38" s="36" t="s">
        <v>70</v>
      </c>
      <c r="D38" s="36" t="s">
        <v>76</v>
      </c>
    </row>
    <row r="39" spans="1:4" x14ac:dyDescent="0.25">
      <c r="A39" s="43" t="s">
        <v>82</v>
      </c>
      <c r="B39" s="3" t="s">
        <v>110</v>
      </c>
      <c r="C39" s="36" t="s">
        <v>70</v>
      </c>
      <c r="D39" s="36" t="s">
        <v>76</v>
      </c>
    </row>
    <row r="40" spans="1:4" x14ac:dyDescent="0.25">
      <c r="A40" s="43" t="s">
        <v>82</v>
      </c>
      <c r="B40" s="3" t="s">
        <v>111</v>
      </c>
      <c r="C40" s="36" t="s">
        <v>70</v>
      </c>
      <c r="D40" s="36" t="s">
        <v>76</v>
      </c>
    </row>
    <row r="41" spans="1:4" x14ac:dyDescent="0.25">
      <c r="A41" s="43" t="s">
        <v>82</v>
      </c>
      <c r="B41" s="3" t="s">
        <v>112</v>
      </c>
      <c r="C41" s="36" t="s">
        <v>70</v>
      </c>
      <c r="D41" s="36" t="s">
        <v>104</v>
      </c>
    </row>
    <row r="42" spans="1:4" x14ac:dyDescent="0.25">
      <c r="A42" s="43" t="s">
        <v>113</v>
      </c>
      <c r="B42" s="3" t="s">
        <v>114</v>
      </c>
      <c r="C42" s="36" t="s">
        <v>66</v>
      </c>
      <c r="D42" s="36" t="s">
        <v>73</v>
      </c>
    </row>
    <row r="43" spans="1:4" x14ac:dyDescent="0.25">
      <c r="A43" s="43" t="s">
        <v>113</v>
      </c>
      <c r="B43" s="3" t="s">
        <v>115</v>
      </c>
      <c r="C43" s="36" t="s">
        <v>70</v>
      </c>
      <c r="D43" s="36" t="s">
        <v>76</v>
      </c>
    </row>
    <row r="44" spans="1:4" x14ac:dyDescent="0.25">
      <c r="A44" s="43" t="s">
        <v>113</v>
      </c>
      <c r="B44" s="3" t="s">
        <v>116</v>
      </c>
      <c r="C44" s="36" t="s">
        <v>66</v>
      </c>
      <c r="D44" s="36" t="s">
        <v>76</v>
      </c>
    </row>
    <row r="45" spans="1:4" x14ac:dyDescent="0.25">
      <c r="A45" s="43" t="s">
        <v>113</v>
      </c>
      <c r="B45" s="3" t="s">
        <v>117</v>
      </c>
      <c r="C45" s="36" t="s">
        <v>70</v>
      </c>
      <c r="D45" s="36" t="s">
        <v>76</v>
      </c>
    </row>
    <row r="46" spans="1:4" x14ac:dyDescent="0.25">
      <c r="A46" s="43" t="s">
        <v>113</v>
      </c>
      <c r="B46" s="3" t="s">
        <v>118</v>
      </c>
      <c r="C46" s="36" t="s">
        <v>66</v>
      </c>
      <c r="D46" s="36" t="s">
        <v>76</v>
      </c>
    </row>
    <row r="47" spans="1:4" x14ac:dyDescent="0.25">
      <c r="A47" s="43" t="s">
        <v>113</v>
      </c>
      <c r="B47" s="3" t="s">
        <v>119</v>
      </c>
      <c r="C47" s="36" t="s">
        <v>70</v>
      </c>
      <c r="D47" s="36" t="s">
        <v>73</v>
      </c>
    </row>
    <row r="48" spans="1:4" x14ac:dyDescent="0.25">
      <c r="A48" s="43" t="s">
        <v>113</v>
      </c>
      <c r="B48" s="3" t="s">
        <v>120</v>
      </c>
      <c r="C48" s="36" t="s">
        <v>66</v>
      </c>
      <c r="D48" s="36" t="s">
        <v>67</v>
      </c>
    </row>
    <row r="49" spans="1:4" x14ac:dyDescent="0.25">
      <c r="A49" s="43" t="s">
        <v>113</v>
      </c>
      <c r="B49" s="3" t="s">
        <v>121</v>
      </c>
      <c r="C49" s="36" t="s">
        <v>66</v>
      </c>
      <c r="D49" s="36" t="s">
        <v>76</v>
      </c>
    </row>
    <row r="50" spans="1:4" x14ac:dyDescent="0.25">
      <c r="A50" s="43" t="s">
        <v>113</v>
      </c>
      <c r="B50" s="3" t="s">
        <v>122</v>
      </c>
      <c r="C50" s="36" t="s">
        <v>70</v>
      </c>
      <c r="D50" s="36" t="s">
        <v>67</v>
      </c>
    </row>
    <row r="51" spans="1:4" x14ac:dyDescent="0.25">
      <c r="A51" s="43" t="s">
        <v>123</v>
      </c>
      <c r="B51" s="3" t="s">
        <v>124</v>
      </c>
      <c r="C51" s="36" t="s">
        <v>66</v>
      </c>
      <c r="D51" s="36" t="s">
        <v>73</v>
      </c>
    </row>
    <row r="52" spans="1:4" x14ac:dyDescent="0.25">
      <c r="A52" s="43" t="s">
        <v>123</v>
      </c>
      <c r="B52" s="3" t="s">
        <v>125</v>
      </c>
      <c r="C52" s="36" t="s">
        <v>70</v>
      </c>
      <c r="D52" s="36" t="s">
        <v>76</v>
      </c>
    </row>
    <row r="53" spans="1:4" x14ac:dyDescent="0.25">
      <c r="A53" s="43" t="s">
        <v>123</v>
      </c>
      <c r="B53" s="3" t="s">
        <v>126</v>
      </c>
      <c r="C53" s="36" t="s">
        <v>70</v>
      </c>
      <c r="D53" s="36" t="s">
        <v>73</v>
      </c>
    </row>
    <row r="54" spans="1:4" x14ac:dyDescent="0.25">
      <c r="A54" s="43" t="s">
        <v>123</v>
      </c>
      <c r="B54" s="3" t="s">
        <v>127</v>
      </c>
      <c r="C54" s="36" t="s">
        <v>66</v>
      </c>
      <c r="D54" s="36" t="s">
        <v>67</v>
      </c>
    </row>
    <row r="55" spans="1:4" x14ac:dyDescent="0.25">
      <c r="A55" s="43" t="s">
        <v>123</v>
      </c>
      <c r="B55" s="3" t="s">
        <v>128</v>
      </c>
      <c r="C55" s="36" t="s">
        <v>70</v>
      </c>
      <c r="D55" s="36" t="s">
        <v>76</v>
      </c>
    </row>
    <row r="56" spans="1:4" x14ac:dyDescent="0.25">
      <c r="A56" s="43" t="s">
        <v>123</v>
      </c>
      <c r="B56" s="3" t="s">
        <v>129</v>
      </c>
      <c r="C56" s="36" t="s">
        <v>70</v>
      </c>
      <c r="D56" s="36" t="s">
        <v>76</v>
      </c>
    </row>
    <row r="57" spans="1:4" x14ac:dyDescent="0.25">
      <c r="A57" s="43" t="s">
        <v>123</v>
      </c>
      <c r="B57" s="3" t="s">
        <v>130</v>
      </c>
      <c r="C57" s="36" t="s">
        <v>70</v>
      </c>
      <c r="D57" s="36" t="s">
        <v>67</v>
      </c>
    </row>
    <row r="58" spans="1:4" x14ac:dyDescent="0.25">
      <c r="A58" s="43" t="s">
        <v>123</v>
      </c>
      <c r="B58" s="3" t="s">
        <v>131</v>
      </c>
      <c r="C58" s="36" t="s">
        <v>81</v>
      </c>
      <c r="D58" s="36" t="s">
        <v>76</v>
      </c>
    </row>
    <row r="59" spans="1:4" x14ac:dyDescent="0.25">
      <c r="A59" s="43" t="s">
        <v>132</v>
      </c>
      <c r="B59" s="3" t="s">
        <v>133</v>
      </c>
      <c r="C59" s="36" t="s">
        <v>66</v>
      </c>
      <c r="D59" s="36" t="s">
        <v>73</v>
      </c>
    </row>
    <row r="60" spans="1:4" x14ac:dyDescent="0.25">
      <c r="A60" s="43" t="s">
        <v>132</v>
      </c>
      <c r="B60" s="3" t="s">
        <v>134</v>
      </c>
      <c r="C60" s="36" t="s">
        <v>70</v>
      </c>
      <c r="D60" s="36" t="s">
        <v>73</v>
      </c>
    </row>
    <row r="61" spans="1:4" x14ac:dyDescent="0.25">
      <c r="A61" s="43" t="s">
        <v>132</v>
      </c>
      <c r="B61" s="3" t="s">
        <v>135</v>
      </c>
      <c r="C61" s="36" t="s">
        <v>70</v>
      </c>
      <c r="D61" s="36" t="s">
        <v>76</v>
      </c>
    </row>
    <row r="62" spans="1:4" x14ac:dyDescent="0.25">
      <c r="A62" s="43" t="s">
        <v>132</v>
      </c>
      <c r="B62" s="3" t="s">
        <v>136</v>
      </c>
      <c r="C62" s="36" t="s">
        <v>70</v>
      </c>
      <c r="D62" s="36" t="s">
        <v>73</v>
      </c>
    </row>
    <row r="63" spans="1:4" x14ac:dyDescent="0.25">
      <c r="A63" s="43" t="s">
        <v>132</v>
      </c>
      <c r="B63" s="3" t="s">
        <v>137</v>
      </c>
      <c r="C63" s="36" t="s">
        <v>66</v>
      </c>
      <c r="D63" s="36" t="s">
        <v>67</v>
      </c>
    </row>
    <row r="64" spans="1:4" x14ac:dyDescent="0.25">
      <c r="A64" s="43" t="s">
        <v>132</v>
      </c>
      <c r="B64" s="3" t="s">
        <v>138</v>
      </c>
      <c r="C64" s="36" t="s">
        <v>70</v>
      </c>
      <c r="D64" s="36" t="s">
        <v>76</v>
      </c>
    </row>
    <row r="65" spans="1:4" x14ac:dyDescent="0.25">
      <c r="A65" s="43" t="s">
        <v>132</v>
      </c>
      <c r="B65" s="3" t="s">
        <v>139</v>
      </c>
      <c r="C65" s="36" t="s">
        <v>70</v>
      </c>
      <c r="D65" s="36" t="s">
        <v>76</v>
      </c>
    </row>
    <row r="66" spans="1:4" x14ac:dyDescent="0.25">
      <c r="A66" s="43" t="s">
        <v>132</v>
      </c>
      <c r="B66" s="3" t="s">
        <v>140</v>
      </c>
      <c r="C66" s="36" t="s">
        <v>81</v>
      </c>
      <c r="D66" s="36" t="s">
        <v>73</v>
      </c>
    </row>
    <row r="67" spans="1:4" x14ac:dyDescent="0.25">
      <c r="A67" s="43" t="s">
        <v>132</v>
      </c>
      <c r="B67" s="3" t="s">
        <v>141</v>
      </c>
      <c r="C67" s="36" t="s">
        <v>81</v>
      </c>
      <c r="D67" s="36" t="s">
        <v>76</v>
      </c>
    </row>
    <row r="68" spans="1:4" x14ac:dyDescent="0.25">
      <c r="A68" s="43" t="s">
        <v>142</v>
      </c>
      <c r="B68" s="3" t="s">
        <v>143</v>
      </c>
      <c r="C68" s="36" t="s">
        <v>66</v>
      </c>
      <c r="D68" s="36" t="s">
        <v>76</v>
      </c>
    </row>
    <row r="69" spans="1:4" x14ac:dyDescent="0.25">
      <c r="A69" s="43" t="s">
        <v>142</v>
      </c>
      <c r="B69" s="3" t="s">
        <v>144</v>
      </c>
      <c r="C69" s="36" t="s">
        <v>70</v>
      </c>
      <c r="D69" s="36" t="s">
        <v>76</v>
      </c>
    </row>
    <row r="70" spans="1:4" x14ac:dyDescent="0.25">
      <c r="A70" s="43" t="s">
        <v>142</v>
      </c>
      <c r="B70" s="3" t="s">
        <v>145</v>
      </c>
      <c r="C70" s="36" t="s">
        <v>66</v>
      </c>
      <c r="D70" s="36" t="s">
        <v>76</v>
      </c>
    </row>
    <row r="71" spans="1:4" x14ac:dyDescent="0.25">
      <c r="A71" s="43" t="s">
        <v>142</v>
      </c>
      <c r="B71" s="3" t="s">
        <v>146</v>
      </c>
      <c r="C71" s="36" t="s">
        <v>70</v>
      </c>
      <c r="D71" s="36" t="s">
        <v>76</v>
      </c>
    </row>
    <row r="72" spans="1:4" x14ac:dyDescent="0.25">
      <c r="A72" s="43" t="s">
        <v>142</v>
      </c>
      <c r="B72" s="3" t="s">
        <v>147</v>
      </c>
      <c r="C72" s="36" t="s">
        <v>66</v>
      </c>
      <c r="D72" s="36" t="s">
        <v>76</v>
      </c>
    </row>
    <row r="73" spans="1:4" x14ac:dyDescent="0.25">
      <c r="A73" s="43" t="s">
        <v>142</v>
      </c>
      <c r="B73" s="3" t="s">
        <v>148</v>
      </c>
      <c r="C73" s="36" t="s">
        <v>66</v>
      </c>
      <c r="D73" s="36" t="s">
        <v>76</v>
      </c>
    </row>
    <row r="74" spans="1:4" x14ac:dyDescent="0.25">
      <c r="A74" s="43" t="s">
        <v>142</v>
      </c>
      <c r="B74" s="3" t="s">
        <v>149</v>
      </c>
      <c r="C74" s="36" t="s">
        <v>70</v>
      </c>
      <c r="D74" s="36" t="s">
        <v>76</v>
      </c>
    </row>
    <row r="75" spans="1:4" x14ac:dyDescent="0.25">
      <c r="A75" s="43" t="s">
        <v>150</v>
      </c>
      <c r="B75" s="3" t="s">
        <v>151</v>
      </c>
      <c r="C75" s="36" t="s">
        <v>66</v>
      </c>
      <c r="D75" s="36" t="s">
        <v>73</v>
      </c>
    </row>
    <row r="76" spans="1:4" x14ac:dyDescent="0.25">
      <c r="A76" s="43" t="s">
        <v>150</v>
      </c>
      <c r="B76" s="3" t="s">
        <v>152</v>
      </c>
      <c r="C76" s="36" t="s">
        <v>70</v>
      </c>
      <c r="D76" s="36" t="s">
        <v>67</v>
      </c>
    </row>
    <row r="77" spans="1:4" x14ac:dyDescent="0.25">
      <c r="A77" s="43" t="s">
        <v>150</v>
      </c>
      <c r="B77" s="3" t="s">
        <v>153</v>
      </c>
      <c r="C77" s="36" t="s">
        <v>66</v>
      </c>
      <c r="D77" s="36" t="s">
        <v>67</v>
      </c>
    </row>
    <row r="78" spans="1:4" ht="26.1" customHeight="1" x14ac:dyDescent="0.25">
      <c r="A78" s="43" t="s">
        <v>150</v>
      </c>
      <c r="B78" s="3" t="s">
        <v>154</v>
      </c>
      <c r="C78" s="36" t="s">
        <v>66</v>
      </c>
      <c r="D78" s="36" t="s">
        <v>73</v>
      </c>
    </row>
    <row r="79" spans="1:4" x14ac:dyDescent="0.25">
      <c r="A79" s="43" t="s">
        <v>150</v>
      </c>
      <c r="B79" s="3" t="s">
        <v>155</v>
      </c>
      <c r="C79" s="36" t="s">
        <v>70</v>
      </c>
      <c r="D79" s="36" t="s">
        <v>76</v>
      </c>
    </row>
    <row r="80" spans="1:4" x14ac:dyDescent="0.25">
      <c r="A80" s="43" t="s">
        <v>150</v>
      </c>
      <c r="B80" s="3" t="s">
        <v>156</v>
      </c>
      <c r="C80" s="36" t="s">
        <v>70</v>
      </c>
      <c r="D80" s="36" t="s">
        <v>76</v>
      </c>
    </row>
    <row r="81" spans="1:4" x14ac:dyDescent="0.25">
      <c r="A81" s="43" t="s">
        <v>150</v>
      </c>
      <c r="B81" s="3" t="s">
        <v>157</v>
      </c>
      <c r="C81" s="36" t="s">
        <v>70</v>
      </c>
      <c r="D81" s="36" t="s">
        <v>76</v>
      </c>
    </row>
    <row r="82" spans="1:4" x14ac:dyDescent="0.25">
      <c r="A82" s="43" t="s">
        <v>150</v>
      </c>
      <c r="B82" s="3" t="s">
        <v>158</v>
      </c>
      <c r="C82" s="36" t="s">
        <v>66</v>
      </c>
      <c r="D82" s="36" t="s">
        <v>73</v>
      </c>
    </row>
    <row r="83" spans="1:4" x14ac:dyDescent="0.25">
      <c r="A83" s="43" t="s">
        <v>150</v>
      </c>
      <c r="B83" s="3" t="s">
        <v>159</v>
      </c>
      <c r="C83" s="36" t="s">
        <v>66</v>
      </c>
      <c r="D83" s="36" t="s">
        <v>73</v>
      </c>
    </row>
    <row r="84" spans="1:4" x14ac:dyDescent="0.25">
      <c r="A84" s="43" t="s">
        <v>150</v>
      </c>
      <c r="B84" s="3" t="s">
        <v>160</v>
      </c>
      <c r="C84" s="36" t="s">
        <v>70</v>
      </c>
      <c r="D84" s="36" t="s">
        <v>76</v>
      </c>
    </row>
    <row r="85" spans="1:4" x14ac:dyDescent="0.25">
      <c r="A85" s="43" t="s">
        <v>150</v>
      </c>
      <c r="B85" s="3" t="s">
        <v>161</v>
      </c>
      <c r="C85" s="36" t="s">
        <v>66</v>
      </c>
      <c r="D85" s="36" t="s">
        <v>76</v>
      </c>
    </row>
    <row r="86" spans="1:4" x14ac:dyDescent="0.25">
      <c r="A86" s="43" t="s">
        <v>150</v>
      </c>
      <c r="B86" s="3" t="s">
        <v>162</v>
      </c>
      <c r="C86" s="36" t="s">
        <v>70</v>
      </c>
      <c r="D86" s="36" t="s">
        <v>73</v>
      </c>
    </row>
    <row r="87" spans="1:4" x14ac:dyDescent="0.25">
      <c r="A87" s="43" t="s">
        <v>163</v>
      </c>
      <c r="B87" s="3" t="s">
        <v>164</v>
      </c>
      <c r="C87" s="36" t="s">
        <v>70</v>
      </c>
      <c r="D87" s="36" t="s">
        <v>67</v>
      </c>
    </row>
    <row r="88" spans="1:4" x14ac:dyDescent="0.25">
      <c r="A88" s="43" t="s">
        <v>163</v>
      </c>
      <c r="B88" s="3" t="s">
        <v>165</v>
      </c>
      <c r="C88" s="36" t="s">
        <v>70</v>
      </c>
      <c r="D88" s="36" t="s">
        <v>67</v>
      </c>
    </row>
    <row r="89" spans="1:4" x14ac:dyDescent="0.25">
      <c r="A89" s="43" t="s">
        <v>163</v>
      </c>
      <c r="B89" s="3" t="s">
        <v>166</v>
      </c>
      <c r="C89" s="36" t="s">
        <v>66</v>
      </c>
      <c r="D89" s="36" t="s">
        <v>67</v>
      </c>
    </row>
    <row r="90" spans="1:4" x14ac:dyDescent="0.25">
      <c r="A90" s="43" t="s">
        <v>163</v>
      </c>
      <c r="B90" s="3" t="s">
        <v>167</v>
      </c>
      <c r="C90" s="36" t="s">
        <v>70</v>
      </c>
      <c r="D90" s="36" t="s">
        <v>67</v>
      </c>
    </row>
    <row r="91" spans="1:4" x14ac:dyDescent="0.25">
      <c r="A91" s="43" t="s">
        <v>163</v>
      </c>
      <c r="B91" s="3" t="s">
        <v>168</v>
      </c>
      <c r="C91" s="36" t="s">
        <v>66</v>
      </c>
      <c r="D91" s="36" t="s">
        <v>67</v>
      </c>
    </row>
    <row r="92" spans="1:4" x14ac:dyDescent="0.25">
      <c r="A92" s="43" t="s">
        <v>163</v>
      </c>
      <c r="B92" s="3" t="s">
        <v>169</v>
      </c>
      <c r="C92" s="36" t="s">
        <v>70</v>
      </c>
      <c r="D92" s="36" t="s">
        <v>67</v>
      </c>
    </row>
    <row r="93" spans="1:4" x14ac:dyDescent="0.25">
      <c r="A93" s="43" t="s">
        <v>163</v>
      </c>
      <c r="B93" s="3" t="s">
        <v>170</v>
      </c>
      <c r="C93" s="36" t="s">
        <v>81</v>
      </c>
      <c r="D93" s="36" t="s">
        <v>73</v>
      </c>
    </row>
    <row r="94" spans="1:4" x14ac:dyDescent="0.25">
      <c r="A94" s="43" t="s">
        <v>163</v>
      </c>
      <c r="B94" s="3" t="s">
        <v>171</v>
      </c>
      <c r="C94" s="36" t="s">
        <v>81</v>
      </c>
      <c r="D94" s="36" t="s">
        <v>67</v>
      </c>
    </row>
    <row r="95" spans="1:4" x14ac:dyDescent="0.25">
      <c r="A95" s="43" t="s">
        <v>163</v>
      </c>
      <c r="B95" s="3" t="s">
        <v>172</v>
      </c>
      <c r="C95" s="36" t="s">
        <v>70</v>
      </c>
      <c r="D95" s="36" t="s">
        <v>76</v>
      </c>
    </row>
    <row r="96" spans="1:4" x14ac:dyDescent="0.25">
      <c r="A96" s="43" t="s">
        <v>163</v>
      </c>
      <c r="B96" s="3" t="s">
        <v>173</v>
      </c>
      <c r="C96" s="36" t="s">
        <v>70</v>
      </c>
      <c r="D96" s="36" t="s">
        <v>76</v>
      </c>
    </row>
    <row r="97" spans="1:4" x14ac:dyDescent="0.25">
      <c r="A97" s="43" t="s">
        <v>174</v>
      </c>
      <c r="B97" s="3" t="s">
        <v>175</v>
      </c>
      <c r="C97" s="36" t="s">
        <v>70</v>
      </c>
      <c r="D97" s="36" t="s">
        <v>76</v>
      </c>
    </row>
    <row r="98" spans="1:4" x14ac:dyDescent="0.25">
      <c r="A98" s="43" t="s">
        <v>174</v>
      </c>
      <c r="B98" s="3" t="s">
        <v>176</v>
      </c>
      <c r="C98" s="36" t="s">
        <v>70</v>
      </c>
      <c r="D98" s="36" t="s">
        <v>76</v>
      </c>
    </row>
    <row r="99" spans="1:4" x14ac:dyDescent="0.25">
      <c r="A99" s="43" t="s">
        <v>174</v>
      </c>
      <c r="B99" s="3" t="s">
        <v>177</v>
      </c>
      <c r="C99" s="36" t="s">
        <v>70</v>
      </c>
      <c r="D99" s="36" t="s">
        <v>73</v>
      </c>
    </row>
    <row r="100" spans="1:4" x14ac:dyDescent="0.25">
      <c r="A100" s="43" t="s">
        <v>174</v>
      </c>
      <c r="B100" s="3" t="s">
        <v>178</v>
      </c>
      <c r="C100" s="36" t="s">
        <v>66</v>
      </c>
      <c r="D100" s="36" t="s">
        <v>179</v>
      </c>
    </row>
    <row r="101" spans="1:4" x14ac:dyDescent="0.25">
      <c r="A101" s="43" t="s">
        <v>174</v>
      </c>
      <c r="B101" s="3" t="s">
        <v>180</v>
      </c>
      <c r="C101" s="36" t="s">
        <v>70</v>
      </c>
      <c r="D101" s="36" t="s">
        <v>76</v>
      </c>
    </row>
    <row r="102" spans="1:4" x14ac:dyDescent="0.25">
      <c r="A102" s="43" t="s">
        <v>174</v>
      </c>
      <c r="B102" s="3" t="s">
        <v>181</v>
      </c>
      <c r="C102" s="36" t="s">
        <v>70</v>
      </c>
      <c r="D102" s="36" t="s">
        <v>76</v>
      </c>
    </row>
    <row r="103" spans="1:4" x14ac:dyDescent="0.25">
      <c r="A103" s="43" t="s">
        <v>182</v>
      </c>
      <c r="B103" s="3" t="s">
        <v>183</v>
      </c>
      <c r="C103" s="36" t="s">
        <v>70</v>
      </c>
      <c r="D103" s="36" t="s">
        <v>73</v>
      </c>
    </row>
    <row r="104" spans="1:4" x14ac:dyDescent="0.25">
      <c r="A104" s="43" t="s">
        <v>182</v>
      </c>
      <c r="B104" s="3" t="s">
        <v>184</v>
      </c>
      <c r="C104" s="36" t="s">
        <v>70</v>
      </c>
      <c r="D104" s="36" t="s">
        <v>73</v>
      </c>
    </row>
    <row r="105" spans="1:4" x14ac:dyDescent="0.25">
      <c r="A105" s="43" t="s">
        <v>182</v>
      </c>
      <c r="B105" s="3" t="s">
        <v>185</v>
      </c>
      <c r="C105" s="36" t="s">
        <v>70</v>
      </c>
      <c r="D105" s="36" t="s">
        <v>67</v>
      </c>
    </row>
    <row r="106" spans="1:4" x14ac:dyDescent="0.25">
      <c r="A106" s="43" t="s">
        <v>182</v>
      </c>
      <c r="B106" s="3" t="s">
        <v>186</v>
      </c>
      <c r="C106" s="36" t="s">
        <v>70</v>
      </c>
      <c r="D106" s="36" t="s">
        <v>67</v>
      </c>
    </row>
    <row r="107" spans="1:4" x14ac:dyDescent="0.25">
      <c r="A107" s="43" t="s">
        <v>182</v>
      </c>
      <c r="B107" s="3" t="s">
        <v>187</v>
      </c>
      <c r="C107" s="36" t="s">
        <v>70</v>
      </c>
      <c r="D107" s="36" t="s">
        <v>67</v>
      </c>
    </row>
    <row r="108" spans="1:4" x14ac:dyDescent="0.25">
      <c r="A108" s="43" t="s">
        <v>182</v>
      </c>
      <c r="B108" s="3" t="s">
        <v>188</v>
      </c>
      <c r="C108" s="36" t="s">
        <v>70</v>
      </c>
      <c r="D108" s="36" t="s">
        <v>67</v>
      </c>
    </row>
    <row r="109" spans="1:4" x14ac:dyDescent="0.25">
      <c r="A109" s="43" t="s">
        <v>182</v>
      </c>
      <c r="B109" s="3" t="s">
        <v>189</v>
      </c>
      <c r="C109" s="36" t="s">
        <v>70</v>
      </c>
      <c r="D109" s="36" t="s">
        <v>67</v>
      </c>
    </row>
    <row r="110" spans="1:4" x14ac:dyDescent="0.25">
      <c r="A110" s="43" t="s">
        <v>182</v>
      </c>
      <c r="B110" s="3" t="s">
        <v>190</v>
      </c>
      <c r="C110" s="36" t="s">
        <v>66</v>
      </c>
      <c r="D110" s="36" t="s">
        <v>67</v>
      </c>
    </row>
    <row r="111" spans="1:4" x14ac:dyDescent="0.25">
      <c r="A111" s="43" t="s">
        <v>182</v>
      </c>
      <c r="B111" s="3" t="s">
        <v>191</v>
      </c>
      <c r="C111" s="36" t="s">
        <v>70</v>
      </c>
      <c r="D111" s="36" t="s">
        <v>67</v>
      </c>
    </row>
    <row r="112" spans="1:4" x14ac:dyDescent="0.25">
      <c r="A112" s="43" t="s">
        <v>182</v>
      </c>
      <c r="B112" s="3" t="s">
        <v>192</v>
      </c>
      <c r="C112" s="36" t="s">
        <v>70</v>
      </c>
      <c r="D112" s="36" t="s">
        <v>67</v>
      </c>
    </row>
    <row r="113" spans="1:4" x14ac:dyDescent="0.25">
      <c r="A113" s="43" t="s">
        <v>182</v>
      </c>
      <c r="B113" s="3" t="s">
        <v>193</v>
      </c>
      <c r="C113" s="36" t="s">
        <v>70</v>
      </c>
      <c r="D113" s="36" t="s">
        <v>67</v>
      </c>
    </row>
    <row r="114" spans="1:4" x14ac:dyDescent="0.25">
      <c r="A114" s="43" t="s">
        <v>182</v>
      </c>
      <c r="B114" s="3" t="s">
        <v>194</v>
      </c>
      <c r="C114" s="36" t="s">
        <v>70</v>
      </c>
      <c r="D114" s="36" t="s">
        <v>67</v>
      </c>
    </row>
    <row r="115" spans="1:4" x14ac:dyDescent="0.25">
      <c r="A115" s="43" t="s">
        <v>182</v>
      </c>
      <c r="B115" s="3" t="s">
        <v>195</v>
      </c>
      <c r="C115" s="36" t="s">
        <v>66</v>
      </c>
      <c r="D115" s="36" t="s">
        <v>76</v>
      </c>
    </row>
    <row r="116" spans="1:4" x14ac:dyDescent="0.25">
      <c r="A116" s="43" t="s">
        <v>182</v>
      </c>
      <c r="B116" s="3" t="s">
        <v>196</v>
      </c>
      <c r="C116" s="36" t="s">
        <v>66</v>
      </c>
      <c r="D116" s="36" t="s">
        <v>76</v>
      </c>
    </row>
    <row r="117" spans="1:4" x14ac:dyDescent="0.25">
      <c r="A117" s="43" t="s">
        <v>182</v>
      </c>
      <c r="B117" s="3" t="s">
        <v>197</v>
      </c>
      <c r="C117" s="36" t="s">
        <v>66</v>
      </c>
      <c r="D117" s="36" t="s">
        <v>73</v>
      </c>
    </row>
    <row r="118" spans="1:4" x14ac:dyDescent="0.25">
      <c r="A118" s="43" t="s">
        <v>182</v>
      </c>
      <c r="B118" s="3" t="s">
        <v>198</v>
      </c>
      <c r="C118" s="36" t="s">
        <v>70</v>
      </c>
      <c r="D118" s="36" t="s">
        <v>67</v>
      </c>
    </row>
    <row r="119" spans="1:4" x14ac:dyDescent="0.25">
      <c r="A119" s="43" t="s">
        <v>182</v>
      </c>
      <c r="B119" s="3" t="s">
        <v>199</v>
      </c>
      <c r="C119" s="36" t="s">
        <v>70</v>
      </c>
      <c r="D119" s="36" t="s">
        <v>67</v>
      </c>
    </row>
    <row r="120" spans="1:4" x14ac:dyDescent="0.25">
      <c r="A120" s="43" t="s">
        <v>182</v>
      </c>
      <c r="B120" s="3" t="s">
        <v>200</v>
      </c>
      <c r="C120" s="36" t="s">
        <v>81</v>
      </c>
      <c r="D120" s="36" t="s">
        <v>76</v>
      </c>
    </row>
    <row r="121" spans="1:4" x14ac:dyDescent="0.25">
      <c r="A121" s="43" t="s">
        <v>182</v>
      </c>
      <c r="B121" s="3" t="s">
        <v>201</v>
      </c>
      <c r="C121" s="36" t="s">
        <v>70</v>
      </c>
      <c r="D121" s="36" t="s">
        <v>76</v>
      </c>
    </row>
    <row r="122" spans="1:4" x14ac:dyDescent="0.25">
      <c r="A122" s="43" t="s">
        <v>202</v>
      </c>
      <c r="B122" s="3" t="s">
        <v>203</v>
      </c>
      <c r="C122" s="36" t="s">
        <v>70</v>
      </c>
      <c r="D122" s="36" t="s">
        <v>76</v>
      </c>
    </row>
    <row r="123" spans="1:4" x14ac:dyDescent="0.25">
      <c r="A123" s="43" t="s">
        <v>202</v>
      </c>
      <c r="B123" s="3" t="s">
        <v>204</v>
      </c>
      <c r="C123" s="36" t="s">
        <v>66</v>
      </c>
      <c r="D123" s="36" t="s">
        <v>76</v>
      </c>
    </row>
    <row r="124" spans="1:4" x14ac:dyDescent="0.25">
      <c r="A124" s="43" t="s">
        <v>202</v>
      </c>
      <c r="B124" s="3" t="s">
        <v>205</v>
      </c>
      <c r="C124" s="36" t="s">
        <v>70</v>
      </c>
      <c r="D124" s="36" t="s">
        <v>76</v>
      </c>
    </row>
    <row r="125" spans="1:4" x14ac:dyDescent="0.25">
      <c r="A125" s="43" t="s">
        <v>202</v>
      </c>
      <c r="B125" s="3" t="s">
        <v>206</v>
      </c>
      <c r="C125" s="36" t="s">
        <v>66</v>
      </c>
      <c r="D125" s="36" t="s">
        <v>76</v>
      </c>
    </row>
    <row r="126" spans="1:4" x14ac:dyDescent="0.25">
      <c r="A126" s="43" t="s">
        <v>202</v>
      </c>
      <c r="B126" s="3" t="s">
        <v>207</v>
      </c>
      <c r="C126" s="36" t="s">
        <v>70</v>
      </c>
      <c r="D126" s="36" t="s">
        <v>76</v>
      </c>
    </row>
    <row r="127" spans="1:4" x14ac:dyDescent="0.25">
      <c r="A127" s="43" t="s">
        <v>202</v>
      </c>
      <c r="B127" s="3" t="s">
        <v>208</v>
      </c>
      <c r="C127" s="36" t="s">
        <v>66</v>
      </c>
      <c r="D127" s="36" t="s">
        <v>76</v>
      </c>
    </row>
    <row r="128" spans="1:4" x14ac:dyDescent="0.25">
      <c r="A128" s="43" t="s">
        <v>202</v>
      </c>
      <c r="B128" s="3" t="s">
        <v>209</v>
      </c>
      <c r="C128" s="36" t="s">
        <v>66</v>
      </c>
      <c r="D128" s="36" t="s">
        <v>76</v>
      </c>
    </row>
    <row r="129" spans="1:4" x14ac:dyDescent="0.25">
      <c r="A129" s="43" t="s">
        <v>210</v>
      </c>
      <c r="B129" s="3" t="s">
        <v>211</v>
      </c>
      <c r="C129" s="36" t="s">
        <v>81</v>
      </c>
      <c r="D129" s="36" t="s">
        <v>76</v>
      </c>
    </row>
    <row r="130" spans="1:4" x14ac:dyDescent="0.25">
      <c r="A130" s="43" t="s">
        <v>210</v>
      </c>
      <c r="B130" s="3" t="s">
        <v>212</v>
      </c>
      <c r="C130" s="36" t="s">
        <v>81</v>
      </c>
      <c r="D130" s="36" t="s">
        <v>76</v>
      </c>
    </row>
    <row r="131" spans="1:4" x14ac:dyDescent="0.25">
      <c r="A131" s="43" t="s">
        <v>210</v>
      </c>
      <c r="B131" s="3" t="s">
        <v>213</v>
      </c>
      <c r="C131" s="36" t="s">
        <v>70</v>
      </c>
      <c r="D131" s="36" t="s">
        <v>76</v>
      </c>
    </row>
    <row r="132" spans="1:4" x14ac:dyDescent="0.25">
      <c r="A132" s="43" t="s">
        <v>210</v>
      </c>
      <c r="B132" s="3" t="s">
        <v>214</v>
      </c>
      <c r="C132" s="36" t="s">
        <v>70</v>
      </c>
      <c r="D132" s="36" t="s">
        <v>76</v>
      </c>
    </row>
    <row r="133" spans="1:4" x14ac:dyDescent="0.25">
      <c r="A133" s="43" t="s">
        <v>210</v>
      </c>
      <c r="B133" s="3" t="s">
        <v>215</v>
      </c>
      <c r="C133" s="36" t="s">
        <v>70</v>
      </c>
      <c r="D133" s="36" t="s">
        <v>76</v>
      </c>
    </row>
    <row r="134" spans="1:4" x14ac:dyDescent="0.25">
      <c r="A134" s="43" t="s">
        <v>210</v>
      </c>
      <c r="B134" s="3" t="s">
        <v>216</v>
      </c>
      <c r="C134" s="36" t="s">
        <v>70</v>
      </c>
      <c r="D134" s="36" t="s">
        <v>76</v>
      </c>
    </row>
    <row r="135" spans="1:4" x14ac:dyDescent="0.25">
      <c r="A135" s="43" t="s">
        <v>210</v>
      </c>
      <c r="B135" s="3" t="s">
        <v>210</v>
      </c>
      <c r="C135" s="36" t="s">
        <v>66</v>
      </c>
      <c r="D135" s="36" t="s">
        <v>76</v>
      </c>
    </row>
    <row r="136" spans="1:4" x14ac:dyDescent="0.25">
      <c r="A136" s="43" t="s">
        <v>210</v>
      </c>
      <c r="B136" s="3" t="s">
        <v>217</v>
      </c>
      <c r="C136" s="36" t="s">
        <v>70</v>
      </c>
      <c r="D136" s="36" t="s">
        <v>76</v>
      </c>
    </row>
    <row r="137" spans="1:4" x14ac:dyDescent="0.25">
      <c r="A137" s="43" t="s">
        <v>218</v>
      </c>
      <c r="B137" s="3" t="s">
        <v>219</v>
      </c>
      <c r="C137" s="36" t="s">
        <v>70</v>
      </c>
      <c r="D137" s="36" t="s">
        <v>76</v>
      </c>
    </row>
    <row r="138" spans="1:4" x14ac:dyDescent="0.25">
      <c r="A138" s="43" t="s">
        <v>218</v>
      </c>
      <c r="B138" s="3" t="s">
        <v>220</v>
      </c>
      <c r="C138" s="36" t="s">
        <v>70</v>
      </c>
      <c r="D138" s="36" t="s">
        <v>76</v>
      </c>
    </row>
    <row r="139" spans="1:4" x14ac:dyDescent="0.25">
      <c r="A139" s="43" t="s">
        <v>218</v>
      </c>
      <c r="B139" s="3" t="s">
        <v>221</v>
      </c>
      <c r="C139" s="36" t="s">
        <v>70</v>
      </c>
      <c r="D139" s="36" t="s">
        <v>76</v>
      </c>
    </row>
    <row r="140" spans="1:4" x14ac:dyDescent="0.25">
      <c r="A140" s="43" t="s">
        <v>218</v>
      </c>
      <c r="B140" s="3" t="s">
        <v>222</v>
      </c>
      <c r="C140" s="36" t="s">
        <v>70</v>
      </c>
      <c r="D140" s="36" t="s">
        <v>76</v>
      </c>
    </row>
    <row r="141" spans="1:4" x14ac:dyDescent="0.25">
      <c r="A141" s="43" t="s">
        <v>218</v>
      </c>
      <c r="B141" s="3" t="s">
        <v>223</v>
      </c>
      <c r="C141" s="36" t="s">
        <v>70</v>
      </c>
      <c r="D141" s="36" t="s">
        <v>76</v>
      </c>
    </row>
    <row r="142" spans="1:4" x14ac:dyDescent="0.25">
      <c r="A142" s="43" t="s">
        <v>218</v>
      </c>
      <c r="B142" s="3" t="s">
        <v>224</v>
      </c>
      <c r="C142" s="36" t="s">
        <v>66</v>
      </c>
      <c r="D142" s="36" t="s">
        <v>76</v>
      </c>
    </row>
    <row r="143" spans="1:4" x14ac:dyDescent="0.25">
      <c r="A143" s="43" t="s">
        <v>218</v>
      </c>
      <c r="B143" s="3" t="s">
        <v>225</v>
      </c>
      <c r="C143" s="36" t="s">
        <v>70</v>
      </c>
      <c r="D143" s="36" t="s">
        <v>76</v>
      </c>
    </row>
  </sheetData>
  <conditionalFormatting sqref="D2:D143">
    <cfRule type="cellIs" dxfId="8" priority="1" operator="equal">
      <formula>"T0: Ideation"</formula>
    </cfRule>
    <cfRule type="cellIs" dxfId="7" priority="2" operator="equal">
      <formula>"T1: R&amp;D"</formula>
    </cfRule>
    <cfRule type="cellIs" dxfId="6" priority="3" operator="equal">
      <formula>"T2: GDD/TDD/Brief"</formula>
    </cfRule>
    <cfRule type="cellIs" dxfId="5" priority="4" operator="equal">
      <formula>"T3: Prototype"</formula>
    </cfRule>
    <cfRule type="cellIs" dxfId="4" priority="5" operator="equal">
      <formula>"T4: MVP"</formula>
    </cfRule>
    <cfRule type="cellIs" dxfId="3" priority="6" operator="equal">
      <formula>"T5: Feature Complete"</formula>
    </cfRule>
    <cfRule type="cellIs" dxfId="2" priority="7" operator="equal">
      <formula>"T6: Player Tested"</formula>
    </cfRule>
    <cfRule type="cellIs" dxfId="1" priority="8" operator="equal">
      <formula>"T7: Expand"</formula>
    </cfRule>
    <cfRule type="cellIs" dxfId="0" priority="9" operator="equal">
      <formula>"T8: Scale"</formula>
    </cfRule>
  </conditionalFormatting>
  <dataValidations count="1">
    <dataValidation type="list" errorStyle="warning" allowBlank="1" errorTitle="Invalid tier" error="Use one of T0-T8 from the Tiers tab." sqref="D2:D143" xr:uid="{00000000-0002-0000-0200-000000000000}">
      <formula1>"T0: Ideation,T1: R&amp;D,T2: GDD/TDD/Brief,T3: Prototype,T4: MVP,T5: Feature Complete,T6: Player Tested,T7: Expand,T8: Scale"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6" customWidth="1"/>
    <col min="3" max="3" width="60" customWidth="1"/>
  </cols>
  <sheetData>
    <row r="1" spans="1:3" x14ac:dyDescent="0.25">
      <c r="A1" s="42" t="s">
        <v>272</v>
      </c>
      <c r="B1" s="42" t="s">
        <v>273</v>
      </c>
      <c r="C1" s="42" t="s">
        <v>25</v>
      </c>
    </row>
    <row r="2" spans="1:3" x14ac:dyDescent="0.25">
      <c r="A2" s="44" t="s">
        <v>26</v>
      </c>
      <c r="B2" s="45" t="s">
        <v>274</v>
      </c>
      <c r="C2" s="44"/>
    </row>
    <row r="3" spans="1:3" x14ac:dyDescent="0.25">
      <c r="A3" s="44" t="s">
        <v>27</v>
      </c>
      <c r="B3" s="45" t="s">
        <v>274</v>
      </c>
      <c r="C3" s="44"/>
    </row>
    <row r="4" spans="1:3" x14ac:dyDescent="0.25">
      <c r="A4" s="44" t="s">
        <v>28</v>
      </c>
      <c r="B4" s="45" t="s">
        <v>274</v>
      </c>
      <c r="C4" s="44"/>
    </row>
    <row r="5" spans="1:3" x14ac:dyDescent="0.25">
      <c r="A5" s="44" t="s">
        <v>29</v>
      </c>
      <c r="B5" s="45" t="s">
        <v>274</v>
      </c>
      <c r="C5" s="44"/>
    </row>
    <row r="6" spans="1:3" x14ac:dyDescent="0.25">
      <c r="A6" s="44" t="s">
        <v>30</v>
      </c>
      <c r="B6" s="45" t="s">
        <v>274</v>
      </c>
      <c r="C6" s="44"/>
    </row>
    <row r="7" spans="1:3" x14ac:dyDescent="0.25">
      <c r="A7" s="46" t="s">
        <v>31</v>
      </c>
      <c r="B7" s="47" t="s">
        <v>275</v>
      </c>
      <c r="C7" s="46"/>
    </row>
    <row r="8" spans="1:3" x14ac:dyDescent="0.25">
      <c r="A8" s="46" t="s">
        <v>32</v>
      </c>
      <c r="B8" s="47" t="s">
        <v>275</v>
      </c>
      <c r="C8" s="46"/>
    </row>
    <row r="9" spans="1:3" x14ac:dyDescent="0.25">
      <c r="A9" s="46" t="s">
        <v>33</v>
      </c>
      <c r="B9" s="47" t="s">
        <v>275</v>
      </c>
      <c r="C9" s="46"/>
    </row>
    <row r="10" spans="1:3" x14ac:dyDescent="0.25">
      <c r="A10" s="46" t="s">
        <v>34</v>
      </c>
      <c r="B10" s="47" t="s">
        <v>275</v>
      </c>
      <c r="C10" s="46"/>
    </row>
    <row r="11" spans="1:3" x14ac:dyDescent="0.25">
      <c r="A11" s="46" t="s">
        <v>35</v>
      </c>
      <c r="B11" s="47" t="s">
        <v>275</v>
      </c>
      <c r="C11" s="46"/>
    </row>
    <row r="12" spans="1:3" x14ac:dyDescent="0.25">
      <c r="A12" s="48" t="s">
        <v>36</v>
      </c>
      <c r="B12" s="49" t="s">
        <v>276</v>
      </c>
      <c r="C12" s="48"/>
    </row>
    <row r="13" spans="1:3" x14ac:dyDescent="0.25">
      <c r="A13" s="48" t="s">
        <v>37</v>
      </c>
      <c r="B13" s="49" t="s">
        <v>276</v>
      </c>
      <c r="C13" s="48"/>
    </row>
    <row r="14" spans="1:3" x14ac:dyDescent="0.25">
      <c r="A14" s="48" t="s">
        <v>38</v>
      </c>
      <c r="B14" s="49" t="s">
        <v>276</v>
      </c>
      <c r="C14" s="48"/>
    </row>
    <row r="15" spans="1:3" x14ac:dyDescent="0.25">
      <c r="A15" s="48" t="s">
        <v>39</v>
      </c>
      <c r="B15" s="49" t="s">
        <v>276</v>
      </c>
      <c r="C15" s="48"/>
    </row>
    <row r="16" spans="1:3" x14ac:dyDescent="0.25">
      <c r="A16" s="48" t="s">
        <v>40</v>
      </c>
      <c r="B16" s="49" t="s">
        <v>276</v>
      </c>
      <c r="C16" s="48"/>
    </row>
    <row r="17" spans="1:3" x14ac:dyDescent="0.25">
      <c r="A17" s="48" t="s">
        <v>41</v>
      </c>
      <c r="B17" s="49" t="s">
        <v>276</v>
      </c>
      <c r="C17" s="48"/>
    </row>
    <row r="18" spans="1:3" x14ac:dyDescent="0.25">
      <c r="A18" s="48" t="s">
        <v>42</v>
      </c>
      <c r="B18" s="49" t="s">
        <v>276</v>
      </c>
      <c r="C18" s="48"/>
    </row>
    <row r="19" spans="1:3" x14ac:dyDescent="0.25">
      <c r="A19" s="48" t="s">
        <v>43</v>
      </c>
      <c r="B19" s="49" t="s">
        <v>276</v>
      </c>
      <c r="C19" s="48"/>
    </row>
    <row r="20" spans="1:3" x14ac:dyDescent="0.25">
      <c r="A20" s="50" t="s">
        <v>44</v>
      </c>
      <c r="B20" s="51" t="s">
        <v>277</v>
      </c>
      <c r="C20" s="50"/>
    </row>
    <row r="21" spans="1:3" x14ac:dyDescent="0.25">
      <c r="A21" s="50" t="s">
        <v>45</v>
      </c>
      <c r="B21" s="51" t="s">
        <v>277</v>
      </c>
      <c r="C21" s="50"/>
    </row>
    <row r="22" spans="1:3" x14ac:dyDescent="0.25">
      <c r="A22" s="50" t="s">
        <v>46</v>
      </c>
      <c r="B22" s="51" t="s">
        <v>277</v>
      </c>
      <c r="C22" s="50"/>
    </row>
    <row r="23" spans="1:3" x14ac:dyDescent="0.25">
      <c r="A23" s="50" t="s">
        <v>47</v>
      </c>
      <c r="B23" s="51" t="s">
        <v>277</v>
      </c>
      <c r="C23" s="50"/>
    </row>
    <row r="24" spans="1:3" x14ac:dyDescent="0.25">
      <c r="A24" s="50" t="s">
        <v>48</v>
      </c>
      <c r="B24" s="51" t="s">
        <v>277</v>
      </c>
      <c r="C24" s="50"/>
    </row>
    <row r="25" spans="1:3" x14ac:dyDescent="0.25">
      <c r="A25" s="50" t="s">
        <v>49</v>
      </c>
      <c r="B25" s="51" t="s">
        <v>277</v>
      </c>
      <c r="C25" s="50"/>
    </row>
    <row r="26" spans="1:3" x14ac:dyDescent="0.25">
      <c r="A26" s="50" t="s">
        <v>50</v>
      </c>
      <c r="B26" s="51" t="s">
        <v>277</v>
      </c>
      <c r="C26" s="50"/>
    </row>
    <row r="27" spans="1:3" x14ac:dyDescent="0.25">
      <c r="A27" s="50" t="s">
        <v>51</v>
      </c>
      <c r="B27" s="51" t="s">
        <v>277</v>
      </c>
      <c r="C27" s="50"/>
    </row>
    <row r="28" spans="1:3" x14ac:dyDescent="0.25">
      <c r="A28" s="50" t="s">
        <v>52</v>
      </c>
      <c r="B28" s="51" t="s">
        <v>277</v>
      </c>
      <c r="C28" s="50"/>
    </row>
    <row r="29" spans="1:3" x14ac:dyDescent="0.25">
      <c r="A29" s="50" t="s">
        <v>53</v>
      </c>
      <c r="B29" s="51" t="s">
        <v>277</v>
      </c>
      <c r="C29" s="50"/>
    </row>
    <row r="30" spans="1:3" x14ac:dyDescent="0.25">
      <c r="A30" s="50" t="s">
        <v>54</v>
      </c>
      <c r="B30" s="51" t="s">
        <v>277</v>
      </c>
      <c r="C30" s="50"/>
    </row>
    <row r="31" spans="1:3" x14ac:dyDescent="0.25">
      <c r="A31" s="52" t="s">
        <v>55</v>
      </c>
      <c r="B31" s="53" t="s">
        <v>278</v>
      </c>
      <c r="C31" s="52"/>
    </row>
    <row r="32" spans="1:3" x14ac:dyDescent="0.25">
      <c r="A32" s="52" t="s">
        <v>56</v>
      </c>
      <c r="B32" s="53" t="s">
        <v>278</v>
      </c>
      <c r="C32" s="52"/>
    </row>
    <row r="33" spans="1:3" x14ac:dyDescent="0.25">
      <c r="A33" s="52" t="s">
        <v>57</v>
      </c>
      <c r="B33" s="53" t="s">
        <v>278</v>
      </c>
      <c r="C33" s="52"/>
    </row>
    <row r="34" spans="1:3" x14ac:dyDescent="0.25">
      <c r="A34" s="52" t="s">
        <v>58</v>
      </c>
      <c r="B34" s="53" t="s">
        <v>278</v>
      </c>
      <c r="C34" s="52"/>
    </row>
    <row r="35" spans="1:3" x14ac:dyDescent="0.25">
      <c r="A35" s="52" t="s">
        <v>59</v>
      </c>
      <c r="B35" s="53" t="s">
        <v>278</v>
      </c>
      <c r="C35" s="52"/>
    </row>
    <row r="36" spans="1:3" x14ac:dyDescent="0.25">
      <c r="A36" s="52" t="s">
        <v>60</v>
      </c>
      <c r="B36" s="53" t="s">
        <v>278</v>
      </c>
      <c r="C36" s="52"/>
    </row>
    <row r="37" spans="1:3" x14ac:dyDescent="0.25">
      <c r="A37" s="54" t="s">
        <v>61</v>
      </c>
      <c r="B37" s="55" t="s">
        <v>61</v>
      </c>
      <c r="C37" s="54"/>
    </row>
    <row r="38" spans="1:3" x14ac:dyDescent="0.25">
      <c r="A38" s="56" t="s">
        <v>62</v>
      </c>
      <c r="B38" s="57" t="s">
        <v>279</v>
      </c>
      <c r="C38" s="56"/>
    </row>
    <row r="39" spans="1:3" x14ac:dyDescent="0.25">
      <c r="A39" s="58" t="s">
        <v>63</v>
      </c>
      <c r="B39" s="59" t="s">
        <v>182</v>
      </c>
      <c r="C39" s="5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6" customWidth="1"/>
    <col min="2" max="2" width="18" customWidth="1"/>
    <col min="3" max="3" width="14" customWidth="1"/>
    <col min="4" max="4" width="12" customWidth="1"/>
    <col min="5" max="5" width="24" customWidth="1"/>
    <col min="6" max="6" width="70" customWidth="1"/>
  </cols>
  <sheetData>
    <row r="1" spans="1:6" x14ac:dyDescent="0.25">
      <c r="A1" s="42" t="s">
        <v>280</v>
      </c>
      <c r="B1" s="42" t="s">
        <v>281</v>
      </c>
      <c r="C1" s="42"/>
      <c r="D1" s="42" t="s">
        <v>282</v>
      </c>
      <c r="E1" s="42" t="s">
        <v>283</v>
      </c>
      <c r="F1" s="42" t="s">
        <v>25</v>
      </c>
    </row>
    <row r="2" spans="1:6" x14ac:dyDescent="0.25">
      <c r="A2" s="36">
        <v>0</v>
      </c>
      <c r="B2" s="36" t="s">
        <v>284</v>
      </c>
      <c r="C2" s="36"/>
      <c r="D2" s="36" t="s">
        <v>230</v>
      </c>
      <c r="E2" s="36" t="s">
        <v>231</v>
      </c>
      <c r="F2" s="3" t="s">
        <v>285</v>
      </c>
    </row>
    <row r="3" spans="1:6" x14ac:dyDescent="0.25">
      <c r="A3" s="36">
        <v>1</v>
      </c>
      <c r="B3" s="36" t="s">
        <v>286</v>
      </c>
      <c r="C3" s="36"/>
      <c r="D3" s="36" t="s">
        <v>287</v>
      </c>
      <c r="E3" s="36" t="s">
        <v>288</v>
      </c>
      <c r="F3" s="3" t="s">
        <v>289</v>
      </c>
    </row>
    <row r="4" spans="1:6" x14ac:dyDescent="0.25">
      <c r="A4" s="36">
        <v>2</v>
      </c>
      <c r="B4" s="36" t="s">
        <v>290</v>
      </c>
      <c r="C4" s="36"/>
      <c r="D4" s="36" t="s">
        <v>239</v>
      </c>
      <c r="E4" s="36" t="s">
        <v>240</v>
      </c>
      <c r="F4" s="3" t="s">
        <v>291</v>
      </c>
    </row>
    <row r="5" spans="1:6" x14ac:dyDescent="0.25">
      <c r="A5" s="36">
        <v>3</v>
      </c>
      <c r="B5" s="36" t="s">
        <v>292</v>
      </c>
      <c r="C5" s="36"/>
      <c r="D5" s="36" t="s">
        <v>242</v>
      </c>
      <c r="E5" s="36" t="s">
        <v>243</v>
      </c>
      <c r="F5" s="3" t="s">
        <v>293</v>
      </c>
    </row>
    <row r="6" spans="1:6" x14ac:dyDescent="0.25">
      <c r="A6" s="36">
        <v>4</v>
      </c>
      <c r="B6" s="36" t="s">
        <v>294</v>
      </c>
      <c r="C6" s="36"/>
      <c r="D6" s="36" t="s">
        <v>245</v>
      </c>
      <c r="E6" s="36" t="s">
        <v>246</v>
      </c>
      <c r="F6" s="3" t="s">
        <v>295</v>
      </c>
    </row>
    <row r="7" spans="1:6" x14ac:dyDescent="0.25">
      <c r="A7" s="36">
        <v>5</v>
      </c>
      <c r="B7" s="36" t="s">
        <v>296</v>
      </c>
      <c r="C7" s="36"/>
      <c r="D7" s="36" t="s">
        <v>248</v>
      </c>
      <c r="E7" s="36" t="s">
        <v>249</v>
      </c>
      <c r="F7" s="3" t="s">
        <v>297</v>
      </c>
    </row>
    <row r="8" spans="1:6" x14ac:dyDescent="0.25">
      <c r="A8" s="36">
        <v>6</v>
      </c>
      <c r="B8" s="36" t="s">
        <v>298</v>
      </c>
      <c r="C8" s="36"/>
      <c r="D8" s="36" t="s">
        <v>248</v>
      </c>
      <c r="E8" s="36" t="s">
        <v>249</v>
      </c>
      <c r="F8" s="3" t="s">
        <v>299</v>
      </c>
    </row>
    <row r="9" spans="1:6" x14ac:dyDescent="0.25">
      <c r="A9" s="36">
        <v>7</v>
      </c>
      <c r="B9" s="36" t="s">
        <v>300</v>
      </c>
      <c r="C9" s="36"/>
      <c r="D9" s="36" t="s">
        <v>248</v>
      </c>
      <c r="E9" s="36" t="s">
        <v>301</v>
      </c>
      <c r="F9" s="3" t="s">
        <v>302</v>
      </c>
    </row>
    <row r="10" spans="1:6" x14ac:dyDescent="0.25">
      <c r="A10" s="36">
        <v>8</v>
      </c>
      <c r="B10" s="36" t="s">
        <v>303</v>
      </c>
      <c r="C10" s="36"/>
      <c r="D10" s="36" t="s">
        <v>304</v>
      </c>
      <c r="E10" s="36" t="s">
        <v>305</v>
      </c>
      <c r="F10" s="3" t="s">
        <v>306</v>
      </c>
    </row>
    <row r="11" spans="1:6" x14ac:dyDescent="0.25">
      <c r="A11" s="36">
        <v>9</v>
      </c>
      <c r="B11" s="36" t="s">
        <v>307</v>
      </c>
      <c r="C11" s="36"/>
      <c r="D11" s="36" t="s">
        <v>251</v>
      </c>
      <c r="E11" s="36" t="s">
        <v>252</v>
      </c>
      <c r="F11" s="3" t="s">
        <v>308</v>
      </c>
    </row>
    <row r="12" spans="1:6" x14ac:dyDescent="0.25">
      <c r="A12" s="36">
        <v>10</v>
      </c>
      <c r="B12" s="36" t="s">
        <v>309</v>
      </c>
      <c r="C12" s="36"/>
      <c r="D12" s="36" t="s">
        <v>254</v>
      </c>
      <c r="E12" s="36" t="s">
        <v>255</v>
      </c>
      <c r="F12" s="3" t="s">
        <v>310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30" customWidth="1"/>
    <col min="3" max="3" width="60" customWidth="1"/>
  </cols>
  <sheetData>
    <row r="1" spans="1:3" x14ac:dyDescent="0.25">
      <c r="A1" s="42" t="s">
        <v>311</v>
      </c>
      <c r="B1" s="42" t="s">
        <v>312</v>
      </c>
      <c r="C1" s="42" t="s">
        <v>313</v>
      </c>
    </row>
    <row r="2" spans="1:3" x14ac:dyDescent="0.25">
      <c r="A2" s="60" t="s">
        <v>230</v>
      </c>
      <c r="B2" s="60" t="s">
        <v>231</v>
      </c>
      <c r="C2" s="61" t="s">
        <v>314</v>
      </c>
    </row>
    <row r="3" spans="1:3" x14ac:dyDescent="0.25">
      <c r="A3" s="62" t="s">
        <v>233</v>
      </c>
      <c r="B3" s="62" t="s">
        <v>234</v>
      </c>
      <c r="C3" s="63" t="s">
        <v>235</v>
      </c>
    </row>
    <row r="4" spans="1:3" x14ac:dyDescent="0.25">
      <c r="A4" s="45" t="s">
        <v>236</v>
      </c>
      <c r="B4" s="45" t="s">
        <v>315</v>
      </c>
      <c r="C4" s="44" t="s">
        <v>238</v>
      </c>
    </row>
    <row r="5" spans="1:3" x14ac:dyDescent="0.25">
      <c r="A5" s="64" t="s">
        <v>239</v>
      </c>
      <c r="B5" s="64" t="s">
        <v>240</v>
      </c>
      <c r="C5" s="65" t="s">
        <v>241</v>
      </c>
    </row>
    <row r="6" spans="1:3" x14ac:dyDescent="0.25">
      <c r="A6" s="49" t="s">
        <v>242</v>
      </c>
      <c r="B6" s="49" t="s">
        <v>243</v>
      </c>
      <c r="C6" s="48" t="s">
        <v>244</v>
      </c>
    </row>
    <row r="7" spans="1:3" x14ac:dyDescent="0.25">
      <c r="A7" s="66" t="s">
        <v>245</v>
      </c>
      <c r="B7" s="66" t="s">
        <v>316</v>
      </c>
      <c r="C7" s="67" t="s">
        <v>247</v>
      </c>
    </row>
    <row r="8" spans="1:3" x14ac:dyDescent="0.25">
      <c r="A8" s="53" t="s">
        <v>248</v>
      </c>
      <c r="B8" s="53" t="s">
        <v>317</v>
      </c>
      <c r="C8" s="52" t="s">
        <v>250</v>
      </c>
    </row>
    <row r="9" spans="1:3" x14ac:dyDescent="0.25">
      <c r="A9" s="68" t="s">
        <v>251</v>
      </c>
      <c r="B9" s="68" t="s">
        <v>252</v>
      </c>
      <c r="C9" s="69" t="s">
        <v>253</v>
      </c>
    </row>
    <row r="10" spans="1:3" x14ac:dyDescent="0.25">
      <c r="A10" s="70" t="s">
        <v>254</v>
      </c>
      <c r="B10" s="70" t="s">
        <v>255</v>
      </c>
      <c r="C10" s="71" t="s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9"/>
  <sheetViews>
    <sheetView workbookViewId="0"/>
  </sheetViews>
  <sheetFormatPr defaultRowHeight="15" x14ac:dyDescent="0.25"/>
  <cols>
    <col min="1" max="1" width="26" customWidth="1"/>
    <col min="2" max="2" width="90" customWidth="1"/>
  </cols>
  <sheetData>
    <row r="1" spans="1:2" x14ac:dyDescent="0.25">
      <c r="A1" s="72" t="s">
        <v>318</v>
      </c>
      <c r="B1" s="72" t="s">
        <v>319</v>
      </c>
    </row>
    <row r="2" spans="1:2" x14ac:dyDescent="0.25">
      <c r="A2" s="3"/>
      <c r="B2" s="3" t="s">
        <v>320</v>
      </c>
    </row>
    <row r="3" spans="1:2" x14ac:dyDescent="0.25">
      <c r="A3" s="61" t="s">
        <v>284</v>
      </c>
      <c r="B3" s="3" t="s">
        <v>321</v>
      </c>
    </row>
    <row r="4" spans="1:2" x14ac:dyDescent="0.25">
      <c r="A4" s="63" t="s">
        <v>286</v>
      </c>
      <c r="B4" s="3" t="s">
        <v>322</v>
      </c>
    </row>
    <row r="5" spans="1:2" x14ac:dyDescent="0.25">
      <c r="A5" s="65" t="s">
        <v>275</v>
      </c>
      <c r="B5" s="3" t="s">
        <v>323</v>
      </c>
    </row>
    <row r="6" spans="1:2" x14ac:dyDescent="0.25">
      <c r="A6" s="73" t="s">
        <v>324</v>
      </c>
      <c r="B6" s="3" t="s">
        <v>325</v>
      </c>
    </row>
    <row r="7" spans="1:2" x14ac:dyDescent="0.25">
      <c r="A7" s="52" t="s">
        <v>326</v>
      </c>
      <c r="B7" s="3" t="s">
        <v>327</v>
      </c>
    </row>
    <row r="8" spans="1:2" x14ac:dyDescent="0.25">
      <c r="A8" s="3"/>
      <c r="B8" s="3"/>
    </row>
    <row r="9" spans="1:2" x14ac:dyDescent="0.25">
      <c r="A9" s="72" t="s">
        <v>273</v>
      </c>
      <c r="B9" s="3" t="s">
        <v>328</v>
      </c>
    </row>
    <row r="10" spans="1:2" x14ac:dyDescent="0.25">
      <c r="A10" s="44" t="s">
        <v>274</v>
      </c>
      <c r="B10" s="3" t="s">
        <v>329</v>
      </c>
    </row>
    <row r="11" spans="1:2" x14ac:dyDescent="0.25">
      <c r="A11" s="46" t="s">
        <v>275</v>
      </c>
      <c r="B11" s="3" t="s">
        <v>330</v>
      </c>
    </row>
    <row r="12" spans="1:2" x14ac:dyDescent="0.25">
      <c r="A12" s="48" t="s">
        <v>276</v>
      </c>
      <c r="B12" s="3" t="s">
        <v>331</v>
      </c>
    </row>
    <row r="13" spans="1:2" x14ac:dyDescent="0.25">
      <c r="A13" s="50" t="s">
        <v>277</v>
      </c>
      <c r="B13" s="3" t="s">
        <v>332</v>
      </c>
    </row>
    <row r="14" spans="1:2" x14ac:dyDescent="0.25">
      <c r="A14" s="52" t="s">
        <v>278</v>
      </c>
      <c r="B14" s="3" t="s">
        <v>333</v>
      </c>
    </row>
    <row r="15" spans="1:2" x14ac:dyDescent="0.25">
      <c r="A15" s="54" t="s">
        <v>61</v>
      </c>
      <c r="B15" s="3" t="s">
        <v>61</v>
      </c>
    </row>
    <row r="16" spans="1:2" x14ac:dyDescent="0.25">
      <c r="A16" s="56" t="s">
        <v>279</v>
      </c>
      <c r="B16" s="3" t="s">
        <v>62</v>
      </c>
    </row>
    <row r="17" spans="1:2" x14ac:dyDescent="0.25">
      <c r="A17" s="58" t="s">
        <v>182</v>
      </c>
      <c r="B17" s="3" t="s">
        <v>63</v>
      </c>
    </row>
    <row r="18" spans="1:2" x14ac:dyDescent="0.25">
      <c r="A18" s="3"/>
      <c r="B18" s="3"/>
    </row>
    <row r="19" spans="1:2" x14ac:dyDescent="0.25">
      <c r="A19" s="72" t="s">
        <v>334</v>
      </c>
      <c r="B19" s="3"/>
    </row>
    <row r="20" spans="1:2" x14ac:dyDescent="0.25">
      <c r="A20" s="3" t="s">
        <v>81</v>
      </c>
      <c r="B20" s="3" t="s">
        <v>335</v>
      </c>
    </row>
    <row r="21" spans="1:2" x14ac:dyDescent="0.25">
      <c r="A21" s="3" t="s">
        <v>70</v>
      </c>
      <c r="B21" s="3" t="s">
        <v>336</v>
      </c>
    </row>
    <row r="22" spans="1:2" x14ac:dyDescent="0.25">
      <c r="A22" s="3" t="s">
        <v>66</v>
      </c>
      <c r="B22" s="3" t="s">
        <v>337</v>
      </c>
    </row>
    <row r="23" spans="1:2" x14ac:dyDescent="0.25">
      <c r="A23" s="3"/>
      <c r="B23" s="3"/>
    </row>
    <row r="24" spans="1:2" x14ac:dyDescent="0.25">
      <c r="A24" s="72" t="s">
        <v>338</v>
      </c>
      <c r="B24" s="3"/>
    </row>
    <row r="25" spans="1:2" x14ac:dyDescent="0.25">
      <c r="A25" s="3" t="s">
        <v>339</v>
      </c>
      <c r="B25" s="3" t="s">
        <v>340</v>
      </c>
    </row>
    <row r="26" spans="1:2" x14ac:dyDescent="0.25">
      <c r="A26" s="3" t="s">
        <v>341</v>
      </c>
      <c r="B26" s="3" t="s">
        <v>342</v>
      </c>
    </row>
    <row r="27" spans="1:2" x14ac:dyDescent="0.25">
      <c r="A27" s="3" t="s">
        <v>343</v>
      </c>
      <c r="B27" s="3" t="s">
        <v>344</v>
      </c>
    </row>
    <row r="28" spans="1:2" x14ac:dyDescent="0.25">
      <c r="A28" s="3" t="s">
        <v>345</v>
      </c>
      <c r="B28" s="3" t="s">
        <v>346</v>
      </c>
    </row>
    <row r="29" spans="1:2" ht="25.5" x14ac:dyDescent="0.25">
      <c r="A29" s="3" t="s">
        <v>347</v>
      </c>
      <c r="B29" s="3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</vt:lpstr>
      <vt:lpstr>Summary</vt:lpstr>
      <vt:lpstr>Epics &amp; Features</vt:lpstr>
      <vt:lpstr>Roles</vt:lpstr>
      <vt:lpstr>Gates</vt:lpstr>
      <vt:lpstr>Tiers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Glen P</cp:lastModifiedBy>
  <dcterms:created xsi:type="dcterms:W3CDTF">2026-04-29T11:50:30Z</dcterms:created>
  <dcterms:modified xsi:type="dcterms:W3CDTF">2026-05-06T04:15:28Z</dcterms:modified>
</cp:coreProperties>
</file>