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d.docs.live.net/dc6b05486c1a2e41/Claude_code/NBIAI_TEAM/Clients/Couch Heroes/production/"/>
    </mc:Choice>
  </mc:AlternateContent>
  <xr:revisionPtr revIDLastSave="19" documentId="11_067C4FCD645427666B853B44AE3372FF97B89DDF" xr6:coauthVersionLast="47" xr6:coauthVersionMax="47" xr10:uidLastSave="{5BCD49BC-BB84-43FE-8AED-031055DBBFCF}"/>
  <bookViews>
    <workbookView xWindow="51480" yWindow="-120" windowWidth="51840" windowHeight="21120" xr2:uid="{00000000-000D-0000-FFFF-FFFF00000000}"/>
  </bookViews>
  <sheets>
    <sheet name="Plan" sheetId="1" r:id="rId1"/>
    <sheet name="Staff" sheetId="2" r:id="rId2"/>
    <sheet name="Roles" sheetId="3" r:id="rId3"/>
    <sheet name="Gates" sheetId="4" r:id="rId4"/>
    <sheet name="Tiers" sheetId="5" r:id="rId5"/>
    <sheet name="Legend" sheetId="6" r:id="rId6"/>
    <sheet name="Summary" sheetId="7" r:id="rId7"/>
    <sheet name="Epics &amp; Features" sheetId="8" r:id="rId8"/>
    <sheet name="Resource Planner" sheetId="9" r:id="rId9"/>
    <sheet name="Person Dashboard" sheetId="10" r:id="rId10"/>
    <sheet name="Feature Timeline" sheetId="11" r:id="rId11"/>
  </sheets>
  <definedNames>
    <definedName name="_xlnm._FilterDatabase" localSheetId="8" hidden="1">'Resource Planner'!$A$1:$L$1461</definedName>
    <definedName name="All_Staff">Staff!$A$2:$A$47</definedName>
    <definedName name="Art_Staff">Staff!$A$12:$A$36</definedName>
    <definedName name="Audio_Staff">Staff!$A$45:$A$46</definedName>
    <definedName name="Design_Staff">Staff!$A$37:$A$44</definedName>
    <definedName name="Engineering_Staff">Staff!$A$2:$A$11</definedName>
    <definedName name="QA_Staff">Staff!$A$47:$A$47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7" i="10" l="1"/>
  <c r="K47" i="10" s="1"/>
  <c r="G47" i="10"/>
  <c r="F47" i="10"/>
  <c r="D47" i="10"/>
  <c r="J46" i="10"/>
  <c r="K46" i="10" s="1"/>
  <c r="G46" i="10"/>
  <c r="F46" i="10"/>
  <c r="D46" i="10"/>
  <c r="J45" i="10"/>
  <c r="K45" i="10" s="1"/>
  <c r="G45" i="10"/>
  <c r="F45" i="10"/>
  <c r="D45" i="10"/>
  <c r="J44" i="10"/>
  <c r="K44" i="10" s="1"/>
  <c r="G44" i="10"/>
  <c r="F44" i="10"/>
  <c r="D44" i="10"/>
  <c r="J43" i="10"/>
  <c r="K43" i="10" s="1"/>
  <c r="G43" i="10"/>
  <c r="F43" i="10"/>
  <c r="D43" i="10"/>
  <c r="J42" i="10"/>
  <c r="K42" i="10" s="1"/>
  <c r="G42" i="10"/>
  <c r="F42" i="10"/>
  <c r="D42" i="10"/>
  <c r="J41" i="10"/>
  <c r="K41" i="10" s="1"/>
  <c r="G41" i="10"/>
  <c r="F41" i="10"/>
  <c r="D41" i="10"/>
  <c r="J40" i="10"/>
  <c r="K40" i="10" s="1"/>
  <c r="G40" i="10"/>
  <c r="F40" i="10"/>
  <c r="D40" i="10"/>
  <c r="J39" i="10"/>
  <c r="K39" i="10" s="1"/>
  <c r="G39" i="10"/>
  <c r="F39" i="10"/>
  <c r="D39" i="10"/>
  <c r="J38" i="10"/>
  <c r="K38" i="10" s="1"/>
  <c r="G38" i="10"/>
  <c r="F38" i="10"/>
  <c r="D38" i="10"/>
  <c r="J37" i="10"/>
  <c r="K37" i="10" s="1"/>
  <c r="G37" i="10"/>
  <c r="F37" i="10"/>
  <c r="D37" i="10"/>
  <c r="J36" i="10"/>
  <c r="K36" i="10" s="1"/>
  <c r="G36" i="10"/>
  <c r="F36" i="10"/>
  <c r="D36" i="10"/>
  <c r="J35" i="10"/>
  <c r="K35" i="10" s="1"/>
  <c r="G35" i="10"/>
  <c r="F35" i="10"/>
  <c r="D35" i="10"/>
  <c r="J34" i="10"/>
  <c r="K34" i="10" s="1"/>
  <c r="G34" i="10"/>
  <c r="F34" i="10"/>
  <c r="D34" i="10"/>
  <c r="J33" i="10"/>
  <c r="K33" i="10" s="1"/>
  <c r="G33" i="10"/>
  <c r="F33" i="10"/>
  <c r="D33" i="10"/>
  <c r="J32" i="10"/>
  <c r="K32" i="10" s="1"/>
  <c r="G32" i="10"/>
  <c r="F32" i="10"/>
  <c r="D32" i="10"/>
  <c r="J31" i="10"/>
  <c r="K31" i="10" s="1"/>
  <c r="G31" i="10"/>
  <c r="F31" i="10"/>
  <c r="D31" i="10"/>
  <c r="J30" i="10"/>
  <c r="K30" i="10" s="1"/>
  <c r="G30" i="10"/>
  <c r="F30" i="10"/>
  <c r="D30" i="10"/>
  <c r="J29" i="10"/>
  <c r="K29" i="10" s="1"/>
  <c r="G29" i="10"/>
  <c r="F29" i="10"/>
  <c r="D29" i="10"/>
  <c r="J28" i="10"/>
  <c r="K28" i="10" s="1"/>
  <c r="G28" i="10"/>
  <c r="F28" i="10"/>
  <c r="D28" i="10"/>
  <c r="J27" i="10"/>
  <c r="K27" i="10" s="1"/>
  <c r="G27" i="10"/>
  <c r="F27" i="10"/>
  <c r="D27" i="10"/>
  <c r="J26" i="10"/>
  <c r="K26" i="10" s="1"/>
  <c r="G26" i="10"/>
  <c r="F26" i="10"/>
  <c r="D26" i="10"/>
  <c r="J25" i="10"/>
  <c r="K25" i="10" s="1"/>
  <c r="G25" i="10"/>
  <c r="F25" i="10"/>
  <c r="D25" i="10"/>
  <c r="J24" i="10"/>
  <c r="K24" i="10" s="1"/>
  <c r="G24" i="10"/>
  <c r="F24" i="10"/>
  <c r="D24" i="10"/>
  <c r="J23" i="10"/>
  <c r="K23" i="10" s="1"/>
  <c r="G23" i="10"/>
  <c r="F23" i="10"/>
  <c r="D23" i="10"/>
  <c r="J22" i="10"/>
  <c r="K22" i="10" s="1"/>
  <c r="G22" i="10"/>
  <c r="F22" i="10"/>
  <c r="D22" i="10"/>
  <c r="J21" i="10"/>
  <c r="K21" i="10" s="1"/>
  <c r="G21" i="10"/>
  <c r="F21" i="10"/>
  <c r="D21" i="10"/>
  <c r="J20" i="10"/>
  <c r="K20" i="10" s="1"/>
  <c r="G20" i="10"/>
  <c r="F20" i="10"/>
  <c r="D20" i="10"/>
  <c r="J19" i="10"/>
  <c r="K19" i="10" s="1"/>
  <c r="G19" i="10"/>
  <c r="F19" i="10"/>
  <c r="D19" i="10"/>
  <c r="J18" i="10"/>
  <c r="K18" i="10" s="1"/>
  <c r="G18" i="10"/>
  <c r="F18" i="10"/>
  <c r="D18" i="10"/>
  <c r="J17" i="10"/>
  <c r="K17" i="10" s="1"/>
  <c r="G17" i="10"/>
  <c r="F17" i="10"/>
  <c r="D17" i="10"/>
  <c r="J16" i="10"/>
  <c r="K16" i="10" s="1"/>
  <c r="G16" i="10"/>
  <c r="F16" i="10"/>
  <c r="D16" i="10"/>
  <c r="J15" i="10"/>
  <c r="K15" i="10" s="1"/>
  <c r="G15" i="10"/>
  <c r="F15" i="10"/>
  <c r="D15" i="10"/>
  <c r="J14" i="10"/>
  <c r="K14" i="10" s="1"/>
  <c r="G14" i="10"/>
  <c r="F14" i="10"/>
  <c r="D14" i="10"/>
  <c r="J13" i="10"/>
  <c r="K13" i="10" s="1"/>
  <c r="G13" i="10"/>
  <c r="F13" i="10"/>
  <c r="D13" i="10"/>
  <c r="J12" i="10"/>
  <c r="K12" i="10" s="1"/>
  <c r="G12" i="10"/>
  <c r="F12" i="10"/>
  <c r="D12" i="10"/>
  <c r="J11" i="10"/>
  <c r="K11" i="10" s="1"/>
  <c r="G11" i="10"/>
  <c r="F11" i="10"/>
  <c r="D11" i="10"/>
  <c r="J10" i="10"/>
  <c r="K10" i="10" s="1"/>
  <c r="G10" i="10"/>
  <c r="F10" i="10"/>
  <c r="D10" i="10"/>
  <c r="J9" i="10"/>
  <c r="K9" i="10" s="1"/>
  <c r="G9" i="10"/>
  <c r="F9" i="10"/>
  <c r="D9" i="10"/>
  <c r="J8" i="10"/>
  <c r="K8" i="10" s="1"/>
  <c r="G8" i="10"/>
  <c r="F8" i="10"/>
  <c r="D8" i="10"/>
  <c r="J7" i="10"/>
  <c r="K7" i="10" s="1"/>
  <c r="G7" i="10"/>
  <c r="F7" i="10"/>
  <c r="D7" i="10"/>
  <c r="J6" i="10"/>
  <c r="K6" i="10" s="1"/>
  <c r="G6" i="10"/>
  <c r="F6" i="10"/>
  <c r="D6" i="10"/>
  <c r="J5" i="10"/>
  <c r="K5" i="10" s="1"/>
  <c r="G5" i="10"/>
  <c r="F5" i="10"/>
  <c r="E5" i="10"/>
  <c r="D5" i="10"/>
  <c r="J4" i="10"/>
  <c r="K4" i="10" s="1"/>
  <c r="G4" i="10"/>
  <c r="F4" i="10"/>
  <c r="D4" i="10"/>
  <c r="J3" i="10"/>
  <c r="K3" i="10" s="1"/>
  <c r="G3" i="10"/>
  <c r="F3" i="10"/>
  <c r="D3" i="10"/>
  <c r="J2" i="10"/>
  <c r="K2" i="10" s="1"/>
  <c r="G2" i="10"/>
  <c r="F2" i="10"/>
  <c r="D2" i="10"/>
  <c r="L1461" i="9"/>
  <c r="I1461" i="9"/>
  <c r="L1460" i="9"/>
  <c r="I1460" i="9"/>
  <c r="I1459" i="9"/>
  <c r="L1459" i="9" s="1"/>
  <c r="I1458" i="9"/>
  <c r="L1458" i="9" s="1"/>
  <c r="L1457" i="9"/>
  <c r="I1457" i="9"/>
  <c r="I1456" i="9"/>
  <c r="L1456" i="9" s="1"/>
  <c r="I1455" i="9"/>
  <c r="L1455" i="9" s="1"/>
  <c r="I1454" i="9"/>
  <c r="L1454" i="9" s="1"/>
  <c r="I1453" i="9"/>
  <c r="L1453" i="9" s="1"/>
  <c r="L1449" i="9"/>
  <c r="I1449" i="9"/>
  <c r="L1448" i="9"/>
  <c r="I1448" i="9"/>
  <c r="I1447" i="9"/>
  <c r="L1447" i="9" s="1"/>
  <c r="I1446" i="9"/>
  <c r="L1446" i="9" s="1"/>
  <c r="I1445" i="9"/>
  <c r="L1445" i="9" s="1"/>
  <c r="L1444" i="9"/>
  <c r="I1444" i="9"/>
  <c r="L1443" i="9"/>
  <c r="I1443" i="9"/>
  <c r="L1442" i="9"/>
  <c r="I1442" i="9"/>
  <c r="L1441" i="9"/>
  <c r="I1441" i="9"/>
  <c r="I1440" i="9"/>
  <c r="L1440" i="9" s="1"/>
  <c r="I1439" i="9"/>
  <c r="L1439" i="9" s="1"/>
  <c r="L1438" i="9"/>
  <c r="I1438" i="9"/>
  <c r="I1437" i="9"/>
  <c r="L1437" i="9" s="1"/>
  <c r="I1436" i="9"/>
  <c r="L1436" i="9" s="1"/>
  <c r="I1435" i="9"/>
  <c r="L1435" i="9" s="1"/>
  <c r="I1434" i="9"/>
  <c r="L1434" i="9" s="1"/>
  <c r="I1433" i="9"/>
  <c r="L1433" i="9" s="1"/>
  <c r="L1432" i="9"/>
  <c r="I1432" i="9"/>
  <c r="I1431" i="9"/>
  <c r="L1431" i="9" s="1"/>
  <c r="I1430" i="9"/>
  <c r="L1430" i="9" s="1"/>
  <c r="I1429" i="9"/>
  <c r="L1429" i="9" s="1"/>
  <c r="I1428" i="9"/>
  <c r="L1428" i="9" s="1"/>
  <c r="I1427" i="9"/>
  <c r="L1427" i="9" s="1"/>
  <c r="I1426" i="9"/>
  <c r="L1426" i="9" s="1"/>
  <c r="L1425" i="9"/>
  <c r="I1425" i="9"/>
  <c r="L1424" i="9"/>
  <c r="I1424" i="9"/>
  <c r="L1423" i="9"/>
  <c r="I1423" i="9"/>
  <c r="L1422" i="9"/>
  <c r="I1422" i="9"/>
  <c r="I1421" i="9"/>
  <c r="L1421" i="9" s="1"/>
  <c r="L1420" i="9"/>
  <c r="I1420" i="9"/>
  <c r="L1419" i="9"/>
  <c r="I1419" i="9"/>
  <c r="L1418" i="9"/>
  <c r="I1418" i="9"/>
  <c r="I1417" i="9"/>
  <c r="L1417" i="9" s="1"/>
  <c r="I1416" i="9"/>
  <c r="L1416" i="9" s="1"/>
  <c r="L1415" i="9"/>
  <c r="I1415" i="9"/>
  <c r="L1414" i="9"/>
  <c r="I1414" i="9"/>
  <c r="I1413" i="9"/>
  <c r="L1413" i="9" s="1"/>
  <c r="I1412" i="9"/>
  <c r="L1412" i="9" s="1"/>
  <c r="L1411" i="9"/>
  <c r="I1411" i="9"/>
  <c r="I1410" i="9"/>
  <c r="L1410" i="9" s="1"/>
  <c r="L1409" i="9"/>
  <c r="I1409" i="9"/>
  <c r="L1408" i="9"/>
  <c r="I1408" i="9"/>
  <c r="L1407" i="9"/>
  <c r="I1407" i="9"/>
  <c r="L1406" i="9"/>
  <c r="I1406" i="9"/>
  <c r="I1404" i="9"/>
  <c r="L1404" i="9" s="1"/>
  <c r="L1403" i="9"/>
  <c r="I1403" i="9"/>
  <c r="I1402" i="9"/>
  <c r="L1402" i="9" s="1"/>
  <c r="I1401" i="9"/>
  <c r="L1401" i="9" s="1"/>
  <c r="I1400" i="9"/>
  <c r="L1400" i="9" s="1"/>
  <c r="I1399" i="9"/>
  <c r="L1399" i="9" s="1"/>
  <c r="I1398" i="9"/>
  <c r="L1398" i="9" s="1"/>
  <c r="I1397" i="9"/>
  <c r="L1397" i="9" s="1"/>
  <c r="I1396" i="9"/>
  <c r="L1396" i="9" s="1"/>
  <c r="L1394" i="9"/>
  <c r="I1394" i="9"/>
  <c r="L1393" i="9"/>
  <c r="I1393" i="9"/>
  <c r="L1392" i="9"/>
  <c r="I1392" i="9"/>
  <c r="I1391" i="9"/>
  <c r="L1391" i="9" s="1"/>
  <c r="L1390" i="9"/>
  <c r="I1390" i="9"/>
  <c r="L1389" i="9"/>
  <c r="I1389" i="9"/>
  <c r="L1388" i="9"/>
  <c r="I1388" i="9"/>
  <c r="I1387" i="9"/>
  <c r="L1387" i="9" s="1"/>
  <c r="L1386" i="9"/>
  <c r="I1386" i="9"/>
  <c r="I1385" i="9"/>
  <c r="L1385" i="9" s="1"/>
  <c r="I1384" i="9"/>
  <c r="L1384" i="9" s="1"/>
  <c r="L1383" i="9"/>
  <c r="I1383" i="9"/>
  <c r="L1382" i="9"/>
  <c r="I1382" i="9"/>
  <c r="L1381" i="9"/>
  <c r="I1381" i="9"/>
  <c r="I1380" i="9"/>
  <c r="L1380" i="9" s="1"/>
  <c r="I1379" i="9"/>
  <c r="L1379" i="9" s="1"/>
  <c r="I1378" i="9"/>
  <c r="L1378" i="9" s="1"/>
  <c r="I1377" i="9"/>
  <c r="L1377" i="9" s="1"/>
  <c r="I1376" i="9"/>
  <c r="L1376" i="9" s="1"/>
  <c r="I1375" i="9"/>
  <c r="L1375" i="9" s="1"/>
  <c r="L1374" i="9"/>
  <c r="I1374" i="9"/>
  <c r="L1373" i="9"/>
  <c r="I1373" i="9"/>
  <c r="L1372" i="9"/>
  <c r="I1372" i="9"/>
  <c r="I1371" i="9"/>
  <c r="L1371" i="9" s="1"/>
  <c r="L1370" i="9"/>
  <c r="I1370" i="9"/>
  <c r="L1369" i="9"/>
  <c r="I1369" i="9"/>
  <c r="L1368" i="9"/>
  <c r="I1368" i="9"/>
  <c r="L1367" i="9"/>
  <c r="I1367" i="9"/>
  <c r="I1366" i="9"/>
  <c r="L1366" i="9" s="1"/>
  <c r="I1365" i="9"/>
  <c r="L1365" i="9" s="1"/>
  <c r="L1364" i="9"/>
  <c r="I1364" i="9"/>
  <c r="I1363" i="9"/>
  <c r="L1363" i="9" s="1"/>
  <c r="I1362" i="9"/>
  <c r="L1362" i="9" s="1"/>
  <c r="L1361" i="9"/>
  <c r="I1361" i="9"/>
  <c r="L1360" i="9"/>
  <c r="I1360" i="9"/>
  <c r="I1359" i="9"/>
  <c r="L1359" i="9" s="1"/>
  <c r="I1358" i="9"/>
  <c r="L1358" i="9" s="1"/>
  <c r="L1357" i="9"/>
  <c r="I1357" i="9"/>
  <c r="I1356" i="9"/>
  <c r="L1356" i="9" s="1"/>
  <c r="I1355" i="9"/>
  <c r="L1355" i="9" s="1"/>
  <c r="I1354" i="9"/>
  <c r="L1354" i="9" s="1"/>
  <c r="I1353" i="9"/>
  <c r="L1353" i="9" s="1"/>
  <c r="I1352" i="9"/>
  <c r="L1352" i="9" s="1"/>
  <c r="L1351" i="9"/>
  <c r="I1351" i="9"/>
  <c r="I1350" i="9"/>
  <c r="L1350" i="9" s="1"/>
  <c r="I1349" i="9"/>
  <c r="L1349" i="9" s="1"/>
  <c r="L1348" i="9"/>
  <c r="I1348" i="9"/>
  <c r="I1347" i="9"/>
  <c r="L1347" i="9" s="1"/>
  <c r="L1346" i="9"/>
  <c r="I1346" i="9"/>
  <c r="L1345" i="9"/>
  <c r="I1345" i="9"/>
  <c r="L1344" i="9"/>
  <c r="I1344" i="9"/>
  <c r="L1343" i="9"/>
  <c r="I1343" i="9"/>
  <c r="L1342" i="9"/>
  <c r="I1342" i="9"/>
  <c r="L1341" i="9"/>
  <c r="I1341" i="9"/>
  <c r="L1340" i="9"/>
  <c r="I1340" i="9"/>
  <c r="I1339" i="9"/>
  <c r="L1339" i="9" s="1"/>
  <c r="I1338" i="9"/>
  <c r="L1338" i="9" s="1"/>
  <c r="I1337" i="9"/>
  <c r="L1337" i="9" s="1"/>
  <c r="L1336" i="9"/>
  <c r="I1336" i="9"/>
  <c r="L1335" i="9"/>
  <c r="I1335" i="9"/>
  <c r="L1334" i="9"/>
  <c r="I1334" i="9"/>
  <c r="L1333" i="9"/>
  <c r="I1333" i="9"/>
  <c r="L1332" i="9"/>
  <c r="I1332" i="9"/>
  <c r="I1331" i="9"/>
  <c r="L1331" i="9" s="1"/>
  <c r="L1330" i="9"/>
  <c r="I1330" i="9"/>
  <c r="L1329" i="9"/>
  <c r="I1329" i="9"/>
  <c r="I1328" i="9"/>
  <c r="L1328" i="9" s="1"/>
  <c r="I1327" i="9"/>
  <c r="L1327" i="9" s="1"/>
  <c r="I1326" i="9"/>
  <c r="L1326" i="9" s="1"/>
  <c r="I1325" i="9"/>
  <c r="L1325" i="9" s="1"/>
  <c r="I1324" i="9"/>
  <c r="L1324" i="9" s="1"/>
  <c r="I1323" i="9"/>
  <c r="L1323" i="9" s="1"/>
  <c r="L1322" i="9"/>
  <c r="I1322" i="9"/>
  <c r="I1321" i="9"/>
  <c r="L1321" i="9" s="1"/>
  <c r="I1320" i="9"/>
  <c r="L1320" i="9" s="1"/>
  <c r="I1319" i="9"/>
  <c r="L1319" i="9" s="1"/>
  <c r="I1318" i="9"/>
  <c r="L1318" i="9" s="1"/>
  <c r="I1317" i="9"/>
  <c r="L1317" i="9" s="1"/>
  <c r="I1316" i="9"/>
  <c r="L1316" i="9" s="1"/>
  <c r="I1315" i="9"/>
  <c r="L1315" i="9" s="1"/>
  <c r="L1314" i="9"/>
  <c r="I1314" i="9"/>
  <c r="I1313" i="9"/>
  <c r="L1313" i="9" s="1"/>
  <c r="L1312" i="9"/>
  <c r="I1312" i="9"/>
  <c r="I1311" i="9"/>
  <c r="L1311" i="9" s="1"/>
  <c r="L1310" i="9"/>
  <c r="I1310" i="9"/>
  <c r="L1309" i="9"/>
  <c r="I1309" i="9"/>
  <c r="L1308" i="9"/>
  <c r="I1308" i="9"/>
  <c r="I1307" i="9"/>
  <c r="L1307" i="9" s="1"/>
  <c r="I1306" i="9"/>
  <c r="L1306" i="9" s="1"/>
  <c r="I1305" i="9"/>
  <c r="L1305" i="9" s="1"/>
  <c r="L1304" i="9"/>
  <c r="I1304" i="9"/>
  <c r="I1303" i="9"/>
  <c r="L1303" i="9" s="1"/>
  <c r="L1302" i="9"/>
  <c r="I1302" i="9"/>
  <c r="I1301" i="9"/>
  <c r="L1301" i="9" s="1"/>
  <c r="L1300" i="9"/>
  <c r="I1300" i="9"/>
  <c r="I1299" i="9"/>
  <c r="L1299" i="9" s="1"/>
  <c r="I1298" i="9"/>
  <c r="L1298" i="9" s="1"/>
  <c r="I1297" i="9"/>
  <c r="L1297" i="9" s="1"/>
  <c r="I1296" i="9"/>
  <c r="L1296" i="9" s="1"/>
  <c r="L1295" i="9"/>
  <c r="I1295" i="9"/>
  <c r="L1294" i="9"/>
  <c r="I1294" i="9"/>
  <c r="L1293" i="9"/>
  <c r="I1293" i="9"/>
  <c r="L1292" i="9"/>
  <c r="I1292" i="9"/>
  <c r="I1291" i="9"/>
  <c r="L1291" i="9" s="1"/>
  <c r="L1290" i="9"/>
  <c r="I1290" i="9"/>
  <c r="L1289" i="9"/>
  <c r="I1289" i="9"/>
  <c r="L1288" i="9"/>
  <c r="I1288" i="9"/>
  <c r="L1287" i="9"/>
  <c r="I1287" i="9"/>
  <c r="I1286" i="9"/>
  <c r="L1286" i="9" s="1"/>
  <c r="L1285" i="9"/>
  <c r="I1285" i="9"/>
  <c r="L1284" i="9"/>
  <c r="I1284" i="9"/>
  <c r="I1283" i="9"/>
  <c r="L1283" i="9" s="1"/>
  <c r="I1282" i="9"/>
  <c r="L1282" i="9" s="1"/>
  <c r="L1281" i="9"/>
  <c r="I1281" i="9"/>
  <c r="L1280" i="9"/>
  <c r="I1280" i="9"/>
  <c r="L1279" i="9"/>
  <c r="I1279" i="9"/>
  <c r="L1278" i="9"/>
  <c r="I1278" i="9"/>
  <c r="I1277" i="9"/>
  <c r="L1277" i="9" s="1"/>
  <c r="L1276" i="9"/>
  <c r="I1276" i="9"/>
  <c r="I1275" i="9"/>
  <c r="L1275" i="9" s="1"/>
  <c r="L1274" i="9"/>
  <c r="I1274" i="9"/>
  <c r="I1273" i="9"/>
  <c r="L1273" i="9" s="1"/>
  <c r="L1272" i="9"/>
  <c r="I1272" i="9"/>
  <c r="I1271" i="9"/>
  <c r="L1271" i="9" s="1"/>
  <c r="I1270" i="9"/>
  <c r="L1270" i="9" s="1"/>
  <c r="I1269" i="9"/>
  <c r="L1269" i="9" s="1"/>
  <c r="I1268" i="9"/>
  <c r="L1268" i="9" s="1"/>
  <c r="I1267" i="9"/>
  <c r="L1267" i="9" s="1"/>
  <c r="I1266" i="9"/>
  <c r="L1266" i="9" s="1"/>
  <c r="L1265" i="9"/>
  <c r="I1265" i="9"/>
  <c r="L1264" i="9"/>
  <c r="I1264" i="9"/>
  <c r="L1263" i="9"/>
  <c r="I1263" i="9"/>
  <c r="I1262" i="9"/>
  <c r="L1262" i="9" s="1"/>
  <c r="L1261" i="9"/>
  <c r="I1261" i="9"/>
  <c r="L1260" i="9"/>
  <c r="I1260" i="9"/>
  <c r="I1259" i="9"/>
  <c r="L1259" i="9" s="1"/>
  <c r="I1258" i="9"/>
  <c r="L1258" i="9" s="1"/>
  <c r="I1257" i="9"/>
  <c r="L1257" i="9" s="1"/>
  <c r="L1256" i="9"/>
  <c r="I1256" i="9"/>
  <c r="L1255" i="9"/>
  <c r="I1255" i="9"/>
  <c r="L1254" i="9"/>
  <c r="I1254" i="9"/>
  <c r="L1253" i="9"/>
  <c r="I1253" i="9"/>
  <c r="I1252" i="9"/>
  <c r="L1252" i="9" s="1"/>
  <c r="I1251" i="9"/>
  <c r="L1251" i="9" s="1"/>
  <c r="I1250" i="9"/>
  <c r="L1250" i="9" s="1"/>
  <c r="L1248" i="9"/>
  <c r="I1248" i="9"/>
  <c r="L1247" i="9"/>
  <c r="I1247" i="9"/>
  <c r="L1246" i="9"/>
  <c r="I1246" i="9"/>
  <c r="I1245" i="9"/>
  <c r="L1245" i="9" s="1"/>
  <c r="L1244" i="9"/>
  <c r="I1244" i="9"/>
  <c r="L1243" i="9"/>
  <c r="I1243" i="9"/>
  <c r="I1242" i="9"/>
  <c r="L1242" i="9" s="1"/>
  <c r="L1241" i="9"/>
  <c r="I1241" i="9"/>
  <c r="I1240" i="9"/>
  <c r="L1240" i="9" s="1"/>
  <c r="I1239" i="9"/>
  <c r="L1239" i="9" s="1"/>
  <c r="I1238" i="9"/>
  <c r="L1238" i="9" s="1"/>
  <c r="L1237" i="9"/>
  <c r="I1237" i="9"/>
  <c r="L1236" i="9"/>
  <c r="I1236" i="9"/>
  <c r="I1235" i="9"/>
  <c r="L1235" i="9" s="1"/>
  <c r="I1234" i="9"/>
  <c r="L1234" i="9" s="1"/>
  <c r="I1233" i="9"/>
  <c r="L1233" i="9" s="1"/>
  <c r="I1232" i="9"/>
  <c r="L1232" i="9" s="1"/>
  <c r="L1231" i="9"/>
  <c r="I1231" i="9"/>
  <c r="L1230" i="9"/>
  <c r="I1230" i="9"/>
  <c r="L1229" i="9"/>
  <c r="I1229" i="9"/>
  <c r="L1228" i="9"/>
  <c r="I1228" i="9"/>
  <c r="L1227" i="9"/>
  <c r="I1227" i="9"/>
  <c r="I1226" i="9"/>
  <c r="L1226" i="9" s="1"/>
  <c r="I1225" i="9"/>
  <c r="L1225" i="9" s="1"/>
  <c r="I1224" i="9"/>
  <c r="L1224" i="9" s="1"/>
  <c r="I1223" i="9"/>
  <c r="L1223" i="9" s="1"/>
  <c r="I1222" i="9"/>
  <c r="L1222" i="9" s="1"/>
  <c r="I1221" i="9"/>
  <c r="L1221" i="9" s="1"/>
  <c r="I1220" i="9"/>
  <c r="L1220" i="9" s="1"/>
  <c r="I1219" i="9"/>
  <c r="L1219" i="9" s="1"/>
  <c r="I1218" i="9"/>
  <c r="L1218" i="9" s="1"/>
  <c r="L1217" i="9"/>
  <c r="I1217" i="9"/>
  <c r="I1216" i="9"/>
  <c r="L1216" i="9" s="1"/>
  <c r="L1215" i="9"/>
  <c r="I1215" i="9"/>
  <c r="I1214" i="9"/>
  <c r="L1214" i="9" s="1"/>
  <c r="I1213" i="9"/>
  <c r="L1213" i="9" s="1"/>
  <c r="I1212" i="9"/>
  <c r="L1212" i="9" s="1"/>
  <c r="I1211" i="9"/>
  <c r="L1211" i="9" s="1"/>
  <c r="I1210" i="9"/>
  <c r="L1210" i="9" s="1"/>
  <c r="L1209" i="9"/>
  <c r="I1209" i="9"/>
  <c r="I1208" i="9"/>
  <c r="L1208" i="9" s="1"/>
  <c r="I1207" i="9"/>
  <c r="L1207" i="9" s="1"/>
  <c r="L1206" i="9"/>
  <c r="I1206" i="9"/>
  <c r="I1205" i="9"/>
  <c r="L1205" i="9" s="1"/>
  <c r="L1204" i="9"/>
  <c r="I1204" i="9"/>
  <c r="L1203" i="9"/>
  <c r="I1203" i="9"/>
  <c r="I1202" i="9"/>
  <c r="L1202" i="9" s="1"/>
  <c r="I1201" i="9"/>
  <c r="L1201" i="9" s="1"/>
  <c r="L1200" i="9"/>
  <c r="I1200" i="9"/>
  <c r="L1199" i="9"/>
  <c r="I1199" i="9"/>
  <c r="L1198" i="9"/>
  <c r="I1198" i="9"/>
  <c r="I1197" i="9"/>
  <c r="L1197" i="9" s="1"/>
  <c r="I1196" i="9"/>
  <c r="L1196" i="9" s="1"/>
  <c r="L1195" i="9"/>
  <c r="I1195" i="9"/>
  <c r="I1194" i="9"/>
  <c r="L1194" i="9" s="1"/>
  <c r="I1193" i="9"/>
  <c r="L1193" i="9" s="1"/>
  <c r="I1192" i="9"/>
  <c r="L1192" i="9" s="1"/>
  <c r="I1191" i="9"/>
  <c r="L1191" i="9" s="1"/>
  <c r="L1190" i="9"/>
  <c r="I1190" i="9"/>
  <c r="I1189" i="9"/>
  <c r="L1189" i="9" s="1"/>
  <c r="I1188" i="9"/>
  <c r="L1188" i="9" s="1"/>
  <c r="L1187" i="9"/>
  <c r="I1187" i="9"/>
  <c r="I1186" i="9"/>
  <c r="L1186" i="9" s="1"/>
  <c r="L1185" i="9"/>
  <c r="I1185" i="9"/>
  <c r="L1184" i="9"/>
  <c r="I1184" i="9"/>
  <c r="L1183" i="9"/>
  <c r="I1183" i="9"/>
  <c r="L1182" i="9"/>
  <c r="I1182" i="9"/>
  <c r="I1181" i="9"/>
  <c r="L1181" i="9" s="1"/>
  <c r="L1180" i="9"/>
  <c r="I1180" i="9"/>
  <c r="L1179" i="9"/>
  <c r="I1179" i="9"/>
  <c r="I1178" i="9"/>
  <c r="L1178" i="9" s="1"/>
  <c r="I1177" i="9"/>
  <c r="L1177" i="9" s="1"/>
  <c r="L1176" i="9"/>
  <c r="I1176" i="9"/>
  <c r="L1175" i="9"/>
  <c r="I1175" i="9"/>
  <c r="I1174" i="9"/>
  <c r="L1174" i="9" s="1"/>
  <c r="I1173" i="9"/>
  <c r="L1173" i="9" s="1"/>
  <c r="I1172" i="9"/>
  <c r="L1172" i="9" s="1"/>
  <c r="L1171" i="9"/>
  <c r="I1171" i="9"/>
  <c r="I1170" i="9"/>
  <c r="L1170" i="9" s="1"/>
  <c r="L1169" i="9"/>
  <c r="I1169" i="9"/>
  <c r="L1168" i="9"/>
  <c r="I1168" i="9"/>
  <c r="I1167" i="9"/>
  <c r="L1167" i="9" s="1"/>
  <c r="L1166" i="9"/>
  <c r="I1166" i="9"/>
  <c r="I1165" i="9"/>
  <c r="L1165" i="9" s="1"/>
  <c r="L1164" i="9"/>
  <c r="I1164" i="9"/>
  <c r="I1163" i="9"/>
  <c r="L1163" i="9" s="1"/>
  <c r="I1162" i="9"/>
  <c r="L1162" i="9" s="1"/>
  <c r="I1161" i="9"/>
  <c r="L1161" i="9" s="1"/>
  <c r="L1160" i="9"/>
  <c r="I1160" i="9"/>
  <c r="I1159" i="9"/>
  <c r="L1159" i="9" s="1"/>
  <c r="L1158" i="9"/>
  <c r="I1158" i="9"/>
  <c r="I1157" i="9"/>
  <c r="L1157" i="9" s="1"/>
  <c r="I1156" i="9"/>
  <c r="L1156" i="9" s="1"/>
  <c r="L1155" i="9"/>
  <c r="I1155" i="9"/>
  <c r="I1154" i="9"/>
  <c r="L1154" i="9" s="1"/>
  <c r="L1153" i="9"/>
  <c r="I1153" i="9"/>
  <c r="I1152" i="9"/>
  <c r="L1152" i="9" s="1"/>
  <c r="L1151" i="9"/>
  <c r="I1151" i="9"/>
  <c r="I1150" i="9"/>
  <c r="L1150" i="9" s="1"/>
  <c r="L1149" i="9"/>
  <c r="I1149" i="9"/>
  <c r="L1148" i="9"/>
  <c r="I1148" i="9"/>
  <c r="L1147" i="9"/>
  <c r="I1147" i="9"/>
  <c r="I1146" i="9"/>
  <c r="L1146" i="9" s="1"/>
  <c r="I1145" i="9"/>
  <c r="L1145" i="9" s="1"/>
  <c r="I1144" i="9"/>
  <c r="L1144" i="9" s="1"/>
  <c r="I1143" i="9"/>
  <c r="L1143" i="9" s="1"/>
  <c r="L1142" i="9"/>
  <c r="I1142" i="9"/>
  <c r="I1141" i="9"/>
  <c r="L1141" i="9" s="1"/>
  <c r="I1140" i="9"/>
  <c r="L1140" i="9" s="1"/>
  <c r="I1139" i="9"/>
  <c r="L1139" i="9" s="1"/>
  <c r="I1138" i="9"/>
  <c r="L1138" i="9" s="1"/>
  <c r="L1137" i="9"/>
  <c r="I1137" i="9"/>
  <c r="L1136" i="9"/>
  <c r="I1136" i="9"/>
  <c r="I1135" i="9"/>
  <c r="L1135" i="9" s="1"/>
  <c r="L1133" i="9"/>
  <c r="I1133" i="9"/>
  <c r="L1132" i="9"/>
  <c r="I1132" i="9"/>
  <c r="L1131" i="9"/>
  <c r="I1131" i="9"/>
  <c r="I1130" i="9"/>
  <c r="L1130" i="9" s="1"/>
  <c r="I1129" i="9"/>
  <c r="L1129" i="9" s="1"/>
  <c r="L1128" i="9"/>
  <c r="I1128" i="9"/>
  <c r="I1127" i="9"/>
  <c r="L1127" i="9" s="1"/>
  <c r="L1126" i="9"/>
  <c r="I1126" i="9"/>
  <c r="I1125" i="9"/>
  <c r="L1125" i="9" s="1"/>
  <c r="L1124" i="9"/>
  <c r="I1124" i="9"/>
  <c r="L1123" i="9"/>
  <c r="I1123" i="9"/>
  <c r="I1122" i="9"/>
  <c r="L1122" i="9" s="1"/>
  <c r="I1121" i="9"/>
  <c r="L1121" i="9" s="1"/>
  <c r="I1120" i="9"/>
  <c r="L1120" i="9" s="1"/>
  <c r="I1119" i="9"/>
  <c r="L1119" i="9" s="1"/>
  <c r="I1118" i="9"/>
  <c r="L1118" i="9" s="1"/>
  <c r="L1117" i="9"/>
  <c r="I1117" i="9"/>
  <c r="L1116" i="9"/>
  <c r="I1116" i="9"/>
  <c r="L1115" i="9"/>
  <c r="I1115" i="9"/>
  <c r="L1114" i="9"/>
  <c r="I1114" i="9"/>
  <c r="I1113" i="9"/>
  <c r="L1113" i="9" s="1"/>
  <c r="L1112" i="9"/>
  <c r="I1112" i="9"/>
  <c r="I1111" i="9"/>
  <c r="L1111" i="9" s="1"/>
  <c r="L1110" i="9"/>
  <c r="I1110" i="9"/>
  <c r="I1109" i="9"/>
  <c r="L1109" i="9" s="1"/>
  <c r="I1108" i="9"/>
  <c r="L1108" i="9" s="1"/>
  <c r="L1107" i="9"/>
  <c r="I1107" i="9"/>
  <c r="L1106" i="9"/>
  <c r="I1106" i="9"/>
  <c r="I1105" i="9"/>
  <c r="L1105" i="9" s="1"/>
  <c r="L1104" i="9"/>
  <c r="I1104" i="9"/>
  <c r="L1103" i="9"/>
  <c r="I1103" i="9"/>
  <c r="I1102" i="9"/>
  <c r="L1102" i="9" s="1"/>
  <c r="I1101" i="9"/>
  <c r="L1101" i="9" s="1"/>
  <c r="L1100" i="9"/>
  <c r="I1100" i="9"/>
  <c r="L1099" i="9"/>
  <c r="I1099" i="9"/>
  <c r="L1098" i="9"/>
  <c r="I1098" i="9"/>
  <c r="I1097" i="9"/>
  <c r="L1097" i="9" s="1"/>
  <c r="I1096" i="9"/>
  <c r="L1096" i="9" s="1"/>
  <c r="I1095" i="9"/>
  <c r="L1095" i="9" s="1"/>
  <c r="L1094" i="9"/>
  <c r="I1094" i="9"/>
  <c r="I1093" i="9"/>
  <c r="L1093" i="9" s="1"/>
  <c r="I1092" i="9"/>
  <c r="L1092" i="9" s="1"/>
  <c r="L1091" i="9"/>
  <c r="I1091" i="9"/>
  <c r="I1090" i="9"/>
  <c r="L1090" i="9" s="1"/>
  <c r="I1089" i="9"/>
  <c r="L1089" i="9" s="1"/>
  <c r="L1088" i="9"/>
  <c r="I1088" i="9"/>
  <c r="L1087" i="9"/>
  <c r="I1087" i="9"/>
  <c r="I1086" i="9"/>
  <c r="L1086" i="9" s="1"/>
  <c r="L1085" i="9"/>
  <c r="I1085" i="9"/>
  <c r="L1084" i="9"/>
  <c r="I1084" i="9"/>
  <c r="L1083" i="9"/>
  <c r="I1083" i="9"/>
  <c r="I1082" i="9"/>
  <c r="L1082" i="9" s="1"/>
  <c r="I1081" i="9"/>
  <c r="L1081" i="9" s="1"/>
  <c r="L1080" i="9"/>
  <c r="I1080" i="9"/>
  <c r="I1079" i="9"/>
  <c r="L1079" i="9" s="1"/>
  <c r="I1078" i="9"/>
  <c r="L1078" i="9" s="1"/>
  <c r="L1077" i="9"/>
  <c r="I1077" i="9"/>
  <c r="L1076" i="9"/>
  <c r="I1076" i="9"/>
  <c r="L1075" i="9"/>
  <c r="I1075" i="9"/>
  <c r="I1074" i="9"/>
  <c r="L1074" i="9" s="1"/>
  <c r="I1073" i="9"/>
  <c r="L1073" i="9" s="1"/>
  <c r="L1072" i="9"/>
  <c r="I1072" i="9"/>
  <c r="L1071" i="9"/>
  <c r="I1071" i="9"/>
  <c r="L1070" i="9"/>
  <c r="I1070" i="9"/>
  <c r="L1069" i="9"/>
  <c r="I1069" i="9"/>
  <c r="I1068" i="9"/>
  <c r="L1068" i="9" s="1"/>
  <c r="L1067" i="9"/>
  <c r="I1067" i="9"/>
  <c r="I1066" i="9"/>
  <c r="L1066" i="9" s="1"/>
  <c r="I1065" i="9"/>
  <c r="L1065" i="9" s="1"/>
  <c r="I1064" i="9"/>
  <c r="L1064" i="9" s="1"/>
  <c r="I1063" i="9"/>
  <c r="L1063" i="9" s="1"/>
  <c r="I1062" i="9"/>
  <c r="L1062" i="9" s="1"/>
  <c r="L1061" i="9"/>
  <c r="I1061" i="9"/>
  <c r="L1059" i="9"/>
  <c r="I1059" i="9"/>
  <c r="L1058" i="9"/>
  <c r="I1058" i="9"/>
  <c r="I1057" i="9"/>
  <c r="L1057" i="9" s="1"/>
  <c r="I1056" i="9"/>
  <c r="L1056" i="9" s="1"/>
  <c r="L1055" i="9"/>
  <c r="I1055" i="9"/>
  <c r="I1054" i="9"/>
  <c r="L1054" i="9" s="1"/>
  <c r="L1053" i="9"/>
  <c r="I1053" i="9"/>
  <c r="L1052" i="9"/>
  <c r="I1052" i="9"/>
  <c r="L1051" i="9"/>
  <c r="I1051" i="9"/>
  <c r="L1050" i="9"/>
  <c r="I1050" i="9"/>
  <c r="L1049" i="9"/>
  <c r="I1049" i="9"/>
  <c r="I1048" i="9"/>
  <c r="L1048" i="9" s="1"/>
  <c r="I1047" i="9"/>
  <c r="L1047" i="9" s="1"/>
  <c r="L1046" i="9"/>
  <c r="I1046" i="9"/>
  <c r="I1045" i="9"/>
  <c r="L1045" i="9" s="1"/>
  <c r="I1044" i="9"/>
  <c r="L1044" i="9" s="1"/>
  <c r="I1043" i="9"/>
  <c r="L1043" i="9" s="1"/>
  <c r="I1042" i="9"/>
  <c r="L1042" i="9" s="1"/>
  <c r="I1041" i="9"/>
  <c r="L1041" i="9" s="1"/>
  <c r="I1040" i="9"/>
  <c r="L1040" i="9" s="1"/>
  <c r="L1039" i="9"/>
  <c r="I1039" i="9"/>
  <c r="I1038" i="9"/>
  <c r="L1038" i="9" s="1"/>
  <c r="L1037" i="9"/>
  <c r="I1037" i="9"/>
  <c r="L1036" i="9"/>
  <c r="I1036" i="9"/>
  <c r="I1035" i="9"/>
  <c r="L1035" i="9" s="1"/>
  <c r="I1034" i="9"/>
  <c r="L1034" i="9" s="1"/>
  <c r="I1033" i="9"/>
  <c r="L1033" i="9" s="1"/>
  <c r="I1032" i="9"/>
  <c r="L1032" i="9" s="1"/>
  <c r="L1031" i="9"/>
  <c r="I1031" i="9"/>
  <c r="L1030" i="9"/>
  <c r="I1030" i="9"/>
  <c r="I1029" i="9"/>
  <c r="L1029" i="9" s="1"/>
  <c r="I1028" i="9"/>
  <c r="L1028" i="9" s="1"/>
  <c r="I1027" i="9"/>
  <c r="L1027" i="9" s="1"/>
  <c r="I1026" i="9"/>
  <c r="L1026" i="9" s="1"/>
  <c r="L1025" i="9"/>
  <c r="I1025" i="9"/>
  <c r="I1024" i="9"/>
  <c r="L1024" i="9" s="1"/>
  <c r="I1023" i="9"/>
  <c r="L1023" i="9" s="1"/>
  <c r="I1022" i="9"/>
  <c r="L1022" i="9" s="1"/>
  <c r="L1021" i="9"/>
  <c r="I1021" i="9"/>
  <c r="L1020" i="9"/>
  <c r="I1020" i="9"/>
  <c r="L1019" i="9"/>
  <c r="I1019" i="9"/>
  <c r="L1018" i="9"/>
  <c r="I1018" i="9"/>
  <c r="I1017" i="9"/>
  <c r="L1017" i="9" s="1"/>
  <c r="I1016" i="9"/>
  <c r="L1016" i="9" s="1"/>
  <c r="L1015" i="9"/>
  <c r="I1015" i="9"/>
  <c r="L1014" i="9"/>
  <c r="I1014" i="9"/>
  <c r="L1013" i="9"/>
  <c r="I1013" i="9"/>
  <c r="I1012" i="9"/>
  <c r="L1012" i="9" s="1"/>
  <c r="L1011" i="9"/>
  <c r="I1011" i="9"/>
  <c r="I1010" i="9"/>
  <c r="L1010" i="9" s="1"/>
  <c r="L1009" i="9"/>
  <c r="I1009" i="9"/>
  <c r="I1008" i="9"/>
  <c r="L1008" i="9" s="1"/>
  <c r="I1007" i="9"/>
  <c r="L1007" i="9" s="1"/>
  <c r="I1006" i="9"/>
  <c r="L1006" i="9" s="1"/>
  <c r="I1005" i="9"/>
  <c r="L1005" i="9" s="1"/>
  <c r="I1004" i="9"/>
  <c r="L1004" i="9" s="1"/>
  <c r="I1003" i="9"/>
  <c r="L1003" i="9" s="1"/>
  <c r="L1002" i="9"/>
  <c r="I1002" i="9"/>
  <c r="I1001" i="9"/>
  <c r="L1001" i="9" s="1"/>
  <c r="I1000" i="9"/>
  <c r="L1000" i="9" s="1"/>
  <c r="L999" i="9"/>
  <c r="I999" i="9"/>
  <c r="I998" i="9"/>
  <c r="L998" i="9" s="1"/>
  <c r="I997" i="9"/>
  <c r="L997" i="9" s="1"/>
  <c r="I996" i="9"/>
  <c r="L996" i="9" s="1"/>
  <c r="L995" i="9"/>
  <c r="I995" i="9"/>
  <c r="I994" i="9"/>
  <c r="L994" i="9" s="1"/>
  <c r="I993" i="9"/>
  <c r="L993" i="9" s="1"/>
  <c r="I992" i="9"/>
  <c r="L992" i="9" s="1"/>
  <c r="L991" i="9"/>
  <c r="I991" i="9"/>
  <c r="L990" i="9"/>
  <c r="I990" i="9"/>
  <c r="I989" i="9"/>
  <c r="L989" i="9" s="1"/>
  <c r="I988" i="9"/>
  <c r="L988" i="9" s="1"/>
  <c r="I987" i="9"/>
  <c r="L987" i="9" s="1"/>
  <c r="L986" i="9"/>
  <c r="I986" i="9"/>
  <c r="L985" i="9"/>
  <c r="I985" i="9"/>
  <c r="I984" i="9"/>
  <c r="L984" i="9" s="1"/>
  <c r="I983" i="9"/>
  <c r="L983" i="9" s="1"/>
  <c r="L982" i="9"/>
  <c r="I982" i="9"/>
  <c r="I981" i="9"/>
  <c r="L981" i="9" s="1"/>
  <c r="L980" i="9"/>
  <c r="I980" i="9"/>
  <c r="L979" i="9"/>
  <c r="I979" i="9"/>
  <c r="L978" i="9"/>
  <c r="I978" i="9"/>
  <c r="I977" i="9"/>
  <c r="L977" i="9" s="1"/>
  <c r="I975" i="9"/>
  <c r="L975" i="9" s="1"/>
  <c r="I974" i="9"/>
  <c r="L974" i="9" s="1"/>
  <c r="L973" i="9"/>
  <c r="I973" i="9"/>
  <c r="L972" i="9"/>
  <c r="I972" i="9"/>
  <c r="L971" i="9"/>
  <c r="I971" i="9"/>
  <c r="I970" i="9"/>
  <c r="L970" i="9" s="1"/>
  <c r="I969" i="9"/>
  <c r="L969" i="9" s="1"/>
  <c r="L968" i="9"/>
  <c r="I968" i="9"/>
  <c r="I967" i="9"/>
  <c r="L967" i="9" s="1"/>
  <c r="I966" i="9"/>
  <c r="L966" i="9" s="1"/>
  <c r="I965" i="9"/>
  <c r="L965" i="9" s="1"/>
  <c r="L964" i="9"/>
  <c r="I964" i="9"/>
  <c r="I963" i="9"/>
  <c r="L963" i="9" s="1"/>
  <c r="L962" i="9"/>
  <c r="I962" i="9"/>
  <c r="I961" i="9"/>
  <c r="L961" i="9" s="1"/>
  <c r="L960" i="9"/>
  <c r="I960" i="9"/>
  <c r="I959" i="9"/>
  <c r="L959" i="9" s="1"/>
  <c r="L958" i="9"/>
  <c r="I958" i="9"/>
  <c r="L957" i="9"/>
  <c r="I957" i="9"/>
  <c r="I956" i="9"/>
  <c r="L956" i="9" s="1"/>
  <c r="L955" i="9"/>
  <c r="I955" i="9"/>
  <c r="L954" i="9"/>
  <c r="I954" i="9"/>
  <c r="L953" i="9"/>
  <c r="I953" i="9"/>
  <c r="I952" i="9"/>
  <c r="L952" i="9" s="1"/>
  <c r="I951" i="9"/>
  <c r="L951" i="9" s="1"/>
  <c r="L950" i="9"/>
  <c r="I950" i="9"/>
  <c r="I949" i="9"/>
  <c r="L949" i="9" s="1"/>
  <c r="L948" i="9"/>
  <c r="I948" i="9"/>
  <c r="I947" i="9"/>
  <c r="L947" i="9" s="1"/>
  <c r="L946" i="9"/>
  <c r="I946" i="9"/>
  <c r="L945" i="9"/>
  <c r="I945" i="9"/>
  <c r="L944" i="9"/>
  <c r="I944" i="9"/>
  <c r="I943" i="9"/>
  <c r="L943" i="9" s="1"/>
  <c r="L942" i="9"/>
  <c r="I942" i="9"/>
  <c r="L941" i="9"/>
  <c r="I941" i="9"/>
  <c r="L940" i="9"/>
  <c r="I940" i="9"/>
  <c r="I939" i="9"/>
  <c r="L939" i="9" s="1"/>
  <c r="I938" i="9"/>
  <c r="L938" i="9" s="1"/>
  <c r="L937" i="9"/>
  <c r="I937" i="9"/>
  <c r="L936" i="9"/>
  <c r="I936" i="9"/>
  <c r="I935" i="9"/>
  <c r="L935" i="9" s="1"/>
  <c r="I934" i="9"/>
  <c r="L934" i="9" s="1"/>
  <c r="L933" i="9"/>
  <c r="I933" i="9"/>
  <c r="I932" i="9"/>
  <c r="L932" i="9" s="1"/>
  <c r="I931" i="9"/>
  <c r="L931" i="9" s="1"/>
  <c r="I930" i="9"/>
  <c r="L930" i="9" s="1"/>
  <c r="L929" i="9"/>
  <c r="I929" i="9"/>
  <c r="L928" i="9"/>
  <c r="I928" i="9"/>
  <c r="I927" i="9"/>
  <c r="L927" i="9" s="1"/>
  <c r="L926" i="9"/>
  <c r="I926" i="9"/>
  <c r="L925" i="9"/>
  <c r="I925" i="9"/>
  <c r="L924" i="9"/>
  <c r="I924" i="9"/>
  <c r="I923" i="9"/>
  <c r="L923" i="9" s="1"/>
  <c r="L922" i="9"/>
  <c r="I922" i="9"/>
  <c r="L921" i="9"/>
  <c r="I921" i="9"/>
  <c r="L920" i="9"/>
  <c r="I920" i="9"/>
  <c r="I919" i="9"/>
  <c r="L919" i="9" s="1"/>
  <c r="L918" i="9"/>
  <c r="I918" i="9"/>
  <c r="L917" i="9"/>
  <c r="I917" i="9"/>
  <c r="L916" i="9"/>
  <c r="I916" i="9"/>
  <c r="I915" i="9"/>
  <c r="L915" i="9" s="1"/>
  <c r="I914" i="9"/>
  <c r="L914" i="9" s="1"/>
  <c r="L913" i="9"/>
  <c r="I913" i="9"/>
  <c r="I912" i="9"/>
  <c r="L912" i="9" s="1"/>
  <c r="I911" i="9"/>
  <c r="L911" i="9" s="1"/>
  <c r="L910" i="9"/>
  <c r="I910" i="9"/>
  <c r="L909" i="9"/>
  <c r="I909" i="9"/>
  <c r="I908" i="9"/>
  <c r="L908" i="9" s="1"/>
  <c r="L907" i="9"/>
  <c r="I907" i="9"/>
  <c r="L906" i="9"/>
  <c r="I906" i="9"/>
  <c r="L905" i="9"/>
  <c r="I905" i="9"/>
  <c r="I904" i="9"/>
  <c r="L904" i="9" s="1"/>
  <c r="I903" i="9"/>
  <c r="L903" i="9" s="1"/>
  <c r="L902" i="9"/>
  <c r="I902" i="9"/>
  <c r="L901" i="9"/>
  <c r="I901" i="9"/>
  <c r="L900" i="9"/>
  <c r="I900" i="9"/>
  <c r="I899" i="9"/>
  <c r="L899" i="9" s="1"/>
  <c r="I898" i="9"/>
  <c r="L898" i="9" s="1"/>
  <c r="L897" i="9"/>
  <c r="I897" i="9"/>
  <c r="I896" i="9"/>
  <c r="L896" i="9" s="1"/>
  <c r="I895" i="9"/>
  <c r="L895" i="9" s="1"/>
  <c r="L893" i="9"/>
  <c r="I893" i="9"/>
  <c r="L892" i="9"/>
  <c r="I892" i="9"/>
  <c r="L891" i="9"/>
  <c r="I891" i="9"/>
  <c r="L890" i="9"/>
  <c r="I890" i="9"/>
  <c r="L889" i="9"/>
  <c r="I889" i="9"/>
  <c r="L888" i="9"/>
  <c r="I888" i="9"/>
  <c r="I887" i="9"/>
  <c r="L887" i="9" s="1"/>
  <c r="I886" i="9"/>
  <c r="L886" i="9" s="1"/>
  <c r="I885" i="9"/>
  <c r="L885" i="9" s="1"/>
  <c r="I884" i="9"/>
  <c r="L884" i="9" s="1"/>
  <c r="I883" i="9"/>
  <c r="L883" i="9" s="1"/>
  <c r="I882" i="9"/>
  <c r="L882" i="9" s="1"/>
  <c r="I881" i="9"/>
  <c r="L881" i="9" s="1"/>
  <c r="I880" i="9"/>
  <c r="L880" i="9" s="1"/>
  <c r="I879" i="9"/>
  <c r="L879" i="9" s="1"/>
  <c r="I878" i="9"/>
  <c r="L878" i="9" s="1"/>
  <c r="L877" i="9"/>
  <c r="I877" i="9"/>
  <c r="I876" i="9"/>
  <c r="L876" i="9" s="1"/>
  <c r="L875" i="9"/>
  <c r="I875" i="9"/>
  <c r="L874" i="9"/>
  <c r="I874" i="9"/>
  <c r="L873" i="9"/>
  <c r="I873" i="9"/>
  <c r="L872" i="9"/>
  <c r="I872" i="9"/>
  <c r="L871" i="9"/>
  <c r="I871" i="9"/>
  <c r="I870" i="9"/>
  <c r="L870" i="9" s="1"/>
  <c r="I869" i="9"/>
  <c r="L869" i="9" s="1"/>
  <c r="L868" i="9"/>
  <c r="I868" i="9"/>
  <c r="I867" i="9"/>
  <c r="L867" i="9" s="1"/>
  <c r="L866" i="9"/>
  <c r="I866" i="9"/>
  <c r="L865" i="9"/>
  <c r="I865" i="9"/>
  <c r="L864" i="9"/>
  <c r="I864" i="9"/>
  <c r="I863" i="9"/>
  <c r="L863" i="9" s="1"/>
  <c r="I862" i="9"/>
  <c r="L862" i="9" s="1"/>
  <c r="L861" i="9"/>
  <c r="I861" i="9"/>
  <c r="I860" i="9"/>
  <c r="L860" i="9" s="1"/>
  <c r="L859" i="9"/>
  <c r="I859" i="9"/>
  <c r="L858" i="9"/>
  <c r="I858" i="9"/>
  <c r="I857" i="9"/>
  <c r="L857" i="9" s="1"/>
  <c r="I856" i="9"/>
  <c r="L856" i="9" s="1"/>
  <c r="L855" i="9"/>
  <c r="I855" i="9"/>
  <c r="I854" i="9"/>
  <c r="L854" i="9" s="1"/>
  <c r="L853" i="9"/>
  <c r="I853" i="9"/>
  <c r="L852" i="9"/>
  <c r="I852" i="9"/>
  <c r="I851" i="9"/>
  <c r="L851" i="9" s="1"/>
  <c r="I850" i="9"/>
  <c r="L850" i="9" s="1"/>
  <c r="L849" i="9"/>
  <c r="I849" i="9"/>
  <c r="I848" i="9"/>
  <c r="L848" i="9" s="1"/>
  <c r="I847" i="9"/>
  <c r="L847" i="9" s="1"/>
  <c r="I846" i="9"/>
  <c r="L846" i="9" s="1"/>
  <c r="L845" i="9"/>
  <c r="I845" i="9"/>
  <c r="L844" i="9"/>
  <c r="I844" i="9"/>
  <c r="I843" i="9"/>
  <c r="L843" i="9" s="1"/>
  <c r="L842" i="9"/>
  <c r="I842" i="9"/>
  <c r="L841" i="9"/>
  <c r="I841" i="9"/>
  <c r="L840" i="9"/>
  <c r="I840" i="9"/>
  <c r="I839" i="9"/>
  <c r="L839" i="9" s="1"/>
  <c r="I838" i="9"/>
  <c r="L838" i="9" s="1"/>
  <c r="I837" i="9"/>
  <c r="L837" i="9" s="1"/>
  <c r="I836" i="9"/>
  <c r="L836" i="9" s="1"/>
  <c r="I835" i="9"/>
  <c r="L835" i="9" s="1"/>
  <c r="I834" i="9"/>
  <c r="L834" i="9" s="1"/>
  <c r="L833" i="9"/>
  <c r="I833" i="9"/>
  <c r="I832" i="9"/>
  <c r="L832" i="9" s="1"/>
  <c r="L831" i="9"/>
  <c r="I831" i="9"/>
  <c r="I830" i="9"/>
  <c r="L830" i="9" s="1"/>
  <c r="I829" i="9"/>
  <c r="L829" i="9" s="1"/>
  <c r="I828" i="9"/>
  <c r="L828" i="9" s="1"/>
  <c r="I827" i="9"/>
  <c r="L827" i="9" s="1"/>
  <c r="L826" i="9"/>
  <c r="I826" i="9"/>
  <c r="I825" i="9"/>
  <c r="L825" i="9" s="1"/>
  <c r="I824" i="9"/>
  <c r="L824" i="9" s="1"/>
  <c r="I823" i="9"/>
  <c r="L823" i="9" s="1"/>
  <c r="L822" i="9"/>
  <c r="I822" i="9"/>
  <c r="I821" i="9"/>
  <c r="L821" i="9" s="1"/>
  <c r="I820" i="9"/>
  <c r="L820" i="9" s="1"/>
  <c r="I819" i="9"/>
  <c r="L819" i="9" s="1"/>
  <c r="I818" i="9"/>
  <c r="L818" i="9" s="1"/>
  <c r="I817" i="9"/>
  <c r="L817" i="9" s="1"/>
  <c r="L816" i="9"/>
  <c r="I816" i="9"/>
  <c r="L815" i="9"/>
  <c r="I815" i="9"/>
  <c r="I814" i="9"/>
  <c r="L814" i="9" s="1"/>
  <c r="I813" i="9"/>
  <c r="L813" i="9" s="1"/>
  <c r="L812" i="9"/>
  <c r="I812" i="9"/>
  <c r="I811" i="9"/>
  <c r="L811" i="9" s="1"/>
  <c r="I810" i="9"/>
  <c r="L810" i="9" s="1"/>
  <c r="L809" i="9"/>
  <c r="I809" i="9"/>
  <c r="I808" i="9"/>
  <c r="L808" i="9" s="1"/>
  <c r="I807" i="9"/>
  <c r="L807" i="9" s="1"/>
  <c r="L806" i="9"/>
  <c r="I806" i="9"/>
  <c r="I805" i="9"/>
  <c r="L805" i="9" s="1"/>
  <c r="L804" i="9"/>
  <c r="I804" i="9"/>
  <c r="L803" i="9"/>
  <c r="I803" i="9"/>
  <c r="I802" i="9"/>
  <c r="L802" i="9" s="1"/>
  <c r="I801" i="9"/>
  <c r="L801" i="9" s="1"/>
  <c r="I800" i="9"/>
  <c r="L800" i="9" s="1"/>
  <c r="L799" i="9"/>
  <c r="I799" i="9"/>
  <c r="L798" i="9"/>
  <c r="I798" i="9"/>
  <c r="I797" i="9"/>
  <c r="L797" i="9" s="1"/>
  <c r="L796" i="9"/>
  <c r="I796" i="9"/>
  <c r="L795" i="9"/>
  <c r="I795" i="9"/>
  <c r="L794" i="9"/>
  <c r="I794" i="9"/>
  <c r="I793" i="9"/>
  <c r="L793" i="9" s="1"/>
  <c r="L792" i="9"/>
  <c r="I792" i="9"/>
  <c r="I791" i="9"/>
  <c r="L791" i="9" s="1"/>
  <c r="I790" i="9"/>
  <c r="L790" i="9" s="1"/>
  <c r="I789" i="9"/>
  <c r="L789" i="9" s="1"/>
  <c r="I788" i="9"/>
  <c r="L788" i="9" s="1"/>
  <c r="L787" i="9"/>
  <c r="I787" i="9"/>
  <c r="L786" i="9"/>
  <c r="I786" i="9"/>
  <c r="L785" i="9"/>
  <c r="I785" i="9"/>
  <c r="I784" i="9"/>
  <c r="L784" i="9" s="1"/>
  <c r="I783" i="9"/>
  <c r="L783" i="9" s="1"/>
  <c r="L782" i="9"/>
  <c r="I782" i="9"/>
  <c r="I781" i="9"/>
  <c r="L781" i="9" s="1"/>
  <c r="I780" i="9"/>
  <c r="L780" i="9" s="1"/>
  <c r="I779" i="9"/>
  <c r="L779" i="9" s="1"/>
  <c r="L778" i="9"/>
  <c r="I778" i="9"/>
  <c r="L777" i="9"/>
  <c r="I777" i="9"/>
  <c r="L776" i="9"/>
  <c r="I776" i="9"/>
  <c r="L775" i="9"/>
  <c r="I775" i="9"/>
  <c r="I774" i="9"/>
  <c r="L774" i="9" s="1"/>
  <c r="I773" i="9"/>
  <c r="L773" i="9" s="1"/>
  <c r="L772" i="9"/>
  <c r="I772" i="9"/>
  <c r="L771" i="9"/>
  <c r="I771" i="9"/>
  <c r="L770" i="9"/>
  <c r="I770" i="9"/>
  <c r="I769" i="9"/>
  <c r="L769" i="9" s="1"/>
  <c r="L768" i="9"/>
  <c r="I768" i="9"/>
  <c r="I767" i="9"/>
  <c r="L767" i="9" s="1"/>
  <c r="I766" i="9"/>
  <c r="L766" i="9" s="1"/>
  <c r="I765" i="9"/>
  <c r="L765" i="9" s="1"/>
  <c r="I764" i="9"/>
  <c r="L764" i="9" s="1"/>
  <c r="I763" i="9"/>
  <c r="L763" i="9" s="1"/>
  <c r="I762" i="9"/>
  <c r="L762" i="9" s="1"/>
  <c r="I761" i="9"/>
  <c r="L761" i="9" s="1"/>
  <c r="L760" i="9"/>
  <c r="I760" i="9"/>
  <c r="L759" i="9"/>
  <c r="I759" i="9"/>
  <c r="L758" i="9"/>
  <c r="I758" i="9"/>
  <c r="I757" i="9"/>
  <c r="L757" i="9" s="1"/>
  <c r="L756" i="9"/>
  <c r="I756" i="9"/>
  <c r="L755" i="9"/>
  <c r="I755" i="9"/>
  <c r="L754" i="9"/>
  <c r="I754" i="9"/>
  <c r="L753" i="9"/>
  <c r="I753" i="9"/>
  <c r="L752" i="9"/>
  <c r="I752" i="9"/>
  <c r="I751" i="9"/>
  <c r="L751" i="9" s="1"/>
  <c r="L750" i="9"/>
  <c r="I750" i="9"/>
  <c r="I749" i="9"/>
  <c r="L749" i="9" s="1"/>
  <c r="I748" i="9"/>
  <c r="L748" i="9" s="1"/>
  <c r="I747" i="9"/>
  <c r="L747" i="9" s="1"/>
  <c r="L746" i="9"/>
  <c r="I746" i="9"/>
  <c r="L745" i="9"/>
  <c r="I745" i="9"/>
  <c r="L744" i="9"/>
  <c r="I744" i="9"/>
  <c r="L743" i="9"/>
  <c r="I743" i="9"/>
  <c r="I742" i="9"/>
  <c r="L742" i="9" s="1"/>
  <c r="I741" i="9"/>
  <c r="L741" i="9" s="1"/>
  <c r="I740" i="9"/>
  <c r="L740" i="9" s="1"/>
  <c r="L739" i="9"/>
  <c r="I739" i="9"/>
  <c r="L738" i="9"/>
  <c r="I738" i="9"/>
  <c r="L737" i="9"/>
  <c r="I737" i="9"/>
  <c r="L736" i="9"/>
  <c r="I736" i="9"/>
  <c r="L735" i="9"/>
  <c r="I735" i="9"/>
  <c r="L734" i="9"/>
  <c r="I734" i="9"/>
  <c r="I733" i="9"/>
  <c r="L733" i="9" s="1"/>
  <c r="L732" i="9"/>
  <c r="I732" i="9"/>
  <c r="L731" i="9"/>
  <c r="I731" i="9"/>
  <c r="I730" i="9"/>
  <c r="L730" i="9" s="1"/>
  <c r="L729" i="9"/>
  <c r="I729" i="9"/>
  <c r="L728" i="9"/>
  <c r="I728" i="9"/>
  <c r="L727" i="9"/>
  <c r="I727" i="9"/>
  <c r="L726" i="9"/>
  <c r="I726" i="9"/>
  <c r="I725" i="9"/>
  <c r="L725" i="9" s="1"/>
  <c r="L724" i="9"/>
  <c r="I724" i="9"/>
  <c r="I723" i="9"/>
  <c r="L723" i="9" s="1"/>
  <c r="L722" i="9"/>
  <c r="I722" i="9"/>
  <c r="I721" i="9"/>
  <c r="L721" i="9" s="1"/>
  <c r="L720" i="9"/>
  <c r="I720" i="9"/>
  <c r="L719" i="9"/>
  <c r="I719" i="9"/>
  <c r="L718" i="9"/>
  <c r="I718" i="9"/>
  <c r="I717" i="9"/>
  <c r="L717" i="9" s="1"/>
  <c r="I716" i="9"/>
  <c r="L716" i="9" s="1"/>
  <c r="L715" i="9"/>
  <c r="I715" i="9"/>
  <c r="L714" i="9"/>
  <c r="I714" i="9"/>
  <c r="I713" i="9"/>
  <c r="L713" i="9" s="1"/>
  <c r="I712" i="9"/>
  <c r="L712" i="9" s="1"/>
  <c r="L711" i="9"/>
  <c r="I711" i="9"/>
  <c r="L710" i="9"/>
  <c r="I710" i="9"/>
  <c r="I709" i="9"/>
  <c r="L709" i="9" s="1"/>
  <c r="I708" i="9"/>
  <c r="L708" i="9" s="1"/>
  <c r="I707" i="9"/>
  <c r="L707" i="9" s="1"/>
  <c r="I706" i="9"/>
  <c r="L706" i="9" s="1"/>
  <c r="L705" i="9"/>
  <c r="I705" i="9"/>
  <c r="L704" i="9"/>
  <c r="I704" i="9"/>
  <c r="I703" i="9"/>
  <c r="L703" i="9" s="1"/>
  <c r="L702" i="9"/>
  <c r="I702" i="9"/>
  <c r="I701" i="9"/>
  <c r="L701" i="9" s="1"/>
  <c r="I700" i="9"/>
  <c r="L700" i="9" s="1"/>
  <c r="I699" i="9"/>
  <c r="L699" i="9" s="1"/>
  <c r="L698" i="9"/>
  <c r="I698" i="9"/>
  <c r="L697" i="9"/>
  <c r="I697" i="9"/>
  <c r="I696" i="9"/>
  <c r="L696" i="9" s="1"/>
  <c r="L695" i="9"/>
  <c r="I695" i="9"/>
  <c r="I694" i="9"/>
  <c r="L694" i="9" s="1"/>
  <c r="I693" i="9"/>
  <c r="L693" i="9" s="1"/>
  <c r="I692" i="9"/>
  <c r="L692" i="9" s="1"/>
  <c r="I691" i="9"/>
  <c r="L691" i="9" s="1"/>
  <c r="I690" i="9"/>
  <c r="L690" i="9" s="1"/>
  <c r="I689" i="9"/>
  <c r="L689" i="9" s="1"/>
  <c r="L688" i="9"/>
  <c r="I688" i="9"/>
  <c r="I687" i="9"/>
  <c r="L687" i="9" s="1"/>
  <c r="L686" i="9"/>
  <c r="I686" i="9"/>
  <c r="I685" i="9"/>
  <c r="L685" i="9" s="1"/>
  <c r="I684" i="9"/>
  <c r="L684" i="9" s="1"/>
  <c r="I683" i="9"/>
  <c r="L683" i="9" s="1"/>
  <c r="I682" i="9"/>
  <c r="L682" i="9" s="1"/>
  <c r="L681" i="9"/>
  <c r="I681" i="9"/>
  <c r="I680" i="9"/>
  <c r="L680" i="9" s="1"/>
  <c r="I679" i="9"/>
  <c r="L679" i="9" s="1"/>
  <c r="I678" i="9"/>
  <c r="L678" i="9" s="1"/>
  <c r="I677" i="9"/>
  <c r="L677" i="9" s="1"/>
  <c r="L676" i="9"/>
  <c r="I676" i="9"/>
  <c r="I675" i="9"/>
  <c r="L675" i="9" s="1"/>
  <c r="I674" i="9"/>
  <c r="L674" i="9" s="1"/>
  <c r="I673" i="9"/>
  <c r="L673" i="9" s="1"/>
  <c r="I672" i="9"/>
  <c r="L672" i="9" s="1"/>
  <c r="L671" i="9"/>
  <c r="I671" i="9"/>
  <c r="L670" i="9"/>
  <c r="I670" i="9"/>
  <c r="I669" i="9"/>
  <c r="L669" i="9" s="1"/>
  <c r="L668" i="9"/>
  <c r="I668" i="9"/>
  <c r="L667" i="9"/>
  <c r="I667" i="9"/>
  <c r="I666" i="9"/>
  <c r="L666" i="9" s="1"/>
  <c r="I665" i="9"/>
  <c r="L665" i="9" s="1"/>
  <c r="L664" i="9"/>
  <c r="I664" i="9"/>
  <c r="I663" i="9"/>
  <c r="L663" i="9" s="1"/>
  <c r="I662" i="9"/>
  <c r="L662" i="9" s="1"/>
  <c r="I661" i="9"/>
  <c r="L661" i="9" s="1"/>
  <c r="L660" i="9"/>
  <c r="I660" i="9"/>
  <c r="L659" i="9"/>
  <c r="I659" i="9"/>
  <c r="L658" i="9"/>
  <c r="I658" i="9"/>
  <c r="I657" i="9"/>
  <c r="L657" i="9" s="1"/>
  <c r="I656" i="9"/>
  <c r="L656" i="9" s="1"/>
  <c r="I655" i="9"/>
  <c r="L655" i="9" s="1"/>
  <c r="L654" i="9"/>
  <c r="I654" i="9"/>
  <c r="I653" i="9"/>
  <c r="L653" i="9" s="1"/>
  <c r="I652" i="9"/>
  <c r="L652" i="9" s="1"/>
  <c r="L651" i="9"/>
  <c r="I651" i="9"/>
  <c r="L650" i="9"/>
  <c r="I650" i="9"/>
  <c r="L649" i="9"/>
  <c r="I649" i="9"/>
  <c r="I648" i="9"/>
  <c r="L648" i="9" s="1"/>
  <c r="L647" i="9"/>
  <c r="I647" i="9"/>
  <c r="I646" i="9"/>
  <c r="L646" i="9" s="1"/>
  <c r="I645" i="9"/>
  <c r="L645" i="9" s="1"/>
  <c r="L644" i="9"/>
  <c r="I644" i="9"/>
  <c r="L643" i="9"/>
  <c r="I643" i="9"/>
  <c r="I642" i="9"/>
  <c r="L642" i="9" s="1"/>
  <c r="L641" i="9"/>
  <c r="I641" i="9"/>
  <c r="I640" i="9"/>
  <c r="L640" i="9" s="1"/>
  <c r="L639" i="9"/>
  <c r="I639" i="9"/>
  <c r="I638" i="9"/>
  <c r="L638" i="9" s="1"/>
  <c r="I637" i="9"/>
  <c r="L637" i="9" s="1"/>
  <c r="I636" i="9"/>
  <c r="L636" i="9" s="1"/>
  <c r="I635" i="9"/>
  <c r="L635" i="9" s="1"/>
  <c r="I634" i="9"/>
  <c r="L634" i="9" s="1"/>
  <c r="L633" i="9"/>
  <c r="I633" i="9"/>
  <c r="L632" i="9"/>
  <c r="I632" i="9"/>
  <c r="L631" i="9"/>
  <c r="I631" i="9"/>
  <c r="L630" i="9"/>
  <c r="I630" i="9"/>
  <c r="I629" i="9"/>
  <c r="L629" i="9" s="1"/>
  <c r="L628" i="9"/>
  <c r="I628" i="9"/>
  <c r="L627" i="9"/>
  <c r="I627" i="9"/>
  <c r="L626" i="9"/>
  <c r="I626" i="9"/>
  <c r="L625" i="9"/>
  <c r="I625" i="9"/>
  <c r="I624" i="9"/>
  <c r="L624" i="9" s="1"/>
  <c r="L623" i="9"/>
  <c r="I623" i="9"/>
  <c r="I622" i="9"/>
  <c r="L622" i="9" s="1"/>
  <c r="I621" i="9"/>
  <c r="L621" i="9" s="1"/>
  <c r="I620" i="9"/>
  <c r="L620" i="9" s="1"/>
  <c r="I619" i="9"/>
  <c r="L619" i="9" s="1"/>
  <c r="L618" i="9"/>
  <c r="I618" i="9"/>
  <c r="L617" i="9"/>
  <c r="I617" i="9"/>
  <c r="L616" i="9"/>
  <c r="I616" i="9"/>
  <c r="I615" i="9"/>
  <c r="L615" i="9" s="1"/>
  <c r="L614" i="9"/>
  <c r="I614" i="9"/>
  <c r="I613" i="9"/>
  <c r="L613" i="9" s="1"/>
  <c r="I612" i="9"/>
  <c r="L612" i="9" s="1"/>
  <c r="L611" i="9"/>
  <c r="I611" i="9"/>
  <c r="L610" i="9"/>
  <c r="I610" i="9"/>
  <c r="L609" i="9"/>
  <c r="I609" i="9"/>
  <c r="L608" i="9"/>
  <c r="I608" i="9"/>
  <c r="L607" i="9"/>
  <c r="I607" i="9"/>
  <c r="I606" i="9"/>
  <c r="L606" i="9" s="1"/>
  <c r="I605" i="9"/>
  <c r="L605" i="9" s="1"/>
  <c r="L604" i="9"/>
  <c r="I604" i="9"/>
  <c r="I603" i="9"/>
  <c r="L603" i="9" s="1"/>
  <c r="I602" i="9"/>
  <c r="L602" i="9" s="1"/>
  <c r="L601" i="9"/>
  <c r="I601" i="9"/>
  <c r="L600" i="9"/>
  <c r="I600" i="9"/>
  <c r="L599" i="9"/>
  <c r="I599" i="9"/>
  <c r="L598" i="9"/>
  <c r="I598" i="9"/>
  <c r="I597" i="9"/>
  <c r="L597" i="9" s="1"/>
  <c r="L596" i="9"/>
  <c r="I596" i="9"/>
  <c r="I595" i="9"/>
  <c r="L595" i="9" s="1"/>
  <c r="L594" i="9"/>
  <c r="I594" i="9"/>
  <c r="L593" i="9"/>
  <c r="I593" i="9"/>
  <c r="L592" i="9"/>
  <c r="I592" i="9"/>
  <c r="L591" i="9"/>
  <c r="I591" i="9"/>
  <c r="L590" i="9"/>
  <c r="I590" i="9"/>
  <c r="I589" i="9"/>
  <c r="L589" i="9" s="1"/>
  <c r="L588" i="9"/>
  <c r="I588" i="9"/>
  <c r="L587" i="9"/>
  <c r="I587" i="9"/>
  <c r="L586" i="9"/>
  <c r="I586" i="9"/>
  <c r="I585" i="9"/>
  <c r="L585" i="9" s="1"/>
  <c r="L584" i="9"/>
  <c r="I584" i="9"/>
  <c r="L583" i="9"/>
  <c r="I583" i="9"/>
  <c r="L582" i="9"/>
  <c r="I582" i="9"/>
  <c r="I581" i="9"/>
  <c r="L581" i="9" s="1"/>
  <c r="I580" i="9"/>
  <c r="L580" i="9" s="1"/>
  <c r="L579" i="9"/>
  <c r="I579" i="9"/>
  <c r="I578" i="9"/>
  <c r="L578" i="9" s="1"/>
  <c r="L577" i="9"/>
  <c r="I577" i="9"/>
  <c r="I576" i="9"/>
  <c r="L576" i="9" s="1"/>
  <c r="L575" i="9"/>
  <c r="I575" i="9"/>
  <c r="L574" i="9"/>
  <c r="I574" i="9"/>
  <c r="I573" i="9"/>
  <c r="L573" i="9" s="1"/>
  <c r="I572" i="9"/>
  <c r="L572" i="9" s="1"/>
  <c r="I570" i="9"/>
  <c r="L570" i="9" s="1"/>
  <c r="L569" i="9"/>
  <c r="I569" i="9"/>
  <c r="L568" i="9"/>
  <c r="I568" i="9"/>
  <c r="I567" i="9"/>
  <c r="L567" i="9" s="1"/>
  <c r="I566" i="9"/>
  <c r="L566" i="9" s="1"/>
  <c r="L565" i="9"/>
  <c r="I565" i="9"/>
  <c r="I564" i="9"/>
  <c r="L564" i="9" s="1"/>
  <c r="I563" i="9"/>
  <c r="L563" i="9" s="1"/>
  <c r="I562" i="9"/>
  <c r="L562" i="9" s="1"/>
  <c r="I561" i="9"/>
  <c r="L561" i="9" s="1"/>
  <c r="I560" i="9"/>
  <c r="L560" i="9" s="1"/>
  <c r="L559" i="9"/>
  <c r="I559" i="9"/>
  <c r="L558" i="9"/>
  <c r="I558" i="9"/>
  <c r="I557" i="9"/>
  <c r="L557" i="9" s="1"/>
  <c r="I556" i="9"/>
  <c r="L556" i="9" s="1"/>
  <c r="I555" i="9"/>
  <c r="L555" i="9" s="1"/>
  <c r="I554" i="9"/>
  <c r="L554" i="9" s="1"/>
  <c r="I553" i="9"/>
  <c r="L553" i="9" s="1"/>
  <c r="L552" i="9"/>
  <c r="I552" i="9"/>
  <c r="L551" i="9"/>
  <c r="I551" i="9"/>
  <c r="I550" i="9"/>
  <c r="L550" i="9" s="1"/>
  <c r="L549" i="9"/>
  <c r="I549" i="9"/>
  <c r="I548" i="9"/>
  <c r="L548" i="9" s="1"/>
  <c r="I547" i="9"/>
  <c r="L547" i="9" s="1"/>
  <c r="I546" i="9"/>
  <c r="L546" i="9" s="1"/>
  <c r="I545" i="9"/>
  <c r="L545" i="9" s="1"/>
  <c r="I544" i="9"/>
  <c r="L544" i="9" s="1"/>
  <c r="I543" i="9"/>
  <c r="L543" i="9" s="1"/>
  <c r="L542" i="9"/>
  <c r="I542" i="9"/>
  <c r="I541" i="9"/>
  <c r="L541" i="9" s="1"/>
  <c r="I540" i="9"/>
  <c r="L540" i="9" s="1"/>
  <c r="L539" i="9"/>
  <c r="I539" i="9"/>
  <c r="I538" i="9"/>
  <c r="L538" i="9" s="1"/>
  <c r="I537" i="9"/>
  <c r="L537" i="9" s="1"/>
  <c r="I536" i="9"/>
  <c r="L536" i="9" s="1"/>
  <c r="L535" i="9"/>
  <c r="I535" i="9"/>
  <c r="I534" i="9"/>
  <c r="L534" i="9" s="1"/>
  <c r="I533" i="9"/>
  <c r="L533" i="9" s="1"/>
  <c r="I532" i="9"/>
  <c r="L532" i="9" s="1"/>
  <c r="L531" i="9"/>
  <c r="I531" i="9"/>
  <c r="L530" i="9"/>
  <c r="I530" i="9"/>
  <c r="I529" i="9"/>
  <c r="L529" i="9" s="1"/>
  <c r="I528" i="9"/>
  <c r="L528" i="9" s="1"/>
  <c r="I527" i="9"/>
  <c r="L527" i="9" s="1"/>
  <c r="I526" i="9"/>
  <c r="L526" i="9" s="1"/>
  <c r="L525" i="9"/>
  <c r="I525" i="9"/>
  <c r="I524" i="9"/>
  <c r="L524" i="9" s="1"/>
  <c r="L523" i="9"/>
  <c r="I523" i="9"/>
  <c r="L522" i="9"/>
  <c r="I522" i="9"/>
  <c r="L521" i="9"/>
  <c r="I521" i="9"/>
  <c r="I520" i="9"/>
  <c r="L520" i="9" s="1"/>
  <c r="I519" i="9"/>
  <c r="L519" i="9" s="1"/>
  <c r="L518" i="9"/>
  <c r="I518" i="9"/>
  <c r="I517" i="9"/>
  <c r="L517" i="9" s="1"/>
  <c r="I516" i="9"/>
  <c r="L516" i="9" s="1"/>
  <c r="L515" i="9"/>
  <c r="I515" i="9"/>
  <c r="I514" i="9"/>
  <c r="L514" i="9" s="1"/>
  <c r="L513" i="9"/>
  <c r="I513" i="9"/>
  <c r="I512" i="9"/>
  <c r="L512" i="9" s="1"/>
  <c r="L511" i="9"/>
  <c r="I511" i="9"/>
  <c r="L510" i="9"/>
  <c r="I510" i="9"/>
  <c r="I509" i="9"/>
  <c r="L509" i="9" s="1"/>
  <c r="I508" i="9"/>
  <c r="L508" i="9" s="1"/>
  <c r="I507" i="9"/>
  <c r="L507" i="9" s="1"/>
  <c r="I506" i="9"/>
  <c r="L506" i="9" s="1"/>
  <c r="L505" i="9"/>
  <c r="I505" i="9"/>
  <c r="L504" i="9"/>
  <c r="I504" i="9"/>
  <c r="L503" i="9"/>
  <c r="I503" i="9"/>
  <c r="I502" i="9"/>
  <c r="L502" i="9" s="1"/>
  <c r="L501" i="9"/>
  <c r="I501" i="9"/>
  <c r="I500" i="9"/>
  <c r="L500" i="9" s="1"/>
  <c r="L499" i="9"/>
  <c r="I499" i="9"/>
  <c r="L498" i="9"/>
  <c r="I498" i="9"/>
  <c r="L497" i="9"/>
  <c r="I497" i="9"/>
  <c r="I496" i="9"/>
  <c r="L496" i="9" s="1"/>
  <c r="L495" i="9"/>
  <c r="I495" i="9"/>
  <c r="L494" i="9"/>
  <c r="I494" i="9"/>
  <c r="L493" i="9"/>
  <c r="I493" i="9"/>
  <c r="I492" i="9"/>
  <c r="L492" i="9" s="1"/>
  <c r="I491" i="9"/>
  <c r="L491" i="9" s="1"/>
  <c r="I490" i="9"/>
  <c r="L490" i="9" s="1"/>
  <c r="L489" i="9"/>
  <c r="I489" i="9"/>
  <c r="L488" i="9"/>
  <c r="I488" i="9"/>
  <c r="I487" i="9"/>
  <c r="L487" i="9" s="1"/>
  <c r="L486" i="9"/>
  <c r="I486" i="9"/>
  <c r="L485" i="9"/>
  <c r="I485" i="9"/>
  <c r="I484" i="9"/>
  <c r="L484" i="9" s="1"/>
  <c r="I483" i="9"/>
  <c r="L483" i="9" s="1"/>
  <c r="L482" i="9"/>
  <c r="I482" i="9"/>
  <c r="L481" i="9"/>
  <c r="I481" i="9"/>
  <c r="L480" i="9"/>
  <c r="I480" i="9"/>
  <c r="L479" i="9"/>
  <c r="I479" i="9"/>
  <c r="I478" i="9"/>
  <c r="L478" i="9" s="1"/>
  <c r="L477" i="9"/>
  <c r="I477" i="9"/>
  <c r="I476" i="9"/>
  <c r="L476" i="9" s="1"/>
  <c r="L475" i="9"/>
  <c r="I475" i="9"/>
  <c r="I474" i="9"/>
  <c r="L474" i="9" s="1"/>
  <c r="I473" i="9"/>
  <c r="L473" i="9" s="1"/>
  <c r="L472" i="9"/>
  <c r="I472" i="9"/>
  <c r="L471" i="9"/>
  <c r="I471" i="9"/>
  <c r="L470" i="9"/>
  <c r="I470" i="9"/>
  <c r="I469" i="9"/>
  <c r="L469" i="9" s="1"/>
  <c r="I468" i="9"/>
  <c r="L468" i="9" s="1"/>
  <c r="I467" i="9"/>
  <c r="L467" i="9" s="1"/>
  <c r="I466" i="9"/>
  <c r="L466" i="9" s="1"/>
  <c r="L465" i="9"/>
  <c r="I465" i="9"/>
  <c r="L464" i="9"/>
  <c r="I464" i="9"/>
  <c r="L463" i="9"/>
  <c r="I463" i="9"/>
  <c r="L462" i="9"/>
  <c r="I462" i="9"/>
  <c r="L461" i="9"/>
  <c r="I461" i="9"/>
  <c r="I460" i="9"/>
  <c r="L460" i="9" s="1"/>
  <c r="L459" i="9"/>
  <c r="I459" i="9"/>
  <c r="L458" i="9"/>
  <c r="I458" i="9"/>
  <c r="I457" i="9"/>
  <c r="L457" i="9" s="1"/>
  <c r="I456" i="9"/>
  <c r="L456" i="9" s="1"/>
  <c r="L455" i="9"/>
  <c r="I455" i="9"/>
  <c r="L454" i="9"/>
  <c r="I454" i="9"/>
  <c r="L453" i="9"/>
  <c r="I453" i="9"/>
  <c r="I452" i="9"/>
  <c r="L452" i="9" s="1"/>
  <c r="L451" i="9"/>
  <c r="I451" i="9"/>
  <c r="L450" i="9"/>
  <c r="I450" i="9"/>
  <c r="I449" i="9"/>
  <c r="L449" i="9" s="1"/>
  <c r="L448" i="9"/>
  <c r="I448" i="9"/>
  <c r="L447" i="9"/>
  <c r="I447" i="9"/>
  <c r="L446" i="9"/>
  <c r="I446" i="9"/>
  <c r="L445" i="9"/>
  <c r="I445" i="9"/>
  <c r="I444" i="9"/>
  <c r="L444" i="9" s="1"/>
  <c r="I443" i="9"/>
  <c r="L443" i="9" s="1"/>
  <c r="L442" i="9"/>
  <c r="I442" i="9"/>
  <c r="L441" i="9"/>
  <c r="I441" i="9"/>
  <c r="I440" i="9"/>
  <c r="L440" i="9" s="1"/>
  <c r="I439" i="9"/>
  <c r="L439" i="9" s="1"/>
  <c r="L438" i="9"/>
  <c r="I438" i="9"/>
  <c r="L437" i="9"/>
  <c r="I437" i="9"/>
  <c r="L436" i="9"/>
  <c r="I436" i="9"/>
  <c r="L435" i="9"/>
  <c r="I435" i="9"/>
  <c r="L434" i="9"/>
  <c r="I434" i="9"/>
  <c r="L433" i="9"/>
  <c r="I433" i="9"/>
  <c r="L432" i="9"/>
  <c r="I432" i="9"/>
  <c r="I431" i="9"/>
  <c r="L431" i="9" s="1"/>
  <c r="I430" i="9"/>
  <c r="L430" i="9" s="1"/>
  <c r="I429" i="9"/>
  <c r="L429" i="9" s="1"/>
  <c r="I428" i="9"/>
  <c r="L428" i="9" s="1"/>
  <c r="I427" i="9"/>
  <c r="L427" i="9" s="1"/>
  <c r="I426" i="9"/>
  <c r="L426" i="9" s="1"/>
  <c r="L425" i="9"/>
  <c r="I425" i="9"/>
  <c r="L424" i="9"/>
  <c r="I424" i="9"/>
  <c r="I423" i="9"/>
  <c r="L423" i="9" s="1"/>
  <c r="L422" i="9"/>
  <c r="I422" i="9"/>
  <c r="L421" i="9"/>
  <c r="I421" i="9"/>
  <c r="L420" i="9"/>
  <c r="I420" i="9"/>
  <c r="L419" i="9"/>
  <c r="I419" i="9"/>
  <c r="L418" i="9"/>
  <c r="I418" i="9"/>
  <c r="L417" i="9"/>
  <c r="I417" i="9"/>
  <c r="I416" i="9"/>
  <c r="L416" i="9" s="1"/>
  <c r="I415" i="9"/>
  <c r="L415" i="9" s="1"/>
  <c r="I414" i="9"/>
  <c r="L414" i="9" s="1"/>
  <c r="I413" i="9"/>
  <c r="L413" i="9" s="1"/>
  <c r="I412" i="9"/>
  <c r="L412" i="9" s="1"/>
  <c r="I411" i="9"/>
  <c r="L411" i="9" s="1"/>
  <c r="I410" i="9"/>
  <c r="L410" i="9" s="1"/>
  <c r="L409" i="9"/>
  <c r="I409" i="9"/>
  <c r="L408" i="9"/>
  <c r="I408" i="9"/>
  <c r="I407" i="9"/>
  <c r="L407" i="9" s="1"/>
  <c r="L406" i="9"/>
  <c r="I406" i="9"/>
  <c r="L405" i="9"/>
  <c r="I405" i="9"/>
  <c r="L404" i="9"/>
  <c r="I404" i="9"/>
  <c r="L403" i="9"/>
  <c r="I403" i="9"/>
  <c r="L402" i="9"/>
  <c r="I402" i="9"/>
  <c r="L401" i="9"/>
  <c r="I401" i="9"/>
  <c r="L400" i="9"/>
  <c r="I400" i="9"/>
  <c r="I399" i="9"/>
  <c r="L399" i="9" s="1"/>
  <c r="L398" i="9"/>
  <c r="I398" i="9"/>
  <c r="I397" i="9"/>
  <c r="L397" i="9" s="1"/>
  <c r="I396" i="9"/>
  <c r="L396" i="9" s="1"/>
  <c r="I395" i="9"/>
  <c r="L395" i="9" s="1"/>
  <c r="I394" i="9"/>
  <c r="L394" i="9" s="1"/>
  <c r="L393" i="9"/>
  <c r="I393" i="9"/>
  <c r="I392" i="9"/>
  <c r="L392" i="9" s="1"/>
  <c r="I391" i="9"/>
  <c r="L391" i="9" s="1"/>
  <c r="I390" i="9"/>
  <c r="L390" i="9" s="1"/>
  <c r="L389" i="9"/>
  <c r="I389" i="9"/>
  <c r="L388" i="9"/>
  <c r="I388" i="9"/>
  <c r="L387" i="9"/>
  <c r="I387" i="9"/>
  <c r="L386" i="9"/>
  <c r="I386" i="9"/>
  <c r="L385" i="9"/>
  <c r="I385" i="9"/>
  <c r="L384" i="9"/>
  <c r="I384" i="9"/>
  <c r="I383" i="9"/>
  <c r="L383" i="9" s="1"/>
  <c r="L382" i="9"/>
  <c r="I382" i="9"/>
  <c r="L381" i="9"/>
  <c r="I381" i="9"/>
  <c r="I380" i="9"/>
  <c r="L380" i="9" s="1"/>
  <c r="I379" i="9"/>
  <c r="L379" i="9" s="1"/>
  <c r="I378" i="9"/>
  <c r="L378" i="9" s="1"/>
  <c r="L377" i="9"/>
  <c r="I377" i="9"/>
  <c r="I376" i="9"/>
  <c r="L376" i="9" s="1"/>
  <c r="I375" i="9"/>
  <c r="L375" i="9" s="1"/>
  <c r="L374" i="9"/>
  <c r="I374" i="9"/>
  <c r="I373" i="9"/>
  <c r="L373" i="9" s="1"/>
  <c r="L372" i="9"/>
  <c r="I372" i="9"/>
  <c r="L371" i="9"/>
  <c r="I371" i="9"/>
  <c r="L370" i="9"/>
  <c r="I370" i="9"/>
  <c r="L369" i="9"/>
  <c r="I369" i="9"/>
  <c r="L368" i="9"/>
  <c r="I368" i="9"/>
  <c r="I367" i="9"/>
  <c r="L367" i="9" s="1"/>
  <c r="I366" i="9"/>
  <c r="L366" i="9" s="1"/>
  <c r="L365" i="9"/>
  <c r="I365" i="9"/>
  <c r="L364" i="9"/>
  <c r="I364" i="9"/>
  <c r="I363" i="9"/>
  <c r="L363" i="9" s="1"/>
  <c r="I362" i="9"/>
  <c r="L362" i="9" s="1"/>
  <c r="L361" i="9"/>
  <c r="I361" i="9"/>
  <c r="I360" i="9"/>
  <c r="L360" i="9" s="1"/>
  <c r="I359" i="9"/>
  <c r="L359" i="9" s="1"/>
  <c r="L358" i="9"/>
  <c r="I358" i="9"/>
  <c r="L357" i="9"/>
  <c r="I357" i="9"/>
  <c r="I356" i="9"/>
  <c r="L356" i="9" s="1"/>
  <c r="L355" i="9"/>
  <c r="I355" i="9"/>
  <c r="L354" i="9"/>
  <c r="I354" i="9"/>
  <c r="L353" i="9"/>
  <c r="I353" i="9"/>
  <c r="L352" i="9"/>
  <c r="I352" i="9"/>
  <c r="I351" i="9"/>
  <c r="L351" i="9" s="1"/>
  <c r="I350" i="9"/>
  <c r="L350" i="9" s="1"/>
  <c r="I349" i="9"/>
  <c r="L349" i="9" s="1"/>
  <c r="L348" i="9"/>
  <c r="I348" i="9"/>
  <c r="L347" i="9"/>
  <c r="I347" i="9"/>
  <c r="I346" i="9"/>
  <c r="L346" i="9" s="1"/>
  <c r="L345" i="9"/>
  <c r="I345" i="9"/>
  <c r="I344" i="9"/>
  <c r="L344" i="9" s="1"/>
  <c r="I343" i="9"/>
  <c r="L343" i="9" s="1"/>
  <c r="L342" i="9"/>
  <c r="I342" i="9"/>
  <c r="L341" i="9"/>
  <c r="I341" i="9"/>
  <c r="L340" i="9"/>
  <c r="I340" i="9"/>
  <c r="I339" i="9"/>
  <c r="L339" i="9" s="1"/>
  <c r="L338" i="9"/>
  <c r="I338" i="9"/>
  <c r="L337" i="9"/>
  <c r="I337" i="9"/>
  <c r="L336" i="9"/>
  <c r="I336" i="9"/>
  <c r="I335" i="9"/>
  <c r="L335" i="9" s="1"/>
  <c r="I334" i="9"/>
  <c r="L334" i="9" s="1"/>
  <c r="I333" i="9"/>
  <c r="L333" i="9" s="1"/>
  <c r="I332" i="9"/>
  <c r="L332" i="9" s="1"/>
  <c r="L331" i="9"/>
  <c r="I331" i="9"/>
  <c r="L330" i="9"/>
  <c r="I330" i="9"/>
  <c r="L329" i="9"/>
  <c r="I329" i="9"/>
  <c r="I328" i="9"/>
  <c r="L328" i="9" s="1"/>
  <c r="I327" i="9"/>
  <c r="L327" i="9" s="1"/>
  <c r="L326" i="9"/>
  <c r="I326" i="9"/>
  <c r="L325" i="9"/>
  <c r="I325" i="9"/>
  <c r="L324" i="9"/>
  <c r="I324" i="9"/>
  <c r="L323" i="9"/>
  <c r="I323" i="9"/>
  <c r="I322" i="9"/>
  <c r="L322" i="9" s="1"/>
  <c r="L321" i="9"/>
  <c r="I321" i="9"/>
  <c r="L320" i="9"/>
  <c r="I320" i="9"/>
  <c r="I319" i="9"/>
  <c r="L319" i="9" s="1"/>
  <c r="I318" i="9"/>
  <c r="L318" i="9" s="1"/>
  <c r="I317" i="9"/>
  <c r="L317" i="9" s="1"/>
  <c r="I316" i="9"/>
  <c r="L316" i="9" s="1"/>
  <c r="I315" i="9"/>
  <c r="L315" i="9" s="1"/>
  <c r="L314" i="9"/>
  <c r="I314" i="9"/>
  <c r="L313" i="9"/>
  <c r="I313" i="9"/>
  <c r="I312" i="9"/>
  <c r="L312" i="9" s="1"/>
  <c r="I311" i="9"/>
  <c r="L311" i="9" s="1"/>
  <c r="L310" i="9"/>
  <c r="I310" i="9"/>
  <c r="L309" i="9"/>
  <c r="I309" i="9"/>
  <c r="L308" i="9"/>
  <c r="I308" i="9"/>
  <c r="L307" i="9"/>
  <c r="I307" i="9"/>
  <c r="L306" i="9"/>
  <c r="I306" i="9"/>
  <c r="L305" i="9"/>
  <c r="I305" i="9"/>
  <c r="L304" i="9"/>
  <c r="I304" i="9"/>
  <c r="I303" i="9"/>
  <c r="L303" i="9" s="1"/>
  <c r="I302" i="9"/>
  <c r="L302" i="9" s="1"/>
  <c r="I301" i="9"/>
  <c r="L301" i="9" s="1"/>
  <c r="I300" i="9"/>
  <c r="L300" i="9" s="1"/>
  <c r="I299" i="9"/>
  <c r="L299" i="9" s="1"/>
  <c r="I298" i="9"/>
  <c r="L298" i="9" s="1"/>
  <c r="L297" i="9"/>
  <c r="I297" i="9"/>
  <c r="L296" i="9"/>
  <c r="I296" i="9"/>
  <c r="I295" i="9"/>
  <c r="L295" i="9" s="1"/>
  <c r="L294" i="9"/>
  <c r="I294" i="9"/>
  <c r="L293" i="9"/>
  <c r="I293" i="9"/>
  <c r="L292" i="9"/>
  <c r="I292" i="9"/>
  <c r="L291" i="9"/>
  <c r="I291" i="9"/>
  <c r="L290" i="9"/>
  <c r="I290" i="9"/>
  <c r="L289" i="9"/>
  <c r="I289" i="9"/>
  <c r="I288" i="9"/>
  <c r="L288" i="9" s="1"/>
  <c r="I287" i="9"/>
  <c r="L287" i="9" s="1"/>
  <c r="I286" i="9"/>
  <c r="L286" i="9" s="1"/>
  <c r="I285" i="9"/>
  <c r="L285" i="9" s="1"/>
  <c r="I284" i="9"/>
  <c r="L284" i="9" s="1"/>
  <c r="I283" i="9"/>
  <c r="L283" i="9" s="1"/>
  <c r="I282" i="9"/>
  <c r="L282" i="9" s="1"/>
  <c r="L281" i="9"/>
  <c r="I281" i="9"/>
  <c r="L280" i="9"/>
  <c r="I280" i="9"/>
  <c r="I279" i="9"/>
  <c r="L279" i="9" s="1"/>
  <c r="L278" i="9"/>
  <c r="I278" i="9"/>
  <c r="L277" i="9"/>
  <c r="I277" i="9"/>
  <c r="L276" i="9"/>
  <c r="I276" i="9"/>
  <c r="L275" i="9"/>
  <c r="I275" i="9"/>
  <c r="L274" i="9"/>
  <c r="I274" i="9"/>
  <c r="L273" i="9"/>
  <c r="I273" i="9"/>
  <c r="L272" i="9"/>
  <c r="I272" i="9"/>
  <c r="I271" i="9"/>
  <c r="L271" i="9" s="1"/>
  <c r="L270" i="9"/>
  <c r="I270" i="9"/>
  <c r="I269" i="9"/>
  <c r="L269" i="9" s="1"/>
  <c r="I268" i="9"/>
  <c r="L268" i="9" s="1"/>
  <c r="I267" i="9"/>
  <c r="L267" i="9" s="1"/>
  <c r="I266" i="9"/>
  <c r="L266" i="9" s="1"/>
  <c r="L265" i="9"/>
  <c r="I265" i="9"/>
  <c r="I264" i="9"/>
  <c r="L264" i="9" s="1"/>
  <c r="I263" i="9"/>
  <c r="L263" i="9" s="1"/>
  <c r="I262" i="9"/>
  <c r="L262" i="9" s="1"/>
  <c r="L261" i="9"/>
  <c r="I261" i="9"/>
  <c r="L260" i="9"/>
  <c r="I260" i="9"/>
  <c r="L259" i="9"/>
  <c r="I259" i="9"/>
  <c r="L258" i="9"/>
  <c r="I258" i="9"/>
  <c r="L257" i="9"/>
  <c r="I257" i="9"/>
  <c r="L256" i="9"/>
  <c r="I256" i="9"/>
  <c r="I255" i="9"/>
  <c r="L255" i="9" s="1"/>
  <c r="L254" i="9"/>
  <c r="I254" i="9"/>
  <c r="L253" i="9"/>
  <c r="I253" i="9"/>
  <c r="I252" i="9"/>
  <c r="L252" i="9" s="1"/>
  <c r="I251" i="9"/>
  <c r="L251" i="9" s="1"/>
  <c r="I250" i="9"/>
  <c r="L250" i="9" s="1"/>
  <c r="L249" i="9"/>
  <c r="I249" i="9"/>
  <c r="I248" i="9"/>
  <c r="L248" i="9" s="1"/>
  <c r="I247" i="9"/>
  <c r="L247" i="9" s="1"/>
  <c r="L246" i="9"/>
  <c r="I246" i="9"/>
  <c r="I245" i="9"/>
  <c r="L245" i="9" s="1"/>
  <c r="L244" i="9"/>
  <c r="I244" i="9"/>
  <c r="L243" i="9"/>
  <c r="I243" i="9"/>
  <c r="L242" i="9"/>
  <c r="I242" i="9"/>
  <c r="L241" i="9"/>
  <c r="I241" i="9"/>
  <c r="L240" i="9"/>
  <c r="I240" i="9"/>
  <c r="I239" i="9"/>
  <c r="L239" i="9" s="1"/>
  <c r="I238" i="9"/>
  <c r="L238" i="9" s="1"/>
  <c r="L237" i="9"/>
  <c r="I237" i="9"/>
  <c r="L236" i="9"/>
  <c r="I236" i="9"/>
  <c r="I235" i="9"/>
  <c r="L235" i="9" s="1"/>
  <c r="I234" i="9"/>
  <c r="L234" i="9" s="1"/>
  <c r="L233" i="9"/>
  <c r="I233" i="9"/>
  <c r="I232" i="9"/>
  <c r="L232" i="9" s="1"/>
  <c r="I231" i="9"/>
  <c r="L231" i="9" s="1"/>
  <c r="L230" i="9"/>
  <c r="I230" i="9"/>
  <c r="L229" i="9"/>
  <c r="I229" i="9"/>
  <c r="I228" i="9"/>
  <c r="L228" i="9" s="1"/>
  <c r="L227" i="9"/>
  <c r="I227" i="9"/>
  <c r="L226" i="9"/>
  <c r="I226" i="9"/>
  <c r="L225" i="9"/>
  <c r="I225" i="9"/>
  <c r="L224" i="9"/>
  <c r="I224" i="9"/>
  <c r="I223" i="9"/>
  <c r="L223" i="9" s="1"/>
  <c r="I222" i="9"/>
  <c r="L222" i="9" s="1"/>
  <c r="I221" i="9"/>
  <c r="L221" i="9" s="1"/>
  <c r="L220" i="9"/>
  <c r="I220" i="9"/>
  <c r="L219" i="9"/>
  <c r="I219" i="9"/>
  <c r="I218" i="9"/>
  <c r="L218" i="9" s="1"/>
  <c r="L217" i="9"/>
  <c r="I217" i="9"/>
  <c r="I216" i="9"/>
  <c r="L216" i="9" s="1"/>
  <c r="I215" i="9"/>
  <c r="L215" i="9" s="1"/>
  <c r="L214" i="9"/>
  <c r="I214" i="9"/>
  <c r="L213" i="9"/>
  <c r="I213" i="9"/>
  <c r="L212" i="9"/>
  <c r="I212" i="9"/>
  <c r="I211" i="9"/>
  <c r="L211" i="9" s="1"/>
  <c r="L210" i="9"/>
  <c r="I210" i="9"/>
  <c r="L209" i="9"/>
  <c r="I209" i="9"/>
  <c r="L208" i="9"/>
  <c r="I208" i="9"/>
  <c r="I207" i="9"/>
  <c r="L207" i="9" s="1"/>
  <c r="I206" i="9"/>
  <c r="L206" i="9" s="1"/>
  <c r="I205" i="9"/>
  <c r="L205" i="9" s="1"/>
  <c r="I204" i="9"/>
  <c r="L204" i="9" s="1"/>
  <c r="L203" i="9"/>
  <c r="I203" i="9"/>
  <c r="L202" i="9"/>
  <c r="I202" i="9"/>
  <c r="L201" i="9"/>
  <c r="I201" i="9"/>
  <c r="I200" i="9"/>
  <c r="L200" i="9" s="1"/>
  <c r="I199" i="9"/>
  <c r="L199" i="9" s="1"/>
  <c r="L198" i="9"/>
  <c r="I198" i="9"/>
  <c r="L197" i="9"/>
  <c r="I197" i="9"/>
  <c r="L196" i="9"/>
  <c r="I196" i="9"/>
  <c r="L195" i="9"/>
  <c r="I195" i="9"/>
  <c r="I194" i="9"/>
  <c r="L194" i="9" s="1"/>
  <c r="L193" i="9"/>
  <c r="I193" i="9"/>
  <c r="L192" i="9"/>
  <c r="I192" i="9"/>
  <c r="I191" i="9"/>
  <c r="L191" i="9" s="1"/>
  <c r="I190" i="9"/>
  <c r="L190" i="9" s="1"/>
  <c r="I189" i="9"/>
  <c r="L189" i="9" s="1"/>
  <c r="I188" i="9"/>
  <c r="L188" i="9" s="1"/>
  <c r="I187" i="9"/>
  <c r="L187" i="9" s="1"/>
  <c r="L186" i="9"/>
  <c r="I186" i="9"/>
  <c r="L185" i="9"/>
  <c r="I185" i="9"/>
  <c r="I184" i="9"/>
  <c r="L184" i="9" s="1"/>
  <c r="I183" i="9"/>
  <c r="L183" i="9" s="1"/>
  <c r="I182" i="9"/>
  <c r="L182" i="9" s="1"/>
  <c r="I181" i="9"/>
  <c r="L181" i="9" s="1"/>
  <c r="I180" i="9"/>
  <c r="L180" i="9" s="1"/>
  <c r="I179" i="9"/>
  <c r="L179" i="9" s="1"/>
  <c r="L178" i="9"/>
  <c r="I178" i="9"/>
  <c r="L177" i="9"/>
  <c r="I177" i="9"/>
  <c r="I176" i="9"/>
  <c r="L176" i="9" s="1"/>
  <c r="I175" i="9"/>
  <c r="L175" i="9" s="1"/>
  <c r="I174" i="9"/>
  <c r="L174" i="9" s="1"/>
  <c r="I173" i="9"/>
  <c r="L173" i="9" s="1"/>
  <c r="I172" i="9"/>
  <c r="L172" i="9" s="1"/>
  <c r="I171" i="9"/>
  <c r="L171" i="9" s="1"/>
  <c r="L170" i="9"/>
  <c r="I170" i="9"/>
  <c r="L169" i="9"/>
  <c r="I169" i="9"/>
  <c r="I168" i="9"/>
  <c r="L168" i="9" s="1"/>
  <c r="I167" i="9"/>
  <c r="L167" i="9" s="1"/>
  <c r="I166" i="9"/>
  <c r="L166" i="9" s="1"/>
  <c r="I165" i="9"/>
  <c r="L165" i="9" s="1"/>
  <c r="I164" i="9"/>
  <c r="L164" i="9" s="1"/>
  <c r="I163" i="9"/>
  <c r="L163" i="9" s="1"/>
  <c r="L162" i="9"/>
  <c r="I162" i="9"/>
  <c r="L161" i="9"/>
  <c r="I161" i="9"/>
  <c r="I160" i="9"/>
  <c r="L160" i="9" s="1"/>
  <c r="I158" i="9"/>
  <c r="L158" i="9" s="1"/>
  <c r="I157" i="9"/>
  <c r="L157" i="9" s="1"/>
  <c r="I156" i="9"/>
  <c r="L156" i="9" s="1"/>
  <c r="I155" i="9"/>
  <c r="L155" i="9" s="1"/>
  <c r="I154" i="9"/>
  <c r="L154" i="9" s="1"/>
  <c r="L153" i="9"/>
  <c r="I153" i="9"/>
  <c r="L152" i="9"/>
  <c r="I152" i="9"/>
  <c r="I151" i="9"/>
  <c r="L151" i="9" s="1"/>
  <c r="I150" i="9"/>
  <c r="L150" i="9" s="1"/>
  <c r="I149" i="9"/>
  <c r="L149" i="9" s="1"/>
  <c r="I148" i="9"/>
  <c r="L148" i="9" s="1"/>
  <c r="I147" i="9"/>
  <c r="L147" i="9" s="1"/>
  <c r="I146" i="9"/>
  <c r="L146" i="9" s="1"/>
  <c r="L145" i="9"/>
  <c r="I145" i="9"/>
  <c r="L144" i="9"/>
  <c r="I144" i="9"/>
  <c r="I143" i="9"/>
  <c r="L143" i="9" s="1"/>
  <c r="I142" i="9"/>
  <c r="L142" i="9" s="1"/>
  <c r="I141" i="9"/>
  <c r="L141" i="9" s="1"/>
  <c r="I140" i="9"/>
  <c r="L140" i="9" s="1"/>
  <c r="I139" i="9"/>
  <c r="L139" i="9" s="1"/>
  <c r="I138" i="9"/>
  <c r="L138" i="9" s="1"/>
  <c r="L137" i="9"/>
  <c r="I137" i="9"/>
  <c r="L136" i="9"/>
  <c r="I136" i="9"/>
  <c r="I135" i="9"/>
  <c r="L135" i="9" s="1"/>
  <c r="I134" i="9"/>
  <c r="L134" i="9" s="1"/>
  <c r="I133" i="9"/>
  <c r="L133" i="9" s="1"/>
  <c r="I132" i="9"/>
  <c r="L132" i="9" s="1"/>
  <c r="I131" i="9"/>
  <c r="L131" i="9" s="1"/>
  <c r="I130" i="9"/>
  <c r="L130" i="9" s="1"/>
  <c r="L129" i="9"/>
  <c r="I129" i="9"/>
  <c r="L128" i="9"/>
  <c r="I128" i="9"/>
  <c r="I127" i="9"/>
  <c r="L127" i="9" s="1"/>
  <c r="I126" i="9"/>
  <c r="L126" i="9" s="1"/>
  <c r="I125" i="9"/>
  <c r="L125" i="9" s="1"/>
  <c r="I124" i="9"/>
  <c r="L124" i="9" s="1"/>
  <c r="I123" i="9"/>
  <c r="L123" i="9" s="1"/>
  <c r="I122" i="9"/>
  <c r="L122" i="9" s="1"/>
  <c r="L121" i="9"/>
  <c r="I121" i="9"/>
  <c r="L120" i="9"/>
  <c r="I120" i="9"/>
  <c r="I119" i="9"/>
  <c r="L119" i="9" s="1"/>
  <c r="I118" i="9"/>
  <c r="L118" i="9" s="1"/>
  <c r="I117" i="9"/>
  <c r="L117" i="9" s="1"/>
  <c r="I116" i="9"/>
  <c r="L116" i="9" s="1"/>
  <c r="I115" i="9"/>
  <c r="L115" i="9" s="1"/>
  <c r="I114" i="9"/>
  <c r="L114" i="9" s="1"/>
  <c r="L113" i="9"/>
  <c r="I113" i="9"/>
  <c r="L112" i="9"/>
  <c r="I112" i="9"/>
  <c r="I111" i="9"/>
  <c r="L111" i="9" s="1"/>
  <c r="I110" i="9"/>
  <c r="L110" i="9" s="1"/>
  <c r="I109" i="9"/>
  <c r="L109" i="9" s="1"/>
  <c r="I108" i="9"/>
  <c r="L108" i="9" s="1"/>
  <c r="I107" i="9"/>
  <c r="L107" i="9" s="1"/>
  <c r="I106" i="9"/>
  <c r="L106" i="9" s="1"/>
  <c r="L105" i="9"/>
  <c r="I105" i="9"/>
  <c r="L104" i="9"/>
  <c r="I104" i="9"/>
  <c r="I103" i="9"/>
  <c r="L103" i="9" s="1"/>
  <c r="I102" i="9"/>
  <c r="L102" i="9" s="1"/>
  <c r="I101" i="9"/>
  <c r="L101" i="9" s="1"/>
  <c r="I100" i="9"/>
  <c r="L100" i="9" s="1"/>
  <c r="I99" i="9"/>
  <c r="L99" i="9" s="1"/>
  <c r="I98" i="9"/>
  <c r="L98" i="9" s="1"/>
  <c r="L97" i="9"/>
  <c r="I97" i="9"/>
  <c r="L96" i="9"/>
  <c r="I96" i="9"/>
  <c r="I95" i="9"/>
  <c r="L95" i="9" s="1"/>
  <c r="I94" i="9"/>
  <c r="L94" i="9" s="1"/>
  <c r="I93" i="9"/>
  <c r="L93" i="9" s="1"/>
  <c r="I92" i="9"/>
  <c r="L92" i="9" s="1"/>
  <c r="I91" i="9"/>
  <c r="L91" i="9" s="1"/>
  <c r="I90" i="9"/>
  <c r="L90" i="9" s="1"/>
  <c r="L89" i="9"/>
  <c r="I89" i="9"/>
  <c r="L88" i="9"/>
  <c r="I88" i="9"/>
  <c r="I87" i="9"/>
  <c r="L87" i="9" s="1"/>
  <c r="I86" i="9"/>
  <c r="L86" i="9" s="1"/>
  <c r="I85" i="9"/>
  <c r="L85" i="9" s="1"/>
  <c r="I84" i="9"/>
  <c r="L84" i="9" s="1"/>
  <c r="I83" i="9"/>
  <c r="L83" i="9" s="1"/>
  <c r="I82" i="9"/>
  <c r="L82" i="9" s="1"/>
  <c r="L81" i="9"/>
  <c r="I81" i="9"/>
  <c r="L80" i="9"/>
  <c r="I80" i="9"/>
  <c r="I79" i="9"/>
  <c r="L79" i="9" s="1"/>
  <c r="I78" i="9"/>
  <c r="L78" i="9" s="1"/>
  <c r="I77" i="9"/>
  <c r="L77" i="9" s="1"/>
  <c r="I76" i="9"/>
  <c r="L76" i="9" s="1"/>
  <c r="I75" i="9"/>
  <c r="L75" i="9" s="1"/>
  <c r="I74" i="9"/>
  <c r="L74" i="9" s="1"/>
  <c r="L73" i="9"/>
  <c r="I73" i="9"/>
  <c r="L72" i="9"/>
  <c r="I72" i="9"/>
  <c r="I71" i="9"/>
  <c r="L71" i="9" s="1"/>
  <c r="I70" i="9"/>
  <c r="L70" i="9" s="1"/>
  <c r="I69" i="9"/>
  <c r="L69" i="9" s="1"/>
  <c r="I68" i="9"/>
  <c r="L68" i="9" s="1"/>
  <c r="I67" i="9"/>
  <c r="L67" i="9" s="1"/>
  <c r="I66" i="9"/>
  <c r="L66" i="9" s="1"/>
  <c r="L65" i="9"/>
  <c r="I65" i="9"/>
  <c r="L64" i="9"/>
  <c r="I64" i="9"/>
  <c r="I63" i="9"/>
  <c r="L63" i="9" s="1"/>
  <c r="I62" i="9"/>
  <c r="L62" i="9" s="1"/>
  <c r="I61" i="9"/>
  <c r="L61" i="9" s="1"/>
  <c r="I60" i="9"/>
  <c r="L60" i="9" s="1"/>
  <c r="I59" i="9"/>
  <c r="L59" i="9" s="1"/>
  <c r="I58" i="9"/>
  <c r="L58" i="9" s="1"/>
  <c r="L57" i="9"/>
  <c r="I57" i="9"/>
  <c r="L56" i="9"/>
  <c r="I56" i="9"/>
  <c r="I55" i="9"/>
  <c r="L55" i="9" s="1"/>
  <c r="I54" i="9"/>
  <c r="L54" i="9" s="1"/>
  <c r="I53" i="9"/>
  <c r="L53" i="9" s="1"/>
  <c r="I52" i="9"/>
  <c r="L52" i="9" s="1"/>
  <c r="I51" i="9"/>
  <c r="L51" i="9" s="1"/>
  <c r="I50" i="9"/>
  <c r="L50" i="9" s="1"/>
  <c r="L49" i="9"/>
  <c r="I49" i="9"/>
  <c r="L48" i="9"/>
  <c r="I48" i="9"/>
  <c r="I47" i="9"/>
  <c r="L47" i="9" s="1"/>
  <c r="I46" i="9"/>
  <c r="L46" i="9" s="1"/>
  <c r="I45" i="9"/>
  <c r="L45" i="9" s="1"/>
  <c r="I44" i="9"/>
  <c r="L44" i="9" s="1"/>
  <c r="I43" i="9"/>
  <c r="L43" i="9" s="1"/>
  <c r="I42" i="9"/>
  <c r="L42" i="9" s="1"/>
  <c r="L41" i="9"/>
  <c r="I41" i="9"/>
  <c r="L40" i="9"/>
  <c r="I40" i="9"/>
  <c r="I39" i="9"/>
  <c r="L39" i="9" s="1"/>
  <c r="I38" i="9"/>
  <c r="L38" i="9" s="1"/>
  <c r="I37" i="9"/>
  <c r="L37" i="9" s="1"/>
  <c r="I36" i="9"/>
  <c r="L36" i="9" s="1"/>
  <c r="I35" i="9"/>
  <c r="L35" i="9" s="1"/>
  <c r="I34" i="9"/>
  <c r="L34" i="9" s="1"/>
  <c r="L33" i="9"/>
  <c r="I33" i="9"/>
  <c r="L32" i="9"/>
  <c r="I32" i="9"/>
  <c r="I31" i="9"/>
  <c r="L31" i="9" s="1"/>
  <c r="I30" i="9"/>
  <c r="L30" i="9" s="1"/>
  <c r="I29" i="9"/>
  <c r="L29" i="9" s="1"/>
  <c r="I28" i="9"/>
  <c r="L28" i="9" s="1"/>
  <c r="I27" i="9"/>
  <c r="L27" i="9" s="1"/>
  <c r="I26" i="9"/>
  <c r="L26" i="9" s="1"/>
  <c r="L25" i="9"/>
  <c r="I25" i="9"/>
  <c r="L24" i="9"/>
  <c r="I24" i="9"/>
  <c r="I23" i="9"/>
  <c r="L23" i="9" s="1"/>
  <c r="I22" i="9"/>
  <c r="L22" i="9" s="1"/>
  <c r="I21" i="9"/>
  <c r="L21" i="9" s="1"/>
  <c r="I20" i="9"/>
  <c r="L20" i="9" s="1"/>
  <c r="I19" i="9"/>
  <c r="L19" i="9" s="1"/>
  <c r="I18" i="9"/>
  <c r="L18" i="9" s="1"/>
  <c r="L17" i="9"/>
  <c r="I17" i="9"/>
  <c r="L16" i="9"/>
  <c r="I16" i="9"/>
  <c r="I15" i="9"/>
  <c r="L15" i="9" s="1"/>
  <c r="I14" i="9"/>
  <c r="L14" i="9" s="1"/>
  <c r="I13" i="9"/>
  <c r="L13" i="9" s="1"/>
  <c r="I12" i="9"/>
  <c r="L12" i="9" s="1"/>
  <c r="I11" i="9"/>
  <c r="L11" i="9" s="1"/>
  <c r="I10" i="9"/>
  <c r="L10" i="9" s="1"/>
  <c r="L9" i="9"/>
  <c r="I9" i="9"/>
  <c r="L8" i="9"/>
  <c r="I8" i="9"/>
  <c r="I7" i="9"/>
  <c r="L7" i="9" s="1"/>
  <c r="I6" i="9"/>
  <c r="L6" i="9" s="1"/>
  <c r="I5" i="9"/>
  <c r="L5" i="9" s="1"/>
  <c r="I4" i="9"/>
  <c r="L4" i="9" s="1"/>
  <c r="I3" i="9"/>
  <c r="E156" i="8"/>
  <c r="E155" i="8"/>
  <c r="E154" i="8"/>
  <c r="E153" i="8"/>
  <c r="E152" i="8"/>
  <c r="E151" i="8"/>
  <c r="E150" i="8"/>
  <c r="E148" i="8"/>
  <c r="E147" i="8"/>
  <c r="E146" i="8"/>
  <c r="E145" i="8"/>
  <c r="E144" i="8"/>
  <c r="E143" i="8"/>
  <c r="E142" i="8"/>
  <c r="E141" i="8"/>
  <c r="E139" i="8"/>
  <c r="E138" i="8"/>
  <c r="E137" i="8"/>
  <c r="E136" i="8"/>
  <c r="E135" i="8"/>
  <c r="E134" i="8"/>
  <c r="E133" i="8"/>
  <c r="E131" i="8"/>
  <c r="E130" i="8"/>
  <c r="E129" i="8"/>
  <c r="E128" i="8"/>
  <c r="E127" i="8"/>
  <c r="E126" i="8"/>
  <c r="E125" i="8"/>
  <c r="E124" i="8"/>
  <c r="E123" i="8"/>
  <c r="E122" i="8"/>
  <c r="E121" i="8"/>
  <c r="E120" i="8"/>
  <c r="E119" i="8"/>
  <c r="E118" i="8"/>
  <c r="E117" i="8"/>
  <c r="E116" i="8"/>
  <c r="E115" i="8"/>
  <c r="E114" i="8"/>
  <c r="E113" i="8"/>
  <c r="E111" i="8"/>
  <c r="E110" i="8"/>
  <c r="E109" i="8"/>
  <c r="E108" i="8"/>
  <c r="E107" i="8"/>
  <c r="E106" i="8"/>
  <c r="E104" i="8"/>
  <c r="E103" i="8"/>
  <c r="E102" i="8"/>
  <c r="E101" i="8"/>
  <c r="E100" i="8"/>
  <c r="E99" i="8"/>
  <c r="E98" i="8"/>
  <c r="E97" i="8"/>
  <c r="E96" i="8"/>
  <c r="E95" i="8"/>
  <c r="E93" i="8"/>
  <c r="E92" i="8"/>
  <c r="E91" i="8"/>
  <c r="E90" i="8"/>
  <c r="E89" i="8"/>
  <c r="E88" i="8"/>
  <c r="E87" i="8"/>
  <c r="E86" i="8"/>
  <c r="E85" i="8"/>
  <c r="E84" i="8"/>
  <c r="E83" i="8"/>
  <c r="E82" i="8"/>
  <c r="E80" i="8"/>
  <c r="E79" i="8"/>
  <c r="E78" i="8"/>
  <c r="E77" i="8"/>
  <c r="E76" i="8"/>
  <c r="E75" i="8"/>
  <c r="E74" i="8"/>
  <c r="E72" i="8"/>
  <c r="E71" i="8"/>
  <c r="E70" i="8"/>
  <c r="E69" i="8"/>
  <c r="E68" i="8"/>
  <c r="E67" i="8"/>
  <c r="E66" i="8"/>
  <c r="E65" i="8"/>
  <c r="E64" i="8"/>
  <c r="E62" i="8"/>
  <c r="E61" i="8"/>
  <c r="E60" i="8"/>
  <c r="E59" i="8"/>
  <c r="E58" i="8"/>
  <c r="E57" i="8"/>
  <c r="E56" i="8"/>
  <c r="E55" i="8"/>
  <c r="E53" i="8"/>
  <c r="E52" i="8"/>
  <c r="E51" i="8"/>
  <c r="E50" i="8"/>
  <c r="E49" i="8"/>
  <c r="E48" i="8"/>
  <c r="E47" i="8"/>
  <c r="E46" i="8"/>
  <c r="E45"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3" i="8"/>
  <c r="E12" i="8"/>
  <c r="E11" i="8"/>
  <c r="E10" i="8"/>
  <c r="E9" i="8"/>
  <c r="E8" i="8"/>
  <c r="E7" i="8"/>
  <c r="E6" i="8"/>
  <c r="E5" i="8"/>
  <c r="E4" i="8"/>
  <c r="E3" i="8"/>
  <c r="BB15" i="7"/>
  <c r="BG14" i="7"/>
  <c r="BF14" i="7"/>
  <c r="BE14" i="7"/>
  <c r="BD14" i="7"/>
  <c r="BC14" i="7"/>
  <c r="BB14" i="7"/>
  <c r="BA14"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BG13" i="7"/>
  <c r="BF13" i="7"/>
  <c r="BE13" i="7"/>
  <c r="BD13" i="7"/>
  <c r="BC13" i="7"/>
  <c r="BB13" i="7"/>
  <c r="BA13" i="7"/>
  <c r="AZ13" i="7"/>
  <c r="AY13" i="7"/>
  <c r="AX13" i="7"/>
  <c r="AW13" i="7"/>
  <c r="AV13" i="7"/>
  <c r="AU13" i="7"/>
  <c r="AT13" i="7"/>
  <c r="AS13" i="7"/>
  <c r="AR13"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BG12" i="7"/>
  <c r="BF12" i="7"/>
  <c r="BE12" i="7"/>
  <c r="BD12" i="7"/>
  <c r="BC12" i="7"/>
  <c r="BB12" i="7"/>
  <c r="BA12" i="7"/>
  <c r="AZ12" i="7"/>
  <c r="AY12" i="7"/>
  <c r="AX12" i="7"/>
  <c r="AW12" i="7"/>
  <c r="AV12" i="7"/>
  <c r="AU12" i="7"/>
  <c r="AT12" i="7"/>
  <c r="AS12" i="7"/>
  <c r="AR12" i="7"/>
  <c r="AQ12" i="7"/>
  <c r="AP12" i="7"/>
  <c r="AO12" i="7"/>
  <c r="AN12" i="7"/>
  <c r="AM12" i="7"/>
  <c r="AL12" i="7"/>
  <c r="AK12" i="7"/>
  <c r="AJ12" i="7"/>
  <c r="AI12" i="7"/>
  <c r="AH12" i="7"/>
  <c r="AG12" i="7"/>
  <c r="AF12" i="7"/>
  <c r="AE12" i="7"/>
  <c r="AD12" i="7"/>
  <c r="AC12" i="7"/>
  <c r="AB12" i="7"/>
  <c r="AA12" i="7"/>
  <c r="Z12" i="7"/>
  <c r="Y12" i="7"/>
  <c r="X12" i="7"/>
  <c r="W12" i="7"/>
  <c r="V12" i="7"/>
  <c r="U12" i="7"/>
  <c r="T12" i="7"/>
  <c r="S12" i="7"/>
  <c r="R12" i="7"/>
  <c r="Q12" i="7"/>
  <c r="P12" i="7"/>
  <c r="O12" i="7"/>
  <c r="N12" i="7"/>
  <c r="M12" i="7"/>
  <c r="L12" i="7"/>
  <c r="K12" i="7"/>
  <c r="J12" i="7"/>
  <c r="I12" i="7"/>
  <c r="H12" i="7"/>
  <c r="G12" i="7"/>
  <c r="F12" i="7"/>
  <c r="E12" i="7"/>
  <c r="D12" i="7"/>
  <c r="C12" i="7"/>
  <c r="B12" i="7"/>
  <c r="BG11" i="7"/>
  <c r="BF11" i="7"/>
  <c r="BE11" i="7"/>
  <c r="BD11" i="7"/>
  <c r="BC11" i="7"/>
  <c r="BB11" i="7"/>
  <c r="BA11" i="7"/>
  <c r="AZ11" i="7"/>
  <c r="AY11" i="7"/>
  <c r="AX11" i="7"/>
  <c r="AW11" i="7"/>
  <c r="AV11" i="7"/>
  <c r="AU11" i="7"/>
  <c r="AT11" i="7"/>
  <c r="AS11" i="7"/>
  <c r="AR11" i="7"/>
  <c r="AQ11" i="7"/>
  <c r="AP11" i="7"/>
  <c r="AO11" i="7"/>
  <c r="AN11" i="7"/>
  <c r="AM11" i="7"/>
  <c r="AL11" i="7"/>
  <c r="AK11" i="7"/>
  <c r="AJ11" i="7"/>
  <c r="AI11" i="7"/>
  <c r="AH11" i="7"/>
  <c r="AG11" i="7"/>
  <c r="AF11" i="7"/>
  <c r="AE11" i="7"/>
  <c r="AD11" i="7"/>
  <c r="AC11" i="7"/>
  <c r="AB11" i="7"/>
  <c r="AA11" i="7"/>
  <c r="Z11" i="7"/>
  <c r="Y11" i="7"/>
  <c r="X11" i="7"/>
  <c r="W11" i="7"/>
  <c r="V11" i="7"/>
  <c r="U11" i="7"/>
  <c r="T11" i="7"/>
  <c r="S11" i="7"/>
  <c r="R11" i="7"/>
  <c r="Q11" i="7"/>
  <c r="P11" i="7"/>
  <c r="O11" i="7"/>
  <c r="N11" i="7"/>
  <c r="M11" i="7"/>
  <c r="L11" i="7"/>
  <c r="K11" i="7"/>
  <c r="J11" i="7"/>
  <c r="I11" i="7"/>
  <c r="H11" i="7"/>
  <c r="G11" i="7"/>
  <c r="F11" i="7"/>
  <c r="E11" i="7"/>
  <c r="D11" i="7"/>
  <c r="C11" i="7"/>
  <c r="B11" i="7"/>
  <c r="BG10" i="7"/>
  <c r="BF10" i="7"/>
  <c r="BE10" i="7"/>
  <c r="BD10" i="7"/>
  <c r="BC10" i="7"/>
  <c r="BB10" i="7"/>
  <c r="BA10"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BG9" i="7"/>
  <c r="BF9" i="7"/>
  <c r="BE9" i="7"/>
  <c r="BD9" i="7"/>
  <c r="BC9" i="7"/>
  <c r="BB9" i="7"/>
  <c r="BA9" i="7"/>
  <c r="AZ9" i="7"/>
  <c r="AY9" i="7"/>
  <c r="AX9" i="7"/>
  <c r="AW9" i="7"/>
  <c r="AV9" i="7"/>
  <c r="AU9" i="7"/>
  <c r="AT9" i="7"/>
  <c r="AS9" i="7"/>
  <c r="AR9" i="7"/>
  <c r="AQ9" i="7"/>
  <c r="AP9" i="7"/>
  <c r="AO9" i="7"/>
  <c r="AN9" i="7"/>
  <c r="AM9" i="7"/>
  <c r="AL9" i="7"/>
  <c r="AK9" i="7"/>
  <c r="AJ9" i="7"/>
  <c r="AI9" i="7"/>
  <c r="AH9" i="7"/>
  <c r="AG9" i="7"/>
  <c r="AF9" i="7"/>
  <c r="AE9" i="7"/>
  <c r="AD9" i="7"/>
  <c r="AC9" i="7"/>
  <c r="AB9" i="7"/>
  <c r="AA9" i="7"/>
  <c r="Z9" i="7"/>
  <c r="Y9" i="7"/>
  <c r="X9" i="7"/>
  <c r="W9" i="7"/>
  <c r="V9" i="7"/>
  <c r="U9" i="7"/>
  <c r="T9" i="7"/>
  <c r="S9" i="7"/>
  <c r="R9" i="7"/>
  <c r="Q9" i="7"/>
  <c r="P9" i="7"/>
  <c r="O9" i="7"/>
  <c r="N9" i="7"/>
  <c r="M9" i="7"/>
  <c r="L9" i="7"/>
  <c r="K9" i="7"/>
  <c r="J9" i="7"/>
  <c r="I9" i="7"/>
  <c r="H9" i="7"/>
  <c r="G9" i="7"/>
  <c r="F9" i="7"/>
  <c r="E9" i="7"/>
  <c r="D9" i="7"/>
  <c r="C9" i="7"/>
  <c r="B9" i="7"/>
  <c r="BG8" i="7"/>
  <c r="BF8" i="7"/>
  <c r="BE8" i="7"/>
  <c r="BD8" i="7"/>
  <c r="BC8" i="7"/>
  <c r="BB8" i="7"/>
  <c r="BA8" i="7"/>
  <c r="AZ8" i="7"/>
  <c r="AY8" i="7"/>
  <c r="AX8" i="7"/>
  <c r="AW8" i="7"/>
  <c r="AV8" i="7"/>
  <c r="AU8" i="7"/>
  <c r="AT8" i="7"/>
  <c r="AS8" i="7"/>
  <c r="AR8" i="7"/>
  <c r="AQ8" i="7"/>
  <c r="AP8" i="7"/>
  <c r="AO8" i="7"/>
  <c r="AN8" i="7"/>
  <c r="AM8" i="7"/>
  <c r="AL8" i="7"/>
  <c r="AK8" i="7"/>
  <c r="AJ8" i="7"/>
  <c r="AI8" i="7"/>
  <c r="AH8" i="7"/>
  <c r="AG8" i="7"/>
  <c r="AF8" i="7"/>
  <c r="AE8" i="7"/>
  <c r="AD8" i="7"/>
  <c r="AC8" i="7"/>
  <c r="AB8" i="7"/>
  <c r="AA8" i="7"/>
  <c r="Z8" i="7"/>
  <c r="Y8" i="7"/>
  <c r="X8" i="7"/>
  <c r="W8" i="7"/>
  <c r="V8" i="7"/>
  <c r="U8" i="7"/>
  <c r="T8" i="7"/>
  <c r="S8" i="7"/>
  <c r="R8" i="7"/>
  <c r="Q8" i="7"/>
  <c r="P8" i="7"/>
  <c r="O8" i="7"/>
  <c r="N8" i="7"/>
  <c r="M8" i="7"/>
  <c r="L8" i="7"/>
  <c r="K8" i="7"/>
  <c r="J8" i="7"/>
  <c r="I8" i="7"/>
  <c r="H8" i="7"/>
  <c r="G8" i="7"/>
  <c r="F8" i="7"/>
  <c r="E8" i="7"/>
  <c r="D8" i="7"/>
  <c r="C8" i="7"/>
  <c r="B8" i="7"/>
  <c r="BG7" i="7"/>
  <c r="BF7" i="7"/>
  <c r="BE7" i="7"/>
  <c r="BD7" i="7"/>
  <c r="BC7" i="7"/>
  <c r="BB7" i="7"/>
  <c r="BA7" i="7"/>
  <c r="AZ7" i="7"/>
  <c r="AY7" i="7"/>
  <c r="AX7" i="7"/>
  <c r="AW7" i="7"/>
  <c r="AV7" i="7"/>
  <c r="AU7" i="7"/>
  <c r="AT7" i="7"/>
  <c r="AS7" i="7"/>
  <c r="AR7" i="7"/>
  <c r="AR15" i="7" s="1"/>
  <c r="AQ7" i="7"/>
  <c r="AP7" i="7"/>
  <c r="AO7" i="7"/>
  <c r="AN7" i="7"/>
  <c r="AM7" i="7"/>
  <c r="AL7" i="7"/>
  <c r="AK7" i="7"/>
  <c r="AJ7" i="7"/>
  <c r="AI7" i="7"/>
  <c r="AH7" i="7"/>
  <c r="AG7" i="7"/>
  <c r="AF7" i="7"/>
  <c r="AE7" i="7"/>
  <c r="AD7" i="7"/>
  <c r="AC7" i="7"/>
  <c r="AB7" i="7"/>
  <c r="AB15" i="7" s="1"/>
  <c r="AA7" i="7"/>
  <c r="Z7" i="7"/>
  <c r="Y7" i="7"/>
  <c r="X7" i="7"/>
  <c r="W7" i="7"/>
  <c r="V7" i="7"/>
  <c r="U7" i="7"/>
  <c r="T7" i="7"/>
  <c r="S7" i="7"/>
  <c r="R7" i="7"/>
  <c r="Q7" i="7"/>
  <c r="P7" i="7"/>
  <c r="O7" i="7"/>
  <c r="N7" i="7"/>
  <c r="M7" i="7"/>
  <c r="L7" i="7"/>
  <c r="L15" i="7" s="1"/>
  <c r="K7" i="7"/>
  <c r="J7" i="7"/>
  <c r="I7" i="7"/>
  <c r="H7" i="7"/>
  <c r="G7" i="7"/>
  <c r="F7" i="7"/>
  <c r="E7" i="7"/>
  <c r="D7" i="7"/>
  <c r="C7" i="7"/>
  <c r="B7" i="7"/>
  <c r="BG6" i="7"/>
  <c r="BF6" i="7"/>
  <c r="BE6" i="7"/>
  <c r="BD6" i="7"/>
  <c r="BC6" i="7"/>
  <c r="BB6" i="7"/>
  <c r="BA6" i="7"/>
  <c r="AZ6" i="7"/>
  <c r="AY6" i="7"/>
  <c r="AX6" i="7"/>
  <c r="AW6" i="7"/>
  <c r="AV6" i="7"/>
  <c r="AU6" i="7"/>
  <c r="AT6" i="7"/>
  <c r="AS6" i="7"/>
  <c r="AR6" i="7"/>
  <c r="AQ6" i="7"/>
  <c r="AP6" i="7"/>
  <c r="AO6" i="7"/>
  <c r="AN6" i="7"/>
  <c r="AM6" i="7"/>
  <c r="AL6" i="7"/>
  <c r="AK6" i="7"/>
  <c r="AJ6" i="7"/>
  <c r="AI6" i="7"/>
  <c r="AH6" i="7"/>
  <c r="AG6" i="7"/>
  <c r="AF6" i="7"/>
  <c r="AE6" i="7"/>
  <c r="AD6" i="7"/>
  <c r="AC6" i="7"/>
  <c r="AB6" i="7"/>
  <c r="AA6" i="7"/>
  <c r="Z6" i="7"/>
  <c r="Y6" i="7"/>
  <c r="X6" i="7"/>
  <c r="W6" i="7"/>
  <c r="V6" i="7"/>
  <c r="U6" i="7"/>
  <c r="T6" i="7"/>
  <c r="S6" i="7"/>
  <c r="R6" i="7"/>
  <c r="Q6" i="7"/>
  <c r="P6" i="7"/>
  <c r="O6" i="7"/>
  <c r="N6" i="7"/>
  <c r="M6" i="7"/>
  <c r="L6" i="7"/>
  <c r="K6" i="7"/>
  <c r="J6" i="7"/>
  <c r="I6" i="7"/>
  <c r="H6" i="7"/>
  <c r="G6" i="7"/>
  <c r="F6" i="7"/>
  <c r="E6" i="7"/>
  <c r="D6" i="7"/>
  <c r="C6" i="7"/>
  <c r="B6" i="7"/>
  <c r="BG5" i="7"/>
  <c r="BF5" i="7"/>
  <c r="BE5" i="7"/>
  <c r="BD5" i="7"/>
  <c r="BC5" i="7"/>
  <c r="BB5" i="7"/>
  <c r="BA5" i="7"/>
  <c r="AZ5" i="7"/>
  <c r="AY5" i="7"/>
  <c r="AX5" i="7"/>
  <c r="AW5" i="7"/>
  <c r="AV5" i="7"/>
  <c r="AU5" i="7"/>
  <c r="AT5" i="7"/>
  <c r="AS5" i="7"/>
  <c r="AR5" i="7"/>
  <c r="AQ5" i="7"/>
  <c r="AP5" i="7"/>
  <c r="AO5" i="7"/>
  <c r="AN5" i="7"/>
  <c r="AM5" i="7"/>
  <c r="AL5" i="7"/>
  <c r="AK5" i="7"/>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E5" i="7"/>
  <c r="D5" i="7"/>
  <c r="C5" i="7"/>
  <c r="B5" i="7"/>
  <c r="BG4" i="7"/>
  <c r="BF4" i="7"/>
  <c r="BE4" i="7"/>
  <c r="BD4" i="7"/>
  <c r="BC4" i="7"/>
  <c r="BB4" i="7"/>
  <c r="BA4" i="7"/>
  <c r="AZ4" i="7"/>
  <c r="AY4" i="7"/>
  <c r="AX4" i="7"/>
  <c r="AW4" i="7"/>
  <c r="AV4" i="7"/>
  <c r="AU4" i="7"/>
  <c r="AT4" i="7"/>
  <c r="AS4" i="7"/>
  <c r="AR4" i="7"/>
  <c r="AQ4" i="7"/>
  <c r="AP4" i="7"/>
  <c r="AO4" i="7"/>
  <c r="AN4" i="7"/>
  <c r="AM4" i="7"/>
  <c r="AL4" i="7"/>
  <c r="AK4" i="7"/>
  <c r="AJ4" i="7"/>
  <c r="AI4" i="7"/>
  <c r="AH4" i="7"/>
  <c r="AG4" i="7"/>
  <c r="AF4" i="7"/>
  <c r="AE4" i="7"/>
  <c r="AD4" i="7"/>
  <c r="AC4" i="7"/>
  <c r="AB4" i="7"/>
  <c r="AA4" i="7"/>
  <c r="Z4" i="7"/>
  <c r="Y4" i="7"/>
  <c r="X4" i="7"/>
  <c r="W4" i="7"/>
  <c r="V4" i="7"/>
  <c r="U4" i="7"/>
  <c r="T4" i="7"/>
  <c r="S4" i="7"/>
  <c r="R4" i="7"/>
  <c r="Q4" i="7"/>
  <c r="P4" i="7"/>
  <c r="O4" i="7"/>
  <c r="N4" i="7"/>
  <c r="M4" i="7"/>
  <c r="L4" i="7"/>
  <c r="K4" i="7"/>
  <c r="J4" i="7"/>
  <c r="I4" i="7"/>
  <c r="H4" i="7"/>
  <c r="G4" i="7"/>
  <c r="F4" i="7"/>
  <c r="E4" i="7"/>
  <c r="D4" i="7"/>
  <c r="C4" i="7"/>
  <c r="B4" i="7"/>
  <c r="BG3" i="7"/>
  <c r="BF3" i="7"/>
  <c r="BE3" i="7"/>
  <c r="BD3" i="7"/>
  <c r="BC3" i="7"/>
  <c r="BB3" i="7"/>
  <c r="BA3" i="7"/>
  <c r="AZ3" i="7"/>
  <c r="AY3" i="7"/>
  <c r="AX3" i="7"/>
  <c r="AW3" i="7"/>
  <c r="AV3" i="7"/>
  <c r="AU3" i="7"/>
  <c r="AT3" i="7"/>
  <c r="AS3" i="7"/>
  <c r="AR3" i="7"/>
  <c r="AQ3" i="7"/>
  <c r="AP3" i="7"/>
  <c r="AO3" i="7"/>
  <c r="AN3" i="7"/>
  <c r="AM3" i="7"/>
  <c r="AL3" i="7"/>
  <c r="AL15" i="7" s="1"/>
  <c r="AK3" i="7"/>
  <c r="AJ3" i="7"/>
  <c r="AI3" i="7"/>
  <c r="AH3" i="7"/>
  <c r="AG3" i="7"/>
  <c r="AF3" i="7"/>
  <c r="AE3" i="7"/>
  <c r="AD3" i="7"/>
  <c r="AC3" i="7"/>
  <c r="AB3" i="7"/>
  <c r="AA3" i="7"/>
  <c r="Z3" i="7"/>
  <c r="Y3" i="7"/>
  <c r="X3" i="7"/>
  <c r="W3" i="7"/>
  <c r="V3" i="7"/>
  <c r="V15" i="7" s="1"/>
  <c r="U3" i="7"/>
  <c r="T3" i="7"/>
  <c r="S3" i="7"/>
  <c r="R3" i="7"/>
  <c r="Q3" i="7"/>
  <c r="P3" i="7"/>
  <c r="O3" i="7"/>
  <c r="N3" i="7"/>
  <c r="M3" i="7"/>
  <c r="L3" i="7"/>
  <c r="K3" i="7"/>
  <c r="J3" i="7"/>
  <c r="I3" i="7"/>
  <c r="H3" i="7"/>
  <c r="G3" i="7"/>
  <c r="F3" i="7"/>
  <c r="F15" i="7" s="1"/>
  <c r="E3" i="7"/>
  <c r="D3" i="7"/>
  <c r="C3" i="7"/>
  <c r="B3" i="7"/>
  <c r="BG2" i="7"/>
  <c r="BG15" i="7" s="1"/>
  <c r="BF2" i="7"/>
  <c r="BF15" i="7" s="1"/>
  <c r="BE2" i="7"/>
  <c r="BE15" i="7" s="1"/>
  <c r="BD2" i="7"/>
  <c r="BD15" i="7" s="1"/>
  <c r="BC2" i="7"/>
  <c r="BC15" i="7" s="1"/>
  <c r="BB2" i="7"/>
  <c r="BA2" i="7"/>
  <c r="BA15" i="7" s="1"/>
  <c r="AZ2" i="7"/>
  <c r="AZ15" i="7" s="1"/>
  <c r="AY2" i="7"/>
  <c r="AY15" i="7" s="1"/>
  <c r="AX2" i="7"/>
  <c r="AX15" i="7" s="1"/>
  <c r="AW2" i="7"/>
  <c r="AW15" i="7" s="1"/>
  <c r="AV2" i="7"/>
  <c r="AV15" i="7" s="1"/>
  <c r="AU2" i="7"/>
  <c r="AU15" i="7" s="1"/>
  <c r="AT2" i="7"/>
  <c r="AT15" i="7" s="1"/>
  <c r="AS2" i="7"/>
  <c r="AS15" i="7" s="1"/>
  <c r="AR2" i="7"/>
  <c r="AQ2" i="7"/>
  <c r="AQ15" i="7" s="1"/>
  <c r="AP2" i="7"/>
  <c r="AP15" i="7" s="1"/>
  <c r="AO2" i="7"/>
  <c r="AO15" i="7" s="1"/>
  <c r="AN2" i="7"/>
  <c r="AN15" i="7" s="1"/>
  <c r="AM2" i="7"/>
  <c r="AM15" i="7" s="1"/>
  <c r="AL2" i="7"/>
  <c r="AK2" i="7"/>
  <c r="AK15" i="7" s="1"/>
  <c r="AJ2" i="7"/>
  <c r="AJ15" i="7" s="1"/>
  <c r="AI2" i="7"/>
  <c r="AI15" i="7" s="1"/>
  <c r="AH2" i="7"/>
  <c r="AH15" i="7" s="1"/>
  <c r="AG2" i="7"/>
  <c r="AG15" i="7" s="1"/>
  <c r="AF2" i="7"/>
  <c r="AF15" i="7" s="1"/>
  <c r="AE2" i="7"/>
  <c r="AE15" i="7" s="1"/>
  <c r="AD2" i="7"/>
  <c r="AD15" i="7" s="1"/>
  <c r="AC2" i="7"/>
  <c r="AC15" i="7" s="1"/>
  <c r="AB2" i="7"/>
  <c r="AA2" i="7"/>
  <c r="AA15" i="7" s="1"/>
  <c r="Z2" i="7"/>
  <c r="Z15" i="7" s="1"/>
  <c r="Y2" i="7"/>
  <c r="Y15" i="7" s="1"/>
  <c r="X2" i="7"/>
  <c r="X15" i="7" s="1"/>
  <c r="W2" i="7"/>
  <c r="W15" i="7" s="1"/>
  <c r="V2" i="7"/>
  <c r="U2" i="7"/>
  <c r="U15" i="7" s="1"/>
  <c r="T2" i="7"/>
  <c r="T15" i="7" s="1"/>
  <c r="S2" i="7"/>
  <c r="S15" i="7" s="1"/>
  <c r="R2" i="7"/>
  <c r="R15" i="7" s="1"/>
  <c r="Q2" i="7"/>
  <c r="Q15" i="7" s="1"/>
  <c r="P2" i="7"/>
  <c r="P15" i="7" s="1"/>
  <c r="O2" i="7"/>
  <c r="O15" i="7" s="1"/>
  <c r="N2" i="7"/>
  <c r="N15" i="7" s="1"/>
  <c r="M2" i="7"/>
  <c r="M15" i="7" s="1"/>
  <c r="L2" i="7"/>
  <c r="K2" i="7"/>
  <c r="K15" i="7" s="1"/>
  <c r="J2" i="7"/>
  <c r="J15" i="7" s="1"/>
  <c r="I2" i="7"/>
  <c r="I15" i="7" s="1"/>
  <c r="H2" i="7"/>
  <c r="H15" i="7" s="1"/>
  <c r="G2" i="7"/>
  <c r="G15" i="7" s="1"/>
  <c r="F2" i="7"/>
  <c r="E2" i="7"/>
  <c r="E15" i="7" s="1"/>
  <c r="D2" i="7"/>
  <c r="D15" i="7" s="1"/>
  <c r="C2" i="7"/>
  <c r="C15" i="7" s="1"/>
  <c r="B2" i="7"/>
  <c r="B15" i="7" s="1"/>
  <c r="H5" i="10" l="1"/>
  <c r="E34" i="10"/>
  <c r="H34" i="10" s="1"/>
  <c r="E18" i="10"/>
  <c r="H18" i="10" s="1"/>
  <c r="E43" i="10"/>
  <c r="H43" i="10" s="1"/>
  <c r="E27" i="10"/>
  <c r="H27" i="10" s="1"/>
  <c r="E36" i="10"/>
  <c r="H36" i="10" s="1"/>
  <c r="E45" i="10"/>
  <c r="H45" i="10" s="1"/>
  <c r="E38" i="10"/>
  <c r="H38" i="10" s="1"/>
  <c r="E47" i="10"/>
  <c r="H47" i="10" s="1"/>
  <c r="E31" i="10"/>
  <c r="H31" i="10" s="1"/>
  <c r="E40" i="10"/>
  <c r="H40" i="10" s="1"/>
  <c r="E33" i="10"/>
  <c r="H33" i="10" s="1"/>
  <c r="E17" i="10"/>
  <c r="H17" i="10" s="1"/>
  <c r="E42" i="10"/>
  <c r="H42" i="10" s="1"/>
  <c r="E35" i="10"/>
  <c r="H35" i="10" s="1"/>
  <c r="E44" i="10"/>
  <c r="H44" i="10" s="1"/>
  <c r="E28" i="10"/>
  <c r="H28" i="10" s="1"/>
  <c r="E12" i="10"/>
  <c r="H12" i="10" s="1"/>
  <c r="E46" i="10"/>
  <c r="H46" i="10" s="1"/>
  <c r="E30" i="10"/>
  <c r="H30" i="10" s="1"/>
  <c r="E14" i="10"/>
  <c r="H14" i="10" s="1"/>
  <c r="E39" i="10"/>
  <c r="H39" i="10" s="1"/>
  <c r="E32" i="10"/>
  <c r="H32" i="10" s="1"/>
  <c r="E16" i="10"/>
  <c r="H16" i="10" s="1"/>
  <c r="E41" i="10"/>
  <c r="H41" i="10" s="1"/>
  <c r="E23" i="10"/>
  <c r="H23" i="10" s="1"/>
  <c r="E10" i="10"/>
  <c r="H10" i="10" s="1"/>
  <c r="E25" i="10"/>
  <c r="H25" i="10" s="1"/>
  <c r="E37" i="10"/>
  <c r="H37" i="10" s="1"/>
  <c r="E22" i="10"/>
  <c r="H22" i="10" s="1"/>
  <c r="E9" i="10"/>
  <c r="H9" i="10" s="1"/>
  <c r="E24" i="10"/>
  <c r="H24" i="10" s="1"/>
  <c r="E13" i="10"/>
  <c r="H13" i="10" s="1"/>
  <c r="E7" i="10"/>
  <c r="H7" i="10" s="1"/>
  <c r="E21" i="10"/>
  <c r="H21" i="10" s="1"/>
  <c r="E15" i="10"/>
  <c r="H15" i="10" s="1"/>
  <c r="E6" i="10"/>
  <c r="H6" i="10" s="1"/>
  <c r="E20" i="10"/>
  <c r="H20" i="10" s="1"/>
  <c r="E26" i="10"/>
  <c r="H26" i="10" s="1"/>
  <c r="E29" i="10"/>
  <c r="H29" i="10" s="1"/>
  <c r="E19" i="10"/>
  <c r="H19" i="10" s="1"/>
  <c r="E11" i="10"/>
  <c r="H11" i="10" s="1"/>
  <c r="L3" i="9"/>
  <c r="E8" i="10"/>
  <c r="H8" i="10" s="1"/>
  <c r="E3" i="10"/>
  <c r="H3" i="10" s="1"/>
  <c r="E4" i="10"/>
  <c r="H4" i="10" s="1"/>
  <c r="E2" i="10"/>
  <c r="H2" i="10" s="1"/>
</calcChain>
</file>

<file path=xl/sharedStrings.xml><?xml version="1.0" encoding="utf-8"?>
<sst xmlns="http://schemas.openxmlformats.org/spreadsheetml/2006/main" count="13298" uniqueCount="1481">
  <si>
    <t>WORK STREAMS</t>
  </si>
  <si>
    <t>CONCEPT</t>
  </si>
  <si>
    <t>PRE-PRODUCTION</t>
  </si>
  <si>
    <t>PRODUCTION</t>
  </si>
  <si>
    <t>RELEASE</t>
  </si>
  <si>
    <t>LIVE SERVICE</t>
  </si>
  <si>
    <t>GATE
0</t>
  </si>
  <si>
    <t>CONCEPT
~2 months
Target: T0 Ideation</t>
  </si>
  <si>
    <t>GATE
1</t>
  </si>
  <si>
    <t>PRE-PRODUCTION
Target: T1-T2 R&amp;D / GDD-TDD-Brief</t>
  </si>
  <si>
    <t>GATE
2</t>
  </si>
  <si>
    <t>GATE
3</t>
  </si>
  <si>
    <t>MID PRO
Target: T4 MVP</t>
  </si>
  <si>
    <t>GATE
4</t>
  </si>
  <si>
    <t>END PRO
Target: T5 Feature Complete</t>
  </si>
  <si>
    <t>GATE
5</t>
  </si>
  <si>
    <t>ALPHA
Target: T6 Playtest</t>
  </si>
  <si>
    <t>GATE
6</t>
  </si>
  <si>
    <t>BETA
Target: T6 Playtest</t>
  </si>
  <si>
    <t>GATE
7</t>
  </si>
  <si>
    <t>LAUNCH
Target: T6</t>
  </si>
  <si>
    <t>GATE
8</t>
  </si>
  <si>
    <t>FIRST RELEASE
Target: T6-T7</t>
  </si>
  <si>
    <t>GATE
9</t>
  </si>
  <si>
    <t>LS 1
Live
T7</t>
  </si>
  <si>
    <t>GATE
10</t>
  </si>
  <si>
    <t>LS 2
Live
T8</t>
  </si>
  <si>
    <t>Epic</t>
  </si>
  <si>
    <t>Feature</t>
  </si>
  <si>
    <t>Story</t>
  </si>
  <si>
    <t>Team</t>
  </si>
  <si>
    <t>Size</t>
  </si>
  <si>
    <t>Current Tier</t>
  </si>
  <si>
    <t>Notes</t>
  </si>
  <si>
    <t>CEO</t>
  </si>
  <si>
    <t>Creative Director</t>
  </si>
  <si>
    <t>Head of Legal</t>
  </si>
  <si>
    <t>COO</t>
  </si>
  <si>
    <t>HR Manager</t>
  </si>
  <si>
    <t>Executive Producer</t>
  </si>
  <si>
    <t>Producer</t>
  </si>
  <si>
    <t>Game Producer</t>
  </si>
  <si>
    <t>Tech Producer</t>
  </si>
  <si>
    <t>Art Producer</t>
  </si>
  <si>
    <t>Game Director</t>
  </si>
  <si>
    <t>Game Design Lead</t>
  </si>
  <si>
    <t>Level Design Lead</t>
  </si>
  <si>
    <t>Game Designer</t>
  </si>
  <si>
    <t>Combat Designer</t>
  </si>
  <si>
    <t>Level Designer</t>
  </si>
  <si>
    <t>Technical Designer</t>
  </si>
  <si>
    <t>Writer</t>
  </si>
  <si>
    <t>Art Director</t>
  </si>
  <si>
    <t>Concept Artist</t>
  </si>
  <si>
    <t>UI/UX Designer</t>
  </si>
  <si>
    <t>Graphic Designer</t>
  </si>
  <si>
    <t>Character Artist</t>
  </si>
  <si>
    <t>Environment Artist</t>
  </si>
  <si>
    <t>Prop Artist</t>
  </si>
  <si>
    <t>Animator</t>
  </si>
  <si>
    <t>Character Rigger</t>
  </si>
  <si>
    <t>VFX Artist</t>
  </si>
  <si>
    <t>Technical Artist</t>
  </si>
  <si>
    <t>CTO</t>
  </si>
  <si>
    <t>Tech Lead</t>
  </si>
  <si>
    <t>Gameplay Developer</t>
  </si>
  <si>
    <t>Full Stack Developer</t>
  </si>
  <si>
    <t>Backend Developer</t>
  </si>
  <si>
    <t>Network Engineer</t>
  </si>
  <si>
    <t>QA</t>
  </si>
  <si>
    <t>Sound Designer</t>
  </si>
  <si>
    <t>Platform Team</t>
  </si>
  <si>
    <t>Player Build</t>
  </si>
  <si>
    <t>Min</t>
  </si>
  <si>
    <t>Max</t>
  </si>
  <si>
    <t>Player Progression</t>
  </si>
  <si>
    <t>L</t>
  </si>
  <si>
    <t>T1: R&amp;D</t>
  </si>
  <si>
    <t>Player level up documentation</t>
  </si>
  <si>
    <t>Design | Game design</t>
  </si>
  <si>
    <t>Player level up configuration</t>
  </si>
  <si>
    <t>player level up integration</t>
  </si>
  <si>
    <t>Engineering | Gameplay Engineering</t>
  </si>
  <si>
    <t>Player level up UI</t>
  </si>
  <si>
    <t>Art | UX/UI</t>
  </si>
  <si>
    <t>Character stats documentation</t>
  </si>
  <si>
    <t>Character stats implementation</t>
  </si>
  <si>
    <t>Character stats configuration in connection with other systems</t>
  </si>
  <si>
    <t>Character stats UI</t>
  </si>
  <si>
    <t>Level up &amp; Stats QA</t>
  </si>
  <si>
    <t>QA | QA</t>
  </si>
  <si>
    <t>Earn different types of EXP depending on objective</t>
  </si>
  <si>
    <t>Update player level and exp with (player data service)</t>
  </si>
  <si>
    <t>Engineering | Backend Engineering</t>
  </si>
  <si>
    <t>Fetch player level and exp from (player data service)</t>
  </si>
  <si>
    <t>Fetch and update UI for player level and exp</t>
  </si>
  <si>
    <t>Increase stat when player level up</t>
  </si>
  <si>
    <t>Update stats UI</t>
  </si>
  <si>
    <t>Update player stats in backend (player data service)</t>
  </si>
  <si>
    <t>fetch player stats from backend service (player data service)</t>
  </si>
  <si>
    <t>Integrate stat system with other systems</t>
  </si>
  <si>
    <t>Items give u stats</t>
  </si>
  <si>
    <t>Skill System</t>
  </si>
  <si>
    <t>Skill Tree UI Audio</t>
  </si>
  <si>
    <t>Audio | Audio</t>
  </si>
  <si>
    <t>Skills in-game audio</t>
  </si>
  <si>
    <t>Skill System Documentation</t>
  </si>
  <si>
    <t>Skill System Implementation</t>
  </si>
  <si>
    <t>Skill System Configuration</t>
  </si>
  <si>
    <t>Skill System UI</t>
  </si>
  <si>
    <t>Skill system QA</t>
  </si>
  <si>
    <t>Connect skill tree to UI</t>
  </si>
  <si>
    <t>Add new abilities to skill tree</t>
  </si>
  <si>
    <t>Add new weapons to skill tree</t>
  </si>
  <si>
    <t>Fetech all skill trees from backend</t>
  </si>
  <si>
    <t>Update all skill trees from backend</t>
  </si>
  <si>
    <t>Sync all skill trees to backend, tool</t>
  </si>
  <si>
    <t>Create weapon skill tree / nodes in (internal dashboard service)</t>
  </si>
  <si>
    <t>Remove weapon skill tree / nodes in (internal dashboard service)</t>
  </si>
  <si>
    <t>Update weapon skill tree / nodes in (internal dashboard service)</t>
  </si>
  <si>
    <t>Fetch weapon skill tree / nodes in (internal dashboard service)</t>
  </si>
  <si>
    <t>Create new collection for weapon skill tree (player data service)</t>
  </si>
  <si>
    <t>Update player skill tree per weapon (player data service)</t>
  </si>
  <si>
    <t>Fetch player skill tree per weapon (player data service)</t>
  </si>
  <si>
    <t>endpoint to reset skill tree for weapons</t>
  </si>
  <si>
    <t>Create frontend for skill tree in internal dashboard</t>
  </si>
  <si>
    <t>Achievements &amp; Trophies</t>
  </si>
  <si>
    <t>M</t>
  </si>
  <si>
    <t>Trophies</t>
  </si>
  <si>
    <t>Art | Concept Art</t>
  </si>
  <si>
    <t>Factions / Reputation</t>
  </si>
  <si>
    <t>FTUE</t>
  </si>
  <si>
    <t>T2: GDD/TDD/Brief</t>
  </si>
  <si>
    <t>Tutorial Cave Layout Fixes</t>
  </si>
  <si>
    <t>Design | Level design</t>
  </si>
  <si>
    <t>Tutorial cave set dressing fixes</t>
  </si>
  <si>
    <t>Art | Environment Art</t>
  </si>
  <si>
    <t>Tutorial Cave lighting</t>
  </si>
  <si>
    <t>Tutorial cave Ambience &amp; SFX</t>
  </si>
  <si>
    <t>Tutorial Configuration/set up/texts</t>
  </si>
  <si>
    <t>Tutorial UI</t>
  </si>
  <si>
    <t>Tutorial VFX</t>
  </si>
  <si>
    <t>Art | VFX</t>
  </si>
  <si>
    <t>Controls UI</t>
  </si>
  <si>
    <t>Tutorial cave contents</t>
  </si>
  <si>
    <t>Narrative</t>
  </si>
  <si>
    <t>Design | Narrative</t>
  </si>
  <si>
    <t>Tutorial QA check</t>
  </si>
  <si>
    <t>FTUE Cave</t>
  </si>
  <si>
    <t>Professions</t>
  </si>
  <si>
    <t>Component System Design</t>
  </si>
  <si>
    <t>Crafted Weapon Parts in-game Audio</t>
  </si>
  <si>
    <t>Forge Crafting Audio</t>
  </si>
  <si>
    <t>Forge Documentation</t>
  </si>
  <si>
    <t>Forge Concepts</t>
  </si>
  <si>
    <t>Forge Integration</t>
  </si>
  <si>
    <t>Forge UI</t>
  </si>
  <si>
    <t>Forge VFX</t>
  </si>
  <si>
    <t>DA combination setup</t>
  </si>
  <si>
    <t>Art | TechArt</t>
  </si>
  <si>
    <t>Crafting Desk</t>
  </si>
  <si>
    <t>Forge Props</t>
  </si>
  <si>
    <t>Art | Character Art</t>
  </si>
  <si>
    <t>Forge QA</t>
  </si>
  <si>
    <t>Fishing Integration</t>
  </si>
  <si>
    <t>Fishing Rod model</t>
  </si>
  <si>
    <t>Fish model</t>
  </si>
  <si>
    <t>Fishing spot sign model</t>
  </si>
  <si>
    <t>Fishing UI</t>
  </si>
  <si>
    <t>Fishing Spot SFX</t>
  </si>
  <si>
    <t>Fishing VFX</t>
  </si>
  <si>
    <t>Fishing QA</t>
  </si>
  <si>
    <t>Review fishing code</t>
  </si>
  <si>
    <t>Fishing Spot VFX</t>
  </si>
  <si>
    <t>Gathering</t>
  </si>
  <si>
    <t>Crafting</t>
  </si>
  <si>
    <t>Character Management</t>
  </si>
  <si>
    <t>T0: Ideation</t>
  </si>
  <si>
    <t>Character Creation &amp; Customization</t>
  </si>
  <si>
    <t>Faction: Clothing Variations</t>
  </si>
  <si>
    <t>Faction: Banners</t>
  </si>
  <si>
    <t>Faction: Icons</t>
  </si>
  <si>
    <t>Faction: Insignias</t>
  </si>
  <si>
    <t>Base Body (MVP DONE)</t>
  </si>
  <si>
    <t>Base Faces (MVP DONE)</t>
  </si>
  <si>
    <t>Fantasy Races</t>
  </si>
  <si>
    <t>Ethnicity Variations</t>
  </si>
  <si>
    <t>Char Creation System</t>
  </si>
  <si>
    <t>Garment System</t>
  </si>
  <si>
    <t>Garment System GDD/TDD</t>
  </si>
  <si>
    <t>Vertical Slice garments</t>
  </si>
  <si>
    <t>Garment System Integration</t>
  </si>
  <si>
    <t>Garment System UI</t>
  </si>
  <si>
    <t>Equipment Concepts</t>
  </si>
  <si>
    <t>Equipment Models</t>
  </si>
  <si>
    <t>Garment Type SFX</t>
  </si>
  <si>
    <t>Equipment Stats integrated with character stats</t>
  </si>
  <si>
    <t>Garment System QA</t>
  </si>
  <si>
    <t>Equipment QA</t>
  </si>
  <si>
    <t>Equip and unequped based on garment system</t>
  </si>
  <si>
    <t>Equiment Concepts</t>
  </si>
  <si>
    <t>Cull occluded body parts</t>
  </si>
  <si>
    <t>Setup budget for skining and cloth sim</t>
  </si>
  <si>
    <t>Art | Animation &amp; Rigging</t>
  </si>
  <si>
    <t>Freeze cloth sim</t>
  </si>
  <si>
    <t>Maya tool to represent cloth sim like unreal</t>
  </si>
  <si>
    <t>Move socket based on clothing type</t>
  </si>
  <si>
    <t>Setup capsules for cloth collision on character</t>
  </si>
  <si>
    <t>Garment System Options</t>
  </si>
  <si>
    <t>Garment Sets</t>
  </si>
  <si>
    <t>Weapon Sets</t>
  </si>
  <si>
    <t>Weapon Parts</t>
  </si>
  <si>
    <t>Armour Sets</t>
  </si>
  <si>
    <t>Partner Skins</t>
  </si>
  <si>
    <t>Skins</t>
  </si>
  <si>
    <t>Persona System</t>
  </si>
  <si>
    <t>Emote System</t>
  </si>
  <si>
    <t>S</t>
  </si>
  <si>
    <t>World Systems</t>
  </si>
  <si>
    <t>Foam Corruption</t>
  </si>
  <si>
    <t>Corrupted Vines</t>
  </si>
  <si>
    <t>Corrupted texture</t>
  </si>
  <si>
    <t>Vine NPC Narrative</t>
  </si>
  <si>
    <t>Vines Foliage</t>
  </si>
  <si>
    <t>Corrupted VFX</t>
  </si>
  <si>
    <t>Corrupted vines behavior &amp; visual QA</t>
  </si>
  <si>
    <t>Foam Corruption Techart</t>
  </si>
  <si>
    <t>Foam Corruption integration</t>
  </si>
  <si>
    <t>Foam Corruption VFX</t>
  </si>
  <si>
    <t>Foam Corruption cleansing animations</t>
  </si>
  <si>
    <t>Foam Corruption cleansing weapon</t>
  </si>
  <si>
    <t>Foam Corruption SFX, VFX design</t>
  </si>
  <si>
    <t>Foam Corruption SFX</t>
  </si>
  <si>
    <t>Foam Corruption QA</t>
  </si>
  <si>
    <t>Timed Corruption</t>
  </si>
  <si>
    <t>Timed Corruption Design</t>
  </si>
  <si>
    <t>Timed Corruption TechArt</t>
  </si>
  <si>
    <t>Timed Corruption Integration</t>
  </si>
  <si>
    <t>Timed Corruption Server &amp; Multiplayer</t>
  </si>
  <si>
    <t>Timed Corruption 3D Assets</t>
  </si>
  <si>
    <t>Timed Corruption VFX</t>
  </si>
  <si>
    <t>Timed Corruption SFX</t>
  </si>
  <si>
    <t>Timed Corruption QA</t>
  </si>
  <si>
    <t>Trigger objective when clean is done</t>
  </si>
  <si>
    <t>Quest tracking system</t>
  </si>
  <si>
    <t>Make corruption come back after a set time</t>
  </si>
  <si>
    <t>Link with corruption gun</t>
  </si>
  <si>
    <t>Replicate animation</t>
  </si>
  <si>
    <t>Trigger building the bridge</t>
  </si>
  <si>
    <t>Trigger VFX when effect is completed</t>
  </si>
  <si>
    <t>Timer to revert bridge to broken state</t>
  </si>
  <si>
    <t>Toggle path once puzzle is completed to allow or disallow player from crossing the bridge by replicating collision</t>
  </si>
  <si>
    <t>VFX Tech</t>
  </si>
  <si>
    <t>Fluid Ninja Tech R&amp;D</t>
  </si>
  <si>
    <t>Miasma Corruption</t>
  </si>
  <si>
    <t>Water Corruption</t>
  </si>
  <si>
    <t>Crystal Corruption</t>
  </si>
  <si>
    <t>Time Corruption</t>
  </si>
  <si>
    <t>Enemy Corruption</t>
  </si>
  <si>
    <t>Oil Corruption</t>
  </si>
  <si>
    <t>Texture Corruption</t>
  </si>
  <si>
    <t>Environmental Elemental Effects (combination states)</t>
  </si>
  <si>
    <t>Basic Movement System</t>
  </si>
  <si>
    <t>Locomotion Integration</t>
  </si>
  <si>
    <t>Walk</t>
  </si>
  <si>
    <t>Run</t>
  </si>
  <si>
    <t>Sprint</t>
  </si>
  <si>
    <t>Jump</t>
  </si>
  <si>
    <t>Double Jump</t>
  </si>
  <si>
    <t>Iteration</t>
  </si>
  <si>
    <t>Locomotion QA check</t>
  </si>
  <si>
    <t>Advanced Traversal</t>
  </si>
  <si>
    <t>Glider Stamina UI</t>
  </si>
  <si>
    <t>Gliding Concepts</t>
  </si>
  <si>
    <t>Gliding Integration</t>
  </si>
  <si>
    <t>Gliding Animations</t>
  </si>
  <si>
    <t>Gliding SFX</t>
  </si>
  <si>
    <t>Gliding VFX</t>
  </si>
  <si>
    <t>Gliding Device</t>
  </si>
  <si>
    <t>Gliding QA</t>
  </si>
  <si>
    <t>Portals spawning &amp; Xyron moving through portals</t>
  </si>
  <si>
    <t>Narrative for Xyron quests</t>
  </si>
  <si>
    <t>Spawning portals SFX</t>
  </si>
  <si>
    <t>5 or 6 mini quests</t>
  </si>
  <si>
    <t>Xyron voiceover narrative</t>
  </si>
  <si>
    <t>Xyron voiceover</t>
  </si>
  <si>
    <t>Xyron/portals spawning QA</t>
  </si>
  <si>
    <t>Safety System</t>
  </si>
  <si>
    <t>Archway race design</t>
  </si>
  <si>
    <t>Persistent leaderboards</t>
  </si>
  <si>
    <t>Archway Placement</t>
  </si>
  <si>
    <t>Archway Models</t>
  </si>
  <si>
    <t>Archway VFX</t>
  </si>
  <si>
    <t>Win Fanfare VFX</t>
  </si>
  <si>
    <t>Archway SFX</t>
  </si>
  <si>
    <t>Archway QA</t>
  </si>
  <si>
    <t>Convert gliding to blend space</t>
  </si>
  <si>
    <t>Spawn gliding actor</t>
  </si>
  <si>
    <t>Check if ability is unlock to glide</t>
  </si>
  <si>
    <t>Gliding System</t>
  </si>
  <si>
    <t>Grappling System</t>
  </si>
  <si>
    <t>Navigation</t>
  </si>
  <si>
    <t>World Map</t>
  </si>
  <si>
    <t>Map markers sfx</t>
  </si>
  <si>
    <t>World Map background asset</t>
  </si>
  <si>
    <t>World Map asset integration</t>
  </si>
  <si>
    <t>World Map UI</t>
  </si>
  <si>
    <t>Quest markers support</t>
  </si>
  <si>
    <t>Map QA check</t>
  </si>
  <si>
    <t>Fog-of-war</t>
  </si>
  <si>
    <t>Fog of war QA check</t>
  </si>
  <si>
    <t>Minimap</t>
  </si>
  <si>
    <t>Minimap Levels</t>
  </si>
  <si>
    <t>Minimap UI</t>
  </si>
  <si>
    <t>Minimap assets</t>
  </si>
  <si>
    <t>Minimap quest navigation support</t>
  </si>
  <si>
    <t>Minimap QA check</t>
  </si>
  <si>
    <t>Compass</t>
  </si>
  <si>
    <t>Compass UI</t>
  </si>
  <si>
    <t>Compass Integration</t>
  </si>
  <si>
    <t>Compass QA check</t>
  </si>
  <si>
    <t>Indoor Map</t>
  </si>
  <si>
    <t>Special NPCs positions</t>
  </si>
  <si>
    <t>Zoom out/in</t>
  </si>
  <si>
    <t>Party player position</t>
  </si>
  <si>
    <t>POI names</t>
  </si>
  <si>
    <t>Quest markers and objectives support</t>
  </si>
  <si>
    <t>Fog of war shader</t>
  </si>
  <si>
    <t>Create fog of war grid</t>
  </si>
  <si>
    <t>Hide/Unhide markers that are in fog of war</t>
  </si>
  <si>
    <t>Fog of war changes based on player visited locations</t>
  </si>
  <si>
    <t>fetch fog of war and update it from unreal side</t>
  </si>
  <si>
    <t>Sync fog of war to backend</t>
  </si>
  <si>
    <t>Show distance to objective</t>
  </si>
  <si>
    <t>Party player distance</t>
  </si>
  <si>
    <t>Show POI distance</t>
  </si>
  <si>
    <t>Special NPCs distance</t>
  </si>
  <si>
    <t>Show quest distance</t>
  </si>
  <si>
    <t>Show or hide compass from options menu</t>
  </si>
  <si>
    <t>Rotate compass with camera</t>
  </si>
  <si>
    <t>Lighting Tech</t>
  </si>
  <si>
    <t>Atmospherics</t>
  </si>
  <si>
    <t>Water System</t>
  </si>
  <si>
    <t>Day/Night Cycle</t>
  </si>
  <si>
    <t>Dynamic Weather</t>
  </si>
  <si>
    <t>Instancing</t>
  </si>
  <si>
    <t>GDD Documentation</t>
  </si>
  <si>
    <t>Instancing Documentation</t>
  </si>
  <si>
    <t>User Space Instancing support</t>
  </si>
  <si>
    <t>Guild House instancing support</t>
  </si>
  <si>
    <t>Dungeon Instancing</t>
  </si>
  <si>
    <t>Zones Instancing</t>
  </si>
  <si>
    <t>Instancing QA</t>
  </si>
  <si>
    <t>Research phasing system</t>
  </si>
  <si>
    <t>Document phasing system</t>
  </si>
  <si>
    <t>Create phasing system</t>
  </si>
  <si>
    <t>Manage player session</t>
  </si>
  <si>
    <t>Record if player is online in redis</t>
  </si>
  <si>
    <t>Create a session service</t>
  </si>
  <si>
    <t>Custom HPA for Kubernetes</t>
  </si>
  <si>
    <t>Create Nodejs service</t>
  </si>
  <si>
    <t>Integrate Kubernetes API</t>
  </si>
  <si>
    <t>Create metrics to scale up and down</t>
  </si>
  <si>
    <t>Create rules when to merge instances</t>
  </si>
  <si>
    <t>Setup Kubernetes on Azure</t>
  </si>
  <si>
    <t>Setup azure</t>
  </si>
  <si>
    <t>Custom service to handle dungeons</t>
  </si>
  <si>
    <t>Create a service in nodejs</t>
  </si>
  <si>
    <t>Create a list of all dungeons that are currently running in redis</t>
  </si>
  <si>
    <t>Search for dungeon by id</t>
  </si>
  <si>
    <t>Fetch dungeon ip by id</t>
  </si>
  <si>
    <t>Delete dungeon instance</t>
  </si>
  <si>
    <t>Create dungeon instance</t>
  </si>
  <si>
    <t>Call backend to figure out which dungeon to connect to</t>
  </si>
  <si>
    <t>Player general stat before disconnecting service</t>
  </si>
  <si>
    <t>Create a way to save player stat (which server they were connected to last, which party were they connected to, etc..) before disconnecting</t>
  </si>
  <si>
    <t>Custom service for overworld zones</t>
  </si>
  <si>
    <t>Create a list of all overworld zones that are currently running in redis</t>
  </si>
  <si>
    <t>Search for  overworld zones by id</t>
  </si>
  <si>
    <t>Fetch  overworld zones ip by id</t>
  </si>
  <si>
    <t>Delete  overworld zones instance</t>
  </si>
  <si>
    <t>Create  overworld zones instance</t>
  </si>
  <si>
    <t>Call backend to figure out which  overworld zones to connect to</t>
  </si>
  <si>
    <t>Inform UE server that a player is getting migrated to another UE server</t>
  </si>
  <si>
    <t>Create a queue service</t>
  </si>
  <si>
    <t>Dungeon Mechanics</t>
  </si>
  <si>
    <t>Dungeons documentation</t>
  </si>
  <si>
    <t>Multiplayer enviromental puzzle design</t>
  </si>
  <si>
    <t>Multiplayer enviromental puzzle layout</t>
  </si>
  <si>
    <t>Multiplayer enviromental puzzle integration</t>
  </si>
  <si>
    <t>Puzzles QA</t>
  </si>
  <si>
    <t>BD Quest design</t>
  </si>
  <si>
    <t>BD Quest narrative design</t>
  </si>
  <si>
    <t>Partner Shop Blockout</t>
  </si>
  <si>
    <t>BD Quest integration</t>
  </si>
  <si>
    <t>Partner themed shop concept</t>
  </si>
  <si>
    <t>Partner themed shop model</t>
  </si>
  <si>
    <t>Partner themed shop props</t>
  </si>
  <si>
    <t>Used Partner Portals</t>
  </si>
  <si>
    <t>Assets &amp; Portals Models</t>
  </si>
  <si>
    <t>Portals Placement in the shop</t>
  </si>
  <si>
    <t>BD Quest themed reward model</t>
  </si>
  <si>
    <t>BD quest special macguffin reward</t>
  </si>
  <si>
    <t>Special item design</t>
  </si>
  <si>
    <t>Concept</t>
  </si>
  <si>
    <t>Model</t>
  </si>
  <si>
    <t>Tech art</t>
  </si>
  <si>
    <t>Behavior implementation</t>
  </si>
  <si>
    <t>Audio</t>
  </si>
  <si>
    <t>UI</t>
  </si>
  <si>
    <t>VFX</t>
  </si>
  <si>
    <t>Join dungeon</t>
  </si>
  <si>
    <t>Dungeon UI</t>
  </si>
  <si>
    <t>Transition to dungeon</t>
  </si>
  <si>
    <t>Dungeon gameplay loop</t>
  </si>
  <si>
    <t>Dungeon character</t>
  </si>
  <si>
    <t>Dungeon end reward and condition</t>
  </si>
  <si>
    <t>dungeon character respawn</t>
  </si>
  <si>
    <t>dungeon transition to out of dungeon</t>
  </si>
  <si>
    <t>Make puzzle</t>
  </si>
  <si>
    <t>Bug Dungeon</t>
  </si>
  <si>
    <t>Bugged Dungeon Shop</t>
  </si>
  <si>
    <t>The Dungeon</t>
  </si>
  <si>
    <t>Dungeon (1 medium)</t>
  </si>
  <si>
    <t>Partner Portal</t>
  </si>
  <si>
    <t>Partner shop portal placement</t>
  </si>
  <si>
    <t>Portals design</t>
  </si>
  <si>
    <t>Partner Portal Integration</t>
  </si>
  <si>
    <t>Partner Portal VFX</t>
  </si>
  <si>
    <t>Partner Portal Enviro Art</t>
  </si>
  <si>
    <t>World Bosses</t>
  </si>
  <si>
    <t>Corruption Heatmap</t>
  </si>
  <si>
    <t>Biome - Portal Peak</t>
  </si>
  <si>
    <t>T4: MVP</t>
  </si>
  <si>
    <t>PP Design</t>
  </si>
  <si>
    <t>PP Blockout</t>
  </si>
  <si>
    <t>PP Concept</t>
  </si>
  <si>
    <t>PP Foliage</t>
  </si>
  <si>
    <t>PP Props Build</t>
  </si>
  <si>
    <t>PP layout</t>
  </si>
  <si>
    <t>PP Audio</t>
  </si>
  <si>
    <t>Portal Peak QA</t>
  </si>
  <si>
    <t>Portal Dimension Design</t>
  </si>
  <si>
    <t>Portal Dimension Blockout</t>
  </si>
  <si>
    <t>Portal Dimension Concept</t>
  </si>
  <si>
    <t>Portal Dimension Foliage</t>
  </si>
  <si>
    <t>Portal Dimension Props Build</t>
  </si>
  <si>
    <t>Portal Dimension layout</t>
  </si>
  <si>
    <t>Portal Dimension Audio</t>
  </si>
  <si>
    <t>Portal Dimension QA</t>
  </si>
  <si>
    <t>Final Tower Design</t>
  </si>
  <si>
    <t>Final Tower Blockout</t>
  </si>
  <si>
    <t>Final Tower Concept</t>
  </si>
  <si>
    <t>Final Tower Foliage</t>
  </si>
  <si>
    <t>Final Tower Props Build</t>
  </si>
  <si>
    <t>Final Tower layout</t>
  </si>
  <si>
    <t>Final Tower Audio</t>
  </si>
  <si>
    <t>Architecture Kit - Mythcore</t>
  </si>
  <si>
    <t>Architecture Kit - Mythcore Ruins</t>
  </si>
  <si>
    <t>Architecture Kit - Fantasy</t>
  </si>
  <si>
    <t>Architecture Kit - Deck/Scaffolding</t>
  </si>
  <si>
    <t>Architecture Kit - Wooden Camp</t>
  </si>
  <si>
    <t>Portal Dimension</t>
  </si>
  <si>
    <t>Tower Interior</t>
  </si>
  <si>
    <t>Rock Kits</t>
  </si>
  <si>
    <t>Props - Gritcore</t>
  </si>
  <si>
    <t>Props - Fantasy Exterior</t>
  </si>
  <si>
    <t>Biomes - Cave</t>
  </si>
  <si>
    <t>Tower Exterior (Epic POI)</t>
  </si>
  <si>
    <t>Cave Interior (Med POI)</t>
  </si>
  <si>
    <t>Bridge (Small POI)</t>
  </si>
  <si>
    <t>Mediterranean Biome</t>
  </si>
  <si>
    <t>Biome - Hidden Hills</t>
  </si>
  <si>
    <t>The Two Hills Design</t>
  </si>
  <si>
    <t>The Two Hills Blockout</t>
  </si>
  <si>
    <t>The Two Hills Concept</t>
  </si>
  <si>
    <t>The Two Hills Foliage</t>
  </si>
  <si>
    <t>The Two Hills Props Build</t>
  </si>
  <si>
    <t>The Two Hills layout</t>
  </si>
  <si>
    <t>The Two Hills Audio</t>
  </si>
  <si>
    <t>The Two Hills QA</t>
  </si>
  <si>
    <t>The Big Battle Hill (Epic POI)</t>
  </si>
  <si>
    <t>Biome - Farmlands</t>
  </si>
  <si>
    <t>New Zone</t>
  </si>
  <si>
    <t>Biomes - New Zone</t>
  </si>
  <si>
    <t>Drifter's Cross (Small POI)</t>
  </si>
  <si>
    <t>Lush Biome</t>
  </si>
  <si>
    <t>Biome - Mistrun Shore</t>
  </si>
  <si>
    <t>Biome - Whispering Woods</t>
  </si>
  <si>
    <t>Waterfall Beauty Spot Concept</t>
  </si>
  <si>
    <t>Waterfall Beauty Spot Design</t>
  </si>
  <si>
    <t>Waterfall Beauty Spot Blockout</t>
  </si>
  <si>
    <t>Waterfall Beauty Spot Foliage</t>
  </si>
  <si>
    <t>Waterfall Beauty Spot Props Build</t>
  </si>
  <si>
    <t>Waterfall Beauty Spot layout</t>
  </si>
  <si>
    <t>Waterfall Beauty Spot Audio</t>
  </si>
  <si>
    <t>Waterfall Spot QA</t>
  </si>
  <si>
    <t>Waterfall Beauty (Small POI)</t>
  </si>
  <si>
    <t>Biome - Tranquil Sands</t>
  </si>
  <si>
    <t>Biome - Torrential Vale</t>
  </si>
  <si>
    <t>Biome - Clockwork</t>
  </si>
  <si>
    <t>Biome - Downtime</t>
  </si>
  <si>
    <t>Multiplayer interactions (toasts)</t>
  </si>
  <si>
    <t>Downtime Shops closed area</t>
  </si>
  <si>
    <t>Downtime Social Hub Area Blockout</t>
  </si>
  <si>
    <t>Downtime Tavern Blockout</t>
  </si>
  <si>
    <t>Downtime Tavern Concept</t>
  </si>
  <si>
    <t>Downtime Tavern Model</t>
  </si>
  <si>
    <t>Downtime Tavern Props</t>
  </si>
  <si>
    <t>NPC behaviour document</t>
  </si>
  <si>
    <t>Downtime NPC placement</t>
  </si>
  <si>
    <t>Downtime shops storefronts models</t>
  </si>
  <si>
    <t>Downtime Auction House storefront model</t>
  </si>
  <si>
    <t>Downtime Bank storefront model</t>
  </si>
  <si>
    <t>Downtime Barbersmith storefront model</t>
  </si>
  <si>
    <t>Downtime QA</t>
  </si>
  <si>
    <t>Downtime Zone</t>
  </si>
  <si>
    <t>Biomes - Downtime</t>
  </si>
  <si>
    <t>Env Prop Kit - Tavern</t>
  </si>
  <si>
    <t>Combat</t>
  </si>
  <si>
    <t>Combat Framework</t>
  </si>
  <si>
    <t>Combat Design</t>
  </si>
  <si>
    <t>Attacks Design Doc - per weapon (Combo + off-hand attacks)</t>
  </si>
  <si>
    <t>Weapon Attributes (per weapon)</t>
  </si>
  <si>
    <t>Combat Animations</t>
  </si>
  <si>
    <t>Combat Montages</t>
  </si>
  <si>
    <t>Combat Tech anim?</t>
  </si>
  <si>
    <t>Combat integration</t>
  </si>
  <si>
    <t>Weapons models</t>
  </si>
  <si>
    <t>Combat VFX</t>
  </si>
  <si>
    <t>Melee Combat QA</t>
  </si>
  <si>
    <t>Weapon spesific hand poses</t>
  </si>
  <si>
    <t>Aim offset implementation</t>
  </si>
  <si>
    <t>Review the combat with networking engineer</t>
  </si>
  <si>
    <t>Death sequance system</t>
  </si>
  <si>
    <t>Pressure based agro</t>
  </si>
  <si>
    <t>Distance based agro</t>
  </si>
  <si>
    <t>Health based agro</t>
  </si>
  <si>
    <t>Utility managment</t>
  </si>
  <si>
    <t>Scaling</t>
  </si>
  <si>
    <t>AI vs AI</t>
  </si>
  <si>
    <t>Player feedback</t>
  </si>
  <si>
    <t>Safety check</t>
  </si>
  <si>
    <t>Reflex check</t>
  </si>
  <si>
    <t>Survival check</t>
  </si>
  <si>
    <t>Social check</t>
  </si>
  <si>
    <t>Execution check</t>
  </si>
  <si>
    <t>different types of movements</t>
  </si>
  <si>
    <t>decision tick</t>
  </si>
  <si>
    <t>utility abilities (healthing etc...)</t>
  </si>
  <si>
    <t>attack abilities (attack etc...)</t>
  </si>
  <si>
    <t>Ranged Combat</t>
  </si>
  <si>
    <t>Dual Wielding Ranged</t>
  </si>
  <si>
    <t>Ranged Attributes</t>
  </si>
  <si>
    <t>Aimed offsets</t>
  </si>
  <si>
    <t>Combat AI Behavior</t>
  </si>
  <si>
    <t>Enemies Art</t>
  </si>
  <si>
    <t>Wolf montages</t>
  </si>
  <si>
    <t>Wolf AI behaviour</t>
  </si>
  <si>
    <t>Design</t>
  </si>
  <si>
    <t>Rigging</t>
  </si>
  <si>
    <t>Animation</t>
  </si>
  <si>
    <t>Asset Validation</t>
  </si>
  <si>
    <t>Combat Behavior</t>
  </si>
  <si>
    <t>Wolfy noises</t>
  </si>
  <si>
    <t>Wolves QA</t>
  </si>
  <si>
    <t>Goblin montages</t>
  </si>
  <si>
    <t>Goblin AI behaviour</t>
  </si>
  <si>
    <t>SFX</t>
  </si>
  <si>
    <t>Goblins QA</t>
  </si>
  <si>
    <t>Skeleton montages</t>
  </si>
  <si>
    <t>Skeleton AI behaviour</t>
  </si>
  <si>
    <t>Skeletons QA</t>
  </si>
  <si>
    <t>Slimes AI behaviour</t>
  </si>
  <si>
    <t>Slimes QA</t>
  </si>
  <si>
    <t>Quest structure</t>
  </si>
  <si>
    <t>Corrupted Enemies QA</t>
  </si>
  <si>
    <t>Carapax AI design</t>
  </si>
  <si>
    <t>Carapax QA</t>
  </si>
  <si>
    <t>Create animation graph</t>
  </si>
  <si>
    <t>Create control rig</t>
  </si>
  <si>
    <t>Make combat moves</t>
  </si>
  <si>
    <t>RBF setup</t>
  </si>
  <si>
    <t>Seperate clothing from body</t>
  </si>
  <si>
    <t>Custom death sequance</t>
  </si>
  <si>
    <t>Green Faction NPCs</t>
  </si>
  <si>
    <t>Red Faction NPCs</t>
  </si>
  <si>
    <t>Yellow Faction NPCs</t>
  </si>
  <si>
    <t>Blue Faction NPCs</t>
  </si>
  <si>
    <t>Critter NPCs - Pigs (DONE)</t>
  </si>
  <si>
    <t>Critter NPCs - Hares (DONE)</t>
  </si>
  <si>
    <t>Critter NPCs - Sheep (DONE)</t>
  </si>
  <si>
    <t>Critter NPCs - Cows (DONE)</t>
  </si>
  <si>
    <t>Critter NPCs - Chickens (DONE)</t>
  </si>
  <si>
    <t>Critter NPCs - Horses (DONE)</t>
  </si>
  <si>
    <t>Hero NPC - Xyron (Upgrade)</t>
  </si>
  <si>
    <t>Hero NPC - Barbersmith (Upgrade)</t>
  </si>
  <si>
    <t>Hero NPC - Maeve/Mayor (Upgrade)</t>
  </si>
  <si>
    <t>PvP Combat</t>
  </si>
  <si>
    <t>PVP Combat design</t>
  </si>
  <si>
    <t>PVP Combat support</t>
  </si>
  <si>
    <t>PVP only available in Arena</t>
  </si>
  <si>
    <t>PVP Arena Design</t>
  </si>
  <si>
    <t>PVP Combat Setup</t>
  </si>
  <si>
    <t>PVP Arena concept</t>
  </si>
  <si>
    <t>PVP Arena blockout</t>
  </si>
  <si>
    <t>PVP Arena Foliage</t>
  </si>
  <si>
    <t>PVP Arena set dressing</t>
  </si>
  <si>
    <t>PVP Arena props</t>
  </si>
  <si>
    <t>PVP Arena Audio</t>
  </si>
  <si>
    <t>PVP combat QA</t>
  </si>
  <si>
    <t>Show damage numbers between players on hit</t>
  </si>
  <si>
    <t>Implement player prediction algorithm for networking</t>
  </si>
  <si>
    <t>Show other player HP in area fight</t>
  </si>
  <si>
    <t>declare player who is connected as winner</t>
  </si>
  <si>
    <t>Create fight timer and declare draw</t>
  </si>
  <si>
    <t>Reward player who won and display a message to the loser</t>
  </si>
  <si>
    <t>Sign up for arena fight actor</t>
  </si>
  <si>
    <t>Kick players that are in the area who are not fighting when you and someone else decide to start a fight</t>
  </si>
  <si>
    <t>PVP area blocks player from entering and leaving</t>
  </si>
  <si>
    <t>Create UI/UX</t>
  </si>
  <si>
    <t>Ensure combat system works</t>
  </si>
  <si>
    <t>Architecture Kit - Arena</t>
  </si>
  <si>
    <t>Arena</t>
  </si>
  <si>
    <t>Combat Balance &amp; Telemetry</t>
  </si>
  <si>
    <t>Create leaderboard collection</t>
  </si>
  <si>
    <t>Create a leaderboard in dashboard (internal dashboard)</t>
  </si>
  <si>
    <t>Delete a leaderboard from dashboard (internal dashboard)</t>
  </si>
  <si>
    <t>Delete an entry from the leaderboard from dashboard (internal dashboard)</t>
  </si>
  <si>
    <t>Create UI for leaderboard in (internal dashboard)</t>
  </si>
  <si>
    <t>Fetch all leaderboards (internal dashboard)</t>
  </si>
  <si>
    <t>Update leaderboard from (social service)</t>
  </si>
  <si>
    <t>Fetch leaderboard from (social service)</t>
  </si>
  <si>
    <t>Fetch leaderboard in unreal</t>
  </si>
  <si>
    <t>Update leaderboard in unreal</t>
  </si>
  <si>
    <t>Combat Abilities</t>
  </si>
  <si>
    <t>Abilities Design</t>
  </si>
  <si>
    <t>4 Abilities designed (2 weapons)</t>
  </si>
  <si>
    <t>Weapon attribute system</t>
  </si>
  <si>
    <t>Combat Abilities UI</t>
  </si>
  <si>
    <t>HUD Combat Abilities UI</t>
  </si>
  <si>
    <t>HUD design</t>
  </si>
  <si>
    <t>Combat Abilities integrated with skill path</t>
  </si>
  <si>
    <t>Combat abilities casting animations</t>
  </si>
  <si>
    <t>Combat Abilities QA</t>
  </si>
  <si>
    <t>Combat Abilities SFX</t>
  </si>
  <si>
    <t>Integrate abilities with skill path</t>
  </si>
  <si>
    <t>Make the abilities</t>
  </si>
  <si>
    <t>Combat SFX</t>
  </si>
  <si>
    <t>Magic</t>
  </si>
  <si>
    <t>Magic Weapon (e.g. wand)</t>
  </si>
  <si>
    <t>Weapon</t>
  </si>
  <si>
    <t>Magic system design (5 spells)</t>
  </si>
  <si>
    <t>Magic implementation</t>
  </si>
  <si>
    <t>Magic UI (1 skill tree mapped out)</t>
  </si>
  <si>
    <t>Magic casting animations</t>
  </si>
  <si>
    <t>Magic SFX</t>
  </si>
  <si>
    <t>Magic VFX</t>
  </si>
  <si>
    <t>Magic QA</t>
  </si>
  <si>
    <t>Magic system design (3-4 spells)</t>
  </si>
  <si>
    <t>make wand abilities 4</t>
  </si>
  <si>
    <t>wand skill tree</t>
  </si>
  <si>
    <t>make wand an item type</t>
  </si>
  <si>
    <t>equipd wand</t>
  </si>
  <si>
    <t>Full Motion Video (FMV)</t>
  </si>
  <si>
    <t>Intro supports FMV</t>
  </si>
  <si>
    <t>Create placeholder FMV playback flow</t>
  </si>
  <si>
    <t>Implement FMV skip behavior</t>
  </si>
  <si>
    <t>Implement transition after FMV</t>
  </si>
  <si>
    <t>FMV Production</t>
  </si>
  <si>
    <t>Integrate final/near-final FMV asset</t>
  </si>
  <si>
    <t>QA playback across target builds</t>
  </si>
  <si>
    <t>Fix FMV blocker bugs</t>
  </si>
  <si>
    <t>Narrative - Cinematic scripting</t>
  </si>
  <si>
    <t>Intro sequence plays 3 slides with voiceover</t>
  </si>
  <si>
    <t>Create intro sequence controller</t>
  </si>
  <si>
    <t>Display static slides full-screen</t>
  </si>
  <si>
    <t>Play voiceover synced to sequence</t>
  </si>
  <si>
    <t>Display subtitles synced to VO</t>
  </si>
  <si>
    <t>Implement skip behavior</t>
  </si>
  <si>
    <t>Implement transition to gameplay/menu</t>
  </si>
  <si>
    <t>Final art production</t>
  </si>
  <si>
    <t>VO production</t>
  </si>
  <si>
    <t>Subtitles production</t>
  </si>
  <si>
    <t>Integrate final art + VO assets</t>
  </si>
  <si>
    <t>QA + fix blockers</t>
  </si>
  <si>
    <t>Create placeholder FMV playback flow and allow designers to set the FMV easily</t>
  </si>
  <si>
    <t>Create a system to disallow the player from moving while in FMV</t>
  </si>
  <si>
    <t>Implement transition after FMV - Fade in/Fade out system</t>
  </si>
  <si>
    <t>Allow this to be triggered from quest</t>
  </si>
  <si>
    <t>Tool for designers</t>
  </si>
  <si>
    <t>UI Design</t>
  </si>
  <si>
    <t>User Space</t>
  </si>
  <si>
    <t>User Space Server &amp; Instance</t>
  </si>
  <si>
    <t>FTUE Design</t>
  </si>
  <si>
    <t>FTUE UI</t>
  </si>
  <si>
    <t>User Space Editor audio</t>
  </si>
  <si>
    <t>Mutual Activity Design</t>
  </si>
  <si>
    <t>Mutual Activity UI</t>
  </si>
  <si>
    <t>Drinking design</t>
  </si>
  <si>
    <t>Drunken UI</t>
  </si>
  <si>
    <t>User Space is a separate instance</t>
  </si>
  <si>
    <t>User Space editor &amp; UI</t>
  </si>
  <si>
    <t>User Space Ambience</t>
  </si>
  <si>
    <t>Item SFX</t>
  </si>
  <si>
    <t>Island ambient audio</t>
  </si>
  <si>
    <t>User Space editor VFX</t>
  </si>
  <si>
    <t>User Space functionality QA</t>
  </si>
  <si>
    <t>User Space GDD VS page</t>
  </si>
  <si>
    <t>User Space location concepts</t>
  </si>
  <si>
    <t>User Space location blockout</t>
  </si>
  <si>
    <t>User Space location set dressing</t>
  </si>
  <si>
    <t>User Space location props</t>
  </si>
  <si>
    <t>User Space location foliage</t>
  </si>
  <si>
    <t>User Space visuals QA</t>
  </si>
  <si>
    <t>DevOps</t>
  </si>
  <si>
    <t>IP address list service</t>
  </si>
  <si>
    <t>Multiple players join one server and only show what is relevent to current player</t>
  </si>
  <si>
    <t>Figure out friend ip address to join his server when invited</t>
  </si>
  <si>
    <t>Host permissions</t>
  </si>
  <si>
    <t>Edit mode improvmeents</t>
  </si>
  <si>
    <t>Save userspace furniture location in userspace</t>
  </si>
  <si>
    <t>Fetch userspace furniture from backend</t>
  </si>
  <si>
    <t>Update userspace furniture and tell that to all players</t>
  </si>
  <si>
    <t>Player joining friends userspace</t>
  </si>
  <si>
    <t>Enable fishing in userspace</t>
  </si>
  <si>
    <t>Load userspace from save data</t>
  </si>
  <si>
    <t>Setup animation for userspace editing tool</t>
  </si>
  <si>
    <t>Implement interaction animation with userspace items (snap)</t>
  </si>
  <si>
    <t>Player Island 1</t>
  </si>
  <si>
    <t>Player Island 2</t>
  </si>
  <si>
    <t>Zone - User Space Island</t>
  </si>
  <si>
    <t>User Space Decoration</t>
  </si>
  <si>
    <t>User Space House concept</t>
  </si>
  <si>
    <t>User Space House model</t>
  </si>
  <si>
    <t>User Space furniture props</t>
  </si>
  <si>
    <t>Furniture - Fantasy</t>
  </si>
  <si>
    <t>Furniture - Gritcore</t>
  </si>
  <si>
    <t>Indoor Camera</t>
  </si>
  <si>
    <t>User Space Interior</t>
  </si>
  <si>
    <t>User Space Exterior</t>
  </si>
  <si>
    <t>P2P / P2G User Space Connection</t>
  </si>
  <si>
    <t>Building Houses</t>
  </si>
  <si>
    <t>Architecture Kit - Player Housing</t>
  </si>
  <si>
    <t>Player Buildings</t>
  </si>
  <si>
    <t>Modular Houses</t>
  </si>
  <si>
    <t>Saving House Layouts</t>
  </si>
  <si>
    <t>Partner Portal System (player house)</t>
  </si>
  <si>
    <t>Arcade Cabinet</t>
  </si>
  <si>
    <t>Anywhere Door Placement</t>
  </si>
  <si>
    <t>User space door can be placed at predefined spots</t>
  </si>
  <si>
    <t>Anywhere Door QA</t>
  </si>
  <si>
    <t>Create endpoint to update the position, rotation and zone name of MULTIPLE anywhere door in backend (player data service)</t>
  </si>
  <si>
    <t>Create fetech anywhere door endpoint (player data service)</t>
  </si>
  <si>
    <t>Update anywhere door position, rotation, zone name after fethcing anywhere door info from (player data serivce)</t>
  </si>
  <si>
    <t>Create an ability to place anywhere door in the world</t>
  </si>
  <si>
    <t>Create anywhere door as item in backend service.</t>
  </si>
  <si>
    <t>Create anywhere door as item.</t>
  </si>
  <si>
    <t>Show if the anywhere door is placed or not placed to remove it if needed</t>
  </si>
  <si>
    <t>Show anywhere door on map</t>
  </si>
  <si>
    <t>Show anywhere door on minimap</t>
  </si>
  <si>
    <t>Show anywhere door on compass</t>
  </si>
  <si>
    <t>Make anywhere door as an actor</t>
  </si>
  <si>
    <t>Remove anywhere door</t>
  </si>
  <si>
    <t>fetch anywhere door info from backend service and place it in the world</t>
  </si>
  <si>
    <t>Make spesific regions where anywhere door can be placed</t>
  </si>
  <si>
    <t>Items &amp; Inventory</t>
  </si>
  <si>
    <t>Item Core System</t>
  </si>
  <si>
    <t>Starting Chest</t>
  </si>
  <si>
    <t>Chest concept</t>
  </si>
  <si>
    <t>Chest model</t>
  </si>
  <si>
    <t>Chest animation</t>
  </si>
  <si>
    <t>Chest VFX</t>
  </si>
  <si>
    <t>QA check</t>
  </si>
  <si>
    <t>Shield</t>
  </si>
  <si>
    <t>Shield animations</t>
  </si>
  <si>
    <t>Shield Asset</t>
  </si>
  <si>
    <t>Starting Sword</t>
  </si>
  <si>
    <t>Sword concept</t>
  </si>
  <si>
    <t>Sword model</t>
  </si>
  <si>
    <t>Sword animations</t>
  </si>
  <si>
    <t>Sword VFX</t>
  </si>
  <si>
    <t>Inventory System</t>
  </si>
  <si>
    <t>Equipment System</t>
  </si>
  <si>
    <t>an endpoint to all items equiped (batch requests only send what changed)</t>
  </si>
  <si>
    <t>Create an endpoint to store abilities in internal dashboard</t>
  </si>
  <si>
    <t>Create an endpoint to fetch abilities internal dashboard</t>
  </si>
  <si>
    <t>Create an endpoint to remove ability internal dashboard</t>
  </si>
  <si>
    <t>Create an endpoint to fetch equiped items</t>
  </si>
  <si>
    <t>Create an endpoint to euip items</t>
  </si>
  <si>
    <t>an endpoint to update all item and abilities position in the hotbar (batch requests only send what changed)</t>
  </si>
  <si>
    <t>Create endpoint to fetch hotbar items and abilities</t>
  </si>
  <si>
    <t>Create unit test for updating, fetching</t>
  </si>
  <si>
    <t>Send an HTTP reuqest only after 2 seconds after not moving any items or abilities in hotbar</t>
  </si>
  <si>
    <t>Get hotbar item and abiltitie positions and set them</t>
  </si>
  <si>
    <t>Fetch and set equiped items</t>
  </si>
  <si>
    <t>Loot Distribution</t>
  </si>
  <si>
    <t>Loot distribution design</t>
  </si>
  <si>
    <t>Loot is distributed after the raid</t>
  </si>
  <si>
    <t>Loot distribution QA</t>
  </si>
  <si>
    <t>Create loot distribution collection ( internal dashboard managment service)</t>
  </si>
  <si>
    <t>Update loot distribution collection ( internal dashboard managment service)</t>
  </si>
  <si>
    <t>Fetch loot distribution collection (internal dashboard managment service)</t>
  </si>
  <si>
    <t>Create loot distribution system which lets Actors inherit from multiple templates</t>
  </si>
  <si>
    <t>Refreance loot table in enemy/actor in tool</t>
  </si>
  <si>
    <t>Create a new loot table in tool</t>
  </si>
  <si>
    <t>Save temp loot table in tool</t>
  </si>
  <si>
    <t>Edit loot table in CH tool</t>
  </si>
  <si>
    <t>Delete loot table in CH tool</t>
  </si>
  <si>
    <t>Fetch current loot tables in CH tool</t>
  </si>
  <si>
    <t>Release loot table in CH tool</t>
  </si>
  <si>
    <t>Create a system for actors to referance loot table</t>
  </si>
  <si>
    <t>Enemies drop item when they are killed</t>
  </si>
  <si>
    <t>distrubute loot according to dungeon rules</t>
  </si>
  <si>
    <t>Mounts / Pets</t>
  </si>
  <si>
    <t>Pet system design</t>
  </si>
  <si>
    <t>Pet concepts</t>
  </si>
  <si>
    <t>Pet model</t>
  </si>
  <si>
    <t>Pet animations</t>
  </si>
  <si>
    <t>Pet VFX</t>
  </si>
  <si>
    <t>Pet behavior</t>
  </si>
  <si>
    <t>Pet integration</t>
  </si>
  <si>
    <t>Pet QA</t>
  </si>
  <si>
    <t>Teleport pet to player when pet is stuck</t>
  </si>
  <si>
    <t>Review pet system code</t>
  </si>
  <si>
    <t>Pet maya rig setup</t>
  </si>
  <si>
    <t>Pet animation grpah setup</t>
  </si>
  <si>
    <t>MECH PARROT</t>
  </si>
  <si>
    <t>Banks</t>
  </si>
  <si>
    <t>P2P Item Transfer</t>
  </si>
  <si>
    <t>Consumables</t>
  </si>
  <si>
    <t>Check the health potion usage</t>
  </si>
  <si>
    <t>Implement drinking animation</t>
  </si>
  <si>
    <t>Potions</t>
  </si>
  <si>
    <t>Durable Items</t>
  </si>
  <si>
    <t>Player Economy</t>
  </si>
  <si>
    <t>Trading System</t>
  </si>
  <si>
    <t>Shop Fake Fascia Design</t>
  </si>
  <si>
    <t>Clothing Shop Basic Contents</t>
  </si>
  <si>
    <t>Shops Concepts</t>
  </si>
  <si>
    <t>Shops Models &amp; Set dressing</t>
  </si>
  <si>
    <t>Shop props</t>
  </si>
  <si>
    <t>Vendors Concepts</t>
  </si>
  <si>
    <t>Vendors Models</t>
  </si>
  <si>
    <t>Vendors animation</t>
  </si>
  <si>
    <t>Trading UX/UI</t>
  </si>
  <si>
    <t>Currency Integration</t>
  </si>
  <si>
    <t>Soft Currency (gold) icon</t>
  </si>
  <si>
    <t>Premium currency icon</t>
  </si>
  <si>
    <t>P2G Transactions Support</t>
  </si>
  <si>
    <t>Trading System QA</t>
  </si>
  <si>
    <t>Create vendor collection ( internal dashboard managment service)</t>
  </si>
  <si>
    <t>Update vendor collection ( internal dashboard managment service)</t>
  </si>
  <si>
    <t>Fetch vendor collection (internal dashboard managment service)</t>
  </si>
  <si>
    <t>Create fresh cron job to refresh item stacks for vendors (internal dashboard managment service)</t>
  </si>
  <si>
    <t>delete items and vendor (internal dashboard managment service)</t>
  </si>
  <si>
    <t>Update NPC tool to match vendor in unreal engine</t>
  </si>
  <si>
    <t>Release vendor in game from tempate to release</t>
  </si>
  <si>
    <t>fetch last 20 items sold, buyback item, Create buyback functionality</t>
  </si>
  <si>
    <t>Create a list of sold items (redis / server) ??? fetch, create buyback endpoint, update endpoint, pipeline</t>
  </si>
  <si>
    <t>Fetch a list of sold items</t>
  </si>
  <si>
    <t>Create buy endpoint</t>
  </si>
  <si>
    <t>Create sell endpoint</t>
  </si>
  <si>
    <t>Use buy endpoint</t>
  </si>
  <si>
    <t>Use sell endpoint</t>
  </si>
  <si>
    <t>Update UI</t>
  </si>
  <si>
    <t>Currency System</t>
  </si>
  <si>
    <t>Currency System Art</t>
  </si>
  <si>
    <t>Auction House</t>
  </si>
  <si>
    <t>In-game Store</t>
  </si>
  <si>
    <t>Virtual currency balance and items</t>
  </si>
  <si>
    <t>RMT subscription design</t>
  </si>
  <si>
    <t>RNT partner store</t>
  </si>
  <si>
    <t>RMT virtual currency page</t>
  </si>
  <si>
    <t>RMT store integration</t>
  </si>
  <si>
    <t>RMT Store SFX</t>
  </si>
  <si>
    <t>RMT Store QA</t>
  </si>
  <si>
    <t>RMT store design</t>
  </si>
  <si>
    <t>Fetch total owned virtual currancy</t>
  </si>
  <si>
    <t>Create an endpoint to fetch total owned virtual currancy from store service</t>
  </si>
  <si>
    <t>Call purchase virtual currnacy endpoint from Unreal</t>
  </si>
  <si>
    <t>Create a purchase virtual currancy endpoint in store service</t>
  </si>
  <si>
    <t>Create an endpoint to fetch all store items, prices, images, titles from store service</t>
  </si>
  <si>
    <t>Update in-game store when fetching store items</t>
  </si>
  <si>
    <t>Create purcahse item endpoint in store service</t>
  </si>
  <si>
    <t>Call purchase item endpoint in unreal and sned item to player mailbox when item is purchased</t>
  </si>
  <si>
    <t>Create an endpoint to add items to in-game store in dashboard management service</t>
  </si>
  <si>
    <t>Create an endpoint to update items to in-game store in dashboard management service</t>
  </si>
  <si>
    <t>Create an endpoint to remove items from in-game store in dashboard management service</t>
  </si>
  <si>
    <t>Create an endpoint to pause the purcahsing of an item from in-game store in dashboard managment serivce</t>
  </si>
  <si>
    <t>Display paused banner on paused items with a tooltip explaining why the item is paused</t>
  </si>
  <si>
    <t>Set a limit on items. example gun only 100 people can buy it. first come first serve</t>
  </si>
  <si>
    <t>Connect UI with code</t>
  </si>
  <si>
    <t>RMT Store UI</t>
  </si>
  <si>
    <t>Basic RMT balance config</t>
  </si>
  <si>
    <t>In-game Economy</t>
  </si>
  <si>
    <t>Basic Economy configuration</t>
  </si>
  <si>
    <t>In-game economy QA check</t>
  </si>
  <si>
    <t>RMT Game Economy</t>
  </si>
  <si>
    <t>IG / RMT Monitoring System</t>
  </si>
  <si>
    <t>Quest System</t>
  </si>
  <si>
    <t>Quests Backend / Tooling</t>
  </si>
  <si>
    <t>Tutorial Quest Chain Configuration &amp; Setup</t>
  </si>
  <si>
    <t>Green Faction NPC Concepts</t>
  </si>
  <si>
    <t>Green Faction NPC Models</t>
  </si>
  <si>
    <t>Green Faction NPC animations</t>
  </si>
  <si>
    <t>Green Faction NPC dialogue setup</t>
  </si>
  <si>
    <t>Green Faction NPCs placement</t>
  </si>
  <si>
    <t>Quest Editor</t>
  </si>
  <si>
    <t>Dialogue System Design</t>
  </si>
  <si>
    <t>Dialogue System</t>
  </si>
  <si>
    <t>Dialogue UI</t>
  </si>
  <si>
    <t>Quest Log</t>
  </si>
  <si>
    <t>Quest Log QA</t>
  </si>
  <si>
    <t>Xyron narrative</t>
  </si>
  <si>
    <t>Quests as Events</t>
  </si>
  <si>
    <t>Quest Multiplayer</t>
  </si>
  <si>
    <t>Quest Types - Courier / Escort / Kill / Collect / Mystery / Time / Partner / Lockpicking</t>
  </si>
  <si>
    <t>Lockpicking</t>
  </si>
  <si>
    <t>Lockpicking Concept</t>
  </si>
  <si>
    <t>Lockpicking UI</t>
  </si>
  <si>
    <t>Lockpicking Integration</t>
  </si>
  <si>
    <t>Lockpicking Techart</t>
  </si>
  <si>
    <t>Lockpicking QA check</t>
  </si>
  <si>
    <t>Design interface for quest types</t>
  </si>
  <si>
    <t>Other quest types support?</t>
  </si>
  <si>
    <t>Check if lockpicking solution is correct</t>
  </si>
  <si>
    <t>Create an actor with a grid for all tiles</t>
  </si>
  <si>
    <t>Create data asset</t>
  </si>
  <si>
    <t>Create pipe entity actor</t>
  </si>
  <si>
    <t>Create magnatic enitity actor</t>
  </si>
  <si>
    <t>Create ball entity actor to compelete the game</t>
  </si>
  <si>
    <t>Start and end condition</t>
  </si>
  <si>
    <t>Create a system to modify ball proaprties while traveling</t>
  </si>
  <si>
    <t>Implement VFX and SFX</t>
  </si>
  <si>
    <t>Create quest tool</t>
  </si>
  <si>
    <t>Create quest system backend service</t>
  </si>
  <si>
    <t>Lock Picking Quest</t>
  </si>
  <si>
    <t>Quest Reward System</t>
  </si>
  <si>
    <t>Quest UI Audio</t>
  </si>
  <si>
    <t>Quest Reward UI</t>
  </si>
  <si>
    <t>Quest Reward System design doc</t>
  </si>
  <si>
    <t>Quest Reward List</t>
  </si>
  <si>
    <t>Rewards Choice</t>
  </si>
  <si>
    <t>Quest Rewards QA</t>
  </si>
  <si>
    <t>Hearthstone (Return Home Stone)</t>
  </si>
  <si>
    <t>Partner Crystal</t>
  </si>
  <si>
    <t>Quest Dialog GUI</t>
  </si>
  <si>
    <t>Quest Narrative Content</t>
  </si>
  <si>
    <t>Quest Flow Design &amp; Narrative Overview</t>
  </si>
  <si>
    <t>Cave Intro Quest</t>
  </si>
  <si>
    <t>Quest Narrative Doc</t>
  </si>
  <si>
    <t>Quest Design Doc</t>
  </si>
  <si>
    <t>Quest Implementation</t>
  </si>
  <si>
    <t>Quest Playtesting &amp; Revision</t>
  </si>
  <si>
    <t>Docs, Implement, Revise</t>
  </si>
  <si>
    <t>In Game Cinematic (IGC)</t>
  </si>
  <si>
    <t>The game supports cutscenes</t>
  </si>
  <si>
    <t>Cutscene trigger system</t>
  </si>
  <si>
    <t>Camera control during cutscene</t>
  </si>
  <si>
    <t>Player control lock/unlock</t>
  </si>
  <si>
    <t>NPC/character sequencing</t>
  </si>
  <si>
    <t>Dialogue playback (in-cutscene)</t>
  </si>
  <si>
    <t>Cutscene skip functionality</t>
  </si>
  <si>
    <t>Transition in/out of cutscene</t>
  </si>
  <si>
    <t>Basic cutscene sequencing (timeline)</t>
  </si>
  <si>
    <t>Cutscene stability (QA &amp; fixes)</t>
  </si>
  <si>
    <t>Cutscene content</t>
  </si>
  <si>
    <t>Camera behavior implementation/fixes</t>
  </si>
  <si>
    <t>Combat Camera</t>
  </si>
  <si>
    <t>Camera QA</t>
  </si>
  <si>
    <t>Custom camera position and rotation</t>
  </si>
  <si>
    <t>Custom camera animations</t>
  </si>
  <si>
    <t>Stream camera position (world partition)</t>
  </si>
  <si>
    <t>Implement camera according to design</t>
  </si>
  <si>
    <t>Meta Quest System</t>
  </si>
  <si>
    <t>Quest Generator System</t>
  </si>
  <si>
    <t>Targeted VO</t>
  </si>
  <si>
    <t>Social &amp; Multiplayer</t>
  </si>
  <si>
    <t>Game Chat System</t>
  </si>
  <si>
    <t>General systems</t>
  </si>
  <si>
    <t>Create pipeline and deploy</t>
  </si>
  <si>
    <t>Create chat service in go</t>
  </si>
  <si>
    <t>Create a serialization/deserialization system</t>
  </si>
  <si>
    <t>Create a list of users info such as server ip and usernames</t>
  </si>
  <si>
    <t>Create a multithreaded system</t>
  </si>
  <si>
    <t>Create a custom protocol using TCP</t>
  </si>
  <si>
    <t>Create a heartbeat system</t>
  </si>
  <si>
    <t>Create a packet system</t>
  </si>
  <si>
    <t>Connect to redis</t>
  </si>
  <si>
    <t>Proximity chat</t>
  </si>
  <si>
    <t>Send chat message only to people near you</t>
  </si>
  <si>
    <t>Zone channel</t>
  </si>
  <si>
    <t>Create a way to send a chat to entire zone</t>
  </si>
  <si>
    <t>Private message</t>
  </si>
  <si>
    <t>Send a private message to user</t>
  </si>
  <si>
    <t>Party chat</t>
  </si>
  <si>
    <t>Send a party message to your party</t>
  </si>
  <si>
    <t>Guild chat</t>
  </si>
  <si>
    <t>Send a message to your guild</t>
  </si>
  <si>
    <t>System chat</t>
  </si>
  <si>
    <t>Create a system chat which will warn you on if the server is shutting down or if Show invites, kicks, bans in chat</t>
  </si>
  <si>
    <t>Chat text limit</t>
  </si>
  <si>
    <t>Create a system to limit the amount of text sent</t>
  </si>
  <si>
    <t>Chat spam filter</t>
  </si>
  <si>
    <t>Create a system to rate limit messages</t>
  </si>
  <si>
    <t>Profanity filter</t>
  </si>
  <si>
    <t>Create a system to filter a set of words</t>
  </si>
  <si>
    <t>Chat UI</t>
  </si>
  <si>
    <t>Auto scroll incomming chat messages</t>
  </si>
  <si>
    <t>Different colours for different type of message</t>
  </si>
  <si>
    <t>integraet chat service in unreal using websockets</t>
  </si>
  <si>
    <t>Create a websocket connection</t>
  </si>
  <si>
    <t>Create a way to receive messages on unreal server and pass that to client</t>
  </si>
  <si>
    <t>Create a way to send a message from unreal server to chat server</t>
  </si>
  <si>
    <t>Friends</t>
  </si>
  <si>
    <t>Guilds</t>
  </si>
  <si>
    <t>Guilds system design</t>
  </si>
  <si>
    <t>Guild house is an instance</t>
  </si>
  <si>
    <t>Guild house concept</t>
  </si>
  <si>
    <t>Guild house model</t>
  </si>
  <si>
    <t>Guild house props</t>
  </si>
  <si>
    <t>Guild house TV + video</t>
  </si>
  <si>
    <t>Guild NPCs</t>
  </si>
  <si>
    <t>Guild house blockout</t>
  </si>
  <si>
    <t>Sitting NPCs</t>
  </si>
  <si>
    <t>Guild UI</t>
  </si>
  <si>
    <t>Guild Chat design</t>
  </si>
  <si>
    <t>Guild QA</t>
  </si>
  <si>
    <t>Guild house</t>
  </si>
  <si>
    <t>Guild house entry</t>
  </si>
  <si>
    <t>Guild house leave</t>
  </si>
  <si>
    <t>Guild house server</t>
  </si>
  <si>
    <t>Connect Guild UI</t>
  </si>
  <si>
    <t>Architecture Kit - Guild Hall</t>
  </si>
  <si>
    <t>Guild Island</t>
  </si>
  <si>
    <t>Guild Buildings</t>
  </si>
  <si>
    <t>Co-op / Party</t>
  </si>
  <si>
    <t>Party formation</t>
  </si>
  <si>
    <t>Party system design</t>
  </si>
  <si>
    <t>Party supports real players and bots</t>
  </si>
  <si>
    <t>Party UI</t>
  </si>
  <si>
    <t>Party QA</t>
  </si>
  <si>
    <t>Create party puzzle</t>
  </si>
  <si>
    <t>Make a puzzle</t>
  </si>
  <si>
    <t>Create party service</t>
  </si>
  <si>
    <t>Create a party</t>
  </si>
  <si>
    <t>Invite someone to party</t>
  </si>
  <si>
    <t>Kick someone from party</t>
  </si>
  <si>
    <t>Roll check in party</t>
  </si>
  <si>
    <t>Leave party</t>
  </si>
  <si>
    <t>Disband party</t>
  </si>
  <si>
    <t>Change leadership</t>
  </si>
  <si>
    <t>Update party player position on map, mana, health</t>
  </si>
  <si>
    <t>Co-op / Raids</t>
  </si>
  <si>
    <t>Dueling</t>
  </si>
  <si>
    <t>In-game Mail</t>
  </si>
  <si>
    <t>In-game Mail backend</t>
  </si>
  <si>
    <t>In-game UI</t>
  </si>
  <si>
    <t>In-game Mail frontend/UI</t>
  </si>
  <si>
    <t>Mail UI Audio</t>
  </si>
  <si>
    <t>Mail QA</t>
  </si>
  <si>
    <t>Postbox Concept</t>
  </si>
  <si>
    <t>Postbox VFX</t>
  </si>
  <si>
    <t>Postbox SFX</t>
  </si>
  <si>
    <t>Postbox Model</t>
  </si>
  <si>
    <t>Restore trash mail</t>
  </si>
  <si>
    <t>Mark mail as read</t>
  </si>
  <si>
    <t>Delete mail</t>
  </si>
  <si>
    <t>Claim items from mail</t>
  </si>
  <si>
    <t>Send mail from one player to another with items</t>
  </si>
  <si>
    <t>Claim currancy and increase ingame gold</t>
  </si>
  <si>
    <t>Create mail UI/UX</t>
  </si>
  <si>
    <t>Create mail SFX</t>
  </si>
  <si>
    <t>Create new mail model</t>
  </si>
  <si>
    <t>Notifications</t>
  </si>
  <si>
    <t>Player Config PvP Server</t>
  </si>
  <si>
    <t>LFG / Pick-up Groups</t>
  </si>
  <si>
    <t>Create Dungeon finder UI/UX</t>
  </si>
  <si>
    <t>Connect dungeons to UI</t>
  </si>
  <si>
    <t>Create dungeon finder service</t>
  </si>
  <si>
    <t>Add player to dungeon finder list</t>
  </si>
  <si>
    <t>Fetch a list of players queued up for dungeon by dungon id</t>
  </si>
  <si>
    <t>Remove player from dungeon queue</t>
  </si>
  <si>
    <t>Invite player to party</t>
  </si>
  <si>
    <t>Queue group for dungeon</t>
  </si>
  <si>
    <t>Send request to add player to dungeon</t>
  </si>
  <si>
    <t>Send request to remove player from dungeon</t>
  </si>
  <si>
    <t>Send request to fetch player from dungeon</t>
  </si>
  <si>
    <t>Remove party from queue after party is full</t>
  </si>
  <si>
    <t>Send player status in dungeon finder</t>
  </si>
  <si>
    <t>Get player status in dungeon finder</t>
  </si>
  <si>
    <t>Game Bibles</t>
  </si>
  <si>
    <t>UX/UI Bible</t>
  </si>
  <si>
    <t>Wireframes</t>
  </si>
  <si>
    <t>Accessibility Guidelines</t>
  </si>
  <si>
    <t>Brand Bible</t>
  </si>
  <si>
    <t>Colour Palette</t>
  </si>
  <si>
    <t>Typography</t>
  </si>
  <si>
    <t>Game Logo</t>
  </si>
  <si>
    <t>Art Bible</t>
  </si>
  <si>
    <t>T3: Prototype</t>
  </si>
  <si>
    <t>Environment Bible</t>
  </si>
  <si>
    <t>Animation Bible</t>
  </si>
  <si>
    <t>Character Bible</t>
  </si>
  <si>
    <t>VFX Bible</t>
  </si>
  <si>
    <t>Concept Bible</t>
  </si>
  <si>
    <t>Monetization Bible</t>
  </si>
  <si>
    <t>Red Books (Live Service emergency guidelines)</t>
  </si>
  <si>
    <t>Platform</t>
  </si>
  <si>
    <t>Player Account Creation / Deletion</t>
  </si>
  <si>
    <t>Player Account Authentication</t>
  </si>
  <si>
    <t>Player Account Privacy Settings &amp; Legal</t>
  </si>
  <si>
    <t>Player Dashboard - Account Features</t>
  </si>
  <si>
    <t>Player Dashboard - Game Dashboard</t>
  </si>
  <si>
    <t>Player Dashboard - Friends</t>
  </si>
  <si>
    <t>Player Dashboard - Search &amp; Notifications</t>
  </si>
  <si>
    <t>Player Dashboard - Marketplace</t>
  </si>
  <si>
    <t>Developer Dashboard - Developer Account</t>
  </si>
  <si>
    <t>Developer Dashboard - Game Dashboard</t>
  </si>
  <si>
    <t>Developer Dashboard - Settings &amp; Support</t>
  </si>
  <si>
    <t>Quest Tracking</t>
  </si>
  <si>
    <t>Payment Processing (incl. Refunds)</t>
  </si>
  <si>
    <t>Online Services &amp; Backend</t>
  </si>
  <si>
    <t>List of servers and their ip address</t>
  </si>
  <si>
    <t>Create an endpoint to store player X, Y, Z corrdinates and rotation and server ip address</t>
  </si>
  <si>
    <t>Create an endpoint to fetch player position, rotation and IP address</t>
  </si>
  <si>
    <t>Create unit test for update and fetch endpoint</t>
  </si>
  <si>
    <t>Set player position, rotation, when spawning player</t>
  </si>
  <si>
    <t>Conect to last server player left from</t>
  </si>
  <si>
    <t>Save player position and rotation and ip every X seconds on server, so if the server crashes we can retrieve this information later</t>
  </si>
  <si>
    <t>For network engineer to figure out</t>
  </si>
  <si>
    <t>Pass entrance parameters from one server to another</t>
  </si>
  <si>
    <t>Set entrace points on map</t>
  </si>
  <si>
    <t>Set spawn position according to entrance paramters</t>
  </si>
  <si>
    <t>Launcher &amp; Distribution</t>
  </si>
  <si>
    <t>Partner Loop</t>
  </si>
  <si>
    <t>Full partner loop definition/design</t>
  </si>
  <si>
    <t>Create Partner Store</t>
  </si>
  <si>
    <t>Integrate partner loop</t>
  </si>
  <si>
    <t>Buy game subscription time from website and/or from game</t>
  </si>
  <si>
    <t>Buy CH virtual currency</t>
  </si>
  <si>
    <t>Complete partner quest</t>
  </si>
  <si>
    <t>Purchase partner game from in-game store</t>
  </si>
  <si>
    <t>Redeem Partner Steam key</t>
  </si>
  <si>
    <t>Download Partner game</t>
  </si>
  <si>
    <t>Run partner game from same exe as CH</t>
  </si>
  <si>
    <t>Unlock partner item in CH by playing partner game</t>
  </si>
  <si>
    <t>Claim partner item from CH mailbox</t>
  </si>
  <si>
    <t>Partner functionality QA</t>
  </si>
  <si>
    <t>Create IPC between exe launcher and unreal and partner game</t>
  </si>
  <si>
    <t>Create exe launcher</t>
  </si>
  <si>
    <t>Run CH in exe launcher</t>
  </si>
  <si>
    <t>Run partner in exe launcher</t>
  </si>
  <si>
    <t>Transition to lightweight map before launching partner game from exe launcher</t>
  </si>
  <si>
    <t>Game Tool Integration (incl. Game Key Generation)</t>
  </si>
  <si>
    <t>Account Level Settings</t>
  </si>
  <si>
    <t>Social Media Support</t>
  </si>
  <si>
    <t>Live Game</t>
  </si>
  <si>
    <t>Live GDD</t>
  </si>
  <si>
    <t>Content</t>
  </si>
  <si>
    <t>Forecast</t>
  </si>
  <si>
    <t>Analytics &amp; BI</t>
  </si>
  <si>
    <t>Sales Dashboard</t>
  </si>
  <si>
    <t>Telemetry</t>
  </si>
  <si>
    <t>Live Service Event Plan</t>
  </si>
  <si>
    <t>Partner Build</t>
  </si>
  <si>
    <t>Partner = Feature definition</t>
  </si>
  <si>
    <t>Sign Partner</t>
  </si>
  <si>
    <t>Partner Brief</t>
  </si>
  <si>
    <t>Partner Design Doc</t>
  </si>
  <si>
    <t>Partner TDD</t>
  </si>
  <si>
    <t>Partner Art Brief</t>
  </si>
  <si>
    <t>Partner Integration</t>
  </si>
  <si>
    <t>Product Publishing</t>
  </si>
  <si>
    <t>Web Presence</t>
  </si>
  <si>
    <t>Website</t>
  </si>
  <si>
    <t>Create UI to display web browser inside the game launcher</t>
  </si>
  <si>
    <t>Pass data between in-launcher browswer and launcher</t>
  </si>
  <si>
    <t>Change play button from subscribe to play when a subscription is active</t>
  </si>
  <si>
    <t>Fetch subscription information from backend service</t>
  </si>
  <si>
    <t>New UI/UX for game launcher to support web browser</t>
  </si>
  <si>
    <t>Create subscription endpoint in store service with tier rewards / different time lengths (30  , 90  , 180  , 360  )</t>
  </si>
  <si>
    <t>Create an endpoint to cancel subsciption</t>
  </si>
  <si>
    <t>Create an endpoint to fetch current subscription information from account managment service</t>
  </si>
  <si>
    <t>Create a subscription page in the store</t>
  </si>
  <si>
    <t>Community Persona</t>
  </si>
  <si>
    <t>Title Identity</t>
  </si>
  <si>
    <t>Player Support</t>
  </si>
  <si>
    <t>Go-To-Market Strategy &amp; Implementation</t>
  </si>
  <si>
    <t>3rd-party Store Publishing</t>
  </si>
  <si>
    <t>Name</t>
  </si>
  <si>
    <t>Role</t>
  </si>
  <si>
    <t>Department</t>
  </si>
  <si>
    <t>Mustafa Sibai</t>
  </si>
  <si>
    <t>Engineering</t>
  </si>
  <si>
    <t>Daniel Negri</t>
  </si>
  <si>
    <t>Web Development</t>
  </si>
  <si>
    <t>Nikos Gerontakis</t>
  </si>
  <si>
    <t>Samer Balushi</t>
  </si>
  <si>
    <t>Raynor D'Souza</t>
  </si>
  <si>
    <t>Gameplay</t>
  </si>
  <si>
    <t>Ilya Achmetov</t>
  </si>
  <si>
    <t>Leon Huang</t>
  </si>
  <si>
    <t>Ignasi Ezpeleta</t>
  </si>
  <si>
    <t>Roberto</t>
  </si>
  <si>
    <t>Matt</t>
  </si>
  <si>
    <t>David Luong</t>
  </si>
  <si>
    <t>Art Direction</t>
  </si>
  <si>
    <t>Art</t>
  </si>
  <si>
    <t>Wojciech Szon</t>
  </si>
  <si>
    <t>Conor McLean</t>
  </si>
  <si>
    <t>Michail Velissaris</t>
  </si>
  <si>
    <t>Stefano Vietina</t>
  </si>
  <si>
    <t>Technical Art</t>
  </si>
  <si>
    <t>Samuele Piazzi</t>
  </si>
  <si>
    <t>Andrea Rottini</t>
  </si>
  <si>
    <t>Niko Gesell</t>
  </si>
  <si>
    <t>Concept Art</t>
  </si>
  <si>
    <t>Kerim Turay</t>
  </si>
  <si>
    <t>Gerard Vicen</t>
  </si>
  <si>
    <t>Julian Hartinger</t>
  </si>
  <si>
    <t>Gianluca Perusi</t>
  </si>
  <si>
    <t>Larisa Logofatu</t>
  </si>
  <si>
    <t>Alon</t>
  </si>
  <si>
    <t>3D Animation</t>
  </si>
  <si>
    <t>Kunjal Asher</t>
  </si>
  <si>
    <t>Maddalena Morello</t>
  </si>
  <si>
    <t>Sasha Krieger</t>
  </si>
  <si>
    <t>3D Characters</t>
  </si>
  <si>
    <t>Dimitris Chrysanthakopoulos</t>
  </si>
  <si>
    <t>Rebecca Tomasoni</t>
  </si>
  <si>
    <t>Michael Dunnam</t>
  </si>
  <si>
    <t>3D Environment</t>
  </si>
  <si>
    <t>Ella Amatooni</t>
  </si>
  <si>
    <t>Marc Vives</t>
  </si>
  <si>
    <t>Iosif Alexiou</t>
  </si>
  <si>
    <t>Nick Chrysanthakopoulos</t>
  </si>
  <si>
    <t>Chris Brough</t>
  </si>
  <si>
    <t>Robin Jubber</t>
  </si>
  <si>
    <t>Product</t>
  </si>
  <si>
    <t>Yorgos Dritsas</t>
  </si>
  <si>
    <t>Game Design</t>
  </si>
  <si>
    <t>Nadir Latif</t>
  </si>
  <si>
    <t>Kieron Naylor</t>
  </si>
  <si>
    <t>Nikolas Tziotis</t>
  </si>
  <si>
    <t>Level Design</t>
  </si>
  <si>
    <t>Seth Dahl</t>
  </si>
  <si>
    <t>Panos Andriopoulos</t>
  </si>
  <si>
    <t>Maria Cibej</t>
  </si>
  <si>
    <t>Writing</t>
  </si>
  <si>
    <t>Dragan Vuckovic</t>
  </si>
  <si>
    <t>Sound Design</t>
  </si>
  <si>
    <t>Aggeliki Peroutsea</t>
  </si>
  <si>
    <t>Hannah Pickard</t>
  </si>
  <si>
    <t>Discipline</t>
  </si>
  <si>
    <t>Leadership</t>
  </si>
  <si>
    <t>Production</t>
  </si>
  <si>
    <t>Gate</t>
  </si>
  <si>
    <t>Phase</t>
  </si>
  <si>
    <t>Target Tier</t>
  </si>
  <si>
    <t>Tier Name</t>
  </si>
  <si>
    <t>0</t>
  </si>
  <si>
    <t>T0</t>
  </si>
  <si>
    <t>Ideation</t>
  </si>
  <si>
    <t>Y-doc, pitch, vision lock; all features captured at T0</t>
  </si>
  <si>
    <t>1</t>
  </si>
  <si>
    <t>Pre-production</t>
  </si>
  <si>
    <t>T1-T2</t>
  </si>
  <si>
    <t>R&amp;D / GDD-TDD-Brief</t>
  </si>
  <si>
    <t>GDD/TDD/Art briefs for all greenlit features (T2)</t>
  </si>
  <si>
    <t>2</t>
  </si>
  <si>
    <t>Early Prod</t>
  </si>
  <si>
    <t>T3</t>
  </si>
  <si>
    <t>Prototype</t>
  </si>
  <si>
    <t>Prototype every feature; many bugs allowed (T3)</t>
  </si>
  <si>
    <t>3</t>
  </si>
  <si>
    <t>Mid Prod</t>
  </si>
  <si>
    <t>T4</t>
  </si>
  <si>
    <t>MVP</t>
  </si>
  <si>
    <t>Full MVP scope - heaviest production gate (T4)</t>
  </si>
  <si>
    <t>4</t>
  </si>
  <si>
    <t>End Prod</t>
  </si>
  <si>
    <t>T5</t>
  </si>
  <si>
    <t>Feature Complete</t>
  </si>
  <si>
    <t>Feature complete, polish to ship quality (T5)</t>
  </si>
  <si>
    <t>5</t>
  </si>
  <si>
    <t>Alpha</t>
  </si>
  <si>
    <t>T6</t>
  </si>
  <si>
    <t>Player Tested</t>
  </si>
  <si>
    <t>Playtest, telemetry, balance pass; gating bugs only</t>
  </si>
  <si>
    <t>6</t>
  </si>
  <si>
    <t>Beta</t>
  </si>
  <si>
    <t>External player feedback, cert prep, content lock</t>
  </si>
  <si>
    <t>7</t>
  </si>
  <si>
    <t>Launch</t>
  </si>
  <si>
    <t>Player Ready</t>
  </si>
  <si>
    <t>Day-0 readiness, marketing, store, support</t>
  </si>
  <si>
    <t>8</t>
  </si>
  <si>
    <t>First Release</t>
  </si>
  <si>
    <t>T6-T7</t>
  </si>
  <si>
    <t>Player Ready / Expand</t>
  </si>
  <si>
    <t>Live monitoring, hotfixes, day-1/7/30 patches</t>
  </si>
  <si>
    <t>9</t>
  </si>
  <si>
    <t>LS 1</t>
  </si>
  <si>
    <t>T7</t>
  </si>
  <si>
    <t>Expand</t>
  </si>
  <si>
    <t>Expansions, new content drops, season cadence (T7)</t>
  </si>
  <si>
    <t>10</t>
  </si>
  <si>
    <t>LS 2</t>
  </si>
  <si>
    <t>T8</t>
  </si>
  <si>
    <t>Scale</t>
  </si>
  <si>
    <t>Optimize / scale post-load, sustain plan (T8)</t>
  </si>
  <si>
    <t>Tier</t>
  </si>
  <si>
    <t>Definition</t>
  </si>
  <si>
    <t>Idea captured, no commitment</t>
  </si>
  <si>
    <t>T1</t>
  </si>
  <si>
    <t>R&amp;D</t>
  </si>
  <si>
    <t>Research, prototyping intent, technical feasibility</t>
  </si>
  <si>
    <t>T2</t>
  </si>
  <si>
    <t>GDD / TDD / Brief ready</t>
  </si>
  <si>
    <t>GDD done, TDD done, art brief done</t>
  </si>
  <si>
    <t>Functional with no skins, can be bugged</t>
  </si>
  <si>
    <t>Limited quality, but full-featured</t>
  </si>
  <si>
    <t>Feature Complete (at quality)</t>
  </si>
  <si>
    <t>Final assets, polished, no scope cuts left</t>
  </si>
  <si>
    <t>Player Ready / Tested</t>
  </si>
  <si>
    <t>Playtest, alpha, beta, telemetry feedback applied</t>
  </si>
  <si>
    <t>Add to feature / content</t>
  </si>
  <si>
    <t>Productional optimization post-load</t>
  </si>
  <si>
    <t>Cell Color / Section</t>
  </si>
  <si>
    <t>Meaning</t>
  </si>
  <si>
    <t>Phase super-headers (row 1 of Plan)</t>
  </si>
  <si>
    <t>Concept gate (T0 Ideation)</t>
  </si>
  <si>
    <t>Pre-production gate (T1-T2)</t>
  </si>
  <si>
    <t>Early / Mid / End Prod gates (T3-T5)</t>
  </si>
  <si>
    <t>Release</t>
  </si>
  <si>
    <t>Alpha / Beta / Launch / First Release</t>
  </si>
  <si>
    <t>Live Service</t>
  </si>
  <si>
    <t>LS 1 / LS 2</t>
  </si>
  <si>
    <t>Role group color (row 3 of Plan)</t>
  </si>
  <si>
    <t>CEO, Head of Legal, Head of Finance &amp; Ops, HR Manager</t>
  </si>
  <si>
    <t>Executive / Producer / Game / Tech / Art Producer</t>
  </si>
  <si>
    <t>Game Director, Design Leads, Designers, Writer</t>
  </si>
  <si>
    <t>Art Director, Concept, UI/UX, Character/Env/Prop, Anim, Rig, VFX, TA</t>
  </si>
  <si>
    <t>CTO, Tech Lead, Gameplay/Full Stack/Backend/Network</t>
  </si>
  <si>
    <t>Sizing key (col C)</t>
  </si>
  <si>
    <t>Small feature</t>
  </si>
  <si>
    <t>Medium feature</t>
  </si>
  <si>
    <t>Large feature</t>
  </si>
  <si>
    <t>How to use</t>
  </si>
  <si>
    <t>Plan sheet</t>
  </si>
  <si>
    <t>Fill in man-days per (feature, gate, role). Cells are blank by default.</t>
  </si>
  <si>
    <t>Totals row</t>
  </si>
  <si>
    <t>Bottom of Plan: SUMs each role column per gate.</t>
  </si>
  <si>
    <t>Headcount row</t>
  </si>
  <si>
    <t>Total PW / (gate months * 20 working days). Edit GATE_MONTHS in the script if your durations change.</t>
  </si>
  <si>
    <t>Summary sheet</t>
  </si>
  <si>
    <t>Auto-rolls up Plan totals per epic per gate.</t>
  </si>
  <si>
    <t>Adding rows</t>
  </si>
  <si>
    <t>Insert rows inside an epic block on Plan. Update Total PW SUM ranges if you extend past the current last data row.</t>
  </si>
  <si>
    <t>Stories</t>
  </si>
  <si>
    <t>Game Director Min</t>
  </si>
  <si>
    <t>Game Director Max</t>
  </si>
  <si>
    <t>Game Design Lead Min</t>
  </si>
  <si>
    <t>Game Design Lead Max</t>
  </si>
  <si>
    <t>Level Design Lead Min</t>
  </si>
  <si>
    <t>Level Design Lead Max</t>
  </si>
  <si>
    <t>Game Designer Min</t>
  </si>
  <si>
    <t>Game Designer Max</t>
  </si>
  <si>
    <t>Combat Designer Min</t>
  </si>
  <si>
    <t>Combat Designer Max</t>
  </si>
  <si>
    <t>Level Designer Min</t>
  </si>
  <si>
    <t>Level Designer Max</t>
  </si>
  <si>
    <t>Technical Designer Min</t>
  </si>
  <si>
    <t>Technical Designer Max</t>
  </si>
  <si>
    <t>Writer Min</t>
  </si>
  <si>
    <t>Writer Max</t>
  </si>
  <si>
    <t>Art Director Min</t>
  </si>
  <si>
    <t>Art Director Max</t>
  </si>
  <si>
    <t>Concept Artist Min</t>
  </si>
  <si>
    <t>Concept Artist Max</t>
  </si>
  <si>
    <t>UI/UX Designer Min</t>
  </si>
  <si>
    <t>UI/UX Designer Max</t>
  </si>
  <si>
    <t>Graphic Designer Min</t>
  </si>
  <si>
    <t>Graphic Designer Max</t>
  </si>
  <si>
    <t>Character Artist Min</t>
  </si>
  <si>
    <t>Character Artist Max</t>
  </si>
  <si>
    <t>Environment Artist Min</t>
  </si>
  <si>
    <t>Environment Artist Max</t>
  </si>
  <si>
    <t>Prop Artist Min</t>
  </si>
  <si>
    <t>Prop Artist Max</t>
  </si>
  <si>
    <t>Animator Min</t>
  </si>
  <si>
    <t>Animator Max</t>
  </si>
  <si>
    <t>Character Rigger Min</t>
  </si>
  <si>
    <t>Character Rigger Max</t>
  </si>
  <si>
    <t>VFX Artist Min</t>
  </si>
  <si>
    <t>VFX Artist Max</t>
  </si>
  <si>
    <t>Technical Artist Min</t>
  </si>
  <si>
    <t>Technical Artist Max</t>
  </si>
  <si>
    <t>CTO Min</t>
  </si>
  <si>
    <t>CTO Max</t>
  </si>
  <si>
    <t>Tech Lead Min</t>
  </si>
  <si>
    <t>Tech Lead Max</t>
  </si>
  <si>
    <t>Gameplay Developer Min</t>
  </si>
  <si>
    <t>Gameplay Developer Max</t>
  </si>
  <si>
    <t>Full Stack Developer Min</t>
  </si>
  <si>
    <t>Full Stack Developer Max</t>
  </si>
  <si>
    <t>Backend Developer Min</t>
  </si>
  <si>
    <t>Backend Developer Max</t>
  </si>
  <si>
    <t>Network Engineer Min</t>
  </si>
  <si>
    <t>Network Engineer Max</t>
  </si>
  <si>
    <t>QA Min</t>
  </si>
  <si>
    <t>QA Max</t>
  </si>
  <si>
    <t>Sound Designer Min</t>
  </si>
  <si>
    <t>Sound Designer Max</t>
  </si>
  <si>
    <t>Platform Team Min</t>
  </si>
  <si>
    <t>Platform Team Max</t>
  </si>
  <si>
    <t>Total Max</t>
  </si>
  <si>
    <t>TOTAL</t>
  </si>
  <si>
    <t>Sizing</t>
  </si>
  <si>
    <t>Min Days</t>
  </si>
  <si>
    <t>Max Days</t>
  </si>
  <si>
    <t>Primary Assignee</t>
  </si>
  <si>
    <t>Primary Days</t>
  </si>
  <si>
    <t>Secondary Assignee</t>
  </si>
  <si>
    <t>Secondary Days</t>
  </si>
  <si>
    <t>Unallocated</t>
  </si>
  <si>
    <t>Person</t>
  </si>
  <si>
    <t>Primary Stories</t>
  </si>
  <si>
    <t>Secondary Stories</t>
  </si>
  <si>
    <t>Total Days</t>
  </si>
  <si>
    <t>Available Days</t>
  </si>
  <si>
    <t>Utilisation</t>
  </si>
  <si>
    <t>Overloaded?</t>
  </si>
  <si>
    <t>Total Stories</t>
  </si>
  <si>
    <t>Total Max Days</t>
  </si>
  <si>
    <t>Roles Involved</t>
  </si>
  <si>
    <t>Backend Developer, Game Designer, Gameplay Developer, QA, UI/UX Designer</t>
  </si>
  <si>
    <t>Backend Developer, Game Designer, Gameplay Developer, QA, Sound Designer, UI/UX Designer</t>
  </si>
  <si>
    <t>Environment Artist, Game Designer, Level Designer, QA, Sound Designer, UI/UX Designer, VFX Artist, Writer</t>
  </si>
  <si>
    <t>Character Artist, Concept Artist, Environment Artist, Game Designer, Gameplay Developer, QA, Sound Designer, Technical Artist, UI/UX Designer, VFX Artist</t>
  </si>
  <si>
    <t>Character Artist, Concept Artist</t>
  </si>
  <si>
    <t>Animator, Character Artist, Concept Artist, Game Designer, Gameplay Developer, QA, Sound Designer, Technical Artist, UI/UX Designer</t>
  </si>
  <si>
    <t>Animator, Backend Developer, Character Artist, Environment Artist, Game Designer, Gameplay Developer, QA, Sound Designer, Technical Artist, VFX Artist, Writer</t>
  </si>
  <si>
    <t>Game Designer, Gameplay Developer, QA</t>
  </si>
  <si>
    <t>Animator, Backend Developer, Character Artist, Concept Artist, Environment Artist, Game Designer, Gameplay Developer, QA, Sound Designer, UI/UX Designer, VFX Artist, Writer</t>
  </si>
  <si>
    <t>Backend Developer, Concept Artist, Environment Artist, Game Designer, Gameplay Developer, QA, Sound Designer, Technical Artist, UI/UX Designer</t>
  </si>
  <si>
    <t>Backend Developer, Game Designer, Gameplay Developer, QA</t>
  </si>
  <si>
    <t>Backend Developer, Character Artist, Concept Artist, Environment Artist, Game Designer, Gameplay Developer, Level Designer, QA, Sound Designer, Technical Artist, UI/UX Designer, VFX Artist, Writer</t>
  </si>
  <si>
    <t>Backend Developer, Environment Artist, Game Designer, Gameplay Developer, VFX Artist</t>
  </si>
  <si>
    <t>Concept Artist, Environment Artist, Game Designer, Level Designer, QA, Sound Designer</t>
  </si>
  <si>
    <t>Concept Artist, Environment Artist, Game Designer, Level Designer, QA</t>
  </si>
  <si>
    <t>Animator, Character Artist, Game Designer, Gameplay Developer, QA, VFX Artist</t>
  </si>
  <si>
    <t>Animator, Game Designer</t>
  </si>
  <si>
    <t>Animator, Character Artist, Concept Artist, Game Designer, Gameplay Developer, QA, Sound Designer, Technical Artist, VFX Artist</t>
  </si>
  <si>
    <t>Concept Artist, Environment Artist, Game Designer, Gameplay Developer, Level Designer, QA, Sound Designer, UI/UX Designer</t>
  </si>
  <si>
    <t>Backend Developer, Gameplay Developer</t>
  </si>
  <si>
    <t>Animator, Game Designer, Gameplay Developer, QA, Sound Designer, UI/UX Designer</t>
  </si>
  <si>
    <t>Animator, Environment Artist, Game Designer, Gameplay Developer, QA, Sound Designer, UI/UX Designer, VFX Artist</t>
  </si>
  <si>
    <t>Backend Developer, Concept Artist, Environment Artist, Game Designer, Gameplay Developer, QA, Sound Designer, UI/UX Designer, Writer</t>
  </si>
  <si>
    <t>Animator, Backend Developer, Concept Artist, Environment Artist, Game Designer, Gameplay Developer, Level Designer, QA, Sound Designer, UI/UX Designer, VFX Artist</t>
  </si>
  <si>
    <t>Concept Artist, Environment Artist, Gameplay Developer</t>
  </si>
  <si>
    <t>Backend Developer, Gameplay Developer, QA</t>
  </si>
  <si>
    <t>Animator, Character Artist, Concept Artist, Environment Artist, Game Designer, Gameplay Developer, QA, VFX Artist</t>
  </si>
  <si>
    <t>Animator, Character Artist, Concept Artist, Game Designer, Gameplay Developer, QA, VFX Artist</t>
  </si>
  <si>
    <t>Animator, Concept Artist, QA</t>
  </si>
  <si>
    <t>Animator, Backend Developer, Character Artist, Concept Artist, Environment Artist, Game Designer, Gameplay Developer, QA, UI/UX Designer</t>
  </si>
  <si>
    <t>Backend Developer, QA</t>
  </si>
  <si>
    <t>Game Designer, QA</t>
  </si>
  <si>
    <t>Animator, Backend Developer, Character Artist, Concept Artist, Game Designer, Gameplay Developer, QA, UI/UX Designer, Writer</t>
  </si>
  <si>
    <t>Backend Developer, Concept Artist, Game Designer, Gameplay Developer, QA, Sound Designer, Technical Artist, UI/UX Designer, VFX Artist</t>
  </si>
  <si>
    <t>Concept Artist, Game Designer, Gameplay Developer, QA, Sound Designer, UI/UX Designer</t>
  </si>
  <si>
    <t>Game Designer, Writer</t>
  </si>
  <si>
    <t>Game Designer, Gameplay Developer, QA, Writer</t>
  </si>
  <si>
    <t>Backend Developer, Gameplay Developer, UI/UX Designer</t>
  </si>
  <si>
    <t>Animator, Backend Developer, Character Artist, Concept Artist, Environment Artist, Game Designer, Gameplay Developer, Level Designer, QA, UI/UX Designer</t>
  </si>
  <si>
    <t>Backend Developer, Concept Artist, Environment Artist, Gameplay Developer, QA, Sound Designer, UI/UX Designer, VFX Artist</t>
  </si>
  <si>
    <t>Animator, Character Artist, Concept Artist, Environment Artist, VFX Artist</t>
  </si>
  <si>
    <t>Backend Developer, Game Designer, Gameplay Developer</t>
  </si>
  <si>
    <t xml:space="preserve">EARLY PROD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</si>
</sst>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4" x14ac:knownFonts="1">
    <font>
      <sz val="11"/>
      <color theme="1"/>
      <name val="Calibri"/>
      <family val="2"/>
      <scheme val="minor"/>
    </font>
    <font>
      <b/>
      <sz val="12"/>
      <color rgb="FFFFFFFF"/>
      <name val="Calibri"/>
      <family val="2"/>
      <scheme val="minor"/>
    </font>
    <font>
      <b/>
      <sz val="10"/>
      <color rgb="FFFFFFFF"/>
      <name val="Calibri"/>
      <family val="2"/>
      <scheme val="minor"/>
    </font>
    <font>
      <b/>
      <sz val="14"/>
      <color rgb="FFFFFFFF"/>
      <name val="Calibri"/>
      <family val="2"/>
      <scheme val="minor"/>
    </font>
    <font>
      <b/>
      <sz val="9"/>
      <color rgb="FF000000"/>
      <name val="Calibri"/>
      <family val="2"/>
      <scheme val="minor"/>
    </font>
    <font>
      <b/>
      <sz val="11"/>
      <color rgb="FF000000"/>
      <name val="Calibri"/>
      <family val="2"/>
      <scheme val="minor"/>
    </font>
    <font>
      <sz val="9"/>
      <color rgb="FFFFFFFF"/>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b/>
      <sz val="11"/>
      <color rgb="FFFFFFFF"/>
      <name val="Calibri"/>
      <family val="2"/>
      <scheme val="minor"/>
    </font>
    <font>
      <b/>
      <sz val="11"/>
      <color theme="1"/>
      <name val="Calibri"/>
      <family val="2"/>
      <scheme val="minor"/>
    </font>
    <font>
      <sz val="10"/>
      <color rgb="FF808080"/>
      <name val="Calibri"/>
      <family val="2"/>
      <scheme val="minor"/>
    </font>
    <font>
      <b/>
      <sz val="10"/>
      <color rgb="FFFF0000"/>
      <name val="Calibri"/>
      <family val="2"/>
      <scheme val="minor"/>
    </font>
  </fonts>
  <fills count="23">
    <fill>
      <patternFill patternType="none"/>
    </fill>
    <fill>
      <patternFill patternType="gray125"/>
    </fill>
    <fill>
      <patternFill patternType="solid">
        <fgColor rgb="FF404040"/>
        <bgColor indexed="64"/>
      </patternFill>
    </fill>
    <fill>
      <patternFill patternType="solid">
        <fgColor rgb="FFBF8F00"/>
        <bgColor indexed="64"/>
      </patternFill>
    </fill>
    <fill>
      <patternFill patternType="solid">
        <fgColor rgb="FFC65911"/>
        <bgColor indexed="64"/>
      </patternFill>
    </fill>
    <fill>
      <patternFill patternType="solid">
        <fgColor rgb="FF2E75B6"/>
        <bgColor indexed="64"/>
      </patternFill>
    </fill>
    <fill>
      <patternFill patternType="solid">
        <fgColor rgb="FF548235"/>
        <bgColor indexed="64"/>
      </patternFill>
    </fill>
    <fill>
      <patternFill patternType="solid">
        <fgColor rgb="FF7030A0"/>
        <bgColor indexed="64"/>
      </patternFill>
    </fill>
    <fill>
      <patternFill patternType="solid">
        <fgColor rgb="FF1F4E78"/>
        <bgColor indexed="64"/>
      </patternFill>
    </fill>
    <fill>
      <patternFill patternType="solid">
        <fgColor rgb="FF305496"/>
        <bgColor indexed="64"/>
      </patternFill>
    </fill>
    <fill>
      <patternFill patternType="solid">
        <fgColor rgb="FF595959"/>
        <bgColor indexed="64"/>
      </patternFill>
    </fill>
    <fill>
      <patternFill patternType="solid">
        <fgColor rgb="FFD9D9D9"/>
        <bgColor indexed="64"/>
      </patternFill>
    </fill>
    <fill>
      <patternFill patternType="solid">
        <fgColor rgb="FFFFD966"/>
        <bgColor indexed="64"/>
      </patternFill>
    </fill>
    <fill>
      <patternFill patternType="solid">
        <fgColor rgb="FFBDD7EE"/>
        <bgColor indexed="64"/>
      </patternFill>
    </fill>
    <fill>
      <patternFill patternType="solid">
        <fgColor rgb="FFF8CBAD"/>
        <bgColor indexed="64"/>
      </patternFill>
    </fill>
    <fill>
      <patternFill patternType="solid">
        <fgColor rgb="FFC6E0B4"/>
        <bgColor indexed="64"/>
      </patternFill>
    </fill>
    <fill>
      <patternFill patternType="solid">
        <fgColor rgb="FFE4DFEC"/>
        <bgColor indexed="64"/>
      </patternFill>
    </fill>
    <fill>
      <patternFill patternType="solid">
        <fgColor rgb="FFFFE699"/>
        <bgColor indexed="64"/>
      </patternFill>
    </fill>
    <fill>
      <patternFill patternType="solid">
        <fgColor rgb="FFB4C7E7"/>
        <bgColor indexed="64"/>
      </patternFill>
    </fill>
    <fill>
      <patternFill patternType="solid">
        <fgColor rgb="FFF2F2F2"/>
        <bgColor indexed="64"/>
      </patternFill>
    </fill>
    <fill>
      <patternFill patternType="solid">
        <fgColor rgb="FFA9D08E"/>
        <bgColor indexed="64"/>
      </patternFill>
    </fill>
    <fill>
      <patternFill patternType="solid">
        <fgColor rgb="FFE2EFDA"/>
        <bgColor indexed="64"/>
      </patternFill>
    </fill>
    <fill>
      <patternFill patternType="solid">
        <fgColor rgb="FFD5E8C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9">
    <xf numFmtId="0" fontId="0" fillId="0" borderId="0" xfId="0"/>
    <xf numFmtId="0" fontId="2" fillId="8" borderId="0" xfId="0" applyFont="1" applyFill="1" applyAlignment="1">
      <alignment horizontal="center" vertical="center" wrapText="1"/>
    </xf>
    <xf numFmtId="0" fontId="3" fillId="10" borderId="0" xfId="0" applyFont="1" applyFill="1" applyAlignment="1">
      <alignment horizontal="center" vertical="center"/>
    </xf>
    <xf numFmtId="0" fontId="4" fillId="11" borderId="0" xfId="0" applyFont="1" applyFill="1" applyAlignment="1">
      <alignment horizontal="center" textRotation="90"/>
    </xf>
    <xf numFmtId="0" fontId="4" fillId="12" borderId="0" xfId="0" applyFont="1" applyFill="1" applyAlignment="1">
      <alignment horizontal="center" textRotation="90"/>
    </xf>
    <xf numFmtId="0" fontId="4" fillId="13" borderId="0" xfId="0" applyFont="1" applyFill="1" applyAlignment="1">
      <alignment horizontal="center" textRotation="90"/>
    </xf>
    <xf numFmtId="0" fontId="4" fillId="14" borderId="0" xfId="0" applyFont="1" applyFill="1" applyAlignment="1">
      <alignment horizontal="center" textRotation="90"/>
    </xf>
    <xf numFmtId="0" fontId="4" fillId="15" borderId="0" xfId="0" applyFont="1" applyFill="1" applyAlignment="1">
      <alignment horizontal="center" textRotation="90"/>
    </xf>
    <xf numFmtId="0" fontId="4" fillId="16" borderId="0" xfId="0" applyFont="1" applyFill="1" applyAlignment="1">
      <alignment horizontal="center" textRotation="90"/>
    </xf>
    <xf numFmtId="0" fontId="4" fillId="17" borderId="0" xfId="0" applyFont="1" applyFill="1" applyAlignment="1">
      <alignment horizontal="center" textRotation="90"/>
    </xf>
    <xf numFmtId="0" fontId="4" fillId="18" borderId="0" xfId="0" applyFont="1" applyFill="1" applyAlignment="1">
      <alignment horizontal="center" textRotation="90"/>
    </xf>
    <xf numFmtId="0" fontId="0" fillId="8" borderId="0" xfId="0" applyFill="1"/>
    <xf numFmtId="0" fontId="6" fillId="9" borderId="0" xfId="0" applyFont="1" applyFill="1" applyAlignment="1">
      <alignment horizontal="center" vertical="center"/>
    </xf>
    <xf numFmtId="0" fontId="0" fillId="19" borderId="0" xfId="0" applyFill="1"/>
    <xf numFmtId="0" fontId="7" fillId="19" borderId="0" xfId="0" applyFont="1" applyFill="1" applyAlignment="1">
      <alignment vertical="center"/>
    </xf>
    <xf numFmtId="0" fontId="8" fillId="19" borderId="0" xfId="0" applyFont="1" applyFill="1" applyAlignment="1">
      <alignment vertical="center"/>
    </xf>
    <xf numFmtId="0" fontId="9" fillId="0" borderId="0" xfId="0" applyFont="1" applyAlignment="1">
      <alignment horizontal="center"/>
    </xf>
    <xf numFmtId="0" fontId="9" fillId="19" borderId="1" xfId="0" applyFont="1" applyFill="1" applyBorder="1" applyAlignment="1">
      <alignment horizontal="center"/>
    </xf>
    <xf numFmtId="164" fontId="9" fillId="19" borderId="1" xfId="0" applyNumberFormat="1" applyFont="1" applyFill="1" applyBorder="1" applyAlignment="1">
      <alignment horizontal="center"/>
    </xf>
    <xf numFmtId="164" fontId="9" fillId="0" borderId="0" xfId="0" applyNumberFormat="1" applyFont="1" applyAlignment="1">
      <alignment horizontal="center"/>
    </xf>
    <xf numFmtId="0" fontId="8" fillId="0" borderId="0" xfId="0" applyFont="1" applyAlignment="1">
      <alignment vertical="center" wrapText="1"/>
    </xf>
    <xf numFmtId="0" fontId="8" fillId="0" borderId="0" xfId="0" applyFont="1" applyAlignment="1">
      <alignment vertical="center"/>
    </xf>
    <xf numFmtId="0" fontId="10" fillId="2" borderId="0" xfId="0" applyFont="1" applyFill="1"/>
    <xf numFmtId="0" fontId="2" fillId="2" borderId="0" xfId="0" applyFont="1" applyFill="1"/>
    <xf numFmtId="0" fontId="7" fillId="12" borderId="0" xfId="0" applyFont="1" applyFill="1"/>
    <xf numFmtId="164" fontId="8" fillId="0" borderId="0" xfId="0" applyNumberFormat="1" applyFont="1"/>
    <xf numFmtId="1" fontId="7" fillId="20" borderId="0" xfId="0" applyNumberFormat="1" applyFont="1" applyFill="1"/>
    <xf numFmtId="0" fontId="8" fillId="0" borderId="0" xfId="0" applyFont="1"/>
    <xf numFmtId="1" fontId="8" fillId="0" borderId="0" xfId="0" applyNumberFormat="1" applyFont="1"/>
    <xf numFmtId="0" fontId="10" fillId="9" borderId="0" xfId="0" applyFont="1" applyFill="1" applyAlignment="1">
      <alignment horizontal="center" vertical="center" wrapText="1"/>
    </xf>
    <xf numFmtId="0" fontId="7" fillId="0" borderId="0" xfId="0" applyFont="1" applyAlignment="1">
      <alignment vertical="center"/>
    </xf>
    <xf numFmtId="164" fontId="8" fillId="0" borderId="0" xfId="0" applyNumberFormat="1" applyFont="1" applyAlignment="1">
      <alignment vertical="center"/>
    </xf>
    <xf numFmtId="164" fontId="8" fillId="21" borderId="0" xfId="0" applyNumberFormat="1" applyFont="1" applyFill="1" applyAlignment="1">
      <alignment vertical="center"/>
    </xf>
    <xf numFmtId="164" fontId="12" fillId="0" borderId="0" xfId="0" applyNumberFormat="1" applyFont="1" applyAlignment="1">
      <alignment vertical="center"/>
    </xf>
    <xf numFmtId="164" fontId="8" fillId="19" borderId="0" xfId="0" applyNumberFormat="1" applyFont="1" applyFill="1" applyAlignment="1">
      <alignment vertical="center"/>
    </xf>
    <xf numFmtId="164" fontId="8" fillId="22" borderId="0" xfId="0" applyNumberFormat="1" applyFont="1" applyFill="1" applyAlignment="1">
      <alignment vertical="center"/>
    </xf>
    <xf numFmtId="164" fontId="12" fillId="19" borderId="0" xfId="0" applyNumberFormat="1" applyFont="1" applyFill="1" applyAlignment="1">
      <alignment vertical="center"/>
    </xf>
    <xf numFmtId="0" fontId="10" fillId="9" borderId="0" xfId="0" applyFont="1" applyFill="1" applyAlignment="1">
      <alignment horizontal="center" vertical="center"/>
    </xf>
    <xf numFmtId="1" fontId="8" fillId="0" borderId="0" xfId="0" applyNumberFormat="1" applyFont="1" applyAlignment="1">
      <alignment vertical="center"/>
    </xf>
    <xf numFmtId="1" fontId="8" fillId="21" borderId="0" xfId="0" applyNumberFormat="1" applyFont="1" applyFill="1" applyAlignment="1">
      <alignment vertical="center"/>
    </xf>
    <xf numFmtId="9" fontId="8" fillId="0" borderId="0" xfId="0" applyNumberFormat="1" applyFont="1" applyAlignment="1">
      <alignment vertical="center"/>
    </xf>
    <xf numFmtId="0" fontId="13" fillId="0" borderId="0" xfId="0" applyFont="1"/>
    <xf numFmtId="0" fontId="1" fillId="2" borderId="0" xfId="0" applyFont="1" applyFill="1" applyAlignment="1">
      <alignment horizontal="center" vertical="center" wrapText="1"/>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2" fillId="9" borderId="0" xfId="0" applyFont="1" applyFill="1" applyAlignment="1">
      <alignment horizontal="center" vertical="center" wrapText="1"/>
    </xf>
    <xf numFmtId="0" fontId="4" fillId="11" borderId="0" xfId="0" applyFont="1" applyFill="1" applyAlignment="1">
      <alignment horizontal="center" textRotation="90"/>
    </xf>
    <xf numFmtId="0" fontId="4" fillId="12" borderId="0" xfId="0" applyFont="1" applyFill="1" applyAlignment="1">
      <alignment horizontal="center" textRotation="90"/>
    </xf>
    <xf numFmtId="0" fontId="4" fillId="13" borderId="0" xfId="0" applyFont="1" applyFill="1" applyAlignment="1">
      <alignment horizontal="center" textRotation="90"/>
    </xf>
    <xf numFmtId="0" fontId="4" fillId="14" borderId="0" xfId="0" applyFont="1" applyFill="1" applyAlignment="1">
      <alignment horizontal="center" textRotation="90"/>
    </xf>
    <xf numFmtId="0" fontId="4" fillId="15" borderId="0" xfId="0" applyFont="1" applyFill="1" applyAlignment="1">
      <alignment horizontal="center" textRotation="90"/>
    </xf>
    <xf numFmtId="0" fontId="4" fillId="16" borderId="0" xfId="0" applyFont="1" applyFill="1" applyAlignment="1">
      <alignment horizontal="center" textRotation="90"/>
    </xf>
    <xf numFmtId="0" fontId="4" fillId="17" borderId="0" xfId="0" applyFont="1" applyFill="1" applyAlignment="1">
      <alignment horizontal="center" textRotation="90"/>
    </xf>
    <xf numFmtId="0" fontId="4" fillId="18" borderId="0" xfId="0" applyFont="1" applyFill="1" applyAlignment="1">
      <alignment horizontal="center" textRotation="90"/>
    </xf>
    <xf numFmtId="0" fontId="5" fillId="12" borderId="0" xfId="0" applyFont="1" applyFill="1" applyAlignment="1">
      <alignment horizontal="left" vertical="center"/>
    </xf>
    <xf numFmtId="0" fontId="11" fillId="12" borderId="0" xfId="0" applyFont="1" applyFill="1"/>
  </cellXfs>
  <cellStyles count="1">
    <cellStyle name="Normal" xfId="0" builtinId="0"/>
  </cellStyles>
  <dxfs count="1">
    <dxf>
      <font>
        <b/>
        <color rgb="FFFF0000"/>
      </font>
      <numFmt numFmtId="164"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F1619"/>
  <sheetViews>
    <sheetView tabSelected="1" zoomScale="115" zoomScaleNormal="115" workbookViewId="0">
      <pane xSplit="7" ySplit="4" topLeftCell="H1521" activePane="bottomRight" state="frozen"/>
      <selection pane="topRight" activeCell="H1" sqref="H1"/>
      <selection pane="bottomLeft" activeCell="A5" sqref="A5"/>
      <selection pane="bottomRight" activeCell="B1611" sqref="B1611"/>
    </sheetView>
  </sheetViews>
  <sheetFormatPr defaultRowHeight="15" x14ac:dyDescent="0.25"/>
  <cols>
    <col min="1" max="1" width="7.42578125" customWidth="1"/>
    <col min="2" max="2" width="21.42578125" customWidth="1"/>
    <col min="3" max="3" width="48.85546875" customWidth="1"/>
    <col min="4" max="4" width="30.7109375" customWidth="1"/>
    <col min="5" max="5" width="7.42578125" customWidth="1"/>
    <col min="6" max="6" width="17.42578125" customWidth="1"/>
    <col min="7" max="7" width="16.42578125" customWidth="1"/>
    <col min="8" max="8" width="6.42578125" hidden="1" customWidth="1"/>
    <col min="9" max="46" width="13.7109375" hidden="1" customWidth="1"/>
    <col min="47" max="47" width="6.42578125" hidden="1" customWidth="1"/>
    <col min="48" max="85" width="13.7109375" hidden="1" customWidth="1"/>
    <col min="86" max="86" width="6.42578125" customWidth="1"/>
    <col min="87" max="87" width="4.7109375" customWidth="1"/>
    <col min="88" max="88" width="4.85546875" customWidth="1"/>
    <col min="89" max="89" width="4.7109375" customWidth="1"/>
    <col min="90" max="90" width="4.85546875" customWidth="1"/>
    <col min="91" max="91" width="4.7109375" customWidth="1"/>
    <col min="92" max="92" width="4.85546875" customWidth="1"/>
    <col min="93" max="93" width="4.7109375" customWidth="1"/>
    <col min="94" max="94" width="4.85546875" customWidth="1"/>
    <col min="95" max="95" width="4.7109375" customWidth="1"/>
    <col min="96" max="96" width="4.85546875" customWidth="1"/>
    <col min="97" max="97" width="4.7109375" customWidth="1"/>
    <col min="98" max="98" width="4.85546875" customWidth="1"/>
    <col min="99" max="99" width="4.7109375" customWidth="1"/>
    <col min="100" max="100" width="4.85546875" customWidth="1"/>
    <col min="101" max="101" width="4.7109375" customWidth="1"/>
    <col min="102" max="102" width="4.85546875" customWidth="1"/>
    <col min="103" max="103" width="4.7109375" customWidth="1"/>
    <col min="104" max="104" width="4.85546875" customWidth="1"/>
    <col min="105" max="105" width="4.7109375" customWidth="1"/>
    <col min="106" max="106" width="4.85546875" customWidth="1"/>
    <col min="107" max="107" width="4.7109375" customWidth="1"/>
    <col min="108" max="108" width="4.85546875" customWidth="1"/>
    <col min="109" max="109" width="4.7109375" customWidth="1"/>
    <col min="110" max="110" width="4.85546875" customWidth="1"/>
    <col min="111" max="111" width="4.7109375" customWidth="1"/>
    <col min="112" max="112" width="4.85546875" customWidth="1"/>
    <col min="113" max="113" width="4.7109375" customWidth="1"/>
    <col min="114" max="114" width="4.85546875" customWidth="1"/>
    <col min="115" max="115" width="4.7109375" customWidth="1"/>
    <col min="116" max="116" width="4.85546875" customWidth="1"/>
    <col min="117" max="117" width="4.7109375" customWidth="1"/>
    <col min="118" max="118" width="4.85546875" customWidth="1"/>
    <col min="119" max="119" width="4.7109375" customWidth="1"/>
    <col min="120" max="120" width="4.85546875" customWidth="1"/>
    <col min="121" max="121" width="4.7109375" customWidth="1"/>
    <col min="122" max="122" width="4.85546875" customWidth="1"/>
    <col min="123" max="123" width="4.7109375" customWidth="1"/>
    <col min="124" max="124" width="4.85546875" customWidth="1"/>
    <col min="125" max="125" width="4.7109375" customWidth="1"/>
    <col min="126" max="126" width="4.85546875" customWidth="1"/>
    <col min="127" max="127" width="4.7109375" customWidth="1"/>
    <col min="128" max="128" width="4.85546875" customWidth="1"/>
    <col min="129" max="129" width="4.7109375" customWidth="1"/>
    <col min="130" max="130" width="4.85546875" customWidth="1"/>
    <col min="131" max="131" width="4.7109375" customWidth="1"/>
    <col min="132" max="132" width="4.85546875" customWidth="1"/>
    <col min="133" max="133" width="4.7109375" customWidth="1"/>
    <col min="134" max="134" width="4.85546875" customWidth="1"/>
    <col min="135" max="135" width="4.7109375" customWidth="1"/>
    <col min="136" max="136" width="4.85546875" customWidth="1"/>
    <col min="137" max="137" width="4.7109375" customWidth="1"/>
    <col min="138" max="138" width="4.85546875" customWidth="1"/>
    <col min="139" max="139" width="4.7109375" customWidth="1"/>
    <col min="140" max="140" width="4.85546875" customWidth="1"/>
    <col min="141" max="141" width="4.7109375" customWidth="1"/>
    <col min="142" max="142" width="4.85546875" customWidth="1"/>
    <col min="143" max="143" width="4.7109375" customWidth="1"/>
    <col min="144" max="144" width="4.85546875" customWidth="1"/>
    <col min="145" max="145" width="4.7109375" customWidth="1"/>
    <col min="146" max="146" width="4.85546875" customWidth="1"/>
    <col min="147" max="147" width="4.7109375" customWidth="1"/>
    <col min="148" max="148" width="4.85546875" customWidth="1"/>
    <col min="149" max="149" width="4.7109375" customWidth="1"/>
    <col min="150" max="150" width="4.85546875" customWidth="1"/>
    <col min="151" max="151" width="4.7109375" customWidth="1"/>
    <col min="152" max="152" width="4.85546875" customWidth="1"/>
    <col min="153" max="153" width="4.7109375" customWidth="1"/>
    <col min="154" max="154" width="4.85546875" customWidth="1"/>
    <col min="155" max="155" width="4.7109375" customWidth="1"/>
    <col min="156" max="156" width="4.85546875" customWidth="1"/>
    <col min="157" max="157" width="4.7109375" customWidth="1"/>
    <col min="158" max="158" width="4.85546875" customWidth="1"/>
    <col min="159" max="159" width="4.7109375" customWidth="1"/>
    <col min="160" max="160" width="4.85546875" customWidth="1"/>
    <col min="161" max="161" width="4.7109375" customWidth="1"/>
    <col min="162" max="162" width="4.85546875" customWidth="1"/>
    <col min="163" max="163" width="6.42578125" customWidth="1"/>
    <col min="164" max="201" width="13.7109375" hidden="1" customWidth="1"/>
    <col min="202" max="202" width="6.42578125" hidden="1" customWidth="1"/>
    <col min="203" max="240" width="13.7109375" hidden="1" customWidth="1"/>
    <col min="241" max="241" width="6.42578125" hidden="1" customWidth="1"/>
    <col min="242" max="279" width="13.7109375" hidden="1" customWidth="1"/>
    <col min="280" max="280" width="6.42578125" hidden="1" customWidth="1"/>
    <col min="281" max="318" width="13.7109375" hidden="1" customWidth="1"/>
    <col min="319" max="319" width="6.42578125" hidden="1" customWidth="1"/>
    <col min="320" max="357" width="13.7109375" hidden="1" customWidth="1"/>
    <col min="358" max="358" width="6.42578125" hidden="1" customWidth="1"/>
    <col min="359" max="396" width="13.7109375" hidden="1" customWidth="1"/>
    <col min="397" max="397" width="6.42578125" hidden="1" customWidth="1"/>
    <col min="398" max="435" width="13.7109375" hidden="1" customWidth="1"/>
    <col min="436" max="436" width="6.42578125" hidden="1" customWidth="1"/>
    <col min="437" max="474" width="13.7109375" hidden="1" customWidth="1"/>
  </cols>
  <sheetData>
    <row r="2" spans="1:474" ht="15.75" x14ac:dyDescent="0.25">
      <c r="A2" s="42" t="s">
        <v>0</v>
      </c>
      <c r="B2" s="42"/>
      <c r="C2" s="42"/>
      <c r="D2" s="42"/>
      <c r="E2" s="42"/>
      <c r="F2" s="42"/>
      <c r="G2" s="42"/>
      <c r="H2" s="43" t="s">
        <v>1</v>
      </c>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4" t="s">
        <v>2</v>
      </c>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5" t="s">
        <v>3</v>
      </c>
      <c r="CI2" s="45"/>
      <c r="CJ2" s="45"/>
      <c r="CK2" s="45"/>
      <c r="CL2" s="45"/>
      <c r="CM2" s="45"/>
      <c r="CN2" s="45"/>
      <c r="CO2" s="45"/>
      <c r="CP2" s="45"/>
      <c r="CQ2" s="45"/>
      <c r="CR2" s="45"/>
      <c r="CS2" s="45"/>
      <c r="CT2" s="45"/>
      <c r="CU2" s="45"/>
      <c r="CV2" s="45"/>
      <c r="CW2" s="45"/>
      <c r="CX2" s="45"/>
      <c r="CY2" s="45"/>
      <c r="CZ2" s="45"/>
      <c r="DA2" s="45"/>
      <c r="DB2" s="45"/>
      <c r="DC2" s="45"/>
      <c r="DD2" s="45"/>
      <c r="DE2" s="45"/>
      <c r="DF2" s="45"/>
      <c r="DG2" s="45"/>
      <c r="DH2" s="45"/>
      <c r="DI2" s="45"/>
      <c r="DJ2" s="45"/>
      <c r="DK2" s="45"/>
      <c r="DL2" s="45"/>
      <c r="DM2" s="45"/>
      <c r="DN2" s="45"/>
      <c r="DO2" s="45"/>
      <c r="DP2" s="45"/>
      <c r="DQ2" s="45"/>
      <c r="DR2" s="45"/>
      <c r="DS2" s="45"/>
      <c r="DT2" s="45"/>
      <c r="DU2" s="45"/>
      <c r="DV2" s="45"/>
      <c r="DW2" s="45"/>
      <c r="DX2" s="45"/>
      <c r="DY2" s="45"/>
      <c r="DZ2" s="45"/>
      <c r="EA2" s="45"/>
      <c r="EB2" s="45"/>
      <c r="EC2" s="45"/>
      <c r="ED2" s="45"/>
      <c r="EE2" s="45"/>
      <c r="EF2" s="45"/>
      <c r="EG2" s="45"/>
      <c r="EH2" s="45"/>
      <c r="EI2" s="45"/>
      <c r="EJ2" s="45"/>
      <c r="EK2" s="45"/>
      <c r="EL2" s="45"/>
      <c r="EM2" s="45"/>
      <c r="EN2" s="45"/>
      <c r="EO2" s="45"/>
      <c r="EP2" s="45"/>
      <c r="EQ2" s="45"/>
      <c r="ER2" s="45"/>
      <c r="ES2" s="45"/>
      <c r="ET2" s="45"/>
      <c r="EU2" s="45"/>
      <c r="EV2" s="45"/>
      <c r="EW2" s="45"/>
      <c r="EX2" s="45"/>
      <c r="EY2" s="45"/>
      <c r="EZ2" s="45"/>
      <c r="FA2" s="45"/>
      <c r="FB2" s="45"/>
      <c r="FC2" s="45"/>
      <c r="FD2" s="45"/>
      <c r="FE2" s="45"/>
      <c r="FF2" s="45"/>
      <c r="FG2" s="45"/>
      <c r="FH2" s="45"/>
      <c r="FI2" s="45"/>
      <c r="FJ2" s="45"/>
      <c r="FK2" s="45"/>
      <c r="FL2" s="45"/>
      <c r="FM2" s="45"/>
      <c r="FN2" s="45"/>
      <c r="FO2" s="45"/>
      <c r="FP2" s="45"/>
      <c r="FQ2" s="45"/>
      <c r="FR2" s="45"/>
      <c r="FS2" s="45"/>
      <c r="FT2" s="45"/>
      <c r="FU2" s="45"/>
      <c r="FV2" s="45"/>
      <c r="FW2" s="45"/>
      <c r="FX2" s="45"/>
      <c r="FY2" s="45"/>
      <c r="FZ2" s="45"/>
      <c r="GA2" s="45"/>
      <c r="GB2" s="45"/>
      <c r="GC2" s="45"/>
      <c r="GD2" s="45"/>
      <c r="GE2" s="45"/>
      <c r="GF2" s="45"/>
      <c r="GG2" s="45"/>
      <c r="GH2" s="45"/>
      <c r="GI2" s="45"/>
      <c r="GJ2" s="45"/>
      <c r="GK2" s="45"/>
      <c r="GL2" s="45"/>
      <c r="GM2" s="45"/>
      <c r="GN2" s="45"/>
      <c r="GO2" s="45"/>
      <c r="GP2" s="45"/>
      <c r="GQ2" s="45"/>
      <c r="GR2" s="45"/>
      <c r="GS2" s="45"/>
      <c r="GT2" s="45"/>
      <c r="GU2" s="45"/>
      <c r="GV2" s="45"/>
      <c r="GW2" s="45"/>
      <c r="GX2" s="45"/>
      <c r="GY2" s="45"/>
      <c r="GZ2" s="45"/>
      <c r="HA2" s="45"/>
      <c r="HB2" s="45"/>
      <c r="HC2" s="45"/>
      <c r="HD2" s="45"/>
      <c r="HE2" s="45"/>
      <c r="HF2" s="45"/>
      <c r="HG2" s="45"/>
      <c r="HH2" s="45"/>
      <c r="HI2" s="45"/>
      <c r="HJ2" s="45"/>
      <c r="HK2" s="45"/>
      <c r="HL2" s="45"/>
      <c r="HM2" s="45"/>
      <c r="HN2" s="45"/>
      <c r="HO2" s="45"/>
      <c r="HP2" s="45"/>
      <c r="HQ2" s="45"/>
      <c r="HR2" s="45"/>
      <c r="HS2" s="45"/>
      <c r="HT2" s="45"/>
      <c r="HU2" s="45"/>
      <c r="HV2" s="45"/>
      <c r="HW2" s="45"/>
      <c r="HX2" s="45"/>
      <c r="HY2" s="45"/>
      <c r="HZ2" s="45"/>
      <c r="IA2" s="45"/>
      <c r="IB2" s="45"/>
      <c r="IC2" s="45"/>
      <c r="ID2" s="45"/>
      <c r="IE2" s="45"/>
      <c r="IF2" s="45"/>
      <c r="IG2" s="46" t="s">
        <v>4</v>
      </c>
      <c r="IH2" s="46"/>
      <c r="II2" s="46"/>
      <c r="IJ2" s="46"/>
      <c r="IK2" s="46"/>
      <c r="IL2" s="46"/>
      <c r="IM2" s="46"/>
      <c r="IN2" s="46"/>
      <c r="IO2" s="46"/>
      <c r="IP2" s="46"/>
      <c r="IQ2" s="46"/>
      <c r="IR2" s="46"/>
      <c r="IS2" s="46"/>
      <c r="IT2" s="46"/>
      <c r="IU2" s="46"/>
      <c r="IV2" s="46"/>
      <c r="IW2" s="46"/>
      <c r="IX2" s="46"/>
      <c r="IY2" s="46"/>
      <c r="IZ2" s="46"/>
      <c r="JA2" s="46"/>
      <c r="JB2" s="46"/>
      <c r="JC2" s="46"/>
      <c r="JD2" s="46"/>
      <c r="JE2" s="46"/>
      <c r="JF2" s="46"/>
      <c r="JG2" s="46"/>
      <c r="JH2" s="46"/>
      <c r="JI2" s="46"/>
      <c r="JJ2" s="46"/>
      <c r="JK2" s="46"/>
      <c r="JL2" s="46"/>
      <c r="JM2" s="46"/>
      <c r="JN2" s="46"/>
      <c r="JO2" s="46"/>
      <c r="JP2" s="46"/>
      <c r="JQ2" s="46"/>
      <c r="JR2" s="46"/>
      <c r="JS2" s="46"/>
      <c r="JT2" s="46"/>
      <c r="JU2" s="46"/>
      <c r="JV2" s="46"/>
      <c r="JW2" s="46"/>
      <c r="JX2" s="46"/>
      <c r="JY2" s="46"/>
      <c r="JZ2" s="46"/>
      <c r="KA2" s="46"/>
      <c r="KB2" s="46"/>
      <c r="KC2" s="46"/>
      <c r="KD2" s="46"/>
      <c r="KE2" s="46"/>
      <c r="KF2" s="46"/>
      <c r="KG2" s="46"/>
      <c r="KH2" s="46"/>
      <c r="KI2" s="46"/>
      <c r="KJ2" s="46"/>
      <c r="KK2" s="46"/>
      <c r="KL2" s="46"/>
      <c r="KM2" s="46"/>
      <c r="KN2" s="46"/>
      <c r="KO2" s="46"/>
      <c r="KP2" s="46"/>
      <c r="KQ2" s="46"/>
      <c r="KR2" s="46"/>
      <c r="KS2" s="46"/>
      <c r="KT2" s="46"/>
      <c r="KU2" s="46"/>
      <c r="KV2" s="46"/>
      <c r="KW2" s="46"/>
      <c r="KX2" s="46"/>
      <c r="KY2" s="46"/>
      <c r="KZ2" s="46"/>
      <c r="LA2" s="46"/>
      <c r="LB2" s="46"/>
      <c r="LC2" s="46"/>
      <c r="LD2" s="46"/>
      <c r="LE2" s="46"/>
      <c r="LF2" s="46"/>
      <c r="LG2" s="46"/>
      <c r="LH2" s="46"/>
      <c r="LI2" s="46"/>
      <c r="LJ2" s="46"/>
      <c r="LK2" s="46"/>
      <c r="LL2" s="46"/>
      <c r="LM2" s="46"/>
      <c r="LN2" s="46"/>
      <c r="LO2" s="46"/>
      <c r="LP2" s="46"/>
      <c r="LQ2" s="46"/>
      <c r="LR2" s="46"/>
      <c r="LS2" s="46"/>
      <c r="LT2" s="46"/>
      <c r="LU2" s="46"/>
      <c r="LV2" s="46"/>
      <c r="LW2" s="46"/>
      <c r="LX2" s="46"/>
      <c r="LY2" s="46"/>
      <c r="LZ2" s="46"/>
      <c r="MA2" s="46"/>
      <c r="MB2" s="46"/>
      <c r="MC2" s="46"/>
      <c r="MD2" s="46"/>
      <c r="ME2" s="46"/>
      <c r="MF2" s="46"/>
      <c r="MG2" s="46"/>
      <c r="MH2" s="46"/>
      <c r="MI2" s="46"/>
      <c r="MJ2" s="46"/>
      <c r="MK2" s="46"/>
      <c r="ML2" s="46"/>
      <c r="MM2" s="46"/>
      <c r="MN2" s="46"/>
      <c r="MO2" s="46"/>
      <c r="MP2" s="46"/>
      <c r="MQ2" s="46"/>
      <c r="MR2" s="46"/>
      <c r="MS2" s="46"/>
      <c r="MT2" s="46"/>
      <c r="MU2" s="46"/>
      <c r="MV2" s="46"/>
      <c r="MW2" s="46"/>
      <c r="MX2" s="46"/>
      <c r="MY2" s="46"/>
      <c r="MZ2" s="46"/>
      <c r="NA2" s="46"/>
      <c r="NB2" s="46"/>
      <c r="NC2" s="46"/>
      <c r="ND2" s="46"/>
      <c r="NE2" s="46"/>
      <c r="NF2" s="46"/>
      <c r="NG2" s="46"/>
      <c r="NH2" s="46"/>
      <c r="NI2" s="46"/>
      <c r="NJ2" s="46"/>
      <c r="NK2" s="46"/>
      <c r="NL2" s="46"/>
      <c r="NM2" s="46"/>
      <c r="NN2" s="46"/>
      <c r="NO2" s="46"/>
      <c r="NP2" s="46"/>
      <c r="NQ2" s="46"/>
      <c r="NR2" s="46"/>
      <c r="NS2" s="46"/>
      <c r="NT2" s="46"/>
      <c r="NU2" s="46"/>
      <c r="NV2" s="46"/>
      <c r="NW2" s="46"/>
      <c r="NX2" s="46"/>
      <c r="NY2" s="46"/>
      <c r="NZ2" s="46"/>
      <c r="OA2" s="46"/>
      <c r="OB2" s="46"/>
      <c r="OC2" s="46"/>
      <c r="OD2" s="46"/>
      <c r="OE2" s="46"/>
      <c r="OF2" s="46"/>
      <c r="OG2" s="47" t="s">
        <v>5</v>
      </c>
      <c r="OH2" s="47"/>
      <c r="OI2" s="47"/>
      <c r="OJ2" s="47"/>
      <c r="OK2" s="47"/>
      <c r="OL2" s="47"/>
      <c r="OM2" s="47"/>
      <c r="ON2" s="47"/>
      <c r="OO2" s="47"/>
      <c r="OP2" s="47"/>
      <c r="OQ2" s="47"/>
      <c r="OR2" s="47"/>
      <c r="OS2" s="47"/>
      <c r="OT2" s="47"/>
      <c r="OU2" s="47"/>
      <c r="OV2" s="47"/>
      <c r="OW2" s="47"/>
      <c r="OX2" s="47"/>
      <c r="OY2" s="47"/>
      <c r="OZ2" s="47"/>
      <c r="PA2" s="47"/>
      <c r="PB2" s="47"/>
      <c r="PC2" s="47"/>
      <c r="PD2" s="47"/>
      <c r="PE2" s="47"/>
      <c r="PF2" s="47"/>
      <c r="PG2" s="47"/>
      <c r="PH2" s="47"/>
      <c r="PI2" s="47"/>
      <c r="PJ2" s="47"/>
      <c r="PK2" s="47"/>
      <c r="PL2" s="47"/>
      <c r="PM2" s="47"/>
      <c r="PN2" s="47"/>
      <c r="PO2" s="47"/>
      <c r="PP2" s="47"/>
      <c r="PQ2" s="47"/>
      <c r="PR2" s="47"/>
      <c r="PS2" s="47"/>
      <c r="PT2" s="47"/>
      <c r="PU2" s="47"/>
      <c r="PV2" s="47"/>
      <c r="PW2" s="47"/>
      <c r="PX2" s="47"/>
      <c r="PY2" s="47"/>
      <c r="PZ2" s="47"/>
      <c r="QA2" s="47"/>
      <c r="QB2" s="47"/>
      <c r="QC2" s="47"/>
      <c r="QD2" s="47"/>
      <c r="QE2" s="47"/>
      <c r="QF2" s="47"/>
      <c r="QG2" s="47"/>
      <c r="QH2" s="47"/>
      <c r="QI2" s="47"/>
      <c r="QJ2" s="47"/>
      <c r="QK2" s="47"/>
      <c r="QL2" s="47"/>
      <c r="QM2" s="47"/>
      <c r="QN2" s="47"/>
      <c r="QO2" s="47"/>
      <c r="QP2" s="47"/>
      <c r="QQ2" s="47"/>
      <c r="QR2" s="47"/>
      <c r="QS2" s="47"/>
      <c r="QT2" s="47"/>
      <c r="QU2" s="47"/>
      <c r="QV2" s="47"/>
      <c r="QW2" s="47"/>
      <c r="QX2" s="47"/>
      <c r="QY2" s="47"/>
      <c r="QZ2" s="47"/>
      <c r="RA2" s="47"/>
      <c r="RB2" s="47"/>
      <c r="RC2" s="47"/>
      <c r="RD2" s="47"/>
      <c r="RE2" s="47"/>
      <c r="RF2" s="47"/>
    </row>
    <row r="3" spans="1:474" ht="25.5" x14ac:dyDescent="0.25">
      <c r="A3" s="42"/>
      <c r="B3" s="42"/>
      <c r="C3" s="42"/>
      <c r="D3" s="42"/>
      <c r="E3" s="42"/>
      <c r="F3" s="42"/>
      <c r="G3" s="42"/>
      <c r="H3" s="1" t="s">
        <v>6</v>
      </c>
      <c r="I3" s="48" t="s">
        <v>7</v>
      </c>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1" t="s">
        <v>8</v>
      </c>
      <c r="AV3" s="48" t="s">
        <v>9</v>
      </c>
      <c r="AW3" s="48"/>
      <c r="AX3" s="48"/>
      <c r="AY3" s="48"/>
      <c r="AZ3" s="48"/>
      <c r="BA3" s="48"/>
      <c r="BB3" s="48"/>
      <c r="BC3" s="48"/>
      <c r="BD3" s="48"/>
      <c r="BE3" s="48"/>
      <c r="BF3" s="48"/>
      <c r="BG3" s="48"/>
      <c r="BH3" s="48"/>
      <c r="BI3" s="48"/>
      <c r="BJ3" s="48"/>
      <c r="BK3" s="48"/>
      <c r="BL3" s="48"/>
      <c r="BM3" s="48"/>
      <c r="BN3" s="48"/>
      <c r="BO3" s="48"/>
      <c r="BP3" s="48"/>
      <c r="BQ3" s="48"/>
      <c r="BR3" s="48"/>
      <c r="BS3" s="48"/>
      <c r="BT3" s="48"/>
      <c r="BU3" s="48"/>
      <c r="BV3" s="48"/>
      <c r="BW3" s="48"/>
      <c r="BX3" s="48"/>
      <c r="BY3" s="48"/>
      <c r="BZ3" s="48"/>
      <c r="CA3" s="48"/>
      <c r="CB3" s="48"/>
      <c r="CC3" s="48"/>
      <c r="CD3" s="48"/>
      <c r="CE3" s="48"/>
      <c r="CF3" s="48"/>
      <c r="CG3" s="48"/>
      <c r="CH3" s="1" t="s">
        <v>10</v>
      </c>
      <c r="CI3" s="48" t="s">
        <v>1480</v>
      </c>
      <c r="CJ3" s="48"/>
      <c r="CK3" s="48"/>
      <c r="CL3" s="48"/>
      <c r="CM3" s="48"/>
      <c r="CN3" s="48"/>
      <c r="CO3" s="48"/>
      <c r="CP3" s="48"/>
      <c r="CQ3" s="48"/>
      <c r="CR3" s="48"/>
      <c r="CS3" s="48"/>
      <c r="CT3" s="48"/>
      <c r="CU3" s="48"/>
      <c r="CV3" s="48"/>
      <c r="CW3" s="48"/>
      <c r="CX3" s="48"/>
      <c r="CY3" s="48"/>
      <c r="CZ3" s="48"/>
      <c r="DA3" s="48"/>
      <c r="DB3" s="48"/>
      <c r="DC3" s="48"/>
      <c r="DD3" s="48"/>
      <c r="DE3" s="48"/>
      <c r="DF3" s="48"/>
      <c r="DG3" s="48"/>
      <c r="DH3" s="48"/>
      <c r="DI3" s="48"/>
      <c r="DJ3" s="48"/>
      <c r="DK3" s="48"/>
      <c r="DL3" s="48"/>
      <c r="DM3" s="48"/>
      <c r="DN3" s="48"/>
      <c r="DO3" s="48"/>
      <c r="DP3" s="48"/>
      <c r="DQ3" s="48"/>
      <c r="DR3" s="48"/>
      <c r="DS3" s="48"/>
      <c r="DT3" s="48"/>
      <c r="DU3" s="48"/>
      <c r="DV3" s="48"/>
      <c r="DW3" s="48"/>
      <c r="DX3" s="48"/>
      <c r="DY3" s="48"/>
      <c r="DZ3" s="48"/>
      <c r="EA3" s="48"/>
      <c r="EB3" s="48"/>
      <c r="EC3" s="48"/>
      <c r="ED3" s="48"/>
      <c r="EE3" s="48"/>
      <c r="EF3" s="48"/>
      <c r="EG3" s="48"/>
      <c r="EH3" s="48"/>
      <c r="EI3" s="48"/>
      <c r="EJ3" s="48"/>
      <c r="EK3" s="48"/>
      <c r="EL3" s="48"/>
      <c r="EM3" s="48"/>
      <c r="EN3" s="48"/>
      <c r="EO3" s="48"/>
      <c r="EP3" s="48"/>
      <c r="EQ3" s="48"/>
      <c r="ER3" s="48"/>
      <c r="ES3" s="48"/>
      <c r="ET3" s="48"/>
      <c r="EU3" s="48"/>
      <c r="EV3" s="48"/>
      <c r="EW3" s="48"/>
      <c r="EX3" s="48"/>
      <c r="EY3" s="48"/>
      <c r="EZ3" s="48"/>
      <c r="FA3" s="48"/>
      <c r="FB3" s="48"/>
      <c r="FC3" s="48"/>
      <c r="FD3" s="48"/>
      <c r="FE3" s="48"/>
      <c r="FF3" s="48"/>
      <c r="FG3" s="1" t="s">
        <v>11</v>
      </c>
      <c r="FH3" s="48" t="s">
        <v>12</v>
      </c>
      <c r="FI3" s="48"/>
      <c r="FJ3" s="48"/>
      <c r="FK3" s="48"/>
      <c r="FL3" s="48"/>
      <c r="FM3" s="48"/>
      <c r="FN3" s="48"/>
      <c r="FO3" s="48"/>
      <c r="FP3" s="48"/>
      <c r="FQ3" s="48"/>
      <c r="FR3" s="48"/>
      <c r="FS3" s="48"/>
      <c r="FT3" s="48"/>
      <c r="FU3" s="48"/>
      <c r="FV3" s="48"/>
      <c r="FW3" s="48"/>
      <c r="FX3" s="48"/>
      <c r="FY3" s="48"/>
      <c r="FZ3" s="48"/>
      <c r="GA3" s="48"/>
      <c r="GB3" s="48"/>
      <c r="GC3" s="48"/>
      <c r="GD3" s="48"/>
      <c r="GE3" s="48"/>
      <c r="GF3" s="48"/>
      <c r="GG3" s="48"/>
      <c r="GH3" s="48"/>
      <c r="GI3" s="48"/>
      <c r="GJ3" s="48"/>
      <c r="GK3" s="48"/>
      <c r="GL3" s="48"/>
      <c r="GM3" s="48"/>
      <c r="GN3" s="48"/>
      <c r="GO3" s="48"/>
      <c r="GP3" s="48"/>
      <c r="GQ3" s="48"/>
      <c r="GR3" s="48"/>
      <c r="GS3" s="48"/>
      <c r="GT3" s="1" t="s">
        <v>13</v>
      </c>
      <c r="GU3" s="48" t="s">
        <v>14</v>
      </c>
      <c r="GV3" s="48"/>
      <c r="GW3" s="48"/>
      <c r="GX3" s="48"/>
      <c r="GY3" s="48"/>
      <c r="GZ3" s="48"/>
      <c r="HA3" s="48"/>
      <c r="HB3" s="48"/>
      <c r="HC3" s="48"/>
      <c r="HD3" s="48"/>
      <c r="HE3" s="48"/>
      <c r="HF3" s="48"/>
      <c r="HG3" s="48"/>
      <c r="HH3" s="48"/>
      <c r="HI3" s="48"/>
      <c r="HJ3" s="48"/>
      <c r="HK3" s="48"/>
      <c r="HL3" s="48"/>
      <c r="HM3" s="48"/>
      <c r="HN3" s="48"/>
      <c r="HO3" s="48"/>
      <c r="HP3" s="48"/>
      <c r="HQ3" s="48"/>
      <c r="HR3" s="48"/>
      <c r="HS3" s="48"/>
      <c r="HT3" s="48"/>
      <c r="HU3" s="48"/>
      <c r="HV3" s="48"/>
      <c r="HW3" s="48"/>
      <c r="HX3" s="48"/>
      <c r="HY3" s="48"/>
      <c r="HZ3" s="48"/>
      <c r="IA3" s="48"/>
      <c r="IB3" s="48"/>
      <c r="IC3" s="48"/>
      <c r="ID3" s="48"/>
      <c r="IE3" s="48"/>
      <c r="IF3" s="48"/>
      <c r="IG3" s="1" t="s">
        <v>15</v>
      </c>
      <c r="IH3" s="48" t="s">
        <v>16</v>
      </c>
      <c r="II3" s="48"/>
      <c r="IJ3" s="48"/>
      <c r="IK3" s="48"/>
      <c r="IL3" s="48"/>
      <c r="IM3" s="48"/>
      <c r="IN3" s="48"/>
      <c r="IO3" s="48"/>
      <c r="IP3" s="48"/>
      <c r="IQ3" s="48"/>
      <c r="IR3" s="48"/>
      <c r="IS3" s="48"/>
      <c r="IT3" s="48"/>
      <c r="IU3" s="48"/>
      <c r="IV3" s="48"/>
      <c r="IW3" s="48"/>
      <c r="IX3" s="48"/>
      <c r="IY3" s="48"/>
      <c r="IZ3" s="48"/>
      <c r="JA3" s="48"/>
      <c r="JB3" s="48"/>
      <c r="JC3" s="48"/>
      <c r="JD3" s="48"/>
      <c r="JE3" s="48"/>
      <c r="JF3" s="48"/>
      <c r="JG3" s="48"/>
      <c r="JH3" s="48"/>
      <c r="JI3" s="48"/>
      <c r="JJ3" s="48"/>
      <c r="JK3" s="48"/>
      <c r="JL3" s="48"/>
      <c r="JM3" s="48"/>
      <c r="JN3" s="48"/>
      <c r="JO3" s="48"/>
      <c r="JP3" s="48"/>
      <c r="JQ3" s="48"/>
      <c r="JR3" s="48"/>
      <c r="JS3" s="48"/>
      <c r="JT3" s="1" t="s">
        <v>17</v>
      </c>
      <c r="JU3" s="48" t="s">
        <v>18</v>
      </c>
      <c r="JV3" s="48"/>
      <c r="JW3" s="48"/>
      <c r="JX3" s="48"/>
      <c r="JY3" s="48"/>
      <c r="JZ3" s="48"/>
      <c r="KA3" s="48"/>
      <c r="KB3" s="48"/>
      <c r="KC3" s="48"/>
      <c r="KD3" s="48"/>
      <c r="KE3" s="48"/>
      <c r="KF3" s="48"/>
      <c r="KG3" s="48"/>
      <c r="KH3" s="48"/>
      <c r="KI3" s="48"/>
      <c r="KJ3" s="48"/>
      <c r="KK3" s="48"/>
      <c r="KL3" s="48"/>
      <c r="KM3" s="48"/>
      <c r="KN3" s="48"/>
      <c r="KO3" s="48"/>
      <c r="KP3" s="48"/>
      <c r="KQ3" s="48"/>
      <c r="KR3" s="48"/>
      <c r="KS3" s="48"/>
      <c r="KT3" s="48"/>
      <c r="KU3" s="48"/>
      <c r="KV3" s="48"/>
      <c r="KW3" s="48"/>
      <c r="KX3" s="48"/>
      <c r="KY3" s="48"/>
      <c r="KZ3" s="48"/>
      <c r="LA3" s="48"/>
      <c r="LB3" s="48"/>
      <c r="LC3" s="48"/>
      <c r="LD3" s="48"/>
      <c r="LE3" s="48"/>
      <c r="LF3" s="48"/>
      <c r="LG3" s="1" t="s">
        <v>19</v>
      </c>
      <c r="LH3" s="48" t="s">
        <v>20</v>
      </c>
      <c r="LI3" s="48"/>
      <c r="LJ3" s="48"/>
      <c r="LK3" s="48"/>
      <c r="LL3" s="48"/>
      <c r="LM3" s="48"/>
      <c r="LN3" s="48"/>
      <c r="LO3" s="48"/>
      <c r="LP3" s="48"/>
      <c r="LQ3" s="48"/>
      <c r="LR3" s="48"/>
      <c r="LS3" s="48"/>
      <c r="LT3" s="48"/>
      <c r="LU3" s="48"/>
      <c r="LV3" s="48"/>
      <c r="LW3" s="48"/>
      <c r="LX3" s="48"/>
      <c r="LY3" s="48"/>
      <c r="LZ3" s="48"/>
      <c r="MA3" s="48"/>
      <c r="MB3" s="48"/>
      <c r="MC3" s="48"/>
      <c r="MD3" s="48"/>
      <c r="ME3" s="48"/>
      <c r="MF3" s="48"/>
      <c r="MG3" s="48"/>
      <c r="MH3" s="48"/>
      <c r="MI3" s="48"/>
      <c r="MJ3" s="48"/>
      <c r="MK3" s="48"/>
      <c r="ML3" s="48"/>
      <c r="MM3" s="48"/>
      <c r="MN3" s="48"/>
      <c r="MO3" s="48"/>
      <c r="MP3" s="48"/>
      <c r="MQ3" s="48"/>
      <c r="MR3" s="48"/>
      <c r="MS3" s="48"/>
      <c r="MT3" s="1" t="s">
        <v>21</v>
      </c>
      <c r="MU3" s="48" t="s">
        <v>22</v>
      </c>
      <c r="MV3" s="48"/>
      <c r="MW3" s="48"/>
      <c r="MX3" s="48"/>
      <c r="MY3" s="48"/>
      <c r="MZ3" s="48"/>
      <c r="NA3" s="48"/>
      <c r="NB3" s="48"/>
      <c r="NC3" s="48"/>
      <c r="ND3" s="48"/>
      <c r="NE3" s="48"/>
      <c r="NF3" s="48"/>
      <c r="NG3" s="48"/>
      <c r="NH3" s="48"/>
      <c r="NI3" s="48"/>
      <c r="NJ3" s="48"/>
      <c r="NK3" s="48"/>
      <c r="NL3" s="48"/>
      <c r="NM3" s="48"/>
      <c r="NN3" s="48"/>
      <c r="NO3" s="48"/>
      <c r="NP3" s="48"/>
      <c r="NQ3" s="48"/>
      <c r="NR3" s="48"/>
      <c r="NS3" s="48"/>
      <c r="NT3" s="48"/>
      <c r="NU3" s="48"/>
      <c r="NV3" s="48"/>
      <c r="NW3" s="48"/>
      <c r="NX3" s="48"/>
      <c r="NY3" s="48"/>
      <c r="NZ3" s="48"/>
      <c r="OA3" s="48"/>
      <c r="OB3" s="48"/>
      <c r="OC3" s="48"/>
      <c r="OD3" s="48"/>
      <c r="OE3" s="48"/>
      <c r="OF3" s="48"/>
      <c r="OG3" s="1" t="s">
        <v>23</v>
      </c>
      <c r="OH3" s="48" t="s">
        <v>24</v>
      </c>
      <c r="OI3" s="48"/>
      <c r="OJ3" s="48"/>
      <c r="OK3" s="48"/>
      <c r="OL3" s="48"/>
      <c r="OM3" s="48"/>
      <c r="ON3" s="48"/>
      <c r="OO3" s="48"/>
      <c r="OP3" s="48"/>
      <c r="OQ3" s="48"/>
      <c r="OR3" s="48"/>
      <c r="OS3" s="48"/>
      <c r="OT3" s="48"/>
      <c r="OU3" s="48"/>
      <c r="OV3" s="48"/>
      <c r="OW3" s="48"/>
      <c r="OX3" s="48"/>
      <c r="OY3" s="48"/>
      <c r="OZ3" s="48"/>
      <c r="PA3" s="48"/>
      <c r="PB3" s="48"/>
      <c r="PC3" s="48"/>
      <c r="PD3" s="48"/>
      <c r="PE3" s="48"/>
      <c r="PF3" s="48"/>
      <c r="PG3" s="48"/>
      <c r="PH3" s="48"/>
      <c r="PI3" s="48"/>
      <c r="PJ3" s="48"/>
      <c r="PK3" s="48"/>
      <c r="PL3" s="48"/>
      <c r="PM3" s="48"/>
      <c r="PN3" s="48"/>
      <c r="PO3" s="48"/>
      <c r="PP3" s="48"/>
      <c r="PQ3" s="48"/>
      <c r="PR3" s="48"/>
      <c r="PS3" s="48"/>
      <c r="PT3" s="1" t="s">
        <v>25</v>
      </c>
      <c r="PU3" s="48" t="s">
        <v>26</v>
      </c>
      <c r="PV3" s="48"/>
      <c r="PW3" s="48"/>
      <c r="PX3" s="48"/>
      <c r="PY3" s="48"/>
      <c r="PZ3" s="48"/>
      <c r="QA3" s="48"/>
      <c r="QB3" s="48"/>
      <c r="QC3" s="48"/>
      <c r="QD3" s="48"/>
      <c r="QE3" s="48"/>
      <c r="QF3" s="48"/>
      <c r="QG3" s="48"/>
      <c r="QH3" s="48"/>
      <c r="QI3" s="48"/>
      <c r="QJ3" s="48"/>
      <c r="QK3" s="48"/>
      <c r="QL3" s="48"/>
      <c r="QM3" s="48"/>
      <c r="QN3" s="48"/>
      <c r="QO3" s="48"/>
      <c r="QP3" s="48"/>
      <c r="QQ3" s="48"/>
      <c r="QR3" s="48"/>
      <c r="QS3" s="48"/>
      <c r="QT3" s="48"/>
      <c r="QU3" s="48"/>
      <c r="QV3" s="48"/>
      <c r="QW3" s="48"/>
      <c r="QX3" s="48"/>
      <c r="QY3" s="48"/>
      <c r="QZ3" s="48"/>
      <c r="RA3" s="48"/>
      <c r="RB3" s="48"/>
      <c r="RC3" s="48"/>
      <c r="RD3" s="48"/>
      <c r="RE3" s="48"/>
      <c r="RF3" s="48"/>
    </row>
    <row r="4" spans="1:474" ht="84" x14ac:dyDescent="0.25">
      <c r="A4" s="2" t="s">
        <v>27</v>
      </c>
      <c r="B4" s="2" t="s">
        <v>28</v>
      </c>
      <c r="C4" s="2" t="s">
        <v>29</v>
      </c>
      <c r="D4" s="2" t="s">
        <v>30</v>
      </c>
      <c r="E4" s="2" t="s">
        <v>31</v>
      </c>
      <c r="F4" s="2" t="s">
        <v>32</v>
      </c>
      <c r="G4" s="2" t="s">
        <v>33</v>
      </c>
      <c r="H4" s="1"/>
      <c r="I4" s="3" t="s">
        <v>34</v>
      </c>
      <c r="J4" s="3" t="s">
        <v>35</v>
      </c>
      <c r="K4" s="3" t="s">
        <v>36</v>
      </c>
      <c r="L4" s="3" t="s">
        <v>37</v>
      </c>
      <c r="M4" s="3" t="s">
        <v>38</v>
      </c>
      <c r="N4" s="4" t="s">
        <v>39</v>
      </c>
      <c r="O4" s="4" t="s">
        <v>40</v>
      </c>
      <c r="P4" s="4" t="s">
        <v>41</v>
      </c>
      <c r="Q4" s="4" t="s">
        <v>42</v>
      </c>
      <c r="R4" s="4" t="s">
        <v>43</v>
      </c>
      <c r="S4" s="5" t="s">
        <v>44</v>
      </c>
      <c r="T4" s="5" t="s">
        <v>45</v>
      </c>
      <c r="U4" s="5" t="s">
        <v>46</v>
      </c>
      <c r="V4" s="5" t="s">
        <v>47</v>
      </c>
      <c r="W4" s="5" t="s">
        <v>48</v>
      </c>
      <c r="X4" s="5" t="s">
        <v>49</v>
      </c>
      <c r="Y4" s="5" t="s">
        <v>50</v>
      </c>
      <c r="Z4" s="5" t="s">
        <v>51</v>
      </c>
      <c r="AA4" s="6" t="s">
        <v>52</v>
      </c>
      <c r="AB4" s="6" t="s">
        <v>53</v>
      </c>
      <c r="AC4" s="6" t="s">
        <v>54</v>
      </c>
      <c r="AD4" s="6" t="s">
        <v>55</v>
      </c>
      <c r="AE4" s="6" t="s">
        <v>56</v>
      </c>
      <c r="AF4" s="6" t="s">
        <v>57</v>
      </c>
      <c r="AG4" s="6" t="s">
        <v>58</v>
      </c>
      <c r="AH4" s="6" t="s">
        <v>59</v>
      </c>
      <c r="AI4" s="6" t="s">
        <v>60</v>
      </c>
      <c r="AJ4" s="6" t="s">
        <v>61</v>
      </c>
      <c r="AK4" s="6" t="s">
        <v>62</v>
      </c>
      <c r="AL4" s="7" t="s">
        <v>63</v>
      </c>
      <c r="AM4" s="7" t="s">
        <v>64</v>
      </c>
      <c r="AN4" s="7" t="s">
        <v>65</v>
      </c>
      <c r="AO4" s="7" t="s">
        <v>66</v>
      </c>
      <c r="AP4" s="7" t="s">
        <v>67</v>
      </c>
      <c r="AQ4" s="7" t="s">
        <v>68</v>
      </c>
      <c r="AR4" s="8" t="s">
        <v>69</v>
      </c>
      <c r="AS4" s="9" t="s">
        <v>70</v>
      </c>
      <c r="AT4" s="10" t="s">
        <v>71</v>
      </c>
      <c r="AU4" s="1"/>
      <c r="AV4" s="3" t="s">
        <v>34</v>
      </c>
      <c r="AW4" s="3" t="s">
        <v>35</v>
      </c>
      <c r="AX4" s="3" t="s">
        <v>36</v>
      </c>
      <c r="AY4" s="3" t="s">
        <v>37</v>
      </c>
      <c r="AZ4" s="3" t="s">
        <v>38</v>
      </c>
      <c r="BA4" s="4" t="s">
        <v>39</v>
      </c>
      <c r="BB4" s="4" t="s">
        <v>40</v>
      </c>
      <c r="BC4" s="4" t="s">
        <v>41</v>
      </c>
      <c r="BD4" s="4" t="s">
        <v>42</v>
      </c>
      <c r="BE4" s="4" t="s">
        <v>43</v>
      </c>
      <c r="BF4" s="5" t="s">
        <v>44</v>
      </c>
      <c r="BG4" s="5" t="s">
        <v>45</v>
      </c>
      <c r="BH4" s="5" t="s">
        <v>46</v>
      </c>
      <c r="BI4" s="5" t="s">
        <v>47</v>
      </c>
      <c r="BJ4" s="5" t="s">
        <v>48</v>
      </c>
      <c r="BK4" s="5" t="s">
        <v>49</v>
      </c>
      <c r="BL4" s="5" t="s">
        <v>50</v>
      </c>
      <c r="BM4" s="5" t="s">
        <v>51</v>
      </c>
      <c r="BN4" s="6" t="s">
        <v>52</v>
      </c>
      <c r="BO4" s="6" t="s">
        <v>53</v>
      </c>
      <c r="BP4" s="6" t="s">
        <v>54</v>
      </c>
      <c r="BQ4" s="6" t="s">
        <v>55</v>
      </c>
      <c r="BR4" s="6" t="s">
        <v>56</v>
      </c>
      <c r="BS4" s="6" t="s">
        <v>57</v>
      </c>
      <c r="BT4" s="6" t="s">
        <v>58</v>
      </c>
      <c r="BU4" s="6" t="s">
        <v>59</v>
      </c>
      <c r="BV4" s="6" t="s">
        <v>60</v>
      </c>
      <c r="BW4" s="6" t="s">
        <v>61</v>
      </c>
      <c r="BX4" s="6" t="s">
        <v>62</v>
      </c>
      <c r="BY4" s="7" t="s">
        <v>63</v>
      </c>
      <c r="BZ4" s="7" t="s">
        <v>64</v>
      </c>
      <c r="CA4" s="7" t="s">
        <v>65</v>
      </c>
      <c r="CB4" s="7" t="s">
        <v>66</v>
      </c>
      <c r="CC4" s="7" t="s">
        <v>67</v>
      </c>
      <c r="CD4" s="7" t="s">
        <v>68</v>
      </c>
      <c r="CE4" s="8" t="s">
        <v>69</v>
      </c>
      <c r="CF4" s="9" t="s">
        <v>70</v>
      </c>
      <c r="CG4" s="10" t="s">
        <v>71</v>
      </c>
      <c r="CH4" s="1"/>
      <c r="CI4" s="49" t="s">
        <v>34</v>
      </c>
      <c r="CJ4" s="49"/>
      <c r="CK4" s="49" t="s">
        <v>35</v>
      </c>
      <c r="CL4" s="49"/>
      <c r="CM4" s="49" t="s">
        <v>36</v>
      </c>
      <c r="CN4" s="49"/>
      <c r="CO4" s="49" t="s">
        <v>37</v>
      </c>
      <c r="CP4" s="49"/>
      <c r="CQ4" s="49" t="s">
        <v>38</v>
      </c>
      <c r="CR4" s="49"/>
      <c r="CS4" s="50" t="s">
        <v>39</v>
      </c>
      <c r="CT4" s="50"/>
      <c r="CU4" s="50" t="s">
        <v>40</v>
      </c>
      <c r="CV4" s="50"/>
      <c r="CW4" s="50" t="s">
        <v>41</v>
      </c>
      <c r="CX4" s="50"/>
      <c r="CY4" s="50" t="s">
        <v>42</v>
      </c>
      <c r="CZ4" s="50"/>
      <c r="DA4" s="50" t="s">
        <v>43</v>
      </c>
      <c r="DB4" s="50"/>
      <c r="DC4" s="51" t="s">
        <v>44</v>
      </c>
      <c r="DD4" s="51"/>
      <c r="DE4" s="51" t="s">
        <v>45</v>
      </c>
      <c r="DF4" s="51"/>
      <c r="DG4" s="51" t="s">
        <v>46</v>
      </c>
      <c r="DH4" s="51"/>
      <c r="DI4" s="51" t="s">
        <v>47</v>
      </c>
      <c r="DJ4" s="51"/>
      <c r="DK4" s="51" t="s">
        <v>48</v>
      </c>
      <c r="DL4" s="51"/>
      <c r="DM4" s="51" t="s">
        <v>49</v>
      </c>
      <c r="DN4" s="51"/>
      <c r="DO4" s="51" t="s">
        <v>50</v>
      </c>
      <c r="DP4" s="51"/>
      <c r="DQ4" s="51" t="s">
        <v>51</v>
      </c>
      <c r="DR4" s="51"/>
      <c r="DS4" s="52" t="s">
        <v>52</v>
      </c>
      <c r="DT4" s="52"/>
      <c r="DU4" s="52" t="s">
        <v>53</v>
      </c>
      <c r="DV4" s="52"/>
      <c r="DW4" s="52" t="s">
        <v>54</v>
      </c>
      <c r="DX4" s="52"/>
      <c r="DY4" s="52" t="s">
        <v>55</v>
      </c>
      <c r="DZ4" s="52"/>
      <c r="EA4" s="52" t="s">
        <v>56</v>
      </c>
      <c r="EB4" s="52"/>
      <c r="EC4" s="52" t="s">
        <v>57</v>
      </c>
      <c r="ED4" s="52"/>
      <c r="EE4" s="52" t="s">
        <v>58</v>
      </c>
      <c r="EF4" s="52"/>
      <c r="EG4" s="52" t="s">
        <v>59</v>
      </c>
      <c r="EH4" s="52"/>
      <c r="EI4" s="52" t="s">
        <v>60</v>
      </c>
      <c r="EJ4" s="52"/>
      <c r="EK4" s="52" t="s">
        <v>61</v>
      </c>
      <c r="EL4" s="52"/>
      <c r="EM4" s="52" t="s">
        <v>62</v>
      </c>
      <c r="EN4" s="52"/>
      <c r="EO4" s="53" t="s">
        <v>63</v>
      </c>
      <c r="EP4" s="53"/>
      <c r="EQ4" s="53" t="s">
        <v>64</v>
      </c>
      <c r="ER4" s="53"/>
      <c r="ES4" s="53" t="s">
        <v>65</v>
      </c>
      <c r="ET4" s="53"/>
      <c r="EU4" s="53" t="s">
        <v>66</v>
      </c>
      <c r="EV4" s="53"/>
      <c r="EW4" s="53" t="s">
        <v>67</v>
      </c>
      <c r="EX4" s="53"/>
      <c r="EY4" s="53" t="s">
        <v>68</v>
      </c>
      <c r="EZ4" s="53"/>
      <c r="FA4" s="54" t="s">
        <v>69</v>
      </c>
      <c r="FB4" s="54"/>
      <c r="FC4" s="55" t="s">
        <v>70</v>
      </c>
      <c r="FD4" s="55"/>
      <c r="FE4" s="56" t="s">
        <v>71</v>
      </c>
      <c r="FF4" s="56"/>
      <c r="FG4" s="1"/>
      <c r="FH4" s="3" t="s">
        <v>34</v>
      </c>
      <c r="FI4" s="3" t="s">
        <v>35</v>
      </c>
      <c r="FJ4" s="3" t="s">
        <v>36</v>
      </c>
      <c r="FK4" s="3" t="s">
        <v>37</v>
      </c>
      <c r="FL4" s="3" t="s">
        <v>38</v>
      </c>
      <c r="FM4" s="4" t="s">
        <v>39</v>
      </c>
      <c r="FN4" s="4" t="s">
        <v>40</v>
      </c>
      <c r="FO4" s="4" t="s">
        <v>41</v>
      </c>
      <c r="FP4" s="4" t="s">
        <v>42</v>
      </c>
      <c r="FQ4" s="4" t="s">
        <v>43</v>
      </c>
      <c r="FR4" s="5" t="s">
        <v>44</v>
      </c>
      <c r="FS4" s="5" t="s">
        <v>45</v>
      </c>
      <c r="FT4" s="5" t="s">
        <v>46</v>
      </c>
      <c r="FU4" s="5" t="s">
        <v>47</v>
      </c>
      <c r="FV4" s="5" t="s">
        <v>48</v>
      </c>
      <c r="FW4" s="5" t="s">
        <v>49</v>
      </c>
      <c r="FX4" s="5" t="s">
        <v>50</v>
      </c>
      <c r="FY4" s="5" t="s">
        <v>51</v>
      </c>
      <c r="FZ4" s="6" t="s">
        <v>52</v>
      </c>
      <c r="GA4" s="6" t="s">
        <v>53</v>
      </c>
      <c r="GB4" s="6" t="s">
        <v>54</v>
      </c>
      <c r="GC4" s="6" t="s">
        <v>55</v>
      </c>
      <c r="GD4" s="6" t="s">
        <v>56</v>
      </c>
      <c r="GE4" s="6" t="s">
        <v>57</v>
      </c>
      <c r="GF4" s="6" t="s">
        <v>58</v>
      </c>
      <c r="GG4" s="6" t="s">
        <v>59</v>
      </c>
      <c r="GH4" s="6" t="s">
        <v>60</v>
      </c>
      <c r="GI4" s="6" t="s">
        <v>61</v>
      </c>
      <c r="GJ4" s="6" t="s">
        <v>62</v>
      </c>
      <c r="GK4" s="7" t="s">
        <v>63</v>
      </c>
      <c r="GL4" s="7" t="s">
        <v>64</v>
      </c>
      <c r="GM4" s="7" t="s">
        <v>65</v>
      </c>
      <c r="GN4" s="7" t="s">
        <v>66</v>
      </c>
      <c r="GO4" s="7" t="s">
        <v>67</v>
      </c>
      <c r="GP4" s="7" t="s">
        <v>68</v>
      </c>
      <c r="GQ4" s="8" t="s">
        <v>69</v>
      </c>
      <c r="GR4" s="9" t="s">
        <v>70</v>
      </c>
      <c r="GS4" s="10" t="s">
        <v>71</v>
      </c>
      <c r="GT4" s="1"/>
      <c r="GU4" s="3" t="s">
        <v>34</v>
      </c>
      <c r="GV4" s="3" t="s">
        <v>35</v>
      </c>
      <c r="GW4" s="3" t="s">
        <v>36</v>
      </c>
      <c r="GX4" s="3" t="s">
        <v>37</v>
      </c>
      <c r="GY4" s="3" t="s">
        <v>38</v>
      </c>
      <c r="GZ4" s="4" t="s">
        <v>39</v>
      </c>
      <c r="HA4" s="4" t="s">
        <v>40</v>
      </c>
      <c r="HB4" s="4" t="s">
        <v>41</v>
      </c>
      <c r="HC4" s="4" t="s">
        <v>42</v>
      </c>
      <c r="HD4" s="4" t="s">
        <v>43</v>
      </c>
      <c r="HE4" s="5" t="s">
        <v>44</v>
      </c>
      <c r="HF4" s="5" t="s">
        <v>45</v>
      </c>
      <c r="HG4" s="5" t="s">
        <v>46</v>
      </c>
      <c r="HH4" s="5" t="s">
        <v>47</v>
      </c>
      <c r="HI4" s="5" t="s">
        <v>48</v>
      </c>
      <c r="HJ4" s="5" t="s">
        <v>49</v>
      </c>
      <c r="HK4" s="5" t="s">
        <v>50</v>
      </c>
      <c r="HL4" s="5" t="s">
        <v>51</v>
      </c>
      <c r="HM4" s="6" t="s">
        <v>52</v>
      </c>
      <c r="HN4" s="6" t="s">
        <v>53</v>
      </c>
      <c r="HO4" s="6" t="s">
        <v>54</v>
      </c>
      <c r="HP4" s="6" t="s">
        <v>55</v>
      </c>
      <c r="HQ4" s="6" t="s">
        <v>56</v>
      </c>
      <c r="HR4" s="6" t="s">
        <v>57</v>
      </c>
      <c r="HS4" s="6" t="s">
        <v>58</v>
      </c>
      <c r="HT4" s="6" t="s">
        <v>59</v>
      </c>
      <c r="HU4" s="6" t="s">
        <v>60</v>
      </c>
      <c r="HV4" s="6" t="s">
        <v>61</v>
      </c>
      <c r="HW4" s="6" t="s">
        <v>62</v>
      </c>
      <c r="HX4" s="7" t="s">
        <v>63</v>
      </c>
      <c r="HY4" s="7" t="s">
        <v>64</v>
      </c>
      <c r="HZ4" s="7" t="s">
        <v>65</v>
      </c>
      <c r="IA4" s="7" t="s">
        <v>66</v>
      </c>
      <c r="IB4" s="7" t="s">
        <v>67</v>
      </c>
      <c r="IC4" s="7" t="s">
        <v>68</v>
      </c>
      <c r="ID4" s="8" t="s">
        <v>69</v>
      </c>
      <c r="IE4" s="9" t="s">
        <v>70</v>
      </c>
      <c r="IF4" s="10" t="s">
        <v>71</v>
      </c>
      <c r="IG4" s="1"/>
      <c r="IH4" s="3" t="s">
        <v>34</v>
      </c>
      <c r="II4" s="3" t="s">
        <v>35</v>
      </c>
      <c r="IJ4" s="3" t="s">
        <v>36</v>
      </c>
      <c r="IK4" s="3" t="s">
        <v>37</v>
      </c>
      <c r="IL4" s="3" t="s">
        <v>38</v>
      </c>
      <c r="IM4" s="4" t="s">
        <v>39</v>
      </c>
      <c r="IN4" s="4" t="s">
        <v>40</v>
      </c>
      <c r="IO4" s="4" t="s">
        <v>41</v>
      </c>
      <c r="IP4" s="4" t="s">
        <v>42</v>
      </c>
      <c r="IQ4" s="4" t="s">
        <v>43</v>
      </c>
      <c r="IR4" s="5" t="s">
        <v>44</v>
      </c>
      <c r="IS4" s="5" t="s">
        <v>45</v>
      </c>
      <c r="IT4" s="5" t="s">
        <v>46</v>
      </c>
      <c r="IU4" s="5" t="s">
        <v>47</v>
      </c>
      <c r="IV4" s="5" t="s">
        <v>48</v>
      </c>
      <c r="IW4" s="5" t="s">
        <v>49</v>
      </c>
      <c r="IX4" s="5" t="s">
        <v>50</v>
      </c>
      <c r="IY4" s="5" t="s">
        <v>51</v>
      </c>
      <c r="IZ4" s="6" t="s">
        <v>52</v>
      </c>
      <c r="JA4" s="6" t="s">
        <v>53</v>
      </c>
      <c r="JB4" s="6" t="s">
        <v>54</v>
      </c>
      <c r="JC4" s="6" t="s">
        <v>55</v>
      </c>
      <c r="JD4" s="6" t="s">
        <v>56</v>
      </c>
      <c r="JE4" s="6" t="s">
        <v>57</v>
      </c>
      <c r="JF4" s="6" t="s">
        <v>58</v>
      </c>
      <c r="JG4" s="6" t="s">
        <v>59</v>
      </c>
      <c r="JH4" s="6" t="s">
        <v>60</v>
      </c>
      <c r="JI4" s="6" t="s">
        <v>61</v>
      </c>
      <c r="JJ4" s="6" t="s">
        <v>62</v>
      </c>
      <c r="JK4" s="7" t="s">
        <v>63</v>
      </c>
      <c r="JL4" s="7" t="s">
        <v>64</v>
      </c>
      <c r="JM4" s="7" t="s">
        <v>65</v>
      </c>
      <c r="JN4" s="7" t="s">
        <v>66</v>
      </c>
      <c r="JO4" s="7" t="s">
        <v>67</v>
      </c>
      <c r="JP4" s="7" t="s">
        <v>68</v>
      </c>
      <c r="JQ4" s="8" t="s">
        <v>69</v>
      </c>
      <c r="JR4" s="9" t="s">
        <v>70</v>
      </c>
      <c r="JS4" s="10" t="s">
        <v>71</v>
      </c>
      <c r="JT4" s="1"/>
      <c r="JU4" s="3" t="s">
        <v>34</v>
      </c>
      <c r="JV4" s="3" t="s">
        <v>35</v>
      </c>
      <c r="JW4" s="3" t="s">
        <v>36</v>
      </c>
      <c r="JX4" s="3" t="s">
        <v>37</v>
      </c>
      <c r="JY4" s="3" t="s">
        <v>38</v>
      </c>
      <c r="JZ4" s="4" t="s">
        <v>39</v>
      </c>
      <c r="KA4" s="4" t="s">
        <v>40</v>
      </c>
      <c r="KB4" s="4" t="s">
        <v>41</v>
      </c>
      <c r="KC4" s="4" t="s">
        <v>42</v>
      </c>
      <c r="KD4" s="4" t="s">
        <v>43</v>
      </c>
      <c r="KE4" s="5" t="s">
        <v>44</v>
      </c>
      <c r="KF4" s="5" t="s">
        <v>45</v>
      </c>
      <c r="KG4" s="5" t="s">
        <v>46</v>
      </c>
      <c r="KH4" s="5" t="s">
        <v>47</v>
      </c>
      <c r="KI4" s="5" t="s">
        <v>48</v>
      </c>
      <c r="KJ4" s="5" t="s">
        <v>49</v>
      </c>
      <c r="KK4" s="5" t="s">
        <v>50</v>
      </c>
      <c r="KL4" s="5" t="s">
        <v>51</v>
      </c>
      <c r="KM4" s="6" t="s">
        <v>52</v>
      </c>
      <c r="KN4" s="6" t="s">
        <v>53</v>
      </c>
      <c r="KO4" s="6" t="s">
        <v>54</v>
      </c>
      <c r="KP4" s="6" t="s">
        <v>55</v>
      </c>
      <c r="KQ4" s="6" t="s">
        <v>56</v>
      </c>
      <c r="KR4" s="6" t="s">
        <v>57</v>
      </c>
      <c r="KS4" s="6" t="s">
        <v>58</v>
      </c>
      <c r="KT4" s="6" t="s">
        <v>59</v>
      </c>
      <c r="KU4" s="6" t="s">
        <v>60</v>
      </c>
      <c r="KV4" s="6" t="s">
        <v>61</v>
      </c>
      <c r="KW4" s="6" t="s">
        <v>62</v>
      </c>
      <c r="KX4" s="7" t="s">
        <v>63</v>
      </c>
      <c r="KY4" s="7" t="s">
        <v>64</v>
      </c>
      <c r="KZ4" s="7" t="s">
        <v>65</v>
      </c>
      <c r="LA4" s="7" t="s">
        <v>66</v>
      </c>
      <c r="LB4" s="7" t="s">
        <v>67</v>
      </c>
      <c r="LC4" s="7" t="s">
        <v>68</v>
      </c>
      <c r="LD4" s="8" t="s">
        <v>69</v>
      </c>
      <c r="LE4" s="9" t="s">
        <v>70</v>
      </c>
      <c r="LF4" s="10" t="s">
        <v>71</v>
      </c>
      <c r="LG4" s="1"/>
      <c r="LH4" s="3" t="s">
        <v>34</v>
      </c>
      <c r="LI4" s="3" t="s">
        <v>35</v>
      </c>
      <c r="LJ4" s="3" t="s">
        <v>36</v>
      </c>
      <c r="LK4" s="3" t="s">
        <v>37</v>
      </c>
      <c r="LL4" s="3" t="s">
        <v>38</v>
      </c>
      <c r="LM4" s="4" t="s">
        <v>39</v>
      </c>
      <c r="LN4" s="4" t="s">
        <v>40</v>
      </c>
      <c r="LO4" s="4" t="s">
        <v>41</v>
      </c>
      <c r="LP4" s="4" t="s">
        <v>42</v>
      </c>
      <c r="LQ4" s="4" t="s">
        <v>43</v>
      </c>
      <c r="LR4" s="5" t="s">
        <v>44</v>
      </c>
      <c r="LS4" s="5" t="s">
        <v>45</v>
      </c>
      <c r="LT4" s="5" t="s">
        <v>46</v>
      </c>
      <c r="LU4" s="5" t="s">
        <v>47</v>
      </c>
      <c r="LV4" s="5" t="s">
        <v>48</v>
      </c>
      <c r="LW4" s="5" t="s">
        <v>49</v>
      </c>
      <c r="LX4" s="5" t="s">
        <v>50</v>
      </c>
      <c r="LY4" s="5" t="s">
        <v>51</v>
      </c>
      <c r="LZ4" s="6" t="s">
        <v>52</v>
      </c>
      <c r="MA4" s="6" t="s">
        <v>53</v>
      </c>
      <c r="MB4" s="6" t="s">
        <v>54</v>
      </c>
      <c r="MC4" s="6" t="s">
        <v>55</v>
      </c>
      <c r="MD4" s="6" t="s">
        <v>56</v>
      </c>
      <c r="ME4" s="6" t="s">
        <v>57</v>
      </c>
      <c r="MF4" s="6" t="s">
        <v>58</v>
      </c>
      <c r="MG4" s="6" t="s">
        <v>59</v>
      </c>
      <c r="MH4" s="6" t="s">
        <v>60</v>
      </c>
      <c r="MI4" s="6" t="s">
        <v>61</v>
      </c>
      <c r="MJ4" s="6" t="s">
        <v>62</v>
      </c>
      <c r="MK4" s="7" t="s">
        <v>63</v>
      </c>
      <c r="ML4" s="7" t="s">
        <v>64</v>
      </c>
      <c r="MM4" s="7" t="s">
        <v>65</v>
      </c>
      <c r="MN4" s="7" t="s">
        <v>66</v>
      </c>
      <c r="MO4" s="7" t="s">
        <v>67</v>
      </c>
      <c r="MP4" s="7" t="s">
        <v>68</v>
      </c>
      <c r="MQ4" s="8" t="s">
        <v>69</v>
      </c>
      <c r="MR4" s="9" t="s">
        <v>70</v>
      </c>
      <c r="MS4" s="10" t="s">
        <v>71</v>
      </c>
      <c r="MT4" s="1"/>
      <c r="MU4" s="3" t="s">
        <v>34</v>
      </c>
      <c r="MV4" s="3" t="s">
        <v>35</v>
      </c>
      <c r="MW4" s="3" t="s">
        <v>36</v>
      </c>
      <c r="MX4" s="3" t="s">
        <v>37</v>
      </c>
      <c r="MY4" s="3" t="s">
        <v>38</v>
      </c>
      <c r="MZ4" s="4" t="s">
        <v>39</v>
      </c>
      <c r="NA4" s="4" t="s">
        <v>40</v>
      </c>
      <c r="NB4" s="4" t="s">
        <v>41</v>
      </c>
      <c r="NC4" s="4" t="s">
        <v>42</v>
      </c>
      <c r="ND4" s="4" t="s">
        <v>43</v>
      </c>
      <c r="NE4" s="5" t="s">
        <v>44</v>
      </c>
      <c r="NF4" s="5" t="s">
        <v>45</v>
      </c>
      <c r="NG4" s="5" t="s">
        <v>46</v>
      </c>
      <c r="NH4" s="5" t="s">
        <v>47</v>
      </c>
      <c r="NI4" s="5" t="s">
        <v>48</v>
      </c>
      <c r="NJ4" s="5" t="s">
        <v>49</v>
      </c>
      <c r="NK4" s="5" t="s">
        <v>50</v>
      </c>
      <c r="NL4" s="5" t="s">
        <v>51</v>
      </c>
      <c r="NM4" s="6" t="s">
        <v>52</v>
      </c>
      <c r="NN4" s="6" t="s">
        <v>53</v>
      </c>
      <c r="NO4" s="6" t="s">
        <v>54</v>
      </c>
      <c r="NP4" s="6" t="s">
        <v>55</v>
      </c>
      <c r="NQ4" s="6" t="s">
        <v>56</v>
      </c>
      <c r="NR4" s="6" t="s">
        <v>57</v>
      </c>
      <c r="NS4" s="6" t="s">
        <v>58</v>
      </c>
      <c r="NT4" s="6" t="s">
        <v>59</v>
      </c>
      <c r="NU4" s="6" t="s">
        <v>60</v>
      </c>
      <c r="NV4" s="6" t="s">
        <v>61</v>
      </c>
      <c r="NW4" s="6" t="s">
        <v>62</v>
      </c>
      <c r="NX4" s="7" t="s">
        <v>63</v>
      </c>
      <c r="NY4" s="7" t="s">
        <v>64</v>
      </c>
      <c r="NZ4" s="7" t="s">
        <v>65</v>
      </c>
      <c r="OA4" s="7" t="s">
        <v>66</v>
      </c>
      <c r="OB4" s="7" t="s">
        <v>67</v>
      </c>
      <c r="OC4" s="7" t="s">
        <v>68</v>
      </c>
      <c r="OD4" s="8" t="s">
        <v>69</v>
      </c>
      <c r="OE4" s="9" t="s">
        <v>70</v>
      </c>
      <c r="OF4" s="10" t="s">
        <v>71</v>
      </c>
      <c r="OG4" s="1"/>
      <c r="OH4" s="3" t="s">
        <v>34</v>
      </c>
      <c r="OI4" s="3" t="s">
        <v>35</v>
      </c>
      <c r="OJ4" s="3" t="s">
        <v>36</v>
      </c>
      <c r="OK4" s="3" t="s">
        <v>37</v>
      </c>
      <c r="OL4" s="3" t="s">
        <v>38</v>
      </c>
      <c r="OM4" s="4" t="s">
        <v>39</v>
      </c>
      <c r="ON4" s="4" t="s">
        <v>40</v>
      </c>
      <c r="OO4" s="4" t="s">
        <v>41</v>
      </c>
      <c r="OP4" s="4" t="s">
        <v>42</v>
      </c>
      <c r="OQ4" s="4" t="s">
        <v>43</v>
      </c>
      <c r="OR4" s="5" t="s">
        <v>44</v>
      </c>
      <c r="OS4" s="5" t="s">
        <v>45</v>
      </c>
      <c r="OT4" s="5" t="s">
        <v>46</v>
      </c>
      <c r="OU4" s="5" t="s">
        <v>47</v>
      </c>
      <c r="OV4" s="5" t="s">
        <v>48</v>
      </c>
      <c r="OW4" s="5" t="s">
        <v>49</v>
      </c>
      <c r="OX4" s="5" t="s">
        <v>50</v>
      </c>
      <c r="OY4" s="5" t="s">
        <v>51</v>
      </c>
      <c r="OZ4" s="6" t="s">
        <v>52</v>
      </c>
      <c r="PA4" s="6" t="s">
        <v>53</v>
      </c>
      <c r="PB4" s="6" t="s">
        <v>54</v>
      </c>
      <c r="PC4" s="6" t="s">
        <v>55</v>
      </c>
      <c r="PD4" s="6" t="s">
        <v>56</v>
      </c>
      <c r="PE4" s="6" t="s">
        <v>57</v>
      </c>
      <c r="PF4" s="6" t="s">
        <v>58</v>
      </c>
      <c r="PG4" s="6" t="s">
        <v>59</v>
      </c>
      <c r="PH4" s="6" t="s">
        <v>60</v>
      </c>
      <c r="PI4" s="6" t="s">
        <v>61</v>
      </c>
      <c r="PJ4" s="6" t="s">
        <v>62</v>
      </c>
      <c r="PK4" s="7" t="s">
        <v>63</v>
      </c>
      <c r="PL4" s="7" t="s">
        <v>64</v>
      </c>
      <c r="PM4" s="7" t="s">
        <v>65</v>
      </c>
      <c r="PN4" s="7" t="s">
        <v>66</v>
      </c>
      <c r="PO4" s="7" t="s">
        <v>67</v>
      </c>
      <c r="PP4" s="7" t="s">
        <v>68</v>
      </c>
      <c r="PQ4" s="8" t="s">
        <v>69</v>
      </c>
      <c r="PR4" s="9" t="s">
        <v>70</v>
      </c>
      <c r="PS4" s="10" t="s">
        <v>71</v>
      </c>
      <c r="PT4" s="1"/>
      <c r="PU4" s="3" t="s">
        <v>34</v>
      </c>
      <c r="PV4" s="3" t="s">
        <v>35</v>
      </c>
      <c r="PW4" s="3" t="s">
        <v>36</v>
      </c>
      <c r="PX4" s="3" t="s">
        <v>37</v>
      </c>
      <c r="PY4" s="3" t="s">
        <v>38</v>
      </c>
      <c r="PZ4" s="4" t="s">
        <v>39</v>
      </c>
      <c r="QA4" s="4" t="s">
        <v>40</v>
      </c>
      <c r="QB4" s="4" t="s">
        <v>41</v>
      </c>
      <c r="QC4" s="4" t="s">
        <v>42</v>
      </c>
      <c r="QD4" s="4" t="s">
        <v>43</v>
      </c>
      <c r="QE4" s="5" t="s">
        <v>44</v>
      </c>
      <c r="QF4" s="5" t="s">
        <v>45</v>
      </c>
      <c r="QG4" s="5" t="s">
        <v>46</v>
      </c>
      <c r="QH4" s="5" t="s">
        <v>47</v>
      </c>
      <c r="QI4" s="5" t="s">
        <v>48</v>
      </c>
      <c r="QJ4" s="5" t="s">
        <v>49</v>
      </c>
      <c r="QK4" s="5" t="s">
        <v>50</v>
      </c>
      <c r="QL4" s="5" t="s">
        <v>51</v>
      </c>
      <c r="QM4" s="6" t="s">
        <v>52</v>
      </c>
      <c r="QN4" s="6" t="s">
        <v>53</v>
      </c>
      <c r="QO4" s="6" t="s">
        <v>54</v>
      </c>
      <c r="QP4" s="6" t="s">
        <v>55</v>
      </c>
      <c r="QQ4" s="6" t="s">
        <v>56</v>
      </c>
      <c r="QR4" s="6" t="s">
        <v>57</v>
      </c>
      <c r="QS4" s="6" t="s">
        <v>58</v>
      </c>
      <c r="QT4" s="6" t="s">
        <v>59</v>
      </c>
      <c r="QU4" s="6" t="s">
        <v>60</v>
      </c>
      <c r="QV4" s="6" t="s">
        <v>61</v>
      </c>
      <c r="QW4" s="6" t="s">
        <v>62</v>
      </c>
      <c r="QX4" s="7" t="s">
        <v>63</v>
      </c>
      <c r="QY4" s="7" t="s">
        <v>64</v>
      </c>
      <c r="QZ4" s="7" t="s">
        <v>65</v>
      </c>
      <c r="RA4" s="7" t="s">
        <v>66</v>
      </c>
      <c r="RB4" s="7" t="s">
        <v>67</v>
      </c>
      <c r="RC4" s="7" t="s">
        <v>68</v>
      </c>
      <c r="RD4" s="8" t="s">
        <v>69</v>
      </c>
      <c r="RE4" s="9" t="s">
        <v>70</v>
      </c>
      <c r="RF4" s="10" t="s">
        <v>71</v>
      </c>
    </row>
    <row r="5" spans="1:474" x14ac:dyDescent="0.25">
      <c r="A5" s="57" t="s">
        <v>72</v>
      </c>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c r="CV5" s="57"/>
      <c r="CW5" s="57"/>
      <c r="CX5" s="57"/>
      <c r="CY5" s="57"/>
      <c r="CZ5" s="57"/>
      <c r="DA5" s="57"/>
      <c r="DB5" s="57"/>
      <c r="DC5" s="57"/>
      <c r="DD5" s="57"/>
      <c r="DE5" s="57"/>
      <c r="DF5" s="57"/>
      <c r="DG5" s="57"/>
      <c r="DH5" s="57"/>
      <c r="DI5" s="57"/>
      <c r="DJ5" s="57"/>
      <c r="DK5" s="57"/>
      <c r="DL5" s="57"/>
      <c r="DM5" s="57"/>
      <c r="DN5" s="57"/>
      <c r="DO5" s="57"/>
      <c r="DP5" s="57"/>
      <c r="DQ5" s="57"/>
      <c r="DR5" s="57"/>
      <c r="DS5" s="57"/>
      <c r="DT5" s="57"/>
      <c r="DU5" s="57"/>
      <c r="DV5" s="57"/>
      <c r="DW5" s="57"/>
      <c r="DX5" s="57"/>
      <c r="DY5" s="57"/>
      <c r="DZ5" s="57"/>
      <c r="EA5" s="57"/>
      <c r="EB5" s="57"/>
      <c r="EC5" s="57"/>
      <c r="ED5" s="57"/>
      <c r="EE5" s="57"/>
      <c r="EF5" s="57"/>
      <c r="EG5" s="57"/>
      <c r="EH5" s="57"/>
      <c r="EI5" s="57"/>
      <c r="EJ5" s="57"/>
      <c r="EK5" s="57"/>
      <c r="EL5" s="57"/>
      <c r="EM5" s="57"/>
      <c r="EN5" s="57"/>
      <c r="EO5" s="57"/>
      <c r="EP5" s="57"/>
      <c r="EQ5" s="57"/>
      <c r="ER5" s="57"/>
      <c r="ES5" s="57"/>
      <c r="ET5" s="57"/>
      <c r="EU5" s="57"/>
      <c r="EV5" s="57"/>
      <c r="EW5" s="57"/>
      <c r="EX5" s="57"/>
      <c r="EY5" s="57"/>
      <c r="EZ5" s="57"/>
      <c r="FA5" s="57"/>
      <c r="FB5" s="57"/>
      <c r="FC5" s="57"/>
      <c r="FD5" s="57"/>
      <c r="FE5" s="57"/>
      <c r="FF5" s="57"/>
      <c r="FG5" s="57"/>
      <c r="FH5" s="57"/>
      <c r="FI5" s="57"/>
      <c r="FJ5" s="57"/>
      <c r="FK5" s="57"/>
      <c r="FL5" s="57"/>
      <c r="FM5" s="57"/>
      <c r="FN5" s="57"/>
      <c r="FO5" s="57"/>
      <c r="FP5" s="57"/>
      <c r="FQ5" s="57"/>
      <c r="FR5" s="57"/>
      <c r="FS5" s="57"/>
      <c r="FT5" s="57"/>
      <c r="FU5" s="57"/>
      <c r="FV5" s="57"/>
      <c r="FW5" s="57"/>
      <c r="FX5" s="57"/>
      <c r="FY5" s="57"/>
      <c r="FZ5" s="57"/>
      <c r="GA5" s="57"/>
      <c r="GB5" s="57"/>
      <c r="GC5" s="57"/>
      <c r="GD5" s="57"/>
      <c r="GE5" s="57"/>
      <c r="GF5" s="57"/>
      <c r="GG5" s="57"/>
      <c r="GH5" s="57"/>
      <c r="GI5" s="57"/>
      <c r="GJ5" s="57"/>
      <c r="GK5" s="57"/>
      <c r="GL5" s="57"/>
      <c r="GM5" s="57"/>
      <c r="GN5" s="57"/>
      <c r="GO5" s="57"/>
      <c r="GP5" s="57"/>
      <c r="GQ5" s="57"/>
      <c r="GR5" s="57"/>
      <c r="GS5" s="57"/>
      <c r="GT5" s="57"/>
      <c r="GU5" s="57"/>
      <c r="GV5" s="57"/>
      <c r="GW5" s="57"/>
      <c r="GX5" s="57"/>
      <c r="GY5" s="57"/>
      <c r="GZ5" s="57"/>
      <c r="HA5" s="57"/>
      <c r="HB5" s="57"/>
      <c r="HC5" s="57"/>
      <c r="HD5" s="57"/>
      <c r="HE5" s="57"/>
      <c r="HF5" s="57"/>
      <c r="HG5" s="57"/>
      <c r="HH5" s="57"/>
      <c r="HI5" s="57"/>
      <c r="HJ5" s="57"/>
      <c r="HK5" s="57"/>
      <c r="HL5" s="57"/>
      <c r="HM5" s="57"/>
      <c r="HN5" s="57"/>
      <c r="HO5" s="57"/>
      <c r="HP5" s="57"/>
      <c r="HQ5" s="57"/>
      <c r="HR5" s="57"/>
      <c r="HS5" s="57"/>
      <c r="HT5" s="57"/>
      <c r="HU5" s="57"/>
      <c r="HV5" s="57"/>
      <c r="HW5" s="57"/>
      <c r="HX5" s="57"/>
      <c r="HY5" s="57"/>
      <c r="HZ5" s="57"/>
      <c r="IA5" s="57"/>
      <c r="IB5" s="57"/>
      <c r="IC5" s="57"/>
      <c r="ID5" s="57"/>
      <c r="IE5" s="57"/>
      <c r="IF5" s="57"/>
      <c r="IG5" s="57"/>
      <c r="IH5" s="57"/>
      <c r="II5" s="57"/>
      <c r="IJ5" s="57"/>
      <c r="IK5" s="57"/>
      <c r="IL5" s="57"/>
      <c r="IM5" s="57"/>
      <c r="IN5" s="57"/>
      <c r="IO5" s="57"/>
      <c r="IP5" s="57"/>
      <c r="IQ5" s="57"/>
      <c r="IR5" s="57"/>
      <c r="IS5" s="57"/>
      <c r="IT5" s="57"/>
      <c r="IU5" s="57"/>
      <c r="IV5" s="57"/>
      <c r="IW5" s="57"/>
      <c r="IX5" s="57"/>
      <c r="IY5" s="57"/>
      <c r="IZ5" s="57"/>
      <c r="JA5" s="57"/>
      <c r="JB5" s="57"/>
      <c r="JC5" s="57"/>
      <c r="JD5" s="57"/>
      <c r="JE5" s="57"/>
      <c r="JF5" s="57"/>
      <c r="JG5" s="57"/>
      <c r="JH5" s="57"/>
      <c r="JI5" s="57"/>
      <c r="JJ5" s="57"/>
      <c r="JK5" s="57"/>
      <c r="JL5" s="57"/>
      <c r="JM5" s="57"/>
      <c r="JN5" s="57"/>
      <c r="JO5" s="57"/>
      <c r="JP5" s="57"/>
      <c r="JQ5" s="57"/>
      <c r="JR5" s="57"/>
      <c r="JS5" s="57"/>
      <c r="JT5" s="57"/>
      <c r="JU5" s="57"/>
      <c r="JV5" s="57"/>
      <c r="JW5" s="57"/>
      <c r="JX5" s="57"/>
      <c r="JY5" s="57"/>
      <c r="JZ5" s="57"/>
      <c r="KA5" s="57"/>
      <c r="KB5" s="57"/>
      <c r="KC5" s="57"/>
      <c r="KD5" s="57"/>
      <c r="KE5" s="57"/>
      <c r="KF5" s="57"/>
      <c r="KG5" s="57"/>
      <c r="KH5" s="57"/>
      <c r="KI5" s="57"/>
      <c r="KJ5" s="57"/>
      <c r="KK5" s="57"/>
      <c r="KL5" s="57"/>
      <c r="KM5" s="57"/>
      <c r="KN5" s="57"/>
      <c r="KO5" s="57"/>
      <c r="KP5" s="57"/>
      <c r="KQ5" s="57"/>
      <c r="KR5" s="57"/>
      <c r="KS5" s="57"/>
      <c r="KT5" s="57"/>
      <c r="KU5" s="57"/>
      <c r="KV5" s="57"/>
      <c r="KW5" s="57"/>
      <c r="KX5" s="57"/>
      <c r="KY5" s="57"/>
      <c r="KZ5" s="57"/>
      <c r="LA5" s="57"/>
      <c r="LB5" s="57"/>
      <c r="LC5" s="57"/>
      <c r="LD5" s="57"/>
      <c r="LE5" s="57"/>
      <c r="LF5" s="57"/>
      <c r="LG5" s="57"/>
      <c r="LH5" s="57"/>
      <c r="LI5" s="57"/>
      <c r="LJ5" s="57"/>
      <c r="LK5" s="57"/>
      <c r="LL5" s="57"/>
      <c r="LM5" s="57"/>
      <c r="LN5" s="57"/>
      <c r="LO5" s="57"/>
      <c r="LP5" s="57"/>
      <c r="LQ5" s="57"/>
      <c r="LR5" s="57"/>
      <c r="LS5" s="57"/>
      <c r="LT5" s="57"/>
      <c r="LU5" s="57"/>
      <c r="LV5" s="57"/>
      <c r="LW5" s="57"/>
      <c r="LX5" s="57"/>
      <c r="LY5" s="57"/>
      <c r="LZ5" s="57"/>
      <c r="MA5" s="57"/>
      <c r="MB5" s="57"/>
      <c r="MC5" s="57"/>
      <c r="MD5" s="57"/>
      <c r="ME5" s="57"/>
      <c r="MF5" s="57"/>
      <c r="MG5" s="57"/>
      <c r="MH5" s="57"/>
      <c r="MI5" s="57"/>
      <c r="MJ5" s="57"/>
      <c r="MK5" s="57"/>
      <c r="ML5" s="57"/>
      <c r="MM5" s="57"/>
      <c r="MN5" s="57"/>
      <c r="MO5" s="57"/>
      <c r="MP5" s="57"/>
      <c r="MQ5" s="57"/>
      <c r="MR5" s="57"/>
      <c r="MS5" s="57"/>
      <c r="MT5" s="57"/>
      <c r="MU5" s="57"/>
      <c r="MV5" s="57"/>
      <c r="MW5" s="57"/>
      <c r="MX5" s="57"/>
      <c r="MY5" s="57"/>
      <c r="MZ5" s="57"/>
      <c r="NA5" s="57"/>
      <c r="NB5" s="57"/>
      <c r="NC5" s="57"/>
      <c r="ND5" s="57"/>
      <c r="NE5" s="57"/>
      <c r="NF5" s="57"/>
      <c r="NG5" s="57"/>
      <c r="NH5" s="57"/>
      <c r="NI5" s="57"/>
      <c r="NJ5" s="57"/>
      <c r="NK5" s="57"/>
      <c r="NL5" s="57"/>
      <c r="NM5" s="57"/>
      <c r="NN5" s="57"/>
      <c r="NO5" s="57"/>
      <c r="NP5" s="57"/>
      <c r="NQ5" s="57"/>
      <c r="NR5" s="57"/>
      <c r="NS5" s="57"/>
      <c r="NT5" s="57"/>
      <c r="NU5" s="57"/>
      <c r="NV5" s="57"/>
      <c r="NW5" s="57"/>
      <c r="NX5" s="57"/>
      <c r="NY5" s="57"/>
      <c r="NZ5" s="57"/>
      <c r="OA5" s="57"/>
      <c r="OB5" s="57"/>
      <c r="OC5" s="57"/>
      <c r="OD5" s="57"/>
      <c r="OE5" s="57"/>
      <c r="OF5" s="57"/>
      <c r="OG5" s="57"/>
      <c r="OH5" s="57"/>
      <c r="OI5" s="57"/>
      <c r="OJ5" s="57"/>
      <c r="OK5" s="57"/>
      <c r="OL5" s="57"/>
      <c r="OM5" s="57"/>
      <c r="ON5" s="57"/>
      <c r="OO5" s="57"/>
      <c r="OP5" s="57"/>
      <c r="OQ5" s="57"/>
      <c r="OR5" s="57"/>
      <c r="OS5" s="57"/>
      <c r="OT5" s="57"/>
      <c r="OU5" s="57"/>
      <c r="OV5" s="57"/>
      <c r="OW5" s="57"/>
      <c r="OX5" s="57"/>
      <c r="OY5" s="57"/>
      <c r="OZ5" s="57"/>
      <c r="PA5" s="57"/>
      <c r="PB5" s="57"/>
      <c r="PC5" s="57"/>
      <c r="PD5" s="57"/>
      <c r="PE5" s="57"/>
      <c r="PF5" s="57"/>
      <c r="PG5" s="57"/>
      <c r="PH5" s="57"/>
      <c r="PI5" s="57"/>
      <c r="PJ5" s="57"/>
      <c r="PK5" s="57"/>
      <c r="PL5" s="57"/>
      <c r="PM5" s="57"/>
      <c r="PN5" s="57"/>
      <c r="PO5" s="57"/>
      <c r="PP5" s="57"/>
      <c r="PQ5" s="57"/>
      <c r="PR5" s="57"/>
      <c r="PS5" s="57"/>
      <c r="PT5" s="57"/>
      <c r="PU5" s="57"/>
      <c r="PV5" s="57"/>
      <c r="PW5" s="57"/>
      <c r="PX5" s="57"/>
      <c r="PY5" s="57"/>
      <c r="PZ5" s="57"/>
      <c r="QA5" s="57"/>
      <c r="QB5" s="57"/>
      <c r="QC5" s="57"/>
      <c r="QD5" s="57"/>
      <c r="QE5" s="57"/>
      <c r="QF5" s="57"/>
      <c r="QG5" s="57"/>
      <c r="QH5" s="57"/>
      <c r="QI5" s="57"/>
      <c r="QJ5" s="57"/>
      <c r="QK5" s="57"/>
      <c r="QL5" s="57"/>
      <c r="QM5" s="57"/>
      <c r="QN5" s="57"/>
      <c r="QO5" s="57"/>
      <c r="QP5" s="57"/>
      <c r="QQ5" s="57"/>
      <c r="QR5" s="57"/>
      <c r="QS5" s="57"/>
      <c r="QT5" s="57"/>
      <c r="QU5" s="57"/>
      <c r="QV5" s="57"/>
      <c r="QW5" s="57"/>
      <c r="QX5" s="57"/>
      <c r="QY5" s="57"/>
      <c r="QZ5" s="57"/>
      <c r="RA5" s="57"/>
      <c r="RB5" s="57"/>
      <c r="RC5" s="57"/>
      <c r="RD5" s="57"/>
      <c r="RE5" s="57"/>
      <c r="RF5" s="57"/>
    </row>
    <row r="6" spans="1:474" x14ac:dyDescent="0.25">
      <c r="H6" s="11"/>
      <c r="AU6" s="11"/>
      <c r="CH6" s="11"/>
      <c r="CI6" s="12" t="s">
        <v>73</v>
      </c>
      <c r="CJ6" s="12" t="s">
        <v>74</v>
      </c>
      <c r="CK6" s="12" t="s">
        <v>73</v>
      </c>
      <c r="CL6" s="12" t="s">
        <v>74</v>
      </c>
      <c r="CM6" s="12" t="s">
        <v>73</v>
      </c>
      <c r="CN6" s="12" t="s">
        <v>74</v>
      </c>
      <c r="CO6" s="12" t="s">
        <v>73</v>
      </c>
      <c r="CP6" s="12" t="s">
        <v>74</v>
      </c>
      <c r="CQ6" s="12" t="s">
        <v>73</v>
      </c>
      <c r="CR6" s="12" t="s">
        <v>74</v>
      </c>
      <c r="CS6" s="12" t="s">
        <v>73</v>
      </c>
      <c r="CT6" s="12" t="s">
        <v>74</v>
      </c>
      <c r="CU6" s="12" t="s">
        <v>73</v>
      </c>
      <c r="CV6" s="12" t="s">
        <v>74</v>
      </c>
      <c r="CW6" s="12" t="s">
        <v>73</v>
      </c>
      <c r="CX6" s="12" t="s">
        <v>74</v>
      </c>
      <c r="CY6" s="12" t="s">
        <v>73</v>
      </c>
      <c r="CZ6" s="12" t="s">
        <v>74</v>
      </c>
      <c r="DA6" s="12" t="s">
        <v>73</v>
      </c>
      <c r="DB6" s="12" t="s">
        <v>74</v>
      </c>
      <c r="DC6" s="12" t="s">
        <v>73</v>
      </c>
      <c r="DD6" s="12" t="s">
        <v>74</v>
      </c>
      <c r="DE6" s="12" t="s">
        <v>73</v>
      </c>
      <c r="DF6" s="12" t="s">
        <v>74</v>
      </c>
      <c r="DG6" s="12" t="s">
        <v>73</v>
      </c>
      <c r="DH6" s="12" t="s">
        <v>74</v>
      </c>
      <c r="DI6" s="12" t="s">
        <v>73</v>
      </c>
      <c r="DJ6" s="12" t="s">
        <v>74</v>
      </c>
      <c r="DK6" s="12" t="s">
        <v>73</v>
      </c>
      <c r="DL6" s="12" t="s">
        <v>74</v>
      </c>
      <c r="DM6" s="12" t="s">
        <v>73</v>
      </c>
      <c r="DN6" s="12" t="s">
        <v>74</v>
      </c>
      <c r="DO6" s="12" t="s">
        <v>73</v>
      </c>
      <c r="DP6" s="12" t="s">
        <v>74</v>
      </c>
      <c r="DQ6" s="12" t="s">
        <v>73</v>
      </c>
      <c r="DR6" s="12" t="s">
        <v>74</v>
      </c>
      <c r="DS6" s="12" t="s">
        <v>73</v>
      </c>
      <c r="DT6" s="12" t="s">
        <v>74</v>
      </c>
      <c r="DU6" s="12" t="s">
        <v>73</v>
      </c>
      <c r="DV6" s="12" t="s">
        <v>74</v>
      </c>
      <c r="DW6" s="12" t="s">
        <v>73</v>
      </c>
      <c r="DX6" s="12" t="s">
        <v>74</v>
      </c>
      <c r="DY6" s="12" t="s">
        <v>73</v>
      </c>
      <c r="DZ6" s="12" t="s">
        <v>74</v>
      </c>
      <c r="EA6" s="12" t="s">
        <v>73</v>
      </c>
      <c r="EB6" s="12" t="s">
        <v>74</v>
      </c>
      <c r="EC6" s="12" t="s">
        <v>73</v>
      </c>
      <c r="ED6" s="12" t="s">
        <v>74</v>
      </c>
      <c r="EE6" s="12" t="s">
        <v>73</v>
      </c>
      <c r="EF6" s="12" t="s">
        <v>74</v>
      </c>
      <c r="EG6" s="12" t="s">
        <v>73</v>
      </c>
      <c r="EH6" s="12" t="s">
        <v>74</v>
      </c>
      <c r="EI6" s="12" t="s">
        <v>73</v>
      </c>
      <c r="EJ6" s="12" t="s">
        <v>74</v>
      </c>
      <c r="EK6" s="12" t="s">
        <v>73</v>
      </c>
      <c r="EL6" s="12" t="s">
        <v>74</v>
      </c>
      <c r="EM6" s="12" t="s">
        <v>73</v>
      </c>
      <c r="EN6" s="12" t="s">
        <v>74</v>
      </c>
      <c r="EO6" s="12" t="s">
        <v>73</v>
      </c>
      <c r="EP6" s="12" t="s">
        <v>74</v>
      </c>
      <c r="EQ6" s="12" t="s">
        <v>73</v>
      </c>
      <c r="ER6" s="12" t="s">
        <v>74</v>
      </c>
      <c r="ES6" s="12" t="s">
        <v>73</v>
      </c>
      <c r="ET6" s="12" t="s">
        <v>74</v>
      </c>
      <c r="EU6" s="12" t="s">
        <v>73</v>
      </c>
      <c r="EV6" s="12" t="s">
        <v>74</v>
      </c>
      <c r="EW6" s="12" t="s">
        <v>73</v>
      </c>
      <c r="EX6" s="12" t="s">
        <v>74</v>
      </c>
      <c r="EY6" s="12" t="s">
        <v>73</v>
      </c>
      <c r="EZ6" s="12" t="s">
        <v>74</v>
      </c>
      <c r="FA6" s="12" t="s">
        <v>73</v>
      </c>
      <c r="FB6" s="12" t="s">
        <v>74</v>
      </c>
      <c r="FC6" s="12" t="s">
        <v>73</v>
      </c>
      <c r="FD6" s="12" t="s">
        <v>74</v>
      </c>
      <c r="FE6" s="12" t="s">
        <v>73</v>
      </c>
      <c r="FF6" s="12" t="s">
        <v>74</v>
      </c>
      <c r="FG6" s="11"/>
      <c r="GT6" s="11"/>
      <c r="IG6" s="11"/>
      <c r="JT6" s="11"/>
      <c r="LG6" s="11"/>
      <c r="MT6" s="11"/>
      <c r="OG6" s="11"/>
      <c r="PT6" s="11"/>
    </row>
    <row r="7" spans="1:474" ht="15.75" x14ac:dyDescent="0.25">
      <c r="A7" s="13"/>
      <c r="B7" s="14" t="s">
        <v>75</v>
      </c>
      <c r="C7" s="13"/>
      <c r="D7" s="13"/>
      <c r="E7" s="15" t="s">
        <v>76</v>
      </c>
      <c r="F7" s="15" t="s">
        <v>77</v>
      </c>
      <c r="G7" s="13"/>
      <c r="H7" s="11"/>
      <c r="AU7" s="11"/>
      <c r="CH7" s="11"/>
      <c r="CI7" s="16"/>
      <c r="CJ7" s="16"/>
      <c r="CK7" s="16"/>
      <c r="CL7" s="16"/>
      <c r="CM7" s="16"/>
      <c r="CN7" s="16"/>
      <c r="CO7" s="16"/>
      <c r="CP7" s="16"/>
      <c r="CQ7" s="16"/>
      <c r="CR7" s="16"/>
      <c r="CS7" s="16"/>
      <c r="CT7" s="16"/>
      <c r="CU7" s="16"/>
      <c r="CV7" s="16"/>
      <c r="CW7" s="16"/>
      <c r="CX7" s="16"/>
      <c r="CY7" s="16"/>
      <c r="CZ7" s="16"/>
      <c r="DA7" s="16"/>
      <c r="DB7" s="16"/>
      <c r="DC7" s="16"/>
      <c r="DD7" s="16"/>
      <c r="DE7" s="17"/>
      <c r="DF7" s="17"/>
      <c r="DG7" s="16"/>
      <c r="DH7" s="16"/>
      <c r="DI7" s="17"/>
      <c r="DJ7" s="18">
        <v>7</v>
      </c>
      <c r="DK7" s="16"/>
      <c r="DL7" s="16"/>
      <c r="DM7" s="17"/>
      <c r="DN7" s="17"/>
      <c r="DO7" s="16"/>
      <c r="DP7" s="16"/>
      <c r="DQ7" s="17"/>
      <c r="DR7" s="17"/>
      <c r="DS7" s="16"/>
      <c r="DT7" s="16"/>
      <c r="DU7" s="17"/>
      <c r="DV7" s="17"/>
      <c r="DW7" s="16"/>
      <c r="DX7" s="19">
        <v>3</v>
      </c>
      <c r="DY7" s="17"/>
      <c r="DZ7" s="17"/>
      <c r="EA7" s="16"/>
      <c r="EB7" s="16"/>
      <c r="EC7" s="17"/>
      <c r="ED7" s="17"/>
      <c r="EE7" s="16"/>
      <c r="EF7" s="16"/>
      <c r="EG7" s="17"/>
      <c r="EH7" s="17"/>
      <c r="EI7" s="16"/>
      <c r="EJ7" s="16"/>
      <c r="EK7" s="17"/>
      <c r="EL7" s="18">
        <v>2</v>
      </c>
      <c r="EM7" s="16"/>
      <c r="EN7" s="16"/>
      <c r="EO7" s="17"/>
      <c r="EP7" s="17"/>
      <c r="EQ7" s="16"/>
      <c r="ER7" s="16"/>
      <c r="ES7" s="17"/>
      <c r="ET7" s="18">
        <v>20</v>
      </c>
      <c r="EU7" s="16"/>
      <c r="EV7" s="16"/>
      <c r="EW7" s="17"/>
      <c r="EX7" s="17"/>
      <c r="EY7" s="16"/>
      <c r="EZ7" s="16"/>
      <c r="FA7" s="17"/>
      <c r="FB7" s="17"/>
      <c r="FC7" s="16"/>
      <c r="FD7" s="19">
        <v>2</v>
      </c>
      <c r="FE7" s="17"/>
      <c r="FF7" s="17"/>
      <c r="FG7" s="11"/>
      <c r="GT7" s="11"/>
      <c r="IG7" s="11"/>
      <c r="JT7" s="11"/>
      <c r="LG7" s="11"/>
      <c r="MT7" s="11"/>
      <c r="OG7" s="11"/>
      <c r="PT7" s="11"/>
    </row>
    <row r="8" spans="1:474" ht="15.75" x14ac:dyDescent="0.25">
      <c r="C8" s="20" t="s">
        <v>78</v>
      </c>
      <c r="D8" s="21" t="s">
        <v>79</v>
      </c>
      <c r="H8" s="11"/>
      <c r="AU8" s="11"/>
      <c r="CH8" s="11"/>
      <c r="CI8" s="16"/>
      <c r="CJ8" s="16"/>
      <c r="CK8" s="16"/>
      <c r="CL8" s="16"/>
      <c r="CM8" s="16"/>
      <c r="CN8" s="16"/>
      <c r="CO8" s="16"/>
      <c r="CP8" s="16"/>
      <c r="CQ8" s="16"/>
      <c r="CR8" s="16"/>
      <c r="CS8" s="16"/>
      <c r="CT8" s="16"/>
      <c r="CU8" s="16"/>
      <c r="CV8" s="16"/>
      <c r="CW8" s="16"/>
      <c r="CX8" s="16"/>
      <c r="CY8" s="16"/>
      <c r="CZ8" s="16"/>
      <c r="DA8" s="16"/>
      <c r="DB8" s="16"/>
      <c r="DC8" s="16"/>
      <c r="DD8" s="16"/>
      <c r="DE8" s="17"/>
      <c r="DF8" s="17"/>
      <c r="DG8" s="16"/>
      <c r="DH8" s="16"/>
      <c r="DI8" s="18">
        <v>1</v>
      </c>
      <c r="DJ8" s="18">
        <v>14</v>
      </c>
      <c r="DK8" s="16"/>
      <c r="DL8" s="16"/>
      <c r="DM8" s="17"/>
      <c r="DN8" s="17"/>
      <c r="DO8" s="16"/>
      <c r="DP8" s="16"/>
      <c r="DQ8" s="17"/>
      <c r="DR8" s="17"/>
      <c r="DS8" s="16"/>
      <c r="DT8" s="16"/>
      <c r="DU8" s="17"/>
      <c r="DV8" s="17"/>
      <c r="DW8" s="16"/>
      <c r="DX8" s="16"/>
      <c r="DY8" s="17"/>
      <c r="DZ8" s="17"/>
      <c r="EA8" s="16"/>
      <c r="EB8" s="16"/>
      <c r="EC8" s="17"/>
      <c r="ED8" s="17"/>
      <c r="EE8" s="16"/>
      <c r="EF8" s="16"/>
      <c r="EG8" s="17"/>
      <c r="EH8" s="17"/>
      <c r="EI8" s="16"/>
      <c r="EJ8" s="16"/>
      <c r="EK8" s="17"/>
      <c r="EL8" s="17"/>
      <c r="EM8" s="16"/>
      <c r="EN8" s="16"/>
      <c r="EO8" s="17"/>
      <c r="EP8" s="17"/>
      <c r="EQ8" s="16"/>
      <c r="ER8" s="16"/>
      <c r="ES8" s="17"/>
      <c r="ET8" s="17"/>
      <c r="EU8" s="16"/>
      <c r="EV8" s="16"/>
      <c r="EW8" s="17"/>
      <c r="EX8" s="17"/>
      <c r="EY8" s="16"/>
      <c r="EZ8" s="16"/>
      <c r="FA8" s="17"/>
      <c r="FB8" s="17"/>
      <c r="FC8" s="16"/>
      <c r="FD8" s="16"/>
      <c r="FE8" s="17"/>
      <c r="FF8" s="17"/>
      <c r="FG8" s="11"/>
      <c r="GT8" s="11"/>
      <c r="IG8" s="11"/>
      <c r="JT8" s="11"/>
      <c r="LG8" s="11"/>
      <c r="MT8" s="11"/>
      <c r="OG8" s="11"/>
      <c r="PT8" s="11"/>
    </row>
    <row r="9" spans="1:474" ht="15.75" x14ac:dyDescent="0.25">
      <c r="C9" s="20" t="s">
        <v>80</v>
      </c>
      <c r="D9" s="21" t="s">
        <v>79</v>
      </c>
      <c r="H9" s="11"/>
      <c r="AU9" s="11"/>
      <c r="CH9" s="11"/>
      <c r="CI9" s="16"/>
      <c r="CJ9" s="16"/>
      <c r="CK9" s="16"/>
      <c r="CL9" s="16"/>
      <c r="CM9" s="16"/>
      <c r="CN9" s="16"/>
      <c r="CO9" s="16"/>
      <c r="CP9" s="16"/>
      <c r="CQ9" s="16"/>
      <c r="CR9" s="16"/>
      <c r="CS9" s="16"/>
      <c r="CT9" s="16"/>
      <c r="CU9" s="16"/>
      <c r="CV9" s="16"/>
      <c r="CW9" s="16"/>
      <c r="CX9" s="16"/>
      <c r="CY9" s="16"/>
      <c r="CZ9" s="16"/>
      <c r="DA9" s="16"/>
      <c r="DB9" s="16"/>
      <c r="DC9" s="16"/>
      <c r="DD9" s="16"/>
      <c r="DE9" s="17"/>
      <c r="DF9" s="17"/>
      <c r="DG9" s="16"/>
      <c r="DH9" s="16"/>
      <c r="DI9" s="18">
        <v>0.5</v>
      </c>
      <c r="DJ9" s="18">
        <v>15</v>
      </c>
      <c r="DK9" s="16"/>
      <c r="DL9" s="16"/>
      <c r="DM9" s="17"/>
      <c r="DN9" s="17"/>
      <c r="DO9" s="16"/>
      <c r="DP9" s="16"/>
      <c r="DQ9" s="17"/>
      <c r="DR9" s="17"/>
      <c r="DS9" s="16"/>
      <c r="DT9" s="16"/>
      <c r="DU9" s="17"/>
      <c r="DV9" s="17"/>
      <c r="DW9" s="16"/>
      <c r="DX9" s="16"/>
      <c r="DY9" s="17"/>
      <c r="DZ9" s="17"/>
      <c r="EA9" s="16"/>
      <c r="EB9" s="16"/>
      <c r="EC9" s="17"/>
      <c r="ED9" s="17"/>
      <c r="EE9" s="16"/>
      <c r="EF9" s="16"/>
      <c r="EG9" s="17"/>
      <c r="EH9" s="17"/>
      <c r="EI9" s="16"/>
      <c r="EJ9" s="16"/>
      <c r="EK9" s="17"/>
      <c r="EL9" s="17"/>
      <c r="EM9" s="16"/>
      <c r="EN9" s="16"/>
      <c r="EO9" s="17"/>
      <c r="EP9" s="17"/>
      <c r="EQ9" s="16"/>
      <c r="ER9" s="16"/>
      <c r="ES9" s="17"/>
      <c r="ET9" s="17"/>
      <c r="EU9" s="16"/>
      <c r="EV9" s="16"/>
      <c r="EW9" s="17"/>
      <c r="EX9" s="17"/>
      <c r="EY9" s="16"/>
      <c r="EZ9" s="16"/>
      <c r="FA9" s="17"/>
      <c r="FB9" s="17"/>
      <c r="FC9" s="16"/>
      <c r="FD9" s="16"/>
      <c r="FE9" s="17"/>
      <c r="FF9" s="17"/>
      <c r="FG9" s="11"/>
      <c r="GT9" s="11"/>
      <c r="IG9" s="11"/>
      <c r="JT9" s="11"/>
      <c r="LG9" s="11"/>
      <c r="MT9" s="11"/>
      <c r="OG9" s="11"/>
      <c r="PT9" s="11"/>
    </row>
    <row r="10" spans="1:474" ht="15.75" x14ac:dyDescent="0.25">
      <c r="C10" s="20" t="s">
        <v>81</v>
      </c>
      <c r="D10" s="21" t="s">
        <v>82</v>
      </c>
      <c r="H10" s="11"/>
      <c r="AU10" s="11"/>
      <c r="CH10" s="11"/>
      <c r="CI10" s="16"/>
      <c r="CJ10" s="16"/>
      <c r="CK10" s="16"/>
      <c r="CL10" s="16"/>
      <c r="CM10" s="16"/>
      <c r="CN10" s="16"/>
      <c r="CO10" s="16"/>
      <c r="CP10" s="16"/>
      <c r="CQ10" s="16"/>
      <c r="CR10" s="16"/>
      <c r="CS10" s="16"/>
      <c r="CT10" s="16"/>
      <c r="CU10" s="16"/>
      <c r="CV10" s="16"/>
      <c r="CW10" s="16"/>
      <c r="CX10" s="16"/>
      <c r="CY10" s="16"/>
      <c r="CZ10" s="16"/>
      <c r="DA10" s="16"/>
      <c r="DB10" s="16"/>
      <c r="DC10" s="16"/>
      <c r="DD10" s="16"/>
      <c r="DE10" s="17"/>
      <c r="DF10" s="17"/>
      <c r="DG10" s="16"/>
      <c r="DH10" s="16"/>
      <c r="DI10" s="17"/>
      <c r="DJ10" s="17"/>
      <c r="DK10" s="16"/>
      <c r="DL10" s="16"/>
      <c r="DM10" s="17"/>
      <c r="DN10" s="17"/>
      <c r="DO10" s="16"/>
      <c r="DP10" s="16"/>
      <c r="DQ10" s="17"/>
      <c r="DR10" s="17"/>
      <c r="DS10" s="16"/>
      <c r="DT10" s="16"/>
      <c r="DU10" s="17"/>
      <c r="DV10" s="17"/>
      <c r="DW10" s="16"/>
      <c r="DX10" s="16"/>
      <c r="DY10" s="17"/>
      <c r="DZ10" s="17"/>
      <c r="EA10" s="16"/>
      <c r="EB10" s="16"/>
      <c r="EC10" s="17"/>
      <c r="ED10" s="17"/>
      <c r="EE10" s="16"/>
      <c r="EF10" s="16"/>
      <c r="EG10" s="17"/>
      <c r="EH10" s="17"/>
      <c r="EI10" s="16"/>
      <c r="EJ10" s="16"/>
      <c r="EK10" s="17"/>
      <c r="EL10" s="17"/>
      <c r="EM10" s="16"/>
      <c r="EN10" s="16"/>
      <c r="EO10" s="17"/>
      <c r="EP10" s="17"/>
      <c r="EQ10" s="16"/>
      <c r="ER10" s="16"/>
      <c r="ES10" s="17"/>
      <c r="ET10" s="17"/>
      <c r="EU10" s="16"/>
      <c r="EV10" s="16"/>
      <c r="EW10" s="17"/>
      <c r="EX10" s="17"/>
      <c r="EY10" s="16"/>
      <c r="EZ10" s="16"/>
      <c r="FA10" s="17"/>
      <c r="FB10" s="17"/>
      <c r="FC10" s="16"/>
      <c r="FD10" s="16"/>
      <c r="FE10" s="17"/>
      <c r="FF10" s="17"/>
      <c r="FG10" s="11"/>
      <c r="GT10" s="11"/>
      <c r="IG10" s="11"/>
      <c r="JT10" s="11"/>
      <c r="LG10" s="11"/>
      <c r="MT10" s="11"/>
      <c r="OG10" s="11"/>
      <c r="PT10" s="11"/>
    </row>
    <row r="11" spans="1:474" ht="15.75" x14ac:dyDescent="0.25">
      <c r="C11" s="20" t="s">
        <v>83</v>
      </c>
      <c r="D11" s="21" t="s">
        <v>84</v>
      </c>
      <c r="H11" s="11"/>
      <c r="AU11" s="11"/>
      <c r="CH11" s="11"/>
      <c r="CI11" s="16"/>
      <c r="CJ11" s="16"/>
      <c r="CK11" s="16"/>
      <c r="CL11" s="16"/>
      <c r="CM11" s="16"/>
      <c r="CN11" s="16"/>
      <c r="CO11" s="16"/>
      <c r="CP11" s="16"/>
      <c r="CQ11" s="16"/>
      <c r="CR11" s="16"/>
      <c r="CS11" s="16"/>
      <c r="CT11" s="16"/>
      <c r="CU11" s="16"/>
      <c r="CV11" s="16"/>
      <c r="CW11" s="16"/>
      <c r="CX11" s="16"/>
      <c r="CY11" s="16"/>
      <c r="CZ11" s="16"/>
      <c r="DA11" s="16"/>
      <c r="DB11" s="16"/>
      <c r="DC11" s="16"/>
      <c r="DD11" s="16"/>
      <c r="DE11" s="17"/>
      <c r="DF11" s="17"/>
      <c r="DG11" s="16"/>
      <c r="DH11" s="16"/>
      <c r="DI11" s="17"/>
      <c r="DJ11" s="17"/>
      <c r="DK11" s="16"/>
      <c r="DL11" s="16"/>
      <c r="DM11" s="17"/>
      <c r="DN11" s="17"/>
      <c r="DO11" s="16"/>
      <c r="DP11" s="16"/>
      <c r="DQ11" s="17"/>
      <c r="DR11" s="17"/>
      <c r="DS11" s="16"/>
      <c r="DT11" s="16"/>
      <c r="DU11" s="17"/>
      <c r="DV11" s="17"/>
      <c r="DW11" s="19">
        <v>2</v>
      </c>
      <c r="DX11" s="19">
        <v>3</v>
      </c>
      <c r="DY11" s="17"/>
      <c r="DZ11" s="17"/>
      <c r="EA11" s="16"/>
      <c r="EB11" s="16"/>
      <c r="EC11" s="17"/>
      <c r="ED11" s="17"/>
      <c r="EE11" s="16"/>
      <c r="EF11" s="16"/>
      <c r="EG11" s="17"/>
      <c r="EH11" s="17"/>
      <c r="EI11" s="16"/>
      <c r="EJ11" s="16"/>
      <c r="EK11" s="17"/>
      <c r="EL11" s="17"/>
      <c r="EM11" s="16"/>
      <c r="EN11" s="16"/>
      <c r="EO11" s="17"/>
      <c r="EP11" s="17"/>
      <c r="EQ11" s="16"/>
      <c r="ER11" s="16"/>
      <c r="ES11" s="17"/>
      <c r="ET11" s="17"/>
      <c r="EU11" s="16"/>
      <c r="EV11" s="16"/>
      <c r="EW11" s="17"/>
      <c r="EX11" s="17"/>
      <c r="EY11" s="16"/>
      <c r="EZ11" s="16"/>
      <c r="FA11" s="17"/>
      <c r="FB11" s="17"/>
      <c r="FC11" s="16"/>
      <c r="FD11" s="16"/>
      <c r="FE11" s="17"/>
      <c r="FF11" s="17"/>
      <c r="FG11" s="11"/>
      <c r="GT11" s="11"/>
      <c r="IG11" s="11"/>
      <c r="JT11" s="11"/>
      <c r="LG11" s="11"/>
      <c r="MT11" s="11"/>
      <c r="OG11" s="11"/>
      <c r="PT11" s="11"/>
    </row>
    <row r="12" spans="1:474" ht="15.75" x14ac:dyDescent="0.25">
      <c r="C12" s="20" t="s">
        <v>85</v>
      </c>
      <c r="D12" s="21" t="s">
        <v>79</v>
      </c>
      <c r="H12" s="11"/>
      <c r="AU12" s="11"/>
      <c r="CH12" s="11"/>
      <c r="CI12" s="16"/>
      <c r="CJ12" s="16"/>
      <c r="CK12" s="16"/>
      <c r="CL12" s="16"/>
      <c r="CM12" s="16"/>
      <c r="CN12" s="16"/>
      <c r="CO12" s="16"/>
      <c r="CP12" s="16"/>
      <c r="CQ12" s="16"/>
      <c r="CR12" s="16"/>
      <c r="CS12" s="16"/>
      <c r="CT12" s="16"/>
      <c r="CU12" s="16"/>
      <c r="CV12" s="16"/>
      <c r="CW12" s="16"/>
      <c r="CX12" s="16"/>
      <c r="CY12" s="16"/>
      <c r="CZ12" s="16"/>
      <c r="DA12" s="16"/>
      <c r="DB12" s="16"/>
      <c r="DC12" s="16"/>
      <c r="DD12" s="16"/>
      <c r="DE12" s="17"/>
      <c r="DF12" s="17"/>
      <c r="DG12" s="16"/>
      <c r="DH12" s="16"/>
      <c r="DI12" s="18">
        <v>5</v>
      </c>
      <c r="DJ12" s="18">
        <v>5</v>
      </c>
      <c r="DK12" s="16"/>
      <c r="DL12" s="16"/>
      <c r="DM12" s="17"/>
      <c r="DN12" s="17"/>
      <c r="DO12" s="16"/>
      <c r="DP12" s="16"/>
      <c r="DQ12" s="17"/>
      <c r="DR12" s="17"/>
      <c r="DS12" s="16"/>
      <c r="DT12" s="16"/>
      <c r="DU12" s="17"/>
      <c r="DV12" s="17"/>
      <c r="DW12" s="16"/>
      <c r="DX12" s="16"/>
      <c r="DY12" s="17"/>
      <c r="DZ12" s="17"/>
      <c r="EA12" s="16"/>
      <c r="EB12" s="16"/>
      <c r="EC12" s="17"/>
      <c r="ED12" s="17"/>
      <c r="EE12" s="16"/>
      <c r="EF12" s="16"/>
      <c r="EG12" s="17"/>
      <c r="EH12" s="17"/>
      <c r="EI12" s="16"/>
      <c r="EJ12" s="16"/>
      <c r="EK12" s="17"/>
      <c r="EL12" s="17"/>
      <c r="EM12" s="16"/>
      <c r="EN12" s="16"/>
      <c r="EO12" s="17"/>
      <c r="EP12" s="17"/>
      <c r="EQ12" s="16"/>
      <c r="ER12" s="16"/>
      <c r="ES12" s="17"/>
      <c r="ET12" s="17"/>
      <c r="EU12" s="16"/>
      <c r="EV12" s="16"/>
      <c r="EW12" s="17"/>
      <c r="EX12" s="17"/>
      <c r="EY12" s="16"/>
      <c r="EZ12" s="16"/>
      <c r="FA12" s="17"/>
      <c r="FB12" s="17"/>
      <c r="FC12" s="16"/>
      <c r="FD12" s="16"/>
      <c r="FE12" s="17"/>
      <c r="FF12" s="17"/>
      <c r="FG12" s="11"/>
      <c r="GT12" s="11"/>
      <c r="IG12" s="11"/>
      <c r="JT12" s="11"/>
      <c r="LG12" s="11"/>
      <c r="MT12" s="11"/>
      <c r="OG12" s="11"/>
      <c r="PT12" s="11"/>
    </row>
    <row r="13" spans="1:474" ht="15.75" x14ac:dyDescent="0.25">
      <c r="C13" s="20" t="s">
        <v>86</v>
      </c>
      <c r="D13" s="21" t="s">
        <v>82</v>
      </c>
      <c r="H13" s="11"/>
      <c r="AU13" s="11"/>
      <c r="CH13" s="11"/>
      <c r="CI13" s="16"/>
      <c r="CJ13" s="16"/>
      <c r="CK13" s="16"/>
      <c r="CL13" s="16"/>
      <c r="CM13" s="16"/>
      <c r="CN13" s="16"/>
      <c r="CO13" s="16"/>
      <c r="CP13" s="16"/>
      <c r="CQ13" s="16"/>
      <c r="CR13" s="16"/>
      <c r="CS13" s="16"/>
      <c r="CT13" s="16"/>
      <c r="CU13" s="16"/>
      <c r="CV13" s="16"/>
      <c r="CW13" s="16"/>
      <c r="CX13" s="16"/>
      <c r="CY13" s="16"/>
      <c r="CZ13" s="16"/>
      <c r="DA13" s="16"/>
      <c r="DB13" s="16"/>
      <c r="DC13" s="16"/>
      <c r="DD13" s="16"/>
      <c r="DE13" s="17"/>
      <c r="DF13" s="17"/>
      <c r="DG13" s="16"/>
      <c r="DH13" s="16"/>
      <c r="DI13" s="17"/>
      <c r="DJ13" s="17"/>
      <c r="DK13" s="16"/>
      <c r="DL13" s="16"/>
      <c r="DM13" s="17"/>
      <c r="DN13" s="17"/>
      <c r="DO13" s="16"/>
      <c r="DP13" s="16"/>
      <c r="DQ13" s="17"/>
      <c r="DR13" s="17"/>
      <c r="DS13" s="16"/>
      <c r="DT13" s="16"/>
      <c r="DU13" s="17"/>
      <c r="DV13" s="17"/>
      <c r="DW13" s="16"/>
      <c r="DX13" s="16"/>
      <c r="DY13" s="17"/>
      <c r="DZ13" s="17"/>
      <c r="EA13" s="16"/>
      <c r="EB13" s="16"/>
      <c r="EC13" s="17"/>
      <c r="ED13" s="17"/>
      <c r="EE13" s="16"/>
      <c r="EF13" s="16"/>
      <c r="EG13" s="17"/>
      <c r="EH13" s="17"/>
      <c r="EI13" s="16"/>
      <c r="EJ13" s="16"/>
      <c r="EK13" s="17"/>
      <c r="EL13" s="17"/>
      <c r="EM13" s="16"/>
      <c r="EN13" s="16"/>
      <c r="EO13" s="17"/>
      <c r="EP13" s="17"/>
      <c r="EQ13" s="16"/>
      <c r="ER13" s="16"/>
      <c r="ES13" s="17"/>
      <c r="ET13" s="17"/>
      <c r="EU13" s="16"/>
      <c r="EV13" s="16"/>
      <c r="EW13" s="17"/>
      <c r="EX13" s="17"/>
      <c r="EY13" s="16"/>
      <c r="EZ13" s="16"/>
      <c r="FA13" s="17"/>
      <c r="FB13" s="17"/>
      <c r="FC13" s="16"/>
      <c r="FD13" s="16"/>
      <c r="FE13" s="17"/>
      <c r="FF13" s="17"/>
      <c r="FG13" s="11"/>
      <c r="GT13" s="11"/>
      <c r="IG13" s="11"/>
      <c r="JT13" s="11"/>
      <c r="LG13" s="11"/>
      <c r="MT13" s="11"/>
      <c r="OG13" s="11"/>
      <c r="PT13" s="11"/>
    </row>
    <row r="14" spans="1:474" ht="25.5" x14ac:dyDescent="0.25">
      <c r="C14" s="20" t="s">
        <v>87</v>
      </c>
      <c r="D14" s="21" t="s">
        <v>79</v>
      </c>
      <c r="H14" s="11"/>
      <c r="AU14" s="11"/>
      <c r="CH14" s="11"/>
      <c r="CI14" s="16"/>
      <c r="CJ14" s="16"/>
      <c r="CK14" s="16"/>
      <c r="CL14" s="16"/>
      <c r="CM14" s="16"/>
      <c r="CN14" s="16"/>
      <c r="CO14" s="16"/>
      <c r="CP14" s="16"/>
      <c r="CQ14" s="16"/>
      <c r="CR14" s="16"/>
      <c r="CS14" s="16"/>
      <c r="CT14" s="16"/>
      <c r="CU14" s="16"/>
      <c r="CV14" s="16"/>
      <c r="CW14" s="16"/>
      <c r="CX14" s="16"/>
      <c r="CY14" s="16"/>
      <c r="CZ14" s="16"/>
      <c r="DA14" s="16"/>
      <c r="DB14" s="16"/>
      <c r="DC14" s="16"/>
      <c r="DD14" s="16"/>
      <c r="DE14" s="17"/>
      <c r="DF14" s="17"/>
      <c r="DG14" s="16"/>
      <c r="DH14" s="16"/>
      <c r="DI14" s="18">
        <v>1</v>
      </c>
      <c r="DJ14" s="18">
        <v>10</v>
      </c>
      <c r="DK14" s="16"/>
      <c r="DL14" s="16"/>
      <c r="DM14" s="17"/>
      <c r="DN14" s="17"/>
      <c r="DO14" s="16"/>
      <c r="DP14" s="16"/>
      <c r="DQ14" s="17"/>
      <c r="DR14" s="17"/>
      <c r="DS14" s="16"/>
      <c r="DT14" s="16"/>
      <c r="DU14" s="17"/>
      <c r="DV14" s="17"/>
      <c r="DW14" s="16"/>
      <c r="DX14" s="16"/>
      <c r="DY14" s="17"/>
      <c r="DZ14" s="17"/>
      <c r="EA14" s="16"/>
      <c r="EB14" s="16"/>
      <c r="EC14" s="17"/>
      <c r="ED14" s="17"/>
      <c r="EE14" s="16"/>
      <c r="EF14" s="16"/>
      <c r="EG14" s="17"/>
      <c r="EH14" s="17"/>
      <c r="EI14" s="16"/>
      <c r="EJ14" s="16"/>
      <c r="EK14" s="17"/>
      <c r="EL14" s="17"/>
      <c r="EM14" s="16"/>
      <c r="EN14" s="16"/>
      <c r="EO14" s="17"/>
      <c r="EP14" s="17"/>
      <c r="EQ14" s="16"/>
      <c r="ER14" s="16"/>
      <c r="ES14" s="17"/>
      <c r="ET14" s="17"/>
      <c r="EU14" s="16"/>
      <c r="EV14" s="16"/>
      <c r="EW14" s="17"/>
      <c r="EX14" s="17"/>
      <c r="EY14" s="16"/>
      <c r="EZ14" s="16"/>
      <c r="FA14" s="17"/>
      <c r="FB14" s="17"/>
      <c r="FC14" s="16"/>
      <c r="FD14" s="16"/>
      <c r="FE14" s="17"/>
      <c r="FF14" s="17"/>
      <c r="FG14" s="11"/>
      <c r="GT14" s="11"/>
      <c r="IG14" s="11"/>
      <c r="JT14" s="11"/>
      <c r="LG14" s="11"/>
      <c r="MT14" s="11"/>
      <c r="OG14" s="11"/>
      <c r="PT14" s="11"/>
    </row>
    <row r="15" spans="1:474" ht="15.75" x14ac:dyDescent="0.25">
      <c r="C15" s="20" t="s">
        <v>88</v>
      </c>
      <c r="D15" s="21" t="s">
        <v>84</v>
      </c>
      <c r="H15" s="11"/>
      <c r="AU15" s="11"/>
      <c r="CH15" s="11"/>
      <c r="CI15" s="16"/>
      <c r="CJ15" s="16"/>
      <c r="CK15" s="16"/>
      <c r="CL15" s="16"/>
      <c r="CM15" s="16"/>
      <c r="CN15" s="16"/>
      <c r="CO15" s="16"/>
      <c r="CP15" s="16"/>
      <c r="CQ15" s="16"/>
      <c r="CR15" s="16"/>
      <c r="CS15" s="16"/>
      <c r="CT15" s="16"/>
      <c r="CU15" s="16"/>
      <c r="CV15" s="16"/>
      <c r="CW15" s="16"/>
      <c r="CX15" s="16"/>
      <c r="CY15" s="16"/>
      <c r="CZ15" s="16"/>
      <c r="DA15" s="16"/>
      <c r="DB15" s="16"/>
      <c r="DC15" s="16"/>
      <c r="DD15" s="16"/>
      <c r="DE15" s="17"/>
      <c r="DF15" s="17"/>
      <c r="DG15" s="16"/>
      <c r="DH15" s="16"/>
      <c r="DI15" s="17"/>
      <c r="DJ15" s="17"/>
      <c r="DK15" s="16"/>
      <c r="DL15" s="16"/>
      <c r="DM15" s="17"/>
      <c r="DN15" s="17"/>
      <c r="DO15" s="16"/>
      <c r="DP15" s="16"/>
      <c r="DQ15" s="17"/>
      <c r="DR15" s="17"/>
      <c r="DS15" s="16"/>
      <c r="DT15" s="16"/>
      <c r="DU15" s="17"/>
      <c r="DV15" s="17"/>
      <c r="DW15" s="16"/>
      <c r="DX15" s="19">
        <v>15</v>
      </c>
      <c r="DY15" s="17"/>
      <c r="DZ15" s="17"/>
      <c r="EA15" s="16"/>
      <c r="EB15" s="16"/>
      <c r="EC15" s="17"/>
      <c r="ED15" s="17"/>
      <c r="EE15" s="16"/>
      <c r="EF15" s="16"/>
      <c r="EG15" s="17"/>
      <c r="EH15" s="17"/>
      <c r="EI15" s="16"/>
      <c r="EJ15" s="16"/>
      <c r="EK15" s="17"/>
      <c r="EL15" s="17"/>
      <c r="EM15" s="16"/>
      <c r="EN15" s="16"/>
      <c r="EO15" s="17"/>
      <c r="EP15" s="17"/>
      <c r="EQ15" s="16"/>
      <c r="ER15" s="16"/>
      <c r="ES15" s="17"/>
      <c r="ET15" s="17"/>
      <c r="EU15" s="16"/>
      <c r="EV15" s="16"/>
      <c r="EW15" s="17"/>
      <c r="EX15" s="17"/>
      <c r="EY15" s="16"/>
      <c r="EZ15" s="16"/>
      <c r="FA15" s="17"/>
      <c r="FB15" s="17"/>
      <c r="FC15" s="16"/>
      <c r="FD15" s="16"/>
      <c r="FE15" s="17"/>
      <c r="FF15" s="17"/>
      <c r="FG15" s="11"/>
      <c r="GT15" s="11"/>
      <c r="IG15" s="11"/>
      <c r="JT15" s="11"/>
      <c r="LG15" s="11"/>
      <c r="MT15" s="11"/>
      <c r="OG15" s="11"/>
      <c r="PT15" s="11"/>
    </row>
    <row r="16" spans="1:474" ht="15.75" x14ac:dyDescent="0.25">
      <c r="C16" s="20" t="s">
        <v>89</v>
      </c>
      <c r="D16" s="21" t="s">
        <v>90</v>
      </c>
      <c r="H16" s="11"/>
      <c r="AU16" s="11"/>
      <c r="CH16" s="11"/>
      <c r="CI16" s="16"/>
      <c r="CJ16" s="16"/>
      <c r="CK16" s="16"/>
      <c r="CL16" s="16"/>
      <c r="CM16" s="16"/>
      <c r="CN16" s="16"/>
      <c r="CO16" s="16"/>
      <c r="CP16" s="16"/>
      <c r="CQ16" s="16"/>
      <c r="CR16" s="16"/>
      <c r="CS16" s="16"/>
      <c r="CT16" s="16"/>
      <c r="CU16" s="16"/>
      <c r="CV16" s="16"/>
      <c r="CW16" s="16"/>
      <c r="CX16" s="16"/>
      <c r="CY16" s="16"/>
      <c r="CZ16" s="16"/>
      <c r="DA16" s="16"/>
      <c r="DB16" s="16"/>
      <c r="DC16" s="16"/>
      <c r="DD16" s="16"/>
      <c r="DE16" s="17"/>
      <c r="DF16" s="17"/>
      <c r="DG16" s="16"/>
      <c r="DH16" s="16"/>
      <c r="DI16" s="17"/>
      <c r="DJ16" s="17"/>
      <c r="DK16" s="16"/>
      <c r="DL16" s="16"/>
      <c r="DM16" s="17"/>
      <c r="DN16" s="17"/>
      <c r="DO16" s="16"/>
      <c r="DP16" s="16"/>
      <c r="DQ16" s="17"/>
      <c r="DR16" s="17"/>
      <c r="DS16" s="16"/>
      <c r="DT16" s="16"/>
      <c r="DU16" s="17"/>
      <c r="DV16" s="17"/>
      <c r="DW16" s="16"/>
      <c r="DX16" s="16"/>
      <c r="DY16" s="17"/>
      <c r="DZ16" s="17"/>
      <c r="EA16" s="16"/>
      <c r="EB16" s="16"/>
      <c r="EC16" s="17"/>
      <c r="ED16" s="17"/>
      <c r="EE16" s="16"/>
      <c r="EF16" s="16"/>
      <c r="EG16" s="17"/>
      <c r="EH16" s="17"/>
      <c r="EI16" s="16"/>
      <c r="EJ16" s="16"/>
      <c r="EK16" s="17"/>
      <c r="EL16" s="17"/>
      <c r="EM16" s="16"/>
      <c r="EN16" s="16"/>
      <c r="EO16" s="17"/>
      <c r="EP16" s="17"/>
      <c r="EQ16" s="16"/>
      <c r="ER16" s="16"/>
      <c r="ES16" s="17"/>
      <c r="ET16" s="17"/>
      <c r="EU16" s="16"/>
      <c r="EV16" s="16"/>
      <c r="EW16" s="17"/>
      <c r="EX16" s="17"/>
      <c r="EY16" s="16"/>
      <c r="EZ16" s="16"/>
      <c r="FA16" s="17"/>
      <c r="FB16" s="17"/>
      <c r="FC16" s="16"/>
      <c r="FD16" s="16"/>
      <c r="FE16" s="17"/>
      <c r="FF16" s="17"/>
      <c r="FG16" s="11"/>
      <c r="GT16" s="11"/>
      <c r="IG16" s="11"/>
      <c r="JT16" s="11"/>
      <c r="LG16" s="11"/>
      <c r="MT16" s="11"/>
      <c r="OG16" s="11"/>
      <c r="PT16" s="11"/>
    </row>
    <row r="17" spans="3:436" ht="15.75" x14ac:dyDescent="0.25">
      <c r="C17" s="20" t="s">
        <v>78</v>
      </c>
      <c r="D17" s="21" t="s">
        <v>79</v>
      </c>
      <c r="H17" s="11"/>
      <c r="AU17" s="11"/>
      <c r="CH17" s="11"/>
      <c r="CI17" s="16"/>
      <c r="CJ17" s="16"/>
      <c r="CK17" s="16"/>
      <c r="CL17" s="16"/>
      <c r="CM17" s="16"/>
      <c r="CN17" s="16"/>
      <c r="CO17" s="16"/>
      <c r="CP17" s="16"/>
      <c r="CQ17" s="16"/>
      <c r="CR17" s="16"/>
      <c r="CS17" s="16"/>
      <c r="CT17" s="16"/>
      <c r="CU17" s="16"/>
      <c r="CV17" s="16"/>
      <c r="CW17" s="16"/>
      <c r="CX17" s="16"/>
      <c r="CY17" s="16"/>
      <c r="CZ17" s="16"/>
      <c r="DA17" s="16"/>
      <c r="DB17" s="16"/>
      <c r="DC17" s="16"/>
      <c r="DD17" s="16"/>
      <c r="DE17" s="17"/>
      <c r="DF17" s="17"/>
      <c r="DG17" s="16"/>
      <c r="DH17" s="16"/>
      <c r="DI17" s="17"/>
      <c r="DJ17" s="17"/>
      <c r="DK17" s="16"/>
      <c r="DL17" s="16"/>
      <c r="DM17" s="17"/>
      <c r="DN17" s="17"/>
      <c r="DO17" s="16"/>
      <c r="DP17" s="16"/>
      <c r="DQ17" s="17"/>
      <c r="DR17" s="17"/>
      <c r="DS17" s="16"/>
      <c r="DT17" s="16"/>
      <c r="DU17" s="17"/>
      <c r="DV17" s="17"/>
      <c r="DW17" s="16"/>
      <c r="DX17" s="16"/>
      <c r="DY17" s="17"/>
      <c r="DZ17" s="17"/>
      <c r="EA17" s="16"/>
      <c r="EB17" s="16"/>
      <c r="EC17" s="17"/>
      <c r="ED17" s="17"/>
      <c r="EE17" s="16"/>
      <c r="EF17" s="16"/>
      <c r="EG17" s="17"/>
      <c r="EH17" s="17"/>
      <c r="EI17" s="16"/>
      <c r="EJ17" s="16"/>
      <c r="EK17" s="17"/>
      <c r="EL17" s="17"/>
      <c r="EM17" s="16"/>
      <c r="EN17" s="16"/>
      <c r="EO17" s="17"/>
      <c r="EP17" s="17"/>
      <c r="EQ17" s="16"/>
      <c r="ER17" s="16"/>
      <c r="ES17" s="17"/>
      <c r="ET17" s="17"/>
      <c r="EU17" s="16"/>
      <c r="EV17" s="16"/>
      <c r="EW17" s="17"/>
      <c r="EX17" s="17"/>
      <c r="EY17" s="16"/>
      <c r="EZ17" s="16"/>
      <c r="FA17" s="17"/>
      <c r="FB17" s="17"/>
      <c r="FC17" s="16"/>
      <c r="FD17" s="16"/>
      <c r="FE17" s="17"/>
      <c r="FF17" s="17"/>
      <c r="FG17" s="11"/>
      <c r="GT17" s="11"/>
      <c r="IG17" s="11"/>
      <c r="JT17" s="11"/>
      <c r="LG17" s="11"/>
      <c r="MT17" s="11"/>
      <c r="OG17" s="11"/>
      <c r="PT17" s="11"/>
    </row>
    <row r="18" spans="3:436" ht="15.75" x14ac:dyDescent="0.25">
      <c r="C18" s="20" t="s">
        <v>80</v>
      </c>
      <c r="D18" s="21" t="s">
        <v>79</v>
      </c>
      <c r="H18" s="11"/>
      <c r="AU18" s="11"/>
      <c r="CH18" s="11"/>
      <c r="CI18" s="16"/>
      <c r="CJ18" s="16"/>
      <c r="CK18" s="16"/>
      <c r="CL18" s="16"/>
      <c r="CM18" s="16"/>
      <c r="CN18" s="16"/>
      <c r="CO18" s="16"/>
      <c r="CP18" s="16"/>
      <c r="CQ18" s="16"/>
      <c r="CR18" s="16"/>
      <c r="CS18" s="16"/>
      <c r="CT18" s="16"/>
      <c r="CU18" s="16"/>
      <c r="CV18" s="16"/>
      <c r="CW18" s="16"/>
      <c r="CX18" s="16"/>
      <c r="CY18" s="16"/>
      <c r="CZ18" s="16"/>
      <c r="DA18" s="16"/>
      <c r="DB18" s="16"/>
      <c r="DC18" s="16"/>
      <c r="DD18" s="16"/>
      <c r="DE18" s="17"/>
      <c r="DF18" s="17"/>
      <c r="DG18" s="16"/>
      <c r="DH18" s="16"/>
      <c r="DI18" s="17"/>
      <c r="DJ18" s="17"/>
      <c r="DK18" s="16"/>
      <c r="DL18" s="16"/>
      <c r="DM18" s="17"/>
      <c r="DN18" s="17"/>
      <c r="DO18" s="16"/>
      <c r="DP18" s="16"/>
      <c r="DQ18" s="17"/>
      <c r="DR18" s="17"/>
      <c r="DS18" s="16"/>
      <c r="DT18" s="16"/>
      <c r="DU18" s="17"/>
      <c r="DV18" s="17"/>
      <c r="DW18" s="16"/>
      <c r="DX18" s="16"/>
      <c r="DY18" s="17"/>
      <c r="DZ18" s="17"/>
      <c r="EA18" s="16"/>
      <c r="EB18" s="16"/>
      <c r="EC18" s="17"/>
      <c r="ED18" s="17"/>
      <c r="EE18" s="16"/>
      <c r="EF18" s="16"/>
      <c r="EG18" s="17"/>
      <c r="EH18" s="17"/>
      <c r="EI18" s="16"/>
      <c r="EJ18" s="16"/>
      <c r="EK18" s="17"/>
      <c r="EL18" s="17"/>
      <c r="EM18" s="16"/>
      <c r="EN18" s="16"/>
      <c r="EO18" s="17"/>
      <c r="EP18" s="17"/>
      <c r="EQ18" s="16"/>
      <c r="ER18" s="16"/>
      <c r="ES18" s="17"/>
      <c r="ET18" s="17"/>
      <c r="EU18" s="16"/>
      <c r="EV18" s="16"/>
      <c r="EW18" s="17"/>
      <c r="EX18" s="17"/>
      <c r="EY18" s="16"/>
      <c r="EZ18" s="16"/>
      <c r="FA18" s="17"/>
      <c r="FB18" s="17"/>
      <c r="FC18" s="16"/>
      <c r="FD18" s="16"/>
      <c r="FE18" s="17"/>
      <c r="FF18" s="17"/>
      <c r="FG18" s="11"/>
      <c r="GT18" s="11"/>
      <c r="IG18" s="11"/>
      <c r="JT18" s="11"/>
      <c r="LG18" s="11"/>
      <c r="MT18" s="11"/>
      <c r="OG18" s="11"/>
      <c r="PT18" s="11"/>
    </row>
    <row r="19" spans="3:436" ht="15.75" x14ac:dyDescent="0.25">
      <c r="C19" s="20" t="s">
        <v>81</v>
      </c>
      <c r="D19" s="21" t="s">
        <v>82</v>
      </c>
      <c r="H19" s="11"/>
      <c r="AU19" s="11"/>
      <c r="CH19" s="11"/>
      <c r="CI19" s="16"/>
      <c r="CJ19" s="16"/>
      <c r="CK19" s="16"/>
      <c r="CL19" s="16"/>
      <c r="CM19" s="16"/>
      <c r="CN19" s="16"/>
      <c r="CO19" s="16"/>
      <c r="CP19" s="16"/>
      <c r="CQ19" s="16"/>
      <c r="CR19" s="16"/>
      <c r="CS19" s="16"/>
      <c r="CT19" s="16"/>
      <c r="CU19" s="16"/>
      <c r="CV19" s="16"/>
      <c r="CW19" s="16"/>
      <c r="CX19" s="16"/>
      <c r="CY19" s="16"/>
      <c r="CZ19" s="16"/>
      <c r="DA19" s="16"/>
      <c r="DB19" s="16"/>
      <c r="DC19" s="16"/>
      <c r="DD19" s="16"/>
      <c r="DE19" s="17"/>
      <c r="DF19" s="17"/>
      <c r="DG19" s="16"/>
      <c r="DH19" s="16"/>
      <c r="DI19" s="17"/>
      <c r="DJ19" s="17"/>
      <c r="DK19" s="16"/>
      <c r="DL19" s="16"/>
      <c r="DM19" s="17"/>
      <c r="DN19" s="17"/>
      <c r="DO19" s="16"/>
      <c r="DP19" s="16"/>
      <c r="DQ19" s="17"/>
      <c r="DR19" s="17"/>
      <c r="DS19" s="16"/>
      <c r="DT19" s="16"/>
      <c r="DU19" s="17"/>
      <c r="DV19" s="17"/>
      <c r="DW19" s="16"/>
      <c r="DX19" s="16"/>
      <c r="DY19" s="17"/>
      <c r="DZ19" s="17"/>
      <c r="EA19" s="16"/>
      <c r="EB19" s="16"/>
      <c r="EC19" s="17"/>
      <c r="ED19" s="17"/>
      <c r="EE19" s="16"/>
      <c r="EF19" s="16"/>
      <c r="EG19" s="17"/>
      <c r="EH19" s="17"/>
      <c r="EI19" s="16"/>
      <c r="EJ19" s="16"/>
      <c r="EK19" s="17"/>
      <c r="EL19" s="17"/>
      <c r="EM19" s="16"/>
      <c r="EN19" s="16"/>
      <c r="EO19" s="17"/>
      <c r="EP19" s="17"/>
      <c r="EQ19" s="16"/>
      <c r="ER19" s="16"/>
      <c r="ES19" s="17"/>
      <c r="ET19" s="17"/>
      <c r="EU19" s="16"/>
      <c r="EV19" s="16"/>
      <c r="EW19" s="17"/>
      <c r="EX19" s="17"/>
      <c r="EY19" s="16"/>
      <c r="EZ19" s="16"/>
      <c r="FA19" s="17"/>
      <c r="FB19" s="17"/>
      <c r="FC19" s="16"/>
      <c r="FD19" s="16"/>
      <c r="FE19" s="17"/>
      <c r="FF19" s="17"/>
      <c r="FG19" s="11"/>
      <c r="GT19" s="11"/>
      <c r="IG19" s="11"/>
      <c r="JT19" s="11"/>
      <c r="LG19" s="11"/>
      <c r="MT19" s="11"/>
      <c r="OG19" s="11"/>
      <c r="PT19" s="11"/>
    </row>
    <row r="20" spans="3:436" ht="15.75" x14ac:dyDescent="0.25">
      <c r="C20" s="20" t="s">
        <v>91</v>
      </c>
      <c r="D20" s="21" t="s">
        <v>82</v>
      </c>
      <c r="H20" s="11"/>
      <c r="AU20" s="11"/>
      <c r="CH20" s="11"/>
      <c r="CI20" s="16"/>
      <c r="CJ20" s="16"/>
      <c r="CK20" s="16"/>
      <c r="CL20" s="16"/>
      <c r="CM20" s="16"/>
      <c r="CN20" s="16"/>
      <c r="CO20" s="16"/>
      <c r="CP20" s="16"/>
      <c r="CQ20" s="16"/>
      <c r="CR20" s="16"/>
      <c r="CS20" s="16"/>
      <c r="CT20" s="16"/>
      <c r="CU20" s="16"/>
      <c r="CV20" s="16"/>
      <c r="CW20" s="16"/>
      <c r="CX20" s="16"/>
      <c r="CY20" s="16"/>
      <c r="CZ20" s="16"/>
      <c r="DA20" s="16"/>
      <c r="DB20" s="16"/>
      <c r="DC20" s="16"/>
      <c r="DD20" s="16"/>
      <c r="DE20" s="17"/>
      <c r="DF20" s="17"/>
      <c r="DG20" s="16"/>
      <c r="DH20" s="16"/>
      <c r="DI20" s="17"/>
      <c r="DJ20" s="17"/>
      <c r="DK20" s="16"/>
      <c r="DL20" s="16"/>
      <c r="DM20" s="17"/>
      <c r="DN20" s="17"/>
      <c r="DO20" s="16"/>
      <c r="DP20" s="16"/>
      <c r="DQ20" s="17"/>
      <c r="DR20" s="17"/>
      <c r="DS20" s="16"/>
      <c r="DT20" s="16"/>
      <c r="DU20" s="17"/>
      <c r="DV20" s="17"/>
      <c r="DW20" s="16"/>
      <c r="DX20" s="16"/>
      <c r="DY20" s="17"/>
      <c r="DZ20" s="17"/>
      <c r="EA20" s="16"/>
      <c r="EB20" s="16"/>
      <c r="EC20" s="17"/>
      <c r="ED20" s="17"/>
      <c r="EE20" s="16"/>
      <c r="EF20" s="16"/>
      <c r="EG20" s="17"/>
      <c r="EH20" s="17"/>
      <c r="EI20" s="16"/>
      <c r="EJ20" s="16"/>
      <c r="EK20" s="17"/>
      <c r="EL20" s="17"/>
      <c r="EM20" s="16"/>
      <c r="EN20" s="16"/>
      <c r="EO20" s="17"/>
      <c r="EP20" s="17"/>
      <c r="EQ20" s="16"/>
      <c r="ER20" s="16"/>
      <c r="ES20" s="18">
        <v>2</v>
      </c>
      <c r="ET20" s="18">
        <v>3</v>
      </c>
      <c r="EU20" s="16"/>
      <c r="EV20" s="16"/>
      <c r="EW20" s="17"/>
      <c r="EX20" s="17"/>
      <c r="EY20" s="16"/>
      <c r="EZ20" s="16"/>
      <c r="FA20" s="17"/>
      <c r="FB20" s="17"/>
      <c r="FC20" s="16"/>
      <c r="FD20" s="16"/>
      <c r="FE20" s="17"/>
      <c r="FF20" s="17"/>
      <c r="FG20" s="11"/>
      <c r="GT20" s="11"/>
      <c r="IG20" s="11"/>
      <c r="JT20" s="11"/>
      <c r="LG20" s="11"/>
      <c r="MT20" s="11"/>
      <c r="OG20" s="11"/>
      <c r="PT20" s="11"/>
    </row>
    <row r="21" spans="3:436" ht="15.75" x14ac:dyDescent="0.25">
      <c r="C21" s="20" t="s">
        <v>92</v>
      </c>
      <c r="D21" s="21" t="s">
        <v>93</v>
      </c>
      <c r="H21" s="11"/>
      <c r="AU21" s="11"/>
      <c r="CH21" s="11"/>
      <c r="CI21" s="16"/>
      <c r="CJ21" s="16"/>
      <c r="CK21" s="16"/>
      <c r="CL21" s="16"/>
      <c r="CM21" s="16"/>
      <c r="CN21" s="16"/>
      <c r="CO21" s="16"/>
      <c r="CP21" s="16"/>
      <c r="CQ21" s="16"/>
      <c r="CR21" s="16"/>
      <c r="CS21" s="16"/>
      <c r="CT21" s="16"/>
      <c r="CU21" s="16"/>
      <c r="CV21" s="16"/>
      <c r="CW21" s="16"/>
      <c r="CX21" s="16"/>
      <c r="CY21" s="16"/>
      <c r="CZ21" s="16"/>
      <c r="DA21" s="16"/>
      <c r="DB21" s="16"/>
      <c r="DC21" s="16"/>
      <c r="DD21" s="16"/>
      <c r="DE21" s="17"/>
      <c r="DF21" s="17"/>
      <c r="DG21" s="16"/>
      <c r="DH21" s="16"/>
      <c r="DI21" s="17"/>
      <c r="DJ21" s="17"/>
      <c r="DK21" s="16"/>
      <c r="DL21" s="16"/>
      <c r="DM21" s="17"/>
      <c r="DN21" s="17"/>
      <c r="DO21" s="16"/>
      <c r="DP21" s="16"/>
      <c r="DQ21" s="17"/>
      <c r="DR21" s="17"/>
      <c r="DS21" s="16"/>
      <c r="DT21" s="16"/>
      <c r="DU21" s="17"/>
      <c r="DV21" s="17"/>
      <c r="DW21" s="16"/>
      <c r="DX21" s="16"/>
      <c r="DY21" s="17"/>
      <c r="DZ21" s="17"/>
      <c r="EA21" s="16"/>
      <c r="EB21" s="16"/>
      <c r="EC21" s="17"/>
      <c r="ED21" s="17"/>
      <c r="EE21" s="16"/>
      <c r="EF21" s="16"/>
      <c r="EG21" s="17"/>
      <c r="EH21" s="17"/>
      <c r="EI21" s="16"/>
      <c r="EJ21" s="16"/>
      <c r="EK21" s="17"/>
      <c r="EL21" s="17"/>
      <c r="EM21" s="16"/>
      <c r="EN21" s="16"/>
      <c r="EO21" s="17"/>
      <c r="EP21" s="17"/>
      <c r="EQ21" s="16"/>
      <c r="ER21" s="16"/>
      <c r="ES21" s="17"/>
      <c r="ET21" s="17"/>
      <c r="EU21" s="16"/>
      <c r="EV21" s="16"/>
      <c r="EW21" s="18">
        <v>1</v>
      </c>
      <c r="EX21" s="18">
        <v>2</v>
      </c>
      <c r="EY21" s="16"/>
      <c r="EZ21" s="16"/>
      <c r="FA21" s="17"/>
      <c r="FB21" s="17"/>
      <c r="FC21" s="16"/>
      <c r="FD21" s="16"/>
      <c r="FE21" s="17"/>
      <c r="FF21" s="17"/>
      <c r="FG21" s="11"/>
      <c r="GT21" s="11"/>
      <c r="IG21" s="11"/>
      <c r="JT21" s="11"/>
      <c r="LG21" s="11"/>
      <c r="MT21" s="11"/>
      <c r="OG21" s="11"/>
      <c r="PT21" s="11"/>
    </row>
    <row r="22" spans="3:436" ht="15.75" x14ac:dyDescent="0.25">
      <c r="C22" s="20" t="s">
        <v>94</v>
      </c>
      <c r="D22" s="21" t="s">
        <v>93</v>
      </c>
      <c r="H22" s="11"/>
      <c r="AU22" s="11"/>
      <c r="CH22" s="11"/>
      <c r="CI22" s="16"/>
      <c r="CJ22" s="16"/>
      <c r="CK22" s="16"/>
      <c r="CL22" s="16"/>
      <c r="CM22" s="16"/>
      <c r="CN22" s="16"/>
      <c r="CO22" s="16"/>
      <c r="CP22" s="16"/>
      <c r="CQ22" s="16"/>
      <c r="CR22" s="16"/>
      <c r="CS22" s="16"/>
      <c r="CT22" s="16"/>
      <c r="CU22" s="16"/>
      <c r="CV22" s="16"/>
      <c r="CW22" s="16"/>
      <c r="CX22" s="16"/>
      <c r="CY22" s="16"/>
      <c r="CZ22" s="16"/>
      <c r="DA22" s="16"/>
      <c r="DB22" s="16"/>
      <c r="DC22" s="16"/>
      <c r="DD22" s="16"/>
      <c r="DE22" s="17"/>
      <c r="DF22" s="17"/>
      <c r="DG22" s="16"/>
      <c r="DH22" s="16"/>
      <c r="DI22" s="17"/>
      <c r="DJ22" s="17"/>
      <c r="DK22" s="16"/>
      <c r="DL22" s="16"/>
      <c r="DM22" s="17"/>
      <c r="DN22" s="17"/>
      <c r="DO22" s="16"/>
      <c r="DP22" s="16"/>
      <c r="DQ22" s="17"/>
      <c r="DR22" s="17"/>
      <c r="DS22" s="16"/>
      <c r="DT22" s="16"/>
      <c r="DU22" s="17"/>
      <c r="DV22" s="17"/>
      <c r="DW22" s="16"/>
      <c r="DX22" s="16"/>
      <c r="DY22" s="17"/>
      <c r="DZ22" s="17"/>
      <c r="EA22" s="16"/>
      <c r="EB22" s="16"/>
      <c r="EC22" s="17"/>
      <c r="ED22" s="17"/>
      <c r="EE22" s="16"/>
      <c r="EF22" s="16"/>
      <c r="EG22" s="17"/>
      <c r="EH22" s="17"/>
      <c r="EI22" s="16"/>
      <c r="EJ22" s="16"/>
      <c r="EK22" s="17"/>
      <c r="EL22" s="17"/>
      <c r="EM22" s="16"/>
      <c r="EN22" s="16"/>
      <c r="EO22" s="17"/>
      <c r="EP22" s="17"/>
      <c r="EQ22" s="16"/>
      <c r="ER22" s="16"/>
      <c r="ES22" s="17"/>
      <c r="ET22" s="17"/>
      <c r="EU22" s="16"/>
      <c r="EV22" s="16"/>
      <c r="EW22" s="18">
        <v>1</v>
      </c>
      <c r="EX22" s="18">
        <v>2</v>
      </c>
      <c r="EY22" s="16"/>
      <c r="EZ22" s="16"/>
      <c r="FA22" s="17"/>
      <c r="FB22" s="17"/>
      <c r="FC22" s="16"/>
      <c r="FD22" s="16"/>
      <c r="FE22" s="17"/>
      <c r="FF22" s="17"/>
      <c r="FG22" s="11"/>
      <c r="GT22" s="11"/>
      <c r="IG22" s="11"/>
      <c r="JT22" s="11"/>
      <c r="LG22" s="11"/>
      <c r="MT22" s="11"/>
      <c r="OG22" s="11"/>
      <c r="PT22" s="11"/>
    </row>
    <row r="23" spans="3:436" ht="15.75" x14ac:dyDescent="0.25">
      <c r="C23" s="20" t="s">
        <v>95</v>
      </c>
      <c r="D23" s="21" t="s">
        <v>82</v>
      </c>
      <c r="H23" s="11"/>
      <c r="AU23" s="11"/>
      <c r="CH23" s="11"/>
      <c r="CI23" s="16"/>
      <c r="CJ23" s="16"/>
      <c r="CK23" s="16"/>
      <c r="CL23" s="16"/>
      <c r="CM23" s="16"/>
      <c r="CN23" s="16"/>
      <c r="CO23" s="16"/>
      <c r="CP23" s="16"/>
      <c r="CQ23" s="16"/>
      <c r="CR23" s="16"/>
      <c r="CS23" s="16"/>
      <c r="CT23" s="16"/>
      <c r="CU23" s="16"/>
      <c r="CV23" s="16"/>
      <c r="CW23" s="16"/>
      <c r="CX23" s="16"/>
      <c r="CY23" s="16"/>
      <c r="CZ23" s="16"/>
      <c r="DA23" s="16"/>
      <c r="DB23" s="16"/>
      <c r="DC23" s="16"/>
      <c r="DD23" s="16"/>
      <c r="DE23" s="17"/>
      <c r="DF23" s="17"/>
      <c r="DG23" s="16"/>
      <c r="DH23" s="16"/>
      <c r="DI23" s="17"/>
      <c r="DJ23" s="17"/>
      <c r="DK23" s="16"/>
      <c r="DL23" s="16"/>
      <c r="DM23" s="17"/>
      <c r="DN23" s="17"/>
      <c r="DO23" s="16"/>
      <c r="DP23" s="16"/>
      <c r="DQ23" s="17"/>
      <c r="DR23" s="17"/>
      <c r="DS23" s="16"/>
      <c r="DT23" s="16"/>
      <c r="DU23" s="17"/>
      <c r="DV23" s="17"/>
      <c r="DW23" s="16"/>
      <c r="DX23" s="16"/>
      <c r="DY23" s="17"/>
      <c r="DZ23" s="17"/>
      <c r="EA23" s="16"/>
      <c r="EB23" s="16"/>
      <c r="EC23" s="17"/>
      <c r="ED23" s="17"/>
      <c r="EE23" s="16"/>
      <c r="EF23" s="16"/>
      <c r="EG23" s="17"/>
      <c r="EH23" s="17"/>
      <c r="EI23" s="16"/>
      <c r="EJ23" s="16"/>
      <c r="EK23" s="17"/>
      <c r="EL23" s="17"/>
      <c r="EM23" s="16"/>
      <c r="EN23" s="16"/>
      <c r="EO23" s="17"/>
      <c r="EP23" s="17"/>
      <c r="EQ23" s="16"/>
      <c r="ER23" s="16"/>
      <c r="ES23" s="18">
        <v>1</v>
      </c>
      <c r="ET23" s="18">
        <v>2</v>
      </c>
      <c r="EU23" s="16"/>
      <c r="EV23" s="16"/>
      <c r="EW23" s="17"/>
      <c r="EX23" s="17"/>
      <c r="EY23" s="16"/>
      <c r="EZ23" s="16"/>
      <c r="FA23" s="17"/>
      <c r="FB23" s="17"/>
      <c r="FC23" s="16"/>
      <c r="FD23" s="16"/>
      <c r="FE23" s="17"/>
      <c r="FF23" s="17"/>
      <c r="FG23" s="11"/>
      <c r="GT23" s="11"/>
      <c r="IG23" s="11"/>
      <c r="JT23" s="11"/>
      <c r="LG23" s="11"/>
      <c r="MT23" s="11"/>
      <c r="OG23" s="11"/>
      <c r="PT23" s="11"/>
    </row>
    <row r="24" spans="3:436" ht="15.75" x14ac:dyDescent="0.25">
      <c r="C24" s="20" t="s">
        <v>83</v>
      </c>
      <c r="D24" s="21" t="s">
        <v>84</v>
      </c>
      <c r="H24" s="11"/>
      <c r="AU24" s="11"/>
      <c r="CH24" s="11"/>
      <c r="CI24" s="16"/>
      <c r="CJ24" s="16"/>
      <c r="CK24" s="16"/>
      <c r="CL24" s="16"/>
      <c r="CM24" s="16"/>
      <c r="CN24" s="16"/>
      <c r="CO24" s="16"/>
      <c r="CP24" s="16"/>
      <c r="CQ24" s="16"/>
      <c r="CR24" s="16"/>
      <c r="CS24" s="16"/>
      <c r="CT24" s="16"/>
      <c r="CU24" s="16"/>
      <c r="CV24" s="16"/>
      <c r="CW24" s="16"/>
      <c r="CX24" s="16"/>
      <c r="CY24" s="16"/>
      <c r="CZ24" s="16"/>
      <c r="DA24" s="16"/>
      <c r="DB24" s="16"/>
      <c r="DC24" s="16"/>
      <c r="DD24" s="16"/>
      <c r="DE24" s="17"/>
      <c r="DF24" s="17"/>
      <c r="DG24" s="16"/>
      <c r="DH24" s="16"/>
      <c r="DI24" s="17"/>
      <c r="DJ24" s="17"/>
      <c r="DK24" s="16"/>
      <c r="DL24" s="16"/>
      <c r="DM24" s="17"/>
      <c r="DN24" s="17"/>
      <c r="DO24" s="16"/>
      <c r="DP24" s="16"/>
      <c r="DQ24" s="17"/>
      <c r="DR24" s="17"/>
      <c r="DS24" s="16"/>
      <c r="DT24" s="16"/>
      <c r="DU24" s="17"/>
      <c r="DV24" s="17"/>
      <c r="DW24" s="16"/>
      <c r="DX24" s="16"/>
      <c r="DY24" s="17"/>
      <c r="DZ24" s="17"/>
      <c r="EA24" s="16"/>
      <c r="EB24" s="16"/>
      <c r="EC24" s="17"/>
      <c r="ED24" s="17"/>
      <c r="EE24" s="16"/>
      <c r="EF24" s="16"/>
      <c r="EG24" s="17"/>
      <c r="EH24" s="17"/>
      <c r="EI24" s="16"/>
      <c r="EJ24" s="16"/>
      <c r="EK24" s="17"/>
      <c r="EL24" s="17"/>
      <c r="EM24" s="16"/>
      <c r="EN24" s="16"/>
      <c r="EO24" s="17"/>
      <c r="EP24" s="17"/>
      <c r="EQ24" s="16"/>
      <c r="ER24" s="16"/>
      <c r="ES24" s="17"/>
      <c r="ET24" s="17"/>
      <c r="EU24" s="16"/>
      <c r="EV24" s="16"/>
      <c r="EW24" s="17"/>
      <c r="EX24" s="17"/>
      <c r="EY24" s="16"/>
      <c r="EZ24" s="16"/>
      <c r="FA24" s="17"/>
      <c r="FB24" s="17"/>
      <c r="FC24" s="16"/>
      <c r="FD24" s="16"/>
      <c r="FE24" s="17"/>
      <c r="FF24" s="17"/>
      <c r="FG24" s="11"/>
      <c r="GT24" s="11"/>
      <c r="IG24" s="11"/>
      <c r="JT24" s="11"/>
      <c r="LG24" s="11"/>
      <c r="MT24" s="11"/>
      <c r="OG24" s="11"/>
      <c r="PT24" s="11"/>
    </row>
    <row r="25" spans="3:436" ht="15.75" x14ac:dyDescent="0.25">
      <c r="C25" s="20" t="s">
        <v>85</v>
      </c>
      <c r="D25" s="21" t="s">
        <v>79</v>
      </c>
      <c r="H25" s="11"/>
      <c r="AU25" s="11"/>
      <c r="CH25" s="11"/>
      <c r="CI25" s="16"/>
      <c r="CJ25" s="16"/>
      <c r="CK25" s="16"/>
      <c r="CL25" s="16"/>
      <c r="CM25" s="16"/>
      <c r="CN25" s="16"/>
      <c r="CO25" s="16"/>
      <c r="CP25" s="16"/>
      <c r="CQ25" s="16"/>
      <c r="CR25" s="16"/>
      <c r="CS25" s="16"/>
      <c r="CT25" s="16"/>
      <c r="CU25" s="16"/>
      <c r="CV25" s="16"/>
      <c r="CW25" s="16"/>
      <c r="CX25" s="16"/>
      <c r="CY25" s="16"/>
      <c r="CZ25" s="16"/>
      <c r="DA25" s="16"/>
      <c r="DB25" s="16"/>
      <c r="DC25" s="16"/>
      <c r="DD25" s="16"/>
      <c r="DE25" s="17"/>
      <c r="DF25" s="17"/>
      <c r="DG25" s="16"/>
      <c r="DH25" s="16"/>
      <c r="DI25" s="17"/>
      <c r="DJ25" s="17"/>
      <c r="DK25" s="16"/>
      <c r="DL25" s="16"/>
      <c r="DM25" s="17"/>
      <c r="DN25" s="17"/>
      <c r="DO25" s="16"/>
      <c r="DP25" s="16"/>
      <c r="DQ25" s="17"/>
      <c r="DR25" s="17"/>
      <c r="DS25" s="16"/>
      <c r="DT25" s="16"/>
      <c r="DU25" s="17"/>
      <c r="DV25" s="17"/>
      <c r="DW25" s="16"/>
      <c r="DX25" s="16"/>
      <c r="DY25" s="17"/>
      <c r="DZ25" s="17"/>
      <c r="EA25" s="16"/>
      <c r="EB25" s="16"/>
      <c r="EC25" s="17"/>
      <c r="ED25" s="17"/>
      <c r="EE25" s="16"/>
      <c r="EF25" s="16"/>
      <c r="EG25" s="17"/>
      <c r="EH25" s="17"/>
      <c r="EI25" s="16"/>
      <c r="EJ25" s="16"/>
      <c r="EK25" s="17"/>
      <c r="EL25" s="17"/>
      <c r="EM25" s="16"/>
      <c r="EN25" s="16"/>
      <c r="EO25" s="17"/>
      <c r="EP25" s="17"/>
      <c r="EQ25" s="16"/>
      <c r="ER25" s="16"/>
      <c r="ES25" s="17"/>
      <c r="ET25" s="17"/>
      <c r="EU25" s="16"/>
      <c r="EV25" s="16"/>
      <c r="EW25" s="17"/>
      <c r="EX25" s="17"/>
      <c r="EY25" s="16"/>
      <c r="EZ25" s="16"/>
      <c r="FA25" s="17"/>
      <c r="FB25" s="17"/>
      <c r="FC25" s="16"/>
      <c r="FD25" s="16"/>
      <c r="FE25" s="17"/>
      <c r="FF25" s="17"/>
      <c r="FG25" s="11"/>
      <c r="GT25" s="11"/>
      <c r="IG25" s="11"/>
      <c r="JT25" s="11"/>
      <c r="LG25" s="11"/>
      <c r="MT25" s="11"/>
      <c r="OG25" s="11"/>
      <c r="PT25" s="11"/>
    </row>
    <row r="26" spans="3:436" ht="15.75" x14ac:dyDescent="0.25">
      <c r="C26" s="20" t="s">
        <v>86</v>
      </c>
      <c r="D26" s="21" t="s">
        <v>82</v>
      </c>
      <c r="H26" s="11"/>
      <c r="AU26" s="11"/>
      <c r="CH26" s="11"/>
      <c r="CI26" s="16"/>
      <c r="CJ26" s="16"/>
      <c r="CK26" s="16"/>
      <c r="CL26" s="16"/>
      <c r="CM26" s="16"/>
      <c r="CN26" s="16"/>
      <c r="CO26" s="16"/>
      <c r="CP26" s="16"/>
      <c r="CQ26" s="16"/>
      <c r="CR26" s="16"/>
      <c r="CS26" s="16"/>
      <c r="CT26" s="16"/>
      <c r="CU26" s="16"/>
      <c r="CV26" s="16"/>
      <c r="CW26" s="16"/>
      <c r="CX26" s="16"/>
      <c r="CY26" s="16"/>
      <c r="CZ26" s="16"/>
      <c r="DA26" s="16"/>
      <c r="DB26" s="16"/>
      <c r="DC26" s="16"/>
      <c r="DD26" s="16"/>
      <c r="DE26" s="17"/>
      <c r="DF26" s="17"/>
      <c r="DG26" s="16"/>
      <c r="DH26" s="16"/>
      <c r="DI26" s="17"/>
      <c r="DJ26" s="17"/>
      <c r="DK26" s="16"/>
      <c r="DL26" s="16"/>
      <c r="DM26" s="17"/>
      <c r="DN26" s="17"/>
      <c r="DO26" s="16"/>
      <c r="DP26" s="16"/>
      <c r="DQ26" s="17"/>
      <c r="DR26" s="17"/>
      <c r="DS26" s="16"/>
      <c r="DT26" s="16"/>
      <c r="DU26" s="17"/>
      <c r="DV26" s="17"/>
      <c r="DW26" s="16"/>
      <c r="DX26" s="16"/>
      <c r="DY26" s="17"/>
      <c r="DZ26" s="17"/>
      <c r="EA26" s="16"/>
      <c r="EB26" s="16"/>
      <c r="EC26" s="17"/>
      <c r="ED26" s="17"/>
      <c r="EE26" s="16"/>
      <c r="EF26" s="16"/>
      <c r="EG26" s="17"/>
      <c r="EH26" s="17"/>
      <c r="EI26" s="16"/>
      <c r="EJ26" s="16"/>
      <c r="EK26" s="17"/>
      <c r="EL26" s="17"/>
      <c r="EM26" s="16"/>
      <c r="EN26" s="16"/>
      <c r="EO26" s="17"/>
      <c r="EP26" s="17"/>
      <c r="EQ26" s="16"/>
      <c r="ER26" s="16"/>
      <c r="ES26" s="17"/>
      <c r="ET26" s="17"/>
      <c r="EU26" s="16"/>
      <c r="EV26" s="16"/>
      <c r="EW26" s="17"/>
      <c r="EX26" s="17"/>
      <c r="EY26" s="16"/>
      <c r="EZ26" s="16"/>
      <c r="FA26" s="17"/>
      <c r="FB26" s="17"/>
      <c r="FC26" s="16"/>
      <c r="FD26" s="16"/>
      <c r="FE26" s="17"/>
      <c r="FF26" s="17"/>
      <c r="FG26" s="11"/>
      <c r="GT26" s="11"/>
      <c r="IG26" s="11"/>
      <c r="JT26" s="11"/>
      <c r="LG26" s="11"/>
      <c r="MT26" s="11"/>
      <c r="OG26" s="11"/>
      <c r="PT26" s="11"/>
    </row>
    <row r="27" spans="3:436" ht="15.75" x14ac:dyDescent="0.25">
      <c r="C27" s="20" t="s">
        <v>96</v>
      </c>
      <c r="D27" s="21" t="s">
        <v>82</v>
      </c>
      <c r="H27" s="11"/>
      <c r="AU27" s="11"/>
      <c r="CH27" s="11"/>
      <c r="CI27" s="16"/>
      <c r="CJ27" s="16"/>
      <c r="CK27" s="16"/>
      <c r="CL27" s="16"/>
      <c r="CM27" s="16"/>
      <c r="CN27" s="16"/>
      <c r="CO27" s="16"/>
      <c r="CP27" s="16"/>
      <c r="CQ27" s="16"/>
      <c r="CR27" s="16"/>
      <c r="CS27" s="16"/>
      <c r="CT27" s="16"/>
      <c r="CU27" s="16"/>
      <c r="CV27" s="16"/>
      <c r="CW27" s="16"/>
      <c r="CX27" s="16"/>
      <c r="CY27" s="16"/>
      <c r="CZ27" s="16"/>
      <c r="DA27" s="16"/>
      <c r="DB27" s="16"/>
      <c r="DC27" s="16"/>
      <c r="DD27" s="16"/>
      <c r="DE27" s="17"/>
      <c r="DF27" s="17"/>
      <c r="DG27" s="16"/>
      <c r="DH27" s="16"/>
      <c r="DI27" s="17"/>
      <c r="DJ27" s="17"/>
      <c r="DK27" s="16"/>
      <c r="DL27" s="16"/>
      <c r="DM27" s="17"/>
      <c r="DN27" s="17"/>
      <c r="DO27" s="16"/>
      <c r="DP27" s="16"/>
      <c r="DQ27" s="17"/>
      <c r="DR27" s="17"/>
      <c r="DS27" s="16"/>
      <c r="DT27" s="16"/>
      <c r="DU27" s="17"/>
      <c r="DV27" s="17"/>
      <c r="DW27" s="16"/>
      <c r="DX27" s="16"/>
      <c r="DY27" s="17"/>
      <c r="DZ27" s="17"/>
      <c r="EA27" s="16"/>
      <c r="EB27" s="16"/>
      <c r="EC27" s="17"/>
      <c r="ED27" s="17"/>
      <c r="EE27" s="16"/>
      <c r="EF27" s="16"/>
      <c r="EG27" s="17"/>
      <c r="EH27" s="17"/>
      <c r="EI27" s="16"/>
      <c r="EJ27" s="16"/>
      <c r="EK27" s="17"/>
      <c r="EL27" s="17"/>
      <c r="EM27" s="16"/>
      <c r="EN27" s="16"/>
      <c r="EO27" s="17"/>
      <c r="EP27" s="17"/>
      <c r="EQ27" s="16"/>
      <c r="ER27" s="16"/>
      <c r="ES27" s="18">
        <v>3</v>
      </c>
      <c r="ET27" s="18">
        <v>4</v>
      </c>
      <c r="EU27" s="16"/>
      <c r="EV27" s="16"/>
      <c r="EW27" s="17"/>
      <c r="EX27" s="17"/>
      <c r="EY27" s="16"/>
      <c r="EZ27" s="16"/>
      <c r="FA27" s="17"/>
      <c r="FB27" s="17"/>
      <c r="FC27" s="16"/>
      <c r="FD27" s="16"/>
      <c r="FE27" s="17"/>
      <c r="FF27" s="17"/>
      <c r="FG27" s="11"/>
      <c r="GT27" s="11"/>
      <c r="IG27" s="11"/>
      <c r="JT27" s="11"/>
      <c r="LG27" s="11"/>
      <c r="MT27" s="11"/>
      <c r="OG27" s="11"/>
      <c r="PT27" s="11"/>
    </row>
    <row r="28" spans="3:436" ht="15.75" x14ac:dyDescent="0.25">
      <c r="C28" s="20" t="s">
        <v>97</v>
      </c>
      <c r="D28" s="21" t="s">
        <v>82</v>
      </c>
      <c r="H28" s="11"/>
      <c r="AU28" s="11"/>
      <c r="CH28" s="11"/>
      <c r="CI28" s="16"/>
      <c r="CJ28" s="16"/>
      <c r="CK28" s="16"/>
      <c r="CL28" s="16"/>
      <c r="CM28" s="16"/>
      <c r="CN28" s="16"/>
      <c r="CO28" s="16"/>
      <c r="CP28" s="16"/>
      <c r="CQ28" s="16"/>
      <c r="CR28" s="16"/>
      <c r="CS28" s="16"/>
      <c r="CT28" s="16"/>
      <c r="CU28" s="16"/>
      <c r="CV28" s="16"/>
      <c r="CW28" s="16"/>
      <c r="CX28" s="16"/>
      <c r="CY28" s="16"/>
      <c r="CZ28" s="16"/>
      <c r="DA28" s="16"/>
      <c r="DB28" s="16"/>
      <c r="DC28" s="16"/>
      <c r="DD28" s="16"/>
      <c r="DE28" s="17"/>
      <c r="DF28" s="17"/>
      <c r="DG28" s="16"/>
      <c r="DH28" s="16"/>
      <c r="DI28" s="17"/>
      <c r="DJ28" s="17"/>
      <c r="DK28" s="16"/>
      <c r="DL28" s="16"/>
      <c r="DM28" s="17"/>
      <c r="DN28" s="17"/>
      <c r="DO28" s="16"/>
      <c r="DP28" s="16"/>
      <c r="DQ28" s="17"/>
      <c r="DR28" s="17"/>
      <c r="DS28" s="16"/>
      <c r="DT28" s="16"/>
      <c r="DU28" s="17"/>
      <c r="DV28" s="17"/>
      <c r="DW28" s="16"/>
      <c r="DX28" s="16"/>
      <c r="DY28" s="17"/>
      <c r="DZ28" s="17"/>
      <c r="EA28" s="16"/>
      <c r="EB28" s="16"/>
      <c r="EC28" s="17"/>
      <c r="ED28" s="17"/>
      <c r="EE28" s="16"/>
      <c r="EF28" s="16"/>
      <c r="EG28" s="17"/>
      <c r="EH28" s="17"/>
      <c r="EI28" s="16"/>
      <c r="EJ28" s="16"/>
      <c r="EK28" s="17"/>
      <c r="EL28" s="17"/>
      <c r="EM28" s="16"/>
      <c r="EN28" s="16"/>
      <c r="EO28" s="17"/>
      <c r="EP28" s="17"/>
      <c r="EQ28" s="16"/>
      <c r="ER28" s="16"/>
      <c r="ES28" s="18">
        <v>3</v>
      </c>
      <c r="ET28" s="18">
        <v>5</v>
      </c>
      <c r="EU28" s="16"/>
      <c r="EV28" s="16"/>
      <c r="EW28" s="17"/>
      <c r="EX28" s="17"/>
      <c r="EY28" s="16"/>
      <c r="EZ28" s="16"/>
      <c r="FA28" s="17"/>
      <c r="FB28" s="17"/>
      <c r="FC28" s="16"/>
      <c r="FD28" s="16"/>
      <c r="FE28" s="17"/>
      <c r="FF28" s="17"/>
      <c r="FG28" s="11"/>
      <c r="GT28" s="11"/>
      <c r="IG28" s="11"/>
      <c r="JT28" s="11"/>
      <c r="LG28" s="11"/>
      <c r="MT28" s="11"/>
      <c r="OG28" s="11"/>
      <c r="PT28" s="11"/>
    </row>
    <row r="29" spans="3:436" ht="15.75" x14ac:dyDescent="0.25">
      <c r="C29" s="20" t="s">
        <v>98</v>
      </c>
      <c r="D29" s="21" t="s">
        <v>93</v>
      </c>
      <c r="H29" s="11"/>
      <c r="AU29" s="11"/>
      <c r="CH29" s="11"/>
      <c r="CI29" s="16"/>
      <c r="CJ29" s="16"/>
      <c r="CK29" s="16"/>
      <c r="CL29" s="16"/>
      <c r="CM29" s="16"/>
      <c r="CN29" s="16"/>
      <c r="CO29" s="16"/>
      <c r="CP29" s="16"/>
      <c r="CQ29" s="16"/>
      <c r="CR29" s="16"/>
      <c r="CS29" s="16"/>
      <c r="CT29" s="16"/>
      <c r="CU29" s="16"/>
      <c r="CV29" s="16"/>
      <c r="CW29" s="16"/>
      <c r="CX29" s="16"/>
      <c r="CY29" s="16"/>
      <c r="CZ29" s="16"/>
      <c r="DA29" s="16"/>
      <c r="DB29" s="16"/>
      <c r="DC29" s="16"/>
      <c r="DD29" s="16"/>
      <c r="DE29" s="17"/>
      <c r="DF29" s="17"/>
      <c r="DG29" s="16"/>
      <c r="DH29" s="16"/>
      <c r="DI29" s="17"/>
      <c r="DJ29" s="17"/>
      <c r="DK29" s="16"/>
      <c r="DL29" s="16"/>
      <c r="DM29" s="17"/>
      <c r="DN29" s="17"/>
      <c r="DO29" s="16"/>
      <c r="DP29" s="16"/>
      <c r="DQ29" s="17"/>
      <c r="DR29" s="17"/>
      <c r="DS29" s="16"/>
      <c r="DT29" s="16"/>
      <c r="DU29" s="17"/>
      <c r="DV29" s="17"/>
      <c r="DW29" s="16"/>
      <c r="DX29" s="16"/>
      <c r="DY29" s="17"/>
      <c r="DZ29" s="17"/>
      <c r="EA29" s="16"/>
      <c r="EB29" s="16"/>
      <c r="EC29" s="17"/>
      <c r="ED29" s="17"/>
      <c r="EE29" s="16"/>
      <c r="EF29" s="16"/>
      <c r="EG29" s="17"/>
      <c r="EH29" s="17"/>
      <c r="EI29" s="16"/>
      <c r="EJ29" s="16"/>
      <c r="EK29" s="17"/>
      <c r="EL29" s="17"/>
      <c r="EM29" s="16"/>
      <c r="EN29" s="16"/>
      <c r="EO29" s="17"/>
      <c r="EP29" s="17"/>
      <c r="EQ29" s="16"/>
      <c r="ER29" s="16"/>
      <c r="ES29" s="17"/>
      <c r="ET29" s="17"/>
      <c r="EU29" s="16"/>
      <c r="EV29" s="16"/>
      <c r="EW29" s="18">
        <v>1</v>
      </c>
      <c r="EX29" s="18">
        <v>2</v>
      </c>
      <c r="EY29" s="16"/>
      <c r="EZ29" s="16"/>
      <c r="FA29" s="17"/>
      <c r="FB29" s="17"/>
      <c r="FC29" s="16"/>
      <c r="FD29" s="16"/>
      <c r="FE29" s="17"/>
      <c r="FF29" s="17"/>
      <c r="FG29" s="11"/>
      <c r="GT29" s="11"/>
      <c r="IG29" s="11"/>
      <c r="JT29" s="11"/>
      <c r="LG29" s="11"/>
      <c r="MT29" s="11"/>
      <c r="OG29" s="11"/>
      <c r="PT29" s="11"/>
    </row>
    <row r="30" spans="3:436" ht="25.5" x14ac:dyDescent="0.25">
      <c r="C30" s="20" t="s">
        <v>99</v>
      </c>
      <c r="D30" s="21" t="s">
        <v>93</v>
      </c>
      <c r="H30" s="11"/>
      <c r="AU30" s="11"/>
      <c r="CH30" s="11"/>
      <c r="CI30" s="16"/>
      <c r="CJ30" s="16"/>
      <c r="CK30" s="16"/>
      <c r="CL30" s="16"/>
      <c r="CM30" s="16"/>
      <c r="CN30" s="16"/>
      <c r="CO30" s="16"/>
      <c r="CP30" s="16"/>
      <c r="CQ30" s="16"/>
      <c r="CR30" s="16"/>
      <c r="CS30" s="16"/>
      <c r="CT30" s="16"/>
      <c r="CU30" s="16"/>
      <c r="CV30" s="16"/>
      <c r="CW30" s="16"/>
      <c r="CX30" s="16"/>
      <c r="CY30" s="16"/>
      <c r="CZ30" s="16"/>
      <c r="DA30" s="16"/>
      <c r="DB30" s="16"/>
      <c r="DC30" s="16"/>
      <c r="DD30" s="16"/>
      <c r="DE30" s="17"/>
      <c r="DF30" s="17"/>
      <c r="DG30" s="16"/>
      <c r="DH30" s="16"/>
      <c r="DI30" s="17"/>
      <c r="DJ30" s="17"/>
      <c r="DK30" s="16"/>
      <c r="DL30" s="16"/>
      <c r="DM30" s="17"/>
      <c r="DN30" s="17"/>
      <c r="DO30" s="16"/>
      <c r="DP30" s="16"/>
      <c r="DQ30" s="17"/>
      <c r="DR30" s="17"/>
      <c r="DS30" s="16"/>
      <c r="DT30" s="16"/>
      <c r="DU30" s="17"/>
      <c r="DV30" s="17"/>
      <c r="DW30" s="16"/>
      <c r="DX30" s="16"/>
      <c r="DY30" s="17"/>
      <c r="DZ30" s="17"/>
      <c r="EA30" s="16"/>
      <c r="EB30" s="16"/>
      <c r="EC30" s="17"/>
      <c r="ED30" s="17"/>
      <c r="EE30" s="16"/>
      <c r="EF30" s="16"/>
      <c r="EG30" s="17"/>
      <c r="EH30" s="17"/>
      <c r="EI30" s="16"/>
      <c r="EJ30" s="16"/>
      <c r="EK30" s="17"/>
      <c r="EL30" s="17"/>
      <c r="EM30" s="16"/>
      <c r="EN30" s="16"/>
      <c r="EO30" s="17"/>
      <c r="EP30" s="17"/>
      <c r="EQ30" s="16"/>
      <c r="ER30" s="16"/>
      <c r="ES30" s="17"/>
      <c r="ET30" s="17"/>
      <c r="EU30" s="16"/>
      <c r="EV30" s="16"/>
      <c r="EW30" s="18">
        <v>1</v>
      </c>
      <c r="EX30" s="18">
        <v>2</v>
      </c>
      <c r="EY30" s="16"/>
      <c r="EZ30" s="16"/>
      <c r="FA30" s="17"/>
      <c r="FB30" s="17"/>
      <c r="FC30" s="16"/>
      <c r="FD30" s="16"/>
      <c r="FE30" s="17"/>
      <c r="FF30" s="17"/>
      <c r="FG30" s="11"/>
      <c r="GT30" s="11"/>
      <c r="IG30" s="11"/>
      <c r="JT30" s="11"/>
      <c r="LG30" s="11"/>
      <c r="MT30" s="11"/>
      <c r="OG30" s="11"/>
      <c r="PT30" s="11"/>
    </row>
    <row r="31" spans="3:436" ht="15.75" x14ac:dyDescent="0.25">
      <c r="C31" s="20" t="s">
        <v>100</v>
      </c>
      <c r="D31" s="21" t="s">
        <v>82</v>
      </c>
      <c r="H31" s="11"/>
      <c r="AU31" s="11"/>
      <c r="CH31" s="11"/>
      <c r="CI31" s="16"/>
      <c r="CJ31" s="16"/>
      <c r="CK31" s="16"/>
      <c r="CL31" s="16"/>
      <c r="CM31" s="16"/>
      <c r="CN31" s="16"/>
      <c r="CO31" s="16"/>
      <c r="CP31" s="16"/>
      <c r="CQ31" s="16"/>
      <c r="CR31" s="16"/>
      <c r="CS31" s="16"/>
      <c r="CT31" s="16"/>
      <c r="CU31" s="16"/>
      <c r="CV31" s="16"/>
      <c r="CW31" s="16"/>
      <c r="CX31" s="16"/>
      <c r="CY31" s="16"/>
      <c r="CZ31" s="16"/>
      <c r="DA31" s="16"/>
      <c r="DB31" s="16"/>
      <c r="DC31" s="16"/>
      <c r="DD31" s="16"/>
      <c r="DE31" s="17"/>
      <c r="DF31" s="17"/>
      <c r="DG31" s="16"/>
      <c r="DH31" s="16"/>
      <c r="DI31" s="17"/>
      <c r="DJ31" s="17"/>
      <c r="DK31" s="16"/>
      <c r="DL31" s="16"/>
      <c r="DM31" s="17"/>
      <c r="DN31" s="17"/>
      <c r="DO31" s="16"/>
      <c r="DP31" s="16"/>
      <c r="DQ31" s="17"/>
      <c r="DR31" s="17"/>
      <c r="DS31" s="16"/>
      <c r="DT31" s="16"/>
      <c r="DU31" s="17"/>
      <c r="DV31" s="17"/>
      <c r="DW31" s="16"/>
      <c r="DX31" s="16"/>
      <c r="DY31" s="17"/>
      <c r="DZ31" s="17"/>
      <c r="EA31" s="16"/>
      <c r="EB31" s="16"/>
      <c r="EC31" s="17"/>
      <c r="ED31" s="17"/>
      <c r="EE31" s="16"/>
      <c r="EF31" s="16"/>
      <c r="EG31" s="17"/>
      <c r="EH31" s="17"/>
      <c r="EI31" s="16"/>
      <c r="EJ31" s="16"/>
      <c r="EK31" s="17"/>
      <c r="EL31" s="17"/>
      <c r="EM31" s="16"/>
      <c r="EN31" s="16"/>
      <c r="EO31" s="17"/>
      <c r="EP31" s="17"/>
      <c r="EQ31" s="16"/>
      <c r="ER31" s="16"/>
      <c r="ES31" s="18">
        <v>1</v>
      </c>
      <c r="ET31" s="18">
        <v>20</v>
      </c>
      <c r="EU31" s="16"/>
      <c r="EV31" s="16"/>
      <c r="EW31" s="17"/>
      <c r="EX31" s="17"/>
      <c r="EY31" s="16"/>
      <c r="EZ31" s="16"/>
      <c r="FA31" s="17"/>
      <c r="FB31" s="17"/>
      <c r="FC31" s="16"/>
      <c r="FD31" s="16"/>
      <c r="FE31" s="17"/>
      <c r="FF31" s="17"/>
      <c r="FG31" s="11"/>
      <c r="GT31" s="11"/>
      <c r="IG31" s="11"/>
      <c r="JT31" s="11"/>
      <c r="LG31" s="11"/>
      <c r="MT31" s="11"/>
      <c r="OG31" s="11"/>
      <c r="PT31" s="11"/>
    </row>
    <row r="32" spans="3:436" ht="15.75" x14ac:dyDescent="0.25">
      <c r="C32" s="20" t="s">
        <v>101</v>
      </c>
      <c r="D32" s="21" t="s">
        <v>82</v>
      </c>
      <c r="H32" s="11"/>
      <c r="AU32" s="11"/>
      <c r="CH32" s="11"/>
      <c r="CI32" s="16"/>
      <c r="CJ32" s="16"/>
      <c r="CK32" s="16"/>
      <c r="CL32" s="16"/>
      <c r="CM32" s="16"/>
      <c r="CN32" s="16"/>
      <c r="CO32" s="16"/>
      <c r="CP32" s="16"/>
      <c r="CQ32" s="16"/>
      <c r="CR32" s="16"/>
      <c r="CS32" s="16"/>
      <c r="CT32" s="16"/>
      <c r="CU32" s="16"/>
      <c r="CV32" s="16"/>
      <c r="CW32" s="16"/>
      <c r="CX32" s="16"/>
      <c r="CY32" s="16"/>
      <c r="CZ32" s="16"/>
      <c r="DA32" s="16"/>
      <c r="DB32" s="16"/>
      <c r="DC32" s="16"/>
      <c r="DD32" s="16"/>
      <c r="DE32" s="17"/>
      <c r="DF32" s="17"/>
      <c r="DG32" s="16"/>
      <c r="DH32" s="16"/>
      <c r="DI32" s="17"/>
      <c r="DJ32" s="17"/>
      <c r="DK32" s="16"/>
      <c r="DL32" s="16"/>
      <c r="DM32" s="17"/>
      <c r="DN32" s="17"/>
      <c r="DO32" s="16"/>
      <c r="DP32" s="16"/>
      <c r="DQ32" s="17"/>
      <c r="DR32" s="17"/>
      <c r="DS32" s="16"/>
      <c r="DT32" s="16"/>
      <c r="DU32" s="17"/>
      <c r="DV32" s="17"/>
      <c r="DW32" s="16"/>
      <c r="DX32" s="16"/>
      <c r="DY32" s="17"/>
      <c r="DZ32" s="17"/>
      <c r="EA32" s="16"/>
      <c r="EB32" s="16"/>
      <c r="EC32" s="17"/>
      <c r="ED32" s="17"/>
      <c r="EE32" s="16"/>
      <c r="EF32" s="16"/>
      <c r="EG32" s="17"/>
      <c r="EH32" s="17"/>
      <c r="EI32" s="16"/>
      <c r="EJ32" s="16"/>
      <c r="EK32" s="17"/>
      <c r="EL32" s="17"/>
      <c r="EM32" s="16"/>
      <c r="EN32" s="16"/>
      <c r="EO32" s="17"/>
      <c r="EP32" s="17"/>
      <c r="EQ32" s="16"/>
      <c r="ER32" s="16"/>
      <c r="ES32" s="18">
        <v>3</v>
      </c>
      <c r="ET32" s="18">
        <v>5</v>
      </c>
      <c r="EU32" s="16"/>
      <c r="EV32" s="16"/>
      <c r="EW32" s="17"/>
      <c r="EX32" s="17"/>
      <c r="EY32" s="16"/>
      <c r="EZ32" s="16"/>
      <c r="FA32" s="17"/>
      <c r="FB32" s="17"/>
      <c r="FC32" s="16"/>
      <c r="FD32" s="16"/>
      <c r="FE32" s="17"/>
      <c r="FF32" s="17"/>
      <c r="FG32" s="11"/>
      <c r="GT32" s="11"/>
      <c r="IG32" s="11"/>
      <c r="JT32" s="11"/>
      <c r="LG32" s="11"/>
      <c r="MT32" s="11"/>
      <c r="OG32" s="11"/>
      <c r="PT32" s="11"/>
    </row>
    <row r="33" spans="1:436" ht="25.5" x14ac:dyDescent="0.25">
      <c r="C33" s="20" t="s">
        <v>87</v>
      </c>
      <c r="D33" s="21" t="s">
        <v>79</v>
      </c>
      <c r="H33" s="11"/>
      <c r="AU33" s="11"/>
      <c r="CH33" s="11"/>
      <c r="CI33" s="16"/>
      <c r="CJ33" s="16"/>
      <c r="CK33" s="16"/>
      <c r="CL33" s="16"/>
      <c r="CM33" s="16"/>
      <c r="CN33" s="16"/>
      <c r="CO33" s="16"/>
      <c r="CP33" s="16"/>
      <c r="CQ33" s="16"/>
      <c r="CR33" s="16"/>
      <c r="CS33" s="16"/>
      <c r="CT33" s="16"/>
      <c r="CU33" s="16"/>
      <c r="CV33" s="16"/>
      <c r="CW33" s="16"/>
      <c r="CX33" s="16"/>
      <c r="CY33" s="16"/>
      <c r="CZ33" s="16"/>
      <c r="DA33" s="16"/>
      <c r="DB33" s="16"/>
      <c r="DC33" s="16"/>
      <c r="DD33" s="16"/>
      <c r="DE33" s="17"/>
      <c r="DF33" s="17"/>
      <c r="DG33" s="16"/>
      <c r="DH33" s="16"/>
      <c r="DI33" s="17"/>
      <c r="DJ33" s="17"/>
      <c r="DK33" s="16"/>
      <c r="DL33" s="16"/>
      <c r="DM33" s="17"/>
      <c r="DN33" s="17"/>
      <c r="DO33" s="16"/>
      <c r="DP33" s="16"/>
      <c r="DQ33" s="17"/>
      <c r="DR33" s="17"/>
      <c r="DS33" s="16"/>
      <c r="DT33" s="16"/>
      <c r="DU33" s="17"/>
      <c r="DV33" s="17"/>
      <c r="DW33" s="16"/>
      <c r="DX33" s="16"/>
      <c r="DY33" s="17"/>
      <c r="DZ33" s="17"/>
      <c r="EA33" s="16"/>
      <c r="EB33" s="16"/>
      <c r="EC33" s="17"/>
      <c r="ED33" s="17"/>
      <c r="EE33" s="16"/>
      <c r="EF33" s="16"/>
      <c r="EG33" s="17"/>
      <c r="EH33" s="17"/>
      <c r="EI33" s="16"/>
      <c r="EJ33" s="16"/>
      <c r="EK33" s="17"/>
      <c r="EL33" s="17"/>
      <c r="EM33" s="16"/>
      <c r="EN33" s="16"/>
      <c r="EO33" s="17"/>
      <c r="EP33" s="17"/>
      <c r="EQ33" s="16"/>
      <c r="ER33" s="16"/>
      <c r="ES33" s="17"/>
      <c r="ET33" s="17"/>
      <c r="EU33" s="16"/>
      <c r="EV33" s="16"/>
      <c r="EW33" s="17"/>
      <c r="EX33" s="17"/>
      <c r="EY33" s="16"/>
      <c r="EZ33" s="16"/>
      <c r="FA33" s="17"/>
      <c r="FB33" s="17"/>
      <c r="FC33" s="16"/>
      <c r="FD33" s="16"/>
      <c r="FE33" s="17"/>
      <c r="FF33" s="17"/>
      <c r="FG33" s="11"/>
      <c r="GT33" s="11"/>
      <c r="IG33" s="11"/>
      <c r="JT33" s="11"/>
      <c r="LG33" s="11"/>
      <c r="MT33" s="11"/>
      <c r="OG33" s="11"/>
      <c r="PT33" s="11"/>
    </row>
    <row r="34" spans="1:436" ht="15.75" x14ac:dyDescent="0.25">
      <c r="C34" s="20" t="s">
        <v>88</v>
      </c>
      <c r="D34" s="21" t="s">
        <v>84</v>
      </c>
      <c r="H34" s="11"/>
      <c r="AU34" s="11"/>
      <c r="CH34" s="11"/>
      <c r="CI34" s="16"/>
      <c r="CJ34" s="16"/>
      <c r="CK34" s="16"/>
      <c r="CL34" s="16"/>
      <c r="CM34" s="16"/>
      <c r="CN34" s="16"/>
      <c r="CO34" s="16"/>
      <c r="CP34" s="16"/>
      <c r="CQ34" s="16"/>
      <c r="CR34" s="16"/>
      <c r="CS34" s="16"/>
      <c r="CT34" s="16"/>
      <c r="CU34" s="16"/>
      <c r="CV34" s="16"/>
      <c r="CW34" s="16"/>
      <c r="CX34" s="16"/>
      <c r="CY34" s="16"/>
      <c r="CZ34" s="16"/>
      <c r="DA34" s="16"/>
      <c r="DB34" s="16"/>
      <c r="DC34" s="16"/>
      <c r="DD34" s="16"/>
      <c r="DE34" s="17"/>
      <c r="DF34" s="17"/>
      <c r="DG34" s="16"/>
      <c r="DH34" s="16"/>
      <c r="DI34" s="17"/>
      <c r="DJ34" s="17"/>
      <c r="DK34" s="16"/>
      <c r="DL34" s="16"/>
      <c r="DM34" s="17"/>
      <c r="DN34" s="17"/>
      <c r="DO34" s="16"/>
      <c r="DP34" s="16"/>
      <c r="DQ34" s="17"/>
      <c r="DR34" s="17"/>
      <c r="DS34" s="16"/>
      <c r="DT34" s="16"/>
      <c r="DU34" s="17"/>
      <c r="DV34" s="17"/>
      <c r="DW34" s="16"/>
      <c r="DX34" s="16"/>
      <c r="DY34" s="17"/>
      <c r="DZ34" s="17"/>
      <c r="EA34" s="16"/>
      <c r="EB34" s="16"/>
      <c r="EC34" s="17"/>
      <c r="ED34" s="17"/>
      <c r="EE34" s="16"/>
      <c r="EF34" s="16"/>
      <c r="EG34" s="17"/>
      <c r="EH34" s="17"/>
      <c r="EI34" s="16"/>
      <c r="EJ34" s="16"/>
      <c r="EK34" s="17"/>
      <c r="EL34" s="17"/>
      <c r="EM34" s="16"/>
      <c r="EN34" s="16"/>
      <c r="EO34" s="17"/>
      <c r="EP34" s="17"/>
      <c r="EQ34" s="16"/>
      <c r="ER34" s="16"/>
      <c r="ES34" s="17"/>
      <c r="ET34" s="17"/>
      <c r="EU34" s="16"/>
      <c r="EV34" s="16"/>
      <c r="EW34" s="17"/>
      <c r="EX34" s="17"/>
      <c r="EY34" s="16"/>
      <c r="EZ34" s="16"/>
      <c r="FA34" s="17"/>
      <c r="FB34" s="17"/>
      <c r="FC34" s="16"/>
      <c r="FD34" s="16"/>
      <c r="FE34" s="17"/>
      <c r="FF34" s="17"/>
      <c r="FG34" s="11"/>
      <c r="GT34" s="11"/>
      <c r="IG34" s="11"/>
      <c r="JT34" s="11"/>
      <c r="LG34" s="11"/>
      <c r="MT34" s="11"/>
      <c r="OG34" s="11"/>
      <c r="PT34" s="11"/>
    </row>
    <row r="35" spans="1:436" ht="15.75" x14ac:dyDescent="0.25">
      <c r="C35" s="20" t="s">
        <v>89</v>
      </c>
      <c r="D35" s="21" t="s">
        <v>90</v>
      </c>
      <c r="H35" s="11"/>
      <c r="AU35" s="11"/>
      <c r="CH35" s="11"/>
      <c r="CI35" s="16"/>
      <c r="CJ35" s="16"/>
      <c r="CK35" s="16"/>
      <c r="CL35" s="16"/>
      <c r="CM35" s="16"/>
      <c r="CN35" s="16"/>
      <c r="CO35" s="16"/>
      <c r="CP35" s="16"/>
      <c r="CQ35" s="16"/>
      <c r="CR35" s="16"/>
      <c r="CS35" s="16"/>
      <c r="CT35" s="16"/>
      <c r="CU35" s="16"/>
      <c r="CV35" s="16"/>
      <c r="CW35" s="16"/>
      <c r="CX35" s="16"/>
      <c r="CY35" s="16"/>
      <c r="CZ35" s="16"/>
      <c r="DA35" s="16"/>
      <c r="DB35" s="16"/>
      <c r="DC35" s="16"/>
      <c r="DD35" s="16"/>
      <c r="DE35" s="17"/>
      <c r="DF35" s="17"/>
      <c r="DG35" s="16"/>
      <c r="DH35" s="16"/>
      <c r="DI35" s="17"/>
      <c r="DJ35" s="17"/>
      <c r="DK35" s="16"/>
      <c r="DL35" s="16"/>
      <c r="DM35" s="17"/>
      <c r="DN35" s="17"/>
      <c r="DO35" s="16"/>
      <c r="DP35" s="16"/>
      <c r="DQ35" s="17"/>
      <c r="DR35" s="17"/>
      <c r="DS35" s="16"/>
      <c r="DT35" s="16"/>
      <c r="DU35" s="17"/>
      <c r="DV35" s="17"/>
      <c r="DW35" s="16"/>
      <c r="DX35" s="16"/>
      <c r="DY35" s="17"/>
      <c r="DZ35" s="17"/>
      <c r="EA35" s="16"/>
      <c r="EB35" s="16"/>
      <c r="EC35" s="17"/>
      <c r="ED35" s="17"/>
      <c r="EE35" s="16"/>
      <c r="EF35" s="16"/>
      <c r="EG35" s="17"/>
      <c r="EH35" s="17"/>
      <c r="EI35" s="16"/>
      <c r="EJ35" s="16"/>
      <c r="EK35" s="17"/>
      <c r="EL35" s="17"/>
      <c r="EM35" s="16"/>
      <c r="EN35" s="16"/>
      <c r="EO35" s="17"/>
      <c r="EP35" s="17"/>
      <c r="EQ35" s="16"/>
      <c r="ER35" s="16"/>
      <c r="ES35" s="17"/>
      <c r="ET35" s="17"/>
      <c r="EU35" s="16"/>
      <c r="EV35" s="16"/>
      <c r="EW35" s="17"/>
      <c r="EX35" s="17"/>
      <c r="EY35" s="16"/>
      <c r="EZ35" s="16"/>
      <c r="FA35" s="17"/>
      <c r="FB35" s="17"/>
      <c r="FC35" s="16"/>
      <c r="FD35" s="16"/>
      <c r="FE35" s="17"/>
      <c r="FF35" s="17"/>
      <c r="FG35" s="11"/>
      <c r="GT35" s="11"/>
      <c r="IG35" s="11"/>
      <c r="JT35" s="11"/>
      <c r="LG35" s="11"/>
      <c r="MT35" s="11"/>
      <c r="OG35" s="11"/>
      <c r="PT35" s="11"/>
    </row>
    <row r="36" spans="1:436" ht="15.75" x14ac:dyDescent="0.25">
      <c r="A36" s="13"/>
      <c r="B36" s="14" t="s">
        <v>102</v>
      </c>
      <c r="C36" s="13"/>
      <c r="D36" s="13"/>
      <c r="E36" s="15" t="s">
        <v>76</v>
      </c>
      <c r="F36" s="15" t="s">
        <v>77</v>
      </c>
      <c r="G36" s="13"/>
      <c r="H36" s="11"/>
      <c r="AU36" s="11"/>
      <c r="CH36" s="11"/>
      <c r="CI36" s="16"/>
      <c r="CJ36" s="16"/>
      <c r="CK36" s="16"/>
      <c r="CL36" s="16"/>
      <c r="CM36" s="16"/>
      <c r="CN36" s="16"/>
      <c r="CO36" s="16"/>
      <c r="CP36" s="16"/>
      <c r="CQ36" s="16"/>
      <c r="CR36" s="16"/>
      <c r="CS36" s="16"/>
      <c r="CT36" s="16"/>
      <c r="CU36" s="16"/>
      <c r="CV36" s="16"/>
      <c r="CW36" s="16"/>
      <c r="CX36" s="16"/>
      <c r="CY36" s="16"/>
      <c r="CZ36" s="16"/>
      <c r="DA36" s="16"/>
      <c r="DB36" s="16"/>
      <c r="DC36" s="16"/>
      <c r="DD36" s="16"/>
      <c r="DE36" s="17"/>
      <c r="DF36" s="17"/>
      <c r="DG36" s="16"/>
      <c r="DH36" s="16"/>
      <c r="DI36" s="17"/>
      <c r="DJ36" s="18">
        <v>20</v>
      </c>
      <c r="DK36" s="16"/>
      <c r="DL36" s="16"/>
      <c r="DM36" s="17"/>
      <c r="DN36" s="17"/>
      <c r="DO36" s="16"/>
      <c r="DP36" s="16"/>
      <c r="DQ36" s="17"/>
      <c r="DR36" s="17"/>
      <c r="DS36" s="16"/>
      <c r="DT36" s="16"/>
      <c r="DU36" s="17"/>
      <c r="DV36" s="17"/>
      <c r="DW36" s="16"/>
      <c r="DX36" s="19">
        <v>15</v>
      </c>
      <c r="DY36" s="17"/>
      <c r="DZ36" s="17"/>
      <c r="EA36" s="16"/>
      <c r="EB36" s="16"/>
      <c r="EC36" s="17"/>
      <c r="ED36" s="17"/>
      <c r="EE36" s="16"/>
      <c r="EF36" s="16"/>
      <c r="EG36" s="17"/>
      <c r="EH36" s="17"/>
      <c r="EI36" s="16"/>
      <c r="EJ36" s="16"/>
      <c r="EK36" s="17"/>
      <c r="EL36" s="18">
        <v>5</v>
      </c>
      <c r="EM36" s="16"/>
      <c r="EN36" s="16"/>
      <c r="EO36" s="17"/>
      <c r="EP36" s="17"/>
      <c r="EQ36" s="16"/>
      <c r="ER36" s="16"/>
      <c r="ES36" s="17"/>
      <c r="ET36" s="18">
        <v>35</v>
      </c>
      <c r="EU36" s="16"/>
      <c r="EV36" s="16"/>
      <c r="EW36" s="17"/>
      <c r="EX36" s="17"/>
      <c r="EY36" s="16"/>
      <c r="EZ36" s="16"/>
      <c r="FA36" s="17"/>
      <c r="FB36" s="17"/>
      <c r="FC36" s="16"/>
      <c r="FD36" s="19">
        <v>7</v>
      </c>
      <c r="FE36" s="17"/>
      <c r="FF36" s="17"/>
      <c r="FG36" s="11"/>
      <c r="GT36" s="11"/>
      <c r="IG36" s="11"/>
      <c r="JT36" s="11"/>
      <c r="LG36" s="11"/>
      <c r="MT36" s="11"/>
      <c r="OG36" s="11"/>
      <c r="PT36" s="11"/>
    </row>
    <row r="37" spans="1:436" ht="15.75" x14ac:dyDescent="0.25">
      <c r="C37" s="20" t="s">
        <v>103</v>
      </c>
      <c r="D37" s="21" t="s">
        <v>104</v>
      </c>
      <c r="H37" s="11"/>
      <c r="AU37" s="11"/>
      <c r="CH37" s="11"/>
      <c r="CI37" s="16"/>
      <c r="CJ37" s="16"/>
      <c r="CK37" s="16"/>
      <c r="CL37" s="16"/>
      <c r="CM37" s="16"/>
      <c r="CN37" s="16"/>
      <c r="CO37" s="16"/>
      <c r="CP37" s="16"/>
      <c r="CQ37" s="16"/>
      <c r="CR37" s="16"/>
      <c r="CS37" s="16"/>
      <c r="CT37" s="16"/>
      <c r="CU37" s="16"/>
      <c r="CV37" s="16"/>
      <c r="CW37" s="16"/>
      <c r="CX37" s="16"/>
      <c r="CY37" s="16"/>
      <c r="CZ37" s="16"/>
      <c r="DA37" s="16"/>
      <c r="DB37" s="16"/>
      <c r="DC37" s="16"/>
      <c r="DD37" s="16"/>
      <c r="DE37" s="17"/>
      <c r="DF37" s="17"/>
      <c r="DG37" s="16"/>
      <c r="DH37" s="16"/>
      <c r="DI37" s="17"/>
      <c r="DJ37" s="17"/>
      <c r="DK37" s="16"/>
      <c r="DL37" s="16"/>
      <c r="DM37" s="17"/>
      <c r="DN37" s="17"/>
      <c r="DO37" s="16"/>
      <c r="DP37" s="16"/>
      <c r="DQ37" s="17"/>
      <c r="DR37" s="17"/>
      <c r="DS37" s="16"/>
      <c r="DT37" s="16"/>
      <c r="DU37" s="17"/>
      <c r="DV37" s="17"/>
      <c r="DW37" s="16"/>
      <c r="DX37" s="16"/>
      <c r="DY37" s="17"/>
      <c r="DZ37" s="17"/>
      <c r="EA37" s="16"/>
      <c r="EB37" s="16"/>
      <c r="EC37" s="17"/>
      <c r="ED37" s="17"/>
      <c r="EE37" s="16"/>
      <c r="EF37" s="16"/>
      <c r="EG37" s="17"/>
      <c r="EH37" s="17"/>
      <c r="EI37" s="16"/>
      <c r="EJ37" s="16"/>
      <c r="EK37" s="17"/>
      <c r="EL37" s="17"/>
      <c r="EM37" s="16"/>
      <c r="EN37" s="16"/>
      <c r="EO37" s="17"/>
      <c r="EP37" s="17"/>
      <c r="EQ37" s="16"/>
      <c r="ER37" s="16"/>
      <c r="ES37" s="17"/>
      <c r="ET37" s="17"/>
      <c r="EU37" s="16"/>
      <c r="EV37" s="16"/>
      <c r="EW37" s="17"/>
      <c r="EX37" s="17"/>
      <c r="EY37" s="16"/>
      <c r="EZ37" s="16"/>
      <c r="FA37" s="17"/>
      <c r="FB37" s="17"/>
      <c r="FC37" s="19">
        <v>7</v>
      </c>
      <c r="FD37" s="19">
        <v>8</v>
      </c>
      <c r="FE37" s="17"/>
      <c r="FF37" s="17"/>
      <c r="FG37" s="11"/>
      <c r="GT37" s="11"/>
      <c r="IG37" s="11"/>
      <c r="JT37" s="11"/>
      <c r="LG37" s="11"/>
      <c r="MT37" s="11"/>
      <c r="OG37" s="11"/>
      <c r="PT37" s="11"/>
    </row>
    <row r="38" spans="1:436" ht="15.75" x14ac:dyDescent="0.25">
      <c r="C38" s="20" t="s">
        <v>105</v>
      </c>
      <c r="D38" s="21" t="s">
        <v>104</v>
      </c>
      <c r="H38" s="11"/>
      <c r="AU38" s="11"/>
      <c r="CH38" s="11"/>
      <c r="CI38" s="16"/>
      <c r="CJ38" s="16"/>
      <c r="CK38" s="16"/>
      <c r="CL38" s="16"/>
      <c r="CM38" s="16"/>
      <c r="CN38" s="16"/>
      <c r="CO38" s="16"/>
      <c r="CP38" s="16"/>
      <c r="CQ38" s="16"/>
      <c r="CR38" s="16"/>
      <c r="CS38" s="16"/>
      <c r="CT38" s="16"/>
      <c r="CU38" s="16"/>
      <c r="CV38" s="16"/>
      <c r="CW38" s="16"/>
      <c r="CX38" s="16"/>
      <c r="CY38" s="16"/>
      <c r="CZ38" s="16"/>
      <c r="DA38" s="16"/>
      <c r="DB38" s="16"/>
      <c r="DC38" s="16"/>
      <c r="DD38" s="16"/>
      <c r="DE38" s="17"/>
      <c r="DF38" s="17"/>
      <c r="DG38" s="16"/>
      <c r="DH38" s="16"/>
      <c r="DI38" s="17"/>
      <c r="DJ38" s="17"/>
      <c r="DK38" s="16"/>
      <c r="DL38" s="16"/>
      <c r="DM38" s="17"/>
      <c r="DN38" s="17"/>
      <c r="DO38" s="16"/>
      <c r="DP38" s="16"/>
      <c r="DQ38" s="17"/>
      <c r="DR38" s="17"/>
      <c r="DS38" s="16"/>
      <c r="DT38" s="16"/>
      <c r="DU38" s="17"/>
      <c r="DV38" s="17"/>
      <c r="DW38" s="16"/>
      <c r="DX38" s="16"/>
      <c r="DY38" s="17"/>
      <c r="DZ38" s="17"/>
      <c r="EA38" s="16"/>
      <c r="EB38" s="16"/>
      <c r="EC38" s="17"/>
      <c r="ED38" s="17"/>
      <c r="EE38" s="16"/>
      <c r="EF38" s="16"/>
      <c r="EG38" s="17"/>
      <c r="EH38" s="17"/>
      <c r="EI38" s="16"/>
      <c r="EJ38" s="16"/>
      <c r="EK38" s="17"/>
      <c r="EL38" s="17"/>
      <c r="EM38" s="16"/>
      <c r="EN38" s="16"/>
      <c r="EO38" s="17"/>
      <c r="EP38" s="17"/>
      <c r="EQ38" s="16"/>
      <c r="ER38" s="16"/>
      <c r="ES38" s="17"/>
      <c r="ET38" s="17"/>
      <c r="EU38" s="16"/>
      <c r="EV38" s="16"/>
      <c r="EW38" s="17"/>
      <c r="EX38" s="17"/>
      <c r="EY38" s="16"/>
      <c r="EZ38" s="16"/>
      <c r="FA38" s="17"/>
      <c r="FB38" s="17"/>
      <c r="FC38" s="19">
        <v>7</v>
      </c>
      <c r="FD38" s="19">
        <v>8</v>
      </c>
      <c r="FE38" s="17"/>
      <c r="FF38" s="17"/>
      <c r="FG38" s="11"/>
      <c r="GT38" s="11"/>
      <c r="IG38" s="11"/>
      <c r="JT38" s="11"/>
      <c r="LG38" s="11"/>
      <c r="MT38" s="11"/>
      <c r="OG38" s="11"/>
      <c r="PT38" s="11"/>
    </row>
    <row r="39" spans="1:436" ht="15.75" x14ac:dyDescent="0.25">
      <c r="C39" s="20" t="s">
        <v>106</v>
      </c>
      <c r="D39" s="21" t="s">
        <v>79</v>
      </c>
      <c r="H39" s="11"/>
      <c r="AU39" s="11"/>
      <c r="CH39" s="11"/>
      <c r="CI39" s="16"/>
      <c r="CJ39" s="16"/>
      <c r="CK39" s="16"/>
      <c r="CL39" s="16"/>
      <c r="CM39" s="16"/>
      <c r="CN39" s="16"/>
      <c r="CO39" s="16"/>
      <c r="CP39" s="16"/>
      <c r="CQ39" s="16"/>
      <c r="CR39" s="16"/>
      <c r="CS39" s="16"/>
      <c r="CT39" s="16"/>
      <c r="CU39" s="16"/>
      <c r="CV39" s="16"/>
      <c r="CW39" s="16"/>
      <c r="CX39" s="16"/>
      <c r="CY39" s="16"/>
      <c r="CZ39" s="16"/>
      <c r="DA39" s="16"/>
      <c r="DB39" s="16"/>
      <c r="DC39" s="16"/>
      <c r="DD39" s="16"/>
      <c r="DE39" s="17"/>
      <c r="DF39" s="17"/>
      <c r="DG39" s="16"/>
      <c r="DH39" s="16"/>
      <c r="DI39" s="18">
        <v>4</v>
      </c>
      <c r="DJ39" s="18">
        <v>15</v>
      </c>
      <c r="DK39" s="16"/>
      <c r="DL39" s="16"/>
      <c r="DM39" s="17"/>
      <c r="DN39" s="17"/>
      <c r="DO39" s="16"/>
      <c r="DP39" s="16"/>
      <c r="DQ39" s="17"/>
      <c r="DR39" s="17"/>
      <c r="DS39" s="16"/>
      <c r="DT39" s="16"/>
      <c r="DU39" s="17"/>
      <c r="DV39" s="17"/>
      <c r="DW39" s="16"/>
      <c r="DX39" s="16"/>
      <c r="DY39" s="17"/>
      <c r="DZ39" s="17"/>
      <c r="EA39" s="16"/>
      <c r="EB39" s="16"/>
      <c r="EC39" s="17"/>
      <c r="ED39" s="17"/>
      <c r="EE39" s="16"/>
      <c r="EF39" s="16"/>
      <c r="EG39" s="17"/>
      <c r="EH39" s="17"/>
      <c r="EI39" s="16"/>
      <c r="EJ39" s="16"/>
      <c r="EK39" s="17"/>
      <c r="EL39" s="17"/>
      <c r="EM39" s="16"/>
      <c r="EN39" s="16"/>
      <c r="EO39" s="17"/>
      <c r="EP39" s="17"/>
      <c r="EQ39" s="16"/>
      <c r="ER39" s="16"/>
      <c r="ES39" s="17"/>
      <c r="ET39" s="17"/>
      <c r="EU39" s="16"/>
      <c r="EV39" s="16"/>
      <c r="EW39" s="17"/>
      <c r="EX39" s="17"/>
      <c r="EY39" s="16"/>
      <c r="EZ39" s="16"/>
      <c r="FA39" s="17"/>
      <c r="FB39" s="17"/>
      <c r="FC39" s="16"/>
      <c r="FD39" s="16"/>
      <c r="FE39" s="17"/>
      <c r="FF39" s="17"/>
      <c r="FG39" s="11"/>
      <c r="GT39" s="11"/>
      <c r="IG39" s="11"/>
      <c r="JT39" s="11"/>
      <c r="LG39" s="11"/>
      <c r="MT39" s="11"/>
      <c r="OG39" s="11"/>
      <c r="PT39" s="11"/>
    </row>
    <row r="40" spans="1:436" ht="15.75" x14ac:dyDescent="0.25">
      <c r="C40" s="20" t="s">
        <v>107</v>
      </c>
      <c r="D40" s="21" t="s">
        <v>82</v>
      </c>
      <c r="H40" s="11"/>
      <c r="AU40" s="11"/>
      <c r="CH40" s="11"/>
      <c r="CI40" s="16"/>
      <c r="CJ40" s="16"/>
      <c r="CK40" s="16"/>
      <c r="CL40" s="16"/>
      <c r="CM40" s="16"/>
      <c r="CN40" s="16"/>
      <c r="CO40" s="16"/>
      <c r="CP40" s="16"/>
      <c r="CQ40" s="16"/>
      <c r="CR40" s="16"/>
      <c r="CS40" s="16"/>
      <c r="CT40" s="16"/>
      <c r="CU40" s="16"/>
      <c r="CV40" s="16"/>
      <c r="CW40" s="16"/>
      <c r="CX40" s="16"/>
      <c r="CY40" s="16"/>
      <c r="CZ40" s="16"/>
      <c r="DA40" s="16"/>
      <c r="DB40" s="16"/>
      <c r="DC40" s="16"/>
      <c r="DD40" s="16"/>
      <c r="DE40" s="17"/>
      <c r="DF40" s="17"/>
      <c r="DG40" s="16"/>
      <c r="DH40" s="16"/>
      <c r="DI40" s="17"/>
      <c r="DJ40" s="17"/>
      <c r="DK40" s="16"/>
      <c r="DL40" s="16"/>
      <c r="DM40" s="17"/>
      <c r="DN40" s="17"/>
      <c r="DO40" s="16"/>
      <c r="DP40" s="16"/>
      <c r="DQ40" s="17"/>
      <c r="DR40" s="17"/>
      <c r="DS40" s="16"/>
      <c r="DT40" s="16"/>
      <c r="DU40" s="17"/>
      <c r="DV40" s="17"/>
      <c r="DW40" s="16"/>
      <c r="DX40" s="16"/>
      <c r="DY40" s="17"/>
      <c r="DZ40" s="17"/>
      <c r="EA40" s="16"/>
      <c r="EB40" s="16"/>
      <c r="EC40" s="17"/>
      <c r="ED40" s="17"/>
      <c r="EE40" s="16"/>
      <c r="EF40" s="16"/>
      <c r="EG40" s="17"/>
      <c r="EH40" s="17"/>
      <c r="EI40" s="16"/>
      <c r="EJ40" s="16"/>
      <c r="EK40" s="17"/>
      <c r="EL40" s="17"/>
      <c r="EM40" s="16"/>
      <c r="EN40" s="16"/>
      <c r="EO40" s="17"/>
      <c r="EP40" s="17"/>
      <c r="EQ40" s="16"/>
      <c r="ER40" s="16"/>
      <c r="ES40" s="17"/>
      <c r="ET40" s="17"/>
      <c r="EU40" s="16"/>
      <c r="EV40" s="16"/>
      <c r="EW40" s="17"/>
      <c r="EX40" s="17"/>
      <c r="EY40" s="16"/>
      <c r="EZ40" s="16"/>
      <c r="FA40" s="17"/>
      <c r="FB40" s="17"/>
      <c r="FC40" s="16"/>
      <c r="FD40" s="16"/>
      <c r="FE40" s="17"/>
      <c r="FF40" s="17"/>
      <c r="FG40" s="11"/>
      <c r="GT40" s="11"/>
      <c r="IG40" s="11"/>
      <c r="JT40" s="11"/>
      <c r="LG40" s="11"/>
      <c r="MT40" s="11"/>
      <c r="OG40" s="11"/>
      <c r="PT40" s="11"/>
    </row>
    <row r="41" spans="1:436" ht="15.75" x14ac:dyDescent="0.25">
      <c r="C41" s="20" t="s">
        <v>108</v>
      </c>
      <c r="D41" s="21" t="s">
        <v>79</v>
      </c>
      <c r="H41" s="11"/>
      <c r="AU41" s="11"/>
      <c r="CH41" s="11"/>
      <c r="CI41" s="16"/>
      <c r="CJ41" s="16"/>
      <c r="CK41" s="16"/>
      <c r="CL41" s="16"/>
      <c r="CM41" s="16"/>
      <c r="CN41" s="16"/>
      <c r="CO41" s="16"/>
      <c r="CP41" s="16"/>
      <c r="CQ41" s="16"/>
      <c r="CR41" s="16"/>
      <c r="CS41" s="16"/>
      <c r="CT41" s="16"/>
      <c r="CU41" s="16"/>
      <c r="CV41" s="16"/>
      <c r="CW41" s="16"/>
      <c r="CX41" s="16"/>
      <c r="CY41" s="16"/>
      <c r="CZ41" s="16"/>
      <c r="DA41" s="16"/>
      <c r="DB41" s="16"/>
      <c r="DC41" s="16"/>
      <c r="DD41" s="16"/>
      <c r="DE41" s="17"/>
      <c r="DF41" s="17"/>
      <c r="DG41" s="16"/>
      <c r="DH41" s="16"/>
      <c r="DI41" s="18">
        <v>4</v>
      </c>
      <c r="DJ41" s="18">
        <v>5</v>
      </c>
      <c r="DK41" s="16"/>
      <c r="DL41" s="16"/>
      <c r="DM41" s="17"/>
      <c r="DN41" s="17"/>
      <c r="DO41" s="16"/>
      <c r="DP41" s="16"/>
      <c r="DQ41" s="17"/>
      <c r="DR41" s="17"/>
      <c r="DS41" s="16"/>
      <c r="DT41" s="16"/>
      <c r="DU41" s="17"/>
      <c r="DV41" s="17"/>
      <c r="DW41" s="16"/>
      <c r="DX41" s="16"/>
      <c r="DY41" s="17"/>
      <c r="DZ41" s="17"/>
      <c r="EA41" s="16"/>
      <c r="EB41" s="16"/>
      <c r="EC41" s="17"/>
      <c r="ED41" s="17"/>
      <c r="EE41" s="16"/>
      <c r="EF41" s="16"/>
      <c r="EG41" s="17"/>
      <c r="EH41" s="17"/>
      <c r="EI41" s="16"/>
      <c r="EJ41" s="16"/>
      <c r="EK41" s="17"/>
      <c r="EL41" s="17"/>
      <c r="EM41" s="16"/>
      <c r="EN41" s="16"/>
      <c r="EO41" s="17"/>
      <c r="EP41" s="17"/>
      <c r="EQ41" s="16"/>
      <c r="ER41" s="16"/>
      <c r="ES41" s="17"/>
      <c r="ET41" s="17"/>
      <c r="EU41" s="16"/>
      <c r="EV41" s="16"/>
      <c r="EW41" s="17"/>
      <c r="EX41" s="17"/>
      <c r="EY41" s="16"/>
      <c r="EZ41" s="16"/>
      <c r="FA41" s="17"/>
      <c r="FB41" s="17"/>
      <c r="FC41" s="16"/>
      <c r="FD41" s="16"/>
      <c r="FE41" s="17"/>
      <c r="FF41" s="17"/>
      <c r="FG41" s="11"/>
      <c r="GT41" s="11"/>
      <c r="IG41" s="11"/>
      <c r="JT41" s="11"/>
      <c r="LG41" s="11"/>
      <c r="MT41" s="11"/>
      <c r="OG41" s="11"/>
      <c r="PT41" s="11"/>
    </row>
    <row r="42" spans="1:436" ht="15.75" x14ac:dyDescent="0.25">
      <c r="C42" s="20" t="s">
        <v>109</v>
      </c>
      <c r="D42" s="21" t="s">
        <v>84</v>
      </c>
      <c r="H42" s="11"/>
      <c r="AU42" s="11"/>
      <c r="CH42" s="11"/>
      <c r="CI42" s="16"/>
      <c r="CJ42" s="16"/>
      <c r="CK42" s="16"/>
      <c r="CL42" s="16"/>
      <c r="CM42" s="16"/>
      <c r="CN42" s="16"/>
      <c r="CO42" s="16"/>
      <c r="CP42" s="16"/>
      <c r="CQ42" s="16"/>
      <c r="CR42" s="16"/>
      <c r="CS42" s="16"/>
      <c r="CT42" s="16"/>
      <c r="CU42" s="16"/>
      <c r="CV42" s="16"/>
      <c r="CW42" s="16"/>
      <c r="CX42" s="16"/>
      <c r="CY42" s="16"/>
      <c r="CZ42" s="16"/>
      <c r="DA42" s="16"/>
      <c r="DB42" s="16"/>
      <c r="DC42" s="16"/>
      <c r="DD42" s="16"/>
      <c r="DE42" s="17"/>
      <c r="DF42" s="17"/>
      <c r="DG42" s="16"/>
      <c r="DH42" s="16"/>
      <c r="DI42" s="17"/>
      <c r="DJ42" s="17"/>
      <c r="DK42" s="16"/>
      <c r="DL42" s="16"/>
      <c r="DM42" s="17"/>
      <c r="DN42" s="17"/>
      <c r="DO42" s="16"/>
      <c r="DP42" s="16"/>
      <c r="DQ42" s="17"/>
      <c r="DR42" s="17"/>
      <c r="DS42" s="16"/>
      <c r="DT42" s="16"/>
      <c r="DU42" s="17"/>
      <c r="DV42" s="17"/>
      <c r="DW42" s="16"/>
      <c r="DX42" s="16"/>
      <c r="DY42" s="17"/>
      <c r="DZ42" s="17"/>
      <c r="EA42" s="16"/>
      <c r="EB42" s="16"/>
      <c r="EC42" s="17"/>
      <c r="ED42" s="17"/>
      <c r="EE42" s="16"/>
      <c r="EF42" s="16"/>
      <c r="EG42" s="17"/>
      <c r="EH42" s="17"/>
      <c r="EI42" s="16"/>
      <c r="EJ42" s="16"/>
      <c r="EK42" s="17"/>
      <c r="EL42" s="17"/>
      <c r="EM42" s="16"/>
      <c r="EN42" s="16"/>
      <c r="EO42" s="17"/>
      <c r="EP42" s="17"/>
      <c r="EQ42" s="16"/>
      <c r="ER42" s="16"/>
      <c r="ES42" s="17"/>
      <c r="ET42" s="17"/>
      <c r="EU42" s="16"/>
      <c r="EV42" s="16"/>
      <c r="EW42" s="17"/>
      <c r="EX42" s="17"/>
      <c r="EY42" s="16"/>
      <c r="EZ42" s="16"/>
      <c r="FA42" s="17"/>
      <c r="FB42" s="17"/>
      <c r="FC42" s="16"/>
      <c r="FD42" s="16"/>
      <c r="FE42" s="17"/>
      <c r="FF42" s="17"/>
      <c r="FG42" s="11"/>
      <c r="GT42" s="11"/>
      <c r="IG42" s="11"/>
      <c r="JT42" s="11"/>
      <c r="LG42" s="11"/>
      <c r="MT42" s="11"/>
      <c r="OG42" s="11"/>
      <c r="PT42" s="11"/>
    </row>
    <row r="43" spans="1:436" ht="15.75" x14ac:dyDescent="0.25">
      <c r="C43" s="20" t="s">
        <v>110</v>
      </c>
      <c r="D43" s="21" t="s">
        <v>90</v>
      </c>
      <c r="H43" s="11"/>
      <c r="AU43" s="11"/>
      <c r="CH43" s="11"/>
      <c r="CI43" s="16"/>
      <c r="CJ43" s="16"/>
      <c r="CK43" s="16"/>
      <c r="CL43" s="16"/>
      <c r="CM43" s="16"/>
      <c r="CN43" s="16"/>
      <c r="CO43" s="16"/>
      <c r="CP43" s="16"/>
      <c r="CQ43" s="16"/>
      <c r="CR43" s="16"/>
      <c r="CS43" s="16"/>
      <c r="CT43" s="16"/>
      <c r="CU43" s="16"/>
      <c r="CV43" s="16"/>
      <c r="CW43" s="16"/>
      <c r="CX43" s="16"/>
      <c r="CY43" s="16"/>
      <c r="CZ43" s="16"/>
      <c r="DA43" s="16"/>
      <c r="DB43" s="16"/>
      <c r="DC43" s="16"/>
      <c r="DD43" s="16"/>
      <c r="DE43" s="17"/>
      <c r="DF43" s="17"/>
      <c r="DG43" s="16"/>
      <c r="DH43" s="16"/>
      <c r="DI43" s="17"/>
      <c r="DJ43" s="17"/>
      <c r="DK43" s="16"/>
      <c r="DL43" s="16"/>
      <c r="DM43" s="17"/>
      <c r="DN43" s="17"/>
      <c r="DO43" s="16"/>
      <c r="DP43" s="16"/>
      <c r="DQ43" s="17"/>
      <c r="DR43" s="17"/>
      <c r="DS43" s="16"/>
      <c r="DT43" s="16"/>
      <c r="DU43" s="17"/>
      <c r="DV43" s="17"/>
      <c r="DW43" s="16"/>
      <c r="DX43" s="16"/>
      <c r="DY43" s="17"/>
      <c r="DZ43" s="17"/>
      <c r="EA43" s="16"/>
      <c r="EB43" s="16"/>
      <c r="EC43" s="17"/>
      <c r="ED43" s="17"/>
      <c r="EE43" s="16"/>
      <c r="EF43" s="16"/>
      <c r="EG43" s="17"/>
      <c r="EH43" s="17"/>
      <c r="EI43" s="16"/>
      <c r="EJ43" s="16"/>
      <c r="EK43" s="17"/>
      <c r="EL43" s="17"/>
      <c r="EM43" s="16"/>
      <c r="EN43" s="16"/>
      <c r="EO43" s="17"/>
      <c r="EP43" s="17"/>
      <c r="EQ43" s="16"/>
      <c r="ER43" s="16"/>
      <c r="ES43" s="17"/>
      <c r="ET43" s="17"/>
      <c r="EU43" s="16"/>
      <c r="EV43" s="16"/>
      <c r="EW43" s="17"/>
      <c r="EX43" s="17"/>
      <c r="EY43" s="16"/>
      <c r="EZ43" s="16"/>
      <c r="FA43" s="17"/>
      <c r="FB43" s="17"/>
      <c r="FC43" s="16"/>
      <c r="FD43" s="16"/>
      <c r="FE43" s="17"/>
      <c r="FF43" s="17"/>
      <c r="FG43" s="11"/>
      <c r="GT43" s="11"/>
      <c r="IG43" s="11"/>
      <c r="JT43" s="11"/>
      <c r="LG43" s="11"/>
      <c r="MT43" s="11"/>
      <c r="OG43" s="11"/>
      <c r="PT43" s="11"/>
    </row>
    <row r="44" spans="1:436" ht="15.75" x14ac:dyDescent="0.25">
      <c r="C44" s="20" t="s">
        <v>106</v>
      </c>
      <c r="D44" s="21" t="s">
        <v>79</v>
      </c>
      <c r="H44" s="11"/>
      <c r="AU44" s="11"/>
      <c r="CH44" s="11"/>
      <c r="CI44" s="16"/>
      <c r="CJ44" s="16"/>
      <c r="CK44" s="16"/>
      <c r="CL44" s="16"/>
      <c r="CM44" s="16"/>
      <c r="CN44" s="16"/>
      <c r="CO44" s="16"/>
      <c r="CP44" s="16"/>
      <c r="CQ44" s="16"/>
      <c r="CR44" s="16"/>
      <c r="CS44" s="16"/>
      <c r="CT44" s="16"/>
      <c r="CU44" s="16"/>
      <c r="CV44" s="16"/>
      <c r="CW44" s="16"/>
      <c r="CX44" s="16"/>
      <c r="CY44" s="16"/>
      <c r="CZ44" s="16"/>
      <c r="DA44" s="16"/>
      <c r="DB44" s="16"/>
      <c r="DC44" s="16"/>
      <c r="DD44" s="16"/>
      <c r="DE44" s="17"/>
      <c r="DF44" s="17"/>
      <c r="DG44" s="16"/>
      <c r="DH44" s="16"/>
      <c r="DI44" s="17"/>
      <c r="DJ44" s="17"/>
      <c r="DK44" s="16"/>
      <c r="DL44" s="16"/>
      <c r="DM44" s="17"/>
      <c r="DN44" s="17"/>
      <c r="DO44" s="16"/>
      <c r="DP44" s="16"/>
      <c r="DQ44" s="17"/>
      <c r="DR44" s="17"/>
      <c r="DS44" s="16"/>
      <c r="DT44" s="16"/>
      <c r="DU44" s="17"/>
      <c r="DV44" s="17"/>
      <c r="DW44" s="16"/>
      <c r="DX44" s="16"/>
      <c r="DY44" s="17"/>
      <c r="DZ44" s="17"/>
      <c r="EA44" s="16"/>
      <c r="EB44" s="16"/>
      <c r="EC44" s="17"/>
      <c r="ED44" s="17"/>
      <c r="EE44" s="16"/>
      <c r="EF44" s="16"/>
      <c r="EG44" s="17"/>
      <c r="EH44" s="17"/>
      <c r="EI44" s="16"/>
      <c r="EJ44" s="16"/>
      <c r="EK44" s="17"/>
      <c r="EL44" s="17"/>
      <c r="EM44" s="16"/>
      <c r="EN44" s="16"/>
      <c r="EO44" s="17"/>
      <c r="EP44" s="17"/>
      <c r="EQ44" s="16"/>
      <c r="ER44" s="16"/>
      <c r="ES44" s="17"/>
      <c r="ET44" s="17"/>
      <c r="EU44" s="16"/>
      <c r="EV44" s="16"/>
      <c r="EW44" s="17"/>
      <c r="EX44" s="17"/>
      <c r="EY44" s="16"/>
      <c r="EZ44" s="16"/>
      <c r="FA44" s="17"/>
      <c r="FB44" s="17"/>
      <c r="FC44" s="16"/>
      <c r="FD44" s="16"/>
      <c r="FE44" s="17"/>
      <c r="FF44" s="17"/>
      <c r="FG44" s="11"/>
      <c r="GT44" s="11"/>
      <c r="IG44" s="11"/>
      <c r="JT44" s="11"/>
      <c r="LG44" s="11"/>
      <c r="MT44" s="11"/>
      <c r="OG44" s="11"/>
      <c r="PT44" s="11"/>
    </row>
    <row r="45" spans="1:436" ht="15.75" x14ac:dyDescent="0.25">
      <c r="C45" s="20" t="s">
        <v>107</v>
      </c>
      <c r="D45" s="21" t="s">
        <v>82</v>
      </c>
      <c r="H45" s="11"/>
      <c r="AU45" s="11"/>
      <c r="CH45" s="11"/>
      <c r="CI45" s="16"/>
      <c r="CJ45" s="16"/>
      <c r="CK45" s="16"/>
      <c r="CL45" s="16"/>
      <c r="CM45" s="16"/>
      <c r="CN45" s="16"/>
      <c r="CO45" s="16"/>
      <c r="CP45" s="16"/>
      <c r="CQ45" s="16"/>
      <c r="CR45" s="16"/>
      <c r="CS45" s="16"/>
      <c r="CT45" s="16"/>
      <c r="CU45" s="16"/>
      <c r="CV45" s="16"/>
      <c r="CW45" s="16"/>
      <c r="CX45" s="16"/>
      <c r="CY45" s="16"/>
      <c r="CZ45" s="16"/>
      <c r="DA45" s="16"/>
      <c r="DB45" s="16"/>
      <c r="DC45" s="16"/>
      <c r="DD45" s="16"/>
      <c r="DE45" s="17"/>
      <c r="DF45" s="17"/>
      <c r="DG45" s="16"/>
      <c r="DH45" s="16"/>
      <c r="DI45" s="17"/>
      <c r="DJ45" s="17"/>
      <c r="DK45" s="16"/>
      <c r="DL45" s="16"/>
      <c r="DM45" s="17"/>
      <c r="DN45" s="17"/>
      <c r="DO45" s="16"/>
      <c r="DP45" s="16"/>
      <c r="DQ45" s="17"/>
      <c r="DR45" s="17"/>
      <c r="DS45" s="16"/>
      <c r="DT45" s="16"/>
      <c r="DU45" s="17"/>
      <c r="DV45" s="17"/>
      <c r="DW45" s="16"/>
      <c r="DX45" s="16"/>
      <c r="DY45" s="17"/>
      <c r="DZ45" s="17"/>
      <c r="EA45" s="16"/>
      <c r="EB45" s="16"/>
      <c r="EC45" s="17"/>
      <c r="ED45" s="17"/>
      <c r="EE45" s="16"/>
      <c r="EF45" s="16"/>
      <c r="EG45" s="17"/>
      <c r="EH45" s="17"/>
      <c r="EI45" s="16"/>
      <c r="EJ45" s="16"/>
      <c r="EK45" s="17"/>
      <c r="EL45" s="17"/>
      <c r="EM45" s="16"/>
      <c r="EN45" s="16"/>
      <c r="EO45" s="17"/>
      <c r="EP45" s="17"/>
      <c r="EQ45" s="16"/>
      <c r="ER45" s="16"/>
      <c r="ES45" s="17"/>
      <c r="ET45" s="17"/>
      <c r="EU45" s="16"/>
      <c r="EV45" s="16"/>
      <c r="EW45" s="17"/>
      <c r="EX45" s="17"/>
      <c r="EY45" s="16"/>
      <c r="EZ45" s="16"/>
      <c r="FA45" s="17"/>
      <c r="FB45" s="17"/>
      <c r="FC45" s="16"/>
      <c r="FD45" s="16"/>
      <c r="FE45" s="17"/>
      <c r="FF45" s="17"/>
      <c r="FG45" s="11"/>
      <c r="GT45" s="11"/>
      <c r="IG45" s="11"/>
      <c r="JT45" s="11"/>
      <c r="LG45" s="11"/>
      <c r="MT45" s="11"/>
      <c r="OG45" s="11"/>
      <c r="PT45" s="11"/>
    </row>
    <row r="46" spans="1:436" ht="15.75" x14ac:dyDescent="0.25">
      <c r="C46" s="20" t="s">
        <v>111</v>
      </c>
      <c r="D46" s="21" t="s">
        <v>82</v>
      </c>
      <c r="H46" s="11"/>
      <c r="AU46" s="11"/>
      <c r="CH46" s="11"/>
      <c r="CI46" s="16"/>
      <c r="CJ46" s="16"/>
      <c r="CK46" s="16"/>
      <c r="CL46" s="16"/>
      <c r="CM46" s="16"/>
      <c r="CN46" s="16"/>
      <c r="CO46" s="16"/>
      <c r="CP46" s="16"/>
      <c r="CQ46" s="16"/>
      <c r="CR46" s="16"/>
      <c r="CS46" s="16"/>
      <c r="CT46" s="16"/>
      <c r="CU46" s="16"/>
      <c r="CV46" s="16"/>
      <c r="CW46" s="16"/>
      <c r="CX46" s="16"/>
      <c r="CY46" s="16"/>
      <c r="CZ46" s="16"/>
      <c r="DA46" s="16"/>
      <c r="DB46" s="16"/>
      <c r="DC46" s="16"/>
      <c r="DD46" s="16"/>
      <c r="DE46" s="17"/>
      <c r="DF46" s="17"/>
      <c r="DG46" s="16"/>
      <c r="DH46" s="16"/>
      <c r="DI46" s="17"/>
      <c r="DJ46" s="17"/>
      <c r="DK46" s="16"/>
      <c r="DL46" s="16"/>
      <c r="DM46" s="17"/>
      <c r="DN46" s="17"/>
      <c r="DO46" s="16"/>
      <c r="DP46" s="16"/>
      <c r="DQ46" s="17"/>
      <c r="DR46" s="17"/>
      <c r="DS46" s="16"/>
      <c r="DT46" s="16"/>
      <c r="DU46" s="17"/>
      <c r="DV46" s="17"/>
      <c r="DW46" s="16"/>
      <c r="DX46" s="16"/>
      <c r="DY46" s="17"/>
      <c r="DZ46" s="17"/>
      <c r="EA46" s="16"/>
      <c r="EB46" s="16"/>
      <c r="EC46" s="17"/>
      <c r="ED46" s="17"/>
      <c r="EE46" s="16"/>
      <c r="EF46" s="16"/>
      <c r="EG46" s="17"/>
      <c r="EH46" s="17"/>
      <c r="EI46" s="16"/>
      <c r="EJ46" s="16"/>
      <c r="EK46" s="17"/>
      <c r="EL46" s="17"/>
      <c r="EM46" s="16"/>
      <c r="EN46" s="16"/>
      <c r="EO46" s="17"/>
      <c r="EP46" s="17"/>
      <c r="EQ46" s="16"/>
      <c r="ER46" s="16"/>
      <c r="ES46" s="18">
        <v>4</v>
      </c>
      <c r="ET46" s="18">
        <v>6</v>
      </c>
      <c r="EU46" s="16"/>
      <c r="EV46" s="16"/>
      <c r="EW46" s="17"/>
      <c r="EX46" s="17"/>
      <c r="EY46" s="16"/>
      <c r="EZ46" s="16"/>
      <c r="FA46" s="17"/>
      <c r="FB46" s="17"/>
      <c r="FC46" s="16"/>
      <c r="FD46" s="16"/>
      <c r="FE46" s="17"/>
      <c r="FF46" s="17"/>
      <c r="FG46" s="11"/>
      <c r="GT46" s="11"/>
      <c r="IG46" s="11"/>
      <c r="JT46" s="11"/>
      <c r="LG46" s="11"/>
      <c r="MT46" s="11"/>
      <c r="OG46" s="11"/>
      <c r="PT46" s="11"/>
    </row>
    <row r="47" spans="1:436" ht="15.75" x14ac:dyDescent="0.25">
      <c r="C47" s="20" t="s">
        <v>112</v>
      </c>
      <c r="D47" s="21" t="s">
        <v>82</v>
      </c>
      <c r="H47" s="11"/>
      <c r="AU47" s="11"/>
      <c r="CH47" s="11"/>
      <c r="CI47" s="16"/>
      <c r="CJ47" s="16"/>
      <c r="CK47" s="16"/>
      <c r="CL47" s="16"/>
      <c r="CM47" s="16"/>
      <c r="CN47" s="16"/>
      <c r="CO47" s="16"/>
      <c r="CP47" s="16"/>
      <c r="CQ47" s="16"/>
      <c r="CR47" s="16"/>
      <c r="CS47" s="16"/>
      <c r="CT47" s="16"/>
      <c r="CU47" s="16"/>
      <c r="CV47" s="16"/>
      <c r="CW47" s="16"/>
      <c r="CX47" s="16"/>
      <c r="CY47" s="16"/>
      <c r="CZ47" s="16"/>
      <c r="DA47" s="16"/>
      <c r="DB47" s="16"/>
      <c r="DC47" s="16"/>
      <c r="DD47" s="16"/>
      <c r="DE47" s="17"/>
      <c r="DF47" s="17"/>
      <c r="DG47" s="16"/>
      <c r="DH47" s="16"/>
      <c r="DI47" s="17"/>
      <c r="DJ47" s="17"/>
      <c r="DK47" s="16"/>
      <c r="DL47" s="16"/>
      <c r="DM47" s="17"/>
      <c r="DN47" s="17"/>
      <c r="DO47" s="16"/>
      <c r="DP47" s="16"/>
      <c r="DQ47" s="17"/>
      <c r="DR47" s="17"/>
      <c r="DS47" s="16"/>
      <c r="DT47" s="16"/>
      <c r="DU47" s="17"/>
      <c r="DV47" s="17"/>
      <c r="DW47" s="16"/>
      <c r="DX47" s="16"/>
      <c r="DY47" s="17"/>
      <c r="DZ47" s="17"/>
      <c r="EA47" s="16"/>
      <c r="EB47" s="16"/>
      <c r="EC47" s="17"/>
      <c r="ED47" s="17"/>
      <c r="EE47" s="16"/>
      <c r="EF47" s="16"/>
      <c r="EG47" s="17"/>
      <c r="EH47" s="17"/>
      <c r="EI47" s="16"/>
      <c r="EJ47" s="16"/>
      <c r="EK47" s="17"/>
      <c r="EL47" s="17"/>
      <c r="EM47" s="16"/>
      <c r="EN47" s="16"/>
      <c r="EO47" s="17"/>
      <c r="EP47" s="17"/>
      <c r="EQ47" s="16"/>
      <c r="ER47" s="16"/>
      <c r="ES47" s="18">
        <v>2</v>
      </c>
      <c r="ET47" s="18">
        <v>4</v>
      </c>
      <c r="EU47" s="16"/>
      <c r="EV47" s="16"/>
      <c r="EW47" s="17"/>
      <c r="EX47" s="17"/>
      <c r="EY47" s="16"/>
      <c r="EZ47" s="16"/>
      <c r="FA47" s="17"/>
      <c r="FB47" s="17"/>
      <c r="FC47" s="16"/>
      <c r="FD47" s="16"/>
      <c r="FE47" s="17"/>
      <c r="FF47" s="17"/>
      <c r="FG47" s="11"/>
      <c r="GT47" s="11"/>
      <c r="IG47" s="11"/>
      <c r="JT47" s="11"/>
      <c r="LG47" s="11"/>
      <c r="MT47" s="11"/>
      <c r="OG47" s="11"/>
      <c r="PT47" s="11"/>
    </row>
    <row r="48" spans="1:436" ht="15.75" x14ac:dyDescent="0.25">
      <c r="C48" s="20" t="s">
        <v>113</v>
      </c>
      <c r="D48" s="21" t="s">
        <v>82</v>
      </c>
      <c r="H48" s="11"/>
      <c r="AU48" s="11"/>
      <c r="CH48" s="11"/>
      <c r="CI48" s="16"/>
      <c r="CJ48" s="16"/>
      <c r="CK48" s="16"/>
      <c r="CL48" s="16"/>
      <c r="CM48" s="16"/>
      <c r="CN48" s="16"/>
      <c r="CO48" s="16"/>
      <c r="CP48" s="16"/>
      <c r="CQ48" s="16"/>
      <c r="CR48" s="16"/>
      <c r="CS48" s="16"/>
      <c r="CT48" s="16"/>
      <c r="CU48" s="16"/>
      <c r="CV48" s="16"/>
      <c r="CW48" s="16"/>
      <c r="CX48" s="16"/>
      <c r="CY48" s="16"/>
      <c r="CZ48" s="16"/>
      <c r="DA48" s="16"/>
      <c r="DB48" s="16"/>
      <c r="DC48" s="16"/>
      <c r="DD48" s="16"/>
      <c r="DE48" s="17"/>
      <c r="DF48" s="17"/>
      <c r="DG48" s="16"/>
      <c r="DH48" s="16"/>
      <c r="DI48" s="17"/>
      <c r="DJ48" s="17"/>
      <c r="DK48" s="16"/>
      <c r="DL48" s="16"/>
      <c r="DM48" s="17"/>
      <c r="DN48" s="17"/>
      <c r="DO48" s="16"/>
      <c r="DP48" s="16"/>
      <c r="DQ48" s="17"/>
      <c r="DR48" s="17"/>
      <c r="DS48" s="16"/>
      <c r="DT48" s="16"/>
      <c r="DU48" s="17"/>
      <c r="DV48" s="17"/>
      <c r="DW48" s="16"/>
      <c r="DX48" s="16"/>
      <c r="DY48" s="17"/>
      <c r="DZ48" s="17"/>
      <c r="EA48" s="16"/>
      <c r="EB48" s="16"/>
      <c r="EC48" s="17"/>
      <c r="ED48" s="17"/>
      <c r="EE48" s="16"/>
      <c r="EF48" s="16"/>
      <c r="EG48" s="17"/>
      <c r="EH48" s="17"/>
      <c r="EI48" s="16"/>
      <c r="EJ48" s="16"/>
      <c r="EK48" s="17"/>
      <c r="EL48" s="17"/>
      <c r="EM48" s="16"/>
      <c r="EN48" s="16"/>
      <c r="EO48" s="17"/>
      <c r="EP48" s="17"/>
      <c r="EQ48" s="16"/>
      <c r="ER48" s="16"/>
      <c r="ES48" s="18">
        <v>1</v>
      </c>
      <c r="ET48" s="18">
        <v>2</v>
      </c>
      <c r="EU48" s="16"/>
      <c r="EV48" s="16"/>
      <c r="EW48" s="17"/>
      <c r="EX48" s="17"/>
      <c r="EY48" s="16"/>
      <c r="EZ48" s="16"/>
      <c r="FA48" s="17"/>
      <c r="FB48" s="17"/>
      <c r="FC48" s="16"/>
      <c r="FD48" s="16"/>
      <c r="FE48" s="17"/>
      <c r="FF48" s="17"/>
      <c r="FG48" s="11"/>
      <c r="GT48" s="11"/>
      <c r="IG48" s="11"/>
      <c r="JT48" s="11"/>
      <c r="LG48" s="11"/>
      <c r="MT48" s="11"/>
      <c r="OG48" s="11"/>
      <c r="PT48" s="11"/>
    </row>
    <row r="49" spans="1:436" ht="15.75" x14ac:dyDescent="0.25">
      <c r="C49" s="20" t="s">
        <v>114</v>
      </c>
      <c r="D49" s="21" t="s">
        <v>82</v>
      </c>
      <c r="H49" s="11"/>
      <c r="AU49" s="11"/>
      <c r="CH49" s="11"/>
      <c r="CI49" s="16"/>
      <c r="CJ49" s="16"/>
      <c r="CK49" s="16"/>
      <c r="CL49" s="16"/>
      <c r="CM49" s="16"/>
      <c r="CN49" s="16"/>
      <c r="CO49" s="16"/>
      <c r="CP49" s="16"/>
      <c r="CQ49" s="16"/>
      <c r="CR49" s="16"/>
      <c r="CS49" s="16"/>
      <c r="CT49" s="16"/>
      <c r="CU49" s="16"/>
      <c r="CV49" s="16"/>
      <c r="CW49" s="16"/>
      <c r="CX49" s="16"/>
      <c r="CY49" s="16"/>
      <c r="CZ49" s="16"/>
      <c r="DA49" s="16"/>
      <c r="DB49" s="16"/>
      <c r="DC49" s="16"/>
      <c r="DD49" s="16"/>
      <c r="DE49" s="17"/>
      <c r="DF49" s="17"/>
      <c r="DG49" s="16"/>
      <c r="DH49" s="16"/>
      <c r="DI49" s="17"/>
      <c r="DJ49" s="17"/>
      <c r="DK49" s="16"/>
      <c r="DL49" s="16"/>
      <c r="DM49" s="17"/>
      <c r="DN49" s="17"/>
      <c r="DO49" s="16"/>
      <c r="DP49" s="16"/>
      <c r="DQ49" s="17"/>
      <c r="DR49" s="17"/>
      <c r="DS49" s="16"/>
      <c r="DT49" s="16"/>
      <c r="DU49" s="17"/>
      <c r="DV49" s="17"/>
      <c r="DW49" s="16"/>
      <c r="DX49" s="16"/>
      <c r="DY49" s="17"/>
      <c r="DZ49" s="17"/>
      <c r="EA49" s="16"/>
      <c r="EB49" s="16"/>
      <c r="EC49" s="17"/>
      <c r="ED49" s="17"/>
      <c r="EE49" s="16"/>
      <c r="EF49" s="16"/>
      <c r="EG49" s="17"/>
      <c r="EH49" s="17"/>
      <c r="EI49" s="16"/>
      <c r="EJ49" s="16"/>
      <c r="EK49" s="17"/>
      <c r="EL49" s="17"/>
      <c r="EM49" s="16"/>
      <c r="EN49" s="16"/>
      <c r="EO49" s="17"/>
      <c r="EP49" s="17"/>
      <c r="EQ49" s="16"/>
      <c r="ER49" s="16"/>
      <c r="ES49" s="18">
        <v>1</v>
      </c>
      <c r="ET49" s="18">
        <v>2</v>
      </c>
      <c r="EU49" s="16"/>
      <c r="EV49" s="16"/>
      <c r="EW49" s="17"/>
      <c r="EX49" s="17"/>
      <c r="EY49" s="16"/>
      <c r="EZ49" s="16"/>
      <c r="FA49" s="17"/>
      <c r="FB49" s="17"/>
      <c r="FC49" s="16"/>
      <c r="FD49" s="16"/>
      <c r="FE49" s="17"/>
      <c r="FF49" s="17"/>
      <c r="FG49" s="11"/>
      <c r="GT49" s="11"/>
      <c r="IG49" s="11"/>
      <c r="JT49" s="11"/>
      <c r="LG49" s="11"/>
      <c r="MT49" s="11"/>
      <c r="OG49" s="11"/>
      <c r="PT49" s="11"/>
    </row>
    <row r="50" spans="1:436" ht="15.75" x14ac:dyDescent="0.25">
      <c r="C50" s="20" t="s">
        <v>115</v>
      </c>
      <c r="D50" s="21" t="s">
        <v>82</v>
      </c>
      <c r="H50" s="11"/>
      <c r="AU50" s="11"/>
      <c r="CH50" s="11"/>
      <c r="CI50" s="16"/>
      <c r="CJ50" s="16"/>
      <c r="CK50" s="16"/>
      <c r="CL50" s="16"/>
      <c r="CM50" s="16"/>
      <c r="CN50" s="16"/>
      <c r="CO50" s="16"/>
      <c r="CP50" s="16"/>
      <c r="CQ50" s="16"/>
      <c r="CR50" s="16"/>
      <c r="CS50" s="16"/>
      <c r="CT50" s="16"/>
      <c r="CU50" s="16"/>
      <c r="CV50" s="16"/>
      <c r="CW50" s="16"/>
      <c r="CX50" s="16"/>
      <c r="CY50" s="16"/>
      <c r="CZ50" s="16"/>
      <c r="DA50" s="16"/>
      <c r="DB50" s="16"/>
      <c r="DC50" s="16"/>
      <c r="DD50" s="16"/>
      <c r="DE50" s="17"/>
      <c r="DF50" s="17"/>
      <c r="DG50" s="16"/>
      <c r="DH50" s="16"/>
      <c r="DI50" s="17"/>
      <c r="DJ50" s="17"/>
      <c r="DK50" s="16"/>
      <c r="DL50" s="16"/>
      <c r="DM50" s="17"/>
      <c r="DN50" s="17"/>
      <c r="DO50" s="16"/>
      <c r="DP50" s="16"/>
      <c r="DQ50" s="17"/>
      <c r="DR50" s="17"/>
      <c r="DS50" s="16"/>
      <c r="DT50" s="16"/>
      <c r="DU50" s="17"/>
      <c r="DV50" s="17"/>
      <c r="DW50" s="16"/>
      <c r="DX50" s="16"/>
      <c r="DY50" s="17"/>
      <c r="DZ50" s="17"/>
      <c r="EA50" s="16"/>
      <c r="EB50" s="16"/>
      <c r="EC50" s="17"/>
      <c r="ED50" s="17"/>
      <c r="EE50" s="16"/>
      <c r="EF50" s="16"/>
      <c r="EG50" s="17"/>
      <c r="EH50" s="17"/>
      <c r="EI50" s="16"/>
      <c r="EJ50" s="16"/>
      <c r="EK50" s="17"/>
      <c r="EL50" s="17"/>
      <c r="EM50" s="16"/>
      <c r="EN50" s="16"/>
      <c r="EO50" s="17"/>
      <c r="EP50" s="17"/>
      <c r="EQ50" s="16"/>
      <c r="ER50" s="16"/>
      <c r="ES50" s="18">
        <v>1</v>
      </c>
      <c r="ET50" s="18">
        <v>2</v>
      </c>
      <c r="EU50" s="16"/>
      <c r="EV50" s="16"/>
      <c r="EW50" s="17"/>
      <c r="EX50" s="17"/>
      <c r="EY50" s="16"/>
      <c r="EZ50" s="16"/>
      <c r="FA50" s="17"/>
      <c r="FB50" s="17"/>
      <c r="FC50" s="16"/>
      <c r="FD50" s="16"/>
      <c r="FE50" s="17"/>
      <c r="FF50" s="17"/>
      <c r="FG50" s="11"/>
      <c r="GT50" s="11"/>
      <c r="IG50" s="11"/>
      <c r="JT50" s="11"/>
      <c r="LG50" s="11"/>
      <c r="MT50" s="11"/>
      <c r="OG50" s="11"/>
      <c r="PT50" s="11"/>
    </row>
    <row r="51" spans="1:436" ht="15.75" x14ac:dyDescent="0.25">
      <c r="C51" s="20" t="s">
        <v>116</v>
      </c>
      <c r="D51" s="21" t="s">
        <v>82</v>
      </c>
      <c r="H51" s="11"/>
      <c r="AU51" s="11"/>
      <c r="CH51" s="11"/>
      <c r="CI51" s="16"/>
      <c r="CJ51" s="16"/>
      <c r="CK51" s="16"/>
      <c r="CL51" s="16"/>
      <c r="CM51" s="16"/>
      <c r="CN51" s="16"/>
      <c r="CO51" s="16"/>
      <c r="CP51" s="16"/>
      <c r="CQ51" s="16"/>
      <c r="CR51" s="16"/>
      <c r="CS51" s="16"/>
      <c r="CT51" s="16"/>
      <c r="CU51" s="16"/>
      <c r="CV51" s="16"/>
      <c r="CW51" s="16"/>
      <c r="CX51" s="16"/>
      <c r="CY51" s="16"/>
      <c r="CZ51" s="16"/>
      <c r="DA51" s="16"/>
      <c r="DB51" s="16"/>
      <c r="DC51" s="16"/>
      <c r="DD51" s="16"/>
      <c r="DE51" s="17"/>
      <c r="DF51" s="17"/>
      <c r="DG51" s="16"/>
      <c r="DH51" s="16"/>
      <c r="DI51" s="17"/>
      <c r="DJ51" s="17"/>
      <c r="DK51" s="16"/>
      <c r="DL51" s="16"/>
      <c r="DM51" s="17"/>
      <c r="DN51" s="17"/>
      <c r="DO51" s="16"/>
      <c r="DP51" s="16"/>
      <c r="DQ51" s="17"/>
      <c r="DR51" s="17"/>
      <c r="DS51" s="16"/>
      <c r="DT51" s="16"/>
      <c r="DU51" s="17"/>
      <c r="DV51" s="17"/>
      <c r="DW51" s="16"/>
      <c r="DX51" s="16"/>
      <c r="DY51" s="17"/>
      <c r="DZ51" s="17"/>
      <c r="EA51" s="16"/>
      <c r="EB51" s="16"/>
      <c r="EC51" s="17"/>
      <c r="ED51" s="17"/>
      <c r="EE51" s="16"/>
      <c r="EF51" s="16"/>
      <c r="EG51" s="17"/>
      <c r="EH51" s="17"/>
      <c r="EI51" s="16"/>
      <c r="EJ51" s="16"/>
      <c r="EK51" s="17"/>
      <c r="EL51" s="17"/>
      <c r="EM51" s="16"/>
      <c r="EN51" s="16"/>
      <c r="EO51" s="17"/>
      <c r="EP51" s="17"/>
      <c r="EQ51" s="16"/>
      <c r="ER51" s="16"/>
      <c r="ES51" s="18">
        <v>5</v>
      </c>
      <c r="ET51" s="18">
        <v>10</v>
      </c>
      <c r="EU51" s="16"/>
      <c r="EV51" s="16"/>
      <c r="EW51" s="17"/>
      <c r="EX51" s="17"/>
      <c r="EY51" s="16"/>
      <c r="EZ51" s="16"/>
      <c r="FA51" s="17"/>
      <c r="FB51" s="17"/>
      <c r="FC51" s="16"/>
      <c r="FD51" s="16"/>
      <c r="FE51" s="17"/>
      <c r="FF51" s="17"/>
      <c r="FG51" s="11"/>
      <c r="GT51" s="11"/>
      <c r="IG51" s="11"/>
      <c r="JT51" s="11"/>
      <c r="LG51" s="11"/>
      <c r="MT51" s="11"/>
      <c r="OG51" s="11"/>
      <c r="PT51" s="11"/>
    </row>
    <row r="52" spans="1:436" ht="25.5" x14ac:dyDescent="0.25">
      <c r="C52" s="20" t="s">
        <v>117</v>
      </c>
      <c r="D52" s="21" t="s">
        <v>93</v>
      </c>
      <c r="H52" s="11"/>
      <c r="AU52" s="11"/>
      <c r="CH52" s="11"/>
      <c r="CI52" s="16"/>
      <c r="CJ52" s="16"/>
      <c r="CK52" s="16"/>
      <c r="CL52" s="16"/>
      <c r="CM52" s="16"/>
      <c r="CN52" s="16"/>
      <c r="CO52" s="16"/>
      <c r="CP52" s="16"/>
      <c r="CQ52" s="16"/>
      <c r="CR52" s="16"/>
      <c r="CS52" s="16"/>
      <c r="CT52" s="16"/>
      <c r="CU52" s="16"/>
      <c r="CV52" s="16"/>
      <c r="CW52" s="16"/>
      <c r="CX52" s="16"/>
      <c r="CY52" s="16"/>
      <c r="CZ52" s="16"/>
      <c r="DA52" s="16"/>
      <c r="DB52" s="16"/>
      <c r="DC52" s="16"/>
      <c r="DD52" s="16"/>
      <c r="DE52" s="17"/>
      <c r="DF52" s="17"/>
      <c r="DG52" s="16"/>
      <c r="DH52" s="16"/>
      <c r="DI52" s="17"/>
      <c r="DJ52" s="17"/>
      <c r="DK52" s="16"/>
      <c r="DL52" s="16"/>
      <c r="DM52" s="17"/>
      <c r="DN52" s="17"/>
      <c r="DO52" s="16"/>
      <c r="DP52" s="16"/>
      <c r="DQ52" s="17"/>
      <c r="DR52" s="17"/>
      <c r="DS52" s="16"/>
      <c r="DT52" s="16"/>
      <c r="DU52" s="17"/>
      <c r="DV52" s="17"/>
      <c r="DW52" s="16"/>
      <c r="DX52" s="16"/>
      <c r="DY52" s="17"/>
      <c r="DZ52" s="17"/>
      <c r="EA52" s="16"/>
      <c r="EB52" s="16"/>
      <c r="EC52" s="17"/>
      <c r="ED52" s="17"/>
      <c r="EE52" s="16"/>
      <c r="EF52" s="16"/>
      <c r="EG52" s="17"/>
      <c r="EH52" s="17"/>
      <c r="EI52" s="16"/>
      <c r="EJ52" s="16"/>
      <c r="EK52" s="17"/>
      <c r="EL52" s="17"/>
      <c r="EM52" s="16"/>
      <c r="EN52" s="16"/>
      <c r="EO52" s="17"/>
      <c r="EP52" s="17"/>
      <c r="EQ52" s="16"/>
      <c r="ER52" s="16"/>
      <c r="ES52" s="17"/>
      <c r="ET52" s="17"/>
      <c r="EU52" s="16"/>
      <c r="EV52" s="16"/>
      <c r="EW52" s="18">
        <v>3</v>
      </c>
      <c r="EX52" s="18">
        <v>4</v>
      </c>
      <c r="EY52" s="16"/>
      <c r="EZ52" s="16"/>
      <c r="FA52" s="17"/>
      <c r="FB52" s="17"/>
      <c r="FC52" s="16"/>
      <c r="FD52" s="16"/>
      <c r="FE52" s="17"/>
      <c r="FF52" s="17"/>
      <c r="FG52" s="11"/>
      <c r="GT52" s="11"/>
      <c r="IG52" s="11"/>
      <c r="JT52" s="11"/>
      <c r="LG52" s="11"/>
      <c r="MT52" s="11"/>
      <c r="OG52" s="11"/>
      <c r="PT52" s="11"/>
    </row>
    <row r="53" spans="1:436" ht="25.5" x14ac:dyDescent="0.25">
      <c r="C53" s="20" t="s">
        <v>118</v>
      </c>
      <c r="D53" s="21" t="s">
        <v>93</v>
      </c>
      <c r="H53" s="11"/>
      <c r="AU53" s="11"/>
      <c r="CH53" s="11"/>
      <c r="CI53" s="16"/>
      <c r="CJ53" s="16"/>
      <c r="CK53" s="16"/>
      <c r="CL53" s="16"/>
      <c r="CM53" s="16"/>
      <c r="CN53" s="16"/>
      <c r="CO53" s="16"/>
      <c r="CP53" s="16"/>
      <c r="CQ53" s="16"/>
      <c r="CR53" s="16"/>
      <c r="CS53" s="16"/>
      <c r="CT53" s="16"/>
      <c r="CU53" s="16"/>
      <c r="CV53" s="16"/>
      <c r="CW53" s="16"/>
      <c r="CX53" s="16"/>
      <c r="CY53" s="16"/>
      <c r="CZ53" s="16"/>
      <c r="DA53" s="16"/>
      <c r="DB53" s="16"/>
      <c r="DC53" s="16"/>
      <c r="DD53" s="16"/>
      <c r="DE53" s="17"/>
      <c r="DF53" s="17"/>
      <c r="DG53" s="16"/>
      <c r="DH53" s="16"/>
      <c r="DI53" s="17"/>
      <c r="DJ53" s="17"/>
      <c r="DK53" s="16"/>
      <c r="DL53" s="16"/>
      <c r="DM53" s="17"/>
      <c r="DN53" s="17"/>
      <c r="DO53" s="16"/>
      <c r="DP53" s="16"/>
      <c r="DQ53" s="17"/>
      <c r="DR53" s="17"/>
      <c r="DS53" s="16"/>
      <c r="DT53" s="16"/>
      <c r="DU53" s="17"/>
      <c r="DV53" s="17"/>
      <c r="DW53" s="16"/>
      <c r="DX53" s="16"/>
      <c r="DY53" s="17"/>
      <c r="DZ53" s="17"/>
      <c r="EA53" s="16"/>
      <c r="EB53" s="16"/>
      <c r="EC53" s="17"/>
      <c r="ED53" s="17"/>
      <c r="EE53" s="16"/>
      <c r="EF53" s="16"/>
      <c r="EG53" s="17"/>
      <c r="EH53" s="17"/>
      <c r="EI53" s="16"/>
      <c r="EJ53" s="16"/>
      <c r="EK53" s="17"/>
      <c r="EL53" s="17"/>
      <c r="EM53" s="16"/>
      <c r="EN53" s="16"/>
      <c r="EO53" s="17"/>
      <c r="EP53" s="17"/>
      <c r="EQ53" s="16"/>
      <c r="ER53" s="16"/>
      <c r="ES53" s="17"/>
      <c r="ET53" s="17"/>
      <c r="EU53" s="16"/>
      <c r="EV53" s="16"/>
      <c r="EW53" s="18">
        <v>1</v>
      </c>
      <c r="EX53" s="18">
        <v>2</v>
      </c>
      <c r="EY53" s="16"/>
      <c r="EZ53" s="16"/>
      <c r="FA53" s="17"/>
      <c r="FB53" s="17"/>
      <c r="FC53" s="16"/>
      <c r="FD53" s="16"/>
      <c r="FE53" s="17"/>
      <c r="FF53" s="17"/>
      <c r="FG53" s="11"/>
      <c r="GT53" s="11"/>
      <c r="IG53" s="11"/>
      <c r="JT53" s="11"/>
      <c r="LG53" s="11"/>
      <c r="MT53" s="11"/>
      <c r="OG53" s="11"/>
      <c r="PT53" s="11"/>
    </row>
    <row r="54" spans="1:436" ht="25.5" x14ac:dyDescent="0.25">
      <c r="C54" s="20" t="s">
        <v>119</v>
      </c>
      <c r="D54" s="21" t="s">
        <v>93</v>
      </c>
      <c r="H54" s="11"/>
      <c r="AU54" s="11"/>
      <c r="CH54" s="11"/>
      <c r="CI54" s="16"/>
      <c r="CJ54" s="16"/>
      <c r="CK54" s="16"/>
      <c r="CL54" s="16"/>
      <c r="CM54" s="16"/>
      <c r="CN54" s="16"/>
      <c r="CO54" s="16"/>
      <c r="CP54" s="16"/>
      <c r="CQ54" s="16"/>
      <c r="CR54" s="16"/>
      <c r="CS54" s="16"/>
      <c r="CT54" s="16"/>
      <c r="CU54" s="16"/>
      <c r="CV54" s="16"/>
      <c r="CW54" s="16"/>
      <c r="CX54" s="16"/>
      <c r="CY54" s="16"/>
      <c r="CZ54" s="16"/>
      <c r="DA54" s="16"/>
      <c r="DB54" s="16"/>
      <c r="DC54" s="16"/>
      <c r="DD54" s="16"/>
      <c r="DE54" s="17"/>
      <c r="DF54" s="17"/>
      <c r="DG54" s="16"/>
      <c r="DH54" s="16"/>
      <c r="DI54" s="17"/>
      <c r="DJ54" s="17"/>
      <c r="DK54" s="16"/>
      <c r="DL54" s="16"/>
      <c r="DM54" s="17"/>
      <c r="DN54" s="17"/>
      <c r="DO54" s="16"/>
      <c r="DP54" s="16"/>
      <c r="DQ54" s="17"/>
      <c r="DR54" s="17"/>
      <c r="DS54" s="16"/>
      <c r="DT54" s="16"/>
      <c r="DU54" s="17"/>
      <c r="DV54" s="17"/>
      <c r="DW54" s="16"/>
      <c r="DX54" s="16"/>
      <c r="DY54" s="17"/>
      <c r="DZ54" s="17"/>
      <c r="EA54" s="16"/>
      <c r="EB54" s="16"/>
      <c r="EC54" s="17"/>
      <c r="ED54" s="17"/>
      <c r="EE54" s="16"/>
      <c r="EF54" s="16"/>
      <c r="EG54" s="17"/>
      <c r="EH54" s="17"/>
      <c r="EI54" s="16"/>
      <c r="EJ54" s="16"/>
      <c r="EK54" s="17"/>
      <c r="EL54" s="17"/>
      <c r="EM54" s="16"/>
      <c r="EN54" s="16"/>
      <c r="EO54" s="17"/>
      <c r="EP54" s="17"/>
      <c r="EQ54" s="16"/>
      <c r="ER54" s="16"/>
      <c r="ES54" s="17"/>
      <c r="ET54" s="17"/>
      <c r="EU54" s="16"/>
      <c r="EV54" s="16"/>
      <c r="EW54" s="18">
        <v>1</v>
      </c>
      <c r="EX54" s="18">
        <v>2</v>
      </c>
      <c r="EY54" s="16"/>
      <c r="EZ54" s="16"/>
      <c r="FA54" s="17"/>
      <c r="FB54" s="17"/>
      <c r="FC54" s="16"/>
      <c r="FD54" s="16"/>
      <c r="FE54" s="17"/>
      <c r="FF54" s="17"/>
      <c r="FG54" s="11"/>
      <c r="GT54" s="11"/>
      <c r="IG54" s="11"/>
      <c r="JT54" s="11"/>
      <c r="LG54" s="11"/>
      <c r="MT54" s="11"/>
      <c r="OG54" s="11"/>
      <c r="PT54" s="11"/>
    </row>
    <row r="55" spans="1:436" ht="25.5" x14ac:dyDescent="0.25">
      <c r="C55" s="20" t="s">
        <v>120</v>
      </c>
      <c r="D55" s="21" t="s">
        <v>93</v>
      </c>
      <c r="H55" s="11"/>
      <c r="AU55" s="11"/>
      <c r="CH55" s="11"/>
      <c r="CI55" s="16"/>
      <c r="CJ55" s="16"/>
      <c r="CK55" s="16"/>
      <c r="CL55" s="16"/>
      <c r="CM55" s="16"/>
      <c r="CN55" s="16"/>
      <c r="CO55" s="16"/>
      <c r="CP55" s="16"/>
      <c r="CQ55" s="16"/>
      <c r="CR55" s="16"/>
      <c r="CS55" s="16"/>
      <c r="CT55" s="16"/>
      <c r="CU55" s="16"/>
      <c r="CV55" s="16"/>
      <c r="CW55" s="16"/>
      <c r="CX55" s="16"/>
      <c r="CY55" s="16"/>
      <c r="CZ55" s="16"/>
      <c r="DA55" s="16"/>
      <c r="DB55" s="16"/>
      <c r="DC55" s="16"/>
      <c r="DD55" s="16"/>
      <c r="DE55" s="17"/>
      <c r="DF55" s="17"/>
      <c r="DG55" s="16"/>
      <c r="DH55" s="16"/>
      <c r="DI55" s="17"/>
      <c r="DJ55" s="17"/>
      <c r="DK55" s="16"/>
      <c r="DL55" s="16"/>
      <c r="DM55" s="17"/>
      <c r="DN55" s="17"/>
      <c r="DO55" s="16"/>
      <c r="DP55" s="16"/>
      <c r="DQ55" s="17"/>
      <c r="DR55" s="17"/>
      <c r="DS55" s="16"/>
      <c r="DT55" s="16"/>
      <c r="DU55" s="17"/>
      <c r="DV55" s="17"/>
      <c r="DW55" s="16"/>
      <c r="DX55" s="16"/>
      <c r="DY55" s="17"/>
      <c r="DZ55" s="17"/>
      <c r="EA55" s="16"/>
      <c r="EB55" s="16"/>
      <c r="EC55" s="17"/>
      <c r="ED55" s="17"/>
      <c r="EE55" s="16"/>
      <c r="EF55" s="16"/>
      <c r="EG55" s="17"/>
      <c r="EH55" s="17"/>
      <c r="EI55" s="16"/>
      <c r="EJ55" s="16"/>
      <c r="EK55" s="17"/>
      <c r="EL55" s="17"/>
      <c r="EM55" s="16"/>
      <c r="EN55" s="16"/>
      <c r="EO55" s="17"/>
      <c r="EP55" s="17"/>
      <c r="EQ55" s="16"/>
      <c r="ER55" s="16"/>
      <c r="ES55" s="17"/>
      <c r="ET55" s="17"/>
      <c r="EU55" s="16"/>
      <c r="EV55" s="16"/>
      <c r="EW55" s="18">
        <v>1</v>
      </c>
      <c r="EX55" s="18">
        <v>2</v>
      </c>
      <c r="EY55" s="16"/>
      <c r="EZ55" s="16"/>
      <c r="FA55" s="17"/>
      <c r="FB55" s="17"/>
      <c r="FC55" s="16"/>
      <c r="FD55" s="16"/>
      <c r="FE55" s="17"/>
      <c r="FF55" s="17"/>
      <c r="FG55" s="11"/>
      <c r="GT55" s="11"/>
      <c r="IG55" s="11"/>
      <c r="JT55" s="11"/>
      <c r="LG55" s="11"/>
      <c r="MT55" s="11"/>
      <c r="OG55" s="11"/>
      <c r="PT55" s="11"/>
    </row>
    <row r="56" spans="1:436" ht="25.5" x14ac:dyDescent="0.25">
      <c r="C56" s="20" t="s">
        <v>121</v>
      </c>
      <c r="D56" s="21" t="s">
        <v>93</v>
      </c>
      <c r="H56" s="11"/>
      <c r="AU56" s="11"/>
      <c r="CH56" s="11"/>
      <c r="CI56" s="16"/>
      <c r="CJ56" s="16"/>
      <c r="CK56" s="16"/>
      <c r="CL56" s="16"/>
      <c r="CM56" s="16"/>
      <c r="CN56" s="16"/>
      <c r="CO56" s="16"/>
      <c r="CP56" s="16"/>
      <c r="CQ56" s="16"/>
      <c r="CR56" s="16"/>
      <c r="CS56" s="16"/>
      <c r="CT56" s="16"/>
      <c r="CU56" s="16"/>
      <c r="CV56" s="16"/>
      <c r="CW56" s="16"/>
      <c r="CX56" s="16"/>
      <c r="CY56" s="16"/>
      <c r="CZ56" s="16"/>
      <c r="DA56" s="16"/>
      <c r="DB56" s="16"/>
      <c r="DC56" s="16"/>
      <c r="DD56" s="16"/>
      <c r="DE56" s="17"/>
      <c r="DF56" s="17"/>
      <c r="DG56" s="16"/>
      <c r="DH56" s="16"/>
      <c r="DI56" s="17"/>
      <c r="DJ56" s="17"/>
      <c r="DK56" s="16"/>
      <c r="DL56" s="16"/>
      <c r="DM56" s="17"/>
      <c r="DN56" s="17"/>
      <c r="DO56" s="16"/>
      <c r="DP56" s="16"/>
      <c r="DQ56" s="17"/>
      <c r="DR56" s="17"/>
      <c r="DS56" s="16"/>
      <c r="DT56" s="16"/>
      <c r="DU56" s="17"/>
      <c r="DV56" s="17"/>
      <c r="DW56" s="16"/>
      <c r="DX56" s="16"/>
      <c r="DY56" s="17"/>
      <c r="DZ56" s="17"/>
      <c r="EA56" s="16"/>
      <c r="EB56" s="16"/>
      <c r="EC56" s="17"/>
      <c r="ED56" s="17"/>
      <c r="EE56" s="16"/>
      <c r="EF56" s="16"/>
      <c r="EG56" s="17"/>
      <c r="EH56" s="17"/>
      <c r="EI56" s="16"/>
      <c r="EJ56" s="16"/>
      <c r="EK56" s="17"/>
      <c r="EL56" s="17"/>
      <c r="EM56" s="16"/>
      <c r="EN56" s="16"/>
      <c r="EO56" s="17"/>
      <c r="EP56" s="17"/>
      <c r="EQ56" s="16"/>
      <c r="ER56" s="16"/>
      <c r="ES56" s="17"/>
      <c r="ET56" s="17"/>
      <c r="EU56" s="16"/>
      <c r="EV56" s="16"/>
      <c r="EW56" s="18">
        <v>3</v>
      </c>
      <c r="EX56" s="18">
        <v>4</v>
      </c>
      <c r="EY56" s="16"/>
      <c r="EZ56" s="16"/>
      <c r="FA56" s="17"/>
      <c r="FB56" s="17"/>
      <c r="FC56" s="16"/>
      <c r="FD56" s="16"/>
      <c r="FE56" s="17"/>
      <c r="FF56" s="17"/>
      <c r="FG56" s="11"/>
      <c r="GT56" s="11"/>
      <c r="IG56" s="11"/>
      <c r="JT56" s="11"/>
      <c r="LG56" s="11"/>
      <c r="MT56" s="11"/>
      <c r="OG56" s="11"/>
      <c r="PT56" s="11"/>
    </row>
    <row r="57" spans="1:436" ht="15.75" x14ac:dyDescent="0.25">
      <c r="C57" s="20" t="s">
        <v>122</v>
      </c>
      <c r="D57" s="21" t="s">
        <v>93</v>
      </c>
      <c r="H57" s="11"/>
      <c r="AU57" s="11"/>
      <c r="CH57" s="11"/>
      <c r="CI57" s="16"/>
      <c r="CJ57" s="16"/>
      <c r="CK57" s="16"/>
      <c r="CL57" s="16"/>
      <c r="CM57" s="16"/>
      <c r="CN57" s="16"/>
      <c r="CO57" s="16"/>
      <c r="CP57" s="16"/>
      <c r="CQ57" s="16"/>
      <c r="CR57" s="16"/>
      <c r="CS57" s="16"/>
      <c r="CT57" s="16"/>
      <c r="CU57" s="16"/>
      <c r="CV57" s="16"/>
      <c r="CW57" s="16"/>
      <c r="CX57" s="16"/>
      <c r="CY57" s="16"/>
      <c r="CZ57" s="16"/>
      <c r="DA57" s="16"/>
      <c r="DB57" s="16"/>
      <c r="DC57" s="16"/>
      <c r="DD57" s="16"/>
      <c r="DE57" s="17"/>
      <c r="DF57" s="17"/>
      <c r="DG57" s="16"/>
      <c r="DH57" s="16"/>
      <c r="DI57" s="17"/>
      <c r="DJ57" s="17"/>
      <c r="DK57" s="16"/>
      <c r="DL57" s="16"/>
      <c r="DM57" s="17"/>
      <c r="DN57" s="17"/>
      <c r="DO57" s="16"/>
      <c r="DP57" s="16"/>
      <c r="DQ57" s="17"/>
      <c r="DR57" s="17"/>
      <c r="DS57" s="16"/>
      <c r="DT57" s="16"/>
      <c r="DU57" s="17"/>
      <c r="DV57" s="17"/>
      <c r="DW57" s="16"/>
      <c r="DX57" s="16"/>
      <c r="DY57" s="17"/>
      <c r="DZ57" s="17"/>
      <c r="EA57" s="16"/>
      <c r="EB57" s="16"/>
      <c r="EC57" s="17"/>
      <c r="ED57" s="17"/>
      <c r="EE57" s="16"/>
      <c r="EF57" s="16"/>
      <c r="EG57" s="17"/>
      <c r="EH57" s="17"/>
      <c r="EI57" s="16"/>
      <c r="EJ57" s="16"/>
      <c r="EK57" s="17"/>
      <c r="EL57" s="17"/>
      <c r="EM57" s="16"/>
      <c r="EN57" s="16"/>
      <c r="EO57" s="17"/>
      <c r="EP57" s="17"/>
      <c r="EQ57" s="16"/>
      <c r="ER57" s="16"/>
      <c r="ES57" s="17"/>
      <c r="ET57" s="17"/>
      <c r="EU57" s="16"/>
      <c r="EV57" s="16"/>
      <c r="EW57" s="18">
        <v>1</v>
      </c>
      <c r="EX57" s="18">
        <v>2</v>
      </c>
      <c r="EY57" s="16"/>
      <c r="EZ57" s="16"/>
      <c r="FA57" s="17"/>
      <c r="FB57" s="17"/>
      <c r="FC57" s="16"/>
      <c r="FD57" s="16"/>
      <c r="FE57" s="17"/>
      <c r="FF57" s="17"/>
      <c r="FG57" s="11"/>
      <c r="GT57" s="11"/>
      <c r="IG57" s="11"/>
      <c r="JT57" s="11"/>
      <c r="LG57" s="11"/>
      <c r="MT57" s="11"/>
      <c r="OG57" s="11"/>
      <c r="PT57" s="11"/>
    </row>
    <row r="58" spans="1:436" ht="15.75" x14ac:dyDescent="0.25">
      <c r="C58" s="20" t="s">
        <v>123</v>
      </c>
      <c r="D58" s="21" t="s">
        <v>93</v>
      </c>
      <c r="H58" s="11"/>
      <c r="AU58" s="11"/>
      <c r="CH58" s="11"/>
      <c r="CI58" s="16"/>
      <c r="CJ58" s="16"/>
      <c r="CK58" s="16"/>
      <c r="CL58" s="16"/>
      <c r="CM58" s="16"/>
      <c r="CN58" s="16"/>
      <c r="CO58" s="16"/>
      <c r="CP58" s="16"/>
      <c r="CQ58" s="16"/>
      <c r="CR58" s="16"/>
      <c r="CS58" s="16"/>
      <c r="CT58" s="16"/>
      <c r="CU58" s="16"/>
      <c r="CV58" s="16"/>
      <c r="CW58" s="16"/>
      <c r="CX58" s="16"/>
      <c r="CY58" s="16"/>
      <c r="CZ58" s="16"/>
      <c r="DA58" s="16"/>
      <c r="DB58" s="16"/>
      <c r="DC58" s="16"/>
      <c r="DD58" s="16"/>
      <c r="DE58" s="17"/>
      <c r="DF58" s="17"/>
      <c r="DG58" s="16"/>
      <c r="DH58" s="16"/>
      <c r="DI58" s="17"/>
      <c r="DJ58" s="17"/>
      <c r="DK58" s="16"/>
      <c r="DL58" s="16"/>
      <c r="DM58" s="17"/>
      <c r="DN58" s="17"/>
      <c r="DO58" s="16"/>
      <c r="DP58" s="16"/>
      <c r="DQ58" s="17"/>
      <c r="DR58" s="17"/>
      <c r="DS58" s="16"/>
      <c r="DT58" s="16"/>
      <c r="DU58" s="17"/>
      <c r="DV58" s="17"/>
      <c r="DW58" s="16"/>
      <c r="DX58" s="16"/>
      <c r="DY58" s="17"/>
      <c r="DZ58" s="17"/>
      <c r="EA58" s="16"/>
      <c r="EB58" s="16"/>
      <c r="EC58" s="17"/>
      <c r="ED58" s="17"/>
      <c r="EE58" s="16"/>
      <c r="EF58" s="16"/>
      <c r="EG58" s="17"/>
      <c r="EH58" s="17"/>
      <c r="EI58" s="16"/>
      <c r="EJ58" s="16"/>
      <c r="EK58" s="17"/>
      <c r="EL58" s="17"/>
      <c r="EM58" s="16"/>
      <c r="EN58" s="16"/>
      <c r="EO58" s="17"/>
      <c r="EP58" s="17"/>
      <c r="EQ58" s="16"/>
      <c r="ER58" s="16"/>
      <c r="ES58" s="17"/>
      <c r="ET58" s="17"/>
      <c r="EU58" s="16"/>
      <c r="EV58" s="16"/>
      <c r="EW58" s="18">
        <v>1</v>
      </c>
      <c r="EX58" s="18">
        <v>2</v>
      </c>
      <c r="EY58" s="16"/>
      <c r="EZ58" s="16"/>
      <c r="FA58" s="17"/>
      <c r="FB58" s="17"/>
      <c r="FC58" s="16"/>
      <c r="FD58" s="16"/>
      <c r="FE58" s="17"/>
      <c r="FF58" s="17"/>
      <c r="FG58" s="11"/>
      <c r="GT58" s="11"/>
      <c r="IG58" s="11"/>
      <c r="JT58" s="11"/>
      <c r="LG58" s="11"/>
      <c r="MT58" s="11"/>
      <c r="OG58" s="11"/>
      <c r="PT58" s="11"/>
    </row>
    <row r="59" spans="1:436" ht="15.75" x14ac:dyDescent="0.25">
      <c r="C59" s="20" t="s">
        <v>124</v>
      </c>
      <c r="D59" s="21" t="s">
        <v>93</v>
      </c>
      <c r="H59" s="11"/>
      <c r="AU59" s="11"/>
      <c r="CH59" s="11"/>
      <c r="CI59" s="16"/>
      <c r="CJ59" s="16"/>
      <c r="CK59" s="16"/>
      <c r="CL59" s="16"/>
      <c r="CM59" s="16"/>
      <c r="CN59" s="16"/>
      <c r="CO59" s="16"/>
      <c r="CP59" s="16"/>
      <c r="CQ59" s="16"/>
      <c r="CR59" s="16"/>
      <c r="CS59" s="16"/>
      <c r="CT59" s="16"/>
      <c r="CU59" s="16"/>
      <c r="CV59" s="16"/>
      <c r="CW59" s="16"/>
      <c r="CX59" s="16"/>
      <c r="CY59" s="16"/>
      <c r="CZ59" s="16"/>
      <c r="DA59" s="16"/>
      <c r="DB59" s="16"/>
      <c r="DC59" s="16"/>
      <c r="DD59" s="16"/>
      <c r="DE59" s="17"/>
      <c r="DF59" s="17"/>
      <c r="DG59" s="16"/>
      <c r="DH59" s="16"/>
      <c r="DI59" s="17"/>
      <c r="DJ59" s="17"/>
      <c r="DK59" s="16"/>
      <c r="DL59" s="16"/>
      <c r="DM59" s="17"/>
      <c r="DN59" s="17"/>
      <c r="DO59" s="16"/>
      <c r="DP59" s="16"/>
      <c r="DQ59" s="17"/>
      <c r="DR59" s="17"/>
      <c r="DS59" s="16"/>
      <c r="DT59" s="16"/>
      <c r="DU59" s="17"/>
      <c r="DV59" s="17"/>
      <c r="DW59" s="16"/>
      <c r="DX59" s="16"/>
      <c r="DY59" s="17"/>
      <c r="DZ59" s="17"/>
      <c r="EA59" s="16"/>
      <c r="EB59" s="16"/>
      <c r="EC59" s="17"/>
      <c r="ED59" s="17"/>
      <c r="EE59" s="16"/>
      <c r="EF59" s="16"/>
      <c r="EG59" s="17"/>
      <c r="EH59" s="17"/>
      <c r="EI59" s="16"/>
      <c r="EJ59" s="16"/>
      <c r="EK59" s="17"/>
      <c r="EL59" s="17"/>
      <c r="EM59" s="16"/>
      <c r="EN59" s="16"/>
      <c r="EO59" s="17"/>
      <c r="EP59" s="17"/>
      <c r="EQ59" s="16"/>
      <c r="ER59" s="16"/>
      <c r="ES59" s="17"/>
      <c r="ET59" s="17"/>
      <c r="EU59" s="16"/>
      <c r="EV59" s="16"/>
      <c r="EW59" s="18">
        <v>2</v>
      </c>
      <c r="EX59" s="18">
        <v>3</v>
      </c>
      <c r="EY59" s="16"/>
      <c r="EZ59" s="16"/>
      <c r="FA59" s="17"/>
      <c r="FB59" s="17"/>
      <c r="FC59" s="16"/>
      <c r="FD59" s="16"/>
      <c r="FE59" s="17"/>
      <c r="FF59" s="17"/>
      <c r="FG59" s="11"/>
      <c r="GT59" s="11"/>
      <c r="IG59" s="11"/>
      <c r="JT59" s="11"/>
      <c r="LG59" s="11"/>
      <c r="MT59" s="11"/>
      <c r="OG59" s="11"/>
      <c r="PT59" s="11"/>
    </row>
    <row r="60" spans="1:436" ht="15.75" x14ac:dyDescent="0.25">
      <c r="C60" s="20" t="s">
        <v>125</v>
      </c>
      <c r="D60" s="21" t="s">
        <v>93</v>
      </c>
      <c r="H60" s="11"/>
      <c r="AU60" s="11"/>
      <c r="CH60" s="11"/>
      <c r="CI60" s="16"/>
      <c r="CJ60" s="16"/>
      <c r="CK60" s="16"/>
      <c r="CL60" s="16"/>
      <c r="CM60" s="16"/>
      <c r="CN60" s="16"/>
      <c r="CO60" s="16"/>
      <c r="CP60" s="16"/>
      <c r="CQ60" s="16"/>
      <c r="CR60" s="16"/>
      <c r="CS60" s="16"/>
      <c r="CT60" s="16"/>
      <c r="CU60" s="16"/>
      <c r="CV60" s="16"/>
      <c r="CW60" s="16"/>
      <c r="CX60" s="16"/>
      <c r="CY60" s="16"/>
      <c r="CZ60" s="16"/>
      <c r="DA60" s="16"/>
      <c r="DB60" s="16"/>
      <c r="DC60" s="16"/>
      <c r="DD60" s="16"/>
      <c r="DE60" s="17"/>
      <c r="DF60" s="17"/>
      <c r="DG60" s="16"/>
      <c r="DH60" s="16"/>
      <c r="DI60" s="17"/>
      <c r="DJ60" s="17"/>
      <c r="DK60" s="16"/>
      <c r="DL60" s="16"/>
      <c r="DM60" s="17"/>
      <c r="DN60" s="17"/>
      <c r="DO60" s="16"/>
      <c r="DP60" s="16"/>
      <c r="DQ60" s="17"/>
      <c r="DR60" s="17"/>
      <c r="DS60" s="16"/>
      <c r="DT60" s="16"/>
      <c r="DU60" s="17"/>
      <c r="DV60" s="17"/>
      <c r="DW60" s="16"/>
      <c r="DX60" s="16"/>
      <c r="DY60" s="17"/>
      <c r="DZ60" s="17"/>
      <c r="EA60" s="16"/>
      <c r="EB60" s="16"/>
      <c r="EC60" s="17"/>
      <c r="ED60" s="17"/>
      <c r="EE60" s="16"/>
      <c r="EF60" s="16"/>
      <c r="EG60" s="17"/>
      <c r="EH60" s="17"/>
      <c r="EI60" s="16"/>
      <c r="EJ60" s="16"/>
      <c r="EK60" s="17"/>
      <c r="EL60" s="17"/>
      <c r="EM60" s="16"/>
      <c r="EN60" s="16"/>
      <c r="EO60" s="17"/>
      <c r="EP60" s="17"/>
      <c r="EQ60" s="16"/>
      <c r="ER60" s="16"/>
      <c r="ES60" s="17"/>
      <c r="ET60" s="17"/>
      <c r="EU60" s="16"/>
      <c r="EV60" s="16"/>
      <c r="EW60" s="18">
        <v>5</v>
      </c>
      <c r="EX60" s="18">
        <v>7</v>
      </c>
      <c r="EY60" s="16"/>
      <c r="EZ60" s="16"/>
      <c r="FA60" s="17"/>
      <c r="FB60" s="17"/>
      <c r="FC60" s="16"/>
      <c r="FD60" s="16"/>
      <c r="FE60" s="17"/>
      <c r="FF60" s="17"/>
      <c r="FG60" s="11"/>
      <c r="GT60" s="11"/>
      <c r="IG60" s="11"/>
      <c r="JT60" s="11"/>
      <c r="LG60" s="11"/>
      <c r="MT60" s="11"/>
      <c r="OG60" s="11"/>
      <c r="PT60" s="11"/>
    </row>
    <row r="61" spans="1:436" ht="15.75" x14ac:dyDescent="0.25">
      <c r="C61" s="20" t="s">
        <v>108</v>
      </c>
      <c r="D61" s="21" t="s">
        <v>79</v>
      </c>
      <c r="H61" s="11"/>
      <c r="AU61" s="11"/>
      <c r="CH61" s="11"/>
      <c r="CI61" s="16"/>
      <c r="CJ61" s="16"/>
      <c r="CK61" s="16"/>
      <c r="CL61" s="16"/>
      <c r="CM61" s="16"/>
      <c r="CN61" s="16"/>
      <c r="CO61" s="16"/>
      <c r="CP61" s="16"/>
      <c r="CQ61" s="16"/>
      <c r="CR61" s="16"/>
      <c r="CS61" s="16"/>
      <c r="CT61" s="16"/>
      <c r="CU61" s="16"/>
      <c r="CV61" s="16"/>
      <c r="CW61" s="16"/>
      <c r="CX61" s="16"/>
      <c r="CY61" s="16"/>
      <c r="CZ61" s="16"/>
      <c r="DA61" s="16"/>
      <c r="DB61" s="16"/>
      <c r="DC61" s="16"/>
      <c r="DD61" s="16"/>
      <c r="DE61" s="17"/>
      <c r="DF61" s="17"/>
      <c r="DG61" s="16"/>
      <c r="DH61" s="16"/>
      <c r="DI61" s="17"/>
      <c r="DJ61" s="17"/>
      <c r="DK61" s="16"/>
      <c r="DL61" s="16"/>
      <c r="DM61" s="17"/>
      <c r="DN61" s="17"/>
      <c r="DO61" s="16"/>
      <c r="DP61" s="16"/>
      <c r="DQ61" s="17"/>
      <c r="DR61" s="17"/>
      <c r="DS61" s="16"/>
      <c r="DT61" s="16"/>
      <c r="DU61" s="17"/>
      <c r="DV61" s="17"/>
      <c r="DW61" s="16"/>
      <c r="DX61" s="16"/>
      <c r="DY61" s="17"/>
      <c r="DZ61" s="17"/>
      <c r="EA61" s="16"/>
      <c r="EB61" s="16"/>
      <c r="EC61" s="17"/>
      <c r="ED61" s="17"/>
      <c r="EE61" s="16"/>
      <c r="EF61" s="16"/>
      <c r="EG61" s="17"/>
      <c r="EH61" s="17"/>
      <c r="EI61" s="16"/>
      <c r="EJ61" s="16"/>
      <c r="EK61" s="17"/>
      <c r="EL61" s="17"/>
      <c r="EM61" s="16"/>
      <c r="EN61" s="16"/>
      <c r="EO61" s="17"/>
      <c r="EP61" s="17"/>
      <c r="EQ61" s="16"/>
      <c r="ER61" s="16"/>
      <c r="ES61" s="17"/>
      <c r="ET61" s="17"/>
      <c r="EU61" s="16"/>
      <c r="EV61" s="16"/>
      <c r="EW61" s="17"/>
      <c r="EX61" s="17"/>
      <c r="EY61" s="16"/>
      <c r="EZ61" s="16"/>
      <c r="FA61" s="17"/>
      <c r="FB61" s="17"/>
      <c r="FC61" s="16"/>
      <c r="FD61" s="16"/>
      <c r="FE61" s="17"/>
      <c r="FF61" s="17"/>
      <c r="FG61" s="11"/>
      <c r="GT61" s="11"/>
      <c r="IG61" s="11"/>
      <c r="JT61" s="11"/>
      <c r="LG61" s="11"/>
      <c r="MT61" s="11"/>
      <c r="OG61" s="11"/>
      <c r="PT61" s="11"/>
    </row>
    <row r="62" spans="1:436" ht="15.75" x14ac:dyDescent="0.25">
      <c r="C62" s="20" t="s">
        <v>109</v>
      </c>
      <c r="D62" s="21" t="s">
        <v>84</v>
      </c>
      <c r="H62" s="11"/>
      <c r="AU62" s="11"/>
      <c r="CH62" s="11"/>
      <c r="CI62" s="16"/>
      <c r="CJ62" s="16"/>
      <c r="CK62" s="16"/>
      <c r="CL62" s="16"/>
      <c r="CM62" s="16"/>
      <c r="CN62" s="16"/>
      <c r="CO62" s="16"/>
      <c r="CP62" s="16"/>
      <c r="CQ62" s="16"/>
      <c r="CR62" s="16"/>
      <c r="CS62" s="16"/>
      <c r="CT62" s="16"/>
      <c r="CU62" s="16"/>
      <c r="CV62" s="16"/>
      <c r="CW62" s="16"/>
      <c r="CX62" s="16"/>
      <c r="CY62" s="16"/>
      <c r="CZ62" s="16"/>
      <c r="DA62" s="16"/>
      <c r="DB62" s="16"/>
      <c r="DC62" s="16"/>
      <c r="DD62" s="16"/>
      <c r="DE62" s="17"/>
      <c r="DF62" s="17"/>
      <c r="DG62" s="16"/>
      <c r="DH62" s="16"/>
      <c r="DI62" s="17"/>
      <c r="DJ62" s="17"/>
      <c r="DK62" s="16"/>
      <c r="DL62" s="16"/>
      <c r="DM62" s="17"/>
      <c r="DN62" s="17"/>
      <c r="DO62" s="16"/>
      <c r="DP62" s="16"/>
      <c r="DQ62" s="17"/>
      <c r="DR62" s="17"/>
      <c r="DS62" s="16"/>
      <c r="DT62" s="16"/>
      <c r="DU62" s="17"/>
      <c r="DV62" s="17"/>
      <c r="DW62" s="16"/>
      <c r="DX62" s="16"/>
      <c r="DY62" s="17"/>
      <c r="DZ62" s="17"/>
      <c r="EA62" s="16"/>
      <c r="EB62" s="16"/>
      <c r="EC62" s="17"/>
      <c r="ED62" s="17"/>
      <c r="EE62" s="16"/>
      <c r="EF62" s="16"/>
      <c r="EG62" s="17"/>
      <c r="EH62" s="17"/>
      <c r="EI62" s="16"/>
      <c r="EJ62" s="16"/>
      <c r="EK62" s="17"/>
      <c r="EL62" s="17"/>
      <c r="EM62" s="16"/>
      <c r="EN62" s="16"/>
      <c r="EO62" s="17"/>
      <c r="EP62" s="17"/>
      <c r="EQ62" s="16"/>
      <c r="ER62" s="16"/>
      <c r="ES62" s="17"/>
      <c r="ET62" s="17"/>
      <c r="EU62" s="16"/>
      <c r="EV62" s="16"/>
      <c r="EW62" s="17"/>
      <c r="EX62" s="17"/>
      <c r="EY62" s="16"/>
      <c r="EZ62" s="16"/>
      <c r="FA62" s="17"/>
      <c r="FB62" s="17"/>
      <c r="FC62" s="16"/>
      <c r="FD62" s="16"/>
      <c r="FE62" s="17"/>
      <c r="FF62" s="17"/>
      <c r="FG62" s="11"/>
      <c r="GT62" s="11"/>
      <c r="IG62" s="11"/>
      <c r="JT62" s="11"/>
      <c r="LG62" s="11"/>
      <c r="MT62" s="11"/>
      <c r="OG62" s="11"/>
      <c r="PT62" s="11"/>
    </row>
    <row r="63" spans="1:436" ht="15.75" x14ac:dyDescent="0.25">
      <c r="C63" s="20" t="s">
        <v>110</v>
      </c>
      <c r="D63" s="21" t="s">
        <v>90</v>
      </c>
      <c r="H63" s="11"/>
      <c r="AU63" s="11"/>
      <c r="CH63" s="11"/>
      <c r="CI63" s="16"/>
      <c r="CJ63" s="16"/>
      <c r="CK63" s="16"/>
      <c r="CL63" s="16"/>
      <c r="CM63" s="16"/>
      <c r="CN63" s="16"/>
      <c r="CO63" s="16"/>
      <c r="CP63" s="16"/>
      <c r="CQ63" s="16"/>
      <c r="CR63" s="16"/>
      <c r="CS63" s="16"/>
      <c r="CT63" s="16"/>
      <c r="CU63" s="16"/>
      <c r="CV63" s="16"/>
      <c r="CW63" s="16"/>
      <c r="CX63" s="16"/>
      <c r="CY63" s="16"/>
      <c r="CZ63" s="16"/>
      <c r="DA63" s="16"/>
      <c r="DB63" s="16"/>
      <c r="DC63" s="16"/>
      <c r="DD63" s="16"/>
      <c r="DE63" s="17"/>
      <c r="DF63" s="17"/>
      <c r="DG63" s="16"/>
      <c r="DH63" s="16"/>
      <c r="DI63" s="17"/>
      <c r="DJ63" s="17"/>
      <c r="DK63" s="16"/>
      <c r="DL63" s="16"/>
      <c r="DM63" s="17"/>
      <c r="DN63" s="17"/>
      <c r="DO63" s="16"/>
      <c r="DP63" s="16"/>
      <c r="DQ63" s="17"/>
      <c r="DR63" s="17"/>
      <c r="DS63" s="16"/>
      <c r="DT63" s="16"/>
      <c r="DU63" s="17"/>
      <c r="DV63" s="17"/>
      <c r="DW63" s="16"/>
      <c r="DX63" s="16"/>
      <c r="DY63" s="17"/>
      <c r="DZ63" s="17"/>
      <c r="EA63" s="16"/>
      <c r="EB63" s="16"/>
      <c r="EC63" s="17"/>
      <c r="ED63" s="17"/>
      <c r="EE63" s="16"/>
      <c r="EF63" s="16"/>
      <c r="EG63" s="17"/>
      <c r="EH63" s="17"/>
      <c r="EI63" s="16"/>
      <c r="EJ63" s="16"/>
      <c r="EK63" s="17"/>
      <c r="EL63" s="17"/>
      <c r="EM63" s="16"/>
      <c r="EN63" s="16"/>
      <c r="EO63" s="17"/>
      <c r="EP63" s="17"/>
      <c r="EQ63" s="16"/>
      <c r="ER63" s="16"/>
      <c r="ES63" s="17"/>
      <c r="ET63" s="17"/>
      <c r="EU63" s="16"/>
      <c r="EV63" s="16"/>
      <c r="EW63" s="17"/>
      <c r="EX63" s="17"/>
      <c r="EY63" s="16"/>
      <c r="EZ63" s="16"/>
      <c r="FA63" s="17"/>
      <c r="FB63" s="17"/>
      <c r="FC63" s="16"/>
      <c r="FD63" s="16"/>
      <c r="FE63" s="17"/>
      <c r="FF63" s="17"/>
      <c r="FG63" s="11"/>
      <c r="GT63" s="11"/>
      <c r="IG63" s="11"/>
      <c r="JT63" s="11"/>
      <c r="LG63" s="11"/>
      <c r="MT63" s="11"/>
      <c r="OG63" s="11"/>
      <c r="PT63" s="11"/>
    </row>
    <row r="64" spans="1:436" ht="15.75" x14ac:dyDescent="0.25">
      <c r="A64" s="13"/>
      <c r="B64" s="14" t="s">
        <v>126</v>
      </c>
      <c r="C64" s="13"/>
      <c r="D64" s="13"/>
      <c r="E64" s="15" t="s">
        <v>127</v>
      </c>
      <c r="F64" s="15" t="s">
        <v>77</v>
      </c>
      <c r="G64" s="13"/>
      <c r="H64" s="11"/>
      <c r="AU64" s="11"/>
      <c r="CH64" s="11"/>
      <c r="CI64" s="16"/>
      <c r="CJ64" s="16"/>
      <c r="CK64" s="16"/>
      <c r="CL64" s="16"/>
      <c r="CM64" s="16"/>
      <c r="CN64" s="16"/>
      <c r="CO64" s="16"/>
      <c r="CP64" s="16"/>
      <c r="CQ64" s="16"/>
      <c r="CR64" s="16"/>
      <c r="CS64" s="16"/>
      <c r="CT64" s="16"/>
      <c r="CU64" s="16"/>
      <c r="CV64" s="16"/>
      <c r="CW64" s="16"/>
      <c r="CX64" s="16"/>
      <c r="CY64" s="16"/>
      <c r="CZ64" s="16"/>
      <c r="DA64" s="16"/>
      <c r="DB64" s="16"/>
      <c r="DC64" s="16"/>
      <c r="DD64" s="16"/>
      <c r="DE64" s="17"/>
      <c r="DF64" s="17"/>
      <c r="DG64" s="16"/>
      <c r="DH64" s="16"/>
      <c r="DI64" s="17"/>
      <c r="DJ64" s="18">
        <v>7</v>
      </c>
      <c r="DK64" s="16"/>
      <c r="DL64" s="16"/>
      <c r="DM64" s="17"/>
      <c r="DN64" s="17"/>
      <c r="DO64" s="16"/>
      <c r="DP64" s="16"/>
      <c r="DQ64" s="17"/>
      <c r="DR64" s="17"/>
      <c r="DS64" s="16"/>
      <c r="DT64" s="16"/>
      <c r="DU64" s="17"/>
      <c r="DV64" s="17"/>
      <c r="DW64" s="16"/>
      <c r="DX64" s="19">
        <v>5</v>
      </c>
      <c r="DY64" s="17"/>
      <c r="DZ64" s="17"/>
      <c r="EA64" s="16"/>
      <c r="EB64" s="16"/>
      <c r="EC64" s="17"/>
      <c r="ED64" s="17"/>
      <c r="EE64" s="16"/>
      <c r="EF64" s="19">
        <v>5</v>
      </c>
      <c r="EG64" s="17"/>
      <c r="EH64" s="17"/>
      <c r="EI64" s="16"/>
      <c r="EJ64" s="16"/>
      <c r="EK64" s="17"/>
      <c r="EL64" s="18">
        <v>3</v>
      </c>
      <c r="EM64" s="16"/>
      <c r="EN64" s="16"/>
      <c r="EO64" s="17"/>
      <c r="EP64" s="17"/>
      <c r="EQ64" s="16"/>
      <c r="ER64" s="16"/>
      <c r="ES64" s="17"/>
      <c r="ET64" s="18">
        <v>35</v>
      </c>
      <c r="EU64" s="16"/>
      <c r="EV64" s="16"/>
      <c r="EW64" s="17"/>
      <c r="EX64" s="17"/>
      <c r="EY64" s="16"/>
      <c r="EZ64" s="16"/>
      <c r="FA64" s="17"/>
      <c r="FB64" s="17"/>
      <c r="FC64" s="16"/>
      <c r="FD64" s="19">
        <v>2</v>
      </c>
      <c r="FE64" s="17"/>
      <c r="FF64" s="17"/>
      <c r="FG64" s="11"/>
      <c r="GT64" s="11"/>
      <c r="IG64" s="11"/>
      <c r="JT64" s="11"/>
      <c r="LG64" s="11"/>
      <c r="MT64" s="11"/>
      <c r="OG64" s="11"/>
      <c r="PT64" s="11"/>
    </row>
    <row r="65" spans="1:436" ht="15.75" x14ac:dyDescent="0.25">
      <c r="C65" s="20" t="s">
        <v>128</v>
      </c>
      <c r="D65" s="21" t="s">
        <v>129</v>
      </c>
      <c r="H65" s="11"/>
      <c r="AU65" s="11"/>
      <c r="CH65" s="11"/>
      <c r="CI65" s="16"/>
      <c r="CJ65" s="16"/>
      <c r="CK65" s="16"/>
      <c r="CL65" s="16"/>
      <c r="CM65" s="16"/>
      <c r="CN65" s="16"/>
      <c r="CO65" s="16"/>
      <c r="CP65" s="16"/>
      <c r="CQ65" s="16"/>
      <c r="CR65" s="16"/>
      <c r="CS65" s="16"/>
      <c r="CT65" s="16"/>
      <c r="CU65" s="16"/>
      <c r="CV65" s="16"/>
      <c r="CW65" s="16"/>
      <c r="CX65" s="16"/>
      <c r="CY65" s="16"/>
      <c r="CZ65" s="16"/>
      <c r="DA65" s="16"/>
      <c r="DB65" s="16"/>
      <c r="DC65" s="16"/>
      <c r="DD65" s="16"/>
      <c r="DE65" s="17"/>
      <c r="DF65" s="17"/>
      <c r="DG65" s="16"/>
      <c r="DH65" s="16"/>
      <c r="DI65" s="17"/>
      <c r="DJ65" s="17"/>
      <c r="DK65" s="16"/>
      <c r="DL65" s="16"/>
      <c r="DM65" s="17"/>
      <c r="DN65" s="17"/>
      <c r="DO65" s="16"/>
      <c r="DP65" s="16"/>
      <c r="DQ65" s="17"/>
      <c r="DR65" s="17"/>
      <c r="DS65" s="16"/>
      <c r="DT65" s="16"/>
      <c r="DU65" s="17"/>
      <c r="DV65" s="17"/>
      <c r="DW65" s="16"/>
      <c r="DX65" s="16"/>
      <c r="DY65" s="17"/>
      <c r="DZ65" s="17"/>
      <c r="EA65" s="16"/>
      <c r="EB65" s="16"/>
      <c r="EC65" s="17"/>
      <c r="ED65" s="17"/>
      <c r="EE65" s="16"/>
      <c r="EF65" s="16"/>
      <c r="EG65" s="17"/>
      <c r="EH65" s="17"/>
      <c r="EI65" s="16"/>
      <c r="EJ65" s="16"/>
      <c r="EK65" s="17"/>
      <c r="EL65" s="17"/>
      <c r="EM65" s="16"/>
      <c r="EN65" s="16"/>
      <c r="EO65" s="17"/>
      <c r="EP65" s="17"/>
      <c r="EQ65" s="16"/>
      <c r="ER65" s="16"/>
      <c r="ES65" s="17"/>
      <c r="ET65" s="17"/>
      <c r="EU65" s="16"/>
      <c r="EV65" s="16"/>
      <c r="EW65" s="17"/>
      <c r="EX65" s="17"/>
      <c r="EY65" s="16"/>
      <c r="EZ65" s="16"/>
      <c r="FA65" s="17"/>
      <c r="FB65" s="17"/>
      <c r="FC65" s="16"/>
      <c r="FD65" s="16"/>
      <c r="FE65" s="17"/>
      <c r="FF65" s="17"/>
      <c r="FG65" s="11"/>
      <c r="GT65" s="11"/>
      <c r="IG65" s="11"/>
      <c r="JT65" s="11"/>
      <c r="LG65" s="11"/>
      <c r="MT65" s="11"/>
      <c r="OG65" s="11"/>
      <c r="PT65" s="11"/>
    </row>
    <row r="66" spans="1:436" ht="15.75" x14ac:dyDescent="0.25">
      <c r="A66" s="13"/>
      <c r="B66" s="14" t="s">
        <v>130</v>
      </c>
      <c r="C66" s="13"/>
      <c r="D66" s="13"/>
      <c r="E66" s="15" t="s">
        <v>127</v>
      </c>
      <c r="F66" s="15" t="s">
        <v>77</v>
      </c>
      <c r="G66" s="13"/>
      <c r="H66" s="11"/>
      <c r="AU66" s="11"/>
      <c r="CH66" s="11"/>
      <c r="CI66" s="16"/>
      <c r="CJ66" s="16"/>
      <c r="CK66" s="16"/>
      <c r="CL66" s="16"/>
      <c r="CM66" s="16"/>
      <c r="CN66" s="16"/>
      <c r="CO66" s="16"/>
      <c r="CP66" s="16"/>
      <c r="CQ66" s="16"/>
      <c r="CR66" s="16"/>
      <c r="CS66" s="16"/>
      <c r="CT66" s="16"/>
      <c r="CU66" s="16"/>
      <c r="CV66" s="16"/>
      <c r="CW66" s="16"/>
      <c r="CX66" s="16"/>
      <c r="CY66" s="16"/>
      <c r="CZ66" s="16"/>
      <c r="DA66" s="16"/>
      <c r="DB66" s="16"/>
      <c r="DC66" s="16"/>
      <c r="DD66" s="16"/>
      <c r="DE66" s="17"/>
      <c r="DF66" s="17"/>
      <c r="DG66" s="16"/>
      <c r="DH66" s="16"/>
      <c r="DI66" s="17"/>
      <c r="DJ66" s="17"/>
      <c r="DK66" s="16"/>
      <c r="DL66" s="16"/>
      <c r="DM66" s="17"/>
      <c r="DN66" s="17"/>
      <c r="DO66" s="16"/>
      <c r="DP66" s="16"/>
      <c r="DQ66" s="17"/>
      <c r="DR66" s="17"/>
      <c r="DS66" s="16"/>
      <c r="DT66" s="16"/>
      <c r="DU66" s="17"/>
      <c r="DV66" s="17"/>
      <c r="DW66" s="16"/>
      <c r="DX66" s="16"/>
      <c r="DY66" s="17"/>
      <c r="DZ66" s="17"/>
      <c r="EA66" s="16"/>
      <c r="EB66" s="16"/>
      <c r="EC66" s="17"/>
      <c r="ED66" s="17"/>
      <c r="EE66" s="16"/>
      <c r="EF66" s="16"/>
      <c r="EG66" s="17"/>
      <c r="EH66" s="17"/>
      <c r="EI66" s="16"/>
      <c r="EJ66" s="16"/>
      <c r="EK66" s="17"/>
      <c r="EL66" s="17"/>
      <c r="EM66" s="16"/>
      <c r="EN66" s="16"/>
      <c r="EO66" s="17"/>
      <c r="EP66" s="17"/>
      <c r="EQ66" s="16"/>
      <c r="ER66" s="16"/>
      <c r="ES66" s="17"/>
      <c r="ET66" s="17"/>
      <c r="EU66" s="16"/>
      <c r="EV66" s="16"/>
      <c r="EW66" s="17"/>
      <c r="EX66" s="17"/>
      <c r="EY66" s="16"/>
      <c r="EZ66" s="16"/>
      <c r="FA66" s="17"/>
      <c r="FB66" s="17"/>
      <c r="FC66" s="16"/>
      <c r="FD66" s="16"/>
      <c r="FE66" s="17"/>
      <c r="FF66" s="17"/>
      <c r="FG66" s="11"/>
      <c r="GT66" s="11"/>
      <c r="IG66" s="11"/>
      <c r="JT66" s="11"/>
      <c r="LG66" s="11"/>
      <c r="MT66" s="11"/>
      <c r="OG66" s="11"/>
      <c r="PT66" s="11"/>
    </row>
    <row r="67" spans="1:436" ht="15.75" x14ac:dyDescent="0.25">
      <c r="A67" s="13"/>
      <c r="B67" s="14" t="s">
        <v>131</v>
      </c>
      <c r="C67" s="13"/>
      <c r="D67" s="13"/>
      <c r="E67" s="15" t="s">
        <v>127</v>
      </c>
      <c r="F67" s="15" t="s">
        <v>132</v>
      </c>
      <c r="G67" s="13"/>
      <c r="H67" s="11"/>
      <c r="AU67" s="11"/>
      <c r="CH67" s="11"/>
      <c r="CI67" s="16"/>
      <c r="CJ67" s="16"/>
      <c r="CK67" s="16"/>
      <c r="CL67" s="16"/>
      <c r="CM67" s="16"/>
      <c r="CN67" s="16"/>
      <c r="CO67" s="16"/>
      <c r="CP67" s="16"/>
      <c r="CQ67" s="16"/>
      <c r="CR67" s="16"/>
      <c r="CS67" s="16"/>
      <c r="CT67" s="16"/>
      <c r="CU67" s="16"/>
      <c r="CV67" s="16"/>
      <c r="CW67" s="16"/>
      <c r="CX67" s="16"/>
      <c r="CY67" s="16"/>
      <c r="CZ67" s="16"/>
      <c r="DA67" s="16"/>
      <c r="DB67" s="16"/>
      <c r="DC67" s="16"/>
      <c r="DD67" s="16"/>
      <c r="DE67" s="17"/>
      <c r="DF67" s="17"/>
      <c r="DG67" s="16"/>
      <c r="DH67" s="16"/>
      <c r="DI67" s="17"/>
      <c r="DJ67" s="18">
        <v>16</v>
      </c>
      <c r="DK67" s="16"/>
      <c r="DL67" s="16"/>
      <c r="DM67" s="17"/>
      <c r="DN67" s="17"/>
      <c r="DO67" s="16"/>
      <c r="DP67" s="16"/>
      <c r="DQ67" s="17"/>
      <c r="DR67" s="17"/>
      <c r="DS67" s="16"/>
      <c r="DT67" s="16"/>
      <c r="DU67" s="17"/>
      <c r="DV67" s="18">
        <v>5</v>
      </c>
      <c r="DW67" s="16"/>
      <c r="DX67" s="19">
        <v>5</v>
      </c>
      <c r="DY67" s="17"/>
      <c r="DZ67" s="17"/>
      <c r="EA67" s="16"/>
      <c r="EB67" s="16"/>
      <c r="EC67" s="18">
        <v>32</v>
      </c>
      <c r="ED67" s="18">
        <v>47</v>
      </c>
      <c r="EE67" s="16"/>
      <c r="EF67" s="16"/>
      <c r="EG67" s="17"/>
      <c r="EH67" s="18">
        <v>5</v>
      </c>
      <c r="EI67" s="16"/>
      <c r="EJ67" s="16"/>
      <c r="EK67" s="17"/>
      <c r="EL67" s="18">
        <v>12</v>
      </c>
      <c r="EM67" s="16"/>
      <c r="EN67" s="19">
        <v>10</v>
      </c>
      <c r="EO67" s="17"/>
      <c r="EP67" s="17"/>
      <c r="EQ67" s="16"/>
      <c r="ER67" s="16"/>
      <c r="ES67" s="17"/>
      <c r="ET67" s="18">
        <v>15</v>
      </c>
      <c r="EU67" s="16"/>
      <c r="EV67" s="16"/>
      <c r="EW67" s="17"/>
      <c r="EX67" s="17"/>
      <c r="EY67" s="16"/>
      <c r="EZ67" s="16"/>
      <c r="FA67" s="17"/>
      <c r="FB67" s="17"/>
      <c r="FC67" s="16"/>
      <c r="FD67" s="19">
        <v>2</v>
      </c>
      <c r="FE67" s="17"/>
      <c r="FF67" s="17"/>
      <c r="FG67" s="11"/>
      <c r="GT67" s="11"/>
      <c r="IG67" s="11"/>
      <c r="JT67" s="11"/>
      <c r="LG67" s="11"/>
      <c r="MT67" s="11"/>
      <c r="OG67" s="11"/>
      <c r="PT67" s="11"/>
    </row>
    <row r="68" spans="1:436" ht="15.75" x14ac:dyDescent="0.25">
      <c r="C68" s="20" t="s">
        <v>133</v>
      </c>
      <c r="D68" s="21" t="s">
        <v>134</v>
      </c>
      <c r="H68" s="11"/>
      <c r="AU68" s="11"/>
      <c r="CH68" s="11"/>
      <c r="CI68" s="16"/>
      <c r="CJ68" s="16"/>
      <c r="CK68" s="16"/>
      <c r="CL68" s="16"/>
      <c r="CM68" s="16"/>
      <c r="CN68" s="16"/>
      <c r="CO68" s="16"/>
      <c r="CP68" s="16"/>
      <c r="CQ68" s="16"/>
      <c r="CR68" s="16"/>
      <c r="CS68" s="16"/>
      <c r="CT68" s="16"/>
      <c r="CU68" s="16"/>
      <c r="CV68" s="16"/>
      <c r="CW68" s="16"/>
      <c r="CX68" s="16"/>
      <c r="CY68" s="16"/>
      <c r="CZ68" s="16"/>
      <c r="DA68" s="16"/>
      <c r="DB68" s="16"/>
      <c r="DC68" s="16"/>
      <c r="DD68" s="16"/>
      <c r="DE68" s="17"/>
      <c r="DF68" s="17"/>
      <c r="DG68" s="16"/>
      <c r="DH68" s="16"/>
      <c r="DI68" s="17"/>
      <c r="DJ68" s="17"/>
      <c r="DK68" s="16"/>
      <c r="DL68" s="16"/>
      <c r="DM68" s="18">
        <v>7</v>
      </c>
      <c r="DN68" s="18">
        <v>10</v>
      </c>
      <c r="DO68" s="16"/>
      <c r="DP68" s="16"/>
      <c r="DQ68" s="17"/>
      <c r="DR68" s="17"/>
      <c r="DS68" s="16"/>
      <c r="DT68" s="16"/>
      <c r="DU68" s="17"/>
      <c r="DV68" s="17"/>
      <c r="DW68" s="16"/>
      <c r="DX68" s="16"/>
      <c r="DY68" s="17"/>
      <c r="DZ68" s="17"/>
      <c r="EA68" s="16"/>
      <c r="EB68" s="16"/>
      <c r="EC68" s="17"/>
      <c r="ED68" s="17"/>
      <c r="EE68" s="16"/>
      <c r="EF68" s="16"/>
      <c r="EG68" s="17"/>
      <c r="EH68" s="17"/>
      <c r="EI68" s="16"/>
      <c r="EJ68" s="16"/>
      <c r="EK68" s="17"/>
      <c r="EL68" s="17"/>
      <c r="EM68" s="16"/>
      <c r="EN68" s="16"/>
      <c r="EO68" s="17"/>
      <c r="EP68" s="17"/>
      <c r="EQ68" s="16"/>
      <c r="ER68" s="16"/>
      <c r="ES68" s="17"/>
      <c r="ET68" s="17"/>
      <c r="EU68" s="16"/>
      <c r="EV68" s="16"/>
      <c r="EW68" s="17"/>
      <c r="EX68" s="17"/>
      <c r="EY68" s="16"/>
      <c r="EZ68" s="16"/>
      <c r="FA68" s="17"/>
      <c r="FB68" s="17"/>
      <c r="FC68" s="16"/>
      <c r="FD68" s="16"/>
      <c r="FE68" s="17"/>
      <c r="FF68" s="17"/>
      <c r="FG68" s="11"/>
      <c r="GT68" s="11"/>
      <c r="IG68" s="11"/>
      <c r="JT68" s="11"/>
      <c r="LG68" s="11"/>
      <c r="MT68" s="11"/>
      <c r="OG68" s="11"/>
      <c r="PT68" s="11"/>
    </row>
    <row r="69" spans="1:436" ht="15.75" x14ac:dyDescent="0.25">
      <c r="C69" s="20" t="s">
        <v>135</v>
      </c>
      <c r="D69" s="21" t="s">
        <v>136</v>
      </c>
      <c r="H69" s="11"/>
      <c r="AU69" s="11"/>
      <c r="CH69" s="11"/>
      <c r="CI69" s="16"/>
      <c r="CJ69" s="16"/>
      <c r="CK69" s="16"/>
      <c r="CL69" s="16"/>
      <c r="CM69" s="16"/>
      <c r="CN69" s="16"/>
      <c r="CO69" s="16"/>
      <c r="CP69" s="16"/>
      <c r="CQ69" s="16"/>
      <c r="CR69" s="16"/>
      <c r="CS69" s="16"/>
      <c r="CT69" s="16"/>
      <c r="CU69" s="16"/>
      <c r="CV69" s="16"/>
      <c r="CW69" s="16"/>
      <c r="CX69" s="16"/>
      <c r="CY69" s="16"/>
      <c r="CZ69" s="16"/>
      <c r="DA69" s="16"/>
      <c r="DB69" s="16"/>
      <c r="DC69" s="16"/>
      <c r="DD69" s="16"/>
      <c r="DE69" s="17"/>
      <c r="DF69" s="17"/>
      <c r="DG69" s="16"/>
      <c r="DH69" s="16"/>
      <c r="DI69" s="17"/>
      <c r="DJ69" s="17"/>
      <c r="DK69" s="16"/>
      <c r="DL69" s="16"/>
      <c r="DM69" s="17"/>
      <c r="DN69" s="17"/>
      <c r="DO69" s="16"/>
      <c r="DP69" s="16"/>
      <c r="DQ69" s="17"/>
      <c r="DR69" s="17"/>
      <c r="DS69" s="16"/>
      <c r="DT69" s="16"/>
      <c r="DU69" s="17"/>
      <c r="DV69" s="17"/>
      <c r="DW69" s="16"/>
      <c r="DX69" s="16"/>
      <c r="DY69" s="17"/>
      <c r="DZ69" s="17"/>
      <c r="EA69" s="16"/>
      <c r="EB69" s="16"/>
      <c r="EC69" s="17"/>
      <c r="ED69" s="17"/>
      <c r="EE69" s="16"/>
      <c r="EF69" s="16"/>
      <c r="EG69" s="17"/>
      <c r="EH69" s="17"/>
      <c r="EI69" s="16"/>
      <c r="EJ69" s="16"/>
      <c r="EK69" s="17"/>
      <c r="EL69" s="17"/>
      <c r="EM69" s="16"/>
      <c r="EN69" s="16"/>
      <c r="EO69" s="17"/>
      <c r="EP69" s="17"/>
      <c r="EQ69" s="16"/>
      <c r="ER69" s="16"/>
      <c r="ES69" s="17"/>
      <c r="ET69" s="17"/>
      <c r="EU69" s="16"/>
      <c r="EV69" s="16"/>
      <c r="EW69" s="17"/>
      <c r="EX69" s="17"/>
      <c r="EY69" s="16"/>
      <c r="EZ69" s="16"/>
      <c r="FA69" s="17"/>
      <c r="FB69" s="17"/>
      <c r="FC69" s="16"/>
      <c r="FD69" s="16"/>
      <c r="FE69" s="17"/>
      <c r="FF69" s="17"/>
      <c r="FG69" s="11"/>
      <c r="GT69" s="11"/>
      <c r="IG69" s="11"/>
      <c r="JT69" s="11"/>
      <c r="LG69" s="11"/>
      <c r="MT69" s="11"/>
      <c r="OG69" s="11"/>
      <c r="PT69" s="11"/>
    </row>
    <row r="70" spans="1:436" ht="15.75" x14ac:dyDescent="0.25">
      <c r="C70" s="20" t="s">
        <v>137</v>
      </c>
      <c r="D70" s="21" t="s">
        <v>136</v>
      </c>
      <c r="H70" s="11"/>
      <c r="AU70" s="11"/>
      <c r="CH70" s="11"/>
      <c r="CI70" s="16"/>
      <c r="CJ70" s="16"/>
      <c r="CK70" s="16"/>
      <c r="CL70" s="16"/>
      <c r="CM70" s="16"/>
      <c r="CN70" s="16"/>
      <c r="CO70" s="16"/>
      <c r="CP70" s="16"/>
      <c r="CQ70" s="16"/>
      <c r="CR70" s="16"/>
      <c r="CS70" s="16"/>
      <c r="CT70" s="16"/>
      <c r="CU70" s="16"/>
      <c r="CV70" s="16"/>
      <c r="CW70" s="16"/>
      <c r="CX70" s="16"/>
      <c r="CY70" s="16"/>
      <c r="CZ70" s="16"/>
      <c r="DA70" s="16"/>
      <c r="DB70" s="16"/>
      <c r="DC70" s="16"/>
      <c r="DD70" s="16"/>
      <c r="DE70" s="17"/>
      <c r="DF70" s="17"/>
      <c r="DG70" s="16"/>
      <c r="DH70" s="16"/>
      <c r="DI70" s="17"/>
      <c r="DJ70" s="17"/>
      <c r="DK70" s="16"/>
      <c r="DL70" s="16"/>
      <c r="DM70" s="17"/>
      <c r="DN70" s="17"/>
      <c r="DO70" s="16"/>
      <c r="DP70" s="16"/>
      <c r="DQ70" s="17"/>
      <c r="DR70" s="17"/>
      <c r="DS70" s="16"/>
      <c r="DT70" s="16"/>
      <c r="DU70" s="17"/>
      <c r="DV70" s="17"/>
      <c r="DW70" s="16"/>
      <c r="DX70" s="16"/>
      <c r="DY70" s="17"/>
      <c r="DZ70" s="17"/>
      <c r="EA70" s="16"/>
      <c r="EB70" s="16"/>
      <c r="EC70" s="17"/>
      <c r="ED70" s="17"/>
      <c r="EE70" s="16"/>
      <c r="EF70" s="16"/>
      <c r="EG70" s="17"/>
      <c r="EH70" s="17"/>
      <c r="EI70" s="16"/>
      <c r="EJ70" s="16"/>
      <c r="EK70" s="17"/>
      <c r="EL70" s="17"/>
      <c r="EM70" s="16"/>
      <c r="EN70" s="16"/>
      <c r="EO70" s="17"/>
      <c r="EP70" s="17"/>
      <c r="EQ70" s="16"/>
      <c r="ER70" s="16"/>
      <c r="ES70" s="17"/>
      <c r="ET70" s="17"/>
      <c r="EU70" s="16"/>
      <c r="EV70" s="16"/>
      <c r="EW70" s="17"/>
      <c r="EX70" s="17"/>
      <c r="EY70" s="16"/>
      <c r="EZ70" s="16"/>
      <c r="FA70" s="17"/>
      <c r="FB70" s="17"/>
      <c r="FC70" s="16"/>
      <c r="FD70" s="16"/>
      <c r="FE70" s="17"/>
      <c r="FF70" s="17"/>
      <c r="FG70" s="11"/>
      <c r="GT70" s="11"/>
      <c r="IG70" s="11"/>
      <c r="JT70" s="11"/>
      <c r="LG70" s="11"/>
      <c r="MT70" s="11"/>
      <c r="OG70" s="11"/>
      <c r="PT70" s="11"/>
    </row>
    <row r="71" spans="1:436" ht="15.75" x14ac:dyDescent="0.25">
      <c r="C71" s="20" t="s">
        <v>138</v>
      </c>
      <c r="D71" s="21" t="s">
        <v>104</v>
      </c>
      <c r="H71" s="11"/>
      <c r="AU71" s="11"/>
      <c r="CH71" s="11"/>
      <c r="CI71" s="16"/>
      <c r="CJ71" s="16"/>
      <c r="CK71" s="16"/>
      <c r="CL71" s="16"/>
      <c r="CM71" s="16"/>
      <c r="CN71" s="16"/>
      <c r="CO71" s="16"/>
      <c r="CP71" s="16"/>
      <c r="CQ71" s="16"/>
      <c r="CR71" s="16"/>
      <c r="CS71" s="16"/>
      <c r="CT71" s="16"/>
      <c r="CU71" s="16"/>
      <c r="CV71" s="16"/>
      <c r="CW71" s="16"/>
      <c r="CX71" s="16"/>
      <c r="CY71" s="16"/>
      <c r="CZ71" s="16"/>
      <c r="DA71" s="16"/>
      <c r="DB71" s="16"/>
      <c r="DC71" s="16"/>
      <c r="DD71" s="16"/>
      <c r="DE71" s="17"/>
      <c r="DF71" s="17"/>
      <c r="DG71" s="16"/>
      <c r="DH71" s="16"/>
      <c r="DI71" s="17"/>
      <c r="DJ71" s="17"/>
      <c r="DK71" s="16"/>
      <c r="DL71" s="16"/>
      <c r="DM71" s="17"/>
      <c r="DN71" s="17"/>
      <c r="DO71" s="16"/>
      <c r="DP71" s="16"/>
      <c r="DQ71" s="17"/>
      <c r="DR71" s="17"/>
      <c r="DS71" s="16"/>
      <c r="DT71" s="16"/>
      <c r="DU71" s="17"/>
      <c r="DV71" s="17"/>
      <c r="DW71" s="16"/>
      <c r="DX71" s="16"/>
      <c r="DY71" s="17"/>
      <c r="DZ71" s="17"/>
      <c r="EA71" s="16"/>
      <c r="EB71" s="16"/>
      <c r="EC71" s="17"/>
      <c r="ED71" s="17"/>
      <c r="EE71" s="16"/>
      <c r="EF71" s="16"/>
      <c r="EG71" s="17"/>
      <c r="EH71" s="17"/>
      <c r="EI71" s="16"/>
      <c r="EJ71" s="16"/>
      <c r="EK71" s="17"/>
      <c r="EL71" s="17"/>
      <c r="EM71" s="16"/>
      <c r="EN71" s="16"/>
      <c r="EO71" s="17"/>
      <c r="EP71" s="17"/>
      <c r="EQ71" s="16"/>
      <c r="ER71" s="16"/>
      <c r="ES71" s="17"/>
      <c r="ET71" s="17"/>
      <c r="EU71" s="16"/>
      <c r="EV71" s="16"/>
      <c r="EW71" s="17"/>
      <c r="EX71" s="17"/>
      <c r="EY71" s="16"/>
      <c r="EZ71" s="16"/>
      <c r="FA71" s="17"/>
      <c r="FB71" s="17"/>
      <c r="FC71" s="19">
        <v>5</v>
      </c>
      <c r="FD71" s="19">
        <v>7</v>
      </c>
      <c r="FE71" s="17"/>
      <c r="FF71" s="17"/>
      <c r="FG71" s="11"/>
      <c r="GT71" s="11"/>
      <c r="IG71" s="11"/>
      <c r="JT71" s="11"/>
      <c r="LG71" s="11"/>
      <c r="MT71" s="11"/>
      <c r="OG71" s="11"/>
      <c r="PT71" s="11"/>
    </row>
    <row r="72" spans="1:436" ht="15.75" x14ac:dyDescent="0.25">
      <c r="C72" s="20" t="s">
        <v>139</v>
      </c>
      <c r="D72" s="21" t="s">
        <v>79</v>
      </c>
      <c r="H72" s="11"/>
      <c r="AU72" s="11"/>
      <c r="CH72" s="11"/>
      <c r="CI72" s="16"/>
      <c r="CJ72" s="16"/>
      <c r="CK72" s="16"/>
      <c r="CL72" s="16"/>
      <c r="CM72" s="16"/>
      <c r="CN72" s="16"/>
      <c r="CO72" s="16"/>
      <c r="CP72" s="16"/>
      <c r="CQ72" s="16"/>
      <c r="CR72" s="16"/>
      <c r="CS72" s="16"/>
      <c r="CT72" s="16"/>
      <c r="CU72" s="16"/>
      <c r="CV72" s="16"/>
      <c r="CW72" s="16"/>
      <c r="CX72" s="16"/>
      <c r="CY72" s="16"/>
      <c r="CZ72" s="16"/>
      <c r="DA72" s="16"/>
      <c r="DB72" s="16"/>
      <c r="DC72" s="16"/>
      <c r="DD72" s="16"/>
      <c r="DE72" s="17"/>
      <c r="DF72" s="17"/>
      <c r="DG72" s="16"/>
      <c r="DH72" s="16"/>
      <c r="DI72" s="18">
        <v>2</v>
      </c>
      <c r="DJ72" s="18">
        <v>3</v>
      </c>
      <c r="DK72" s="16"/>
      <c r="DL72" s="16"/>
      <c r="DM72" s="17"/>
      <c r="DN72" s="17"/>
      <c r="DO72" s="16"/>
      <c r="DP72" s="16"/>
      <c r="DQ72" s="17"/>
      <c r="DR72" s="17"/>
      <c r="DS72" s="16"/>
      <c r="DT72" s="16"/>
      <c r="DU72" s="17"/>
      <c r="DV72" s="17"/>
      <c r="DW72" s="16"/>
      <c r="DX72" s="16"/>
      <c r="DY72" s="17"/>
      <c r="DZ72" s="17"/>
      <c r="EA72" s="16"/>
      <c r="EB72" s="16"/>
      <c r="EC72" s="17"/>
      <c r="ED72" s="17"/>
      <c r="EE72" s="16"/>
      <c r="EF72" s="16"/>
      <c r="EG72" s="17"/>
      <c r="EH72" s="17"/>
      <c r="EI72" s="16"/>
      <c r="EJ72" s="16"/>
      <c r="EK72" s="17"/>
      <c r="EL72" s="17"/>
      <c r="EM72" s="16"/>
      <c r="EN72" s="16"/>
      <c r="EO72" s="17"/>
      <c r="EP72" s="17"/>
      <c r="EQ72" s="16"/>
      <c r="ER72" s="16"/>
      <c r="ES72" s="17"/>
      <c r="ET72" s="17"/>
      <c r="EU72" s="16"/>
      <c r="EV72" s="16"/>
      <c r="EW72" s="17"/>
      <c r="EX72" s="17"/>
      <c r="EY72" s="16"/>
      <c r="EZ72" s="16"/>
      <c r="FA72" s="17"/>
      <c r="FB72" s="17"/>
      <c r="FC72" s="16"/>
      <c r="FD72" s="16"/>
      <c r="FE72" s="17"/>
      <c r="FF72" s="17"/>
      <c r="FG72" s="11"/>
      <c r="GT72" s="11"/>
      <c r="IG72" s="11"/>
      <c r="JT72" s="11"/>
      <c r="LG72" s="11"/>
      <c r="MT72" s="11"/>
      <c r="OG72" s="11"/>
      <c r="PT72" s="11"/>
    </row>
    <row r="73" spans="1:436" ht="15.75" x14ac:dyDescent="0.25">
      <c r="C73" s="20" t="s">
        <v>140</v>
      </c>
      <c r="D73" s="21" t="s">
        <v>84</v>
      </c>
      <c r="H73" s="11"/>
      <c r="AU73" s="11"/>
      <c r="CH73" s="11"/>
      <c r="CI73" s="16"/>
      <c r="CJ73" s="16"/>
      <c r="CK73" s="16"/>
      <c r="CL73" s="16"/>
      <c r="CM73" s="16"/>
      <c r="CN73" s="16"/>
      <c r="CO73" s="16"/>
      <c r="CP73" s="16"/>
      <c r="CQ73" s="16"/>
      <c r="CR73" s="16"/>
      <c r="CS73" s="16"/>
      <c r="CT73" s="16"/>
      <c r="CU73" s="16"/>
      <c r="CV73" s="16"/>
      <c r="CW73" s="16"/>
      <c r="CX73" s="16"/>
      <c r="CY73" s="16"/>
      <c r="CZ73" s="16"/>
      <c r="DA73" s="16"/>
      <c r="DB73" s="16"/>
      <c r="DC73" s="16"/>
      <c r="DD73" s="16"/>
      <c r="DE73" s="17"/>
      <c r="DF73" s="17"/>
      <c r="DG73" s="16"/>
      <c r="DH73" s="16"/>
      <c r="DI73" s="17"/>
      <c r="DJ73" s="17"/>
      <c r="DK73" s="16"/>
      <c r="DL73" s="16"/>
      <c r="DM73" s="17"/>
      <c r="DN73" s="17"/>
      <c r="DO73" s="16"/>
      <c r="DP73" s="16"/>
      <c r="DQ73" s="17"/>
      <c r="DR73" s="17"/>
      <c r="DS73" s="16"/>
      <c r="DT73" s="16"/>
      <c r="DU73" s="17"/>
      <c r="DV73" s="17"/>
      <c r="DW73" s="19">
        <v>4</v>
      </c>
      <c r="DX73" s="19">
        <v>6</v>
      </c>
      <c r="DY73" s="17"/>
      <c r="DZ73" s="17"/>
      <c r="EA73" s="16"/>
      <c r="EB73" s="16"/>
      <c r="EC73" s="17"/>
      <c r="ED73" s="17"/>
      <c r="EE73" s="16"/>
      <c r="EF73" s="16"/>
      <c r="EG73" s="17"/>
      <c r="EH73" s="17"/>
      <c r="EI73" s="16"/>
      <c r="EJ73" s="16"/>
      <c r="EK73" s="17"/>
      <c r="EL73" s="17"/>
      <c r="EM73" s="16"/>
      <c r="EN73" s="16"/>
      <c r="EO73" s="17"/>
      <c r="EP73" s="17"/>
      <c r="EQ73" s="16"/>
      <c r="ER73" s="16"/>
      <c r="ES73" s="17"/>
      <c r="ET73" s="17"/>
      <c r="EU73" s="16"/>
      <c r="EV73" s="16"/>
      <c r="EW73" s="17"/>
      <c r="EX73" s="17"/>
      <c r="EY73" s="16"/>
      <c r="EZ73" s="16"/>
      <c r="FA73" s="17"/>
      <c r="FB73" s="17"/>
      <c r="FC73" s="16"/>
      <c r="FD73" s="16"/>
      <c r="FE73" s="17"/>
      <c r="FF73" s="17"/>
      <c r="FG73" s="11"/>
      <c r="GT73" s="11"/>
      <c r="IG73" s="11"/>
      <c r="JT73" s="11"/>
      <c r="LG73" s="11"/>
      <c r="MT73" s="11"/>
      <c r="OG73" s="11"/>
      <c r="PT73" s="11"/>
    </row>
    <row r="74" spans="1:436" ht="15.75" x14ac:dyDescent="0.25">
      <c r="C74" s="20" t="s">
        <v>141</v>
      </c>
      <c r="D74" s="21" t="s">
        <v>142</v>
      </c>
      <c r="H74" s="11"/>
      <c r="AU74" s="11"/>
      <c r="CH74" s="11"/>
      <c r="CI74" s="16"/>
      <c r="CJ74" s="16"/>
      <c r="CK74" s="16"/>
      <c r="CL74" s="16"/>
      <c r="CM74" s="16"/>
      <c r="CN74" s="16"/>
      <c r="CO74" s="16"/>
      <c r="CP74" s="16"/>
      <c r="CQ74" s="16"/>
      <c r="CR74" s="16"/>
      <c r="CS74" s="16"/>
      <c r="CT74" s="16"/>
      <c r="CU74" s="16"/>
      <c r="CV74" s="16"/>
      <c r="CW74" s="16"/>
      <c r="CX74" s="16"/>
      <c r="CY74" s="16"/>
      <c r="CZ74" s="16"/>
      <c r="DA74" s="16"/>
      <c r="DB74" s="16"/>
      <c r="DC74" s="16"/>
      <c r="DD74" s="16"/>
      <c r="DE74" s="17"/>
      <c r="DF74" s="17"/>
      <c r="DG74" s="16"/>
      <c r="DH74" s="16"/>
      <c r="DI74" s="17"/>
      <c r="DJ74" s="17"/>
      <c r="DK74" s="16"/>
      <c r="DL74" s="16"/>
      <c r="DM74" s="17"/>
      <c r="DN74" s="17"/>
      <c r="DO74" s="16"/>
      <c r="DP74" s="16"/>
      <c r="DQ74" s="17"/>
      <c r="DR74" s="17"/>
      <c r="DS74" s="16"/>
      <c r="DT74" s="16"/>
      <c r="DU74" s="17"/>
      <c r="DV74" s="17"/>
      <c r="DW74" s="16"/>
      <c r="DX74" s="16"/>
      <c r="DY74" s="17"/>
      <c r="DZ74" s="17"/>
      <c r="EA74" s="16"/>
      <c r="EB74" s="16"/>
      <c r="EC74" s="17"/>
      <c r="ED74" s="17"/>
      <c r="EE74" s="16"/>
      <c r="EF74" s="16"/>
      <c r="EG74" s="17"/>
      <c r="EH74" s="17"/>
      <c r="EI74" s="16"/>
      <c r="EJ74" s="16"/>
      <c r="EK74" s="17"/>
      <c r="EL74" s="17"/>
      <c r="EM74" s="16"/>
      <c r="EN74" s="16"/>
      <c r="EO74" s="17"/>
      <c r="EP74" s="17"/>
      <c r="EQ74" s="16"/>
      <c r="ER74" s="16"/>
      <c r="ES74" s="17"/>
      <c r="ET74" s="17"/>
      <c r="EU74" s="16"/>
      <c r="EV74" s="16"/>
      <c r="EW74" s="17"/>
      <c r="EX74" s="17"/>
      <c r="EY74" s="16"/>
      <c r="EZ74" s="16"/>
      <c r="FA74" s="17"/>
      <c r="FB74" s="17"/>
      <c r="FC74" s="16"/>
      <c r="FD74" s="16"/>
      <c r="FE74" s="17"/>
      <c r="FF74" s="17"/>
      <c r="FG74" s="11"/>
      <c r="GT74" s="11"/>
      <c r="IG74" s="11"/>
      <c r="JT74" s="11"/>
      <c r="LG74" s="11"/>
      <c r="MT74" s="11"/>
      <c r="OG74" s="11"/>
      <c r="PT74" s="11"/>
    </row>
    <row r="75" spans="1:436" ht="15.75" x14ac:dyDescent="0.25">
      <c r="C75" s="20" t="s">
        <v>143</v>
      </c>
      <c r="D75" s="21" t="s">
        <v>84</v>
      </c>
      <c r="H75" s="11"/>
      <c r="AU75" s="11"/>
      <c r="CH75" s="11"/>
      <c r="CI75" s="16"/>
      <c r="CJ75" s="16"/>
      <c r="CK75" s="16"/>
      <c r="CL75" s="16"/>
      <c r="CM75" s="16"/>
      <c r="CN75" s="16"/>
      <c r="CO75" s="16"/>
      <c r="CP75" s="16"/>
      <c r="CQ75" s="16"/>
      <c r="CR75" s="16"/>
      <c r="CS75" s="16"/>
      <c r="CT75" s="16"/>
      <c r="CU75" s="16"/>
      <c r="CV75" s="16"/>
      <c r="CW75" s="16"/>
      <c r="CX75" s="16"/>
      <c r="CY75" s="16"/>
      <c r="CZ75" s="16"/>
      <c r="DA75" s="16"/>
      <c r="DB75" s="16"/>
      <c r="DC75" s="16"/>
      <c r="DD75" s="16"/>
      <c r="DE75" s="17"/>
      <c r="DF75" s="17"/>
      <c r="DG75" s="16"/>
      <c r="DH75" s="16"/>
      <c r="DI75" s="17"/>
      <c r="DJ75" s="17"/>
      <c r="DK75" s="16"/>
      <c r="DL75" s="16"/>
      <c r="DM75" s="17"/>
      <c r="DN75" s="17"/>
      <c r="DO75" s="16"/>
      <c r="DP75" s="16"/>
      <c r="DQ75" s="17"/>
      <c r="DR75" s="17"/>
      <c r="DS75" s="16"/>
      <c r="DT75" s="16"/>
      <c r="DU75" s="17"/>
      <c r="DV75" s="17"/>
      <c r="DW75" s="19">
        <v>2</v>
      </c>
      <c r="DX75" s="19">
        <v>4</v>
      </c>
      <c r="DY75" s="17"/>
      <c r="DZ75" s="17"/>
      <c r="EA75" s="16"/>
      <c r="EB75" s="16"/>
      <c r="EC75" s="17"/>
      <c r="ED75" s="17"/>
      <c r="EE75" s="16"/>
      <c r="EF75" s="16"/>
      <c r="EG75" s="17"/>
      <c r="EH75" s="17"/>
      <c r="EI75" s="16"/>
      <c r="EJ75" s="16"/>
      <c r="EK75" s="17"/>
      <c r="EL75" s="17"/>
      <c r="EM75" s="16"/>
      <c r="EN75" s="16"/>
      <c r="EO75" s="17"/>
      <c r="EP75" s="17"/>
      <c r="EQ75" s="16"/>
      <c r="ER75" s="16"/>
      <c r="ES75" s="17"/>
      <c r="ET75" s="17"/>
      <c r="EU75" s="16"/>
      <c r="EV75" s="16"/>
      <c r="EW75" s="17"/>
      <c r="EX75" s="17"/>
      <c r="EY75" s="16"/>
      <c r="EZ75" s="16"/>
      <c r="FA75" s="17"/>
      <c r="FB75" s="17"/>
      <c r="FC75" s="16"/>
      <c r="FD75" s="16"/>
      <c r="FE75" s="17"/>
      <c r="FF75" s="17"/>
      <c r="FG75" s="11"/>
      <c r="GT75" s="11"/>
      <c r="IG75" s="11"/>
      <c r="JT75" s="11"/>
      <c r="LG75" s="11"/>
      <c r="MT75" s="11"/>
      <c r="OG75" s="11"/>
      <c r="PT75" s="11"/>
    </row>
    <row r="76" spans="1:436" ht="15.75" x14ac:dyDescent="0.25">
      <c r="C76" s="20" t="s">
        <v>144</v>
      </c>
      <c r="D76" s="21" t="s">
        <v>79</v>
      </c>
      <c r="H76" s="11"/>
      <c r="AU76" s="11"/>
      <c r="CH76" s="11"/>
      <c r="CI76" s="16"/>
      <c r="CJ76" s="16"/>
      <c r="CK76" s="16"/>
      <c r="CL76" s="16"/>
      <c r="CM76" s="16"/>
      <c r="CN76" s="16"/>
      <c r="CO76" s="16"/>
      <c r="CP76" s="16"/>
      <c r="CQ76" s="16"/>
      <c r="CR76" s="16"/>
      <c r="CS76" s="16"/>
      <c r="CT76" s="16"/>
      <c r="CU76" s="16"/>
      <c r="CV76" s="16"/>
      <c r="CW76" s="16"/>
      <c r="CX76" s="16"/>
      <c r="CY76" s="16"/>
      <c r="CZ76" s="16"/>
      <c r="DA76" s="16"/>
      <c r="DB76" s="16"/>
      <c r="DC76" s="16"/>
      <c r="DD76" s="16"/>
      <c r="DE76" s="17"/>
      <c r="DF76" s="17"/>
      <c r="DG76" s="16"/>
      <c r="DH76" s="16"/>
      <c r="DI76" s="18">
        <v>1</v>
      </c>
      <c r="DJ76" s="18">
        <v>2</v>
      </c>
      <c r="DK76" s="16"/>
      <c r="DL76" s="16"/>
      <c r="DM76" s="17"/>
      <c r="DN76" s="17"/>
      <c r="DO76" s="16"/>
      <c r="DP76" s="16"/>
      <c r="DQ76" s="17"/>
      <c r="DR76" s="17"/>
      <c r="DS76" s="16"/>
      <c r="DT76" s="16"/>
      <c r="DU76" s="17"/>
      <c r="DV76" s="17"/>
      <c r="DW76" s="16"/>
      <c r="DX76" s="16"/>
      <c r="DY76" s="17"/>
      <c r="DZ76" s="17"/>
      <c r="EA76" s="16"/>
      <c r="EB76" s="16"/>
      <c r="EC76" s="17"/>
      <c r="ED76" s="17"/>
      <c r="EE76" s="16"/>
      <c r="EF76" s="16"/>
      <c r="EG76" s="17"/>
      <c r="EH76" s="17"/>
      <c r="EI76" s="16"/>
      <c r="EJ76" s="16"/>
      <c r="EK76" s="17"/>
      <c r="EL76" s="17"/>
      <c r="EM76" s="16"/>
      <c r="EN76" s="16"/>
      <c r="EO76" s="17"/>
      <c r="EP76" s="17"/>
      <c r="EQ76" s="16"/>
      <c r="ER76" s="16"/>
      <c r="ES76" s="17"/>
      <c r="ET76" s="17"/>
      <c r="EU76" s="16"/>
      <c r="EV76" s="16"/>
      <c r="EW76" s="17"/>
      <c r="EX76" s="17"/>
      <c r="EY76" s="16"/>
      <c r="EZ76" s="16"/>
      <c r="FA76" s="17"/>
      <c r="FB76" s="17"/>
      <c r="FC76" s="16"/>
      <c r="FD76" s="16"/>
      <c r="FE76" s="17"/>
      <c r="FF76" s="17"/>
      <c r="FG76" s="11"/>
      <c r="GT76" s="11"/>
      <c r="IG76" s="11"/>
      <c r="JT76" s="11"/>
      <c r="LG76" s="11"/>
      <c r="MT76" s="11"/>
      <c r="OG76" s="11"/>
      <c r="PT76" s="11"/>
    </row>
    <row r="77" spans="1:436" ht="15.75" x14ac:dyDescent="0.25">
      <c r="C77" s="20" t="s">
        <v>145</v>
      </c>
      <c r="D77" s="21" t="s">
        <v>146</v>
      </c>
      <c r="H77" s="11"/>
      <c r="AU77" s="11"/>
      <c r="CH77" s="11"/>
      <c r="CI77" s="16"/>
      <c r="CJ77" s="16"/>
      <c r="CK77" s="16"/>
      <c r="CL77" s="16"/>
      <c r="CM77" s="16"/>
      <c r="CN77" s="16"/>
      <c r="CO77" s="16"/>
      <c r="CP77" s="16"/>
      <c r="CQ77" s="16"/>
      <c r="CR77" s="16"/>
      <c r="CS77" s="16"/>
      <c r="CT77" s="16"/>
      <c r="CU77" s="16"/>
      <c r="CV77" s="16"/>
      <c r="CW77" s="16"/>
      <c r="CX77" s="16"/>
      <c r="CY77" s="16"/>
      <c r="CZ77" s="16"/>
      <c r="DA77" s="16"/>
      <c r="DB77" s="16"/>
      <c r="DC77" s="16"/>
      <c r="DD77" s="16"/>
      <c r="DE77" s="17"/>
      <c r="DF77" s="17"/>
      <c r="DG77" s="16"/>
      <c r="DH77" s="16"/>
      <c r="DI77" s="17"/>
      <c r="DJ77" s="17"/>
      <c r="DK77" s="16"/>
      <c r="DL77" s="16"/>
      <c r="DM77" s="17"/>
      <c r="DN77" s="17"/>
      <c r="DO77" s="16"/>
      <c r="DP77" s="16"/>
      <c r="DQ77" s="18">
        <v>0.5</v>
      </c>
      <c r="DR77" s="18">
        <v>1</v>
      </c>
      <c r="DS77" s="16"/>
      <c r="DT77" s="16"/>
      <c r="DU77" s="17"/>
      <c r="DV77" s="17"/>
      <c r="DW77" s="16"/>
      <c r="DX77" s="16"/>
      <c r="DY77" s="17"/>
      <c r="DZ77" s="17"/>
      <c r="EA77" s="16"/>
      <c r="EB77" s="16"/>
      <c r="EC77" s="17"/>
      <c r="ED77" s="17"/>
      <c r="EE77" s="16"/>
      <c r="EF77" s="16"/>
      <c r="EG77" s="17"/>
      <c r="EH77" s="17"/>
      <c r="EI77" s="16"/>
      <c r="EJ77" s="16"/>
      <c r="EK77" s="17"/>
      <c r="EL77" s="17"/>
      <c r="EM77" s="16"/>
      <c r="EN77" s="16"/>
      <c r="EO77" s="17"/>
      <c r="EP77" s="17"/>
      <c r="EQ77" s="16"/>
      <c r="ER77" s="16"/>
      <c r="ES77" s="17"/>
      <c r="ET77" s="17"/>
      <c r="EU77" s="16"/>
      <c r="EV77" s="16"/>
      <c r="EW77" s="17"/>
      <c r="EX77" s="17"/>
      <c r="EY77" s="16"/>
      <c r="EZ77" s="16"/>
      <c r="FA77" s="17"/>
      <c r="FB77" s="17"/>
      <c r="FC77" s="16"/>
      <c r="FD77" s="16"/>
      <c r="FE77" s="17"/>
      <c r="FF77" s="17"/>
      <c r="FG77" s="11"/>
      <c r="GT77" s="11"/>
      <c r="IG77" s="11"/>
      <c r="JT77" s="11"/>
      <c r="LG77" s="11"/>
      <c r="MT77" s="11"/>
      <c r="OG77" s="11"/>
      <c r="PT77" s="11"/>
    </row>
    <row r="78" spans="1:436" ht="15.75" x14ac:dyDescent="0.25">
      <c r="C78" s="20" t="s">
        <v>147</v>
      </c>
      <c r="D78" s="21" t="s">
        <v>90</v>
      </c>
      <c r="H78" s="11"/>
      <c r="AU78" s="11"/>
      <c r="CH78" s="11"/>
      <c r="CI78" s="16"/>
      <c r="CJ78" s="16"/>
      <c r="CK78" s="16"/>
      <c r="CL78" s="16"/>
      <c r="CM78" s="16"/>
      <c r="CN78" s="16"/>
      <c r="CO78" s="16"/>
      <c r="CP78" s="16"/>
      <c r="CQ78" s="16"/>
      <c r="CR78" s="16"/>
      <c r="CS78" s="16"/>
      <c r="CT78" s="16"/>
      <c r="CU78" s="16"/>
      <c r="CV78" s="16"/>
      <c r="CW78" s="16"/>
      <c r="CX78" s="16"/>
      <c r="CY78" s="16"/>
      <c r="CZ78" s="16"/>
      <c r="DA78" s="16"/>
      <c r="DB78" s="16"/>
      <c r="DC78" s="16"/>
      <c r="DD78" s="16"/>
      <c r="DE78" s="17"/>
      <c r="DF78" s="17"/>
      <c r="DG78" s="16"/>
      <c r="DH78" s="16"/>
      <c r="DI78" s="17"/>
      <c r="DJ78" s="17"/>
      <c r="DK78" s="16"/>
      <c r="DL78" s="16"/>
      <c r="DM78" s="17"/>
      <c r="DN78" s="17"/>
      <c r="DO78" s="16"/>
      <c r="DP78" s="16"/>
      <c r="DQ78" s="17"/>
      <c r="DR78" s="17"/>
      <c r="DS78" s="16"/>
      <c r="DT78" s="16"/>
      <c r="DU78" s="17"/>
      <c r="DV78" s="17"/>
      <c r="DW78" s="16"/>
      <c r="DX78" s="16"/>
      <c r="DY78" s="17"/>
      <c r="DZ78" s="17"/>
      <c r="EA78" s="16"/>
      <c r="EB78" s="16"/>
      <c r="EC78" s="17"/>
      <c r="ED78" s="17"/>
      <c r="EE78" s="16"/>
      <c r="EF78" s="16"/>
      <c r="EG78" s="17"/>
      <c r="EH78" s="17"/>
      <c r="EI78" s="16"/>
      <c r="EJ78" s="16"/>
      <c r="EK78" s="17"/>
      <c r="EL78" s="17"/>
      <c r="EM78" s="16"/>
      <c r="EN78" s="16"/>
      <c r="EO78" s="17"/>
      <c r="EP78" s="17"/>
      <c r="EQ78" s="16"/>
      <c r="ER78" s="16"/>
      <c r="ES78" s="17"/>
      <c r="ET78" s="17"/>
      <c r="EU78" s="16"/>
      <c r="EV78" s="16"/>
      <c r="EW78" s="17"/>
      <c r="EX78" s="17"/>
      <c r="EY78" s="16"/>
      <c r="EZ78" s="16"/>
      <c r="FA78" s="17"/>
      <c r="FB78" s="17"/>
      <c r="FC78" s="16"/>
      <c r="FD78" s="16"/>
      <c r="FE78" s="17"/>
      <c r="FF78" s="17"/>
      <c r="FG78" s="11"/>
      <c r="GT78" s="11"/>
      <c r="IG78" s="11"/>
      <c r="JT78" s="11"/>
      <c r="LG78" s="11"/>
      <c r="MT78" s="11"/>
      <c r="OG78" s="11"/>
      <c r="PT78" s="11"/>
    </row>
    <row r="79" spans="1:436" ht="15.75" x14ac:dyDescent="0.25">
      <c r="C79" s="20" t="s">
        <v>133</v>
      </c>
      <c r="D79" s="21" t="s">
        <v>134</v>
      </c>
      <c r="H79" s="11"/>
      <c r="AU79" s="11"/>
      <c r="CH79" s="11"/>
      <c r="CI79" s="16"/>
      <c r="CJ79" s="16"/>
      <c r="CK79" s="16"/>
      <c r="CL79" s="16"/>
      <c r="CM79" s="16"/>
      <c r="CN79" s="16"/>
      <c r="CO79" s="16"/>
      <c r="CP79" s="16"/>
      <c r="CQ79" s="16"/>
      <c r="CR79" s="16"/>
      <c r="CS79" s="16"/>
      <c r="CT79" s="16"/>
      <c r="CU79" s="16"/>
      <c r="CV79" s="16"/>
      <c r="CW79" s="16"/>
      <c r="CX79" s="16"/>
      <c r="CY79" s="16"/>
      <c r="CZ79" s="16"/>
      <c r="DA79" s="16"/>
      <c r="DB79" s="16"/>
      <c r="DC79" s="16"/>
      <c r="DD79" s="16"/>
      <c r="DE79" s="17"/>
      <c r="DF79" s="17"/>
      <c r="DG79" s="16"/>
      <c r="DH79" s="16"/>
      <c r="DI79" s="17"/>
      <c r="DJ79" s="17"/>
      <c r="DK79" s="16"/>
      <c r="DL79" s="16"/>
      <c r="DM79" s="17"/>
      <c r="DN79" s="17"/>
      <c r="DO79" s="16"/>
      <c r="DP79" s="16"/>
      <c r="DQ79" s="17"/>
      <c r="DR79" s="17"/>
      <c r="DS79" s="16"/>
      <c r="DT79" s="16"/>
      <c r="DU79" s="17"/>
      <c r="DV79" s="17"/>
      <c r="DW79" s="16"/>
      <c r="DX79" s="16"/>
      <c r="DY79" s="17"/>
      <c r="DZ79" s="17"/>
      <c r="EA79" s="16"/>
      <c r="EB79" s="16"/>
      <c r="EC79" s="17"/>
      <c r="ED79" s="17"/>
      <c r="EE79" s="16"/>
      <c r="EF79" s="16"/>
      <c r="EG79" s="17"/>
      <c r="EH79" s="17"/>
      <c r="EI79" s="16"/>
      <c r="EJ79" s="16"/>
      <c r="EK79" s="17"/>
      <c r="EL79" s="17"/>
      <c r="EM79" s="16"/>
      <c r="EN79" s="16"/>
      <c r="EO79" s="17"/>
      <c r="EP79" s="17"/>
      <c r="EQ79" s="16"/>
      <c r="ER79" s="16"/>
      <c r="ES79" s="17"/>
      <c r="ET79" s="17"/>
      <c r="EU79" s="16"/>
      <c r="EV79" s="16"/>
      <c r="EW79" s="17"/>
      <c r="EX79" s="17"/>
      <c r="EY79" s="16"/>
      <c r="EZ79" s="16"/>
      <c r="FA79" s="17"/>
      <c r="FB79" s="17"/>
      <c r="FC79" s="16"/>
      <c r="FD79" s="16"/>
      <c r="FE79" s="17"/>
      <c r="FF79" s="17"/>
      <c r="FG79" s="11"/>
      <c r="GT79" s="11"/>
      <c r="IG79" s="11"/>
      <c r="JT79" s="11"/>
      <c r="LG79" s="11"/>
      <c r="MT79" s="11"/>
      <c r="OG79" s="11"/>
      <c r="PT79" s="11"/>
    </row>
    <row r="80" spans="1:436" ht="15.75" x14ac:dyDescent="0.25">
      <c r="C80" s="20" t="s">
        <v>135</v>
      </c>
      <c r="D80" s="21" t="s">
        <v>136</v>
      </c>
      <c r="H80" s="11"/>
      <c r="AU80" s="11"/>
      <c r="CH80" s="11"/>
      <c r="CI80" s="16"/>
      <c r="CJ80" s="16"/>
      <c r="CK80" s="16"/>
      <c r="CL80" s="16"/>
      <c r="CM80" s="16"/>
      <c r="CN80" s="16"/>
      <c r="CO80" s="16"/>
      <c r="CP80" s="16"/>
      <c r="CQ80" s="16"/>
      <c r="CR80" s="16"/>
      <c r="CS80" s="16"/>
      <c r="CT80" s="16"/>
      <c r="CU80" s="16"/>
      <c r="CV80" s="16"/>
      <c r="CW80" s="16"/>
      <c r="CX80" s="16"/>
      <c r="CY80" s="16"/>
      <c r="CZ80" s="16"/>
      <c r="DA80" s="16"/>
      <c r="DB80" s="16"/>
      <c r="DC80" s="16"/>
      <c r="DD80" s="16"/>
      <c r="DE80" s="17"/>
      <c r="DF80" s="17"/>
      <c r="DG80" s="16"/>
      <c r="DH80" s="16"/>
      <c r="DI80" s="17"/>
      <c r="DJ80" s="17"/>
      <c r="DK80" s="16"/>
      <c r="DL80" s="16"/>
      <c r="DM80" s="17"/>
      <c r="DN80" s="17"/>
      <c r="DO80" s="16"/>
      <c r="DP80" s="16"/>
      <c r="DQ80" s="17"/>
      <c r="DR80" s="17"/>
      <c r="DS80" s="16"/>
      <c r="DT80" s="16"/>
      <c r="DU80" s="17"/>
      <c r="DV80" s="17"/>
      <c r="DW80" s="16"/>
      <c r="DX80" s="16"/>
      <c r="DY80" s="17"/>
      <c r="DZ80" s="17"/>
      <c r="EA80" s="16"/>
      <c r="EB80" s="16"/>
      <c r="EC80" s="17"/>
      <c r="ED80" s="17"/>
      <c r="EE80" s="16"/>
      <c r="EF80" s="16"/>
      <c r="EG80" s="17"/>
      <c r="EH80" s="17"/>
      <c r="EI80" s="16"/>
      <c r="EJ80" s="16"/>
      <c r="EK80" s="17"/>
      <c r="EL80" s="17"/>
      <c r="EM80" s="16"/>
      <c r="EN80" s="16"/>
      <c r="EO80" s="17"/>
      <c r="EP80" s="17"/>
      <c r="EQ80" s="16"/>
      <c r="ER80" s="16"/>
      <c r="ES80" s="17"/>
      <c r="ET80" s="17"/>
      <c r="EU80" s="16"/>
      <c r="EV80" s="16"/>
      <c r="EW80" s="17"/>
      <c r="EX80" s="17"/>
      <c r="EY80" s="16"/>
      <c r="EZ80" s="16"/>
      <c r="FA80" s="17"/>
      <c r="FB80" s="17"/>
      <c r="FC80" s="16"/>
      <c r="FD80" s="16"/>
      <c r="FE80" s="17"/>
      <c r="FF80" s="17"/>
      <c r="FG80" s="11"/>
      <c r="GT80" s="11"/>
      <c r="IG80" s="11"/>
      <c r="JT80" s="11"/>
      <c r="LG80" s="11"/>
      <c r="MT80" s="11"/>
      <c r="OG80" s="11"/>
      <c r="PT80" s="11"/>
    </row>
    <row r="81" spans="1:436" ht="15.75" x14ac:dyDescent="0.25">
      <c r="C81" s="20" t="s">
        <v>137</v>
      </c>
      <c r="D81" s="21" t="s">
        <v>136</v>
      </c>
      <c r="H81" s="11"/>
      <c r="AU81" s="11"/>
      <c r="CH81" s="11"/>
      <c r="CI81" s="16"/>
      <c r="CJ81" s="16"/>
      <c r="CK81" s="16"/>
      <c r="CL81" s="16"/>
      <c r="CM81" s="16"/>
      <c r="CN81" s="16"/>
      <c r="CO81" s="16"/>
      <c r="CP81" s="16"/>
      <c r="CQ81" s="16"/>
      <c r="CR81" s="16"/>
      <c r="CS81" s="16"/>
      <c r="CT81" s="16"/>
      <c r="CU81" s="16"/>
      <c r="CV81" s="16"/>
      <c r="CW81" s="16"/>
      <c r="CX81" s="16"/>
      <c r="CY81" s="16"/>
      <c r="CZ81" s="16"/>
      <c r="DA81" s="16"/>
      <c r="DB81" s="16"/>
      <c r="DC81" s="16"/>
      <c r="DD81" s="16"/>
      <c r="DE81" s="17"/>
      <c r="DF81" s="17"/>
      <c r="DG81" s="16"/>
      <c r="DH81" s="16"/>
      <c r="DI81" s="17"/>
      <c r="DJ81" s="17"/>
      <c r="DK81" s="16"/>
      <c r="DL81" s="16"/>
      <c r="DM81" s="17"/>
      <c r="DN81" s="17"/>
      <c r="DO81" s="16"/>
      <c r="DP81" s="16"/>
      <c r="DQ81" s="17"/>
      <c r="DR81" s="17"/>
      <c r="DS81" s="16"/>
      <c r="DT81" s="16"/>
      <c r="DU81" s="17"/>
      <c r="DV81" s="17"/>
      <c r="DW81" s="16"/>
      <c r="DX81" s="16"/>
      <c r="DY81" s="17"/>
      <c r="DZ81" s="17"/>
      <c r="EA81" s="16"/>
      <c r="EB81" s="16"/>
      <c r="EC81" s="17"/>
      <c r="ED81" s="17"/>
      <c r="EE81" s="16"/>
      <c r="EF81" s="16"/>
      <c r="EG81" s="17"/>
      <c r="EH81" s="17"/>
      <c r="EI81" s="16"/>
      <c r="EJ81" s="16"/>
      <c r="EK81" s="17"/>
      <c r="EL81" s="17"/>
      <c r="EM81" s="16"/>
      <c r="EN81" s="16"/>
      <c r="EO81" s="17"/>
      <c r="EP81" s="17"/>
      <c r="EQ81" s="16"/>
      <c r="ER81" s="16"/>
      <c r="ES81" s="17"/>
      <c r="ET81" s="17"/>
      <c r="EU81" s="16"/>
      <c r="EV81" s="16"/>
      <c r="EW81" s="17"/>
      <c r="EX81" s="17"/>
      <c r="EY81" s="16"/>
      <c r="EZ81" s="16"/>
      <c r="FA81" s="17"/>
      <c r="FB81" s="17"/>
      <c r="FC81" s="16"/>
      <c r="FD81" s="16"/>
      <c r="FE81" s="17"/>
      <c r="FF81" s="17"/>
      <c r="FG81" s="11"/>
      <c r="GT81" s="11"/>
      <c r="IG81" s="11"/>
      <c r="JT81" s="11"/>
      <c r="LG81" s="11"/>
      <c r="MT81" s="11"/>
      <c r="OG81" s="11"/>
      <c r="PT81" s="11"/>
    </row>
    <row r="82" spans="1:436" ht="15.75" x14ac:dyDescent="0.25">
      <c r="C82" s="20" t="s">
        <v>138</v>
      </c>
      <c r="D82" s="21" t="s">
        <v>104</v>
      </c>
      <c r="H82" s="11"/>
      <c r="AU82" s="11"/>
      <c r="CH82" s="11"/>
      <c r="CI82" s="16"/>
      <c r="CJ82" s="16"/>
      <c r="CK82" s="16"/>
      <c r="CL82" s="16"/>
      <c r="CM82" s="16"/>
      <c r="CN82" s="16"/>
      <c r="CO82" s="16"/>
      <c r="CP82" s="16"/>
      <c r="CQ82" s="16"/>
      <c r="CR82" s="16"/>
      <c r="CS82" s="16"/>
      <c r="CT82" s="16"/>
      <c r="CU82" s="16"/>
      <c r="CV82" s="16"/>
      <c r="CW82" s="16"/>
      <c r="CX82" s="16"/>
      <c r="CY82" s="16"/>
      <c r="CZ82" s="16"/>
      <c r="DA82" s="16"/>
      <c r="DB82" s="16"/>
      <c r="DC82" s="16"/>
      <c r="DD82" s="16"/>
      <c r="DE82" s="17"/>
      <c r="DF82" s="17"/>
      <c r="DG82" s="16"/>
      <c r="DH82" s="16"/>
      <c r="DI82" s="17"/>
      <c r="DJ82" s="17"/>
      <c r="DK82" s="16"/>
      <c r="DL82" s="16"/>
      <c r="DM82" s="17"/>
      <c r="DN82" s="17"/>
      <c r="DO82" s="16"/>
      <c r="DP82" s="16"/>
      <c r="DQ82" s="17"/>
      <c r="DR82" s="17"/>
      <c r="DS82" s="16"/>
      <c r="DT82" s="16"/>
      <c r="DU82" s="17"/>
      <c r="DV82" s="17"/>
      <c r="DW82" s="16"/>
      <c r="DX82" s="16"/>
      <c r="DY82" s="17"/>
      <c r="DZ82" s="17"/>
      <c r="EA82" s="16"/>
      <c r="EB82" s="16"/>
      <c r="EC82" s="17"/>
      <c r="ED82" s="17"/>
      <c r="EE82" s="16"/>
      <c r="EF82" s="16"/>
      <c r="EG82" s="17"/>
      <c r="EH82" s="17"/>
      <c r="EI82" s="16"/>
      <c r="EJ82" s="16"/>
      <c r="EK82" s="17"/>
      <c r="EL82" s="17"/>
      <c r="EM82" s="16"/>
      <c r="EN82" s="16"/>
      <c r="EO82" s="17"/>
      <c r="EP82" s="17"/>
      <c r="EQ82" s="16"/>
      <c r="ER82" s="16"/>
      <c r="ES82" s="17"/>
      <c r="ET82" s="17"/>
      <c r="EU82" s="16"/>
      <c r="EV82" s="16"/>
      <c r="EW82" s="17"/>
      <c r="EX82" s="17"/>
      <c r="EY82" s="16"/>
      <c r="EZ82" s="16"/>
      <c r="FA82" s="17"/>
      <c r="FB82" s="17"/>
      <c r="FC82" s="16"/>
      <c r="FD82" s="16"/>
      <c r="FE82" s="17"/>
      <c r="FF82" s="17"/>
      <c r="FG82" s="11"/>
      <c r="GT82" s="11"/>
      <c r="IG82" s="11"/>
      <c r="JT82" s="11"/>
      <c r="LG82" s="11"/>
      <c r="MT82" s="11"/>
      <c r="OG82" s="11"/>
      <c r="PT82" s="11"/>
    </row>
    <row r="83" spans="1:436" ht="15.75" x14ac:dyDescent="0.25">
      <c r="C83" s="20" t="s">
        <v>139</v>
      </c>
      <c r="D83" s="21" t="s">
        <v>79</v>
      </c>
      <c r="H83" s="11"/>
      <c r="AU83" s="11"/>
      <c r="CH83" s="11"/>
      <c r="CI83" s="16"/>
      <c r="CJ83" s="16"/>
      <c r="CK83" s="16"/>
      <c r="CL83" s="16"/>
      <c r="CM83" s="16"/>
      <c r="CN83" s="16"/>
      <c r="CO83" s="16"/>
      <c r="CP83" s="16"/>
      <c r="CQ83" s="16"/>
      <c r="CR83" s="16"/>
      <c r="CS83" s="16"/>
      <c r="CT83" s="16"/>
      <c r="CU83" s="16"/>
      <c r="CV83" s="16"/>
      <c r="CW83" s="16"/>
      <c r="CX83" s="16"/>
      <c r="CY83" s="16"/>
      <c r="CZ83" s="16"/>
      <c r="DA83" s="16"/>
      <c r="DB83" s="16"/>
      <c r="DC83" s="16"/>
      <c r="DD83" s="16"/>
      <c r="DE83" s="17"/>
      <c r="DF83" s="17"/>
      <c r="DG83" s="16"/>
      <c r="DH83" s="16"/>
      <c r="DI83" s="17"/>
      <c r="DJ83" s="17"/>
      <c r="DK83" s="16"/>
      <c r="DL83" s="16"/>
      <c r="DM83" s="17"/>
      <c r="DN83" s="17"/>
      <c r="DO83" s="16"/>
      <c r="DP83" s="16"/>
      <c r="DQ83" s="17"/>
      <c r="DR83" s="17"/>
      <c r="DS83" s="16"/>
      <c r="DT83" s="16"/>
      <c r="DU83" s="17"/>
      <c r="DV83" s="17"/>
      <c r="DW83" s="16"/>
      <c r="DX83" s="16"/>
      <c r="DY83" s="17"/>
      <c r="DZ83" s="17"/>
      <c r="EA83" s="16"/>
      <c r="EB83" s="16"/>
      <c r="EC83" s="17"/>
      <c r="ED83" s="17"/>
      <c r="EE83" s="16"/>
      <c r="EF83" s="16"/>
      <c r="EG83" s="17"/>
      <c r="EH83" s="17"/>
      <c r="EI83" s="16"/>
      <c r="EJ83" s="16"/>
      <c r="EK83" s="17"/>
      <c r="EL83" s="17"/>
      <c r="EM83" s="16"/>
      <c r="EN83" s="16"/>
      <c r="EO83" s="17"/>
      <c r="EP83" s="17"/>
      <c r="EQ83" s="16"/>
      <c r="ER83" s="16"/>
      <c r="ES83" s="17"/>
      <c r="ET83" s="17"/>
      <c r="EU83" s="16"/>
      <c r="EV83" s="16"/>
      <c r="EW83" s="17"/>
      <c r="EX83" s="17"/>
      <c r="EY83" s="16"/>
      <c r="EZ83" s="16"/>
      <c r="FA83" s="17"/>
      <c r="FB83" s="17"/>
      <c r="FC83" s="16"/>
      <c r="FD83" s="16"/>
      <c r="FE83" s="17"/>
      <c r="FF83" s="17"/>
      <c r="FG83" s="11"/>
      <c r="GT83" s="11"/>
      <c r="IG83" s="11"/>
      <c r="JT83" s="11"/>
      <c r="LG83" s="11"/>
      <c r="MT83" s="11"/>
      <c r="OG83" s="11"/>
      <c r="PT83" s="11"/>
    </row>
    <row r="84" spans="1:436" ht="15.75" x14ac:dyDescent="0.25">
      <c r="C84" s="20" t="s">
        <v>140</v>
      </c>
      <c r="D84" s="21" t="s">
        <v>84</v>
      </c>
      <c r="H84" s="11"/>
      <c r="AU84" s="11"/>
      <c r="CH84" s="11"/>
      <c r="CI84" s="16"/>
      <c r="CJ84" s="16"/>
      <c r="CK84" s="16"/>
      <c r="CL84" s="16"/>
      <c r="CM84" s="16"/>
      <c r="CN84" s="16"/>
      <c r="CO84" s="16"/>
      <c r="CP84" s="16"/>
      <c r="CQ84" s="16"/>
      <c r="CR84" s="16"/>
      <c r="CS84" s="16"/>
      <c r="CT84" s="16"/>
      <c r="CU84" s="16"/>
      <c r="CV84" s="16"/>
      <c r="CW84" s="16"/>
      <c r="CX84" s="16"/>
      <c r="CY84" s="16"/>
      <c r="CZ84" s="16"/>
      <c r="DA84" s="16"/>
      <c r="DB84" s="16"/>
      <c r="DC84" s="16"/>
      <c r="DD84" s="16"/>
      <c r="DE84" s="17"/>
      <c r="DF84" s="17"/>
      <c r="DG84" s="16"/>
      <c r="DH84" s="16"/>
      <c r="DI84" s="17"/>
      <c r="DJ84" s="17"/>
      <c r="DK84" s="16"/>
      <c r="DL84" s="16"/>
      <c r="DM84" s="17"/>
      <c r="DN84" s="17"/>
      <c r="DO84" s="16"/>
      <c r="DP84" s="16"/>
      <c r="DQ84" s="17"/>
      <c r="DR84" s="17"/>
      <c r="DS84" s="16"/>
      <c r="DT84" s="16"/>
      <c r="DU84" s="17"/>
      <c r="DV84" s="17"/>
      <c r="DW84" s="16"/>
      <c r="DX84" s="16"/>
      <c r="DY84" s="17"/>
      <c r="DZ84" s="17"/>
      <c r="EA84" s="16"/>
      <c r="EB84" s="16"/>
      <c r="EC84" s="17"/>
      <c r="ED84" s="17"/>
      <c r="EE84" s="16"/>
      <c r="EF84" s="16"/>
      <c r="EG84" s="17"/>
      <c r="EH84" s="17"/>
      <c r="EI84" s="16"/>
      <c r="EJ84" s="16"/>
      <c r="EK84" s="17"/>
      <c r="EL84" s="17"/>
      <c r="EM84" s="16"/>
      <c r="EN84" s="16"/>
      <c r="EO84" s="17"/>
      <c r="EP84" s="17"/>
      <c r="EQ84" s="16"/>
      <c r="ER84" s="16"/>
      <c r="ES84" s="17"/>
      <c r="ET84" s="17"/>
      <c r="EU84" s="16"/>
      <c r="EV84" s="16"/>
      <c r="EW84" s="17"/>
      <c r="EX84" s="17"/>
      <c r="EY84" s="16"/>
      <c r="EZ84" s="16"/>
      <c r="FA84" s="17"/>
      <c r="FB84" s="17"/>
      <c r="FC84" s="16"/>
      <c r="FD84" s="16"/>
      <c r="FE84" s="17"/>
      <c r="FF84" s="17"/>
      <c r="FG84" s="11"/>
      <c r="GT84" s="11"/>
      <c r="IG84" s="11"/>
      <c r="JT84" s="11"/>
      <c r="LG84" s="11"/>
      <c r="MT84" s="11"/>
      <c r="OG84" s="11"/>
      <c r="PT84" s="11"/>
    </row>
    <row r="85" spans="1:436" ht="15.75" x14ac:dyDescent="0.25">
      <c r="C85" s="20" t="s">
        <v>143</v>
      </c>
      <c r="D85" s="21" t="s">
        <v>142</v>
      </c>
      <c r="H85" s="11"/>
      <c r="AU85" s="11"/>
      <c r="CH85" s="11"/>
      <c r="CI85" s="16"/>
      <c r="CJ85" s="16"/>
      <c r="CK85" s="16"/>
      <c r="CL85" s="16"/>
      <c r="CM85" s="16"/>
      <c r="CN85" s="16"/>
      <c r="CO85" s="16"/>
      <c r="CP85" s="16"/>
      <c r="CQ85" s="16"/>
      <c r="CR85" s="16"/>
      <c r="CS85" s="16"/>
      <c r="CT85" s="16"/>
      <c r="CU85" s="16"/>
      <c r="CV85" s="16"/>
      <c r="CW85" s="16"/>
      <c r="CX85" s="16"/>
      <c r="CY85" s="16"/>
      <c r="CZ85" s="16"/>
      <c r="DA85" s="16"/>
      <c r="DB85" s="16"/>
      <c r="DC85" s="16"/>
      <c r="DD85" s="16"/>
      <c r="DE85" s="17"/>
      <c r="DF85" s="17"/>
      <c r="DG85" s="16"/>
      <c r="DH85" s="16"/>
      <c r="DI85" s="17"/>
      <c r="DJ85" s="17"/>
      <c r="DK85" s="16"/>
      <c r="DL85" s="16"/>
      <c r="DM85" s="17"/>
      <c r="DN85" s="17"/>
      <c r="DO85" s="16"/>
      <c r="DP85" s="16"/>
      <c r="DQ85" s="17"/>
      <c r="DR85" s="17"/>
      <c r="DS85" s="16"/>
      <c r="DT85" s="16"/>
      <c r="DU85" s="17"/>
      <c r="DV85" s="17"/>
      <c r="DW85" s="16"/>
      <c r="DX85" s="16"/>
      <c r="DY85" s="17"/>
      <c r="DZ85" s="17"/>
      <c r="EA85" s="16"/>
      <c r="EB85" s="16"/>
      <c r="EC85" s="17"/>
      <c r="ED85" s="17"/>
      <c r="EE85" s="16"/>
      <c r="EF85" s="16"/>
      <c r="EG85" s="17"/>
      <c r="EH85" s="17"/>
      <c r="EI85" s="16"/>
      <c r="EJ85" s="16"/>
      <c r="EK85" s="17"/>
      <c r="EL85" s="17"/>
      <c r="EM85" s="16"/>
      <c r="EN85" s="16"/>
      <c r="EO85" s="17"/>
      <c r="EP85" s="17"/>
      <c r="EQ85" s="16"/>
      <c r="ER85" s="16"/>
      <c r="ES85" s="17"/>
      <c r="ET85" s="17"/>
      <c r="EU85" s="16"/>
      <c r="EV85" s="16"/>
      <c r="EW85" s="17"/>
      <c r="EX85" s="17"/>
      <c r="EY85" s="16"/>
      <c r="EZ85" s="16"/>
      <c r="FA85" s="17"/>
      <c r="FB85" s="17"/>
      <c r="FC85" s="16"/>
      <c r="FD85" s="16"/>
      <c r="FE85" s="17"/>
      <c r="FF85" s="17"/>
      <c r="FG85" s="11"/>
      <c r="GT85" s="11"/>
      <c r="IG85" s="11"/>
      <c r="JT85" s="11"/>
      <c r="LG85" s="11"/>
      <c r="MT85" s="11"/>
      <c r="OG85" s="11"/>
      <c r="PT85" s="11"/>
    </row>
    <row r="86" spans="1:436" ht="15.75" x14ac:dyDescent="0.25">
      <c r="C86" s="20" t="s">
        <v>147</v>
      </c>
      <c r="D86" s="21" t="s">
        <v>90</v>
      </c>
      <c r="H86" s="11"/>
      <c r="AU86" s="11"/>
      <c r="CH86" s="11"/>
      <c r="CI86" s="16"/>
      <c r="CJ86" s="16"/>
      <c r="CK86" s="16"/>
      <c r="CL86" s="16"/>
      <c r="CM86" s="16"/>
      <c r="CN86" s="16"/>
      <c r="CO86" s="16"/>
      <c r="CP86" s="16"/>
      <c r="CQ86" s="16"/>
      <c r="CR86" s="16"/>
      <c r="CS86" s="16"/>
      <c r="CT86" s="16"/>
      <c r="CU86" s="16"/>
      <c r="CV86" s="16"/>
      <c r="CW86" s="16"/>
      <c r="CX86" s="16"/>
      <c r="CY86" s="16"/>
      <c r="CZ86" s="16"/>
      <c r="DA86" s="16"/>
      <c r="DB86" s="16"/>
      <c r="DC86" s="16"/>
      <c r="DD86" s="16"/>
      <c r="DE86" s="17"/>
      <c r="DF86" s="17"/>
      <c r="DG86" s="16"/>
      <c r="DH86" s="16"/>
      <c r="DI86" s="17"/>
      <c r="DJ86" s="17"/>
      <c r="DK86" s="16"/>
      <c r="DL86" s="16"/>
      <c r="DM86" s="17"/>
      <c r="DN86" s="17"/>
      <c r="DO86" s="16"/>
      <c r="DP86" s="16"/>
      <c r="DQ86" s="17"/>
      <c r="DR86" s="17"/>
      <c r="DS86" s="16"/>
      <c r="DT86" s="16"/>
      <c r="DU86" s="17"/>
      <c r="DV86" s="17"/>
      <c r="DW86" s="16"/>
      <c r="DX86" s="16"/>
      <c r="DY86" s="17"/>
      <c r="DZ86" s="17"/>
      <c r="EA86" s="16"/>
      <c r="EB86" s="16"/>
      <c r="EC86" s="17"/>
      <c r="ED86" s="17"/>
      <c r="EE86" s="16"/>
      <c r="EF86" s="16"/>
      <c r="EG86" s="17"/>
      <c r="EH86" s="17"/>
      <c r="EI86" s="16"/>
      <c r="EJ86" s="16"/>
      <c r="EK86" s="17"/>
      <c r="EL86" s="17"/>
      <c r="EM86" s="16"/>
      <c r="EN86" s="16"/>
      <c r="EO86" s="17"/>
      <c r="EP86" s="17"/>
      <c r="EQ86" s="16"/>
      <c r="ER86" s="16"/>
      <c r="ES86" s="17"/>
      <c r="ET86" s="17"/>
      <c r="EU86" s="16"/>
      <c r="EV86" s="16"/>
      <c r="EW86" s="17"/>
      <c r="EX86" s="17"/>
      <c r="EY86" s="16"/>
      <c r="EZ86" s="16"/>
      <c r="FA86" s="17"/>
      <c r="FB86" s="17"/>
      <c r="FC86" s="16"/>
      <c r="FD86" s="16"/>
      <c r="FE86" s="17"/>
      <c r="FF86" s="17"/>
      <c r="FG86" s="11"/>
      <c r="GT86" s="11"/>
      <c r="IG86" s="11"/>
      <c r="JT86" s="11"/>
      <c r="LG86" s="11"/>
      <c r="MT86" s="11"/>
      <c r="OG86" s="11"/>
      <c r="PT86" s="11"/>
    </row>
    <row r="87" spans="1:436" ht="15.75" x14ac:dyDescent="0.25">
      <c r="C87" s="20" t="s">
        <v>148</v>
      </c>
      <c r="D87" s="21" t="s">
        <v>136</v>
      </c>
      <c r="H87" s="11"/>
      <c r="AU87" s="11"/>
      <c r="CH87" s="11"/>
      <c r="CI87" s="16"/>
      <c r="CJ87" s="16"/>
      <c r="CK87" s="16"/>
      <c r="CL87" s="16"/>
      <c r="CM87" s="16"/>
      <c r="CN87" s="16"/>
      <c r="CO87" s="16"/>
      <c r="CP87" s="16"/>
      <c r="CQ87" s="16"/>
      <c r="CR87" s="16"/>
      <c r="CS87" s="16"/>
      <c r="CT87" s="16"/>
      <c r="CU87" s="16"/>
      <c r="CV87" s="16"/>
      <c r="CW87" s="16"/>
      <c r="CX87" s="16"/>
      <c r="CY87" s="16"/>
      <c r="CZ87" s="16"/>
      <c r="DA87" s="16"/>
      <c r="DB87" s="16"/>
      <c r="DC87" s="16"/>
      <c r="DD87" s="16"/>
      <c r="DE87" s="17"/>
      <c r="DF87" s="17"/>
      <c r="DG87" s="16"/>
      <c r="DH87" s="16"/>
      <c r="DI87" s="17"/>
      <c r="DJ87" s="17"/>
      <c r="DK87" s="16"/>
      <c r="DL87" s="16"/>
      <c r="DM87" s="17"/>
      <c r="DN87" s="17"/>
      <c r="DO87" s="16"/>
      <c r="DP87" s="16"/>
      <c r="DQ87" s="17"/>
      <c r="DR87" s="17"/>
      <c r="DS87" s="16"/>
      <c r="DT87" s="16"/>
      <c r="DU87" s="17"/>
      <c r="DV87" s="17"/>
      <c r="DW87" s="16"/>
      <c r="DX87" s="16"/>
      <c r="DY87" s="17"/>
      <c r="DZ87" s="17"/>
      <c r="EA87" s="16"/>
      <c r="EB87" s="16"/>
      <c r="EC87" s="18">
        <v>32</v>
      </c>
      <c r="ED87" s="18">
        <v>32</v>
      </c>
      <c r="EE87" s="16"/>
      <c r="EF87" s="16"/>
      <c r="EG87" s="17"/>
      <c r="EH87" s="17"/>
      <c r="EI87" s="16"/>
      <c r="EJ87" s="16"/>
      <c r="EK87" s="17"/>
      <c r="EL87" s="17"/>
      <c r="EM87" s="16"/>
      <c r="EN87" s="16"/>
      <c r="EO87" s="17"/>
      <c r="EP87" s="17"/>
      <c r="EQ87" s="16"/>
      <c r="ER87" s="16"/>
      <c r="ES87" s="17"/>
      <c r="ET87" s="17"/>
      <c r="EU87" s="16"/>
      <c r="EV87" s="16"/>
      <c r="EW87" s="17"/>
      <c r="EX87" s="17"/>
      <c r="EY87" s="16"/>
      <c r="EZ87" s="16"/>
      <c r="FA87" s="17"/>
      <c r="FB87" s="17"/>
      <c r="FC87" s="16"/>
      <c r="FD87" s="16"/>
      <c r="FE87" s="17"/>
      <c r="FF87" s="17"/>
      <c r="FG87" s="11"/>
      <c r="GT87" s="11"/>
      <c r="IG87" s="11"/>
      <c r="JT87" s="11"/>
      <c r="LG87" s="11"/>
      <c r="MT87" s="11"/>
      <c r="OG87" s="11"/>
      <c r="PT87" s="11"/>
    </row>
    <row r="88" spans="1:436" ht="15.75" x14ac:dyDescent="0.25">
      <c r="A88" s="13"/>
      <c r="B88" s="14" t="s">
        <v>149</v>
      </c>
      <c r="C88" s="13"/>
      <c r="D88" s="13"/>
      <c r="E88" s="15" t="s">
        <v>76</v>
      </c>
      <c r="F88" s="15" t="s">
        <v>77</v>
      </c>
      <c r="G88" s="13"/>
      <c r="H88" s="11"/>
      <c r="AU88" s="11"/>
      <c r="CH88" s="11"/>
      <c r="CI88" s="16"/>
      <c r="CJ88" s="16"/>
      <c r="CK88" s="16"/>
      <c r="CL88" s="16"/>
      <c r="CM88" s="16"/>
      <c r="CN88" s="16"/>
      <c r="CO88" s="16"/>
      <c r="CP88" s="16"/>
      <c r="CQ88" s="16"/>
      <c r="CR88" s="16"/>
      <c r="CS88" s="16"/>
      <c r="CT88" s="16"/>
      <c r="CU88" s="16"/>
      <c r="CV88" s="16"/>
      <c r="CW88" s="16"/>
      <c r="CX88" s="16"/>
      <c r="CY88" s="16"/>
      <c r="CZ88" s="16"/>
      <c r="DA88" s="16"/>
      <c r="DB88" s="16"/>
      <c r="DC88" s="16"/>
      <c r="DD88" s="16"/>
      <c r="DE88" s="17"/>
      <c r="DF88" s="17"/>
      <c r="DG88" s="16"/>
      <c r="DH88" s="16"/>
      <c r="DI88" s="17"/>
      <c r="DJ88" s="17"/>
      <c r="DK88" s="16"/>
      <c r="DL88" s="16"/>
      <c r="DM88" s="17"/>
      <c r="DN88" s="17"/>
      <c r="DO88" s="16"/>
      <c r="DP88" s="16"/>
      <c r="DQ88" s="17"/>
      <c r="DR88" s="17"/>
      <c r="DS88" s="16"/>
      <c r="DT88" s="16"/>
      <c r="DU88" s="17"/>
      <c r="DV88" s="17"/>
      <c r="DW88" s="16"/>
      <c r="DX88" s="16"/>
      <c r="DY88" s="17"/>
      <c r="DZ88" s="17"/>
      <c r="EA88" s="16"/>
      <c r="EB88" s="16"/>
      <c r="EC88" s="17"/>
      <c r="ED88" s="17"/>
      <c r="EE88" s="16"/>
      <c r="EF88" s="16"/>
      <c r="EG88" s="17"/>
      <c r="EH88" s="17"/>
      <c r="EI88" s="16"/>
      <c r="EJ88" s="16"/>
      <c r="EK88" s="17"/>
      <c r="EL88" s="17"/>
      <c r="EM88" s="16"/>
      <c r="EN88" s="16"/>
      <c r="EO88" s="17"/>
      <c r="EP88" s="17"/>
      <c r="EQ88" s="16"/>
      <c r="ER88" s="16"/>
      <c r="ES88" s="17"/>
      <c r="ET88" s="17"/>
      <c r="EU88" s="16"/>
      <c r="EV88" s="16"/>
      <c r="EW88" s="17"/>
      <c r="EX88" s="17"/>
      <c r="EY88" s="16"/>
      <c r="EZ88" s="16"/>
      <c r="FA88" s="17"/>
      <c r="FB88" s="17"/>
      <c r="FC88" s="16"/>
      <c r="FD88" s="16"/>
      <c r="FE88" s="17"/>
      <c r="FF88" s="17"/>
      <c r="FG88" s="11"/>
      <c r="GT88" s="11"/>
      <c r="IG88" s="11"/>
      <c r="JT88" s="11"/>
      <c r="LG88" s="11"/>
      <c r="MT88" s="11"/>
      <c r="OG88" s="11"/>
      <c r="PT88" s="11"/>
    </row>
    <row r="89" spans="1:436" ht="15.75" x14ac:dyDescent="0.25">
      <c r="C89" s="20" t="s">
        <v>150</v>
      </c>
      <c r="D89" s="21" t="s">
        <v>79</v>
      </c>
      <c r="H89" s="11"/>
      <c r="AU89" s="11"/>
      <c r="CH89" s="11"/>
      <c r="CI89" s="16"/>
      <c r="CJ89" s="16"/>
      <c r="CK89" s="16"/>
      <c r="CL89" s="16"/>
      <c r="CM89" s="16"/>
      <c r="CN89" s="16"/>
      <c r="CO89" s="16"/>
      <c r="CP89" s="16"/>
      <c r="CQ89" s="16"/>
      <c r="CR89" s="16"/>
      <c r="CS89" s="16"/>
      <c r="CT89" s="16"/>
      <c r="CU89" s="16"/>
      <c r="CV89" s="16"/>
      <c r="CW89" s="16"/>
      <c r="CX89" s="16"/>
      <c r="CY89" s="16"/>
      <c r="CZ89" s="16"/>
      <c r="DA89" s="16"/>
      <c r="DB89" s="16"/>
      <c r="DC89" s="16"/>
      <c r="DD89" s="16"/>
      <c r="DE89" s="17"/>
      <c r="DF89" s="17"/>
      <c r="DG89" s="16"/>
      <c r="DH89" s="16"/>
      <c r="DI89" s="18">
        <v>2</v>
      </c>
      <c r="DJ89" s="18">
        <v>5</v>
      </c>
      <c r="DK89" s="16"/>
      <c r="DL89" s="16"/>
      <c r="DM89" s="17"/>
      <c r="DN89" s="17"/>
      <c r="DO89" s="16"/>
      <c r="DP89" s="16"/>
      <c r="DQ89" s="17"/>
      <c r="DR89" s="17"/>
      <c r="DS89" s="16"/>
      <c r="DT89" s="16"/>
      <c r="DU89" s="17"/>
      <c r="DV89" s="17"/>
      <c r="DW89" s="16"/>
      <c r="DX89" s="16"/>
      <c r="DY89" s="17"/>
      <c r="DZ89" s="17"/>
      <c r="EA89" s="16"/>
      <c r="EB89" s="16"/>
      <c r="EC89" s="17"/>
      <c r="ED89" s="17"/>
      <c r="EE89" s="16"/>
      <c r="EF89" s="16"/>
      <c r="EG89" s="17"/>
      <c r="EH89" s="17"/>
      <c r="EI89" s="16"/>
      <c r="EJ89" s="16"/>
      <c r="EK89" s="17"/>
      <c r="EL89" s="17"/>
      <c r="EM89" s="16"/>
      <c r="EN89" s="16"/>
      <c r="EO89" s="17"/>
      <c r="EP89" s="17"/>
      <c r="EQ89" s="16"/>
      <c r="ER89" s="16"/>
      <c r="ES89" s="17"/>
      <c r="ET89" s="17"/>
      <c r="EU89" s="16"/>
      <c r="EV89" s="16"/>
      <c r="EW89" s="17"/>
      <c r="EX89" s="17"/>
      <c r="EY89" s="16"/>
      <c r="EZ89" s="16"/>
      <c r="FA89" s="17"/>
      <c r="FB89" s="17"/>
      <c r="FC89" s="16"/>
      <c r="FD89" s="16"/>
      <c r="FE89" s="17"/>
      <c r="FF89" s="17"/>
      <c r="FG89" s="11"/>
      <c r="GT89" s="11"/>
      <c r="IG89" s="11"/>
      <c r="JT89" s="11"/>
      <c r="LG89" s="11"/>
      <c r="MT89" s="11"/>
      <c r="OG89" s="11"/>
      <c r="PT89" s="11"/>
    </row>
    <row r="90" spans="1:436" ht="15.75" x14ac:dyDescent="0.25">
      <c r="C90" s="20" t="s">
        <v>151</v>
      </c>
      <c r="D90" s="21" t="s">
        <v>104</v>
      </c>
      <c r="H90" s="11"/>
      <c r="AU90" s="11"/>
      <c r="CH90" s="11"/>
      <c r="CI90" s="16"/>
      <c r="CJ90" s="16"/>
      <c r="CK90" s="16"/>
      <c r="CL90" s="16"/>
      <c r="CM90" s="16"/>
      <c r="CN90" s="16"/>
      <c r="CO90" s="16"/>
      <c r="CP90" s="16"/>
      <c r="CQ90" s="16"/>
      <c r="CR90" s="16"/>
      <c r="CS90" s="16"/>
      <c r="CT90" s="16"/>
      <c r="CU90" s="16"/>
      <c r="CV90" s="16"/>
      <c r="CW90" s="16"/>
      <c r="CX90" s="16"/>
      <c r="CY90" s="16"/>
      <c r="CZ90" s="16"/>
      <c r="DA90" s="16"/>
      <c r="DB90" s="16"/>
      <c r="DC90" s="16"/>
      <c r="DD90" s="16"/>
      <c r="DE90" s="17"/>
      <c r="DF90" s="17"/>
      <c r="DG90" s="16"/>
      <c r="DH90" s="16"/>
      <c r="DI90" s="17"/>
      <c r="DJ90" s="17"/>
      <c r="DK90" s="16"/>
      <c r="DL90" s="16"/>
      <c r="DM90" s="17"/>
      <c r="DN90" s="17"/>
      <c r="DO90" s="16"/>
      <c r="DP90" s="16"/>
      <c r="DQ90" s="17"/>
      <c r="DR90" s="17"/>
      <c r="DS90" s="16"/>
      <c r="DT90" s="16"/>
      <c r="DU90" s="17"/>
      <c r="DV90" s="17"/>
      <c r="DW90" s="16"/>
      <c r="DX90" s="16"/>
      <c r="DY90" s="17"/>
      <c r="DZ90" s="17"/>
      <c r="EA90" s="16"/>
      <c r="EB90" s="16"/>
      <c r="EC90" s="17"/>
      <c r="ED90" s="17"/>
      <c r="EE90" s="16"/>
      <c r="EF90" s="16"/>
      <c r="EG90" s="17"/>
      <c r="EH90" s="17"/>
      <c r="EI90" s="16"/>
      <c r="EJ90" s="16"/>
      <c r="EK90" s="17"/>
      <c r="EL90" s="17"/>
      <c r="EM90" s="16"/>
      <c r="EN90" s="16"/>
      <c r="EO90" s="17"/>
      <c r="EP90" s="17"/>
      <c r="EQ90" s="16"/>
      <c r="ER90" s="16"/>
      <c r="ES90" s="17"/>
      <c r="ET90" s="17"/>
      <c r="EU90" s="16"/>
      <c r="EV90" s="16"/>
      <c r="EW90" s="17"/>
      <c r="EX90" s="17"/>
      <c r="EY90" s="16"/>
      <c r="EZ90" s="16"/>
      <c r="FA90" s="17"/>
      <c r="FB90" s="17"/>
      <c r="FC90" s="19">
        <v>5</v>
      </c>
      <c r="FD90" s="19">
        <v>5</v>
      </c>
      <c r="FE90" s="17"/>
      <c r="FF90" s="17"/>
      <c r="FG90" s="11"/>
      <c r="GT90" s="11"/>
      <c r="IG90" s="11"/>
      <c r="JT90" s="11"/>
      <c r="LG90" s="11"/>
      <c r="MT90" s="11"/>
      <c r="OG90" s="11"/>
      <c r="PT90" s="11"/>
    </row>
    <row r="91" spans="1:436" ht="15.75" x14ac:dyDescent="0.25">
      <c r="C91" s="20" t="s">
        <v>152</v>
      </c>
      <c r="D91" s="21" t="s">
        <v>104</v>
      </c>
      <c r="H91" s="11"/>
      <c r="AU91" s="11"/>
      <c r="CH91" s="11"/>
      <c r="CI91" s="16"/>
      <c r="CJ91" s="16"/>
      <c r="CK91" s="16"/>
      <c r="CL91" s="16"/>
      <c r="CM91" s="16"/>
      <c r="CN91" s="16"/>
      <c r="CO91" s="16"/>
      <c r="CP91" s="16"/>
      <c r="CQ91" s="16"/>
      <c r="CR91" s="16"/>
      <c r="CS91" s="16"/>
      <c r="CT91" s="16"/>
      <c r="CU91" s="16"/>
      <c r="CV91" s="16"/>
      <c r="CW91" s="16"/>
      <c r="CX91" s="16"/>
      <c r="CY91" s="16"/>
      <c r="CZ91" s="16"/>
      <c r="DA91" s="16"/>
      <c r="DB91" s="16"/>
      <c r="DC91" s="16"/>
      <c r="DD91" s="16"/>
      <c r="DE91" s="17"/>
      <c r="DF91" s="17"/>
      <c r="DG91" s="16"/>
      <c r="DH91" s="16"/>
      <c r="DI91" s="17"/>
      <c r="DJ91" s="17"/>
      <c r="DK91" s="16"/>
      <c r="DL91" s="16"/>
      <c r="DM91" s="17"/>
      <c r="DN91" s="17"/>
      <c r="DO91" s="16"/>
      <c r="DP91" s="16"/>
      <c r="DQ91" s="17"/>
      <c r="DR91" s="17"/>
      <c r="DS91" s="16"/>
      <c r="DT91" s="16"/>
      <c r="DU91" s="17"/>
      <c r="DV91" s="17"/>
      <c r="DW91" s="16"/>
      <c r="DX91" s="16"/>
      <c r="DY91" s="17"/>
      <c r="DZ91" s="17"/>
      <c r="EA91" s="16"/>
      <c r="EB91" s="16"/>
      <c r="EC91" s="17"/>
      <c r="ED91" s="17"/>
      <c r="EE91" s="16"/>
      <c r="EF91" s="16"/>
      <c r="EG91" s="17"/>
      <c r="EH91" s="17"/>
      <c r="EI91" s="16"/>
      <c r="EJ91" s="16"/>
      <c r="EK91" s="17"/>
      <c r="EL91" s="17"/>
      <c r="EM91" s="16"/>
      <c r="EN91" s="16"/>
      <c r="EO91" s="17"/>
      <c r="EP91" s="17"/>
      <c r="EQ91" s="16"/>
      <c r="ER91" s="16"/>
      <c r="ES91" s="17"/>
      <c r="ET91" s="17"/>
      <c r="EU91" s="16"/>
      <c r="EV91" s="16"/>
      <c r="EW91" s="17"/>
      <c r="EX91" s="17"/>
      <c r="EY91" s="16"/>
      <c r="EZ91" s="16"/>
      <c r="FA91" s="17"/>
      <c r="FB91" s="17"/>
      <c r="FC91" s="19">
        <v>3</v>
      </c>
      <c r="FD91" s="19">
        <v>5</v>
      </c>
      <c r="FE91" s="17"/>
      <c r="FF91" s="17"/>
      <c r="FG91" s="11"/>
      <c r="GT91" s="11"/>
      <c r="IG91" s="11"/>
      <c r="JT91" s="11"/>
      <c r="LG91" s="11"/>
      <c r="MT91" s="11"/>
      <c r="OG91" s="11"/>
      <c r="PT91" s="11"/>
    </row>
    <row r="92" spans="1:436" ht="15.75" x14ac:dyDescent="0.25">
      <c r="C92" s="20" t="s">
        <v>153</v>
      </c>
      <c r="D92" s="21" t="s">
        <v>79</v>
      </c>
      <c r="H92" s="11"/>
      <c r="AU92" s="11"/>
      <c r="CH92" s="11"/>
      <c r="CI92" s="16"/>
      <c r="CJ92" s="16"/>
      <c r="CK92" s="16"/>
      <c r="CL92" s="16"/>
      <c r="CM92" s="16"/>
      <c r="CN92" s="16"/>
      <c r="CO92" s="16"/>
      <c r="CP92" s="16"/>
      <c r="CQ92" s="16"/>
      <c r="CR92" s="16"/>
      <c r="CS92" s="16"/>
      <c r="CT92" s="16"/>
      <c r="CU92" s="16"/>
      <c r="CV92" s="16"/>
      <c r="CW92" s="16"/>
      <c r="CX92" s="16"/>
      <c r="CY92" s="16"/>
      <c r="CZ92" s="16"/>
      <c r="DA92" s="16"/>
      <c r="DB92" s="16"/>
      <c r="DC92" s="16"/>
      <c r="DD92" s="16"/>
      <c r="DE92" s="17"/>
      <c r="DF92" s="17"/>
      <c r="DG92" s="16"/>
      <c r="DH92" s="16"/>
      <c r="DI92" s="18">
        <v>3</v>
      </c>
      <c r="DJ92" s="18">
        <v>5</v>
      </c>
      <c r="DK92" s="16"/>
      <c r="DL92" s="16"/>
      <c r="DM92" s="17"/>
      <c r="DN92" s="17"/>
      <c r="DO92" s="16"/>
      <c r="DP92" s="16"/>
      <c r="DQ92" s="17"/>
      <c r="DR92" s="17"/>
      <c r="DS92" s="16"/>
      <c r="DT92" s="16"/>
      <c r="DU92" s="17"/>
      <c r="DV92" s="17"/>
      <c r="DW92" s="16"/>
      <c r="DX92" s="16"/>
      <c r="DY92" s="17"/>
      <c r="DZ92" s="17"/>
      <c r="EA92" s="16"/>
      <c r="EB92" s="16"/>
      <c r="EC92" s="17"/>
      <c r="ED92" s="17"/>
      <c r="EE92" s="16"/>
      <c r="EF92" s="16"/>
      <c r="EG92" s="17"/>
      <c r="EH92" s="17"/>
      <c r="EI92" s="16"/>
      <c r="EJ92" s="16"/>
      <c r="EK92" s="17"/>
      <c r="EL92" s="17"/>
      <c r="EM92" s="16"/>
      <c r="EN92" s="16"/>
      <c r="EO92" s="17"/>
      <c r="EP92" s="17"/>
      <c r="EQ92" s="16"/>
      <c r="ER92" s="16"/>
      <c r="ES92" s="17"/>
      <c r="ET92" s="17"/>
      <c r="EU92" s="16"/>
      <c r="EV92" s="16"/>
      <c r="EW92" s="17"/>
      <c r="EX92" s="17"/>
      <c r="EY92" s="16"/>
      <c r="EZ92" s="16"/>
      <c r="FA92" s="17"/>
      <c r="FB92" s="17"/>
      <c r="FC92" s="16"/>
      <c r="FD92" s="16"/>
      <c r="FE92" s="17"/>
      <c r="FF92" s="17"/>
      <c r="FG92" s="11"/>
      <c r="GT92" s="11"/>
      <c r="IG92" s="11"/>
      <c r="JT92" s="11"/>
      <c r="LG92" s="11"/>
      <c r="MT92" s="11"/>
      <c r="OG92" s="11"/>
      <c r="PT92" s="11"/>
    </row>
    <row r="93" spans="1:436" ht="15.75" x14ac:dyDescent="0.25">
      <c r="C93" s="20" t="s">
        <v>154</v>
      </c>
      <c r="D93" s="21" t="s">
        <v>129</v>
      </c>
      <c r="H93" s="11"/>
      <c r="AU93" s="11"/>
      <c r="CH93" s="11"/>
      <c r="CI93" s="16"/>
      <c r="CJ93" s="16"/>
      <c r="CK93" s="16"/>
      <c r="CL93" s="16"/>
      <c r="CM93" s="16"/>
      <c r="CN93" s="16"/>
      <c r="CO93" s="16"/>
      <c r="CP93" s="16"/>
      <c r="CQ93" s="16"/>
      <c r="CR93" s="16"/>
      <c r="CS93" s="16"/>
      <c r="CT93" s="16"/>
      <c r="CU93" s="16"/>
      <c r="CV93" s="16"/>
      <c r="CW93" s="16"/>
      <c r="CX93" s="16"/>
      <c r="CY93" s="16"/>
      <c r="CZ93" s="16"/>
      <c r="DA93" s="16"/>
      <c r="DB93" s="16"/>
      <c r="DC93" s="16"/>
      <c r="DD93" s="16"/>
      <c r="DE93" s="17"/>
      <c r="DF93" s="17"/>
      <c r="DG93" s="16"/>
      <c r="DH93" s="16"/>
      <c r="DI93" s="17"/>
      <c r="DJ93" s="17"/>
      <c r="DK93" s="16"/>
      <c r="DL93" s="16"/>
      <c r="DM93" s="17"/>
      <c r="DN93" s="17"/>
      <c r="DO93" s="16"/>
      <c r="DP93" s="16"/>
      <c r="DQ93" s="17"/>
      <c r="DR93" s="17"/>
      <c r="DS93" s="16"/>
      <c r="DT93" s="16"/>
      <c r="DU93" s="17"/>
      <c r="DV93" s="17"/>
      <c r="DW93" s="16"/>
      <c r="DX93" s="16"/>
      <c r="DY93" s="17"/>
      <c r="DZ93" s="17"/>
      <c r="EA93" s="16"/>
      <c r="EB93" s="16"/>
      <c r="EC93" s="17"/>
      <c r="ED93" s="17"/>
      <c r="EE93" s="16"/>
      <c r="EF93" s="16"/>
      <c r="EG93" s="17"/>
      <c r="EH93" s="17"/>
      <c r="EI93" s="16"/>
      <c r="EJ93" s="16"/>
      <c r="EK93" s="17"/>
      <c r="EL93" s="17"/>
      <c r="EM93" s="16"/>
      <c r="EN93" s="16"/>
      <c r="EO93" s="17"/>
      <c r="EP93" s="17"/>
      <c r="EQ93" s="16"/>
      <c r="ER93" s="16"/>
      <c r="ES93" s="17"/>
      <c r="ET93" s="17"/>
      <c r="EU93" s="16"/>
      <c r="EV93" s="16"/>
      <c r="EW93" s="17"/>
      <c r="EX93" s="17"/>
      <c r="EY93" s="16"/>
      <c r="EZ93" s="16"/>
      <c r="FA93" s="17"/>
      <c r="FB93" s="17"/>
      <c r="FC93" s="16"/>
      <c r="FD93" s="16"/>
      <c r="FE93" s="17"/>
      <c r="FF93" s="17"/>
      <c r="FG93" s="11"/>
      <c r="GT93" s="11"/>
      <c r="IG93" s="11"/>
      <c r="JT93" s="11"/>
      <c r="LG93" s="11"/>
      <c r="MT93" s="11"/>
      <c r="OG93" s="11"/>
      <c r="PT93" s="11"/>
    </row>
    <row r="94" spans="1:436" ht="15.75" x14ac:dyDescent="0.25">
      <c r="C94" s="20" t="s">
        <v>155</v>
      </c>
      <c r="D94" s="21" t="s">
        <v>82</v>
      </c>
      <c r="H94" s="11"/>
      <c r="AU94" s="11"/>
      <c r="CH94" s="11"/>
      <c r="CI94" s="16"/>
      <c r="CJ94" s="16"/>
      <c r="CK94" s="16"/>
      <c r="CL94" s="16"/>
      <c r="CM94" s="16"/>
      <c r="CN94" s="16"/>
      <c r="CO94" s="16"/>
      <c r="CP94" s="16"/>
      <c r="CQ94" s="16"/>
      <c r="CR94" s="16"/>
      <c r="CS94" s="16"/>
      <c r="CT94" s="16"/>
      <c r="CU94" s="16"/>
      <c r="CV94" s="16"/>
      <c r="CW94" s="16"/>
      <c r="CX94" s="16"/>
      <c r="CY94" s="16"/>
      <c r="CZ94" s="16"/>
      <c r="DA94" s="16"/>
      <c r="DB94" s="16"/>
      <c r="DC94" s="16"/>
      <c r="DD94" s="16"/>
      <c r="DE94" s="17"/>
      <c r="DF94" s="17"/>
      <c r="DG94" s="16"/>
      <c r="DH94" s="16"/>
      <c r="DI94" s="17"/>
      <c r="DJ94" s="17"/>
      <c r="DK94" s="16"/>
      <c r="DL94" s="16"/>
      <c r="DM94" s="17"/>
      <c r="DN94" s="17"/>
      <c r="DO94" s="16"/>
      <c r="DP94" s="16"/>
      <c r="DQ94" s="17"/>
      <c r="DR94" s="17"/>
      <c r="DS94" s="16"/>
      <c r="DT94" s="16"/>
      <c r="DU94" s="17"/>
      <c r="DV94" s="17"/>
      <c r="DW94" s="16"/>
      <c r="DX94" s="16"/>
      <c r="DY94" s="17"/>
      <c r="DZ94" s="17"/>
      <c r="EA94" s="16"/>
      <c r="EB94" s="16"/>
      <c r="EC94" s="17"/>
      <c r="ED94" s="17"/>
      <c r="EE94" s="16"/>
      <c r="EF94" s="16"/>
      <c r="EG94" s="17"/>
      <c r="EH94" s="17"/>
      <c r="EI94" s="16"/>
      <c r="EJ94" s="16"/>
      <c r="EK94" s="17"/>
      <c r="EL94" s="17"/>
      <c r="EM94" s="16"/>
      <c r="EN94" s="16"/>
      <c r="EO94" s="17"/>
      <c r="EP94" s="17"/>
      <c r="EQ94" s="16"/>
      <c r="ER94" s="16"/>
      <c r="ES94" s="17"/>
      <c r="ET94" s="17"/>
      <c r="EU94" s="16"/>
      <c r="EV94" s="16"/>
      <c r="EW94" s="17"/>
      <c r="EX94" s="17"/>
      <c r="EY94" s="16"/>
      <c r="EZ94" s="16"/>
      <c r="FA94" s="17"/>
      <c r="FB94" s="17"/>
      <c r="FC94" s="16"/>
      <c r="FD94" s="16"/>
      <c r="FE94" s="17"/>
      <c r="FF94" s="17"/>
      <c r="FG94" s="11"/>
      <c r="GT94" s="11"/>
      <c r="IG94" s="11"/>
      <c r="JT94" s="11"/>
      <c r="LG94" s="11"/>
      <c r="MT94" s="11"/>
      <c r="OG94" s="11"/>
      <c r="PT94" s="11"/>
    </row>
    <row r="95" spans="1:436" ht="15.75" x14ac:dyDescent="0.25">
      <c r="C95" s="20" t="s">
        <v>156</v>
      </c>
      <c r="D95" s="21" t="s">
        <v>84</v>
      </c>
      <c r="H95" s="11"/>
      <c r="AU95" s="11"/>
      <c r="CH95" s="11"/>
      <c r="CI95" s="16"/>
      <c r="CJ95" s="16"/>
      <c r="CK95" s="16"/>
      <c r="CL95" s="16"/>
      <c r="CM95" s="16"/>
      <c r="CN95" s="16"/>
      <c r="CO95" s="16"/>
      <c r="CP95" s="16"/>
      <c r="CQ95" s="16"/>
      <c r="CR95" s="16"/>
      <c r="CS95" s="16"/>
      <c r="CT95" s="16"/>
      <c r="CU95" s="16"/>
      <c r="CV95" s="16"/>
      <c r="CW95" s="16"/>
      <c r="CX95" s="16"/>
      <c r="CY95" s="16"/>
      <c r="CZ95" s="16"/>
      <c r="DA95" s="16"/>
      <c r="DB95" s="16"/>
      <c r="DC95" s="16"/>
      <c r="DD95" s="16"/>
      <c r="DE95" s="17"/>
      <c r="DF95" s="17"/>
      <c r="DG95" s="16"/>
      <c r="DH95" s="16"/>
      <c r="DI95" s="17"/>
      <c r="DJ95" s="17"/>
      <c r="DK95" s="16"/>
      <c r="DL95" s="16"/>
      <c r="DM95" s="17"/>
      <c r="DN95" s="17"/>
      <c r="DO95" s="16"/>
      <c r="DP95" s="16"/>
      <c r="DQ95" s="17"/>
      <c r="DR95" s="17"/>
      <c r="DS95" s="16"/>
      <c r="DT95" s="16"/>
      <c r="DU95" s="17"/>
      <c r="DV95" s="17"/>
      <c r="DW95" s="19">
        <v>5</v>
      </c>
      <c r="DX95" s="19">
        <v>10</v>
      </c>
      <c r="DY95" s="17"/>
      <c r="DZ95" s="17"/>
      <c r="EA95" s="16"/>
      <c r="EB95" s="16"/>
      <c r="EC95" s="17"/>
      <c r="ED95" s="17"/>
      <c r="EE95" s="16"/>
      <c r="EF95" s="16"/>
      <c r="EG95" s="17"/>
      <c r="EH95" s="17"/>
      <c r="EI95" s="16"/>
      <c r="EJ95" s="16"/>
      <c r="EK95" s="17"/>
      <c r="EL95" s="17"/>
      <c r="EM95" s="16"/>
      <c r="EN95" s="16"/>
      <c r="EO95" s="17"/>
      <c r="EP95" s="17"/>
      <c r="EQ95" s="16"/>
      <c r="ER95" s="16"/>
      <c r="ES95" s="17"/>
      <c r="ET95" s="17"/>
      <c r="EU95" s="16"/>
      <c r="EV95" s="16"/>
      <c r="EW95" s="17"/>
      <c r="EX95" s="17"/>
      <c r="EY95" s="16"/>
      <c r="EZ95" s="16"/>
      <c r="FA95" s="17"/>
      <c r="FB95" s="17"/>
      <c r="FC95" s="16"/>
      <c r="FD95" s="16"/>
      <c r="FE95" s="17"/>
      <c r="FF95" s="17"/>
      <c r="FG95" s="11"/>
      <c r="GT95" s="11"/>
      <c r="IG95" s="11"/>
      <c r="JT95" s="11"/>
      <c r="LG95" s="11"/>
      <c r="MT95" s="11"/>
      <c r="OG95" s="11"/>
      <c r="PT95" s="11"/>
    </row>
    <row r="96" spans="1:436" ht="15.75" x14ac:dyDescent="0.25">
      <c r="C96" s="20" t="s">
        <v>157</v>
      </c>
      <c r="D96" s="21" t="s">
        <v>142</v>
      </c>
      <c r="H96" s="11"/>
      <c r="AU96" s="11"/>
      <c r="CH96" s="11"/>
      <c r="CI96" s="16"/>
      <c r="CJ96" s="16"/>
      <c r="CK96" s="16"/>
      <c r="CL96" s="16"/>
      <c r="CM96" s="16"/>
      <c r="CN96" s="16"/>
      <c r="CO96" s="16"/>
      <c r="CP96" s="16"/>
      <c r="CQ96" s="16"/>
      <c r="CR96" s="16"/>
      <c r="CS96" s="16"/>
      <c r="CT96" s="16"/>
      <c r="CU96" s="16"/>
      <c r="CV96" s="16"/>
      <c r="CW96" s="16"/>
      <c r="CX96" s="16"/>
      <c r="CY96" s="16"/>
      <c r="CZ96" s="16"/>
      <c r="DA96" s="16"/>
      <c r="DB96" s="16"/>
      <c r="DC96" s="16"/>
      <c r="DD96" s="16"/>
      <c r="DE96" s="17"/>
      <c r="DF96" s="17"/>
      <c r="DG96" s="16"/>
      <c r="DH96" s="16"/>
      <c r="DI96" s="17"/>
      <c r="DJ96" s="17"/>
      <c r="DK96" s="16"/>
      <c r="DL96" s="16"/>
      <c r="DM96" s="17"/>
      <c r="DN96" s="17"/>
      <c r="DO96" s="16"/>
      <c r="DP96" s="16"/>
      <c r="DQ96" s="17"/>
      <c r="DR96" s="17"/>
      <c r="DS96" s="16"/>
      <c r="DT96" s="16"/>
      <c r="DU96" s="17"/>
      <c r="DV96" s="17"/>
      <c r="DW96" s="16"/>
      <c r="DX96" s="16"/>
      <c r="DY96" s="17"/>
      <c r="DZ96" s="17"/>
      <c r="EA96" s="16"/>
      <c r="EB96" s="16"/>
      <c r="EC96" s="17"/>
      <c r="ED96" s="17"/>
      <c r="EE96" s="16"/>
      <c r="EF96" s="16"/>
      <c r="EG96" s="17"/>
      <c r="EH96" s="17"/>
      <c r="EI96" s="16"/>
      <c r="EJ96" s="16"/>
      <c r="EK96" s="17"/>
      <c r="EL96" s="17"/>
      <c r="EM96" s="16"/>
      <c r="EN96" s="16"/>
      <c r="EO96" s="17"/>
      <c r="EP96" s="17"/>
      <c r="EQ96" s="16"/>
      <c r="ER96" s="16"/>
      <c r="ES96" s="17"/>
      <c r="ET96" s="17"/>
      <c r="EU96" s="16"/>
      <c r="EV96" s="16"/>
      <c r="EW96" s="17"/>
      <c r="EX96" s="17"/>
      <c r="EY96" s="16"/>
      <c r="EZ96" s="16"/>
      <c r="FA96" s="17"/>
      <c r="FB96" s="17"/>
      <c r="FC96" s="16"/>
      <c r="FD96" s="16"/>
      <c r="FE96" s="17"/>
      <c r="FF96" s="17"/>
      <c r="FG96" s="11"/>
      <c r="GT96" s="11"/>
      <c r="IG96" s="11"/>
      <c r="JT96" s="11"/>
      <c r="LG96" s="11"/>
      <c r="MT96" s="11"/>
      <c r="OG96" s="11"/>
      <c r="PT96" s="11"/>
    </row>
    <row r="97" spans="3:436" ht="15.75" x14ac:dyDescent="0.25">
      <c r="C97" s="20" t="s">
        <v>158</v>
      </c>
      <c r="D97" s="21" t="s">
        <v>159</v>
      </c>
      <c r="H97" s="11"/>
      <c r="AU97" s="11"/>
      <c r="CH97" s="11"/>
      <c r="CI97" s="16"/>
      <c r="CJ97" s="16"/>
      <c r="CK97" s="16"/>
      <c r="CL97" s="16"/>
      <c r="CM97" s="16"/>
      <c r="CN97" s="16"/>
      <c r="CO97" s="16"/>
      <c r="CP97" s="16"/>
      <c r="CQ97" s="16"/>
      <c r="CR97" s="16"/>
      <c r="CS97" s="16"/>
      <c r="CT97" s="16"/>
      <c r="CU97" s="16"/>
      <c r="CV97" s="16"/>
      <c r="CW97" s="16"/>
      <c r="CX97" s="16"/>
      <c r="CY97" s="16"/>
      <c r="CZ97" s="16"/>
      <c r="DA97" s="16"/>
      <c r="DB97" s="16"/>
      <c r="DC97" s="16"/>
      <c r="DD97" s="16"/>
      <c r="DE97" s="17"/>
      <c r="DF97" s="17"/>
      <c r="DG97" s="16"/>
      <c r="DH97" s="16"/>
      <c r="DI97" s="17"/>
      <c r="DJ97" s="17"/>
      <c r="DK97" s="16"/>
      <c r="DL97" s="16"/>
      <c r="DM97" s="17"/>
      <c r="DN97" s="17"/>
      <c r="DO97" s="16"/>
      <c r="DP97" s="16"/>
      <c r="DQ97" s="17"/>
      <c r="DR97" s="17"/>
      <c r="DS97" s="16"/>
      <c r="DT97" s="16"/>
      <c r="DU97" s="17"/>
      <c r="DV97" s="17"/>
      <c r="DW97" s="16"/>
      <c r="DX97" s="16"/>
      <c r="DY97" s="17"/>
      <c r="DZ97" s="17"/>
      <c r="EA97" s="16"/>
      <c r="EB97" s="16"/>
      <c r="EC97" s="17"/>
      <c r="ED97" s="17"/>
      <c r="EE97" s="16"/>
      <c r="EF97" s="16"/>
      <c r="EG97" s="17"/>
      <c r="EH97" s="17"/>
      <c r="EI97" s="16"/>
      <c r="EJ97" s="16"/>
      <c r="EK97" s="17"/>
      <c r="EL97" s="17"/>
      <c r="EM97" s="16"/>
      <c r="EN97" s="16"/>
      <c r="EO97" s="17"/>
      <c r="EP97" s="17"/>
      <c r="EQ97" s="16"/>
      <c r="ER97" s="16"/>
      <c r="ES97" s="17"/>
      <c r="ET97" s="17"/>
      <c r="EU97" s="16"/>
      <c r="EV97" s="16"/>
      <c r="EW97" s="17"/>
      <c r="EX97" s="17"/>
      <c r="EY97" s="16"/>
      <c r="EZ97" s="16"/>
      <c r="FA97" s="17"/>
      <c r="FB97" s="17"/>
      <c r="FC97" s="16"/>
      <c r="FD97" s="16"/>
      <c r="FE97" s="17"/>
      <c r="FF97" s="17"/>
      <c r="FG97" s="11"/>
      <c r="GT97" s="11"/>
      <c r="IG97" s="11"/>
      <c r="JT97" s="11"/>
      <c r="LG97" s="11"/>
      <c r="MT97" s="11"/>
      <c r="OG97" s="11"/>
      <c r="PT97" s="11"/>
    </row>
    <row r="98" spans="3:436" ht="15.75" x14ac:dyDescent="0.25">
      <c r="C98" s="20" t="s">
        <v>160</v>
      </c>
      <c r="D98" s="21" t="s">
        <v>136</v>
      </c>
      <c r="H98" s="11"/>
      <c r="AU98" s="11"/>
      <c r="CH98" s="11"/>
      <c r="CI98" s="16"/>
      <c r="CJ98" s="16"/>
      <c r="CK98" s="16"/>
      <c r="CL98" s="16"/>
      <c r="CM98" s="16"/>
      <c r="CN98" s="16"/>
      <c r="CO98" s="16"/>
      <c r="CP98" s="16"/>
      <c r="CQ98" s="16"/>
      <c r="CR98" s="16"/>
      <c r="CS98" s="16"/>
      <c r="CT98" s="16"/>
      <c r="CU98" s="16"/>
      <c r="CV98" s="16"/>
      <c r="CW98" s="16"/>
      <c r="CX98" s="16"/>
      <c r="CY98" s="16"/>
      <c r="CZ98" s="16"/>
      <c r="DA98" s="16"/>
      <c r="DB98" s="16"/>
      <c r="DC98" s="16"/>
      <c r="DD98" s="16"/>
      <c r="DE98" s="17"/>
      <c r="DF98" s="17"/>
      <c r="DG98" s="16"/>
      <c r="DH98" s="16"/>
      <c r="DI98" s="17"/>
      <c r="DJ98" s="17"/>
      <c r="DK98" s="16"/>
      <c r="DL98" s="16"/>
      <c r="DM98" s="17"/>
      <c r="DN98" s="17"/>
      <c r="DO98" s="16"/>
      <c r="DP98" s="16"/>
      <c r="DQ98" s="17"/>
      <c r="DR98" s="17"/>
      <c r="DS98" s="16"/>
      <c r="DT98" s="16"/>
      <c r="DU98" s="17"/>
      <c r="DV98" s="17"/>
      <c r="DW98" s="16"/>
      <c r="DX98" s="16"/>
      <c r="DY98" s="17"/>
      <c r="DZ98" s="17"/>
      <c r="EA98" s="16"/>
      <c r="EB98" s="16"/>
      <c r="EC98" s="17"/>
      <c r="ED98" s="17"/>
      <c r="EE98" s="16"/>
      <c r="EF98" s="16"/>
      <c r="EG98" s="17"/>
      <c r="EH98" s="17"/>
      <c r="EI98" s="16"/>
      <c r="EJ98" s="16"/>
      <c r="EK98" s="17"/>
      <c r="EL98" s="17"/>
      <c r="EM98" s="16"/>
      <c r="EN98" s="16"/>
      <c r="EO98" s="17"/>
      <c r="EP98" s="17"/>
      <c r="EQ98" s="16"/>
      <c r="ER98" s="16"/>
      <c r="ES98" s="17"/>
      <c r="ET98" s="17"/>
      <c r="EU98" s="16"/>
      <c r="EV98" s="16"/>
      <c r="EW98" s="17"/>
      <c r="EX98" s="17"/>
      <c r="EY98" s="16"/>
      <c r="EZ98" s="16"/>
      <c r="FA98" s="17"/>
      <c r="FB98" s="17"/>
      <c r="FC98" s="16"/>
      <c r="FD98" s="16"/>
      <c r="FE98" s="17"/>
      <c r="FF98" s="17"/>
      <c r="FG98" s="11"/>
      <c r="GT98" s="11"/>
      <c r="IG98" s="11"/>
      <c r="JT98" s="11"/>
      <c r="LG98" s="11"/>
      <c r="MT98" s="11"/>
      <c r="OG98" s="11"/>
      <c r="PT98" s="11"/>
    </row>
    <row r="99" spans="3:436" ht="15.75" x14ac:dyDescent="0.25">
      <c r="C99" s="20" t="s">
        <v>161</v>
      </c>
      <c r="D99" s="21" t="s">
        <v>162</v>
      </c>
      <c r="H99" s="11"/>
      <c r="AU99" s="11"/>
      <c r="CH99" s="11"/>
      <c r="CI99" s="16"/>
      <c r="CJ99" s="16"/>
      <c r="CK99" s="16"/>
      <c r="CL99" s="16"/>
      <c r="CM99" s="16"/>
      <c r="CN99" s="16"/>
      <c r="CO99" s="16"/>
      <c r="CP99" s="16"/>
      <c r="CQ99" s="16"/>
      <c r="CR99" s="16"/>
      <c r="CS99" s="16"/>
      <c r="CT99" s="16"/>
      <c r="CU99" s="16"/>
      <c r="CV99" s="16"/>
      <c r="CW99" s="16"/>
      <c r="CX99" s="16"/>
      <c r="CY99" s="16"/>
      <c r="CZ99" s="16"/>
      <c r="DA99" s="16"/>
      <c r="DB99" s="16"/>
      <c r="DC99" s="16"/>
      <c r="DD99" s="16"/>
      <c r="DE99" s="17"/>
      <c r="DF99" s="17"/>
      <c r="DG99" s="16"/>
      <c r="DH99" s="16"/>
      <c r="DI99" s="17"/>
      <c r="DJ99" s="17"/>
      <c r="DK99" s="16"/>
      <c r="DL99" s="16"/>
      <c r="DM99" s="17"/>
      <c r="DN99" s="17"/>
      <c r="DO99" s="16"/>
      <c r="DP99" s="16"/>
      <c r="DQ99" s="17"/>
      <c r="DR99" s="17"/>
      <c r="DS99" s="16"/>
      <c r="DT99" s="16"/>
      <c r="DU99" s="17"/>
      <c r="DV99" s="17"/>
      <c r="DW99" s="16"/>
      <c r="DX99" s="16"/>
      <c r="DY99" s="17"/>
      <c r="DZ99" s="17"/>
      <c r="EA99" s="16"/>
      <c r="EB99" s="16"/>
      <c r="EC99" s="17"/>
      <c r="ED99" s="17"/>
      <c r="EE99" s="16"/>
      <c r="EF99" s="16"/>
      <c r="EG99" s="17"/>
      <c r="EH99" s="17"/>
      <c r="EI99" s="16"/>
      <c r="EJ99" s="16"/>
      <c r="EK99" s="17"/>
      <c r="EL99" s="17"/>
      <c r="EM99" s="16"/>
      <c r="EN99" s="16"/>
      <c r="EO99" s="17"/>
      <c r="EP99" s="17"/>
      <c r="EQ99" s="16"/>
      <c r="ER99" s="16"/>
      <c r="ES99" s="17"/>
      <c r="ET99" s="17"/>
      <c r="EU99" s="16"/>
      <c r="EV99" s="16"/>
      <c r="EW99" s="17"/>
      <c r="EX99" s="17"/>
      <c r="EY99" s="16"/>
      <c r="EZ99" s="16"/>
      <c r="FA99" s="17"/>
      <c r="FB99" s="17"/>
      <c r="FC99" s="16"/>
      <c r="FD99" s="16"/>
      <c r="FE99" s="17"/>
      <c r="FF99" s="17"/>
      <c r="FG99" s="11"/>
      <c r="GT99" s="11"/>
      <c r="IG99" s="11"/>
      <c r="JT99" s="11"/>
      <c r="LG99" s="11"/>
      <c r="MT99" s="11"/>
      <c r="OG99" s="11"/>
      <c r="PT99" s="11"/>
    </row>
    <row r="100" spans="3:436" ht="15.75" x14ac:dyDescent="0.25">
      <c r="C100" s="20" t="s">
        <v>163</v>
      </c>
      <c r="D100" s="21" t="s">
        <v>90</v>
      </c>
      <c r="H100" s="11"/>
      <c r="AU100" s="11"/>
      <c r="CH100" s="11"/>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7"/>
      <c r="DF100" s="17"/>
      <c r="DG100" s="16"/>
      <c r="DH100" s="16"/>
      <c r="DI100" s="17"/>
      <c r="DJ100" s="17"/>
      <c r="DK100" s="16"/>
      <c r="DL100" s="16"/>
      <c r="DM100" s="17"/>
      <c r="DN100" s="17"/>
      <c r="DO100" s="16"/>
      <c r="DP100" s="16"/>
      <c r="DQ100" s="17"/>
      <c r="DR100" s="17"/>
      <c r="DS100" s="16"/>
      <c r="DT100" s="16"/>
      <c r="DU100" s="17"/>
      <c r="DV100" s="17"/>
      <c r="DW100" s="16"/>
      <c r="DX100" s="16"/>
      <c r="DY100" s="17"/>
      <c r="DZ100" s="17"/>
      <c r="EA100" s="16"/>
      <c r="EB100" s="16"/>
      <c r="EC100" s="17"/>
      <c r="ED100" s="17"/>
      <c r="EE100" s="16"/>
      <c r="EF100" s="16"/>
      <c r="EG100" s="17"/>
      <c r="EH100" s="17"/>
      <c r="EI100" s="16"/>
      <c r="EJ100" s="16"/>
      <c r="EK100" s="17"/>
      <c r="EL100" s="17"/>
      <c r="EM100" s="16"/>
      <c r="EN100" s="16"/>
      <c r="EO100" s="17"/>
      <c r="EP100" s="17"/>
      <c r="EQ100" s="16"/>
      <c r="ER100" s="16"/>
      <c r="ES100" s="17"/>
      <c r="ET100" s="17"/>
      <c r="EU100" s="16"/>
      <c r="EV100" s="16"/>
      <c r="EW100" s="17"/>
      <c r="EX100" s="17"/>
      <c r="EY100" s="16"/>
      <c r="EZ100" s="16"/>
      <c r="FA100" s="17"/>
      <c r="FB100" s="17"/>
      <c r="FC100" s="16"/>
      <c r="FD100" s="16"/>
      <c r="FE100" s="17"/>
      <c r="FF100" s="17"/>
      <c r="FG100" s="11"/>
      <c r="GT100" s="11"/>
      <c r="IG100" s="11"/>
      <c r="JT100" s="11"/>
      <c r="LG100" s="11"/>
      <c r="MT100" s="11"/>
      <c r="OG100" s="11"/>
      <c r="PT100" s="11"/>
    </row>
    <row r="101" spans="3:436" ht="15.75" x14ac:dyDescent="0.25">
      <c r="C101" s="20" t="s">
        <v>164</v>
      </c>
      <c r="D101" s="21" t="s">
        <v>79</v>
      </c>
      <c r="H101" s="11"/>
      <c r="AU101" s="11"/>
      <c r="CH101" s="11"/>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7"/>
      <c r="DF101" s="17"/>
      <c r="DG101" s="16"/>
      <c r="DH101" s="16"/>
      <c r="DI101" s="18">
        <v>3</v>
      </c>
      <c r="DJ101" s="18">
        <v>3</v>
      </c>
      <c r="DK101" s="16"/>
      <c r="DL101" s="16"/>
      <c r="DM101" s="17"/>
      <c r="DN101" s="17"/>
      <c r="DO101" s="16"/>
      <c r="DP101" s="16"/>
      <c r="DQ101" s="17"/>
      <c r="DR101" s="17"/>
      <c r="DS101" s="16"/>
      <c r="DT101" s="16"/>
      <c r="DU101" s="17"/>
      <c r="DV101" s="17"/>
      <c r="DW101" s="16"/>
      <c r="DX101" s="16"/>
      <c r="DY101" s="17"/>
      <c r="DZ101" s="17"/>
      <c r="EA101" s="16"/>
      <c r="EB101" s="16"/>
      <c r="EC101" s="17"/>
      <c r="ED101" s="17"/>
      <c r="EE101" s="16"/>
      <c r="EF101" s="16"/>
      <c r="EG101" s="17"/>
      <c r="EH101" s="17"/>
      <c r="EI101" s="16"/>
      <c r="EJ101" s="16"/>
      <c r="EK101" s="17"/>
      <c r="EL101" s="17"/>
      <c r="EM101" s="16"/>
      <c r="EN101" s="16"/>
      <c r="EO101" s="17"/>
      <c r="EP101" s="17"/>
      <c r="EQ101" s="16"/>
      <c r="ER101" s="16"/>
      <c r="ES101" s="17"/>
      <c r="ET101" s="17"/>
      <c r="EU101" s="16"/>
      <c r="EV101" s="16"/>
      <c r="EW101" s="17"/>
      <c r="EX101" s="17"/>
      <c r="EY101" s="16"/>
      <c r="EZ101" s="16"/>
      <c r="FA101" s="17"/>
      <c r="FB101" s="17"/>
      <c r="FC101" s="16"/>
      <c r="FD101" s="16"/>
      <c r="FE101" s="17"/>
      <c r="FF101" s="17"/>
      <c r="FG101" s="11"/>
      <c r="GT101" s="11"/>
      <c r="IG101" s="11"/>
      <c r="JT101" s="11"/>
      <c r="LG101" s="11"/>
      <c r="MT101" s="11"/>
      <c r="OG101" s="11"/>
      <c r="PT101" s="11"/>
    </row>
    <row r="102" spans="3:436" ht="15.75" x14ac:dyDescent="0.25">
      <c r="C102" s="20" t="s">
        <v>165</v>
      </c>
      <c r="D102" s="21" t="s">
        <v>136</v>
      </c>
      <c r="H102" s="11"/>
      <c r="AU102" s="11"/>
      <c r="CH102" s="11"/>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7"/>
      <c r="DF102" s="17"/>
      <c r="DG102" s="16"/>
      <c r="DH102" s="16"/>
      <c r="DI102" s="17"/>
      <c r="DJ102" s="17"/>
      <c r="DK102" s="16"/>
      <c r="DL102" s="16"/>
      <c r="DM102" s="17"/>
      <c r="DN102" s="17"/>
      <c r="DO102" s="16"/>
      <c r="DP102" s="16"/>
      <c r="DQ102" s="17"/>
      <c r="DR102" s="17"/>
      <c r="DS102" s="16"/>
      <c r="DT102" s="16"/>
      <c r="DU102" s="17"/>
      <c r="DV102" s="17"/>
      <c r="DW102" s="16"/>
      <c r="DX102" s="16"/>
      <c r="DY102" s="17"/>
      <c r="DZ102" s="17"/>
      <c r="EA102" s="16"/>
      <c r="EB102" s="16"/>
      <c r="EC102" s="17"/>
      <c r="ED102" s="17"/>
      <c r="EE102" s="16"/>
      <c r="EF102" s="16"/>
      <c r="EG102" s="17"/>
      <c r="EH102" s="17"/>
      <c r="EI102" s="16"/>
      <c r="EJ102" s="16"/>
      <c r="EK102" s="17"/>
      <c r="EL102" s="17"/>
      <c r="EM102" s="16"/>
      <c r="EN102" s="16"/>
      <c r="EO102" s="17"/>
      <c r="EP102" s="17"/>
      <c r="EQ102" s="16"/>
      <c r="ER102" s="16"/>
      <c r="ES102" s="17"/>
      <c r="ET102" s="17"/>
      <c r="EU102" s="16"/>
      <c r="EV102" s="16"/>
      <c r="EW102" s="17"/>
      <c r="EX102" s="17"/>
      <c r="EY102" s="16"/>
      <c r="EZ102" s="16"/>
      <c r="FA102" s="17"/>
      <c r="FB102" s="17"/>
      <c r="FC102" s="16"/>
      <c r="FD102" s="16"/>
      <c r="FE102" s="17"/>
      <c r="FF102" s="17"/>
      <c r="FG102" s="11"/>
      <c r="GT102" s="11"/>
      <c r="IG102" s="11"/>
      <c r="JT102" s="11"/>
      <c r="LG102" s="11"/>
      <c r="MT102" s="11"/>
      <c r="OG102" s="11"/>
      <c r="PT102" s="11"/>
    </row>
    <row r="103" spans="3:436" ht="15.75" x14ac:dyDescent="0.25">
      <c r="C103" s="20" t="s">
        <v>166</v>
      </c>
      <c r="D103" s="21" t="s">
        <v>136</v>
      </c>
      <c r="H103" s="11"/>
      <c r="AU103" s="11"/>
      <c r="CH103" s="11"/>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7"/>
      <c r="DF103" s="17"/>
      <c r="DG103" s="16"/>
      <c r="DH103" s="16"/>
      <c r="DI103" s="17"/>
      <c r="DJ103" s="17"/>
      <c r="DK103" s="16"/>
      <c r="DL103" s="16"/>
      <c r="DM103" s="17"/>
      <c r="DN103" s="17"/>
      <c r="DO103" s="16"/>
      <c r="DP103" s="16"/>
      <c r="DQ103" s="17"/>
      <c r="DR103" s="17"/>
      <c r="DS103" s="16"/>
      <c r="DT103" s="16"/>
      <c r="DU103" s="17"/>
      <c r="DV103" s="17"/>
      <c r="DW103" s="16"/>
      <c r="DX103" s="16"/>
      <c r="DY103" s="17"/>
      <c r="DZ103" s="17"/>
      <c r="EA103" s="16"/>
      <c r="EB103" s="16"/>
      <c r="EC103" s="17"/>
      <c r="ED103" s="17"/>
      <c r="EE103" s="16"/>
      <c r="EF103" s="16"/>
      <c r="EG103" s="17"/>
      <c r="EH103" s="17"/>
      <c r="EI103" s="16"/>
      <c r="EJ103" s="16"/>
      <c r="EK103" s="17"/>
      <c r="EL103" s="17"/>
      <c r="EM103" s="16"/>
      <c r="EN103" s="16"/>
      <c r="EO103" s="17"/>
      <c r="EP103" s="17"/>
      <c r="EQ103" s="16"/>
      <c r="ER103" s="16"/>
      <c r="ES103" s="17"/>
      <c r="ET103" s="17"/>
      <c r="EU103" s="16"/>
      <c r="EV103" s="16"/>
      <c r="EW103" s="17"/>
      <c r="EX103" s="17"/>
      <c r="EY103" s="16"/>
      <c r="EZ103" s="16"/>
      <c r="FA103" s="17"/>
      <c r="FB103" s="17"/>
      <c r="FC103" s="16"/>
      <c r="FD103" s="16"/>
      <c r="FE103" s="17"/>
      <c r="FF103" s="17"/>
      <c r="FG103" s="11"/>
      <c r="GT103" s="11"/>
      <c r="IG103" s="11"/>
      <c r="JT103" s="11"/>
      <c r="LG103" s="11"/>
      <c r="MT103" s="11"/>
      <c r="OG103" s="11"/>
      <c r="PT103" s="11"/>
    </row>
    <row r="104" spans="3:436" ht="15.75" x14ac:dyDescent="0.25">
      <c r="C104" s="20" t="s">
        <v>167</v>
      </c>
      <c r="D104" s="21" t="s">
        <v>136</v>
      </c>
      <c r="H104" s="11"/>
      <c r="AU104" s="11"/>
      <c r="CH104" s="11"/>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7"/>
      <c r="DF104" s="17"/>
      <c r="DG104" s="16"/>
      <c r="DH104" s="16"/>
      <c r="DI104" s="17"/>
      <c r="DJ104" s="17"/>
      <c r="DK104" s="16"/>
      <c r="DL104" s="16"/>
      <c r="DM104" s="17"/>
      <c r="DN104" s="17"/>
      <c r="DO104" s="16"/>
      <c r="DP104" s="16"/>
      <c r="DQ104" s="17"/>
      <c r="DR104" s="17"/>
      <c r="DS104" s="16"/>
      <c r="DT104" s="16"/>
      <c r="DU104" s="17"/>
      <c r="DV104" s="17"/>
      <c r="DW104" s="16"/>
      <c r="DX104" s="16"/>
      <c r="DY104" s="17"/>
      <c r="DZ104" s="17"/>
      <c r="EA104" s="16"/>
      <c r="EB104" s="16"/>
      <c r="EC104" s="17"/>
      <c r="ED104" s="17"/>
      <c r="EE104" s="16"/>
      <c r="EF104" s="16"/>
      <c r="EG104" s="17"/>
      <c r="EH104" s="17"/>
      <c r="EI104" s="16"/>
      <c r="EJ104" s="16"/>
      <c r="EK104" s="17"/>
      <c r="EL104" s="17"/>
      <c r="EM104" s="16"/>
      <c r="EN104" s="16"/>
      <c r="EO104" s="17"/>
      <c r="EP104" s="17"/>
      <c r="EQ104" s="16"/>
      <c r="ER104" s="16"/>
      <c r="ES104" s="17"/>
      <c r="ET104" s="17"/>
      <c r="EU104" s="16"/>
      <c r="EV104" s="16"/>
      <c r="EW104" s="17"/>
      <c r="EX104" s="17"/>
      <c r="EY104" s="16"/>
      <c r="EZ104" s="16"/>
      <c r="FA104" s="17"/>
      <c r="FB104" s="17"/>
      <c r="FC104" s="16"/>
      <c r="FD104" s="16"/>
      <c r="FE104" s="17"/>
      <c r="FF104" s="17"/>
      <c r="FG104" s="11"/>
      <c r="GT104" s="11"/>
      <c r="IG104" s="11"/>
      <c r="JT104" s="11"/>
      <c r="LG104" s="11"/>
      <c r="MT104" s="11"/>
      <c r="OG104" s="11"/>
      <c r="PT104" s="11"/>
    </row>
    <row r="105" spans="3:436" ht="15.75" x14ac:dyDescent="0.25">
      <c r="C105" s="20" t="s">
        <v>168</v>
      </c>
      <c r="D105" s="21" t="s">
        <v>84</v>
      </c>
      <c r="H105" s="11"/>
      <c r="AU105" s="11"/>
      <c r="CH105" s="11"/>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7"/>
      <c r="DF105" s="17"/>
      <c r="DG105" s="16"/>
      <c r="DH105" s="16"/>
      <c r="DI105" s="17"/>
      <c r="DJ105" s="17"/>
      <c r="DK105" s="16"/>
      <c r="DL105" s="16"/>
      <c r="DM105" s="17"/>
      <c r="DN105" s="17"/>
      <c r="DO105" s="16"/>
      <c r="DP105" s="16"/>
      <c r="DQ105" s="17"/>
      <c r="DR105" s="17"/>
      <c r="DS105" s="16"/>
      <c r="DT105" s="16"/>
      <c r="DU105" s="17"/>
      <c r="DV105" s="17"/>
      <c r="DW105" s="16"/>
      <c r="DX105" s="19">
        <v>3</v>
      </c>
      <c r="DY105" s="17"/>
      <c r="DZ105" s="17"/>
      <c r="EA105" s="16"/>
      <c r="EB105" s="16"/>
      <c r="EC105" s="17"/>
      <c r="ED105" s="17"/>
      <c r="EE105" s="16"/>
      <c r="EF105" s="16"/>
      <c r="EG105" s="17"/>
      <c r="EH105" s="17"/>
      <c r="EI105" s="16"/>
      <c r="EJ105" s="16"/>
      <c r="EK105" s="17"/>
      <c r="EL105" s="17"/>
      <c r="EM105" s="16"/>
      <c r="EN105" s="16"/>
      <c r="EO105" s="17"/>
      <c r="EP105" s="17"/>
      <c r="EQ105" s="16"/>
      <c r="ER105" s="16"/>
      <c r="ES105" s="17"/>
      <c r="ET105" s="17"/>
      <c r="EU105" s="16"/>
      <c r="EV105" s="16"/>
      <c r="EW105" s="17"/>
      <c r="EX105" s="17"/>
      <c r="EY105" s="16"/>
      <c r="EZ105" s="16"/>
      <c r="FA105" s="17"/>
      <c r="FB105" s="17"/>
      <c r="FC105" s="16"/>
      <c r="FD105" s="16"/>
      <c r="FE105" s="17"/>
      <c r="FF105" s="17"/>
      <c r="FG105" s="11"/>
      <c r="GT105" s="11"/>
      <c r="IG105" s="11"/>
      <c r="JT105" s="11"/>
      <c r="LG105" s="11"/>
      <c r="MT105" s="11"/>
      <c r="OG105" s="11"/>
      <c r="PT105" s="11"/>
    </row>
    <row r="106" spans="3:436" ht="15.75" x14ac:dyDescent="0.25">
      <c r="C106" s="20" t="s">
        <v>169</v>
      </c>
      <c r="D106" s="21" t="s">
        <v>104</v>
      </c>
      <c r="H106" s="11"/>
      <c r="AU106" s="11"/>
      <c r="CH106" s="11"/>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7"/>
      <c r="DF106" s="17"/>
      <c r="DG106" s="16"/>
      <c r="DH106" s="16"/>
      <c r="DI106" s="17"/>
      <c r="DJ106" s="17"/>
      <c r="DK106" s="16"/>
      <c r="DL106" s="16"/>
      <c r="DM106" s="17"/>
      <c r="DN106" s="17"/>
      <c r="DO106" s="16"/>
      <c r="DP106" s="16"/>
      <c r="DQ106" s="17"/>
      <c r="DR106" s="17"/>
      <c r="DS106" s="16"/>
      <c r="DT106" s="16"/>
      <c r="DU106" s="17"/>
      <c r="DV106" s="17"/>
      <c r="DW106" s="16"/>
      <c r="DX106" s="16"/>
      <c r="DY106" s="17"/>
      <c r="DZ106" s="17"/>
      <c r="EA106" s="16"/>
      <c r="EB106" s="16"/>
      <c r="EC106" s="17"/>
      <c r="ED106" s="17"/>
      <c r="EE106" s="16"/>
      <c r="EF106" s="16"/>
      <c r="EG106" s="17"/>
      <c r="EH106" s="17"/>
      <c r="EI106" s="16"/>
      <c r="EJ106" s="16"/>
      <c r="EK106" s="17"/>
      <c r="EL106" s="17"/>
      <c r="EM106" s="16"/>
      <c r="EN106" s="16"/>
      <c r="EO106" s="17"/>
      <c r="EP106" s="17"/>
      <c r="EQ106" s="16"/>
      <c r="ER106" s="16"/>
      <c r="ES106" s="17"/>
      <c r="ET106" s="17"/>
      <c r="EU106" s="16"/>
      <c r="EV106" s="16"/>
      <c r="EW106" s="17"/>
      <c r="EX106" s="17"/>
      <c r="EY106" s="16"/>
      <c r="EZ106" s="16"/>
      <c r="FA106" s="17"/>
      <c r="FB106" s="17"/>
      <c r="FC106" s="19">
        <v>0</v>
      </c>
      <c r="FD106" s="19">
        <v>0</v>
      </c>
      <c r="FE106" s="17"/>
      <c r="FF106" s="17"/>
      <c r="FG106" s="11"/>
      <c r="GT106" s="11"/>
      <c r="IG106" s="11"/>
      <c r="JT106" s="11"/>
      <c r="LG106" s="11"/>
      <c r="MT106" s="11"/>
      <c r="OG106" s="11"/>
      <c r="PT106" s="11"/>
    </row>
    <row r="107" spans="3:436" ht="15.75" x14ac:dyDescent="0.25">
      <c r="C107" s="20" t="s">
        <v>170</v>
      </c>
      <c r="D107" s="21" t="s">
        <v>142</v>
      </c>
      <c r="H107" s="11"/>
      <c r="AU107" s="11"/>
      <c r="CH107" s="11"/>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7"/>
      <c r="DF107" s="17"/>
      <c r="DG107" s="16"/>
      <c r="DH107" s="16"/>
      <c r="DI107" s="17"/>
      <c r="DJ107" s="17"/>
      <c r="DK107" s="16"/>
      <c r="DL107" s="16"/>
      <c r="DM107" s="17"/>
      <c r="DN107" s="17"/>
      <c r="DO107" s="16"/>
      <c r="DP107" s="16"/>
      <c r="DQ107" s="17"/>
      <c r="DR107" s="17"/>
      <c r="DS107" s="16"/>
      <c r="DT107" s="16"/>
      <c r="DU107" s="17"/>
      <c r="DV107" s="17"/>
      <c r="DW107" s="16"/>
      <c r="DX107" s="16"/>
      <c r="DY107" s="17"/>
      <c r="DZ107" s="17"/>
      <c r="EA107" s="16"/>
      <c r="EB107" s="16"/>
      <c r="EC107" s="17"/>
      <c r="ED107" s="17"/>
      <c r="EE107" s="16"/>
      <c r="EF107" s="16"/>
      <c r="EG107" s="17"/>
      <c r="EH107" s="17"/>
      <c r="EI107" s="16"/>
      <c r="EJ107" s="16"/>
      <c r="EK107" s="17"/>
      <c r="EL107" s="17"/>
      <c r="EM107" s="16"/>
      <c r="EN107" s="16"/>
      <c r="EO107" s="17"/>
      <c r="EP107" s="17"/>
      <c r="EQ107" s="16"/>
      <c r="ER107" s="16"/>
      <c r="ES107" s="17"/>
      <c r="ET107" s="17"/>
      <c r="EU107" s="16"/>
      <c r="EV107" s="16"/>
      <c r="EW107" s="17"/>
      <c r="EX107" s="17"/>
      <c r="EY107" s="16"/>
      <c r="EZ107" s="16"/>
      <c r="FA107" s="17"/>
      <c r="FB107" s="17"/>
      <c r="FC107" s="16"/>
      <c r="FD107" s="16"/>
      <c r="FE107" s="17"/>
      <c r="FF107" s="17"/>
      <c r="FG107" s="11"/>
      <c r="GT107" s="11"/>
      <c r="IG107" s="11"/>
      <c r="JT107" s="11"/>
      <c r="LG107" s="11"/>
      <c r="MT107" s="11"/>
      <c r="OG107" s="11"/>
      <c r="PT107" s="11"/>
    </row>
    <row r="108" spans="3:436" ht="15.75" x14ac:dyDescent="0.25">
      <c r="C108" s="20" t="s">
        <v>171</v>
      </c>
      <c r="D108" s="21" t="s">
        <v>90</v>
      </c>
      <c r="H108" s="11"/>
      <c r="AU108" s="11"/>
      <c r="CH108" s="11"/>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7"/>
      <c r="DF108" s="17"/>
      <c r="DG108" s="16"/>
      <c r="DH108" s="16"/>
      <c r="DI108" s="17"/>
      <c r="DJ108" s="17"/>
      <c r="DK108" s="16"/>
      <c r="DL108" s="16"/>
      <c r="DM108" s="17"/>
      <c r="DN108" s="17"/>
      <c r="DO108" s="16"/>
      <c r="DP108" s="16"/>
      <c r="DQ108" s="17"/>
      <c r="DR108" s="17"/>
      <c r="DS108" s="16"/>
      <c r="DT108" s="16"/>
      <c r="DU108" s="17"/>
      <c r="DV108" s="17"/>
      <c r="DW108" s="16"/>
      <c r="DX108" s="16"/>
      <c r="DY108" s="17"/>
      <c r="DZ108" s="17"/>
      <c r="EA108" s="16"/>
      <c r="EB108" s="16"/>
      <c r="EC108" s="17"/>
      <c r="ED108" s="17"/>
      <c r="EE108" s="16"/>
      <c r="EF108" s="16"/>
      <c r="EG108" s="17"/>
      <c r="EH108" s="17"/>
      <c r="EI108" s="16"/>
      <c r="EJ108" s="16"/>
      <c r="EK108" s="17"/>
      <c r="EL108" s="17"/>
      <c r="EM108" s="16"/>
      <c r="EN108" s="16"/>
      <c r="EO108" s="17"/>
      <c r="EP108" s="17"/>
      <c r="EQ108" s="16"/>
      <c r="ER108" s="16"/>
      <c r="ES108" s="17"/>
      <c r="ET108" s="17"/>
      <c r="EU108" s="16"/>
      <c r="EV108" s="16"/>
      <c r="EW108" s="17"/>
      <c r="EX108" s="17"/>
      <c r="EY108" s="16"/>
      <c r="EZ108" s="16"/>
      <c r="FA108" s="17"/>
      <c r="FB108" s="17"/>
      <c r="FC108" s="16"/>
      <c r="FD108" s="16"/>
      <c r="FE108" s="17"/>
      <c r="FF108" s="17"/>
      <c r="FG108" s="11"/>
      <c r="GT108" s="11"/>
      <c r="IG108" s="11"/>
      <c r="JT108" s="11"/>
      <c r="LG108" s="11"/>
      <c r="MT108" s="11"/>
      <c r="OG108" s="11"/>
      <c r="PT108" s="11"/>
    </row>
    <row r="109" spans="3:436" ht="15.75" x14ac:dyDescent="0.25">
      <c r="C109" s="20" t="s">
        <v>153</v>
      </c>
      <c r="D109" s="21" t="s">
        <v>79</v>
      </c>
      <c r="H109" s="11"/>
      <c r="AU109" s="11"/>
      <c r="CH109" s="11"/>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7"/>
      <c r="DF109" s="17"/>
      <c r="DG109" s="16"/>
      <c r="DH109" s="16"/>
      <c r="DI109" s="17"/>
      <c r="DJ109" s="17"/>
      <c r="DK109" s="16"/>
      <c r="DL109" s="16"/>
      <c r="DM109" s="17"/>
      <c r="DN109" s="17"/>
      <c r="DO109" s="16"/>
      <c r="DP109" s="16"/>
      <c r="DQ109" s="17"/>
      <c r="DR109" s="17"/>
      <c r="DS109" s="16"/>
      <c r="DT109" s="16"/>
      <c r="DU109" s="17"/>
      <c r="DV109" s="17"/>
      <c r="DW109" s="16"/>
      <c r="DX109" s="16"/>
      <c r="DY109" s="17"/>
      <c r="DZ109" s="17"/>
      <c r="EA109" s="16"/>
      <c r="EB109" s="16"/>
      <c r="EC109" s="17"/>
      <c r="ED109" s="17"/>
      <c r="EE109" s="16"/>
      <c r="EF109" s="16"/>
      <c r="EG109" s="17"/>
      <c r="EH109" s="17"/>
      <c r="EI109" s="16"/>
      <c r="EJ109" s="16"/>
      <c r="EK109" s="17"/>
      <c r="EL109" s="17"/>
      <c r="EM109" s="16"/>
      <c r="EN109" s="16"/>
      <c r="EO109" s="17"/>
      <c r="EP109" s="17"/>
      <c r="EQ109" s="16"/>
      <c r="ER109" s="16"/>
      <c r="ES109" s="17"/>
      <c r="ET109" s="17"/>
      <c r="EU109" s="16"/>
      <c r="EV109" s="16"/>
      <c r="EW109" s="17"/>
      <c r="EX109" s="17"/>
      <c r="EY109" s="16"/>
      <c r="EZ109" s="16"/>
      <c r="FA109" s="17"/>
      <c r="FB109" s="17"/>
      <c r="FC109" s="16"/>
      <c r="FD109" s="16"/>
      <c r="FE109" s="17"/>
      <c r="FF109" s="17"/>
      <c r="FG109" s="11"/>
      <c r="GT109" s="11"/>
      <c r="IG109" s="11"/>
      <c r="JT109" s="11"/>
      <c r="LG109" s="11"/>
      <c r="MT109" s="11"/>
      <c r="OG109" s="11"/>
      <c r="PT109" s="11"/>
    </row>
    <row r="110" spans="3:436" ht="15.75" x14ac:dyDescent="0.25">
      <c r="C110" s="20" t="s">
        <v>154</v>
      </c>
      <c r="D110" s="21" t="s">
        <v>129</v>
      </c>
      <c r="H110" s="11"/>
      <c r="AU110" s="11"/>
      <c r="CH110" s="11"/>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7"/>
      <c r="DF110" s="17"/>
      <c r="DG110" s="16"/>
      <c r="DH110" s="16"/>
      <c r="DI110" s="17"/>
      <c r="DJ110" s="17"/>
      <c r="DK110" s="16"/>
      <c r="DL110" s="16"/>
      <c r="DM110" s="17"/>
      <c r="DN110" s="17"/>
      <c r="DO110" s="16"/>
      <c r="DP110" s="16"/>
      <c r="DQ110" s="17"/>
      <c r="DR110" s="17"/>
      <c r="DS110" s="16"/>
      <c r="DT110" s="16"/>
      <c r="DU110" s="17"/>
      <c r="DV110" s="17"/>
      <c r="DW110" s="16"/>
      <c r="DX110" s="16"/>
      <c r="DY110" s="17"/>
      <c r="DZ110" s="17"/>
      <c r="EA110" s="16"/>
      <c r="EB110" s="16"/>
      <c r="EC110" s="17"/>
      <c r="ED110" s="17"/>
      <c r="EE110" s="16"/>
      <c r="EF110" s="16"/>
      <c r="EG110" s="17"/>
      <c r="EH110" s="17"/>
      <c r="EI110" s="16"/>
      <c r="EJ110" s="16"/>
      <c r="EK110" s="17"/>
      <c r="EL110" s="17"/>
      <c r="EM110" s="16"/>
      <c r="EN110" s="16"/>
      <c r="EO110" s="17"/>
      <c r="EP110" s="17"/>
      <c r="EQ110" s="16"/>
      <c r="ER110" s="16"/>
      <c r="ES110" s="17"/>
      <c r="ET110" s="17"/>
      <c r="EU110" s="16"/>
      <c r="EV110" s="16"/>
      <c r="EW110" s="17"/>
      <c r="EX110" s="17"/>
      <c r="EY110" s="16"/>
      <c r="EZ110" s="16"/>
      <c r="FA110" s="17"/>
      <c r="FB110" s="17"/>
      <c r="FC110" s="16"/>
      <c r="FD110" s="16"/>
      <c r="FE110" s="17"/>
      <c r="FF110" s="17"/>
      <c r="FG110" s="11"/>
      <c r="GT110" s="11"/>
      <c r="IG110" s="11"/>
      <c r="JT110" s="11"/>
      <c r="LG110" s="11"/>
      <c r="MT110" s="11"/>
      <c r="OG110" s="11"/>
      <c r="PT110" s="11"/>
    </row>
    <row r="111" spans="3:436" ht="15.75" x14ac:dyDescent="0.25">
      <c r="C111" s="20" t="s">
        <v>155</v>
      </c>
      <c r="D111" s="21" t="s">
        <v>82</v>
      </c>
      <c r="H111" s="11"/>
      <c r="AU111" s="11"/>
      <c r="CH111" s="11"/>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7"/>
      <c r="DF111" s="17"/>
      <c r="DG111" s="16"/>
      <c r="DH111" s="16"/>
      <c r="DI111" s="17"/>
      <c r="DJ111" s="17"/>
      <c r="DK111" s="16"/>
      <c r="DL111" s="16"/>
      <c r="DM111" s="17"/>
      <c r="DN111" s="17"/>
      <c r="DO111" s="16"/>
      <c r="DP111" s="16"/>
      <c r="DQ111" s="17"/>
      <c r="DR111" s="17"/>
      <c r="DS111" s="16"/>
      <c r="DT111" s="16"/>
      <c r="DU111" s="17"/>
      <c r="DV111" s="17"/>
      <c r="DW111" s="16"/>
      <c r="DX111" s="16"/>
      <c r="DY111" s="17"/>
      <c r="DZ111" s="17"/>
      <c r="EA111" s="16"/>
      <c r="EB111" s="16"/>
      <c r="EC111" s="17"/>
      <c r="ED111" s="17"/>
      <c r="EE111" s="16"/>
      <c r="EF111" s="16"/>
      <c r="EG111" s="17"/>
      <c r="EH111" s="17"/>
      <c r="EI111" s="16"/>
      <c r="EJ111" s="16"/>
      <c r="EK111" s="17"/>
      <c r="EL111" s="17"/>
      <c r="EM111" s="16"/>
      <c r="EN111" s="16"/>
      <c r="EO111" s="17"/>
      <c r="EP111" s="17"/>
      <c r="EQ111" s="16"/>
      <c r="ER111" s="16"/>
      <c r="ES111" s="17"/>
      <c r="ET111" s="17"/>
      <c r="EU111" s="16"/>
      <c r="EV111" s="16"/>
      <c r="EW111" s="17"/>
      <c r="EX111" s="17"/>
      <c r="EY111" s="16"/>
      <c r="EZ111" s="16"/>
      <c r="FA111" s="17"/>
      <c r="FB111" s="17"/>
      <c r="FC111" s="16"/>
      <c r="FD111" s="16"/>
      <c r="FE111" s="17"/>
      <c r="FF111" s="17"/>
      <c r="FG111" s="11"/>
      <c r="GT111" s="11"/>
      <c r="IG111" s="11"/>
      <c r="JT111" s="11"/>
      <c r="LG111" s="11"/>
      <c r="MT111" s="11"/>
      <c r="OG111" s="11"/>
      <c r="PT111" s="11"/>
    </row>
    <row r="112" spans="3:436" ht="15.75" x14ac:dyDescent="0.25">
      <c r="C112" s="20" t="s">
        <v>156</v>
      </c>
      <c r="D112" s="21" t="s">
        <v>84</v>
      </c>
      <c r="H112" s="11"/>
      <c r="AU112" s="11"/>
      <c r="CH112" s="11"/>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7"/>
      <c r="DF112" s="17"/>
      <c r="DG112" s="16"/>
      <c r="DH112" s="16"/>
      <c r="DI112" s="17"/>
      <c r="DJ112" s="17"/>
      <c r="DK112" s="16"/>
      <c r="DL112" s="16"/>
      <c r="DM112" s="17"/>
      <c r="DN112" s="17"/>
      <c r="DO112" s="16"/>
      <c r="DP112" s="16"/>
      <c r="DQ112" s="17"/>
      <c r="DR112" s="17"/>
      <c r="DS112" s="16"/>
      <c r="DT112" s="16"/>
      <c r="DU112" s="17"/>
      <c r="DV112" s="17"/>
      <c r="DW112" s="16"/>
      <c r="DX112" s="16"/>
      <c r="DY112" s="17"/>
      <c r="DZ112" s="17"/>
      <c r="EA112" s="16"/>
      <c r="EB112" s="16"/>
      <c r="EC112" s="17"/>
      <c r="ED112" s="17"/>
      <c r="EE112" s="16"/>
      <c r="EF112" s="16"/>
      <c r="EG112" s="17"/>
      <c r="EH112" s="17"/>
      <c r="EI112" s="16"/>
      <c r="EJ112" s="16"/>
      <c r="EK112" s="17"/>
      <c r="EL112" s="17"/>
      <c r="EM112" s="16"/>
      <c r="EN112" s="16"/>
      <c r="EO112" s="17"/>
      <c r="EP112" s="17"/>
      <c r="EQ112" s="16"/>
      <c r="ER112" s="16"/>
      <c r="ES112" s="17"/>
      <c r="ET112" s="17"/>
      <c r="EU112" s="16"/>
      <c r="EV112" s="16"/>
      <c r="EW112" s="17"/>
      <c r="EX112" s="17"/>
      <c r="EY112" s="16"/>
      <c r="EZ112" s="16"/>
      <c r="FA112" s="17"/>
      <c r="FB112" s="17"/>
      <c r="FC112" s="16"/>
      <c r="FD112" s="16"/>
      <c r="FE112" s="17"/>
      <c r="FF112" s="17"/>
      <c r="FG112" s="11"/>
      <c r="GT112" s="11"/>
      <c r="IG112" s="11"/>
      <c r="JT112" s="11"/>
      <c r="LG112" s="11"/>
      <c r="MT112" s="11"/>
      <c r="OG112" s="11"/>
      <c r="PT112" s="11"/>
    </row>
    <row r="113" spans="1:436" ht="15.75" x14ac:dyDescent="0.25">
      <c r="C113" s="20" t="s">
        <v>157</v>
      </c>
      <c r="D113" s="21" t="s">
        <v>142</v>
      </c>
      <c r="H113" s="11"/>
      <c r="AU113" s="11"/>
      <c r="CH113" s="11"/>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7"/>
      <c r="DF113" s="17"/>
      <c r="DG113" s="16"/>
      <c r="DH113" s="16"/>
      <c r="DI113" s="17"/>
      <c r="DJ113" s="17"/>
      <c r="DK113" s="16"/>
      <c r="DL113" s="16"/>
      <c r="DM113" s="17"/>
      <c r="DN113" s="17"/>
      <c r="DO113" s="16"/>
      <c r="DP113" s="16"/>
      <c r="DQ113" s="17"/>
      <c r="DR113" s="17"/>
      <c r="DS113" s="16"/>
      <c r="DT113" s="16"/>
      <c r="DU113" s="17"/>
      <c r="DV113" s="17"/>
      <c r="DW113" s="16"/>
      <c r="DX113" s="16"/>
      <c r="DY113" s="17"/>
      <c r="DZ113" s="17"/>
      <c r="EA113" s="16"/>
      <c r="EB113" s="16"/>
      <c r="EC113" s="17"/>
      <c r="ED113" s="17"/>
      <c r="EE113" s="16"/>
      <c r="EF113" s="16"/>
      <c r="EG113" s="17"/>
      <c r="EH113" s="17"/>
      <c r="EI113" s="16"/>
      <c r="EJ113" s="16"/>
      <c r="EK113" s="17"/>
      <c r="EL113" s="17"/>
      <c r="EM113" s="16"/>
      <c r="EN113" s="16"/>
      <c r="EO113" s="17"/>
      <c r="EP113" s="17"/>
      <c r="EQ113" s="16"/>
      <c r="ER113" s="16"/>
      <c r="ES113" s="17"/>
      <c r="ET113" s="17"/>
      <c r="EU113" s="16"/>
      <c r="EV113" s="16"/>
      <c r="EW113" s="17"/>
      <c r="EX113" s="17"/>
      <c r="EY113" s="16"/>
      <c r="EZ113" s="16"/>
      <c r="FA113" s="17"/>
      <c r="FB113" s="17"/>
      <c r="FC113" s="16"/>
      <c r="FD113" s="16"/>
      <c r="FE113" s="17"/>
      <c r="FF113" s="17"/>
      <c r="FG113" s="11"/>
      <c r="GT113" s="11"/>
      <c r="IG113" s="11"/>
      <c r="JT113" s="11"/>
      <c r="LG113" s="11"/>
      <c r="MT113" s="11"/>
      <c r="OG113" s="11"/>
      <c r="PT113" s="11"/>
    </row>
    <row r="114" spans="1:436" ht="15.75" x14ac:dyDescent="0.25">
      <c r="C114" s="20" t="s">
        <v>158</v>
      </c>
      <c r="D114" s="21" t="s">
        <v>159</v>
      </c>
      <c r="H114" s="11"/>
      <c r="AU114" s="11"/>
      <c r="CH114" s="11"/>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7"/>
      <c r="DF114" s="17"/>
      <c r="DG114" s="16"/>
      <c r="DH114" s="16"/>
      <c r="DI114" s="17"/>
      <c r="DJ114" s="17"/>
      <c r="DK114" s="16"/>
      <c r="DL114" s="16"/>
      <c r="DM114" s="17"/>
      <c r="DN114" s="17"/>
      <c r="DO114" s="16"/>
      <c r="DP114" s="16"/>
      <c r="DQ114" s="17"/>
      <c r="DR114" s="17"/>
      <c r="DS114" s="16"/>
      <c r="DT114" s="16"/>
      <c r="DU114" s="17"/>
      <c r="DV114" s="17"/>
      <c r="DW114" s="16"/>
      <c r="DX114" s="16"/>
      <c r="DY114" s="17"/>
      <c r="DZ114" s="17"/>
      <c r="EA114" s="16"/>
      <c r="EB114" s="16"/>
      <c r="EC114" s="17"/>
      <c r="ED114" s="17"/>
      <c r="EE114" s="16"/>
      <c r="EF114" s="16"/>
      <c r="EG114" s="17"/>
      <c r="EH114" s="17"/>
      <c r="EI114" s="16"/>
      <c r="EJ114" s="16"/>
      <c r="EK114" s="17"/>
      <c r="EL114" s="17"/>
      <c r="EM114" s="16"/>
      <c r="EN114" s="16"/>
      <c r="EO114" s="17"/>
      <c r="EP114" s="17"/>
      <c r="EQ114" s="16"/>
      <c r="ER114" s="16"/>
      <c r="ES114" s="17"/>
      <c r="ET114" s="17"/>
      <c r="EU114" s="16"/>
      <c r="EV114" s="16"/>
      <c r="EW114" s="17"/>
      <c r="EX114" s="17"/>
      <c r="EY114" s="16"/>
      <c r="EZ114" s="16"/>
      <c r="FA114" s="17"/>
      <c r="FB114" s="17"/>
      <c r="FC114" s="16"/>
      <c r="FD114" s="16"/>
      <c r="FE114" s="17"/>
      <c r="FF114" s="17"/>
      <c r="FG114" s="11"/>
      <c r="GT114" s="11"/>
      <c r="IG114" s="11"/>
      <c r="JT114" s="11"/>
      <c r="LG114" s="11"/>
      <c r="MT114" s="11"/>
      <c r="OG114" s="11"/>
      <c r="PT114" s="11"/>
    </row>
    <row r="115" spans="1:436" ht="15.75" x14ac:dyDescent="0.25">
      <c r="C115" s="20" t="s">
        <v>160</v>
      </c>
      <c r="D115" s="21" t="s">
        <v>136</v>
      </c>
      <c r="H115" s="11"/>
      <c r="AU115" s="11"/>
      <c r="CH115" s="11"/>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7"/>
      <c r="DF115" s="17"/>
      <c r="DG115" s="16"/>
      <c r="DH115" s="16"/>
      <c r="DI115" s="17"/>
      <c r="DJ115" s="17"/>
      <c r="DK115" s="16"/>
      <c r="DL115" s="16"/>
      <c r="DM115" s="17"/>
      <c r="DN115" s="17"/>
      <c r="DO115" s="16"/>
      <c r="DP115" s="16"/>
      <c r="DQ115" s="17"/>
      <c r="DR115" s="17"/>
      <c r="DS115" s="16"/>
      <c r="DT115" s="16"/>
      <c r="DU115" s="17"/>
      <c r="DV115" s="17"/>
      <c r="DW115" s="16"/>
      <c r="DX115" s="16"/>
      <c r="DY115" s="17"/>
      <c r="DZ115" s="17"/>
      <c r="EA115" s="16"/>
      <c r="EB115" s="16"/>
      <c r="EC115" s="17"/>
      <c r="ED115" s="17"/>
      <c r="EE115" s="16"/>
      <c r="EF115" s="16"/>
      <c r="EG115" s="17"/>
      <c r="EH115" s="17"/>
      <c r="EI115" s="16"/>
      <c r="EJ115" s="16"/>
      <c r="EK115" s="17"/>
      <c r="EL115" s="17"/>
      <c r="EM115" s="16"/>
      <c r="EN115" s="16"/>
      <c r="EO115" s="17"/>
      <c r="EP115" s="17"/>
      <c r="EQ115" s="16"/>
      <c r="ER115" s="16"/>
      <c r="ES115" s="17"/>
      <c r="ET115" s="17"/>
      <c r="EU115" s="16"/>
      <c r="EV115" s="16"/>
      <c r="EW115" s="17"/>
      <c r="EX115" s="17"/>
      <c r="EY115" s="16"/>
      <c r="EZ115" s="16"/>
      <c r="FA115" s="17"/>
      <c r="FB115" s="17"/>
      <c r="FC115" s="16"/>
      <c r="FD115" s="16"/>
      <c r="FE115" s="17"/>
      <c r="FF115" s="17"/>
      <c r="FG115" s="11"/>
      <c r="GT115" s="11"/>
      <c r="IG115" s="11"/>
      <c r="JT115" s="11"/>
      <c r="LG115" s="11"/>
      <c r="MT115" s="11"/>
      <c r="OG115" s="11"/>
      <c r="PT115" s="11"/>
    </row>
    <row r="116" spans="1:436" ht="15.75" x14ac:dyDescent="0.25">
      <c r="C116" s="20" t="s">
        <v>161</v>
      </c>
      <c r="D116" s="21" t="s">
        <v>162</v>
      </c>
      <c r="H116" s="11"/>
      <c r="AU116" s="11"/>
      <c r="CH116" s="11"/>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7"/>
      <c r="DF116" s="17"/>
      <c r="DG116" s="16"/>
      <c r="DH116" s="16"/>
      <c r="DI116" s="17"/>
      <c r="DJ116" s="17"/>
      <c r="DK116" s="16"/>
      <c r="DL116" s="16"/>
      <c r="DM116" s="17"/>
      <c r="DN116" s="17"/>
      <c r="DO116" s="16"/>
      <c r="DP116" s="16"/>
      <c r="DQ116" s="17"/>
      <c r="DR116" s="17"/>
      <c r="DS116" s="16"/>
      <c r="DT116" s="16"/>
      <c r="DU116" s="17"/>
      <c r="DV116" s="17"/>
      <c r="DW116" s="16"/>
      <c r="DX116" s="16"/>
      <c r="DY116" s="17"/>
      <c r="DZ116" s="17"/>
      <c r="EA116" s="16"/>
      <c r="EB116" s="16"/>
      <c r="EC116" s="17"/>
      <c r="ED116" s="17"/>
      <c r="EE116" s="16"/>
      <c r="EF116" s="16"/>
      <c r="EG116" s="17"/>
      <c r="EH116" s="17"/>
      <c r="EI116" s="16"/>
      <c r="EJ116" s="16"/>
      <c r="EK116" s="17"/>
      <c r="EL116" s="17"/>
      <c r="EM116" s="16"/>
      <c r="EN116" s="16"/>
      <c r="EO116" s="17"/>
      <c r="EP116" s="17"/>
      <c r="EQ116" s="16"/>
      <c r="ER116" s="16"/>
      <c r="ES116" s="17"/>
      <c r="ET116" s="17"/>
      <c r="EU116" s="16"/>
      <c r="EV116" s="16"/>
      <c r="EW116" s="17"/>
      <c r="EX116" s="17"/>
      <c r="EY116" s="16"/>
      <c r="EZ116" s="16"/>
      <c r="FA116" s="17"/>
      <c r="FB116" s="17"/>
      <c r="FC116" s="16"/>
      <c r="FD116" s="16"/>
      <c r="FE116" s="17"/>
      <c r="FF116" s="17"/>
      <c r="FG116" s="11"/>
      <c r="GT116" s="11"/>
      <c r="IG116" s="11"/>
      <c r="JT116" s="11"/>
      <c r="LG116" s="11"/>
      <c r="MT116" s="11"/>
      <c r="OG116" s="11"/>
      <c r="PT116" s="11"/>
    </row>
    <row r="117" spans="1:436" ht="15.75" x14ac:dyDescent="0.25">
      <c r="C117" s="20" t="s">
        <v>163</v>
      </c>
      <c r="D117" s="21" t="s">
        <v>90</v>
      </c>
      <c r="H117" s="11"/>
      <c r="AU117" s="11"/>
      <c r="CH117" s="11"/>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7"/>
      <c r="DF117" s="17"/>
      <c r="DG117" s="16"/>
      <c r="DH117" s="16"/>
      <c r="DI117" s="17"/>
      <c r="DJ117" s="17"/>
      <c r="DK117" s="16"/>
      <c r="DL117" s="16"/>
      <c r="DM117" s="17"/>
      <c r="DN117" s="17"/>
      <c r="DO117" s="16"/>
      <c r="DP117" s="16"/>
      <c r="DQ117" s="17"/>
      <c r="DR117" s="17"/>
      <c r="DS117" s="16"/>
      <c r="DT117" s="16"/>
      <c r="DU117" s="17"/>
      <c r="DV117" s="17"/>
      <c r="DW117" s="16"/>
      <c r="DX117" s="16"/>
      <c r="DY117" s="17"/>
      <c r="DZ117" s="17"/>
      <c r="EA117" s="16"/>
      <c r="EB117" s="16"/>
      <c r="EC117" s="17"/>
      <c r="ED117" s="17"/>
      <c r="EE117" s="16"/>
      <c r="EF117" s="16"/>
      <c r="EG117" s="17"/>
      <c r="EH117" s="17"/>
      <c r="EI117" s="16"/>
      <c r="EJ117" s="16"/>
      <c r="EK117" s="17"/>
      <c r="EL117" s="17"/>
      <c r="EM117" s="16"/>
      <c r="EN117" s="16"/>
      <c r="EO117" s="17"/>
      <c r="EP117" s="17"/>
      <c r="EQ117" s="16"/>
      <c r="ER117" s="16"/>
      <c r="ES117" s="17"/>
      <c r="ET117" s="17"/>
      <c r="EU117" s="16"/>
      <c r="EV117" s="16"/>
      <c r="EW117" s="17"/>
      <c r="EX117" s="17"/>
      <c r="EY117" s="16"/>
      <c r="EZ117" s="16"/>
      <c r="FA117" s="17"/>
      <c r="FB117" s="17"/>
      <c r="FC117" s="16"/>
      <c r="FD117" s="16"/>
      <c r="FE117" s="17"/>
      <c r="FF117" s="17"/>
      <c r="FG117" s="11"/>
      <c r="GT117" s="11"/>
      <c r="IG117" s="11"/>
      <c r="JT117" s="11"/>
      <c r="LG117" s="11"/>
      <c r="MT117" s="11"/>
      <c r="OG117" s="11"/>
      <c r="PT117" s="11"/>
    </row>
    <row r="118" spans="1:436" ht="15.75" x14ac:dyDescent="0.25">
      <c r="C118" s="20" t="s">
        <v>172</v>
      </c>
      <c r="D118" s="21" t="s">
        <v>82</v>
      </c>
      <c r="H118" s="11"/>
      <c r="AU118" s="11"/>
      <c r="CH118" s="11"/>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7"/>
      <c r="DF118" s="17"/>
      <c r="DG118" s="16"/>
      <c r="DH118" s="16"/>
      <c r="DI118" s="17"/>
      <c r="DJ118" s="17"/>
      <c r="DK118" s="16"/>
      <c r="DL118" s="16"/>
      <c r="DM118" s="17"/>
      <c r="DN118" s="17"/>
      <c r="DO118" s="16"/>
      <c r="DP118" s="16"/>
      <c r="DQ118" s="17"/>
      <c r="DR118" s="17"/>
      <c r="DS118" s="16"/>
      <c r="DT118" s="16"/>
      <c r="DU118" s="17"/>
      <c r="DV118" s="17"/>
      <c r="DW118" s="16"/>
      <c r="DX118" s="16"/>
      <c r="DY118" s="17"/>
      <c r="DZ118" s="17"/>
      <c r="EA118" s="16"/>
      <c r="EB118" s="16"/>
      <c r="EC118" s="17"/>
      <c r="ED118" s="17"/>
      <c r="EE118" s="16"/>
      <c r="EF118" s="16"/>
      <c r="EG118" s="17"/>
      <c r="EH118" s="17"/>
      <c r="EI118" s="16"/>
      <c r="EJ118" s="16"/>
      <c r="EK118" s="17"/>
      <c r="EL118" s="17"/>
      <c r="EM118" s="16"/>
      <c r="EN118" s="16"/>
      <c r="EO118" s="17"/>
      <c r="EP118" s="17"/>
      <c r="EQ118" s="16"/>
      <c r="ER118" s="16"/>
      <c r="ES118" s="18">
        <v>2</v>
      </c>
      <c r="ET118" s="18">
        <v>3</v>
      </c>
      <c r="EU118" s="16"/>
      <c r="EV118" s="16"/>
      <c r="EW118" s="17"/>
      <c r="EX118" s="17"/>
      <c r="EY118" s="16"/>
      <c r="EZ118" s="16"/>
      <c r="FA118" s="17"/>
      <c r="FB118" s="17"/>
      <c r="FC118" s="16"/>
      <c r="FD118" s="16"/>
      <c r="FE118" s="17"/>
      <c r="FF118" s="17"/>
      <c r="FG118" s="11"/>
      <c r="GT118" s="11"/>
      <c r="IG118" s="11"/>
      <c r="JT118" s="11"/>
      <c r="LG118" s="11"/>
      <c r="MT118" s="11"/>
      <c r="OG118" s="11"/>
      <c r="PT118" s="11"/>
    </row>
    <row r="119" spans="1:436" ht="15.75" x14ac:dyDescent="0.25">
      <c r="C119" s="20" t="s">
        <v>164</v>
      </c>
      <c r="D119" s="21" t="s">
        <v>79</v>
      </c>
      <c r="H119" s="11"/>
      <c r="AU119" s="11"/>
      <c r="CH119" s="11"/>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7"/>
      <c r="DF119" s="17"/>
      <c r="DG119" s="16"/>
      <c r="DH119" s="16"/>
      <c r="DI119" s="17"/>
      <c r="DJ119" s="17"/>
      <c r="DK119" s="16"/>
      <c r="DL119" s="16"/>
      <c r="DM119" s="17"/>
      <c r="DN119" s="17"/>
      <c r="DO119" s="16"/>
      <c r="DP119" s="16"/>
      <c r="DQ119" s="17"/>
      <c r="DR119" s="17"/>
      <c r="DS119" s="16"/>
      <c r="DT119" s="16"/>
      <c r="DU119" s="17"/>
      <c r="DV119" s="17"/>
      <c r="DW119" s="16"/>
      <c r="DX119" s="16"/>
      <c r="DY119" s="17"/>
      <c r="DZ119" s="17"/>
      <c r="EA119" s="16"/>
      <c r="EB119" s="16"/>
      <c r="EC119" s="17"/>
      <c r="ED119" s="17"/>
      <c r="EE119" s="16"/>
      <c r="EF119" s="16"/>
      <c r="EG119" s="17"/>
      <c r="EH119" s="17"/>
      <c r="EI119" s="16"/>
      <c r="EJ119" s="16"/>
      <c r="EK119" s="17"/>
      <c r="EL119" s="17"/>
      <c r="EM119" s="16"/>
      <c r="EN119" s="16"/>
      <c r="EO119" s="17"/>
      <c r="EP119" s="17"/>
      <c r="EQ119" s="16"/>
      <c r="ER119" s="16"/>
      <c r="ES119" s="17"/>
      <c r="ET119" s="17"/>
      <c r="EU119" s="16"/>
      <c r="EV119" s="16"/>
      <c r="EW119" s="17"/>
      <c r="EX119" s="17"/>
      <c r="EY119" s="16"/>
      <c r="EZ119" s="16"/>
      <c r="FA119" s="17"/>
      <c r="FB119" s="17"/>
      <c r="FC119" s="16"/>
      <c r="FD119" s="16"/>
      <c r="FE119" s="17"/>
      <c r="FF119" s="17"/>
      <c r="FG119" s="11"/>
      <c r="GT119" s="11"/>
      <c r="IG119" s="11"/>
      <c r="JT119" s="11"/>
      <c r="LG119" s="11"/>
      <c r="MT119" s="11"/>
      <c r="OG119" s="11"/>
      <c r="PT119" s="11"/>
    </row>
    <row r="120" spans="1:436" ht="15.75" x14ac:dyDescent="0.25">
      <c r="C120" s="20" t="s">
        <v>165</v>
      </c>
      <c r="D120" s="21" t="s">
        <v>136</v>
      </c>
      <c r="H120" s="11"/>
      <c r="AU120" s="11"/>
      <c r="CH120" s="11"/>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7"/>
      <c r="DF120" s="17"/>
      <c r="DG120" s="16"/>
      <c r="DH120" s="16"/>
      <c r="DI120" s="17"/>
      <c r="DJ120" s="17"/>
      <c r="DK120" s="16"/>
      <c r="DL120" s="16"/>
      <c r="DM120" s="17"/>
      <c r="DN120" s="17"/>
      <c r="DO120" s="16"/>
      <c r="DP120" s="16"/>
      <c r="DQ120" s="17"/>
      <c r="DR120" s="17"/>
      <c r="DS120" s="16"/>
      <c r="DT120" s="16"/>
      <c r="DU120" s="17"/>
      <c r="DV120" s="17"/>
      <c r="DW120" s="16"/>
      <c r="DX120" s="16"/>
      <c r="DY120" s="17"/>
      <c r="DZ120" s="17"/>
      <c r="EA120" s="16"/>
      <c r="EB120" s="16"/>
      <c r="EC120" s="17"/>
      <c r="ED120" s="17"/>
      <c r="EE120" s="16"/>
      <c r="EF120" s="16"/>
      <c r="EG120" s="17"/>
      <c r="EH120" s="17"/>
      <c r="EI120" s="16"/>
      <c r="EJ120" s="16"/>
      <c r="EK120" s="17"/>
      <c r="EL120" s="17"/>
      <c r="EM120" s="16"/>
      <c r="EN120" s="16"/>
      <c r="EO120" s="17"/>
      <c r="EP120" s="17"/>
      <c r="EQ120" s="16"/>
      <c r="ER120" s="16"/>
      <c r="ES120" s="17"/>
      <c r="ET120" s="17"/>
      <c r="EU120" s="16"/>
      <c r="EV120" s="16"/>
      <c r="EW120" s="17"/>
      <c r="EX120" s="17"/>
      <c r="EY120" s="16"/>
      <c r="EZ120" s="16"/>
      <c r="FA120" s="17"/>
      <c r="FB120" s="17"/>
      <c r="FC120" s="16"/>
      <c r="FD120" s="16"/>
      <c r="FE120" s="17"/>
      <c r="FF120" s="17"/>
      <c r="FG120" s="11"/>
      <c r="GT120" s="11"/>
      <c r="IG120" s="11"/>
      <c r="JT120" s="11"/>
      <c r="LG120" s="11"/>
      <c r="MT120" s="11"/>
      <c r="OG120" s="11"/>
      <c r="PT120" s="11"/>
    </row>
    <row r="121" spans="1:436" ht="15.75" x14ac:dyDescent="0.25">
      <c r="C121" s="20" t="s">
        <v>166</v>
      </c>
      <c r="D121" s="21" t="s">
        <v>136</v>
      </c>
      <c r="H121" s="11"/>
      <c r="AU121" s="11"/>
      <c r="CH121" s="11"/>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7"/>
      <c r="DF121" s="17"/>
      <c r="DG121" s="16"/>
      <c r="DH121" s="16"/>
      <c r="DI121" s="17"/>
      <c r="DJ121" s="17"/>
      <c r="DK121" s="16"/>
      <c r="DL121" s="16"/>
      <c r="DM121" s="17"/>
      <c r="DN121" s="17"/>
      <c r="DO121" s="16"/>
      <c r="DP121" s="16"/>
      <c r="DQ121" s="17"/>
      <c r="DR121" s="17"/>
      <c r="DS121" s="16"/>
      <c r="DT121" s="16"/>
      <c r="DU121" s="17"/>
      <c r="DV121" s="17"/>
      <c r="DW121" s="16"/>
      <c r="DX121" s="16"/>
      <c r="DY121" s="17"/>
      <c r="DZ121" s="17"/>
      <c r="EA121" s="16"/>
      <c r="EB121" s="16"/>
      <c r="EC121" s="17"/>
      <c r="ED121" s="17"/>
      <c r="EE121" s="16"/>
      <c r="EF121" s="16"/>
      <c r="EG121" s="17"/>
      <c r="EH121" s="17"/>
      <c r="EI121" s="16"/>
      <c r="EJ121" s="16"/>
      <c r="EK121" s="17"/>
      <c r="EL121" s="17"/>
      <c r="EM121" s="16"/>
      <c r="EN121" s="16"/>
      <c r="EO121" s="17"/>
      <c r="EP121" s="17"/>
      <c r="EQ121" s="16"/>
      <c r="ER121" s="16"/>
      <c r="ES121" s="17"/>
      <c r="ET121" s="17"/>
      <c r="EU121" s="16"/>
      <c r="EV121" s="16"/>
      <c r="EW121" s="17"/>
      <c r="EX121" s="17"/>
      <c r="EY121" s="16"/>
      <c r="EZ121" s="16"/>
      <c r="FA121" s="17"/>
      <c r="FB121" s="17"/>
      <c r="FC121" s="16"/>
      <c r="FD121" s="16"/>
      <c r="FE121" s="17"/>
      <c r="FF121" s="17"/>
      <c r="FG121" s="11"/>
      <c r="GT121" s="11"/>
      <c r="IG121" s="11"/>
      <c r="JT121" s="11"/>
      <c r="LG121" s="11"/>
      <c r="MT121" s="11"/>
      <c r="OG121" s="11"/>
      <c r="PT121" s="11"/>
    </row>
    <row r="122" spans="1:436" ht="15.75" x14ac:dyDescent="0.25">
      <c r="C122" s="20" t="s">
        <v>167</v>
      </c>
      <c r="D122" s="21" t="s">
        <v>136</v>
      </c>
      <c r="H122" s="11"/>
      <c r="AU122" s="11"/>
      <c r="CH122" s="11"/>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7"/>
      <c r="DF122" s="17"/>
      <c r="DG122" s="16"/>
      <c r="DH122" s="16"/>
      <c r="DI122" s="17"/>
      <c r="DJ122" s="17"/>
      <c r="DK122" s="16"/>
      <c r="DL122" s="16"/>
      <c r="DM122" s="17"/>
      <c r="DN122" s="17"/>
      <c r="DO122" s="16"/>
      <c r="DP122" s="16"/>
      <c r="DQ122" s="17"/>
      <c r="DR122" s="17"/>
      <c r="DS122" s="16"/>
      <c r="DT122" s="16"/>
      <c r="DU122" s="17"/>
      <c r="DV122" s="17"/>
      <c r="DW122" s="16"/>
      <c r="DX122" s="16"/>
      <c r="DY122" s="17"/>
      <c r="DZ122" s="17"/>
      <c r="EA122" s="16"/>
      <c r="EB122" s="16"/>
      <c r="EC122" s="17"/>
      <c r="ED122" s="17"/>
      <c r="EE122" s="16"/>
      <c r="EF122" s="16"/>
      <c r="EG122" s="17"/>
      <c r="EH122" s="17"/>
      <c r="EI122" s="16"/>
      <c r="EJ122" s="16"/>
      <c r="EK122" s="17"/>
      <c r="EL122" s="17"/>
      <c r="EM122" s="16"/>
      <c r="EN122" s="16"/>
      <c r="EO122" s="17"/>
      <c r="EP122" s="17"/>
      <c r="EQ122" s="16"/>
      <c r="ER122" s="16"/>
      <c r="ES122" s="17"/>
      <c r="ET122" s="17"/>
      <c r="EU122" s="16"/>
      <c r="EV122" s="16"/>
      <c r="EW122" s="17"/>
      <c r="EX122" s="17"/>
      <c r="EY122" s="16"/>
      <c r="EZ122" s="16"/>
      <c r="FA122" s="17"/>
      <c r="FB122" s="17"/>
      <c r="FC122" s="16"/>
      <c r="FD122" s="16"/>
      <c r="FE122" s="17"/>
      <c r="FF122" s="17"/>
      <c r="FG122" s="11"/>
      <c r="GT122" s="11"/>
      <c r="IG122" s="11"/>
      <c r="JT122" s="11"/>
      <c r="LG122" s="11"/>
      <c r="MT122" s="11"/>
      <c r="OG122" s="11"/>
      <c r="PT122" s="11"/>
    </row>
    <row r="123" spans="1:436" ht="15.75" x14ac:dyDescent="0.25">
      <c r="C123" s="20" t="s">
        <v>168</v>
      </c>
      <c r="D123" s="21" t="s">
        <v>84</v>
      </c>
      <c r="H123" s="11"/>
      <c r="AU123" s="11"/>
      <c r="CH123" s="11"/>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7"/>
      <c r="DF123" s="17"/>
      <c r="DG123" s="16"/>
      <c r="DH123" s="16"/>
      <c r="DI123" s="17"/>
      <c r="DJ123" s="17"/>
      <c r="DK123" s="16"/>
      <c r="DL123" s="16"/>
      <c r="DM123" s="17"/>
      <c r="DN123" s="17"/>
      <c r="DO123" s="16"/>
      <c r="DP123" s="16"/>
      <c r="DQ123" s="17"/>
      <c r="DR123" s="17"/>
      <c r="DS123" s="16"/>
      <c r="DT123" s="16"/>
      <c r="DU123" s="17"/>
      <c r="DV123" s="17"/>
      <c r="DW123" s="16"/>
      <c r="DX123" s="16"/>
      <c r="DY123" s="17"/>
      <c r="DZ123" s="17"/>
      <c r="EA123" s="16"/>
      <c r="EB123" s="16"/>
      <c r="EC123" s="17"/>
      <c r="ED123" s="17"/>
      <c r="EE123" s="16"/>
      <c r="EF123" s="16"/>
      <c r="EG123" s="17"/>
      <c r="EH123" s="17"/>
      <c r="EI123" s="16"/>
      <c r="EJ123" s="16"/>
      <c r="EK123" s="17"/>
      <c r="EL123" s="17"/>
      <c r="EM123" s="16"/>
      <c r="EN123" s="16"/>
      <c r="EO123" s="17"/>
      <c r="EP123" s="17"/>
      <c r="EQ123" s="16"/>
      <c r="ER123" s="16"/>
      <c r="ES123" s="17"/>
      <c r="ET123" s="17"/>
      <c r="EU123" s="16"/>
      <c r="EV123" s="16"/>
      <c r="EW123" s="17"/>
      <c r="EX123" s="17"/>
      <c r="EY123" s="16"/>
      <c r="EZ123" s="16"/>
      <c r="FA123" s="17"/>
      <c r="FB123" s="17"/>
      <c r="FC123" s="16"/>
      <c r="FD123" s="16"/>
      <c r="FE123" s="17"/>
      <c r="FF123" s="17"/>
      <c r="FG123" s="11"/>
      <c r="GT123" s="11"/>
      <c r="IG123" s="11"/>
      <c r="JT123" s="11"/>
      <c r="LG123" s="11"/>
      <c r="MT123" s="11"/>
      <c r="OG123" s="11"/>
      <c r="PT123" s="11"/>
    </row>
    <row r="124" spans="1:436" ht="15.75" x14ac:dyDescent="0.25">
      <c r="C124" s="20" t="s">
        <v>173</v>
      </c>
      <c r="D124" s="21" t="s">
        <v>104</v>
      </c>
      <c r="H124" s="11"/>
      <c r="AU124" s="11"/>
      <c r="CH124" s="11"/>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7"/>
      <c r="DF124" s="17"/>
      <c r="DG124" s="16"/>
      <c r="DH124" s="16"/>
      <c r="DI124" s="17"/>
      <c r="DJ124" s="17"/>
      <c r="DK124" s="16"/>
      <c r="DL124" s="16"/>
      <c r="DM124" s="17"/>
      <c r="DN124" s="17"/>
      <c r="DO124" s="16"/>
      <c r="DP124" s="16"/>
      <c r="DQ124" s="17"/>
      <c r="DR124" s="17"/>
      <c r="DS124" s="16"/>
      <c r="DT124" s="16"/>
      <c r="DU124" s="17"/>
      <c r="DV124" s="17"/>
      <c r="DW124" s="16"/>
      <c r="DX124" s="16"/>
      <c r="DY124" s="17"/>
      <c r="DZ124" s="17"/>
      <c r="EA124" s="16"/>
      <c r="EB124" s="16"/>
      <c r="EC124" s="17"/>
      <c r="ED124" s="17"/>
      <c r="EE124" s="16"/>
      <c r="EF124" s="16"/>
      <c r="EG124" s="17"/>
      <c r="EH124" s="17"/>
      <c r="EI124" s="16"/>
      <c r="EJ124" s="16"/>
      <c r="EK124" s="17"/>
      <c r="EL124" s="17"/>
      <c r="EM124" s="16"/>
      <c r="EN124" s="16"/>
      <c r="EO124" s="17"/>
      <c r="EP124" s="17"/>
      <c r="EQ124" s="16"/>
      <c r="ER124" s="16"/>
      <c r="ES124" s="17"/>
      <c r="ET124" s="17"/>
      <c r="EU124" s="16"/>
      <c r="EV124" s="16"/>
      <c r="EW124" s="17"/>
      <c r="EX124" s="17"/>
      <c r="EY124" s="16"/>
      <c r="EZ124" s="16"/>
      <c r="FA124" s="17"/>
      <c r="FB124" s="17"/>
      <c r="FC124" s="16"/>
      <c r="FD124" s="16"/>
      <c r="FE124" s="17"/>
      <c r="FF124" s="17"/>
      <c r="FG124" s="11"/>
      <c r="GT124" s="11"/>
      <c r="IG124" s="11"/>
      <c r="JT124" s="11"/>
      <c r="LG124" s="11"/>
      <c r="MT124" s="11"/>
      <c r="OG124" s="11"/>
      <c r="PT124" s="11"/>
    </row>
    <row r="125" spans="1:436" ht="15.75" x14ac:dyDescent="0.25">
      <c r="C125" s="20" t="s">
        <v>171</v>
      </c>
      <c r="D125" s="21" t="s">
        <v>90</v>
      </c>
      <c r="H125" s="11"/>
      <c r="AU125" s="11"/>
      <c r="CH125" s="11"/>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7"/>
      <c r="DF125" s="17"/>
      <c r="DG125" s="16"/>
      <c r="DH125" s="16"/>
      <c r="DI125" s="17"/>
      <c r="DJ125" s="17"/>
      <c r="DK125" s="16"/>
      <c r="DL125" s="16"/>
      <c r="DM125" s="17"/>
      <c r="DN125" s="17"/>
      <c r="DO125" s="16"/>
      <c r="DP125" s="16"/>
      <c r="DQ125" s="17"/>
      <c r="DR125" s="17"/>
      <c r="DS125" s="16"/>
      <c r="DT125" s="16"/>
      <c r="DU125" s="17"/>
      <c r="DV125" s="17"/>
      <c r="DW125" s="16"/>
      <c r="DX125" s="16"/>
      <c r="DY125" s="17"/>
      <c r="DZ125" s="17"/>
      <c r="EA125" s="16"/>
      <c r="EB125" s="16"/>
      <c r="EC125" s="17"/>
      <c r="ED125" s="17"/>
      <c r="EE125" s="16"/>
      <c r="EF125" s="16"/>
      <c r="EG125" s="17"/>
      <c r="EH125" s="17"/>
      <c r="EI125" s="16"/>
      <c r="EJ125" s="16"/>
      <c r="EK125" s="17"/>
      <c r="EL125" s="17"/>
      <c r="EM125" s="16"/>
      <c r="EN125" s="16"/>
      <c r="EO125" s="17"/>
      <c r="EP125" s="17"/>
      <c r="EQ125" s="16"/>
      <c r="ER125" s="16"/>
      <c r="ES125" s="17"/>
      <c r="ET125" s="17"/>
      <c r="EU125" s="16"/>
      <c r="EV125" s="16"/>
      <c r="EW125" s="17"/>
      <c r="EX125" s="17"/>
      <c r="EY125" s="16"/>
      <c r="EZ125" s="16"/>
      <c r="FA125" s="17"/>
      <c r="FB125" s="17"/>
      <c r="FC125" s="16"/>
      <c r="FD125" s="16"/>
      <c r="FE125" s="17"/>
      <c r="FF125" s="17"/>
      <c r="FG125" s="11"/>
      <c r="GT125" s="11"/>
      <c r="IG125" s="11"/>
      <c r="JT125" s="11"/>
      <c r="LG125" s="11"/>
      <c r="MT125" s="11"/>
      <c r="OG125" s="11"/>
      <c r="PT125" s="11"/>
    </row>
    <row r="126" spans="1:436" ht="15.75" x14ac:dyDescent="0.25">
      <c r="C126" s="20" t="s">
        <v>174</v>
      </c>
      <c r="D126" s="21" t="s">
        <v>79</v>
      </c>
      <c r="H126" s="11"/>
      <c r="AU126" s="11"/>
      <c r="CH126" s="11"/>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7"/>
      <c r="DF126" s="17"/>
      <c r="DG126" s="16"/>
      <c r="DH126" s="16"/>
      <c r="DI126" s="17"/>
      <c r="DJ126" s="17"/>
      <c r="DK126" s="16"/>
      <c r="DL126" s="16"/>
      <c r="DM126" s="17"/>
      <c r="DN126" s="17"/>
      <c r="DO126" s="16"/>
      <c r="DP126" s="16"/>
      <c r="DQ126" s="17"/>
      <c r="DR126" s="17"/>
      <c r="DS126" s="16"/>
      <c r="DT126" s="16"/>
      <c r="DU126" s="17"/>
      <c r="DV126" s="17"/>
      <c r="DW126" s="16"/>
      <c r="DX126" s="16"/>
      <c r="DY126" s="17"/>
      <c r="DZ126" s="17"/>
      <c r="EA126" s="16"/>
      <c r="EB126" s="16"/>
      <c r="EC126" s="17"/>
      <c r="ED126" s="17"/>
      <c r="EE126" s="16"/>
      <c r="EF126" s="16"/>
      <c r="EG126" s="17"/>
      <c r="EH126" s="17"/>
      <c r="EI126" s="16"/>
      <c r="EJ126" s="16"/>
      <c r="EK126" s="17"/>
      <c r="EL126" s="17"/>
      <c r="EM126" s="16"/>
      <c r="EN126" s="16"/>
      <c r="EO126" s="17"/>
      <c r="EP126" s="17"/>
      <c r="EQ126" s="16"/>
      <c r="ER126" s="16"/>
      <c r="ES126" s="17"/>
      <c r="ET126" s="17"/>
      <c r="EU126" s="16"/>
      <c r="EV126" s="16"/>
      <c r="EW126" s="17"/>
      <c r="EX126" s="17"/>
      <c r="EY126" s="16"/>
      <c r="EZ126" s="16"/>
      <c r="FA126" s="17"/>
      <c r="FB126" s="17"/>
      <c r="FC126" s="16"/>
      <c r="FD126" s="16"/>
      <c r="FE126" s="17"/>
      <c r="FF126" s="17"/>
      <c r="FG126" s="11"/>
      <c r="GT126" s="11"/>
      <c r="IG126" s="11"/>
      <c r="JT126" s="11"/>
      <c r="LG126" s="11"/>
      <c r="MT126" s="11"/>
      <c r="OG126" s="11"/>
      <c r="PT126" s="11"/>
    </row>
    <row r="127" spans="1:436" ht="15.75" x14ac:dyDescent="0.25">
      <c r="C127" s="20" t="s">
        <v>175</v>
      </c>
      <c r="D127" s="21" t="s">
        <v>79</v>
      </c>
      <c r="H127" s="11"/>
      <c r="AU127" s="11"/>
      <c r="CH127" s="11"/>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7"/>
      <c r="DF127" s="17"/>
      <c r="DG127" s="16"/>
      <c r="DH127" s="16"/>
      <c r="DI127" s="17"/>
      <c r="DJ127" s="17"/>
      <c r="DK127" s="16"/>
      <c r="DL127" s="16"/>
      <c r="DM127" s="17"/>
      <c r="DN127" s="17"/>
      <c r="DO127" s="16"/>
      <c r="DP127" s="16"/>
      <c r="DQ127" s="17"/>
      <c r="DR127" s="17"/>
      <c r="DS127" s="16"/>
      <c r="DT127" s="16"/>
      <c r="DU127" s="17"/>
      <c r="DV127" s="17"/>
      <c r="DW127" s="16"/>
      <c r="DX127" s="16"/>
      <c r="DY127" s="17"/>
      <c r="DZ127" s="17"/>
      <c r="EA127" s="16"/>
      <c r="EB127" s="16"/>
      <c r="EC127" s="17"/>
      <c r="ED127" s="17"/>
      <c r="EE127" s="16"/>
      <c r="EF127" s="16"/>
      <c r="EG127" s="17"/>
      <c r="EH127" s="17"/>
      <c r="EI127" s="16"/>
      <c r="EJ127" s="16"/>
      <c r="EK127" s="17"/>
      <c r="EL127" s="17"/>
      <c r="EM127" s="16"/>
      <c r="EN127" s="16"/>
      <c r="EO127" s="17"/>
      <c r="EP127" s="17"/>
      <c r="EQ127" s="16"/>
      <c r="ER127" s="16"/>
      <c r="ES127" s="17"/>
      <c r="ET127" s="17"/>
      <c r="EU127" s="16"/>
      <c r="EV127" s="16"/>
      <c r="EW127" s="17"/>
      <c r="EX127" s="17"/>
      <c r="EY127" s="16"/>
      <c r="EZ127" s="16"/>
      <c r="FA127" s="17"/>
      <c r="FB127" s="17"/>
      <c r="FC127" s="16"/>
      <c r="FD127" s="16"/>
      <c r="FE127" s="17"/>
      <c r="FF127" s="17"/>
      <c r="FG127" s="11"/>
      <c r="GT127" s="11"/>
      <c r="IG127" s="11"/>
      <c r="JT127" s="11"/>
      <c r="LG127" s="11"/>
      <c r="MT127" s="11"/>
      <c r="OG127" s="11"/>
      <c r="PT127" s="11"/>
    </row>
    <row r="128" spans="1:436" ht="15.75" x14ac:dyDescent="0.25">
      <c r="A128" s="13"/>
      <c r="B128" s="14" t="s">
        <v>176</v>
      </c>
      <c r="C128" s="13"/>
      <c r="D128" s="13"/>
      <c r="E128" s="15" t="s">
        <v>127</v>
      </c>
      <c r="F128" s="15" t="s">
        <v>177</v>
      </c>
      <c r="G128" s="13"/>
      <c r="H128" s="11"/>
      <c r="AU128" s="11"/>
      <c r="CH128" s="11"/>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7"/>
      <c r="DF128" s="17"/>
      <c r="DG128" s="16"/>
      <c r="DH128" s="16"/>
      <c r="DI128" s="17"/>
      <c r="DJ128" s="17"/>
      <c r="DK128" s="16"/>
      <c r="DL128" s="16"/>
      <c r="DM128" s="17"/>
      <c r="DN128" s="17"/>
      <c r="DO128" s="16"/>
      <c r="DP128" s="16"/>
      <c r="DQ128" s="17"/>
      <c r="DR128" s="17"/>
      <c r="DS128" s="16"/>
      <c r="DT128" s="16"/>
      <c r="DU128" s="17"/>
      <c r="DV128" s="17"/>
      <c r="DW128" s="16"/>
      <c r="DX128" s="16"/>
      <c r="DY128" s="17"/>
      <c r="DZ128" s="17"/>
      <c r="EA128" s="16"/>
      <c r="EB128" s="16"/>
      <c r="EC128" s="17"/>
      <c r="ED128" s="17"/>
      <c r="EE128" s="16"/>
      <c r="EF128" s="16"/>
      <c r="EG128" s="17"/>
      <c r="EH128" s="17"/>
      <c r="EI128" s="16"/>
      <c r="EJ128" s="16"/>
      <c r="EK128" s="17"/>
      <c r="EL128" s="17"/>
      <c r="EM128" s="16"/>
      <c r="EN128" s="16"/>
      <c r="EO128" s="17"/>
      <c r="EP128" s="17"/>
      <c r="EQ128" s="16"/>
      <c r="ER128" s="16"/>
      <c r="ES128" s="17"/>
      <c r="ET128" s="17"/>
      <c r="EU128" s="16"/>
      <c r="EV128" s="16"/>
      <c r="EW128" s="17"/>
      <c r="EX128" s="17"/>
      <c r="EY128" s="16"/>
      <c r="EZ128" s="16"/>
      <c r="FA128" s="17"/>
      <c r="FB128" s="17"/>
      <c r="FC128" s="16"/>
      <c r="FD128" s="16"/>
      <c r="FE128" s="17"/>
      <c r="FF128" s="17"/>
      <c r="FG128" s="11"/>
      <c r="GT128" s="11"/>
      <c r="IG128" s="11"/>
      <c r="JT128" s="11"/>
      <c r="LG128" s="11"/>
      <c r="MT128" s="11"/>
      <c r="OG128" s="11"/>
      <c r="PT128" s="11"/>
    </row>
    <row r="129" spans="1:436" ht="15.75" x14ac:dyDescent="0.25">
      <c r="A129" s="13"/>
      <c r="B129" s="14" t="s">
        <v>178</v>
      </c>
      <c r="C129" s="13"/>
      <c r="D129" s="13"/>
      <c r="E129" s="15" t="s">
        <v>76</v>
      </c>
      <c r="F129" s="15" t="s">
        <v>77</v>
      </c>
      <c r="G129" s="13"/>
      <c r="H129" s="11"/>
      <c r="AU129" s="11"/>
      <c r="CH129" s="11"/>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7"/>
      <c r="DF129" s="17"/>
      <c r="DG129" s="16"/>
      <c r="DH129" s="16"/>
      <c r="DI129" s="17"/>
      <c r="DJ129" s="18">
        <v>5</v>
      </c>
      <c r="DK129" s="16"/>
      <c r="DL129" s="16"/>
      <c r="DM129" s="17"/>
      <c r="DN129" s="17"/>
      <c r="DO129" s="16"/>
      <c r="DP129" s="16"/>
      <c r="DQ129" s="17"/>
      <c r="DR129" s="17"/>
      <c r="DS129" s="16"/>
      <c r="DT129" s="16"/>
      <c r="DU129" s="17"/>
      <c r="DV129" s="17"/>
      <c r="DW129" s="16"/>
      <c r="DX129" s="19">
        <v>20</v>
      </c>
      <c r="DY129" s="17"/>
      <c r="DZ129" s="17"/>
      <c r="EA129" s="16"/>
      <c r="EB129" s="16"/>
      <c r="EC129" s="17"/>
      <c r="ED129" s="17"/>
      <c r="EE129" s="16"/>
      <c r="EF129" s="16"/>
      <c r="EG129" s="17"/>
      <c r="EH129" s="17"/>
      <c r="EI129" s="16"/>
      <c r="EJ129" s="16"/>
      <c r="EK129" s="17"/>
      <c r="EL129" s="17"/>
      <c r="EM129" s="16"/>
      <c r="EN129" s="19">
        <v>10</v>
      </c>
      <c r="EO129" s="17"/>
      <c r="EP129" s="17"/>
      <c r="EQ129" s="16"/>
      <c r="ER129" s="16"/>
      <c r="ES129" s="17"/>
      <c r="ET129" s="18">
        <v>5</v>
      </c>
      <c r="EU129" s="16"/>
      <c r="EV129" s="16"/>
      <c r="EW129" s="17"/>
      <c r="EX129" s="17"/>
      <c r="EY129" s="16"/>
      <c r="EZ129" s="16"/>
      <c r="FA129" s="17"/>
      <c r="FB129" s="17"/>
      <c r="FC129" s="16"/>
      <c r="FD129" s="16"/>
      <c r="FE129" s="17"/>
      <c r="FF129" s="17"/>
      <c r="FG129" s="11"/>
      <c r="GT129" s="11"/>
      <c r="IG129" s="11"/>
      <c r="JT129" s="11"/>
      <c r="LG129" s="11"/>
      <c r="MT129" s="11"/>
      <c r="OG129" s="11"/>
      <c r="PT129" s="11"/>
    </row>
    <row r="130" spans="1:436" ht="15.75" x14ac:dyDescent="0.25">
      <c r="C130" s="20" t="s">
        <v>179</v>
      </c>
      <c r="D130" s="21" t="s">
        <v>162</v>
      </c>
      <c r="H130" s="11"/>
      <c r="AU130" s="11"/>
      <c r="CH130" s="11"/>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7"/>
      <c r="DF130" s="17"/>
      <c r="DG130" s="16"/>
      <c r="DH130" s="16"/>
      <c r="DI130" s="17"/>
      <c r="DJ130" s="17"/>
      <c r="DK130" s="16"/>
      <c r="DL130" s="16"/>
      <c r="DM130" s="17"/>
      <c r="DN130" s="17"/>
      <c r="DO130" s="16"/>
      <c r="DP130" s="16"/>
      <c r="DQ130" s="17"/>
      <c r="DR130" s="17"/>
      <c r="DS130" s="16"/>
      <c r="DT130" s="16"/>
      <c r="DU130" s="17"/>
      <c r="DV130" s="17"/>
      <c r="DW130" s="16"/>
      <c r="DX130" s="16"/>
      <c r="DY130" s="17"/>
      <c r="DZ130" s="17"/>
      <c r="EA130" s="16"/>
      <c r="EB130" s="16"/>
      <c r="EC130" s="17"/>
      <c r="ED130" s="17"/>
      <c r="EE130" s="16"/>
      <c r="EF130" s="16"/>
      <c r="EG130" s="17"/>
      <c r="EH130" s="17"/>
      <c r="EI130" s="16"/>
      <c r="EJ130" s="16"/>
      <c r="EK130" s="17"/>
      <c r="EL130" s="17"/>
      <c r="EM130" s="16"/>
      <c r="EN130" s="16"/>
      <c r="EO130" s="17"/>
      <c r="EP130" s="17"/>
      <c r="EQ130" s="16"/>
      <c r="ER130" s="16"/>
      <c r="ES130" s="17"/>
      <c r="ET130" s="17"/>
      <c r="EU130" s="16"/>
      <c r="EV130" s="16"/>
      <c r="EW130" s="17"/>
      <c r="EX130" s="17"/>
      <c r="EY130" s="16"/>
      <c r="EZ130" s="16"/>
      <c r="FA130" s="17"/>
      <c r="FB130" s="17"/>
      <c r="FC130" s="16"/>
      <c r="FD130" s="16"/>
      <c r="FE130" s="17"/>
      <c r="FF130" s="17"/>
      <c r="FG130" s="11"/>
      <c r="GT130" s="11"/>
      <c r="IG130" s="11"/>
      <c r="JT130" s="11"/>
      <c r="LG130" s="11"/>
      <c r="MT130" s="11"/>
      <c r="OG130" s="11"/>
      <c r="PT130" s="11"/>
    </row>
    <row r="131" spans="1:436" ht="15.75" x14ac:dyDescent="0.25">
      <c r="C131" s="20" t="s">
        <v>180</v>
      </c>
      <c r="D131" s="21" t="s">
        <v>129</v>
      </c>
      <c r="H131" s="11"/>
      <c r="AU131" s="11"/>
      <c r="CH131" s="11"/>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7"/>
      <c r="DF131" s="17"/>
      <c r="DG131" s="16"/>
      <c r="DH131" s="16"/>
      <c r="DI131" s="17"/>
      <c r="DJ131" s="17"/>
      <c r="DK131" s="16"/>
      <c r="DL131" s="16"/>
      <c r="DM131" s="17"/>
      <c r="DN131" s="17"/>
      <c r="DO131" s="16"/>
      <c r="DP131" s="16"/>
      <c r="DQ131" s="17"/>
      <c r="DR131" s="17"/>
      <c r="DS131" s="16"/>
      <c r="DT131" s="16"/>
      <c r="DU131" s="17"/>
      <c r="DV131" s="17"/>
      <c r="DW131" s="16"/>
      <c r="DX131" s="16"/>
      <c r="DY131" s="17"/>
      <c r="DZ131" s="17"/>
      <c r="EA131" s="16"/>
      <c r="EB131" s="16"/>
      <c r="EC131" s="17"/>
      <c r="ED131" s="17"/>
      <c r="EE131" s="16"/>
      <c r="EF131" s="16"/>
      <c r="EG131" s="17"/>
      <c r="EH131" s="17"/>
      <c r="EI131" s="16"/>
      <c r="EJ131" s="16"/>
      <c r="EK131" s="17"/>
      <c r="EL131" s="17"/>
      <c r="EM131" s="16"/>
      <c r="EN131" s="16"/>
      <c r="EO131" s="17"/>
      <c r="EP131" s="17"/>
      <c r="EQ131" s="16"/>
      <c r="ER131" s="16"/>
      <c r="ES131" s="17"/>
      <c r="ET131" s="17"/>
      <c r="EU131" s="16"/>
      <c r="EV131" s="16"/>
      <c r="EW131" s="17"/>
      <c r="EX131" s="17"/>
      <c r="EY131" s="16"/>
      <c r="EZ131" s="16"/>
      <c r="FA131" s="17"/>
      <c r="FB131" s="17"/>
      <c r="FC131" s="16"/>
      <c r="FD131" s="16"/>
      <c r="FE131" s="17"/>
      <c r="FF131" s="17"/>
      <c r="FG131" s="11"/>
      <c r="GT131" s="11"/>
      <c r="IG131" s="11"/>
      <c r="JT131" s="11"/>
      <c r="LG131" s="11"/>
      <c r="MT131" s="11"/>
      <c r="OG131" s="11"/>
      <c r="PT131" s="11"/>
    </row>
    <row r="132" spans="1:436" ht="15.75" x14ac:dyDescent="0.25">
      <c r="C132" s="20" t="s">
        <v>181</v>
      </c>
      <c r="D132" s="21" t="s">
        <v>129</v>
      </c>
      <c r="H132" s="11"/>
      <c r="AU132" s="11"/>
      <c r="CH132" s="11"/>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7"/>
      <c r="DF132" s="17"/>
      <c r="DG132" s="16"/>
      <c r="DH132" s="16"/>
      <c r="DI132" s="17"/>
      <c r="DJ132" s="17"/>
      <c r="DK132" s="16"/>
      <c r="DL132" s="16"/>
      <c r="DM132" s="17"/>
      <c r="DN132" s="17"/>
      <c r="DO132" s="16"/>
      <c r="DP132" s="16"/>
      <c r="DQ132" s="17"/>
      <c r="DR132" s="17"/>
      <c r="DS132" s="16"/>
      <c r="DT132" s="16"/>
      <c r="DU132" s="17"/>
      <c r="DV132" s="17"/>
      <c r="DW132" s="16"/>
      <c r="DX132" s="16"/>
      <c r="DY132" s="17"/>
      <c r="DZ132" s="17"/>
      <c r="EA132" s="16"/>
      <c r="EB132" s="16"/>
      <c r="EC132" s="17"/>
      <c r="ED132" s="17"/>
      <c r="EE132" s="16"/>
      <c r="EF132" s="16"/>
      <c r="EG132" s="17"/>
      <c r="EH132" s="17"/>
      <c r="EI132" s="16"/>
      <c r="EJ132" s="16"/>
      <c r="EK132" s="17"/>
      <c r="EL132" s="17"/>
      <c r="EM132" s="16"/>
      <c r="EN132" s="16"/>
      <c r="EO132" s="17"/>
      <c r="EP132" s="17"/>
      <c r="EQ132" s="16"/>
      <c r="ER132" s="16"/>
      <c r="ES132" s="17"/>
      <c r="ET132" s="17"/>
      <c r="EU132" s="16"/>
      <c r="EV132" s="16"/>
      <c r="EW132" s="17"/>
      <c r="EX132" s="17"/>
      <c r="EY132" s="16"/>
      <c r="EZ132" s="16"/>
      <c r="FA132" s="17"/>
      <c r="FB132" s="17"/>
      <c r="FC132" s="16"/>
      <c r="FD132" s="16"/>
      <c r="FE132" s="17"/>
      <c r="FF132" s="17"/>
      <c r="FG132" s="11"/>
      <c r="GT132" s="11"/>
      <c r="IG132" s="11"/>
      <c r="JT132" s="11"/>
      <c r="LG132" s="11"/>
      <c r="MT132" s="11"/>
      <c r="OG132" s="11"/>
      <c r="PT132" s="11"/>
    </row>
    <row r="133" spans="1:436" ht="15.75" x14ac:dyDescent="0.25">
      <c r="C133" s="20" t="s">
        <v>182</v>
      </c>
      <c r="D133" s="21" t="s">
        <v>129</v>
      </c>
      <c r="H133" s="11"/>
      <c r="AU133" s="11"/>
      <c r="CH133" s="11"/>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7"/>
      <c r="DF133" s="17"/>
      <c r="DG133" s="16"/>
      <c r="DH133" s="16"/>
      <c r="DI133" s="17"/>
      <c r="DJ133" s="17"/>
      <c r="DK133" s="16"/>
      <c r="DL133" s="16"/>
      <c r="DM133" s="17"/>
      <c r="DN133" s="17"/>
      <c r="DO133" s="16"/>
      <c r="DP133" s="16"/>
      <c r="DQ133" s="17"/>
      <c r="DR133" s="17"/>
      <c r="DS133" s="16"/>
      <c r="DT133" s="16"/>
      <c r="DU133" s="17"/>
      <c r="DV133" s="17"/>
      <c r="DW133" s="16"/>
      <c r="DX133" s="16"/>
      <c r="DY133" s="17"/>
      <c r="DZ133" s="17"/>
      <c r="EA133" s="16"/>
      <c r="EB133" s="16"/>
      <c r="EC133" s="17"/>
      <c r="ED133" s="17"/>
      <c r="EE133" s="16"/>
      <c r="EF133" s="16"/>
      <c r="EG133" s="17"/>
      <c r="EH133" s="17"/>
      <c r="EI133" s="16"/>
      <c r="EJ133" s="16"/>
      <c r="EK133" s="17"/>
      <c r="EL133" s="17"/>
      <c r="EM133" s="16"/>
      <c r="EN133" s="16"/>
      <c r="EO133" s="17"/>
      <c r="EP133" s="17"/>
      <c r="EQ133" s="16"/>
      <c r="ER133" s="16"/>
      <c r="ES133" s="17"/>
      <c r="ET133" s="17"/>
      <c r="EU133" s="16"/>
      <c r="EV133" s="16"/>
      <c r="EW133" s="17"/>
      <c r="EX133" s="17"/>
      <c r="EY133" s="16"/>
      <c r="EZ133" s="16"/>
      <c r="FA133" s="17"/>
      <c r="FB133" s="17"/>
      <c r="FC133" s="16"/>
      <c r="FD133" s="16"/>
      <c r="FE133" s="17"/>
      <c r="FF133" s="17"/>
      <c r="FG133" s="11"/>
      <c r="GT133" s="11"/>
      <c r="IG133" s="11"/>
      <c r="JT133" s="11"/>
      <c r="LG133" s="11"/>
      <c r="MT133" s="11"/>
      <c r="OG133" s="11"/>
      <c r="PT133" s="11"/>
    </row>
    <row r="134" spans="1:436" ht="15.75" x14ac:dyDescent="0.25">
      <c r="C134" s="20" t="s">
        <v>183</v>
      </c>
      <c r="D134" s="21" t="s">
        <v>162</v>
      </c>
      <c r="H134" s="11"/>
      <c r="AU134" s="11"/>
      <c r="CH134" s="11"/>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7"/>
      <c r="DF134" s="17"/>
      <c r="DG134" s="16"/>
      <c r="DH134" s="16"/>
      <c r="DI134" s="17"/>
      <c r="DJ134" s="17"/>
      <c r="DK134" s="16"/>
      <c r="DL134" s="16"/>
      <c r="DM134" s="17"/>
      <c r="DN134" s="17"/>
      <c r="DO134" s="16"/>
      <c r="DP134" s="16"/>
      <c r="DQ134" s="17"/>
      <c r="DR134" s="17"/>
      <c r="DS134" s="16"/>
      <c r="DT134" s="16"/>
      <c r="DU134" s="17"/>
      <c r="DV134" s="17"/>
      <c r="DW134" s="16"/>
      <c r="DX134" s="16"/>
      <c r="DY134" s="17"/>
      <c r="DZ134" s="17"/>
      <c r="EA134" s="16"/>
      <c r="EB134" s="16"/>
      <c r="EC134" s="17"/>
      <c r="ED134" s="17"/>
      <c r="EE134" s="16"/>
      <c r="EF134" s="16"/>
      <c r="EG134" s="17"/>
      <c r="EH134" s="17"/>
      <c r="EI134" s="16"/>
      <c r="EJ134" s="16"/>
      <c r="EK134" s="17"/>
      <c r="EL134" s="17"/>
      <c r="EM134" s="16"/>
      <c r="EN134" s="16"/>
      <c r="EO134" s="17"/>
      <c r="EP134" s="17"/>
      <c r="EQ134" s="16"/>
      <c r="ER134" s="16"/>
      <c r="ES134" s="17"/>
      <c r="ET134" s="17"/>
      <c r="EU134" s="16"/>
      <c r="EV134" s="16"/>
      <c r="EW134" s="17"/>
      <c r="EX134" s="17"/>
      <c r="EY134" s="16"/>
      <c r="EZ134" s="16"/>
      <c r="FA134" s="17"/>
      <c r="FB134" s="17"/>
      <c r="FC134" s="16"/>
      <c r="FD134" s="16"/>
      <c r="FE134" s="17"/>
      <c r="FF134" s="17"/>
      <c r="FG134" s="11"/>
      <c r="GT134" s="11"/>
      <c r="IG134" s="11"/>
      <c r="JT134" s="11"/>
      <c r="LG134" s="11"/>
      <c r="MT134" s="11"/>
      <c r="OG134" s="11"/>
      <c r="PT134" s="11"/>
    </row>
    <row r="135" spans="1:436" ht="15.75" x14ac:dyDescent="0.25">
      <c r="C135" s="20" t="s">
        <v>184</v>
      </c>
      <c r="D135" s="21" t="s">
        <v>162</v>
      </c>
      <c r="H135" s="11"/>
      <c r="AU135" s="11"/>
      <c r="CH135" s="11"/>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7"/>
      <c r="DF135" s="17"/>
      <c r="DG135" s="16"/>
      <c r="DH135" s="16"/>
      <c r="DI135" s="17"/>
      <c r="DJ135" s="17"/>
      <c r="DK135" s="16"/>
      <c r="DL135" s="16"/>
      <c r="DM135" s="17"/>
      <c r="DN135" s="17"/>
      <c r="DO135" s="16"/>
      <c r="DP135" s="16"/>
      <c r="DQ135" s="17"/>
      <c r="DR135" s="17"/>
      <c r="DS135" s="16"/>
      <c r="DT135" s="16"/>
      <c r="DU135" s="17"/>
      <c r="DV135" s="17"/>
      <c r="DW135" s="16"/>
      <c r="DX135" s="16"/>
      <c r="DY135" s="17"/>
      <c r="DZ135" s="17"/>
      <c r="EA135" s="16"/>
      <c r="EB135" s="16"/>
      <c r="EC135" s="17"/>
      <c r="ED135" s="17"/>
      <c r="EE135" s="16"/>
      <c r="EF135" s="16"/>
      <c r="EG135" s="17"/>
      <c r="EH135" s="17"/>
      <c r="EI135" s="16"/>
      <c r="EJ135" s="16"/>
      <c r="EK135" s="17"/>
      <c r="EL135" s="17"/>
      <c r="EM135" s="16"/>
      <c r="EN135" s="16"/>
      <c r="EO135" s="17"/>
      <c r="EP135" s="17"/>
      <c r="EQ135" s="16"/>
      <c r="ER135" s="16"/>
      <c r="ES135" s="17"/>
      <c r="ET135" s="17"/>
      <c r="EU135" s="16"/>
      <c r="EV135" s="16"/>
      <c r="EW135" s="17"/>
      <c r="EX135" s="17"/>
      <c r="EY135" s="16"/>
      <c r="EZ135" s="16"/>
      <c r="FA135" s="17"/>
      <c r="FB135" s="17"/>
      <c r="FC135" s="16"/>
      <c r="FD135" s="16"/>
      <c r="FE135" s="17"/>
      <c r="FF135" s="17"/>
      <c r="FG135" s="11"/>
      <c r="GT135" s="11"/>
      <c r="IG135" s="11"/>
      <c r="JT135" s="11"/>
      <c r="LG135" s="11"/>
      <c r="MT135" s="11"/>
      <c r="OG135" s="11"/>
      <c r="PT135" s="11"/>
    </row>
    <row r="136" spans="1:436" ht="15.75" x14ac:dyDescent="0.25">
      <c r="C136" s="20" t="s">
        <v>185</v>
      </c>
      <c r="D136" s="21" t="s">
        <v>162</v>
      </c>
      <c r="H136" s="11"/>
      <c r="AU136" s="11"/>
      <c r="CH136" s="11"/>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7"/>
      <c r="DF136" s="17"/>
      <c r="DG136" s="16"/>
      <c r="DH136" s="16"/>
      <c r="DI136" s="17"/>
      <c r="DJ136" s="17"/>
      <c r="DK136" s="16"/>
      <c r="DL136" s="16"/>
      <c r="DM136" s="17"/>
      <c r="DN136" s="17"/>
      <c r="DO136" s="16"/>
      <c r="DP136" s="16"/>
      <c r="DQ136" s="17"/>
      <c r="DR136" s="17"/>
      <c r="DS136" s="16"/>
      <c r="DT136" s="16"/>
      <c r="DU136" s="17"/>
      <c r="DV136" s="17"/>
      <c r="DW136" s="16"/>
      <c r="DX136" s="16"/>
      <c r="DY136" s="17"/>
      <c r="DZ136" s="17"/>
      <c r="EA136" s="16"/>
      <c r="EB136" s="16"/>
      <c r="EC136" s="17"/>
      <c r="ED136" s="17"/>
      <c r="EE136" s="16"/>
      <c r="EF136" s="16"/>
      <c r="EG136" s="17"/>
      <c r="EH136" s="17"/>
      <c r="EI136" s="16"/>
      <c r="EJ136" s="16"/>
      <c r="EK136" s="17"/>
      <c r="EL136" s="17"/>
      <c r="EM136" s="16"/>
      <c r="EN136" s="16"/>
      <c r="EO136" s="17"/>
      <c r="EP136" s="17"/>
      <c r="EQ136" s="16"/>
      <c r="ER136" s="16"/>
      <c r="ES136" s="17"/>
      <c r="ET136" s="17"/>
      <c r="EU136" s="16"/>
      <c r="EV136" s="16"/>
      <c r="EW136" s="17"/>
      <c r="EX136" s="17"/>
      <c r="EY136" s="16"/>
      <c r="EZ136" s="16"/>
      <c r="FA136" s="17"/>
      <c r="FB136" s="17"/>
      <c r="FC136" s="16"/>
      <c r="FD136" s="16"/>
      <c r="FE136" s="17"/>
      <c r="FF136" s="17"/>
      <c r="FG136" s="11"/>
      <c r="GT136" s="11"/>
      <c r="IG136" s="11"/>
      <c r="JT136" s="11"/>
      <c r="LG136" s="11"/>
      <c r="MT136" s="11"/>
      <c r="OG136" s="11"/>
      <c r="PT136" s="11"/>
    </row>
    <row r="137" spans="1:436" ht="15.75" x14ac:dyDescent="0.25">
      <c r="C137" s="20" t="s">
        <v>186</v>
      </c>
      <c r="D137" s="21" t="s">
        <v>162</v>
      </c>
      <c r="H137" s="11"/>
      <c r="AU137" s="11"/>
      <c r="CH137" s="11"/>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7"/>
      <c r="DF137" s="17"/>
      <c r="DG137" s="16"/>
      <c r="DH137" s="16"/>
      <c r="DI137" s="17"/>
      <c r="DJ137" s="17"/>
      <c r="DK137" s="16"/>
      <c r="DL137" s="16"/>
      <c r="DM137" s="17"/>
      <c r="DN137" s="17"/>
      <c r="DO137" s="16"/>
      <c r="DP137" s="16"/>
      <c r="DQ137" s="17"/>
      <c r="DR137" s="17"/>
      <c r="DS137" s="16"/>
      <c r="DT137" s="16"/>
      <c r="DU137" s="17"/>
      <c r="DV137" s="17"/>
      <c r="DW137" s="16"/>
      <c r="DX137" s="16"/>
      <c r="DY137" s="17"/>
      <c r="DZ137" s="17"/>
      <c r="EA137" s="16"/>
      <c r="EB137" s="16"/>
      <c r="EC137" s="17"/>
      <c r="ED137" s="17"/>
      <c r="EE137" s="16"/>
      <c r="EF137" s="16"/>
      <c r="EG137" s="17"/>
      <c r="EH137" s="17"/>
      <c r="EI137" s="16"/>
      <c r="EJ137" s="16"/>
      <c r="EK137" s="17"/>
      <c r="EL137" s="17"/>
      <c r="EM137" s="16"/>
      <c r="EN137" s="16"/>
      <c r="EO137" s="17"/>
      <c r="EP137" s="17"/>
      <c r="EQ137" s="16"/>
      <c r="ER137" s="16"/>
      <c r="ES137" s="17"/>
      <c r="ET137" s="17"/>
      <c r="EU137" s="16"/>
      <c r="EV137" s="16"/>
      <c r="EW137" s="17"/>
      <c r="EX137" s="17"/>
      <c r="EY137" s="16"/>
      <c r="EZ137" s="16"/>
      <c r="FA137" s="17"/>
      <c r="FB137" s="17"/>
      <c r="FC137" s="16"/>
      <c r="FD137" s="16"/>
      <c r="FE137" s="17"/>
      <c r="FF137" s="17"/>
      <c r="FG137" s="11"/>
      <c r="GT137" s="11"/>
      <c r="IG137" s="11"/>
      <c r="JT137" s="11"/>
      <c r="LG137" s="11"/>
      <c r="MT137" s="11"/>
      <c r="OG137" s="11"/>
      <c r="PT137" s="11"/>
    </row>
    <row r="138" spans="1:436" ht="15.75" x14ac:dyDescent="0.25">
      <c r="C138" s="20" t="s">
        <v>187</v>
      </c>
      <c r="D138" s="21" t="s">
        <v>162</v>
      </c>
      <c r="H138" s="11"/>
      <c r="AU138" s="11"/>
      <c r="CH138" s="11"/>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7"/>
      <c r="DF138" s="17"/>
      <c r="DG138" s="16"/>
      <c r="DH138" s="16"/>
      <c r="DI138" s="17"/>
      <c r="DJ138" s="17"/>
      <c r="DK138" s="16"/>
      <c r="DL138" s="16"/>
      <c r="DM138" s="17"/>
      <c r="DN138" s="17"/>
      <c r="DO138" s="16"/>
      <c r="DP138" s="16"/>
      <c r="DQ138" s="17"/>
      <c r="DR138" s="17"/>
      <c r="DS138" s="16"/>
      <c r="DT138" s="16"/>
      <c r="DU138" s="17"/>
      <c r="DV138" s="17"/>
      <c r="DW138" s="16"/>
      <c r="DX138" s="16"/>
      <c r="DY138" s="17"/>
      <c r="DZ138" s="17"/>
      <c r="EA138" s="16"/>
      <c r="EB138" s="16"/>
      <c r="EC138" s="17"/>
      <c r="ED138" s="17"/>
      <c r="EE138" s="16"/>
      <c r="EF138" s="16"/>
      <c r="EG138" s="17"/>
      <c r="EH138" s="17"/>
      <c r="EI138" s="16"/>
      <c r="EJ138" s="16"/>
      <c r="EK138" s="17"/>
      <c r="EL138" s="17"/>
      <c r="EM138" s="16"/>
      <c r="EN138" s="16"/>
      <c r="EO138" s="17"/>
      <c r="EP138" s="17"/>
      <c r="EQ138" s="16"/>
      <c r="ER138" s="16"/>
      <c r="ES138" s="17"/>
      <c r="ET138" s="17"/>
      <c r="EU138" s="16"/>
      <c r="EV138" s="16"/>
      <c r="EW138" s="17"/>
      <c r="EX138" s="17"/>
      <c r="EY138" s="16"/>
      <c r="EZ138" s="16"/>
      <c r="FA138" s="17"/>
      <c r="FB138" s="17"/>
      <c r="FC138" s="16"/>
      <c r="FD138" s="16"/>
      <c r="FE138" s="17"/>
      <c r="FF138" s="17"/>
      <c r="FG138" s="11"/>
      <c r="GT138" s="11"/>
      <c r="IG138" s="11"/>
      <c r="JT138" s="11"/>
      <c r="LG138" s="11"/>
      <c r="MT138" s="11"/>
      <c r="OG138" s="11"/>
      <c r="PT138" s="11"/>
    </row>
    <row r="139" spans="1:436" ht="15.75" x14ac:dyDescent="0.25">
      <c r="A139" s="13"/>
      <c r="B139" s="14" t="s">
        <v>188</v>
      </c>
      <c r="C139" s="13"/>
      <c r="D139" s="13"/>
      <c r="E139" s="15" t="s">
        <v>127</v>
      </c>
      <c r="F139" s="15" t="s">
        <v>177</v>
      </c>
      <c r="G139" s="13"/>
      <c r="H139" s="11"/>
      <c r="AU139" s="11"/>
      <c r="CH139" s="11"/>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7"/>
      <c r="DF139" s="17"/>
      <c r="DG139" s="16"/>
      <c r="DH139" s="16"/>
      <c r="DI139" s="17"/>
      <c r="DJ139" s="18">
        <v>20</v>
      </c>
      <c r="DK139" s="16"/>
      <c r="DL139" s="16"/>
      <c r="DM139" s="17"/>
      <c r="DN139" s="17"/>
      <c r="DO139" s="16"/>
      <c r="DP139" s="16"/>
      <c r="DQ139" s="17"/>
      <c r="DR139" s="17"/>
      <c r="DS139" s="16"/>
      <c r="DT139" s="16"/>
      <c r="DU139" s="17"/>
      <c r="DV139" s="17"/>
      <c r="DW139" s="16"/>
      <c r="DX139" s="19">
        <v>20</v>
      </c>
      <c r="DY139" s="17"/>
      <c r="DZ139" s="17"/>
      <c r="EA139" s="16"/>
      <c r="EB139" s="16"/>
      <c r="EC139" s="17"/>
      <c r="ED139" s="17"/>
      <c r="EE139" s="16"/>
      <c r="EF139" s="16"/>
      <c r="EG139" s="17"/>
      <c r="EH139" s="17"/>
      <c r="EI139" s="16"/>
      <c r="EJ139" s="16"/>
      <c r="EK139" s="17"/>
      <c r="EL139" s="17"/>
      <c r="EM139" s="16"/>
      <c r="EN139" s="19">
        <v>10</v>
      </c>
      <c r="EO139" s="17"/>
      <c r="EP139" s="17"/>
      <c r="EQ139" s="16"/>
      <c r="ER139" s="16"/>
      <c r="ES139" s="17"/>
      <c r="ET139" s="18">
        <v>60</v>
      </c>
      <c r="EU139" s="16"/>
      <c r="EV139" s="16"/>
      <c r="EW139" s="17"/>
      <c r="EX139" s="17"/>
      <c r="EY139" s="16"/>
      <c r="EZ139" s="16"/>
      <c r="FA139" s="17"/>
      <c r="FB139" s="17"/>
      <c r="FC139" s="16"/>
      <c r="FD139" s="16"/>
      <c r="FE139" s="17"/>
      <c r="FF139" s="17"/>
      <c r="FG139" s="11"/>
      <c r="GT139" s="11"/>
      <c r="IG139" s="11"/>
      <c r="JT139" s="11"/>
      <c r="LG139" s="11"/>
      <c r="MT139" s="11"/>
      <c r="OG139" s="11"/>
      <c r="PT139" s="11"/>
    </row>
    <row r="140" spans="1:436" ht="15.75" x14ac:dyDescent="0.25">
      <c r="C140" s="20" t="s">
        <v>189</v>
      </c>
      <c r="D140" s="21" t="s">
        <v>79</v>
      </c>
      <c r="H140" s="11"/>
      <c r="AU140" s="11"/>
      <c r="CH140" s="11"/>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7"/>
      <c r="DF140" s="17"/>
      <c r="DG140" s="16"/>
      <c r="DH140" s="16"/>
      <c r="DI140" s="18">
        <v>4</v>
      </c>
      <c r="DJ140" s="18">
        <v>7</v>
      </c>
      <c r="DK140" s="16"/>
      <c r="DL140" s="16"/>
      <c r="DM140" s="17"/>
      <c r="DN140" s="17"/>
      <c r="DO140" s="16"/>
      <c r="DP140" s="16"/>
      <c r="DQ140" s="17"/>
      <c r="DR140" s="17"/>
      <c r="DS140" s="16"/>
      <c r="DT140" s="16"/>
      <c r="DU140" s="17"/>
      <c r="DV140" s="17"/>
      <c r="DW140" s="16"/>
      <c r="DX140" s="16"/>
      <c r="DY140" s="17"/>
      <c r="DZ140" s="17"/>
      <c r="EA140" s="16"/>
      <c r="EB140" s="16"/>
      <c r="EC140" s="17"/>
      <c r="ED140" s="17"/>
      <c r="EE140" s="16"/>
      <c r="EF140" s="16"/>
      <c r="EG140" s="17"/>
      <c r="EH140" s="17"/>
      <c r="EI140" s="16"/>
      <c r="EJ140" s="16"/>
      <c r="EK140" s="17"/>
      <c r="EL140" s="17"/>
      <c r="EM140" s="16"/>
      <c r="EN140" s="16"/>
      <c r="EO140" s="17"/>
      <c r="EP140" s="17"/>
      <c r="EQ140" s="16"/>
      <c r="ER140" s="16"/>
      <c r="ES140" s="17"/>
      <c r="ET140" s="17"/>
      <c r="EU140" s="16"/>
      <c r="EV140" s="16"/>
      <c r="EW140" s="17"/>
      <c r="EX140" s="17"/>
      <c r="EY140" s="16"/>
      <c r="EZ140" s="16"/>
      <c r="FA140" s="17"/>
      <c r="FB140" s="17"/>
      <c r="FC140" s="16"/>
      <c r="FD140" s="16"/>
      <c r="FE140" s="17"/>
      <c r="FF140" s="17"/>
      <c r="FG140" s="11"/>
      <c r="GT140" s="11"/>
      <c r="IG140" s="11"/>
      <c r="JT140" s="11"/>
      <c r="LG140" s="11"/>
      <c r="MT140" s="11"/>
      <c r="OG140" s="11"/>
      <c r="PT140" s="11"/>
    </row>
    <row r="141" spans="1:436" ht="15.75" x14ac:dyDescent="0.25">
      <c r="C141" s="20" t="s">
        <v>190</v>
      </c>
      <c r="D141" s="21" t="s">
        <v>79</v>
      </c>
      <c r="H141" s="11"/>
      <c r="AU141" s="11"/>
      <c r="CH141" s="11"/>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7"/>
      <c r="DF141" s="17"/>
      <c r="DG141" s="16"/>
      <c r="DH141" s="16"/>
      <c r="DI141" s="18">
        <v>5</v>
      </c>
      <c r="DJ141" s="18">
        <v>5</v>
      </c>
      <c r="DK141" s="16"/>
      <c r="DL141" s="16"/>
      <c r="DM141" s="17"/>
      <c r="DN141" s="17"/>
      <c r="DO141" s="16"/>
      <c r="DP141" s="16"/>
      <c r="DQ141" s="17"/>
      <c r="DR141" s="17"/>
      <c r="DS141" s="16"/>
      <c r="DT141" s="16"/>
      <c r="DU141" s="17"/>
      <c r="DV141" s="17"/>
      <c r="DW141" s="16"/>
      <c r="DX141" s="16"/>
      <c r="DY141" s="17"/>
      <c r="DZ141" s="17"/>
      <c r="EA141" s="16"/>
      <c r="EB141" s="16"/>
      <c r="EC141" s="17"/>
      <c r="ED141" s="17"/>
      <c r="EE141" s="16"/>
      <c r="EF141" s="16"/>
      <c r="EG141" s="17"/>
      <c r="EH141" s="17"/>
      <c r="EI141" s="16"/>
      <c r="EJ141" s="16"/>
      <c r="EK141" s="17"/>
      <c r="EL141" s="17"/>
      <c r="EM141" s="16"/>
      <c r="EN141" s="16"/>
      <c r="EO141" s="17"/>
      <c r="EP141" s="17"/>
      <c r="EQ141" s="16"/>
      <c r="ER141" s="16"/>
      <c r="ES141" s="17"/>
      <c r="ET141" s="17"/>
      <c r="EU141" s="16"/>
      <c r="EV141" s="16"/>
      <c r="EW141" s="17"/>
      <c r="EX141" s="17"/>
      <c r="EY141" s="16"/>
      <c r="EZ141" s="16"/>
      <c r="FA141" s="17"/>
      <c r="FB141" s="17"/>
      <c r="FC141" s="16"/>
      <c r="FD141" s="16"/>
      <c r="FE141" s="17"/>
      <c r="FF141" s="17"/>
      <c r="FG141" s="11"/>
      <c r="GT141" s="11"/>
      <c r="IG141" s="11"/>
      <c r="JT141" s="11"/>
      <c r="LG141" s="11"/>
      <c r="MT141" s="11"/>
      <c r="OG141" s="11"/>
      <c r="PT141" s="11"/>
    </row>
    <row r="142" spans="1:436" ht="15.75" x14ac:dyDescent="0.25">
      <c r="C142" s="20" t="s">
        <v>191</v>
      </c>
      <c r="D142" s="21" t="s">
        <v>82</v>
      </c>
      <c r="H142" s="11"/>
      <c r="AU142" s="11"/>
      <c r="CH142" s="11"/>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7"/>
      <c r="DF142" s="17"/>
      <c r="DG142" s="16"/>
      <c r="DH142" s="16"/>
      <c r="DI142" s="17"/>
      <c r="DJ142" s="17"/>
      <c r="DK142" s="16"/>
      <c r="DL142" s="16"/>
      <c r="DM142" s="17"/>
      <c r="DN142" s="17"/>
      <c r="DO142" s="16"/>
      <c r="DP142" s="16"/>
      <c r="DQ142" s="17"/>
      <c r="DR142" s="17"/>
      <c r="DS142" s="16"/>
      <c r="DT142" s="16"/>
      <c r="DU142" s="17"/>
      <c r="DV142" s="17"/>
      <c r="DW142" s="16"/>
      <c r="DX142" s="16"/>
      <c r="DY142" s="17"/>
      <c r="DZ142" s="17"/>
      <c r="EA142" s="16"/>
      <c r="EB142" s="16"/>
      <c r="EC142" s="17"/>
      <c r="ED142" s="17"/>
      <c r="EE142" s="16"/>
      <c r="EF142" s="16"/>
      <c r="EG142" s="17"/>
      <c r="EH142" s="17"/>
      <c r="EI142" s="16"/>
      <c r="EJ142" s="16"/>
      <c r="EK142" s="17"/>
      <c r="EL142" s="17"/>
      <c r="EM142" s="16"/>
      <c r="EN142" s="16"/>
      <c r="EO142" s="17"/>
      <c r="EP142" s="17"/>
      <c r="EQ142" s="16"/>
      <c r="ER142" s="16"/>
      <c r="ES142" s="17"/>
      <c r="ET142" s="17"/>
      <c r="EU142" s="16"/>
      <c r="EV142" s="16"/>
      <c r="EW142" s="17"/>
      <c r="EX142" s="17"/>
      <c r="EY142" s="16"/>
      <c r="EZ142" s="16"/>
      <c r="FA142" s="17"/>
      <c r="FB142" s="17"/>
      <c r="FC142" s="16"/>
      <c r="FD142" s="16"/>
      <c r="FE142" s="17"/>
      <c r="FF142" s="17"/>
      <c r="FG142" s="11"/>
      <c r="GT142" s="11"/>
      <c r="IG142" s="11"/>
      <c r="JT142" s="11"/>
      <c r="LG142" s="11"/>
      <c r="MT142" s="11"/>
      <c r="OG142" s="11"/>
      <c r="PT142" s="11"/>
    </row>
    <row r="143" spans="1:436" ht="15.75" x14ac:dyDescent="0.25">
      <c r="C143" s="20" t="s">
        <v>192</v>
      </c>
      <c r="D143" s="21" t="s">
        <v>84</v>
      </c>
      <c r="H143" s="11"/>
      <c r="AU143" s="11"/>
      <c r="CH143" s="11"/>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7"/>
      <c r="DF143" s="17"/>
      <c r="DG143" s="16"/>
      <c r="DH143" s="16"/>
      <c r="DI143" s="17"/>
      <c r="DJ143" s="17"/>
      <c r="DK143" s="16"/>
      <c r="DL143" s="16"/>
      <c r="DM143" s="17"/>
      <c r="DN143" s="17"/>
      <c r="DO143" s="16"/>
      <c r="DP143" s="16"/>
      <c r="DQ143" s="17"/>
      <c r="DR143" s="17"/>
      <c r="DS143" s="16"/>
      <c r="DT143" s="16"/>
      <c r="DU143" s="17"/>
      <c r="DV143" s="17"/>
      <c r="DW143" s="19">
        <v>10</v>
      </c>
      <c r="DX143" s="19">
        <v>14</v>
      </c>
      <c r="DY143" s="17"/>
      <c r="DZ143" s="17"/>
      <c r="EA143" s="16"/>
      <c r="EB143" s="16"/>
      <c r="EC143" s="17"/>
      <c r="ED143" s="17"/>
      <c r="EE143" s="16"/>
      <c r="EF143" s="16"/>
      <c r="EG143" s="17"/>
      <c r="EH143" s="17"/>
      <c r="EI143" s="16"/>
      <c r="EJ143" s="16"/>
      <c r="EK143" s="17"/>
      <c r="EL143" s="17"/>
      <c r="EM143" s="16"/>
      <c r="EN143" s="16"/>
      <c r="EO143" s="17"/>
      <c r="EP143" s="17"/>
      <c r="EQ143" s="16"/>
      <c r="ER143" s="16"/>
      <c r="ES143" s="17"/>
      <c r="ET143" s="17"/>
      <c r="EU143" s="16"/>
      <c r="EV143" s="16"/>
      <c r="EW143" s="17"/>
      <c r="EX143" s="17"/>
      <c r="EY143" s="16"/>
      <c r="EZ143" s="16"/>
      <c r="FA143" s="17"/>
      <c r="FB143" s="17"/>
      <c r="FC143" s="16"/>
      <c r="FD143" s="16"/>
      <c r="FE143" s="17"/>
      <c r="FF143" s="17"/>
      <c r="FG143" s="11"/>
      <c r="GT143" s="11"/>
      <c r="IG143" s="11"/>
      <c r="JT143" s="11"/>
      <c r="LG143" s="11"/>
      <c r="MT143" s="11"/>
      <c r="OG143" s="11"/>
      <c r="PT143" s="11"/>
    </row>
    <row r="144" spans="1:436" ht="15.75" x14ac:dyDescent="0.25">
      <c r="C144" s="20" t="s">
        <v>193</v>
      </c>
      <c r="D144" s="21" t="s">
        <v>129</v>
      </c>
      <c r="H144" s="11"/>
      <c r="AU144" s="11"/>
      <c r="CH144" s="11"/>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7"/>
      <c r="DF144" s="17"/>
      <c r="DG144" s="16"/>
      <c r="DH144" s="16"/>
      <c r="DI144" s="17"/>
      <c r="DJ144" s="17"/>
      <c r="DK144" s="16"/>
      <c r="DL144" s="16"/>
      <c r="DM144" s="17"/>
      <c r="DN144" s="17"/>
      <c r="DO144" s="16"/>
      <c r="DP144" s="16"/>
      <c r="DQ144" s="17"/>
      <c r="DR144" s="17"/>
      <c r="DS144" s="16"/>
      <c r="DT144" s="16"/>
      <c r="DU144" s="17"/>
      <c r="DV144" s="17"/>
      <c r="DW144" s="16"/>
      <c r="DX144" s="16"/>
      <c r="DY144" s="17"/>
      <c r="DZ144" s="17"/>
      <c r="EA144" s="16"/>
      <c r="EB144" s="16"/>
      <c r="EC144" s="17"/>
      <c r="ED144" s="17"/>
      <c r="EE144" s="16"/>
      <c r="EF144" s="16"/>
      <c r="EG144" s="17"/>
      <c r="EH144" s="17"/>
      <c r="EI144" s="16"/>
      <c r="EJ144" s="16"/>
      <c r="EK144" s="17"/>
      <c r="EL144" s="17"/>
      <c r="EM144" s="16"/>
      <c r="EN144" s="16"/>
      <c r="EO144" s="17"/>
      <c r="EP144" s="17"/>
      <c r="EQ144" s="16"/>
      <c r="ER144" s="16"/>
      <c r="ES144" s="17"/>
      <c r="ET144" s="17"/>
      <c r="EU144" s="16"/>
      <c r="EV144" s="16"/>
      <c r="EW144" s="17"/>
      <c r="EX144" s="17"/>
      <c r="EY144" s="16"/>
      <c r="EZ144" s="16"/>
      <c r="FA144" s="17"/>
      <c r="FB144" s="17"/>
      <c r="FC144" s="16"/>
      <c r="FD144" s="16"/>
      <c r="FE144" s="17"/>
      <c r="FF144" s="17"/>
      <c r="FG144" s="11"/>
      <c r="GT144" s="11"/>
      <c r="IG144" s="11"/>
      <c r="JT144" s="11"/>
      <c r="LG144" s="11"/>
      <c r="MT144" s="11"/>
      <c r="OG144" s="11"/>
      <c r="PT144" s="11"/>
    </row>
    <row r="145" spans="3:436" ht="15.75" x14ac:dyDescent="0.25">
      <c r="C145" s="20" t="s">
        <v>194</v>
      </c>
      <c r="D145" s="21" t="s">
        <v>162</v>
      </c>
      <c r="H145" s="11"/>
      <c r="AU145" s="11"/>
      <c r="CH145" s="11"/>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7"/>
      <c r="DF145" s="17"/>
      <c r="DG145" s="16"/>
      <c r="DH145" s="16"/>
      <c r="DI145" s="17"/>
      <c r="DJ145" s="17"/>
      <c r="DK145" s="16"/>
      <c r="DL145" s="16"/>
      <c r="DM145" s="17"/>
      <c r="DN145" s="17"/>
      <c r="DO145" s="16"/>
      <c r="DP145" s="16"/>
      <c r="DQ145" s="17"/>
      <c r="DR145" s="17"/>
      <c r="DS145" s="16"/>
      <c r="DT145" s="16"/>
      <c r="DU145" s="17"/>
      <c r="DV145" s="17"/>
      <c r="DW145" s="16"/>
      <c r="DX145" s="16"/>
      <c r="DY145" s="17"/>
      <c r="DZ145" s="17"/>
      <c r="EA145" s="16"/>
      <c r="EB145" s="16"/>
      <c r="EC145" s="17"/>
      <c r="ED145" s="17"/>
      <c r="EE145" s="16"/>
      <c r="EF145" s="16"/>
      <c r="EG145" s="17"/>
      <c r="EH145" s="17"/>
      <c r="EI145" s="16"/>
      <c r="EJ145" s="16"/>
      <c r="EK145" s="17"/>
      <c r="EL145" s="17"/>
      <c r="EM145" s="16"/>
      <c r="EN145" s="16"/>
      <c r="EO145" s="17"/>
      <c r="EP145" s="17"/>
      <c r="EQ145" s="16"/>
      <c r="ER145" s="16"/>
      <c r="ES145" s="17"/>
      <c r="ET145" s="17"/>
      <c r="EU145" s="16"/>
      <c r="EV145" s="16"/>
      <c r="EW145" s="17"/>
      <c r="EX145" s="17"/>
      <c r="EY145" s="16"/>
      <c r="EZ145" s="16"/>
      <c r="FA145" s="17"/>
      <c r="FB145" s="17"/>
      <c r="FC145" s="16"/>
      <c r="FD145" s="16"/>
      <c r="FE145" s="17"/>
      <c r="FF145" s="17"/>
      <c r="FG145" s="11"/>
      <c r="GT145" s="11"/>
      <c r="IG145" s="11"/>
      <c r="JT145" s="11"/>
      <c r="LG145" s="11"/>
      <c r="MT145" s="11"/>
      <c r="OG145" s="11"/>
      <c r="PT145" s="11"/>
    </row>
    <row r="146" spans="3:436" ht="15.75" x14ac:dyDescent="0.25">
      <c r="C146" s="20" t="s">
        <v>195</v>
      </c>
      <c r="D146" s="21" t="s">
        <v>104</v>
      </c>
      <c r="H146" s="11"/>
      <c r="AU146" s="11"/>
      <c r="CH146" s="11"/>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7"/>
      <c r="DF146" s="17"/>
      <c r="DG146" s="16"/>
      <c r="DH146" s="16"/>
      <c r="DI146" s="17"/>
      <c r="DJ146" s="17"/>
      <c r="DK146" s="16"/>
      <c r="DL146" s="16"/>
      <c r="DM146" s="17"/>
      <c r="DN146" s="17"/>
      <c r="DO146" s="16"/>
      <c r="DP146" s="16"/>
      <c r="DQ146" s="17"/>
      <c r="DR146" s="17"/>
      <c r="DS146" s="16"/>
      <c r="DT146" s="16"/>
      <c r="DU146" s="17"/>
      <c r="DV146" s="17"/>
      <c r="DW146" s="16"/>
      <c r="DX146" s="16"/>
      <c r="DY146" s="17"/>
      <c r="DZ146" s="17"/>
      <c r="EA146" s="16"/>
      <c r="EB146" s="16"/>
      <c r="EC146" s="17"/>
      <c r="ED146" s="17"/>
      <c r="EE146" s="16"/>
      <c r="EF146" s="16"/>
      <c r="EG146" s="17"/>
      <c r="EH146" s="17"/>
      <c r="EI146" s="16"/>
      <c r="EJ146" s="16"/>
      <c r="EK146" s="17"/>
      <c r="EL146" s="17"/>
      <c r="EM146" s="16"/>
      <c r="EN146" s="16"/>
      <c r="EO146" s="17"/>
      <c r="EP146" s="17"/>
      <c r="EQ146" s="16"/>
      <c r="ER146" s="16"/>
      <c r="ES146" s="17"/>
      <c r="ET146" s="17"/>
      <c r="EU146" s="16"/>
      <c r="EV146" s="16"/>
      <c r="EW146" s="17"/>
      <c r="EX146" s="17"/>
      <c r="EY146" s="16"/>
      <c r="EZ146" s="16"/>
      <c r="FA146" s="17"/>
      <c r="FB146" s="17"/>
      <c r="FC146" s="19">
        <v>2</v>
      </c>
      <c r="FD146" s="19">
        <v>3</v>
      </c>
      <c r="FE146" s="17"/>
      <c r="FF146" s="17"/>
      <c r="FG146" s="11"/>
      <c r="GT146" s="11"/>
      <c r="IG146" s="11"/>
      <c r="JT146" s="11"/>
      <c r="LG146" s="11"/>
      <c r="MT146" s="11"/>
      <c r="OG146" s="11"/>
      <c r="PT146" s="11"/>
    </row>
    <row r="147" spans="3:436" ht="15.75" x14ac:dyDescent="0.25">
      <c r="C147" s="20" t="s">
        <v>196</v>
      </c>
      <c r="D147" s="21" t="s">
        <v>82</v>
      </c>
      <c r="H147" s="11"/>
      <c r="AU147" s="11"/>
      <c r="CH147" s="11"/>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7"/>
      <c r="DF147" s="17"/>
      <c r="DG147" s="16"/>
      <c r="DH147" s="16"/>
      <c r="DI147" s="17"/>
      <c r="DJ147" s="17"/>
      <c r="DK147" s="16"/>
      <c r="DL147" s="16"/>
      <c r="DM147" s="17"/>
      <c r="DN147" s="17"/>
      <c r="DO147" s="16"/>
      <c r="DP147" s="16"/>
      <c r="DQ147" s="17"/>
      <c r="DR147" s="17"/>
      <c r="DS147" s="16"/>
      <c r="DT147" s="16"/>
      <c r="DU147" s="17"/>
      <c r="DV147" s="17"/>
      <c r="DW147" s="16"/>
      <c r="DX147" s="16"/>
      <c r="DY147" s="17"/>
      <c r="DZ147" s="17"/>
      <c r="EA147" s="16"/>
      <c r="EB147" s="16"/>
      <c r="EC147" s="17"/>
      <c r="ED147" s="17"/>
      <c r="EE147" s="16"/>
      <c r="EF147" s="16"/>
      <c r="EG147" s="17"/>
      <c r="EH147" s="17"/>
      <c r="EI147" s="16"/>
      <c r="EJ147" s="16"/>
      <c r="EK147" s="17"/>
      <c r="EL147" s="17"/>
      <c r="EM147" s="16"/>
      <c r="EN147" s="16"/>
      <c r="EO147" s="17"/>
      <c r="EP147" s="17"/>
      <c r="EQ147" s="16"/>
      <c r="ER147" s="16"/>
      <c r="ES147" s="17"/>
      <c r="ET147" s="17"/>
      <c r="EU147" s="16"/>
      <c r="EV147" s="16"/>
      <c r="EW147" s="17"/>
      <c r="EX147" s="17"/>
      <c r="EY147" s="16"/>
      <c r="EZ147" s="16"/>
      <c r="FA147" s="17"/>
      <c r="FB147" s="17"/>
      <c r="FC147" s="16"/>
      <c r="FD147" s="16"/>
      <c r="FE147" s="17"/>
      <c r="FF147" s="17"/>
      <c r="FG147" s="11"/>
      <c r="GT147" s="11"/>
      <c r="IG147" s="11"/>
      <c r="JT147" s="11"/>
      <c r="LG147" s="11"/>
      <c r="MT147" s="11"/>
      <c r="OG147" s="11"/>
      <c r="PT147" s="11"/>
    </row>
    <row r="148" spans="3:436" ht="15.75" x14ac:dyDescent="0.25">
      <c r="C148" s="20" t="s">
        <v>197</v>
      </c>
      <c r="D148" s="21" t="s">
        <v>90</v>
      </c>
      <c r="H148" s="11"/>
      <c r="AU148" s="11"/>
      <c r="CH148" s="11"/>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7"/>
      <c r="DF148" s="17"/>
      <c r="DG148" s="16"/>
      <c r="DH148" s="16"/>
      <c r="DI148" s="17"/>
      <c r="DJ148" s="17"/>
      <c r="DK148" s="16"/>
      <c r="DL148" s="16"/>
      <c r="DM148" s="17"/>
      <c r="DN148" s="17"/>
      <c r="DO148" s="16"/>
      <c r="DP148" s="16"/>
      <c r="DQ148" s="17"/>
      <c r="DR148" s="17"/>
      <c r="DS148" s="16"/>
      <c r="DT148" s="16"/>
      <c r="DU148" s="17"/>
      <c r="DV148" s="17"/>
      <c r="DW148" s="16"/>
      <c r="DX148" s="16"/>
      <c r="DY148" s="17"/>
      <c r="DZ148" s="17"/>
      <c r="EA148" s="16"/>
      <c r="EB148" s="16"/>
      <c r="EC148" s="17"/>
      <c r="ED148" s="17"/>
      <c r="EE148" s="16"/>
      <c r="EF148" s="16"/>
      <c r="EG148" s="17"/>
      <c r="EH148" s="17"/>
      <c r="EI148" s="16"/>
      <c r="EJ148" s="16"/>
      <c r="EK148" s="17"/>
      <c r="EL148" s="17"/>
      <c r="EM148" s="16"/>
      <c r="EN148" s="16"/>
      <c r="EO148" s="17"/>
      <c r="EP148" s="17"/>
      <c r="EQ148" s="16"/>
      <c r="ER148" s="16"/>
      <c r="ES148" s="17"/>
      <c r="ET148" s="17"/>
      <c r="EU148" s="16"/>
      <c r="EV148" s="16"/>
      <c r="EW148" s="17"/>
      <c r="EX148" s="17"/>
      <c r="EY148" s="16"/>
      <c r="EZ148" s="16"/>
      <c r="FA148" s="17"/>
      <c r="FB148" s="17"/>
      <c r="FC148" s="16"/>
      <c r="FD148" s="16"/>
      <c r="FE148" s="17"/>
      <c r="FF148" s="17"/>
      <c r="FG148" s="11"/>
      <c r="GT148" s="11"/>
      <c r="IG148" s="11"/>
      <c r="JT148" s="11"/>
      <c r="LG148" s="11"/>
      <c r="MT148" s="11"/>
      <c r="OG148" s="11"/>
      <c r="PT148" s="11"/>
    </row>
    <row r="149" spans="3:436" ht="15.75" x14ac:dyDescent="0.25">
      <c r="C149" s="20" t="s">
        <v>198</v>
      </c>
      <c r="D149" s="21" t="s">
        <v>90</v>
      </c>
      <c r="H149" s="11"/>
      <c r="AU149" s="11"/>
      <c r="CH149" s="11"/>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7"/>
      <c r="DF149" s="17"/>
      <c r="DG149" s="16"/>
      <c r="DH149" s="16"/>
      <c r="DI149" s="17"/>
      <c r="DJ149" s="17"/>
      <c r="DK149" s="16"/>
      <c r="DL149" s="16"/>
      <c r="DM149" s="17"/>
      <c r="DN149" s="17"/>
      <c r="DO149" s="16"/>
      <c r="DP149" s="16"/>
      <c r="DQ149" s="17"/>
      <c r="DR149" s="17"/>
      <c r="DS149" s="16"/>
      <c r="DT149" s="16"/>
      <c r="DU149" s="17"/>
      <c r="DV149" s="17"/>
      <c r="DW149" s="16"/>
      <c r="DX149" s="16"/>
      <c r="DY149" s="17"/>
      <c r="DZ149" s="17"/>
      <c r="EA149" s="16"/>
      <c r="EB149" s="16"/>
      <c r="EC149" s="17"/>
      <c r="ED149" s="17"/>
      <c r="EE149" s="16"/>
      <c r="EF149" s="16"/>
      <c r="EG149" s="17"/>
      <c r="EH149" s="17"/>
      <c r="EI149" s="16"/>
      <c r="EJ149" s="16"/>
      <c r="EK149" s="17"/>
      <c r="EL149" s="17"/>
      <c r="EM149" s="16"/>
      <c r="EN149" s="16"/>
      <c r="EO149" s="17"/>
      <c r="EP149" s="17"/>
      <c r="EQ149" s="16"/>
      <c r="ER149" s="16"/>
      <c r="ES149" s="17"/>
      <c r="ET149" s="17"/>
      <c r="EU149" s="16"/>
      <c r="EV149" s="16"/>
      <c r="EW149" s="17"/>
      <c r="EX149" s="17"/>
      <c r="EY149" s="16"/>
      <c r="EZ149" s="16"/>
      <c r="FA149" s="17"/>
      <c r="FB149" s="17"/>
      <c r="FC149" s="16"/>
      <c r="FD149" s="16"/>
      <c r="FE149" s="17"/>
      <c r="FF149" s="17"/>
      <c r="FG149" s="11"/>
      <c r="GT149" s="11"/>
      <c r="IG149" s="11"/>
      <c r="JT149" s="11"/>
      <c r="LG149" s="11"/>
      <c r="MT149" s="11"/>
      <c r="OG149" s="11"/>
      <c r="PT149" s="11"/>
    </row>
    <row r="150" spans="3:436" ht="15.75" x14ac:dyDescent="0.25">
      <c r="C150" s="20" t="s">
        <v>189</v>
      </c>
      <c r="D150" s="21" t="s">
        <v>79</v>
      </c>
      <c r="H150" s="11"/>
      <c r="AU150" s="11"/>
      <c r="CH150" s="11"/>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7"/>
      <c r="DF150" s="17"/>
      <c r="DG150" s="16"/>
      <c r="DH150" s="16"/>
      <c r="DI150" s="17"/>
      <c r="DJ150" s="17"/>
      <c r="DK150" s="16"/>
      <c r="DL150" s="16"/>
      <c r="DM150" s="17"/>
      <c r="DN150" s="17"/>
      <c r="DO150" s="16"/>
      <c r="DP150" s="16"/>
      <c r="DQ150" s="17"/>
      <c r="DR150" s="17"/>
      <c r="DS150" s="16"/>
      <c r="DT150" s="16"/>
      <c r="DU150" s="17"/>
      <c r="DV150" s="17"/>
      <c r="DW150" s="16"/>
      <c r="DX150" s="16"/>
      <c r="DY150" s="17"/>
      <c r="DZ150" s="17"/>
      <c r="EA150" s="16"/>
      <c r="EB150" s="16"/>
      <c r="EC150" s="17"/>
      <c r="ED150" s="17"/>
      <c r="EE150" s="16"/>
      <c r="EF150" s="16"/>
      <c r="EG150" s="17"/>
      <c r="EH150" s="17"/>
      <c r="EI150" s="16"/>
      <c r="EJ150" s="16"/>
      <c r="EK150" s="17"/>
      <c r="EL150" s="17"/>
      <c r="EM150" s="16"/>
      <c r="EN150" s="16"/>
      <c r="EO150" s="17"/>
      <c r="EP150" s="17"/>
      <c r="EQ150" s="16"/>
      <c r="ER150" s="16"/>
      <c r="ES150" s="17"/>
      <c r="ET150" s="17"/>
      <c r="EU150" s="16"/>
      <c r="EV150" s="16"/>
      <c r="EW150" s="17"/>
      <c r="EX150" s="17"/>
      <c r="EY150" s="16"/>
      <c r="EZ150" s="16"/>
      <c r="FA150" s="17"/>
      <c r="FB150" s="17"/>
      <c r="FC150" s="16"/>
      <c r="FD150" s="16"/>
      <c r="FE150" s="17"/>
      <c r="FF150" s="17"/>
      <c r="FG150" s="11"/>
      <c r="GT150" s="11"/>
      <c r="IG150" s="11"/>
      <c r="JT150" s="11"/>
      <c r="LG150" s="11"/>
      <c r="MT150" s="11"/>
      <c r="OG150" s="11"/>
      <c r="PT150" s="11"/>
    </row>
    <row r="151" spans="3:436" ht="15.75" x14ac:dyDescent="0.25">
      <c r="C151" s="20" t="s">
        <v>191</v>
      </c>
      <c r="D151" s="21" t="s">
        <v>82</v>
      </c>
      <c r="H151" s="11"/>
      <c r="AU151" s="11"/>
      <c r="CH151" s="11"/>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7"/>
      <c r="DF151" s="17"/>
      <c r="DG151" s="16"/>
      <c r="DH151" s="16"/>
      <c r="DI151" s="17"/>
      <c r="DJ151" s="17"/>
      <c r="DK151" s="16"/>
      <c r="DL151" s="16"/>
      <c r="DM151" s="17"/>
      <c r="DN151" s="17"/>
      <c r="DO151" s="16"/>
      <c r="DP151" s="16"/>
      <c r="DQ151" s="17"/>
      <c r="DR151" s="17"/>
      <c r="DS151" s="16"/>
      <c r="DT151" s="16"/>
      <c r="DU151" s="17"/>
      <c r="DV151" s="17"/>
      <c r="DW151" s="16"/>
      <c r="DX151" s="16"/>
      <c r="DY151" s="17"/>
      <c r="DZ151" s="17"/>
      <c r="EA151" s="16"/>
      <c r="EB151" s="16"/>
      <c r="EC151" s="17"/>
      <c r="ED151" s="17"/>
      <c r="EE151" s="16"/>
      <c r="EF151" s="16"/>
      <c r="EG151" s="17"/>
      <c r="EH151" s="17"/>
      <c r="EI151" s="16"/>
      <c r="EJ151" s="16"/>
      <c r="EK151" s="17"/>
      <c r="EL151" s="17"/>
      <c r="EM151" s="16"/>
      <c r="EN151" s="16"/>
      <c r="EO151" s="17"/>
      <c r="EP151" s="17"/>
      <c r="EQ151" s="16"/>
      <c r="ER151" s="16"/>
      <c r="ES151" s="17"/>
      <c r="ET151" s="17"/>
      <c r="EU151" s="16"/>
      <c r="EV151" s="16"/>
      <c r="EW151" s="17"/>
      <c r="EX151" s="17"/>
      <c r="EY151" s="16"/>
      <c r="EZ151" s="16"/>
      <c r="FA151" s="17"/>
      <c r="FB151" s="17"/>
      <c r="FC151" s="16"/>
      <c r="FD151" s="16"/>
      <c r="FE151" s="17"/>
      <c r="FF151" s="17"/>
      <c r="FG151" s="11"/>
      <c r="GT151" s="11"/>
      <c r="IG151" s="11"/>
      <c r="JT151" s="11"/>
      <c r="LG151" s="11"/>
      <c r="MT151" s="11"/>
      <c r="OG151" s="11"/>
      <c r="PT151" s="11"/>
    </row>
    <row r="152" spans="3:436" ht="15.75" x14ac:dyDescent="0.25">
      <c r="C152" s="20" t="s">
        <v>199</v>
      </c>
      <c r="D152" s="21" t="s">
        <v>82</v>
      </c>
      <c r="H152" s="11"/>
      <c r="AU152" s="11"/>
      <c r="CH152" s="11"/>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7"/>
      <c r="DF152" s="17"/>
      <c r="DG152" s="16"/>
      <c r="DH152" s="16"/>
      <c r="DI152" s="17"/>
      <c r="DJ152" s="17"/>
      <c r="DK152" s="16"/>
      <c r="DL152" s="16"/>
      <c r="DM152" s="17"/>
      <c r="DN152" s="17"/>
      <c r="DO152" s="16"/>
      <c r="DP152" s="16"/>
      <c r="DQ152" s="17"/>
      <c r="DR152" s="17"/>
      <c r="DS152" s="16"/>
      <c r="DT152" s="16"/>
      <c r="DU152" s="17"/>
      <c r="DV152" s="17"/>
      <c r="DW152" s="16"/>
      <c r="DX152" s="16"/>
      <c r="DY152" s="17"/>
      <c r="DZ152" s="17"/>
      <c r="EA152" s="16"/>
      <c r="EB152" s="16"/>
      <c r="EC152" s="17"/>
      <c r="ED152" s="17"/>
      <c r="EE152" s="16"/>
      <c r="EF152" s="16"/>
      <c r="EG152" s="17"/>
      <c r="EH152" s="17"/>
      <c r="EI152" s="16"/>
      <c r="EJ152" s="16"/>
      <c r="EK152" s="17"/>
      <c r="EL152" s="17"/>
      <c r="EM152" s="16"/>
      <c r="EN152" s="16"/>
      <c r="EO152" s="17"/>
      <c r="EP152" s="17"/>
      <c r="EQ152" s="16"/>
      <c r="ER152" s="16"/>
      <c r="ES152" s="18">
        <v>2</v>
      </c>
      <c r="ET152" s="18">
        <v>3</v>
      </c>
      <c r="EU152" s="16"/>
      <c r="EV152" s="16"/>
      <c r="EW152" s="17"/>
      <c r="EX152" s="17"/>
      <c r="EY152" s="16"/>
      <c r="EZ152" s="16"/>
      <c r="FA152" s="17"/>
      <c r="FB152" s="17"/>
      <c r="FC152" s="16"/>
      <c r="FD152" s="16"/>
      <c r="FE152" s="17"/>
      <c r="FF152" s="17"/>
      <c r="FG152" s="11"/>
      <c r="GT152" s="11"/>
      <c r="IG152" s="11"/>
      <c r="JT152" s="11"/>
      <c r="LG152" s="11"/>
      <c r="MT152" s="11"/>
      <c r="OG152" s="11"/>
      <c r="PT152" s="11"/>
    </row>
    <row r="153" spans="3:436" ht="15.75" x14ac:dyDescent="0.25">
      <c r="C153" s="20" t="s">
        <v>192</v>
      </c>
      <c r="D153" s="21" t="s">
        <v>84</v>
      </c>
      <c r="H153" s="11"/>
      <c r="AU153" s="11"/>
      <c r="CH153" s="11"/>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7"/>
      <c r="DF153" s="17"/>
      <c r="DG153" s="16"/>
      <c r="DH153" s="16"/>
      <c r="DI153" s="17"/>
      <c r="DJ153" s="17"/>
      <c r="DK153" s="16"/>
      <c r="DL153" s="16"/>
      <c r="DM153" s="17"/>
      <c r="DN153" s="17"/>
      <c r="DO153" s="16"/>
      <c r="DP153" s="16"/>
      <c r="DQ153" s="17"/>
      <c r="DR153" s="17"/>
      <c r="DS153" s="16"/>
      <c r="DT153" s="16"/>
      <c r="DU153" s="17"/>
      <c r="DV153" s="17"/>
      <c r="DW153" s="16"/>
      <c r="DX153" s="16"/>
      <c r="DY153" s="17"/>
      <c r="DZ153" s="17"/>
      <c r="EA153" s="16"/>
      <c r="EB153" s="16"/>
      <c r="EC153" s="17"/>
      <c r="ED153" s="17"/>
      <c r="EE153" s="16"/>
      <c r="EF153" s="16"/>
      <c r="EG153" s="17"/>
      <c r="EH153" s="17"/>
      <c r="EI153" s="16"/>
      <c r="EJ153" s="16"/>
      <c r="EK153" s="17"/>
      <c r="EL153" s="17"/>
      <c r="EM153" s="16"/>
      <c r="EN153" s="16"/>
      <c r="EO153" s="17"/>
      <c r="EP153" s="17"/>
      <c r="EQ153" s="16"/>
      <c r="ER153" s="16"/>
      <c r="ES153" s="17"/>
      <c r="ET153" s="17"/>
      <c r="EU153" s="16"/>
      <c r="EV153" s="16"/>
      <c r="EW153" s="17"/>
      <c r="EX153" s="17"/>
      <c r="EY153" s="16"/>
      <c r="EZ153" s="16"/>
      <c r="FA153" s="17"/>
      <c r="FB153" s="17"/>
      <c r="FC153" s="16"/>
      <c r="FD153" s="16"/>
      <c r="FE153" s="17"/>
      <c r="FF153" s="17"/>
      <c r="FG153" s="11"/>
      <c r="GT153" s="11"/>
      <c r="IG153" s="11"/>
      <c r="JT153" s="11"/>
      <c r="LG153" s="11"/>
      <c r="MT153" s="11"/>
      <c r="OG153" s="11"/>
      <c r="PT153" s="11"/>
    </row>
    <row r="154" spans="3:436" ht="15.75" x14ac:dyDescent="0.25">
      <c r="C154" s="20" t="s">
        <v>200</v>
      </c>
      <c r="D154" s="21" t="s">
        <v>129</v>
      </c>
      <c r="H154" s="11"/>
      <c r="AU154" s="11"/>
      <c r="CH154" s="11"/>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7"/>
      <c r="DF154" s="17"/>
      <c r="DG154" s="16"/>
      <c r="DH154" s="16"/>
      <c r="DI154" s="17"/>
      <c r="DJ154" s="17"/>
      <c r="DK154" s="16"/>
      <c r="DL154" s="16"/>
      <c r="DM154" s="17"/>
      <c r="DN154" s="17"/>
      <c r="DO154" s="16"/>
      <c r="DP154" s="16"/>
      <c r="DQ154" s="17"/>
      <c r="DR154" s="17"/>
      <c r="DS154" s="16"/>
      <c r="DT154" s="16"/>
      <c r="DU154" s="17"/>
      <c r="DV154" s="17"/>
      <c r="DW154" s="16"/>
      <c r="DX154" s="16"/>
      <c r="DY154" s="17"/>
      <c r="DZ154" s="17"/>
      <c r="EA154" s="16"/>
      <c r="EB154" s="16"/>
      <c r="EC154" s="17"/>
      <c r="ED154" s="17"/>
      <c r="EE154" s="16"/>
      <c r="EF154" s="16"/>
      <c r="EG154" s="17"/>
      <c r="EH154" s="17"/>
      <c r="EI154" s="16"/>
      <c r="EJ154" s="16"/>
      <c r="EK154" s="17"/>
      <c r="EL154" s="17"/>
      <c r="EM154" s="16"/>
      <c r="EN154" s="16"/>
      <c r="EO154" s="17"/>
      <c r="EP154" s="17"/>
      <c r="EQ154" s="16"/>
      <c r="ER154" s="16"/>
      <c r="ES154" s="17"/>
      <c r="ET154" s="17"/>
      <c r="EU154" s="16"/>
      <c r="EV154" s="16"/>
      <c r="EW154" s="17"/>
      <c r="EX154" s="17"/>
      <c r="EY154" s="16"/>
      <c r="EZ154" s="16"/>
      <c r="FA154" s="17"/>
      <c r="FB154" s="17"/>
      <c r="FC154" s="16"/>
      <c r="FD154" s="16"/>
      <c r="FE154" s="17"/>
      <c r="FF154" s="17"/>
      <c r="FG154" s="11"/>
      <c r="GT154" s="11"/>
      <c r="IG154" s="11"/>
      <c r="JT154" s="11"/>
      <c r="LG154" s="11"/>
      <c r="MT154" s="11"/>
      <c r="OG154" s="11"/>
      <c r="PT154" s="11"/>
    </row>
    <row r="155" spans="3:436" ht="15.75" x14ac:dyDescent="0.25">
      <c r="C155" s="20" t="s">
        <v>194</v>
      </c>
      <c r="D155" s="21" t="s">
        <v>162</v>
      </c>
      <c r="H155" s="11"/>
      <c r="AU155" s="11"/>
      <c r="CH155" s="11"/>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7"/>
      <c r="DF155" s="17"/>
      <c r="DG155" s="16"/>
      <c r="DH155" s="16"/>
      <c r="DI155" s="17"/>
      <c r="DJ155" s="17"/>
      <c r="DK155" s="16"/>
      <c r="DL155" s="16"/>
      <c r="DM155" s="17"/>
      <c r="DN155" s="17"/>
      <c r="DO155" s="16"/>
      <c r="DP155" s="16"/>
      <c r="DQ155" s="17"/>
      <c r="DR155" s="17"/>
      <c r="DS155" s="16"/>
      <c r="DT155" s="16"/>
      <c r="DU155" s="17"/>
      <c r="DV155" s="17"/>
      <c r="DW155" s="16"/>
      <c r="DX155" s="16"/>
      <c r="DY155" s="17"/>
      <c r="DZ155" s="17"/>
      <c r="EA155" s="16"/>
      <c r="EB155" s="16"/>
      <c r="EC155" s="17"/>
      <c r="ED155" s="17"/>
      <c r="EE155" s="16"/>
      <c r="EF155" s="16"/>
      <c r="EG155" s="17"/>
      <c r="EH155" s="17"/>
      <c r="EI155" s="16"/>
      <c r="EJ155" s="16"/>
      <c r="EK155" s="17"/>
      <c r="EL155" s="17"/>
      <c r="EM155" s="16"/>
      <c r="EN155" s="16"/>
      <c r="EO155" s="17"/>
      <c r="EP155" s="17"/>
      <c r="EQ155" s="16"/>
      <c r="ER155" s="16"/>
      <c r="ES155" s="17"/>
      <c r="ET155" s="17"/>
      <c r="EU155" s="16"/>
      <c r="EV155" s="16"/>
      <c r="EW155" s="17"/>
      <c r="EX155" s="17"/>
      <c r="EY155" s="16"/>
      <c r="EZ155" s="16"/>
      <c r="FA155" s="17"/>
      <c r="FB155" s="17"/>
      <c r="FC155" s="16"/>
      <c r="FD155" s="16"/>
      <c r="FE155" s="17"/>
      <c r="FF155" s="17"/>
      <c r="FG155" s="11"/>
      <c r="GT155" s="11"/>
      <c r="IG155" s="11"/>
      <c r="JT155" s="11"/>
      <c r="LG155" s="11"/>
      <c r="MT155" s="11"/>
      <c r="OG155" s="11"/>
      <c r="PT155" s="11"/>
    </row>
    <row r="156" spans="3:436" ht="15.75" x14ac:dyDescent="0.25">
      <c r="C156" s="20" t="s">
        <v>196</v>
      </c>
      <c r="D156" s="21" t="s">
        <v>82</v>
      </c>
      <c r="H156" s="11"/>
      <c r="AU156" s="11"/>
      <c r="CH156" s="11"/>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7"/>
      <c r="DF156" s="17"/>
      <c r="DG156" s="16"/>
      <c r="DH156" s="16"/>
      <c r="DI156" s="17"/>
      <c r="DJ156" s="17"/>
      <c r="DK156" s="16"/>
      <c r="DL156" s="16"/>
      <c r="DM156" s="17"/>
      <c r="DN156" s="17"/>
      <c r="DO156" s="16"/>
      <c r="DP156" s="16"/>
      <c r="DQ156" s="17"/>
      <c r="DR156" s="17"/>
      <c r="DS156" s="16"/>
      <c r="DT156" s="16"/>
      <c r="DU156" s="17"/>
      <c r="DV156" s="17"/>
      <c r="DW156" s="16"/>
      <c r="DX156" s="16"/>
      <c r="DY156" s="17"/>
      <c r="DZ156" s="17"/>
      <c r="EA156" s="16"/>
      <c r="EB156" s="16"/>
      <c r="EC156" s="17"/>
      <c r="ED156" s="17"/>
      <c r="EE156" s="16"/>
      <c r="EF156" s="16"/>
      <c r="EG156" s="17"/>
      <c r="EH156" s="17"/>
      <c r="EI156" s="16"/>
      <c r="EJ156" s="16"/>
      <c r="EK156" s="17"/>
      <c r="EL156" s="17"/>
      <c r="EM156" s="16"/>
      <c r="EN156" s="16"/>
      <c r="EO156" s="17"/>
      <c r="EP156" s="17"/>
      <c r="EQ156" s="16"/>
      <c r="ER156" s="16"/>
      <c r="ES156" s="18">
        <v>2</v>
      </c>
      <c r="ET156" s="18">
        <v>3</v>
      </c>
      <c r="EU156" s="16"/>
      <c r="EV156" s="16"/>
      <c r="EW156" s="17"/>
      <c r="EX156" s="17"/>
      <c r="EY156" s="16"/>
      <c r="EZ156" s="16"/>
      <c r="FA156" s="17"/>
      <c r="FB156" s="17"/>
      <c r="FC156" s="16"/>
      <c r="FD156" s="16"/>
      <c r="FE156" s="17"/>
      <c r="FF156" s="17"/>
      <c r="FG156" s="11"/>
      <c r="GT156" s="11"/>
      <c r="IG156" s="11"/>
      <c r="JT156" s="11"/>
      <c r="LG156" s="11"/>
      <c r="MT156" s="11"/>
      <c r="OG156" s="11"/>
      <c r="PT156" s="11"/>
    </row>
    <row r="157" spans="3:436" ht="15.75" x14ac:dyDescent="0.25">
      <c r="C157" s="20" t="s">
        <v>201</v>
      </c>
      <c r="D157" s="21" t="s">
        <v>159</v>
      </c>
      <c r="H157" s="11"/>
      <c r="AU157" s="11"/>
      <c r="CH157" s="11"/>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7"/>
      <c r="DF157" s="17"/>
      <c r="DG157" s="16"/>
      <c r="DH157" s="16"/>
      <c r="DI157" s="17"/>
      <c r="DJ157" s="17"/>
      <c r="DK157" s="16"/>
      <c r="DL157" s="16"/>
      <c r="DM157" s="17"/>
      <c r="DN157" s="17"/>
      <c r="DO157" s="16"/>
      <c r="DP157" s="16"/>
      <c r="DQ157" s="17"/>
      <c r="DR157" s="17"/>
      <c r="DS157" s="16"/>
      <c r="DT157" s="16"/>
      <c r="DU157" s="17"/>
      <c r="DV157" s="17"/>
      <c r="DW157" s="16"/>
      <c r="DX157" s="16"/>
      <c r="DY157" s="17"/>
      <c r="DZ157" s="17"/>
      <c r="EA157" s="16"/>
      <c r="EB157" s="16"/>
      <c r="EC157" s="17"/>
      <c r="ED157" s="17"/>
      <c r="EE157" s="16"/>
      <c r="EF157" s="16"/>
      <c r="EG157" s="17"/>
      <c r="EH157" s="17"/>
      <c r="EI157" s="16"/>
      <c r="EJ157" s="16"/>
      <c r="EK157" s="17"/>
      <c r="EL157" s="17"/>
      <c r="EM157" s="16"/>
      <c r="EN157" s="16"/>
      <c r="EO157" s="17"/>
      <c r="EP157" s="17"/>
      <c r="EQ157" s="16"/>
      <c r="ER157" s="16"/>
      <c r="ES157" s="17"/>
      <c r="ET157" s="17"/>
      <c r="EU157" s="16"/>
      <c r="EV157" s="16"/>
      <c r="EW157" s="17"/>
      <c r="EX157" s="17"/>
      <c r="EY157" s="16"/>
      <c r="EZ157" s="16"/>
      <c r="FA157" s="17"/>
      <c r="FB157" s="17"/>
      <c r="FC157" s="16"/>
      <c r="FD157" s="16"/>
      <c r="FE157" s="17"/>
      <c r="FF157" s="17"/>
      <c r="FG157" s="11"/>
      <c r="GT157" s="11"/>
      <c r="IG157" s="11"/>
      <c r="JT157" s="11"/>
      <c r="LG157" s="11"/>
      <c r="MT157" s="11"/>
      <c r="OG157" s="11"/>
      <c r="PT157" s="11"/>
    </row>
    <row r="158" spans="3:436" ht="15.75" x14ac:dyDescent="0.25">
      <c r="C158" s="20" t="s">
        <v>202</v>
      </c>
      <c r="D158" s="21" t="s">
        <v>203</v>
      </c>
      <c r="H158" s="11"/>
      <c r="AU158" s="11"/>
      <c r="CH158" s="11"/>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7"/>
      <c r="DF158" s="17"/>
      <c r="DG158" s="16"/>
      <c r="DH158" s="16"/>
      <c r="DI158" s="17"/>
      <c r="DJ158" s="17"/>
      <c r="DK158" s="16"/>
      <c r="DL158" s="16"/>
      <c r="DM158" s="17"/>
      <c r="DN158" s="17"/>
      <c r="DO158" s="16"/>
      <c r="DP158" s="16"/>
      <c r="DQ158" s="17"/>
      <c r="DR158" s="17"/>
      <c r="DS158" s="16"/>
      <c r="DT158" s="16"/>
      <c r="DU158" s="17"/>
      <c r="DV158" s="17"/>
      <c r="DW158" s="16"/>
      <c r="DX158" s="16"/>
      <c r="DY158" s="17"/>
      <c r="DZ158" s="17"/>
      <c r="EA158" s="16"/>
      <c r="EB158" s="16"/>
      <c r="EC158" s="17"/>
      <c r="ED158" s="17"/>
      <c r="EE158" s="16"/>
      <c r="EF158" s="16"/>
      <c r="EG158" s="18">
        <v>5</v>
      </c>
      <c r="EH158" s="18">
        <v>7</v>
      </c>
      <c r="EI158" s="16"/>
      <c r="EJ158" s="16"/>
      <c r="EK158" s="17"/>
      <c r="EL158" s="17"/>
      <c r="EM158" s="16"/>
      <c r="EN158" s="16"/>
      <c r="EO158" s="17"/>
      <c r="EP158" s="17"/>
      <c r="EQ158" s="16"/>
      <c r="ER158" s="16"/>
      <c r="ES158" s="17"/>
      <c r="ET158" s="17"/>
      <c r="EU158" s="16"/>
      <c r="EV158" s="16"/>
      <c r="EW158" s="17"/>
      <c r="EX158" s="17"/>
      <c r="EY158" s="16"/>
      <c r="EZ158" s="16"/>
      <c r="FA158" s="17"/>
      <c r="FB158" s="17"/>
      <c r="FC158" s="16"/>
      <c r="FD158" s="16"/>
      <c r="FE158" s="17"/>
      <c r="FF158" s="17"/>
      <c r="FG158" s="11"/>
      <c r="GT158" s="11"/>
      <c r="IG158" s="11"/>
      <c r="JT158" s="11"/>
      <c r="LG158" s="11"/>
      <c r="MT158" s="11"/>
      <c r="OG158" s="11"/>
      <c r="PT158" s="11"/>
    </row>
    <row r="159" spans="3:436" ht="15.75" x14ac:dyDescent="0.25">
      <c r="C159" s="20" t="s">
        <v>204</v>
      </c>
      <c r="D159" s="21" t="s">
        <v>203</v>
      </c>
      <c r="H159" s="11"/>
      <c r="AU159" s="11"/>
      <c r="CH159" s="11"/>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7"/>
      <c r="DF159" s="17"/>
      <c r="DG159" s="16"/>
      <c r="DH159" s="16"/>
      <c r="DI159" s="17"/>
      <c r="DJ159" s="17"/>
      <c r="DK159" s="16"/>
      <c r="DL159" s="16"/>
      <c r="DM159" s="17"/>
      <c r="DN159" s="17"/>
      <c r="DO159" s="16"/>
      <c r="DP159" s="16"/>
      <c r="DQ159" s="17"/>
      <c r="DR159" s="17"/>
      <c r="DS159" s="16"/>
      <c r="DT159" s="16"/>
      <c r="DU159" s="17"/>
      <c r="DV159" s="17"/>
      <c r="DW159" s="16"/>
      <c r="DX159" s="16"/>
      <c r="DY159" s="17"/>
      <c r="DZ159" s="17"/>
      <c r="EA159" s="16"/>
      <c r="EB159" s="16"/>
      <c r="EC159" s="17"/>
      <c r="ED159" s="17"/>
      <c r="EE159" s="16"/>
      <c r="EF159" s="16"/>
      <c r="EG159" s="18">
        <v>3</v>
      </c>
      <c r="EH159" s="18">
        <v>5</v>
      </c>
      <c r="EI159" s="16"/>
      <c r="EJ159" s="16"/>
      <c r="EK159" s="17"/>
      <c r="EL159" s="17"/>
      <c r="EM159" s="16"/>
      <c r="EN159" s="16"/>
      <c r="EO159" s="17"/>
      <c r="EP159" s="17"/>
      <c r="EQ159" s="16"/>
      <c r="ER159" s="16"/>
      <c r="ES159" s="17"/>
      <c r="ET159" s="17"/>
      <c r="EU159" s="16"/>
      <c r="EV159" s="16"/>
      <c r="EW159" s="17"/>
      <c r="EX159" s="17"/>
      <c r="EY159" s="16"/>
      <c r="EZ159" s="16"/>
      <c r="FA159" s="17"/>
      <c r="FB159" s="17"/>
      <c r="FC159" s="16"/>
      <c r="FD159" s="16"/>
      <c r="FE159" s="17"/>
      <c r="FF159" s="17"/>
      <c r="FG159" s="11"/>
      <c r="GT159" s="11"/>
      <c r="IG159" s="11"/>
      <c r="JT159" s="11"/>
      <c r="LG159" s="11"/>
      <c r="MT159" s="11"/>
      <c r="OG159" s="11"/>
      <c r="PT159" s="11"/>
    </row>
    <row r="160" spans="3:436" ht="15.75" x14ac:dyDescent="0.25">
      <c r="C160" s="20" t="s">
        <v>205</v>
      </c>
      <c r="D160" s="21" t="s">
        <v>203</v>
      </c>
      <c r="H160" s="11"/>
      <c r="AU160" s="11"/>
      <c r="CH160" s="11"/>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7"/>
      <c r="DF160" s="17"/>
      <c r="DG160" s="16"/>
      <c r="DH160" s="16"/>
      <c r="DI160" s="17"/>
      <c r="DJ160" s="17"/>
      <c r="DK160" s="16"/>
      <c r="DL160" s="16"/>
      <c r="DM160" s="17"/>
      <c r="DN160" s="17"/>
      <c r="DO160" s="16"/>
      <c r="DP160" s="16"/>
      <c r="DQ160" s="17"/>
      <c r="DR160" s="17"/>
      <c r="DS160" s="16"/>
      <c r="DT160" s="16"/>
      <c r="DU160" s="17"/>
      <c r="DV160" s="17"/>
      <c r="DW160" s="16"/>
      <c r="DX160" s="16"/>
      <c r="DY160" s="17"/>
      <c r="DZ160" s="17"/>
      <c r="EA160" s="16"/>
      <c r="EB160" s="16"/>
      <c r="EC160" s="17"/>
      <c r="ED160" s="17"/>
      <c r="EE160" s="16"/>
      <c r="EF160" s="16"/>
      <c r="EG160" s="18">
        <v>10</v>
      </c>
      <c r="EH160" s="18">
        <v>15</v>
      </c>
      <c r="EI160" s="16"/>
      <c r="EJ160" s="16"/>
      <c r="EK160" s="17"/>
      <c r="EL160" s="17"/>
      <c r="EM160" s="16"/>
      <c r="EN160" s="16"/>
      <c r="EO160" s="17"/>
      <c r="EP160" s="17"/>
      <c r="EQ160" s="16"/>
      <c r="ER160" s="16"/>
      <c r="ES160" s="17"/>
      <c r="ET160" s="17"/>
      <c r="EU160" s="16"/>
      <c r="EV160" s="16"/>
      <c r="EW160" s="17"/>
      <c r="EX160" s="17"/>
      <c r="EY160" s="16"/>
      <c r="EZ160" s="16"/>
      <c r="FA160" s="17"/>
      <c r="FB160" s="17"/>
      <c r="FC160" s="16"/>
      <c r="FD160" s="16"/>
      <c r="FE160" s="17"/>
      <c r="FF160" s="17"/>
      <c r="FG160" s="11"/>
      <c r="GT160" s="11"/>
      <c r="IG160" s="11"/>
      <c r="JT160" s="11"/>
      <c r="LG160" s="11"/>
      <c r="MT160" s="11"/>
      <c r="OG160" s="11"/>
      <c r="PT160" s="11"/>
    </row>
    <row r="161" spans="1:474" ht="15.75" x14ac:dyDescent="0.25">
      <c r="C161" s="20" t="s">
        <v>206</v>
      </c>
      <c r="D161" s="21" t="s">
        <v>203</v>
      </c>
      <c r="H161" s="11"/>
      <c r="AU161" s="11"/>
      <c r="CH161" s="11"/>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7"/>
      <c r="DF161" s="17"/>
      <c r="DG161" s="16"/>
      <c r="DH161" s="16"/>
      <c r="DI161" s="17"/>
      <c r="DJ161" s="17"/>
      <c r="DK161" s="16"/>
      <c r="DL161" s="16"/>
      <c r="DM161" s="17"/>
      <c r="DN161" s="17"/>
      <c r="DO161" s="16"/>
      <c r="DP161" s="16"/>
      <c r="DQ161" s="17"/>
      <c r="DR161" s="17"/>
      <c r="DS161" s="16"/>
      <c r="DT161" s="16"/>
      <c r="DU161" s="17"/>
      <c r="DV161" s="17"/>
      <c r="DW161" s="16"/>
      <c r="DX161" s="16"/>
      <c r="DY161" s="17"/>
      <c r="DZ161" s="17"/>
      <c r="EA161" s="16"/>
      <c r="EB161" s="16"/>
      <c r="EC161" s="17"/>
      <c r="ED161" s="17"/>
      <c r="EE161" s="16"/>
      <c r="EF161" s="16"/>
      <c r="EG161" s="18">
        <v>5</v>
      </c>
      <c r="EH161" s="18">
        <v>10</v>
      </c>
      <c r="EI161" s="16"/>
      <c r="EJ161" s="16"/>
      <c r="EK161" s="17"/>
      <c r="EL161" s="17"/>
      <c r="EM161" s="16"/>
      <c r="EN161" s="16"/>
      <c r="EO161" s="17"/>
      <c r="EP161" s="17"/>
      <c r="EQ161" s="16"/>
      <c r="ER161" s="16"/>
      <c r="ES161" s="17"/>
      <c r="ET161" s="17"/>
      <c r="EU161" s="16"/>
      <c r="EV161" s="16"/>
      <c r="EW161" s="17"/>
      <c r="EX161" s="17"/>
      <c r="EY161" s="16"/>
      <c r="EZ161" s="16"/>
      <c r="FA161" s="17"/>
      <c r="FB161" s="17"/>
      <c r="FC161" s="16"/>
      <c r="FD161" s="16"/>
      <c r="FE161" s="17"/>
      <c r="FF161" s="17"/>
      <c r="FG161" s="11"/>
      <c r="GT161" s="11"/>
      <c r="IG161" s="11"/>
      <c r="JT161" s="11"/>
      <c r="LG161" s="11"/>
      <c r="MT161" s="11"/>
      <c r="OG161" s="11"/>
      <c r="PT161" s="11"/>
    </row>
    <row r="162" spans="1:474" ht="15.75" x14ac:dyDescent="0.25">
      <c r="C162" s="20" t="s">
        <v>207</v>
      </c>
      <c r="D162" s="21" t="s">
        <v>203</v>
      </c>
      <c r="H162" s="11"/>
      <c r="AU162" s="11"/>
      <c r="CH162" s="11"/>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7"/>
      <c r="DF162" s="17"/>
      <c r="DG162" s="16"/>
      <c r="DH162" s="16"/>
      <c r="DI162" s="17"/>
      <c r="DJ162" s="17"/>
      <c r="DK162" s="16"/>
      <c r="DL162" s="16"/>
      <c r="DM162" s="17"/>
      <c r="DN162" s="17"/>
      <c r="DO162" s="16"/>
      <c r="DP162" s="16"/>
      <c r="DQ162" s="17"/>
      <c r="DR162" s="17"/>
      <c r="DS162" s="16"/>
      <c r="DT162" s="16"/>
      <c r="DU162" s="17"/>
      <c r="DV162" s="17"/>
      <c r="DW162" s="16"/>
      <c r="DX162" s="16"/>
      <c r="DY162" s="17"/>
      <c r="DZ162" s="17"/>
      <c r="EA162" s="16"/>
      <c r="EB162" s="16"/>
      <c r="EC162" s="17"/>
      <c r="ED162" s="17"/>
      <c r="EE162" s="16"/>
      <c r="EF162" s="16"/>
      <c r="EG162" s="18">
        <v>1</v>
      </c>
      <c r="EH162" s="18">
        <v>2</v>
      </c>
      <c r="EI162" s="16"/>
      <c r="EJ162" s="16"/>
      <c r="EK162" s="17"/>
      <c r="EL162" s="17"/>
      <c r="EM162" s="16"/>
      <c r="EN162" s="16"/>
      <c r="EO162" s="17"/>
      <c r="EP162" s="17"/>
      <c r="EQ162" s="16"/>
      <c r="ER162" s="16"/>
      <c r="ES162" s="17"/>
      <c r="ET162" s="17"/>
      <c r="EU162" s="16"/>
      <c r="EV162" s="16"/>
      <c r="EW162" s="17"/>
      <c r="EX162" s="17"/>
      <c r="EY162" s="16"/>
      <c r="EZ162" s="16"/>
      <c r="FA162" s="17"/>
      <c r="FB162" s="17"/>
      <c r="FC162" s="16"/>
      <c r="FD162" s="16"/>
      <c r="FE162" s="17"/>
      <c r="FF162" s="17"/>
      <c r="FG162" s="11"/>
      <c r="GT162" s="11"/>
      <c r="IG162" s="11"/>
      <c r="JT162" s="11"/>
      <c r="LG162" s="11"/>
      <c r="MT162" s="11"/>
      <c r="OG162" s="11"/>
      <c r="PT162" s="11"/>
    </row>
    <row r="163" spans="1:474" ht="15.75" x14ac:dyDescent="0.25">
      <c r="C163" s="20" t="s">
        <v>197</v>
      </c>
      <c r="D163" s="21" t="s">
        <v>90</v>
      </c>
      <c r="H163" s="11"/>
      <c r="AU163" s="11"/>
      <c r="CH163" s="11"/>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7"/>
      <c r="DF163" s="17"/>
      <c r="DG163" s="16"/>
      <c r="DH163" s="16"/>
      <c r="DI163" s="17"/>
      <c r="DJ163" s="17"/>
      <c r="DK163" s="16"/>
      <c r="DL163" s="16"/>
      <c r="DM163" s="17"/>
      <c r="DN163" s="17"/>
      <c r="DO163" s="16"/>
      <c r="DP163" s="16"/>
      <c r="DQ163" s="17"/>
      <c r="DR163" s="17"/>
      <c r="DS163" s="16"/>
      <c r="DT163" s="16"/>
      <c r="DU163" s="17"/>
      <c r="DV163" s="17"/>
      <c r="DW163" s="16"/>
      <c r="DX163" s="16"/>
      <c r="DY163" s="17"/>
      <c r="DZ163" s="17"/>
      <c r="EA163" s="16"/>
      <c r="EB163" s="16"/>
      <c r="EC163" s="17"/>
      <c r="ED163" s="17"/>
      <c r="EE163" s="16"/>
      <c r="EF163" s="16"/>
      <c r="EG163" s="17"/>
      <c r="EH163" s="17"/>
      <c r="EI163" s="16"/>
      <c r="EJ163" s="16"/>
      <c r="EK163" s="17"/>
      <c r="EL163" s="17"/>
      <c r="EM163" s="16"/>
      <c r="EN163" s="16"/>
      <c r="EO163" s="17"/>
      <c r="EP163" s="17"/>
      <c r="EQ163" s="16"/>
      <c r="ER163" s="16"/>
      <c r="ES163" s="17"/>
      <c r="ET163" s="17"/>
      <c r="EU163" s="16"/>
      <c r="EV163" s="16"/>
      <c r="EW163" s="17"/>
      <c r="EX163" s="17"/>
      <c r="EY163" s="16"/>
      <c r="EZ163" s="16"/>
      <c r="FA163" s="17"/>
      <c r="FB163" s="17"/>
      <c r="FC163" s="16"/>
      <c r="FD163" s="16"/>
      <c r="FE163" s="17"/>
      <c r="FF163" s="17"/>
      <c r="FG163" s="11"/>
      <c r="GT163" s="11"/>
      <c r="IG163" s="11"/>
      <c r="JT163" s="11"/>
      <c r="LG163" s="11"/>
      <c r="MT163" s="11"/>
      <c r="OG163" s="11"/>
      <c r="PT163" s="11"/>
    </row>
    <row r="164" spans="1:474" ht="15.75" x14ac:dyDescent="0.25">
      <c r="C164" s="20" t="s">
        <v>198</v>
      </c>
      <c r="D164" s="21" t="s">
        <v>90</v>
      </c>
      <c r="H164" s="11"/>
      <c r="AU164" s="11"/>
      <c r="CH164" s="11"/>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7"/>
      <c r="DF164" s="17"/>
      <c r="DG164" s="16"/>
      <c r="DH164" s="16"/>
      <c r="DI164" s="17"/>
      <c r="DJ164" s="17"/>
      <c r="DK164" s="16"/>
      <c r="DL164" s="16"/>
      <c r="DM164" s="17"/>
      <c r="DN164" s="17"/>
      <c r="DO164" s="16"/>
      <c r="DP164" s="16"/>
      <c r="DQ164" s="17"/>
      <c r="DR164" s="17"/>
      <c r="DS164" s="16"/>
      <c r="DT164" s="16"/>
      <c r="DU164" s="17"/>
      <c r="DV164" s="17"/>
      <c r="DW164" s="16"/>
      <c r="DX164" s="16"/>
      <c r="DY164" s="17"/>
      <c r="DZ164" s="17"/>
      <c r="EA164" s="16"/>
      <c r="EB164" s="16"/>
      <c r="EC164" s="17"/>
      <c r="ED164" s="17"/>
      <c r="EE164" s="16"/>
      <c r="EF164" s="16"/>
      <c r="EG164" s="17"/>
      <c r="EH164" s="17"/>
      <c r="EI164" s="16"/>
      <c r="EJ164" s="16"/>
      <c r="EK164" s="17"/>
      <c r="EL164" s="17"/>
      <c r="EM164" s="16"/>
      <c r="EN164" s="16"/>
      <c r="EO164" s="17"/>
      <c r="EP164" s="17"/>
      <c r="EQ164" s="16"/>
      <c r="ER164" s="16"/>
      <c r="ES164" s="17"/>
      <c r="ET164" s="17"/>
      <c r="EU164" s="16"/>
      <c r="EV164" s="16"/>
      <c r="EW164" s="17"/>
      <c r="EX164" s="17"/>
      <c r="EY164" s="16"/>
      <c r="EZ164" s="16"/>
      <c r="FA164" s="17"/>
      <c r="FB164" s="17"/>
      <c r="FC164" s="16"/>
      <c r="FD164" s="16"/>
      <c r="FE164" s="17"/>
      <c r="FF164" s="17"/>
      <c r="FG164" s="11"/>
      <c r="GT164" s="11"/>
      <c r="IG164" s="11"/>
      <c r="JT164" s="11"/>
      <c r="LG164" s="11"/>
      <c r="MT164" s="11"/>
      <c r="OG164" s="11"/>
      <c r="PT164" s="11"/>
    </row>
    <row r="165" spans="1:474" ht="15.75" x14ac:dyDescent="0.25">
      <c r="C165" s="20" t="s">
        <v>208</v>
      </c>
      <c r="D165" s="21" t="s">
        <v>162</v>
      </c>
      <c r="H165" s="11"/>
      <c r="AU165" s="11"/>
      <c r="CH165" s="11"/>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7"/>
      <c r="DF165" s="17"/>
      <c r="DG165" s="16"/>
      <c r="DH165" s="16"/>
      <c r="DI165" s="17"/>
      <c r="DJ165" s="17"/>
      <c r="DK165" s="16"/>
      <c r="DL165" s="16"/>
      <c r="DM165" s="17"/>
      <c r="DN165" s="17"/>
      <c r="DO165" s="16"/>
      <c r="DP165" s="16"/>
      <c r="DQ165" s="17"/>
      <c r="DR165" s="17"/>
      <c r="DS165" s="16"/>
      <c r="DT165" s="16"/>
      <c r="DU165" s="17"/>
      <c r="DV165" s="17"/>
      <c r="DW165" s="16"/>
      <c r="DX165" s="16"/>
      <c r="DY165" s="17"/>
      <c r="DZ165" s="17"/>
      <c r="EA165" s="16"/>
      <c r="EB165" s="16"/>
      <c r="EC165" s="17"/>
      <c r="ED165" s="17"/>
      <c r="EE165" s="16"/>
      <c r="EF165" s="16"/>
      <c r="EG165" s="17"/>
      <c r="EH165" s="17"/>
      <c r="EI165" s="16"/>
      <c r="EJ165" s="16"/>
      <c r="EK165" s="17"/>
      <c r="EL165" s="17"/>
      <c r="EM165" s="16"/>
      <c r="EN165" s="16"/>
      <c r="EO165" s="17"/>
      <c r="EP165" s="17"/>
      <c r="EQ165" s="16"/>
      <c r="ER165" s="16"/>
      <c r="ES165" s="17"/>
      <c r="ET165" s="17"/>
      <c r="EU165" s="16"/>
      <c r="EV165" s="16"/>
      <c r="EW165" s="17"/>
      <c r="EX165" s="17"/>
      <c r="EY165" s="16"/>
      <c r="EZ165" s="16"/>
      <c r="FA165" s="17"/>
      <c r="FB165" s="17"/>
      <c r="FC165" s="16"/>
      <c r="FD165" s="16"/>
      <c r="FE165" s="17"/>
      <c r="FF165" s="17"/>
      <c r="FG165" s="11"/>
      <c r="GT165" s="11"/>
      <c r="IG165" s="11"/>
      <c r="JT165" s="11"/>
      <c r="LG165" s="11"/>
      <c r="MT165" s="11"/>
      <c r="OG165" s="11"/>
      <c r="PT165" s="11"/>
    </row>
    <row r="166" spans="1:474" ht="15.75" x14ac:dyDescent="0.25">
      <c r="C166" s="20" t="s">
        <v>209</v>
      </c>
      <c r="D166" s="21" t="s">
        <v>162</v>
      </c>
      <c r="H166" s="11"/>
      <c r="AU166" s="11"/>
      <c r="CH166" s="11"/>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7"/>
      <c r="DF166" s="17"/>
      <c r="DG166" s="16"/>
      <c r="DH166" s="16"/>
      <c r="DI166" s="17"/>
      <c r="DJ166" s="17"/>
      <c r="DK166" s="16"/>
      <c r="DL166" s="16"/>
      <c r="DM166" s="17"/>
      <c r="DN166" s="17"/>
      <c r="DO166" s="16"/>
      <c r="DP166" s="16"/>
      <c r="DQ166" s="17"/>
      <c r="DR166" s="17"/>
      <c r="DS166" s="16"/>
      <c r="DT166" s="16"/>
      <c r="DU166" s="17"/>
      <c r="DV166" s="17"/>
      <c r="DW166" s="16"/>
      <c r="DX166" s="16"/>
      <c r="DY166" s="17"/>
      <c r="DZ166" s="17"/>
      <c r="EA166" s="16"/>
      <c r="EB166" s="16"/>
      <c r="EC166" s="17"/>
      <c r="ED166" s="17"/>
      <c r="EE166" s="16"/>
      <c r="EF166" s="16"/>
      <c r="EG166" s="17"/>
      <c r="EH166" s="17"/>
      <c r="EI166" s="16"/>
      <c r="EJ166" s="16"/>
      <c r="EK166" s="17"/>
      <c r="EL166" s="17"/>
      <c r="EM166" s="16"/>
      <c r="EN166" s="16"/>
      <c r="EO166" s="17"/>
      <c r="EP166" s="17"/>
      <c r="EQ166" s="16"/>
      <c r="ER166" s="16"/>
      <c r="ES166" s="17"/>
      <c r="ET166" s="17"/>
      <c r="EU166" s="16"/>
      <c r="EV166" s="16"/>
      <c r="EW166" s="17"/>
      <c r="EX166" s="17"/>
      <c r="EY166" s="16"/>
      <c r="EZ166" s="16"/>
      <c r="FA166" s="17"/>
      <c r="FB166" s="17"/>
      <c r="FC166" s="16"/>
      <c r="FD166" s="16"/>
      <c r="FE166" s="17"/>
      <c r="FF166" s="17"/>
      <c r="FG166" s="11"/>
      <c r="GT166" s="11"/>
      <c r="IG166" s="11"/>
      <c r="JT166" s="11"/>
      <c r="LG166" s="11"/>
      <c r="MT166" s="11"/>
      <c r="OG166" s="11"/>
      <c r="PT166" s="11"/>
    </row>
    <row r="167" spans="1:474" ht="15.75" x14ac:dyDescent="0.25">
      <c r="C167" s="20" t="s">
        <v>210</v>
      </c>
      <c r="D167" s="21" t="s">
        <v>162</v>
      </c>
      <c r="H167" s="11"/>
      <c r="AU167" s="11"/>
      <c r="CH167" s="11"/>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7"/>
      <c r="DF167" s="17"/>
      <c r="DG167" s="16"/>
      <c r="DH167" s="16"/>
      <c r="DI167" s="17"/>
      <c r="DJ167" s="17"/>
      <c r="DK167" s="16"/>
      <c r="DL167" s="16"/>
      <c r="DM167" s="17"/>
      <c r="DN167" s="17"/>
      <c r="DO167" s="16"/>
      <c r="DP167" s="16"/>
      <c r="DQ167" s="17"/>
      <c r="DR167" s="17"/>
      <c r="DS167" s="16"/>
      <c r="DT167" s="16"/>
      <c r="DU167" s="17"/>
      <c r="DV167" s="17"/>
      <c r="DW167" s="16"/>
      <c r="DX167" s="16"/>
      <c r="DY167" s="17"/>
      <c r="DZ167" s="17"/>
      <c r="EA167" s="16"/>
      <c r="EB167" s="16"/>
      <c r="EC167" s="17"/>
      <c r="ED167" s="17"/>
      <c r="EE167" s="16"/>
      <c r="EF167" s="16"/>
      <c r="EG167" s="17"/>
      <c r="EH167" s="17"/>
      <c r="EI167" s="16"/>
      <c r="EJ167" s="16"/>
      <c r="EK167" s="17"/>
      <c r="EL167" s="17"/>
      <c r="EM167" s="16"/>
      <c r="EN167" s="16"/>
      <c r="EO167" s="17"/>
      <c r="EP167" s="17"/>
      <c r="EQ167" s="16"/>
      <c r="ER167" s="16"/>
      <c r="ES167" s="17"/>
      <c r="ET167" s="17"/>
      <c r="EU167" s="16"/>
      <c r="EV167" s="16"/>
      <c r="EW167" s="17"/>
      <c r="EX167" s="17"/>
      <c r="EY167" s="16"/>
      <c r="EZ167" s="16"/>
      <c r="FA167" s="17"/>
      <c r="FB167" s="17"/>
      <c r="FC167" s="16"/>
      <c r="FD167" s="16"/>
      <c r="FE167" s="17"/>
      <c r="FF167" s="17"/>
      <c r="FG167" s="11"/>
      <c r="GT167" s="11"/>
      <c r="IG167" s="11"/>
      <c r="JT167" s="11"/>
      <c r="LG167" s="11"/>
      <c r="MT167" s="11"/>
      <c r="OG167" s="11"/>
      <c r="PT167" s="11"/>
    </row>
    <row r="168" spans="1:474" ht="15.75" x14ac:dyDescent="0.25">
      <c r="C168" s="20" t="s">
        <v>211</v>
      </c>
      <c r="D168" s="21" t="s">
        <v>162</v>
      </c>
      <c r="H168" s="11"/>
      <c r="AU168" s="11"/>
      <c r="CH168" s="11"/>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7"/>
      <c r="DF168" s="17"/>
      <c r="DG168" s="16"/>
      <c r="DH168" s="16"/>
      <c r="DI168" s="17"/>
      <c r="DJ168" s="17"/>
      <c r="DK168" s="16"/>
      <c r="DL168" s="16"/>
      <c r="DM168" s="17"/>
      <c r="DN168" s="17"/>
      <c r="DO168" s="16"/>
      <c r="DP168" s="16"/>
      <c r="DQ168" s="17"/>
      <c r="DR168" s="17"/>
      <c r="DS168" s="16"/>
      <c r="DT168" s="16"/>
      <c r="DU168" s="17"/>
      <c r="DV168" s="17"/>
      <c r="DW168" s="16"/>
      <c r="DX168" s="16"/>
      <c r="DY168" s="17"/>
      <c r="DZ168" s="17"/>
      <c r="EA168" s="16"/>
      <c r="EB168" s="16"/>
      <c r="EC168" s="17"/>
      <c r="ED168" s="17"/>
      <c r="EE168" s="16"/>
      <c r="EF168" s="16"/>
      <c r="EG168" s="17"/>
      <c r="EH168" s="17"/>
      <c r="EI168" s="16"/>
      <c r="EJ168" s="16"/>
      <c r="EK168" s="17"/>
      <c r="EL168" s="17"/>
      <c r="EM168" s="16"/>
      <c r="EN168" s="16"/>
      <c r="EO168" s="17"/>
      <c r="EP168" s="17"/>
      <c r="EQ168" s="16"/>
      <c r="ER168" s="16"/>
      <c r="ES168" s="17"/>
      <c r="ET168" s="17"/>
      <c r="EU168" s="16"/>
      <c r="EV168" s="16"/>
      <c r="EW168" s="17"/>
      <c r="EX168" s="17"/>
      <c r="EY168" s="16"/>
      <c r="EZ168" s="16"/>
      <c r="FA168" s="17"/>
      <c r="FB168" s="17"/>
      <c r="FC168" s="16"/>
      <c r="FD168" s="16"/>
      <c r="FE168" s="17"/>
      <c r="FF168" s="17"/>
      <c r="FG168" s="11"/>
      <c r="GT168" s="11"/>
      <c r="IG168" s="11"/>
      <c r="JT168" s="11"/>
      <c r="LG168" s="11"/>
      <c r="MT168" s="11"/>
      <c r="OG168" s="11"/>
      <c r="PT168" s="11"/>
    </row>
    <row r="169" spans="1:474" ht="15.75" x14ac:dyDescent="0.25">
      <c r="C169" s="20" t="s">
        <v>212</v>
      </c>
      <c r="D169" s="21" t="s">
        <v>162</v>
      </c>
      <c r="H169" s="11"/>
      <c r="AU169" s="11"/>
      <c r="CH169" s="11"/>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7"/>
      <c r="DF169" s="17"/>
      <c r="DG169" s="16"/>
      <c r="DH169" s="16"/>
      <c r="DI169" s="17"/>
      <c r="DJ169" s="17"/>
      <c r="DK169" s="16"/>
      <c r="DL169" s="16"/>
      <c r="DM169" s="17"/>
      <c r="DN169" s="17"/>
      <c r="DO169" s="16"/>
      <c r="DP169" s="16"/>
      <c r="DQ169" s="17"/>
      <c r="DR169" s="17"/>
      <c r="DS169" s="16"/>
      <c r="DT169" s="16"/>
      <c r="DU169" s="17"/>
      <c r="DV169" s="17"/>
      <c r="DW169" s="16"/>
      <c r="DX169" s="16"/>
      <c r="DY169" s="17"/>
      <c r="DZ169" s="17"/>
      <c r="EA169" s="16"/>
      <c r="EB169" s="16"/>
      <c r="EC169" s="17"/>
      <c r="ED169" s="17"/>
      <c r="EE169" s="16"/>
      <c r="EF169" s="16"/>
      <c r="EG169" s="17"/>
      <c r="EH169" s="17"/>
      <c r="EI169" s="16"/>
      <c r="EJ169" s="16"/>
      <c r="EK169" s="17"/>
      <c r="EL169" s="17"/>
      <c r="EM169" s="16"/>
      <c r="EN169" s="16"/>
      <c r="EO169" s="17"/>
      <c r="EP169" s="17"/>
      <c r="EQ169" s="16"/>
      <c r="ER169" s="16"/>
      <c r="ES169" s="17"/>
      <c r="ET169" s="17"/>
      <c r="EU169" s="16"/>
      <c r="EV169" s="16"/>
      <c r="EW169" s="17"/>
      <c r="EX169" s="17"/>
      <c r="EY169" s="16"/>
      <c r="EZ169" s="16"/>
      <c r="FA169" s="17"/>
      <c r="FB169" s="17"/>
      <c r="FC169" s="16"/>
      <c r="FD169" s="16"/>
      <c r="FE169" s="17"/>
      <c r="FF169" s="17"/>
      <c r="FG169" s="11"/>
      <c r="GT169" s="11"/>
      <c r="IG169" s="11"/>
      <c r="JT169" s="11"/>
      <c r="LG169" s="11"/>
      <c r="MT169" s="11"/>
      <c r="OG169" s="11"/>
      <c r="PT169" s="11"/>
    </row>
    <row r="170" spans="1:474" ht="15.75" x14ac:dyDescent="0.25">
      <c r="C170" s="20" t="s">
        <v>213</v>
      </c>
      <c r="D170" s="21" t="s">
        <v>162</v>
      </c>
      <c r="H170" s="11"/>
      <c r="AU170" s="11"/>
      <c r="CH170" s="11"/>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7"/>
      <c r="DF170" s="17"/>
      <c r="DG170" s="16"/>
      <c r="DH170" s="16"/>
      <c r="DI170" s="17"/>
      <c r="DJ170" s="17"/>
      <c r="DK170" s="16"/>
      <c r="DL170" s="16"/>
      <c r="DM170" s="17"/>
      <c r="DN170" s="17"/>
      <c r="DO170" s="16"/>
      <c r="DP170" s="16"/>
      <c r="DQ170" s="17"/>
      <c r="DR170" s="17"/>
      <c r="DS170" s="16"/>
      <c r="DT170" s="16"/>
      <c r="DU170" s="17"/>
      <c r="DV170" s="17"/>
      <c r="DW170" s="16"/>
      <c r="DX170" s="16"/>
      <c r="DY170" s="17"/>
      <c r="DZ170" s="17"/>
      <c r="EA170" s="16"/>
      <c r="EB170" s="16"/>
      <c r="EC170" s="17"/>
      <c r="ED170" s="17"/>
      <c r="EE170" s="16"/>
      <c r="EF170" s="16"/>
      <c r="EG170" s="17"/>
      <c r="EH170" s="17"/>
      <c r="EI170" s="16"/>
      <c r="EJ170" s="16"/>
      <c r="EK170" s="17"/>
      <c r="EL170" s="17"/>
      <c r="EM170" s="16"/>
      <c r="EN170" s="16"/>
      <c r="EO170" s="17"/>
      <c r="EP170" s="17"/>
      <c r="EQ170" s="16"/>
      <c r="ER170" s="16"/>
      <c r="ES170" s="17"/>
      <c r="ET170" s="17"/>
      <c r="EU170" s="16"/>
      <c r="EV170" s="16"/>
      <c r="EW170" s="17"/>
      <c r="EX170" s="17"/>
      <c r="EY170" s="16"/>
      <c r="EZ170" s="16"/>
      <c r="FA170" s="17"/>
      <c r="FB170" s="17"/>
      <c r="FC170" s="16"/>
      <c r="FD170" s="16"/>
      <c r="FE170" s="17"/>
      <c r="FF170" s="17"/>
      <c r="FG170" s="11"/>
      <c r="GT170" s="11"/>
      <c r="IG170" s="11"/>
      <c r="JT170" s="11"/>
      <c r="LG170" s="11"/>
      <c r="MT170" s="11"/>
      <c r="OG170" s="11"/>
      <c r="PT170" s="11"/>
    </row>
    <row r="171" spans="1:474" ht="15.75" x14ac:dyDescent="0.25">
      <c r="C171" s="20" t="s">
        <v>214</v>
      </c>
      <c r="D171" s="21" t="s">
        <v>162</v>
      </c>
      <c r="H171" s="11"/>
      <c r="AU171" s="11"/>
      <c r="CH171" s="11"/>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7"/>
      <c r="DF171" s="17"/>
      <c r="DG171" s="16"/>
      <c r="DH171" s="16"/>
      <c r="DI171" s="17"/>
      <c r="DJ171" s="17"/>
      <c r="DK171" s="16"/>
      <c r="DL171" s="16"/>
      <c r="DM171" s="17"/>
      <c r="DN171" s="17"/>
      <c r="DO171" s="16"/>
      <c r="DP171" s="16"/>
      <c r="DQ171" s="17"/>
      <c r="DR171" s="17"/>
      <c r="DS171" s="16"/>
      <c r="DT171" s="16"/>
      <c r="DU171" s="17"/>
      <c r="DV171" s="17"/>
      <c r="DW171" s="16"/>
      <c r="DX171" s="16"/>
      <c r="DY171" s="17"/>
      <c r="DZ171" s="17"/>
      <c r="EA171" s="16"/>
      <c r="EB171" s="16"/>
      <c r="EC171" s="17"/>
      <c r="ED171" s="17"/>
      <c r="EE171" s="16"/>
      <c r="EF171" s="16"/>
      <c r="EG171" s="17"/>
      <c r="EH171" s="17"/>
      <c r="EI171" s="16"/>
      <c r="EJ171" s="16"/>
      <c r="EK171" s="17"/>
      <c r="EL171" s="17"/>
      <c r="EM171" s="16"/>
      <c r="EN171" s="16"/>
      <c r="EO171" s="17"/>
      <c r="EP171" s="17"/>
      <c r="EQ171" s="16"/>
      <c r="ER171" s="16"/>
      <c r="ES171" s="17"/>
      <c r="ET171" s="17"/>
      <c r="EU171" s="16"/>
      <c r="EV171" s="16"/>
      <c r="EW171" s="17"/>
      <c r="EX171" s="17"/>
      <c r="EY171" s="16"/>
      <c r="EZ171" s="16"/>
      <c r="FA171" s="17"/>
      <c r="FB171" s="17"/>
      <c r="FC171" s="16"/>
      <c r="FD171" s="16"/>
      <c r="FE171" s="17"/>
      <c r="FF171" s="17"/>
      <c r="FG171" s="11"/>
      <c r="GT171" s="11"/>
      <c r="IG171" s="11"/>
      <c r="JT171" s="11"/>
      <c r="LG171" s="11"/>
      <c r="MT171" s="11"/>
      <c r="OG171" s="11"/>
      <c r="PT171" s="11"/>
    </row>
    <row r="172" spans="1:474" ht="15.75" x14ac:dyDescent="0.25">
      <c r="A172" s="13"/>
      <c r="B172" s="14" t="s">
        <v>215</v>
      </c>
      <c r="C172" s="13"/>
      <c r="D172" s="13"/>
      <c r="E172" s="15" t="s">
        <v>127</v>
      </c>
      <c r="F172" s="15" t="s">
        <v>77</v>
      </c>
      <c r="G172" s="13"/>
      <c r="H172" s="11"/>
      <c r="AU172" s="11"/>
      <c r="CH172" s="11"/>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7"/>
      <c r="DF172" s="17"/>
      <c r="DG172" s="16"/>
      <c r="DH172" s="16"/>
      <c r="DI172" s="17"/>
      <c r="DJ172" s="17"/>
      <c r="DK172" s="16"/>
      <c r="DL172" s="16"/>
      <c r="DM172" s="17"/>
      <c r="DN172" s="17"/>
      <c r="DO172" s="16"/>
      <c r="DP172" s="16"/>
      <c r="DQ172" s="17"/>
      <c r="DR172" s="17"/>
      <c r="DS172" s="16"/>
      <c r="DT172" s="16"/>
      <c r="DU172" s="17"/>
      <c r="DV172" s="17"/>
      <c r="DW172" s="16"/>
      <c r="DX172" s="16"/>
      <c r="DY172" s="17"/>
      <c r="DZ172" s="17"/>
      <c r="EA172" s="16"/>
      <c r="EB172" s="16"/>
      <c r="EC172" s="17"/>
      <c r="ED172" s="17"/>
      <c r="EE172" s="16"/>
      <c r="EF172" s="16"/>
      <c r="EG172" s="17"/>
      <c r="EH172" s="17"/>
      <c r="EI172" s="16"/>
      <c r="EJ172" s="16"/>
      <c r="EK172" s="17"/>
      <c r="EL172" s="17"/>
      <c r="EM172" s="16"/>
      <c r="EN172" s="16"/>
      <c r="EO172" s="17"/>
      <c r="EP172" s="17"/>
      <c r="EQ172" s="16"/>
      <c r="ER172" s="16"/>
      <c r="ES172" s="17"/>
      <c r="ET172" s="17"/>
      <c r="EU172" s="16"/>
      <c r="EV172" s="16"/>
      <c r="EW172" s="17"/>
      <c r="EX172" s="17"/>
      <c r="EY172" s="16"/>
      <c r="EZ172" s="16"/>
      <c r="FA172" s="17"/>
      <c r="FB172" s="17"/>
      <c r="FC172" s="16"/>
      <c r="FD172" s="16"/>
      <c r="FE172" s="17"/>
      <c r="FF172" s="17"/>
      <c r="FG172" s="11"/>
      <c r="GT172" s="11"/>
      <c r="IG172" s="11"/>
      <c r="JT172" s="11"/>
      <c r="LG172" s="11"/>
      <c r="MT172" s="11"/>
      <c r="OG172" s="11"/>
      <c r="PT172" s="11"/>
    </row>
    <row r="173" spans="1:474" ht="15.75" x14ac:dyDescent="0.25">
      <c r="A173" s="13"/>
      <c r="B173" s="14" t="s">
        <v>216</v>
      </c>
      <c r="C173" s="13"/>
      <c r="D173" s="13"/>
      <c r="E173" s="15" t="s">
        <v>217</v>
      </c>
      <c r="F173" s="15" t="s">
        <v>177</v>
      </c>
      <c r="G173" s="13"/>
      <c r="H173" s="11"/>
      <c r="AU173" s="11"/>
      <c r="CH173" s="11"/>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7"/>
      <c r="DF173" s="17"/>
      <c r="DG173" s="16"/>
      <c r="DH173" s="16"/>
      <c r="DI173" s="17"/>
      <c r="DJ173" s="17"/>
      <c r="DK173" s="16"/>
      <c r="DL173" s="16"/>
      <c r="DM173" s="17"/>
      <c r="DN173" s="17"/>
      <c r="DO173" s="16"/>
      <c r="DP173" s="16"/>
      <c r="DQ173" s="17"/>
      <c r="DR173" s="17"/>
      <c r="DS173" s="16"/>
      <c r="DT173" s="16"/>
      <c r="DU173" s="17"/>
      <c r="DV173" s="17"/>
      <c r="DW173" s="16"/>
      <c r="DX173" s="16"/>
      <c r="DY173" s="17"/>
      <c r="DZ173" s="17"/>
      <c r="EA173" s="16"/>
      <c r="EB173" s="16"/>
      <c r="EC173" s="17"/>
      <c r="ED173" s="17"/>
      <c r="EE173" s="16"/>
      <c r="EF173" s="16"/>
      <c r="EG173" s="17"/>
      <c r="EH173" s="17"/>
      <c r="EI173" s="16"/>
      <c r="EJ173" s="16"/>
      <c r="EK173" s="17"/>
      <c r="EL173" s="17"/>
      <c r="EM173" s="16"/>
      <c r="EN173" s="16"/>
      <c r="EO173" s="17"/>
      <c r="EP173" s="17"/>
      <c r="EQ173" s="16"/>
      <c r="ER173" s="16"/>
      <c r="ES173" s="17"/>
      <c r="ET173" s="17"/>
      <c r="EU173" s="16"/>
      <c r="EV173" s="16"/>
      <c r="EW173" s="17"/>
      <c r="EX173" s="17"/>
      <c r="EY173" s="16"/>
      <c r="EZ173" s="16"/>
      <c r="FA173" s="17"/>
      <c r="FB173" s="17"/>
      <c r="FC173" s="16"/>
      <c r="FD173" s="16"/>
      <c r="FE173" s="17"/>
      <c r="FF173" s="17"/>
      <c r="FG173" s="11"/>
      <c r="GT173" s="11"/>
      <c r="IG173" s="11"/>
      <c r="JT173" s="11"/>
      <c r="LG173" s="11"/>
      <c r="MT173" s="11"/>
      <c r="OG173" s="11"/>
      <c r="PT173" s="11"/>
    </row>
    <row r="174" spans="1:474" x14ac:dyDescent="0.25">
      <c r="A174" s="57" t="s">
        <v>218</v>
      </c>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c r="AI174" s="57"/>
      <c r="AJ174" s="57"/>
      <c r="AK174" s="57"/>
      <c r="AL174" s="57"/>
      <c r="AM174" s="57"/>
      <c r="AN174" s="57"/>
      <c r="AO174" s="57"/>
      <c r="AP174" s="57"/>
      <c r="AQ174" s="57"/>
      <c r="AR174" s="57"/>
      <c r="AS174" s="57"/>
      <c r="AT174" s="57"/>
      <c r="AU174" s="57"/>
      <c r="AV174" s="57"/>
      <c r="AW174" s="57"/>
      <c r="AX174" s="57"/>
      <c r="AY174" s="57"/>
      <c r="AZ174" s="57"/>
      <c r="BA174" s="57"/>
      <c r="BB174" s="57"/>
      <c r="BC174" s="57"/>
      <c r="BD174" s="57"/>
      <c r="BE174" s="57"/>
      <c r="BF174" s="57"/>
      <c r="BG174" s="57"/>
      <c r="BH174" s="57"/>
      <c r="BI174" s="57"/>
      <c r="BJ174" s="57"/>
      <c r="BK174" s="57"/>
      <c r="BL174" s="57"/>
      <c r="BM174" s="57"/>
      <c r="BN174" s="57"/>
      <c r="BO174" s="57"/>
      <c r="BP174" s="57"/>
      <c r="BQ174" s="57"/>
      <c r="BR174" s="57"/>
      <c r="BS174" s="57"/>
      <c r="BT174" s="57"/>
      <c r="BU174" s="57"/>
      <c r="BV174" s="57"/>
      <c r="BW174" s="57"/>
      <c r="BX174" s="57"/>
      <c r="BY174" s="57"/>
      <c r="BZ174" s="57"/>
      <c r="CA174" s="57"/>
      <c r="CB174" s="57"/>
      <c r="CC174" s="57"/>
      <c r="CD174" s="57"/>
      <c r="CE174" s="57"/>
      <c r="CF174" s="57"/>
      <c r="CG174" s="57"/>
      <c r="CH174" s="57"/>
      <c r="CI174" s="57"/>
      <c r="CJ174" s="57"/>
      <c r="CK174" s="57"/>
      <c r="CL174" s="57"/>
      <c r="CM174" s="57"/>
      <c r="CN174" s="57"/>
      <c r="CO174" s="57"/>
      <c r="CP174" s="57"/>
      <c r="CQ174" s="57"/>
      <c r="CR174" s="57"/>
      <c r="CS174" s="57"/>
      <c r="CT174" s="57"/>
      <c r="CU174" s="57"/>
      <c r="CV174" s="57"/>
      <c r="CW174" s="57"/>
      <c r="CX174" s="57"/>
      <c r="CY174" s="57"/>
      <c r="CZ174" s="57"/>
      <c r="DA174" s="57"/>
      <c r="DB174" s="57"/>
      <c r="DC174" s="57"/>
      <c r="DD174" s="57"/>
      <c r="DE174" s="57"/>
      <c r="DF174" s="57"/>
      <c r="DG174" s="57"/>
      <c r="DH174" s="57"/>
      <c r="DI174" s="57"/>
      <c r="DJ174" s="57"/>
      <c r="DK174" s="57"/>
      <c r="DL174" s="57"/>
      <c r="DM174" s="57"/>
      <c r="DN174" s="57"/>
      <c r="DO174" s="57"/>
      <c r="DP174" s="57"/>
      <c r="DQ174" s="57"/>
      <c r="DR174" s="57"/>
      <c r="DS174" s="57"/>
      <c r="DT174" s="57"/>
      <c r="DU174" s="57"/>
      <c r="DV174" s="57"/>
      <c r="DW174" s="57"/>
      <c r="DX174" s="57"/>
      <c r="DY174" s="57"/>
      <c r="DZ174" s="57"/>
      <c r="EA174" s="57"/>
      <c r="EB174" s="57"/>
      <c r="EC174" s="57"/>
      <c r="ED174" s="57"/>
      <c r="EE174" s="57"/>
      <c r="EF174" s="57"/>
      <c r="EG174" s="57"/>
      <c r="EH174" s="57"/>
      <c r="EI174" s="57"/>
      <c r="EJ174" s="57"/>
      <c r="EK174" s="57"/>
      <c r="EL174" s="57"/>
      <c r="EM174" s="57"/>
      <c r="EN174" s="57"/>
      <c r="EO174" s="57"/>
      <c r="EP174" s="57"/>
      <c r="EQ174" s="57"/>
      <c r="ER174" s="57"/>
      <c r="ES174" s="57"/>
      <c r="ET174" s="57"/>
      <c r="EU174" s="57"/>
      <c r="EV174" s="57"/>
      <c r="EW174" s="57"/>
      <c r="EX174" s="57"/>
      <c r="EY174" s="57"/>
      <c r="EZ174" s="57"/>
      <c r="FA174" s="57"/>
      <c r="FB174" s="57"/>
      <c r="FC174" s="57"/>
      <c r="FD174" s="57"/>
      <c r="FE174" s="57"/>
      <c r="FF174" s="57"/>
      <c r="FG174" s="57"/>
      <c r="FH174" s="57"/>
      <c r="FI174" s="57"/>
      <c r="FJ174" s="57"/>
      <c r="FK174" s="57"/>
      <c r="FL174" s="57"/>
      <c r="FM174" s="57"/>
      <c r="FN174" s="57"/>
      <c r="FO174" s="57"/>
      <c r="FP174" s="57"/>
      <c r="FQ174" s="57"/>
      <c r="FR174" s="57"/>
      <c r="FS174" s="57"/>
      <c r="FT174" s="57"/>
      <c r="FU174" s="57"/>
      <c r="FV174" s="57"/>
      <c r="FW174" s="57"/>
      <c r="FX174" s="57"/>
      <c r="FY174" s="57"/>
      <c r="FZ174" s="57"/>
      <c r="GA174" s="57"/>
      <c r="GB174" s="57"/>
      <c r="GC174" s="57"/>
      <c r="GD174" s="57"/>
      <c r="GE174" s="57"/>
      <c r="GF174" s="57"/>
      <c r="GG174" s="57"/>
      <c r="GH174" s="57"/>
      <c r="GI174" s="57"/>
      <c r="GJ174" s="57"/>
      <c r="GK174" s="57"/>
      <c r="GL174" s="57"/>
      <c r="GM174" s="57"/>
      <c r="GN174" s="57"/>
      <c r="GO174" s="57"/>
      <c r="GP174" s="57"/>
      <c r="GQ174" s="57"/>
      <c r="GR174" s="57"/>
      <c r="GS174" s="57"/>
      <c r="GT174" s="57"/>
      <c r="GU174" s="57"/>
      <c r="GV174" s="57"/>
      <c r="GW174" s="57"/>
      <c r="GX174" s="57"/>
      <c r="GY174" s="57"/>
      <c r="GZ174" s="57"/>
      <c r="HA174" s="57"/>
      <c r="HB174" s="57"/>
      <c r="HC174" s="57"/>
      <c r="HD174" s="57"/>
      <c r="HE174" s="57"/>
      <c r="HF174" s="57"/>
      <c r="HG174" s="57"/>
      <c r="HH174" s="57"/>
      <c r="HI174" s="57"/>
      <c r="HJ174" s="57"/>
      <c r="HK174" s="57"/>
      <c r="HL174" s="57"/>
      <c r="HM174" s="57"/>
      <c r="HN174" s="57"/>
      <c r="HO174" s="57"/>
      <c r="HP174" s="57"/>
      <c r="HQ174" s="57"/>
      <c r="HR174" s="57"/>
      <c r="HS174" s="57"/>
      <c r="HT174" s="57"/>
      <c r="HU174" s="57"/>
      <c r="HV174" s="57"/>
      <c r="HW174" s="57"/>
      <c r="HX174" s="57"/>
      <c r="HY174" s="57"/>
      <c r="HZ174" s="57"/>
      <c r="IA174" s="57"/>
      <c r="IB174" s="57"/>
      <c r="IC174" s="57"/>
      <c r="ID174" s="57"/>
      <c r="IE174" s="57"/>
      <c r="IF174" s="57"/>
      <c r="IG174" s="57"/>
      <c r="IH174" s="57"/>
      <c r="II174" s="57"/>
      <c r="IJ174" s="57"/>
      <c r="IK174" s="57"/>
      <c r="IL174" s="57"/>
      <c r="IM174" s="57"/>
      <c r="IN174" s="57"/>
      <c r="IO174" s="57"/>
      <c r="IP174" s="57"/>
      <c r="IQ174" s="57"/>
      <c r="IR174" s="57"/>
      <c r="IS174" s="57"/>
      <c r="IT174" s="57"/>
      <c r="IU174" s="57"/>
      <c r="IV174" s="57"/>
      <c r="IW174" s="57"/>
      <c r="IX174" s="57"/>
      <c r="IY174" s="57"/>
      <c r="IZ174" s="57"/>
      <c r="JA174" s="57"/>
      <c r="JB174" s="57"/>
      <c r="JC174" s="57"/>
      <c r="JD174" s="57"/>
      <c r="JE174" s="57"/>
      <c r="JF174" s="57"/>
      <c r="JG174" s="57"/>
      <c r="JH174" s="57"/>
      <c r="JI174" s="57"/>
      <c r="JJ174" s="57"/>
      <c r="JK174" s="57"/>
      <c r="JL174" s="57"/>
      <c r="JM174" s="57"/>
      <c r="JN174" s="57"/>
      <c r="JO174" s="57"/>
      <c r="JP174" s="57"/>
      <c r="JQ174" s="57"/>
      <c r="JR174" s="57"/>
      <c r="JS174" s="57"/>
      <c r="JT174" s="57"/>
      <c r="JU174" s="57"/>
      <c r="JV174" s="57"/>
      <c r="JW174" s="57"/>
      <c r="JX174" s="57"/>
      <c r="JY174" s="57"/>
      <c r="JZ174" s="57"/>
      <c r="KA174" s="57"/>
      <c r="KB174" s="57"/>
      <c r="KC174" s="57"/>
      <c r="KD174" s="57"/>
      <c r="KE174" s="57"/>
      <c r="KF174" s="57"/>
      <c r="KG174" s="57"/>
      <c r="KH174" s="57"/>
      <c r="KI174" s="57"/>
      <c r="KJ174" s="57"/>
      <c r="KK174" s="57"/>
      <c r="KL174" s="57"/>
      <c r="KM174" s="57"/>
      <c r="KN174" s="57"/>
      <c r="KO174" s="57"/>
      <c r="KP174" s="57"/>
      <c r="KQ174" s="57"/>
      <c r="KR174" s="57"/>
      <c r="KS174" s="57"/>
      <c r="KT174" s="57"/>
      <c r="KU174" s="57"/>
      <c r="KV174" s="57"/>
      <c r="KW174" s="57"/>
      <c r="KX174" s="57"/>
      <c r="KY174" s="57"/>
      <c r="KZ174" s="57"/>
      <c r="LA174" s="57"/>
      <c r="LB174" s="57"/>
      <c r="LC174" s="57"/>
      <c r="LD174" s="57"/>
      <c r="LE174" s="57"/>
      <c r="LF174" s="57"/>
      <c r="LG174" s="57"/>
      <c r="LH174" s="57"/>
      <c r="LI174" s="57"/>
      <c r="LJ174" s="57"/>
      <c r="LK174" s="57"/>
      <c r="LL174" s="57"/>
      <c r="LM174" s="57"/>
      <c r="LN174" s="57"/>
      <c r="LO174" s="57"/>
      <c r="LP174" s="57"/>
      <c r="LQ174" s="57"/>
      <c r="LR174" s="57"/>
      <c r="LS174" s="57"/>
      <c r="LT174" s="57"/>
      <c r="LU174" s="57"/>
      <c r="LV174" s="57"/>
      <c r="LW174" s="57"/>
      <c r="LX174" s="57"/>
      <c r="LY174" s="57"/>
      <c r="LZ174" s="57"/>
      <c r="MA174" s="57"/>
      <c r="MB174" s="57"/>
      <c r="MC174" s="57"/>
      <c r="MD174" s="57"/>
      <c r="ME174" s="57"/>
      <c r="MF174" s="57"/>
      <c r="MG174" s="57"/>
      <c r="MH174" s="57"/>
      <c r="MI174" s="57"/>
      <c r="MJ174" s="57"/>
      <c r="MK174" s="57"/>
      <c r="ML174" s="57"/>
      <c r="MM174" s="57"/>
      <c r="MN174" s="57"/>
      <c r="MO174" s="57"/>
      <c r="MP174" s="57"/>
      <c r="MQ174" s="57"/>
      <c r="MR174" s="57"/>
      <c r="MS174" s="57"/>
      <c r="MT174" s="57"/>
      <c r="MU174" s="57"/>
      <c r="MV174" s="57"/>
      <c r="MW174" s="57"/>
      <c r="MX174" s="57"/>
      <c r="MY174" s="57"/>
      <c r="MZ174" s="57"/>
      <c r="NA174" s="57"/>
      <c r="NB174" s="57"/>
      <c r="NC174" s="57"/>
      <c r="ND174" s="57"/>
      <c r="NE174" s="57"/>
      <c r="NF174" s="57"/>
      <c r="NG174" s="57"/>
      <c r="NH174" s="57"/>
      <c r="NI174" s="57"/>
      <c r="NJ174" s="57"/>
      <c r="NK174" s="57"/>
      <c r="NL174" s="57"/>
      <c r="NM174" s="57"/>
      <c r="NN174" s="57"/>
      <c r="NO174" s="57"/>
      <c r="NP174" s="57"/>
      <c r="NQ174" s="57"/>
      <c r="NR174" s="57"/>
      <c r="NS174" s="57"/>
      <c r="NT174" s="57"/>
      <c r="NU174" s="57"/>
      <c r="NV174" s="57"/>
      <c r="NW174" s="57"/>
      <c r="NX174" s="57"/>
      <c r="NY174" s="57"/>
      <c r="NZ174" s="57"/>
      <c r="OA174" s="57"/>
      <c r="OB174" s="57"/>
      <c r="OC174" s="57"/>
      <c r="OD174" s="57"/>
      <c r="OE174" s="57"/>
      <c r="OF174" s="57"/>
      <c r="OG174" s="57"/>
      <c r="OH174" s="57"/>
      <c r="OI174" s="57"/>
      <c r="OJ174" s="57"/>
      <c r="OK174" s="57"/>
      <c r="OL174" s="57"/>
      <c r="OM174" s="57"/>
      <c r="ON174" s="57"/>
      <c r="OO174" s="57"/>
      <c r="OP174" s="57"/>
      <c r="OQ174" s="57"/>
      <c r="OR174" s="57"/>
      <c r="OS174" s="57"/>
      <c r="OT174" s="57"/>
      <c r="OU174" s="57"/>
      <c r="OV174" s="57"/>
      <c r="OW174" s="57"/>
      <c r="OX174" s="57"/>
      <c r="OY174" s="57"/>
      <c r="OZ174" s="57"/>
      <c r="PA174" s="57"/>
      <c r="PB174" s="57"/>
      <c r="PC174" s="57"/>
      <c r="PD174" s="57"/>
      <c r="PE174" s="57"/>
      <c r="PF174" s="57"/>
      <c r="PG174" s="57"/>
      <c r="PH174" s="57"/>
      <c r="PI174" s="57"/>
      <c r="PJ174" s="57"/>
      <c r="PK174" s="57"/>
      <c r="PL174" s="57"/>
      <c r="PM174" s="57"/>
      <c r="PN174" s="57"/>
      <c r="PO174" s="57"/>
      <c r="PP174" s="57"/>
      <c r="PQ174" s="57"/>
      <c r="PR174" s="57"/>
      <c r="PS174" s="57"/>
      <c r="PT174" s="57"/>
      <c r="PU174" s="57"/>
      <c r="PV174" s="57"/>
      <c r="PW174" s="57"/>
      <c r="PX174" s="57"/>
      <c r="PY174" s="57"/>
      <c r="PZ174" s="57"/>
      <c r="QA174" s="57"/>
      <c r="QB174" s="57"/>
      <c r="QC174" s="57"/>
      <c r="QD174" s="57"/>
      <c r="QE174" s="57"/>
      <c r="QF174" s="57"/>
      <c r="QG174" s="57"/>
      <c r="QH174" s="57"/>
      <c r="QI174" s="57"/>
      <c r="QJ174" s="57"/>
      <c r="QK174" s="57"/>
      <c r="QL174" s="57"/>
      <c r="QM174" s="57"/>
      <c r="QN174" s="57"/>
      <c r="QO174" s="57"/>
      <c r="QP174" s="57"/>
      <c r="QQ174" s="57"/>
      <c r="QR174" s="57"/>
      <c r="QS174" s="57"/>
      <c r="QT174" s="57"/>
      <c r="QU174" s="57"/>
      <c r="QV174" s="57"/>
      <c r="QW174" s="57"/>
      <c r="QX174" s="57"/>
      <c r="QY174" s="57"/>
      <c r="QZ174" s="57"/>
      <c r="RA174" s="57"/>
      <c r="RB174" s="57"/>
      <c r="RC174" s="57"/>
      <c r="RD174" s="57"/>
      <c r="RE174" s="57"/>
      <c r="RF174" s="57"/>
    </row>
    <row r="175" spans="1:474" x14ac:dyDescent="0.25">
      <c r="H175" s="11"/>
      <c r="AU175" s="11"/>
      <c r="CH175" s="11"/>
      <c r="CI175" s="12" t="s">
        <v>73</v>
      </c>
      <c r="CJ175" s="12" t="s">
        <v>74</v>
      </c>
      <c r="CK175" s="12" t="s">
        <v>73</v>
      </c>
      <c r="CL175" s="12" t="s">
        <v>74</v>
      </c>
      <c r="CM175" s="12" t="s">
        <v>73</v>
      </c>
      <c r="CN175" s="12" t="s">
        <v>74</v>
      </c>
      <c r="CO175" s="12" t="s">
        <v>73</v>
      </c>
      <c r="CP175" s="12" t="s">
        <v>74</v>
      </c>
      <c r="CQ175" s="12" t="s">
        <v>73</v>
      </c>
      <c r="CR175" s="12" t="s">
        <v>74</v>
      </c>
      <c r="CS175" s="12" t="s">
        <v>73</v>
      </c>
      <c r="CT175" s="12" t="s">
        <v>74</v>
      </c>
      <c r="CU175" s="12" t="s">
        <v>73</v>
      </c>
      <c r="CV175" s="12" t="s">
        <v>74</v>
      </c>
      <c r="CW175" s="12" t="s">
        <v>73</v>
      </c>
      <c r="CX175" s="12" t="s">
        <v>74</v>
      </c>
      <c r="CY175" s="12" t="s">
        <v>73</v>
      </c>
      <c r="CZ175" s="12" t="s">
        <v>74</v>
      </c>
      <c r="DA175" s="12" t="s">
        <v>73</v>
      </c>
      <c r="DB175" s="12" t="s">
        <v>74</v>
      </c>
      <c r="DC175" s="12" t="s">
        <v>73</v>
      </c>
      <c r="DD175" s="12" t="s">
        <v>74</v>
      </c>
      <c r="DE175" s="12" t="s">
        <v>73</v>
      </c>
      <c r="DF175" s="12" t="s">
        <v>74</v>
      </c>
      <c r="DG175" s="12" t="s">
        <v>73</v>
      </c>
      <c r="DH175" s="12" t="s">
        <v>74</v>
      </c>
      <c r="DI175" s="12" t="s">
        <v>73</v>
      </c>
      <c r="DJ175" s="12" t="s">
        <v>74</v>
      </c>
      <c r="DK175" s="12" t="s">
        <v>73</v>
      </c>
      <c r="DL175" s="12" t="s">
        <v>74</v>
      </c>
      <c r="DM175" s="12" t="s">
        <v>73</v>
      </c>
      <c r="DN175" s="12" t="s">
        <v>74</v>
      </c>
      <c r="DO175" s="12" t="s">
        <v>73</v>
      </c>
      <c r="DP175" s="12" t="s">
        <v>74</v>
      </c>
      <c r="DQ175" s="12" t="s">
        <v>73</v>
      </c>
      <c r="DR175" s="12" t="s">
        <v>74</v>
      </c>
      <c r="DS175" s="12" t="s">
        <v>73</v>
      </c>
      <c r="DT175" s="12" t="s">
        <v>74</v>
      </c>
      <c r="DU175" s="12" t="s">
        <v>73</v>
      </c>
      <c r="DV175" s="12" t="s">
        <v>74</v>
      </c>
      <c r="DW175" s="12" t="s">
        <v>73</v>
      </c>
      <c r="DX175" s="12" t="s">
        <v>74</v>
      </c>
      <c r="DY175" s="12" t="s">
        <v>73</v>
      </c>
      <c r="DZ175" s="12" t="s">
        <v>74</v>
      </c>
      <c r="EA175" s="12" t="s">
        <v>73</v>
      </c>
      <c r="EB175" s="12" t="s">
        <v>74</v>
      </c>
      <c r="EC175" s="12" t="s">
        <v>73</v>
      </c>
      <c r="ED175" s="12" t="s">
        <v>74</v>
      </c>
      <c r="EE175" s="12" t="s">
        <v>73</v>
      </c>
      <c r="EF175" s="12" t="s">
        <v>74</v>
      </c>
      <c r="EG175" s="12" t="s">
        <v>73</v>
      </c>
      <c r="EH175" s="12" t="s">
        <v>74</v>
      </c>
      <c r="EI175" s="12" t="s">
        <v>73</v>
      </c>
      <c r="EJ175" s="12" t="s">
        <v>74</v>
      </c>
      <c r="EK175" s="12" t="s">
        <v>73</v>
      </c>
      <c r="EL175" s="12" t="s">
        <v>74</v>
      </c>
      <c r="EM175" s="12" t="s">
        <v>73</v>
      </c>
      <c r="EN175" s="12" t="s">
        <v>74</v>
      </c>
      <c r="EO175" s="12" t="s">
        <v>73</v>
      </c>
      <c r="EP175" s="12" t="s">
        <v>74</v>
      </c>
      <c r="EQ175" s="12" t="s">
        <v>73</v>
      </c>
      <c r="ER175" s="12" t="s">
        <v>74</v>
      </c>
      <c r="ES175" s="12" t="s">
        <v>73</v>
      </c>
      <c r="ET175" s="12" t="s">
        <v>74</v>
      </c>
      <c r="EU175" s="12" t="s">
        <v>73</v>
      </c>
      <c r="EV175" s="12" t="s">
        <v>74</v>
      </c>
      <c r="EW175" s="12" t="s">
        <v>73</v>
      </c>
      <c r="EX175" s="12" t="s">
        <v>74</v>
      </c>
      <c r="EY175" s="12" t="s">
        <v>73</v>
      </c>
      <c r="EZ175" s="12" t="s">
        <v>74</v>
      </c>
      <c r="FA175" s="12" t="s">
        <v>73</v>
      </c>
      <c r="FB175" s="12" t="s">
        <v>74</v>
      </c>
      <c r="FC175" s="12" t="s">
        <v>73</v>
      </c>
      <c r="FD175" s="12" t="s">
        <v>74</v>
      </c>
      <c r="FE175" s="12" t="s">
        <v>73</v>
      </c>
      <c r="FF175" s="12" t="s">
        <v>74</v>
      </c>
      <c r="FG175" s="11"/>
      <c r="GT175" s="11"/>
      <c r="IG175" s="11"/>
      <c r="JT175" s="11"/>
      <c r="LG175" s="11"/>
      <c r="MT175" s="11"/>
      <c r="OG175" s="11"/>
      <c r="PT175" s="11"/>
    </row>
    <row r="176" spans="1:474" ht="15.75" x14ac:dyDescent="0.25">
      <c r="A176" s="13"/>
      <c r="B176" s="14" t="s">
        <v>219</v>
      </c>
      <c r="C176" s="13"/>
      <c r="D176" s="13"/>
      <c r="E176" s="15" t="s">
        <v>127</v>
      </c>
      <c r="F176" s="15" t="s">
        <v>132</v>
      </c>
      <c r="G176" s="13"/>
      <c r="H176" s="11"/>
      <c r="AU176" s="11"/>
      <c r="CH176" s="11"/>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7"/>
      <c r="DF176" s="17"/>
      <c r="DG176" s="16"/>
      <c r="DH176" s="16"/>
      <c r="DI176" s="17"/>
      <c r="DJ176" s="17"/>
      <c r="DK176" s="16"/>
      <c r="DL176" s="16"/>
      <c r="DM176" s="17"/>
      <c r="DN176" s="17"/>
      <c r="DO176" s="16"/>
      <c r="DP176" s="16"/>
      <c r="DQ176" s="17"/>
      <c r="DR176" s="17"/>
      <c r="DS176" s="16"/>
      <c r="DT176" s="16"/>
      <c r="DU176" s="17"/>
      <c r="DV176" s="17"/>
      <c r="DW176" s="16"/>
      <c r="DX176" s="16"/>
      <c r="DY176" s="17"/>
      <c r="DZ176" s="17"/>
      <c r="EA176" s="16"/>
      <c r="EB176" s="16"/>
      <c r="EC176" s="17"/>
      <c r="ED176" s="17"/>
      <c r="EE176" s="16"/>
      <c r="EF176" s="16"/>
      <c r="EG176" s="17"/>
      <c r="EH176" s="17"/>
      <c r="EI176" s="16"/>
      <c r="EJ176" s="16"/>
      <c r="EK176" s="17"/>
      <c r="EL176" s="17"/>
      <c r="EM176" s="16"/>
      <c r="EN176" s="16"/>
      <c r="EO176" s="17"/>
      <c r="EP176" s="17"/>
      <c r="EQ176" s="16"/>
      <c r="ER176" s="16"/>
      <c r="ES176" s="17"/>
      <c r="ET176" s="17"/>
      <c r="EU176" s="16"/>
      <c r="EV176" s="16"/>
      <c r="EW176" s="17"/>
      <c r="EX176" s="17"/>
      <c r="EY176" s="16"/>
      <c r="EZ176" s="16"/>
      <c r="FA176" s="17"/>
      <c r="FB176" s="17"/>
      <c r="FC176" s="16"/>
      <c r="FD176" s="16"/>
      <c r="FE176" s="17"/>
      <c r="FF176" s="17"/>
      <c r="FG176" s="11"/>
      <c r="GT176" s="11"/>
      <c r="IG176" s="11"/>
      <c r="JT176" s="11"/>
      <c r="LG176" s="11"/>
      <c r="MT176" s="11"/>
      <c r="OG176" s="11"/>
      <c r="PT176" s="11"/>
    </row>
    <row r="177" spans="3:436" ht="15.75" x14ac:dyDescent="0.25">
      <c r="C177" s="20" t="s">
        <v>220</v>
      </c>
      <c r="D177" s="21" t="s">
        <v>79</v>
      </c>
      <c r="H177" s="11"/>
      <c r="AU177" s="11"/>
      <c r="CH177" s="11"/>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7"/>
      <c r="DF177" s="17"/>
      <c r="DG177" s="16"/>
      <c r="DH177" s="16"/>
      <c r="DI177" s="18">
        <v>0.5</v>
      </c>
      <c r="DJ177" s="18">
        <v>1</v>
      </c>
      <c r="DK177" s="16"/>
      <c r="DL177" s="16"/>
      <c r="DM177" s="17"/>
      <c r="DN177" s="17"/>
      <c r="DO177" s="16"/>
      <c r="DP177" s="16"/>
      <c r="DQ177" s="17"/>
      <c r="DR177" s="17"/>
      <c r="DS177" s="16"/>
      <c r="DT177" s="16"/>
      <c r="DU177" s="17"/>
      <c r="DV177" s="17"/>
      <c r="DW177" s="16"/>
      <c r="DX177" s="16"/>
      <c r="DY177" s="17"/>
      <c r="DZ177" s="17"/>
      <c r="EA177" s="16"/>
      <c r="EB177" s="16"/>
      <c r="EC177" s="17"/>
      <c r="ED177" s="17"/>
      <c r="EE177" s="16"/>
      <c r="EF177" s="16"/>
      <c r="EG177" s="17"/>
      <c r="EH177" s="17"/>
      <c r="EI177" s="16"/>
      <c r="EJ177" s="16"/>
      <c r="EK177" s="17"/>
      <c r="EL177" s="17"/>
      <c r="EM177" s="16"/>
      <c r="EN177" s="16"/>
      <c r="EO177" s="17"/>
      <c r="EP177" s="17"/>
      <c r="EQ177" s="16"/>
      <c r="ER177" s="16"/>
      <c r="ES177" s="17"/>
      <c r="ET177" s="17"/>
      <c r="EU177" s="16"/>
      <c r="EV177" s="16"/>
      <c r="EW177" s="17"/>
      <c r="EX177" s="17"/>
      <c r="EY177" s="16"/>
      <c r="EZ177" s="16"/>
      <c r="FA177" s="17"/>
      <c r="FB177" s="17"/>
      <c r="FC177" s="16"/>
      <c r="FD177" s="16"/>
      <c r="FE177" s="17"/>
      <c r="FF177" s="17"/>
      <c r="FG177" s="11"/>
      <c r="GT177" s="11"/>
      <c r="IG177" s="11"/>
      <c r="JT177" s="11"/>
      <c r="LG177" s="11"/>
      <c r="MT177" s="11"/>
      <c r="OG177" s="11"/>
      <c r="PT177" s="11"/>
    </row>
    <row r="178" spans="3:436" ht="15.75" x14ac:dyDescent="0.25">
      <c r="C178" s="20" t="s">
        <v>221</v>
      </c>
      <c r="D178" s="21" t="s">
        <v>159</v>
      </c>
      <c r="H178" s="11"/>
      <c r="AU178" s="11"/>
      <c r="CH178" s="11"/>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7"/>
      <c r="DF178" s="17"/>
      <c r="DG178" s="16"/>
      <c r="DH178" s="16"/>
      <c r="DI178" s="17"/>
      <c r="DJ178" s="17"/>
      <c r="DK178" s="16"/>
      <c r="DL178" s="16"/>
      <c r="DM178" s="17"/>
      <c r="DN178" s="17"/>
      <c r="DO178" s="16"/>
      <c r="DP178" s="16"/>
      <c r="DQ178" s="17"/>
      <c r="DR178" s="17"/>
      <c r="DS178" s="16"/>
      <c r="DT178" s="16"/>
      <c r="DU178" s="17"/>
      <c r="DV178" s="17"/>
      <c r="DW178" s="16"/>
      <c r="DX178" s="16"/>
      <c r="DY178" s="17"/>
      <c r="DZ178" s="17"/>
      <c r="EA178" s="16"/>
      <c r="EB178" s="16"/>
      <c r="EC178" s="17"/>
      <c r="ED178" s="17"/>
      <c r="EE178" s="16"/>
      <c r="EF178" s="16"/>
      <c r="EG178" s="17"/>
      <c r="EH178" s="17"/>
      <c r="EI178" s="16"/>
      <c r="EJ178" s="16"/>
      <c r="EK178" s="17"/>
      <c r="EL178" s="17"/>
      <c r="EM178" s="16"/>
      <c r="EN178" s="16"/>
      <c r="EO178" s="17"/>
      <c r="EP178" s="17"/>
      <c r="EQ178" s="16"/>
      <c r="ER178" s="16"/>
      <c r="ES178" s="17"/>
      <c r="ET178" s="17"/>
      <c r="EU178" s="16"/>
      <c r="EV178" s="16"/>
      <c r="EW178" s="17"/>
      <c r="EX178" s="17"/>
      <c r="EY178" s="16"/>
      <c r="EZ178" s="16"/>
      <c r="FA178" s="17"/>
      <c r="FB178" s="17"/>
      <c r="FC178" s="16"/>
      <c r="FD178" s="16"/>
      <c r="FE178" s="17"/>
      <c r="FF178" s="17"/>
      <c r="FG178" s="11"/>
      <c r="GT178" s="11"/>
      <c r="IG178" s="11"/>
      <c r="JT178" s="11"/>
      <c r="LG178" s="11"/>
      <c r="MT178" s="11"/>
      <c r="OG178" s="11"/>
      <c r="PT178" s="11"/>
    </row>
    <row r="179" spans="3:436" ht="15.75" x14ac:dyDescent="0.25">
      <c r="C179" s="20" t="s">
        <v>222</v>
      </c>
      <c r="D179" s="21" t="s">
        <v>146</v>
      </c>
      <c r="H179" s="11"/>
      <c r="AU179" s="11"/>
      <c r="CH179" s="11"/>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7"/>
      <c r="DF179" s="17"/>
      <c r="DG179" s="16"/>
      <c r="DH179" s="16"/>
      <c r="DI179" s="17"/>
      <c r="DJ179" s="17"/>
      <c r="DK179" s="16"/>
      <c r="DL179" s="16"/>
      <c r="DM179" s="17"/>
      <c r="DN179" s="17"/>
      <c r="DO179" s="16"/>
      <c r="DP179" s="16"/>
      <c r="DQ179" s="17"/>
      <c r="DR179" s="18">
        <v>1</v>
      </c>
      <c r="DS179" s="16"/>
      <c r="DT179" s="16"/>
      <c r="DU179" s="17"/>
      <c r="DV179" s="17"/>
      <c r="DW179" s="16"/>
      <c r="DX179" s="16"/>
      <c r="DY179" s="17"/>
      <c r="DZ179" s="17"/>
      <c r="EA179" s="16"/>
      <c r="EB179" s="16"/>
      <c r="EC179" s="17"/>
      <c r="ED179" s="17"/>
      <c r="EE179" s="16"/>
      <c r="EF179" s="16"/>
      <c r="EG179" s="17"/>
      <c r="EH179" s="17"/>
      <c r="EI179" s="16"/>
      <c r="EJ179" s="16"/>
      <c r="EK179" s="17"/>
      <c r="EL179" s="17"/>
      <c r="EM179" s="16"/>
      <c r="EN179" s="16"/>
      <c r="EO179" s="17"/>
      <c r="EP179" s="17"/>
      <c r="EQ179" s="16"/>
      <c r="ER179" s="16"/>
      <c r="ES179" s="17"/>
      <c r="ET179" s="17"/>
      <c r="EU179" s="16"/>
      <c r="EV179" s="16"/>
      <c r="EW179" s="17"/>
      <c r="EX179" s="17"/>
      <c r="EY179" s="16"/>
      <c r="EZ179" s="16"/>
      <c r="FA179" s="17"/>
      <c r="FB179" s="17"/>
      <c r="FC179" s="16"/>
      <c r="FD179" s="16"/>
      <c r="FE179" s="17"/>
      <c r="FF179" s="17"/>
      <c r="FG179" s="11"/>
      <c r="GT179" s="11"/>
      <c r="IG179" s="11"/>
      <c r="JT179" s="11"/>
      <c r="LG179" s="11"/>
      <c r="MT179" s="11"/>
      <c r="OG179" s="11"/>
      <c r="PT179" s="11"/>
    </row>
    <row r="180" spans="3:436" ht="15.75" x14ac:dyDescent="0.25">
      <c r="C180" s="20" t="s">
        <v>223</v>
      </c>
      <c r="D180" s="21" t="s">
        <v>136</v>
      </c>
      <c r="H180" s="11"/>
      <c r="AU180" s="11"/>
      <c r="CH180" s="11"/>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7"/>
      <c r="DF180" s="17"/>
      <c r="DG180" s="16"/>
      <c r="DH180" s="16"/>
      <c r="DI180" s="17"/>
      <c r="DJ180" s="17"/>
      <c r="DK180" s="16"/>
      <c r="DL180" s="16"/>
      <c r="DM180" s="17"/>
      <c r="DN180" s="17"/>
      <c r="DO180" s="16"/>
      <c r="DP180" s="16"/>
      <c r="DQ180" s="17"/>
      <c r="DR180" s="17"/>
      <c r="DS180" s="16"/>
      <c r="DT180" s="16"/>
      <c r="DU180" s="17"/>
      <c r="DV180" s="17"/>
      <c r="DW180" s="16"/>
      <c r="DX180" s="16"/>
      <c r="DY180" s="17"/>
      <c r="DZ180" s="17"/>
      <c r="EA180" s="16"/>
      <c r="EB180" s="16"/>
      <c r="EC180" s="17"/>
      <c r="ED180" s="17"/>
      <c r="EE180" s="16"/>
      <c r="EF180" s="16"/>
      <c r="EG180" s="17"/>
      <c r="EH180" s="17"/>
      <c r="EI180" s="16"/>
      <c r="EJ180" s="16"/>
      <c r="EK180" s="17"/>
      <c r="EL180" s="17"/>
      <c r="EM180" s="16"/>
      <c r="EN180" s="16"/>
      <c r="EO180" s="17"/>
      <c r="EP180" s="17"/>
      <c r="EQ180" s="16"/>
      <c r="ER180" s="16"/>
      <c r="ES180" s="17"/>
      <c r="ET180" s="17"/>
      <c r="EU180" s="16"/>
      <c r="EV180" s="16"/>
      <c r="EW180" s="17"/>
      <c r="EX180" s="17"/>
      <c r="EY180" s="16"/>
      <c r="EZ180" s="16"/>
      <c r="FA180" s="17"/>
      <c r="FB180" s="17"/>
      <c r="FC180" s="16"/>
      <c r="FD180" s="16"/>
      <c r="FE180" s="17"/>
      <c r="FF180" s="17"/>
      <c r="FG180" s="11"/>
      <c r="GT180" s="11"/>
      <c r="IG180" s="11"/>
      <c r="JT180" s="11"/>
      <c r="LG180" s="11"/>
      <c r="MT180" s="11"/>
      <c r="OG180" s="11"/>
      <c r="PT180" s="11"/>
    </row>
    <row r="181" spans="3:436" ht="15.75" x14ac:dyDescent="0.25">
      <c r="C181" s="20" t="s">
        <v>224</v>
      </c>
      <c r="D181" s="21" t="s">
        <v>142</v>
      </c>
      <c r="H181" s="11"/>
      <c r="AU181" s="11"/>
      <c r="CH181" s="11"/>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7"/>
      <c r="DF181" s="17"/>
      <c r="DG181" s="16"/>
      <c r="DH181" s="16"/>
      <c r="DI181" s="17"/>
      <c r="DJ181" s="17"/>
      <c r="DK181" s="16"/>
      <c r="DL181" s="16"/>
      <c r="DM181" s="17"/>
      <c r="DN181" s="17"/>
      <c r="DO181" s="16"/>
      <c r="DP181" s="16"/>
      <c r="DQ181" s="17"/>
      <c r="DR181" s="17"/>
      <c r="DS181" s="16"/>
      <c r="DT181" s="16"/>
      <c r="DU181" s="17"/>
      <c r="DV181" s="17"/>
      <c r="DW181" s="16"/>
      <c r="DX181" s="16"/>
      <c r="DY181" s="17"/>
      <c r="DZ181" s="17"/>
      <c r="EA181" s="16"/>
      <c r="EB181" s="16"/>
      <c r="EC181" s="17"/>
      <c r="ED181" s="17"/>
      <c r="EE181" s="16"/>
      <c r="EF181" s="16"/>
      <c r="EG181" s="17"/>
      <c r="EH181" s="17"/>
      <c r="EI181" s="16"/>
      <c r="EJ181" s="16"/>
      <c r="EK181" s="17"/>
      <c r="EL181" s="17"/>
      <c r="EM181" s="16"/>
      <c r="EN181" s="16"/>
      <c r="EO181" s="17"/>
      <c r="EP181" s="17"/>
      <c r="EQ181" s="16"/>
      <c r="ER181" s="16"/>
      <c r="ES181" s="17"/>
      <c r="ET181" s="17"/>
      <c r="EU181" s="16"/>
      <c r="EV181" s="16"/>
      <c r="EW181" s="17"/>
      <c r="EX181" s="17"/>
      <c r="EY181" s="16"/>
      <c r="EZ181" s="16"/>
      <c r="FA181" s="17"/>
      <c r="FB181" s="17"/>
      <c r="FC181" s="16"/>
      <c r="FD181" s="16"/>
      <c r="FE181" s="17"/>
      <c r="FF181" s="17"/>
      <c r="FG181" s="11"/>
      <c r="GT181" s="11"/>
      <c r="IG181" s="11"/>
      <c r="JT181" s="11"/>
      <c r="LG181" s="11"/>
      <c r="MT181" s="11"/>
      <c r="OG181" s="11"/>
      <c r="PT181" s="11"/>
    </row>
    <row r="182" spans="3:436" ht="15.75" x14ac:dyDescent="0.25">
      <c r="C182" s="20" t="s">
        <v>225</v>
      </c>
      <c r="D182" s="21" t="s">
        <v>90</v>
      </c>
      <c r="H182" s="11"/>
      <c r="AU182" s="11"/>
      <c r="CH182" s="11"/>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7"/>
      <c r="DF182" s="17"/>
      <c r="DG182" s="16"/>
      <c r="DH182" s="16"/>
      <c r="DI182" s="17"/>
      <c r="DJ182" s="17"/>
      <c r="DK182" s="16"/>
      <c r="DL182" s="16"/>
      <c r="DM182" s="17"/>
      <c r="DN182" s="17"/>
      <c r="DO182" s="16"/>
      <c r="DP182" s="16"/>
      <c r="DQ182" s="17"/>
      <c r="DR182" s="17"/>
      <c r="DS182" s="16"/>
      <c r="DT182" s="16"/>
      <c r="DU182" s="17"/>
      <c r="DV182" s="17"/>
      <c r="DW182" s="16"/>
      <c r="DX182" s="16"/>
      <c r="DY182" s="17"/>
      <c r="DZ182" s="17"/>
      <c r="EA182" s="16"/>
      <c r="EB182" s="16"/>
      <c r="EC182" s="17"/>
      <c r="ED182" s="17"/>
      <c r="EE182" s="16"/>
      <c r="EF182" s="16"/>
      <c r="EG182" s="17"/>
      <c r="EH182" s="17"/>
      <c r="EI182" s="16"/>
      <c r="EJ182" s="16"/>
      <c r="EK182" s="17"/>
      <c r="EL182" s="17"/>
      <c r="EM182" s="16"/>
      <c r="EN182" s="16"/>
      <c r="EO182" s="17"/>
      <c r="EP182" s="17"/>
      <c r="EQ182" s="16"/>
      <c r="ER182" s="16"/>
      <c r="ES182" s="17"/>
      <c r="ET182" s="17"/>
      <c r="EU182" s="16"/>
      <c r="EV182" s="16"/>
      <c r="EW182" s="17"/>
      <c r="EX182" s="17"/>
      <c r="EY182" s="16"/>
      <c r="EZ182" s="16"/>
      <c r="FA182" s="17"/>
      <c r="FB182" s="17"/>
      <c r="FC182" s="16"/>
      <c r="FD182" s="16"/>
      <c r="FE182" s="17"/>
      <c r="FF182" s="17"/>
      <c r="FG182" s="11"/>
      <c r="GT182" s="11"/>
      <c r="IG182" s="11"/>
      <c r="JT182" s="11"/>
      <c r="LG182" s="11"/>
      <c r="MT182" s="11"/>
      <c r="OG182" s="11"/>
      <c r="PT182" s="11"/>
    </row>
    <row r="183" spans="3:436" ht="15.75" x14ac:dyDescent="0.25">
      <c r="C183" s="20" t="s">
        <v>219</v>
      </c>
      <c r="D183" s="21" t="s">
        <v>79</v>
      </c>
      <c r="H183" s="11"/>
      <c r="AU183" s="11"/>
      <c r="CH183" s="11"/>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7"/>
      <c r="DF183" s="17"/>
      <c r="DG183" s="16"/>
      <c r="DH183" s="16"/>
      <c r="DI183" s="17"/>
      <c r="DJ183" s="17"/>
      <c r="DK183" s="16"/>
      <c r="DL183" s="16"/>
      <c r="DM183" s="17"/>
      <c r="DN183" s="17"/>
      <c r="DO183" s="16"/>
      <c r="DP183" s="16"/>
      <c r="DQ183" s="17"/>
      <c r="DR183" s="17"/>
      <c r="DS183" s="16"/>
      <c r="DT183" s="16"/>
      <c r="DU183" s="17"/>
      <c r="DV183" s="17"/>
      <c r="DW183" s="16"/>
      <c r="DX183" s="16"/>
      <c r="DY183" s="17"/>
      <c r="DZ183" s="17"/>
      <c r="EA183" s="16"/>
      <c r="EB183" s="16"/>
      <c r="EC183" s="17"/>
      <c r="ED183" s="17"/>
      <c r="EE183" s="16"/>
      <c r="EF183" s="16"/>
      <c r="EG183" s="17"/>
      <c r="EH183" s="17"/>
      <c r="EI183" s="16"/>
      <c r="EJ183" s="16"/>
      <c r="EK183" s="17"/>
      <c r="EL183" s="17"/>
      <c r="EM183" s="16"/>
      <c r="EN183" s="16"/>
      <c r="EO183" s="17"/>
      <c r="EP183" s="17"/>
      <c r="EQ183" s="16"/>
      <c r="ER183" s="16"/>
      <c r="ES183" s="17"/>
      <c r="ET183" s="17"/>
      <c r="EU183" s="16"/>
      <c r="EV183" s="16"/>
      <c r="EW183" s="17"/>
      <c r="EX183" s="17"/>
      <c r="EY183" s="16"/>
      <c r="EZ183" s="16"/>
      <c r="FA183" s="17"/>
      <c r="FB183" s="17"/>
      <c r="FC183" s="16"/>
      <c r="FD183" s="16"/>
      <c r="FE183" s="17"/>
      <c r="FF183" s="17"/>
      <c r="FG183" s="11"/>
      <c r="GT183" s="11"/>
      <c r="IG183" s="11"/>
      <c r="JT183" s="11"/>
      <c r="LG183" s="11"/>
      <c r="MT183" s="11"/>
      <c r="OG183" s="11"/>
      <c r="PT183" s="11"/>
    </row>
    <row r="184" spans="3:436" ht="15.75" x14ac:dyDescent="0.25">
      <c r="C184" s="20" t="s">
        <v>226</v>
      </c>
      <c r="D184" s="21" t="s">
        <v>159</v>
      </c>
      <c r="H184" s="11"/>
      <c r="AU184" s="11"/>
      <c r="CH184" s="11"/>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7"/>
      <c r="DF184" s="17"/>
      <c r="DG184" s="16"/>
      <c r="DH184" s="16"/>
      <c r="DI184" s="17"/>
      <c r="DJ184" s="17"/>
      <c r="DK184" s="16"/>
      <c r="DL184" s="16"/>
      <c r="DM184" s="17"/>
      <c r="DN184" s="17"/>
      <c r="DO184" s="16"/>
      <c r="DP184" s="16"/>
      <c r="DQ184" s="17"/>
      <c r="DR184" s="17"/>
      <c r="DS184" s="16"/>
      <c r="DT184" s="16"/>
      <c r="DU184" s="17"/>
      <c r="DV184" s="17"/>
      <c r="DW184" s="16"/>
      <c r="DX184" s="16"/>
      <c r="DY184" s="17"/>
      <c r="DZ184" s="17"/>
      <c r="EA184" s="16"/>
      <c r="EB184" s="16"/>
      <c r="EC184" s="17"/>
      <c r="ED184" s="17"/>
      <c r="EE184" s="16"/>
      <c r="EF184" s="16"/>
      <c r="EG184" s="17"/>
      <c r="EH184" s="17"/>
      <c r="EI184" s="16"/>
      <c r="EJ184" s="16"/>
      <c r="EK184" s="17"/>
      <c r="EL184" s="17"/>
      <c r="EM184" s="16"/>
      <c r="EN184" s="16"/>
      <c r="EO184" s="17"/>
      <c r="EP184" s="17"/>
      <c r="EQ184" s="16"/>
      <c r="ER184" s="16"/>
      <c r="ES184" s="17"/>
      <c r="ET184" s="17"/>
      <c r="EU184" s="16"/>
      <c r="EV184" s="16"/>
      <c r="EW184" s="17"/>
      <c r="EX184" s="17"/>
      <c r="EY184" s="16"/>
      <c r="EZ184" s="16"/>
      <c r="FA184" s="17"/>
      <c r="FB184" s="17"/>
      <c r="FC184" s="16"/>
      <c r="FD184" s="16"/>
      <c r="FE184" s="17"/>
      <c r="FF184" s="17"/>
      <c r="FG184" s="11"/>
      <c r="GT184" s="11"/>
      <c r="IG184" s="11"/>
      <c r="JT184" s="11"/>
      <c r="LG184" s="11"/>
      <c r="MT184" s="11"/>
      <c r="OG184" s="11"/>
      <c r="PT184" s="11"/>
    </row>
    <row r="185" spans="3:436" ht="15.75" x14ac:dyDescent="0.25">
      <c r="C185" s="20" t="s">
        <v>227</v>
      </c>
      <c r="D185" s="21" t="s">
        <v>82</v>
      </c>
      <c r="H185" s="11"/>
      <c r="AU185" s="11"/>
      <c r="CH185" s="11"/>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7"/>
      <c r="DF185" s="17"/>
      <c r="DG185" s="16"/>
      <c r="DH185" s="16"/>
      <c r="DI185" s="17"/>
      <c r="DJ185" s="17"/>
      <c r="DK185" s="16"/>
      <c r="DL185" s="16"/>
      <c r="DM185" s="17"/>
      <c r="DN185" s="17"/>
      <c r="DO185" s="16"/>
      <c r="DP185" s="16"/>
      <c r="DQ185" s="17"/>
      <c r="DR185" s="17"/>
      <c r="DS185" s="16"/>
      <c r="DT185" s="16"/>
      <c r="DU185" s="17"/>
      <c r="DV185" s="17"/>
      <c r="DW185" s="16"/>
      <c r="DX185" s="16"/>
      <c r="DY185" s="17"/>
      <c r="DZ185" s="17"/>
      <c r="EA185" s="16"/>
      <c r="EB185" s="16"/>
      <c r="EC185" s="17"/>
      <c r="ED185" s="17"/>
      <c r="EE185" s="16"/>
      <c r="EF185" s="16"/>
      <c r="EG185" s="17"/>
      <c r="EH185" s="17"/>
      <c r="EI185" s="16"/>
      <c r="EJ185" s="16"/>
      <c r="EK185" s="17"/>
      <c r="EL185" s="17"/>
      <c r="EM185" s="16"/>
      <c r="EN185" s="16"/>
      <c r="EO185" s="17"/>
      <c r="EP185" s="17"/>
      <c r="EQ185" s="16"/>
      <c r="ER185" s="16"/>
      <c r="ES185" s="17"/>
      <c r="ET185" s="17"/>
      <c r="EU185" s="16"/>
      <c r="EV185" s="16"/>
      <c r="EW185" s="17"/>
      <c r="EX185" s="17"/>
      <c r="EY185" s="16"/>
      <c r="EZ185" s="16"/>
      <c r="FA185" s="17"/>
      <c r="FB185" s="17"/>
      <c r="FC185" s="16"/>
      <c r="FD185" s="16"/>
      <c r="FE185" s="17"/>
      <c r="FF185" s="17"/>
      <c r="FG185" s="11"/>
      <c r="GT185" s="11"/>
      <c r="IG185" s="11"/>
      <c r="JT185" s="11"/>
      <c r="LG185" s="11"/>
      <c r="MT185" s="11"/>
      <c r="OG185" s="11"/>
      <c r="PT185" s="11"/>
    </row>
    <row r="186" spans="3:436" ht="15.75" x14ac:dyDescent="0.25">
      <c r="C186" s="20" t="s">
        <v>228</v>
      </c>
      <c r="D186" s="21" t="s">
        <v>142</v>
      </c>
      <c r="H186" s="11"/>
      <c r="AU186" s="11"/>
      <c r="CH186" s="11"/>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7"/>
      <c r="DF186" s="17"/>
      <c r="DG186" s="16"/>
      <c r="DH186" s="16"/>
      <c r="DI186" s="17"/>
      <c r="DJ186" s="17"/>
      <c r="DK186" s="16"/>
      <c r="DL186" s="16"/>
      <c r="DM186" s="17"/>
      <c r="DN186" s="17"/>
      <c r="DO186" s="16"/>
      <c r="DP186" s="16"/>
      <c r="DQ186" s="17"/>
      <c r="DR186" s="17"/>
      <c r="DS186" s="16"/>
      <c r="DT186" s="16"/>
      <c r="DU186" s="17"/>
      <c r="DV186" s="17"/>
      <c r="DW186" s="16"/>
      <c r="DX186" s="16"/>
      <c r="DY186" s="17"/>
      <c r="DZ186" s="17"/>
      <c r="EA186" s="16"/>
      <c r="EB186" s="16"/>
      <c r="EC186" s="17"/>
      <c r="ED186" s="17"/>
      <c r="EE186" s="16"/>
      <c r="EF186" s="16"/>
      <c r="EG186" s="17"/>
      <c r="EH186" s="17"/>
      <c r="EI186" s="16"/>
      <c r="EJ186" s="16"/>
      <c r="EK186" s="17"/>
      <c r="EL186" s="17"/>
      <c r="EM186" s="16"/>
      <c r="EN186" s="16"/>
      <c r="EO186" s="17"/>
      <c r="EP186" s="17"/>
      <c r="EQ186" s="16"/>
      <c r="ER186" s="16"/>
      <c r="ES186" s="17"/>
      <c r="ET186" s="17"/>
      <c r="EU186" s="16"/>
      <c r="EV186" s="16"/>
      <c r="EW186" s="17"/>
      <c r="EX186" s="17"/>
      <c r="EY186" s="16"/>
      <c r="EZ186" s="16"/>
      <c r="FA186" s="17"/>
      <c r="FB186" s="17"/>
      <c r="FC186" s="16"/>
      <c r="FD186" s="16"/>
      <c r="FE186" s="17"/>
      <c r="FF186" s="17"/>
      <c r="FG186" s="11"/>
      <c r="GT186" s="11"/>
      <c r="IG186" s="11"/>
      <c r="JT186" s="11"/>
      <c r="LG186" s="11"/>
      <c r="MT186" s="11"/>
      <c r="OG186" s="11"/>
      <c r="PT186" s="11"/>
    </row>
    <row r="187" spans="3:436" ht="15.75" x14ac:dyDescent="0.25">
      <c r="C187" s="20" t="s">
        <v>229</v>
      </c>
      <c r="D187" s="21" t="s">
        <v>203</v>
      </c>
      <c r="H187" s="11"/>
      <c r="AU187" s="11"/>
      <c r="CH187" s="11"/>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7"/>
      <c r="DF187" s="17"/>
      <c r="DG187" s="16"/>
      <c r="DH187" s="16"/>
      <c r="DI187" s="17"/>
      <c r="DJ187" s="17"/>
      <c r="DK187" s="16"/>
      <c r="DL187" s="16"/>
      <c r="DM187" s="17"/>
      <c r="DN187" s="17"/>
      <c r="DO187" s="16"/>
      <c r="DP187" s="16"/>
      <c r="DQ187" s="17"/>
      <c r="DR187" s="17"/>
      <c r="DS187" s="16"/>
      <c r="DT187" s="16"/>
      <c r="DU187" s="17"/>
      <c r="DV187" s="17"/>
      <c r="DW187" s="16"/>
      <c r="DX187" s="16"/>
      <c r="DY187" s="17"/>
      <c r="DZ187" s="17"/>
      <c r="EA187" s="16"/>
      <c r="EB187" s="16"/>
      <c r="EC187" s="17"/>
      <c r="ED187" s="17"/>
      <c r="EE187" s="16"/>
      <c r="EF187" s="16"/>
      <c r="EG187" s="17"/>
      <c r="EH187" s="17"/>
      <c r="EI187" s="16"/>
      <c r="EJ187" s="16"/>
      <c r="EK187" s="17"/>
      <c r="EL187" s="17"/>
      <c r="EM187" s="16"/>
      <c r="EN187" s="16"/>
      <c r="EO187" s="17"/>
      <c r="EP187" s="17"/>
      <c r="EQ187" s="16"/>
      <c r="ER187" s="16"/>
      <c r="ES187" s="17"/>
      <c r="ET187" s="17"/>
      <c r="EU187" s="16"/>
      <c r="EV187" s="16"/>
      <c r="EW187" s="17"/>
      <c r="EX187" s="17"/>
      <c r="EY187" s="16"/>
      <c r="EZ187" s="16"/>
      <c r="FA187" s="17"/>
      <c r="FB187" s="17"/>
      <c r="FC187" s="16"/>
      <c r="FD187" s="16"/>
      <c r="FE187" s="17"/>
      <c r="FF187" s="17"/>
      <c r="FG187" s="11"/>
      <c r="GT187" s="11"/>
      <c r="IG187" s="11"/>
      <c r="JT187" s="11"/>
      <c r="LG187" s="11"/>
      <c r="MT187" s="11"/>
      <c r="OG187" s="11"/>
      <c r="PT187" s="11"/>
    </row>
    <row r="188" spans="3:436" ht="15.75" x14ac:dyDescent="0.25">
      <c r="C188" s="20" t="s">
        <v>230</v>
      </c>
      <c r="D188" s="21" t="s">
        <v>162</v>
      </c>
      <c r="H188" s="11"/>
      <c r="AU188" s="11"/>
      <c r="CH188" s="11"/>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7"/>
      <c r="DF188" s="17"/>
      <c r="DG188" s="16"/>
      <c r="DH188" s="16"/>
      <c r="DI188" s="17"/>
      <c r="DJ188" s="17"/>
      <c r="DK188" s="16"/>
      <c r="DL188" s="16"/>
      <c r="DM188" s="17"/>
      <c r="DN188" s="17"/>
      <c r="DO188" s="16"/>
      <c r="DP188" s="16"/>
      <c r="DQ188" s="17"/>
      <c r="DR188" s="17"/>
      <c r="DS188" s="16"/>
      <c r="DT188" s="16"/>
      <c r="DU188" s="17"/>
      <c r="DV188" s="17"/>
      <c r="DW188" s="16"/>
      <c r="DX188" s="16"/>
      <c r="DY188" s="17"/>
      <c r="DZ188" s="17"/>
      <c r="EA188" s="16"/>
      <c r="EB188" s="16"/>
      <c r="EC188" s="17"/>
      <c r="ED188" s="17"/>
      <c r="EE188" s="16"/>
      <c r="EF188" s="16"/>
      <c r="EG188" s="17"/>
      <c r="EH188" s="17"/>
      <c r="EI188" s="16"/>
      <c r="EJ188" s="16"/>
      <c r="EK188" s="17"/>
      <c r="EL188" s="17"/>
      <c r="EM188" s="16"/>
      <c r="EN188" s="16"/>
      <c r="EO188" s="17"/>
      <c r="EP188" s="17"/>
      <c r="EQ188" s="16"/>
      <c r="ER188" s="16"/>
      <c r="ES188" s="17"/>
      <c r="ET188" s="17"/>
      <c r="EU188" s="16"/>
      <c r="EV188" s="16"/>
      <c r="EW188" s="17"/>
      <c r="EX188" s="17"/>
      <c r="EY188" s="16"/>
      <c r="EZ188" s="16"/>
      <c r="FA188" s="17"/>
      <c r="FB188" s="17"/>
      <c r="FC188" s="16"/>
      <c r="FD188" s="16"/>
      <c r="FE188" s="17"/>
      <c r="FF188" s="17"/>
      <c r="FG188" s="11"/>
      <c r="GT188" s="11"/>
      <c r="IG188" s="11"/>
      <c r="JT188" s="11"/>
      <c r="LG188" s="11"/>
      <c r="MT188" s="11"/>
      <c r="OG188" s="11"/>
      <c r="PT188" s="11"/>
    </row>
    <row r="189" spans="3:436" ht="15.75" x14ac:dyDescent="0.25">
      <c r="C189" s="20" t="s">
        <v>231</v>
      </c>
      <c r="D189" s="21" t="s">
        <v>79</v>
      </c>
      <c r="H189" s="11"/>
      <c r="AU189" s="11"/>
      <c r="CH189" s="11"/>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7"/>
      <c r="DF189" s="17"/>
      <c r="DG189" s="16"/>
      <c r="DH189" s="16"/>
      <c r="DI189" s="18">
        <v>3</v>
      </c>
      <c r="DJ189" s="18">
        <v>3</v>
      </c>
      <c r="DK189" s="16"/>
      <c r="DL189" s="16"/>
      <c r="DM189" s="17"/>
      <c r="DN189" s="17"/>
      <c r="DO189" s="16"/>
      <c r="DP189" s="16"/>
      <c r="DQ189" s="17"/>
      <c r="DR189" s="17"/>
      <c r="DS189" s="16"/>
      <c r="DT189" s="16"/>
      <c r="DU189" s="17"/>
      <c r="DV189" s="17"/>
      <c r="DW189" s="16"/>
      <c r="DX189" s="16"/>
      <c r="DY189" s="17"/>
      <c r="DZ189" s="17"/>
      <c r="EA189" s="16"/>
      <c r="EB189" s="16"/>
      <c r="EC189" s="17"/>
      <c r="ED189" s="17"/>
      <c r="EE189" s="16"/>
      <c r="EF189" s="16"/>
      <c r="EG189" s="17"/>
      <c r="EH189" s="17"/>
      <c r="EI189" s="16"/>
      <c r="EJ189" s="16"/>
      <c r="EK189" s="17"/>
      <c r="EL189" s="17"/>
      <c r="EM189" s="16"/>
      <c r="EN189" s="16"/>
      <c r="EO189" s="17"/>
      <c r="EP189" s="17"/>
      <c r="EQ189" s="16"/>
      <c r="ER189" s="16"/>
      <c r="ES189" s="17"/>
      <c r="ET189" s="17"/>
      <c r="EU189" s="16"/>
      <c r="EV189" s="16"/>
      <c r="EW189" s="17"/>
      <c r="EX189" s="17"/>
      <c r="EY189" s="16"/>
      <c r="EZ189" s="16"/>
      <c r="FA189" s="17"/>
      <c r="FB189" s="17"/>
      <c r="FC189" s="16"/>
      <c r="FD189" s="16"/>
      <c r="FE189" s="17"/>
      <c r="FF189" s="17"/>
      <c r="FG189" s="11"/>
      <c r="GT189" s="11"/>
      <c r="IG189" s="11"/>
      <c r="JT189" s="11"/>
      <c r="LG189" s="11"/>
      <c r="MT189" s="11"/>
      <c r="OG189" s="11"/>
      <c r="PT189" s="11"/>
    </row>
    <row r="190" spans="3:436" ht="15.75" x14ac:dyDescent="0.25">
      <c r="C190" s="20" t="s">
        <v>232</v>
      </c>
      <c r="D190" s="21" t="s">
        <v>104</v>
      </c>
      <c r="H190" s="11"/>
      <c r="AU190" s="11"/>
      <c r="CH190" s="11"/>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7"/>
      <c r="DF190" s="17"/>
      <c r="DG190" s="16"/>
      <c r="DH190" s="16"/>
      <c r="DI190" s="17"/>
      <c r="DJ190" s="17"/>
      <c r="DK190" s="16"/>
      <c r="DL190" s="16"/>
      <c r="DM190" s="17"/>
      <c r="DN190" s="17"/>
      <c r="DO190" s="16"/>
      <c r="DP190" s="16"/>
      <c r="DQ190" s="17"/>
      <c r="DR190" s="17"/>
      <c r="DS190" s="16"/>
      <c r="DT190" s="16"/>
      <c r="DU190" s="17"/>
      <c r="DV190" s="17"/>
      <c r="DW190" s="16"/>
      <c r="DX190" s="16"/>
      <c r="DY190" s="17"/>
      <c r="DZ190" s="17"/>
      <c r="EA190" s="16"/>
      <c r="EB190" s="16"/>
      <c r="EC190" s="17"/>
      <c r="ED190" s="17"/>
      <c r="EE190" s="16"/>
      <c r="EF190" s="16"/>
      <c r="EG190" s="17"/>
      <c r="EH190" s="17"/>
      <c r="EI190" s="16"/>
      <c r="EJ190" s="16"/>
      <c r="EK190" s="17"/>
      <c r="EL190" s="17"/>
      <c r="EM190" s="16"/>
      <c r="EN190" s="16"/>
      <c r="EO190" s="17"/>
      <c r="EP190" s="17"/>
      <c r="EQ190" s="16"/>
      <c r="ER190" s="16"/>
      <c r="ES190" s="17"/>
      <c r="ET190" s="17"/>
      <c r="EU190" s="16"/>
      <c r="EV190" s="16"/>
      <c r="EW190" s="17"/>
      <c r="EX190" s="17"/>
      <c r="EY190" s="16"/>
      <c r="EZ190" s="16"/>
      <c r="FA190" s="17"/>
      <c r="FB190" s="17"/>
      <c r="FC190" s="19">
        <v>2</v>
      </c>
      <c r="FD190" s="19">
        <v>2</v>
      </c>
      <c r="FE190" s="17"/>
      <c r="FF190" s="17"/>
      <c r="FG190" s="11"/>
      <c r="GT190" s="11"/>
      <c r="IG190" s="11"/>
      <c r="JT190" s="11"/>
      <c r="LG190" s="11"/>
      <c r="MT190" s="11"/>
      <c r="OG190" s="11"/>
      <c r="PT190" s="11"/>
    </row>
    <row r="191" spans="3:436" ht="15.75" x14ac:dyDescent="0.25">
      <c r="C191" s="20" t="s">
        <v>233</v>
      </c>
      <c r="D191" s="21" t="s">
        <v>90</v>
      </c>
      <c r="H191" s="11"/>
      <c r="AU191" s="11"/>
      <c r="CH191" s="11"/>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7"/>
      <c r="DF191" s="17"/>
      <c r="DG191" s="16"/>
      <c r="DH191" s="16"/>
      <c r="DI191" s="17"/>
      <c r="DJ191" s="17"/>
      <c r="DK191" s="16"/>
      <c r="DL191" s="16"/>
      <c r="DM191" s="17"/>
      <c r="DN191" s="17"/>
      <c r="DO191" s="16"/>
      <c r="DP191" s="16"/>
      <c r="DQ191" s="17"/>
      <c r="DR191" s="17"/>
      <c r="DS191" s="16"/>
      <c r="DT191" s="16"/>
      <c r="DU191" s="17"/>
      <c r="DV191" s="17"/>
      <c r="DW191" s="16"/>
      <c r="DX191" s="16"/>
      <c r="DY191" s="17"/>
      <c r="DZ191" s="17"/>
      <c r="EA191" s="16"/>
      <c r="EB191" s="16"/>
      <c r="EC191" s="17"/>
      <c r="ED191" s="17"/>
      <c r="EE191" s="16"/>
      <c r="EF191" s="16"/>
      <c r="EG191" s="17"/>
      <c r="EH191" s="17"/>
      <c r="EI191" s="16"/>
      <c r="EJ191" s="16"/>
      <c r="EK191" s="17"/>
      <c r="EL191" s="17"/>
      <c r="EM191" s="16"/>
      <c r="EN191" s="16"/>
      <c r="EO191" s="17"/>
      <c r="EP191" s="17"/>
      <c r="EQ191" s="16"/>
      <c r="ER191" s="16"/>
      <c r="ES191" s="17"/>
      <c r="ET191" s="17"/>
      <c r="EU191" s="16"/>
      <c r="EV191" s="16"/>
      <c r="EW191" s="17"/>
      <c r="EX191" s="17"/>
      <c r="EY191" s="16"/>
      <c r="EZ191" s="16"/>
      <c r="FA191" s="17"/>
      <c r="FB191" s="17"/>
      <c r="FC191" s="16"/>
      <c r="FD191" s="16"/>
      <c r="FE191" s="17"/>
      <c r="FF191" s="17"/>
      <c r="FG191" s="11"/>
      <c r="GT191" s="11"/>
      <c r="IG191" s="11"/>
      <c r="JT191" s="11"/>
      <c r="LG191" s="11"/>
      <c r="MT191" s="11"/>
      <c r="OG191" s="11"/>
      <c r="PT191" s="11"/>
    </row>
    <row r="192" spans="3:436" ht="15.75" x14ac:dyDescent="0.25">
      <c r="C192" s="20" t="s">
        <v>234</v>
      </c>
      <c r="D192" s="21" t="s">
        <v>79</v>
      </c>
      <c r="H192" s="11"/>
      <c r="AU192" s="11"/>
      <c r="CH192" s="11"/>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7"/>
      <c r="DF192" s="17"/>
      <c r="DG192" s="16"/>
      <c r="DH192" s="16"/>
      <c r="DI192" s="18">
        <v>10</v>
      </c>
      <c r="DJ192" s="18">
        <v>40</v>
      </c>
      <c r="DK192" s="16"/>
      <c r="DL192" s="16"/>
      <c r="DM192" s="17"/>
      <c r="DN192" s="17"/>
      <c r="DO192" s="16"/>
      <c r="DP192" s="16"/>
      <c r="DQ192" s="17"/>
      <c r="DR192" s="17"/>
      <c r="DS192" s="16"/>
      <c r="DT192" s="16"/>
      <c r="DU192" s="17"/>
      <c r="DV192" s="17"/>
      <c r="DW192" s="16"/>
      <c r="DX192" s="16"/>
      <c r="DY192" s="17"/>
      <c r="DZ192" s="17"/>
      <c r="EA192" s="16"/>
      <c r="EB192" s="16"/>
      <c r="EC192" s="17"/>
      <c r="ED192" s="17"/>
      <c r="EE192" s="16"/>
      <c r="EF192" s="16"/>
      <c r="EG192" s="17"/>
      <c r="EH192" s="17"/>
      <c r="EI192" s="16"/>
      <c r="EJ192" s="16"/>
      <c r="EK192" s="17"/>
      <c r="EL192" s="17"/>
      <c r="EM192" s="16"/>
      <c r="EN192" s="16"/>
      <c r="EO192" s="17"/>
      <c r="EP192" s="17"/>
      <c r="EQ192" s="16"/>
      <c r="ER192" s="16"/>
      <c r="ES192" s="17"/>
      <c r="ET192" s="17"/>
      <c r="EU192" s="16"/>
      <c r="EV192" s="16"/>
      <c r="EW192" s="17"/>
      <c r="EX192" s="17"/>
      <c r="EY192" s="16"/>
      <c r="EZ192" s="16"/>
      <c r="FA192" s="17"/>
      <c r="FB192" s="17"/>
      <c r="FC192" s="16"/>
      <c r="FD192" s="16"/>
      <c r="FE192" s="17"/>
      <c r="FF192" s="17"/>
      <c r="FG192" s="11"/>
      <c r="GT192" s="11"/>
      <c r="IG192" s="11"/>
      <c r="JT192" s="11"/>
      <c r="LG192" s="11"/>
      <c r="MT192" s="11"/>
      <c r="OG192" s="11"/>
      <c r="PT192" s="11"/>
    </row>
    <row r="193" spans="3:436" ht="15.75" x14ac:dyDescent="0.25">
      <c r="C193" s="20" t="s">
        <v>235</v>
      </c>
      <c r="D193" s="21" t="s">
        <v>79</v>
      </c>
      <c r="H193" s="11"/>
      <c r="AU193" s="11"/>
      <c r="CH193" s="11"/>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7"/>
      <c r="DF193" s="17"/>
      <c r="DG193" s="16"/>
      <c r="DH193" s="16"/>
      <c r="DI193" s="18">
        <v>2</v>
      </c>
      <c r="DJ193" s="18">
        <v>10</v>
      </c>
      <c r="DK193" s="16"/>
      <c r="DL193" s="16"/>
      <c r="DM193" s="17"/>
      <c r="DN193" s="17"/>
      <c r="DO193" s="16"/>
      <c r="DP193" s="16"/>
      <c r="DQ193" s="17"/>
      <c r="DR193" s="17"/>
      <c r="DS193" s="16"/>
      <c r="DT193" s="16"/>
      <c r="DU193" s="17"/>
      <c r="DV193" s="17"/>
      <c r="DW193" s="16"/>
      <c r="DX193" s="16"/>
      <c r="DY193" s="17"/>
      <c r="DZ193" s="17"/>
      <c r="EA193" s="16"/>
      <c r="EB193" s="16"/>
      <c r="EC193" s="17"/>
      <c r="ED193" s="17"/>
      <c r="EE193" s="16"/>
      <c r="EF193" s="16"/>
      <c r="EG193" s="17"/>
      <c r="EH193" s="17"/>
      <c r="EI193" s="16"/>
      <c r="EJ193" s="16"/>
      <c r="EK193" s="17"/>
      <c r="EL193" s="17"/>
      <c r="EM193" s="16"/>
      <c r="EN193" s="16"/>
      <c r="EO193" s="17"/>
      <c r="EP193" s="17"/>
      <c r="EQ193" s="16"/>
      <c r="ER193" s="16"/>
      <c r="ES193" s="17"/>
      <c r="ET193" s="17"/>
      <c r="EU193" s="16"/>
      <c r="EV193" s="16"/>
      <c r="EW193" s="17"/>
      <c r="EX193" s="17"/>
      <c r="EY193" s="16"/>
      <c r="EZ193" s="16"/>
      <c r="FA193" s="17"/>
      <c r="FB193" s="17"/>
      <c r="FC193" s="16"/>
      <c r="FD193" s="16"/>
      <c r="FE193" s="17"/>
      <c r="FF193" s="17"/>
      <c r="FG193" s="11"/>
      <c r="GT193" s="11"/>
      <c r="IG193" s="11"/>
      <c r="JT193" s="11"/>
      <c r="LG193" s="11"/>
      <c r="MT193" s="11"/>
      <c r="OG193" s="11"/>
      <c r="PT193" s="11"/>
    </row>
    <row r="194" spans="3:436" ht="15.75" x14ac:dyDescent="0.25">
      <c r="C194" s="20" t="s">
        <v>236</v>
      </c>
      <c r="D194" s="21" t="s">
        <v>159</v>
      </c>
      <c r="H194" s="11"/>
      <c r="AU194" s="11"/>
      <c r="CH194" s="11"/>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7"/>
      <c r="DF194" s="17"/>
      <c r="DG194" s="16"/>
      <c r="DH194" s="16"/>
      <c r="DI194" s="17"/>
      <c r="DJ194" s="17"/>
      <c r="DK194" s="16"/>
      <c r="DL194" s="16"/>
      <c r="DM194" s="17"/>
      <c r="DN194" s="17"/>
      <c r="DO194" s="16"/>
      <c r="DP194" s="16"/>
      <c r="DQ194" s="17"/>
      <c r="DR194" s="17"/>
      <c r="DS194" s="16"/>
      <c r="DT194" s="16"/>
      <c r="DU194" s="17"/>
      <c r="DV194" s="17"/>
      <c r="DW194" s="16"/>
      <c r="DX194" s="16"/>
      <c r="DY194" s="17"/>
      <c r="DZ194" s="17"/>
      <c r="EA194" s="16"/>
      <c r="EB194" s="16"/>
      <c r="EC194" s="17"/>
      <c r="ED194" s="17"/>
      <c r="EE194" s="16"/>
      <c r="EF194" s="16"/>
      <c r="EG194" s="17"/>
      <c r="EH194" s="17"/>
      <c r="EI194" s="16"/>
      <c r="EJ194" s="16"/>
      <c r="EK194" s="17"/>
      <c r="EL194" s="17"/>
      <c r="EM194" s="16"/>
      <c r="EN194" s="16"/>
      <c r="EO194" s="17"/>
      <c r="EP194" s="17"/>
      <c r="EQ194" s="16"/>
      <c r="ER194" s="16"/>
      <c r="ES194" s="17"/>
      <c r="ET194" s="17"/>
      <c r="EU194" s="16"/>
      <c r="EV194" s="16"/>
      <c r="EW194" s="17"/>
      <c r="EX194" s="17"/>
      <c r="EY194" s="16"/>
      <c r="EZ194" s="16"/>
      <c r="FA194" s="17"/>
      <c r="FB194" s="17"/>
      <c r="FC194" s="16"/>
      <c r="FD194" s="16"/>
      <c r="FE194" s="17"/>
      <c r="FF194" s="17"/>
      <c r="FG194" s="11"/>
      <c r="GT194" s="11"/>
      <c r="IG194" s="11"/>
      <c r="JT194" s="11"/>
      <c r="LG194" s="11"/>
      <c r="MT194" s="11"/>
      <c r="OG194" s="11"/>
      <c r="PT194" s="11"/>
    </row>
    <row r="195" spans="3:436" ht="15.75" x14ac:dyDescent="0.25">
      <c r="C195" s="20" t="s">
        <v>237</v>
      </c>
      <c r="D195" s="21" t="s">
        <v>82</v>
      </c>
      <c r="H195" s="11"/>
      <c r="AU195" s="11"/>
      <c r="CH195" s="11"/>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7"/>
      <c r="DF195" s="17"/>
      <c r="DG195" s="16"/>
      <c r="DH195" s="16"/>
      <c r="DI195" s="17"/>
      <c r="DJ195" s="17"/>
      <c r="DK195" s="16"/>
      <c r="DL195" s="16"/>
      <c r="DM195" s="17"/>
      <c r="DN195" s="17"/>
      <c r="DO195" s="16"/>
      <c r="DP195" s="16"/>
      <c r="DQ195" s="17"/>
      <c r="DR195" s="17"/>
      <c r="DS195" s="16"/>
      <c r="DT195" s="16"/>
      <c r="DU195" s="17"/>
      <c r="DV195" s="17"/>
      <c r="DW195" s="16"/>
      <c r="DX195" s="16"/>
      <c r="DY195" s="17"/>
      <c r="DZ195" s="17"/>
      <c r="EA195" s="16"/>
      <c r="EB195" s="16"/>
      <c r="EC195" s="17"/>
      <c r="ED195" s="17"/>
      <c r="EE195" s="16"/>
      <c r="EF195" s="16"/>
      <c r="EG195" s="17"/>
      <c r="EH195" s="17"/>
      <c r="EI195" s="16"/>
      <c r="EJ195" s="16"/>
      <c r="EK195" s="17"/>
      <c r="EL195" s="17"/>
      <c r="EM195" s="16"/>
      <c r="EN195" s="16"/>
      <c r="EO195" s="17"/>
      <c r="EP195" s="17"/>
      <c r="EQ195" s="16"/>
      <c r="ER195" s="16"/>
      <c r="ES195" s="17"/>
      <c r="ET195" s="17"/>
      <c r="EU195" s="16"/>
      <c r="EV195" s="16"/>
      <c r="EW195" s="17"/>
      <c r="EX195" s="17"/>
      <c r="EY195" s="16"/>
      <c r="EZ195" s="16"/>
      <c r="FA195" s="17"/>
      <c r="FB195" s="17"/>
      <c r="FC195" s="16"/>
      <c r="FD195" s="16"/>
      <c r="FE195" s="17"/>
      <c r="FF195" s="17"/>
      <c r="FG195" s="11"/>
      <c r="GT195" s="11"/>
      <c r="IG195" s="11"/>
      <c r="JT195" s="11"/>
      <c r="LG195" s="11"/>
      <c r="MT195" s="11"/>
      <c r="OG195" s="11"/>
      <c r="PT195" s="11"/>
    </row>
    <row r="196" spans="3:436" ht="15.75" x14ac:dyDescent="0.25">
      <c r="C196" s="20" t="s">
        <v>238</v>
      </c>
      <c r="D196" s="21" t="s">
        <v>93</v>
      </c>
      <c r="H196" s="11"/>
      <c r="AU196" s="11"/>
      <c r="CH196" s="11"/>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7"/>
      <c r="DF196" s="17"/>
      <c r="DG196" s="16"/>
      <c r="DH196" s="16"/>
      <c r="DI196" s="17"/>
      <c r="DJ196" s="17"/>
      <c r="DK196" s="16"/>
      <c r="DL196" s="16"/>
      <c r="DM196" s="17"/>
      <c r="DN196" s="17"/>
      <c r="DO196" s="16"/>
      <c r="DP196" s="16"/>
      <c r="DQ196" s="17"/>
      <c r="DR196" s="17"/>
      <c r="DS196" s="16"/>
      <c r="DT196" s="16"/>
      <c r="DU196" s="17"/>
      <c r="DV196" s="17"/>
      <c r="DW196" s="16"/>
      <c r="DX196" s="16"/>
      <c r="DY196" s="17"/>
      <c r="DZ196" s="17"/>
      <c r="EA196" s="16"/>
      <c r="EB196" s="16"/>
      <c r="EC196" s="17"/>
      <c r="ED196" s="17"/>
      <c r="EE196" s="16"/>
      <c r="EF196" s="16"/>
      <c r="EG196" s="17"/>
      <c r="EH196" s="17"/>
      <c r="EI196" s="16"/>
      <c r="EJ196" s="16"/>
      <c r="EK196" s="17"/>
      <c r="EL196" s="17"/>
      <c r="EM196" s="16"/>
      <c r="EN196" s="16"/>
      <c r="EO196" s="17"/>
      <c r="EP196" s="17"/>
      <c r="EQ196" s="16"/>
      <c r="ER196" s="16"/>
      <c r="ES196" s="17"/>
      <c r="ET196" s="17"/>
      <c r="EU196" s="16"/>
      <c r="EV196" s="16"/>
      <c r="EW196" s="17"/>
      <c r="EX196" s="17"/>
      <c r="EY196" s="16"/>
      <c r="EZ196" s="16"/>
      <c r="FA196" s="17"/>
      <c r="FB196" s="17"/>
      <c r="FC196" s="16"/>
      <c r="FD196" s="16"/>
      <c r="FE196" s="17"/>
      <c r="FF196" s="17"/>
      <c r="FG196" s="11"/>
      <c r="GT196" s="11"/>
      <c r="IG196" s="11"/>
      <c r="JT196" s="11"/>
      <c r="LG196" s="11"/>
      <c r="MT196" s="11"/>
      <c r="OG196" s="11"/>
      <c r="PT196" s="11"/>
    </row>
    <row r="197" spans="3:436" ht="15.75" x14ac:dyDescent="0.25">
      <c r="C197" s="20" t="s">
        <v>239</v>
      </c>
      <c r="D197" s="21" t="s">
        <v>136</v>
      </c>
      <c r="H197" s="11"/>
      <c r="AU197" s="11"/>
      <c r="CH197" s="11"/>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7"/>
      <c r="DF197" s="17"/>
      <c r="DG197" s="16"/>
      <c r="DH197" s="16"/>
      <c r="DI197" s="17"/>
      <c r="DJ197" s="17"/>
      <c r="DK197" s="16"/>
      <c r="DL197" s="16"/>
      <c r="DM197" s="17"/>
      <c r="DN197" s="17"/>
      <c r="DO197" s="16"/>
      <c r="DP197" s="16"/>
      <c r="DQ197" s="17"/>
      <c r="DR197" s="17"/>
      <c r="DS197" s="16"/>
      <c r="DT197" s="16"/>
      <c r="DU197" s="17"/>
      <c r="DV197" s="17"/>
      <c r="DW197" s="16"/>
      <c r="DX197" s="16"/>
      <c r="DY197" s="17"/>
      <c r="DZ197" s="17"/>
      <c r="EA197" s="16"/>
      <c r="EB197" s="16"/>
      <c r="EC197" s="17"/>
      <c r="ED197" s="17"/>
      <c r="EE197" s="16"/>
      <c r="EF197" s="16"/>
      <c r="EG197" s="17"/>
      <c r="EH197" s="17"/>
      <c r="EI197" s="16"/>
      <c r="EJ197" s="16"/>
      <c r="EK197" s="17"/>
      <c r="EL197" s="17"/>
      <c r="EM197" s="16"/>
      <c r="EN197" s="16"/>
      <c r="EO197" s="17"/>
      <c r="EP197" s="17"/>
      <c r="EQ197" s="16"/>
      <c r="ER197" s="16"/>
      <c r="ES197" s="17"/>
      <c r="ET197" s="17"/>
      <c r="EU197" s="16"/>
      <c r="EV197" s="16"/>
      <c r="EW197" s="17"/>
      <c r="EX197" s="17"/>
      <c r="EY197" s="16"/>
      <c r="EZ197" s="16"/>
      <c r="FA197" s="17"/>
      <c r="FB197" s="17"/>
      <c r="FC197" s="16"/>
      <c r="FD197" s="16"/>
      <c r="FE197" s="17"/>
      <c r="FF197" s="17"/>
      <c r="FG197" s="11"/>
      <c r="GT197" s="11"/>
      <c r="IG197" s="11"/>
      <c r="JT197" s="11"/>
      <c r="LG197" s="11"/>
      <c r="MT197" s="11"/>
      <c r="OG197" s="11"/>
      <c r="PT197" s="11"/>
    </row>
    <row r="198" spans="3:436" ht="15.75" x14ac:dyDescent="0.25">
      <c r="C198" s="20" t="s">
        <v>240</v>
      </c>
      <c r="D198" s="21" t="s">
        <v>142</v>
      </c>
      <c r="H198" s="11"/>
      <c r="AU198" s="11"/>
      <c r="CH198" s="11"/>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7"/>
      <c r="DF198" s="17"/>
      <c r="DG198" s="16"/>
      <c r="DH198" s="16"/>
      <c r="DI198" s="17"/>
      <c r="DJ198" s="17"/>
      <c r="DK198" s="16"/>
      <c r="DL198" s="16"/>
      <c r="DM198" s="17"/>
      <c r="DN198" s="17"/>
      <c r="DO198" s="16"/>
      <c r="DP198" s="16"/>
      <c r="DQ198" s="17"/>
      <c r="DR198" s="17"/>
      <c r="DS198" s="16"/>
      <c r="DT198" s="16"/>
      <c r="DU198" s="17"/>
      <c r="DV198" s="17"/>
      <c r="DW198" s="16"/>
      <c r="DX198" s="16"/>
      <c r="DY198" s="17"/>
      <c r="DZ198" s="17"/>
      <c r="EA198" s="16"/>
      <c r="EB198" s="16"/>
      <c r="EC198" s="17"/>
      <c r="ED198" s="17"/>
      <c r="EE198" s="16"/>
      <c r="EF198" s="16"/>
      <c r="EG198" s="17"/>
      <c r="EH198" s="17"/>
      <c r="EI198" s="16"/>
      <c r="EJ198" s="16"/>
      <c r="EK198" s="17"/>
      <c r="EL198" s="17"/>
      <c r="EM198" s="16"/>
      <c r="EN198" s="16"/>
      <c r="EO198" s="17"/>
      <c r="EP198" s="17"/>
      <c r="EQ198" s="16"/>
      <c r="ER198" s="16"/>
      <c r="ES198" s="17"/>
      <c r="ET198" s="17"/>
      <c r="EU198" s="16"/>
      <c r="EV198" s="16"/>
      <c r="EW198" s="17"/>
      <c r="EX198" s="17"/>
      <c r="EY198" s="16"/>
      <c r="EZ198" s="16"/>
      <c r="FA198" s="17"/>
      <c r="FB198" s="17"/>
      <c r="FC198" s="16"/>
      <c r="FD198" s="16"/>
      <c r="FE198" s="17"/>
      <c r="FF198" s="17"/>
      <c r="FG198" s="11"/>
      <c r="GT198" s="11"/>
      <c r="IG198" s="11"/>
      <c r="JT198" s="11"/>
      <c r="LG198" s="11"/>
      <c r="MT198" s="11"/>
      <c r="OG198" s="11"/>
      <c r="PT198" s="11"/>
    </row>
    <row r="199" spans="3:436" ht="15.75" x14ac:dyDescent="0.25">
      <c r="C199" s="20" t="s">
        <v>241</v>
      </c>
      <c r="D199" s="21" t="s">
        <v>104</v>
      </c>
      <c r="H199" s="11"/>
      <c r="AU199" s="11"/>
      <c r="CH199" s="11"/>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7"/>
      <c r="DF199" s="17"/>
      <c r="DG199" s="16"/>
      <c r="DH199" s="16"/>
      <c r="DI199" s="17"/>
      <c r="DJ199" s="17"/>
      <c r="DK199" s="16"/>
      <c r="DL199" s="16"/>
      <c r="DM199" s="17"/>
      <c r="DN199" s="17"/>
      <c r="DO199" s="16"/>
      <c r="DP199" s="16"/>
      <c r="DQ199" s="17"/>
      <c r="DR199" s="17"/>
      <c r="DS199" s="16"/>
      <c r="DT199" s="16"/>
      <c r="DU199" s="17"/>
      <c r="DV199" s="17"/>
      <c r="DW199" s="16"/>
      <c r="DX199" s="16"/>
      <c r="DY199" s="17"/>
      <c r="DZ199" s="17"/>
      <c r="EA199" s="16"/>
      <c r="EB199" s="16"/>
      <c r="EC199" s="17"/>
      <c r="ED199" s="17"/>
      <c r="EE199" s="16"/>
      <c r="EF199" s="16"/>
      <c r="EG199" s="17"/>
      <c r="EH199" s="17"/>
      <c r="EI199" s="16"/>
      <c r="EJ199" s="16"/>
      <c r="EK199" s="17"/>
      <c r="EL199" s="17"/>
      <c r="EM199" s="16"/>
      <c r="EN199" s="16"/>
      <c r="EO199" s="17"/>
      <c r="EP199" s="17"/>
      <c r="EQ199" s="16"/>
      <c r="ER199" s="16"/>
      <c r="ES199" s="17"/>
      <c r="ET199" s="17"/>
      <c r="EU199" s="16"/>
      <c r="EV199" s="16"/>
      <c r="EW199" s="17"/>
      <c r="EX199" s="17"/>
      <c r="EY199" s="16"/>
      <c r="EZ199" s="16"/>
      <c r="FA199" s="17"/>
      <c r="FB199" s="17"/>
      <c r="FC199" s="19">
        <v>3</v>
      </c>
      <c r="FD199" s="19">
        <v>5</v>
      </c>
      <c r="FE199" s="17"/>
      <c r="FF199" s="17"/>
      <c r="FG199" s="11"/>
      <c r="GT199" s="11"/>
      <c r="IG199" s="11"/>
      <c r="JT199" s="11"/>
      <c r="LG199" s="11"/>
      <c r="MT199" s="11"/>
      <c r="OG199" s="11"/>
      <c r="PT199" s="11"/>
    </row>
    <row r="200" spans="3:436" ht="15.75" x14ac:dyDescent="0.25">
      <c r="C200" s="20" t="s">
        <v>242</v>
      </c>
      <c r="D200" s="21" t="s">
        <v>90</v>
      </c>
      <c r="H200" s="11"/>
      <c r="AU200" s="11"/>
      <c r="CH200" s="11"/>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7"/>
      <c r="DF200" s="17"/>
      <c r="DG200" s="16"/>
      <c r="DH200" s="16"/>
      <c r="DI200" s="17"/>
      <c r="DJ200" s="17"/>
      <c r="DK200" s="16"/>
      <c r="DL200" s="16"/>
      <c r="DM200" s="17"/>
      <c r="DN200" s="17"/>
      <c r="DO200" s="16"/>
      <c r="DP200" s="16"/>
      <c r="DQ200" s="17"/>
      <c r="DR200" s="17"/>
      <c r="DS200" s="16"/>
      <c r="DT200" s="16"/>
      <c r="DU200" s="17"/>
      <c r="DV200" s="17"/>
      <c r="DW200" s="16"/>
      <c r="DX200" s="16"/>
      <c r="DY200" s="17"/>
      <c r="DZ200" s="17"/>
      <c r="EA200" s="16"/>
      <c r="EB200" s="16"/>
      <c r="EC200" s="17"/>
      <c r="ED200" s="17"/>
      <c r="EE200" s="16"/>
      <c r="EF200" s="16"/>
      <c r="EG200" s="17"/>
      <c r="EH200" s="17"/>
      <c r="EI200" s="16"/>
      <c r="EJ200" s="16"/>
      <c r="EK200" s="17"/>
      <c r="EL200" s="17"/>
      <c r="EM200" s="16"/>
      <c r="EN200" s="16"/>
      <c r="EO200" s="17"/>
      <c r="EP200" s="17"/>
      <c r="EQ200" s="16"/>
      <c r="ER200" s="16"/>
      <c r="ES200" s="17"/>
      <c r="ET200" s="17"/>
      <c r="EU200" s="16"/>
      <c r="EV200" s="16"/>
      <c r="EW200" s="17"/>
      <c r="EX200" s="17"/>
      <c r="EY200" s="16"/>
      <c r="EZ200" s="16"/>
      <c r="FA200" s="17"/>
      <c r="FB200" s="17"/>
      <c r="FC200" s="16"/>
      <c r="FD200" s="16"/>
      <c r="FE200" s="17"/>
      <c r="FF200" s="17"/>
      <c r="FG200" s="11"/>
      <c r="GT200" s="11"/>
      <c r="IG200" s="11"/>
      <c r="JT200" s="11"/>
      <c r="LG200" s="11"/>
      <c r="MT200" s="11"/>
      <c r="OG200" s="11"/>
      <c r="PT200" s="11"/>
    </row>
    <row r="201" spans="3:436" ht="15.75" x14ac:dyDescent="0.25">
      <c r="C201" s="20" t="s">
        <v>220</v>
      </c>
      <c r="D201" s="21" t="s">
        <v>79</v>
      </c>
      <c r="H201" s="11"/>
      <c r="AU201" s="11"/>
      <c r="CH201" s="11"/>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7"/>
      <c r="DF201" s="17"/>
      <c r="DG201" s="16"/>
      <c r="DH201" s="16"/>
      <c r="DI201" s="17"/>
      <c r="DJ201" s="17"/>
      <c r="DK201" s="16"/>
      <c r="DL201" s="16"/>
      <c r="DM201" s="17"/>
      <c r="DN201" s="17"/>
      <c r="DO201" s="16"/>
      <c r="DP201" s="16"/>
      <c r="DQ201" s="17"/>
      <c r="DR201" s="17"/>
      <c r="DS201" s="16"/>
      <c r="DT201" s="16"/>
      <c r="DU201" s="17"/>
      <c r="DV201" s="17"/>
      <c r="DW201" s="16"/>
      <c r="DX201" s="16"/>
      <c r="DY201" s="17"/>
      <c r="DZ201" s="17"/>
      <c r="EA201" s="16"/>
      <c r="EB201" s="16"/>
      <c r="EC201" s="17"/>
      <c r="ED201" s="17"/>
      <c r="EE201" s="16"/>
      <c r="EF201" s="16"/>
      <c r="EG201" s="17"/>
      <c r="EH201" s="17"/>
      <c r="EI201" s="16"/>
      <c r="EJ201" s="16"/>
      <c r="EK201" s="17"/>
      <c r="EL201" s="17"/>
      <c r="EM201" s="16"/>
      <c r="EN201" s="16"/>
      <c r="EO201" s="17"/>
      <c r="EP201" s="17"/>
      <c r="EQ201" s="16"/>
      <c r="ER201" s="16"/>
      <c r="ES201" s="17"/>
      <c r="ET201" s="17"/>
      <c r="EU201" s="16"/>
      <c r="EV201" s="16"/>
      <c r="EW201" s="17"/>
      <c r="EX201" s="17"/>
      <c r="EY201" s="16"/>
      <c r="EZ201" s="16"/>
      <c r="FA201" s="17"/>
      <c r="FB201" s="17"/>
      <c r="FC201" s="16"/>
      <c r="FD201" s="16"/>
      <c r="FE201" s="17"/>
      <c r="FF201" s="17"/>
      <c r="FG201" s="11"/>
      <c r="GT201" s="11"/>
      <c r="IG201" s="11"/>
      <c r="JT201" s="11"/>
      <c r="LG201" s="11"/>
      <c r="MT201" s="11"/>
      <c r="OG201" s="11"/>
      <c r="PT201" s="11"/>
    </row>
    <row r="202" spans="3:436" ht="15.75" x14ac:dyDescent="0.25">
      <c r="C202" s="20" t="s">
        <v>221</v>
      </c>
      <c r="D202" s="21" t="s">
        <v>159</v>
      </c>
      <c r="H202" s="11"/>
      <c r="AU202" s="11"/>
      <c r="CH202" s="11"/>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7"/>
      <c r="DF202" s="17"/>
      <c r="DG202" s="16"/>
      <c r="DH202" s="16"/>
      <c r="DI202" s="17"/>
      <c r="DJ202" s="17"/>
      <c r="DK202" s="16"/>
      <c r="DL202" s="16"/>
      <c r="DM202" s="17"/>
      <c r="DN202" s="17"/>
      <c r="DO202" s="16"/>
      <c r="DP202" s="16"/>
      <c r="DQ202" s="17"/>
      <c r="DR202" s="17"/>
      <c r="DS202" s="16"/>
      <c r="DT202" s="16"/>
      <c r="DU202" s="17"/>
      <c r="DV202" s="17"/>
      <c r="DW202" s="16"/>
      <c r="DX202" s="16"/>
      <c r="DY202" s="17"/>
      <c r="DZ202" s="17"/>
      <c r="EA202" s="16"/>
      <c r="EB202" s="16"/>
      <c r="EC202" s="17"/>
      <c r="ED202" s="17"/>
      <c r="EE202" s="16"/>
      <c r="EF202" s="16"/>
      <c r="EG202" s="17"/>
      <c r="EH202" s="17"/>
      <c r="EI202" s="16"/>
      <c r="EJ202" s="16"/>
      <c r="EK202" s="17"/>
      <c r="EL202" s="17"/>
      <c r="EM202" s="16"/>
      <c r="EN202" s="16"/>
      <c r="EO202" s="17"/>
      <c r="EP202" s="17"/>
      <c r="EQ202" s="16"/>
      <c r="ER202" s="16"/>
      <c r="ES202" s="17"/>
      <c r="ET202" s="17"/>
      <c r="EU202" s="16"/>
      <c r="EV202" s="16"/>
      <c r="EW202" s="17"/>
      <c r="EX202" s="17"/>
      <c r="EY202" s="16"/>
      <c r="EZ202" s="16"/>
      <c r="FA202" s="17"/>
      <c r="FB202" s="17"/>
      <c r="FC202" s="16"/>
      <c r="FD202" s="16"/>
      <c r="FE202" s="17"/>
      <c r="FF202" s="17"/>
      <c r="FG202" s="11"/>
      <c r="GT202" s="11"/>
      <c r="IG202" s="11"/>
      <c r="JT202" s="11"/>
      <c r="LG202" s="11"/>
      <c r="MT202" s="11"/>
      <c r="OG202" s="11"/>
      <c r="PT202" s="11"/>
    </row>
    <row r="203" spans="3:436" ht="15.75" x14ac:dyDescent="0.25">
      <c r="C203" s="20" t="s">
        <v>223</v>
      </c>
      <c r="D203" s="21" t="s">
        <v>136</v>
      </c>
      <c r="H203" s="11"/>
      <c r="AU203" s="11"/>
      <c r="CH203" s="11"/>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7"/>
      <c r="DF203" s="17"/>
      <c r="DG203" s="16"/>
      <c r="DH203" s="16"/>
      <c r="DI203" s="17"/>
      <c r="DJ203" s="17"/>
      <c r="DK203" s="16"/>
      <c r="DL203" s="16"/>
      <c r="DM203" s="17"/>
      <c r="DN203" s="17"/>
      <c r="DO203" s="16"/>
      <c r="DP203" s="16"/>
      <c r="DQ203" s="17"/>
      <c r="DR203" s="17"/>
      <c r="DS203" s="16"/>
      <c r="DT203" s="16"/>
      <c r="DU203" s="17"/>
      <c r="DV203" s="17"/>
      <c r="DW203" s="16"/>
      <c r="DX203" s="16"/>
      <c r="DY203" s="17"/>
      <c r="DZ203" s="17"/>
      <c r="EA203" s="16"/>
      <c r="EB203" s="16"/>
      <c r="EC203" s="17"/>
      <c r="ED203" s="17"/>
      <c r="EE203" s="16"/>
      <c r="EF203" s="16"/>
      <c r="EG203" s="17"/>
      <c r="EH203" s="17"/>
      <c r="EI203" s="16"/>
      <c r="EJ203" s="16"/>
      <c r="EK203" s="17"/>
      <c r="EL203" s="17"/>
      <c r="EM203" s="16"/>
      <c r="EN203" s="16"/>
      <c r="EO203" s="17"/>
      <c r="EP203" s="17"/>
      <c r="EQ203" s="16"/>
      <c r="ER203" s="16"/>
      <c r="ES203" s="17"/>
      <c r="ET203" s="17"/>
      <c r="EU203" s="16"/>
      <c r="EV203" s="16"/>
      <c r="EW203" s="17"/>
      <c r="EX203" s="17"/>
      <c r="EY203" s="16"/>
      <c r="EZ203" s="16"/>
      <c r="FA203" s="17"/>
      <c r="FB203" s="17"/>
      <c r="FC203" s="16"/>
      <c r="FD203" s="16"/>
      <c r="FE203" s="17"/>
      <c r="FF203" s="17"/>
      <c r="FG203" s="11"/>
      <c r="GT203" s="11"/>
      <c r="IG203" s="11"/>
      <c r="JT203" s="11"/>
      <c r="LG203" s="11"/>
      <c r="MT203" s="11"/>
      <c r="OG203" s="11"/>
      <c r="PT203" s="11"/>
    </row>
    <row r="204" spans="3:436" ht="15.75" x14ac:dyDescent="0.25">
      <c r="C204" s="20" t="s">
        <v>224</v>
      </c>
      <c r="D204" s="21" t="s">
        <v>142</v>
      </c>
      <c r="H204" s="11"/>
      <c r="AU204" s="11"/>
      <c r="CH204" s="11"/>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7"/>
      <c r="DF204" s="17"/>
      <c r="DG204" s="16"/>
      <c r="DH204" s="16"/>
      <c r="DI204" s="17"/>
      <c r="DJ204" s="17"/>
      <c r="DK204" s="16"/>
      <c r="DL204" s="16"/>
      <c r="DM204" s="17"/>
      <c r="DN204" s="17"/>
      <c r="DO204" s="16"/>
      <c r="DP204" s="16"/>
      <c r="DQ204" s="17"/>
      <c r="DR204" s="17"/>
      <c r="DS204" s="16"/>
      <c r="DT204" s="16"/>
      <c r="DU204" s="17"/>
      <c r="DV204" s="17"/>
      <c r="DW204" s="16"/>
      <c r="DX204" s="16"/>
      <c r="DY204" s="17"/>
      <c r="DZ204" s="17"/>
      <c r="EA204" s="16"/>
      <c r="EB204" s="16"/>
      <c r="EC204" s="17"/>
      <c r="ED204" s="17"/>
      <c r="EE204" s="16"/>
      <c r="EF204" s="16"/>
      <c r="EG204" s="17"/>
      <c r="EH204" s="17"/>
      <c r="EI204" s="16"/>
      <c r="EJ204" s="16"/>
      <c r="EK204" s="17"/>
      <c r="EL204" s="17"/>
      <c r="EM204" s="16"/>
      <c r="EN204" s="16"/>
      <c r="EO204" s="17"/>
      <c r="EP204" s="17"/>
      <c r="EQ204" s="16"/>
      <c r="ER204" s="16"/>
      <c r="ES204" s="17"/>
      <c r="ET204" s="17"/>
      <c r="EU204" s="16"/>
      <c r="EV204" s="16"/>
      <c r="EW204" s="17"/>
      <c r="EX204" s="17"/>
      <c r="EY204" s="16"/>
      <c r="EZ204" s="16"/>
      <c r="FA204" s="17"/>
      <c r="FB204" s="17"/>
      <c r="FC204" s="16"/>
      <c r="FD204" s="16"/>
      <c r="FE204" s="17"/>
      <c r="FF204" s="17"/>
      <c r="FG204" s="11"/>
      <c r="GT204" s="11"/>
      <c r="IG204" s="11"/>
      <c r="JT204" s="11"/>
      <c r="LG204" s="11"/>
      <c r="MT204" s="11"/>
      <c r="OG204" s="11"/>
      <c r="PT204" s="11"/>
    </row>
    <row r="205" spans="3:436" ht="15.75" x14ac:dyDescent="0.25">
      <c r="C205" s="20" t="s">
        <v>225</v>
      </c>
      <c r="D205" s="21" t="s">
        <v>90</v>
      </c>
      <c r="H205" s="11"/>
      <c r="AU205" s="11"/>
      <c r="CH205" s="11"/>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7"/>
      <c r="DF205" s="17"/>
      <c r="DG205" s="16"/>
      <c r="DH205" s="16"/>
      <c r="DI205" s="17"/>
      <c r="DJ205" s="17"/>
      <c r="DK205" s="16"/>
      <c r="DL205" s="16"/>
      <c r="DM205" s="17"/>
      <c r="DN205" s="17"/>
      <c r="DO205" s="16"/>
      <c r="DP205" s="16"/>
      <c r="DQ205" s="17"/>
      <c r="DR205" s="17"/>
      <c r="DS205" s="16"/>
      <c r="DT205" s="16"/>
      <c r="DU205" s="17"/>
      <c r="DV205" s="17"/>
      <c r="DW205" s="16"/>
      <c r="DX205" s="16"/>
      <c r="DY205" s="17"/>
      <c r="DZ205" s="17"/>
      <c r="EA205" s="16"/>
      <c r="EB205" s="16"/>
      <c r="EC205" s="17"/>
      <c r="ED205" s="17"/>
      <c r="EE205" s="16"/>
      <c r="EF205" s="16"/>
      <c r="EG205" s="17"/>
      <c r="EH205" s="17"/>
      <c r="EI205" s="16"/>
      <c r="EJ205" s="16"/>
      <c r="EK205" s="17"/>
      <c r="EL205" s="17"/>
      <c r="EM205" s="16"/>
      <c r="EN205" s="16"/>
      <c r="EO205" s="17"/>
      <c r="EP205" s="17"/>
      <c r="EQ205" s="16"/>
      <c r="ER205" s="16"/>
      <c r="ES205" s="17"/>
      <c r="ET205" s="17"/>
      <c r="EU205" s="16"/>
      <c r="EV205" s="16"/>
      <c r="EW205" s="17"/>
      <c r="EX205" s="17"/>
      <c r="EY205" s="16"/>
      <c r="EZ205" s="16"/>
      <c r="FA205" s="17"/>
      <c r="FB205" s="17"/>
      <c r="FC205" s="16"/>
      <c r="FD205" s="16"/>
      <c r="FE205" s="17"/>
      <c r="FF205" s="17"/>
      <c r="FG205" s="11"/>
      <c r="GT205" s="11"/>
      <c r="IG205" s="11"/>
      <c r="JT205" s="11"/>
      <c r="LG205" s="11"/>
      <c r="MT205" s="11"/>
      <c r="OG205" s="11"/>
      <c r="PT205" s="11"/>
    </row>
    <row r="206" spans="3:436" ht="15.75" x14ac:dyDescent="0.25">
      <c r="C206" s="20" t="s">
        <v>219</v>
      </c>
      <c r="D206" s="21" t="s">
        <v>79</v>
      </c>
      <c r="H206" s="11"/>
      <c r="AU206" s="11"/>
      <c r="CH206" s="11"/>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7"/>
      <c r="DF206" s="17"/>
      <c r="DG206" s="16"/>
      <c r="DH206" s="16"/>
      <c r="DI206" s="17"/>
      <c r="DJ206" s="17"/>
      <c r="DK206" s="16"/>
      <c r="DL206" s="16"/>
      <c r="DM206" s="17"/>
      <c r="DN206" s="17"/>
      <c r="DO206" s="16"/>
      <c r="DP206" s="16"/>
      <c r="DQ206" s="17"/>
      <c r="DR206" s="17"/>
      <c r="DS206" s="16"/>
      <c r="DT206" s="16"/>
      <c r="DU206" s="17"/>
      <c r="DV206" s="17"/>
      <c r="DW206" s="16"/>
      <c r="DX206" s="16"/>
      <c r="DY206" s="17"/>
      <c r="DZ206" s="17"/>
      <c r="EA206" s="16"/>
      <c r="EB206" s="16"/>
      <c r="EC206" s="17"/>
      <c r="ED206" s="17"/>
      <c r="EE206" s="16"/>
      <c r="EF206" s="16"/>
      <c r="EG206" s="17"/>
      <c r="EH206" s="17"/>
      <c r="EI206" s="16"/>
      <c r="EJ206" s="16"/>
      <c r="EK206" s="17"/>
      <c r="EL206" s="17"/>
      <c r="EM206" s="16"/>
      <c r="EN206" s="16"/>
      <c r="EO206" s="17"/>
      <c r="EP206" s="17"/>
      <c r="EQ206" s="16"/>
      <c r="ER206" s="16"/>
      <c r="ES206" s="17"/>
      <c r="ET206" s="17"/>
      <c r="EU206" s="16"/>
      <c r="EV206" s="16"/>
      <c r="EW206" s="17"/>
      <c r="EX206" s="17"/>
      <c r="EY206" s="16"/>
      <c r="EZ206" s="16"/>
      <c r="FA206" s="17"/>
      <c r="FB206" s="17"/>
      <c r="FC206" s="16"/>
      <c r="FD206" s="16"/>
      <c r="FE206" s="17"/>
      <c r="FF206" s="17"/>
      <c r="FG206" s="11"/>
      <c r="GT206" s="11"/>
      <c r="IG206" s="11"/>
      <c r="JT206" s="11"/>
      <c r="LG206" s="11"/>
      <c r="MT206" s="11"/>
      <c r="OG206" s="11"/>
      <c r="PT206" s="11"/>
    </row>
    <row r="207" spans="3:436" ht="15.75" x14ac:dyDescent="0.25">
      <c r="C207" s="20" t="s">
        <v>226</v>
      </c>
      <c r="D207" s="21" t="s">
        <v>159</v>
      </c>
      <c r="H207" s="11"/>
      <c r="AU207" s="11"/>
      <c r="CH207" s="11"/>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7"/>
      <c r="DF207" s="17"/>
      <c r="DG207" s="16"/>
      <c r="DH207" s="16"/>
      <c r="DI207" s="17"/>
      <c r="DJ207" s="17"/>
      <c r="DK207" s="16"/>
      <c r="DL207" s="16"/>
      <c r="DM207" s="17"/>
      <c r="DN207" s="17"/>
      <c r="DO207" s="16"/>
      <c r="DP207" s="16"/>
      <c r="DQ207" s="17"/>
      <c r="DR207" s="17"/>
      <c r="DS207" s="16"/>
      <c r="DT207" s="16"/>
      <c r="DU207" s="17"/>
      <c r="DV207" s="17"/>
      <c r="DW207" s="16"/>
      <c r="DX207" s="16"/>
      <c r="DY207" s="17"/>
      <c r="DZ207" s="17"/>
      <c r="EA207" s="16"/>
      <c r="EB207" s="16"/>
      <c r="EC207" s="17"/>
      <c r="ED207" s="17"/>
      <c r="EE207" s="16"/>
      <c r="EF207" s="16"/>
      <c r="EG207" s="17"/>
      <c r="EH207" s="17"/>
      <c r="EI207" s="16"/>
      <c r="EJ207" s="16"/>
      <c r="EK207" s="17"/>
      <c r="EL207" s="17"/>
      <c r="EM207" s="16"/>
      <c r="EN207" s="16"/>
      <c r="EO207" s="17"/>
      <c r="EP207" s="17"/>
      <c r="EQ207" s="16"/>
      <c r="ER207" s="16"/>
      <c r="ES207" s="17"/>
      <c r="ET207" s="17"/>
      <c r="EU207" s="16"/>
      <c r="EV207" s="16"/>
      <c r="EW207" s="17"/>
      <c r="EX207" s="17"/>
      <c r="EY207" s="16"/>
      <c r="EZ207" s="16"/>
      <c r="FA207" s="17"/>
      <c r="FB207" s="17"/>
      <c r="FC207" s="16"/>
      <c r="FD207" s="16"/>
      <c r="FE207" s="17"/>
      <c r="FF207" s="17"/>
      <c r="FG207" s="11"/>
      <c r="GT207" s="11"/>
      <c r="IG207" s="11"/>
      <c r="JT207" s="11"/>
      <c r="LG207" s="11"/>
      <c r="MT207" s="11"/>
      <c r="OG207" s="11"/>
      <c r="PT207" s="11"/>
    </row>
    <row r="208" spans="3:436" ht="15.75" x14ac:dyDescent="0.25">
      <c r="C208" s="20" t="s">
        <v>227</v>
      </c>
      <c r="D208" s="21" t="s">
        <v>82</v>
      </c>
      <c r="H208" s="11"/>
      <c r="AU208" s="11"/>
      <c r="CH208" s="11"/>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7"/>
      <c r="DF208" s="17"/>
      <c r="DG208" s="16"/>
      <c r="DH208" s="16"/>
      <c r="DI208" s="17"/>
      <c r="DJ208" s="17"/>
      <c r="DK208" s="16"/>
      <c r="DL208" s="16"/>
      <c r="DM208" s="17"/>
      <c r="DN208" s="17"/>
      <c r="DO208" s="16"/>
      <c r="DP208" s="16"/>
      <c r="DQ208" s="17"/>
      <c r="DR208" s="17"/>
      <c r="DS208" s="16"/>
      <c r="DT208" s="16"/>
      <c r="DU208" s="17"/>
      <c r="DV208" s="17"/>
      <c r="DW208" s="16"/>
      <c r="DX208" s="16"/>
      <c r="DY208" s="17"/>
      <c r="DZ208" s="17"/>
      <c r="EA208" s="16"/>
      <c r="EB208" s="16"/>
      <c r="EC208" s="17"/>
      <c r="ED208" s="17"/>
      <c r="EE208" s="16"/>
      <c r="EF208" s="16"/>
      <c r="EG208" s="17"/>
      <c r="EH208" s="17"/>
      <c r="EI208" s="16"/>
      <c r="EJ208" s="16"/>
      <c r="EK208" s="17"/>
      <c r="EL208" s="17"/>
      <c r="EM208" s="16"/>
      <c r="EN208" s="16"/>
      <c r="EO208" s="17"/>
      <c r="EP208" s="17"/>
      <c r="EQ208" s="16"/>
      <c r="ER208" s="16"/>
      <c r="ES208" s="18">
        <v>4</v>
      </c>
      <c r="ET208" s="18">
        <v>5</v>
      </c>
      <c r="EU208" s="16"/>
      <c r="EV208" s="16"/>
      <c r="EW208" s="17"/>
      <c r="EX208" s="17"/>
      <c r="EY208" s="16"/>
      <c r="EZ208" s="16"/>
      <c r="FA208" s="17"/>
      <c r="FB208" s="17"/>
      <c r="FC208" s="16"/>
      <c r="FD208" s="16"/>
      <c r="FE208" s="17"/>
      <c r="FF208" s="17"/>
      <c r="FG208" s="11"/>
      <c r="GT208" s="11"/>
      <c r="IG208" s="11"/>
      <c r="JT208" s="11"/>
      <c r="LG208" s="11"/>
      <c r="MT208" s="11"/>
      <c r="OG208" s="11"/>
      <c r="PT208" s="11"/>
    </row>
    <row r="209" spans="3:436" ht="15.75" x14ac:dyDescent="0.25">
      <c r="C209" s="20" t="s">
        <v>228</v>
      </c>
      <c r="D209" s="21" t="s">
        <v>142</v>
      </c>
      <c r="H209" s="11"/>
      <c r="AU209" s="11"/>
      <c r="CH209" s="11"/>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7"/>
      <c r="DF209" s="17"/>
      <c r="DG209" s="16"/>
      <c r="DH209" s="16"/>
      <c r="DI209" s="17"/>
      <c r="DJ209" s="17"/>
      <c r="DK209" s="16"/>
      <c r="DL209" s="16"/>
      <c r="DM209" s="17"/>
      <c r="DN209" s="17"/>
      <c r="DO209" s="16"/>
      <c r="DP209" s="16"/>
      <c r="DQ209" s="17"/>
      <c r="DR209" s="17"/>
      <c r="DS209" s="16"/>
      <c r="DT209" s="16"/>
      <c r="DU209" s="17"/>
      <c r="DV209" s="17"/>
      <c r="DW209" s="16"/>
      <c r="DX209" s="16"/>
      <c r="DY209" s="17"/>
      <c r="DZ209" s="17"/>
      <c r="EA209" s="16"/>
      <c r="EB209" s="16"/>
      <c r="EC209" s="17"/>
      <c r="ED209" s="17"/>
      <c r="EE209" s="16"/>
      <c r="EF209" s="16"/>
      <c r="EG209" s="17"/>
      <c r="EH209" s="17"/>
      <c r="EI209" s="16"/>
      <c r="EJ209" s="16"/>
      <c r="EK209" s="17"/>
      <c r="EL209" s="17"/>
      <c r="EM209" s="16"/>
      <c r="EN209" s="16"/>
      <c r="EO209" s="17"/>
      <c r="EP209" s="17"/>
      <c r="EQ209" s="16"/>
      <c r="ER209" s="16"/>
      <c r="ES209" s="17"/>
      <c r="ET209" s="17"/>
      <c r="EU209" s="16"/>
      <c r="EV209" s="16"/>
      <c r="EW209" s="17"/>
      <c r="EX209" s="17"/>
      <c r="EY209" s="16"/>
      <c r="EZ209" s="16"/>
      <c r="FA209" s="17"/>
      <c r="FB209" s="17"/>
      <c r="FC209" s="16"/>
      <c r="FD209" s="16"/>
      <c r="FE209" s="17"/>
      <c r="FF209" s="17"/>
      <c r="FG209" s="11"/>
      <c r="GT209" s="11"/>
      <c r="IG209" s="11"/>
      <c r="JT209" s="11"/>
      <c r="LG209" s="11"/>
      <c r="MT209" s="11"/>
      <c r="OG209" s="11"/>
      <c r="PT209" s="11"/>
    </row>
    <row r="210" spans="3:436" ht="15.75" x14ac:dyDescent="0.25">
      <c r="C210" s="20" t="s">
        <v>229</v>
      </c>
      <c r="D210" s="21" t="s">
        <v>203</v>
      </c>
      <c r="H210" s="11"/>
      <c r="AU210" s="11"/>
      <c r="CH210" s="11"/>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7"/>
      <c r="DF210" s="17"/>
      <c r="DG210" s="16"/>
      <c r="DH210" s="16"/>
      <c r="DI210" s="17"/>
      <c r="DJ210" s="17"/>
      <c r="DK210" s="16"/>
      <c r="DL210" s="16"/>
      <c r="DM210" s="17"/>
      <c r="DN210" s="17"/>
      <c r="DO210" s="16"/>
      <c r="DP210" s="16"/>
      <c r="DQ210" s="17"/>
      <c r="DR210" s="17"/>
      <c r="DS210" s="16"/>
      <c r="DT210" s="16"/>
      <c r="DU210" s="17"/>
      <c r="DV210" s="17"/>
      <c r="DW210" s="16"/>
      <c r="DX210" s="16"/>
      <c r="DY210" s="17"/>
      <c r="DZ210" s="17"/>
      <c r="EA210" s="16"/>
      <c r="EB210" s="16"/>
      <c r="EC210" s="17"/>
      <c r="ED210" s="17"/>
      <c r="EE210" s="16"/>
      <c r="EF210" s="16"/>
      <c r="EG210" s="18">
        <v>2</v>
      </c>
      <c r="EH210" s="18">
        <v>3</v>
      </c>
      <c r="EI210" s="16"/>
      <c r="EJ210" s="16"/>
      <c r="EK210" s="17"/>
      <c r="EL210" s="17"/>
      <c r="EM210" s="16"/>
      <c r="EN210" s="16"/>
      <c r="EO210" s="17"/>
      <c r="EP210" s="17"/>
      <c r="EQ210" s="16"/>
      <c r="ER210" s="16"/>
      <c r="ES210" s="17"/>
      <c r="ET210" s="17"/>
      <c r="EU210" s="16"/>
      <c r="EV210" s="16"/>
      <c r="EW210" s="17"/>
      <c r="EX210" s="17"/>
      <c r="EY210" s="16"/>
      <c r="EZ210" s="16"/>
      <c r="FA210" s="17"/>
      <c r="FB210" s="17"/>
      <c r="FC210" s="16"/>
      <c r="FD210" s="16"/>
      <c r="FE210" s="17"/>
      <c r="FF210" s="17"/>
      <c r="FG210" s="11"/>
      <c r="GT210" s="11"/>
      <c r="IG210" s="11"/>
      <c r="JT210" s="11"/>
      <c r="LG210" s="11"/>
      <c r="MT210" s="11"/>
      <c r="OG210" s="11"/>
      <c r="PT210" s="11"/>
    </row>
    <row r="211" spans="3:436" ht="15.75" x14ac:dyDescent="0.25">
      <c r="C211" s="20" t="s">
        <v>243</v>
      </c>
      <c r="D211" s="21" t="s">
        <v>82</v>
      </c>
      <c r="H211" s="11"/>
      <c r="AU211" s="11"/>
      <c r="CH211" s="11"/>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7"/>
      <c r="DF211" s="17"/>
      <c r="DG211" s="16"/>
      <c r="DH211" s="16"/>
      <c r="DI211" s="17"/>
      <c r="DJ211" s="17"/>
      <c r="DK211" s="16"/>
      <c r="DL211" s="16"/>
      <c r="DM211" s="17"/>
      <c r="DN211" s="17"/>
      <c r="DO211" s="16"/>
      <c r="DP211" s="16"/>
      <c r="DQ211" s="17"/>
      <c r="DR211" s="17"/>
      <c r="DS211" s="16"/>
      <c r="DT211" s="16"/>
      <c r="DU211" s="17"/>
      <c r="DV211" s="17"/>
      <c r="DW211" s="16"/>
      <c r="DX211" s="16"/>
      <c r="DY211" s="17"/>
      <c r="DZ211" s="17"/>
      <c r="EA211" s="16"/>
      <c r="EB211" s="16"/>
      <c r="EC211" s="17"/>
      <c r="ED211" s="17"/>
      <c r="EE211" s="16"/>
      <c r="EF211" s="16"/>
      <c r="EG211" s="17"/>
      <c r="EH211" s="17"/>
      <c r="EI211" s="16"/>
      <c r="EJ211" s="16"/>
      <c r="EK211" s="17"/>
      <c r="EL211" s="17"/>
      <c r="EM211" s="16"/>
      <c r="EN211" s="16"/>
      <c r="EO211" s="17"/>
      <c r="EP211" s="17"/>
      <c r="EQ211" s="16"/>
      <c r="ER211" s="16"/>
      <c r="ES211" s="18">
        <v>1</v>
      </c>
      <c r="ET211" s="18">
        <v>2</v>
      </c>
      <c r="EU211" s="16"/>
      <c r="EV211" s="16"/>
      <c r="EW211" s="17"/>
      <c r="EX211" s="17"/>
      <c r="EY211" s="16"/>
      <c r="EZ211" s="16"/>
      <c r="FA211" s="17"/>
      <c r="FB211" s="17"/>
      <c r="FC211" s="16"/>
      <c r="FD211" s="16"/>
      <c r="FE211" s="17"/>
      <c r="FF211" s="17"/>
      <c r="FG211" s="11"/>
      <c r="GT211" s="11"/>
      <c r="IG211" s="11"/>
      <c r="JT211" s="11"/>
      <c r="LG211" s="11"/>
      <c r="MT211" s="11"/>
      <c r="OG211" s="11"/>
      <c r="PT211" s="11"/>
    </row>
    <row r="212" spans="3:436" ht="15.75" x14ac:dyDescent="0.25">
      <c r="C212" s="20" t="s">
        <v>244</v>
      </c>
      <c r="D212" s="21" t="s">
        <v>82</v>
      </c>
      <c r="H212" s="11"/>
      <c r="AU212" s="11"/>
      <c r="CH212" s="11"/>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7"/>
      <c r="DF212" s="17"/>
      <c r="DG212" s="16"/>
      <c r="DH212" s="16"/>
      <c r="DI212" s="17"/>
      <c r="DJ212" s="17"/>
      <c r="DK212" s="16"/>
      <c r="DL212" s="16"/>
      <c r="DM212" s="17"/>
      <c r="DN212" s="17"/>
      <c r="DO212" s="16"/>
      <c r="DP212" s="16"/>
      <c r="DQ212" s="17"/>
      <c r="DR212" s="17"/>
      <c r="DS212" s="16"/>
      <c r="DT212" s="16"/>
      <c r="DU212" s="17"/>
      <c r="DV212" s="17"/>
      <c r="DW212" s="16"/>
      <c r="DX212" s="16"/>
      <c r="DY212" s="17"/>
      <c r="DZ212" s="17"/>
      <c r="EA212" s="16"/>
      <c r="EB212" s="16"/>
      <c r="EC212" s="17"/>
      <c r="ED212" s="17"/>
      <c r="EE212" s="16"/>
      <c r="EF212" s="16"/>
      <c r="EG212" s="17"/>
      <c r="EH212" s="17"/>
      <c r="EI212" s="16"/>
      <c r="EJ212" s="16"/>
      <c r="EK212" s="17"/>
      <c r="EL212" s="17"/>
      <c r="EM212" s="16"/>
      <c r="EN212" s="16"/>
      <c r="EO212" s="17"/>
      <c r="EP212" s="17"/>
      <c r="EQ212" s="16"/>
      <c r="ER212" s="16"/>
      <c r="ES212" s="18">
        <v>1</v>
      </c>
      <c r="ET212" s="18">
        <v>2</v>
      </c>
      <c r="EU212" s="16"/>
      <c r="EV212" s="16"/>
      <c r="EW212" s="17"/>
      <c r="EX212" s="17"/>
      <c r="EY212" s="16"/>
      <c r="EZ212" s="16"/>
      <c r="FA212" s="17"/>
      <c r="FB212" s="17"/>
      <c r="FC212" s="16"/>
      <c r="FD212" s="16"/>
      <c r="FE212" s="17"/>
      <c r="FF212" s="17"/>
      <c r="FG212" s="11"/>
      <c r="GT212" s="11"/>
      <c r="IG212" s="11"/>
      <c r="JT212" s="11"/>
      <c r="LG212" s="11"/>
      <c r="MT212" s="11"/>
      <c r="OG212" s="11"/>
      <c r="PT212" s="11"/>
    </row>
    <row r="213" spans="3:436" ht="15.75" x14ac:dyDescent="0.25">
      <c r="C213" s="20" t="s">
        <v>245</v>
      </c>
      <c r="D213" s="21" t="s">
        <v>82</v>
      </c>
      <c r="H213" s="11"/>
      <c r="AU213" s="11"/>
      <c r="CH213" s="11"/>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7"/>
      <c r="DF213" s="17"/>
      <c r="DG213" s="16"/>
      <c r="DH213" s="16"/>
      <c r="DI213" s="17"/>
      <c r="DJ213" s="17"/>
      <c r="DK213" s="16"/>
      <c r="DL213" s="16"/>
      <c r="DM213" s="17"/>
      <c r="DN213" s="17"/>
      <c r="DO213" s="16"/>
      <c r="DP213" s="16"/>
      <c r="DQ213" s="17"/>
      <c r="DR213" s="17"/>
      <c r="DS213" s="16"/>
      <c r="DT213" s="16"/>
      <c r="DU213" s="17"/>
      <c r="DV213" s="17"/>
      <c r="DW213" s="16"/>
      <c r="DX213" s="16"/>
      <c r="DY213" s="17"/>
      <c r="DZ213" s="17"/>
      <c r="EA213" s="16"/>
      <c r="EB213" s="16"/>
      <c r="EC213" s="17"/>
      <c r="ED213" s="17"/>
      <c r="EE213" s="16"/>
      <c r="EF213" s="16"/>
      <c r="EG213" s="17"/>
      <c r="EH213" s="17"/>
      <c r="EI213" s="16"/>
      <c r="EJ213" s="16"/>
      <c r="EK213" s="17"/>
      <c r="EL213" s="17"/>
      <c r="EM213" s="16"/>
      <c r="EN213" s="16"/>
      <c r="EO213" s="17"/>
      <c r="EP213" s="17"/>
      <c r="EQ213" s="16"/>
      <c r="ER213" s="16"/>
      <c r="ES213" s="18">
        <v>1</v>
      </c>
      <c r="ET213" s="18">
        <v>2</v>
      </c>
      <c r="EU213" s="16"/>
      <c r="EV213" s="16"/>
      <c r="EW213" s="17"/>
      <c r="EX213" s="17"/>
      <c r="EY213" s="16"/>
      <c r="EZ213" s="16"/>
      <c r="FA213" s="17"/>
      <c r="FB213" s="17"/>
      <c r="FC213" s="16"/>
      <c r="FD213" s="16"/>
      <c r="FE213" s="17"/>
      <c r="FF213" s="17"/>
      <c r="FG213" s="11"/>
      <c r="GT213" s="11"/>
      <c r="IG213" s="11"/>
      <c r="JT213" s="11"/>
      <c r="LG213" s="11"/>
      <c r="MT213" s="11"/>
      <c r="OG213" s="11"/>
      <c r="PT213" s="11"/>
    </row>
    <row r="214" spans="3:436" ht="15.75" x14ac:dyDescent="0.25">
      <c r="C214" s="20" t="s">
        <v>246</v>
      </c>
      <c r="D214" s="21" t="s">
        <v>82</v>
      </c>
      <c r="H214" s="11"/>
      <c r="AU214" s="11"/>
      <c r="CH214" s="11"/>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7"/>
      <c r="DF214" s="17"/>
      <c r="DG214" s="16"/>
      <c r="DH214" s="16"/>
      <c r="DI214" s="17"/>
      <c r="DJ214" s="17"/>
      <c r="DK214" s="16"/>
      <c r="DL214" s="16"/>
      <c r="DM214" s="17"/>
      <c r="DN214" s="17"/>
      <c r="DO214" s="16"/>
      <c r="DP214" s="16"/>
      <c r="DQ214" s="17"/>
      <c r="DR214" s="17"/>
      <c r="DS214" s="16"/>
      <c r="DT214" s="16"/>
      <c r="DU214" s="17"/>
      <c r="DV214" s="17"/>
      <c r="DW214" s="16"/>
      <c r="DX214" s="16"/>
      <c r="DY214" s="17"/>
      <c r="DZ214" s="17"/>
      <c r="EA214" s="16"/>
      <c r="EB214" s="16"/>
      <c r="EC214" s="17"/>
      <c r="ED214" s="17"/>
      <c r="EE214" s="16"/>
      <c r="EF214" s="16"/>
      <c r="EG214" s="17"/>
      <c r="EH214" s="17"/>
      <c r="EI214" s="16"/>
      <c r="EJ214" s="16"/>
      <c r="EK214" s="17"/>
      <c r="EL214" s="17"/>
      <c r="EM214" s="16"/>
      <c r="EN214" s="16"/>
      <c r="EO214" s="17"/>
      <c r="EP214" s="17"/>
      <c r="EQ214" s="16"/>
      <c r="ER214" s="16"/>
      <c r="ES214" s="18">
        <v>2</v>
      </c>
      <c r="ET214" s="18">
        <v>4</v>
      </c>
      <c r="EU214" s="16"/>
      <c r="EV214" s="16"/>
      <c r="EW214" s="17"/>
      <c r="EX214" s="17"/>
      <c r="EY214" s="16"/>
      <c r="EZ214" s="16"/>
      <c r="FA214" s="17"/>
      <c r="FB214" s="17"/>
      <c r="FC214" s="16"/>
      <c r="FD214" s="16"/>
      <c r="FE214" s="17"/>
      <c r="FF214" s="17"/>
      <c r="FG214" s="11"/>
      <c r="GT214" s="11"/>
      <c r="IG214" s="11"/>
      <c r="JT214" s="11"/>
      <c r="LG214" s="11"/>
      <c r="MT214" s="11"/>
      <c r="OG214" s="11"/>
      <c r="PT214" s="11"/>
    </row>
    <row r="215" spans="3:436" ht="15.75" x14ac:dyDescent="0.25">
      <c r="C215" s="20" t="s">
        <v>230</v>
      </c>
      <c r="D215" s="21" t="s">
        <v>162</v>
      </c>
      <c r="H215" s="11"/>
      <c r="AU215" s="11"/>
      <c r="CH215" s="11"/>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7"/>
      <c r="DF215" s="17"/>
      <c r="DG215" s="16"/>
      <c r="DH215" s="16"/>
      <c r="DI215" s="17"/>
      <c r="DJ215" s="17"/>
      <c r="DK215" s="16"/>
      <c r="DL215" s="16"/>
      <c r="DM215" s="17"/>
      <c r="DN215" s="17"/>
      <c r="DO215" s="16"/>
      <c r="DP215" s="16"/>
      <c r="DQ215" s="17"/>
      <c r="DR215" s="17"/>
      <c r="DS215" s="16"/>
      <c r="DT215" s="16"/>
      <c r="DU215" s="17"/>
      <c r="DV215" s="17"/>
      <c r="DW215" s="16"/>
      <c r="DX215" s="16"/>
      <c r="DY215" s="17"/>
      <c r="DZ215" s="17"/>
      <c r="EA215" s="16"/>
      <c r="EB215" s="16"/>
      <c r="EC215" s="17"/>
      <c r="ED215" s="17"/>
      <c r="EE215" s="16"/>
      <c r="EF215" s="16"/>
      <c r="EG215" s="17"/>
      <c r="EH215" s="17"/>
      <c r="EI215" s="16"/>
      <c r="EJ215" s="16"/>
      <c r="EK215" s="17"/>
      <c r="EL215" s="17"/>
      <c r="EM215" s="16"/>
      <c r="EN215" s="16"/>
      <c r="EO215" s="17"/>
      <c r="EP215" s="17"/>
      <c r="EQ215" s="16"/>
      <c r="ER215" s="16"/>
      <c r="ES215" s="17"/>
      <c r="ET215" s="17"/>
      <c r="EU215" s="16"/>
      <c r="EV215" s="16"/>
      <c r="EW215" s="17"/>
      <c r="EX215" s="17"/>
      <c r="EY215" s="16"/>
      <c r="EZ215" s="16"/>
      <c r="FA215" s="17"/>
      <c r="FB215" s="17"/>
      <c r="FC215" s="16"/>
      <c r="FD215" s="16"/>
      <c r="FE215" s="17"/>
      <c r="FF215" s="17"/>
      <c r="FG215" s="11"/>
      <c r="GT215" s="11"/>
      <c r="IG215" s="11"/>
      <c r="JT215" s="11"/>
      <c r="LG215" s="11"/>
      <c r="MT215" s="11"/>
      <c r="OG215" s="11"/>
      <c r="PT215" s="11"/>
    </row>
    <row r="216" spans="3:436" ht="15.75" x14ac:dyDescent="0.25">
      <c r="C216" s="20" t="s">
        <v>232</v>
      </c>
      <c r="D216" s="21" t="s">
        <v>104</v>
      </c>
      <c r="H216" s="11"/>
      <c r="AU216" s="11"/>
      <c r="CH216" s="11"/>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7"/>
      <c r="DF216" s="17"/>
      <c r="DG216" s="16"/>
      <c r="DH216" s="16"/>
      <c r="DI216" s="17"/>
      <c r="DJ216" s="17"/>
      <c r="DK216" s="16"/>
      <c r="DL216" s="16"/>
      <c r="DM216" s="17"/>
      <c r="DN216" s="17"/>
      <c r="DO216" s="16"/>
      <c r="DP216" s="16"/>
      <c r="DQ216" s="17"/>
      <c r="DR216" s="17"/>
      <c r="DS216" s="16"/>
      <c r="DT216" s="16"/>
      <c r="DU216" s="17"/>
      <c r="DV216" s="17"/>
      <c r="DW216" s="16"/>
      <c r="DX216" s="16"/>
      <c r="DY216" s="17"/>
      <c r="DZ216" s="17"/>
      <c r="EA216" s="16"/>
      <c r="EB216" s="16"/>
      <c r="EC216" s="17"/>
      <c r="ED216" s="17"/>
      <c r="EE216" s="16"/>
      <c r="EF216" s="16"/>
      <c r="EG216" s="17"/>
      <c r="EH216" s="17"/>
      <c r="EI216" s="16"/>
      <c r="EJ216" s="16"/>
      <c r="EK216" s="17"/>
      <c r="EL216" s="17"/>
      <c r="EM216" s="16"/>
      <c r="EN216" s="16"/>
      <c r="EO216" s="17"/>
      <c r="EP216" s="17"/>
      <c r="EQ216" s="16"/>
      <c r="ER216" s="16"/>
      <c r="ES216" s="17"/>
      <c r="ET216" s="17"/>
      <c r="EU216" s="16"/>
      <c r="EV216" s="16"/>
      <c r="EW216" s="17"/>
      <c r="EX216" s="17"/>
      <c r="EY216" s="16"/>
      <c r="EZ216" s="16"/>
      <c r="FA216" s="17"/>
      <c r="FB216" s="17"/>
      <c r="FC216" s="16"/>
      <c r="FD216" s="16"/>
      <c r="FE216" s="17"/>
      <c r="FF216" s="17"/>
      <c r="FG216" s="11"/>
      <c r="GT216" s="11"/>
      <c r="IG216" s="11"/>
      <c r="JT216" s="11"/>
      <c r="LG216" s="11"/>
      <c r="MT216" s="11"/>
      <c r="OG216" s="11"/>
      <c r="PT216" s="11"/>
    </row>
    <row r="217" spans="3:436" ht="15.75" x14ac:dyDescent="0.25">
      <c r="C217" s="20" t="s">
        <v>233</v>
      </c>
      <c r="D217" s="21" t="s">
        <v>90</v>
      </c>
      <c r="H217" s="11"/>
      <c r="AU217" s="11"/>
      <c r="CH217" s="11"/>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7"/>
      <c r="DF217" s="17"/>
      <c r="DG217" s="16"/>
      <c r="DH217" s="16"/>
      <c r="DI217" s="17"/>
      <c r="DJ217" s="17"/>
      <c r="DK217" s="16"/>
      <c r="DL217" s="16"/>
      <c r="DM217" s="17"/>
      <c r="DN217" s="17"/>
      <c r="DO217" s="16"/>
      <c r="DP217" s="16"/>
      <c r="DQ217" s="17"/>
      <c r="DR217" s="17"/>
      <c r="DS217" s="16"/>
      <c r="DT217" s="16"/>
      <c r="DU217" s="17"/>
      <c r="DV217" s="17"/>
      <c r="DW217" s="16"/>
      <c r="DX217" s="16"/>
      <c r="DY217" s="17"/>
      <c r="DZ217" s="17"/>
      <c r="EA217" s="16"/>
      <c r="EB217" s="16"/>
      <c r="EC217" s="17"/>
      <c r="ED217" s="17"/>
      <c r="EE217" s="16"/>
      <c r="EF217" s="16"/>
      <c r="EG217" s="17"/>
      <c r="EH217" s="17"/>
      <c r="EI217" s="16"/>
      <c r="EJ217" s="16"/>
      <c r="EK217" s="17"/>
      <c r="EL217" s="17"/>
      <c r="EM217" s="16"/>
      <c r="EN217" s="16"/>
      <c r="EO217" s="17"/>
      <c r="EP217" s="17"/>
      <c r="EQ217" s="16"/>
      <c r="ER217" s="16"/>
      <c r="ES217" s="17"/>
      <c r="ET217" s="17"/>
      <c r="EU217" s="16"/>
      <c r="EV217" s="16"/>
      <c r="EW217" s="17"/>
      <c r="EX217" s="17"/>
      <c r="EY217" s="16"/>
      <c r="EZ217" s="16"/>
      <c r="FA217" s="17"/>
      <c r="FB217" s="17"/>
      <c r="FC217" s="16"/>
      <c r="FD217" s="16"/>
      <c r="FE217" s="17"/>
      <c r="FF217" s="17"/>
      <c r="FG217" s="11"/>
      <c r="GT217" s="11"/>
      <c r="IG217" s="11"/>
      <c r="JT217" s="11"/>
      <c r="LG217" s="11"/>
      <c r="MT217" s="11"/>
      <c r="OG217" s="11"/>
      <c r="PT217" s="11"/>
    </row>
    <row r="218" spans="3:436" ht="15.75" x14ac:dyDescent="0.25">
      <c r="C218" s="20" t="s">
        <v>234</v>
      </c>
      <c r="D218" s="21" t="s">
        <v>79</v>
      </c>
      <c r="H218" s="11"/>
      <c r="AU218" s="11"/>
      <c r="CH218" s="11"/>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7"/>
      <c r="DF218" s="17"/>
      <c r="DG218" s="16"/>
      <c r="DH218" s="16"/>
      <c r="DI218" s="17"/>
      <c r="DJ218" s="17"/>
      <c r="DK218" s="16"/>
      <c r="DL218" s="16"/>
      <c r="DM218" s="17"/>
      <c r="DN218" s="17"/>
      <c r="DO218" s="16"/>
      <c r="DP218" s="16"/>
      <c r="DQ218" s="17"/>
      <c r="DR218" s="17"/>
      <c r="DS218" s="16"/>
      <c r="DT218" s="16"/>
      <c r="DU218" s="17"/>
      <c r="DV218" s="17"/>
      <c r="DW218" s="16"/>
      <c r="DX218" s="16"/>
      <c r="DY218" s="17"/>
      <c r="DZ218" s="17"/>
      <c r="EA218" s="16"/>
      <c r="EB218" s="16"/>
      <c r="EC218" s="17"/>
      <c r="ED218" s="17"/>
      <c r="EE218" s="16"/>
      <c r="EF218" s="16"/>
      <c r="EG218" s="17"/>
      <c r="EH218" s="17"/>
      <c r="EI218" s="16"/>
      <c r="EJ218" s="16"/>
      <c r="EK218" s="17"/>
      <c r="EL218" s="17"/>
      <c r="EM218" s="16"/>
      <c r="EN218" s="16"/>
      <c r="EO218" s="17"/>
      <c r="EP218" s="17"/>
      <c r="EQ218" s="16"/>
      <c r="ER218" s="16"/>
      <c r="ES218" s="17"/>
      <c r="ET218" s="17"/>
      <c r="EU218" s="16"/>
      <c r="EV218" s="16"/>
      <c r="EW218" s="17"/>
      <c r="EX218" s="17"/>
      <c r="EY218" s="16"/>
      <c r="EZ218" s="16"/>
      <c r="FA218" s="17"/>
      <c r="FB218" s="17"/>
      <c r="FC218" s="16"/>
      <c r="FD218" s="16"/>
      <c r="FE218" s="17"/>
      <c r="FF218" s="17"/>
      <c r="FG218" s="11"/>
      <c r="GT218" s="11"/>
      <c r="IG218" s="11"/>
      <c r="JT218" s="11"/>
      <c r="LG218" s="11"/>
      <c r="MT218" s="11"/>
      <c r="OG218" s="11"/>
      <c r="PT218" s="11"/>
    </row>
    <row r="219" spans="3:436" ht="15.75" x14ac:dyDescent="0.25">
      <c r="C219" s="20" t="s">
        <v>235</v>
      </c>
      <c r="D219" s="21" t="s">
        <v>79</v>
      </c>
      <c r="H219" s="11"/>
      <c r="AU219" s="11"/>
      <c r="CH219" s="11"/>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7"/>
      <c r="DF219" s="17"/>
      <c r="DG219" s="16"/>
      <c r="DH219" s="16"/>
      <c r="DI219" s="17"/>
      <c r="DJ219" s="17"/>
      <c r="DK219" s="16"/>
      <c r="DL219" s="16"/>
      <c r="DM219" s="17"/>
      <c r="DN219" s="17"/>
      <c r="DO219" s="16"/>
      <c r="DP219" s="16"/>
      <c r="DQ219" s="17"/>
      <c r="DR219" s="17"/>
      <c r="DS219" s="16"/>
      <c r="DT219" s="16"/>
      <c r="DU219" s="17"/>
      <c r="DV219" s="17"/>
      <c r="DW219" s="16"/>
      <c r="DX219" s="16"/>
      <c r="DY219" s="17"/>
      <c r="DZ219" s="17"/>
      <c r="EA219" s="16"/>
      <c r="EB219" s="16"/>
      <c r="EC219" s="17"/>
      <c r="ED219" s="17"/>
      <c r="EE219" s="16"/>
      <c r="EF219" s="16"/>
      <c r="EG219" s="17"/>
      <c r="EH219" s="17"/>
      <c r="EI219" s="16"/>
      <c r="EJ219" s="16"/>
      <c r="EK219" s="17"/>
      <c r="EL219" s="17"/>
      <c r="EM219" s="16"/>
      <c r="EN219" s="16"/>
      <c r="EO219" s="17"/>
      <c r="EP219" s="17"/>
      <c r="EQ219" s="16"/>
      <c r="ER219" s="16"/>
      <c r="ES219" s="17"/>
      <c r="ET219" s="17"/>
      <c r="EU219" s="16"/>
      <c r="EV219" s="16"/>
      <c r="EW219" s="17"/>
      <c r="EX219" s="17"/>
      <c r="EY219" s="16"/>
      <c r="EZ219" s="16"/>
      <c r="FA219" s="17"/>
      <c r="FB219" s="17"/>
      <c r="FC219" s="16"/>
      <c r="FD219" s="16"/>
      <c r="FE219" s="17"/>
      <c r="FF219" s="17"/>
      <c r="FG219" s="11"/>
      <c r="GT219" s="11"/>
      <c r="IG219" s="11"/>
      <c r="JT219" s="11"/>
      <c r="LG219" s="11"/>
      <c r="MT219" s="11"/>
      <c r="OG219" s="11"/>
      <c r="PT219" s="11"/>
    </row>
    <row r="220" spans="3:436" ht="15.75" x14ac:dyDescent="0.25">
      <c r="C220" s="20" t="s">
        <v>236</v>
      </c>
      <c r="D220" s="21" t="s">
        <v>159</v>
      </c>
      <c r="H220" s="11"/>
      <c r="AU220" s="11"/>
      <c r="CH220" s="11"/>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7"/>
      <c r="DF220" s="17"/>
      <c r="DG220" s="16"/>
      <c r="DH220" s="16"/>
      <c r="DI220" s="17"/>
      <c r="DJ220" s="17"/>
      <c r="DK220" s="16"/>
      <c r="DL220" s="16"/>
      <c r="DM220" s="17"/>
      <c r="DN220" s="17"/>
      <c r="DO220" s="16"/>
      <c r="DP220" s="16"/>
      <c r="DQ220" s="17"/>
      <c r="DR220" s="17"/>
      <c r="DS220" s="16"/>
      <c r="DT220" s="16"/>
      <c r="DU220" s="17"/>
      <c r="DV220" s="17"/>
      <c r="DW220" s="16"/>
      <c r="DX220" s="16"/>
      <c r="DY220" s="17"/>
      <c r="DZ220" s="17"/>
      <c r="EA220" s="16"/>
      <c r="EB220" s="16"/>
      <c r="EC220" s="17"/>
      <c r="ED220" s="17"/>
      <c r="EE220" s="16"/>
      <c r="EF220" s="16"/>
      <c r="EG220" s="17"/>
      <c r="EH220" s="17"/>
      <c r="EI220" s="16"/>
      <c r="EJ220" s="16"/>
      <c r="EK220" s="17"/>
      <c r="EL220" s="17"/>
      <c r="EM220" s="16"/>
      <c r="EN220" s="16"/>
      <c r="EO220" s="17"/>
      <c r="EP220" s="17"/>
      <c r="EQ220" s="16"/>
      <c r="ER220" s="16"/>
      <c r="ES220" s="17"/>
      <c r="ET220" s="17"/>
      <c r="EU220" s="16"/>
      <c r="EV220" s="16"/>
      <c r="EW220" s="17"/>
      <c r="EX220" s="17"/>
      <c r="EY220" s="16"/>
      <c r="EZ220" s="16"/>
      <c r="FA220" s="17"/>
      <c r="FB220" s="17"/>
      <c r="FC220" s="16"/>
      <c r="FD220" s="16"/>
      <c r="FE220" s="17"/>
      <c r="FF220" s="17"/>
      <c r="FG220" s="11"/>
      <c r="GT220" s="11"/>
      <c r="IG220" s="11"/>
      <c r="JT220" s="11"/>
      <c r="LG220" s="11"/>
      <c r="MT220" s="11"/>
      <c r="OG220" s="11"/>
      <c r="PT220" s="11"/>
    </row>
    <row r="221" spans="3:436" ht="15.75" x14ac:dyDescent="0.25">
      <c r="C221" s="20" t="s">
        <v>247</v>
      </c>
      <c r="D221" s="21" t="s">
        <v>82</v>
      </c>
      <c r="H221" s="11"/>
      <c r="AU221" s="11"/>
      <c r="CH221" s="11"/>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7"/>
      <c r="DF221" s="17"/>
      <c r="DG221" s="16"/>
      <c r="DH221" s="16"/>
      <c r="DI221" s="17"/>
      <c r="DJ221" s="17"/>
      <c r="DK221" s="16"/>
      <c r="DL221" s="16"/>
      <c r="DM221" s="17"/>
      <c r="DN221" s="17"/>
      <c r="DO221" s="16"/>
      <c r="DP221" s="16"/>
      <c r="DQ221" s="17"/>
      <c r="DR221" s="17"/>
      <c r="DS221" s="16"/>
      <c r="DT221" s="16"/>
      <c r="DU221" s="17"/>
      <c r="DV221" s="17"/>
      <c r="DW221" s="16"/>
      <c r="DX221" s="16"/>
      <c r="DY221" s="17"/>
      <c r="DZ221" s="17"/>
      <c r="EA221" s="16"/>
      <c r="EB221" s="16"/>
      <c r="EC221" s="17"/>
      <c r="ED221" s="17"/>
      <c r="EE221" s="16"/>
      <c r="EF221" s="16"/>
      <c r="EG221" s="17"/>
      <c r="EH221" s="17"/>
      <c r="EI221" s="16"/>
      <c r="EJ221" s="16"/>
      <c r="EK221" s="17"/>
      <c r="EL221" s="17"/>
      <c r="EM221" s="16"/>
      <c r="EN221" s="16"/>
      <c r="EO221" s="17"/>
      <c r="EP221" s="17"/>
      <c r="EQ221" s="16"/>
      <c r="ER221" s="16"/>
      <c r="ES221" s="18">
        <v>1</v>
      </c>
      <c r="ET221" s="18">
        <v>2</v>
      </c>
      <c r="EU221" s="16"/>
      <c r="EV221" s="16"/>
      <c r="EW221" s="17"/>
      <c r="EX221" s="17"/>
      <c r="EY221" s="16"/>
      <c r="EZ221" s="16"/>
      <c r="FA221" s="17"/>
      <c r="FB221" s="17"/>
      <c r="FC221" s="16"/>
      <c r="FD221" s="16"/>
      <c r="FE221" s="17"/>
      <c r="FF221" s="17"/>
      <c r="FG221" s="11"/>
      <c r="GT221" s="11"/>
      <c r="IG221" s="11"/>
      <c r="JT221" s="11"/>
      <c r="LG221" s="11"/>
      <c r="MT221" s="11"/>
      <c r="OG221" s="11"/>
      <c r="PT221" s="11"/>
    </row>
    <row r="222" spans="3:436" ht="15.75" x14ac:dyDescent="0.25">
      <c r="C222" s="20" t="s">
        <v>248</v>
      </c>
      <c r="D222" s="21" t="s">
        <v>82</v>
      </c>
      <c r="H222" s="11"/>
      <c r="AU222" s="11"/>
      <c r="CH222" s="11"/>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7"/>
      <c r="DF222" s="17"/>
      <c r="DG222" s="16"/>
      <c r="DH222" s="16"/>
      <c r="DI222" s="17"/>
      <c r="DJ222" s="17"/>
      <c r="DK222" s="16"/>
      <c r="DL222" s="16"/>
      <c r="DM222" s="17"/>
      <c r="DN222" s="17"/>
      <c r="DO222" s="16"/>
      <c r="DP222" s="16"/>
      <c r="DQ222" s="17"/>
      <c r="DR222" s="17"/>
      <c r="DS222" s="16"/>
      <c r="DT222" s="16"/>
      <c r="DU222" s="17"/>
      <c r="DV222" s="17"/>
      <c r="DW222" s="16"/>
      <c r="DX222" s="16"/>
      <c r="DY222" s="17"/>
      <c r="DZ222" s="17"/>
      <c r="EA222" s="16"/>
      <c r="EB222" s="16"/>
      <c r="EC222" s="17"/>
      <c r="ED222" s="17"/>
      <c r="EE222" s="16"/>
      <c r="EF222" s="16"/>
      <c r="EG222" s="17"/>
      <c r="EH222" s="17"/>
      <c r="EI222" s="16"/>
      <c r="EJ222" s="16"/>
      <c r="EK222" s="17"/>
      <c r="EL222" s="17"/>
      <c r="EM222" s="16"/>
      <c r="EN222" s="16"/>
      <c r="EO222" s="17"/>
      <c r="EP222" s="17"/>
      <c r="EQ222" s="16"/>
      <c r="ER222" s="16"/>
      <c r="ES222" s="18">
        <v>2</v>
      </c>
      <c r="ET222" s="18">
        <v>3</v>
      </c>
      <c r="EU222" s="16"/>
      <c r="EV222" s="16"/>
      <c r="EW222" s="17"/>
      <c r="EX222" s="17"/>
      <c r="EY222" s="16"/>
      <c r="EZ222" s="16"/>
      <c r="FA222" s="17"/>
      <c r="FB222" s="17"/>
      <c r="FC222" s="16"/>
      <c r="FD222" s="16"/>
      <c r="FE222" s="17"/>
      <c r="FF222" s="17"/>
      <c r="FG222" s="11"/>
      <c r="GT222" s="11"/>
      <c r="IG222" s="11"/>
      <c r="JT222" s="11"/>
      <c r="LG222" s="11"/>
      <c r="MT222" s="11"/>
      <c r="OG222" s="11"/>
      <c r="PT222" s="11"/>
    </row>
    <row r="223" spans="3:436" ht="15.75" x14ac:dyDescent="0.25">
      <c r="C223" s="20" t="s">
        <v>249</v>
      </c>
      <c r="D223" s="21" t="s">
        <v>82</v>
      </c>
      <c r="H223" s="11"/>
      <c r="AU223" s="11"/>
      <c r="CH223" s="11"/>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7"/>
      <c r="DF223" s="17"/>
      <c r="DG223" s="16"/>
      <c r="DH223" s="16"/>
      <c r="DI223" s="17"/>
      <c r="DJ223" s="17"/>
      <c r="DK223" s="16"/>
      <c r="DL223" s="16"/>
      <c r="DM223" s="17"/>
      <c r="DN223" s="17"/>
      <c r="DO223" s="16"/>
      <c r="DP223" s="16"/>
      <c r="DQ223" s="17"/>
      <c r="DR223" s="17"/>
      <c r="DS223" s="16"/>
      <c r="DT223" s="16"/>
      <c r="DU223" s="17"/>
      <c r="DV223" s="17"/>
      <c r="DW223" s="16"/>
      <c r="DX223" s="16"/>
      <c r="DY223" s="17"/>
      <c r="DZ223" s="17"/>
      <c r="EA223" s="16"/>
      <c r="EB223" s="16"/>
      <c r="EC223" s="17"/>
      <c r="ED223" s="17"/>
      <c r="EE223" s="16"/>
      <c r="EF223" s="16"/>
      <c r="EG223" s="17"/>
      <c r="EH223" s="17"/>
      <c r="EI223" s="16"/>
      <c r="EJ223" s="16"/>
      <c r="EK223" s="17"/>
      <c r="EL223" s="17"/>
      <c r="EM223" s="16"/>
      <c r="EN223" s="16"/>
      <c r="EO223" s="17"/>
      <c r="EP223" s="17"/>
      <c r="EQ223" s="16"/>
      <c r="ER223" s="16"/>
      <c r="ES223" s="18">
        <v>1</v>
      </c>
      <c r="ET223" s="18">
        <v>2</v>
      </c>
      <c r="EU223" s="16"/>
      <c r="EV223" s="16"/>
      <c r="EW223" s="17"/>
      <c r="EX223" s="17"/>
      <c r="EY223" s="16"/>
      <c r="EZ223" s="16"/>
      <c r="FA223" s="17"/>
      <c r="FB223" s="17"/>
      <c r="FC223" s="16"/>
      <c r="FD223" s="16"/>
      <c r="FE223" s="17"/>
      <c r="FF223" s="17"/>
      <c r="FG223" s="11"/>
      <c r="GT223" s="11"/>
      <c r="IG223" s="11"/>
      <c r="JT223" s="11"/>
      <c r="LG223" s="11"/>
      <c r="MT223" s="11"/>
      <c r="OG223" s="11"/>
      <c r="PT223" s="11"/>
    </row>
    <row r="224" spans="3:436" ht="15.75" x14ac:dyDescent="0.25">
      <c r="C224" s="20" t="s">
        <v>250</v>
      </c>
      <c r="D224" s="21" t="s">
        <v>82</v>
      </c>
      <c r="H224" s="11"/>
      <c r="AU224" s="11"/>
      <c r="CH224" s="11"/>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7"/>
      <c r="DF224" s="17"/>
      <c r="DG224" s="16"/>
      <c r="DH224" s="16"/>
      <c r="DI224" s="17"/>
      <c r="DJ224" s="17"/>
      <c r="DK224" s="16"/>
      <c r="DL224" s="16"/>
      <c r="DM224" s="17"/>
      <c r="DN224" s="17"/>
      <c r="DO224" s="16"/>
      <c r="DP224" s="16"/>
      <c r="DQ224" s="17"/>
      <c r="DR224" s="17"/>
      <c r="DS224" s="16"/>
      <c r="DT224" s="16"/>
      <c r="DU224" s="17"/>
      <c r="DV224" s="17"/>
      <c r="DW224" s="16"/>
      <c r="DX224" s="16"/>
      <c r="DY224" s="17"/>
      <c r="DZ224" s="17"/>
      <c r="EA224" s="16"/>
      <c r="EB224" s="16"/>
      <c r="EC224" s="17"/>
      <c r="ED224" s="17"/>
      <c r="EE224" s="16"/>
      <c r="EF224" s="16"/>
      <c r="EG224" s="17"/>
      <c r="EH224" s="17"/>
      <c r="EI224" s="16"/>
      <c r="EJ224" s="16"/>
      <c r="EK224" s="17"/>
      <c r="EL224" s="17"/>
      <c r="EM224" s="16"/>
      <c r="EN224" s="16"/>
      <c r="EO224" s="17"/>
      <c r="EP224" s="17"/>
      <c r="EQ224" s="16"/>
      <c r="ER224" s="16"/>
      <c r="ES224" s="18">
        <v>1</v>
      </c>
      <c r="ET224" s="18">
        <v>2</v>
      </c>
      <c r="EU224" s="16"/>
      <c r="EV224" s="16"/>
      <c r="EW224" s="17"/>
      <c r="EX224" s="17"/>
      <c r="EY224" s="16"/>
      <c r="EZ224" s="16"/>
      <c r="FA224" s="17"/>
      <c r="FB224" s="17"/>
      <c r="FC224" s="16"/>
      <c r="FD224" s="16"/>
      <c r="FE224" s="17"/>
      <c r="FF224" s="17"/>
      <c r="FG224" s="11"/>
      <c r="GT224" s="11"/>
      <c r="IG224" s="11"/>
      <c r="JT224" s="11"/>
      <c r="LG224" s="11"/>
      <c r="MT224" s="11"/>
      <c r="OG224" s="11"/>
      <c r="PT224" s="11"/>
    </row>
    <row r="225" spans="1:436" ht="25.5" x14ac:dyDescent="0.25">
      <c r="C225" s="20" t="s">
        <v>251</v>
      </c>
      <c r="D225" s="21" t="s">
        <v>82</v>
      </c>
      <c r="H225" s="11"/>
      <c r="AU225" s="11"/>
      <c r="CH225" s="11"/>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7"/>
      <c r="DF225" s="17"/>
      <c r="DG225" s="16"/>
      <c r="DH225" s="16"/>
      <c r="DI225" s="17"/>
      <c r="DJ225" s="17"/>
      <c r="DK225" s="16"/>
      <c r="DL225" s="16"/>
      <c r="DM225" s="17"/>
      <c r="DN225" s="17"/>
      <c r="DO225" s="16"/>
      <c r="DP225" s="16"/>
      <c r="DQ225" s="17"/>
      <c r="DR225" s="17"/>
      <c r="DS225" s="16"/>
      <c r="DT225" s="16"/>
      <c r="DU225" s="17"/>
      <c r="DV225" s="17"/>
      <c r="DW225" s="16"/>
      <c r="DX225" s="16"/>
      <c r="DY225" s="17"/>
      <c r="DZ225" s="17"/>
      <c r="EA225" s="16"/>
      <c r="EB225" s="16"/>
      <c r="EC225" s="17"/>
      <c r="ED225" s="17"/>
      <c r="EE225" s="16"/>
      <c r="EF225" s="16"/>
      <c r="EG225" s="17"/>
      <c r="EH225" s="17"/>
      <c r="EI225" s="16"/>
      <c r="EJ225" s="16"/>
      <c r="EK225" s="17"/>
      <c r="EL225" s="17"/>
      <c r="EM225" s="16"/>
      <c r="EN225" s="16"/>
      <c r="EO225" s="17"/>
      <c r="EP225" s="17"/>
      <c r="EQ225" s="16"/>
      <c r="ER225" s="16"/>
      <c r="ES225" s="18">
        <v>1</v>
      </c>
      <c r="ET225" s="18">
        <v>1</v>
      </c>
      <c r="EU225" s="16"/>
      <c r="EV225" s="16"/>
      <c r="EW225" s="17"/>
      <c r="EX225" s="17"/>
      <c r="EY225" s="16"/>
      <c r="EZ225" s="16"/>
      <c r="FA225" s="17"/>
      <c r="FB225" s="17"/>
      <c r="FC225" s="16"/>
      <c r="FD225" s="16"/>
      <c r="FE225" s="17"/>
      <c r="FF225" s="17"/>
      <c r="FG225" s="11"/>
      <c r="GT225" s="11"/>
      <c r="IG225" s="11"/>
      <c r="JT225" s="11"/>
      <c r="LG225" s="11"/>
      <c r="MT225" s="11"/>
      <c r="OG225" s="11"/>
      <c r="PT225" s="11"/>
    </row>
    <row r="226" spans="1:436" ht="15.75" x14ac:dyDescent="0.25">
      <c r="C226" s="20" t="s">
        <v>239</v>
      </c>
      <c r="D226" s="21" t="s">
        <v>136</v>
      </c>
      <c r="H226" s="11"/>
      <c r="AU226" s="11"/>
      <c r="CH226" s="11"/>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7"/>
      <c r="DF226" s="17"/>
      <c r="DG226" s="16"/>
      <c r="DH226" s="16"/>
      <c r="DI226" s="17"/>
      <c r="DJ226" s="17"/>
      <c r="DK226" s="16"/>
      <c r="DL226" s="16"/>
      <c r="DM226" s="17"/>
      <c r="DN226" s="17"/>
      <c r="DO226" s="16"/>
      <c r="DP226" s="16"/>
      <c r="DQ226" s="17"/>
      <c r="DR226" s="17"/>
      <c r="DS226" s="16"/>
      <c r="DT226" s="16"/>
      <c r="DU226" s="17"/>
      <c r="DV226" s="17"/>
      <c r="DW226" s="16"/>
      <c r="DX226" s="16"/>
      <c r="DY226" s="17"/>
      <c r="DZ226" s="17"/>
      <c r="EA226" s="16"/>
      <c r="EB226" s="16"/>
      <c r="EC226" s="17"/>
      <c r="ED226" s="17"/>
      <c r="EE226" s="16"/>
      <c r="EF226" s="16"/>
      <c r="EG226" s="17"/>
      <c r="EH226" s="17"/>
      <c r="EI226" s="16"/>
      <c r="EJ226" s="16"/>
      <c r="EK226" s="17"/>
      <c r="EL226" s="17"/>
      <c r="EM226" s="16"/>
      <c r="EN226" s="16"/>
      <c r="EO226" s="17"/>
      <c r="EP226" s="17"/>
      <c r="EQ226" s="16"/>
      <c r="ER226" s="16"/>
      <c r="ES226" s="17"/>
      <c r="ET226" s="17"/>
      <c r="EU226" s="16"/>
      <c r="EV226" s="16"/>
      <c r="EW226" s="17"/>
      <c r="EX226" s="17"/>
      <c r="EY226" s="16"/>
      <c r="EZ226" s="16"/>
      <c r="FA226" s="17"/>
      <c r="FB226" s="17"/>
      <c r="FC226" s="16"/>
      <c r="FD226" s="16"/>
      <c r="FE226" s="17"/>
      <c r="FF226" s="17"/>
      <c r="FG226" s="11"/>
      <c r="GT226" s="11"/>
      <c r="IG226" s="11"/>
      <c r="JT226" s="11"/>
      <c r="LG226" s="11"/>
      <c r="MT226" s="11"/>
      <c r="OG226" s="11"/>
      <c r="PT226" s="11"/>
    </row>
    <row r="227" spans="1:436" ht="15.75" x14ac:dyDescent="0.25">
      <c r="C227" s="20" t="s">
        <v>240</v>
      </c>
      <c r="D227" s="21" t="s">
        <v>142</v>
      </c>
      <c r="H227" s="11"/>
      <c r="AU227" s="11"/>
      <c r="CH227" s="11"/>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7"/>
      <c r="DF227" s="17"/>
      <c r="DG227" s="16"/>
      <c r="DH227" s="16"/>
      <c r="DI227" s="17"/>
      <c r="DJ227" s="17"/>
      <c r="DK227" s="16"/>
      <c r="DL227" s="16"/>
      <c r="DM227" s="17"/>
      <c r="DN227" s="17"/>
      <c r="DO227" s="16"/>
      <c r="DP227" s="16"/>
      <c r="DQ227" s="17"/>
      <c r="DR227" s="17"/>
      <c r="DS227" s="16"/>
      <c r="DT227" s="16"/>
      <c r="DU227" s="17"/>
      <c r="DV227" s="17"/>
      <c r="DW227" s="16"/>
      <c r="DX227" s="16"/>
      <c r="DY227" s="17"/>
      <c r="DZ227" s="17"/>
      <c r="EA227" s="16"/>
      <c r="EB227" s="16"/>
      <c r="EC227" s="17"/>
      <c r="ED227" s="17"/>
      <c r="EE227" s="16"/>
      <c r="EF227" s="16"/>
      <c r="EG227" s="17"/>
      <c r="EH227" s="17"/>
      <c r="EI227" s="16"/>
      <c r="EJ227" s="16"/>
      <c r="EK227" s="17"/>
      <c r="EL227" s="17"/>
      <c r="EM227" s="16"/>
      <c r="EN227" s="16"/>
      <c r="EO227" s="17"/>
      <c r="EP227" s="17"/>
      <c r="EQ227" s="16"/>
      <c r="ER227" s="16"/>
      <c r="ES227" s="17"/>
      <c r="ET227" s="17"/>
      <c r="EU227" s="16"/>
      <c r="EV227" s="16"/>
      <c r="EW227" s="17"/>
      <c r="EX227" s="17"/>
      <c r="EY227" s="16"/>
      <c r="EZ227" s="16"/>
      <c r="FA227" s="17"/>
      <c r="FB227" s="17"/>
      <c r="FC227" s="16"/>
      <c r="FD227" s="16"/>
      <c r="FE227" s="17"/>
      <c r="FF227" s="17"/>
      <c r="FG227" s="11"/>
      <c r="GT227" s="11"/>
      <c r="IG227" s="11"/>
      <c r="JT227" s="11"/>
      <c r="LG227" s="11"/>
      <c r="MT227" s="11"/>
      <c r="OG227" s="11"/>
      <c r="PT227" s="11"/>
    </row>
    <row r="228" spans="1:436" ht="15.75" x14ac:dyDescent="0.25">
      <c r="C228" s="20" t="s">
        <v>241</v>
      </c>
      <c r="D228" s="21" t="s">
        <v>104</v>
      </c>
      <c r="H228" s="11"/>
      <c r="AU228" s="11"/>
      <c r="CH228" s="11"/>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7"/>
      <c r="DF228" s="17"/>
      <c r="DG228" s="16"/>
      <c r="DH228" s="16"/>
      <c r="DI228" s="17"/>
      <c r="DJ228" s="17"/>
      <c r="DK228" s="16"/>
      <c r="DL228" s="16"/>
      <c r="DM228" s="17"/>
      <c r="DN228" s="17"/>
      <c r="DO228" s="16"/>
      <c r="DP228" s="16"/>
      <c r="DQ228" s="17"/>
      <c r="DR228" s="17"/>
      <c r="DS228" s="16"/>
      <c r="DT228" s="16"/>
      <c r="DU228" s="17"/>
      <c r="DV228" s="17"/>
      <c r="DW228" s="16"/>
      <c r="DX228" s="16"/>
      <c r="DY228" s="17"/>
      <c r="DZ228" s="17"/>
      <c r="EA228" s="16"/>
      <c r="EB228" s="16"/>
      <c r="EC228" s="17"/>
      <c r="ED228" s="17"/>
      <c r="EE228" s="16"/>
      <c r="EF228" s="16"/>
      <c r="EG228" s="17"/>
      <c r="EH228" s="17"/>
      <c r="EI228" s="16"/>
      <c r="EJ228" s="16"/>
      <c r="EK228" s="17"/>
      <c r="EL228" s="17"/>
      <c r="EM228" s="16"/>
      <c r="EN228" s="16"/>
      <c r="EO228" s="17"/>
      <c r="EP228" s="17"/>
      <c r="EQ228" s="16"/>
      <c r="ER228" s="16"/>
      <c r="ES228" s="17"/>
      <c r="ET228" s="17"/>
      <c r="EU228" s="16"/>
      <c r="EV228" s="16"/>
      <c r="EW228" s="17"/>
      <c r="EX228" s="17"/>
      <c r="EY228" s="16"/>
      <c r="EZ228" s="16"/>
      <c r="FA228" s="17"/>
      <c r="FB228" s="17"/>
      <c r="FC228" s="16"/>
      <c r="FD228" s="16"/>
      <c r="FE228" s="17"/>
      <c r="FF228" s="17"/>
      <c r="FG228" s="11"/>
      <c r="GT228" s="11"/>
      <c r="IG228" s="11"/>
      <c r="JT228" s="11"/>
      <c r="LG228" s="11"/>
      <c r="MT228" s="11"/>
      <c r="OG228" s="11"/>
      <c r="PT228" s="11"/>
    </row>
    <row r="229" spans="1:436" ht="15.75" x14ac:dyDescent="0.25">
      <c r="C229" s="20" t="s">
        <v>242</v>
      </c>
      <c r="D229" s="21" t="s">
        <v>90</v>
      </c>
      <c r="H229" s="11"/>
      <c r="AU229" s="11"/>
      <c r="CH229" s="11"/>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7"/>
      <c r="DF229" s="17"/>
      <c r="DG229" s="16"/>
      <c r="DH229" s="16"/>
      <c r="DI229" s="17"/>
      <c r="DJ229" s="17"/>
      <c r="DK229" s="16"/>
      <c r="DL229" s="16"/>
      <c r="DM229" s="17"/>
      <c r="DN229" s="17"/>
      <c r="DO229" s="16"/>
      <c r="DP229" s="16"/>
      <c r="DQ229" s="17"/>
      <c r="DR229" s="17"/>
      <c r="DS229" s="16"/>
      <c r="DT229" s="16"/>
      <c r="DU229" s="17"/>
      <c r="DV229" s="17"/>
      <c r="DW229" s="16"/>
      <c r="DX229" s="16"/>
      <c r="DY229" s="17"/>
      <c r="DZ229" s="17"/>
      <c r="EA229" s="16"/>
      <c r="EB229" s="16"/>
      <c r="EC229" s="17"/>
      <c r="ED229" s="17"/>
      <c r="EE229" s="16"/>
      <c r="EF229" s="16"/>
      <c r="EG229" s="17"/>
      <c r="EH229" s="17"/>
      <c r="EI229" s="16"/>
      <c r="EJ229" s="16"/>
      <c r="EK229" s="17"/>
      <c r="EL229" s="17"/>
      <c r="EM229" s="16"/>
      <c r="EN229" s="16"/>
      <c r="EO229" s="17"/>
      <c r="EP229" s="17"/>
      <c r="EQ229" s="16"/>
      <c r="ER229" s="16"/>
      <c r="ES229" s="17"/>
      <c r="ET229" s="17"/>
      <c r="EU229" s="16"/>
      <c r="EV229" s="16"/>
      <c r="EW229" s="17"/>
      <c r="EX229" s="17"/>
      <c r="EY229" s="16"/>
      <c r="EZ229" s="16"/>
      <c r="FA229" s="17"/>
      <c r="FB229" s="17"/>
      <c r="FC229" s="16"/>
      <c r="FD229" s="16"/>
      <c r="FE229" s="17"/>
      <c r="FF229" s="17"/>
      <c r="FG229" s="11"/>
      <c r="GT229" s="11"/>
      <c r="IG229" s="11"/>
      <c r="JT229" s="11"/>
      <c r="LG229" s="11"/>
      <c r="MT229" s="11"/>
      <c r="OG229" s="11"/>
      <c r="PT229" s="11"/>
    </row>
    <row r="230" spans="1:436" ht="15.75" x14ac:dyDescent="0.25">
      <c r="C230" s="20" t="s">
        <v>252</v>
      </c>
      <c r="D230" s="21" t="s">
        <v>142</v>
      </c>
      <c r="H230" s="11"/>
      <c r="AU230" s="11"/>
      <c r="CH230" s="11"/>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7"/>
      <c r="DF230" s="17"/>
      <c r="DG230" s="16"/>
      <c r="DH230" s="16"/>
      <c r="DI230" s="17"/>
      <c r="DJ230" s="17"/>
      <c r="DK230" s="16"/>
      <c r="DL230" s="16"/>
      <c r="DM230" s="17"/>
      <c r="DN230" s="17"/>
      <c r="DO230" s="16"/>
      <c r="DP230" s="16"/>
      <c r="DQ230" s="17"/>
      <c r="DR230" s="17"/>
      <c r="DS230" s="16"/>
      <c r="DT230" s="16"/>
      <c r="DU230" s="17"/>
      <c r="DV230" s="17"/>
      <c r="DW230" s="16"/>
      <c r="DX230" s="16"/>
      <c r="DY230" s="17"/>
      <c r="DZ230" s="17"/>
      <c r="EA230" s="16"/>
      <c r="EB230" s="16"/>
      <c r="EC230" s="17"/>
      <c r="ED230" s="17"/>
      <c r="EE230" s="16"/>
      <c r="EF230" s="16"/>
      <c r="EG230" s="17"/>
      <c r="EH230" s="17"/>
      <c r="EI230" s="16"/>
      <c r="EJ230" s="16"/>
      <c r="EK230" s="17"/>
      <c r="EL230" s="17"/>
      <c r="EM230" s="16"/>
      <c r="EN230" s="16"/>
      <c r="EO230" s="17"/>
      <c r="EP230" s="17"/>
      <c r="EQ230" s="16"/>
      <c r="ER230" s="16"/>
      <c r="ES230" s="17"/>
      <c r="ET230" s="17"/>
      <c r="EU230" s="16"/>
      <c r="EV230" s="16"/>
      <c r="EW230" s="17"/>
      <c r="EX230" s="17"/>
      <c r="EY230" s="16"/>
      <c r="EZ230" s="16"/>
      <c r="FA230" s="17"/>
      <c r="FB230" s="17"/>
      <c r="FC230" s="16"/>
      <c r="FD230" s="16"/>
      <c r="FE230" s="17"/>
      <c r="FF230" s="17"/>
      <c r="FG230" s="11"/>
      <c r="GT230" s="11"/>
      <c r="IG230" s="11"/>
      <c r="JT230" s="11"/>
      <c r="LG230" s="11"/>
      <c r="MT230" s="11"/>
      <c r="OG230" s="11"/>
      <c r="PT230" s="11"/>
    </row>
    <row r="231" spans="1:436" ht="15.75" x14ac:dyDescent="0.25">
      <c r="C231" s="20" t="s">
        <v>253</v>
      </c>
      <c r="D231" s="21" t="s">
        <v>159</v>
      </c>
      <c r="H231" s="11"/>
      <c r="AU231" s="11"/>
      <c r="CH231" s="11"/>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7"/>
      <c r="DF231" s="17"/>
      <c r="DG231" s="16"/>
      <c r="DH231" s="16"/>
      <c r="DI231" s="17"/>
      <c r="DJ231" s="17"/>
      <c r="DK231" s="16"/>
      <c r="DL231" s="16"/>
      <c r="DM231" s="17"/>
      <c r="DN231" s="17"/>
      <c r="DO231" s="16"/>
      <c r="DP231" s="16"/>
      <c r="DQ231" s="17"/>
      <c r="DR231" s="17"/>
      <c r="DS231" s="16"/>
      <c r="DT231" s="16"/>
      <c r="DU231" s="17"/>
      <c r="DV231" s="17"/>
      <c r="DW231" s="16"/>
      <c r="DX231" s="16"/>
      <c r="DY231" s="17"/>
      <c r="DZ231" s="17"/>
      <c r="EA231" s="16"/>
      <c r="EB231" s="16"/>
      <c r="EC231" s="17"/>
      <c r="ED231" s="17"/>
      <c r="EE231" s="16"/>
      <c r="EF231" s="16"/>
      <c r="EG231" s="17"/>
      <c r="EH231" s="17"/>
      <c r="EI231" s="16"/>
      <c r="EJ231" s="16"/>
      <c r="EK231" s="17"/>
      <c r="EL231" s="17"/>
      <c r="EM231" s="16"/>
      <c r="EN231" s="16"/>
      <c r="EO231" s="17"/>
      <c r="EP231" s="17"/>
      <c r="EQ231" s="16"/>
      <c r="ER231" s="16"/>
      <c r="ES231" s="17"/>
      <c r="ET231" s="17"/>
      <c r="EU231" s="16"/>
      <c r="EV231" s="16"/>
      <c r="EW231" s="17"/>
      <c r="EX231" s="17"/>
      <c r="EY231" s="16"/>
      <c r="EZ231" s="16"/>
      <c r="FA231" s="17"/>
      <c r="FB231" s="17"/>
      <c r="FC231" s="16"/>
      <c r="FD231" s="16"/>
      <c r="FE231" s="17"/>
      <c r="FF231" s="17"/>
      <c r="FG231" s="11"/>
      <c r="GT231" s="11"/>
      <c r="IG231" s="11"/>
      <c r="JT231" s="11"/>
      <c r="LG231" s="11"/>
      <c r="MT231" s="11"/>
      <c r="OG231" s="11"/>
      <c r="PT231" s="11"/>
    </row>
    <row r="232" spans="1:436" ht="15.75" x14ac:dyDescent="0.25">
      <c r="A232" s="13"/>
      <c r="B232" s="14" t="s">
        <v>254</v>
      </c>
      <c r="C232" s="13"/>
      <c r="D232" s="13"/>
      <c r="E232" s="15" t="s">
        <v>127</v>
      </c>
      <c r="F232" s="15" t="s">
        <v>177</v>
      </c>
      <c r="G232" s="13"/>
      <c r="H232" s="11"/>
      <c r="AU232" s="11"/>
      <c r="CH232" s="11"/>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7"/>
      <c r="DF232" s="17"/>
      <c r="DG232" s="16"/>
      <c r="DH232" s="16"/>
      <c r="DI232" s="17"/>
      <c r="DJ232" s="17"/>
      <c r="DK232" s="16"/>
      <c r="DL232" s="16"/>
      <c r="DM232" s="17"/>
      <c r="DN232" s="17"/>
      <c r="DO232" s="16"/>
      <c r="DP232" s="16"/>
      <c r="DQ232" s="17"/>
      <c r="DR232" s="17"/>
      <c r="DS232" s="16"/>
      <c r="DT232" s="16"/>
      <c r="DU232" s="17"/>
      <c r="DV232" s="17"/>
      <c r="DW232" s="16"/>
      <c r="DX232" s="16"/>
      <c r="DY232" s="17"/>
      <c r="DZ232" s="17"/>
      <c r="EA232" s="16"/>
      <c r="EB232" s="16"/>
      <c r="EC232" s="17"/>
      <c r="ED232" s="17"/>
      <c r="EE232" s="16"/>
      <c r="EF232" s="16"/>
      <c r="EG232" s="17"/>
      <c r="EH232" s="17"/>
      <c r="EI232" s="16"/>
      <c r="EJ232" s="16"/>
      <c r="EK232" s="17"/>
      <c r="EL232" s="17"/>
      <c r="EM232" s="16"/>
      <c r="EN232" s="16"/>
      <c r="EO232" s="17"/>
      <c r="EP232" s="17"/>
      <c r="EQ232" s="16"/>
      <c r="ER232" s="16"/>
      <c r="ES232" s="17"/>
      <c r="ET232" s="17"/>
      <c r="EU232" s="16"/>
      <c r="EV232" s="16"/>
      <c r="EW232" s="17"/>
      <c r="EX232" s="17"/>
      <c r="EY232" s="16"/>
      <c r="EZ232" s="16"/>
      <c r="FA232" s="17"/>
      <c r="FB232" s="17"/>
      <c r="FC232" s="16"/>
      <c r="FD232" s="16"/>
      <c r="FE232" s="17"/>
      <c r="FF232" s="17"/>
      <c r="FG232" s="11"/>
      <c r="GT232" s="11"/>
      <c r="IG232" s="11"/>
      <c r="JT232" s="11"/>
      <c r="LG232" s="11"/>
      <c r="MT232" s="11"/>
      <c r="OG232" s="11"/>
      <c r="PT232" s="11"/>
    </row>
    <row r="233" spans="1:436" ht="15.75" x14ac:dyDescent="0.25">
      <c r="A233" s="13"/>
      <c r="B233" s="14" t="s">
        <v>255</v>
      </c>
      <c r="C233" s="13"/>
      <c r="D233" s="13"/>
      <c r="E233" s="15" t="s">
        <v>127</v>
      </c>
      <c r="F233" s="15" t="s">
        <v>177</v>
      </c>
      <c r="G233" s="13"/>
      <c r="H233" s="11"/>
      <c r="AU233" s="11"/>
      <c r="CH233" s="11"/>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7"/>
      <c r="DF233" s="17"/>
      <c r="DG233" s="16"/>
      <c r="DH233" s="16"/>
      <c r="DI233" s="17"/>
      <c r="DJ233" s="17"/>
      <c r="DK233" s="16"/>
      <c r="DL233" s="16"/>
      <c r="DM233" s="17"/>
      <c r="DN233" s="17"/>
      <c r="DO233" s="16"/>
      <c r="DP233" s="16"/>
      <c r="DQ233" s="17"/>
      <c r="DR233" s="17"/>
      <c r="DS233" s="16"/>
      <c r="DT233" s="16"/>
      <c r="DU233" s="17"/>
      <c r="DV233" s="17"/>
      <c r="DW233" s="16"/>
      <c r="DX233" s="16"/>
      <c r="DY233" s="17"/>
      <c r="DZ233" s="17"/>
      <c r="EA233" s="16"/>
      <c r="EB233" s="16"/>
      <c r="EC233" s="17"/>
      <c r="ED233" s="17"/>
      <c r="EE233" s="16"/>
      <c r="EF233" s="16"/>
      <c r="EG233" s="17"/>
      <c r="EH233" s="17"/>
      <c r="EI233" s="16"/>
      <c r="EJ233" s="16"/>
      <c r="EK233" s="17"/>
      <c r="EL233" s="17"/>
      <c r="EM233" s="16"/>
      <c r="EN233" s="16"/>
      <c r="EO233" s="17"/>
      <c r="EP233" s="17"/>
      <c r="EQ233" s="16"/>
      <c r="ER233" s="16"/>
      <c r="ES233" s="17"/>
      <c r="ET233" s="17"/>
      <c r="EU233" s="16"/>
      <c r="EV233" s="16"/>
      <c r="EW233" s="17"/>
      <c r="EX233" s="17"/>
      <c r="EY233" s="16"/>
      <c r="EZ233" s="16"/>
      <c r="FA233" s="17"/>
      <c r="FB233" s="17"/>
      <c r="FC233" s="16"/>
      <c r="FD233" s="16"/>
      <c r="FE233" s="17"/>
      <c r="FF233" s="17"/>
      <c r="FG233" s="11"/>
      <c r="GT233" s="11"/>
      <c r="IG233" s="11"/>
      <c r="JT233" s="11"/>
      <c r="LG233" s="11"/>
      <c r="MT233" s="11"/>
      <c r="OG233" s="11"/>
      <c r="PT233" s="11"/>
    </row>
    <row r="234" spans="1:436" ht="15.75" x14ac:dyDescent="0.25">
      <c r="A234" s="13"/>
      <c r="B234" s="14" t="s">
        <v>256</v>
      </c>
      <c r="C234" s="13"/>
      <c r="D234" s="13"/>
      <c r="E234" s="15" t="s">
        <v>127</v>
      </c>
      <c r="F234" s="15" t="s">
        <v>177</v>
      </c>
      <c r="G234" s="13"/>
      <c r="H234" s="11"/>
      <c r="AU234" s="11"/>
      <c r="CH234" s="11"/>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7"/>
      <c r="DF234" s="17"/>
      <c r="DG234" s="16"/>
      <c r="DH234" s="16"/>
      <c r="DI234" s="17"/>
      <c r="DJ234" s="17"/>
      <c r="DK234" s="16"/>
      <c r="DL234" s="16"/>
      <c r="DM234" s="17"/>
      <c r="DN234" s="17"/>
      <c r="DO234" s="16"/>
      <c r="DP234" s="16"/>
      <c r="DQ234" s="17"/>
      <c r="DR234" s="17"/>
      <c r="DS234" s="16"/>
      <c r="DT234" s="16"/>
      <c r="DU234" s="17"/>
      <c r="DV234" s="17"/>
      <c r="DW234" s="16"/>
      <c r="DX234" s="16"/>
      <c r="DY234" s="17"/>
      <c r="DZ234" s="17"/>
      <c r="EA234" s="16"/>
      <c r="EB234" s="16"/>
      <c r="EC234" s="17"/>
      <c r="ED234" s="17"/>
      <c r="EE234" s="16"/>
      <c r="EF234" s="16"/>
      <c r="EG234" s="17"/>
      <c r="EH234" s="17"/>
      <c r="EI234" s="16"/>
      <c r="EJ234" s="16"/>
      <c r="EK234" s="17"/>
      <c r="EL234" s="17"/>
      <c r="EM234" s="16"/>
      <c r="EN234" s="16"/>
      <c r="EO234" s="17"/>
      <c r="EP234" s="17"/>
      <c r="EQ234" s="16"/>
      <c r="ER234" s="16"/>
      <c r="ES234" s="17"/>
      <c r="ET234" s="17"/>
      <c r="EU234" s="16"/>
      <c r="EV234" s="16"/>
      <c r="EW234" s="17"/>
      <c r="EX234" s="17"/>
      <c r="EY234" s="16"/>
      <c r="EZ234" s="16"/>
      <c r="FA234" s="17"/>
      <c r="FB234" s="17"/>
      <c r="FC234" s="16"/>
      <c r="FD234" s="16"/>
      <c r="FE234" s="17"/>
      <c r="FF234" s="17"/>
      <c r="FG234" s="11"/>
      <c r="GT234" s="11"/>
      <c r="IG234" s="11"/>
      <c r="JT234" s="11"/>
      <c r="LG234" s="11"/>
      <c r="MT234" s="11"/>
      <c r="OG234" s="11"/>
      <c r="PT234" s="11"/>
    </row>
    <row r="235" spans="1:436" ht="15.75" x14ac:dyDescent="0.25">
      <c r="A235" s="13"/>
      <c r="B235" s="14" t="s">
        <v>257</v>
      </c>
      <c r="C235" s="13"/>
      <c r="D235" s="13"/>
      <c r="E235" s="15" t="s">
        <v>127</v>
      </c>
      <c r="F235" s="15" t="s">
        <v>177</v>
      </c>
      <c r="G235" s="13"/>
      <c r="H235" s="11"/>
      <c r="AU235" s="11"/>
      <c r="CH235" s="11"/>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7"/>
      <c r="DF235" s="17"/>
      <c r="DG235" s="16"/>
      <c r="DH235" s="16"/>
      <c r="DI235" s="17"/>
      <c r="DJ235" s="17"/>
      <c r="DK235" s="16"/>
      <c r="DL235" s="16"/>
      <c r="DM235" s="17"/>
      <c r="DN235" s="17"/>
      <c r="DO235" s="16"/>
      <c r="DP235" s="16"/>
      <c r="DQ235" s="17"/>
      <c r="DR235" s="17"/>
      <c r="DS235" s="16"/>
      <c r="DT235" s="16"/>
      <c r="DU235" s="17"/>
      <c r="DV235" s="17"/>
      <c r="DW235" s="16"/>
      <c r="DX235" s="16"/>
      <c r="DY235" s="17"/>
      <c r="DZ235" s="17"/>
      <c r="EA235" s="16"/>
      <c r="EB235" s="16"/>
      <c r="EC235" s="17"/>
      <c r="ED235" s="17"/>
      <c r="EE235" s="16"/>
      <c r="EF235" s="16"/>
      <c r="EG235" s="17"/>
      <c r="EH235" s="17"/>
      <c r="EI235" s="16"/>
      <c r="EJ235" s="16"/>
      <c r="EK235" s="17"/>
      <c r="EL235" s="17"/>
      <c r="EM235" s="16"/>
      <c r="EN235" s="16"/>
      <c r="EO235" s="17"/>
      <c r="EP235" s="17"/>
      <c r="EQ235" s="16"/>
      <c r="ER235" s="16"/>
      <c r="ES235" s="17"/>
      <c r="ET235" s="17"/>
      <c r="EU235" s="16"/>
      <c r="EV235" s="16"/>
      <c r="EW235" s="17"/>
      <c r="EX235" s="17"/>
      <c r="EY235" s="16"/>
      <c r="EZ235" s="16"/>
      <c r="FA235" s="17"/>
      <c r="FB235" s="17"/>
      <c r="FC235" s="16"/>
      <c r="FD235" s="16"/>
      <c r="FE235" s="17"/>
      <c r="FF235" s="17"/>
      <c r="FG235" s="11"/>
      <c r="GT235" s="11"/>
      <c r="IG235" s="11"/>
      <c r="JT235" s="11"/>
      <c r="LG235" s="11"/>
      <c r="MT235" s="11"/>
      <c r="OG235" s="11"/>
      <c r="PT235" s="11"/>
    </row>
    <row r="236" spans="1:436" ht="15.75" x14ac:dyDescent="0.25">
      <c r="A236" s="13"/>
      <c r="B236" s="14" t="s">
        <v>258</v>
      </c>
      <c r="C236" s="13"/>
      <c r="D236" s="13"/>
      <c r="E236" s="15" t="s">
        <v>127</v>
      </c>
      <c r="F236" s="15" t="s">
        <v>177</v>
      </c>
      <c r="G236" s="13"/>
      <c r="H236" s="11"/>
      <c r="AU236" s="11"/>
      <c r="CH236" s="11"/>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7"/>
      <c r="DF236" s="17"/>
      <c r="DG236" s="16"/>
      <c r="DH236" s="16"/>
      <c r="DI236" s="17"/>
      <c r="DJ236" s="17"/>
      <c r="DK236" s="16"/>
      <c r="DL236" s="16"/>
      <c r="DM236" s="17"/>
      <c r="DN236" s="17"/>
      <c r="DO236" s="16"/>
      <c r="DP236" s="16"/>
      <c r="DQ236" s="17"/>
      <c r="DR236" s="17"/>
      <c r="DS236" s="16"/>
      <c r="DT236" s="16"/>
      <c r="DU236" s="17"/>
      <c r="DV236" s="17"/>
      <c r="DW236" s="16"/>
      <c r="DX236" s="16"/>
      <c r="DY236" s="17"/>
      <c r="DZ236" s="17"/>
      <c r="EA236" s="16"/>
      <c r="EB236" s="16"/>
      <c r="EC236" s="17"/>
      <c r="ED236" s="17"/>
      <c r="EE236" s="16"/>
      <c r="EF236" s="16"/>
      <c r="EG236" s="17"/>
      <c r="EH236" s="17"/>
      <c r="EI236" s="16"/>
      <c r="EJ236" s="16"/>
      <c r="EK236" s="17"/>
      <c r="EL236" s="17"/>
      <c r="EM236" s="16"/>
      <c r="EN236" s="16"/>
      <c r="EO236" s="17"/>
      <c r="EP236" s="17"/>
      <c r="EQ236" s="16"/>
      <c r="ER236" s="16"/>
      <c r="ES236" s="17"/>
      <c r="ET236" s="17"/>
      <c r="EU236" s="16"/>
      <c r="EV236" s="16"/>
      <c r="EW236" s="17"/>
      <c r="EX236" s="17"/>
      <c r="EY236" s="16"/>
      <c r="EZ236" s="16"/>
      <c r="FA236" s="17"/>
      <c r="FB236" s="17"/>
      <c r="FC236" s="16"/>
      <c r="FD236" s="16"/>
      <c r="FE236" s="17"/>
      <c r="FF236" s="17"/>
      <c r="FG236" s="11"/>
      <c r="GT236" s="11"/>
      <c r="IG236" s="11"/>
      <c r="JT236" s="11"/>
      <c r="LG236" s="11"/>
      <c r="MT236" s="11"/>
      <c r="OG236" s="11"/>
      <c r="PT236" s="11"/>
    </row>
    <row r="237" spans="1:436" ht="15.75" x14ac:dyDescent="0.25">
      <c r="A237" s="13"/>
      <c r="B237" s="14" t="s">
        <v>259</v>
      </c>
      <c r="C237" s="13"/>
      <c r="D237" s="13"/>
      <c r="E237" s="15" t="s">
        <v>127</v>
      </c>
      <c r="F237" s="15" t="s">
        <v>177</v>
      </c>
      <c r="G237" s="13"/>
      <c r="H237" s="11"/>
      <c r="AU237" s="11"/>
      <c r="CH237" s="11"/>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7"/>
      <c r="DF237" s="17"/>
      <c r="DG237" s="16"/>
      <c r="DH237" s="16"/>
      <c r="DI237" s="17"/>
      <c r="DJ237" s="17"/>
      <c r="DK237" s="16"/>
      <c r="DL237" s="16"/>
      <c r="DM237" s="17"/>
      <c r="DN237" s="17"/>
      <c r="DO237" s="16"/>
      <c r="DP237" s="16"/>
      <c r="DQ237" s="17"/>
      <c r="DR237" s="17"/>
      <c r="DS237" s="16"/>
      <c r="DT237" s="16"/>
      <c r="DU237" s="17"/>
      <c r="DV237" s="17"/>
      <c r="DW237" s="16"/>
      <c r="DX237" s="16"/>
      <c r="DY237" s="17"/>
      <c r="DZ237" s="17"/>
      <c r="EA237" s="16"/>
      <c r="EB237" s="16"/>
      <c r="EC237" s="17"/>
      <c r="ED237" s="17"/>
      <c r="EE237" s="16"/>
      <c r="EF237" s="16"/>
      <c r="EG237" s="17"/>
      <c r="EH237" s="17"/>
      <c r="EI237" s="16"/>
      <c r="EJ237" s="16"/>
      <c r="EK237" s="17"/>
      <c r="EL237" s="17"/>
      <c r="EM237" s="16"/>
      <c r="EN237" s="16"/>
      <c r="EO237" s="17"/>
      <c r="EP237" s="17"/>
      <c r="EQ237" s="16"/>
      <c r="ER237" s="16"/>
      <c r="ES237" s="17"/>
      <c r="ET237" s="17"/>
      <c r="EU237" s="16"/>
      <c r="EV237" s="16"/>
      <c r="EW237" s="17"/>
      <c r="EX237" s="17"/>
      <c r="EY237" s="16"/>
      <c r="EZ237" s="16"/>
      <c r="FA237" s="17"/>
      <c r="FB237" s="17"/>
      <c r="FC237" s="16"/>
      <c r="FD237" s="16"/>
      <c r="FE237" s="17"/>
      <c r="FF237" s="17"/>
      <c r="FG237" s="11"/>
      <c r="GT237" s="11"/>
      <c r="IG237" s="11"/>
      <c r="JT237" s="11"/>
      <c r="LG237" s="11"/>
      <c r="MT237" s="11"/>
      <c r="OG237" s="11"/>
      <c r="PT237" s="11"/>
    </row>
    <row r="238" spans="1:436" ht="15.75" x14ac:dyDescent="0.25">
      <c r="A238" s="13"/>
      <c r="B238" s="14" t="s">
        <v>260</v>
      </c>
      <c r="C238" s="13"/>
      <c r="D238" s="13"/>
      <c r="E238" s="15" t="s">
        <v>127</v>
      </c>
      <c r="F238" s="15" t="s">
        <v>177</v>
      </c>
      <c r="G238" s="13"/>
      <c r="H238" s="11"/>
      <c r="AU238" s="11"/>
      <c r="CH238" s="11"/>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7"/>
      <c r="DF238" s="17"/>
      <c r="DG238" s="16"/>
      <c r="DH238" s="16"/>
      <c r="DI238" s="17"/>
      <c r="DJ238" s="17"/>
      <c r="DK238" s="16"/>
      <c r="DL238" s="16"/>
      <c r="DM238" s="17"/>
      <c r="DN238" s="17"/>
      <c r="DO238" s="16"/>
      <c r="DP238" s="16"/>
      <c r="DQ238" s="17"/>
      <c r="DR238" s="17"/>
      <c r="DS238" s="16"/>
      <c r="DT238" s="16"/>
      <c r="DU238" s="17"/>
      <c r="DV238" s="17"/>
      <c r="DW238" s="16"/>
      <c r="DX238" s="16"/>
      <c r="DY238" s="17"/>
      <c r="DZ238" s="17"/>
      <c r="EA238" s="16"/>
      <c r="EB238" s="16"/>
      <c r="EC238" s="17"/>
      <c r="ED238" s="17"/>
      <c r="EE238" s="16"/>
      <c r="EF238" s="16"/>
      <c r="EG238" s="17"/>
      <c r="EH238" s="17"/>
      <c r="EI238" s="16"/>
      <c r="EJ238" s="16"/>
      <c r="EK238" s="17"/>
      <c r="EL238" s="17"/>
      <c r="EM238" s="16"/>
      <c r="EN238" s="16"/>
      <c r="EO238" s="17"/>
      <c r="EP238" s="17"/>
      <c r="EQ238" s="16"/>
      <c r="ER238" s="16"/>
      <c r="ES238" s="17"/>
      <c r="ET238" s="17"/>
      <c r="EU238" s="16"/>
      <c r="EV238" s="16"/>
      <c r="EW238" s="17"/>
      <c r="EX238" s="17"/>
      <c r="EY238" s="16"/>
      <c r="EZ238" s="16"/>
      <c r="FA238" s="17"/>
      <c r="FB238" s="17"/>
      <c r="FC238" s="16"/>
      <c r="FD238" s="16"/>
      <c r="FE238" s="17"/>
      <c r="FF238" s="17"/>
      <c r="FG238" s="11"/>
      <c r="GT238" s="11"/>
      <c r="IG238" s="11"/>
      <c r="JT238" s="11"/>
      <c r="LG238" s="11"/>
      <c r="MT238" s="11"/>
      <c r="OG238" s="11"/>
      <c r="PT238" s="11"/>
    </row>
    <row r="239" spans="1:436" ht="15.75" x14ac:dyDescent="0.25">
      <c r="A239" s="13"/>
      <c r="B239" s="14" t="s">
        <v>261</v>
      </c>
      <c r="C239" s="13"/>
      <c r="D239" s="13"/>
      <c r="E239" s="15" t="s">
        <v>76</v>
      </c>
      <c r="F239" s="15" t="s">
        <v>132</v>
      </c>
      <c r="G239" s="13"/>
      <c r="H239" s="11"/>
      <c r="AU239" s="11"/>
      <c r="CH239" s="11"/>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7"/>
      <c r="DF239" s="17"/>
      <c r="DG239" s="16"/>
      <c r="DH239" s="16"/>
      <c r="DI239" s="17"/>
      <c r="DJ239" s="17"/>
      <c r="DK239" s="16"/>
      <c r="DL239" s="16"/>
      <c r="DM239" s="17"/>
      <c r="DN239" s="17"/>
      <c r="DO239" s="16"/>
      <c r="DP239" s="16"/>
      <c r="DQ239" s="17"/>
      <c r="DR239" s="17"/>
      <c r="DS239" s="16"/>
      <c r="DT239" s="16"/>
      <c r="DU239" s="17"/>
      <c r="DV239" s="17"/>
      <c r="DW239" s="16"/>
      <c r="DX239" s="16"/>
      <c r="DY239" s="17"/>
      <c r="DZ239" s="17"/>
      <c r="EA239" s="16"/>
      <c r="EB239" s="16"/>
      <c r="EC239" s="17"/>
      <c r="ED239" s="17"/>
      <c r="EE239" s="16"/>
      <c r="EF239" s="16"/>
      <c r="EG239" s="17"/>
      <c r="EH239" s="17"/>
      <c r="EI239" s="16"/>
      <c r="EJ239" s="16"/>
      <c r="EK239" s="17"/>
      <c r="EL239" s="17"/>
      <c r="EM239" s="16"/>
      <c r="EN239" s="16"/>
      <c r="EO239" s="17"/>
      <c r="EP239" s="17"/>
      <c r="EQ239" s="16"/>
      <c r="ER239" s="16"/>
      <c r="ES239" s="17"/>
      <c r="ET239" s="17"/>
      <c r="EU239" s="16"/>
      <c r="EV239" s="16"/>
      <c r="EW239" s="17"/>
      <c r="EX239" s="17"/>
      <c r="EY239" s="16"/>
      <c r="EZ239" s="16"/>
      <c r="FA239" s="17"/>
      <c r="FB239" s="17"/>
      <c r="FC239" s="16"/>
      <c r="FD239" s="16"/>
      <c r="FE239" s="17"/>
      <c r="FF239" s="17"/>
      <c r="FG239" s="11"/>
      <c r="GT239" s="11"/>
      <c r="IG239" s="11"/>
      <c r="JT239" s="11"/>
      <c r="LG239" s="11"/>
      <c r="MT239" s="11"/>
      <c r="OG239" s="11"/>
      <c r="PT239" s="11"/>
    </row>
    <row r="240" spans="1:436" ht="15.75" x14ac:dyDescent="0.25">
      <c r="A240" s="13"/>
      <c r="B240" s="14" t="s">
        <v>262</v>
      </c>
      <c r="C240" s="13"/>
      <c r="D240" s="13"/>
      <c r="E240" s="15" t="s">
        <v>76</v>
      </c>
      <c r="F240" s="15" t="s">
        <v>77</v>
      </c>
      <c r="G240" s="13"/>
      <c r="H240" s="11"/>
      <c r="AU240" s="11"/>
      <c r="CH240" s="11"/>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7"/>
      <c r="DF240" s="17"/>
      <c r="DG240" s="16"/>
      <c r="DH240" s="16"/>
      <c r="DI240" s="17"/>
      <c r="DJ240" s="17"/>
      <c r="DK240" s="16"/>
      <c r="DL240" s="16"/>
      <c r="DM240" s="17"/>
      <c r="DN240" s="17"/>
      <c r="DO240" s="16"/>
      <c r="DP240" s="16"/>
      <c r="DQ240" s="17"/>
      <c r="DR240" s="17"/>
      <c r="DS240" s="16"/>
      <c r="DT240" s="16"/>
      <c r="DU240" s="17"/>
      <c r="DV240" s="17"/>
      <c r="DW240" s="16"/>
      <c r="DX240" s="16"/>
      <c r="DY240" s="17"/>
      <c r="DZ240" s="17"/>
      <c r="EA240" s="16"/>
      <c r="EB240" s="16"/>
      <c r="EC240" s="17"/>
      <c r="ED240" s="17"/>
      <c r="EE240" s="16"/>
      <c r="EF240" s="16"/>
      <c r="EG240" s="17"/>
      <c r="EH240" s="17"/>
      <c r="EI240" s="16"/>
      <c r="EJ240" s="16"/>
      <c r="EK240" s="17"/>
      <c r="EL240" s="17"/>
      <c r="EM240" s="16"/>
      <c r="EN240" s="16"/>
      <c r="EO240" s="17"/>
      <c r="EP240" s="17"/>
      <c r="EQ240" s="16"/>
      <c r="ER240" s="16"/>
      <c r="ES240" s="17"/>
      <c r="ET240" s="17"/>
      <c r="EU240" s="16"/>
      <c r="EV240" s="16"/>
      <c r="EW240" s="17"/>
      <c r="EX240" s="17"/>
      <c r="EY240" s="16"/>
      <c r="EZ240" s="16"/>
      <c r="FA240" s="17"/>
      <c r="FB240" s="17"/>
      <c r="FC240" s="16"/>
      <c r="FD240" s="16"/>
      <c r="FE240" s="17"/>
      <c r="FF240" s="17"/>
      <c r="FG240" s="11"/>
      <c r="GT240" s="11"/>
      <c r="IG240" s="11"/>
      <c r="JT240" s="11"/>
      <c r="LG240" s="11"/>
      <c r="MT240" s="11"/>
      <c r="OG240" s="11"/>
      <c r="PT240" s="11"/>
    </row>
    <row r="241" spans="1:436" ht="15.75" x14ac:dyDescent="0.25">
      <c r="C241" s="20" t="s">
        <v>263</v>
      </c>
      <c r="D241" s="21" t="s">
        <v>82</v>
      </c>
      <c r="H241" s="11"/>
      <c r="AU241" s="11"/>
      <c r="CH241" s="11"/>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7"/>
      <c r="DF241" s="17"/>
      <c r="DG241" s="16"/>
      <c r="DH241" s="16"/>
      <c r="DI241" s="17"/>
      <c r="DJ241" s="17"/>
      <c r="DK241" s="16"/>
      <c r="DL241" s="16"/>
      <c r="DM241" s="17"/>
      <c r="DN241" s="17"/>
      <c r="DO241" s="16"/>
      <c r="DP241" s="16"/>
      <c r="DQ241" s="17"/>
      <c r="DR241" s="17"/>
      <c r="DS241" s="16"/>
      <c r="DT241" s="16"/>
      <c r="DU241" s="17"/>
      <c r="DV241" s="17"/>
      <c r="DW241" s="16"/>
      <c r="DX241" s="16"/>
      <c r="DY241" s="17"/>
      <c r="DZ241" s="17"/>
      <c r="EA241" s="16"/>
      <c r="EB241" s="16"/>
      <c r="EC241" s="17"/>
      <c r="ED241" s="17"/>
      <c r="EE241" s="16"/>
      <c r="EF241" s="16"/>
      <c r="EG241" s="17"/>
      <c r="EH241" s="17"/>
      <c r="EI241" s="16"/>
      <c r="EJ241" s="16"/>
      <c r="EK241" s="17"/>
      <c r="EL241" s="17"/>
      <c r="EM241" s="16"/>
      <c r="EN241" s="16"/>
      <c r="EO241" s="17"/>
      <c r="EP241" s="17"/>
      <c r="EQ241" s="16"/>
      <c r="ER241" s="16"/>
      <c r="ES241" s="17"/>
      <c r="ET241" s="17"/>
      <c r="EU241" s="16"/>
      <c r="EV241" s="16"/>
      <c r="EW241" s="17"/>
      <c r="EX241" s="17"/>
      <c r="EY241" s="16"/>
      <c r="EZ241" s="16"/>
      <c r="FA241" s="17"/>
      <c r="FB241" s="17"/>
      <c r="FC241" s="16"/>
      <c r="FD241" s="16"/>
      <c r="FE241" s="17"/>
      <c r="FF241" s="17"/>
      <c r="FG241" s="11"/>
      <c r="GT241" s="11"/>
      <c r="IG241" s="11"/>
      <c r="JT241" s="11"/>
      <c r="LG241" s="11"/>
      <c r="MT241" s="11"/>
      <c r="OG241" s="11"/>
      <c r="PT241" s="11"/>
    </row>
    <row r="242" spans="1:436" ht="15.75" x14ac:dyDescent="0.25">
      <c r="C242" s="20" t="s">
        <v>264</v>
      </c>
      <c r="D242" s="21" t="s">
        <v>82</v>
      </c>
      <c r="H242" s="11"/>
      <c r="AU242" s="11"/>
      <c r="CH242" s="11"/>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7"/>
      <c r="DF242" s="17"/>
      <c r="DG242" s="16"/>
      <c r="DH242" s="16"/>
      <c r="DI242" s="17"/>
      <c r="DJ242" s="17"/>
      <c r="DK242" s="16"/>
      <c r="DL242" s="16"/>
      <c r="DM242" s="17"/>
      <c r="DN242" s="17"/>
      <c r="DO242" s="16"/>
      <c r="DP242" s="16"/>
      <c r="DQ242" s="17"/>
      <c r="DR242" s="17"/>
      <c r="DS242" s="16"/>
      <c r="DT242" s="16"/>
      <c r="DU242" s="17"/>
      <c r="DV242" s="17"/>
      <c r="DW242" s="16"/>
      <c r="DX242" s="16"/>
      <c r="DY242" s="17"/>
      <c r="DZ242" s="17"/>
      <c r="EA242" s="16"/>
      <c r="EB242" s="16"/>
      <c r="EC242" s="17"/>
      <c r="ED242" s="17"/>
      <c r="EE242" s="16"/>
      <c r="EF242" s="16"/>
      <c r="EG242" s="17"/>
      <c r="EH242" s="17"/>
      <c r="EI242" s="16"/>
      <c r="EJ242" s="16"/>
      <c r="EK242" s="17"/>
      <c r="EL242" s="17"/>
      <c r="EM242" s="16"/>
      <c r="EN242" s="16"/>
      <c r="EO242" s="17"/>
      <c r="EP242" s="17"/>
      <c r="EQ242" s="16"/>
      <c r="ER242" s="16"/>
      <c r="ES242" s="17"/>
      <c r="ET242" s="17"/>
      <c r="EU242" s="16"/>
      <c r="EV242" s="16"/>
      <c r="EW242" s="17"/>
      <c r="EX242" s="17"/>
      <c r="EY242" s="16"/>
      <c r="EZ242" s="16"/>
      <c r="FA242" s="17"/>
      <c r="FB242" s="17"/>
      <c r="FC242" s="16"/>
      <c r="FD242" s="16"/>
      <c r="FE242" s="17"/>
      <c r="FF242" s="17"/>
      <c r="FG242" s="11"/>
      <c r="GT242" s="11"/>
      <c r="IG242" s="11"/>
      <c r="JT242" s="11"/>
      <c r="LG242" s="11"/>
      <c r="MT242" s="11"/>
      <c r="OG242" s="11"/>
      <c r="PT242" s="11"/>
    </row>
    <row r="243" spans="1:436" ht="15.75" x14ac:dyDescent="0.25">
      <c r="C243" s="20" t="s">
        <v>265</v>
      </c>
      <c r="D243" s="21" t="s">
        <v>82</v>
      </c>
      <c r="H243" s="11"/>
      <c r="AU243" s="11"/>
      <c r="CH243" s="11"/>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7"/>
      <c r="DF243" s="17"/>
      <c r="DG243" s="16"/>
      <c r="DH243" s="16"/>
      <c r="DI243" s="17"/>
      <c r="DJ243" s="17"/>
      <c r="DK243" s="16"/>
      <c r="DL243" s="16"/>
      <c r="DM243" s="17"/>
      <c r="DN243" s="17"/>
      <c r="DO243" s="16"/>
      <c r="DP243" s="16"/>
      <c r="DQ243" s="17"/>
      <c r="DR243" s="17"/>
      <c r="DS243" s="16"/>
      <c r="DT243" s="16"/>
      <c r="DU243" s="17"/>
      <c r="DV243" s="17"/>
      <c r="DW243" s="16"/>
      <c r="DX243" s="16"/>
      <c r="DY243" s="17"/>
      <c r="DZ243" s="17"/>
      <c r="EA243" s="16"/>
      <c r="EB243" s="16"/>
      <c r="EC243" s="17"/>
      <c r="ED243" s="17"/>
      <c r="EE243" s="16"/>
      <c r="EF243" s="16"/>
      <c r="EG243" s="17"/>
      <c r="EH243" s="17"/>
      <c r="EI243" s="16"/>
      <c r="EJ243" s="16"/>
      <c r="EK243" s="17"/>
      <c r="EL243" s="17"/>
      <c r="EM243" s="16"/>
      <c r="EN243" s="16"/>
      <c r="EO243" s="17"/>
      <c r="EP243" s="17"/>
      <c r="EQ243" s="16"/>
      <c r="ER243" s="16"/>
      <c r="ES243" s="17"/>
      <c r="ET243" s="17"/>
      <c r="EU243" s="16"/>
      <c r="EV243" s="16"/>
      <c r="EW243" s="17"/>
      <c r="EX243" s="17"/>
      <c r="EY243" s="16"/>
      <c r="EZ243" s="16"/>
      <c r="FA243" s="17"/>
      <c r="FB243" s="17"/>
      <c r="FC243" s="16"/>
      <c r="FD243" s="16"/>
      <c r="FE243" s="17"/>
      <c r="FF243" s="17"/>
      <c r="FG243" s="11"/>
      <c r="GT243" s="11"/>
      <c r="IG243" s="11"/>
      <c r="JT243" s="11"/>
      <c r="LG243" s="11"/>
      <c r="MT243" s="11"/>
      <c r="OG243" s="11"/>
      <c r="PT243" s="11"/>
    </row>
    <row r="244" spans="1:436" ht="15.75" x14ac:dyDescent="0.25">
      <c r="C244" s="20" t="s">
        <v>266</v>
      </c>
      <c r="D244" s="21" t="s">
        <v>82</v>
      </c>
      <c r="H244" s="11"/>
      <c r="AU244" s="11"/>
      <c r="CH244" s="11"/>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7"/>
      <c r="DF244" s="17"/>
      <c r="DG244" s="16"/>
      <c r="DH244" s="16"/>
      <c r="DI244" s="17"/>
      <c r="DJ244" s="17"/>
      <c r="DK244" s="16"/>
      <c r="DL244" s="16"/>
      <c r="DM244" s="17"/>
      <c r="DN244" s="17"/>
      <c r="DO244" s="16"/>
      <c r="DP244" s="16"/>
      <c r="DQ244" s="17"/>
      <c r="DR244" s="17"/>
      <c r="DS244" s="16"/>
      <c r="DT244" s="16"/>
      <c r="DU244" s="17"/>
      <c r="DV244" s="17"/>
      <c r="DW244" s="16"/>
      <c r="DX244" s="16"/>
      <c r="DY244" s="17"/>
      <c r="DZ244" s="17"/>
      <c r="EA244" s="16"/>
      <c r="EB244" s="16"/>
      <c r="EC244" s="17"/>
      <c r="ED244" s="17"/>
      <c r="EE244" s="16"/>
      <c r="EF244" s="16"/>
      <c r="EG244" s="17"/>
      <c r="EH244" s="17"/>
      <c r="EI244" s="16"/>
      <c r="EJ244" s="16"/>
      <c r="EK244" s="17"/>
      <c r="EL244" s="17"/>
      <c r="EM244" s="16"/>
      <c r="EN244" s="16"/>
      <c r="EO244" s="17"/>
      <c r="EP244" s="17"/>
      <c r="EQ244" s="16"/>
      <c r="ER244" s="16"/>
      <c r="ES244" s="17"/>
      <c r="ET244" s="17"/>
      <c r="EU244" s="16"/>
      <c r="EV244" s="16"/>
      <c r="EW244" s="17"/>
      <c r="EX244" s="17"/>
      <c r="EY244" s="16"/>
      <c r="EZ244" s="16"/>
      <c r="FA244" s="17"/>
      <c r="FB244" s="17"/>
      <c r="FC244" s="16"/>
      <c r="FD244" s="16"/>
      <c r="FE244" s="17"/>
      <c r="FF244" s="17"/>
      <c r="FG244" s="11"/>
      <c r="GT244" s="11"/>
      <c r="IG244" s="11"/>
      <c r="JT244" s="11"/>
      <c r="LG244" s="11"/>
      <c r="MT244" s="11"/>
      <c r="OG244" s="11"/>
      <c r="PT244" s="11"/>
    </row>
    <row r="245" spans="1:436" ht="15.75" x14ac:dyDescent="0.25">
      <c r="C245" s="20" t="s">
        <v>267</v>
      </c>
      <c r="D245" s="21" t="s">
        <v>82</v>
      </c>
      <c r="H245" s="11"/>
      <c r="AU245" s="11"/>
      <c r="CH245" s="11"/>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7"/>
      <c r="DF245" s="17"/>
      <c r="DG245" s="16"/>
      <c r="DH245" s="16"/>
      <c r="DI245" s="17"/>
      <c r="DJ245" s="17"/>
      <c r="DK245" s="16"/>
      <c r="DL245" s="16"/>
      <c r="DM245" s="17"/>
      <c r="DN245" s="17"/>
      <c r="DO245" s="16"/>
      <c r="DP245" s="16"/>
      <c r="DQ245" s="17"/>
      <c r="DR245" s="17"/>
      <c r="DS245" s="16"/>
      <c r="DT245" s="16"/>
      <c r="DU245" s="17"/>
      <c r="DV245" s="17"/>
      <c r="DW245" s="16"/>
      <c r="DX245" s="16"/>
      <c r="DY245" s="17"/>
      <c r="DZ245" s="17"/>
      <c r="EA245" s="16"/>
      <c r="EB245" s="16"/>
      <c r="EC245" s="17"/>
      <c r="ED245" s="17"/>
      <c r="EE245" s="16"/>
      <c r="EF245" s="16"/>
      <c r="EG245" s="17"/>
      <c r="EH245" s="17"/>
      <c r="EI245" s="16"/>
      <c r="EJ245" s="16"/>
      <c r="EK245" s="17"/>
      <c r="EL245" s="17"/>
      <c r="EM245" s="16"/>
      <c r="EN245" s="16"/>
      <c r="EO245" s="17"/>
      <c r="EP245" s="17"/>
      <c r="EQ245" s="16"/>
      <c r="ER245" s="16"/>
      <c r="ES245" s="17"/>
      <c r="ET245" s="17"/>
      <c r="EU245" s="16"/>
      <c r="EV245" s="16"/>
      <c r="EW245" s="17"/>
      <c r="EX245" s="17"/>
      <c r="EY245" s="16"/>
      <c r="EZ245" s="16"/>
      <c r="FA245" s="17"/>
      <c r="FB245" s="17"/>
      <c r="FC245" s="16"/>
      <c r="FD245" s="16"/>
      <c r="FE245" s="17"/>
      <c r="FF245" s="17"/>
      <c r="FG245" s="11"/>
      <c r="GT245" s="11"/>
      <c r="IG245" s="11"/>
      <c r="JT245" s="11"/>
      <c r="LG245" s="11"/>
      <c r="MT245" s="11"/>
      <c r="OG245" s="11"/>
      <c r="PT245" s="11"/>
    </row>
    <row r="246" spans="1:436" ht="15.75" x14ac:dyDescent="0.25">
      <c r="C246" s="20" t="s">
        <v>268</v>
      </c>
      <c r="D246" s="21" t="s">
        <v>82</v>
      </c>
      <c r="H246" s="11"/>
      <c r="AU246" s="11"/>
      <c r="CH246" s="11"/>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7"/>
      <c r="DF246" s="17"/>
      <c r="DG246" s="16"/>
      <c r="DH246" s="16"/>
      <c r="DI246" s="17"/>
      <c r="DJ246" s="17"/>
      <c r="DK246" s="16"/>
      <c r="DL246" s="16"/>
      <c r="DM246" s="17"/>
      <c r="DN246" s="17"/>
      <c r="DO246" s="16"/>
      <c r="DP246" s="16"/>
      <c r="DQ246" s="17"/>
      <c r="DR246" s="17"/>
      <c r="DS246" s="16"/>
      <c r="DT246" s="16"/>
      <c r="DU246" s="17"/>
      <c r="DV246" s="17"/>
      <c r="DW246" s="16"/>
      <c r="DX246" s="16"/>
      <c r="DY246" s="17"/>
      <c r="DZ246" s="17"/>
      <c r="EA246" s="16"/>
      <c r="EB246" s="16"/>
      <c r="EC246" s="17"/>
      <c r="ED246" s="17"/>
      <c r="EE246" s="16"/>
      <c r="EF246" s="16"/>
      <c r="EG246" s="17"/>
      <c r="EH246" s="17"/>
      <c r="EI246" s="16"/>
      <c r="EJ246" s="16"/>
      <c r="EK246" s="17"/>
      <c r="EL246" s="17"/>
      <c r="EM246" s="16"/>
      <c r="EN246" s="16"/>
      <c r="EO246" s="17"/>
      <c r="EP246" s="17"/>
      <c r="EQ246" s="16"/>
      <c r="ER246" s="16"/>
      <c r="ES246" s="17"/>
      <c r="ET246" s="17"/>
      <c r="EU246" s="16"/>
      <c r="EV246" s="16"/>
      <c r="EW246" s="17"/>
      <c r="EX246" s="17"/>
      <c r="EY246" s="16"/>
      <c r="EZ246" s="16"/>
      <c r="FA246" s="17"/>
      <c r="FB246" s="17"/>
      <c r="FC246" s="16"/>
      <c r="FD246" s="16"/>
      <c r="FE246" s="17"/>
      <c r="FF246" s="17"/>
      <c r="FG246" s="11"/>
      <c r="GT246" s="11"/>
      <c r="IG246" s="11"/>
      <c r="JT246" s="11"/>
      <c r="LG246" s="11"/>
      <c r="MT246" s="11"/>
      <c r="OG246" s="11"/>
      <c r="PT246" s="11"/>
    </row>
    <row r="247" spans="1:436" ht="15.75" x14ac:dyDescent="0.25">
      <c r="C247" s="20" t="s">
        <v>269</v>
      </c>
      <c r="D247" s="21" t="s">
        <v>79</v>
      </c>
      <c r="H247" s="11"/>
      <c r="AU247" s="11"/>
      <c r="CH247" s="11"/>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7"/>
      <c r="DF247" s="17"/>
      <c r="DG247" s="16"/>
      <c r="DH247" s="16"/>
      <c r="DI247" s="17"/>
      <c r="DJ247" s="18">
        <v>5</v>
      </c>
      <c r="DK247" s="16"/>
      <c r="DL247" s="16"/>
      <c r="DM247" s="17"/>
      <c r="DN247" s="17"/>
      <c r="DO247" s="16"/>
      <c r="DP247" s="16"/>
      <c r="DQ247" s="17"/>
      <c r="DR247" s="17"/>
      <c r="DS247" s="16"/>
      <c r="DT247" s="16"/>
      <c r="DU247" s="17"/>
      <c r="DV247" s="17"/>
      <c r="DW247" s="16"/>
      <c r="DX247" s="16"/>
      <c r="DY247" s="17"/>
      <c r="DZ247" s="17"/>
      <c r="EA247" s="16"/>
      <c r="EB247" s="16"/>
      <c r="EC247" s="17"/>
      <c r="ED247" s="17"/>
      <c r="EE247" s="16"/>
      <c r="EF247" s="16"/>
      <c r="EG247" s="17"/>
      <c r="EH247" s="17"/>
      <c r="EI247" s="16"/>
      <c r="EJ247" s="16"/>
      <c r="EK247" s="17"/>
      <c r="EL247" s="17"/>
      <c r="EM247" s="16"/>
      <c r="EN247" s="16"/>
      <c r="EO247" s="17"/>
      <c r="EP247" s="17"/>
      <c r="EQ247" s="16"/>
      <c r="ER247" s="16"/>
      <c r="ES247" s="17"/>
      <c r="ET247" s="17"/>
      <c r="EU247" s="16"/>
      <c r="EV247" s="16"/>
      <c r="EW247" s="17"/>
      <c r="EX247" s="17"/>
      <c r="EY247" s="16"/>
      <c r="EZ247" s="16"/>
      <c r="FA247" s="17"/>
      <c r="FB247" s="17"/>
      <c r="FC247" s="16"/>
      <c r="FD247" s="16"/>
      <c r="FE247" s="17"/>
      <c r="FF247" s="17"/>
      <c r="FG247" s="11"/>
      <c r="GT247" s="11"/>
      <c r="IG247" s="11"/>
      <c r="JT247" s="11"/>
      <c r="LG247" s="11"/>
      <c r="MT247" s="11"/>
      <c r="OG247" s="11"/>
      <c r="PT247" s="11"/>
    </row>
    <row r="248" spans="1:436" ht="15.75" x14ac:dyDescent="0.25">
      <c r="C248" s="20" t="s">
        <v>270</v>
      </c>
      <c r="D248" s="21" t="s">
        <v>90</v>
      </c>
      <c r="H248" s="11"/>
      <c r="AU248" s="11"/>
      <c r="CH248" s="11"/>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7"/>
      <c r="DF248" s="17"/>
      <c r="DG248" s="16"/>
      <c r="DH248" s="16"/>
      <c r="DI248" s="17"/>
      <c r="DJ248" s="17"/>
      <c r="DK248" s="16"/>
      <c r="DL248" s="16"/>
      <c r="DM248" s="17"/>
      <c r="DN248" s="17"/>
      <c r="DO248" s="16"/>
      <c r="DP248" s="16"/>
      <c r="DQ248" s="17"/>
      <c r="DR248" s="17"/>
      <c r="DS248" s="16"/>
      <c r="DT248" s="16"/>
      <c r="DU248" s="17"/>
      <c r="DV248" s="17"/>
      <c r="DW248" s="16"/>
      <c r="DX248" s="16"/>
      <c r="DY248" s="17"/>
      <c r="DZ248" s="17"/>
      <c r="EA248" s="16"/>
      <c r="EB248" s="16"/>
      <c r="EC248" s="17"/>
      <c r="ED248" s="17"/>
      <c r="EE248" s="16"/>
      <c r="EF248" s="16"/>
      <c r="EG248" s="17"/>
      <c r="EH248" s="17"/>
      <c r="EI248" s="16"/>
      <c r="EJ248" s="16"/>
      <c r="EK248" s="17"/>
      <c r="EL248" s="17"/>
      <c r="EM248" s="16"/>
      <c r="EN248" s="16"/>
      <c r="EO248" s="17"/>
      <c r="EP248" s="17"/>
      <c r="EQ248" s="16"/>
      <c r="ER248" s="16"/>
      <c r="ES248" s="17"/>
      <c r="ET248" s="17"/>
      <c r="EU248" s="16"/>
      <c r="EV248" s="16"/>
      <c r="EW248" s="17"/>
      <c r="EX248" s="17"/>
      <c r="EY248" s="16"/>
      <c r="EZ248" s="16"/>
      <c r="FA248" s="17"/>
      <c r="FB248" s="17"/>
      <c r="FC248" s="16"/>
      <c r="FD248" s="16"/>
      <c r="FE248" s="17"/>
      <c r="FF248" s="17"/>
      <c r="FG248" s="11"/>
      <c r="GT248" s="11"/>
      <c r="IG248" s="11"/>
      <c r="JT248" s="11"/>
      <c r="LG248" s="11"/>
      <c r="MT248" s="11"/>
      <c r="OG248" s="11"/>
      <c r="PT248" s="11"/>
    </row>
    <row r="249" spans="1:436" ht="15.75" x14ac:dyDescent="0.25">
      <c r="C249" s="20" t="s">
        <v>263</v>
      </c>
      <c r="D249" s="21" t="s">
        <v>82</v>
      </c>
      <c r="H249" s="11"/>
      <c r="AU249" s="11"/>
      <c r="CH249" s="11"/>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7"/>
      <c r="DF249" s="17"/>
      <c r="DG249" s="16"/>
      <c r="DH249" s="16"/>
      <c r="DI249" s="17"/>
      <c r="DJ249" s="17"/>
      <c r="DK249" s="16"/>
      <c r="DL249" s="16"/>
      <c r="DM249" s="17"/>
      <c r="DN249" s="17"/>
      <c r="DO249" s="16"/>
      <c r="DP249" s="16"/>
      <c r="DQ249" s="17"/>
      <c r="DR249" s="17"/>
      <c r="DS249" s="16"/>
      <c r="DT249" s="16"/>
      <c r="DU249" s="17"/>
      <c r="DV249" s="17"/>
      <c r="DW249" s="16"/>
      <c r="DX249" s="16"/>
      <c r="DY249" s="17"/>
      <c r="DZ249" s="17"/>
      <c r="EA249" s="16"/>
      <c r="EB249" s="16"/>
      <c r="EC249" s="17"/>
      <c r="ED249" s="17"/>
      <c r="EE249" s="16"/>
      <c r="EF249" s="16"/>
      <c r="EG249" s="17"/>
      <c r="EH249" s="17"/>
      <c r="EI249" s="16"/>
      <c r="EJ249" s="16"/>
      <c r="EK249" s="17"/>
      <c r="EL249" s="17"/>
      <c r="EM249" s="16"/>
      <c r="EN249" s="16"/>
      <c r="EO249" s="17"/>
      <c r="EP249" s="17"/>
      <c r="EQ249" s="16"/>
      <c r="ER249" s="16"/>
      <c r="ES249" s="17"/>
      <c r="ET249" s="17"/>
      <c r="EU249" s="16"/>
      <c r="EV249" s="16"/>
      <c r="EW249" s="17"/>
      <c r="EX249" s="17"/>
      <c r="EY249" s="16"/>
      <c r="EZ249" s="16"/>
      <c r="FA249" s="17"/>
      <c r="FB249" s="17"/>
      <c r="FC249" s="16"/>
      <c r="FD249" s="16"/>
      <c r="FE249" s="17"/>
      <c r="FF249" s="17"/>
      <c r="FG249" s="11"/>
      <c r="GT249" s="11"/>
      <c r="IG249" s="11"/>
      <c r="JT249" s="11"/>
      <c r="LG249" s="11"/>
      <c r="MT249" s="11"/>
      <c r="OG249" s="11"/>
      <c r="PT249" s="11"/>
    </row>
    <row r="250" spans="1:436" ht="15.75" x14ac:dyDescent="0.25">
      <c r="C250" s="20" t="s">
        <v>264</v>
      </c>
      <c r="D250" s="21" t="s">
        <v>82</v>
      </c>
      <c r="H250" s="11"/>
      <c r="AU250" s="11"/>
      <c r="CH250" s="11"/>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7"/>
      <c r="DF250" s="17"/>
      <c r="DG250" s="16"/>
      <c r="DH250" s="16"/>
      <c r="DI250" s="17"/>
      <c r="DJ250" s="17"/>
      <c r="DK250" s="16"/>
      <c r="DL250" s="16"/>
      <c r="DM250" s="17"/>
      <c r="DN250" s="17"/>
      <c r="DO250" s="16"/>
      <c r="DP250" s="16"/>
      <c r="DQ250" s="17"/>
      <c r="DR250" s="17"/>
      <c r="DS250" s="16"/>
      <c r="DT250" s="16"/>
      <c r="DU250" s="17"/>
      <c r="DV250" s="17"/>
      <c r="DW250" s="16"/>
      <c r="DX250" s="16"/>
      <c r="DY250" s="17"/>
      <c r="DZ250" s="17"/>
      <c r="EA250" s="16"/>
      <c r="EB250" s="16"/>
      <c r="EC250" s="17"/>
      <c r="ED250" s="17"/>
      <c r="EE250" s="16"/>
      <c r="EF250" s="16"/>
      <c r="EG250" s="17"/>
      <c r="EH250" s="17"/>
      <c r="EI250" s="16"/>
      <c r="EJ250" s="16"/>
      <c r="EK250" s="17"/>
      <c r="EL250" s="17"/>
      <c r="EM250" s="16"/>
      <c r="EN250" s="16"/>
      <c r="EO250" s="17"/>
      <c r="EP250" s="17"/>
      <c r="EQ250" s="16"/>
      <c r="ER250" s="16"/>
      <c r="ES250" s="18">
        <v>0.5</v>
      </c>
      <c r="ET250" s="18">
        <v>1</v>
      </c>
      <c r="EU250" s="16"/>
      <c r="EV250" s="16"/>
      <c r="EW250" s="17"/>
      <c r="EX250" s="17"/>
      <c r="EY250" s="16"/>
      <c r="EZ250" s="16"/>
      <c r="FA250" s="17"/>
      <c r="FB250" s="17"/>
      <c r="FC250" s="16"/>
      <c r="FD250" s="16"/>
      <c r="FE250" s="17"/>
      <c r="FF250" s="17"/>
      <c r="FG250" s="11"/>
      <c r="GT250" s="11"/>
      <c r="IG250" s="11"/>
      <c r="JT250" s="11"/>
      <c r="LG250" s="11"/>
      <c r="MT250" s="11"/>
      <c r="OG250" s="11"/>
      <c r="PT250" s="11"/>
    </row>
    <row r="251" spans="1:436" ht="15.75" x14ac:dyDescent="0.25">
      <c r="C251" s="20" t="s">
        <v>265</v>
      </c>
      <c r="D251" s="21" t="s">
        <v>82</v>
      </c>
      <c r="H251" s="11"/>
      <c r="AU251" s="11"/>
      <c r="CH251" s="11"/>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7"/>
      <c r="DF251" s="17"/>
      <c r="DG251" s="16"/>
      <c r="DH251" s="16"/>
      <c r="DI251" s="17"/>
      <c r="DJ251" s="17"/>
      <c r="DK251" s="16"/>
      <c r="DL251" s="16"/>
      <c r="DM251" s="17"/>
      <c r="DN251" s="17"/>
      <c r="DO251" s="16"/>
      <c r="DP251" s="16"/>
      <c r="DQ251" s="17"/>
      <c r="DR251" s="17"/>
      <c r="DS251" s="16"/>
      <c r="DT251" s="16"/>
      <c r="DU251" s="17"/>
      <c r="DV251" s="17"/>
      <c r="DW251" s="16"/>
      <c r="DX251" s="16"/>
      <c r="DY251" s="17"/>
      <c r="DZ251" s="17"/>
      <c r="EA251" s="16"/>
      <c r="EB251" s="16"/>
      <c r="EC251" s="17"/>
      <c r="ED251" s="17"/>
      <c r="EE251" s="16"/>
      <c r="EF251" s="16"/>
      <c r="EG251" s="17"/>
      <c r="EH251" s="17"/>
      <c r="EI251" s="16"/>
      <c r="EJ251" s="16"/>
      <c r="EK251" s="17"/>
      <c r="EL251" s="17"/>
      <c r="EM251" s="16"/>
      <c r="EN251" s="16"/>
      <c r="EO251" s="17"/>
      <c r="EP251" s="17"/>
      <c r="EQ251" s="16"/>
      <c r="ER251" s="16"/>
      <c r="ES251" s="18">
        <v>0.5</v>
      </c>
      <c r="ET251" s="18">
        <v>1</v>
      </c>
      <c r="EU251" s="16"/>
      <c r="EV251" s="16"/>
      <c r="EW251" s="17"/>
      <c r="EX251" s="17"/>
      <c r="EY251" s="16"/>
      <c r="EZ251" s="16"/>
      <c r="FA251" s="17"/>
      <c r="FB251" s="17"/>
      <c r="FC251" s="16"/>
      <c r="FD251" s="16"/>
      <c r="FE251" s="17"/>
      <c r="FF251" s="17"/>
      <c r="FG251" s="11"/>
      <c r="GT251" s="11"/>
      <c r="IG251" s="11"/>
      <c r="JT251" s="11"/>
      <c r="LG251" s="11"/>
      <c r="MT251" s="11"/>
      <c r="OG251" s="11"/>
      <c r="PT251" s="11"/>
    </row>
    <row r="252" spans="1:436" ht="15.75" x14ac:dyDescent="0.25">
      <c r="C252" s="20" t="s">
        <v>266</v>
      </c>
      <c r="D252" s="21" t="s">
        <v>82</v>
      </c>
      <c r="H252" s="11"/>
      <c r="AU252" s="11"/>
      <c r="CH252" s="11"/>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7"/>
      <c r="DF252" s="17"/>
      <c r="DG252" s="16"/>
      <c r="DH252" s="16"/>
      <c r="DI252" s="17"/>
      <c r="DJ252" s="17"/>
      <c r="DK252" s="16"/>
      <c r="DL252" s="16"/>
      <c r="DM252" s="17"/>
      <c r="DN252" s="17"/>
      <c r="DO252" s="16"/>
      <c r="DP252" s="16"/>
      <c r="DQ252" s="17"/>
      <c r="DR252" s="17"/>
      <c r="DS252" s="16"/>
      <c r="DT252" s="16"/>
      <c r="DU252" s="17"/>
      <c r="DV252" s="17"/>
      <c r="DW252" s="16"/>
      <c r="DX252" s="16"/>
      <c r="DY252" s="17"/>
      <c r="DZ252" s="17"/>
      <c r="EA252" s="16"/>
      <c r="EB252" s="16"/>
      <c r="EC252" s="17"/>
      <c r="ED252" s="17"/>
      <c r="EE252" s="16"/>
      <c r="EF252" s="16"/>
      <c r="EG252" s="17"/>
      <c r="EH252" s="17"/>
      <c r="EI252" s="16"/>
      <c r="EJ252" s="16"/>
      <c r="EK252" s="17"/>
      <c r="EL252" s="17"/>
      <c r="EM252" s="16"/>
      <c r="EN252" s="16"/>
      <c r="EO252" s="17"/>
      <c r="EP252" s="17"/>
      <c r="EQ252" s="16"/>
      <c r="ER252" s="16"/>
      <c r="ES252" s="18">
        <v>0.5</v>
      </c>
      <c r="ET252" s="18">
        <v>1</v>
      </c>
      <c r="EU252" s="16"/>
      <c r="EV252" s="16"/>
      <c r="EW252" s="17"/>
      <c r="EX252" s="17"/>
      <c r="EY252" s="16"/>
      <c r="EZ252" s="16"/>
      <c r="FA252" s="17"/>
      <c r="FB252" s="17"/>
      <c r="FC252" s="16"/>
      <c r="FD252" s="16"/>
      <c r="FE252" s="17"/>
      <c r="FF252" s="17"/>
      <c r="FG252" s="11"/>
      <c r="GT252" s="11"/>
      <c r="IG252" s="11"/>
      <c r="JT252" s="11"/>
      <c r="LG252" s="11"/>
      <c r="MT252" s="11"/>
      <c r="OG252" s="11"/>
      <c r="PT252" s="11"/>
    </row>
    <row r="253" spans="1:436" ht="15.75" x14ac:dyDescent="0.25">
      <c r="C253" s="20" t="s">
        <v>267</v>
      </c>
      <c r="D253" s="21" t="s">
        <v>82</v>
      </c>
      <c r="H253" s="11"/>
      <c r="AU253" s="11"/>
      <c r="CH253" s="11"/>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7"/>
      <c r="DF253" s="17"/>
      <c r="DG253" s="16"/>
      <c r="DH253" s="16"/>
      <c r="DI253" s="17"/>
      <c r="DJ253" s="17"/>
      <c r="DK253" s="16"/>
      <c r="DL253" s="16"/>
      <c r="DM253" s="17"/>
      <c r="DN253" s="17"/>
      <c r="DO253" s="16"/>
      <c r="DP253" s="16"/>
      <c r="DQ253" s="17"/>
      <c r="DR253" s="17"/>
      <c r="DS253" s="16"/>
      <c r="DT253" s="16"/>
      <c r="DU253" s="17"/>
      <c r="DV253" s="17"/>
      <c r="DW253" s="16"/>
      <c r="DX253" s="16"/>
      <c r="DY253" s="17"/>
      <c r="DZ253" s="17"/>
      <c r="EA253" s="16"/>
      <c r="EB253" s="16"/>
      <c r="EC253" s="17"/>
      <c r="ED253" s="17"/>
      <c r="EE253" s="16"/>
      <c r="EF253" s="16"/>
      <c r="EG253" s="17"/>
      <c r="EH253" s="17"/>
      <c r="EI253" s="16"/>
      <c r="EJ253" s="16"/>
      <c r="EK253" s="17"/>
      <c r="EL253" s="17"/>
      <c r="EM253" s="16"/>
      <c r="EN253" s="16"/>
      <c r="EO253" s="17"/>
      <c r="EP253" s="17"/>
      <c r="EQ253" s="16"/>
      <c r="ER253" s="16"/>
      <c r="ES253" s="18">
        <v>0.5</v>
      </c>
      <c r="ET253" s="18">
        <v>1</v>
      </c>
      <c r="EU253" s="16"/>
      <c r="EV253" s="16"/>
      <c r="EW253" s="17"/>
      <c r="EX253" s="17"/>
      <c r="EY253" s="16"/>
      <c r="EZ253" s="16"/>
      <c r="FA253" s="17"/>
      <c r="FB253" s="17"/>
      <c r="FC253" s="16"/>
      <c r="FD253" s="16"/>
      <c r="FE253" s="17"/>
      <c r="FF253" s="17"/>
      <c r="FG253" s="11"/>
      <c r="GT253" s="11"/>
      <c r="IG253" s="11"/>
      <c r="JT253" s="11"/>
      <c r="LG253" s="11"/>
      <c r="MT253" s="11"/>
      <c r="OG253" s="11"/>
      <c r="PT253" s="11"/>
    </row>
    <row r="254" spans="1:436" ht="15.75" x14ac:dyDescent="0.25">
      <c r="C254" s="20" t="s">
        <v>268</v>
      </c>
      <c r="D254" s="21" t="s">
        <v>82</v>
      </c>
      <c r="H254" s="11"/>
      <c r="AU254" s="11"/>
      <c r="CH254" s="11"/>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7"/>
      <c r="DF254" s="17"/>
      <c r="DG254" s="16"/>
      <c r="DH254" s="16"/>
      <c r="DI254" s="17"/>
      <c r="DJ254" s="17"/>
      <c r="DK254" s="16"/>
      <c r="DL254" s="16"/>
      <c r="DM254" s="17"/>
      <c r="DN254" s="17"/>
      <c r="DO254" s="16"/>
      <c r="DP254" s="16"/>
      <c r="DQ254" s="17"/>
      <c r="DR254" s="17"/>
      <c r="DS254" s="16"/>
      <c r="DT254" s="16"/>
      <c r="DU254" s="17"/>
      <c r="DV254" s="17"/>
      <c r="DW254" s="16"/>
      <c r="DX254" s="16"/>
      <c r="DY254" s="17"/>
      <c r="DZ254" s="17"/>
      <c r="EA254" s="16"/>
      <c r="EB254" s="16"/>
      <c r="EC254" s="17"/>
      <c r="ED254" s="17"/>
      <c r="EE254" s="16"/>
      <c r="EF254" s="16"/>
      <c r="EG254" s="17"/>
      <c r="EH254" s="17"/>
      <c r="EI254" s="16"/>
      <c r="EJ254" s="16"/>
      <c r="EK254" s="17"/>
      <c r="EL254" s="17"/>
      <c r="EM254" s="16"/>
      <c r="EN254" s="16"/>
      <c r="EO254" s="17"/>
      <c r="EP254" s="17"/>
      <c r="EQ254" s="16"/>
      <c r="ER254" s="16"/>
      <c r="ES254" s="18">
        <v>0.5</v>
      </c>
      <c r="ET254" s="18">
        <v>1</v>
      </c>
      <c r="EU254" s="16"/>
      <c r="EV254" s="16"/>
      <c r="EW254" s="17"/>
      <c r="EX254" s="17"/>
      <c r="EY254" s="16"/>
      <c r="EZ254" s="16"/>
      <c r="FA254" s="17"/>
      <c r="FB254" s="17"/>
      <c r="FC254" s="16"/>
      <c r="FD254" s="16"/>
      <c r="FE254" s="17"/>
      <c r="FF254" s="17"/>
      <c r="FG254" s="11"/>
      <c r="GT254" s="11"/>
      <c r="IG254" s="11"/>
      <c r="JT254" s="11"/>
      <c r="LG254" s="11"/>
      <c r="MT254" s="11"/>
      <c r="OG254" s="11"/>
      <c r="PT254" s="11"/>
    </row>
    <row r="255" spans="1:436" ht="15.75" x14ac:dyDescent="0.25">
      <c r="C255" s="20" t="s">
        <v>270</v>
      </c>
      <c r="D255" s="21" t="s">
        <v>90</v>
      </c>
      <c r="H255" s="11"/>
      <c r="AU255" s="11"/>
      <c r="CH255" s="11"/>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7"/>
      <c r="DF255" s="17"/>
      <c r="DG255" s="16"/>
      <c r="DH255" s="16"/>
      <c r="DI255" s="17"/>
      <c r="DJ255" s="17"/>
      <c r="DK255" s="16"/>
      <c r="DL255" s="16"/>
      <c r="DM255" s="17"/>
      <c r="DN255" s="17"/>
      <c r="DO255" s="16"/>
      <c r="DP255" s="16"/>
      <c r="DQ255" s="17"/>
      <c r="DR255" s="17"/>
      <c r="DS255" s="16"/>
      <c r="DT255" s="16"/>
      <c r="DU255" s="17"/>
      <c r="DV255" s="17"/>
      <c r="DW255" s="16"/>
      <c r="DX255" s="16"/>
      <c r="DY255" s="17"/>
      <c r="DZ255" s="17"/>
      <c r="EA255" s="16"/>
      <c r="EB255" s="16"/>
      <c r="EC255" s="17"/>
      <c r="ED255" s="17"/>
      <c r="EE255" s="16"/>
      <c r="EF255" s="16"/>
      <c r="EG255" s="17"/>
      <c r="EH255" s="17"/>
      <c r="EI255" s="16"/>
      <c r="EJ255" s="16"/>
      <c r="EK255" s="17"/>
      <c r="EL255" s="17"/>
      <c r="EM255" s="16"/>
      <c r="EN255" s="16"/>
      <c r="EO255" s="17"/>
      <c r="EP255" s="17"/>
      <c r="EQ255" s="16"/>
      <c r="ER255" s="16"/>
      <c r="ES255" s="17"/>
      <c r="ET255" s="17"/>
      <c r="EU255" s="16"/>
      <c r="EV255" s="16"/>
      <c r="EW255" s="17"/>
      <c r="EX255" s="17"/>
      <c r="EY255" s="16"/>
      <c r="EZ255" s="16"/>
      <c r="FA255" s="17"/>
      <c r="FB255" s="17"/>
      <c r="FC255" s="16"/>
      <c r="FD255" s="16"/>
      <c r="FE255" s="17"/>
      <c r="FF255" s="17"/>
      <c r="FG255" s="11"/>
      <c r="GT255" s="11"/>
      <c r="IG255" s="11"/>
      <c r="JT255" s="11"/>
      <c r="LG255" s="11"/>
      <c r="MT255" s="11"/>
      <c r="OG255" s="11"/>
      <c r="PT255" s="11"/>
    </row>
    <row r="256" spans="1:436" ht="15.75" x14ac:dyDescent="0.25">
      <c r="A256" s="13"/>
      <c r="B256" s="14" t="s">
        <v>271</v>
      </c>
      <c r="C256" s="13"/>
      <c r="D256" s="13"/>
      <c r="E256" s="15" t="s">
        <v>76</v>
      </c>
      <c r="F256" s="15" t="s">
        <v>77</v>
      </c>
      <c r="G256" s="13"/>
      <c r="H256" s="11"/>
      <c r="AU256" s="11"/>
      <c r="CH256" s="11"/>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7"/>
      <c r="DF256" s="17"/>
      <c r="DG256" s="16"/>
      <c r="DH256" s="16"/>
      <c r="DI256" s="17"/>
      <c r="DJ256" s="17"/>
      <c r="DK256" s="16"/>
      <c r="DL256" s="16"/>
      <c r="DM256" s="17"/>
      <c r="DN256" s="17"/>
      <c r="DO256" s="16"/>
      <c r="DP256" s="16"/>
      <c r="DQ256" s="17"/>
      <c r="DR256" s="17"/>
      <c r="DS256" s="16"/>
      <c r="DT256" s="16"/>
      <c r="DU256" s="17"/>
      <c r="DV256" s="17"/>
      <c r="DW256" s="16"/>
      <c r="DX256" s="16"/>
      <c r="DY256" s="17"/>
      <c r="DZ256" s="17"/>
      <c r="EA256" s="16"/>
      <c r="EB256" s="16"/>
      <c r="EC256" s="17"/>
      <c r="ED256" s="17"/>
      <c r="EE256" s="16"/>
      <c r="EF256" s="16"/>
      <c r="EG256" s="17"/>
      <c r="EH256" s="17"/>
      <c r="EI256" s="16"/>
      <c r="EJ256" s="16"/>
      <c r="EK256" s="17"/>
      <c r="EL256" s="17"/>
      <c r="EM256" s="16"/>
      <c r="EN256" s="16"/>
      <c r="EO256" s="17"/>
      <c r="EP256" s="17"/>
      <c r="EQ256" s="16"/>
      <c r="ER256" s="16"/>
      <c r="ES256" s="17"/>
      <c r="ET256" s="17"/>
      <c r="EU256" s="16"/>
      <c r="EV256" s="16"/>
      <c r="EW256" s="17"/>
      <c r="EX256" s="17"/>
      <c r="EY256" s="16"/>
      <c r="EZ256" s="16"/>
      <c r="FA256" s="17"/>
      <c r="FB256" s="17"/>
      <c r="FC256" s="16"/>
      <c r="FD256" s="16"/>
      <c r="FE256" s="17"/>
      <c r="FF256" s="17"/>
      <c r="FG256" s="11"/>
      <c r="GT256" s="11"/>
      <c r="IG256" s="11"/>
      <c r="JT256" s="11"/>
      <c r="LG256" s="11"/>
      <c r="MT256" s="11"/>
      <c r="OG256" s="11"/>
      <c r="PT256" s="11"/>
    </row>
    <row r="257" spans="3:436" ht="15.75" x14ac:dyDescent="0.25">
      <c r="C257" s="20" t="s">
        <v>272</v>
      </c>
      <c r="D257" s="21" t="s">
        <v>84</v>
      </c>
      <c r="H257" s="11"/>
      <c r="AU257" s="11"/>
      <c r="CH257" s="11"/>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7"/>
      <c r="DF257" s="17"/>
      <c r="DG257" s="16"/>
      <c r="DH257" s="16"/>
      <c r="DI257" s="17"/>
      <c r="DJ257" s="17"/>
      <c r="DK257" s="16"/>
      <c r="DL257" s="16"/>
      <c r="DM257" s="17"/>
      <c r="DN257" s="17"/>
      <c r="DO257" s="16"/>
      <c r="DP257" s="16"/>
      <c r="DQ257" s="17"/>
      <c r="DR257" s="17"/>
      <c r="DS257" s="16"/>
      <c r="DT257" s="16"/>
      <c r="DU257" s="17"/>
      <c r="DV257" s="17"/>
      <c r="DW257" s="19">
        <v>2</v>
      </c>
      <c r="DX257" s="19">
        <v>2</v>
      </c>
      <c r="DY257" s="17"/>
      <c r="DZ257" s="17"/>
      <c r="EA257" s="16"/>
      <c r="EB257" s="16"/>
      <c r="EC257" s="17"/>
      <c r="ED257" s="17"/>
      <c r="EE257" s="16"/>
      <c r="EF257" s="16"/>
      <c r="EG257" s="17"/>
      <c r="EH257" s="17"/>
      <c r="EI257" s="16"/>
      <c r="EJ257" s="16"/>
      <c r="EK257" s="17"/>
      <c r="EL257" s="17"/>
      <c r="EM257" s="16"/>
      <c r="EN257" s="16"/>
      <c r="EO257" s="17"/>
      <c r="EP257" s="17"/>
      <c r="EQ257" s="16"/>
      <c r="ER257" s="16"/>
      <c r="ES257" s="17"/>
      <c r="ET257" s="17"/>
      <c r="EU257" s="16"/>
      <c r="EV257" s="16"/>
      <c r="EW257" s="17"/>
      <c r="EX257" s="17"/>
      <c r="EY257" s="16"/>
      <c r="EZ257" s="16"/>
      <c r="FA257" s="17"/>
      <c r="FB257" s="17"/>
      <c r="FC257" s="16"/>
      <c r="FD257" s="16"/>
      <c r="FE257" s="17"/>
      <c r="FF257" s="17"/>
      <c r="FG257" s="11"/>
      <c r="GT257" s="11"/>
      <c r="IG257" s="11"/>
      <c r="JT257" s="11"/>
      <c r="LG257" s="11"/>
      <c r="MT257" s="11"/>
      <c r="OG257" s="11"/>
      <c r="PT257" s="11"/>
    </row>
    <row r="258" spans="3:436" ht="15.75" x14ac:dyDescent="0.25">
      <c r="C258" s="20" t="s">
        <v>273</v>
      </c>
      <c r="D258" s="21" t="s">
        <v>129</v>
      </c>
      <c r="H258" s="11"/>
      <c r="AU258" s="11"/>
      <c r="CH258" s="11"/>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7"/>
      <c r="DF258" s="17"/>
      <c r="DG258" s="16"/>
      <c r="DH258" s="16"/>
      <c r="DI258" s="17"/>
      <c r="DJ258" s="17"/>
      <c r="DK258" s="16"/>
      <c r="DL258" s="16"/>
      <c r="DM258" s="17"/>
      <c r="DN258" s="17"/>
      <c r="DO258" s="16"/>
      <c r="DP258" s="16"/>
      <c r="DQ258" s="17"/>
      <c r="DR258" s="17"/>
      <c r="DS258" s="16"/>
      <c r="DT258" s="16"/>
      <c r="DU258" s="17"/>
      <c r="DV258" s="17"/>
      <c r="DW258" s="16"/>
      <c r="DX258" s="16"/>
      <c r="DY258" s="17"/>
      <c r="DZ258" s="17"/>
      <c r="EA258" s="16"/>
      <c r="EB258" s="16"/>
      <c r="EC258" s="17"/>
      <c r="ED258" s="17"/>
      <c r="EE258" s="16"/>
      <c r="EF258" s="16"/>
      <c r="EG258" s="17"/>
      <c r="EH258" s="17"/>
      <c r="EI258" s="16"/>
      <c r="EJ258" s="16"/>
      <c r="EK258" s="17"/>
      <c r="EL258" s="17"/>
      <c r="EM258" s="16"/>
      <c r="EN258" s="16"/>
      <c r="EO258" s="17"/>
      <c r="EP258" s="17"/>
      <c r="EQ258" s="16"/>
      <c r="ER258" s="16"/>
      <c r="ES258" s="17"/>
      <c r="ET258" s="17"/>
      <c r="EU258" s="16"/>
      <c r="EV258" s="16"/>
      <c r="EW258" s="17"/>
      <c r="EX258" s="17"/>
      <c r="EY258" s="16"/>
      <c r="EZ258" s="16"/>
      <c r="FA258" s="17"/>
      <c r="FB258" s="17"/>
      <c r="FC258" s="16"/>
      <c r="FD258" s="16"/>
      <c r="FE258" s="17"/>
      <c r="FF258" s="17"/>
      <c r="FG258" s="11"/>
      <c r="GT258" s="11"/>
      <c r="IG258" s="11"/>
      <c r="JT258" s="11"/>
      <c r="LG258" s="11"/>
      <c r="MT258" s="11"/>
      <c r="OG258" s="11"/>
      <c r="PT258" s="11"/>
    </row>
    <row r="259" spans="3:436" ht="15.75" x14ac:dyDescent="0.25">
      <c r="C259" s="20" t="s">
        <v>274</v>
      </c>
      <c r="D259" s="21" t="s">
        <v>82</v>
      </c>
      <c r="H259" s="11"/>
      <c r="AU259" s="11"/>
      <c r="CH259" s="11"/>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7"/>
      <c r="DF259" s="17"/>
      <c r="DG259" s="16"/>
      <c r="DH259" s="16"/>
      <c r="DI259" s="17"/>
      <c r="DJ259" s="17"/>
      <c r="DK259" s="16"/>
      <c r="DL259" s="16"/>
      <c r="DM259" s="17"/>
      <c r="DN259" s="17"/>
      <c r="DO259" s="16"/>
      <c r="DP259" s="16"/>
      <c r="DQ259" s="17"/>
      <c r="DR259" s="17"/>
      <c r="DS259" s="16"/>
      <c r="DT259" s="16"/>
      <c r="DU259" s="17"/>
      <c r="DV259" s="17"/>
      <c r="DW259" s="16"/>
      <c r="DX259" s="16"/>
      <c r="DY259" s="17"/>
      <c r="DZ259" s="17"/>
      <c r="EA259" s="16"/>
      <c r="EB259" s="16"/>
      <c r="EC259" s="17"/>
      <c r="ED259" s="17"/>
      <c r="EE259" s="16"/>
      <c r="EF259" s="16"/>
      <c r="EG259" s="17"/>
      <c r="EH259" s="17"/>
      <c r="EI259" s="16"/>
      <c r="EJ259" s="16"/>
      <c r="EK259" s="17"/>
      <c r="EL259" s="17"/>
      <c r="EM259" s="16"/>
      <c r="EN259" s="16"/>
      <c r="EO259" s="17"/>
      <c r="EP259" s="17"/>
      <c r="EQ259" s="16"/>
      <c r="ER259" s="16"/>
      <c r="ES259" s="17"/>
      <c r="ET259" s="17"/>
      <c r="EU259" s="16"/>
      <c r="EV259" s="16"/>
      <c r="EW259" s="17"/>
      <c r="EX259" s="17"/>
      <c r="EY259" s="16"/>
      <c r="EZ259" s="16"/>
      <c r="FA259" s="17"/>
      <c r="FB259" s="17"/>
      <c r="FC259" s="16"/>
      <c r="FD259" s="16"/>
      <c r="FE259" s="17"/>
      <c r="FF259" s="17"/>
      <c r="FG259" s="11"/>
      <c r="GT259" s="11"/>
      <c r="IG259" s="11"/>
      <c r="JT259" s="11"/>
      <c r="LG259" s="11"/>
      <c r="MT259" s="11"/>
      <c r="OG259" s="11"/>
      <c r="PT259" s="11"/>
    </row>
    <row r="260" spans="3:436" ht="15.75" x14ac:dyDescent="0.25">
      <c r="C260" s="20" t="s">
        <v>275</v>
      </c>
      <c r="D260" s="21" t="s">
        <v>203</v>
      </c>
      <c r="H260" s="11"/>
      <c r="AU260" s="11"/>
      <c r="CH260" s="11"/>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7"/>
      <c r="DF260" s="17"/>
      <c r="DG260" s="16"/>
      <c r="DH260" s="16"/>
      <c r="DI260" s="17"/>
      <c r="DJ260" s="17"/>
      <c r="DK260" s="16"/>
      <c r="DL260" s="16"/>
      <c r="DM260" s="17"/>
      <c r="DN260" s="17"/>
      <c r="DO260" s="16"/>
      <c r="DP260" s="16"/>
      <c r="DQ260" s="17"/>
      <c r="DR260" s="17"/>
      <c r="DS260" s="16"/>
      <c r="DT260" s="16"/>
      <c r="DU260" s="17"/>
      <c r="DV260" s="17"/>
      <c r="DW260" s="16"/>
      <c r="DX260" s="16"/>
      <c r="DY260" s="17"/>
      <c r="DZ260" s="17"/>
      <c r="EA260" s="16"/>
      <c r="EB260" s="16"/>
      <c r="EC260" s="17"/>
      <c r="ED260" s="17"/>
      <c r="EE260" s="16"/>
      <c r="EF260" s="16"/>
      <c r="EG260" s="17"/>
      <c r="EH260" s="17"/>
      <c r="EI260" s="16"/>
      <c r="EJ260" s="16"/>
      <c r="EK260" s="17"/>
      <c r="EL260" s="17"/>
      <c r="EM260" s="16"/>
      <c r="EN260" s="16"/>
      <c r="EO260" s="17"/>
      <c r="EP260" s="17"/>
      <c r="EQ260" s="16"/>
      <c r="ER260" s="16"/>
      <c r="ES260" s="17"/>
      <c r="ET260" s="17"/>
      <c r="EU260" s="16"/>
      <c r="EV260" s="16"/>
      <c r="EW260" s="17"/>
      <c r="EX260" s="17"/>
      <c r="EY260" s="16"/>
      <c r="EZ260" s="16"/>
      <c r="FA260" s="17"/>
      <c r="FB260" s="17"/>
      <c r="FC260" s="16"/>
      <c r="FD260" s="16"/>
      <c r="FE260" s="17"/>
      <c r="FF260" s="17"/>
      <c r="FG260" s="11"/>
      <c r="GT260" s="11"/>
      <c r="IG260" s="11"/>
      <c r="JT260" s="11"/>
      <c r="LG260" s="11"/>
      <c r="MT260" s="11"/>
      <c r="OG260" s="11"/>
      <c r="PT260" s="11"/>
    </row>
    <row r="261" spans="3:436" ht="15.75" x14ac:dyDescent="0.25">
      <c r="C261" s="20" t="s">
        <v>276</v>
      </c>
      <c r="D261" s="21" t="s">
        <v>104</v>
      </c>
      <c r="H261" s="11"/>
      <c r="AU261" s="11"/>
      <c r="CH261" s="11"/>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7"/>
      <c r="DF261" s="17"/>
      <c r="DG261" s="16"/>
      <c r="DH261" s="16"/>
      <c r="DI261" s="17"/>
      <c r="DJ261" s="17"/>
      <c r="DK261" s="16"/>
      <c r="DL261" s="16"/>
      <c r="DM261" s="17"/>
      <c r="DN261" s="17"/>
      <c r="DO261" s="16"/>
      <c r="DP261" s="16"/>
      <c r="DQ261" s="17"/>
      <c r="DR261" s="17"/>
      <c r="DS261" s="16"/>
      <c r="DT261" s="16"/>
      <c r="DU261" s="17"/>
      <c r="DV261" s="17"/>
      <c r="DW261" s="16"/>
      <c r="DX261" s="16"/>
      <c r="DY261" s="17"/>
      <c r="DZ261" s="17"/>
      <c r="EA261" s="16"/>
      <c r="EB261" s="16"/>
      <c r="EC261" s="17"/>
      <c r="ED261" s="17"/>
      <c r="EE261" s="16"/>
      <c r="EF261" s="16"/>
      <c r="EG261" s="17"/>
      <c r="EH261" s="17"/>
      <c r="EI261" s="16"/>
      <c r="EJ261" s="16"/>
      <c r="EK261" s="17"/>
      <c r="EL261" s="17"/>
      <c r="EM261" s="16"/>
      <c r="EN261" s="16"/>
      <c r="EO261" s="17"/>
      <c r="EP261" s="17"/>
      <c r="EQ261" s="16"/>
      <c r="ER261" s="16"/>
      <c r="ES261" s="17"/>
      <c r="ET261" s="17"/>
      <c r="EU261" s="16"/>
      <c r="EV261" s="16"/>
      <c r="EW261" s="17"/>
      <c r="EX261" s="17"/>
      <c r="EY261" s="16"/>
      <c r="EZ261" s="16"/>
      <c r="FA261" s="17"/>
      <c r="FB261" s="17"/>
      <c r="FC261" s="19">
        <v>1</v>
      </c>
      <c r="FD261" s="19">
        <v>2</v>
      </c>
      <c r="FE261" s="17"/>
      <c r="FF261" s="17"/>
      <c r="FG261" s="11"/>
      <c r="GT261" s="11"/>
      <c r="IG261" s="11"/>
      <c r="JT261" s="11"/>
      <c r="LG261" s="11"/>
      <c r="MT261" s="11"/>
      <c r="OG261" s="11"/>
      <c r="PT261" s="11"/>
    </row>
    <row r="262" spans="3:436" ht="15.75" x14ac:dyDescent="0.25">
      <c r="C262" s="20" t="s">
        <v>277</v>
      </c>
      <c r="D262" s="21" t="s">
        <v>142</v>
      </c>
      <c r="H262" s="11"/>
      <c r="AU262" s="11"/>
      <c r="CH262" s="11"/>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7"/>
      <c r="DF262" s="17"/>
      <c r="DG262" s="16"/>
      <c r="DH262" s="16"/>
      <c r="DI262" s="17"/>
      <c r="DJ262" s="17"/>
      <c r="DK262" s="16"/>
      <c r="DL262" s="16"/>
      <c r="DM262" s="17"/>
      <c r="DN262" s="17"/>
      <c r="DO262" s="16"/>
      <c r="DP262" s="16"/>
      <c r="DQ262" s="17"/>
      <c r="DR262" s="17"/>
      <c r="DS262" s="16"/>
      <c r="DT262" s="16"/>
      <c r="DU262" s="17"/>
      <c r="DV262" s="17"/>
      <c r="DW262" s="16"/>
      <c r="DX262" s="16"/>
      <c r="DY262" s="17"/>
      <c r="DZ262" s="17"/>
      <c r="EA262" s="16"/>
      <c r="EB262" s="16"/>
      <c r="EC262" s="17"/>
      <c r="ED262" s="17"/>
      <c r="EE262" s="16"/>
      <c r="EF262" s="16"/>
      <c r="EG262" s="17"/>
      <c r="EH262" s="17"/>
      <c r="EI262" s="16"/>
      <c r="EJ262" s="16"/>
      <c r="EK262" s="17"/>
      <c r="EL262" s="17"/>
      <c r="EM262" s="16"/>
      <c r="EN262" s="16"/>
      <c r="EO262" s="17"/>
      <c r="EP262" s="17"/>
      <c r="EQ262" s="16"/>
      <c r="ER262" s="16"/>
      <c r="ES262" s="17"/>
      <c r="ET262" s="17"/>
      <c r="EU262" s="16"/>
      <c r="EV262" s="16"/>
      <c r="EW262" s="17"/>
      <c r="EX262" s="17"/>
      <c r="EY262" s="16"/>
      <c r="EZ262" s="16"/>
      <c r="FA262" s="17"/>
      <c r="FB262" s="17"/>
      <c r="FC262" s="16"/>
      <c r="FD262" s="16"/>
      <c r="FE262" s="17"/>
      <c r="FF262" s="17"/>
      <c r="FG262" s="11"/>
      <c r="GT262" s="11"/>
      <c r="IG262" s="11"/>
      <c r="JT262" s="11"/>
      <c r="LG262" s="11"/>
      <c r="MT262" s="11"/>
      <c r="OG262" s="11"/>
      <c r="PT262" s="11"/>
    </row>
    <row r="263" spans="3:436" ht="15.75" x14ac:dyDescent="0.25">
      <c r="C263" s="20" t="s">
        <v>278</v>
      </c>
      <c r="D263" s="21" t="s">
        <v>162</v>
      </c>
      <c r="H263" s="11"/>
      <c r="AU263" s="11"/>
      <c r="CH263" s="11"/>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7"/>
      <c r="DF263" s="17"/>
      <c r="DG263" s="16"/>
      <c r="DH263" s="16"/>
      <c r="DI263" s="17"/>
      <c r="DJ263" s="17"/>
      <c r="DK263" s="16"/>
      <c r="DL263" s="16"/>
      <c r="DM263" s="17"/>
      <c r="DN263" s="17"/>
      <c r="DO263" s="16"/>
      <c r="DP263" s="16"/>
      <c r="DQ263" s="17"/>
      <c r="DR263" s="17"/>
      <c r="DS263" s="16"/>
      <c r="DT263" s="16"/>
      <c r="DU263" s="17"/>
      <c r="DV263" s="17"/>
      <c r="DW263" s="16"/>
      <c r="DX263" s="16"/>
      <c r="DY263" s="17"/>
      <c r="DZ263" s="17"/>
      <c r="EA263" s="16"/>
      <c r="EB263" s="16"/>
      <c r="EC263" s="17"/>
      <c r="ED263" s="17"/>
      <c r="EE263" s="16"/>
      <c r="EF263" s="16"/>
      <c r="EG263" s="17"/>
      <c r="EH263" s="17"/>
      <c r="EI263" s="16"/>
      <c r="EJ263" s="16"/>
      <c r="EK263" s="17"/>
      <c r="EL263" s="17"/>
      <c r="EM263" s="16"/>
      <c r="EN263" s="16"/>
      <c r="EO263" s="17"/>
      <c r="EP263" s="17"/>
      <c r="EQ263" s="16"/>
      <c r="ER263" s="16"/>
      <c r="ES263" s="17"/>
      <c r="ET263" s="17"/>
      <c r="EU263" s="16"/>
      <c r="EV263" s="16"/>
      <c r="EW263" s="17"/>
      <c r="EX263" s="17"/>
      <c r="EY263" s="16"/>
      <c r="EZ263" s="16"/>
      <c r="FA263" s="17"/>
      <c r="FB263" s="17"/>
      <c r="FC263" s="16"/>
      <c r="FD263" s="16"/>
      <c r="FE263" s="17"/>
      <c r="FF263" s="17"/>
      <c r="FG263" s="11"/>
      <c r="GT263" s="11"/>
      <c r="IG263" s="11"/>
      <c r="JT263" s="11"/>
      <c r="LG263" s="11"/>
      <c r="MT263" s="11"/>
      <c r="OG263" s="11"/>
      <c r="PT263" s="11"/>
    </row>
    <row r="264" spans="3:436" ht="15.75" x14ac:dyDescent="0.25">
      <c r="C264" s="20" t="s">
        <v>279</v>
      </c>
      <c r="D264" s="21" t="s">
        <v>90</v>
      </c>
      <c r="H264" s="11"/>
      <c r="AU264" s="11"/>
      <c r="CH264" s="11"/>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7"/>
      <c r="DF264" s="17"/>
      <c r="DG264" s="16"/>
      <c r="DH264" s="16"/>
      <c r="DI264" s="17"/>
      <c r="DJ264" s="17"/>
      <c r="DK264" s="16"/>
      <c r="DL264" s="16"/>
      <c r="DM264" s="17"/>
      <c r="DN264" s="17"/>
      <c r="DO264" s="16"/>
      <c r="DP264" s="16"/>
      <c r="DQ264" s="17"/>
      <c r="DR264" s="17"/>
      <c r="DS264" s="16"/>
      <c r="DT264" s="16"/>
      <c r="DU264" s="17"/>
      <c r="DV264" s="17"/>
      <c r="DW264" s="16"/>
      <c r="DX264" s="16"/>
      <c r="DY264" s="17"/>
      <c r="DZ264" s="17"/>
      <c r="EA264" s="16"/>
      <c r="EB264" s="16"/>
      <c r="EC264" s="17"/>
      <c r="ED264" s="17"/>
      <c r="EE264" s="16"/>
      <c r="EF264" s="16"/>
      <c r="EG264" s="17"/>
      <c r="EH264" s="17"/>
      <c r="EI264" s="16"/>
      <c r="EJ264" s="16"/>
      <c r="EK264" s="17"/>
      <c r="EL264" s="17"/>
      <c r="EM264" s="16"/>
      <c r="EN264" s="16"/>
      <c r="EO264" s="17"/>
      <c r="EP264" s="17"/>
      <c r="EQ264" s="16"/>
      <c r="ER264" s="16"/>
      <c r="ES264" s="17"/>
      <c r="ET264" s="17"/>
      <c r="EU264" s="16"/>
      <c r="EV264" s="16"/>
      <c r="EW264" s="17"/>
      <c r="EX264" s="17"/>
      <c r="EY264" s="16"/>
      <c r="EZ264" s="16"/>
      <c r="FA264" s="17"/>
      <c r="FB264" s="17"/>
      <c r="FC264" s="16"/>
      <c r="FD264" s="16"/>
      <c r="FE264" s="17"/>
      <c r="FF264" s="17"/>
      <c r="FG264" s="11"/>
      <c r="GT264" s="11"/>
      <c r="IG264" s="11"/>
      <c r="JT264" s="11"/>
      <c r="LG264" s="11"/>
      <c r="MT264" s="11"/>
      <c r="OG264" s="11"/>
      <c r="PT264" s="11"/>
    </row>
    <row r="265" spans="3:436" ht="15.75" x14ac:dyDescent="0.25">
      <c r="C265" s="20" t="s">
        <v>280</v>
      </c>
      <c r="D265" s="21" t="s">
        <v>82</v>
      </c>
      <c r="H265" s="11"/>
      <c r="AU265" s="11"/>
      <c r="CH265" s="11"/>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7"/>
      <c r="DF265" s="17"/>
      <c r="DG265" s="16"/>
      <c r="DH265" s="16"/>
      <c r="DI265" s="17"/>
      <c r="DJ265" s="17"/>
      <c r="DK265" s="16"/>
      <c r="DL265" s="16"/>
      <c r="DM265" s="17"/>
      <c r="DN265" s="17"/>
      <c r="DO265" s="16"/>
      <c r="DP265" s="16"/>
      <c r="DQ265" s="17"/>
      <c r="DR265" s="17"/>
      <c r="DS265" s="16"/>
      <c r="DT265" s="16"/>
      <c r="DU265" s="17"/>
      <c r="DV265" s="17"/>
      <c r="DW265" s="16"/>
      <c r="DX265" s="16"/>
      <c r="DY265" s="17"/>
      <c r="DZ265" s="17"/>
      <c r="EA265" s="16"/>
      <c r="EB265" s="16"/>
      <c r="EC265" s="17"/>
      <c r="ED265" s="17"/>
      <c r="EE265" s="16"/>
      <c r="EF265" s="16"/>
      <c r="EG265" s="17"/>
      <c r="EH265" s="17"/>
      <c r="EI265" s="16"/>
      <c r="EJ265" s="16"/>
      <c r="EK265" s="17"/>
      <c r="EL265" s="17"/>
      <c r="EM265" s="16"/>
      <c r="EN265" s="16"/>
      <c r="EO265" s="17"/>
      <c r="EP265" s="17"/>
      <c r="EQ265" s="16"/>
      <c r="ER265" s="16"/>
      <c r="ES265" s="17"/>
      <c r="ET265" s="17"/>
      <c r="EU265" s="16"/>
      <c r="EV265" s="16"/>
      <c r="EW265" s="17"/>
      <c r="EX265" s="17"/>
      <c r="EY265" s="16"/>
      <c r="EZ265" s="16"/>
      <c r="FA265" s="17"/>
      <c r="FB265" s="17"/>
      <c r="FC265" s="16"/>
      <c r="FD265" s="16"/>
      <c r="FE265" s="17"/>
      <c r="FF265" s="17"/>
      <c r="FG265" s="11"/>
      <c r="GT265" s="11"/>
      <c r="IG265" s="11"/>
      <c r="JT265" s="11"/>
      <c r="LG265" s="11"/>
      <c r="MT265" s="11"/>
      <c r="OG265" s="11"/>
      <c r="PT265" s="11"/>
    </row>
    <row r="266" spans="3:436" ht="15.75" x14ac:dyDescent="0.25">
      <c r="C266" s="20" t="s">
        <v>281</v>
      </c>
      <c r="D266" s="21" t="s">
        <v>146</v>
      </c>
      <c r="H266" s="11"/>
      <c r="AU266" s="11"/>
      <c r="CH266" s="11"/>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7"/>
      <c r="DF266" s="17"/>
      <c r="DG266" s="16"/>
      <c r="DH266" s="16"/>
      <c r="DI266" s="17"/>
      <c r="DJ266" s="17"/>
      <c r="DK266" s="16"/>
      <c r="DL266" s="16"/>
      <c r="DM266" s="17"/>
      <c r="DN266" s="17"/>
      <c r="DO266" s="16"/>
      <c r="DP266" s="16"/>
      <c r="DQ266" s="18">
        <v>1</v>
      </c>
      <c r="DR266" s="18">
        <v>2</v>
      </c>
      <c r="DS266" s="16"/>
      <c r="DT266" s="16"/>
      <c r="DU266" s="17"/>
      <c r="DV266" s="17"/>
      <c r="DW266" s="16"/>
      <c r="DX266" s="16"/>
      <c r="DY266" s="17"/>
      <c r="DZ266" s="17"/>
      <c r="EA266" s="16"/>
      <c r="EB266" s="16"/>
      <c r="EC266" s="17"/>
      <c r="ED266" s="17"/>
      <c r="EE266" s="16"/>
      <c r="EF266" s="16"/>
      <c r="EG266" s="17"/>
      <c r="EH266" s="17"/>
      <c r="EI266" s="16"/>
      <c r="EJ266" s="16"/>
      <c r="EK266" s="17"/>
      <c r="EL266" s="17"/>
      <c r="EM266" s="16"/>
      <c r="EN266" s="16"/>
      <c r="EO266" s="17"/>
      <c r="EP266" s="17"/>
      <c r="EQ266" s="16"/>
      <c r="ER266" s="16"/>
      <c r="ES266" s="17"/>
      <c r="ET266" s="17"/>
      <c r="EU266" s="16"/>
      <c r="EV266" s="16"/>
      <c r="EW266" s="17"/>
      <c r="EX266" s="17"/>
      <c r="EY266" s="16"/>
      <c r="EZ266" s="16"/>
      <c r="FA266" s="17"/>
      <c r="FB266" s="17"/>
      <c r="FC266" s="16"/>
      <c r="FD266" s="16"/>
      <c r="FE266" s="17"/>
      <c r="FF266" s="17"/>
      <c r="FG266" s="11"/>
      <c r="GT266" s="11"/>
      <c r="IG266" s="11"/>
      <c r="JT266" s="11"/>
      <c r="LG266" s="11"/>
      <c r="MT266" s="11"/>
      <c r="OG266" s="11"/>
      <c r="PT266" s="11"/>
    </row>
    <row r="267" spans="3:436" ht="15.75" x14ac:dyDescent="0.25">
      <c r="C267" s="20" t="s">
        <v>282</v>
      </c>
      <c r="D267" s="21" t="s">
        <v>104</v>
      </c>
      <c r="H267" s="11"/>
      <c r="AU267" s="11"/>
      <c r="CH267" s="11"/>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7"/>
      <c r="DF267" s="17"/>
      <c r="DG267" s="16"/>
      <c r="DH267" s="16"/>
      <c r="DI267" s="17"/>
      <c r="DJ267" s="17"/>
      <c r="DK267" s="16"/>
      <c r="DL267" s="16"/>
      <c r="DM267" s="17"/>
      <c r="DN267" s="17"/>
      <c r="DO267" s="16"/>
      <c r="DP267" s="16"/>
      <c r="DQ267" s="17"/>
      <c r="DR267" s="17"/>
      <c r="DS267" s="16"/>
      <c r="DT267" s="16"/>
      <c r="DU267" s="17"/>
      <c r="DV267" s="17"/>
      <c r="DW267" s="16"/>
      <c r="DX267" s="16"/>
      <c r="DY267" s="17"/>
      <c r="DZ267" s="17"/>
      <c r="EA267" s="16"/>
      <c r="EB267" s="16"/>
      <c r="EC267" s="17"/>
      <c r="ED267" s="17"/>
      <c r="EE267" s="16"/>
      <c r="EF267" s="16"/>
      <c r="EG267" s="17"/>
      <c r="EH267" s="17"/>
      <c r="EI267" s="16"/>
      <c r="EJ267" s="16"/>
      <c r="EK267" s="17"/>
      <c r="EL267" s="17"/>
      <c r="EM267" s="16"/>
      <c r="EN267" s="16"/>
      <c r="EO267" s="17"/>
      <c r="EP267" s="17"/>
      <c r="EQ267" s="16"/>
      <c r="ER267" s="16"/>
      <c r="ES267" s="17"/>
      <c r="ET267" s="17"/>
      <c r="EU267" s="16"/>
      <c r="EV267" s="16"/>
      <c r="EW267" s="17"/>
      <c r="EX267" s="17"/>
      <c r="EY267" s="16"/>
      <c r="EZ267" s="16"/>
      <c r="FA267" s="17"/>
      <c r="FB267" s="17"/>
      <c r="FC267" s="19">
        <v>2</v>
      </c>
      <c r="FD267" s="19">
        <v>4</v>
      </c>
      <c r="FE267" s="17"/>
      <c r="FF267" s="17"/>
      <c r="FG267" s="11"/>
      <c r="GT267" s="11"/>
      <c r="IG267" s="11"/>
      <c r="JT267" s="11"/>
      <c r="LG267" s="11"/>
      <c r="MT267" s="11"/>
      <c r="OG267" s="11"/>
      <c r="PT267" s="11"/>
    </row>
    <row r="268" spans="3:436" ht="15.75" x14ac:dyDescent="0.25">
      <c r="C268" s="20" t="s">
        <v>283</v>
      </c>
      <c r="D268" s="21" t="s">
        <v>79</v>
      </c>
      <c r="H268" s="11"/>
      <c r="AU268" s="11"/>
      <c r="CH268" s="11"/>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7"/>
      <c r="DF268" s="17"/>
      <c r="DG268" s="16"/>
      <c r="DH268" s="16"/>
      <c r="DI268" s="18">
        <v>5</v>
      </c>
      <c r="DJ268" s="18">
        <v>8</v>
      </c>
      <c r="DK268" s="16"/>
      <c r="DL268" s="16"/>
      <c r="DM268" s="17"/>
      <c r="DN268" s="17"/>
      <c r="DO268" s="16"/>
      <c r="DP268" s="16"/>
      <c r="DQ268" s="17"/>
      <c r="DR268" s="17"/>
      <c r="DS268" s="16"/>
      <c r="DT268" s="16"/>
      <c r="DU268" s="17"/>
      <c r="DV268" s="17"/>
      <c r="DW268" s="16"/>
      <c r="DX268" s="16"/>
      <c r="DY268" s="17"/>
      <c r="DZ268" s="17"/>
      <c r="EA268" s="16"/>
      <c r="EB268" s="16"/>
      <c r="EC268" s="17"/>
      <c r="ED268" s="17"/>
      <c r="EE268" s="16"/>
      <c r="EF268" s="16"/>
      <c r="EG268" s="17"/>
      <c r="EH268" s="17"/>
      <c r="EI268" s="16"/>
      <c r="EJ268" s="16"/>
      <c r="EK268" s="17"/>
      <c r="EL268" s="17"/>
      <c r="EM268" s="16"/>
      <c r="EN268" s="16"/>
      <c r="EO268" s="17"/>
      <c r="EP268" s="17"/>
      <c r="EQ268" s="16"/>
      <c r="ER268" s="16"/>
      <c r="ES268" s="17"/>
      <c r="ET268" s="17"/>
      <c r="EU268" s="16"/>
      <c r="EV268" s="16"/>
      <c r="EW268" s="17"/>
      <c r="EX268" s="17"/>
      <c r="EY268" s="16"/>
      <c r="EZ268" s="16"/>
      <c r="FA268" s="17"/>
      <c r="FB268" s="17"/>
      <c r="FC268" s="16"/>
      <c r="FD268" s="16"/>
      <c r="FE268" s="17"/>
      <c r="FF268" s="17"/>
      <c r="FG268" s="11"/>
      <c r="GT268" s="11"/>
      <c r="IG268" s="11"/>
      <c r="JT268" s="11"/>
      <c r="LG268" s="11"/>
      <c r="MT268" s="11"/>
      <c r="OG268" s="11"/>
      <c r="PT268" s="11"/>
    </row>
    <row r="269" spans="3:436" ht="15.75" x14ac:dyDescent="0.25">
      <c r="C269" s="20" t="s">
        <v>284</v>
      </c>
      <c r="D269" s="21" t="s">
        <v>146</v>
      </c>
      <c r="H269" s="11"/>
      <c r="AU269" s="11"/>
      <c r="CH269" s="11"/>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7"/>
      <c r="DF269" s="17"/>
      <c r="DG269" s="16"/>
      <c r="DH269" s="16"/>
      <c r="DI269" s="17"/>
      <c r="DJ269" s="17"/>
      <c r="DK269" s="16"/>
      <c r="DL269" s="16"/>
      <c r="DM269" s="17"/>
      <c r="DN269" s="17"/>
      <c r="DO269" s="16"/>
      <c r="DP269" s="16"/>
      <c r="DQ269" s="18">
        <v>0.5</v>
      </c>
      <c r="DR269" s="18">
        <v>2</v>
      </c>
      <c r="DS269" s="16"/>
      <c r="DT269" s="16"/>
      <c r="DU269" s="17"/>
      <c r="DV269" s="17"/>
      <c r="DW269" s="16"/>
      <c r="DX269" s="16"/>
      <c r="DY269" s="17"/>
      <c r="DZ269" s="17"/>
      <c r="EA269" s="16"/>
      <c r="EB269" s="16"/>
      <c r="EC269" s="17"/>
      <c r="ED269" s="17"/>
      <c r="EE269" s="16"/>
      <c r="EF269" s="16"/>
      <c r="EG269" s="17"/>
      <c r="EH269" s="17"/>
      <c r="EI269" s="16"/>
      <c r="EJ269" s="16"/>
      <c r="EK269" s="17"/>
      <c r="EL269" s="17"/>
      <c r="EM269" s="16"/>
      <c r="EN269" s="16"/>
      <c r="EO269" s="17"/>
      <c r="EP269" s="17"/>
      <c r="EQ269" s="16"/>
      <c r="ER269" s="16"/>
      <c r="ES269" s="17"/>
      <c r="ET269" s="17"/>
      <c r="EU269" s="16"/>
      <c r="EV269" s="16"/>
      <c r="EW269" s="17"/>
      <c r="EX269" s="17"/>
      <c r="EY269" s="16"/>
      <c r="EZ269" s="16"/>
      <c r="FA269" s="17"/>
      <c r="FB269" s="17"/>
      <c r="FC269" s="16"/>
      <c r="FD269" s="16"/>
      <c r="FE269" s="17"/>
      <c r="FF269" s="17"/>
      <c r="FG269" s="11"/>
      <c r="GT269" s="11"/>
      <c r="IG269" s="11"/>
      <c r="JT269" s="11"/>
      <c r="LG269" s="11"/>
      <c r="MT269" s="11"/>
      <c r="OG269" s="11"/>
      <c r="PT269" s="11"/>
    </row>
    <row r="270" spans="3:436" ht="15.75" x14ac:dyDescent="0.25">
      <c r="C270" s="20" t="s">
        <v>285</v>
      </c>
      <c r="D270" s="21" t="s">
        <v>104</v>
      </c>
      <c r="H270" s="11"/>
      <c r="AU270" s="11"/>
      <c r="CH270" s="11"/>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7"/>
      <c r="DF270" s="17"/>
      <c r="DG270" s="16"/>
      <c r="DH270" s="16"/>
      <c r="DI270" s="17"/>
      <c r="DJ270" s="17"/>
      <c r="DK270" s="16"/>
      <c r="DL270" s="16"/>
      <c r="DM270" s="17"/>
      <c r="DN270" s="17"/>
      <c r="DO270" s="16"/>
      <c r="DP270" s="16"/>
      <c r="DQ270" s="17"/>
      <c r="DR270" s="17"/>
      <c r="DS270" s="16"/>
      <c r="DT270" s="16"/>
      <c r="DU270" s="17"/>
      <c r="DV270" s="17"/>
      <c r="DW270" s="16"/>
      <c r="DX270" s="16"/>
      <c r="DY270" s="17"/>
      <c r="DZ270" s="17"/>
      <c r="EA270" s="16"/>
      <c r="EB270" s="16"/>
      <c r="EC270" s="17"/>
      <c r="ED270" s="17"/>
      <c r="EE270" s="16"/>
      <c r="EF270" s="16"/>
      <c r="EG270" s="17"/>
      <c r="EH270" s="17"/>
      <c r="EI270" s="16"/>
      <c r="EJ270" s="16"/>
      <c r="EK270" s="17"/>
      <c r="EL270" s="17"/>
      <c r="EM270" s="16"/>
      <c r="EN270" s="16"/>
      <c r="EO270" s="17"/>
      <c r="EP270" s="17"/>
      <c r="EQ270" s="16"/>
      <c r="ER270" s="16"/>
      <c r="ES270" s="17"/>
      <c r="ET270" s="17"/>
      <c r="EU270" s="16"/>
      <c r="EV270" s="16"/>
      <c r="EW270" s="17"/>
      <c r="EX270" s="17"/>
      <c r="EY270" s="16"/>
      <c r="EZ270" s="16"/>
      <c r="FA270" s="17"/>
      <c r="FB270" s="17"/>
      <c r="FC270" s="19">
        <v>7</v>
      </c>
      <c r="FD270" s="19">
        <v>8</v>
      </c>
      <c r="FE270" s="17"/>
      <c r="FF270" s="17"/>
      <c r="FG270" s="11"/>
      <c r="GT270" s="11"/>
      <c r="IG270" s="11"/>
      <c r="JT270" s="11"/>
      <c r="LG270" s="11"/>
      <c r="MT270" s="11"/>
      <c r="OG270" s="11"/>
      <c r="PT270" s="11"/>
    </row>
    <row r="271" spans="3:436" ht="15.75" x14ac:dyDescent="0.25">
      <c r="C271" s="20" t="s">
        <v>286</v>
      </c>
      <c r="D271" s="21" t="s">
        <v>90</v>
      </c>
      <c r="H271" s="11"/>
      <c r="AU271" s="11"/>
      <c r="CH271" s="11"/>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7"/>
      <c r="DF271" s="17"/>
      <c r="DG271" s="16"/>
      <c r="DH271" s="16"/>
      <c r="DI271" s="17"/>
      <c r="DJ271" s="17"/>
      <c r="DK271" s="16"/>
      <c r="DL271" s="16"/>
      <c r="DM271" s="17"/>
      <c r="DN271" s="17"/>
      <c r="DO271" s="16"/>
      <c r="DP271" s="16"/>
      <c r="DQ271" s="17"/>
      <c r="DR271" s="17"/>
      <c r="DS271" s="16"/>
      <c r="DT271" s="16"/>
      <c r="DU271" s="17"/>
      <c r="DV271" s="17"/>
      <c r="DW271" s="16"/>
      <c r="DX271" s="16"/>
      <c r="DY271" s="17"/>
      <c r="DZ271" s="17"/>
      <c r="EA271" s="16"/>
      <c r="EB271" s="16"/>
      <c r="EC271" s="17"/>
      <c r="ED271" s="17"/>
      <c r="EE271" s="16"/>
      <c r="EF271" s="16"/>
      <c r="EG271" s="17"/>
      <c r="EH271" s="17"/>
      <c r="EI271" s="16"/>
      <c r="EJ271" s="16"/>
      <c r="EK271" s="17"/>
      <c r="EL271" s="17"/>
      <c r="EM271" s="16"/>
      <c r="EN271" s="16"/>
      <c r="EO271" s="17"/>
      <c r="EP271" s="17"/>
      <c r="EQ271" s="16"/>
      <c r="ER271" s="16"/>
      <c r="ES271" s="17"/>
      <c r="ET271" s="17"/>
      <c r="EU271" s="16"/>
      <c r="EV271" s="16"/>
      <c r="EW271" s="17"/>
      <c r="EX271" s="17"/>
      <c r="EY271" s="16"/>
      <c r="EZ271" s="16"/>
      <c r="FA271" s="17"/>
      <c r="FB271" s="17"/>
      <c r="FC271" s="16"/>
      <c r="FD271" s="16"/>
      <c r="FE271" s="17"/>
      <c r="FF271" s="17"/>
      <c r="FG271" s="11"/>
      <c r="GT271" s="11"/>
      <c r="IG271" s="11"/>
      <c r="JT271" s="11"/>
      <c r="LG271" s="11"/>
      <c r="MT271" s="11"/>
      <c r="OG271" s="11"/>
      <c r="PT271" s="11"/>
    </row>
    <row r="272" spans="3:436" ht="15.75" x14ac:dyDescent="0.25">
      <c r="C272" s="20" t="s">
        <v>287</v>
      </c>
      <c r="D272" s="21" t="s">
        <v>79</v>
      </c>
      <c r="H272" s="11"/>
      <c r="AU272" s="11"/>
      <c r="CH272" s="11"/>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7"/>
      <c r="DF272" s="17"/>
      <c r="DG272" s="16"/>
      <c r="DH272" s="16"/>
      <c r="DI272" s="18">
        <v>3</v>
      </c>
      <c r="DJ272" s="18">
        <v>3</v>
      </c>
      <c r="DK272" s="16"/>
      <c r="DL272" s="16"/>
      <c r="DM272" s="17"/>
      <c r="DN272" s="17"/>
      <c r="DO272" s="16"/>
      <c r="DP272" s="16"/>
      <c r="DQ272" s="17"/>
      <c r="DR272" s="17"/>
      <c r="DS272" s="16"/>
      <c r="DT272" s="16"/>
      <c r="DU272" s="17"/>
      <c r="DV272" s="17"/>
      <c r="DW272" s="16"/>
      <c r="DX272" s="16"/>
      <c r="DY272" s="17"/>
      <c r="DZ272" s="17"/>
      <c r="EA272" s="16"/>
      <c r="EB272" s="16"/>
      <c r="EC272" s="17"/>
      <c r="ED272" s="17"/>
      <c r="EE272" s="16"/>
      <c r="EF272" s="16"/>
      <c r="EG272" s="17"/>
      <c r="EH272" s="17"/>
      <c r="EI272" s="16"/>
      <c r="EJ272" s="16"/>
      <c r="EK272" s="17"/>
      <c r="EL272" s="17"/>
      <c r="EM272" s="16"/>
      <c r="EN272" s="16"/>
      <c r="EO272" s="17"/>
      <c r="EP272" s="17"/>
      <c r="EQ272" s="16"/>
      <c r="ER272" s="16"/>
      <c r="ES272" s="17"/>
      <c r="ET272" s="17"/>
      <c r="EU272" s="16"/>
      <c r="EV272" s="16"/>
      <c r="EW272" s="17"/>
      <c r="EX272" s="17"/>
      <c r="EY272" s="16"/>
      <c r="EZ272" s="16"/>
      <c r="FA272" s="17"/>
      <c r="FB272" s="17"/>
      <c r="FC272" s="16"/>
      <c r="FD272" s="16"/>
      <c r="FE272" s="17"/>
      <c r="FF272" s="17"/>
      <c r="FG272" s="11"/>
      <c r="GT272" s="11"/>
      <c r="IG272" s="11"/>
      <c r="JT272" s="11"/>
      <c r="LG272" s="11"/>
      <c r="MT272" s="11"/>
      <c r="OG272" s="11"/>
      <c r="PT272" s="11"/>
    </row>
    <row r="273" spans="3:436" ht="15.75" x14ac:dyDescent="0.25">
      <c r="C273" s="20" t="s">
        <v>288</v>
      </c>
      <c r="D273" s="21" t="s">
        <v>79</v>
      </c>
      <c r="H273" s="11"/>
      <c r="AU273" s="11"/>
      <c r="CH273" s="11"/>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7"/>
      <c r="DF273" s="17"/>
      <c r="DG273" s="16"/>
      <c r="DH273" s="16"/>
      <c r="DI273" s="17"/>
      <c r="DJ273" s="18">
        <v>3</v>
      </c>
      <c r="DK273" s="16"/>
      <c r="DL273" s="16"/>
      <c r="DM273" s="17"/>
      <c r="DN273" s="17"/>
      <c r="DO273" s="16"/>
      <c r="DP273" s="16"/>
      <c r="DQ273" s="17"/>
      <c r="DR273" s="17"/>
      <c r="DS273" s="16"/>
      <c r="DT273" s="16"/>
      <c r="DU273" s="17"/>
      <c r="DV273" s="17"/>
      <c r="DW273" s="16"/>
      <c r="DX273" s="16"/>
      <c r="DY273" s="17"/>
      <c r="DZ273" s="17"/>
      <c r="EA273" s="16"/>
      <c r="EB273" s="16"/>
      <c r="EC273" s="17"/>
      <c r="ED273" s="17"/>
      <c r="EE273" s="16"/>
      <c r="EF273" s="16"/>
      <c r="EG273" s="17"/>
      <c r="EH273" s="17"/>
      <c r="EI273" s="16"/>
      <c r="EJ273" s="16"/>
      <c r="EK273" s="17"/>
      <c r="EL273" s="17"/>
      <c r="EM273" s="16"/>
      <c r="EN273" s="16"/>
      <c r="EO273" s="17"/>
      <c r="EP273" s="17"/>
      <c r="EQ273" s="16"/>
      <c r="ER273" s="16"/>
      <c r="ES273" s="17"/>
      <c r="ET273" s="17"/>
      <c r="EU273" s="16"/>
      <c r="EV273" s="16"/>
      <c r="EW273" s="17"/>
      <c r="EX273" s="17"/>
      <c r="EY273" s="16"/>
      <c r="EZ273" s="16"/>
      <c r="FA273" s="17"/>
      <c r="FB273" s="17"/>
      <c r="FC273" s="16"/>
      <c r="FD273" s="16"/>
      <c r="FE273" s="17"/>
      <c r="FF273" s="17"/>
      <c r="FG273" s="11"/>
      <c r="GT273" s="11"/>
      <c r="IG273" s="11"/>
      <c r="JT273" s="11"/>
      <c r="LG273" s="11"/>
      <c r="MT273" s="11"/>
      <c r="OG273" s="11"/>
      <c r="PT273" s="11"/>
    </row>
    <row r="274" spans="3:436" ht="15.75" x14ac:dyDescent="0.25">
      <c r="C274" s="20" t="s">
        <v>289</v>
      </c>
      <c r="D274" s="21" t="s">
        <v>93</v>
      </c>
      <c r="H274" s="11"/>
      <c r="AU274" s="11"/>
      <c r="CH274" s="11"/>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7"/>
      <c r="DF274" s="17"/>
      <c r="DG274" s="16"/>
      <c r="DH274" s="16"/>
      <c r="DI274" s="17"/>
      <c r="DJ274" s="17"/>
      <c r="DK274" s="16"/>
      <c r="DL274" s="16"/>
      <c r="DM274" s="17"/>
      <c r="DN274" s="17"/>
      <c r="DO274" s="16"/>
      <c r="DP274" s="16"/>
      <c r="DQ274" s="17"/>
      <c r="DR274" s="17"/>
      <c r="DS274" s="16"/>
      <c r="DT274" s="16"/>
      <c r="DU274" s="17"/>
      <c r="DV274" s="17"/>
      <c r="DW274" s="16"/>
      <c r="DX274" s="16"/>
      <c r="DY274" s="17"/>
      <c r="DZ274" s="17"/>
      <c r="EA274" s="16"/>
      <c r="EB274" s="16"/>
      <c r="EC274" s="17"/>
      <c r="ED274" s="17"/>
      <c r="EE274" s="16"/>
      <c r="EF274" s="16"/>
      <c r="EG274" s="17"/>
      <c r="EH274" s="17"/>
      <c r="EI274" s="16"/>
      <c r="EJ274" s="16"/>
      <c r="EK274" s="17"/>
      <c r="EL274" s="17"/>
      <c r="EM274" s="16"/>
      <c r="EN274" s="16"/>
      <c r="EO274" s="17"/>
      <c r="EP274" s="17"/>
      <c r="EQ274" s="16"/>
      <c r="ER274" s="16"/>
      <c r="ES274" s="17"/>
      <c r="ET274" s="17"/>
      <c r="EU274" s="16"/>
      <c r="EV274" s="16"/>
      <c r="EW274" s="17"/>
      <c r="EX274" s="17"/>
      <c r="EY274" s="16"/>
      <c r="EZ274" s="16"/>
      <c r="FA274" s="17"/>
      <c r="FB274" s="17"/>
      <c r="FC274" s="16"/>
      <c r="FD274" s="16"/>
      <c r="FE274" s="17"/>
      <c r="FF274" s="17"/>
      <c r="FG274" s="11"/>
      <c r="GT274" s="11"/>
      <c r="IG274" s="11"/>
      <c r="JT274" s="11"/>
      <c r="LG274" s="11"/>
      <c r="MT274" s="11"/>
      <c r="OG274" s="11"/>
      <c r="PT274" s="11"/>
    </row>
    <row r="275" spans="3:436" ht="15.75" x14ac:dyDescent="0.25">
      <c r="C275" s="20" t="s">
        <v>290</v>
      </c>
      <c r="D275" s="21" t="s">
        <v>79</v>
      </c>
      <c r="H275" s="11"/>
      <c r="AU275" s="11"/>
      <c r="CH275" s="11"/>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7"/>
      <c r="DF275" s="17"/>
      <c r="DG275" s="16"/>
      <c r="DH275" s="16"/>
      <c r="DI275" s="18">
        <v>1</v>
      </c>
      <c r="DJ275" s="18">
        <v>7</v>
      </c>
      <c r="DK275" s="16"/>
      <c r="DL275" s="16"/>
      <c r="DM275" s="17"/>
      <c r="DN275" s="17"/>
      <c r="DO275" s="16"/>
      <c r="DP275" s="16"/>
      <c r="DQ275" s="17"/>
      <c r="DR275" s="17"/>
      <c r="DS275" s="16"/>
      <c r="DT275" s="16"/>
      <c r="DU275" s="17"/>
      <c r="DV275" s="17"/>
      <c r="DW275" s="16"/>
      <c r="DX275" s="16"/>
      <c r="DY275" s="17"/>
      <c r="DZ275" s="17"/>
      <c r="EA275" s="16"/>
      <c r="EB275" s="16"/>
      <c r="EC275" s="17"/>
      <c r="ED275" s="17"/>
      <c r="EE275" s="16"/>
      <c r="EF275" s="16"/>
      <c r="EG275" s="17"/>
      <c r="EH275" s="17"/>
      <c r="EI275" s="16"/>
      <c r="EJ275" s="16"/>
      <c r="EK275" s="17"/>
      <c r="EL275" s="17"/>
      <c r="EM275" s="16"/>
      <c r="EN275" s="16"/>
      <c r="EO275" s="17"/>
      <c r="EP275" s="17"/>
      <c r="EQ275" s="16"/>
      <c r="ER275" s="16"/>
      <c r="ES275" s="17"/>
      <c r="ET275" s="17"/>
      <c r="EU275" s="16"/>
      <c r="EV275" s="16"/>
      <c r="EW275" s="17"/>
      <c r="EX275" s="17"/>
      <c r="EY275" s="16"/>
      <c r="EZ275" s="16"/>
      <c r="FA275" s="17"/>
      <c r="FB275" s="17"/>
      <c r="FC275" s="16"/>
      <c r="FD275" s="16"/>
      <c r="FE275" s="17"/>
      <c r="FF275" s="17"/>
      <c r="FG275" s="11"/>
      <c r="GT275" s="11"/>
      <c r="IG275" s="11"/>
      <c r="JT275" s="11"/>
      <c r="LG275" s="11"/>
      <c r="MT275" s="11"/>
      <c r="OG275" s="11"/>
      <c r="PT275" s="11"/>
    </row>
    <row r="276" spans="3:436" ht="15.75" x14ac:dyDescent="0.25">
      <c r="C276" s="20" t="s">
        <v>291</v>
      </c>
      <c r="D276" s="21" t="s">
        <v>136</v>
      </c>
      <c r="H276" s="11"/>
      <c r="AU276" s="11"/>
      <c r="CH276" s="11"/>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7"/>
      <c r="DF276" s="17"/>
      <c r="DG276" s="16"/>
      <c r="DH276" s="16"/>
      <c r="DI276" s="17"/>
      <c r="DJ276" s="17"/>
      <c r="DK276" s="16"/>
      <c r="DL276" s="16"/>
      <c r="DM276" s="17"/>
      <c r="DN276" s="17"/>
      <c r="DO276" s="16"/>
      <c r="DP276" s="16"/>
      <c r="DQ276" s="17"/>
      <c r="DR276" s="17"/>
      <c r="DS276" s="16"/>
      <c r="DT276" s="16"/>
      <c r="DU276" s="17"/>
      <c r="DV276" s="17"/>
      <c r="DW276" s="16"/>
      <c r="DX276" s="16"/>
      <c r="DY276" s="17"/>
      <c r="DZ276" s="17"/>
      <c r="EA276" s="16"/>
      <c r="EB276" s="16"/>
      <c r="EC276" s="17"/>
      <c r="ED276" s="17"/>
      <c r="EE276" s="16"/>
      <c r="EF276" s="16"/>
      <c r="EG276" s="17"/>
      <c r="EH276" s="17"/>
      <c r="EI276" s="16"/>
      <c r="EJ276" s="16"/>
      <c r="EK276" s="17"/>
      <c r="EL276" s="17"/>
      <c r="EM276" s="16"/>
      <c r="EN276" s="16"/>
      <c r="EO276" s="17"/>
      <c r="EP276" s="17"/>
      <c r="EQ276" s="16"/>
      <c r="ER276" s="16"/>
      <c r="ES276" s="17"/>
      <c r="ET276" s="17"/>
      <c r="EU276" s="16"/>
      <c r="EV276" s="16"/>
      <c r="EW276" s="17"/>
      <c r="EX276" s="17"/>
      <c r="EY276" s="16"/>
      <c r="EZ276" s="16"/>
      <c r="FA276" s="17"/>
      <c r="FB276" s="17"/>
      <c r="FC276" s="16"/>
      <c r="FD276" s="16"/>
      <c r="FE276" s="17"/>
      <c r="FF276" s="17"/>
      <c r="FG276" s="11"/>
      <c r="GT276" s="11"/>
      <c r="IG276" s="11"/>
      <c r="JT276" s="11"/>
      <c r="LG276" s="11"/>
      <c r="MT276" s="11"/>
      <c r="OG276" s="11"/>
      <c r="PT276" s="11"/>
    </row>
    <row r="277" spans="3:436" ht="15.75" x14ac:dyDescent="0.25">
      <c r="C277" s="20" t="s">
        <v>292</v>
      </c>
      <c r="D277" s="21" t="s">
        <v>142</v>
      </c>
      <c r="H277" s="11"/>
      <c r="AU277" s="11"/>
      <c r="CH277" s="11"/>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7"/>
      <c r="DF277" s="17"/>
      <c r="DG277" s="16"/>
      <c r="DH277" s="16"/>
      <c r="DI277" s="17"/>
      <c r="DJ277" s="17"/>
      <c r="DK277" s="16"/>
      <c r="DL277" s="16"/>
      <c r="DM277" s="17"/>
      <c r="DN277" s="17"/>
      <c r="DO277" s="16"/>
      <c r="DP277" s="16"/>
      <c r="DQ277" s="17"/>
      <c r="DR277" s="17"/>
      <c r="DS277" s="16"/>
      <c r="DT277" s="16"/>
      <c r="DU277" s="17"/>
      <c r="DV277" s="17"/>
      <c r="DW277" s="16"/>
      <c r="DX277" s="16"/>
      <c r="DY277" s="17"/>
      <c r="DZ277" s="17"/>
      <c r="EA277" s="16"/>
      <c r="EB277" s="16"/>
      <c r="EC277" s="17"/>
      <c r="ED277" s="17"/>
      <c r="EE277" s="16"/>
      <c r="EF277" s="16"/>
      <c r="EG277" s="17"/>
      <c r="EH277" s="17"/>
      <c r="EI277" s="16"/>
      <c r="EJ277" s="16"/>
      <c r="EK277" s="17"/>
      <c r="EL277" s="17"/>
      <c r="EM277" s="16"/>
      <c r="EN277" s="16"/>
      <c r="EO277" s="17"/>
      <c r="EP277" s="17"/>
      <c r="EQ277" s="16"/>
      <c r="ER277" s="16"/>
      <c r="ES277" s="17"/>
      <c r="ET277" s="17"/>
      <c r="EU277" s="16"/>
      <c r="EV277" s="16"/>
      <c r="EW277" s="17"/>
      <c r="EX277" s="17"/>
      <c r="EY277" s="16"/>
      <c r="EZ277" s="16"/>
      <c r="FA277" s="17"/>
      <c r="FB277" s="17"/>
      <c r="FC277" s="16"/>
      <c r="FD277" s="16"/>
      <c r="FE277" s="17"/>
      <c r="FF277" s="17"/>
      <c r="FG277" s="11"/>
      <c r="GT277" s="11"/>
      <c r="IG277" s="11"/>
      <c r="JT277" s="11"/>
      <c r="LG277" s="11"/>
      <c r="MT277" s="11"/>
      <c r="OG277" s="11"/>
      <c r="PT277" s="11"/>
    </row>
    <row r="278" spans="3:436" ht="15.75" x14ac:dyDescent="0.25">
      <c r="C278" s="20" t="s">
        <v>293</v>
      </c>
      <c r="D278" s="21" t="s">
        <v>142</v>
      </c>
      <c r="H278" s="11"/>
      <c r="AU278" s="11"/>
      <c r="CH278" s="11"/>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7"/>
      <c r="DF278" s="17"/>
      <c r="DG278" s="16"/>
      <c r="DH278" s="16"/>
      <c r="DI278" s="17"/>
      <c r="DJ278" s="17"/>
      <c r="DK278" s="16"/>
      <c r="DL278" s="16"/>
      <c r="DM278" s="17"/>
      <c r="DN278" s="17"/>
      <c r="DO278" s="16"/>
      <c r="DP278" s="16"/>
      <c r="DQ278" s="17"/>
      <c r="DR278" s="17"/>
      <c r="DS278" s="16"/>
      <c r="DT278" s="16"/>
      <c r="DU278" s="17"/>
      <c r="DV278" s="17"/>
      <c r="DW278" s="16"/>
      <c r="DX278" s="16"/>
      <c r="DY278" s="17"/>
      <c r="DZ278" s="17"/>
      <c r="EA278" s="16"/>
      <c r="EB278" s="16"/>
      <c r="EC278" s="17"/>
      <c r="ED278" s="17"/>
      <c r="EE278" s="16"/>
      <c r="EF278" s="16"/>
      <c r="EG278" s="17"/>
      <c r="EH278" s="17"/>
      <c r="EI278" s="16"/>
      <c r="EJ278" s="16"/>
      <c r="EK278" s="17"/>
      <c r="EL278" s="17"/>
      <c r="EM278" s="16"/>
      <c r="EN278" s="16"/>
      <c r="EO278" s="17"/>
      <c r="EP278" s="17"/>
      <c r="EQ278" s="16"/>
      <c r="ER278" s="16"/>
      <c r="ES278" s="17"/>
      <c r="ET278" s="17"/>
      <c r="EU278" s="16"/>
      <c r="EV278" s="16"/>
      <c r="EW278" s="17"/>
      <c r="EX278" s="17"/>
      <c r="EY278" s="16"/>
      <c r="EZ278" s="16"/>
      <c r="FA278" s="17"/>
      <c r="FB278" s="17"/>
      <c r="FC278" s="16"/>
      <c r="FD278" s="16"/>
      <c r="FE278" s="17"/>
      <c r="FF278" s="17"/>
      <c r="FG278" s="11"/>
      <c r="GT278" s="11"/>
      <c r="IG278" s="11"/>
      <c r="JT278" s="11"/>
      <c r="LG278" s="11"/>
      <c r="MT278" s="11"/>
      <c r="OG278" s="11"/>
      <c r="PT278" s="11"/>
    </row>
    <row r="279" spans="3:436" ht="15.75" x14ac:dyDescent="0.25">
      <c r="C279" s="20" t="s">
        <v>294</v>
      </c>
      <c r="D279" s="21" t="s">
        <v>104</v>
      </c>
      <c r="H279" s="11"/>
      <c r="AU279" s="11"/>
      <c r="CH279" s="11"/>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7"/>
      <c r="DF279" s="17"/>
      <c r="DG279" s="16"/>
      <c r="DH279" s="16"/>
      <c r="DI279" s="17"/>
      <c r="DJ279" s="17"/>
      <c r="DK279" s="16"/>
      <c r="DL279" s="16"/>
      <c r="DM279" s="17"/>
      <c r="DN279" s="17"/>
      <c r="DO279" s="16"/>
      <c r="DP279" s="16"/>
      <c r="DQ279" s="17"/>
      <c r="DR279" s="17"/>
      <c r="DS279" s="16"/>
      <c r="DT279" s="16"/>
      <c r="DU279" s="17"/>
      <c r="DV279" s="17"/>
      <c r="DW279" s="16"/>
      <c r="DX279" s="16"/>
      <c r="DY279" s="17"/>
      <c r="DZ279" s="17"/>
      <c r="EA279" s="16"/>
      <c r="EB279" s="16"/>
      <c r="EC279" s="17"/>
      <c r="ED279" s="17"/>
      <c r="EE279" s="16"/>
      <c r="EF279" s="16"/>
      <c r="EG279" s="17"/>
      <c r="EH279" s="17"/>
      <c r="EI279" s="16"/>
      <c r="EJ279" s="16"/>
      <c r="EK279" s="17"/>
      <c r="EL279" s="17"/>
      <c r="EM279" s="16"/>
      <c r="EN279" s="16"/>
      <c r="EO279" s="17"/>
      <c r="EP279" s="17"/>
      <c r="EQ279" s="16"/>
      <c r="ER279" s="16"/>
      <c r="ES279" s="17"/>
      <c r="ET279" s="17"/>
      <c r="EU279" s="16"/>
      <c r="EV279" s="16"/>
      <c r="EW279" s="17"/>
      <c r="EX279" s="17"/>
      <c r="EY279" s="16"/>
      <c r="EZ279" s="16"/>
      <c r="FA279" s="17"/>
      <c r="FB279" s="17"/>
      <c r="FC279" s="19">
        <v>0</v>
      </c>
      <c r="FD279" s="19">
        <v>0</v>
      </c>
      <c r="FE279" s="17"/>
      <c r="FF279" s="17"/>
      <c r="FG279" s="11"/>
      <c r="GT279" s="11"/>
      <c r="IG279" s="11"/>
      <c r="JT279" s="11"/>
      <c r="LG279" s="11"/>
      <c r="MT279" s="11"/>
      <c r="OG279" s="11"/>
      <c r="PT279" s="11"/>
    </row>
    <row r="280" spans="3:436" ht="15.75" x14ac:dyDescent="0.25">
      <c r="C280" s="20" t="s">
        <v>295</v>
      </c>
      <c r="D280" s="21" t="s">
        <v>90</v>
      </c>
      <c r="H280" s="11"/>
      <c r="AU280" s="11"/>
      <c r="CH280" s="11"/>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7"/>
      <c r="DF280" s="17"/>
      <c r="DG280" s="16"/>
      <c r="DH280" s="16"/>
      <c r="DI280" s="17"/>
      <c r="DJ280" s="17"/>
      <c r="DK280" s="16"/>
      <c r="DL280" s="16"/>
      <c r="DM280" s="17"/>
      <c r="DN280" s="17"/>
      <c r="DO280" s="16"/>
      <c r="DP280" s="16"/>
      <c r="DQ280" s="17"/>
      <c r="DR280" s="17"/>
      <c r="DS280" s="16"/>
      <c r="DT280" s="16"/>
      <c r="DU280" s="17"/>
      <c r="DV280" s="17"/>
      <c r="DW280" s="16"/>
      <c r="DX280" s="16"/>
      <c r="DY280" s="17"/>
      <c r="DZ280" s="17"/>
      <c r="EA280" s="16"/>
      <c r="EB280" s="16"/>
      <c r="EC280" s="17"/>
      <c r="ED280" s="17"/>
      <c r="EE280" s="16"/>
      <c r="EF280" s="16"/>
      <c r="EG280" s="17"/>
      <c r="EH280" s="17"/>
      <c r="EI280" s="16"/>
      <c r="EJ280" s="16"/>
      <c r="EK280" s="17"/>
      <c r="EL280" s="17"/>
      <c r="EM280" s="16"/>
      <c r="EN280" s="16"/>
      <c r="EO280" s="17"/>
      <c r="EP280" s="17"/>
      <c r="EQ280" s="16"/>
      <c r="ER280" s="16"/>
      <c r="ES280" s="17"/>
      <c r="ET280" s="17"/>
      <c r="EU280" s="16"/>
      <c r="EV280" s="16"/>
      <c r="EW280" s="17"/>
      <c r="EX280" s="17"/>
      <c r="EY280" s="16"/>
      <c r="EZ280" s="16"/>
      <c r="FA280" s="17"/>
      <c r="FB280" s="17"/>
      <c r="FC280" s="16"/>
      <c r="FD280" s="16"/>
      <c r="FE280" s="17"/>
      <c r="FF280" s="17"/>
      <c r="FG280" s="11"/>
      <c r="GT280" s="11"/>
      <c r="IG280" s="11"/>
      <c r="JT280" s="11"/>
      <c r="LG280" s="11"/>
      <c r="MT280" s="11"/>
      <c r="OG280" s="11"/>
      <c r="PT280" s="11"/>
    </row>
    <row r="281" spans="3:436" ht="15.75" x14ac:dyDescent="0.25">
      <c r="C281" s="20" t="s">
        <v>273</v>
      </c>
      <c r="D281" s="21" t="s">
        <v>129</v>
      </c>
      <c r="H281" s="11"/>
      <c r="AU281" s="11"/>
      <c r="CH281" s="11"/>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7"/>
      <c r="DF281" s="17"/>
      <c r="DG281" s="16"/>
      <c r="DH281" s="16"/>
      <c r="DI281" s="17"/>
      <c r="DJ281" s="17"/>
      <c r="DK281" s="16"/>
      <c r="DL281" s="16"/>
      <c r="DM281" s="17"/>
      <c r="DN281" s="17"/>
      <c r="DO281" s="16"/>
      <c r="DP281" s="16"/>
      <c r="DQ281" s="17"/>
      <c r="DR281" s="17"/>
      <c r="DS281" s="16"/>
      <c r="DT281" s="16"/>
      <c r="DU281" s="17"/>
      <c r="DV281" s="17"/>
      <c r="DW281" s="16"/>
      <c r="DX281" s="16"/>
      <c r="DY281" s="17"/>
      <c r="DZ281" s="17"/>
      <c r="EA281" s="16"/>
      <c r="EB281" s="16"/>
      <c r="EC281" s="17"/>
      <c r="ED281" s="17"/>
      <c r="EE281" s="16"/>
      <c r="EF281" s="16"/>
      <c r="EG281" s="17"/>
      <c r="EH281" s="17"/>
      <c r="EI281" s="16"/>
      <c r="EJ281" s="16"/>
      <c r="EK281" s="17"/>
      <c r="EL281" s="17"/>
      <c r="EM281" s="16"/>
      <c r="EN281" s="16"/>
      <c r="EO281" s="17"/>
      <c r="EP281" s="17"/>
      <c r="EQ281" s="16"/>
      <c r="ER281" s="16"/>
      <c r="ES281" s="17"/>
      <c r="ET281" s="17"/>
      <c r="EU281" s="16"/>
      <c r="EV281" s="16"/>
      <c r="EW281" s="17"/>
      <c r="EX281" s="17"/>
      <c r="EY281" s="16"/>
      <c r="EZ281" s="16"/>
      <c r="FA281" s="17"/>
      <c r="FB281" s="17"/>
      <c r="FC281" s="16"/>
      <c r="FD281" s="16"/>
      <c r="FE281" s="17"/>
      <c r="FF281" s="17"/>
      <c r="FG281" s="11"/>
      <c r="GT281" s="11"/>
      <c r="IG281" s="11"/>
      <c r="JT281" s="11"/>
      <c r="LG281" s="11"/>
      <c r="MT281" s="11"/>
      <c r="OG281" s="11"/>
      <c r="PT281" s="11"/>
    </row>
    <row r="282" spans="3:436" ht="15.75" x14ac:dyDescent="0.25">
      <c r="C282" s="20" t="s">
        <v>296</v>
      </c>
      <c r="D282" s="21" t="s">
        <v>203</v>
      </c>
      <c r="H282" s="11"/>
      <c r="AU282" s="11"/>
      <c r="CH282" s="11"/>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7"/>
      <c r="DF282" s="17"/>
      <c r="DG282" s="16"/>
      <c r="DH282" s="16"/>
      <c r="DI282" s="17"/>
      <c r="DJ282" s="17"/>
      <c r="DK282" s="16"/>
      <c r="DL282" s="16"/>
      <c r="DM282" s="17"/>
      <c r="DN282" s="17"/>
      <c r="DO282" s="16"/>
      <c r="DP282" s="16"/>
      <c r="DQ282" s="17"/>
      <c r="DR282" s="17"/>
      <c r="DS282" s="16"/>
      <c r="DT282" s="16"/>
      <c r="DU282" s="17"/>
      <c r="DV282" s="17"/>
      <c r="DW282" s="16"/>
      <c r="DX282" s="16"/>
      <c r="DY282" s="17"/>
      <c r="DZ282" s="17"/>
      <c r="EA282" s="16"/>
      <c r="EB282" s="16"/>
      <c r="EC282" s="17"/>
      <c r="ED282" s="17"/>
      <c r="EE282" s="16"/>
      <c r="EF282" s="16"/>
      <c r="EG282" s="18">
        <v>1</v>
      </c>
      <c r="EH282" s="18">
        <v>1</v>
      </c>
      <c r="EI282" s="16"/>
      <c r="EJ282" s="16"/>
      <c r="EK282" s="17"/>
      <c r="EL282" s="17"/>
      <c r="EM282" s="16"/>
      <c r="EN282" s="16"/>
      <c r="EO282" s="17"/>
      <c r="EP282" s="17"/>
      <c r="EQ282" s="16"/>
      <c r="ER282" s="16"/>
      <c r="ES282" s="17"/>
      <c r="ET282" s="17"/>
      <c r="EU282" s="16"/>
      <c r="EV282" s="16"/>
      <c r="EW282" s="17"/>
      <c r="EX282" s="17"/>
      <c r="EY282" s="16"/>
      <c r="EZ282" s="16"/>
      <c r="FA282" s="17"/>
      <c r="FB282" s="17"/>
      <c r="FC282" s="16"/>
      <c r="FD282" s="16"/>
      <c r="FE282" s="17"/>
      <c r="FF282" s="17"/>
      <c r="FG282" s="11"/>
      <c r="GT282" s="11"/>
      <c r="IG282" s="11"/>
      <c r="JT282" s="11"/>
      <c r="LG282" s="11"/>
      <c r="MT282" s="11"/>
      <c r="OG282" s="11"/>
      <c r="PT282" s="11"/>
    </row>
    <row r="283" spans="3:436" ht="15.75" x14ac:dyDescent="0.25">
      <c r="C283" s="20" t="s">
        <v>297</v>
      </c>
      <c r="D283" s="21" t="s">
        <v>82</v>
      </c>
      <c r="H283" s="11"/>
      <c r="AU283" s="11"/>
      <c r="CH283" s="11"/>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7"/>
      <c r="DF283" s="17"/>
      <c r="DG283" s="16"/>
      <c r="DH283" s="16"/>
      <c r="DI283" s="17"/>
      <c r="DJ283" s="17"/>
      <c r="DK283" s="16"/>
      <c r="DL283" s="16"/>
      <c r="DM283" s="17"/>
      <c r="DN283" s="17"/>
      <c r="DO283" s="16"/>
      <c r="DP283" s="16"/>
      <c r="DQ283" s="17"/>
      <c r="DR283" s="17"/>
      <c r="DS283" s="16"/>
      <c r="DT283" s="16"/>
      <c r="DU283" s="17"/>
      <c r="DV283" s="17"/>
      <c r="DW283" s="16"/>
      <c r="DX283" s="16"/>
      <c r="DY283" s="17"/>
      <c r="DZ283" s="17"/>
      <c r="EA283" s="16"/>
      <c r="EB283" s="16"/>
      <c r="EC283" s="17"/>
      <c r="ED283" s="17"/>
      <c r="EE283" s="16"/>
      <c r="EF283" s="16"/>
      <c r="EG283" s="17"/>
      <c r="EH283" s="17"/>
      <c r="EI283" s="16"/>
      <c r="EJ283" s="16"/>
      <c r="EK283" s="17"/>
      <c r="EL283" s="17"/>
      <c r="EM283" s="16"/>
      <c r="EN283" s="16"/>
      <c r="EO283" s="17"/>
      <c r="EP283" s="17"/>
      <c r="EQ283" s="16"/>
      <c r="ER283" s="16"/>
      <c r="ES283" s="18">
        <v>2</v>
      </c>
      <c r="ET283" s="18">
        <v>3</v>
      </c>
      <c r="EU283" s="16"/>
      <c r="EV283" s="16"/>
      <c r="EW283" s="17"/>
      <c r="EX283" s="17"/>
      <c r="EY283" s="16"/>
      <c r="EZ283" s="16"/>
      <c r="FA283" s="17"/>
      <c r="FB283" s="17"/>
      <c r="FC283" s="16"/>
      <c r="FD283" s="16"/>
      <c r="FE283" s="17"/>
      <c r="FF283" s="17"/>
      <c r="FG283" s="11"/>
      <c r="GT283" s="11"/>
      <c r="IG283" s="11"/>
      <c r="JT283" s="11"/>
      <c r="LG283" s="11"/>
      <c r="MT283" s="11"/>
      <c r="OG283" s="11"/>
      <c r="PT283" s="11"/>
    </row>
    <row r="284" spans="3:436" ht="15.75" x14ac:dyDescent="0.25">
      <c r="C284" s="20" t="s">
        <v>298</v>
      </c>
      <c r="D284" s="21" t="s">
        <v>82</v>
      </c>
      <c r="H284" s="11"/>
      <c r="AU284" s="11"/>
      <c r="CH284" s="11"/>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7"/>
      <c r="DF284" s="17"/>
      <c r="DG284" s="16"/>
      <c r="DH284" s="16"/>
      <c r="DI284" s="17"/>
      <c r="DJ284" s="17"/>
      <c r="DK284" s="16"/>
      <c r="DL284" s="16"/>
      <c r="DM284" s="17"/>
      <c r="DN284" s="17"/>
      <c r="DO284" s="16"/>
      <c r="DP284" s="16"/>
      <c r="DQ284" s="17"/>
      <c r="DR284" s="17"/>
      <c r="DS284" s="16"/>
      <c r="DT284" s="16"/>
      <c r="DU284" s="17"/>
      <c r="DV284" s="17"/>
      <c r="DW284" s="16"/>
      <c r="DX284" s="16"/>
      <c r="DY284" s="17"/>
      <c r="DZ284" s="17"/>
      <c r="EA284" s="16"/>
      <c r="EB284" s="16"/>
      <c r="EC284" s="17"/>
      <c r="ED284" s="17"/>
      <c r="EE284" s="16"/>
      <c r="EF284" s="16"/>
      <c r="EG284" s="17"/>
      <c r="EH284" s="17"/>
      <c r="EI284" s="16"/>
      <c r="EJ284" s="16"/>
      <c r="EK284" s="17"/>
      <c r="EL284" s="17"/>
      <c r="EM284" s="16"/>
      <c r="EN284" s="16"/>
      <c r="EO284" s="17"/>
      <c r="EP284" s="17"/>
      <c r="EQ284" s="16"/>
      <c r="ER284" s="16"/>
      <c r="ES284" s="18">
        <v>1</v>
      </c>
      <c r="ET284" s="18">
        <v>1</v>
      </c>
      <c r="EU284" s="16"/>
      <c r="EV284" s="16"/>
      <c r="EW284" s="17"/>
      <c r="EX284" s="17"/>
      <c r="EY284" s="16"/>
      <c r="EZ284" s="16"/>
      <c r="FA284" s="17"/>
      <c r="FB284" s="17"/>
      <c r="FC284" s="16"/>
      <c r="FD284" s="16"/>
      <c r="FE284" s="17"/>
      <c r="FF284" s="17"/>
      <c r="FG284" s="11"/>
      <c r="GT284" s="11"/>
      <c r="IG284" s="11"/>
      <c r="JT284" s="11"/>
      <c r="LG284" s="11"/>
      <c r="MT284" s="11"/>
      <c r="OG284" s="11"/>
      <c r="PT284" s="11"/>
    </row>
    <row r="285" spans="3:436" ht="15.75" x14ac:dyDescent="0.25">
      <c r="C285" s="20" t="s">
        <v>275</v>
      </c>
      <c r="D285" s="21" t="s">
        <v>203</v>
      </c>
      <c r="H285" s="11"/>
      <c r="AU285" s="11"/>
      <c r="CH285" s="11"/>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7"/>
      <c r="DF285" s="17"/>
      <c r="DG285" s="16"/>
      <c r="DH285" s="16"/>
      <c r="DI285" s="17"/>
      <c r="DJ285" s="17"/>
      <c r="DK285" s="16"/>
      <c r="DL285" s="16"/>
      <c r="DM285" s="17"/>
      <c r="DN285" s="17"/>
      <c r="DO285" s="16"/>
      <c r="DP285" s="16"/>
      <c r="DQ285" s="17"/>
      <c r="DR285" s="17"/>
      <c r="DS285" s="16"/>
      <c r="DT285" s="16"/>
      <c r="DU285" s="17"/>
      <c r="DV285" s="17"/>
      <c r="DW285" s="16"/>
      <c r="DX285" s="16"/>
      <c r="DY285" s="17"/>
      <c r="DZ285" s="17"/>
      <c r="EA285" s="16"/>
      <c r="EB285" s="16"/>
      <c r="EC285" s="17"/>
      <c r="ED285" s="17"/>
      <c r="EE285" s="16"/>
      <c r="EF285" s="16"/>
      <c r="EG285" s="18">
        <v>1</v>
      </c>
      <c r="EH285" s="18">
        <v>1</v>
      </c>
      <c r="EI285" s="16"/>
      <c r="EJ285" s="16"/>
      <c r="EK285" s="17"/>
      <c r="EL285" s="17"/>
      <c r="EM285" s="16"/>
      <c r="EN285" s="16"/>
      <c r="EO285" s="17"/>
      <c r="EP285" s="17"/>
      <c r="EQ285" s="16"/>
      <c r="ER285" s="16"/>
      <c r="ES285" s="17"/>
      <c r="ET285" s="17"/>
      <c r="EU285" s="16"/>
      <c r="EV285" s="16"/>
      <c r="EW285" s="17"/>
      <c r="EX285" s="17"/>
      <c r="EY285" s="16"/>
      <c r="EZ285" s="16"/>
      <c r="FA285" s="17"/>
      <c r="FB285" s="17"/>
      <c r="FC285" s="16"/>
      <c r="FD285" s="16"/>
      <c r="FE285" s="17"/>
      <c r="FF285" s="17"/>
      <c r="FG285" s="11"/>
      <c r="GT285" s="11"/>
      <c r="IG285" s="11"/>
      <c r="JT285" s="11"/>
      <c r="LG285" s="11"/>
      <c r="MT285" s="11"/>
      <c r="OG285" s="11"/>
      <c r="PT285" s="11"/>
    </row>
    <row r="286" spans="3:436" ht="15.75" x14ac:dyDescent="0.25">
      <c r="C286" s="20" t="s">
        <v>277</v>
      </c>
      <c r="D286" s="21" t="s">
        <v>142</v>
      </c>
      <c r="H286" s="11"/>
      <c r="AU286" s="11"/>
      <c r="CH286" s="11"/>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7"/>
      <c r="DF286" s="17"/>
      <c r="DG286" s="16"/>
      <c r="DH286" s="16"/>
      <c r="DI286" s="17"/>
      <c r="DJ286" s="17"/>
      <c r="DK286" s="16"/>
      <c r="DL286" s="16"/>
      <c r="DM286" s="17"/>
      <c r="DN286" s="17"/>
      <c r="DO286" s="16"/>
      <c r="DP286" s="16"/>
      <c r="DQ286" s="17"/>
      <c r="DR286" s="17"/>
      <c r="DS286" s="16"/>
      <c r="DT286" s="16"/>
      <c r="DU286" s="17"/>
      <c r="DV286" s="17"/>
      <c r="DW286" s="16"/>
      <c r="DX286" s="16"/>
      <c r="DY286" s="17"/>
      <c r="DZ286" s="17"/>
      <c r="EA286" s="16"/>
      <c r="EB286" s="16"/>
      <c r="EC286" s="17"/>
      <c r="ED286" s="17"/>
      <c r="EE286" s="16"/>
      <c r="EF286" s="16"/>
      <c r="EG286" s="17"/>
      <c r="EH286" s="17"/>
      <c r="EI286" s="16"/>
      <c r="EJ286" s="16"/>
      <c r="EK286" s="17"/>
      <c r="EL286" s="17"/>
      <c r="EM286" s="16"/>
      <c r="EN286" s="16"/>
      <c r="EO286" s="17"/>
      <c r="EP286" s="17"/>
      <c r="EQ286" s="16"/>
      <c r="ER286" s="16"/>
      <c r="ES286" s="17"/>
      <c r="ET286" s="17"/>
      <c r="EU286" s="16"/>
      <c r="EV286" s="16"/>
      <c r="EW286" s="17"/>
      <c r="EX286" s="17"/>
      <c r="EY286" s="16"/>
      <c r="EZ286" s="16"/>
      <c r="FA286" s="17"/>
      <c r="FB286" s="17"/>
      <c r="FC286" s="16"/>
      <c r="FD286" s="16"/>
      <c r="FE286" s="17"/>
      <c r="FF286" s="17"/>
      <c r="FG286" s="11"/>
      <c r="GT286" s="11"/>
      <c r="IG286" s="11"/>
      <c r="JT286" s="11"/>
      <c r="LG286" s="11"/>
      <c r="MT286" s="11"/>
      <c r="OG286" s="11"/>
      <c r="PT286" s="11"/>
    </row>
    <row r="287" spans="3:436" ht="15.75" x14ac:dyDescent="0.25">
      <c r="C287" s="20" t="s">
        <v>278</v>
      </c>
      <c r="D287" s="21" t="s">
        <v>162</v>
      </c>
      <c r="H287" s="11"/>
      <c r="AU287" s="11"/>
      <c r="CH287" s="11"/>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7"/>
      <c r="DF287" s="17"/>
      <c r="DG287" s="16"/>
      <c r="DH287" s="16"/>
      <c r="DI287" s="17"/>
      <c r="DJ287" s="17"/>
      <c r="DK287" s="16"/>
      <c r="DL287" s="16"/>
      <c r="DM287" s="17"/>
      <c r="DN287" s="17"/>
      <c r="DO287" s="16"/>
      <c r="DP287" s="16"/>
      <c r="DQ287" s="17"/>
      <c r="DR287" s="17"/>
      <c r="DS287" s="16"/>
      <c r="DT287" s="16"/>
      <c r="DU287" s="17"/>
      <c r="DV287" s="17"/>
      <c r="DW287" s="16"/>
      <c r="DX287" s="16"/>
      <c r="DY287" s="17"/>
      <c r="DZ287" s="17"/>
      <c r="EA287" s="16"/>
      <c r="EB287" s="16"/>
      <c r="EC287" s="17"/>
      <c r="ED287" s="17"/>
      <c r="EE287" s="16"/>
      <c r="EF287" s="16"/>
      <c r="EG287" s="17"/>
      <c r="EH287" s="17"/>
      <c r="EI287" s="16"/>
      <c r="EJ287" s="16"/>
      <c r="EK287" s="17"/>
      <c r="EL287" s="17"/>
      <c r="EM287" s="16"/>
      <c r="EN287" s="16"/>
      <c r="EO287" s="17"/>
      <c r="EP287" s="17"/>
      <c r="EQ287" s="16"/>
      <c r="ER287" s="16"/>
      <c r="ES287" s="17"/>
      <c r="ET287" s="17"/>
      <c r="EU287" s="16"/>
      <c r="EV287" s="16"/>
      <c r="EW287" s="17"/>
      <c r="EX287" s="17"/>
      <c r="EY287" s="16"/>
      <c r="EZ287" s="16"/>
      <c r="FA287" s="17"/>
      <c r="FB287" s="17"/>
      <c r="FC287" s="16"/>
      <c r="FD287" s="16"/>
      <c r="FE287" s="17"/>
      <c r="FF287" s="17"/>
      <c r="FG287" s="11"/>
      <c r="GT287" s="11"/>
      <c r="IG287" s="11"/>
      <c r="JT287" s="11"/>
      <c r="LG287" s="11"/>
      <c r="MT287" s="11"/>
      <c r="OG287" s="11"/>
      <c r="PT287" s="11"/>
    </row>
    <row r="288" spans="3:436" ht="15.75" x14ac:dyDescent="0.25">
      <c r="C288" s="20" t="s">
        <v>279</v>
      </c>
      <c r="D288" s="21" t="s">
        <v>90</v>
      </c>
      <c r="H288" s="11"/>
      <c r="AU288" s="11"/>
      <c r="CH288" s="11"/>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7"/>
      <c r="DF288" s="17"/>
      <c r="DG288" s="16"/>
      <c r="DH288" s="16"/>
      <c r="DI288" s="17"/>
      <c r="DJ288" s="17"/>
      <c r="DK288" s="16"/>
      <c r="DL288" s="16"/>
      <c r="DM288" s="17"/>
      <c r="DN288" s="17"/>
      <c r="DO288" s="16"/>
      <c r="DP288" s="16"/>
      <c r="DQ288" s="17"/>
      <c r="DR288" s="17"/>
      <c r="DS288" s="16"/>
      <c r="DT288" s="16"/>
      <c r="DU288" s="17"/>
      <c r="DV288" s="17"/>
      <c r="DW288" s="16"/>
      <c r="DX288" s="16"/>
      <c r="DY288" s="17"/>
      <c r="DZ288" s="17"/>
      <c r="EA288" s="16"/>
      <c r="EB288" s="16"/>
      <c r="EC288" s="17"/>
      <c r="ED288" s="17"/>
      <c r="EE288" s="16"/>
      <c r="EF288" s="16"/>
      <c r="EG288" s="17"/>
      <c r="EH288" s="17"/>
      <c r="EI288" s="16"/>
      <c r="EJ288" s="16"/>
      <c r="EK288" s="17"/>
      <c r="EL288" s="17"/>
      <c r="EM288" s="16"/>
      <c r="EN288" s="16"/>
      <c r="EO288" s="17"/>
      <c r="EP288" s="17"/>
      <c r="EQ288" s="16"/>
      <c r="ER288" s="16"/>
      <c r="ES288" s="17"/>
      <c r="ET288" s="17"/>
      <c r="EU288" s="16"/>
      <c r="EV288" s="16"/>
      <c r="EW288" s="17"/>
      <c r="EX288" s="17"/>
      <c r="EY288" s="16"/>
      <c r="EZ288" s="16"/>
      <c r="FA288" s="17"/>
      <c r="FB288" s="17"/>
      <c r="FC288" s="16"/>
      <c r="FD288" s="16"/>
      <c r="FE288" s="17"/>
      <c r="FF288" s="17"/>
      <c r="FG288" s="11"/>
      <c r="GT288" s="11"/>
      <c r="IG288" s="11"/>
      <c r="JT288" s="11"/>
      <c r="LG288" s="11"/>
      <c r="MT288" s="11"/>
      <c r="OG288" s="11"/>
      <c r="PT288" s="11"/>
    </row>
    <row r="289" spans="1:436" ht="15.75" x14ac:dyDescent="0.25">
      <c r="C289" s="20" t="s">
        <v>280</v>
      </c>
      <c r="D289" s="21" t="s">
        <v>82</v>
      </c>
      <c r="H289" s="11"/>
      <c r="AU289" s="11"/>
      <c r="CH289" s="11"/>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7"/>
      <c r="DF289" s="17"/>
      <c r="DG289" s="16"/>
      <c r="DH289" s="16"/>
      <c r="DI289" s="17"/>
      <c r="DJ289" s="17"/>
      <c r="DK289" s="16"/>
      <c r="DL289" s="16"/>
      <c r="DM289" s="17"/>
      <c r="DN289" s="17"/>
      <c r="DO289" s="16"/>
      <c r="DP289" s="16"/>
      <c r="DQ289" s="17"/>
      <c r="DR289" s="17"/>
      <c r="DS289" s="16"/>
      <c r="DT289" s="16"/>
      <c r="DU289" s="17"/>
      <c r="DV289" s="17"/>
      <c r="DW289" s="16"/>
      <c r="DX289" s="16"/>
      <c r="DY289" s="17"/>
      <c r="DZ289" s="17"/>
      <c r="EA289" s="16"/>
      <c r="EB289" s="16"/>
      <c r="EC289" s="17"/>
      <c r="ED289" s="17"/>
      <c r="EE289" s="16"/>
      <c r="EF289" s="16"/>
      <c r="EG289" s="17"/>
      <c r="EH289" s="17"/>
      <c r="EI289" s="16"/>
      <c r="EJ289" s="16"/>
      <c r="EK289" s="17"/>
      <c r="EL289" s="17"/>
      <c r="EM289" s="16"/>
      <c r="EN289" s="16"/>
      <c r="EO289" s="17"/>
      <c r="EP289" s="17"/>
      <c r="EQ289" s="16"/>
      <c r="ER289" s="16"/>
      <c r="ES289" s="18">
        <v>2</v>
      </c>
      <c r="ET289" s="18">
        <v>4</v>
      </c>
      <c r="EU289" s="16"/>
      <c r="EV289" s="16"/>
      <c r="EW289" s="17"/>
      <c r="EX289" s="17"/>
      <c r="EY289" s="16"/>
      <c r="EZ289" s="16"/>
      <c r="FA289" s="17"/>
      <c r="FB289" s="17"/>
      <c r="FC289" s="16"/>
      <c r="FD289" s="16"/>
      <c r="FE289" s="17"/>
      <c r="FF289" s="17"/>
      <c r="FG289" s="11"/>
      <c r="GT289" s="11"/>
      <c r="IG289" s="11"/>
      <c r="JT289" s="11"/>
      <c r="LG289" s="11"/>
      <c r="MT289" s="11"/>
      <c r="OG289" s="11"/>
      <c r="PT289" s="11"/>
    </row>
    <row r="290" spans="1:436" ht="15.75" x14ac:dyDescent="0.25">
      <c r="C290" s="20" t="s">
        <v>286</v>
      </c>
      <c r="D290" s="21" t="s">
        <v>90</v>
      </c>
      <c r="H290" s="11"/>
      <c r="AU290" s="11"/>
      <c r="CH290" s="11"/>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7"/>
      <c r="DF290" s="17"/>
      <c r="DG290" s="16"/>
      <c r="DH290" s="16"/>
      <c r="DI290" s="17"/>
      <c r="DJ290" s="17"/>
      <c r="DK290" s="16"/>
      <c r="DL290" s="16"/>
      <c r="DM290" s="17"/>
      <c r="DN290" s="17"/>
      <c r="DO290" s="16"/>
      <c r="DP290" s="16"/>
      <c r="DQ290" s="17"/>
      <c r="DR290" s="17"/>
      <c r="DS290" s="16"/>
      <c r="DT290" s="16"/>
      <c r="DU290" s="17"/>
      <c r="DV290" s="17"/>
      <c r="DW290" s="16"/>
      <c r="DX290" s="16"/>
      <c r="DY290" s="17"/>
      <c r="DZ290" s="17"/>
      <c r="EA290" s="16"/>
      <c r="EB290" s="16"/>
      <c r="EC290" s="17"/>
      <c r="ED290" s="17"/>
      <c r="EE290" s="16"/>
      <c r="EF290" s="16"/>
      <c r="EG290" s="17"/>
      <c r="EH290" s="17"/>
      <c r="EI290" s="16"/>
      <c r="EJ290" s="16"/>
      <c r="EK290" s="17"/>
      <c r="EL290" s="17"/>
      <c r="EM290" s="16"/>
      <c r="EN290" s="16"/>
      <c r="EO290" s="17"/>
      <c r="EP290" s="17"/>
      <c r="EQ290" s="16"/>
      <c r="ER290" s="16"/>
      <c r="ES290" s="17"/>
      <c r="ET290" s="17"/>
      <c r="EU290" s="16"/>
      <c r="EV290" s="16"/>
      <c r="EW290" s="17"/>
      <c r="EX290" s="17"/>
      <c r="EY290" s="16"/>
      <c r="EZ290" s="16"/>
      <c r="FA290" s="17"/>
      <c r="FB290" s="17"/>
      <c r="FC290" s="16"/>
      <c r="FD290" s="16"/>
      <c r="FE290" s="17"/>
      <c r="FF290" s="17"/>
      <c r="FG290" s="11"/>
      <c r="GT290" s="11"/>
      <c r="IG290" s="11"/>
      <c r="JT290" s="11"/>
      <c r="LG290" s="11"/>
      <c r="MT290" s="11"/>
      <c r="OG290" s="11"/>
      <c r="PT290" s="11"/>
    </row>
    <row r="291" spans="1:436" ht="15.75" x14ac:dyDescent="0.25">
      <c r="C291" s="20" t="s">
        <v>289</v>
      </c>
      <c r="D291" s="21" t="s">
        <v>93</v>
      </c>
      <c r="H291" s="11"/>
      <c r="AU291" s="11"/>
      <c r="CH291" s="11"/>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7"/>
      <c r="DF291" s="17"/>
      <c r="DG291" s="16"/>
      <c r="DH291" s="16"/>
      <c r="DI291" s="17"/>
      <c r="DJ291" s="17"/>
      <c r="DK291" s="16"/>
      <c r="DL291" s="16"/>
      <c r="DM291" s="17"/>
      <c r="DN291" s="17"/>
      <c r="DO291" s="16"/>
      <c r="DP291" s="16"/>
      <c r="DQ291" s="17"/>
      <c r="DR291" s="17"/>
      <c r="DS291" s="16"/>
      <c r="DT291" s="16"/>
      <c r="DU291" s="17"/>
      <c r="DV291" s="17"/>
      <c r="DW291" s="16"/>
      <c r="DX291" s="16"/>
      <c r="DY291" s="17"/>
      <c r="DZ291" s="17"/>
      <c r="EA291" s="16"/>
      <c r="EB291" s="16"/>
      <c r="EC291" s="17"/>
      <c r="ED291" s="17"/>
      <c r="EE291" s="16"/>
      <c r="EF291" s="16"/>
      <c r="EG291" s="17"/>
      <c r="EH291" s="17"/>
      <c r="EI291" s="16"/>
      <c r="EJ291" s="16"/>
      <c r="EK291" s="17"/>
      <c r="EL291" s="17"/>
      <c r="EM291" s="16"/>
      <c r="EN291" s="16"/>
      <c r="EO291" s="17"/>
      <c r="EP291" s="17"/>
      <c r="EQ291" s="16"/>
      <c r="ER291" s="16"/>
      <c r="ES291" s="17"/>
      <c r="ET291" s="17"/>
      <c r="EU291" s="16"/>
      <c r="EV291" s="16"/>
      <c r="EW291" s="18">
        <v>1</v>
      </c>
      <c r="EX291" s="18">
        <v>2</v>
      </c>
      <c r="EY291" s="16"/>
      <c r="EZ291" s="16"/>
      <c r="FA291" s="17"/>
      <c r="FB291" s="17"/>
      <c r="FC291" s="16"/>
      <c r="FD291" s="16"/>
      <c r="FE291" s="17"/>
      <c r="FF291" s="17"/>
      <c r="FG291" s="11"/>
      <c r="GT291" s="11"/>
      <c r="IG291" s="11"/>
      <c r="JT291" s="11"/>
      <c r="LG291" s="11"/>
      <c r="MT291" s="11"/>
      <c r="OG291" s="11"/>
      <c r="PT291" s="11"/>
    </row>
    <row r="292" spans="1:436" ht="15.75" x14ac:dyDescent="0.25">
      <c r="C292" s="20" t="s">
        <v>290</v>
      </c>
      <c r="D292" s="21" t="s">
        <v>79</v>
      </c>
      <c r="H292" s="11"/>
      <c r="AU292" s="11"/>
      <c r="CH292" s="11"/>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7"/>
      <c r="DF292" s="17"/>
      <c r="DG292" s="16"/>
      <c r="DH292" s="16"/>
      <c r="DI292" s="17"/>
      <c r="DJ292" s="17"/>
      <c r="DK292" s="16"/>
      <c r="DL292" s="16"/>
      <c r="DM292" s="17"/>
      <c r="DN292" s="17"/>
      <c r="DO292" s="16"/>
      <c r="DP292" s="16"/>
      <c r="DQ292" s="17"/>
      <c r="DR292" s="17"/>
      <c r="DS292" s="16"/>
      <c r="DT292" s="16"/>
      <c r="DU292" s="17"/>
      <c r="DV292" s="17"/>
      <c r="DW292" s="16"/>
      <c r="DX292" s="16"/>
      <c r="DY292" s="17"/>
      <c r="DZ292" s="17"/>
      <c r="EA292" s="16"/>
      <c r="EB292" s="16"/>
      <c r="EC292" s="17"/>
      <c r="ED292" s="17"/>
      <c r="EE292" s="16"/>
      <c r="EF292" s="16"/>
      <c r="EG292" s="17"/>
      <c r="EH292" s="17"/>
      <c r="EI292" s="16"/>
      <c r="EJ292" s="16"/>
      <c r="EK292" s="17"/>
      <c r="EL292" s="17"/>
      <c r="EM292" s="16"/>
      <c r="EN292" s="16"/>
      <c r="EO292" s="17"/>
      <c r="EP292" s="17"/>
      <c r="EQ292" s="16"/>
      <c r="ER292" s="16"/>
      <c r="ES292" s="17"/>
      <c r="ET292" s="17"/>
      <c r="EU292" s="16"/>
      <c r="EV292" s="16"/>
      <c r="EW292" s="17"/>
      <c r="EX292" s="17"/>
      <c r="EY292" s="16"/>
      <c r="EZ292" s="16"/>
      <c r="FA292" s="17"/>
      <c r="FB292" s="17"/>
      <c r="FC292" s="16"/>
      <c r="FD292" s="16"/>
      <c r="FE292" s="17"/>
      <c r="FF292" s="17"/>
      <c r="FG292" s="11"/>
      <c r="GT292" s="11"/>
      <c r="IG292" s="11"/>
      <c r="JT292" s="11"/>
      <c r="LG292" s="11"/>
      <c r="MT292" s="11"/>
      <c r="OG292" s="11"/>
      <c r="PT292" s="11"/>
    </row>
    <row r="293" spans="1:436" ht="15.75" x14ac:dyDescent="0.25">
      <c r="C293" s="20" t="s">
        <v>291</v>
      </c>
      <c r="D293" s="21" t="s">
        <v>136</v>
      </c>
      <c r="H293" s="11"/>
      <c r="AU293" s="11"/>
      <c r="CH293" s="11"/>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7"/>
      <c r="DF293" s="17"/>
      <c r="DG293" s="16"/>
      <c r="DH293" s="16"/>
      <c r="DI293" s="17"/>
      <c r="DJ293" s="17"/>
      <c r="DK293" s="16"/>
      <c r="DL293" s="16"/>
      <c r="DM293" s="17"/>
      <c r="DN293" s="17"/>
      <c r="DO293" s="16"/>
      <c r="DP293" s="16"/>
      <c r="DQ293" s="17"/>
      <c r="DR293" s="17"/>
      <c r="DS293" s="16"/>
      <c r="DT293" s="16"/>
      <c r="DU293" s="17"/>
      <c r="DV293" s="17"/>
      <c r="DW293" s="16"/>
      <c r="DX293" s="16"/>
      <c r="DY293" s="17"/>
      <c r="DZ293" s="17"/>
      <c r="EA293" s="16"/>
      <c r="EB293" s="16"/>
      <c r="EC293" s="17"/>
      <c r="ED293" s="17"/>
      <c r="EE293" s="16"/>
      <c r="EF293" s="16"/>
      <c r="EG293" s="17"/>
      <c r="EH293" s="17"/>
      <c r="EI293" s="16"/>
      <c r="EJ293" s="16"/>
      <c r="EK293" s="17"/>
      <c r="EL293" s="17"/>
      <c r="EM293" s="16"/>
      <c r="EN293" s="16"/>
      <c r="EO293" s="17"/>
      <c r="EP293" s="17"/>
      <c r="EQ293" s="16"/>
      <c r="ER293" s="16"/>
      <c r="ES293" s="17"/>
      <c r="ET293" s="17"/>
      <c r="EU293" s="16"/>
      <c r="EV293" s="16"/>
      <c r="EW293" s="17"/>
      <c r="EX293" s="17"/>
      <c r="EY293" s="16"/>
      <c r="EZ293" s="16"/>
      <c r="FA293" s="17"/>
      <c r="FB293" s="17"/>
      <c r="FC293" s="16"/>
      <c r="FD293" s="16"/>
      <c r="FE293" s="17"/>
      <c r="FF293" s="17"/>
      <c r="FG293" s="11"/>
      <c r="GT293" s="11"/>
      <c r="IG293" s="11"/>
      <c r="JT293" s="11"/>
      <c r="LG293" s="11"/>
      <c r="MT293" s="11"/>
      <c r="OG293" s="11"/>
      <c r="PT293" s="11"/>
    </row>
    <row r="294" spans="1:436" ht="15.75" x14ac:dyDescent="0.25">
      <c r="C294" s="20" t="s">
        <v>292</v>
      </c>
      <c r="D294" s="21" t="s">
        <v>142</v>
      </c>
      <c r="H294" s="11"/>
      <c r="AU294" s="11"/>
      <c r="CH294" s="11"/>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7"/>
      <c r="DF294" s="17"/>
      <c r="DG294" s="16"/>
      <c r="DH294" s="16"/>
      <c r="DI294" s="17"/>
      <c r="DJ294" s="17"/>
      <c r="DK294" s="16"/>
      <c r="DL294" s="16"/>
      <c r="DM294" s="17"/>
      <c r="DN294" s="17"/>
      <c r="DO294" s="16"/>
      <c r="DP294" s="16"/>
      <c r="DQ294" s="17"/>
      <c r="DR294" s="17"/>
      <c r="DS294" s="16"/>
      <c r="DT294" s="16"/>
      <c r="DU294" s="17"/>
      <c r="DV294" s="17"/>
      <c r="DW294" s="16"/>
      <c r="DX294" s="16"/>
      <c r="DY294" s="17"/>
      <c r="DZ294" s="17"/>
      <c r="EA294" s="16"/>
      <c r="EB294" s="16"/>
      <c r="EC294" s="17"/>
      <c r="ED294" s="17"/>
      <c r="EE294" s="16"/>
      <c r="EF294" s="16"/>
      <c r="EG294" s="17"/>
      <c r="EH294" s="17"/>
      <c r="EI294" s="16"/>
      <c r="EJ294" s="16"/>
      <c r="EK294" s="17"/>
      <c r="EL294" s="17"/>
      <c r="EM294" s="16"/>
      <c r="EN294" s="16"/>
      <c r="EO294" s="17"/>
      <c r="EP294" s="17"/>
      <c r="EQ294" s="16"/>
      <c r="ER294" s="16"/>
      <c r="ES294" s="17"/>
      <c r="ET294" s="17"/>
      <c r="EU294" s="16"/>
      <c r="EV294" s="16"/>
      <c r="EW294" s="17"/>
      <c r="EX294" s="17"/>
      <c r="EY294" s="16"/>
      <c r="EZ294" s="16"/>
      <c r="FA294" s="17"/>
      <c r="FB294" s="17"/>
      <c r="FC294" s="16"/>
      <c r="FD294" s="16"/>
      <c r="FE294" s="17"/>
      <c r="FF294" s="17"/>
      <c r="FG294" s="11"/>
      <c r="GT294" s="11"/>
      <c r="IG294" s="11"/>
      <c r="JT294" s="11"/>
      <c r="LG294" s="11"/>
      <c r="MT294" s="11"/>
      <c r="OG294" s="11"/>
      <c r="PT294" s="11"/>
    </row>
    <row r="295" spans="1:436" ht="15.75" x14ac:dyDescent="0.25">
      <c r="C295" s="20" t="s">
        <v>293</v>
      </c>
      <c r="D295" s="21" t="s">
        <v>142</v>
      </c>
      <c r="H295" s="11"/>
      <c r="AU295" s="11"/>
      <c r="CH295" s="11"/>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7"/>
      <c r="DF295" s="17"/>
      <c r="DG295" s="16"/>
      <c r="DH295" s="16"/>
      <c r="DI295" s="17"/>
      <c r="DJ295" s="17"/>
      <c r="DK295" s="16"/>
      <c r="DL295" s="16"/>
      <c r="DM295" s="17"/>
      <c r="DN295" s="17"/>
      <c r="DO295" s="16"/>
      <c r="DP295" s="16"/>
      <c r="DQ295" s="17"/>
      <c r="DR295" s="17"/>
      <c r="DS295" s="16"/>
      <c r="DT295" s="16"/>
      <c r="DU295" s="17"/>
      <c r="DV295" s="17"/>
      <c r="DW295" s="16"/>
      <c r="DX295" s="16"/>
      <c r="DY295" s="17"/>
      <c r="DZ295" s="17"/>
      <c r="EA295" s="16"/>
      <c r="EB295" s="16"/>
      <c r="EC295" s="17"/>
      <c r="ED295" s="17"/>
      <c r="EE295" s="16"/>
      <c r="EF295" s="16"/>
      <c r="EG295" s="17"/>
      <c r="EH295" s="17"/>
      <c r="EI295" s="16"/>
      <c r="EJ295" s="16"/>
      <c r="EK295" s="17"/>
      <c r="EL295" s="17"/>
      <c r="EM295" s="16"/>
      <c r="EN295" s="16"/>
      <c r="EO295" s="17"/>
      <c r="EP295" s="17"/>
      <c r="EQ295" s="16"/>
      <c r="ER295" s="16"/>
      <c r="ES295" s="17"/>
      <c r="ET295" s="17"/>
      <c r="EU295" s="16"/>
      <c r="EV295" s="16"/>
      <c r="EW295" s="17"/>
      <c r="EX295" s="17"/>
      <c r="EY295" s="16"/>
      <c r="EZ295" s="16"/>
      <c r="FA295" s="17"/>
      <c r="FB295" s="17"/>
      <c r="FC295" s="16"/>
      <c r="FD295" s="16"/>
      <c r="FE295" s="17"/>
      <c r="FF295" s="17"/>
      <c r="FG295" s="11"/>
      <c r="GT295" s="11"/>
      <c r="IG295" s="11"/>
      <c r="JT295" s="11"/>
      <c r="LG295" s="11"/>
      <c r="MT295" s="11"/>
      <c r="OG295" s="11"/>
      <c r="PT295" s="11"/>
    </row>
    <row r="296" spans="1:436" ht="15.75" x14ac:dyDescent="0.25">
      <c r="C296" s="20" t="s">
        <v>294</v>
      </c>
      <c r="D296" s="21" t="s">
        <v>104</v>
      </c>
      <c r="H296" s="11"/>
      <c r="AU296" s="11"/>
      <c r="CH296" s="11"/>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7"/>
      <c r="DF296" s="17"/>
      <c r="DG296" s="16"/>
      <c r="DH296" s="16"/>
      <c r="DI296" s="17"/>
      <c r="DJ296" s="17"/>
      <c r="DK296" s="16"/>
      <c r="DL296" s="16"/>
      <c r="DM296" s="17"/>
      <c r="DN296" s="17"/>
      <c r="DO296" s="16"/>
      <c r="DP296" s="16"/>
      <c r="DQ296" s="17"/>
      <c r="DR296" s="17"/>
      <c r="DS296" s="16"/>
      <c r="DT296" s="16"/>
      <c r="DU296" s="17"/>
      <c r="DV296" s="17"/>
      <c r="DW296" s="16"/>
      <c r="DX296" s="16"/>
      <c r="DY296" s="17"/>
      <c r="DZ296" s="17"/>
      <c r="EA296" s="16"/>
      <c r="EB296" s="16"/>
      <c r="EC296" s="17"/>
      <c r="ED296" s="17"/>
      <c r="EE296" s="16"/>
      <c r="EF296" s="16"/>
      <c r="EG296" s="17"/>
      <c r="EH296" s="17"/>
      <c r="EI296" s="16"/>
      <c r="EJ296" s="16"/>
      <c r="EK296" s="17"/>
      <c r="EL296" s="17"/>
      <c r="EM296" s="16"/>
      <c r="EN296" s="16"/>
      <c r="EO296" s="17"/>
      <c r="EP296" s="17"/>
      <c r="EQ296" s="16"/>
      <c r="ER296" s="16"/>
      <c r="ES296" s="17"/>
      <c r="ET296" s="17"/>
      <c r="EU296" s="16"/>
      <c r="EV296" s="16"/>
      <c r="EW296" s="17"/>
      <c r="EX296" s="17"/>
      <c r="EY296" s="16"/>
      <c r="EZ296" s="16"/>
      <c r="FA296" s="17"/>
      <c r="FB296" s="17"/>
      <c r="FC296" s="16"/>
      <c r="FD296" s="16"/>
      <c r="FE296" s="17"/>
      <c r="FF296" s="17"/>
      <c r="FG296" s="11"/>
      <c r="GT296" s="11"/>
      <c r="IG296" s="11"/>
      <c r="JT296" s="11"/>
      <c r="LG296" s="11"/>
      <c r="MT296" s="11"/>
      <c r="OG296" s="11"/>
      <c r="PT296" s="11"/>
    </row>
    <row r="297" spans="1:436" ht="15.75" x14ac:dyDescent="0.25">
      <c r="C297" s="20" t="s">
        <v>295</v>
      </c>
      <c r="D297" s="21" t="s">
        <v>90</v>
      </c>
      <c r="H297" s="11"/>
      <c r="AU297" s="11"/>
      <c r="CH297" s="11"/>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7"/>
      <c r="DF297" s="17"/>
      <c r="DG297" s="16"/>
      <c r="DH297" s="16"/>
      <c r="DI297" s="17"/>
      <c r="DJ297" s="17"/>
      <c r="DK297" s="16"/>
      <c r="DL297" s="16"/>
      <c r="DM297" s="17"/>
      <c r="DN297" s="17"/>
      <c r="DO297" s="16"/>
      <c r="DP297" s="16"/>
      <c r="DQ297" s="17"/>
      <c r="DR297" s="17"/>
      <c r="DS297" s="16"/>
      <c r="DT297" s="16"/>
      <c r="DU297" s="17"/>
      <c r="DV297" s="17"/>
      <c r="DW297" s="16"/>
      <c r="DX297" s="16"/>
      <c r="DY297" s="17"/>
      <c r="DZ297" s="17"/>
      <c r="EA297" s="16"/>
      <c r="EB297" s="16"/>
      <c r="EC297" s="17"/>
      <c r="ED297" s="17"/>
      <c r="EE297" s="16"/>
      <c r="EF297" s="16"/>
      <c r="EG297" s="17"/>
      <c r="EH297" s="17"/>
      <c r="EI297" s="16"/>
      <c r="EJ297" s="16"/>
      <c r="EK297" s="17"/>
      <c r="EL297" s="17"/>
      <c r="EM297" s="16"/>
      <c r="EN297" s="16"/>
      <c r="EO297" s="17"/>
      <c r="EP297" s="17"/>
      <c r="EQ297" s="16"/>
      <c r="ER297" s="16"/>
      <c r="ES297" s="17"/>
      <c r="ET297" s="17"/>
      <c r="EU297" s="16"/>
      <c r="EV297" s="16"/>
      <c r="EW297" s="17"/>
      <c r="EX297" s="17"/>
      <c r="EY297" s="16"/>
      <c r="EZ297" s="16"/>
      <c r="FA297" s="17"/>
      <c r="FB297" s="17"/>
      <c r="FC297" s="16"/>
      <c r="FD297" s="16"/>
      <c r="FE297" s="17"/>
      <c r="FF297" s="17"/>
      <c r="FG297" s="11"/>
      <c r="GT297" s="11"/>
      <c r="IG297" s="11"/>
      <c r="JT297" s="11"/>
      <c r="LG297" s="11"/>
      <c r="MT297" s="11"/>
      <c r="OG297" s="11"/>
      <c r="PT297" s="11"/>
    </row>
    <row r="298" spans="1:436" ht="15.75" x14ac:dyDescent="0.25">
      <c r="C298" s="20" t="s">
        <v>299</v>
      </c>
      <c r="D298" s="21" t="s">
        <v>203</v>
      </c>
      <c r="H298" s="11"/>
      <c r="AU298" s="11"/>
      <c r="CH298" s="11"/>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7"/>
      <c r="DF298" s="17"/>
      <c r="DG298" s="16"/>
      <c r="DH298" s="16"/>
      <c r="DI298" s="17"/>
      <c r="DJ298" s="17"/>
      <c r="DK298" s="16"/>
      <c r="DL298" s="16"/>
      <c r="DM298" s="17"/>
      <c r="DN298" s="17"/>
      <c r="DO298" s="16"/>
      <c r="DP298" s="16"/>
      <c r="DQ298" s="17"/>
      <c r="DR298" s="17"/>
      <c r="DS298" s="16"/>
      <c r="DT298" s="16"/>
      <c r="DU298" s="17"/>
      <c r="DV298" s="17"/>
      <c r="DW298" s="16"/>
      <c r="DX298" s="16"/>
      <c r="DY298" s="17"/>
      <c r="DZ298" s="17"/>
      <c r="EA298" s="16"/>
      <c r="EB298" s="16"/>
      <c r="EC298" s="17"/>
      <c r="ED298" s="17"/>
      <c r="EE298" s="16"/>
      <c r="EF298" s="16"/>
      <c r="EG298" s="17"/>
      <c r="EH298" s="17"/>
      <c r="EI298" s="16"/>
      <c r="EJ298" s="16"/>
      <c r="EK298" s="17"/>
      <c r="EL298" s="17"/>
      <c r="EM298" s="16"/>
      <c r="EN298" s="16"/>
      <c r="EO298" s="17"/>
      <c r="EP298" s="17"/>
      <c r="EQ298" s="16"/>
      <c r="ER298" s="16"/>
      <c r="ES298" s="17"/>
      <c r="ET298" s="17"/>
      <c r="EU298" s="16"/>
      <c r="EV298" s="16"/>
      <c r="EW298" s="17"/>
      <c r="EX298" s="17"/>
      <c r="EY298" s="16"/>
      <c r="EZ298" s="16"/>
      <c r="FA298" s="17"/>
      <c r="FB298" s="17"/>
      <c r="FC298" s="16"/>
      <c r="FD298" s="16"/>
      <c r="FE298" s="17"/>
      <c r="FF298" s="17"/>
      <c r="FG298" s="11"/>
      <c r="GT298" s="11"/>
      <c r="IG298" s="11"/>
      <c r="JT298" s="11"/>
      <c r="LG298" s="11"/>
      <c r="MT298" s="11"/>
      <c r="OG298" s="11"/>
      <c r="PT298" s="11"/>
    </row>
    <row r="299" spans="1:436" ht="15.75" x14ac:dyDescent="0.25">
      <c r="C299" s="20" t="s">
        <v>300</v>
      </c>
      <c r="D299" s="21" t="s">
        <v>203</v>
      </c>
      <c r="H299" s="11"/>
      <c r="AU299" s="11"/>
      <c r="CH299" s="11"/>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7"/>
      <c r="DF299" s="17"/>
      <c r="DG299" s="16"/>
      <c r="DH299" s="16"/>
      <c r="DI299" s="17"/>
      <c r="DJ299" s="17"/>
      <c r="DK299" s="16"/>
      <c r="DL299" s="16"/>
      <c r="DM299" s="17"/>
      <c r="DN299" s="17"/>
      <c r="DO299" s="16"/>
      <c r="DP299" s="16"/>
      <c r="DQ299" s="17"/>
      <c r="DR299" s="17"/>
      <c r="DS299" s="16"/>
      <c r="DT299" s="16"/>
      <c r="DU299" s="17"/>
      <c r="DV299" s="17"/>
      <c r="DW299" s="16"/>
      <c r="DX299" s="16"/>
      <c r="DY299" s="17"/>
      <c r="DZ299" s="17"/>
      <c r="EA299" s="16"/>
      <c r="EB299" s="16"/>
      <c r="EC299" s="17"/>
      <c r="ED299" s="17"/>
      <c r="EE299" s="16"/>
      <c r="EF299" s="16"/>
      <c r="EG299" s="17"/>
      <c r="EH299" s="17"/>
      <c r="EI299" s="16"/>
      <c r="EJ299" s="16"/>
      <c r="EK299" s="17"/>
      <c r="EL299" s="17"/>
      <c r="EM299" s="16"/>
      <c r="EN299" s="16"/>
      <c r="EO299" s="17"/>
      <c r="EP299" s="17"/>
      <c r="EQ299" s="16"/>
      <c r="ER299" s="16"/>
      <c r="ES299" s="17"/>
      <c r="ET299" s="17"/>
      <c r="EU299" s="16"/>
      <c r="EV299" s="16"/>
      <c r="EW299" s="17"/>
      <c r="EX299" s="17"/>
      <c r="EY299" s="16"/>
      <c r="EZ299" s="16"/>
      <c r="FA299" s="17"/>
      <c r="FB299" s="17"/>
      <c r="FC299" s="16"/>
      <c r="FD299" s="16"/>
      <c r="FE299" s="17"/>
      <c r="FF299" s="17"/>
      <c r="FG299" s="11"/>
      <c r="GT299" s="11"/>
      <c r="IG299" s="11"/>
      <c r="JT299" s="11"/>
      <c r="LG299" s="11"/>
      <c r="MT299" s="11"/>
      <c r="OG299" s="11"/>
      <c r="PT299" s="11"/>
    </row>
    <row r="300" spans="1:436" ht="15.75" x14ac:dyDescent="0.25">
      <c r="A300" s="13"/>
      <c r="B300" s="14" t="s">
        <v>301</v>
      </c>
      <c r="C300" s="13"/>
      <c r="D300" s="13"/>
      <c r="E300" s="15" t="s">
        <v>127</v>
      </c>
      <c r="F300" s="15" t="s">
        <v>177</v>
      </c>
      <c r="G300" s="13"/>
      <c r="H300" s="11"/>
      <c r="AU300" s="11"/>
      <c r="CH300" s="11"/>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7"/>
      <c r="DF300" s="17"/>
      <c r="DG300" s="16"/>
      <c r="DH300" s="16"/>
      <c r="DI300" s="17"/>
      <c r="DJ300" s="17"/>
      <c r="DK300" s="16"/>
      <c r="DL300" s="16"/>
      <c r="DM300" s="17"/>
      <c r="DN300" s="17"/>
      <c r="DO300" s="16"/>
      <c r="DP300" s="16"/>
      <c r="DQ300" s="17"/>
      <c r="DR300" s="17"/>
      <c r="DS300" s="16"/>
      <c r="DT300" s="16"/>
      <c r="DU300" s="17"/>
      <c r="DV300" s="17"/>
      <c r="DW300" s="16"/>
      <c r="DX300" s="16"/>
      <c r="DY300" s="17"/>
      <c r="DZ300" s="17"/>
      <c r="EA300" s="16"/>
      <c r="EB300" s="16"/>
      <c r="EC300" s="17"/>
      <c r="ED300" s="17"/>
      <c r="EE300" s="16"/>
      <c r="EF300" s="16"/>
      <c r="EG300" s="17"/>
      <c r="EH300" s="17"/>
      <c r="EI300" s="16"/>
      <c r="EJ300" s="16"/>
      <c r="EK300" s="17"/>
      <c r="EL300" s="17"/>
      <c r="EM300" s="16"/>
      <c r="EN300" s="16"/>
      <c r="EO300" s="17"/>
      <c r="EP300" s="17"/>
      <c r="EQ300" s="16"/>
      <c r="ER300" s="16"/>
      <c r="ES300" s="17"/>
      <c r="ET300" s="17"/>
      <c r="EU300" s="16"/>
      <c r="EV300" s="16"/>
      <c r="EW300" s="17"/>
      <c r="EX300" s="17"/>
      <c r="EY300" s="16"/>
      <c r="EZ300" s="16"/>
      <c r="FA300" s="17"/>
      <c r="FB300" s="17"/>
      <c r="FC300" s="16"/>
      <c r="FD300" s="16"/>
      <c r="FE300" s="17"/>
      <c r="FF300" s="17"/>
      <c r="FG300" s="11"/>
      <c r="GT300" s="11"/>
      <c r="IG300" s="11"/>
      <c r="JT300" s="11"/>
      <c r="LG300" s="11"/>
      <c r="MT300" s="11"/>
      <c r="OG300" s="11"/>
      <c r="PT300" s="11"/>
    </row>
    <row r="301" spans="1:436" ht="15.75" x14ac:dyDescent="0.25">
      <c r="C301" s="20" t="s">
        <v>302</v>
      </c>
      <c r="D301" s="21" t="s">
        <v>79</v>
      </c>
      <c r="H301" s="11"/>
      <c r="AU301" s="11"/>
      <c r="CH301" s="11"/>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7"/>
      <c r="DF301" s="17"/>
      <c r="DG301" s="16"/>
      <c r="DH301" s="16"/>
      <c r="DI301" s="18">
        <v>10</v>
      </c>
      <c r="DJ301" s="18">
        <v>10</v>
      </c>
      <c r="DK301" s="16"/>
      <c r="DL301" s="16"/>
      <c r="DM301" s="17"/>
      <c r="DN301" s="17"/>
      <c r="DO301" s="16"/>
      <c r="DP301" s="16"/>
      <c r="DQ301" s="17"/>
      <c r="DR301" s="17"/>
      <c r="DS301" s="16"/>
      <c r="DT301" s="16"/>
      <c r="DU301" s="17"/>
      <c r="DV301" s="17"/>
      <c r="DW301" s="16"/>
      <c r="DX301" s="16"/>
      <c r="DY301" s="17"/>
      <c r="DZ301" s="17"/>
      <c r="EA301" s="16"/>
      <c r="EB301" s="16"/>
      <c r="EC301" s="17"/>
      <c r="ED301" s="17"/>
      <c r="EE301" s="16"/>
      <c r="EF301" s="16"/>
      <c r="EG301" s="17"/>
      <c r="EH301" s="17"/>
      <c r="EI301" s="16"/>
      <c r="EJ301" s="16"/>
      <c r="EK301" s="17"/>
      <c r="EL301" s="17"/>
      <c r="EM301" s="16"/>
      <c r="EN301" s="16"/>
      <c r="EO301" s="17"/>
      <c r="EP301" s="17"/>
      <c r="EQ301" s="16"/>
      <c r="ER301" s="16"/>
      <c r="ES301" s="17"/>
      <c r="ET301" s="17"/>
      <c r="EU301" s="16"/>
      <c r="EV301" s="16"/>
      <c r="EW301" s="17"/>
      <c r="EX301" s="17"/>
      <c r="EY301" s="16"/>
      <c r="EZ301" s="16"/>
      <c r="FA301" s="17"/>
      <c r="FB301" s="17"/>
      <c r="FC301" s="16"/>
      <c r="FD301" s="16"/>
      <c r="FE301" s="17"/>
      <c r="FF301" s="17"/>
      <c r="FG301" s="11"/>
      <c r="GT301" s="11"/>
      <c r="IG301" s="11"/>
      <c r="JT301" s="11"/>
      <c r="LG301" s="11"/>
      <c r="MT301" s="11"/>
      <c r="OG301" s="11"/>
      <c r="PT301" s="11"/>
    </row>
    <row r="302" spans="1:436" ht="15.75" x14ac:dyDescent="0.25">
      <c r="C302" s="20" t="s">
        <v>303</v>
      </c>
      <c r="D302" s="21" t="s">
        <v>104</v>
      </c>
      <c r="H302" s="11"/>
      <c r="AU302" s="11"/>
      <c r="CH302" s="11"/>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7"/>
      <c r="DF302" s="17"/>
      <c r="DG302" s="16"/>
      <c r="DH302" s="16"/>
      <c r="DI302" s="17"/>
      <c r="DJ302" s="17"/>
      <c r="DK302" s="16"/>
      <c r="DL302" s="16"/>
      <c r="DM302" s="17"/>
      <c r="DN302" s="17"/>
      <c r="DO302" s="16"/>
      <c r="DP302" s="16"/>
      <c r="DQ302" s="17"/>
      <c r="DR302" s="17"/>
      <c r="DS302" s="16"/>
      <c r="DT302" s="16"/>
      <c r="DU302" s="17"/>
      <c r="DV302" s="17"/>
      <c r="DW302" s="16"/>
      <c r="DX302" s="16"/>
      <c r="DY302" s="17"/>
      <c r="DZ302" s="17"/>
      <c r="EA302" s="16"/>
      <c r="EB302" s="16"/>
      <c r="EC302" s="17"/>
      <c r="ED302" s="17"/>
      <c r="EE302" s="16"/>
      <c r="EF302" s="16"/>
      <c r="EG302" s="17"/>
      <c r="EH302" s="17"/>
      <c r="EI302" s="16"/>
      <c r="EJ302" s="16"/>
      <c r="EK302" s="17"/>
      <c r="EL302" s="17"/>
      <c r="EM302" s="16"/>
      <c r="EN302" s="16"/>
      <c r="EO302" s="17"/>
      <c r="EP302" s="17"/>
      <c r="EQ302" s="16"/>
      <c r="ER302" s="16"/>
      <c r="ES302" s="17"/>
      <c r="ET302" s="17"/>
      <c r="EU302" s="16"/>
      <c r="EV302" s="16"/>
      <c r="EW302" s="17"/>
      <c r="EX302" s="17"/>
      <c r="EY302" s="16"/>
      <c r="EZ302" s="16"/>
      <c r="FA302" s="17"/>
      <c r="FB302" s="17"/>
      <c r="FC302" s="19">
        <v>0.5</v>
      </c>
      <c r="FD302" s="19">
        <v>1</v>
      </c>
      <c r="FE302" s="17"/>
      <c r="FF302" s="17"/>
      <c r="FG302" s="11"/>
      <c r="GT302" s="11"/>
      <c r="IG302" s="11"/>
      <c r="JT302" s="11"/>
      <c r="LG302" s="11"/>
      <c r="MT302" s="11"/>
      <c r="OG302" s="11"/>
      <c r="PT302" s="11"/>
    </row>
    <row r="303" spans="1:436" ht="15.75" x14ac:dyDescent="0.25">
      <c r="C303" s="20" t="s">
        <v>304</v>
      </c>
      <c r="D303" s="21" t="s">
        <v>129</v>
      </c>
      <c r="H303" s="11"/>
      <c r="AU303" s="11"/>
      <c r="CH303" s="11"/>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7"/>
      <c r="DF303" s="17"/>
      <c r="DG303" s="16"/>
      <c r="DH303" s="16"/>
      <c r="DI303" s="17"/>
      <c r="DJ303" s="17"/>
      <c r="DK303" s="16"/>
      <c r="DL303" s="16"/>
      <c r="DM303" s="17"/>
      <c r="DN303" s="17"/>
      <c r="DO303" s="16"/>
      <c r="DP303" s="16"/>
      <c r="DQ303" s="17"/>
      <c r="DR303" s="17"/>
      <c r="DS303" s="16"/>
      <c r="DT303" s="16"/>
      <c r="DU303" s="17"/>
      <c r="DV303" s="17"/>
      <c r="DW303" s="16"/>
      <c r="DX303" s="16"/>
      <c r="DY303" s="17"/>
      <c r="DZ303" s="17"/>
      <c r="EA303" s="16"/>
      <c r="EB303" s="16"/>
      <c r="EC303" s="17"/>
      <c r="ED303" s="17"/>
      <c r="EE303" s="16"/>
      <c r="EF303" s="16"/>
      <c r="EG303" s="17"/>
      <c r="EH303" s="17"/>
      <c r="EI303" s="16"/>
      <c r="EJ303" s="16"/>
      <c r="EK303" s="17"/>
      <c r="EL303" s="17"/>
      <c r="EM303" s="16"/>
      <c r="EN303" s="16"/>
      <c r="EO303" s="17"/>
      <c r="EP303" s="17"/>
      <c r="EQ303" s="16"/>
      <c r="ER303" s="16"/>
      <c r="ES303" s="17"/>
      <c r="ET303" s="17"/>
      <c r="EU303" s="16"/>
      <c r="EV303" s="16"/>
      <c r="EW303" s="17"/>
      <c r="EX303" s="17"/>
      <c r="EY303" s="16"/>
      <c r="EZ303" s="16"/>
      <c r="FA303" s="17"/>
      <c r="FB303" s="17"/>
      <c r="FC303" s="16"/>
      <c r="FD303" s="16"/>
      <c r="FE303" s="17"/>
      <c r="FF303" s="17"/>
      <c r="FG303" s="11"/>
      <c r="GT303" s="11"/>
      <c r="IG303" s="11"/>
      <c r="JT303" s="11"/>
      <c r="LG303" s="11"/>
      <c r="MT303" s="11"/>
      <c r="OG303" s="11"/>
      <c r="PT303" s="11"/>
    </row>
    <row r="304" spans="1:436" ht="15.75" x14ac:dyDescent="0.25">
      <c r="C304" s="20" t="s">
        <v>305</v>
      </c>
      <c r="D304" s="21" t="s">
        <v>82</v>
      </c>
      <c r="H304" s="11"/>
      <c r="AU304" s="11"/>
      <c r="CH304" s="11"/>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7"/>
      <c r="DF304" s="17"/>
      <c r="DG304" s="16"/>
      <c r="DH304" s="16"/>
      <c r="DI304" s="17"/>
      <c r="DJ304" s="17"/>
      <c r="DK304" s="16"/>
      <c r="DL304" s="16"/>
      <c r="DM304" s="17"/>
      <c r="DN304" s="17"/>
      <c r="DO304" s="16"/>
      <c r="DP304" s="16"/>
      <c r="DQ304" s="17"/>
      <c r="DR304" s="17"/>
      <c r="DS304" s="16"/>
      <c r="DT304" s="16"/>
      <c r="DU304" s="17"/>
      <c r="DV304" s="17"/>
      <c r="DW304" s="16"/>
      <c r="DX304" s="16"/>
      <c r="DY304" s="17"/>
      <c r="DZ304" s="17"/>
      <c r="EA304" s="16"/>
      <c r="EB304" s="16"/>
      <c r="EC304" s="17"/>
      <c r="ED304" s="17"/>
      <c r="EE304" s="16"/>
      <c r="EF304" s="16"/>
      <c r="EG304" s="17"/>
      <c r="EH304" s="17"/>
      <c r="EI304" s="16"/>
      <c r="EJ304" s="16"/>
      <c r="EK304" s="17"/>
      <c r="EL304" s="17"/>
      <c r="EM304" s="16"/>
      <c r="EN304" s="16"/>
      <c r="EO304" s="17"/>
      <c r="EP304" s="17"/>
      <c r="EQ304" s="16"/>
      <c r="ER304" s="16"/>
      <c r="ES304" s="17"/>
      <c r="ET304" s="17"/>
      <c r="EU304" s="16"/>
      <c r="EV304" s="16"/>
      <c r="EW304" s="17"/>
      <c r="EX304" s="17"/>
      <c r="EY304" s="16"/>
      <c r="EZ304" s="16"/>
      <c r="FA304" s="17"/>
      <c r="FB304" s="17"/>
      <c r="FC304" s="16"/>
      <c r="FD304" s="16"/>
      <c r="FE304" s="17"/>
      <c r="FF304" s="17"/>
      <c r="FG304" s="11"/>
      <c r="GT304" s="11"/>
      <c r="IG304" s="11"/>
      <c r="JT304" s="11"/>
      <c r="LG304" s="11"/>
      <c r="MT304" s="11"/>
      <c r="OG304" s="11"/>
      <c r="PT304" s="11"/>
    </row>
    <row r="305" spans="3:436" ht="15.75" x14ac:dyDescent="0.25">
      <c r="C305" s="20" t="s">
        <v>306</v>
      </c>
      <c r="D305" s="21" t="s">
        <v>84</v>
      </c>
      <c r="H305" s="11"/>
      <c r="AU305" s="11"/>
      <c r="CH305" s="11"/>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7"/>
      <c r="DF305" s="17"/>
      <c r="DG305" s="16"/>
      <c r="DH305" s="16"/>
      <c r="DI305" s="17"/>
      <c r="DJ305" s="17"/>
      <c r="DK305" s="16"/>
      <c r="DL305" s="16"/>
      <c r="DM305" s="17"/>
      <c r="DN305" s="17"/>
      <c r="DO305" s="16"/>
      <c r="DP305" s="16"/>
      <c r="DQ305" s="17"/>
      <c r="DR305" s="17"/>
      <c r="DS305" s="16"/>
      <c r="DT305" s="16"/>
      <c r="DU305" s="17"/>
      <c r="DV305" s="17"/>
      <c r="DW305" s="16"/>
      <c r="DX305" s="19">
        <v>10</v>
      </c>
      <c r="DY305" s="17"/>
      <c r="DZ305" s="17"/>
      <c r="EA305" s="16"/>
      <c r="EB305" s="16"/>
      <c r="EC305" s="17"/>
      <c r="ED305" s="17"/>
      <c r="EE305" s="16"/>
      <c r="EF305" s="16"/>
      <c r="EG305" s="17"/>
      <c r="EH305" s="17"/>
      <c r="EI305" s="16"/>
      <c r="EJ305" s="16"/>
      <c r="EK305" s="17"/>
      <c r="EL305" s="17"/>
      <c r="EM305" s="16"/>
      <c r="EN305" s="16"/>
      <c r="EO305" s="17"/>
      <c r="EP305" s="17"/>
      <c r="EQ305" s="16"/>
      <c r="ER305" s="16"/>
      <c r="ES305" s="17"/>
      <c r="ET305" s="17"/>
      <c r="EU305" s="16"/>
      <c r="EV305" s="16"/>
      <c r="EW305" s="17"/>
      <c r="EX305" s="17"/>
      <c r="EY305" s="16"/>
      <c r="EZ305" s="16"/>
      <c r="FA305" s="17"/>
      <c r="FB305" s="17"/>
      <c r="FC305" s="16"/>
      <c r="FD305" s="16"/>
      <c r="FE305" s="17"/>
      <c r="FF305" s="17"/>
      <c r="FG305" s="11"/>
      <c r="GT305" s="11"/>
      <c r="IG305" s="11"/>
      <c r="JT305" s="11"/>
      <c r="LG305" s="11"/>
      <c r="MT305" s="11"/>
      <c r="OG305" s="11"/>
      <c r="PT305" s="11"/>
    </row>
    <row r="306" spans="3:436" ht="15.75" x14ac:dyDescent="0.25">
      <c r="C306" s="20" t="s">
        <v>307</v>
      </c>
      <c r="D306" s="21" t="s">
        <v>82</v>
      </c>
      <c r="H306" s="11"/>
      <c r="AU306" s="11"/>
      <c r="CH306" s="11"/>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7"/>
      <c r="DF306" s="17"/>
      <c r="DG306" s="16"/>
      <c r="DH306" s="16"/>
      <c r="DI306" s="17"/>
      <c r="DJ306" s="17"/>
      <c r="DK306" s="16"/>
      <c r="DL306" s="16"/>
      <c r="DM306" s="17"/>
      <c r="DN306" s="17"/>
      <c r="DO306" s="16"/>
      <c r="DP306" s="16"/>
      <c r="DQ306" s="17"/>
      <c r="DR306" s="17"/>
      <c r="DS306" s="16"/>
      <c r="DT306" s="16"/>
      <c r="DU306" s="17"/>
      <c r="DV306" s="17"/>
      <c r="DW306" s="16"/>
      <c r="DX306" s="16"/>
      <c r="DY306" s="17"/>
      <c r="DZ306" s="17"/>
      <c r="EA306" s="16"/>
      <c r="EB306" s="16"/>
      <c r="EC306" s="17"/>
      <c r="ED306" s="17"/>
      <c r="EE306" s="16"/>
      <c r="EF306" s="16"/>
      <c r="EG306" s="17"/>
      <c r="EH306" s="17"/>
      <c r="EI306" s="16"/>
      <c r="EJ306" s="16"/>
      <c r="EK306" s="17"/>
      <c r="EL306" s="17"/>
      <c r="EM306" s="16"/>
      <c r="EN306" s="16"/>
      <c r="EO306" s="17"/>
      <c r="EP306" s="17"/>
      <c r="EQ306" s="16"/>
      <c r="ER306" s="16"/>
      <c r="ES306" s="17"/>
      <c r="ET306" s="17"/>
      <c r="EU306" s="16"/>
      <c r="EV306" s="16"/>
      <c r="EW306" s="17"/>
      <c r="EX306" s="17"/>
      <c r="EY306" s="16"/>
      <c r="EZ306" s="16"/>
      <c r="FA306" s="17"/>
      <c r="FB306" s="17"/>
      <c r="FC306" s="16"/>
      <c r="FD306" s="16"/>
      <c r="FE306" s="17"/>
      <c r="FF306" s="17"/>
      <c r="FG306" s="11"/>
      <c r="GT306" s="11"/>
      <c r="IG306" s="11"/>
      <c r="JT306" s="11"/>
      <c r="LG306" s="11"/>
      <c r="MT306" s="11"/>
      <c r="OG306" s="11"/>
      <c r="PT306" s="11"/>
    </row>
    <row r="307" spans="3:436" ht="15.75" x14ac:dyDescent="0.25">
      <c r="C307" s="20" t="s">
        <v>308</v>
      </c>
      <c r="D307" s="21" t="s">
        <v>90</v>
      </c>
      <c r="H307" s="11"/>
      <c r="AU307" s="11"/>
      <c r="CH307" s="11"/>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7"/>
      <c r="DF307" s="17"/>
      <c r="DG307" s="16"/>
      <c r="DH307" s="16"/>
      <c r="DI307" s="17"/>
      <c r="DJ307" s="17"/>
      <c r="DK307" s="16"/>
      <c r="DL307" s="16"/>
      <c r="DM307" s="17"/>
      <c r="DN307" s="17"/>
      <c r="DO307" s="16"/>
      <c r="DP307" s="16"/>
      <c r="DQ307" s="17"/>
      <c r="DR307" s="17"/>
      <c r="DS307" s="16"/>
      <c r="DT307" s="16"/>
      <c r="DU307" s="17"/>
      <c r="DV307" s="17"/>
      <c r="DW307" s="16"/>
      <c r="DX307" s="16"/>
      <c r="DY307" s="17"/>
      <c r="DZ307" s="17"/>
      <c r="EA307" s="16"/>
      <c r="EB307" s="16"/>
      <c r="EC307" s="17"/>
      <c r="ED307" s="17"/>
      <c r="EE307" s="16"/>
      <c r="EF307" s="16"/>
      <c r="EG307" s="17"/>
      <c r="EH307" s="17"/>
      <c r="EI307" s="16"/>
      <c r="EJ307" s="16"/>
      <c r="EK307" s="17"/>
      <c r="EL307" s="17"/>
      <c r="EM307" s="16"/>
      <c r="EN307" s="16"/>
      <c r="EO307" s="17"/>
      <c r="EP307" s="17"/>
      <c r="EQ307" s="16"/>
      <c r="ER307" s="16"/>
      <c r="ES307" s="17"/>
      <c r="ET307" s="17"/>
      <c r="EU307" s="16"/>
      <c r="EV307" s="16"/>
      <c r="EW307" s="17"/>
      <c r="EX307" s="17"/>
      <c r="EY307" s="16"/>
      <c r="EZ307" s="16"/>
      <c r="FA307" s="17"/>
      <c r="FB307" s="17"/>
      <c r="FC307" s="16"/>
      <c r="FD307" s="16"/>
      <c r="FE307" s="17"/>
      <c r="FF307" s="17"/>
      <c r="FG307" s="11"/>
      <c r="GT307" s="11"/>
      <c r="IG307" s="11"/>
      <c r="JT307" s="11"/>
      <c r="LG307" s="11"/>
      <c r="MT307" s="11"/>
      <c r="OG307" s="11"/>
      <c r="PT307" s="11"/>
    </row>
    <row r="308" spans="3:436" ht="15.75" x14ac:dyDescent="0.25">
      <c r="C308" s="20" t="s">
        <v>309</v>
      </c>
      <c r="D308" s="21" t="s">
        <v>82</v>
      </c>
      <c r="H308" s="11"/>
      <c r="AU308" s="11"/>
      <c r="CH308" s="11"/>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7"/>
      <c r="DF308" s="17"/>
      <c r="DG308" s="16"/>
      <c r="DH308" s="16"/>
      <c r="DI308" s="17"/>
      <c r="DJ308" s="17"/>
      <c r="DK308" s="16"/>
      <c r="DL308" s="16"/>
      <c r="DM308" s="17"/>
      <c r="DN308" s="17"/>
      <c r="DO308" s="16"/>
      <c r="DP308" s="16"/>
      <c r="DQ308" s="17"/>
      <c r="DR308" s="17"/>
      <c r="DS308" s="16"/>
      <c r="DT308" s="16"/>
      <c r="DU308" s="17"/>
      <c r="DV308" s="17"/>
      <c r="DW308" s="16"/>
      <c r="DX308" s="16"/>
      <c r="DY308" s="17"/>
      <c r="DZ308" s="17"/>
      <c r="EA308" s="16"/>
      <c r="EB308" s="16"/>
      <c r="EC308" s="17"/>
      <c r="ED308" s="17"/>
      <c r="EE308" s="16"/>
      <c r="EF308" s="16"/>
      <c r="EG308" s="17"/>
      <c r="EH308" s="17"/>
      <c r="EI308" s="16"/>
      <c r="EJ308" s="16"/>
      <c r="EK308" s="17"/>
      <c r="EL308" s="17"/>
      <c r="EM308" s="16"/>
      <c r="EN308" s="16"/>
      <c r="EO308" s="17"/>
      <c r="EP308" s="17"/>
      <c r="EQ308" s="16"/>
      <c r="ER308" s="16"/>
      <c r="ES308" s="17"/>
      <c r="ET308" s="17"/>
      <c r="EU308" s="16"/>
      <c r="EV308" s="16"/>
      <c r="EW308" s="17"/>
      <c r="EX308" s="17"/>
      <c r="EY308" s="16"/>
      <c r="EZ308" s="16"/>
      <c r="FA308" s="17"/>
      <c r="FB308" s="17"/>
      <c r="FC308" s="16"/>
      <c r="FD308" s="16"/>
      <c r="FE308" s="17"/>
      <c r="FF308" s="17"/>
      <c r="FG308" s="11"/>
      <c r="GT308" s="11"/>
      <c r="IG308" s="11"/>
      <c r="JT308" s="11"/>
      <c r="LG308" s="11"/>
      <c r="MT308" s="11"/>
      <c r="OG308" s="11"/>
      <c r="PT308" s="11"/>
    </row>
    <row r="309" spans="3:436" ht="15.75" x14ac:dyDescent="0.25">
      <c r="C309" s="20" t="s">
        <v>310</v>
      </c>
      <c r="D309" s="21" t="s">
        <v>90</v>
      </c>
      <c r="H309" s="11"/>
      <c r="AU309" s="11"/>
      <c r="CH309" s="11"/>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7"/>
      <c r="DF309" s="17"/>
      <c r="DG309" s="16"/>
      <c r="DH309" s="16"/>
      <c r="DI309" s="17"/>
      <c r="DJ309" s="17"/>
      <c r="DK309" s="16"/>
      <c r="DL309" s="16"/>
      <c r="DM309" s="17"/>
      <c r="DN309" s="17"/>
      <c r="DO309" s="16"/>
      <c r="DP309" s="16"/>
      <c r="DQ309" s="17"/>
      <c r="DR309" s="17"/>
      <c r="DS309" s="16"/>
      <c r="DT309" s="16"/>
      <c r="DU309" s="17"/>
      <c r="DV309" s="17"/>
      <c r="DW309" s="16"/>
      <c r="DX309" s="16"/>
      <c r="DY309" s="17"/>
      <c r="DZ309" s="17"/>
      <c r="EA309" s="16"/>
      <c r="EB309" s="16"/>
      <c r="EC309" s="17"/>
      <c r="ED309" s="17"/>
      <c r="EE309" s="16"/>
      <c r="EF309" s="16"/>
      <c r="EG309" s="17"/>
      <c r="EH309" s="17"/>
      <c r="EI309" s="16"/>
      <c r="EJ309" s="16"/>
      <c r="EK309" s="17"/>
      <c r="EL309" s="17"/>
      <c r="EM309" s="16"/>
      <c r="EN309" s="16"/>
      <c r="EO309" s="17"/>
      <c r="EP309" s="17"/>
      <c r="EQ309" s="16"/>
      <c r="ER309" s="16"/>
      <c r="ES309" s="17"/>
      <c r="ET309" s="17"/>
      <c r="EU309" s="16"/>
      <c r="EV309" s="16"/>
      <c r="EW309" s="17"/>
      <c r="EX309" s="17"/>
      <c r="EY309" s="16"/>
      <c r="EZ309" s="16"/>
      <c r="FA309" s="17"/>
      <c r="FB309" s="17"/>
      <c r="FC309" s="16"/>
      <c r="FD309" s="16"/>
      <c r="FE309" s="17"/>
      <c r="FF309" s="17"/>
      <c r="FG309" s="11"/>
      <c r="GT309" s="11"/>
      <c r="IG309" s="11"/>
      <c r="JT309" s="11"/>
      <c r="LG309" s="11"/>
      <c r="MT309" s="11"/>
      <c r="OG309" s="11"/>
      <c r="PT309" s="11"/>
    </row>
    <row r="310" spans="3:436" ht="15.75" x14ac:dyDescent="0.25">
      <c r="C310" s="20" t="s">
        <v>311</v>
      </c>
      <c r="D310" s="21" t="s">
        <v>82</v>
      </c>
      <c r="H310" s="11"/>
      <c r="AU310" s="11"/>
      <c r="CH310" s="11"/>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7"/>
      <c r="DF310" s="17"/>
      <c r="DG310" s="16"/>
      <c r="DH310" s="16"/>
      <c r="DI310" s="17"/>
      <c r="DJ310" s="17"/>
      <c r="DK310" s="16"/>
      <c r="DL310" s="16"/>
      <c r="DM310" s="17"/>
      <c r="DN310" s="17"/>
      <c r="DO310" s="16"/>
      <c r="DP310" s="16"/>
      <c r="DQ310" s="17"/>
      <c r="DR310" s="17"/>
      <c r="DS310" s="16"/>
      <c r="DT310" s="16"/>
      <c r="DU310" s="17"/>
      <c r="DV310" s="17"/>
      <c r="DW310" s="16"/>
      <c r="DX310" s="16"/>
      <c r="DY310" s="17"/>
      <c r="DZ310" s="17"/>
      <c r="EA310" s="16"/>
      <c r="EB310" s="16"/>
      <c r="EC310" s="17"/>
      <c r="ED310" s="17"/>
      <c r="EE310" s="16"/>
      <c r="EF310" s="16"/>
      <c r="EG310" s="17"/>
      <c r="EH310" s="17"/>
      <c r="EI310" s="16"/>
      <c r="EJ310" s="16"/>
      <c r="EK310" s="17"/>
      <c r="EL310" s="17"/>
      <c r="EM310" s="16"/>
      <c r="EN310" s="16"/>
      <c r="EO310" s="17"/>
      <c r="EP310" s="17"/>
      <c r="EQ310" s="16"/>
      <c r="ER310" s="16"/>
      <c r="ES310" s="17"/>
      <c r="ET310" s="17"/>
      <c r="EU310" s="16"/>
      <c r="EV310" s="16"/>
      <c r="EW310" s="17"/>
      <c r="EX310" s="17"/>
      <c r="EY310" s="16"/>
      <c r="EZ310" s="16"/>
      <c r="FA310" s="17"/>
      <c r="FB310" s="17"/>
      <c r="FC310" s="16"/>
      <c r="FD310" s="16"/>
      <c r="FE310" s="17"/>
      <c r="FF310" s="17"/>
      <c r="FG310" s="11"/>
      <c r="GT310" s="11"/>
      <c r="IG310" s="11"/>
      <c r="JT310" s="11"/>
      <c r="LG310" s="11"/>
      <c r="MT310" s="11"/>
      <c r="OG310" s="11"/>
      <c r="PT310" s="11"/>
    </row>
    <row r="311" spans="3:436" ht="15.75" x14ac:dyDescent="0.25">
      <c r="C311" s="20" t="s">
        <v>312</v>
      </c>
      <c r="D311" s="21" t="s">
        <v>79</v>
      </c>
      <c r="H311" s="11"/>
      <c r="AU311" s="11"/>
      <c r="CH311" s="11"/>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7"/>
      <c r="DF311" s="17"/>
      <c r="DG311" s="16"/>
      <c r="DH311" s="16"/>
      <c r="DI311" s="18">
        <v>5</v>
      </c>
      <c r="DJ311" s="18">
        <v>5</v>
      </c>
      <c r="DK311" s="16"/>
      <c r="DL311" s="16"/>
      <c r="DM311" s="17"/>
      <c r="DN311" s="17"/>
      <c r="DO311" s="16"/>
      <c r="DP311" s="16"/>
      <c r="DQ311" s="17"/>
      <c r="DR311" s="17"/>
      <c r="DS311" s="16"/>
      <c r="DT311" s="16"/>
      <c r="DU311" s="17"/>
      <c r="DV311" s="17"/>
      <c r="DW311" s="16"/>
      <c r="DX311" s="16"/>
      <c r="DY311" s="17"/>
      <c r="DZ311" s="17"/>
      <c r="EA311" s="16"/>
      <c r="EB311" s="16"/>
      <c r="EC311" s="17"/>
      <c r="ED311" s="17"/>
      <c r="EE311" s="16"/>
      <c r="EF311" s="16"/>
      <c r="EG311" s="17"/>
      <c r="EH311" s="17"/>
      <c r="EI311" s="16"/>
      <c r="EJ311" s="16"/>
      <c r="EK311" s="17"/>
      <c r="EL311" s="17"/>
      <c r="EM311" s="16"/>
      <c r="EN311" s="16"/>
      <c r="EO311" s="17"/>
      <c r="EP311" s="17"/>
      <c r="EQ311" s="16"/>
      <c r="ER311" s="16"/>
      <c r="ES311" s="17"/>
      <c r="ET311" s="17"/>
      <c r="EU311" s="16"/>
      <c r="EV311" s="16"/>
      <c r="EW311" s="17"/>
      <c r="EX311" s="17"/>
      <c r="EY311" s="16"/>
      <c r="EZ311" s="16"/>
      <c r="FA311" s="17"/>
      <c r="FB311" s="17"/>
      <c r="FC311" s="16"/>
      <c r="FD311" s="16"/>
      <c r="FE311" s="17"/>
      <c r="FF311" s="17"/>
      <c r="FG311" s="11"/>
      <c r="GT311" s="11"/>
      <c r="IG311" s="11"/>
      <c r="JT311" s="11"/>
      <c r="LG311" s="11"/>
      <c r="MT311" s="11"/>
      <c r="OG311" s="11"/>
      <c r="PT311" s="11"/>
    </row>
    <row r="312" spans="3:436" ht="15.75" x14ac:dyDescent="0.25">
      <c r="C312" s="20" t="s">
        <v>313</v>
      </c>
      <c r="D312" s="21" t="s">
        <v>84</v>
      </c>
      <c r="H312" s="11"/>
      <c r="AU312" s="11"/>
      <c r="CH312" s="11"/>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7"/>
      <c r="DF312" s="17"/>
      <c r="DG312" s="16"/>
      <c r="DH312" s="16"/>
      <c r="DI312" s="17"/>
      <c r="DJ312" s="17"/>
      <c r="DK312" s="16"/>
      <c r="DL312" s="16"/>
      <c r="DM312" s="17"/>
      <c r="DN312" s="17"/>
      <c r="DO312" s="16"/>
      <c r="DP312" s="16"/>
      <c r="DQ312" s="17"/>
      <c r="DR312" s="17"/>
      <c r="DS312" s="16"/>
      <c r="DT312" s="16"/>
      <c r="DU312" s="17"/>
      <c r="DV312" s="17"/>
      <c r="DW312" s="16"/>
      <c r="DX312" s="19">
        <v>10</v>
      </c>
      <c r="DY312" s="17"/>
      <c r="DZ312" s="17"/>
      <c r="EA312" s="16"/>
      <c r="EB312" s="16"/>
      <c r="EC312" s="17"/>
      <c r="ED312" s="17"/>
      <c r="EE312" s="16"/>
      <c r="EF312" s="16"/>
      <c r="EG312" s="17"/>
      <c r="EH312" s="17"/>
      <c r="EI312" s="16"/>
      <c r="EJ312" s="16"/>
      <c r="EK312" s="17"/>
      <c r="EL312" s="17"/>
      <c r="EM312" s="16"/>
      <c r="EN312" s="16"/>
      <c r="EO312" s="17"/>
      <c r="EP312" s="17"/>
      <c r="EQ312" s="16"/>
      <c r="ER312" s="16"/>
      <c r="ES312" s="17"/>
      <c r="ET312" s="17"/>
      <c r="EU312" s="16"/>
      <c r="EV312" s="16"/>
      <c r="EW312" s="17"/>
      <c r="EX312" s="17"/>
      <c r="EY312" s="16"/>
      <c r="EZ312" s="16"/>
      <c r="FA312" s="17"/>
      <c r="FB312" s="17"/>
      <c r="FC312" s="16"/>
      <c r="FD312" s="16"/>
      <c r="FE312" s="17"/>
      <c r="FF312" s="17"/>
      <c r="FG312" s="11"/>
      <c r="GT312" s="11"/>
      <c r="IG312" s="11"/>
      <c r="JT312" s="11"/>
      <c r="LG312" s="11"/>
      <c r="MT312" s="11"/>
      <c r="OG312" s="11"/>
      <c r="PT312" s="11"/>
    </row>
    <row r="313" spans="3:436" ht="15.75" x14ac:dyDescent="0.25">
      <c r="C313" s="20" t="s">
        <v>314</v>
      </c>
      <c r="D313" s="21" t="s">
        <v>129</v>
      </c>
      <c r="H313" s="11"/>
      <c r="AU313" s="11"/>
      <c r="CH313" s="11"/>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7"/>
      <c r="DF313" s="17"/>
      <c r="DG313" s="16"/>
      <c r="DH313" s="16"/>
      <c r="DI313" s="17"/>
      <c r="DJ313" s="17"/>
      <c r="DK313" s="16"/>
      <c r="DL313" s="16"/>
      <c r="DM313" s="17"/>
      <c r="DN313" s="17"/>
      <c r="DO313" s="16"/>
      <c r="DP313" s="16"/>
      <c r="DQ313" s="17"/>
      <c r="DR313" s="17"/>
      <c r="DS313" s="16"/>
      <c r="DT313" s="16"/>
      <c r="DU313" s="17"/>
      <c r="DV313" s="17"/>
      <c r="DW313" s="16"/>
      <c r="DX313" s="16"/>
      <c r="DY313" s="17"/>
      <c r="DZ313" s="17"/>
      <c r="EA313" s="16"/>
      <c r="EB313" s="16"/>
      <c r="EC313" s="17"/>
      <c r="ED313" s="17"/>
      <c r="EE313" s="16"/>
      <c r="EF313" s="16"/>
      <c r="EG313" s="17"/>
      <c r="EH313" s="17"/>
      <c r="EI313" s="16"/>
      <c r="EJ313" s="16"/>
      <c r="EK313" s="17"/>
      <c r="EL313" s="17"/>
      <c r="EM313" s="16"/>
      <c r="EN313" s="16"/>
      <c r="EO313" s="17"/>
      <c r="EP313" s="17"/>
      <c r="EQ313" s="16"/>
      <c r="ER313" s="16"/>
      <c r="ES313" s="17"/>
      <c r="ET313" s="17"/>
      <c r="EU313" s="16"/>
      <c r="EV313" s="16"/>
      <c r="EW313" s="17"/>
      <c r="EX313" s="17"/>
      <c r="EY313" s="16"/>
      <c r="EZ313" s="16"/>
      <c r="FA313" s="17"/>
      <c r="FB313" s="17"/>
      <c r="FC313" s="16"/>
      <c r="FD313" s="16"/>
      <c r="FE313" s="17"/>
      <c r="FF313" s="17"/>
      <c r="FG313" s="11"/>
      <c r="GT313" s="11"/>
      <c r="IG313" s="11"/>
      <c r="JT313" s="11"/>
      <c r="LG313" s="11"/>
      <c r="MT313" s="11"/>
      <c r="OG313" s="11"/>
      <c r="PT313" s="11"/>
    </row>
    <row r="314" spans="3:436" ht="15.75" x14ac:dyDescent="0.25">
      <c r="C314" s="20" t="s">
        <v>315</v>
      </c>
      <c r="D314" s="21" t="s">
        <v>82</v>
      </c>
      <c r="H314" s="11"/>
      <c r="AU314" s="11"/>
      <c r="CH314" s="11"/>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7"/>
      <c r="DF314" s="17"/>
      <c r="DG314" s="16"/>
      <c r="DH314" s="16"/>
      <c r="DI314" s="17"/>
      <c r="DJ314" s="17"/>
      <c r="DK314" s="16"/>
      <c r="DL314" s="16"/>
      <c r="DM314" s="17"/>
      <c r="DN314" s="17"/>
      <c r="DO314" s="16"/>
      <c r="DP314" s="16"/>
      <c r="DQ314" s="17"/>
      <c r="DR314" s="17"/>
      <c r="DS314" s="16"/>
      <c r="DT314" s="16"/>
      <c r="DU314" s="17"/>
      <c r="DV314" s="17"/>
      <c r="DW314" s="16"/>
      <c r="DX314" s="16"/>
      <c r="DY314" s="17"/>
      <c r="DZ314" s="17"/>
      <c r="EA314" s="16"/>
      <c r="EB314" s="16"/>
      <c r="EC314" s="17"/>
      <c r="ED314" s="17"/>
      <c r="EE314" s="16"/>
      <c r="EF314" s="16"/>
      <c r="EG314" s="17"/>
      <c r="EH314" s="17"/>
      <c r="EI314" s="16"/>
      <c r="EJ314" s="16"/>
      <c r="EK314" s="17"/>
      <c r="EL314" s="17"/>
      <c r="EM314" s="16"/>
      <c r="EN314" s="16"/>
      <c r="EO314" s="17"/>
      <c r="EP314" s="17"/>
      <c r="EQ314" s="16"/>
      <c r="ER314" s="16"/>
      <c r="ES314" s="17"/>
      <c r="ET314" s="17"/>
      <c r="EU314" s="16"/>
      <c r="EV314" s="16"/>
      <c r="EW314" s="17"/>
      <c r="EX314" s="17"/>
      <c r="EY314" s="16"/>
      <c r="EZ314" s="16"/>
      <c r="FA314" s="17"/>
      <c r="FB314" s="17"/>
      <c r="FC314" s="16"/>
      <c r="FD314" s="16"/>
      <c r="FE314" s="17"/>
      <c r="FF314" s="17"/>
      <c r="FG314" s="11"/>
      <c r="GT314" s="11"/>
      <c r="IG314" s="11"/>
      <c r="JT314" s="11"/>
      <c r="LG314" s="11"/>
      <c r="MT314" s="11"/>
      <c r="OG314" s="11"/>
      <c r="PT314" s="11"/>
    </row>
    <row r="315" spans="3:436" ht="15.75" x14ac:dyDescent="0.25">
      <c r="C315" s="20" t="s">
        <v>316</v>
      </c>
      <c r="D315" s="21" t="s">
        <v>90</v>
      </c>
      <c r="H315" s="11"/>
      <c r="AU315" s="11"/>
      <c r="CH315" s="11"/>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7"/>
      <c r="DF315" s="17"/>
      <c r="DG315" s="16"/>
      <c r="DH315" s="16"/>
      <c r="DI315" s="17"/>
      <c r="DJ315" s="17"/>
      <c r="DK315" s="16"/>
      <c r="DL315" s="16"/>
      <c r="DM315" s="17"/>
      <c r="DN315" s="17"/>
      <c r="DO315" s="16"/>
      <c r="DP315" s="16"/>
      <c r="DQ315" s="17"/>
      <c r="DR315" s="17"/>
      <c r="DS315" s="16"/>
      <c r="DT315" s="16"/>
      <c r="DU315" s="17"/>
      <c r="DV315" s="17"/>
      <c r="DW315" s="16"/>
      <c r="DX315" s="16"/>
      <c r="DY315" s="17"/>
      <c r="DZ315" s="17"/>
      <c r="EA315" s="16"/>
      <c r="EB315" s="16"/>
      <c r="EC315" s="17"/>
      <c r="ED315" s="17"/>
      <c r="EE315" s="16"/>
      <c r="EF315" s="16"/>
      <c r="EG315" s="17"/>
      <c r="EH315" s="17"/>
      <c r="EI315" s="16"/>
      <c r="EJ315" s="16"/>
      <c r="EK315" s="17"/>
      <c r="EL315" s="17"/>
      <c r="EM315" s="16"/>
      <c r="EN315" s="16"/>
      <c r="EO315" s="17"/>
      <c r="EP315" s="17"/>
      <c r="EQ315" s="16"/>
      <c r="ER315" s="16"/>
      <c r="ES315" s="17"/>
      <c r="ET315" s="17"/>
      <c r="EU315" s="16"/>
      <c r="EV315" s="16"/>
      <c r="EW315" s="17"/>
      <c r="EX315" s="17"/>
      <c r="EY315" s="16"/>
      <c r="EZ315" s="16"/>
      <c r="FA315" s="17"/>
      <c r="FB315" s="17"/>
      <c r="FC315" s="16"/>
      <c r="FD315" s="16"/>
      <c r="FE315" s="17"/>
      <c r="FF315" s="17"/>
      <c r="FG315" s="11"/>
      <c r="GT315" s="11"/>
      <c r="IG315" s="11"/>
      <c r="JT315" s="11"/>
      <c r="LG315" s="11"/>
      <c r="MT315" s="11"/>
      <c r="OG315" s="11"/>
      <c r="PT315" s="11"/>
    </row>
    <row r="316" spans="3:436" ht="15.75" x14ac:dyDescent="0.25">
      <c r="C316" s="20" t="s">
        <v>317</v>
      </c>
      <c r="D316" s="21" t="s">
        <v>82</v>
      </c>
      <c r="H316" s="11"/>
      <c r="AU316" s="11"/>
      <c r="CH316" s="11"/>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7"/>
      <c r="DF316" s="17"/>
      <c r="DG316" s="16"/>
      <c r="DH316" s="16"/>
      <c r="DI316" s="17"/>
      <c r="DJ316" s="17"/>
      <c r="DK316" s="16"/>
      <c r="DL316" s="16"/>
      <c r="DM316" s="17"/>
      <c r="DN316" s="17"/>
      <c r="DO316" s="16"/>
      <c r="DP316" s="16"/>
      <c r="DQ316" s="17"/>
      <c r="DR316" s="17"/>
      <c r="DS316" s="16"/>
      <c r="DT316" s="16"/>
      <c r="DU316" s="17"/>
      <c r="DV316" s="17"/>
      <c r="DW316" s="16"/>
      <c r="DX316" s="16"/>
      <c r="DY316" s="17"/>
      <c r="DZ316" s="17"/>
      <c r="EA316" s="16"/>
      <c r="EB316" s="16"/>
      <c r="EC316" s="17"/>
      <c r="ED316" s="17"/>
      <c r="EE316" s="16"/>
      <c r="EF316" s="16"/>
      <c r="EG316" s="17"/>
      <c r="EH316" s="17"/>
      <c r="EI316" s="16"/>
      <c r="EJ316" s="16"/>
      <c r="EK316" s="17"/>
      <c r="EL316" s="17"/>
      <c r="EM316" s="16"/>
      <c r="EN316" s="16"/>
      <c r="EO316" s="17"/>
      <c r="EP316" s="17"/>
      <c r="EQ316" s="16"/>
      <c r="ER316" s="16"/>
      <c r="ES316" s="17"/>
      <c r="ET316" s="17"/>
      <c r="EU316" s="16"/>
      <c r="EV316" s="16"/>
      <c r="EW316" s="17"/>
      <c r="EX316" s="17"/>
      <c r="EY316" s="16"/>
      <c r="EZ316" s="16"/>
      <c r="FA316" s="17"/>
      <c r="FB316" s="17"/>
      <c r="FC316" s="16"/>
      <c r="FD316" s="16"/>
      <c r="FE316" s="17"/>
      <c r="FF316" s="17"/>
      <c r="FG316" s="11"/>
      <c r="GT316" s="11"/>
      <c r="IG316" s="11"/>
      <c r="JT316" s="11"/>
      <c r="LG316" s="11"/>
      <c r="MT316" s="11"/>
      <c r="OG316" s="11"/>
      <c r="PT316" s="11"/>
    </row>
    <row r="317" spans="3:436" ht="15.75" x14ac:dyDescent="0.25">
      <c r="C317" s="20" t="s">
        <v>318</v>
      </c>
      <c r="D317" s="21" t="s">
        <v>84</v>
      </c>
      <c r="H317" s="11"/>
      <c r="AU317" s="11"/>
      <c r="CH317" s="11"/>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7"/>
      <c r="DF317" s="17"/>
      <c r="DG317" s="16"/>
      <c r="DH317" s="16"/>
      <c r="DI317" s="17"/>
      <c r="DJ317" s="17"/>
      <c r="DK317" s="16"/>
      <c r="DL317" s="16"/>
      <c r="DM317" s="17"/>
      <c r="DN317" s="17"/>
      <c r="DO317" s="16"/>
      <c r="DP317" s="16"/>
      <c r="DQ317" s="17"/>
      <c r="DR317" s="17"/>
      <c r="DS317" s="16"/>
      <c r="DT317" s="16"/>
      <c r="DU317" s="17"/>
      <c r="DV317" s="17"/>
      <c r="DW317" s="19">
        <v>2</v>
      </c>
      <c r="DX317" s="19">
        <v>10</v>
      </c>
      <c r="DY317" s="17"/>
      <c r="DZ317" s="17"/>
      <c r="EA317" s="16"/>
      <c r="EB317" s="16"/>
      <c r="EC317" s="17"/>
      <c r="ED317" s="17"/>
      <c r="EE317" s="16"/>
      <c r="EF317" s="16"/>
      <c r="EG317" s="17"/>
      <c r="EH317" s="17"/>
      <c r="EI317" s="16"/>
      <c r="EJ317" s="16"/>
      <c r="EK317" s="17"/>
      <c r="EL317" s="17"/>
      <c r="EM317" s="16"/>
      <c r="EN317" s="16"/>
      <c r="EO317" s="17"/>
      <c r="EP317" s="17"/>
      <c r="EQ317" s="16"/>
      <c r="ER317" s="16"/>
      <c r="ES317" s="17"/>
      <c r="ET317" s="17"/>
      <c r="EU317" s="16"/>
      <c r="EV317" s="16"/>
      <c r="EW317" s="17"/>
      <c r="EX317" s="17"/>
      <c r="EY317" s="16"/>
      <c r="EZ317" s="16"/>
      <c r="FA317" s="17"/>
      <c r="FB317" s="17"/>
      <c r="FC317" s="16"/>
      <c r="FD317" s="16"/>
      <c r="FE317" s="17"/>
      <c r="FF317" s="17"/>
      <c r="FG317" s="11"/>
      <c r="GT317" s="11"/>
      <c r="IG317" s="11"/>
      <c r="JT317" s="11"/>
      <c r="LG317" s="11"/>
      <c r="MT317" s="11"/>
      <c r="OG317" s="11"/>
      <c r="PT317" s="11"/>
    </row>
    <row r="318" spans="3:436" ht="15.75" x14ac:dyDescent="0.25">
      <c r="C318" s="20" t="s">
        <v>319</v>
      </c>
      <c r="D318" s="21" t="s">
        <v>82</v>
      </c>
      <c r="H318" s="11"/>
      <c r="AU318" s="11"/>
      <c r="CH318" s="11"/>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7"/>
      <c r="DF318" s="17"/>
      <c r="DG318" s="16"/>
      <c r="DH318" s="16"/>
      <c r="DI318" s="17"/>
      <c r="DJ318" s="17"/>
      <c r="DK318" s="16"/>
      <c r="DL318" s="16"/>
      <c r="DM318" s="17"/>
      <c r="DN318" s="17"/>
      <c r="DO318" s="16"/>
      <c r="DP318" s="16"/>
      <c r="DQ318" s="17"/>
      <c r="DR318" s="17"/>
      <c r="DS318" s="16"/>
      <c r="DT318" s="16"/>
      <c r="DU318" s="17"/>
      <c r="DV318" s="17"/>
      <c r="DW318" s="16"/>
      <c r="DX318" s="16"/>
      <c r="DY318" s="17"/>
      <c r="DZ318" s="17"/>
      <c r="EA318" s="16"/>
      <c r="EB318" s="16"/>
      <c r="EC318" s="17"/>
      <c r="ED318" s="17"/>
      <c r="EE318" s="16"/>
      <c r="EF318" s="16"/>
      <c r="EG318" s="17"/>
      <c r="EH318" s="17"/>
      <c r="EI318" s="16"/>
      <c r="EJ318" s="16"/>
      <c r="EK318" s="17"/>
      <c r="EL318" s="17"/>
      <c r="EM318" s="16"/>
      <c r="EN318" s="16"/>
      <c r="EO318" s="17"/>
      <c r="EP318" s="17"/>
      <c r="EQ318" s="16"/>
      <c r="ER318" s="16"/>
      <c r="ES318" s="17"/>
      <c r="ET318" s="17"/>
      <c r="EU318" s="16"/>
      <c r="EV318" s="16"/>
      <c r="EW318" s="17"/>
      <c r="EX318" s="17"/>
      <c r="EY318" s="16"/>
      <c r="EZ318" s="16"/>
      <c r="FA318" s="17"/>
      <c r="FB318" s="17"/>
      <c r="FC318" s="16"/>
      <c r="FD318" s="16"/>
      <c r="FE318" s="17"/>
      <c r="FF318" s="17"/>
      <c r="FG318" s="11"/>
      <c r="GT318" s="11"/>
      <c r="IG318" s="11"/>
      <c r="JT318" s="11"/>
      <c r="LG318" s="11"/>
      <c r="MT318" s="11"/>
      <c r="OG318" s="11"/>
      <c r="PT318" s="11"/>
    </row>
    <row r="319" spans="3:436" ht="15.75" x14ac:dyDescent="0.25">
      <c r="C319" s="20" t="s">
        <v>320</v>
      </c>
      <c r="D319" s="21" t="s">
        <v>90</v>
      </c>
      <c r="H319" s="11"/>
      <c r="AU319" s="11"/>
      <c r="CH319" s="11"/>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7"/>
      <c r="DF319" s="17"/>
      <c r="DG319" s="16"/>
      <c r="DH319" s="16"/>
      <c r="DI319" s="17"/>
      <c r="DJ319" s="17"/>
      <c r="DK319" s="16"/>
      <c r="DL319" s="16"/>
      <c r="DM319" s="17"/>
      <c r="DN319" s="17"/>
      <c r="DO319" s="16"/>
      <c r="DP319" s="16"/>
      <c r="DQ319" s="17"/>
      <c r="DR319" s="17"/>
      <c r="DS319" s="16"/>
      <c r="DT319" s="16"/>
      <c r="DU319" s="17"/>
      <c r="DV319" s="17"/>
      <c r="DW319" s="16"/>
      <c r="DX319" s="16"/>
      <c r="DY319" s="17"/>
      <c r="DZ319" s="17"/>
      <c r="EA319" s="16"/>
      <c r="EB319" s="16"/>
      <c r="EC319" s="17"/>
      <c r="ED319" s="17"/>
      <c r="EE319" s="16"/>
      <c r="EF319" s="16"/>
      <c r="EG319" s="17"/>
      <c r="EH319" s="17"/>
      <c r="EI319" s="16"/>
      <c r="EJ319" s="16"/>
      <c r="EK319" s="17"/>
      <c r="EL319" s="17"/>
      <c r="EM319" s="16"/>
      <c r="EN319" s="16"/>
      <c r="EO319" s="17"/>
      <c r="EP319" s="17"/>
      <c r="EQ319" s="16"/>
      <c r="ER319" s="16"/>
      <c r="ES319" s="17"/>
      <c r="ET319" s="17"/>
      <c r="EU319" s="16"/>
      <c r="EV319" s="16"/>
      <c r="EW319" s="17"/>
      <c r="EX319" s="17"/>
      <c r="EY319" s="16"/>
      <c r="EZ319" s="16"/>
      <c r="FA319" s="17"/>
      <c r="FB319" s="17"/>
      <c r="FC319" s="16"/>
      <c r="FD319" s="16"/>
      <c r="FE319" s="17"/>
      <c r="FF319" s="17"/>
      <c r="FG319" s="11"/>
      <c r="GT319" s="11"/>
      <c r="IG319" s="11"/>
      <c r="JT319" s="11"/>
      <c r="LG319" s="11"/>
      <c r="MT319" s="11"/>
      <c r="OG319" s="11"/>
      <c r="PT319" s="11"/>
    </row>
    <row r="320" spans="3:436" ht="15.75" x14ac:dyDescent="0.25">
      <c r="C320" s="20" t="s">
        <v>302</v>
      </c>
      <c r="D320" s="21" t="s">
        <v>79</v>
      </c>
      <c r="H320" s="11"/>
      <c r="AU320" s="11"/>
      <c r="CH320" s="11"/>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7"/>
      <c r="DF320" s="17"/>
      <c r="DG320" s="16"/>
      <c r="DH320" s="16"/>
      <c r="DI320" s="17"/>
      <c r="DJ320" s="17"/>
      <c r="DK320" s="16"/>
      <c r="DL320" s="16"/>
      <c r="DM320" s="17"/>
      <c r="DN320" s="17"/>
      <c r="DO320" s="16"/>
      <c r="DP320" s="16"/>
      <c r="DQ320" s="17"/>
      <c r="DR320" s="17"/>
      <c r="DS320" s="16"/>
      <c r="DT320" s="16"/>
      <c r="DU320" s="17"/>
      <c r="DV320" s="17"/>
      <c r="DW320" s="16"/>
      <c r="DX320" s="16"/>
      <c r="DY320" s="17"/>
      <c r="DZ320" s="17"/>
      <c r="EA320" s="16"/>
      <c r="EB320" s="16"/>
      <c r="EC320" s="17"/>
      <c r="ED320" s="17"/>
      <c r="EE320" s="16"/>
      <c r="EF320" s="16"/>
      <c r="EG320" s="17"/>
      <c r="EH320" s="17"/>
      <c r="EI320" s="16"/>
      <c r="EJ320" s="16"/>
      <c r="EK320" s="17"/>
      <c r="EL320" s="17"/>
      <c r="EM320" s="16"/>
      <c r="EN320" s="16"/>
      <c r="EO320" s="17"/>
      <c r="EP320" s="17"/>
      <c r="EQ320" s="16"/>
      <c r="ER320" s="16"/>
      <c r="ES320" s="17"/>
      <c r="ET320" s="17"/>
      <c r="EU320" s="16"/>
      <c r="EV320" s="16"/>
      <c r="EW320" s="17"/>
      <c r="EX320" s="17"/>
      <c r="EY320" s="16"/>
      <c r="EZ320" s="16"/>
      <c r="FA320" s="17"/>
      <c r="FB320" s="17"/>
      <c r="FC320" s="16"/>
      <c r="FD320" s="16"/>
      <c r="FE320" s="17"/>
      <c r="FF320" s="17"/>
      <c r="FG320" s="11"/>
      <c r="GT320" s="11"/>
      <c r="IG320" s="11"/>
      <c r="JT320" s="11"/>
      <c r="LG320" s="11"/>
      <c r="MT320" s="11"/>
      <c r="OG320" s="11"/>
      <c r="PT320" s="11"/>
    </row>
    <row r="321" spans="3:436" ht="15.75" x14ac:dyDescent="0.25">
      <c r="C321" s="20" t="s">
        <v>304</v>
      </c>
      <c r="D321" s="21" t="s">
        <v>129</v>
      </c>
      <c r="H321" s="11"/>
      <c r="AU321" s="11"/>
      <c r="CH321" s="11"/>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7"/>
      <c r="DF321" s="17"/>
      <c r="DG321" s="16"/>
      <c r="DH321" s="16"/>
      <c r="DI321" s="17"/>
      <c r="DJ321" s="17"/>
      <c r="DK321" s="16"/>
      <c r="DL321" s="16"/>
      <c r="DM321" s="17"/>
      <c r="DN321" s="17"/>
      <c r="DO321" s="16"/>
      <c r="DP321" s="16"/>
      <c r="DQ321" s="17"/>
      <c r="DR321" s="17"/>
      <c r="DS321" s="16"/>
      <c r="DT321" s="16"/>
      <c r="DU321" s="17"/>
      <c r="DV321" s="17"/>
      <c r="DW321" s="16"/>
      <c r="DX321" s="16"/>
      <c r="DY321" s="17"/>
      <c r="DZ321" s="17"/>
      <c r="EA321" s="16"/>
      <c r="EB321" s="16"/>
      <c r="EC321" s="17"/>
      <c r="ED321" s="17"/>
      <c r="EE321" s="16"/>
      <c r="EF321" s="16"/>
      <c r="EG321" s="17"/>
      <c r="EH321" s="17"/>
      <c r="EI321" s="16"/>
      <c r="EJ321" s="16"/>
      <c r="EK321" s="17"/>
      <c r="EL321" s="17"/>
      <c r="EM321" s="16"/>
      <c r="EN321" s="16"/>
      <c r="EO321" s="17"/>
      <c r="EP321" s="17"/>
      <c r="EQ321" s="16"/>
      <c r="ER321" s="16"/>
      <c r="ES321" s="17"/>
      <c r="ET321" s="17"/>
      <c r="EU321" s="16"/>
      <c r="EV321" s="16"/>
      <c r="EW321" s="17"/>
      <c r="EX321" s="17"/>
      <c r="EY321" s="16"/>
      <c r="EZ321" s="16"/>
      <c r="FA321" s="17"/>
      <c r="FB321" s="17"/>
      <c r="FC321" s="16"/>
      <c r="FD321" s="16"/>
      <c r="FE321" s="17"/>
      <c r="FF321" s="17"/>
      <c r="FG321" s="11"/>
      <c r="GT321" s="11"/>
      <c r="IG321" s="11"/>
      <c r="JT321" s="11"/>
      <c r="LG321" s="11"/>
      <c r="MT321" s="11"/>
      <c r="OG321" s="11"/>
      <c r="PT321" s="11"/>
    </row>
    <row r="322" spans="3:436" ht="15.75" x14ac:dyDescent="0.25">
      <c r="C322" s="20" t="s">
        <v>305</v>
      </c>
      <c r="D322" s="21" t="s">
        <v>82</v>
      </c>
      <c r="H322" s="11"/>
      <c r="AU322" s="11"/>
      <c r="CH322" s="11"/>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7"/>
      <c r="DF322" s="17"/>
      <c r="DG322" s="16"/>
      <c r="DH322" s="16"/>
      <c r="DI322" s="17"/>
      <c r="DJ322" s="17"/>
      <c r="DK322" s="16"/>
      <c r="DL322" s="16"/>
      <c r="DM322" s="17"/>
      <c r="DN322" s="17"/>
      <c r="DO322" s="16"/>
      <c r="DP322" s="16"/>
      <c r="DQ322" s="17"/>
      <c r="DR322" s="17"/>
      <c r="DS322" s="16"/>
      <c r="DT322" s="16"/>
      <c r="DU322" s="17"/>
      <c r="DV322" s="17"/>
      <c r="DW322" s="16"/>
      <c r="DX322" s="16"/>
      <c r="DY322" s="17"/>
      <c r="DZ322" s="17"/>
      <c r="EA322" s="16"/>
      <c r="EB322" s="16"/>
      <c r="EC322" s="17"/>
      <c r="ED322" s="17"/>
      <c r="EE322" s="16"/>
      <c r="EF322" s="16"/>
      <c r="EG322" s="17"/>
      <c r="EH322" s="17"/>
      <c r="EI322" s="16"/>
      <c r="EJ322" s="16"/>
      <c r="EK322" s="17"/>
      <c r="EL322" s="17"/>
      <c r="EM322" s="16"/>
      <c r="EN322" s="16"/>
      <c r="EO322" s="17"/>
      <c r="EP322" s="17"/>
      <c r="EQ322" s="16"/>
      <c r="ER322" s="16"/>
      <c r="ES322" s="18">
        <v>1</v>
      </c>
      <c r="ET322" s="18">
        <v>2</v>
      </c>
      <c r="EU322" s="16"/>
      <c r="EV322" s="16"/>
      <c r="EW322" s="17"/>
      <c r="EX322" s="17"/>
      <c r="EY322" s="16"/>
      <c r="EZ322" s="16"/>
      <c r="FA322" s="17"/>
      <c r="FB322" s="17"/>
      <c r="FC322" s="16"/>
      <c r="FD322" s="16"/>
      <c r="FE322" s="17"/>
      <c r="FF322" s="17"/>
      <c r="FG322" s="11"/>
      <c r="GT322" s="11"/>
      <c r="IG322" s="11"/>
      <c r="JT322" s="11"/>
      <c r="LG322" s="11"/>
      <c r="MT322" s="11"/>
      <c r="OG322" s="11"/>
      <c r="PT322" s="11"/>
    </row>
    <row r="323" spans="3:436" ht="15.75" x14ac:dyDescent="0.25">
      <c r="C323" s="20" t="s">
        <v>306</v>
      </c>
      <c r="D323" s="21" t="s">
        <v>84</v>
      </c>
      <c r="H323" s="11"/>
      <c r="AU323" s="11"/>
      <c r="CH323" s="11"/>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7"/>
      <c r="DF323" s="17"/>
      <c r="DG323" s="16"/>
      <c r="DH323" s="16"/>
      <c r="DI323" s="17"/>
      <c r="DJ323" s="17"/>
      <c r="DK323" s="16"/>
      <c r="DL323" s="16"/>
      <c r="DM323" s="17"/>
      <c r="DN323" s="17"/>
      <c r="DO323" s="16"/>
      <c r="DP323" s="16"/>
      <c r="DQ323" s="17"/>
      <c r="DR323" s="17"/>
      <c r="DS323" s="16"/>
      <c r="DT323" s="16"/>
      <c r="DU323" s="17"/>
      <c r="DV323" s="17"/>
      <c r="DW323" s="16"/>
      <c r="DX323" s="16"/>
      <c r="DY323" s="17"/>
      <c r="DZ323" s="17"/>
      <c r="EA323" s="16"/>
      <c r="EB323" s="16"/>
      <c r="EC323" s="17"/>
      <c r="ED323" s="17"/>
      <c r="EE323" s="16"/>
      <c r="EF323" s="16"/>
      <c r="EG323" s="17"/>
      <c r="EH323" s="17"/>
      <c r="EI323" s="16"/>
      <c r="EJ323" s="16"/>
      <c r="EK323" s="17"/>
      <c r="EL323" s="17"/>
      <c r="EM323" s="16"/>
      <c r="EN323" s="16"/>
      <c r="EO323" s="17"/>
      <c r="EP323" s="17"/>
      <c r="EQ323" s="16"/>
      <c r="ER323" s="16"/>
      <c r="ES323" s="17"/>
      <c r="ET323" s="17"/>
      <c r="EU323" s="16"/>
      <c r="EV323" s="16"/>
      <c r="EW323" s="17"/>
      <c r="EX323" s="17"/>
      <c r="EY323" s="16"/>
      <c r="EZ323" s="16"/>
      <c r="FA323" s="17"/>
      <c r="FB323" s="17"/>
      <c r="FC323" s="16"/>
      <c r="FD323" s="16"/>
      <c r="FE323" s="17"/>
      <c r="FF323" s="17"/>
      <c r="FG323" s="11"/>
      <c r="GT323" s="11"/>
      <c r="IG323" s="11"/>
      <c r="JT323" s="11"/>
      <c r="LG323" s="11"/>
      <c r="MT323" s="11"/>
      <c r="OG323" s="11"/>
      <c r="PT323" s="11"/>
    </row>
    <row r="324" spans="3:436" ht="15.75" x14ac:dyDescent="0.25">
      <c r="C324" s="20" t="s">
        <v>321</v>
      </c>
      <c r="D324" s="21" t="s">
        <v>82</v>
      </c>
      <c r="H324" s="11"/>
      <c r="AU324" s="11"/>
      <c r="CH324" s="11"/>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7"/>
      <c r="DF324" s="17"/>
      <c r="DG324" s="16"/>
      <c r="DH324" s="16"/>
      <c r="DI324" s="17"/>
      <c r="DJ324" s="17"/>
      <c r="DK324" s="16"/>
      <c r="DL324" s="16"/>
      <c r="DM324" s="17"/>
      <c r="DN324" s="17"/>
      <c r="DO324" s="16"/>
      <c r="DP324" s="16"/>
      <c r="DQ324" s="17"/>
      <c r="DR324" s="17"/>
      <c r="DS324" s="16"/>
      <c r="DT324" s="16"/>
      <c r="DU324" s="17"/>
      <c r="DV324" s="17"/>
      <c r="DW324" s="16"/>
      <c r="DX324" s="16"/>
      <c r="DY324" s="17"/>
      <c r="DZ324" s="17"/>
      <c r="EA324" s="16"/>
      <c r="EB324" s="16"/>
      <c r="EC324" s="17"/>
      <c r="ED324" s="17"/>
      <c r="EE324" s="16"/>
      <c r="EF324" s="16"/>
      <c r="EG324" s="17"/>
      <c r="EH324" s="17"/>
      <c r="EI324" s="16"/>
      <c r="EJ324" s="16"/>
      <c r="EK324" s="17"/>
      <c r="EL324" s="17"/>
      <c r="EM324" s="16"/>
      <c r="EN324" s="16"/>
      <c r="EO324" s="17"/>
      <c r="EP324" s="17"/>
      <c r="EQ324" s="16"/>
      <c r="ER324" s="16"/>
      <c r="ES324" s="18">
        <v>5</v>
      </c>
      <c r="ET324" s="18">
        <v>7</v>
      </c>
      <c r="EU324" s="16"/>
      <c r="EV324" s="16"/>
      <c r="EW324" s="17"/>
      <c r="EX324" s="17"/>
      <c r="EY324" s="16"/>
      <c r="EZ324" s="16"/>
      <c r="FA324" s="17"/>
      <c r="FB324" s="17"/>
      <c r="FC324" s="16"/>
      <c r="FD324" s="16"/>
      <c r="FE324" s="17"/>
      <c r="FF324" s="17"/>
      <c r="FG324" s="11"/>
      <c r="GT324" s="11"/>
      <c r="IG324" s="11"/>
      <c r="JT324" s="11"/>
      <c r="LG324" s="11"/>
      <c r="MT324" s="11"/>
      <c r="OG324" s="11"/>
      <c r="PT324" s="11"/>
    </row>
    <row r="325" spans="3:436" ht="15.75" x14ac:dyDescent="0.25">
      <c r="C325" s="20" t="s">
        <v>322</v>
      </c>
      <c r="D325" s="21" t="s">
        <v>82</v>
      </c>
      <c r="H325" s="11"/>
      <c r="AU325" s="11"/>
      <c r="CH325" s="11"/>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7"/>
      <c r="DF325" s="17"/>
      <c r="DG325" s="16"/>
      <c r="DH325" s="16"/>
      <c r="DI325" s="17"/>
      <c r="DJ325" s="17"/>
      <c r="DK325" s="16"/>
      <c r="DL325" s="16"/>
      <c r="DM325" s="17"/>
      <c r="DN325" s="17"/>
      <c r="DO325" s="16"/>
      <c r="DP325" s="16"/>
      <c r="DQ325" s="17"/>
      <c r="DR325" s="17"/>
      <c r="DS325" s="16"/>
      <c r="DT325" s="16"/>
      <c r="DU325" s="17"/>
      <c r="DV325" s="17"/>
      <c r="DW325" s="16"/>
      <c r="DX325" s="16"/>
      <c r="DY325" s="17"/>
      <c r="DZ325" s="17"/>
      <c r="EA325" s="16"/>
      <c r="EB325" s="16"/>
      <c r="EC325" s="17"/>
      <c r="ED325" s="17"/>
      <c r="EE325" s="16"/>
      <c r="EF325" s="16"/>
      <c r="EG325" s="17"/>
      <c r="EH325" s="17"/>
      <c r="EI325" s="16"/>
      <c r="EJ325" s="16"/>
      <c r="EK325" s="17"/>
      <c r="EL325" s="17"/>
      <c r="EM325" s="16"/>
      <c r="EN325" s="16"/>
      <c r="EO325" s="17"/>
      <c r="EP325" s="17"/>
      <c r="EQ325" s="16"/>
      <c r="ER325" s="16"/>
      <c r="ES325" s="18">
        <v>2</v>
      </c>
      <c r="ET325" s="18">
        <v>3</v>
      </c>
      <c r="EU325" s="16"/>
      <c r="EV325" s="16"/>
      <c r="EW325" s="17"/>
      <c r="EX325" s="17"/>
      <c r="EY325" s="16"/>
      <c r="EZ325" s="16"/>
      <c r="FA325" s="17"/>
      <c r="FB325" s="17"/>
      <c r="FC325" s="16"/>
      <c r="FD325" s="16"/>
      <c r="FE325" s="17"/>
      <c r="FF325" s="17"/>
      <c r="FG325" s="11"/>
      <c r="GT325" s="11"/>
      <c r="IG325" s="11"/>
      <c r="JT325" s="11"/>
      <c r="LG325" s="11"/>
      <c r="MT325" s="11"/>
      <c r="OG325" s="11"/>
      <c r="PT325" s="11"/>
    </row>
    <row r="326" spans="3:436" ht="15.75" x14ac:dyDescent="0.25">
      <c r="C326" s="20" t="s">
        <v>323</v>
      </c>
      <c r="D326" s="21" t="s">
        <v>82</v>
      </c>
      <c r="H326" s="11"/>
      <c r="AU326" s="11"/>
      <c r="CH326" s="11"/>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7"/>
      <c r="DF326" s="17"/>
      <c r="DG326" s="16"/>
      <c r="DH326" s="16"/>
      <c r="DI326" s="17"/>
      <c r="DJ326" s="17"/>
      <c r="DK326" s="16"/>
      <c r="DL326" s="16"/>
      <c r="DM326" s="17"/>
      <c r="DN326" s="17"/>
      <c r="DO326" s="16"/>
      <c r="DP326" s="16"/>
      <c r="DQ326" s="17"/>
      <c r="DR326" s="17"/>
      <c r="DS326" s="16"/>
      <c r="DT326" s="16"/>
      <c r="DU326" s="17"/>
      <c r="DV326" s="17"/>
      <c r="DW326" s="16"/>
      <c r="DX326" s="16"/>
      <c r="DY326" s="17"/>
      <c r="DZ326" s="17"/>
      <c r="EA326" s="16"/>
      <c r="EB326" s="16"/>
      <c r="EC326" s="17"/>
      <c r="ED326" s="17"/>
      <c r="EE326" s="16"/>
      <c r="EF326" s="16"/>
      <c r="EG326" s="17"/>
      <c r="EH326" s="17"/>
      <c r="EI326" s="16"/>
      <c r="EJ326" s="16"/>
      <c r="EK326" s="17"/>
      <c r="EL326" s="17"/>
      <c r="EM326" s="16"/>
      <c r="EN326" s="16"/>
      <c r="EO326" s="17"/>
      <c r="EP326" s="17"/>
      <c r="EQ326" s="16"/>
      <c r="ER326" s="16"/>
      <c r="ES326" s="18">
        <v>1</v>
      </c>
      <c r="ET326" s="18">
        <v>2</v>
      </c>
      <c r="EU326" s="16"/>
      <c r="EV326" s="16"/>
      <c r="EW326" s="17"/>
      <c r="EX326" s="17"/>
      <c r="EY326" s="16"/>
      <c r="EZ326" s="16"/>
      <c r="FA326" s="17"/>
      <c r="FB326" s="17"/>
      <c r="FC326" s="16"/>
      <c r="FD326" s="16"/>
      <c r="FE326" s="17"/>
      <c r="FF326" s="17"/>
      <c r="FG326" s="11"/>
      <c r="GT326" s="11"/>
      <c r="IG326" s="11"/>
      <c r="JT326" s="11"/>
      <c r="LG326" s="11"/>
      <c r="MT326" s="11"/>
      <c r="OG326" s="11"/>
      <c r="PT326" s="11"/>
    </row>
    <row r="327" spans="3:436" ht="15.75" x14ac:dyDescent="0.25">
      <c r="C327" s="20" t="s">
        <v>324</v>
      </c>
      <c r="D327" s="21" t="s">
        <v>82</v>
      </c>
      <c r="H327" s="11"/>
      <c r="AU327" s="11"/>
      <c r="CH327" s="11"/>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7"/>
      <c r="DF327" s="17"/>
      <c r="DG327" s="16"/>
      <c r="DH327" s="16"/>
      <c r="DI327" s="17"/>
      <c r="DJ327" s="17"/>
      <c r="DK327" s="16"/>
      <c r="DL327" s="16"/>
      <c r="DM327" s="17"/>
      <c r="DN327" s="17"/>
      <c r="DO327" s="16"/>
      <c r="DP327" s="16"/>
      <c r="DQ327" s="17"/>
      <c r="DR327" s="17"/>
      <c r="DS327" s="16"/>
      <c r="DT327" s="16"/>
      <c r="DU327" s="17"/>
      <c r="DV327" s="17"/>
      <c r="DW327" s="16"/>
      <c r="DX327" s="16"/>
      <c r="DY327" s="17"/>
      <c r="DZ327" s="17"/>
      <c r="EA327" s="16"/>
      <c r="EB327" s="16"/>
      <c r="EC327" s="17"/>
      <c r="ED327" s="17"/>
      <c r="EE327" s="16"/>
      <c r="EF327" s="16"/>
      <c r="EG327" s="17"/>
      <c r="EH327" s="17"/>
      <c r="EI327" s="16"/>
      <c r="EJ327" s="16"/>
      <c r="EK327" s="17"/>
      <c r="EL327" s="17"/>
      <c r="EM327" s="16"/>
      <c r="EN327" s="16"/>
      <c r="EO327" s="17"/>
      <c r="EP327" s="17"/>
      <c r="EQ327" s="16"/>
      <c r="ER327" s="16"/>
      <c r="ES327" s="18">
        <v>1</v>
      </c>
      <c r="ET327" s="18">
        <v>2</v>
      </c>
      <c r="EU327" s="16"/>
      <c r="EV327" s="16"/>
      <c r="EW327" s="17"/>
      <c r="EX327" s="17"/>
      <c r="EY327" s="16"/>
      <c r="EZ327" s="16"/>
      <c r="FA327" s="17"/>
      <c r="FB327" s="17"/>
      <c r="FC327" s="16"/>
      <c r="FD327" s="16"/>
      <c r="FE327" s="17"/>
      <c r="FF327" s="17"/>
      <c r="FG327" s="11"/>
      <c r="GT327" s="11"/>
      <c r="IG327" s="11"/>
      <c r="JT327" s="11"/>
      <c r="LG327" s="11"/>
      <c r="MT327" s="11"/>
      <c r="OG327" s="11"/>
      <c r="PT327" s="11"/>
    </row>
    <row r="328" spans="3:436" ht="15.75" x14ac:dyDescent="0.25">
      <c r="C328" s="20" t="s">
        <v>325</v>
      </c>
      <c r="D328" s="21" t="s">
        <v>82</v>
      </c>
      <c r="H328" s="11"/>
      <c r="AU328" s="11"/>
      <c r="CH328" s="11"/>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7"/>
      <c r="DF328" s="17"/>
      <c r="DG328" s="16"/>
      <c r="DH328" s="16"/>
      <c r="DI328" s="17"/>
      <c r="DJ328" s="17"/>
      <c r="DK328" s="16"/>
      <c r="DL328" s="16"/>
      <c r="DM328" s="17"/>
      <c r="DN328" s="17"/>
      <c r="DO328" s="16"/>
      <c r="DP328" s="16"/>
      <c r="DQ328" s="17"/>
      <c r="DR328" s="17"/>
      <c r="DS328" s="16"/>
      <c r="DT328" s="16"/>
      <c r="DU328" s="17"/>
      <c r="DV328" s="17"/>
      <c r="DW328" s="16"/>
      <c r="DX328" s="16"/>
      <c r="DY328" s="17"/>
      <c r="DZ328" s="17"/>
      <c r="EA328" s="16"/>
      <c r="EB328" s="16"/>
      <c r="EC328" s="17"/>
      <c r="ED328" s="17"/>
      <c r="EE328" s="16"/>
      <c r="EF328" s="16"/>
      <c r="EG328" s="17"/>
      <c r="EH328" s="17"/>
      <c r="EI328" s="16"/>
      <c r="EJ328" s="16"/>
      <c r="EK328" s="17"/>
      <c r="EL328" s="17"/>
      <c r="EM328" s="16"/>
      <c r="EN328" s="16"/>
      <c r="EO328" s="17"/>
      <c r="EP328" s="17"/>
      <c r="EQ328" s="16"/>
      <c r="ER328" s="16"/>
      <c r="ES328" s="18">
        <v>1</v>
      </c>
      <c r="ET328" s="18">
        <v>1</v>
      </c>
      <c r="EU328" s="16"/>
      <c r="EV328" s="16"/>
      <c r="EW328" s="17"/>
      <c r="EX328" s="17"/>
      <c r="EY328" s="16"/>
      <c r="EZ328" s="16"/>
      <c r="FA328" s="17"/>
      <c r="FB328" s="17"/>
      <c r="FC328" s="16"/>
      <c r="FD328" s="16"/>
      <c r="FE328" s="17"/>
      <c r="FF328" s="17"/>
      <c r="FG328" s="11"/>
      <c r="GT328" s="11"/>
      <c r="IG328" s="11"/>
      <c r="JT328" s="11"/>
      <c r="LG328" s="11"/>
      <c r="MT328" s="11"/>
      <c r="OG328" s="11"/>
      <c r="PT328" s="11"/>
    </row>
    <row r="329" spans="3:436" ht="15.75" x14ac:dyDescent="0.25">
      <c r="C329" s="20" t="s">
        <v>326</v>
      </c>
      <c r="D329" s="21" t="s">
        <v>82</v>
      </c>
      <c r="H329" s="11"/>
      <c r="AU329" s="11"/>
      <c r="CH329" s="11"/>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7"/>
      <c r="DF329" s="17"/>
      <c r="DG329" s="16"/>
      <c r="DH329" s="16"/>
      <c r="DI329" s="17"/>
      <c r="DJ329" s="17"/>
      <c r="DK329" s="16"/>
      <c r="DL329" s="16"/>
      <c r="DM329" s="17"/>
      <c r="DN329" s="17"/>
      <c r="DO329" s="16"/>
      <c r="DP329" s="16"/>
      <c r="DQ329" s="17"/>
      <c r="DR329" s="17"/>
      <c r="DS329" s="16"/>
      <c r="DT329" s="16"/>
      <c r="DU329" s="17"/>
      <c r="DV329" s="17"/>
      <c r="DW329" s="16"/>
      <c r="DX329" s="16"/>
      <c r="DY329" s="17"/>
      <c r="DZ329" s="17"/>
      <c r="EA329" s="16"/>
      <c r="EB329" s="16"/>
      <c r="EC329" s="17"/>
      <c r="ED329" s="17"/>
      <c r="EE329" s="16"/>
      <c r="EF329" s="16"/>
      <c r="EG329" s="17"/>
      <c r="EH329" s="17"/>
      <c r="EI329" s="16"/>
      <c r="EJ329" s="16"/>
      <c r="EK329" s="17"/>
      <c r="EL329" s="17"/>
      <c r="EM329" s="16"/>
      <c r="EN329" s="16"/>
      <c r="EO329" s="17"/>
      <c r="EP329" s="17"/>
      <c r="EQ329" s="16"/>
      <c r="ER329" s="16"/>
      <c r="ES329" s="18">
        <v>3</v>
      </c>
      <c r="ET329" s="18">
        <v>4</v>
      </c>
      <c r="EU329" s="16"/>
      <c r="EV329" s="16"/>
      <c r="EW329" s="17"/>
      <c r="EX329" s="17"/>
      <c r="EY329" s="16"/>
      <c r="EZ329" s="16"/>
      <c r="FA329" s="17"/>
      <c r="FB329" s="17"/>
      <c r="FC329" s="16"/>
      <c r="FD329" s="16"/>
      <c r="FE329" s="17"/>
      <c r="FF329" s="17"/>
      <c r="FG329" s="11"/>
      <c r="GT329" s="11"/>
      <c r="IG329" s="11"/>
      <c r="JT329" s="11"/>
      <c r="LG329" s="11"/>
      <c r="MT329" s="11"/>
      <c r="OG329" s="11"/>
      <c r="PT329" s="11"/>
    </row>
    <row r="330" spans="3:436" ht="15.75" x14ac:dyDescent="0.25">
      <c r="C330" s="20" t="s">
        <v>308</v>
      </c>
      <c r="D330" s="21" t="s">
        <v>90</v>
      </c>
      <c r="H330" s="11"/>
      <c r="AU330" s="11"/>
      <c r="CH330" s="11"/>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7"/>
      <c r="DF330" s="17"/>
      <c r="DG330" s="16"/>
      <c r="DH330" s="16"/>
      <c r="DI330" s="17"/>
      <c r="DJ330" s="17"/>
      <c r="DK330" s="16"/>
      <c r="DL330" s="16"/>
      <c r="DM330" s="17"/>
      <c r="DN330" s="17"/>
      <c r="DO330" s="16"/>
      <c r="DP330" s="16"/>
      <c r="DQ330" s="17"/>
      <c r="DR330" s="17"/>
      <c r="DS330" s="16"/>
      <c r="DT330" s="16"/>
      <c r="DU330" s="17"/>
      <c r="DV330" s="17"/>
      <c r="DW330" s="16"/>
      <c r="DX330" s="16"/>
      <c r="DY330" s="17"/>
      <c r="DZ330" s="17"/>
      <c r="EA330" s="16"/>
      <c r="EB330" s="16"/>
      <c r="EC330" s="17"/>
      <c r="ED330" s="17"/>
      <c r="EE330" s="16"/>
      <c r="EF330" s="16"/>
      <c r="EG330" s="17"/>
      <c r="EH330" s="17"/>
      <c r="EI330" s="16"/>
      <c r="EJ330" s="16"/>
      <c r="EK330" s="17"/>
      <c r="EL330" s="17"/>
      <c r="EM330" s="16"/>
      <c r="EN330" s="16"/>
      <c r="EO330" s="17"/>
      <c r="EP330" s="17"/>
      <c r="EQ330" s="16"/>
      <c r="ER330" s="16"/>
      <c r="ES330" s="17"/>
      <c r="ET330" s="17"/>
      <c r="EU330" s="16"/>
      <c r="EV330" s="16"/>
      <c r="EW330" s="17"/>
      <c r="EX330" s="17"/>
      <c r="EY330" s="16"/>
      <c r="EZ330" s="16"/>
      <c r="FA330" s="17"/>
      <c r="FB330" s="17"/>
      <c r="FC330" s="16"/>
      <c r="FD330" s="16"/>
      <c r="FE330" s="17"/>
      <c r="FF330" s="17"/>
      <c r="FG330" s="11"/>
      <c r="GT330" s="11"/>
      <c r="IG330" s="11"/>
      <c r="JT330" s="11"/>
      <c r="LG330" s="11"/>
      <c r="MT330" s="11"/>
      <c r="OG330" s="11"/>
      <c r="PT330" s="11"/>
    </row>
    <row r="331" spans="3:436" ht="15.75" x14ac:dyDescent="0.25">
      <c r="C331" s="20" t="s">
        <v>309</v>
      </c>
      <c r="D331" s="21" t="s">
        <v>82</v>
      </c>
      <c r="H331" s="11"/>
      <c r="AU331" s="11"/>
      <c r="CH331" s="11"/>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7"/>
      <c r="DF331" s="17"/>
      <c r="DG331" s="16"/>
      <c r="DH331" s="16"/>
      <c r="DI331" s="17"/>
      <c r="DJ331" s="17"/>
      <c r="DK331" s="16"/>
      <c r="DL331" s="16"/>
      <c r="DM331" s="17"/>
      <c r="DN331" s="17"/>
      <c r="DO331" s="16"/>
      <c r="DP331" s="16"/>
      <c r="DQ331" s="17"/>
      <c r="DR331" s="17"/>
      <c r="DS331" s="16"/>
      <c r="DT331" s="16"/>
      <c r="DU331" s="17"/>
      <c r="DV331" s="17"/>
      <c r="DW331" s="16"/>
      <c r="DX331" s="16"/>
      <c r="DY331" s="17"/>
      <c r="DZ331" s="17"/>
      <c r="EA331" s="16"/>
      <c r="EB331" s="16"/>
      <c r="EC331" s="17"/>
      <c r="ED331" s="17"/>
      <c r="EE331" s="16"/>
      <c r="EF331" s="16"/>
      <c r="EG331" s="17"/>
      <c r="EH331" s="17"/>
      <c r="EI331" s="16"/>
      <c r="EJ331" s="16"/>
      <c r="EK331" s="17"/>
      <c r="EL331" s="17"/>
      <c r="EM331" s="16"/>
      <c r="EN331" s="16"/>
      <c r="EO331" s="17"/>
      <c r="EP331" s="17"/>
      <c r="EQ331" s="16"/>
      <c r="ER331" s="16"/>
      <c r="ES331" s="17"/>
      <c r="ET331" s="17"/>
      <c r="EU331" s="16"/>
      <c r="EV331" s="16"/>
      <c r="EW331" s="17"/>
      <c r="EX331" s="17"/>
      <c r="EY331" s="16"/>
      <c r="EZ331" s="16"/>
      <c r="FA331" s="17"/>
      <c r="FB331" s="17"/>
      <c r="FC331" s="16"/>
      <c r="FD331" s="16"/>
      <c r="FE331" s="17"/>
      <c r="FF331" s="17"/>
      <c r="FG331" s="11"/>
      <c r="GT331" s="11"/>
      <c r="IG331" s="11"/>
      <c r="JT331" s="11"/>
      <c r="LG331" s="11"/>
      <c r="MT331" s="11"/>
      <c r="OG331" s="11"/>
      <c r="PT331" s="11"/>
    </row>
    <row r="332" spans="3:436" ht="15.75" x14ac:dyDescent="0.25">
      <c r="C332" s="20" t="s">
        <v>327</v>
      </c>
      <c r="D332" s="21" t="s">
        <v>159</v>
      </c>
      <c r="H332" s="11"/>
      <c r="AU332" s="11"/>
      <c r="CH332" s="11"/>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7"/>
      <c r="DF332" s="17"/>
      <c r="DG332" s="16"/>
      <c r="DH332" s="16"/>
      <c r="DI332" s="17"/>
      <c r="DJ332" s="17"/>
      <c r="DK332" s="16"/>
      <c r="DL332" s="16"/>
      <c r="DM332" s="17"/>
      <c r="DN332" s="17"/>
      <c r="DO332" s="16"/>
      <c r="DP332" s="16"/>
      <c r="DQ332" s="17"/>
      <c r="DR332" s="17"/>
      <c r="DS332" s="16"/>
      <c r="DT332" s="16"/>
      <c r="DU332" s="17"/>
      <c r="DV332" s="17"/>
      <c r="DW332" s="16"/>
      <c r="DX332" s="16"/>
      <c r="DY332" s="17"/>
      <c r="DZ332" s="17"/>
      <c r="EA332" s="16"/>
      <c r="EB332" s="16"/>
      <c r="EC332" s="17"/>
      <c r="ED332" s="17"/>
      <c r="EE332" s="16"/>
      <c r="EF332" s="16"/>
      <c r="EG332" s="17"/>
      <c r="EH332" s="17"/>
      <c r="EI332" s="16"/>
      <c r="EJ332" s="16"/>
      <c r="EK332" s="17"/>
      <c r="EL332" s="17"/>
      <c r="EM332" s="16"/>
      <c r="EN332" s="16"/>
      <c r="EO332" s="17"/>
      <c r="EP332" s="17"/>
      <c r="EQ332" s="16"/>
      <c r="ER332" s="16"/>
      <c r="ES332" s="17"/>
      <c r="ET332" s="17"/>
      <c r="EU332" s="16"/>
      <c r="EV332" s="16"/>
      <c r="EW332" s="17"/>
      <c r="EX332" s="17"/>
      <c r="EY332" s="16"/>
      <c r="EZ332" s="16"/>
      <c r="FA332" s="17"/>
      <c r="FB332" s="17"/>
      <c r="FC332" s="16"/>
      <c r="FD332" s="16"/>
      <c r="FE332" s="17"/>
      <c r="FF332" s="17"/>
      <c r="FG332" s="11"/>
      <c r="GT332" s="11"/>
      <c r="IG332" s="11"/>
      <c r="JT332" s="11"/>
      <c r="LG332" s="11"/>
      <c r="MT332" s="11"/>
      <c r="OG332" s="11"/>
      <c r="PT332" s="11"/>
    </row>
    <row r="333" spans="3:436" ht="15.75" x14ac:dyDescent="0.25">
      <c r="C333" s="20" t="s">
        <v>328</v>
      </c>
      <c r="D333" s="21" t="s">
        <v>82</v>
      </c>
      <c r="H333" s="11"/>
      <c r="AU333" s="11"/>
      <c r="CH333" s="11"/>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7"/>
      <c r="DF333" s="17"/>
      <c r="DG333" s="16"/>
      <c r="DH333" s="16"/>
      <c r="DI333" s="17"/>
      <c r="DJ333" s="17"/>
      <c r="DK333" s="16"/>
      <c r="DL333" s="16"/>
      <c r="DM333" s="17"/>
      <c r="DN333" s="17"/>
      <c r="DO333" s="16"/>
      <c r="DP333" s="16"/>
      <c r="DQ333" s="17"/>
      <c r="DR333" s="17"/>
      <c r="DS333" s="16"/>
      <c r="DT333" s="16"/>
      <c r="DU333" s="17"/>
      <c r="DV333" s="17"/>
      <c r="DW333" s="16"/>
      <c r="DX333" s="16"/>
      <c r="DY333" s="17"/>
      <c r="DZ333" s="17"/>
      <c r="EA333" s="16"/>
      <c r="EB333" s="16"/>
      <c r="EC333" s="17"/>
      <c r="ED333" s="17"/>
      <c r="EE333" s="16"/>
      <c r="EF333" s="16"/>
      <c r="EG333" s="17"/>
      <c r="EH333" s="17"/>
      <c r="EI333" s="16"/>
      <c r="EJ333" s="16"/>
      <c r="EK333" s="17"/>
      <c r="EL333" s="17"/>
      <c r="EM333" s="16"/>
      <c r="EN333" s="16"/>
      <c r="EO333" s="17"/>
      <c r="EP333" s="17"/>
      <c r="EQ333" s="16"/>
      <c r="ER333" s="16"/>
      <c r="ES333" s="18">
        <v>2</v>
      </c>
      <c r="ET333" s="18">
        <v>3</v>
      </c>
      <c r="EU333" s="16"/>
      <c r="EV333" s="16"/>
      <c r="EW333" s="17"/>
      <c r="EX333" s="17"/>
      <c r="EY333" s="16"/>
      <c r="EZ333" s="16"/>
      <c r="FA333" s="17"/>
      <c r="FB333" s="17"/>
      <c r="FC333" s="16"/>
      <c r="FD333" s="16"/>
      <c r="FE333" s="17"/>
      <c r="FF333" s="17"/>
      <c r="FG333" s="11"/>
      <c r="GT333" s="11"/>
      <c r="IG333" s="11"/>
      <c r="JT333" s="11"/>
      <c r="LG333" s="11"/>
      <c r="MT333" s="11"/>
      <c r="OG333" s="11"/>
      <c r="PT333" s="11"/>
    </row>
    <row r="334" spans="3:436" ht="15.75" x14ac:dyDescent="0.25">
      <c r="C334" s="20" t="s">
        <v>329</v>
      </c>
      <c r="D334" s="21" t="s">
        <v>82</v>
      </c>
      <c r="H334" s="11"/>
      <c r="AU334" s="11"/>
      <c r="CH334" s="11"/>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7"/>
      <c r="DF334" s="17"/>
      <c r="DG334" s="16"/>
      <c r="DH334" s="16"/>
      <c r="DI334" s="17"/>
      <c r="DJ334" s="17"/>
      <c r="DK334" s="16"/>
      <c r="DL334" s="16"/>
      <c r="DM334" s="17"/>
      <c r="DN334" s="17"/>
      <c r="DO334" s="16"/>
      <c r="DP334" s="16"/>
      <c r="DQ334" s="17"/>
      <c r="DR334" s="17"/>
      <c r="DS334" s="16"/>
      <c r="DT334" s="16"/>
      <c r="DU334" s="17"/>
      <c r="DV334" s="17"/>
      <c r="DW334" s="16"/>
      <c r="DX334" s="16"/>
      <c r="DY334" s="17"/>
      <c r="DZ334" s="17"/>
      <c r="EA334" s="16"/>
      <c r="EB334" s="16"/>
      <c r="EC334" s="17"/>
      <c r="ED334" s="17"/>
      <c r="EE334" s="16"/>
      <c r="EF334" s="16"/>
      <c r="EG334" s="17"/>
      <c r="EH334" s="17"/>
      <c r="EI334" s="16"/>
      <c r="EJ334" s="16"/>
      <c r="EK334" s="17"/>
      <c r="EL334" s="17"/>
      <c r="EM334" s="16"/>
      <c r="EN334" s="16"/>
      <c r="EO334" s="17"/>
      <c r="EP334" s="17"/>
      <c r="EQ334" s="16"/>
      <c r="ER334" s="16"/>
      <c r="ES334" s="18">
        <v>2</v>
      </c>
      <c r="ET334" s="18">
        <v>3</v>
      </c>
      <c r="EU334" s="16"/>
      <c r="EV334" s="16"/>
      <c r="EW334" s="17"/>
      <c r="EX334" s="17"/>
      <c r="EY334" s="16"/>
      <c r="EZ334" s="16"/>
      <c r="FA334" s="17"/>
      <c r="FB334" s="17"/>
      <c r="FC334" s="16"/>
      <c r="FD334" s="16"/>
      <c r="FE334" s="17"/>
      <c r="FF334" s="17"/>
      <c r="FG334" s="11"/>
      <c r="GT334" s="11"/>
      <c r="IG334" s="11"/>
      <c r="JT334" s="11"/>
      <c r="LG334" s="11"/>
      <c r="MT334" s="11"/>
      <c r="OG334" s="11"/>
      <c r="PT334" s="11"/>
    </row>
    <row r="335" spans="3:436" ht="15.75" x14ac:dyDescent="0.25">
      <c r="C335" s="20" t="s">
        <v>330</v>
      </c>
      <c r="D335" s="21" t="s">
        <v>82</v>
      </c>
      <c r="H335" s="11"/>
      <c r="AU335" s="11"/>
      <c r="CH335" s="11"/>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7"/>
      <c r="DF335" s="17"/>
      <c r="DG335" s="16"/>
      <c r="DH335" s="16"/>
      <c r="DI335" s="17"/>
      <c r="DJ335" s="17"/>
      <c r="DK335" s="16"/>
      <c r="DL335" s="16"/>
      <c r="DM335" s="17"/>
      <c r="DN335" s="17"/>
      <c r="DO335" s="16"/>
      <c r="DP335" s="16"/>
      <c r="DQ335" s="17"/>
      <c r="DR335" s="17"/>
      <c r="DS335" s="16"/>
      <c r="DT335" s="16"/>
      <c r="DU335" s="17"/>
      <c r="DV335" s="17"/>
      <c r="DW335" s="16"/>
      <c r="DX335" s="16"/>
      <c r="DY335" s="17"/>
      <c r="DZ335" s="17"/>
      <c r="EA335" s="16"/>
      <c r="EB335" s="16"/>
      <c r="EC335" s="17"/>
      <c r="ED335" s="17"/>
      <c r="EE335" s="16"/>
      <c r="EF335" s="16"/>
      <c r="EG335" s="17"/>
      <c r="EH335" s="17"/>
      <c r="EI335" s="16"/>
      <c r="EJ335" s="16"/>
      <c r="EK335" s="17"/>
      <c r="EL335" s="17"/>
      <c r="EM335" s="16"/>
      <c r="EN335" s="16"/>
      <c r="EO335" s="17"/>
      <c r="EP335" s="17"/>
      <c r="EQ335" s="16"/>
      <c r="ER335" s="16"/>
      <c r="ES335" s="18">
        <v>2</v>
      </c>
      <c r="ET335" s="18">
        <v>3</v>
      </c>
      <c r="EU335" s="16"/>
      <c r="EV335" s="16"/>
      <c r="EW335" s="17"/>
      <c r="EX335" s="17"/>
      <c r="EY335" s="16"/>
      <c r="EZ335" s="16"/>
      <c r="FA335" s="17"/>
      <c r="FB335" s="17"/>
      <c r="FC335" s="16"/>
      <c r="FD335" s="16"/>
      <c r="FE335" s="17"/>
      <c r="FF335" s="17"/>
      <c r="FG335" s="11"/>
      <c r="GT335" s="11"/>
      <c r="IG335" s="11"/>
      <c r="JT335" s="11"/>
      <c r="LG335" s="11"/>
      <c r="MT335" s="11"/>
      <c r="OG335" s="11"/>
      <c r="PT335" s="11"/>
    </row>
    <row r="336" spans="3:436" ht="15.75" x14ac:dyDescent="0.25">
      <c r="C336" s="20" t="s">
        <v>331</v>
      </c>
      <c r="D336" s="21" t="s">
        <v>82</v>
      </c>
      <c r="H336" s="11"/>
      <c r="AU336" s="11"/>
      <c r="CH336" s="11"/>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7"/>
      <c r="DF336" s="17"/>
      <c r="DG336" s="16"/>
      <c r="DH336" s="16"/>
      <c r="DI336" s="17"/>
      <c r="DJ336" s="17"/>
      <c r="DK336" s="16"/>
      <c r="DL336" s="16"/>
      <c r="DM336" s="17"/>
      <c r="DN336" s="17"/>
      <c r="DO336" s="16"/>
      <c r="DP336" s="16"/>
      <c r="DQ336" s="17"/>
      <c r="DR336" s="17"/>
      <c r="DS336" s="16"/>
      <c r="DT336" s="16"/>
      <c r="DU336" s="17"/>
      <c r="DV336" s="17"/>
      <c r="DW336" s="16"/>
      <c r="DX336" s="16"/>
      <c r="DY336" s="17"/>
      <c r="DZ336" s="17"/>
      <c r="EA336" s="16"/>
      <c r="EB336" s="16"/>
      <c r="EC336" s="17"/>
      <c r="ED336" s="17"/>
      <c r="EE336" s="16"/>
      <c r="EF336" s="16"/>
      <c r="EG336" s="17"/>
      <c r="EH336" s="17"/>
      <c r="EI336" s="16"/>
      <c r="EJ336" s="16"/>
      <c r="EK336" s="17"/>
      <c r="EL336" s="17"/>
      <c r="EM336" s="16"/>
      <c r="EN336" s="16"/>
      <c r="EO336" s="17"/>
      <c r="EP336" s="17"/>
      <c r="EQ336" s="16"/>
      <c r="ER336" s="16"/>
      <c r="ES336" s="18">
        <v>1</v>
      </c>
      <c r="ET336" s="18">
        <v>2</v>
      </c>
      <c r="EU336" s="16"/>
      <c r="EV336" s="16"/>
      <c r="EW336" s="17"/>
      <c r="EX336" s="17"/>
      <c r="EY336" s="16"/>
      <c r="EZ336" s="16"/>
      <c r="FA336" s="17"/>
      <c r="FB336" s="17"/>
      <c r="FC336" s="16"/>
      <c r="FD336" s="16"/>
      <c r="FE336" s="17"/>
      <c r="FF336" s="17"/>
      <c r="FG336" s="11"/>
      <c r="GT336" s="11"/>
      <c r="IG336" s="11"/>
      <c r="JT336" s="11"/>
      <c r="LG336" s="11"/>
      <c r="MT336" s="11"/>
      <c r="OG336" s="11"/>
      <c r="PT336" s="11"/>
    </row>
    <row r="337" spans="3:436" ht="15.75" x14ac:dyDescent="0.25">
      <c r="C337" s="20" t="s">
        <v>332</v>
      </c>
      <c r="D337" s="21" t="s">
        <v>93</v>
      </c>
      <c r="H337" s="11"/>
      <c r="AU337" s="11"/>
      <c r="CH337" s="11"/>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7"/>
      <c r="DF337" s="17"/>
      <c r="DG337" s="16"/>
      <c r="DH337" s="16"/>
      <c r="DI337" s="17"/>
      <c r="DJ337" s="17"/>
      <c r="DK337" s="16"/>
      <c r="DL337" s="16"/>
      <c r="DM337" s="17"/>
      <c r="DN337" s="17"/>
      <c r="DO337" s="16"/>
      <c r="DP337" s="16"/>
      <c r="DQ337" s="17"/>
      <c r="DR337" s="17"/>
      <c r="DS337" s="16"/>
      <c r="DT337" s="16"/>
      <c r="DU337" s="17"/>
      <c r="DV337" s="17"/>
      <c r="DW337" s="16"/>
      <c r="DX337" s="16"/>
      <c r="DY337" s="17"/>
      <c r="DZ337" s="17"/>
      <c r="EA337" s="16"/>
      <c r="EB337" s="16"/>
      <c r="EC337" s="17"/>
      <c r="ED337" s="17"/>
      <c r="EE337" s="16"/>
      <c r="EF337" s="16"/>
      <c r="EG337" s="17"/>
      <c r="EH337" s="17"/>
      <c r="EI337" s="16"/>
      <c r="EJ337" s="16"/>
      <c r="EK337" s="17"/>
      <c r="EL337" s="17"/>
      <c r="EM337" s="16"/>
      <c r="EN337" s="16"/>
      <c r="EO337" s="17"/>
      <c r="EP337" s="17"/>
      <c r="EQ337" s="16"/>
      <c r="ER337" s="16"/>
      <c r="ES337" s="17"/>
      <c r="ET337" s="17"/>
      <c r="EU337" s="16"/>
      <c r="EV337" s="16"/>
      <c r="EW337" s="18">
        <v>5</v>
      </c>
      <c r="EX337" s="18">
        <v>5</v>
      </c>
      <c r="EY337" s="16"/>
      <c r="EZ337" s="16"/>
      <c r="FA337" s="17"/>
      <c r="FB337" s="17"/>
      <c r="FC337" s="16"/>
      <c r="FD337" s="16"/>
      <c r="FE337" s="17"/>
      <c r="FF337" s="17"/>
      <c r="FG337" s="11"/>
      <c r="GT337" s="11"/>
      <c r="IG337" s="11"/>
      <c r="JT337" s="11"/>
      <c r="LG337" s="11"/>
      <c r="MT337" s="11"/>
      <c r="OG337" s="11"/>
      <c r="PT337" s="11"/>
    </row>
    <row r="338" spans="3:436" ht="15.75" x14ac:dyDescent="0.25">
      <c r="C338" s="20" t="s">
        <v>310</v>
      </c>
      <c r="D338" s="21" t="s">
        <v>90</v>
      </c>
      <c r="H338" s="11"/>
      <c r="AU338" s="11"/>
      <c r="CH338" s="11"/>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7"/>
      <c r="DF338" s="17"/>
      <c r="DG338" s="16"/>
      <c r="DH338" s="16"/>
      <c r="DI338" s="17"/>
      <c r="DJ338" s="17"/>
      <c r="DK338" s="16"/>
      <c r="DL338" s="16"/>
      <c r="DM338" s="17"/>
      <c r="DN338" s="17"/>
      <c r="DO338" s="16"/>
      <c r="DP338" s="16"/>
      <c r="DQ338" s="17"/>
      <c r="DR338" s="17"/>
      <c r="DS338" s="16"/>
      <c r="DT338" s="16"/>
      <c r="DU338" s="17"/>
      <c r="DV338" s="17"/>
      <c r="DW338" s="16"/>
      <c r="DX338" s="16"/>
      <c r="DY338" s="17"/>
      <c r="DZ338" s="17"/>
      <c r="EA338" s="16"/>
      <c r="EB338" s="16"/>
      <c r="EC338" s="17"/>
      <c r="ED338" s="17"/>
      <c r="EE338" s="16"/>
      <c r="EF338" s="16"/>
      <c r="EG338" s="17"/>
      <c r="EH338" s="17"/>
      <c r="EI338" s="16"/>
      <c r="EJ338" s="16"/>
      <c r="EK338" s="17"/>
      <c r="EL338" s="17"/>
      <c r="EM338" s="16"/>
      <c r="EN338" s="16"/>
      <c r="EO338" s="17"/>
      <c r="EP338" s="17"/>
      <c r="EQ338" s="16"/>
      <c r="ER338" s="16"/>
      <c r="ES338" s="17"/>
      <c r="ET338" s="17"/>
      <c r="EU338" s="16"/>
      <c r="EV338" s="16"/>
      <c r="EW338" s="17"/>
      <c r="EX338" s="17"/>
      <c r="EY338" s="16"/>
      <c r="EZ338" s="16"/>
      <c r="FA338" s="17"/>
      <c r="FB338" s="17"/>
      <c r="FC338" s="16"/>
      <c r="FD338" s="16"/>
      <c r="FE338" s="17"/>
      <c r="FF338" s="17"/>
      <c r="FG338" s="11"/>
      <c r="GT338" s="11"/>
      <c r="IG338" s="11"/>
      <c r="JT338" s="11"/>
      <c r="LG338" s="11"/>
      <c r="MT338" s="11"/>
      <c r="OG338" s="11"/>
      <c r="PT338" s="11"/>
    </row>
    <row r="339" spans="3:436" ht="15.75" x14ac:dyDescent="0.25">
      <c r="C339" s="20" t="s">
        <v>311</v>
      </c>
      <c r="D339" s="21" t="s">
        <v>82</v>
      </c>
      <c r="H339" s="11"/>
      <c r="AU339" s="11"/>
      <c r="CH339" s="11"/>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7"/>
      <c r="DF339" s="17"/>
      <c r="DG339" s="16"/>
      <c r="DH339" s="16"/>
      <c r="DI339" s="17"/>
      <c r="DJ339" s="17"/>
      <c r="DK339" s="16"/>
      <c r="DL339" s="16"/>
      <c r="DM339" s="17"/>
      <c r="DN339" s="17"/>
      <c r="DO339" s="16"/>
      <c r="DP339" s="16"/>
      <c r="DQ339" s="17"/>
      <c r="DR339" s="17"/>
      <c r="DS339" s="16"/>
      <c r="DT339" s="16"/>
      <c r="DU339" s="17"/>
      <c r="DV339" s="17"/>
      <c r="DW339" s="16"/>
      <c r="DX339" s="16"/>
      <c r="DY339" s="17"/>
      <c r="DZ339" s="17"/>
      <c r="EA339" s="16"/>
      <c r="EB339" s="16"/>
      <c r="EC339" s="17"/>
      <c r="ED339" s="17"/>
      <c r="EE339" s="16"/>
      <c r="EF339" s="16"/>
      <c r="EG339" s="17"/>
      <c r="EH339" s="17"/>
      <c r="EI339" s="16"/>
      <c r="EJ339" s="16"/>
      <c r="EK339" s="17"/>
      <c r="EL339" s="17"/>
      <c r="EM339" s="16"/>
      <c r="EN339" s="16"/>
      <c r="EO339" s="17"/>
      <c r="EP339" s="17"/>
      <c r="EQ339" s="16"/>
      <c r="ER339" s="16"/>
      <c r="ES339" s="17"/>
      <c r="ET339" s="17"/>
      <c r="EU339" s="16"/>
      <c r="EV339" s="16"/>
      <c r="EW339" s="17"/>
      <c r="EX339" s="17"/>
      <c r="EY339" s="16"/>
      <c r="EZ339" s="16"/>
      <c r="FA339" s="17"/>
      <c r="FB339" s="17"/>
      <c r="FC339" s="16"/>
      <c r="FD339" s="16"/>
      <c r="FE339" s="17"/>
      <c r="FF339" s="17"/>
      <c r="FG339" s="11"/>
      <c r="GT339" s="11"/>
      <c r="IG339" s="11"/>
      <c r="JT339" s="11"/>
      <c r="LG339" s="11"/>
      <c r="MT339" s="11"/>
      <c r="OG339" s="11"/>
      <c r="PT339" s="11"/>
    </row>
    <row r="340" spans="3:436" ht="15.75" x14ac:dyDescent="0.25">
      <c r="C340" s="20" t="s">
        <v>313</v>
      </c>
      <c r="D340" s="21" t="s">
        <v>84</v>
      </c>
      <c r="H340" s="11"/>
      <c r="AU340" s="11"/>
      <c r="CH340" s="11"/>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7"/>
      <c r="DF340" s="17"/>
      <c r="DG340" s="16"/>
      <c r="DH340" s="16"/>
      <c r="DI340" s="17"/>
      <c r="DJ340" s="17"/>
      <c r="DK340" s="16"/>
      <c r="DL340" s="16"/>
      <c r="DM340" s="17"/>
      <c r="DN340" s="17"/>
      <c r="DO340" s="16"/>
      <c r="DP340" s="16"/>
      <c r="DQ340" s="17"/>
      <c r="DR340" s="17"/>
      <c r="DS340" s="16"/>
      <c r="DT340" s="16"/>
      <c r="DU340" s="17"/>
      <c r="DV340" s="17"/>
      <c r="DW340" s="16"/>
      <c r="DX340" s="16"/>
      <c r="DY340" s="17"/>
      <c r="DZ340" s="17"/>
      <c r="EA340" s="16"/>
      <c r="EB340" s="16"/>
      <c r="EC340" s="17"/>
      <c r="ED340" s="17"/>
      <c r="EE340" s="16"/>
      <c r="EF340" s="16"/>
      <c r="EG340" s="17"/>
      <c r="EH340" s="17"/>
      <c r="EI340" s="16"/>
      <c r="EJ340" s="16"/>
      <c r="EK340" s="17"/>
      <c r="EL340" s="17"/>
      <c r="EM340" s="16"/>
      <c r="EN340" s="16"/>
      <c r="EO340" s="17"/>
      <c r="EP340" s="17"/>
      <c r="EQ340" s="16"/>
      <c r="ER340" s="16"/>
      <c r="ES340" s="17"/>
      <c r="ET340" s="17"/>
      <c r="EU340" s="16"/>
      <c r="EV340" s="16"/>
      <c r="EW340" s="17"/>
      <c r="EX340" s="17"/>
      <c r="EY340" s="16"/>
      <c r="EZ340" s="16"/>
      <c r="FA340" s="17"/>
      <c r="FB340" s="17"/>
      <c r="FC340" s="16"/>
      <c r="FD340" s="16"/>
      <c r="FE340" s="17"/>
      <c r="FF340" s="17"/>
      <c r="FG340" s="11"/>
      <c r="GT340" s="11"/>
      <c r="IG340" s="11"/>
      <c r="JT340" s="11"/>
      <c r="LG340" s="11"/>
      <c r="MT340" s="11"/>
      <c r="OG340" s="11"/>
      <c r="PT340" s="11"/>
    </row>
    <row r="341" spans="3:436" ht="15.75" x14ac:dyDescent="0.25">
      <c r="C341" s="20" t="s">
        <v>314</v>
      </c>
      <c r="D341" s="21" t="s">
        <v>129</v>
      </c>
      <c r="H341" s="11"/>
      <c r="AU341" s="11"/>
      <c r="CH341" s="11"/>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7"/>
      <c r="DF341" s="17"/>
      <c r="DG341" s="16"/>
      <c r="DH341" s="16"/>
      <c r="DI341" s="17"/>
      <c r="DJ341" s="17"/>
      <c r="DK341" s="16"/>
      <c r="DL341" s="16"/>
      <c r="DM341" s="17"/>
      <c r="DN341" s="17"/>
      <c r="DO341" s="16"/>
      <c r="DP341" s="16"/>
      <c r="DQ341" s="17"/>
      <c r="DR341" s="17"/>
      <c r="DS341" s="16"/>
      <c r="DT341" s="16"/>
      <c r="DU341" s="17"/>
      <c r="DV341" s="17"/>
      <c r="DW341" s="16"/>
      <c r="DX341" s="16"/>
      <c r="DY341" s="17"/>
      <c r="DZ341" s="17"/>
      <c r="EA341" s="16"/>
      <c r="EB341" s="16"/>
      <c r="EC341" s="17"/>
      <c r="ED341" s="17"/>
      <c r="EE341" s="16"/>
      <c r="EF341" s="16"/>
      <c r="EG341" s="17"/>
      <c r="EH341" s="17"/>
      <c r="EI341" s="16"/>
      <c r="EJ341" s="16"/>
      <c r="EK341" s="17"/>
      <c r="EL341" s="17"/>
      <c r="EM341" s="16"/>
      <c r="EN341" s="16"/>
      <c r="EO341" s="17"/>
      <c r="EP341" s="17"/>
      <c r="EQ341" s="16"/>
      <c r="ER341" s="16"/>
      <c r="ES341" s="17"/>
      <c r="ET341" s="17"/>
      <c r="EU341" s="16"/>
      <c r="EV341" s="16"/>
      <c r="EW341" s="17"/>
      <c r="EX341" s="17"/>
      <c r="EY341" s="16"/>
      <c r="EZ341" s="16"/>
      <c r="FA341" s="17"/>
      <c r="FB341" s="17"/>
      <c r="FC341" s="16"/>
      <c r="FD341" s="16"/>
      <c r="FE341" s="17"/>
      <c r="FF341" s="17"/>
      <c r="FG341" s="11"/>
      <c r="GT341" s="11"/>
      <c r="IG341" s="11"/>
      <c r="JT341" s="11"/>
      <c r="LG341" s="11"/>
      <c r="MT341" s="11"/>
      <c r="OG341" s="11"/>
      <c r="PT341" s="11"/>
    </row>
    <row r="342" spans="3:436" ht="15.75" x14ac:dyDescent="0.25">
      <c r="C342" s="20" t="s">
        <v>315</v>
      </c>
      <c r="D342" s="21" t="s">
        <v>82</v>
      </c>
      <c r="H342" s="11"/>
      <c r="AU342" s="11"/>
      <c r="CH342" s="11"/>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7"/>
      <c r="DF342" s="17"/>
      <c r="DG342" s="16"/>
      <c r="DH342" s="16"/>
      <c r="DI342" s="17"/>
      <c r="DJ342" s="17"/>
      <c r="DK342" s="16"/>
      <c r="DL342" s="16"/>
      <c r="DM342" s="17"/>
      <c r="DN342" s="17"/>
      <c r="DO342" s="16"/>
      <c r="DP342" s="16"/>
      <c r="DQ342" s="17"/>
      <c r="DR342" s="17"/>
      <c r="DS342" s="16"/>
      <c r="DT342" s="16"/>
      <c r="DU342" s="17"/>
      <c r="DV342" s="17"/>
      <c r="DW342" s="16"/>
      <c r="DX342" s="16"/>
      <c r="DY342" s="17"/>
      <c r="DZ342" s="17"/>
      <c r="EA342" s="16"/>
      <c r="EB342" s="16"/>
      <c r="EC342" s="17"/>
      <c r="ED342" s="17"/>
      <c r="EE342" s="16"/>
      <c r="EF342" s="16"/>
      <c r="EG342" s="17"/>
      <c r="EH342" s="17"/>
      <c r="EI342" s="16"/>
      <c r="EJ342" s="16"/>
      <c r="EK342" s="17"/>
      <c r="EL342" s="17"/>
      <c r="EM342" s="16"/>
      <c r="EN342" s="16"/>
      <c r="EO342" s="17"/>
      <c r="EP342" s="17"/>
      <c r="EQ342" s="16"/>
      <c r="ER342" s="16"/>
      <c r="ES342" s="18">
        <v>3</v>
      </c>
      <c r="ET342" s="18">
        <v>4</v>
      </c>
      <c r="EU342" s="16"/>
      <c r="EV342" s="16"/>
      <c r="EW342" s="17"/>
      <c r="EX342" s="17"/>
      <c r="EY342" s="16"/>
      <c r="EZ342" s="16"/>
      <c r="FA342" s="17"/>
      <c r="FB342" s="17"/>
      <c r="FC342" s="16"/>
      <c r="FD342" s="16"/>
      <c r="FE342" s="17"/>
      <c r="FF342" s="17"/>
      <c r="FG342" s="11"/>
      <c r="GT342" s="11"/>
      <c r="IG342" s="11"/>
      <c r="JT342" s="11"/>
      <c r="LG342" s="11"/>
      <c r="MT342" s="11"/>
      <c r="OG342" s="11"/>
      <c r="PT342" s="11"/>
    </row>
    <row r="343" spans="3:436" ht="15.75" x14ac:dyDescent="0.25">
      <c r="C343" s="20" t="s">
        <v>322</v>
      </c>
      <c r="D343" s="21" t="s">
        <v>82</v>
      </c>
      <c r="H343" s="11"/>
      <c r="AU343" s="11"/>
      <c r="CH343" s="11"/>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7"/>
      <c r="DF343" s="17"/>
      <c r="DG343" s="16"/>
      <c r="DH343" s="16"/>
      <c r="DI343" s="17"/>
      <c r="DJ343" s="17"/>
      <c r="DK343" s="16"/>
      <c r="DL343" s="16"/>
      <c r="DM343" s="17"/>
      <c r="DN343" s="17"/>
      <c r="DO343" s="16"/>
      <c r="DP343" s="16"/>
      <c r="DQ343" s="17"/>
      <c r="DR343" s="17"/>
      <c r="DS343" s="16"/>
      <c r="DT343" s="16"/>
      <c r="DU343" s="17"/>
      <c r="DV343" s="17"/>
      <c r="DW343" s="16"/>
      <c r="DX343" s="16"/>
      <c r="DY343" s="17"/>
      <c r="DZ343" s="17"/>
      <c r="EA343" s="16"/>
      <c r="EB343" s="16"/>
      <c r="EC343" s="17"/>
      <c r="ED343" s="17"/>
      <c r="EE343" s="16"/>
      <c r="EF343" s="16"/>
      <c r="EG343" s="17"/>
      <c r="EH343" s="17"/>
      <c r="EI343" s="16"/>
      <c r="EJ343" s="16"/>
      <c r="EK343" s="17"/>
      <c r="EL343" s="17"/>
      <c r="EM343" s="16"/>
      <c r="EN343" s="16"/>
      <c r="EO343" s="17"/>
      <c r="EP343" s="17"/>
      <c r="EQ343" s="16"/>
      <c r="ER343" s="16"/>
      <c r="ES343" s="18">
        <v>2</v>
      </c>
      <c r="ET343" s="18">
        <v>3</v>
      </c>
      <c r="EU343" s="16"/>
      <c r="EV343" s="16"/>
      <c r="EW343" s="17"/>
      <c r="EX343" s="17"/>
      <c r="EY343" s="16"/>
      <c r="EZ343" s="16"/>
      <c r="FA343" s="17"/>
      <c r="FB343" s="17"/>
      <c r="FC343" s="16"/>
      <c r="FD343" s="16"/>
      <c r="FE343" s="17"/>
      <c r="FF343" s="17"/>
      <c r="FG343" s="11"/>
      <c r="GT343" s="11"/>
      <c r="IG343" s="11"/>
      <c r="JT343" s="11"/>
      <c r="LG343" s="11"/>
      <c r="MT343" s="11"/>
      <c r="OG343" s="11"/>
      <c r="PT343" s="11"/>
    </row>
    <row r="344" spans="3:436" ht="15.75" x14ac:dyDescent="0.25">
      <c r="C344" s="20" t="s">
        <v>323</v>
      </c>
      <c r="D344" s="21" t="s">
        <v>82</v>
      </c>
      <c r="H344" s="11"/>
      <c r="AU344" s="11"/>
      <c r="CH344" s="11"/>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7"/>
      <c r="DF344" s="17"/>
      <c r="DG344" s="16"/>
      <c r="DH344" s="16"/>
      <c r="DI344" s="17"/>
      <c r="DJ344" s="17"/>
      <c r="DK344" s="16"/>
      <c r="DL344" s="16"/>
      <c r="DM344" s="17"/>
      <c r="DN344" s="17"/>
      <c r="DO344" s="16"/>
      <c r="DP344" s="16"/>
      <c r="DQ344" s="17"/>
      <c r="DR344" s="17"/>
      <c r="DS344" s="16"/>
      <c r="DT344" s="16"/>
      <c r="DU344" s="17"/>
      <c r="DV344" s="17"/>
      <c r="DW344" s="16"/>
      <c r="DX344" s="16"/>
      <c r="DY344" s="17"/>
      <c r="DZ344" s="17"/>
      <c r="EA344" s="16"/>
      <c r="EB344" s="16"/>
      <c r="EC344" s="17"/>
      <c r="ED344" s="17"/>
      <c r="EE344" s="16"/>
      <c r="EF344" s="16"/>
      <c r="EG344" s="17"/>
      <c r="EH344" s="17"/>
      <c r="EI344" s="16"/>
      <c r="EJ344" s="16"/>
      <c r="EK344" s="17"/>
      <c r="EL344" s="17"/>
      <c r="EM344" s="16"/>
      <c r="EN344" s="16"/>
      <c r="EO344" s="17"/>
      <c r="EP344" s="17"/>
      <c r="EQ344" s="16"/>
      <c r="ER344" s="16"/>
      <c r="ES344" s="18">
        <v>1</v>
      </c>
      <c r="ET344" s="18">
        <v>1</v>
      </c>
      <c r="EU344" s="16"/>
      <c r="EV344" s="16"/>
      <c r="EW344" s="17"/>
      <c r="EX344" s="17"/>
      <c r="EY344" s="16"/>
      <c r="EZ344" s="16"/>
      <c r="FA344" s="17"/>
      <c r="FB344" s="17"/>
      <c r="FC344" s="16"/>
      <c r="FD344" s="16"/>
      <c r="FE344" s="17"/>
      <c r="FF344" s="17"/>
      <c r="FG344" s="11"/>
      <c r="GT344" s="11"/>
      <c r="IG344" s="11"/>
      <c r="JT344" s="11"/>
      <c r="LG344" s="11"/>
      <c r="MT344" s="11"/>
      <c r="OG344" s="11"/>
      <c r="PT344" s="11"/>
    </row>
    <row r="345" spans="3:436" ht="15.75" x14ac:dyDescent="0.25">
      <c r="C345" s="20" t="s">
        <v>324</v>
      </c>
      <c r="D345" s="21" t="s">
        <v>82</v>
      </c>
      <c r="H345" s="11"/>
      <c r="AU345" s="11"/>
      <c r="CH345" s="11"/>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7"/>
      <c r="DF345" s="17"/>
      <c r="DG345" s="16"/>
      <c r="DH345" s="16"/>
      <c r="DI345" s="17"/>
      <c r="DJ345" s="17"/>
      <c r="DK345" s="16"/>
      <c r="DL345" s="16"/>
      <c r="DM345" s="17"/>
      <c r="DN345" s="17"/>
      <c r="DO345" s="16"/>
      <c r="DP345" s="16"/>
      <c r="DQ345" s="17"/>
      <c r="DR345" s="17"/>
      <c r="DS345" s="16"/>
      <c r="DT345" s="16"/>
      <c r="DU345" s="17"/>
      <c r="DV345" s="17"/>
      <c r="DW345" s="16"/>
      <c r="DX345" s="16"/>
      <c r="DY345" s="17"/>
      <c r="DZ345" s="17"/>
      <c r="EA345" s="16"/>
      <c r="EB345" s="16"/>
      <c r="EC345" s="17"/>
      <c r="ED345" s="17"/>
      <c r="EE345" s="16"/>
      <c r="EF345" s="16"/>
      <c r="EG345" s="17"/>
      <c r="EH345" s="17"/>
      <c r="EI345" s="16"/>
      <c r="EJ345" s="16"/>
      <c r="EK345" s="17"/>
      <c r="EL345" s="17"/>
      <c r="EM345" s="16"/>
      <c r="EN345" s="16"/>
      <c r="EO345" s="17"/>
      <c r="EP345" s="17"/>
      <c r="EQ345" s="16"/>
      <c r="ER345" s="16"/>
      <c r="ES345" s="18">
        <v>1</v>
      </c>
      <c r="ET345" s="18">
        <v>2</v>
      </c>
      <c r="EU345" s="16"/>
      <c r="EV345" s="16"/>
      <c r="EW345" s="17"/>
      <c r="EX345" s="17"/>
      <c r="EY345" s="16"/>
      <c r="EZ345" s="16"/>
      <c r="FA345" s="17"/>
      <c r="FB345" s="17"/>
      <c r="FC345" s="16"/>
      <c r="FD345" s="16"/>
      <c r="FE345" s="17"/>
      <c r="FF345" s="17"/>
      <c r="FG345" s="11"/>
      <c r="GT345" s="11"/>
      <c r="IG345" s="11"/>
      <c r="JT345" s="11"/>
      <c r="LG345" s="11"/>
      <c r="MT345" s="11"/>
      <c r="OG345" s="11"/>
      <c r="PT345" s="11"/>
    </row>
    <row r="346" spans="3:436" ht="15.75" x14ac:dyDescent="0.25">
      <c r="C346" s="20" t="s">
        <v>316</v>
      </c>
      <c r="D346" s="21" t="s">
        <v>90</v>
      </c>
      <c r="H346" s="11"/>
      <c r="AU346" s="11"/>
      <c r="CH346" s="11"/>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7"/>
      <c r="DF346" s="17"/>
      <c r="DG346" s="16"/>
      <c r="DH346" s="16"/>
      <c r="DI346" s="17"/>
      <c r="DJ346" s="17"/>
      <c r="DK346" s="16"/>
      <c r="DL346" s="16"/>
      <c r="DM346" s="17"/>
      <c r="DN346" s="17"/>
      <c r="DO346" s="16"/>
      <c r="DP346" s="16"/>
      <c r="DQ346" s="17"/>
      <c r="DR346" s="17"/>
      <c r="DS346" s="16"/>
      <c r="DT346" s="16"/>
      <c r="DU346" s="17"/>
      <c r="DV346" s="17"/>
      <c r="DW346" s="16"/>
      <c r="DX346" s="16"/>
      <c r="DY346" s="17"/>
      <c r="DZ346" s="17"/>
      <c r="EA346" s="16"/>
      <c r="EB346" s="16"/>
      <c r="EC346" s="17"/>
      <c r="ED346" s="17"/>
      <c r="EE346" s="16"/>
      <c r="EF346" s="16"/>
      <c r="EG346" s="17"/>
      <c r="EH346" s="17"/>
      <c r="EI346" s="16"/>
      <c r="EJ346" s="16"/>
      <c r="EK346" s="17"/>
      <c r="EL346" s="17"/>
      <c r="EM346" s="16"/>
      <c r="EN346" s="16"/>
      <c r="EO346" s="17"/>
      <c r="EP346" s="17"/>
      <c r="EQ346" s="16"/>
      <c r="ER346" s="16"/>
      <c r="ES346" s="17"/>
      <c r="ET346" s="17"/>
      <c r="EU346" s="16"/>
      <c r="EV346" s="16"/>
      <c r="EW346" s="17"/>
      <c r="EX346" s="17"/>
      <c r="EY346" s="16"/>
      <c r="EZ346" s="16"/>
      <c r="FA346" s="17"/>
      <c r="FB346" s="17"/>
      <c r="FC346" s="16"/>
      <c r="FD346" s="16"/>
      <c r="FE346" s="17"/>
      <c r="FF346" s="17"/>
      <c r="FG346" s="11"/>
      <c r="GT346" s="11"/>
      <c r="IG346" s="11"/>
      <c r="JT346" s="11"/>
      <c r="LG346" s="11"/>
      <c r="MT346" s="11"/>
      <c r="OG346" s="11"/>
      <c r="PT346" s="11"/>
    </row>
    <row r="347" spans="3:436" ht="15.75" x14ac:dyDescent="0.25">
      <c r="C347" s="20" t="s">
        <v>317</v>
      </c>
      <c r="D347" s="21" t="s">
        <v>82</v>
      </c>
      <c r="H347" s="11"/>
      <c r="AU347" s="11"/>
      <c r="CH347" s="11"/>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7"/>
      <c r="DF347" s="17"/>
      <c r="DG347" s="16"/>
      <c r="DH347" s="16"/>
      <c r="DI347" s="17"/>
      <c r="DJ347" s="17"/>
      <c r="DK347" s="16"/>
      <c r="DL347" s="16"/>
      <c r="DM347" s="17"/>
      <c r="DN347" s="17"/>
      <c r="DO347" s="16"/>
      <c r="DP347" s="16"/>
      <c r="DQ347" s="17"/>
      <c r="DR347" s="17"/>
      <c r="DS347" s="16"/>
      <c r="DT347" s="16"/>
      <c r="DU347" s="17"/>
      <c r="DV347" s="17"/>
      <c r="DW347" s="16"/>
      <c r="DX347" s="16"/>
      <c r="DY347" s="17"/>
      <c r="DZ347" s="17"/>
      <c r="EA347" s="16"/>
      <c r="EB347" s="16"/>
      <c r="EC347" s="17"/>
      <c r="ED347" s="17"/>
      <c r="EE347" s="16"/>
      <c r="EF347" s="16"/>
      <c r="EG347" s="17"/>
      <c r="EH347" s="17"/>
      <c r="EI347" s="16"/>
      <c r="EJ347" s="16"/>
      <c r="EK347" s="17"/>
      <c r="EL347" s="17"/>
      <c r="EM347" s="16"/>
      <c r="EN347" s="16"/>
      <c r="EO347" s="17"/>
      <c r="EP347" s="17"/>
      <c r="EQ347" s="16"/>
      <c r="ER347" s="16"/>
      <c r="ES347" s="17"/>
      <c r="ET347" s="17"/>
      <c r="EU347" s="16"/>
      <c r="EV347" s="16"/>
      <c r="EW347" s="17"/>
      <c r="EX347" s="17"/>
      <c r="EY347" s="16"/>
      <c r="EZ347" s="16"/>
      <c r="FA347" s="17"/>
      <c r="FB347" s="17"/>
      <c r="FC347" s="16"/>
      <c r="FD347" s="16"/>
      <c r="FE347" s="17"/>
      <c r="FF347" s="17"/>
      <c r="FG347" s="11"/>
      <c r="GT347" s="11"/>
      <c r="IG347" s="11"/>
      <c r="JT347" s="11"/>
      <c r="LG347" s="11"/>
      <c r="MT347" s="11"/>
      <c r="OG347" s="11"/>
      <c r="PT347" s="11"/>
    </row>
    <row r="348" spans="3:436" ht="15.75" x14ac:dyDescent="0.25">
      <c r="C348" s="20" t="s">
        <v>318</v>
      </c>
      <c r="D348" s="21" t="s">
        <v>84</v>
      </c>
      <c r="H348" s="11"/>
      <c r="AU348" s="11"/>
      <c r="CH348" s="11"/>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7"/>
      <c r="DF348" s="17"/>
      <c r="DG348" s="16"/>
      <c r="DH348" s="16"/>
      <c r="DI348" s="17"/>
      <c r="DJ348" s="17"/>
      <c r="DK348" s="16"/>
      <c r="DL348" s="16"/>
      <c r="DM348" s="17"/>
      <c r="DN348" s="17"/>
      <c r="DO348" s="16"/>
      <c r="DP348" s="16"/>
      <c r="DQ348" s="17"/>
      <c r="DR348" s="17"/>
      <c r="DS348" s="16"/>
      <c r="DT348" s="16"/>
      <c r="DU348" s="17"/>
      <c r="DV348" s="17"/>
      <c r="DW348" s="16"/>
      <c r="DX348" s="16"/>
      <c r="DY348" s="17"/>
      <c r="DZ348" s="17"/>
      <c r="EA348" s="16"/>
      <c r="EB348" s="16"/>
      <c r="EC348" s="17"/>
      <c r="ED348" s="17"/>
      <c r="EE348" s="16"/>
      <c r="EF348" s="16"/>
      <c r="EG348" s="17"/>
      <c r="EH348" s="17"/>
      <c r="EI348" s="16"/>
      <c r="EJ348" s="16"/>
      <c r="EK348" s="17"/>
      <c r="EL348" s="17"/>
      <c r="EM348" s="16"/>
      <c r="EN348" s="16"/>
      <c r="EO348" s="17"/>
      <c r="EP348" s="17"/>
      <c r="EQ348" s="16"/>
      <c r="ER348" s="16"/>
      <c r="ES348" s="17"/>
      <c r="ET348" s="17"/>
      <c r="EU348" s="16"/>
      <c r="EV348" s="16"/>
      <c r="EW348" s="17"/>
      <c r="EX348" s="17"/>
      <c r="EY348" s="16"/>
      <c r="EZ348" s="16"/>
      <c r="FA348" s="17"/>
      <c r="FB348" s="17"/>
      <c r="FC348" s="16"/>
      <c r="FD348" s="16"/>
      <c r="FE348" s="17"/>
      <c r="FF348" s="17"/>
      <c r="FG348" s="11"/>
      <c r="GT348" s="11"/>
      <c r="IG348" s="11"/>
      <c r="JT348" s="11"/>
      <c r="LG348" s="11"/>
      <c r="MT348" s="11"/>
      <c r="OG348" s="11"/>
      <c r="PT348" s="11"/>
    </row>
    <row r="349" spans="3:436" ht="15.75" x14ac:dyDescent="0.25">
      <c r="C349" s="20" t="s">
        <v>333</v>
      </c>
      <c r="D349" s="21" t="s">
        <v>82</v>
      </c>
      <c r="H349" s="11"/>
      <c r="AU349" s="11"/>
      <c r="CH349" s="11"/>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7"/>
      <c r="DF349" s="17"/>
      <c r="DG349" s="16"/>
      <c r="DH349" s="16"/>
      <c r="DI349" s="17"/>
      <c r="DJ349" s="17"/>
      <c r="DK349" s="16"/>
      <c r="DL349" s="16"/>
      <c r="DM349" s="17"/>
      <c r="DN349" s="17"/>
      <c r="DO349" s="16"/>
      <c r="DP349" s="16"/>
      <c r="DQ349" s="17"/>
      <c r="DR349" s="17"/>
      <c r="DS349" s="16"/>
      <c r="DT349" s="16"/>
      <c r="DU349" s="17"/>
      <c r="DV349" s="17"/>
      <c r="DW349" s="16"/>
      <c r="DX349" s="16"/>
      <c r="DY349" s="17"/>
      <c r="DZ349" s="17"/>
      <c r="EA349" s="16"/>
      <c r="EB349" s="16"/>
      <c r="EC349" s="17"/>
      <c r="ED349" s="17"/>
      <c r="EE349" s="16"/>
      <c r="EF349" s="16"/>
      <c r="EG349" s="17"/>
      <c r="EH349" s="17"/>
      <c r="EI349" s="16"/>
      <c r="EJ349" s="16"/>
      <c r="EK349" s="17"/>
      <c r="EL349" s="17"/>
      <c r="EM349" s="16"/>
      <c r="EN349" s="16"/>
      <c r="EO349" s="17"/>
      <c r="EP349" s="17"/>
      <c r="EQ349" s="16"/>
      <c r="ER349" s="16"/>
      <c r="ES349" s="18">
        <v>3</v>
      </c>
      <c r="ET349" s="18">
        <v>5</v>
      </c>
      <c r="EU349" s="16"/>
      <c r="EV349" s="16"/>
      <c r="EW349" s="17"/>
      <c r="EX349" s="17"/>
      <c r="EY349" s="16"/>
      <c r="EZ349" s="16"/>
      <c r="FA349" s="17"/>
      <c r="FB349" s="17"/>
      <c r="FC349" s="16"/>
      <c r="FD349" s="16"/>
      <c r="FE349" s="17"/>
      <c r="FF349" s="17"/>
      <c r="FG349" s="11"/>
      <c r="GT349" s="11"/>
      <c r="IG349" s="11"/>
      <c r="JT349" s="11"/>
      <c r="LG349" s="11"/>
      <c r="MT349" s="11"/>
      <c r="OG349" s="11"/>
      <c r="PT349" s="11"/>
    </row>
    <row r="350" spans="3:436" ht="15.75" x14ac:dyDescent="0.25">
      <c r="C350" s="20" t="s">
        <v>334</v>
      </c>
      <c r="D350" s="21" t="s">
        <v>82</v>
      </c>
      <c r="H350" s="11"/>
      <c r="AU350" s="11"/>
      <c r="CH350" s="11"/>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7"/>
      <c r="DF350" s="17"/>
      <c r="DG350" s="16"/>
      <c r="DH350" s="16"/>
      <c r="DI350" s="17"/>
      <c r="DJ350" s="17"/>
      <c r="DK350" s="16"/>
      <c r="DL350" s="16"/>
      <c r="DM350" s="17"/>
      <c r="DN350" s="17"/>
      <c r="DO350" s="16"/>
      <c r="DP350" s="16"/>
      <c r="DQ350" s="17"/>
      <c r="DR350" s="17"/>
      <c r="DS350" s="16"/>
      <c r="DT350" s="16"/>
      <c r="DU350" s="17"/>
      <c r="DV350" s="17"/>
      <c r="DW350" s="16"/>
      <c r="DX350" s="16"/>
      <c r="DY350" s="17"/>
      <c r="DZ350" s="17"/>
      <c r="EA350" s="16"/>
      <c r="EB350" s="16"/>
      <c r="EC350" s="17"/>
      <c r="ED350" s="17"/>
      <c r="EE350" s="16"/>
      <c r="EF350" s="16"/>
      <c r="EG350" s="17"/>
      <c r="EH350" s="17"/>
      <c r="EI350" s="16"/>
      <c r="EJ350" s="16"/>
      <c r="EK350" s="17"/>
      <c r="EL350" s="17"/>
      <c r="EM350" s="16"/>
      <c r="EN350" s="16"/>
      <c r="EO350" s="17"/>
      <c r="EP350" s="17"/>
      <c r="EQ350" s="16"/>
      <c r="ER350" s="16"/>
      <c r="ES350" s="18">
        <v>1</v>
      </c>
      <c r="ET350" s="18">
        <v>2</v>
      </c>
      <c r="EU350" s="16"/>
      <c r="EV350" s="16"/>
      <c r="EW350" s="17"/>
      <c r="EX350" s="17"/>
      <c r="EY350" s="16"/>
      <c r="EZ350" s="16"/>
      <c r="FA350" s="17"/>
      <c r="FB350" s="17"/>
      <c r="FC350" s="16"/>
      <c r="FD350" s="16"/>
      <c r="FE350" s="17"/>
      <c r="FF350" s="17"/>
      <c r="FG350" s="11"/>
      <c r="GT350" s="11"/>
      <c r="IG350" s="11"/>
      <c r="JT350" s="11"/>
      <c r="LG350" s="11"/>
      <c r="MT350" s="11"/>
      <c r="OG350" s="11"/>
      <c r="PT350" s="11"/>
    </row>
    <row r="351" spans="3:436" ht="15.75" x14ac:dyDescent="0.25">
      <c r="C351" s="20" t="s">
        <v>335</v>
      </c>
      <c r="D351" s="21" t="s">
        <v>82</v>
      </c>
      <c r="H351" s="11"/>
      <c r="AU351" s="11"/>
      <c r="CH351" s="11"/>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7"/>
      <c r="DF351" s="17"/>
      <c r="DG351" s="16"/>
      <c r="DH351" s="16"/>
      <c r="DI351" s="17"/>
      <c r="DJ351" s="17"/>
      <c r="DK351" s="16"/>
      <c r="DL351" s="16"/>
      <c r="DM351" s="17"/>
      <c r="DN351" s="17"/>
      <c r="DO351" s="16"/>
      <c r="DP351" s="16"/>
      <c r="DQ351" s="17"/>
      <c r="DR351" s="17"/>
      <c r="DS351" s="16"/>
      <c r="DT351" s="16"/>
      <c r="DU351" s="17"/>
      <c r="DV351" s="17"/>
      <c r="DW351" s="16"/>
      <c r="DX351" s="16"/>
      <c r="DY351" s="17"/>
      <c r="DZ351" s="17"/>
      <c r="EA351" s="16"/>
      <c r="EB351" s="16"/>
      <c r="EC351" s="17"/>
      <c r="ED351" s="17"/>
      <c r="EE351" s="16"/>
      <c r="EF351" s="16"/>
      <c r="EG351" s="17"/>
      <c r="EH351" s="17"/>
      <c r="EI351" s="16"/>
      <c r="EJ351" s="16"/>
      <c r="EK351" s="17"/>
      <c r="EL351" s="17"/>
      <c r="EM351" s="16"/>
      <c r="EN351" s="16"/>
      <c r="EO351" s="17"/>
      <c r="EP351" s="17"/>
      <c r="EQ351" s="16"/>
      <c r="ER351" s="16"/>
      <c r="ES351" s="18">
        <v>1</v>
      </c>
      <c r="ET351" s="18">
        <v>2</v>
      </c>
      <c r="EU351" s="16"/>
      <c r="EV351" s="16"/>
      <c r="EW351" s="17"/>
      <c r="EX351" s="17"/>
      <c r="EY351" s="16"/>
      <c r="EZ351" s="16"/>
      <c r="FA351" s="17"/>
      <c r="FB351" s="17"/>
      <c r="FC351" s="16"/>
      <c r="FD351" s="16"/>
      <c r="FE351" s="17"/>
      <c r="FF351" s="17"/>
      <c r="FG351" s="11"/>
      <c r="GT351" s="11"/>
      <c r="IG351" s="11"/>
      <c r="JT351" s="11"/>
      <c r="LG351" s="11"/>
      <c r="MT351" s="11"/>
      <c r="OG351" s="11"/>
      <c r="PT351" s="11"/>
    </row>
    <row r="352" spans="3:436" ht="15.75" x14ac:dyDescent="0.25">
      <c r="C352" s="20" t="s">
        <v>336</v>
      </c>
      <c r="D352" s="21" t="s">
        <v>82</v>
      </c>
      <c r="H352" s="11"/>
      <c r="AU352" s="11"/>
      <c r="CH352" s="11"/>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7"/>
      <c r="DF352" s="17"/>
      <c r="DG352" s="16"/>
      <c r="DH352" s="16"/>
      <c r="DI352" s="17"/>
      <c r="DJ352" s="17"/>
      <c r="DK352" s="16"/>
      <c r="DL352" s="16"/>
      <c r="DM352" s="17"/>
      <c r="DN352" s="17"/>
      <c r="DO352" s="16"/>
      <c r="DP352" s="16"/>
      <c r="DQ352" s="17"/>
      <c r="DR352" s="17"/>
      <c r="DS352" s="16"/>
      <c r="DT352" s="16"/>
      <c r="DU352" s="17"/>
      <c r="DV352" s="17"/>
      <c r="DW352" s="16"/>
      <c r="DX352" s="16"/>
      <c r="DY352" s="17"/>
      <c r="DZ352" s="17"/>
      <c r="EA352" s="16"/>
      <c r="EB352" s="16"/>
      <c r="EC352" s="17"/>
      <c r="ED352" s="17"/>
      <c r="EE352" s="16"/>
      <c r="EF352" s="16"/>
      <c r="EG352" s="17"/>
      <c r="EH352" s="17"/>
      <c r="EI352" s="16"/>
      <c r="EJ352" s="16"/>
      <c r="EK352" s="17"/>
      <c r="EL352" s="17"/>
      <c r="EM352" s="16"/>
      <c r="EN352" s="16"/>
      <c r="EO352" s="17"/>
      <c r="EP352" s="17"/>
      <c r="EQ352" s="16"/>
      <c r="ER352" s="16"/>
      <c r="ES352" s="18">
        <v>1</v>
      </c>
      <c r="ET352" s="18">
        <v>2</v>
      </c>
      <c r="EU352" s="16"/>
      <c r="EV352" s="16"/>
      <c r="EW352" s="17"/>
      <c r="EX352" s="17"/>
      <c r="EY352" s="16"/>
      <c r="EZ352" s="16"/>
      <c r="FA352" s="17"/>
      <c r="FB352" s="17"/>
      <c r="FC352" s="16"/>
      <c r="FD352" s="16"/>
      <c r="FE352" s="17"/>
      <c r="FF352" s="17"/>
      <c r="FG352" s="11"/>
      <c r="GT352" s="11"/>
      <c r="IG352" s="11"/>
      <c r="JT352" s="11"/>
      <c r="LG352" s="11"/>
      <c r="MT352" s="11"/>
      <c r="OG352" s="11"/>
      <c r="PT352" s="11"/>
    </row>
    <row r="353" spans="1:436" ht="15.75" x14ac:dyDescent="0.25">
      <c r="C353" s="20" t="s">
        <v>337</v>
      </c>
      <c r="D353" s="21" t="s">
        <v>82</v>
      </c>
      <c r="H353" s="11"/>
      <c r="AU353" s="11"/>
      <c r="CH353" s="11"/>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7"/>
      <c r="DF353" s="17"/>
      <c r="DG353" s="16"/>
      <c r="DH353" s="16"/>
      <c r="DI353" s="17"/>
      <c r="DJ353" s="17"/>
      <c r="DK353" s="16"/>
      <c r="DL353" s="16"/>
      <c r="DM353" s="17"/>
      <c r="DN353" s="17"/>
      <c r="DO353" s="16"/>
      <c r="DP353" s="16"/>
      <c r="DQ353" s="17"/>
      <c r="DR353" s="17"/>
      <c r="DS353" s="16"/>
      <c r="DT353" s="16"/>
      <c r="DU353" s="17"/>
      <c r="DV353" s="17"/>
      <c r="DW353" s="16"/>
      <c r="DX353" s="16"/>
      <c r="DY353" s="17"/>
      <c r="DZ353" s="17"/>
      <c r="EA353" s="16"/>
      <c r="EB353" s="16"/>
      <c r="EC353" s="17"/>
      <c r="ED353" s="17"/>
      <c r="EE353" s="16"/>
      <c r="EF353" s="16"/>
      <c r="EG353" s="17"/>
      <c r="EH353" s="17"/>
      <c r="EI353" s="16"/>
      <c r="EJ353" s="16"/>
      <c r="EK353" s="17"/>
      <c r="EL353" s="17"/>
      <c r="EM353" s="16"/>
      <c r="EN353" s="16"/>
      <c r="EO353" s="17"/>
      <c r="EP353" s="17"/>
      <c r="EQ353" s="16"/>
      <c r="ER353" s="16"/>
      <c r="ES353" s="18">
        <v>1</v>
      </c>
      <c r="ET353" s="18">
        <v>2</v>
      </c>
      <c r="EU353" s="16"/>
      <c r="EV353" s="16"/>
      <c r="EW353" s="17"/>
      <c r="EX353" s="17"/>
      <c r="EY353" s="16"/>
      <c r="EZ353" s="16"/>
      <c r="FA353" s="17"/>
      <c r="FB353" s="17"/>
      <c r="FC353" s="16"/>
      <c r="FD353" s="16"/>
      <c r="FE353" s="17"/>
      <c r="FF353" s="17"/>
      <c r="FG353" s="11"/>
      <c r="GT353" s="11"/>
      <c r="IG353" s="11"/>
      <c r="JT353" s="11"/>
      <c r="LG353" s="11"/>
      <c r="MT353" s="11"/>
      <c r="OG353" s="11"/>
      <c r="PT353" s="11"/>
    </row>
    <row r="354" spans="1:436" ht="15.75" x14ac:dyDescent="0.25">
      <c r="C354" s="20" t="s">
        <v>338</v>
      </c>
      <c r="D354" s="21" t="s">
        <v>82</v>
      </c>
      <c r="H354" s="11"/>
      <c r="AU354" s="11"/>
      <c r="CH354" s="11"/>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7"/>
      <c r="DF354" s="17"/>
      <c r="DG354" s="16"/>
      <c r="DH354" s="16"/>
      <c r="DI354" s="17"/>
      <c r="DJ354" s="17"/>
      <c r="DK354" s="16"/>
      <c r="DL354" s="16"/>
      <c r="DM354" s="17"/>
      <c r="DN354" s="17"/>
      <c r="DO354" s="16"/>
      <c r="DP354" s="16"/>
      <c r="DQ354" s="17"/>
      <c r="DR354" s="17"/>
      <c r="DS354" s="16"/>
      <c r="DT354" s="16"/>
      <c r="DU354" s="17"/>
      <c r="DV354" s="17"/>
      <c r="DW354" s="16"/>
      <c r="DX354" s="16"/>
      <c r="DY354" s="17"/>
      <c r="DZ354" s="17"/>
      <c r="EA354" s="16"/>
      <c r="EB354" s="16"/>
      <c r="EC354" s="17"/>
      <c r="ED354" s="17"/>
      <c r="EE354" s="16"/>
      <c r="EF354" s="16"/>
      <c r="EG354" s="17"/>
      <c r="EH354" s="17"/>
      <c r="EI354" s="16"/>
      <c r="EJ354" s="16"/>
      <c r="EK354" s="17"/>
      <c r="EL354" s="17"/>
      <c r="EM354" s="16"/>
      <c r="EN354" s="16"/>
      <c r="EO354" s="17"/>
      <c r="EP354" s="17"/>
      <c r="EQ354" s="16"/>
      <c r="ER354" s="16"/>
      <c r="ES354" s="18">
        <v>1</v>
      </c>
      <c r="ET354" s="18">
        <v>2</v>
      </c>
      <c r="EU354" s="16"/>
      <c r="EV354" s="16"/>
      <c r="EW354" s="17"/>
      <c r="EX354" s="17"/>
      <c r="EY354" s="16"/>
      <c r="EZ354" s="16"/>
      <c r="FA354" s="17"/>
      <c r="FB354" s="17"/>
      <c r="FC354" s="16"/>
      <c r="FD354" s="16"/>
      <c r="FE354" s="17"/>
      <c r="FF354" s="17"/>
      <c r="FG354" s="11"/>
      <c r="GT354" s="11"/>
      <c r="IG354" s="11"/>
      <c r="JT354" s="11"/>
      <c r="LG354" s="11"/>
      <c r="MT354" s="11"/>
      <c r="OG354" s="11"/>
      <c r="PT354" s="11"/>
    </row>
    <row r="355" spans="1:436" ht="15.75" x14ac:dyDescent="0.25">
      <c r="C355" s="20" t="s">
        <v>339</v>
      </c>
      <c r="D355" s="21" t="s">
        <v>82</v>
      </c>
      <c r="H355" s="11"/>
      <c r="AU355" s="11"/>
      <c r="CH355" s="11"/>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7"/>
      <c r="DF355" s="17"/>
      <c r="DG355" s="16"/>
      <c r="DH355" s="16"/>
      <c r="DI355" s="17"/>
      <c r="DJ355" s="17"/>
      <c r="DK355" s="16"/>
      <c r="DL355" s="16"/>
      <c r="DM355" s="17"/>
      <c r="DN355" s="17"/>
      <c r="DO355" s="16"/>
      <c r="DP355" s="16"/>
      <c r="DQ355" s="17"/>
      <c r="DR355" s="17"/>
      <c r="DS355" s="16"/>
      <c r="DT355" s="16"/>
      <c r="DU355" s="17"/>
      <c r="DV355" s="17"/>
      <c r="DW355" s="16"/>
      <c r="DX355" s="16"/>
      <c r="DY355" s="17"/>
      <c r="DZ355" s="17"/>
      <c r="EA355" s="16"/>
      <c r="EB355" s="16"/>
      <c r="EC355" s="17"/>
      <c r="ED355" s="17"/>
      <c r="EE355" s="16"/>
      <c r="EF355" s="16"/>
      <c r="EG355" s="17"/>
      <c r="EH355" s="17"/>
      <c r="EI355" s="16"/>
      <c r="EJ355" s="16"/>
      <c r="EK355" s="17"/>
      <c r="EL355" s="17"/>
      <c r="EM355" s="16"/>
      <c r="EN355" s="16"/>
      <c r="EO355" s="17"/>
      <c r="EP355" s="17"/>
      <c r="EQ355" s="16"/>
      <c r="ER355" s="16"/>
      <c r="ES355" s="18">
        <v>3</v>
      </c>
      <c r="ET355" s="18">
        <v>5</v>
      </c>
      <c r="EU355" s="16"/>
      <c r="EV355" s="16"/>
      <c r="EW355" s="17"/>
      <c r="EX355" s="17"/>
      <c r="EY355" s="16"/>
      <c r="EZ355" s="16"/>
      <c r="FA355" s="17"/>
      <c r="FB355" s="17"/>
      <c r="FC355" s="16"/>
      <c r="FD355" s="16"/>
      <c r="FE355" s="17"/>
      <c r="FF355" s="17"/>
      <c r="FG355" s="11"/>
      <c r="GT355" s="11"/>
      <c r="IG355" s="11"/>
      <c r="JT355" s="11"/>
      <c r="LG355" s="11"/>
      <c r="MT355" s="11"/>
      <c r="OG355" s="11"/>
      <c r="PT355" s="11"/>
    </row>
    <row r="356" spans="1:436" ht="15.75" x14ac:dyDescent="0.25">
      <c r="C356" s="20" t="s">
        <v>320</v>
      </c>
      <c r="D356" s="21" t="s">
        <v>90</v>
      </c>
      <c r="H356" s="11"/>
      <c r="AU356" s="11"/>
      <c r="CH356" s="11"/>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7"/>
      <c r="DF356" s="17"/>
      <c r="DG356" s="16"/>
      <c r="DH356" s="16"/>
      <c r="DI356" s="17"/>
      <c r="DJ356" s="17"/>
      <c r="DK356" s="16"/>
      <c r="DL356" s="16"/>
      <c r="DM356" s="17"/>
      <c r="DN356" s="17"/>
      <c r="DO356" s="16"/>
      <c r="DP356" s="16"/>
      <c r="DQ356" s="17"/>
      <c r="DR356" s="17"/>
      <c r="DS356" s="16"/>
      <c r="DT356" s="16"/>
      <c r="DU356" s="17"/>
      <c r="DV356" s="17"/>
      <c r="DW356" s="16"/>
      <c r="DX356" s="16"/>
      <c r="DY356" s="17"/>
      <c r="DZ356" s="17"/>
      <c r="EA356" s="16"/>
      <c r="EB356" s="16"/>
      <c r="EC356" s="17"/>
      <c r="ED356" s="17"/>
      <c r="EE356" s="16"/>
      <c r="EF356" s="16"/>
      <c r="EG356" s="17"/>
      <c r="EH356" s="17"/>
      <c r="EI356" s="16"/>
      <c r="EJ356" s="16"/>
      <c r="EK356" s="17"/>
      <c r="EL356" s="17"/>
      <c r="EM356" s="16"/>
      <c r="EN356" s="16"/>
      <c r="EO356" s="17"/>
      <c r="EP356" s="17"/>
      <c r="EQ356" s="16"/>
      <c r="ER356" s="16"/>
      <c r="ES356" s="17"/>
      <c r="ET356" s="17"/>
      <c r="EU356" s="16"/>
      <c r="EV356" s="16"/>
      <c r="EW356" s="17"/>
      <c r="EX356" s="17"/>
      <c r="EY356" s="16"/>
      <c r="EZ356" s="16"/>
      <c r="FA356" s="17"/>
      <c r="FB356" s="17"/>
      <c r="FC356" s="16"/>
      <c r="FD356" s="16"/>
      <c r="FE356" s="17"/>
      <c r="FF356" s="17"/>
      <c r="FG356" s="11"/>
      <c r="GT356" s="11"/>
      <c r="IG356" s="11"/>
      <c r="JT356" s="11"/>
      <c r="LG356" s="11"/>
      <c r="MT356" s="11"/>
      <c r="OG356" s="11"/>
      <c r="PT356" s="11"/>
    </row>
    <row r="357" spans="1:436" ht="15.75" x14ac:dyDescent="0.25">
      <c r="C357" s="20" t="s">
        <v>340</v>
      </c>
      <c r="D357" s="21" t="s">
        <v>136</v>
      </c>
      <c r="H357" s="11"/>
      <c r="AU357" s="11"/>
      <c r="CH357" s="11"/>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7"/>
      <c r="DF357" s="17"/>
      <c r="DG357" s="16"/>
      <c r="DH357" s="16"/>
      <c r="DI357" s="17"/>
      <c r="DJ357" s="17"/>
      <c r="DK357" s="16"/>
      <c r="DL357" s="16"/>
      <c r="DM357" s="17"/>
      <c r="DN357" s="17"/>
      <c r="DO357" s="16"/>
      <c r="DP357" s="16"/>
      <c r="DQ357" s="17"/>
      <c r="DR357" s="17"/>
      <c r="DS357" s="16"/>
      <c r="DT357" s="16"/>
      <c r="DU357" s="17"/>
      <c r="DV357" s="17"/>
      <c r="DW357" s="16"/>
      <c r="DX357" s="16"/>
      <c r="DY357" s="17"/>
      <c r="DZ357" s="17"/>
      <c r="EA357" s="16"/>
      <c r="EB357" s="16"/>
      <c r="EC357" s="17"/>
      <c r="ED357" s="17"/>
      <c r="EE357" s="16"/>
      <c r="EF357" s="16"/>
      <c r="EG357" s="17"/>
      <c r="EH357" s="17"/>
      <c r="EI357" s="16"/>
      <c r="EJ357" s="16"/>
      <c r="EK357" s="17"/>
      <c r="EL357" s="17"/>
      <c r="EM357" s="16"/>
      <c r="EN357" s="16"/>
      <c r="EO357" s="17"/>
      <c r="EP357" s="17"/>
      <c r="EQ357" s="16"/>
      <c r="ER357" s="16"/>
      <c r="ES357" s="17"/>
      <c r="ET357" s="17"/>
      <c r="EU357" s="16"/>
      <c r="EV357" s="16"/>
      <c r="EW357" s="17"/>
      <c r="EX357" s="17"/>
      <c r="EY357" s="16"/>
      <c r="EZ357" s="16"/>
      <c r="FA357" s="17"/>
      <c r="FB357" s="17"/>
      <c r="FC357" s="16"/>
      <c r="FD357" s="16"/>
      <c r="FE357" s="17"/>
      <c r="FF357" s="17"/>
      <c r="FG357" s="11"/>
      <c r="GT357" s="11"/>
      <c r="IG357" s="11"/>
      <c r="JT357" s="11"/>
      <c r="LG357" s="11"/>
      <c r="MT357" s="11"/>
      <c r="OG357" s="11"/>
      <c r="PT357" s="11"/>
    </row>
    <row r="358" spans="1:436" ht="15.75" x14ac:dyDescent="0.25">
      <c r="C358" s="20" t="s">
        <v>341</v>
      </c>
      <c r="D358" s="21" t="s">
        <v>136</v>
      </c>
      <c r="H358" s="11"/>
      <c r="AU358" s="11"/>
      <c r="CH358" s="11"/>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7"/>
      <c r="DF358" s="17"/>
      <c r="DG358" s="16"/>
      <c r="DH358" s="16"/>
      <c r="DI358" s="17"/>
      <c r="DJ358" s="17"/>
      <c r="DK358" s="16"/>
      <c r="DL358" s="16"/>
      <c r="DM358" s="17"/>
      <c r="DN358" s="17"/>
      <c r="DO358" s="16"/>
      <c r="DP358" s="16"/>
      <c r="DQ358" s="17"/>
      <c r="DR358" s="17"/>
      <c r="DS358" s="16"/>
      <c r="DT358" s="16"/>
      <c r="DU358" s="17"/>
      <c r="DV358" s="17"/>
      <c r="DW358" s="16"/>
      <c r="DX358" s="16"/>
      <c r="DY358" s="17"/>
      <c r="DZ358" s="17"/>
      <c r="EA358" s="16"/>
      <c r="EB358" s="16"/>
      <c r="EC358" s="17"/>
      <c r="ED358" s="17"/>
      <c r="EE358" s="16"/>
      <c r="EF358" s="16"/>
      <c r="EG358" s="17"/>
      <c r="EH358" s="17"/>
      <c r="EI358" s="16"/>
      <c r="EJ358" s="16"/>
      <c r="EK358" s="17"/>
      <c r="EL358" s="17"/>
      <c r="EM358" s="16"/>
      <c r="EN358" s="16"/>
      <c r="EO358" s="17"/>
      <c r="EP358" s="17"/>
      <c r="EQ358" s="16"/>
      <c r="ER358" s="16"/>
      <c r="ES358" s="17"/>
      <c r="ET358" s="17"/>
      <c r="EU358" s="16"/>
      <c r="EV358" s="16"/>
      <c r="EW358" s="17"/>
      <c r="EX358" s="17"/>
      <c r="EY358" s="16"/>
      <c r="EZ358" s="16"/>
      <c r="FA358" s="17"/>
      <c r="FB358" s="17"/>
      <c r="FC358" s="16"/>
      <c r="FD358" s="16"/>
      <c r="FE358" s="17"/>
      <c r="FF358" s="17"/>
      <c r="FG358" s="11"/>
      <c r="GT358" s="11"/>
      <c r="IG358" s="11"/>
      <c r="JT358" s="11"/>
      <c r="LG358" s="11"/>
      <c r="MT358" s="11"/>
      <c r="OG358" s="11"/>
      <c r="PT358" s="11"/>
    </row>
    <row r="359" spans="1:436" ht="15.75" x14ac:dyDescent="0.25">
      <c r="C359" s="20" t="s">
        <v>342</v>
      </c>
      <c r="D359" s="21" t="s">
        <v>136</v>
      </c>
      <c r="H359" s="11"/>
      <c r="AU359" s="11"/>
      <c r="CH359" s="11"/>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7"/>
      <c r="DF359" s="17"/>
      <c r="DG359" s="16"/>
      <c r="DH359" s="16"/>
      <c r="DI359" s="17"/>
      <c r="DJ359" s="17"/>
      <c r="DK359" s="16"/>
      <c r="DL359" s="16"/>
      <c r="DM359" s="17"/>
      <c r="DN359" s="17"/>
      <c r="DO359" s="16"/>
      <c r="DP359" s="16"/>
      <c r="DQ359" s="17"/>
      <c r="DR359" s="17"/>
      <c r="DS359" s="16"/>
      <c r="DT359" s="16"/>
      <c r="DU359" s="17"/>
      <c r="DV359" s="17"/>
      <c r="DW359" s="16"/>
      <c r="DX359" s="16"/>
      <c r="DY359" s="17"/>
      <c r="DZ359" s="17"/>
      <c r="EA359" s="16"/>
      <c r="EB359" s="16"/>
      <c r="EC359" s="17"/>
      <c r="ED359" s="17"/>
      <c r="EE359" s="16"/>
      <c r="EF359" s="16"/>
      <c r="EG359" s="17"/>
      <c r="EH359" s="17"/>
      <c r="EI359" s="16"/>
      <c r="EJ359" s="16"/>
      <c r="EK359" s="17"/>
      <c r="EL359" s="17"/>
      <c r="EM359" s="16"/>
      <c r="EN359" s="16"/>
      <c r="EO359" s="17"/>
      <c r="EP359" s="17"/>
      <c r="EQ359" s="16"/>
      <c r="ER359" s="16"/>
      <c r="ES359" s="17"/>
      <c r="ET359" s="17"/>
      <c r="EU359" s="16"/>
      <c r="EV359" s="16"/>
      <c r="EW359" s="17"/>
      <c r="EX359" s="17"/>
      <c r="EY359" s="16"/>
      <c r="EZ359" s="16"/>
      <c r="FA359" s="17"/>
      <c r="FB359" s="17"/>
      <c r="FC359" s="16"/>
      <c r="FD359" s="16"/>
      <c r="FE359" s="17"/>
      <c r="FF359" s="17"/>
      <c r="FG359" s="11"/>
      <c r="GT359" s="11"/>
      <c r="IG359" s="11"/>
      <c r="JT359" s="11"/>
      <c r="LG359" s="11"/>
      <c r="MT359" s="11"/>
      <c r="OG359" s="11"/>
      <c r="PT359" s="11"/>
    </row>
    <row r="360" spans="1:436" ht="15.75" x14ac:dyDescent="0.25">
      <c r="A360" s="13"/>
      <c r="B360" s="14" t="s">
        <v>343</v>
      </c>
      <c r="C360" s="13"/>
      <c r="D360" s="13"/>
      <c r="E360" s="15" t="s">
        <v>127</v>
      </c>
      <c r="F360" s="15" t="s">
        <v>77</v>
      </c>
      <c r="G360" s="13"/>
      <c r="H360" s="11"/>
      <c r="AU360" s="11"/>
      <c r="CH360" s="11"/>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7"/>
      <c r="DF360" s="17"/>
      <c r="DG360" s="16"/>
      <c r="DH360" s="16"/>
      <c r="DI360" s="17"/>
      <c r="DJ360" s="18">
        <v>10</v>
      </c>
      <c r="DK360" s="16"/>
      <c r="DL360" s="16"/>
      <c r="DM360" s="17"/>
      <c r="DN360" s="17"/>
      <c r="DO360" s="16"/>
      <c r="DP360" s="16"/>
      <c r="DQ360" s="17"/>
      <c r="DR360" s="17"/>
      <c r="DS360" s="16"/>
      <c r="DT360" s="16"/>
      <c r="DU360" s="17"/>
      <c r="DV360" s="17"/>
      <c r="DW360" s="16"/>
      <c r="DX360" s="19">
        <v>3</v>
      </c>
      <c r="DY360" s="17"/>
      <c r="DZ360" s="17"/>
      <c r="EA360" s="16"/>
      <c r="EB360" s="16"/>
      <c r="EC360" s="17"/>
      <c r="ED360" s="17"/>
      <c r="EE360" s="16"/>
      <c r="EF360" s="19">
        <v>11</v>
      </c>
      <c r="EG360" s="17"/>
      <c r="EH360" s="18">
        <v>15</v>
      </c>
      <c r="EI360" s="16"/>
      <c r="EJ360" s="16"/>
      <c r="EK360" s="17"/>
      <c r="EL360" s="17"/>
      <c r="EM360" s="16"/>
      <c r="EN360" s="16"/>
      <c r="EO360" s="17"/>
      <c r="EP360" s="17"/>
      <c r="EQ360" s="16"/>
      <c r="ER360" s="16"/>
      <c r="ES360" s="17"/>
      <c r="ET360" s="17"/>
      <c r="EU360" s="16"/>
      <c r="EV360" s="16"/>
      <c r="EW360" s="17"/>
      <c r="EX360" s="17"/>
      <c r="EY360" s="16"/>
      <c r="EZ360" s="16"/>
      <c r="FA360" s="17"/>
      <c r="FB360" s="17"/>
      <c r="FC360" s="16"/>
      <c r="FD360" s="16"/>
      <c r="FE360" s="17"/>
      <c r="FF360" s="17"/>
      <c r="FG360" s="11"/>
      <c r="GT360" s="11"/>
      <c r="IG360" s="11"/>
      <c r="JT360" s="11"/>
      <c r="LG360" s="11"/>
      <c r="MT360" s="11"/>
      <c r="OG360" s="11"/>
      <c r="PT360" s="11"/>
    </row>
    <row r="361" spans="1:436" ht="15.75" x14ac:dyDescent="0.25">
      <c r="A361" s="13"/>
      <c r="B361" s="14" t="s">
        <v>344</v>
      </c>
      <c r="C361" s="13"/>
      <c r="D361" s="13"/>
      <c r="E361" s="15" t="s">
        <v>127</v>
      </c>
      <c r="F361" s="15" t="s">
        <v>77</v>
      </c>
      <c r="G361" s="13"/>
      <c r="H361" s="11"/>
      <c r="AU361" s="11"/>
      <c r="CH361" s="11"/>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7"/>
      <c r="DF361" s="17"/>
      <c r="DG361" s="16"/>
      <c r="DH361" s="16"/>
      <c r="DI361" s="17"/>
      <c r="DJ361" s="18">
        <v>17</v>
      </c>
      <c r="DK361" s="16"/>
      <c r="DL361" s="16"/>
      <c r="DM361" s="17"/>
      <c r="DN361" s="17"/>
      <c r="DO361" s="16"/>
      <c r="DP361" s="16"/>
      <c r="DQ361" s="17"/>
      <c r="DR361" s="17"/>
      <c r="DS361" s="16"/>
      <c r="DT361" s="16"/>
      <c r="DU361" s="17"/>
      <c r="DV361" s="17"/>
      <c r="DW361" s="16"/>
      <c r="DX361" s="19">
        <v>20</v>
      </c>
      <c r="DY361" s="17"/>
      <c r="DZ361" s="17"/>
      <c r="EA361" s="16"/>
      <c r="EB361" s="16"/>
      <c r="EC361" s="17"/>
      <c r="ED361" s="17"/>
      <c r="EE361" s="16"/>
      <c r="EF361" s="19">
        <v>10</v>
      </c>
      <c r="EG361" s="17"/>
      <c r="EH361" s="17"/>
      <c r="EI361" s="16"/>
      <c r="EJ361" s="16"/>
      <c r="EK361" s="17"/>
      <c r="EL361" s="18">
        <v>5</v>
      </c>
      <c r="EM361" s="16"/>
      <c r="EN361" s="19">
        <v>90</v>
      </c>
      <c r="EO361" s="17"/>
      <c r="EP361" s="17"/>
      <c r="EQ361" s="16"/>
      <c r="ER361" s="16"/>
      <c r="ES361" s="17"/>
      <c r="ET361" s="18">
        <v>60</v>
      </c>
      <c r="EU361" s="16"/>
      <c r="EV361" s="16"/>
      <c r="EW361" s="17"/>
      <c r="EX361" s="17"/>
      <c r="EY361" s="16"/>
      <c r="EZ361" s="16"/>
      <c r="FA361" s="17"/>
      <c r="FB361" s="17"/>
      <c r="FC361" s="16"/>
      <c r="FD361" s="16"/>
      <c r="FE361" s="17"/>
      <c r="FF361" s="17"/>
      <c r="FG361" s="11"/>
      <c r="GT361" s="11"/>
      <c r="IG361" s="11"/>
      <c r="JT361" s="11"/>
      <c r="LG361" s="11"/>
      <c r="MT361" s="11"/>
      <c r="OG361" s="11"/>
      <c r="PT361" s="11"/>
    </row>
    <row r="362" spans="1:436" ht="15.75" x14ac:dyDescent="0.25">
      <c r="A362" s="13"/>
      <c r="B362" s="14" t="s">
        <v>345</v>
      </c>
      <c r="C362" s="13"/>
      <c r="D362" s="13"/>
      <c r="E362" s="15" t="s">
        <v>76</v>
      </c>
      <c r="F362" s="15" t="s">
        <v>177</v>
      </c>
      <c r="G362" s="13"/>
      <c r="H362" s="11"/>
      <c r="AU362" s="11"/>
      <c r="CH362" s="11"/>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7"/>
      <c r="DF362" s="17"/>
      <c r="DG362" s="16"/>
      <c r="DH362" s="16"/>
      <c r="DI362" s="17"/>
      <c r="DJ362" s="18">
        <v>5</v>
      </c>
      <c r="DK362" s="16"/>
      <c r="DL362" s="16"/>
      <c r="DM362" s="17"/>
      <c r="DN362" s="17"/>
      <c r="DO362" s="16"/>
      <c r="DP362" s="16"/>
      <c r="DQ362" s="17"/>
      <c r="DR362" s="17"/>
      <c r="DS362" s="16"/>
      <c r="DT362" s="16"/>
      <c r="DU362" s="17"/>
      <c r="DV362" s="17"/>
      <c r="DW362" s="16"/>
      <c r="DX362" s="16"/>
      <c r="DY362" s="17"/>
      <c r="DZ362" s="17"/>
      <c r="EA362" s="16"/>
      <c r="EB362" s="16"/>
      <c r="EC362" s="17"/>
      <c r="ED362" s="17"/>
      <c r="EE362" s="16"/>
      <c r="EF362" s="16"/>
      <c r="EG362" s="17"/>
      <c r="EH362" s="17"/>
      <c r="EI362" s="16"/>
      <c r="EJ362" s="16"/>
      <c r="EK362" s="17"/>
      <c r="EL362" s="17"/>
      <c r="EM362" s="16"/>
      <c r="EN362" s="19">
        <v>10</v>
      </c>
      <c r="EO362" s="17"/>
      <c r="EP362" s="17"/>
      <c r="EQ362" s="16"/>
      <c r="ER362" s="16"/>
      <c r="ES362" s="17"/>
      <c r="ET362" s="18">
        <v>120</v>
      </c>
      <c r="EU362" s="16"/>
      <c r="EV362" s="16"/>
      <c r="EW362" s="17"/>
      <c r="EX362" s="17"/>
      <c r="EY362" s="16"/>
      <c r="EZ362" s="16"/>
      <c r="FA362" s="17"/>
      <c r="FB362" s="17"/>
      <c r="FC362" s="16"/>
      <c r="FD362" s="16"/>
      <c r="FE362" s="17"/>
      <c r="FF362" s="17"/>
      <c r="FG362" s="11"/>
      <c r="GT362" s="11"/>
      <c r="IG362" s="11"/>
      <c r="JT362" s="11"/>
      <c r="LG362" s="11"/>
      <c r="MT362" s="11"/>
      <c r="OG362" s="11"/>
      <c r="PT362" s="11"/>
    </row>
    <row r="363" spans="1:436" ht="15.75" x14ac:dyDescent="0.25">
      <c r="C363" s="20" t="s">
        <v>346</v>
      </c>
      <c r="D363" s="21" t="s">
        <v>79</v>
      </c>
      <c r="H363" s="11"/>
      <c r="AU363" s="11"/>
      <c r="CH363" s="11"/>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7"/>
      <c r="DF363" s="17"/>
      <c r="DG363" s="16"/>
      <c r="DH363" s="16"/>
      <c r="DI363" s="18">
        <v>3</v>
      </c>
      <c r="DJ363" s="18">
        <v>2</v>
      </c>
      <c r="DK363" s="16"/>
      <c r="DL363" s="16"/>
      <c r="DM363" s="17"/>
      <c r="DN363" s="17"/>
      <c r="DO363" s="16"/>
      <c r="DP363" s="16"/>
      <c r="DQ363" s="17"/>
      <c r="DR363" s="17"/>
      <c r="DS363" s="16"/>
      <c r="DT363" s="16"/>
      <c r="DU363" s="17"/>
      <c r="DV363" s="17"/>
      <c r="DW363" s="16"/>
      <c r="DX363" s="16"/>
      <c r="DY363" s="17"/>
      <c r="DZ363" s="17"/>
      <c r="EA363" s="16"/>
      <c r="EB363" s="16"/>
      <c r="EC363" s="17"/>
      <c r="ED363" s="17"/>
      <c r="EE363" s="16"/>
      <c r="EF363" s="16"/>
      <c r="EG363" s="17"/>
      <c r="EH363" s="17"/>
      <c r="EI363" s="16"/>
      <c r="EJ363" s="16"/>
      <c r="EK363" s="17"/>
      <c r="EL363" s="17"/>
      <c r="EM363" s="16"/>
      <c r="EN363" s="16"/>
      <c r="EO363" s="17"/>
      <c r="EP363" s="17"/>
      <c r="EQ363" s="16"/>
      <c r="ER363" s="16"/>
      <c r="ES363" s="17"/>
      <c r="ET363" s="17"/>
      <c r="EU363" s="16"/>
      <c r="EV363" s="16"/>
      <c r="EW363" s="17"/>
      <c r="EX363" s="17"/>
      <c r="EY363" s="16"/>
      <c r="EZ363" s="16"/>
      <c r="FA363" s="17"/>
      <c r="FB363" s="17"/>
      <c r="FC363" s="16"/>
      <c r="FD363" s="16"/>
      <c r="FE363" s="17"/>
      <c r="FF363" s="17"/>
      <c r="FG363" s="11"/>
      <c r="GT363" s="11"/>
      <c r="IG363" s="11"/>
      <c r="JT363" s="11"/>
      <c r="LG363" s="11"/>
      <c r="MT363" s="11"/>
      <c r="OG363" s="11"/>
      <c r="PT363" s="11"/>
    </row>
    <row r="364" spans="1:436" ht="15.75" x14ac:dyDescent="0.25">
      <c r="C364" s="20" t="s">
        <v>347</v>
      </c>
      <c r="D364" s="21" t="s">
        <v>93</v>
      </c>
      <c r="H364" s="11"/>
      <c r="AU364" s="11"/>
      <c r="CH364" s="11"/>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7"/>
      <c r="DF364" s="17"/>
      <c r="DG364" s="16"/>
      <c r="DH364" s="16"/>
      <c r="DI364" s="17"/>
      <c r="DJ364" s="17"/>
      <c r="DK364" s="16"/>
      <c r="DL364" s="16"/>
      <c r="DM364" s="17"/>
      <c r="DN364" s="17"/>
      <c r="DO364" s="16"/>
      <c r="DP364" s="16"/>
      <c r="DQ364" s="17"/>
      <c r="DR364" s="17"/>
      <c r="DS364" s="16"/>
      <c r="DT364" s="16"/>
      <c r="DU364" s="17"/>
      <c r="DV364" s="17"/>
      <c r="DW364" s="16"/>
      <c r="DX364" s="16"/>
      <c r="DY364" s="17"/>
      <c r="DZ364" s="17"/>
      <c r="EA364" s="16"/>
      <c r="EB364" s="16"/>
      <c r="EC364" s="17"/>
      <c r="ED364" s="17"/>
      <c r="EE364" s="16"/>
      <c r="EF364" s="16"/>
      <c r="EG364" s="17"/>
      <c r="EH364" s="17"/>
      <c r="EI364" s="16"/>
      <c r="EJ364" s="16"/>
      <c r="EK364" s="17"/>
      <c r="EL364" s="17"/>
      <c r="EM364" s="16"/>
      <c r="EN364" s="16"/>
      <c r="EO364" s="17"/>
      <c r="EP364" s="17"/>
      <c r="EQ364" s="16"/>
      <c r="ER364" s="16"/>
      <c r="ES364" s="17"/>
      <c r="ET364" s="17"/>
      <c r="EU364" s="16"/>
      <c r="EV364" s="16"/>
      <c r="EW364" s="17"/>
      <c r="EX364" s="17"/>
      <c r="EY364" s="16"/>
      <c r="EZ364" s="16"/>
      <c r="FA364" s="17"/>
      <c r="FB364" s="17"/>
      <c r="FC364" s="16"/>
      <c r="FD364" s="16"/>
      <c r="FE364" s="17"/>
      <c r="FF364" s="17"/>
      <c r="FG364" s="11"/>
      <c r="GT364" s="11"/>
      <c r="IG364" s="11"/>
      <c r="JT364" s="11"/>
      <c r="LG364" s="11"/>
      <c r="MT364" s="11"/>
      <c r="OG364" s="11"/>
      <c r="PT364" s="11"/>
    </row>
    <row r="365" spans="1:436" ht="15.75" x14ac:dyDescent="0.25">
      <c r="C365" s="20" t="s">
        <v>348</v>
      </c>
      <c r="D365" s="21" t="s">
        <v>93</v>
      </c>
      <c r="H365" s="11"/>
      <c r="AU365" s="11"/>
      <c r="CH365" s="11"/>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7"/>
      <c r="DF365" s="17"/>
      <c r="DG365" s="16"/>
      <c r="DH365" s="16"/>
      <c r="DI365" s="17"/>
      <c r="DJ365" s="17"/>
      <c r="DK365" s="16"/>
      <c r="DL365" s="16"/>
      <c r="DM365" s="17"/>
      <c r="DN365" s="17"/>
      <c r="DO365" s="16"/>
      <c r="DP365" s="16"/>
      <c r="DQ365" s="17"/>
      <c r="DR365" s="17"/>
      <c r="DS365" s="16"/>
      <c r="DT365" s="16"/>
      <c r="DU365" s="17"/>
      <c r="DV365" s="17"/>
      <c r="DW365" s="16"/>
      <c r="DX365" s="16"/>
      <c r="DY365" s="17"/>
      <c r="DZ365" s="17"/>
      <c r="EA365" s="16"/>
      <c r="EB365" s="16"/>
      <c r="EC365" s="17"/>
      <c r="ED365" s="17"/>
      <c r="EE365" s="16"/>
      <c r="EF365" s="16"/>
      <c r="EG365" s="17"/>
      <c r="EH365" s="17"/>
      <c r="EI365" s="16"/>
      <c r="EJ365" s="16"/>
      <c r="EK365" s="17"/>
      <c r="EL365" s="17"/>
      <c r="EM365" s="16"/>
      <c r="EN365" s="16"/>
      <c r="EO365" s="17"/>
      <c r="EP365" s="17"/>
      <c r="EQ365" s="16"/>
      <c r="ER365" s="16"/>
      <c r="ES365" s="17"/>
      <c r="ET365" s="17"/>
      <c r="EU365" s="16"/>
      <c r="EV365" s="16"/>
      <c r="EW365" s="17"/>
      <c r="EX365" s="17"/>
      <c r="EY365" s="16"/>
      <c r="EZ365" s="16"/>
      <c r="FA365" s="17"/>
      <c r="FB365" s="17"/>
      <c r="FC365" s="16"/>
      <c r="FD365" s="16"/>
      <c r="FE365" s="17"/>
      <c r="FF365" s="17"/>
      <c r="FG365" s="11"/>
      <c r="GT365" s="11"/>
      <c r="IG365" s="11"/>
      <c r="JT365" s="11"/>
      <c r="LG365" s="11"/>
      <c r="MT365" s="11"/>
      <c r="OG365" s="11"/>
      <c r="PT365" s="11"/>
    </row>
    <row r="366" spans="1:436" ht="15.75" x14ac:dyDescent="0.25">
      <c r="C366" s="20" t="s">
        <v>349</v>
      </c>
      <c r="D366" s="21" t="s">
        <v>93</v>
      </c>
      <c r="H366" s="11"/>
      <c r="AU366" s="11"/>
      <c r="CH366" s="11"/>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7"/>
      <c r="DF366" s="17"/>
      <c r="DG366" s="16"/>
      <c r="DH366" s="16"/>
      <c r="DI366" s="17"/>
      <c r="DJ366" s="17"/>
      <c r="DK366" s="16"/>
      <c r="DL366" s="16"/>
      <c r="DM366" s="17"/>
      <c r="DN366" s="17"/>
      <c r="DO366" s="16"/>
      <c r="DP366" s="16"/>
      <c r="DQ366" s="17"/>
      <c r="DR366" s="17"/>
      <c r="DS366" s="16"/>
      <c r="DT366" s="16"/>
      <c r="DU366" s="17"/>
      <c r="DV366" s="17"/>
      <c r="DW366" s="16"/>
      <c r="DX366" s="16"/>
      <c r="DY366" s="17"/>
      <c r="DZ366" s="17"/>
      <c r="EA366" s="16"/>
      <c r="EB366" s="16"/>
      <c r="EC366" s="17"/>
      <c r="ED366" s="17"/>
      <c r="EE366" s="16"/>
      <c r="EF366" s="16"/>
      <c r="EG366" s="17"/>
      <c r="EH366" s="17"/>
      <c r="EI366" s="16"/>
      <c r="EJ366" s="16"/>
      <c r="EK366" s="17"/>
      <c r="EL366" s="17"/>
      <c r="EM366" s="16"/>
      <c r="EN366" s="16"/>
      <c r="EO366" s="17"/>
      <c r="EP366" s="17"/>
      <c r="EQ366" s="16"/>
      <c r="ER366" s="16"/>
      <c r="ES366" s="17"/>
      <c r="ET366" s="17"/>
      <c r="EU366" s="16"/>
      <c r="EV366" s="16"/>
      <c r="EW366" s="17"/>
      <c r="EX366" s="17"/>
      <c r="EY366" s="16"/>
      <c r="EZ366" s="16"/>
      <c r="FA366" s="17"/>
      <c r="FB366" s="17"/>
      <c r="FC366" s="16"/>
      <c r="FD366" s="16"/>
      <c r="FE366" s="17"/>
      <c r="FF366" s="17"/>
      <c r="FG366" s="11"/>
      <c r="GT366" s="11"/>
      <c r="IG366" s="11"/>
      <c r="JT366" s="11"/>
      <c r="LG366" s="11"/>
      <c r="MT366" s="11"/>
      <c r="OG366" s="11"/>
      <c r="PT366" s="11"/>
    </row>
    <row r="367" spans="1:436" ht="15.75" x14ac:dyDescent="0.25">
      <c r="C367" s="20" t="s">
        <v>350</v>
      </c>
      <c r="D367" s="21" t="s">
        <v>93</v>
      </c>
      <c r="H367" s="11"/>
      <c r="AU367" s="11"/>
      <c r="CH367" s="11"/>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7"/>
      <c r="DF367" s="17"/>
      <c r="DG367" s="16"/>
      <c r="DH367" s="16"/>
      <c r="DI367" s="17"/>
      <c r="DJ367" s="17"/>
      <c r="DK367" s="16"/>
      <c r="DL367" s="16"/>
      <c r="DM367" s="17"/>
      <c r="DN367" s="17"/>
      <c r="DO367" s="16"/>
      <c r="DP367" s="16"/>
      <c r="DQ367" s="17"/>
      <c r="DR367" s="17"/>
      <c r="DS367" s="16"/>
      <c r="DT367" s="16"/>
      <c r="DU367" s="17"/>
      <c r="DV367" s="17"/>
      <c r="DW367" s="16"/>
      <c r="DX367" s="16"/>
      <c r="DY367" s="17"/>
      <c r="DZ367" s="17"/>
      <c r="EA367" s="16"/>
      <c r="EB367" s="16"/>
      <c r="EC367" s="17"/>
      <c r="ED367" s="17"/>
      <c r="EE367" s="16"/>
      <c r="EF367" s="16"/>
      <c r="EG367" s="17"/>
      <c r="EH367" s="17"/>
      <c r="EI367" s="16"/>
      <c r="EJ367" s="16"/>
      <c r="EK367" s="17"/>
      <c r="EL367" s="17"/>
      <c r="EM367" s="16"/>
      <c r="EN367" s="16"/>
      <c r="EO367" s="17"/>
      <c r="EP367" s="17"/>
      <c r="EQ367" s="16"/>
      <c r="ER367" s="16"/>
      <c r="ES367" s="17"/>
      <c r="ET367" s="17"/>
      <c r="EU367" s="16"/>
      <c r="EV367" s="16"/>
      <c r="EW367" s="17"/>
      <c r="EX367" s="17"/>
      <c r="EY367" s="16"/>
      <c r="EZ367" s="16"/>
      <c r="FA367" s="17"/>
      <c r="FB367" s="17"/>
      <c r="FC367" s="16"/>
      <c r="FD367" s="16"/>
      <c r="FE367" s="17"/>
      <c r="FF367" s="17"/>
      <c r="FG367" s="11"/>
      <c r="GT367" s="11"/>
      <c r="IG367" s="11"/>
      <c r="JT367" s="11"/>
      <c r="LG367" s="11"/>
      <c r="MT367" s="11"/>
      <c r="OG367" s="11"/>
      <c r="PT367" s="11"/>
    </row>
    <row r="368" spans="1:436" ht="15.75" x14ac:dyDescent="0.25">
      <c r="C368" s="20" t="s">
        <v>351</v>
      </c>
      <c r="D368" s="21" t="s">
        <v>93</v>
      </c>
      <c r="H368" s="11"/>
      <c r="AU368" s="11"/>
      <c r="CH368" s="11"/>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7"/>
      <c r="DF368" s="17"/>
      <c r="DG368" s="16"/>
      <c r="DH368" s="16"/>
      <c r="DI368" s="17"/>
      <c r="DJ368" s="17"/>
      <c r="DK368" s="16"/>
      <c r="DL368" s="16"/>
      <c r="DM368" s="17"/>
      <c r="DN368" s="17"/>
      <c r="DO368" s="16"/>
      <c r="DP368" s="16"/>
      <c r="DQ368" s="17"/>
      <c r="DR368" s="17"/>
      <c r="DS368" s="16"/>
      <c r="DT368" s="16"/>
      <c r="DU368" s="17"/>
      <c r="DV368" s="17"/>
      <c r="DW368" s="16"/>
      <c r="DX368" s="16"/>
      <c r="DY368" s="17"/>
      <c r="DZ368" s="17"/>
      <c r="EA368" s="16"/>
      <c r="EB368" s="16"/>
      <c r="EC368" s="17"/>
      <c r="ED368" s="17"/>
      <c r="EE368" s="16"/>
      <c r="EF368" s="16"/>
      <c r="EG368" s="17"/>
      <c r="EH368" s="17"/>
      <c r="EI368" s="16"/>
      <c r="EJ368" s="16"/>
      <c r="EK368" s="17"/>
      <c r="EL368" s="17"/>
      <c r="EM368" s="16"/>
      <c r="EN368" s="16"/>
      <c r="EO368" s="17"/>
      <c r="EP368" s="17"/>
      <c r="EQ368" s="16"/>
      <c r="ER368" s="16"/>
      <c r="ES368" s="17"/>
      <c r="ET368" s="17"/>
      <c r="EU368" s="16"/>
      <c r="EV368" s="16"/>
      <c r="EW368" s="17"/>
      <c r="EX368" s="17"/>
      <c r="EY368" s="16"/>
      <c r="EZ368" s="16"/>
      <c r="FA368" s="17"/>
      <c r="FB368" s="17"/>
      <c r="FC368" s="16"/>
      <c r="FD368" s="16"/>
      <c r="FE368" s="17"/>
      <c r="FF368" s="17"/>
      <c r="FG368" s="11"/>
      <c r="GT368" s="11"/>
      <c r="IG368" s="11"/>
      <c r="JT368" s="11"/>
      <c r="LG368" s="11"/>
      <c r="MT368" s="11"/>
      <c r="OG368" s="11"/>
      <c r="PT368" s="11"/>
    </row>
    <row r="369" spans="3:436" ht="15.75" x14ac:dyDescent="0.25">
      <c r="C369" s="20" t="s">
        <v>352</v>
      </c>
      <c r="D369" s="21" t="s">
        <v>90</v>
      </c>
      <c r="H369" s="11"/>
      <c r="AU369" s="11"/>
      <c r="CH369" s="11"/>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7"/>
      <c r="DF369" s="17"/>
      <c r="DG369" s="16"/>
      <c r="DH369" s="16"/>
      <c r="DI369" s="17"/>
      <c r="DJ369" s="17"/>
      <c r="DK369" s="16"/>
      <c r="DL369" s="16"/>
      <c r="DM369" s="17"/>
      <c r="DN369" s="17"/>
      <c r="DO369" s="16"/>
      <c r="DP369" s="16"/>
      <c r="DQ369" s="17"/>
      <c r="DR369" s="17"/>
      <c r="DS369" s="16"/>
      <c r="DT369" s="16"/>
      <c r="DU369" s="17"/>
      <c r="DV369" s="17"/>
      <c r="DW369" s="16"/>
      <c r="DX369" s="16"/>
      <c r="DY369" s="17"/>
      <c r="DZ369" s="17"/>
      <c r="EA369" s="16"/>
      <c r="EB369" s="16"/>
      <c r="EC369" s="17"/>
      <c r="ED369" s="17"/>
      <c r="EE369" s="16"/>
      <c r="EF369" s="16"/>
      <c r="EG369" s="17"/>
      <c r="EH369" s="17"/>
      <c r="EI369" s="16"/>
      <c r="EJ369" s="16"/>
      <c r="EK369" s="17"/>
      <c r="EL369" s="17"/>
      <c r="EM369" s="16"/>
      <c r="EN369" s="16"/>
      <c r="EO369" s="17"/>
      <c r="EP369" s="17"/>
      <c r="EQ369" s="16"/>
      <c r="ER369" s="16"/>
      <c r="ES369" s="17"/>
      <c r="ET369" s="17"/>
      <c r="EU369" s="16"/>
      <c r="EV369" s="16"/>
      <c r="EW369" s="17"/>
      <c r="EX369" s="17"/>
      <c r="EY369" s="16"/>
      <c r="EZ369" s="16"/>
      <c r="FA369" s="17"/>
      <c r="FB369" s="17"/>
      <c r="FC369" s="16"/>
      <c r="FD369" s="16"/>
      <c r="FE369" s="17"/>
      <c r="FF369" s="17"/>
      <c r="FG369" s="11"/>
      <c r="GT369" s="11"/>
      <c r="IG369" s="11"/>
      <c r="JT369" s="11"/>
      <c r="LG369" s="11"/>
      <c r="MT369" s="11"/>
      <c r="OG369" s="11"/>
      <c r="PT369" s="11"/>
    </row>
    <row r="370" spans="3:436" ht="15.75" x14ac:dyDescent="0.25">
      <c r="C370" s="20" t="s">
        <v>353</v>
      </c>
      <c r="D370" s="21" t="s">
        <v>93</v>
      </c>
      <c r="H370" s="11"/>
      <c r="AU370" s="11"/>
      <c r="CH370" s="11"/>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7"/>
      <c r="DF370" s="17"/>
      <c r="DG370" s="16"/>
      <c r="DH370" s="16"/>
      <c r="DI370" s="17"/>
      <c r="DJ370" s="17"/>
      <c r="DK370" s="16"/>
      <c r="DL370" s="16"/>
      <c r="DM370" s="17"/>
      <c r="DN370" s="17"/>
      <c r="DO370" s="16"/>
      <c r="DP370" s="16"/>
      <c r="DQ370" s="17"/>
      <c r="DR370" s="17"/>
      <c r="DS370" s="16"/>
      <c r="DT370" s="16"/>
      <c r="DU370" s="17"/>
      <c r="DV370" s="17"/>
      <c r="DW370" s="16"/>
      <c r="DX370" s="16"/>
      <c r="DY370" s="17"/>
      <c r="DZ370" s="17"/>
      <c r="EA370" s="16"/>
      <c r="EB370" s="16"/>
      <c r="EC370" s="17"/>
      <c r="ED370" s="17"/>
      <c r="EE370" s="16"/>
      <c r="EF370" s="16"/>
      <c r="EG370" s="17"/>
      <c r="EH370" s="17"/>
      <c r="EI370" s="16"/>
      <c r="EJ370" s="16"/>
      <c r="EK370" s="17"/>
      <c r="EL370" s="17"/>
      <c r="EM370" s="16"/>
      <c r="EN370" s="16"/>
      <c r="EO370" s="17"/>
      <c r="EP370" s="17"/>
      <c r="EQ370" s="16"/>
      <c r="ER370" s="16"/>
      <c r="ES370" s="17"/>
      <c r="ET370" s="17"/>
      <c r="EU370" s="16"/>
      <c r="EV370" s="16"/>
      <c r="EW370" s="18">
        <v>1</v>
      </c>
      <c r="EX370" s="18">
        <v>5</v>
      </c>
      <c r="EY370" s="16"/>
      <c r="EZ370" s="16"/>
      <c r="FA370" s="17"/>
      <c r="FB370" s="17"/>
      <c r="FC370" s="16"/>
      <c r="FD370" s="16"/>
      <c r="FE370" s="17"/>
      <c r="FF370" s="17"/>
      <c r="FG370" s="11"/>
      <c r="GT370" s="11"/>
      <c r="IG370" s="11"/>
      <c r="JT370" s="11"/>
      <c r="LG370" s="11"/>
      <c r="MT370" s="11"/>
      <c r="OG370" s="11"/>
      <c r="PT370" s="11"/>
    </row>
    <row r="371" spans="3:436" ht="15.75" x14ac:dyDescent="0.25">
      <c r="C371" s="20" t="s">
        <v>353</v>
      </c>
      <c r="D371" s="21" t="s">
        <v>82</v>
      </c>
      <c r="H371" s="11"/>
      <c r="AU371" s="11"/>
      <c r="CH371" s="11"/>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7"/>
      <c r="DF371" s="17"/>
      <c r="DG371" s="16"/>
      <c r="DH371" s="16"/>
      <c r="DI371" s="17"/>
      <c r="DJ371" s="17"/>
      <c r="DK371" s="16"/>
      <c r="DL371" s="16"/>
      <c r="DM371" s="17"/>
      <c r="DN371" s="17"/>
      <c r="DO371" s="16"/>
      <c r="DP371" s="16"/>
      <c r="DQ371" s="17"/>
      <c r="DR371" s="17"/>
      <c r="DS371" s="16"/>
      <c r="DT371" s="16"/>
      <c r="DU371" s="17"/>
      <c r="DV371" s="17"/>
      <c r="DW371" s="16"/>
      <c r="DX371" s="16"/>
      <c r="DY371" s="17"/>
      <c r="DZ371" s="17"/>
      <c r="EA371" s="16"/>
      <c r="EB371" s="16"/>
      <c r="EC371" s="17"/>
      <c r="ED371" s="17"/>
      <c r="EE371" s="16"/>
      <c r="EF371" s="16"/>
      <c r="EG371" s="17"/>
      <c r="EH371" s="17"/>
      <c r="EI371" s="16"/>
      <c r="EJ371" s="16"/>
      <c r="EK371" s="17"/>
      <c r="EL371" s="17"/>
      <c r="EM371" s="16"/>
      <c r="EN371" s="16"/>
      <c r="EO371" s="17"/>
      <c r="EP371" s="17"/>
      <c r="EQ371" s="16"/>
      <c r="ER371" s="16"/>
      <c r="ES371" s="18">
        <v>3</v>
      </c>
      <c r="ET371" s="18">
        <v>5</v>
      </c>
      <c r="EU371" s="16"/>
      <c r="EV371" s="16"/>
      <c r="EW371" s="17"/>
      <c r="EX371" s="17"/>
      <c r="EY371" s="16"/>
      <c r="EZ371" s="16"/>
      <c r="FA371" s="17"/>
      <c r="FB371" s="17"/>
      <c r="FC371" s="16"/>
      <c r="FD371" s="16"/>
      <c r="FE371" s="17"/>
      <c r="FF371" s="17"/>
      <c r="FG371" s="11"/>
      <c r="GT371" s="11"/>
      <c r="IG371" s="11"/>
      <c r="JT371" s="11"/>
      <c r="LG371" s="11"/>
      <c r="MT371" s="11"/>
      <c r="OG371" s="11"/>
      <c r="PT371" s="11"/>
    </row>
    <row r="372" spans="3:436" ht="15.75" x14ac:dyDescent="0.25">
      <c r="C372" s="20" t="s">
        <v>354</v>
      </c>
      <c r="D372" s="21" t="s">
        <v>93</v>
      </c>
      <c r="H372" s="11"/>
      <c r="AU372" s="11"/>
      <c r="CH372" s="11"/>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7"/>
      <c r="DF372" s="17"/>
      <c r="DG372" s="16"/>
      <c r="DH372" s="16"/>
      <c r="DI372" s="17"/>
      <c r="DJ372" s="17"/>
      <c r="DK372" s="16"/>
      <c r="DL372" s="16"/>
      <c r="DM372" s="17"/>
      <c r="DN372" s="17"/>
      <c r="DO372" s="16"/>
      <c r="DP372" s="16"/>
      <c r="DQ372" s="17"/>
      <c r="DR372" s="17"/>
      <c r="DS372" s="16"/>
      <c r="DT372" s="16"/>
      <c r="DU372" s="17"/>
      <c r="DV372" s="17"/>
      <c r="DW372" s="16"/>
      <c r="DX372" s="16"/>
      <c r="DY372" s="17"/>
      <c r="DZ372" s="17"/>
      <c r="EA372" s="16"/>
      <c r="EB372" s="16"/>
      <c r="EC372" s="17"/>
      <c r="ED372" s="17"/>
      <c r="EE372" s="16"/>
      <c r="EF372" s="16"/>
      <c r="EG372" s="17"/>
      <c r="EH372" s="17"/>
      <c r="EI372" s="16"/>
      <c r="EJ372" s="16"/>
      <c r="EK372" s="17"/>
      <c r="EL372" s="17"/>
      <c r="EM372" s="16"/>
      <c r="EN372" s="16"/>
      <c r="EO372" s="17"/>
      <c r="EP372" s="17"/>
      <c r="EQ372" s="16"/>
      <c r="ER372" s="16"/>
      <c r="ES372" s="17"/>
      <c r="ET372" s="17"/>
      <c r="EU372" s="16"/>
      <c r="EV372" s="16"/>
      <c r="EW372" s="18">
        <v>2</v>
      </c>
      <c r="EX372" s="18">
        <v>5</v>
      </c>
      <c r="EY372" s="16"/>
      <c r="EZ372" s="16"/>
      <c r="FA372" s="17"/>
      <c r="FB372" s="17"/>
      <c r="FC372" s="16"/>
      <c r="FD372" s="16"/>
      <c r="FE372" s="17"/>
      <c r="FF372" s="17"/>
      <c r="FG372" s="11"/>
      <c r="GT372" s="11"/>
      <c r="IG372" s="11"/>
      <c r="JT372" s="11"/>
      <c r="LG372" s="11"/>
      <c r="MT372" s="11"/>
      <c r="OG372" s="11"/>
      <c r="PT372" s="11"/>
    </row>
    <row r="373" spans="3:436" ht="15.75" x14ac:dyDescent="0.25">
      <c r="C373" s="20" t="s">
        <v>354</v>
      </c>
      <c r="D373" s="21" t="s">
        <v>93</v>
      </c>
      <c r="H373" s="11"/>
      <c r="AU373" s="11"/>
      <c r="CH373" s="11"/>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7"/>
      <c r="DF373" s="17"/>
      <c r="DG373" s="16"/>
      <c r="DH373" s="16"/>
      <c r="DI373" s="17"/>
      <c r="DJ373" s="17"/>
      <c r="DK373" s="16"/>
      <c r="DL373" s="16"/>
      <c r="DM373" s="17"/>
      <c r="DN373" s="17"/>
      <c r="DO373" s="16"/>
      <c r="DP373" s="16"/>
      <c r="DQ373" s="17"/>
      <c r="DR373" s="17"/>
      <c r="DS373" s="16"/>
      <c r="DT373" s="16"/>
      <c r="DU373" s="17"/>
      <c r="DV373" s="17"/>
      <c r="DW373" s="16"/>
      <c r="DX373" s="16"/>
      <c r="DY373" s="17"/>
      <c r="DZ373" s="17"/>
      <c r="EA373" s="16"/>
      <c r="EB373" s="16"/>
      <c r="EC373" s="17"/>
      <c r="ED373" s="17"/>
      <c r="EE373" s="16"/>
      <c r="EF373" s="16"/>
      <c r="EG373" s="17"/>
      <c r="EH373" s="17"/>
      <c r="EI373" s="16"/>
      <c r="EJ373" s="16"/>
      <c r="EK373" s="17"/>
      <c r="EL373" s="17"/>
      <c r="EM373" s="16"/>
      <c r="EN373" s="16"/>
      <c r="EO373" s="17"/>
      <c r="EP373" s="17"/>
      <c r="EQ373" s="16"/>
      <c r="ER373" s="16"/>
      <c r="ES373" s="17"/>
      <c r="ET373" s="17"/>
      <c r="EU373" s="16"/>
      <c r="EV373" s="16"/>
      <c r="EW373" s="18">
        <v>1</v>
      </c>
      <c r="EX373" s="18">
        <v>7</v>
      </c>
      <c r="EY373" s="16"/>
      <c r="EZ373" s="16"/>
      <c r="FA373" s="17"/>
      <c r="FB373" s="17"/>
      <c r="FC373" s="16"/>
      <c r="FD373" s="16"/>
      <c r="FE373" s="17"/>
      <c r="FF373" s="17"/>
      <c r="FG373" s="11"/>
      <c r="GT373" s="11"/>
      <c r="IG373" s="11"/>
      <c r="JT373" s="11"/>
      <c r="LG373" s="11"/>
      <c r="MT373" s="11"/>
      <c r="OG373" s="11"/>
      <c r="PT373" s="11"/>
    </row>
    <row r="374" spans="3:436" ht="15.75" x14ac:dyDescent="0.25">
      <c r="C374" s="20" t="s">
        <v>355</v>
      </c>
      <c r="D374" s="21" t="s">
        <v>82</v>
      </c>
      <c r="H374" s="11"/>
      <c r="AU374" s="11"/>
      <c r="CH374" s="11"/>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7"/>
      <c r="DF374" s="17"/>
      <c r="DG374" s="16"/>
      <c r="DH374" s="16"/>
      <c r="DI374" s="17"/>
      <c r="DJ374" s="17"/>
      <c r="DK374" s="16"/>
      <c r="DL374" s="16"/>
      <c r="DM374" s="17"/>
      <c r="DN374" s="17"/>
      <c r="DO374" s="16"/>
      <c r="DP374" s="16"/>
      <c r="DQ374" s="17"/>
      <c r="DR374" s="17"/>
      <c r="DS374" s="16"/>
      <c r="DT374" s="16"/>
      <c r="DU374" s="17"/>
      <c r="DV374" s="17"/>
      <c r="DW374" s="16"/>
      <c r="DX374" s="16"/>
      <c r="DY374" s="17"/>
      <c r="DZ374" s="17"/>
      <c r="EA374" s="16"/>
      <c r="EB374" s="16"/>
      <c r="EC374" s="17"/>
      <c r="ED374" s="17"/>
      <c r="EE374" s="16"/>
      <c r="EF374" s="16"/>
      <c r="EG374" s="17"/>
      <c r="EH374" s="17"/>
      <c r="EI374" s="16"/>
      <c r="EJ374" s="16"/>
      <c r="EK374" s="17"/>
      <c r="EL374" s="17"/>
      <c r="EM374" s="16"/>
      <c r="EN374" s="16"/>
      <c r="EO374" s="17"/>
      <c r="EP374" s="17"/>
      <c r="EQ374" s="16"/>
      <c r="ER374" s="16"/>
      <c r="ES374" s="18">
        <v>7</v>
      </c>
      <c r="ET374" s="18">
        <v>20</v>
      </c>
      <c r="EU374" s="16"/>
      <c r="EV374" s="16"/>
      <c r="EW374" s="17"/>
      <c r="EX374" s="17"/>
      <c r="EY374" s="16"/>
      <c r="EZ374" s="16"/>
      <c r="FA374" s="17"/>
      <c r="FB374" s="17"/>
      <c r="FC374" s="16"/>
      <c r="FD374" s="16"/>
      <c r="FE374" s="17"/>
      <c r="FF374" s="17"/>
      <c r="FG374" s="11"/>
      <c r="GT374" s="11"/>
      <c r="IG374" s="11"/>
      <c r="JT374" s="11"/>
      <c r="LG374" s="11"/>
      <c r="MT374" s="11"/>
      <c r="OG374" s="11"/>
      <c r="PT374" s="11"/>
    </row>
    <row r="375" spans="3:436" ht="15.75" x14ac:dyDescent="0.25">
      <c r="C375" s="20" t="s">
        <v>355</v>
      </c>
      <c r="D375" s="21" t="s">
        <v>93</v>
      </c>
      <c r="H375" s="11"/>
      <c r="AU375" s="11"/>
      <c r="CH375" s="11"/>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7"/>
      <c r="DF375" s="17"/>
      <c r="DG375" s="16"/>
      <c r="DH375" s="16"/>
      <c r="DI375" s="17"/>
      <c r="DJ375" s="17"/>
      <c r="DK375" s="16"/>
      <c r="DL375" s="16"/>
      <c r="DM375" s="17"/>
      <c r="DN375" s="17"/>
      <c r="DO375" s="16"/>
      <c r="DP375" s="16"/>
      <c r="DQ375" s="17"/>
      <c r="DR375" s="17"/>
      <c r="DS375" s="16"/>
      <c r="DT375" s="16"/>
      <c r="DU375" s="17"/>
      <c r="DV375" s="17"/>
      <c r="DW375" s="16"/>
      <c r="DX375" s="16"/>
      <c r="DY375" s="17"/>
      <c r="DZ375" s="17"/>
      <c r="EA375" s="16"/>
      <c r="EB375" s="16"/>
      <c r="EC375" s="17"/>
      <c r="ED375" s="17"/>
      <c r="EE375" s="16"/>
      <c r="EF375" s="16"/>
      <c r="EG375" s="17"/>
      <c r="EH375" s="17"/>
      <c r="EI375" s="16"/>
      <c r="EJ375" s="16"/>
      <c r="EK375" s="17"/>
      <c r="EL375" s="17"/>
      <c r="EM375" s="16"/>
      <c r="EN375" s="16"/>
      <c r="EO375" s="17"/>
      <c r="EP375" s="17"/>
      <c r="EQ375" s="16"/>
      <c r="ER375" s="16"/>
      <c r="ES375" s="17"/>
      <c r="ET375" s="17"/>
      <c r="EU375" s="16"/>
      <c r="EV375" s="16"/>
      <c r="EW375" s="18">
        <v>3</v>
      </c>
      <c r="EX375" s="18">
        <v>50</v>
      </c>
      <c r="EY375" s="16"/>
      <c r="EZ375" s="16"/>
      <c r="FA375" s="17"/>
      <c r="FB375" s="17"/>
      <c r="FC375" s="16"/>
      <c r="FD375" s="16"/>
      <c r="FE375" s="17"/>
      <c r="FF375" s="17"/>
      <c r="FG375" s="11"/>
      <c r="GT375" s="11"/>
      <c r="IG375" s="11"/>
      <c r="JT375" s="11"/>
      <c r="LG375" s="11"/>
      <c r="MT375" s="11"/>
      <c r="OG375" s="11"/>
      <c r="PT375" s="11"/>
    </row>
    <row r="376" spans="3:436" ht="15.75" x14ac:dyDescent="0.25">
      <c r="C376" s="20" t="s">
        <v>356</v>
      </c>
      <c r="D376" s="21" t="s">
        <v>93</v>
      </c>
      <c r="H376" s="11"/>
      <c r="AU376" s="11"/>
      <c r="CH376" s="11"/>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7"/>
      <c r="DF376" s="17"/>
      <c r="DG376" s="16"/>
      <c r="DH376" s="16"/>
      <c r="DI376" s="17"/>
      <c r="DJ376" s="17"/>
      <c r="DK376" s="16"/>
      <c r="DL376" s="16"/>
      <c r="DM376" s="17"/>
      <c r="DN376" s="17"/>
      <c r="DO376" s="16"/>
      <c r="DP376" s="16"/>
      <c r="DQ376" s="17"/>
      <c r="DR376" s="17"/>
      <c r="DS376" s="16"/>
      <c r="DT376" s="16"/>
      <c r="DU376" s="17"/>
      <c r="DV376" s="17"/>
      <c r="DW376" s="16"/>
      <c r="DX376" s="16"/>
      <c r="DY376" s="17"/>
      <c r="DZ376" s="17"/>
      <c r="EA376" s="16"/>
      <c r="EB376" s="16"/>
      <c r="EC376" s="17"/>
      <c r="ED376" s="17"/>
      <c r="EE376" s="16"/>
      <c r="EF376" s="16"/>
      <c r="EG376" s="17"/>
      <c r="EH376" s="17"/>
      <c r="EI376" s="16"/>
      <c r="EJ376" s="16"/>
      <c r="EK376" s="17"/>
      <c r="EL376" s="17"/>
      <c r="EM376" s="16"/>
      <c r="EN376" s="16"/>
      <c r="EO376" s="17"/>
      <c r="EP376" s="17"/>
      <c r="EQ376" s="16"/>
      <c r="ER376" s="16"/>
      <c r="ES376" s="17"/>
      <c r="ET376" s="17"/>
      <c r="EU376" s="16"/>
      <c r="EV376" s="16"/>
      <c r="EW376" s="17"/>
      <c r="EX376" s="17"/>
      <c r="EY376" s="16"/>
      <c r="EZ376" s="16"/>
      <c r="FA376" s="17"/>
      <c r="FB376" s="17"/>
      <c r="FC376" s="16"/>
      <c r="FD376" s="16"/>
      <c r="FE376" s="17"/>
      <c r="FF376" s="17"/>
      <c r="FG376" s="11"/>
      <c r="GT376" s="11"/>
      <c r="IG376" s="11"/>
      <c r="JT376" s="11"/>
      <c r="LG376" s="11"/>
      <c r="MT376" s="11"/>
      <c r="OG376" s="11"/>
      <c r="PT376" s="11"/>
    </row>
    <row r="377" spans="3:436" ht="15.75" x14ac:dyDescent="0.25">
      <c r="C377" s="20" t="s">
        <v>357</v>
      </c>
      <c r="D377" s="21" t="s">
        <v>93</v>
      </c>
      <c r="H377" s="11"/>
      <c r="AU377" s="11"/>
      <c r="CH377" s="11"/>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7"/>
      <c r="DF377" s="17"/>
      <c r="DG377" s="16"/>
      <c r="DH377" s="16"/>
      <c r="DI377" s="17"/>
      <c r="DJ377" s="17"/>
      <c r="DK377" s="16"/>
      <c r="DL377" s="16"/>
      <c r="DM377" s="17"/>
      <c r="DN377" s="17"/>
      <c r="DO377" s="16"/>
      <c r="DP377" s="16"/>
      <c r="DQ377" s="17"/>
      <c r="DR377" s="17"/>
      <c r="DS377" s="16"/>
      <c r="DT377" s="16"/>
      <c r="DU377" s="17"/>
      <c r="DV377" s="17"/>
      <c r="DW377" s="16"/>
      <c r="DX377" s="16"/>
      <c r="DY377" s="17"/>
      <c r="DZ377" s="17"/>
      <c r="EA377" s="16"/>
      <c r="EB377" s="16"/>
      <c r="EC377" s="17"/>
      <c r="ED377" s="17"/>
      <c r="EE377" s="16"/>
      <c r="EF377" s="16"/>
      <c r="EG377" s="17"/>
      <c r="EH377" s="17"/>
      <c r="EI377" s="16"/>
      <c r="EJ377" s="16"/>
      <c r="EK377" s="17"/>
      <c r="EL377" s="17"/>
      <c r="EM377" s="16"/>
      <c r="EN377" s="16"/>
      <c r="EO377" s="17"/>
      <c r="EP377" s="17"/>
      <c r="EQ377" s="16"/>
      <c r="ER377" s="16"/>
      <c r="ES377" s="17"/>
      <c r="ET377" s="17"/>
      <c r="EU377" s="16"/>
      <c r="EV377" s="16"/>
      <c r="EW377" s="18">
        <v>3</v>
      </c>
      <c r="EX377" s="18">
        <v>4</v>
      </c>
      <c r="EY377" s="16"/>
      <c r="EZ377" s="16"/>
      <c r="FA377" s="17"/>
      <c r="FB377" s="17"/>
      <c r="FC377" s="16"/>
      <c r="FD377" s="16"/>
      <c r="FE377" s="17"/>
      <c r="FF377" s="17"/>
      <c r="FG377" s="11"/>
      <c r="GT377" s="11"/>
      <c r="IG377" s="11"/>
      <c r="JT377" s="11"/>
      <c r="LG377" s="11"/>
      <c r="MT377" s="11"/>
      <c r="OG377" s="11"/>
      <c r="PT377" s="11"/>
    </row>
    <row r="378" spans="3:436" ht="15.75" x14ac:dyDescent="0.25">
      <c r="C378" s="20" t="s">
        <v>358</v>
      </c>
      <c r="D378" s="21" t="s">
        <v>93</v>
      </c>
      <c r="H378" s="11"/>
      <c r="AU378" s="11"/>
      <c r="CH378" s="11"/>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7"/>
      <c r="DF378" s="17"/>
      <c r="DG378" s="16"/>
      <c r="DH378" s="16"/>
      <c r="DI378" s="17"/>
      <c r="DJ378" s="17"/>
      <c r="DK378" s="16"/>
      <c r="DL378" s="16"/>
      <c r="DM378" s="17"/>
      <c r="DN378" s="17"/>
      <c r="DO378" s="16"/>
      <c r="DP378" s="16"/>
      <c r="DQ378" s="17"/>
      <c r="DR378" s="17"/>
      <c r="DS378" s="16"/>
      <c r="DT378" s="16"/>
      <c r="DU378" s="17"/>
      <c r="DV378" s="17"/>
      <c r="DW378" s="16"/>
      <c r="DX378" s="16"/>
      <c r="DY378" s="17"/>
      <c r="DZ378" s="17"/>
      <c r="EA378" s="16"/>
      <c r="EB378" s="16"/>
      <c r="EC378" s="17"/>
      <c r="ED378" s="17"/>
      <c r="EE378" s="16"/>
      <c r="EF378" s="16"/>
      <c r="EG378" s="17"/>
      <c r="EH378" s="17"/>
      <c r="EI378" s="16"/>
      <c r="EJ378" s="16"/>
      <c r="EK378" s="17"/>
      <c r="EL378" s="17"/>
      <c r="EM378" s="16"/>
      <c r="EN378" s="16"/>
      <c r="EO378" s="17"/>
      <c r="EP378" s="17"/>
      <c r="EQ378" s="16"/>
      <c r="ER378" s="16"/>
      <c r="ES378" s="17"/>
      <c r="ET378" s="17"/>
      <c r="EU378" s="16"/>
      <c r="EV378" s="16"/>
      <c r="EW378" s="18">
        <v>1</v>
      </c>
      <c r="EX378" s="18">
        <v>2</v>
      </c>
      <c r="EY378" s="16"/>
      <c r="EZ378" s="16"/>
      <c r="FA378" s="17"/>
      <c r="FB378" s="17"/>
      <c r="FC378" s="16"/>
      <c r="FD378" s="16"/>
      <c r="FE378" s="17"/>
      <c r="FF378" s="17"/>
      <c r="FG378" s="11"/>
      <c r="GT378" s="11"/>
      <c r="IG378" s="11"/>
      <c r="JT378" s="11"/>
      <c r="LG378" s="11"/>
      <c r="MT378" s="11"/>
      <c r="OG378" s="11"/>
      <c r="PT378" s="11"/>
    </row>
    <row r="379" spans="3:436" ht="15.75" x14ac:dyDescent="0.25">
      <c r="C379" s="20" t="s">
        <v>347</v>
      </c>
      <c r="D379" s="21" t="s">
        <v>93</v>
      </c>
      <c r="H379" s="11"/>
      <c r="AU379" s="11"/>
      <c r="CH379" s="11"/>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7"/>
      <c r="DF379" s="17"/>
      <c r="DG379" s="16"/>
      <c r="DH379" s="16"/>
      <c r="DI379" s="17"/>
      <c r="DJ379" s="17"/>
      <c r="DK379" s="16"/>
      <c r="DL379" s="16"/>
      <c r="DM379" s="17"/>
      <c r="DN379" s="17"/>
      <c r="DO379" s="16"/>
      <c r="DP379" s="16"/>
      <c r="DQ379" s="17"/>
      <c r="DR379" s="17"/>
      <c r="DS379" s="16"/>
      <c r="DT379" s="16"/>
      <c r="DU379" s="17"/>
      <c r="DV379" s="17"/>
      <c r="DW379" s="16"/>
      <c r="DX379" s="16"/>
      <c r="DY379" s="17"/>
      <c r="DZ379" s="17"/>
      <c r="EA379" s="16"/>
      <c r="EB379" s="16"/>
      <c r="EC379" s="17"/>
      <c r="ED379" s="17"/>
      <c r="EE379" s="16"/>
      <c r="EF379" s="16"/>
      <c r="EG379" s="17"/>
      <c r="EH379" s="17"/>
      <c r="EI379" s="16"/>
      <c r="EJ379" s="16"/>
      <c r="EK379" s="17"/>
      <c r="EL379" s="17"/>
      <c r="EM379" s="16"/>
      <c r="EN379" s="16"/>
      <c r="EO379" s="17"/>
      <c r="EP379" s="17"/>
      <c r="EQ379" s="16"/>
      <c r="ER379" s="16"/>
      <c r="ES379" s="17"/>
      <c r="ET379" s="17"/>
      <c r="EU379" s="16"/>
      <c r="EV379" s="16"/>
      <c r="EW379" s="18">
        <v>2</v>
      </c>
      <c r="EX379" s="18">
        <v>3</v>
      </c>
      <c r="EY379" s="16"/>
      <c r="EZ379" s="16"/>
      <c r="FA379" s="17"/>
      <c r="FB379" s="17"/>
      <c r="FC379" s="16"/>
      <c r="FD379" s="16"/>
      <c r="FE379" s="17"/>
      <c r="FF379" s="17"/>
      <c r="FG379" s="11"/>
      <c r="GT379" s="11"/>
      <c r="IG379" s="11"/>
      <c r="JT379" s="11"/>
      <c r="LG379" s="11"/>
      <c r="MT379" s="11"/>
      <c r="OG379" s="11"/>
      <c r="PT379" s="11"/>
    </row>
    <row r="380" spans="3:436" ht="15.75" x14ac:dyDescent="0.25">
      <c r="C380" s="20" t="s">
        <v>359</v>
      </c>
      <c r="D380" s="21" t="s">
        <v>93</v>
      </c>
      <c r="H380" s="11"/>
      <c r="AU380" s="11"/>
      <c r="CH380" s="11"/>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7"/>
      <c r="DF380" s="17"/>
      <c r="DG380" s="16"/>
      <c r="DH380" s="16"/>
      <c r="DI380" s="17"/>
      <c r="DJ380" s="17"/>
      <c r="DK380" s="16"/>
      <c r="DL380" s="16"/>
      <c r="DM380" s="17"/>
      <c r="DN380" s="17"/>
      <c r="DO380" s="16"/>
      <c r="DP380" s="16"/>
      <c r="DQ380" s="17"/>
      <c r="DR380" s="17"/>
      <c r="DS380" s="16"/>
      <c r="DT380" s="16"/>
      <c r="DU380" s="17"/>
      <c r="DV380" s="17"/>
      <c r="DW380" s="16"/>
      <c r="DX380" s="16"/>
      <c r="DY380" s="17"/>
      <c r="DZ380" s="17"/>
      <c r="EA380" s="16"/>
      <c r="EB380" s="16"/>
      <c r="EC380" s="17"/>
      <c r="ED380" s="17"/>
      <c r="EE380" s="16"/>
      <c r="EF380" s="16"/>
      <c r="EG380" s="17"/>
      <c r="EH380" s="17"/>
      <c r="EI380" s="16"/>
      <c r="EJ380" s="16"/>
      <c r="EK380" s="17"/>
      <c r="EL380" s="17"/>
      <c r="EM380" s="16"/>
      <c r="EN380" s="16"/>
      <c r="EO380" s="17"/>
      <c r="EP380" s="17"/>
      <c r="EQ380" s="16"/>
      <c r="ER380" s="16"/>
      <c r="ES380" s="17"/>
      <c r="ET380" s="17"/>
      <c r="EU380" s="16"/>
      <c r="EV380" s="16"/>
      <c r="EW380" s="17"/>
      <c r="EX380" s="17"/>
      <c r="EY380" s="16"/>
      <c r="EZ380" s="16"/>
      <c r="FA380" s="17"/>
      <c r="FB380" s="17"/>
      <c r="FC380" s="16"/>
      <c r="FD380" s="16"/>
      <c r="FE380" s="17"/>
      <c r="FF380" s="17"/>
      <c r="FG380" s="11"/>
      <c r="GT380" s="11"/>
      <c r="IG380" s="11"/>
      <c r="JT380" s="11"/>
      <c r="LG380" s="11"/>
      <c r="MT380" s="11"/>
      <c r="OG380" s="11"/>
      <c r="PT380" s="11"/>
    </row>
    <row r="381" spans="3:436" ht="15.75" x14ac:dyDescent="0.25">
      <c r="C381" s="20" t="s">
        <v>360</v>
      </c>
      <c r="D381" s="21" t="s">
        <v>93</v>
      </c>
      <c r="H381" s="11"/>
      <c r="AU381" s="11"/>
      <c r="CH381" s="11"/>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7"/>
      <c r="DF381" s="17"/>
      <c r="DG381" s="16"/>
      <c r="DH381" s="16"/>
      <c r="DI381" s="17"/>
      <c r="DJ381" s="17"/>
      <c r="DK381" s="16"/>
      <c r="DL381" s="16"/>
      <c r="DM381" s="17"/>
      <c r="DN381" s="17"/>
      <c r="DO381" s="16"/>
      <c r="DP381" s="16"/>
      <c r="DQ381" s="17"/>
      <c r="DR381" s="17"/>
      <c r="DS381" s="16"/>
      <c r="DT381" s="16"/>
      <c r="DU381" s="17"/>
      <c r="DV381" s="17"/>
      <c r="DW381" s="16"/>
      <c r="DX381" s="16"/>
      <c r="DY381" s="17"/>
      <c r="DZ381" s="17"/>
      <c r="EA381" s="16"/>
      <c r="EB381" s="16"/>
      <c r="EC381" s="17"/>
      <c r="ED381" s="17"/>
      <c r="EE381" s="16"/>
      <c r="EF381" s="16"/>
      <c r="EG381" s="17"/>
      <c r="EH381" s="17"/>
      <c r="EI381" s="16"/>
      <c r="EJ381" s="16"/>
      <c r="EK381" s="17"/>
      <c r="EL381" s="17"/>
      <c r="EM381" s="16"/>
      <c r="EN381" s="16"/>
      <c r="EO381" s="17"/>
      <c r="EP381" s="17"/>
      <c r="EQ381" s="16"/>
      <c r="ER381" s="16"/>
      <c r="ES381" s="17"/>
      <c r="ET381" s="17"/>
      <c r="EU381" s="16"/>
      <c r="EV381" s="16"/>
      <c r="EW381" s="18">
        <v>1</v>
      </c>
      <c r="EX381" s="18">
        <v>2</v>
      </c>
      <c r="EY381" s="16"/>
      <c r="EZ381" s="16"/>
      <c r="FA381" s="17"/>
      <c r="FB381" s="17"/>
      <c r="FC381" s="16"/>
      <c r="FD381" s="16"/>
      <c r="FE381" s="17"/>
      <c r="FF381" s="17"/>
      <c r="FG381" s="11"/>
      <c r="GT381" s="11"/>
      <c r="IG381" s="11"/>
      <c r="JT381" s="11"/>
      <c r="LG381" s="11"/>
      <c r="MT381" s="11"/>
      <c r="OG381" s="11"/>
      <c r="PT381" s="11"/>
    </row>
    <row r="382" spans="3:436" ht="15.75" x14ac:dyDescent="0.25">
      <c r="C382" s="20" t="s">
        <v>361</v>
      </c>
      <c r="D382" s="21" t="s">
        <v>93</v>
      </c>
      <c r="H382" s="11"/>
      <c r="AU382" s="11"/>
      <c r="CH382" s="11"/>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7"/>
      <c r="DF382" s="17"/>
      <c r="DG382" s="16"/>
      <c r="DH382" s="16"/>
      <c r="DI382" s="17"/>
      <c r="DJ382" s="17"/>
      <c r="DK382" s="16"/>
      <c r="DL382" s="16"/>
      <c r="DM382" s="17"/>
      <c r="DN382" s="17"/>
      <c r="DO382" s="16"/>
      <c r="DP382" s="16"/>
      <c r="DQ382" s="17"/>
      <c r="DR382" s="17"/>
      <c r="DS382" s="16"/>
      <c r="DT382" s="16"/>
      <c r="DU382" s="17"/>
      <c r="DV382" s="17"/>
      <c r="DW382" s="16"/>
      <c r="DX382" s="16"/>
      <c r="DY382" s="17"/>
      <c r="DZ382" s="17"/>
      <c r="EA382" s="16"/>
      <c r="EB382" s="16"/>
      <c r="EC382" s="17"/>
      <c r="ED382" s="17"/>
      <c r="EE382" s="16"/>
      <c r="EF382" s="16"/>
      <c r="EG382" s="17"/>
      <c r="EH382" s="17"/>
      <c r="EI382" s="16"/>
      <c r="EJ382" s="16"/>
      <c r="EK382" s="17"/>
      <c r="EL382" s="17"/>
      <c r="EM382" s="16"/>
      <c r="EN382" s="16"/>
      <c r="EO382" s="17"/>
      <c r="EP382" s="17"/>
      <c r="EQ382" s="16"/>
      <c r="ER382" s="16"/>
      <c r="ES382" s="17"/>
      <c r="ET382" s="17"/>
      <c r="EU382" s="16"/>
      <c r="EV382" s="16"/>
      <c r="EW382" s="18">
        <v>3</v>
      </c>
      <c r="EX382" s="18">
        <v>5</v>
      </c>
      <c r="EY382" s="16"/>
      <c r="EZ382" s="16"/>
      <c r="FA382" s="17"/>
      <c r="FB382" s="17"/>
      <c r="FC382" s="16"/>
      <c r="FD382" s="16"/>
      <c r="FE382" s="17"/>
      <c r="FF382" s="17"/>
      <c r="FG382" s="11"/>
      <c r="GT382" s="11"/>
      <c r="IG382" s="11"/>
      <c r="JT382" s="11"/>
      <c r="LG382" s="11"/>
      <c r="MT382" s="11"/>
      <c r="OG382" s="11"/>
      <c r="PT382" s="11"/>
    </row>
    <row r="383" spans="3:436" ht="15.75" x14ac:dyDescent="0.25">
      <c r="C383" s="20" t="s">
        <v>362</v>
      </c>
      <c r="D383" s="21" t="s">
        <v>93</v>
      </c>
      <c r="H383" s="11"/>
      <c r="AU383" s="11"/>
      <c r="CH383" s="11"/>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7"/>
      <c r="DF383" s="17"/>
      <c r="DG383" s="16"/>
      <c r="DH383" s="16"/>
      <c r="DI383" s="17"/>
      <c r="DJ383" s="17"/>
      <c r="DK383" s="16"/>
      <c r="DL383" s="16"/>
      <c r="DM383" s="17"/>
      <c r="DN383" s="17"/>
      <c r="DO383" s="16"/>
      <c r="DP383" s="16"/>
      <c r="DQ383" s="17"/>
      <c r="DR383" s="17"/>
      <c r="DS383" s="16"/>
      <c r="DT383" s="16"/>
      <c r="DU383" s="17"/>
      <c r="DV383" s="17"/>
      <c r="DW383" s="16"/>
      <c r="DX383" s="16"/>
      <c r="DY383" s="17"/>
      <c r="DZ383" s="17"/>
      <c r="EA383" s="16"/>
      <c r="EB383" s="16"/>
      <c r="EC383" s="17"/>
      <c r="ED383" s="17"/>
      <c r="EE383" s="16"/>
      <c r="EF383" s="16"/>
      <c r="EG383" s="17"/>
      <c r="EH383" s="17"/>
      <c r="EI383" s="16"/>
      <c r="EJ383" s="16"/>
      <c r="EK383" s="17"/>
      <c r="EL383" s="17"/>
      <c r="EM383" s="16"/>
      <c r="EN383" s="16"/>
      <c r="EO383" s="17"/>
      <c r="EP383" s="17"/>
      <c r="EQ383" s="16"/>
      <c r="ER383" s="16"/>
      <c r="ES383" s="17"/>
      <c r="ET383" s="17"/>
      <c r="EU383" s="16"/>
      <c r="EV383" s="16"/>
      <c r="EW383" s="18">
        <v>4</v>
      </c>
      <c r="EX383" s="18">
        <v>6</v>
      </c>
      <c r="EY383" s="16"/>
      <c r="EZ383" s="16"/>
      <c r="FA383" s="17"/>
      <c r="FB383" s="17"/>
      <c r="FC383" s="16"/>
      <c r="FD383" s="16"/>
      <c r="FE383" s="17"/>
      <c r="FF383" s="17"/>
      <c r="FG383" s="11"/>
      <c r="GT383" s="11"/>
      <c r="IG383" s="11"/>
      <c r="JT383" s="11"/>
      <c r="LG383" s="11"/>
      <c r="MT383" s="11"/>
      <c r="OG383" s="11"/>
      <c r="PT383" s="11"/>
    </row>
    <row r="384" spans="3:436" ht="15.75" x14ac:dyDescent="0.25">
      <c r="C384" s="20" t="s">
        <v>363</v>
      </c>
      <c r="D384" s="21" t="s">
        <v>93</v>
      </c>
      <c r="H384" s="11"/>
      <c r="AU384" s="11"/>
      <c r="CH384" s="11"/>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7"/>
      <c r="DF384" s="17"/>
      <c r="DG384" s="16"/>
      <c r="DH384" s="16"/>
      <c r="DI384" s="17"/>
      <c r="DJ384" s="17"/>
      <c r="DK384" s="16"/>
      <c r="DL384" s="16"/>
      <c r="DM384" s="17"/>
      <c r="DN384" s="17"/>
      <c r="DO384" s="16"/>
      <c r="DP384" s="16"/>
      <c r="DQ384" s="17"/>
      <c r="DR384" s="17"/>
      <c r="DS384" s="16"/>
      <c r="DT384" s="16"/>
      <c r="DU384" s="17"/>
      <c r="DV384" s="17"/>
      <c r="DW384" s="16"/>
      <c r="DX384" s="16"/>
      <c r="DY384" s="17"/>
      <c r="DZ384" s="17"/>
      <c r="EA384" s="16"/>
      <c r="EB384" s="16"/>
      <c r="EC384" s="17"/>
      <c r="ED384" s="17"/>
      <c r="EE384" s="16"/>
      <c r="EF384" s="16"/>
      <c r="EG384" s="17"/>
      <c r="EH384" s="17"/>
      <c r="EI384" s="16"/>
      <c r="EJ384" s="16"/>
      <c r="EK384" s="17"/>
      <c r="EL384" s="17"/>
      <c r="EM384" s="16"/>
      <c r="EN384" s="16"/>
      <c r="EO384" s="17"/>
      <c r="EP384" s="17"/>
      <c r="EQ384" s="16"/>
      <c r="ER384" s="16"/>
      <c r="ES384" s="17"/>
      <c r="ET384" s="17"/>
      <c r="EU384" s="16"/>
      <c r="EV384" s="16"/>
      <c r="EW384" s="18">
        <v>4</v>
      </c>
      <c r="EX384" s="18">
        <v>6</v>
      </c>
      <c r="EY384" s="16"/>
      <c r="EZ384" s="16"/>
      <c r="FA384" s="17"/>
      <c r="FB384" s="17"/>
      <c r="FC384" s="16"/>
      <c r="FD384" s="16"/>
      <c r="FE384" s="17"/>
      <c r="FF384" s="17"/>
      <c r="FG384" s="11"/>
      <c r="GT384" s="11"/>
      <c r="IG384" s="11"/>
      <c r="JT384" s="11"/>
      <c r="LG384" s="11"/>
      <c r="MT384" s="11"/>
      <c r="OG384" s="11"/>
      <c r="PT384" s="11"/>
    </row>
    <row r="385" spans="3:436" ht="15.75" x14ac:dyDescent="0.25">
      <c r="C385" s="20" t="s">
        <v>364</v>
      </c>
      <c r="D385" s="21" t="s">
        <v>93</v>
      </c>
      <c r="H385" s="11"/>
      <c r="AU385" s="11"/>
      <c r="CH385" s="11"/>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7"/>
      <c r="DF385" s="17"/>
      <c r="DG385" s="16"/>
      <c r="DH385" s="16"/>
      <c r="DI385" s="17"/>
      <c r="DJ385" s="17"/>
      <c r="DK385" s="16"/>
      <c r="DL385" s="16"/>
      <c r="DM385" s="17"/>
      <c r="DN385" s="17"/>
      <c r="DO385" s="16"/>
      <c r="DP385" s="16"/>
      <c r="DQ385" s="17"/>
      <c r="DR385" s="17"/>
      <c r="DS385" s="16"/>
      <c r="DT385" s="16"/>
      <c r="DU385" s="17"/>
      <c r="DV385" s="17"/>
      <c r="DW385" s="16"/>
      <c r="DX385" s="16"/>
      <c r="DY385" s="17"/>
      <c r="DZ385" s="17"/>
      <c r="EA385" s="16"/>
      <c r="EB385" s="16"/>
      <c r="EC385" s="17"/>
      <c r="ED385" s="17"/>
      <c r="EE385" s="16"/>
      <c r="EF385" s="16"/>
      <c r="EG385" s="17"/>
      <c r="EH385" s="17"/>
      <c r="EI385" s="16"/>
      <c r="EJ385" s="16"/>
      <c r="EK385" s="17"/>
      <c r="EL385" s="17"/>
      <c r="EM385" s="16"/>
      <c r="EN385" s="16"/>
      <c r="EO385" s="17"/>
      <c r="EP385" s="17"/>
      <c r="EQ385" s="16"/>
      <c r="ER385" s="16"/>
      <c r="ES385" s="17"/>
      <c r="ET385" s="17"/>
      <c r="EU385" s="16"/>
      <c r="EV385" s="16"/>
      <c r="EW385" s="17"/>
      <c r="EX385" s="17"/>
      <c r="EY385" s="16"/>
      <c r="EZ385" s="16"/>
      <c r="FA385" s="17"/>
      <c r="FB385" s="17"/>
      <c r="FC385" s="16"/>
      <c r="FD385" s="16"/>
      <c r="FE385" s="17"/>
      <c r="FF385" s="17"/>
      <c r="FG385" s="11"/>
      <c r="GT385" s="11"/>
      <c r="IG385" s="11"/>
      <c r="JT385" s="11"/>
      <c r="LG385" s="11"/>
      <c r="MT385" s="11"/>
      <c r="OG385" s="11"/>
      <c r="PT385" s="11"/>
    </row>
    <row r="386" spans="3:436" ht="15.75" x14ac:dyDescent="0.25">
      <c r="C386" s="20" t="s">
        <v>365</v>
      </c>
      <c r="D386" s="21" t="s">
        <v>93</v>
      </c>
      <c r="H386" s="11"/>
      <c r="AU386" s="11"/>
      <c r="CH386" s="11"/>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7"/>
      <c r="DF386" s="17"/>
      <c r="DG386" s="16"/>
      <c r="DH386" s="16"/>
      <c r="DI386" s="17"/>
      <c r="DJ386" s="17"/>
      <c r="DK386" s="16"/>
      <c r="DL386" s="16"/>
      <c r="DM386" s="17"/>
      <c r="DN386" s="17"/>
      <c r="DO386" s="16"/>
      <c r="DP386" s="16"/>
      <c r="DQ386" s="17"/>
      <c r="DR386" s="17"/>
      <c r="DS386" s="16"/>
      <c r="DT386" s="16"/>
      <c r="DU386" s="17"/>
      <c r="DV386" s="17"/>
      <c r="DW386" s="16"/>
      <c r="DX386" s="16"/>
      <c r="DY386" s="17"/>
      <c r="DZ386" s="17"/>
      <c r="EA386" s="16"/>
      <c r="EB386" s="16"/>
      <c r="EC386" s="17"/>
      <c r="ED386" s="17"/>
      <c r="EE386" s="16"/>
      <c r="EF386" s="16"/>
      <c r="EG386" s="17"/>
      <c r="EH386" s="17"/>
      <c r="EI386" s="16"/>
      <c r="EJ386" s="16"/>
      <c r="EK386" s="17"/>
      <c r="EL386" s="17"/>
      <c r="EM386" s="16"/>
      <c r="EN386" s="16"/>
      <c r="EO386" s="17"/>
      <c r="EP386" s="17"/>
      <c r="EQ386" s="16"/>
      <c r="ER386" s="16"/>
      <c r="ES386" s="17"/>
      <c r="ET386" s="17"/>
      <c r="EU386" s="16"/>
      <c r="EV386" s="16"/>
      <c r="EW386" s="18">
        <v>2</v>
      </c>
      <c r="EX386" s="18">
        <v>3</v>
      </c>
      <c r="EY386" s="16"/>
      <c r="EZ386" s="16"/>
      <c r="FA386" s="17"/>
      <c r="FB386" s="17"/>
      <c r="FC386" s="16"/>
      <c r="FD386" s="16"/>
      <c r="FE386" s="17"/>
      <c r="FF386" s="17"/>
      <c r="FG386" s="11"/>
      <c r="GT386" s="11"/>
      <c r="IG386" s="11"/>
      <c r="JT386" s="11"/>
      <c r="LG386" s="11"/>
      <c r="MT386" s="11"/>
      <c r="OG386" s="11"/>
      <c r="PT386" s="11"/>
    </row>
    <row r="387" spans="3:436" ht="15.75" x14ac:dyDescent="0.25">
      <c r="C387" s="20" t="s">
        <v>366</v>
      </c>
      <c r="D387" s="21" t="s">
        <v>93</v>
      </c>
      <c r="H387" s="11"/>
      <c r="AU387" s="11"/>
      <c r="CH387" s="11"/>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7"/>
      <c r="DF387" s="17"/>
      <c r="DG387" s="16"/>
      <c r="DH387" s="16"/>
      <c r="DI387" s="17"/>
      <c r="DJ387" s="17"/>
      <c r="DK387" s="16"/>
      <c r="DL387" s="16"/>
      <c r="DM387" s="17"/>
      <c r="DN387" s="17"/>
      <c r="DO387" s="16"/>
      <c r="DP387" s="16"/>
      <c r="DQ387" s="17"/>
      <c r="DR387" s="17"/>
      <c r="DS387" s="16"/>
      <c r="DT387" s="16"/>
      <c r="DU387" s="17"/>
      <c r="DV387" s="17"/>
      <c r="DW387" s="16"/>
      <c r="DX387" s="16"/>
      <c r="DY387" s="17"/>
      <c r="DZ387" s="17"/>
      <c r="EA387" s="16"/>
      <c r="EB387" s="16"/>
      <c r="EC387" s="17"/>
      <c r="ED387" s="17"/>
      <c r="EE387" s="16"/>
      <c r="EF387" s="16"/>
      <c r="EG387" s="17"/>
      <c r="EH387" s="17"/>
      <c r="EI387" s="16"/>
      <c r="EJ387" s="16"/>
      <c r="EK387" s="17"/>
      <c r="EL387" s="17"/>
      <c r="EM387" s="16"/>
      <c r="EN387" s="16"/>
      <c r="EO387" s="17"/>
      <c r="EP387" s="17"/>
      <c r="EQ387" s="16"/>
      <c r="ER387" s="16"/>
      <c r="ES387" s="17"/>
      <c r="ET387" s="17"/>
      <c r="EU387" s="16"/>
      <c r="EV387" s="16"/>
      <c r="EW387" s="17"/>
      <c r="EX387" s="17"/>
      <c r="EY387" s="16"/>
      <c r="EZ387" s="16"/>
      <c r="FA387" s="17"/>
      <c r="FB387" s="17"/>
      <c r="FC387" s="16"/>
      <c r="FD387" s="16"/>
      <c r="FE387" s="17"/>
      <c r="FF387" s="17"/>
      <c r="FG387" s="11"/>
      <c r="GT387" s="11"/>
      <c r="IG387" s="11"/>
      <c r="JT387" s="11"/>
      <c r="LG387" s="11"/>
      <c r="MT387" s="11"/>
      <c r="OG387" s="11"/>
      <c r="PT387" s="11"/>
    </row>
    <row r="388" spans="3:436" ht="15.75" x14ac:dyDescent="0.25">
      <c r="C388" s="20" t="s">
        <v>367</v>
      </c>
      <c r="D388" s="21" t="s">
        <v>93</v>
      </c>
      <c r="H388" s="11"/>
      <c r="AU388" s="11"/>
      <c r="CH388" s="11"/>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7"/>
      <c r="DF388" s="17"/>
      <c r="DG388" s="16"/>
      <c r="DH388" s="16"/>
      <c r="DI388" s="17"/>
      <c r="DJ388" s="17"/>
      <c r="DK388" s="16"/>
      <c r="DL388" s="16"/>
      <c r="DM388" s="17"/>
      <c r="DN388" s="17"/>
      <c r="DO388" s="16"/>
      <c r="DP388" s="16"/>
      <c r="DQ388" s="17"/>
      <c r="DR388" s="17"/>
      <c r="DS388" s="16"/>
      <c r="DT388" s="16"/>
      <c r="DU388" s="17"/>
      <c r="DV388" s="17"/>
      <c r="DW388" s="16"/>
      <c r="DX388" s="16"/>
      <c r="DY388" s="17"/>
      <c r="DZ388" s="17"/>
      <c r="EA388" s="16"/>
      <c r="EB388" s="16"/>
      <c r="EC388" s="17"/>
      <c r="ED388" s="17"/>
      <c r="EE388" s="16"/>
      <c r="EF388" s="16"/>
      <c r="EG388" s="17"/>
      <c r="EH388" s="17"/>
      <c r="EI388" s="16"/>
      <c r="EJ388" s="16"/>
      <c r="EK388" s="17"/>
      <c r="EL388" s="17"/>
      <c r="EM388" s="16"/>
      <c r="EN388" s="16"/>
      <c r="EO388" s="17"/>
      <c r="EP388" s="17"/>
      <c r="EQ388" s="16"/>
      <c r="ER388" s="16"/>
      <c r="ES388" s="17"/>
      <c r="ET388" s="17"/>
      <c r="EU388" s="16"/>
      <c r="EV388" s="16"/>
      <c r="EW388" s="18">
        <v>1</v>
      </c>
      <c r="EX388" s="18">
        <v>2</v>
      </c>
      <c r="EY388" s="16"/>
      <c r="EZ388" s="16"/>
      <c r="FA388" s="17"/>
      <c r="FB388" s="17"/>
      <c r="FC388" s="16"/>
      <c r="FD388" s="16"/>
      <c r="FE388" s="17"/>
      <c r="FF388" s="17"/>
      <c r="FG388" s="11"/>
      <c r="GT388" s="11"/>
      <c r="IG388" s="11"/>
      <c r="JT388" s="11"/>
      <c r="LG388" s="11"/>
      <c r="MT388" s="11"/>
      <c r="OG388" s="11"/>
      <c r="PT388" s="11"/>
    </row>
    <row r="389" spans="3:436" ht="25.5" x14ac:dyDescent="0.25">
      <c r="C389" s="20" t="s">
        <v>368</v>
      </c>
      <c r="D389" s="21" t="s">
        <v>93</v>
      </c>
      <c r="H389" s="11"/>
      <c r="AU389" s="11"/>
      <c r="CH389" s="11"/>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7"/>
      <c r="DF389" s="17"/>
      <c r="DG389" s="16"/>
      <c r="DH389" s="16"/>
      <c r="DI389" s="17"/>
      <c r="DJ389" s="17"/>
      <c r="DK389" s="16"/>
      <c r="DL389" s="16"/>
      <c r="DM389" s="17"/>
      <c r="DN389" s="17"/>
      <c r="DO389" s="16"/>
      <c r="DP389" s="16"/>
      <c r="DQ389" s="17"/>
      <c r="DR389" s="17"/>
      <c r="DS389" s="16"/>
      <c r="DT389" s="16"/>
      <c r="DU389" s="17"/>
      <c r="DV389" s="17"/>
      <c r="DW389" s="16"/>
      <c r="DX389" s="16"/>
      <c r="DY389" s="17"/>
      <c r="DZ389" s="17"/>
      <c r="EA389" s="16"/>
      <c r="EB389" s="16"/>
      <c r="EC389" s="17"/>
      <c r="ED389" s="17"/>
      <c r="EE389" s="16"/>
      <c r="EF389" s="16"/>
      <c r="EG389" s="17"/>
      <c r="EH389" s="17"/>
      <c r="EI389" s="16"/>
      <c r="EJ389" s="16"/>
      <c r="EK389" s="17"/>
      <c r="EL389" s="17"/>
      <c r="EM389" s="16"/>
      <c r="EN389" s="16"/>
      <c r="EO389" s="17"/>
      <c r="EP389" s="17"/>
      <c r="EQ389" s="16"/>
      <c r="ER389" s="16"/>
      <c r="ES389" s="17"/>
      <c r="ET389" s="17"/>
      <c r="EU389" s="16"/>
      <c r="EV389" s="16"/>
      <c r="EW389" s="18">
        <v>3</v>
      </c>
      <c r="EX389" s="18">
        <v>4</v>
      </c>
      <c r="EY389" s="16"/>
      <c r="EZ389" s="16"/>
      <c r="FA389" s="17"/>
      <c r="FB389" s="17"/>
      <c r="FC389" s="16"/>
      <c r="FD389" s="16"/>
      <c r="FE389" s="17"/>
      <c r="FF389" s="17"/>
      <c r="FG389" s="11"/>
      <c r="GT389" s="11"/>
      <c r="IG389" s="11"/>
      <c r="JT389" s="11"/>
      <c r="LG389" s="11"/>
      <c r="MT389" s="11"/>
      <c r="OG389" s="11"/>
      <c r="PT389" s="11"/>
    </row>
    <row r="390" spans="3:436" ht="15.75" x14ac:dyDescent="0.25">
      <c r="C390" s="20" t="s">
        <v>369</v>
      </c>
      <c r="D390" s="21" t="s">
        <v>93</v>
      </c>
      <c r="H390" s="11"/>
      <c r="AU390" s="11"/>
      <c r="CH390" s="11"/>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7"/>
      <c r="DF390" s="17"/>
      <c r="DG390" s="16"/>
      <c r="DH390" s="16"/>
      <c r="DI390" s="17"/>
      <c r="DJ390" s="17"/>
      <c r="DK390" s="16"/>
      <c r="DL390" s="16"/>
      <c r="DM390" s="17"/>
      <c r="DN390" s="17"/>
      <c r="DO390" s="16"/>
      <c r="DP390" s="16"/>
      <c r="DQ390" s="17"/>
      <c r="DR390" s="17"/>
      <c r="DS390" s="16"/>
      <c r="DT390" s="16"/>
      <c r="DU390" s="17"/>
      <c r="DV390" s="17"/>
      <c r="DW390" s="16"/>
      <c r="DX390" s="16"/>
      <c r="DY390" s="17"/>
      <c r="DZ390" s="17"/>
      <c r="EA390" s="16"/>
      <c r="EB390" s="16"/>
      <c r="EC390" s="17"/>
      <c r="ED390" s="17"/>
      <c r="EE390" s="16"/>
      <c r="EF390" s="16"/>
      <c r="EG390" s="17"/>
      <c r="EH390" s="17"/>
      <c r="EI390" s="16"/>
      <c r="EJ390" s="16"/>
      <c r="EK390" s="17"/>
      <c r="EL390" s="17"/>
      <c r="EM390" s="16"/>
      <c r="EN390" s="16"/>
      <c r="EO390" s="17"/>
      <c r="EP390" s="17"/>
      <c r="EQ390" s="16"/>
      <c r="ER390" s="16"/>
      <c r="ES390" s="17"/>
      <c r="ET390" s="17"/>
      <c r="EU390" s="16"/>
      <c r="EV390" s="16"/>
      <c r="EW390" s="18">
        <v>2</v>
      </c>
      <c r="EX390" s="18">
        <v>3</v>
      </c>
      <c r="EY390" s="16"/>
      <c r="EZ390" s="16"/>
      <c r="FA390" s="17"/>
      <c r="FB390" s="17"/>
      <c r="FC390" s="16"/>
      <c r="FD390" s="16"/>
      <c r="FE390" s="17"/>
      <c r="FF390" s="17"/>
      <c r="FG390" s="11"/>
      <c r="GT390" s="11"/>
      <c r="IG390" s="11"/>
      <c r="JT390" s="11"/>
      <c r="LG390" s="11"/>
      <c r="MT390" s="11"/>
      <c r="OG390" s="11"/>
      <c r="PT390" s="11"/>
    </row>
    <row r="391" spans="3:436" ht="15.75" x14ac:dyDescent="0.25">
      <c r="C391" s="20" t="s">
        <v>370</v>
      </c>
      <c r="D391" s="21" t="s">
        <v>93</v>
      </c>
      <c r="H391" s="11"/>
      <c r="AU391" s="11"/>
      <c r="CH391" s="11"/>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7"/>
      <c r="DF391" s="17"/>
      <c r="DG391" s="16"/>
      <c r="DH391" s="16"/>
      <c r="DI391" s="17"/>
      <c r="DJ391" s="17"/>
      <c r="DK391" s="16"/>
      <c r="DL391" s="16"/>
      <c r="DM391" s="17"/>
      <c r="DN391" s="17"/>
      <c r="DO391" s="16"/>
      <c r="DP391" s="16"/>
      <c r="DQ391" s="17"/>
      <c r="DR391" s="17"/>
      <c r="DS391" s="16"/>
      <c r="DT391" s="16"/>
      <c r="DU391" s="17"/>
      <c r="DV391" s="17"/>
      <c r="DW391" s="16"/>
      <c r="DX391" s="16"/>
      <c r="DY391" s="17"/>
      <c r="DZ391" s="17"/>
      <c r="EA391" s="16"/>
      <c r="EB391" s="16"/>
      <c r="EC391" s="17"/>
      <c r="ED391" s="17"/>
      <c r="EE391" s="16"/>
      <c r="EF391" s="16"/>
      <c r="EG391" s="17"/>
      <c r="EH391" s="17"/>
      <c r="EI391" s="16"/>
      <c r="EJ391" s="16"/>
      <c r="EK391" s="17"/>
      <c r="EL391" s="17"/>
      <c r="EM391" s="16"/>
      <c r="EN391" s="16"/>
      <c r="EO391" s="17"/>
      <c r="EP391" s="17"/>
      <c r="EQ391" s="16"/>
      <c r="ER391" s="16"/>
      <c r="ES391" s="17"/>
      <c r="ET391" s="17"/>
      <c r="EU391" s="16"/>
      <c r="EV391" s="16"/>
      <c r="EW391" s="18">
        <v>2</v>
      </c>
      <c r="EX391" s="18">
        <v>3</v>
      </c>
      <c r="EY391" s="16"/>
      <c r="EZ391" s="16"/>
      <c r="FA391" s="17"/>
      <c r="FB391" s="17"/>
      <c r="FC391" s="16"/>
      <c r="FD391" s="16"/>
      <c r="FE391" s="17"/>
      <c r="FF391" s="17"/>
      <c r="FG391" s="11"/>
      <c r="GT391" s="11"/>
      <c r="IG391" s="11"/>
      <c r="JT391" s="11"/>
      <c r="LG391" s="11"/>
      <c r="MT391" s="11"/>
      <c r="OG391" s="11"/>
      <c r="PT391" s="11"/>
    </row>
    <row r="392" spans="3:436" ht="15.75" x14ac:dyDescent="0.25">
      <c r="C392" s="20" t="s">
        <v>371</v>
      </c>
      <c r="D392" s="21" t="s">
        <v>93</v>
      </c>
      <c r="H392" s="11"/>
      <c r="AU392" s="11"/>
      <c r="CH392" s="11"/>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7"/>
      <c r="DF392" s="17"/>
      <c r="DG392" s="16"/>
      <c r="DH392" s="16"/>
      <c r="DI392" s="17"/>
      <c r="DJ392" s="17"/>
      <c r="DK392" s="16"/>
      <c r="DL392" s="16"/>
      <c r="DM392" s="17"/>
      <c r="DN392" s="17"/>
      <c r="DO392" s="16"/>
      <c r="DP392" s="16"/>
      <c r="DQ392" s="17"/>
      <c r="DR392" s="17"/>
      <c r="DS392" s="16"/>
      <c r="DT392" s="16"/>
      <c r="DU392" s="17"/>
      <c r="DV392" s="17"/>
      <c r="DW392" s="16"/>
      <c r="DX392" s="16"/>
      <c r="DY392" s="17"/>
      <c r="DZ392" s="17"/>
      <c r="EA392" s="16"/>
      <c r="EB392" s="16"/>
      <c r="EC392" s="17"/>
      <c r="ED392" s="17"/>
      <c r="EE392" s="16"/>
      <c r="EF392" s="16"/>
      <c r="EG392" s="17"/>
      <c r="EH392" s="17"/>
      <c r="EI392" s="16"/>
      <c r="EJ392" s="16"/>
      <c r="EK392" s="17"/>
      <c r="EL392" s="17"/>
      <c r="EM392" s="16"/>
      <c r="EN392" s="16"/>
      <c r="EO392" s="17"/>
      <c r="EP392" s="17"/>
      <c r="EQ392" s="16"/>
      <c r="ER392" s="16"/>
      <c r="ES392" s="17"/>
      <c r="ET392" s="17"/>
      <c r="EU392" s="16"/>
      <c r="EV392" s="16"/>
      <c r="EW392" s="18">
        <v>2</v>
      </c>
      <c r="EX392" s="18">
        <v>3</v>
      </c>
      <c r="EY392" s="16"/>
      <c r="EZ392" s="16"/>
      <c r="FA392" s="17"/>
      <c r="FB392" s="17"/>
      <c r="FC392" s="16"/>
      <c r="FD392" s="16"/>
      <c r="FE392" s="17"/>
      <c r="FF392" s="17"/>
      <c r="FG392" s="11"/>
      <c r="GT392" s="11"/>
      <c r="IG392" s="11"/>
      <c r="JT392" s="11"/>
      <c r="LG392" s="11"/>
      <c r="MT392" s="11"/>
      <c r="OG392" s="11"/>
      <c r="PT392" s="11"/>
    </row>
    <row r="393" spans="3:436" ht="15.75" x14ac:dyDescent="0.25">
      <c r="C393" s="20" t="s">
        <v>372</v>
      </c>
      <c r="D393" s="21" t="s">
        <v>93</v>
      </c>
      <c r="H393" s="11"/>
      <c r="AU393" s="11"/>
      <c r="CH393" s="11"/>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7"/>
      <c r="DF393" s="17"/>
      <c r="DG393" s="16"/>
      <c r="DH393" s="16"/>
      <c r="DI393" s="17"/>
      <c r="DJ393" s="17"/>
      <c r="DK393" s="16"/>
      <c r="DL393" s="16"/>
      <c r="DM393" s="17"/>
      <c r="DN393" s="17"/>
      <c r="DO393" s="16"/>
      <c r="DP393" s="16"/>
      <c r="DQ393" s="17"/>
      <c r="DR393" s="17"/>
      <c r="DS393" s="16"/>
      <c r="DT393" s="16"/>
      <c r="DU393" s="17"/>
      <c r="DV393" s="17"/>
      <c r="DW393" s="16"/>
      <c r="DX393" s="16"/>
      <c r="DY393" s="17"/>
      <c r="DZ393" s="17"/>
      <c r="EA393" s="16"/>
      <c r="EB393" s="16"/>
      <c r="EC393" s="17"/>
      <c r="ED393" s="17"/>
      <c r="EE393" s="16"/>
      <c r="EF393" s="16"/>
      <c r="EG393" s="17"/>
      <c r="EH393" s="17"/>
      <c r="EI393" s="16"/>
      <c r="EJ393" s="16"/>
      <c r="EK393" s="17"/>
      <c r="EL393" s="17"/>
      <c r="EM393" s="16"/>
      <c r="EN393" s="16"/>
      <c r="EO393" s="17"/>
      <c r="EP393" s="17"/>
      <c r="EQ393" s="16"/>
      <c r="ER393" s="16"/>
      <c r="ES393" s="17"/>
      <c r="ET393" s="17"/>
      <c r="EU393" s="16"/>
      <c r="EV393" s="16"/>
      <c r="EW393" s="18">
        <v>1</v>
      </c>
      <c r="EX393" s="18">
        <v>2</v>
      </c>
      <c r="EY393" s="16"/>
      <c r="EZ393" s="16"/>
      <c r="FA393" s="17"/>
      <c r="FB393" s="17"/>
      <c r="FC393" s="16"/>
      <c r="FD393" s="16"/>
      <c r="FE393" s="17"/>
      <c r="FF393" s="17"/>
      <c r="FG393" s="11"/>
      <c r="GT393" s="11"/>
      <c r="IG393" s="11"/>
      <c r="JT393" s="11"/>
      <c r="LG393" s="11"/>
      <c r="MT393" s="11"/>
      <c r="OG393" s="11"/>
      <c r="PT393" s="11"/>
    </row>
    <row r="394" spans="3:436" ht="15.75" x14ac:dyDescent="0.25">
      <c r="C394" s="20" t="s">
        <v>373</v>
      </c>
      <c r="D394" s="21" t="s">
        <v>82</v>
      </c>
      <c r="H394" s="11"/>
      <c r="AU394" s="11"/>
      <c r="CH394" s="11"/>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7"/>
      <c r="DF394" s="17"/>
      <c r="DG394" s="16"/>
      <c r="DH394" s="16"/>
      <c r="DI394" s="17"/>
      <c r="DJ394" s="17"/>
      <c r="DK394" s="16"/>
      <c r="DL394" s="16"/>
      <c r="DM394" s="17"/>
      <c r="DN394" s="17"/>
      <c r="DO394" s="16"/>
      <c r="DP394" s="16"/>
      <c r="DQ394" s="17"/>
      <c r="DR394" s="17"/>
      <c r="DS394" s="16"/>
      <c r="DT394" s="16"/>
      <c r="DU394" s="17"/>
      <c r="DV394" s="17"/>
      <c r="DW394" s="16"/>
      <c r="DX394" s="16"/>
      <c r="DY394" s="17"/>
      <c r="DZ394" s="17"/>
      <c r="EA394" s="16"/>
      <c r="EB394" s="16"/>
      <c r="EC394" s="17"/>
      <c r="ED394" s="17"/>
      <c r="EE394" s="16"/>
      <c r="EF394" s="16"/>
      <c r="EG394" s="17"/>
      <c r="EH394" s="17"/>
      <c r="EI394" s="16"/>
      <c r="EJ394" s="16"/>
      <c r="EK394" s="17"/>
      <c r="EL394" s="17"/>
      <c r="EM394" s="16"/>
      <c r="EN394" s="16"/>
      <c r="EO394" s="17"/>
      <c r="EP394" s="17"/>
      <c r="EQ394" s="16"/>
      <c r="ER394" s="16"/>
      <c r="ES394" s="18">
        <v>1</v>
      </c>
      <c r="ET394" s="18">
        <v>2</v>
      </c>
      <c r="EU394" s="16"/>
      <c r="EV394" s="16"/>
      <c r="EW394" s="17"/>
      <c r="EX394" s="17"/>
      <c r="EY394" s="16"/>
      <c r="EZ394" s="16"/>
      <c r="FA394" s="17"/>
      <c r="FB394" s="17"/>
      <c r="FC394" s="16"/>
      <c r="FD394" s="16"/>
      <c r="FE394" s="17"/>
      <c r="FF394" s="17"/>
      <c r="FG394" s="11"/>
      <c r="GT394" s="11"/>
      <c r="IG394" s="11"/>
      <c r="JT394" s="11"/>
      <c r="LG394" s="11"/>
      <c r="MT394" s="11"/>
      <c r="OG394" s="11"/>
      <c r="PT394" s="11"/>
    </row>
    <row r="395" spans="3:436" ht="15.75" x14ac:dyDescent="0.25">
      <c r="C395" s="20" t="s">
        <v>374</v>
      </c>
      <c r="D395" s="21" t="s">
        <v>93</v>
      </c>
      <c r="H395" s="11"/>
      <c r="AU395" s="11"/>
      <c r="CH395" s="11"/>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7"/>
      <c r="DF395" s="17"/>
      <c r="DG395" s="16"/>
      <c r="DH395" s="16"/>
      <c r="DI395" s="17"/>
      <c r="DJ395" s="17"/>
      <c r="DK395" s="16"/>
      <c r="DL395" s="16"/>
      <c r="DM395" s="17"/>
      <c r="DN395" s="17"/>
      <c r="DO395" s="16"/>
      <c r="DP395" s="16"/>
      <c r="DQ395" s="17"/>
      <c r="DR395" s="17"/>
      <c r="DS395" s="16"/>
      <c r="DT395" s="16"/>
      <c r="DU395" s="17"/>
      <c r="DV395" s="17"/>
      <c r="DW395" s="16"/>
      <c r="DX395" s="16"/>
      <c r="DY395" s="17"/>
      <c r="DZ395" s="17"/>
      <c r="EA395" s="16"/>
      <c r="EB395" s="16"/>
      <c r="EC395" s="17"/>
      <c r="ED395" s="17"/>
      <c r="EE395" s="16"/>
      <c r="EF395" s="16"/>
      <c r="EG395" s="17"/>
      <c r="EH395" s="17"/>
      <c r="EI395" s="16"/>
      <c r="EJ395" s="16"/>
      <c r="EK395" s="17"/>
      <c r="EL395" s="17"/>
      <c r="EM395" s="16"/>
      <c r="EN395" s="16"/>
      <c r="EO395" s="17"/>
      <c r="EP395" s="17"/>
      <c r="EQ395" s="16"/>
      <c r="ER395" s="16"/>
      <c r="ES395" s="17"/>
      <c r="ET395" s="17"/>
      <c r="EU395" s="16"/>
      <c r="EV395" s="16"/>
      <c r="EW395" s="17"/>
      <c r="EX395" s="17"/>
      <c r="EY395" s="16"/>
      <c r="EZ395" s="16"/>
      <c r="FA395" s="17"/>
      <c r="FB395" s="17"/>
      <c r="FC395" s="16"/>
      <c r="FD395" s="16"/>
      <c r="FE395" s="17"/>
      <c r="FF395" s="17"/>
      <c r="FG395" s="11"/>
      <c r="GT395" s="11"/>
      <c r="IG395" s="11"/>
      <c r="JT395" s="11"/>
      <c r="LG395" s="11"/>
      <c r="MT395" s="11"/>
      <c r="OG395" s="11"/>
      <c r="PT395" s="11"/>
    </row>
    <row r="396" spans="3:436" ht="15.75" x14ac:dyDescent="0.25">
      <c r="C396" s="20" t="s">
        <v>367</v>
      </c>
      <c r="D396" s="21" t="s">
        <v>93</v>
      </c>
      <c r="H396" s="11"/>
      <c r="AU396" s="11"/>
      <c r="CH396" s="11"/>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7"/>
      <c r="DF396" s="17"/>
      <c r="DG396" s="16"/>
      <c r="DH396" s="16"/>
      <c r="DI396" s="17"/>
      <c r="DJ396" s="17"/>
      <c r="DK396" s="16"/>
      <c r="DL396" s="16"/>
      <c r="DM396" s="17"/>
      <c r="DN396" s="17"/>
      <c r="DO396" s="16"/>
      <c r="DP396" s="16"/>
      <c r="DQ396" s="17"/>
      <c r="DR396" s="17"/>
      <c r="DS396" s="16"/>
      <c r="DT396" s="16"/>
      <c r="DU396" s="17"/>
      <c r="DV396" s="17"/>
      <c r="DW396" s="16"/>
      <c r="DX396" s="16"/>
      <c r="DY396" s="17"/>
      <c r="DZ396" s="17"/>
      <c r="EA396" s="16"/>
      <c r="EB396" s="16"/>
      <c r="EC396" s="17"/>
      <c r="ED396" s="17"/>
      <c r="EE396" s="16"/>
      <c r="EF396" s="16"/>
      <c r="EG396" s="17"/>
      <c r="EH396" s="17"/>
      <c r="EI396" s="16"/>
      <c r="EJ396" s="16"/>
      <c r="EK396" s="17"/>
      <c r="EL396" s="17"/>
      <c r="EM396" s="16"/>
      <c r="EN396" s="16"/>
      <c r="EO396" s="17"/>
      <c r="EP396" s="17"/>
      <c r="EQ396" s="16"/>
      <c r="ER396" s="16"/>
      <c r="ES396" s="17"/>
      <c r="ET396" s="17"/>
      <c r="EU396" s="16"/>
      <c r="EV396" s="16"/>
      <c r="EW396" s="18">
        <v>1</v>
      </c>
      <c r="EX396" s="18">
        <v>2</v>
      </c>
      <c r="EY396" s="16"/>
      <c r="EZ396" s="16"/>
      <c r="FA396" s="17"/>
      <c r="FB396" s="17"/>
      <c r="FC396" s="16"/>
      <c r="FD396" s="16"/>
      <c r="FE396" s="17"/>
      <c r="FF396" s="17"/>
      <c r="FG396" s="11"/>
      <c r="GT396" s="11"/>
      <c r="IG396" s="11"/>
      <c r="JT396" s="11"/>
      <c r="LG396" s="11"/>
      <c r="MT396" s="11"/>
      <c r="OG396" s="11"/>
      <c r="PT396" s="11"/>
    </row>
    <row r="397" spans="3:436" ht="38.25" x14ac:dyDescent="0.25">
      <c r="C397" s="20" t="s">
        <v>375</v>
      </c>
      <c r="D397" s="21" t="s">
        <v>93</v>
      </c>
      <c r="H397" s="11"/>
      <c r="AU397" s="11"/>
      <c r="CH397" s="11"/>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7"/>
      <c r="DF397" s="17"/>
      <c r="DG397" s="16"/>
      <c r="DH397" s="16"/>
      <c r="DI397" s="17"/>
      <c r="DJ397" s="17"/>
      <c r="DK397" s="16"/>
      <c r="DL397" s="16"/>
      <c r="DM397" s="17"/>
      <c r="DN397" s="17"/>
      <c r="DO397" s="16"/>
      <c r="DP397" s="16"/>
      <c r="DQ397" s="17"/>
      <c r="DR397" s="17"/>
      <c r="DS397" s="16"/>
      <c r="DT397" s="16"/>
      <c r="DU397" s="17"/>
      <c r="DV397" s="17"/>
      <c r="DW397" s="16"/>
      <c r="DX397" s="16"/>
      <c r="DY397" s="17"/>
      <c r="DZ397" s="17"/>
      <c r="EA397" s="16"/>
      <c r="EB397" s="16"/>
      <c r="EC397" s="17"/>
      <c r="ED397" s="17"/>
      <c r="EE397" s="16"/>
      <c r="EF397" s="16"/>
      <c r="EG397" s="17"/>
      <c r="EH397" s="17"/>
      <c r="EI397" s="16"/>
      <c r="EJ397" s="16"/>
      <c r="EK397" s="17"/>
      <c r="EL397" s="17"/>
      <c r="EM397" s="16"/>
      <c r="EN397" s="16"/>
      <c r="EO397" s="17"/>
      <c r="EP397" s="17"/>
      <c r="EQ397" s="16"/>
      <c r="ER397" s="16"/>
      <c r="ES397" s="17"/>
      <c r="ET397" s="17"/>
      <c r="EU397" s="16"/>
      <c r="EV397" s="16"/>
      <c r="EW397" s="18">
        <v>3</v>
      </c>
      <c r="EX397" s="18">
        <v>4</v>
      </c>
      <c r="EY397" s="16"/>
      <c r="EZ397" s="16"/>
      <c r="FA397" s="17"/>
      <c r="FB397" s="17"/>
      <c r="FC397" s="16"/>
      <c r="FD397" s="16"/>
      <c r="FE397" s="17"/>
      <c r="FF397" s="17"/>
      <c r="FG397" s="11"/>
      <c r="GT397" s="11"/>
      <c r="IG397" s="11"/>
      <c r="JT397" s="11"/>
      <c r="LG397" s="11"/>
      <c r="MT397" s="11"/>
      <c r="OG397" s="11"/>
      <c r="PT397" s="11"/>
    </row>
    <row r="398" spans="3:436" ht="15.75" x14ac:dyDescent="0.25">
      <c r="C398" s="20" t="s">
        <v>376</v>
      </c>
      <c r="D398" s="21" t="s">
        <v>93</v>
      </c>
      <c r="H398" s="11"/>
      <c r="AU398" s="11"/>
      <c r="CH398" s="11"/>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7"/>
      <c r="DF398" s="17"/>
      <c r="DG398" s="16"/>
      <c r="DH398" s="16"/>
      <c r="DI398" s="17"/>
      <c r="DJ398" s="17"/>
      <c r="DK398" s="16"/>
      <c r="DL398" s="16"/>
      <c r="DM398" s="17"/>
      <c r="DN398" s="17"/>
      <c r="DO398" s="16"/>
      <c r="DP398" s="16"/>
      <c r="DQ398" s="17"/>
      <c r="DR398" s="17"/>
      <c r="DS398" s="16"/>
      <c r="DT398" s="16"/>
      <c r="DU398" s="17"/>
      <c r="DV398" s="17"/>
      <c r="DW398" s="16"/>
      <c r="DX398" s="16"/>
      <c r="DY398" s="17"/>
      <c r="DZ398" s="17"/>
      <c r="EA398" s="16"/>
      <c r="EB398" s="16"/>
      <c r="EC398" s="17"/>
      <c r="ED398" s="17"/>
      <c r="EE398" s="16"/>
      <c r="EF398" s="16"/>
      <c r="EG398" s="17"/>
      <c r="EH398" s="17"/>
      <c r="EI398" s="16"/>
      <c r="EJ398" s="16"/>
      <c r="EK398" s="17"/>
      <c r="EL398" s="17"/>
      <c r="EM398" s="16"/>
      <c r="EN398" s="16"/>
      <c r="EO398" s="17"/>
      <c r="EP398" s="17"/>
      <c r="EQ398" s="16"/>
      <c r="ER398" s="16"/>
      <c r="ES398" s="17"/>
      <c r="ET398" s="17"/>
      <c r="EU398" s="16"/>
      <c r="EV398" s="16"/>
      <c r="EW398" s="17"/>
      <c r="EX398" s="17"/>
      <c r="EY398" s="16"/>
      <c r="EZ398" s="16"/>
      <c r="FA398" s="17"/>
      <c r="FB398" s="17"/>
      <c r="FC398" s="16"/>
      <c r="FD398" s="16"/>
      <c r="FE398" s="17"/>
      <c r="FF398" s="17"/>
      <c r="FG398" s="11"/>
      <c r="GT398" s="11"/>
      <c r="IG398" s="11"/>
      <c r="JT398" s="11"/>
      <c r="LG398" s="11"/>
      <c r="MT398" s="11"/>
      <c r="OG398" s="11"/>
      <c r="PT398" s="11"/>
    </row>
    <row r="399" spans="3:436" ht="15.75" x14ac:dyDescent="0.25">
      <c r="C399" s="20" t="s">
        <v>367</v>
      </c>
      <c r="D399" s="21" t="s">
        <v>93</v>
      </c>
      <c r="H399" s="11"/>
      <c r="AU399" s="11"/>
      <c r="CH399" s="11"/>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7"/>
      <c r="DF399" s="17"/>
      <c r="DG399" s="16"/>
      <c r="DH399" s="16"/>
      <c r="DI399" s="17"/>
      <c r="DJ399" s="17"/>
      <c r="DK399" s="16"/>
      <c r="DL399" s="16"/>
      <c r="DM399" s="17"/>
      <c r="DN399" s="17"/>
      <c r="DO399" s="16"/>
      <c r="DP399" s="16"/>
      <c r="DQ399" s="17"/>
      <c r="DR399" s="17"/>
      <c r="DS399" s="16"/>
      <c r="DT399" s="16"/>
      <c r="DU399" s="17"/>
      <c r="DV399" s="17"/>
      <c r="DW399" s="16"/>
      <c r="DX399" s="16"/>
      <c r="DY399" s="17"/>
      <c r="DZ399" s="17"/>
      <c r="EA399" s="16"/>
      <c r="EB399" s="16"/>
      <c r="EC399" s="17"/>
      <c r="ED399" s="17"/>
      <c r="EE399" s="16"/>
      <c r="EF399" s="16"/>
      <c r="EG399" s="17"/>
      <c r="EH399" s="17"/>
      <c r="EI399" s="16"/>
      <c r="EJ399" s="16"/>
      <c r="EK399" s="17"/>
      <c r="EL399" s="17"/>
      <c r="EM399" s="16"/>
      <c r="EN399" s="16"/>
      <c r="EO399" s="17"/>
      <c r="EP399" s="17"/>
      <c r="EQ399" s="16"/>
      <c r="ER399" s="16"/>
      <c r="ES399" s="17"/>
      <c r="ET399" s="17"/>
      <c r="EU399" s="16"/>
      <c r="EV399" s="16"/>
      <c r="EW399" s="18">
        <v>1</v>
      </c>
      <c r="EX399" s="18">
        <v>2</v>
      </c>
      <c r="EY399" s="16"/>
      <c r="EZ399" s="16"/>
      <c r="FA399" s="17"/>
      <c r="FB399" s="17"/>
      <c r="FC399" s="16"/>
      <c r="FD399" s="16"/>
      <c r="FE399" s="17"/>
      <c r="FF399" s="17"/>
      <c r="FG399" s="11"/>
      <c r="GT399" s="11"/>
      <c r="IG399" s="11"/>
      <c r="JT399" s="11"/>
      <c r="LG399" s="11"/>
      <c r="MT399" s="11"/>
      <c r="OG399" s="11"/>
      <c r="PT399" s="11"/>
    </row>
    <row r="400" spans="3:436" ht="25.5" x14ac:dyDescent="0.25">
      <c r="C400" s="20" t="s">
        <v>377</v>
      </c>
      <c r="D400" s="21" t="s">
        <v>93</v>
      </c>
      <c r="H400" s="11"/>
      <c r="AU400" s="11"/>
      <c r="CH400" s="11"/>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7"/>
      <c r="DF400" s="17"/>
      <c r="DG400" s="16"/>
      <c r="DH400" s="16"/>
      <c r="DI400" s="17"/>
      <c r="DJ400" s="17"/>
      <c r="DK400" s="16"/>
      <c r="DL400" s="16"/>
      <c r="DM400" s="17"/>
      <c r="DN400" s="17"/>
      <c r="DO400" s="16"/>
      <c r="DP400" s="16"/>
      <c r="DQ400" s="17"/>
      <c r="DR400" s="17"/>
      <c r="DS400" s="16"/>
      <c r="DT400" s="16"/>
      <c r="DU400" s="17"/>
      <c r="DV400" s="17"/>
      <c r="DW400" s="16"/>
      <c r="DX400" s="16"/>
      <c r="DY400" s="17"/>
      <c r="DZ400" s="17"/>
      <c r="EA400" s="16"/>
      <c r="EB400" s="16"/>
      <c r="EC400" s="17"/>
      <c r="ED400" s="17"/>
      <c r="EE400" s="16"/>
      <c r="EF400" s="16"/>
      <c r="EG400" s="17"/>
      <c r="EH400" s="17"/>
      <c r="EI400" s="16"/>
      <c r="EJ400" s="16"/>
      <c r="EK400" s="17"/>
      <c r="EL400" s="17"/>
      <c r="EM400" s="16"/>
      <c r="EN400" s="16"/>
      <c r="EO400" s="17"/>
      <c r="EP400" s="17"/>
      <c r="EQ400" s="16"/>
      <c r="ER400" s="16"/>
      <c r="ES400" s="17"/>
      <c r="ET400" s="17"/>
      <c r="EU400" s="16"/>
      <c r="EV400" s="16"/>
      <c r="EW400" s="18">
        <v>3</v>
      </c>
      <c r="EX400" s="18">
        <v>4</v>
      </c>
      <c r="EY400" s="16"/>
      <c r="EZ400" s="16"/>
      <c r="FA400" s="17"/>
      <c r="FB400" s="17"/>
      <c r="FC400" s="16"/>
      <c r="FD400" s="16"/>
      <c r="FE400" s="17"/>
      <c r="FF400" s="17"/>
      <c r="FG400" s="11"/>
      <c r="GT400" s="11"/>
      <c r="IG400" s="11"/>
      <c r="JT400" s="11"/>
      <c r="LG400" s="11"/>
      <c r="MT400" s="11"/>
      <c r="OG400" s="11"/>
      <c r="PT400" s="11"/>
    </row>
    <row r="401" spans="1:436" ht="15.75" x14ac:dyDescent="0.25">
      <c r="C401" s="20" t="s">
        <v>378</v>
      </c>
      <c r="D401" s="21" t="s">
        <v>93</v>
      </c>
      <c r="H401" s="11"/>
      <c r="AU401" s="11"/>
      <c r="CH401" s="11"/>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7"/>
      <c r="DF401" s="17"/>
      <c r="DG401" s="16"/>
      <c r="DH401" s="16"/>
      <c r="DI401" s="17"/>
      <c r="DJ401" s="17"/>
      <c r="DK401" s="16"/>
      <c r="DL401" s="16"/>
      <c r="DM401" s="17"/>
      <c r="DN401" s="17"/>
      <c r="DO401" s="16"/>
      <c r="DP401" s="16"/>
      <c r="DQ401" s="17"/>
      <c r="DR401" s="17"/>
      <c r="DS401" s="16"/>
      <c r="DT401" s="16"/>
      <c r="DU401" s="17"/>
      <c r="DV401" s="17"/>
      <c r="DW401" s="16"/>
      <c r="DX401" s="16"/>
      <c r="DY401" s="17"/>
      <c r="DZ401" s="17"/>
      <c r="EA401" s="16"/>
      <c r="EB401" s="16"/>
      <c r="EC401" s="17"/>
      <c r="ED401" s="17"/>
      <c r="EE401" s="16"/>
      <c r="EF401" s="16"/>
      <c r="EG401" s="17"/>
      <c r="EH401" s="17"/>
      <c r="EI401" s="16"/>
      <c r="EJ401" s="16"/>
      <c r="EK401" s="17"/>
      <c r="EL401" s="17"/>
      <c r="EM401" s="16"/>
      <c r="EN401" s="16"/>
      <c r="EO401" s="17"/>
      <c r="EP401" s="17"/>
      <c r="EQ401" s="16"/>
      <c r="ER401" s="16"/>
      <c r="ES401" s="17"/>
      <c r="ET401" s="17"/>
      <c r="EU401" s="16"/>
      <c r="EV401" s="16"/>
      <c r="EW401" s="18">
        <v>2</v>
      </c>
      <c r="EX401" s="18">
        <v>3</v>
      </c>
      <c r="EY401" s="16"/>
      <c r="EZ401" s="16"/>
      <c r="FA401" s="17"/>
      <c r="FB401" s="17"/>
      <c r="FC401" s="16"/>
      <c r="FD401" s="16"/>
      <c r="FE401" s="17"/>
      <c r="FF401" s="17"/>
      <c r="FG401" s="11"/>
      <c r="GT401" s="11"/>
      <c r="IG401" s="11"/>
      <c r="JT401" s="11"/>
      <c r="LG401" s="11"/>
      <c r="MT401" s="11"/>
      <c r="OG401" s="11"/>
      <c r="PT401" s="11"/>
    </row>
    <row r="402" spans="1:436" ht="15.75" x14ac:dyDescent="0.25">
      <c r="C402" s="20" t="s">
        <v>379</v>
      </c>
      <c r="D402" s="21" t="s">
        <v>93</v>
      </c>
      <c r="H402" s="11"/>
      <c r="AU402" s="11"/>
      <c r="CH402" s="11"/>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7"/>
      <c r="DF402" s="17"/>
      <c r="DG402" s="16"/>
      <c r="DH402" s="16"/>
      <c r="DI402" s="17"/>
      <c r="DJ402" s="17"/>
      <c r="DK402" s="16"/>
      <c r="DL402" s="16"/>
      <c r="DM402" s="17"/>
      <c r="DN402" s="17"/>
      <c r="DO402" s="16"/>
      <c r="DP402" s="16"/>
      <c r="DQ402" s="17"/>
      <c r="DR402" s="17"/>
      <c r="DS402" s="16"/>
      <c r="DT402" s="16"/>
      <c r="DU402" s="17"/>
      <c r="DV402" s="17"/>
      <c r="DW402" s="16"/>
      <c r="DX402" s="16"/>
      <c r="DY402" s="17"/>
      <c r="DZ402" s="17"/>
      <c r="EA402" s="16"/>
      <c r="EB402" s="16"/>
      <c r="EC402" s="17"/>
      <c r="ED402" s="17"/>
      <c r="EE402" s="16"/>
      <c r="EF402" s="16"/>
      <c r="EG402" s="17"/>
      <c r="EH402" s="17"/>
      <c r="EI402" s="16"/>
      <c r="EJ402" s="16"/>
      <c r="EK402" s="17"/>
      <c r="EL402" s="17"/>
      <c r="EM402" s="16"/>
      <c r="EN402" s="16"/>
      <c r="EO402" s="17"/>
      <c r="EP402" s="17"/>
      <c r="EQ402" s="16"/>
      <c r="ER402" s="16"/>
      <c r="ES402" s="17"/>
      <c r="ET402" s="17"/>
      <c r="EU402" s="16"/>
      <c r="EV402" s="16"/>
      <c r="EW402" s="18">
        <v>2</v>
      </c>
      <c r="EX402" s="18">
        <v>3</v>
      </c>
      <c r="EY402" s="16"/>
      <c r="EZ402" s="16"/>
      <c r="FA402" s="17"/>
      <c r="FB402" s="17"/>
      <c r="FC402" s="16"/>
      <c r="FD402" s="16"/>
      <c r="FE402" s="17"/>
      <c r="FF402" s="17"/>
      <c r="FG402" s="11"/>
      <c r="GT402" s="11"/>
      <c r="IG402" s="11"/>
      <c r="JT402" s="11"/>
      <c r="LG402" s="11"/>
      <c r="MT402" s="11"/>
      <c r="OG402" s="11"/>
      <c r="PT402" s="11"/>
    </row>
    <row r="403" spans="1:436" ht="15.75" x14ac:dyDescent="0.25">
      <c r="C403" s="20" t="s">
        <v>380</v>
      </c>
      <c r="D403" s="21" t="s">
        <v>93</v>
      </c>
      <c r="H403" s="11"/>
      <c r="AU403" s="11"/>
      <c r="CH403" s="11"/>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7"/>
      <c r="DF403" s="17"/>
      <c r="DG403" s="16"/>
      <c r="DH403" s="16"/>
      <c r="DI403" s="17"/>
      <c r="DJ403" s="17"/>
      <c r="DK403" s="16"/>
      <c r="DL403" s="16"/>
      <c r="DM403" s="17"/>
      <c r="DN403" s="17"/>
      <c r="DO403" s="16"/>
      <c r="DP403" s="16"/>
      <c r="DQ403" s="17"/>
      <c r="DR403" s="17"/>
      <c r="DS403" s="16"/>
      <c r="DT403" s="16"/>
      <c r="DU403" s="17"/>
      <c r="DV403" s="17"/>
      <c r="DW403" s="16"/>
      <c r="DX403" s="16"/>
      <c r="DY403" s="17"/>
      <c r="DZ403" s="17"/>
      <c r="EA403" s="16"/>
      <c r="EB403" s="16"/>
      <c r="EC403" s="17"/>
      <c r="ED403" s="17"/>
      <c r="EE403" s="16"/>
      <c r="EF403" s="16"/>
      <c r="EG403" s="17"/>
      <c r="EH403" s="17"/>
      <c r="EI403" s="16"/>
      <c r="EJ403" s="16"/>
      <c r="EK403" s="17"/>
      <c r="EL403" s="17"/>
      <c r="EM403" s="16"/>
      <c r="EN403" s="16"/>
      <c r="EO403" s="17"/>
      <c r="EP403" s="17"/>
      <c r="EQ403" s="16"/>
      <c r="ER403" s="16"/>
      <c r="ES403" s="17"/>
      <c r="ET403" s="17"/>
      <c r="EU403" s="16"/>
      <c r="EV403" s="16"/>
      <c r="EW403" s="18">
        <v>2</v>
      </c>
      <c r="EX403" s="18">
        <v>3</v>
      </c>
      <c r="EY403" s="16"/>
      <c r="EZ403" s="16"/>
      <c r="FA403" s="17"/>
      <c r="FB403" s="17"/>
      <c r="FC403" s="16"/>
      <c r="FD403" s="16"/>
      <c r="FE403" s="17"/>
      <c r="FF403" s="17"/>
      <c r="FG403" s="11"/>
      <c r="GT403" s="11"/>
      <c r="IG403" s="11"/>
      <c r="JT403" s="11"/>
      <c r="LG403" s="11"/>
      <c r="MT403" s="11"/>
      <c r="OG403" s="11"/>
      <c r="PT403" s="11"/>
    </row>
    <row r="404" spans="1:436" ht="15.75" x14ac:dyDescent="0.25">
      <c r="C404" s="20" t="s">
        <v>381</v>
      </c>
      <c r="D404" s="21" t="s">
        <v>93</v>
      </c>
      <c r="H404" s="11"/>
      <c r="AU404" s="11"/>
      <c r="CH404" s="11"/>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7"/>
      <c r="DF404" s="17"/>
      <c r="DG404" s="16"/>
      <c r="DH404" s="16"/>
      <c r="DI404" s="17"/>
      <c r="DJ404" s="17"/>
      <c r="DK404" s="16"/>
      <c r="DL404" s="16"/>
      <c r="DM404" s="17"/>
      <c r="DN404" s="17"/>
      <c r="DO404" s="16"/>
      <c r="DP404" s="16"/>
      <c r="DQ404" s="17"/>
      <c r="DR404" s="17"/>
      <c r="DS404" s="16"/>
      <c r="DT404" s="16"/>
      <c r="DU404" s="17"/>
      <c r="DV404" s="17"/>
      <c r="DW404" s="16"/>
      <c r="DX404" s="16"/>
      <c r="DY404" s="17"/>
      <c r="DZ404" s="17"/>
      <c r="EA404" s="16"/>
      <c r="EB404" s="16"/>
      <c r="EC404" s="17"/>
      <c r="ED404" s="17"/>
      <c r="EE404" s="16"/>
      <c r="EF404" s="16"/>
      <c r="EG404" s="17"/>
      <c r="EH404" s="17"/>
      <c r="EI404" s="16"/>
      <c r="EJ404" s="16"/>
      <c r="EK404" s="17"/>
      <c r="EL404" s="17"/>
      <c r="EM404" s="16"/>
      <c r="EN404" s="16"/>
      <c r="EO404" s="17"/>
      <c r="EP404" s="17"/>
      <c r="EQ404" s="16"/>
      <c r="ER404" s="16"/>
      <c r="ES404" s="17"/>
      <c r="ET404" s="17"/>
      <c r="EU404" s="16"/>
      <c r="EV404" s="16"/>
      <c r="EW404" s="18">
        <v>2</v>
      </c>
      <c r="EX404" s="18">
        <v>3</v>
      </c>
      <c r="EY404" s="16"/>
      <c r="EZ404" s="16"/>
      <c r="FA404" s="17"/>
      <c r="FB404" s="17"/>
      <c r="FC404" s="16"/>
      <c r="FD404" s="16"/>
      <c r="FE404" s="17"/>
      <c r="FF404" s="17"/>
      <c r="FG404" s="11"/>
      <c r="GT404" s="11"/>
      <c r="IG404" s="11"/>
      <c r="JT404" s="11"/>
      <c r="LG404" s="11"/>
      <c r="MT404" s="11"/>
      <c r="OG404" s="11"/>
      <c r="PT404" s="11"/>
    </row>
    <row r="405" spans="1:436" ht="25.5" x14ac:dyDescent="0.25">
      <c r="C405" s="20" t="s">
        <v>382</v>
      </c>
      <c r="D405" s="21" t="s">
        <v>82</v>
      </c>
      <c r="H405" s="11"/>
      <c r="AU405" s="11"/>
      <c r="CH405" s="11"/>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7"/>
      <c r="DF405" s="17"/>
      <c r="DG405" s="16"/>
      <c r="DH405" s="16"/>
      <c r="DI405" s="17"/>
      <c r="DJ405" s="17"/>
      <c r="DK405" s="16"/>
      <c r="DL405" s="16"/>
      <c r="DM405" s="17"/>
      <c r="DN405" s="17"/>
      <c r="DO405" s="16"/>
      <c r="DP405" s="16"/>
      <c r="DQ405" s="17"/>
      <c r="DR405" s="17"/>
      <c r="DS405" s="16"/>
      <c r="DT405" s="16"/>
      <c r="DU405" s="17"/>
      <c r="DV405" s="17"/>
      <c r="DW405" s="16"/>
      <c r="DX405" s="16"/>
      <c r="DY405" s="17"/>
      <c r="DZ405" s="17"/>
      <c r="EA405" s="16"/>
      <c r="EB405" s="16"/>
      <c r="EC405" s="17"/>
      <c r="ED405" s="17"/>
      <c r="EE405" s="16"/>
      <c r="EF405" s="16"/>
      <c r="EG405" s="17"/>
      <c r="EH405" s="17"/>
      <c r="EI405" s="16"/>
      <c r="EJ405" s="16"/>
      <c r="EK405" s="17"/>
      <c r="EL405" s="17"/>
      <c r="EM405" s="16"/>
      <c r="EN405" s="16"/>
      <c r="EO405" s="17"/>
      <c r="EP405" s="17"/>
      <c r="EQ405" s="16"/>
      <c r="ER405" s="16"/>
      <c r="ES405" s="18">
        <v>2</v>
      </c>
      <c r="ET405" s="18">
        <v>3</v>
      </c>
      <c r="EU405" s="16"/>
      <c r="EV405" s="16"/>
      <c r="EW405" s="17"/>
      <c r="EX405" s="17"/>
      <c r="EY405" s="16"/>
      <c r="EZ405" s="16"/>
      <c r="FA405" s="17"/>
      <c r="FB405" s="17"/>
      <c r="FC405" s="16"/>
      <c r="FD405" s="16"/>
      <c r="FE405" s="17"/>
      <c r="FF405" s="17"/>
      <c r="FG405" s="11"/>
      <c r="GT405" s="11"/>
      <c r="IG405" s="11"/>
      <c r="JT405" s="11"/>
      <c r="LG405" s="11"/>
      <c r="MT405" s="11"/>
      <c r="OG405" s="11"/>
      <c r="PT405" s="11"/>
    </row>
    <row r="406" spans="1:436" ht="25.5" x14ac:dyDescent="0.25">
      <c r="C406" s="20" t="s">
        <v>383</v>
      </c>
      <c r="D406" s="21" t="s">
        <v>82</v>
      </c>
      <c r="H406" s="11"/>
      <c r="AU406" s="11"/>
      <c r="CH406" s="11"/>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7"/>
      <c r="DF406" s="17"/>
      <c r="DG406" s="16"/>
      <c r="DH406" s="16"/>
      <c r="DI406" s="17"/>
      <c r="DJ406" s="17"/>
      <c r="DK406" s="16"/>
      <c r="DL406" s="16"/>
      <c r="DM406" s="17"/>
      <c r="DN406" s="17"/>
      <c r="DO406" s="16"/>
      <c r="DP406" s="16"/>
      <c r="DQ406" s="17"/>
      <c r="DR406" s="17"/>
      <c r="DS406" s="16"/>
      <c r="DT406" s="16"/>
      <c r="DU406" s="17"/>
      <c r="DV406" s="17"/>
      <c r="DW406" s="16"/>
      <c r="DX406" s="16"/>
      <c r="DY406" s="17"/>
      <c r="DZ406" s="17"/>
      <c r="EA406" s="16"/>
      <c r="EB406" s="16"/>
      <c r="EC406" s="17"/>
      <c r="ED406" s="17"/>
      <c r="EE406" s="16"/>
      <c r="EF406" s="16"/>
      <c r="EG406" s="17"/>
      <c r="EH406" s="17"/>
      <c r="EI406" s="16"/>
      <c r="EJ406" s="16"/>
      <c r="EK406" s="17"/>
      <c r="EL406" s="17"/>
      <c r="EM406" s="16"/>
      <c r="EN406" s="16"/>
      <c r="EO406" s="17"/>
      <c r="EP406" s="17"/>
      <c r="EQ406" s="16"/>
      <c r="ER406" s="16"/>
      <c r="ES406" s="18">
        <v>2</v>
      </c>
      <c r="ET406" s="18">
        <v>3</v>
      </c>
      <c r="EU406" s="16"/>
      <c r="EV406" s="16"/>
      <c r="EW406" s="17"/>
      <c r="EX406" s="17"/>
      <c r="EY406" s="16"/>
      <c r="EZ406" s="16"/>
      <c r="FA406" s="17"/>
      <c r="FB406" s="17"/>
      <c r="FC406" s="16"/>
      <c r="FD406" s="16"/>
      <c r="FE406" s="17"/>
      <c r="FF406" s="17"/>
      <c r="FG406" s="11"/>
      <c r="GT406" s="11"/>
      <c r="IG406" s="11"/>
      <c r="JT406" s="11"/>
      <c r="LG406" s="11"/>
      <c r="MT406" s="11"/>
      <c r="OG406" s="11"/>
      <c r="PT406" s="11"/>
    </row>
    <row r="407" spans="1:436" ht="25.5" x14ac:dyDescent="0.25">
      <c r="C407" s="20" t="s">
        <v>383</v>
      </c>
      <c r="D407" s="21" t="s">
        <v>93</v>
      </c>
      <c r="H407" s="11"/>
      <c r="AU407" s="11"/>
      <c r="CH407" s="11"/>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7"/>
      <c r="DF407" s="17"/>
      <c r="DG407" s="16"/>
      <c r="DH407" s="16"/>
      <c r="DI407" s="17"/>
      <c r="DJ407" s="17"/>
      <c r="DK407" s="16"/>
      <c r="DL407" s="16"/>
      <c r="DM407" s="17"/>
      <c r="DN407" s="17"/>
      <c r="DO407" s="16"/>
      <c r="DP407" s="16"/>
      <c r="DQ407" s="17"/>
      <c r="DR407" s="17"/>
      <c r="DS407" s="16"/>
      <c r="DT407" s="16"/>
      <c r="DU407" s="17"/>
      <c r="DV407" s="17"/>
      <c r="DW407" s="16"/>
      <c r="DX407" s="16"/>
      <c r="DY407" s="17"/>
      <c r="DZ407" s="17"/>
      <c r="EA407" s="16"/>
      <c r="EB407" s="16"/>
      <c r="EC407" s="17"/>
      <c r="ED407" s="17"/>
      <c r="EE407" s="16"/>
      <c r="EF407" s="16"/>
      <c r="EG407" s="17"/>
      <c r="EH407" s="17"/>
      <c r="EI407" s="16"/>
      <c r="EJ407" s="16"/>
      <c r="EK407" s="17"/>
      <c r="EL407" s="17"/>
      <c r="EM407" s="16"/>
      <c r="EN407" s="16"/>
      <c r="EO407" s="17"/>
      <c r="EP407" s="17"/>
      <c r="EQ407" s="16"/>
      <c r="ER407" s="16"/>
      <c r="ES407" s="17"/>
      <c r="ET407" s="17"/>
      <c r="EU407" s="16"/>
      <c r="EV407" s="16"/>
      <c r="EW407" s="18">
        <v>3</v>
      </c>
      <c r="EX407" s="18">
        <v>4</v>
      </c>
      <c r="EY407" s="16"/>
      <c r="EZ407" s="16"/>
      <c r="FA407" s="17"/>
      <c r="FB407" s="17"/>
      <c r="FC407" s="16"/>
      <c r="FD407" s="16"/>
      <c r="FE407" s="17"/>
      <c r="FF407" s="17"/>
      <c r="FG407" s="11"/>
      <c r="GT407" s="11"/>
      <c r="IG407" s="11"/>
      <c r="JT407" s="11"/>
      <c r="LG407" s="11"/>
      <c r="MT407" s="11"/>
      <c r="OG407" s="11"/>
      <c r="PT407" s="11"/>
    </row>
    <row r="408" spans="1:436" ht="15.75" x14ac:dyDescent="0.25">
      <c r="C408" s="20" t="s">
        <v>384</v>
      </c>
      <c r="D408" s="21" t="s">
        <v>93</v>
      </c>
      <c r="H408" s="11"/>
      <c r="AU408" s="11"/>
      <c r="CH408" s="11"/>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7"/>
      <c r="DF408" s="17"/>
      <c r="DG408" s="16"/>
      <c r="DH408" s="16"/>
      <c r="DI408" s="17"/>
      <c r="DJ408" s="17"/>
      <c r="DK408" s="16"/>
      <c r="DL408" s="16"/>
      <c r="DM408" s="17"/>
      <c r="DN408" s="17"/>
      <c r="DO408" s="16"/>
      <c r="DP408" s="16"/>
      <c r="DQ408" s="17"/>
      <c r="DR408" s="17"/>
      <c r="DS408" s="16"/>
      <c r="DT408" s="16"/>
      <c r="DU408" s="17"/>
      <c r="DV408" s="17"/>
      <c r="DW408" s="16"/>
      <c r="DX408" s="16"/>
      <c r="DY408" s="17"/>
      <c r="DZ408" s="17"/>
      <c r="EA408" s="16"/>
      <c r="EB408" s="16"/>
      <c r="EC408" s="17"/>
      <c r="ED408" s="17"/>
      <c r="EE408" s="16"/>
      <c r="EF408" s="16"/>
      <c r="EG408" s="17"/>
      <c r="EH408" s="17"/>
      <c r="EI408" s="16"/>
      <c r="EJ408" s="16"/>
      <c r="EK408" s="17"/>
      <c r="EL408" s="17"/>
      <c r="EM408" s="16"/>
      <c r="EN408" s="16"/>
      <c r="EO408" s="17"/>
      <c r="EP408" s="17"/>
      <c r="EQ408" s="16"/>
      <c r="ER408" s="16"/>
      <c r="ES408" s="17"/>
      <c r="ET408" s="17"/>
      <c r="EU408" s="16"/>
      <c r="EV408" s="16"/>
      <c r="EW408" s="17"/>
      <c r="EX408" s="17"/>
      <c r="EY408" s="16"/>
      <c r="EZ408" s="16"/>
      <c r="FA408" s="17"/>
      <c r="FB408" s="17"/>
      <c r="FC408" s="16"/>
      <c r="FD408" s="16"/>
      <c r="FE408" s="17"/>
      <c r="FF408" s="17"/>
      <c r="FG408" s="11"/>
      <c r="GT408" s="11"/>
      <c r="IG408" s="11"/>
      <c r="JT408" s="11"/>
      <c r="LG408" s="11"/>
      <c r="MT408" s="11"/>
      <c r="OG408" s="11"/>
      <c r="PT408" s="11"/>
    </row>
    <row r="409" spans="1:436" ht="15.75" x14ac:dyDescent="0.25">
      <c r="C409" s="20" t="s">
        <v>360</v>
      </c>
      <c r="D409" s="21" t="s">
        <v>93</v>
      </c>
      <c r="H409" s="11"/>
      <c r="AU409" s="11"/>
      <c r="CH409" s="11"/>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7"/>
      <c r="DF409" s="17"/>
      <c r="DG409" s="16"/>
      <c r="DH409" s="16"/>
      <c r="DI409" s="17"/>
      <c r="DJ409" s="17"/>
      <c r="DK409" s="16"/>
      <c r="DL409" s="16"/>
      <c r="DM409" s="17"/>
      <c r="DN409" s="17"/>
      <c r="DO409" s="16"/>
      <c r="DP409" s="16"/>
      <c r="DQ409" s="17"/>
      <c r="DR409" s="17"/>
      <c r="DS409" s="16"/>
      <c r="DT409" s="16"/>
      <c r="DU409" s="17"/>
      <c r="DV409" s="17"/>
      <c r="DW409" s="16"/>
      <c r="DX409" s="16"/>
      <c r="DY409" s="17"/>
      <c r="DZ409" s="17"/>
      <c r="EA409" s="16"/>
      <c r="EB409" s="16"/>
      <c r="EC409" s="17"/>
      <c r="ED409" s="17"/>
      <c r="EE409" s="16"/>
      <c r="EF409" s="16"/>
      <c r="EG409" s="17"/>
      <c r="EH409" s="17"/>
      <c r="EI409" s="16"/>
      <c r="EJ409" s="16"/>
      <c r="EK409" s="17"/>
      <c r="EL409" s="17"/>
      <c r="EM409" s="16"/>
      <c r="EN409" s="16"/>
      <c r="EO409" s="17"/>
      <c r="EP409" s="17"/>
      <c r="EQ409" s="16"/>
      <c r="ER409" s="16"/>
      <c r="ES409" s="17"/>
      <c r="ET409" s="17"/>
      <c r="EU409" s="16"/>
      <c r="EV409" s="16"/>
      <c r="EW409" s="18">
        <v>3</v>
      </c>
      <c r="EX409" s="18">
        <v>4</v>
      </c>
      <c r="EY409" s="16"/>
      <c r="EZ409" s="16"/>
      <c r="FA409" s="17"/>
      <c r="FB409" s="17"/>
      <c r="FC409" s="16"/>
      <c r="FD409" s="16"/>
      <c r="FE409" s="17"/>
      <c r="FF409" s="17"/>
      <c r="FG409" s="11"/>
      <c r="GT409" s="11"/>
      <c r="IG409" s="11"/>
      <c r="JT409" s="11"/>
      <c r="LG409" s="11"/>
      <c r="MT409" s="11"/>
      <c r="OG409" s="11"/>
      <c r="PT409" s="11"/>
    </row>
    <row r="410" spans="1:436" ht="15.75" x14ac:dyDescent="0.25">
      <c r="C410" s="20" t="s">
        <v>352</v>
      </c>
      <c r="D410" s="21" t="s">
        <v>90</v>
      </c>
      <c r="H410" s="11"/>
      <c r="AU410" s="11"/>
      <c r="CH410" s="11"/>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7"/>
      <c r="DF410" s="17"/>
      <c r="DG410" s="16"/>
      <c r="DH410" s="16"/>
      <c r="DI410" s="17"/>
      <c r="DJ410" s="17"/>
      <c r="DK410" s="16"/>
      <c r="DL410" s="16"/>
      <c r="DM410" s="17"/>
      <c r="DN410" s="17"/>
      <c r="DO410" s="16"/>
      <c r="DP410" s="16"/>
      <c r="DQ410" s="17"/>
      <c r="DR410" s="17"/>
      <c r="DS410" s="16"/>
      <c r="DT410" s="16"/>
      <c r="DU410" s="17"/>
      <c r="DV410" s="17"/>
      <c r="DW410" s="16"/>
      <c r="DX410" s="16"/>
      <c r="DY410" s="17"/>
      <c r="DZ410" s="17"/>
      <c r="EA410" s="16"/>
      <c r="EB410" s="16"/>
      <c r="EC410" s="17"/>
      <c r="ED410" s="17"/>
      <c r="EE410" s="16"/>
      <c r="EF410" s="16"/>
      <c r="EG410" s="17"/>
      <c r="EH410" s="17"/>
      <c r="EI410" s="16"/>
      <c r="EJ410" s="16"/>
      <c r="EK410" s="17"/>
      <c r="EL410" s="17"/>
      <c r="EM410" s="16"/>
      <c r="EN410" s="16"/>
      <c r="EO410" s="17"/>
      <c r="EP410" s="17"/>
      <c r="EQ410" s="16"/>
      <c r="ER410" s="16"/>
      <c r="ES410" s="17"/>
      <c r="ET410" s="17"/>
      <c r="EU410" s="16"/>
      <c r="EV410" s="16"/>
      <c r="EW410" s="17"/>
      <c r="EX410" s="17"/>
      <c r="EY410" s="16"/>
      <c r="EZ410" s="16"/>
      <c r="FA410" s="17"/>
      <c r="FB410" s="17"/>
      <c r="FC410" s="16"/>
      <c r="FD410" s="16"/>
      <c r="FE410" s="17"/>
      <c r="FF410" s="17"/>
      <c r="FG410" s="11"/>
      <c r="GT410" s="11"/>
      <c r="IG410" s="11"/>
      <c r="JT410" s="11"/>
      <c r="LG410" s="11"/>
      <c r="MT410" s="11"/>
      <c r="OG410" s="11"/>
      <c r="PT410" s="11"/>
    </row>
    <row r="411" spans="1:436" ht="15.75" x14ac:dyDescent="0.25">
      <c r="A411" s="13"/>
      <c r="B411" s="14" t="s">
        <v>385</v>
      </c>
      <c r="C411" s="13"/>
      <c r="D411" s="13"/>
      <c r="E411" s="15" t="s">
        <v>76</v>
      </c>
      <c r="F411" s="15" t="s">
        <v>177</v>
      </c>
      <c r="G411" s="13"/>
      <c r="H411" s="11"/>
      <c r="AU411" s="11"/>
      <c r="CH411" s="11"/>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7"/>
      <c r="DF411" s="17"/>
      <c r="DG411" s="16"/>
      <c r="DH411" s="16"/>
      <c r="DI411" s="17"/>
      <c r="DJ411" s="17"/>
      <c r="DK411" s="16"/>
      <c r="DL411" s="16"/>
      <c r="DM411" s="17"/>
      <c r="DN411" s="17"/>
      <c r="DO411" s="16"/>
      <c r="DP411" s="16"/>
      <c r="DQ411" s="17"/>
      <c r="DR411" s="17"/>
      <c r="DS411" s="16"/>
      <c r="DT411" s="16"/>
      <c r="DU411" s="17"/>
      <c r="DV411" s="17"/>
      <c r="DW411" s="16"/>
      <c r="DX411" s="16"/>
      <c r="DY411" s="17"/>
      <c r="DZ411" s="17"/>
      <c r="EA411" s="16"/>
      <c r="EB411" s="16"/>
      <c r="EC411" s="18">
        <v>11.4</v>
      </c>
      <c r="ED411" s="18">
        <v>17.100000000000001</v>
      </c>
      <c r="EE411" s="16"/>
      <c r="EF411" s="16"/>
      <c r="EG411" s="17"/>
      <c r="EH411" s="17"/>
      <c r="EI411" s="16"/>
      <c r="EJ411" s="16"/>
      <c r="EK411" s="17"/>
      <c r="EL411" s="17"/>
      <c r="EM411" s="16"/>
      <c r="EN411" s="16"/>
      <c r="EO411" s="17"/>
      <c r="EP411" s="17"/>
      <c r="EQ411" s="16"/>
      <c r="ER411" s="16"/>
      <c r="ES411" s="17"/>
      <c r="ET411" s="18">
        <v>20</v>
      </c>
      <c r="EU411" s="16"/>
      <c r="EV411" s="16"/>
      <c r="EW411" s="17"/>
      <c r="EX411" s="17"/>
      <c r="EY411" s="16"/>
      <c r="EZ411" s="16"/>
      <c r="FA411" s="17"/>
      <c r="FB411" s="17"/>
      <c r="FC411" s="16"/>
      <c r="FD411" s="16"/>
      <c r="FE411" s="17"/>
      <c r="FF411" s="17"/>
      <c r="FG411" s="11"/>
      <c r="GT411" s="11"/>
      <c r="IG411" s="11"/>
      <c r="JT411" s="11"/>
      <c r="LG411" s="11"/>
      <c r="MT411" s="11"/>
      <c r="OG411" s="11"/>
      <c r="PT411" s="11"/>
    </row>
    <row r="412" spans="1:436" ht="15.75" x14ac:dyDescent="0.25">
      <c r="C412" s="20" t="s">
        <v>386</v>
      </c>
      <c r="D412" s="21" t="s">
        <v>79</v>
      </c>
      <c r="H412" s="11"/>
      <c r="AU412" s="11"/>
      <c r="CH412" s="11"/>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7"/>
      <c r="DF412" s="17"/>
      <c r="DG412" s="16"/>
      <c r="DH412" s="16"/>
      <c r="DI412" s="18">
        <v>2</v>
      </c>
      <c r="DJ412" s="18">
        <v>5</v>
      </c>
      <c r="DK412" s="16"/>
      <c r="DL412" s="16"/>
      <c r="DM412" s="17"/>
      <c r="DN412" s="17"/>
      <c r="DO412" s="16"/>
      <c r="DP412" s="16"/>
      <c r="DQ412" s="17"/>
      <c r="DR412" s="17"/>
      <c r="DS412" s="16"/>
      <c r="DT412" s="16"/>
      <c r="DU412" s="17"/>
      <c r="DV412" s="17"/>
      <c r="DW412" s="16"/>
      <c r="DX412" s="16"/>
      <c r="DY412" s="17"/>
      <c r="DZ412" s="17"/>
      <c r="EA412" s="16"/>
      <c r="EB412" s="16"/>
      <c r="EC412" s="17"/>
      <c r="ED412" s="17"/>
      <c r="EE412" s="16"/>
      <c r="EF412" s="16"/>
      <c r="EG412" s="17"/>
      <c r="EH412" s="17"/>
      <c r="EI412" s="16"/>
      <c r="EJ412" s="16"/>
      <c r="EK412" s="17"/>
      <c r="EL412" s="17"/>
      <c r="EM412" s="16"/>
      <c r="EN412" s="16"/>
      <c r="EO412" s="17"/>
      <c r="EP412" s="17"/>
      <c r="EQ412" s="16"/>
      <c r="ER412" s="16"/>
      <c r="ES412" s="17"/>
      <c r="ET412" s="17"/>
      <c r="EU412" s="16"/>
      <c r="EV412" s="16"/>
      <c r="EW412" s="17"/>
      <c r="EX412" s="17"/>
      <c r="EY412" s="16"/>
      <c r="EZ412" s="16"/>
      <c r="FA412" s="17"/>
      <c r="FB412" s="17"/>
      <c r="FC412" s="16"/>
      <c r="FD412" s="16"/>
      <c r="FE412" s="17"/>
      <c r="FF412" s="17"/>
      <c r="FG412" s="11"/>
      <c r="GT412" s="11"/>
      <c r="IG412" s="11"/>
      <c r="JT412" s="11"/>
      <c r="LG412" s="11"/>
      <c r="MT412" s="11"/>
      <c r="OG412" s="11"/>
      <c r="PT412" s="11"/>
    </row>
    <row r="413" spans="1:436" ht="15.75" x14ac:dyDescent="0.25">
      <c r="C413" s="20" t="s">
        <v>145</v>
      </c>
      <c r="D413" s="21" t="s">
        <v>146</v>
      </c>
      <c r="H413" s="11"/>
      <c r="AU413" s="11"/>
      <c r="CH413" s="11"/>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7"/>
      <c r="DF413" s="17"/>
      <c r="DG413" s="16"/>
      <c r="DH413" s="16"/>
      <c r="DI413" s="17"/>
      <c r="DJ413" s="17"/>
      <c r="DK413" s="16"/>
      <c r="DL413" s="16"/>
      <c r="DM413" s="17"/>
      <c r="DN413" s="17"/>
      <c r="DO413" s="16"/>
      <c r="DP413" s="16"/>
      <c r="DQ413" s="18">
        <v>0.5</v>
      </c>
      <c r="DR413" s="18">
        <v>1</v>
      </c>
      <c r="DS413" s="16"/>
      <c r="DT413" s="16"/>
      <c r="DU413" s="17"/>
      <c r="DV413" s="17"/>
      <c r="DW413" s="16"/>
      <c r="DX413" s="16"/>
      <c r="DY413" s="17"/>
      <c r="DZ413" s="17"/>
      <c r="EA413" s="16"/>
      <c r="EB413" s="16"/>
      <c r="EC413" s="17"/>
      <c r="ED413" s="17"/>
      <c r="EE413" s="16"/>
      <c r="EF413" s="16"/>
      <c r="EG413" s="17"/>
      <c r="EH413" s="17"/>
      <c r="EI413" s="16"/>
      <c r="EJ413" s="16"/>
      <c r="EK413" s="17"/>
      <c r="EL413" s="17"/>
      <c r="EM413" s="16"/>
      <c r="EN413" s="16"/>
      <c r="EO413" s="17"/>
      <c r="EP413" s="17"/>
      <c r="EQ413" s="16"/>
      <c r="ER413" s="16"/>
      <c r="ES413" s="17"/>
      <c r="ET413" s="17"/>
      <c r="EU413" s="16"/>
      <c r="EV413" s="16"/>
      <c r="EW413" s="17"/>
      <c r="EX413" s="17"/>
      <c r="EY413" s="16"/>
      <c r="EZ413" s="16"/>
      <c r="FA413" s="17"/>
      <c r="FB413" s="17"/>
      <c r="FC413" s="16"/>
      <c r="FD413" s="16"/>
      <c r="FE413" s="17"/>
      <c r="FF413" s="17"/>
      <c r="FG413" s="11"/>
      <c r="GT413" s="11"/>
      <c r="IG413" s="11"/>
      <c r="JT413" s="11"/>
      <c r="LG413" s="11"/>
      <c r="MT413" s="11"/>
      <c r="OG413" s="11"/>
      <c r="PT413" s="11"/>
    </row>
    <row r="414" spans="1:436" ht="15.75" x14ac:dyDescent="0.25">
      <c r="C414" s="20" t="s">
        <v>387</v>
      </c>
      <c r="D414" s="21" t="s">
        <v>79</v>
      </c>
      <c r="H414" s="11"/>
      <c r="AU414" s="11"/>
      <c r="CH414" s="11"/>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7"/>
      <c r="DF414" s="17"/>
      <c r="DG414" s="16"/>
      <c r="DH414" s="16"/>
      <c r="DI414" s="18">
        <v>5</v>
      </c>
      <c r="DJ414" s="18">
        <v>12</v>
      </c>
      <c r="DK414" s="16"/>
      <c r="DL414" s="16"/>
      <c r="DM414" s="17"/>
      <c r="DN414" s="17"/>
      <c r="DO414" s="16"/>
      <c r="DP414" s="16"/>
      <c r="DQ414" s="17"/>
      <c r="DR414" s="17"/>
      <c r="DS414" s="16"/>
      <c r="DT414" s="16"/>
      <c r="DU414" s="17"/>
      <c r="DV414" s="17"/>
      <c r="DW414" s="16"/>
      <c r="DX414" s="16"/>
      <c r="DY414" s="17"/>
      <c r="DZ414" s="17"/>
      <c r="EA414" s="16"/>
      <c r="EB414" s="16"/>
      <c r="EC414" s="17"/>
      <c r="ED414" s="17"/>
      <c r="EE414" s="16"/>
      <c r="EF414" s="16"/>
      <c r="EG414" s="17"/>
      <c r="EH414" s="17"/>
      <c r="EI414" s="16"/>
      <c r="EJ414" s="16"/>
      <c r="EK414" s="17"/>
      <c r="EL414" s="17"/>
      <c r="EM414" s="16"/>
      <c r="EN414" s="16"/>
      <c r="EO414" s="17"/>
      <c r="EP414" s="17"/>
      <c r="EQ414" s="16"/>
      <c r="ER414" s="16"/>
      <c r="ES414" s="17"/>
      <c r="ET414" s="17"/>
      <c r="EU414" s="16"/>
      <c r="EV414" s="16"/>
      <c r="EW414" s="17"/>
      <c r="EX414" s="17"/>
      <c r="EY414" s="16"/>
      <c r="EZ414" s="16"/>
      <c r="FA414" s="17"/>
      <c r="FB414" s="17"/>
      <c r="FC414" s="16"/>
      <c r="FD414" s="16"/>
      <c r="FE414" s="17"/>
      <c r="FF414" s="17"/>
      <c r="FG414" s="11"/>
      <c r="GT414" s="11"/>
      <c r="IG414" s="11"/>
      <c r="JT414" s="11"/>
      <c r="LG414" s="11"/>
      <c r="MT414" s="11"/>
      <c r="OG414" s="11"/>
      <c r="PT414" s="11"/>
    </row>
    <row r="415" spans="1:436" ht="15.75" x14ac:dyDescent="0.25">
      <c r="C415" s="20" t="s">
        <v>388</v>
      </c>
      <c r="D415" s="21" t="s">
        <v>134</v>
      </c>
      <c r="H415" s="11"/>
      <c r="AU415" s="11"/>
      <c r="CH415" s="11"/>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7"/>
      <c r="DF415" s="17"/>
      <c r="DG415" s="16"/>
      <c r="DH415" s="16"/>
      <c r="DI415" s="17"/>
      <c r="DJ415" s="17"/>
      <c r="DK415" s="16"/>
      <c r="DL415" s="16"/>
      <c r="DM415" s="18">
        <v>4</v>
      </c>
      <c r="DN415" s="18">
        <v>10</v>
      </c>
      <c r="DO415" s="16"/>
      <c r="DP415" s="16"/>
      <c r="DQ415" s="17"/>
      <c r="DR415" s="17"/>
      <c r="DS415" s="16"/>
      <c r="DT415" s="16"/>
      <c r="DU415" s="17"/>
      <c r="DV415" s="17"/>
      <c r="DW415" s="16"/>
      <c r="DX415" s="16"/>
      <c r="DY415" s="17"/>
      <c r="DZ415" s="17"/>
      <c r="EA415" s="16"/>
      <c r="EB415" s="16"/>
      <c r="EC415" s="17"/>
      <c r="ED415" s="17"/>
      <c r="EE415" s="16"/>
      <c r="EF415" s="16"/>
      <c r="EG415" s="17"/>
      <c r="EH415" s="17"/>
      <c r="EI415" s="16"/>
      <c r="EJ415" s="16"/>
      <c r="EK415" s="17"/>
      <c r="EL415" s="17"/>
      <c r="EM415" s="16"/>
      <c r="EN415" s="16"/>
      <c r="EO415" s="17"/>
      <c r="EP415" s="17"/>
      <c r="EQ415" s="16"/>
      <c r="ER415" s="16"/>
      <c r="ES415" s="17"/>
      <c r="ET415" s="17"/>
      <c r="EU415" s="16"/>
      <c r="EV415" s="16"/>
      <c r="EW415" s="17"/>
      <c r="EX415" s="17"/>
      <c r="EY415" s="16"/>
      <c r="EZ415" s="16"/>
      <c r="FA415" s="17"/>
      <c r="FB415" s="17"/>
      <c r="FC415" s="16"/>
      <c r="FD415" s="16"/>
      <c r="FE415" s="17"/>
      <c r="FF415" s="17"/>
      <c r="FG415" s="11"/>
      <c r="GT415" s="11"/>
      <c r="IG415" s="11"/>
      <c r="JT415" s="11"/>
      <c r="LG415" s="11"/>
      <c r="MT415" s="11"/>
      <c r="OG415" s="11"/>
      <c r="PT415" s="11"/>
    </row>
    <row r="416" spans="1:436" ht="15.75" x14ac:dyDescent="0.25">
      <c r="C416" s="20" t="s">
        <v>389</v>
      </c>
      <c r="D416" s="21" t="s">
        <v>82</v>
      </c>
      <c r="H416" s="11"/>
      <c r="AU416" s="11"/>
      <c r="CH416" s="11"/>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7"/>
      <c r="DF416" s="17"/>
      <c r="DG416" s="16"/>
      <c r="DH416" s="16"/>
      <c r="DI416" s="17"/>
      <c r="DJ416" s="17"/>
      <c r="DK416" s="16"/>
      <c r="DL416" s="16"/>
      <c r="DM416" s="17"/>
      <c r="DN416" s="17"/>
      <c r="DO416" s="16"/>
      <c r="DP416" s="16"/>
      <c r="DQ416" s="17"/>
      <c r="DR416" s="17"/>
      <c r="DS416" s="16"/>
      <c r="DT416" s="16"/>
      <c r="DU416" s="17"/>
      <c r="DV416" s="17"/>
      <c r="DW416" s="16"/>
      <c r="DX416" s="16"/>
      <c r="DY416" s="17"/>
      <c r="DZ416" s="17"/>
      <c r="EA416" s="16"/>
      <c r="EB416" s="16"/>
      <c r="EC416" s="17"/>
      <c r="ED416" s="17"/>
      <c r="EE416" s="16"/>
      <c r="EF416" s="16"/>
      <c r="EG416" s="17"/>
      <c r="EH416" s="17"/>
      <c r="EI416" s="16"/>
      <c r="EJ416" s="16"/>
      <c r="EK416" s="17"/>
      <c r="EL416" s="17"/>
      <c r="EM416" s="16"/>
      <c r="EN416" s="16"/>
      <c r="EO416" s="17"/>
      <c r="EP416" s="17"/>
      <c r="EQ416" s="16"/>
      <c r="ER416" s="16"/>
      <c r="ES416" s="17"/>
      <c r="ET416" s="17"/>
      <c r="EU416" s="16"/>
      <c r="EV416" s="16"/>
      <c r="EW416" s="17"/>
      <c r="EX416" s="17"/>
      <c r="EY416" s="16"/>
      <c r="EZ416" s="16"/>
      <c r="FA416" s="17"/>
      <c r="FB416" s="17"/>
      <c r="FC416" s="16"/>
      <c r="FD416" s="16"/>
      <c r="FE416" s="17"/>
      <c r="FF416" s="17"/>
      <c r="FG416" s="11"/>
      <c r="GT416" s="11"/>
      <c r="IG416" s="11"/>
      <c r="JT416" s="11"/>
      <c r="LG416" s="11"/>
      <c r="MT416" s="11"/>
      <c r="OG416" s="11"/>
      <c r="PT416" s="11"/>
    </row>
    <row r="417" spans="3:436" ht="15.75" x14ac:dyDescent="0.25">
      <c r="C417" s="20" t="s">
        <v>390</v>
      </c>
      <c r="D417" s="21" t="s">
        <v>90</v>
      </c>
      <c r="H417" s="11"/>
      <c r="AU417" s="11"/>
      <c r="CH417" s="11"/>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7"/>
      <c r="DF417" s="17"/>
      <c r="DG417" s="16"/>
      <c r="DH417" s="16"/>
      <c r="DI417" s="17"/>
      <c r="DJ417" s="17"/>
      <c r="DK417" s="16"/>
      <c r="DL417" s="16"/>
      <c r="DM417" s="17"/>
      <c r="DN417" s="17"/>
      <c r="DO417" s="16"/>
      <c r="DP417" s="16"/>
      <c r="DQ417" s="17"/>
      <c r="DR417" s="17"/>
      <c r="DS417" s="16"/>
      <c r="DT417" s="16"/>
      <c r="DU417" s="17"/>
      <c r="DV417" s="17"/>
      <c r="DW417" s="16"/>
      <c r="DX417" s="16"/>
      <c r="DY417" s="17"/>
      <c r="DZ417" s="17"/>
      <c r="EA417" s="16"/>
      <c r="EB417" s="16"/>
      <c r="EC417" s="17"/>
      <c r="ED417" s="17"/>
      <c r="EE417" s="16"/>
      <c r="EF417" s="16"/>
      <c r="EG417" s="17"/>
      <c r="EH417" s="17"/>
      <c r="EI417" s="16"/>
      <c r="EJ417" s="16"/>
      <c r="EK417" s="17"/>
      <c r="EL417" s="17"/>
      <c r="EM417" s="16"/>
      <c r="EN417" s="16"/>
      <c r="EO417" s="17"/>
      <c r="EP417" s="17"/>
      <c r="EQ417" s="16"/>
      <c r="ER417" s="16"/>
      <c r="ES417" s="17"/>
      <c r="ET417" s="17"/>
      <c r="EU417" s="16"/>
      <c r="EV417" s="16"/>
      <c r="EW417" s="17"/>
      <c r="EX417" s="17"/>
      <c r="EY417" s="16"/>
      <c r="EZ417" s="16"/>
      <c r="FA417" s="17"/>
      <c r="FB417" s="17"/>
      <c r="FC417" s="16"/>
      <c r="FD417" s="16"/>
      <c r="FE417" s="17"/>
      <c r="FF417" s="17"/>
      <c r="FG417" s="11"/>
      <c r="GT417" s="11"/>
      <c r="IG417" s="11"/>
      <c r="JT417" s="11"/>
      <c r="LG417" s="11"/>
      <c r="MT417" s="11"/>
      <c r="OG417" s="11"/>
      <c r="PT417" s="11"/>
    </row>
    <row r="418" spans="3:436" ht="15.75" x14ac:dyDescent="0.25">
      <c r="C418" s="20" t="s">
        <v>391</v>
      </c>
      <c r="D418" s="21" t="s">
        <v>79</v>
      </c>
      <c r="H418" s="11"/>
      <c r="AU418" s="11"/>
      <c r="CH418" s="11"/>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7"/>
      <c r="DF418" s="17"/>
      <c r="DG418" s="16"/>
      <c r="DH418" s="16"/>
      <c r="DI418" s="18">
        <v>2</v>
      </c>
      <c r="DJ418" s="18">
        <v>5</v>
      </c>
      <c r="DK418" s="16"/>
      <c r="DL418" s="16"/>
      <c r="DM418" s="17"/>
      <c r="DN418" s="17"/>
      <c r="DO418" s="16"/>
      <c r="DP418" s="16"/>
      <c r="DQ418" s="17"/>
      <c r="DR418" s="17"/>
      <c r="DS418" s="16"/>
      <c r="DT418" s="16"/>
      <c r="DU418" s="17"/>
      <c r="DV418" s="17"/>
      <c r="DW418" s="16"/>
      <c r="DX418" s="16"/>
      <c r="DY418" s="17"/>
      <c r="DZ418" s="17"/>
      <c r="EA418" s="16"/>
      <c r="EB418" s="16"/>
      <c r="EC418" s="17"/>
      <c r="ED418" s="17"/>
      <c r="EE418" s="16"/>
      <c r="EF418" s="16"/>
      <c r="EG418" s="17"/>
      <c r="EH418" s="17"/>
      <c r="EI418" s="16"/>
      <c r="EJ418" s="16"/>
      <c r="EK418" s="17"/>
      <c r="EL418" s="17"/>
      <c r="EM418" s="16"/>
      <c r="EN418" s="16"/>
      <c r="EO418" s="17"/>
      <c r="EP418" s="17"/>
      <c r="EQ418" s="16"/>
      <c r="ER418" s="16"/>
      <c r="ES418" s="17"/>
      <c r="ET418" s="17"/>
      <c r="EU418" s="16"/>
      <c r="EV418" s="16"/>
      <c r="EW418" s="17"/>
      <c r="EX418" s="17"/>
      <c r="EY418" s="16"/>
      <c r="EZ418" s="16"/>
      <c r="FA418" s="17"/>
      <c r="FB418" s="17"/>
      <c r="FC418" s="16"/>
      <c r="FD418" s="16"/>
      <c r="FE418" s="17"/>
      <c r="FF418" s="17"/>
      <c r="FG418" s="11"/>
      <c r="GT418" s="11"/>
      <c r="IG418" s="11"/>
      <c r="JT418" s="11"/>
      <c r="LG418" s="11"/>
      <c r="MT418" s="11"/>
      <c r="OG418" s="11"/>
      <c r="PT418" s="11"/>
    </row>
    <row r="419" spans="3:436" ht="15.75" x14ac:dyDescent="0.25">
      <c r="C419" s="20" t="s">
        <v>392</v>
      </c>
      <c r="D419" s="21" t="s">
        <v>79</v>
      </c>
      <c r="H419" s="11"/>
      <c r="AU419" s="11"/>
      <c r="CH419" s="11"/>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7"/>
      <c r="DF419" s="17"/>
      <c r="DG419" s="16"/>
      <c r="DH419" s="16"/>
      <c r="DI419" s="18">
        <v>3</v>
      </c>
      <c r="DJ419" s="18">
        <v>8</v>
      </c>
      <c r="DK419" s="16"/>
      <c r="DL419" s="16"/>
      <c r="DM419" s="17"/>
      <c r="DN419" s="17"/>
      <c r="DO419" s="16"/>
      <c r="DP419" s="16"/>
      <c r="DQ419" s="17"/>
      <c r="DR419" s="17"/>
      <c r="DS419" s="16"/>
      <c r="DT419" s="16"/>
      <c r="DU419" s="17"/>
      <c r="DV419" s="17"/>
      <c r="DW419" s="16"/>
      <c r="DX419" s="16"/>
      <c r="DY419" s="17"/>
      <c r="DZ419" s="17"/>
      <c r="EA419" s="16"/>
      <c r="EB419" s="16"/>
      <c r="EC419" s="17"/>
      <c r="ED419" s="17"/>
      <c r="EE419" s="16"/>
      <c r="EF419" s="16"/>
      <c r="EG419" s="17"/>
      <c r="EH419" s="17"/>
      <c r="EI419" s="16"/>
      <c r="EJ419" s="16"/>
      <c r="EK419" s="17"/>
      <c r="EL419" s="17"/>
      <c r="EM419" s="16"/>
      <c r="EN419" s="16"/>
      <c r="EO419" s="17"/>
      <c r="EP419" s="17"/>
      <c r="EQ419" s="16"/>
      <c r="ER419" s="16"/>
      <c r="ES419" s="17"/>
      <c r="ET419" s="17"/>
      <c r="EU419" s="16"/>
      <c r="EV419" s="16"/>
      <c r="EW419" s="17"/>
      <c r="EX419" s="17"/>
      <c r="EY419" s="16"/>
      <c r="EZ419" s="16"/>
      <c r="FA419" s="17"/>
      <c r="FB419" s="17"/>
      <c r="FC419" s="16"/>
      <c r="FD419" s="16"/>
      <c r="FE419" s="17"/>
      <c r="FF419" s="17"/>
      <c r="FG419" s="11"/>
      <c r="GT419" s="11"/>
      <c r="IG419" s="11"/>
      <c r="JT419" s="11"/>
      <c r="LG419" s="11"/>
      <c r="MT419" s="11"/>
      <c r="OG419" s="11"/>
      <c r="PT419" s="11"/>
    </row>
    <row r="420" spans="3:436" ht="15.75" x14ac:dyDescent="0.25">
      <c r="C420" s="20" t="s">
        <v>393</v>
      </c>
      <c r="D420" s="21" t="s">
        <v>134</v>
      </c>
      <c r="H420" s="11"/>
      <c r="AU420" s="11"/>
      <c r="CH420" s="11"/>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7"/>
      <c r="DF420" s="17"/>
      <c r="DG420" s="16"/>
      <c r="DH420" s="16"/>
      <c r="DI420" s="17"/>
      <c r="DJ420" s="17"/>
      <c r="DK420" s="16"/>
      <c r="DL420" s="16"/>
      <c r="DM420" s="18">
        <v>3</v>
      </c>
      <c r="DN420" s="18">
        <v>4</v>
      </c>
      <c r="DO420" s="16"/>
      <c r="DP420" s="16"/>
      <c r="DQ420" s="17"/>
      <c r="DR420" s="17"/>
      <c r="DS420" s="16"/>
      <c r="DT420" s="16"/>
      <c r="DU420" s="17"/>
      <c r="DV420" s="17"/>
      <c r="DW420" s="16"/>
      <c r="DX420" s="16"/>
      <c r="DY420" s="17"/>
      <c r="DZ420" s="17"/>
      <c r="EA420" s="16"/>
      <c r="EB420" s="16"/>
      <c r="EC420" s="17"/>
      <c r="ED420" s="17"/>
      <c r="EE420" s="16"/>
      <c r="EF420" s="16"/>
      <c r="EG420" s="17"/>
      <c r="EH420" s="17"/>
      <c r="EI420" s="16"/>
      <c r="EJ420" s="16"/>
      <c r="EK420" s="17"/>
      <c r="EL420" s="17"/>
      <c r="EM420" s="16"/>
      <c r="EN420" s="16"/>
      <c r="EO420" s="17"/>
      <c r="EP420" s="17"/>
      <c r="EQ420" s="16"/>
      <c r="ER420" s="16"/>
      <c r="ES420" s="17"/>
      <c r="ET420" s="17"/>
      <c r="EU420" s="16"/>
      <c r="EV420" s="16"/>
      <c r="EW420" s="17"/>
      <c r="EX420" s="17"/>
      <c r="EY420" s="16"/>
      <c r="EZ420" s="16"/>
      <c r="FA420" s="17"/>
      <c r="FB420" s="17"/>
      <c r="FC420" s="16"/>
      <c r="FD420" s="16"/>
      <c r="FE420" s="17"/>
      <c r="FF420" s="17"/>
      <c r="FG420" s="11"/>
      <c r="GT420" s="11"/>
      <c r="IG420" s="11"/>
      <c r="JT420" s="11"/>
      <c r="LG420" s="11"/>
      <c r="MT420" s="11"/>
      <c r="OG420" s="11"/>
      <c r="PT420" s="11"/>
    </row>
    <row r="421" spans="3:436" ht="15.75" x14ac:dyDescent="0.25">
      <c r="C421" s="20" t="s">
        <v>394</v>
      </c>
      <c r="D421" s="21" t="s">
        <v>93</v>
      </c>
      <c r="H421" s="11"/>
      <c r="AU421" s="11"/>
      <c r="CH421" s="11"/>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7"/>
      <c r="DF421" s="17"/>
      <c r="DG421" s="16"/>
      <c r="DH421" s="16"/>
      <c r="DI421" s="17"/>
      <c r="DJ421" s="17"/>
      <c r="DK421" s="16"/>
      <c r="DL421" s="16"/>
      <c r="DM421" s="17"/>
      <c r="DN421" s="17"/>
      <c r="DO421" s="16"/>
      <c r="DP421" s="16"/>
      <c r="DQ421" s="17"/>
      <c r="DR421" s="17"/>
      <c r="DS421" s="16"/>
      <c r="DT421" s="16"/>
      <c r="DU421" s="17"/>
      <c r="DV421" s="17"/>
      <c r="DW421" s="16"/>
      <c r="DX421" s="16"/>
      <c r="DY421" s="17"/>
      <c r="DZ421" s="17"/>
      <c r="EA421" s="16"/>
      <c r="EB421" s="16"/>
      <c r="EC421" s="17"/>
      <c r="ED421" s="17"/>
      <c r="EE421" s="16"/>
      <c r="EF421" s="16"/>
      <c r="EG421" s="17"/>
      <c r="EH421" s="17"/>
      <c r="EI421" s="16"/>
      <c r="EJ421" s="16"/>
      <c r="EK421" s="17"/>
      <c r="EL421" s="17"/>
      <c r="EM421" s="16"/>
      <c r="EN421" s="16"/>
      <c r="EO421" s="17"/>
      <c r="EP421" s="17"/>
      <c r="EQ421" s="16"/>
      <c r="ER421" s="16"/>
      <c r="ES421" s="17"/>
      <c r="ET421" s="17"/>
      <c r="EU421" s="16"/>
      <c r="EV421" s="16"/>
      <c r="EW421" s="17"/>
      <c r="EX421" s="17"/>
      <c r="EY421" s="16"/>
      <c r="EZ421" s="16"/>
      <c r="FA421" s="17"/>
      <c r="FB421" s="17"/>
      <c r="FC421" s="16"/>
      <c r="FD421" s="16"/>
      <c r="FE421" s="17"/>
      <c r="FF421" s="17"/>
      <c r="FG421" s="11"/>
      <c r="GT421" s="11"/>
      <c r="IG421" s="11"/>
      <c r="JT421" s="11"/>
      <c r="LG421" s="11"/>
      <c r="MT421" s="11"/>
      <c r="OG421" s="11"/>
      <c r="PT421" s="11"/>
    </row>
    <row r="422" spans="3:436" ht="15.75" x14ac:dyDescent="0.25">
      <c r="C422" s="20" t="s">
        <v>395</v>
      </c>
      <c r="D422" s="21" t="s">
        <v>129</v>
      </c>
      <c r="H422" s="11"/>
      <c r="AU422" s="11"/>
      <c r="CH422" s="11"/>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7"/>
      <c r="DF422" s="17"/>
      <c r="DG422" s="16"/>
      <c r="DH422" s="16"/>
      <c r="DI422" s="17"/>
      <c r="DJ422" s="17"/>
      <c r="DK422" s="16"/>
      <c r="DL422" s="16"/>
      <c r="DM422" s="17"/>
      <c r="DN422" s="17"/>
      <c r="DO422" s="16"/>
      <c r="DP422" s="16"/>
      <c r="DQ422" s="17"/>
      <c r="DR422" s="17"/>
      <c r="DS422" s="16"/>
      <c r="DT422" s="16"/>
      <c r="DU422" s="17"/>
      <c r="DV422" s="17"/>
      <c r="DW422" s="16"/>
      <c r="DX422" s="16"/>
      <c r="DY422" s="17"/>
      <c r="DZ422" s="17"/>
      <c r="EA422" s="16"/>
      <c r="EB422" s="16"/>
      <c r="EC422" s="17"/>
      <c r="ED422" s="17"/>
      <c r="EE422" s="16"/>
      <c r="EF422" s="16"/>
      <c r="EG422" s="17"/>
      <c r="EH422" s="17"/>
      <c r="EI422" s="16"/>
      <c r="EJ422" s="16"/>
      <c r="EK422" s="17"/>
      <c r="EL422" s="17"/>
      <c r="EM422" s="16"/>
      <c r="EN422" s="16"/>
      <c r="EO422" s="17"/>
      <c r="EP422" s="17"/>
      <c r="EQ422" s="16"/>
      <c r="ER422" s="16"/>
      <c r="ES422" s="17"/>
      <c r="ET422" s="17"/>
      <c r="EU422" s="16"/>
      <c r="EV422" s="16"/>
      <c r="EW422" s="17"/>
      <c r="EX422" s="17"/>
      <c r="EY422" s="16"/>
      <c r="EZ422" s="16"/>
      <c r="FA422" s="17"/>
      <c r="FB422" s="17"/>
      <c r="FC422" s="16"/>
      <c r="FD422" s="16"/>
      <c r="FE422" s="17"/>
      <c r="FF422" s="17"/>
      <c r="FG422" s="11"/>
      <c r="GT422" s="11"/>
      <c r="IG422" s="11"/>
      <c r="JT422" s="11"/>
      <c r="LG422" s="11"/>
      <c r="MT422" s="11"/>
      <c r="OG422" s="11"/>
      <c r="PT422" s="11"/>
    </row>
    <row r="423" spans="3:436" ht="15.75" x14ac:dyDescent="0.25">
      <c r="C423" s="20" t="s">
        <v>396</v>
      </c>
      <c r="D423" s="21" t="s">
        <v>136</v>
      </c>
      <c r="H423" s="11"/>
      <c r="AU423" s="11"/>
      <c r="CH423" s="11"/>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7"/>
      <c r="DF423" s="17"/>
      <c r="DG423" s="16"/>
      <c r="DH423" s="16"/>
      <c r="DI423" s="17"/>
      <c r="DJ423" s="17"/>
      <c r="DK423" s="16"/>
      <c r="DL423" s="16"/>
      <c r="DM423" s="17"/>
      <c r="DN423" s="17"/>
      <c r="DO423" s="16"/>
      <c r="DP423" s="16"/>
      <c r="DQ423" s="17"/>
      <c r="DR423" s="17"/>
      <c r="DS423" s="16"/>
      <c r="DT423" s="16"/>
      <c r="DU423" s="17"/>
      <c r="DV423" s="17"/>
      <c r="DW423" s="16"/>
      <c r="DX423" s="16"/>
      <c r="DY423" s="17"/>
      <c r="DZ423" s="17"/>
      <c r="EA423" s="16"/>
      <c r="EB423" s="16"/>
      <c r="EC423" s="17"/>
      <c r="ED423" s="17"/>
      <c r="EE423" s="16"/>
      <c r="EF423" s="16"/>
      <c r="EG423" s="17"/>
      <c r="EH423" s="17"/>
      <c r="EI423" s="16"/>
      <c r="EJ423" s="16"/>
      <c r="EK423" s="17"/>
      <c r="EL423" s="17"/>
      <c r="EM423" s="16"/>
      <c r="EN423" s="16"/>
      <c r="EO423" s="17"/>
      <c r="EP423" s="17"/>
      <c r="EQ423" s="16"/>
      <c r="ER423" s="16"/>
      <c r="ES423" s="17"/>
      <c r="ET423" s="17"/>
      <c r="EU423" s="16"/>
      <c r="EV423" s="16"/>
      <c r="EW423" s="17"/>
      <c r="EX423" s="17"/>
      <c r="EY423" s="16"/>
      <c r="EZ423" s="16"/>
      <c r="FA423" s="17"/>
      <c r="FB423" s="17"/>
      <c r="FC423" s="16"/>
      <c r="FD423" s="16"/>
      <c r="FE423" s="17"/>
      <c r="FF423" s="17"/>
      <c r="FG423" s="11"/>
      <c r="GT423" s="11"/>
      <c r="IG423" s="11"/>
      <c r="JT423" s="11"/>
      <c r="LG423" s="11"/>
      <c r="MT423" s="11"/>
      <c r="OG423" s="11"/>
      <c r="PT423" s="11"/>
    </row>
    <row r="424" spans="3:436" ht="15.75" x14ac:dyDescent="0.25">
      <c r="C424" s="20" t="s">
        <v>397</v>
      </c>
      <c r="D424" s="21" t="s">
        <v>136</v>
      </c>
      <c r="H424" s="11"/>
      <c r="AU424" s="11"/>
      <c r="CH424" s="11"/>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7"/>
      <c r="DF424" s="17"/>
      <c r="DG424" s="16"/>
      <c r="DH424" s="16"/>
      <c r="DI424" s="17"/>
      <c r="DJ424" s="17"/>
      <c r="DK424" s="16"/>
      <c r="DL424" s="16"/>
      <c r="DM424" s="17"/>
      <c r="DN424" s="17"/>
      <c r="DO424" s="16"/>
      <c r="DP424" s="16"/>
      <c r="DQ424" s="17"/>
      <c r="DR424" s="17"/>
      <c r="DS424" s="16"/>
      <c r="DT424" s="16"/>
      <c r="DU424" s="17"/>
      <c r="DV424" s="17"/>
      <c r="DW424" s="16"/>
      <c r="DX424" s="16"/>
      <c r="DY424" s="17"/>
      <c r="DZ424" s="17"/>
      <c r="EA424" s="16"/>
      <c r="EB424" s="16"/>
      <c r="EC424" s="17"/>
      <c r="ED424" s="17"/>
      <c r="EE424" s="16"/>
      <c r="EF424" s="16"/>
      <c r="EG424" s="17"/>
      <c r="EH424" s="17"/>
      <c r="EI424" s="16"/>
      <c r="EJ424" s="16"/>
      <c r="EK424" s="17"/>
      <c r="EL424" s="17"/>
      <c r="EM424" s="16"/>
      <c r="EN424" s="16"/>
      <c r="EO424" s="17"/>
      <c r="EP424" s="17"/>
      <c r="EQ424" s="16"/>
      <c r="ER424" s="16"/>
      <c r="ES424" s="17"/>
      <c r="ET424" s="17"/>
      <c r="EU424" s="16"/>
      <c r="EV424" s="16"/>
      <c r="EW424" s="17"/>
      <c r="EX424" s="17"/>
      <c r="EY424" s="16"/>
      <c r="EZ424" s="16"/>
      <c r="FA424" s="17"/>
      <c r="FB424" s="17"/>
      <c r="FC424" s="16"/>
      <c r="FD424" s="16"/>
      <c r="FE424" s="17"/>
      <c r="FF424" s="17"/>
      <c r="FG424" s="11"/>
      <c r="GT424" s="11"/>
      <c r="IG424" s="11"/>
      <c r="JT424" s="11"/>
      <c r="LG424" s="11"/>
      <c r="MT424" s="11"/>
      <c r="OG424" s="11"/>
      <c r="PT424" s="11"/>
    </row>
    <row r="425" spans="3:436" ht="15.75" x14ac:dyDescent="0.25">
      <c r="C425" s="20" t="s">
        <v>398</v>
      </c>
      <c r="D425" s="21" t="s">
        <v>136</v>
      </c>
      <c r="H425" s="11"/>
      <c r="AU425" s="11"/>
      <c r="CH425" s="11"/>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7"/>
      <c r="DF425" s="17"/>
      <c r="DG425" s="16"/>
      <c r="DH425" s="16"/>
      <c r="DI425" s="17"/>
      <c r="DJ425" s="17"/>
      <c r="DK425" s="16"/>
      <c r="DL425" s="16"/>
      <c r="DM425" s="17"/>
      <c r="DN425" s="17"/>
      <c r="DO425" s="16"/>
      <c r="DP425" s="16"/>
      <c r="DQ425" s="17"/>
      <c r="DR425" s="17"/>
      <c r="DS425" s="16"/>
      <c r="DT425" s="16"/>
      <c r="DU425" s="17"/>
      <c r="DV425" s="17"/>
      <c r="DW425" s="16"/>
      <c r="DX425" s="16"/>
      <c r="DY425" s="17"/>
      <c r="DZ425" s="17"/>
      <c r="EA425" s="16"/>
      <c r="EB425" s="16"/>
      <c r="EC425" s="17"/>
      <c r="ED425" s="17"/>
      <c r="EE425" s="16"/>
      <c r="EF425" s="16"/>
      <c r="EG425" s="17"/>
      <c r="EH425" s="17"/>
      <c r="EI425" s="16"/>
      <c r="EJ425" s="16"/>
      <c r="EK425" s="17"/>
      <c r="EL425" s="17"/>
      <c r="EM425" s="16"/>
      <c r="EN425" s="16"/>
      <c r="EO425" s="17"/>
      <c r="EP425" s="17"/>
      <c r="EQ425" s="16"/>
      <c r="ER425" s="16"/>
      <c r="ES425" s="17"/>
      <c r="ET425" s="17"/>
      <c r="EU425" s="16"/>
      <c r="EV425" s="16"/>
      <c r="EW425" s="17"/>
      <c r="EX425" s="17"/>
      <c r="EY425" s="16"/>
      <c r="EZ425" s="16"/>
      <c r="FA425" s="17"/>
      <c r="FB425" s="17"/>
      <c r="FC425" s="16"/>
      <c r="FD425" s="16"/>
      <c r="FE425" s="17"/>
      <c r="FF425" s="17"/>
      <c r="FG425" s="11"/>
      <c r="GT425" s="11"/>
      <c r="IG425" s="11"/>
      <c r="JT425" s="11"/>
      <c r="LG425" s="11"/>
      <c r="MT425" s="11"/>
      <c r="OG425" s="11"/>
      <c r="PT425" s="11"/>
    </row>
    <row r="426" spans="3:436" ht="15.75" x14ac:dyDescent="0.25">
      <c r="C426" s="20" t="s">
        <v>399</v>
      </c>
      <c r="D426" s="21" t="s">
        <v>136</v>
      </c>
      <c r="H426" s="11"/>
      <c r="AU426" s="11"/>
      <c r="CH426" s="11"/>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7"/>
      <c r="DF426" s="17"/>
      <c r="DG426" s="16"/>
      <c r="DH426" s="16"/>
      <c r="DI426" s="17"/>
      <c r="DJ426" s="17"/>
      <c r="DK426" s="16"/>
      <c r="DL426" s="16"/>
      <c r="DM426" s="17"/>
      <c r="DN426" s="17"/>
      <c r="DO426" s="16"/>
      <c r="DP426" s="16"/>
      <c r="DQ426" s="17"/>
      <c r="DR426" s="17"/>
      <c r="DS426" s="16"/>
      <c r="DT426" s="16"/>
      <c r="DU426" s="17"/>
      <c r="DV426" s="17"/>
      <c r="DW426" s="16"/>
      <c r="DX426" s="16"/>
      <c r="DY426" s="17"/>
      <c r="DZ426" s="17"/>
      <c r="EA426" s="16"/>
      <c r="EB426" s="16"/>
      <c r="EC426" s="17"/>
      <c r="ED426" s="17"/>
      <c r="EE426" s="16"/>
      <c r="EF426" s="16"/>
      <c r="EG426" s="17"/>
      <c r="EH426" s="17"/>
      <c r="EI426" s="16"/>
      <c r="EJ426" s="16"/>
      <c r="EK426" s="17"/>
      <c r="EL426" s="17"/>
      <c r="EM426" s="16"/>
      <c r="EN426" s="16"/>
      <c r="EO426" s="17"/>
      <c r="EP426" s="17"/>
      <c r="EQ426" s="16"/>
      <c r="ER426" s="16"/>
      <c r="ES426" s="17"/>
      <c r="ET426" s="17"/>
      <c r="EU426" s="16"/>
      <c r="EV426" s="16"/>
      <c r="EW426" s="17"/>
      <c r="EX426" s="17"/>
      <c r="EY426" s="16"/>
      <c r="EZ426" s="16"/>
      <c r="FA426" s="17"/>
      <c r="FB426" s="17"/>
      <c r="FC426" s="16"/>
      <c r="FD426" s="16"/>
      <c r="FE426" s="17"/>
      <c r="FF426" s="17"/>
      <c r="FG426" s="11"/>
      <c r="GT426" s="11"/>
      <c r="IG426" s="11"/>
      <c r="JT426" s="11"/>
      <c r="LG426" s="11"/>
      <c r="MT426" s="11"/>
      <c r="OG426" s="11"/>
      <c r="PT426" s="11"/>
    </row>
    <row r="427" spans="3:436" ht="15.75" x14ac:dyDescent="0.25">
      <c r="C427" s="20" t="s">
        <v>400</v>
      </c>
      <c r="D427" s="21" t="s">
        <v>136</v>
      </c>
      <c r="H427" s="11"/>
      <c r="AU427" s="11"/>
      <c r="CH427" s="11"/>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7"/>
      <c r="DF427" s="17"/>
      <c r="DG427" s="16"/>
      <c r="DH427" s="16"/>
      <c r="DI427" s="17"/>
      <c r="DJ427" s="17"/>
      <c r="DK427" s="16"/>
      <c r="DL427" s="16"/>
      <c r="DM427" s="17"/>
      <c r="DN427" s="17"/>
      <c r="DO427" s="16"/>
      <c r="DP427" s="16"/>
      <c r="DQ427" s="17"/>
      <c r="DR427" s="17"/>
      <c r="DS427" s="16"/>
      <c r="DT427" s="16"/>
      <c r="DU427" s="17"/>
      <c r="DV427" s="17"/>
      <c r="DW427" s="16"/>
      <c r="DX427" s="16"/>
      <c r="DY427" s="17"/>
      <c r="DZ427" s="17"/>
      <c r="EA427" s="16"/>
      <c r="EB427" s="16"/>
      <c r="EC427" s="17"/>
      <c r="ED427" s="17"/>
      <c r="EE427" s="16"/>
      <c r="EF427" s="16"/>
      <c r="EG427" s="17"/>
      <c r="EH427" s="17"/>
      <c r="EI427" s="16"/>
      <c r="EJ427" s="16"/>
      <c r="EK427" s="17"/>
      <c r="EL427" s="17"/>
      <c r="EM427" s="16"/>
      <c r="EN427" s="16"/>
      <c r="EO427" s="17"/>
      <c r="EP427" s="17"/>
      <c r="EQ427" s="16"/>
      <c r="ER427" s="16"/>
      <c r="ES427" s="17"/>
      <c r="ET427" s="17"/>
      <c r="EU427" s="16"/>
      <c r="EV427" s="16"/>
      <c r="EW427" s="17"/>
      <c r="EX427" s="17"/>
      <c r="EY427" s="16"/>
      <c r="EZ427" s="16"/>
      <c r="FA427" s="17"/>
      <c r="FB427" s="17"/>
      <c r="FC427" s="16"/>
      <c r="FD427" s="16"/>
      <c r="FE427" s="17"/>
      <c r="FF427" s="17"/>
      <c r="FG427" s="11"/>
      <c r="GT427" s="11"/>
      <c r="IG427" s="11"/>
      <c r="JT427" s="11"/>
      <c r="LG427" s="11"/>
      <c r="MT427" s="11"/>
      <c r="OG427" s="11"/>
      <c r="PT427" s="11"/>
    </row>
    <row r="428" spans="3:436" ht="15.75" x14ac:dyDescent="0.25">
      <c r="C428" s="20" t="s">
        <v>401</v>
      </c>
      <c r="D428" s="21" t="s">
        <v>162</v>
      </c>
      <c r="H428" s="11"/>
      <c r="AU428" s="11"/>
      <c r="CH428" s="11"/>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7"/>
      <c r="DF428" s="17"/>
      <c r="DG428" s="16"/>
      <c r="DH428" s="16"/>
      <c r="DI428" s="17"/>
      <c r="DJ428" s="17"/>
      <c r="DK428" s="16"/>
      <c r="DL428" s="16"/>
      <c r="DM428" s="17"/>
      <c r="DN428" s="17"/>
      <c r="DO428" s="16"/>
      <c r="DP428" s="16"/>
      <c r="DQ428" s="17"/>
      <c r="DR428" s="17"/>
      <c r="DS428" s="16"/>
      <c r="DT428" s="16"/>
      <c r="DU428" s="17"/>
      <c r="DV428" s="17"/>
      <c r="DW428" s="16"/>
      <c r="DX428" s="16"/>
      <c r="DY428" s="17"/>
      <c r="DZ428" s="17"/>
      <c r="EA428" s="16"/>
      <c r="EB428" s="16"/>
      <c r="EC428" s="17"/>
      <c r="ED428" s="17"/>
      <c r="EE428" s="16"/>
      <c r="EF428" s="16"/>
      <c r="EG428" s="17"/>
      <c r="EH428" s="17"/>
      <c r="EI428" s="16"/>
      <c r="EJ428" s="16"/>
      <c r="EK428" s="17"/>
      <c r="EL428" s="17"/>
      <c r="EM428" s="16"/>
      <c r="EN428" s="16"/>
      <c r="EO428" s="17"/>
      <c r="EP428" s="17"/>
      <c r="EQ428" s="16"/>
      <c r="ER428" s="16"/>
      <c r="ES428" s="17"/>
      <c r="ET428" s="17"/>
      <c r="EU428" s="16"/>
      <c r="EV428" s="16"/>
      <c r="EW428" s="17"/>
      <c r="EX428" s="17"/>
      <c r="EY428" s="16"/>
      <c r="EZ428" s="16"/>
      <c r="FA428" s="17"/>
      <c r="FB428" s="17"/>
      <c r="FC428" s="16"/>
      <c r="FD428" s="16"/>
      <c r="FE428" s="17"/>
      <c r="FF428" s="17"/>
      <c r="FG428" s="11"/>
      <c r="GT428" s="11"/>
      <c r="IG428" s="11"/>
      <c r="JT428" s="11"/>
      <c r="LG428" s="11"/>
      <c r="MT428" s="11"/>
      <c r="OG428" s="11"/>
      <c r="PT428" s="11"/>
    </row>
    <row r="429" spans="3:436" ht="15.75" x14ac:dyDescent="0.25">
      <c r="C429" s="20" t="s">
        <v>402</v>
      </c>
      <c r="D429" s="21" t="s">
        <v>79</v>
      </c>
      <c r="H429" s="11"/>
      <c r="AU429" s="11"/>
      <c r="CH429" s="11"/>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7"/>
      <c r="DF429" s="17"/>
      <c r="DG429" s="16"/>
      <c r="DH429" s="16"/>
      <c r="DI429" s="17"/>
      <c r="DJ429" s="17"/>
      <c r="DK429" s="16"/>
      <c r="DL429" s="16"/>
      <c r="DM429" s="17"/>
      <c r="DN429" s="17"/>
      <c r="DO429" s="16"/>
      <c r="DP429" s="16"/>
      <c r="DQ429" s="17"/>
      <c r="DR429" s="17"/>
      <c r="DS429" s="16"/>
      <c r="DT429" s="16"/>
      <c r="DU429" s="17"/>
      <c r="DV429" s="17"/>
      <c r="DW429" s="16"/>
      <c r="DX429" s="16"/>
      <c r="DY429" s="17"/>
      <c r="DZ429" s="17"/>
      <c r="EA429" s="16"/>
      <c r="EB429" s="16"/>
      <c r="EC429" s="17"/>
      <c r="ED429" s="17"/>
      <c r="EE429" s="16"/>
      <c r="EF429" s="16"/>
      <c r="EG429" s="17"/>
      <c r="EH429" s="17"/>
      <c r="EI429" s="16"/>
      <c r="EJ429" s="16"/>
      <c r="EK429" s="17"/>
      <c r="EL429" s="17"/>
      <c r="EM429" s="16"/>
      <c r="EN429" s="16"/>
      <c r="EO429" s="17"/>
      <c r="EP429" s="17"/>
      <c r="EQ429" s="16"/>
      <c r="ER429" s="16"/>
      <c r="ES429" s="17"/>
      <c r="ET429" s="17"/>
      <c r="EU429" s="16"/>
      <c r="EV429" s="16"/>
      <c r="EW429" s="17"/>
      <c r="EX429" s="17"/>
      <c r="EY429" s="16"/>
      <c r="EZ429" s="16"/>
      <c r="FA429" s="17"/>
      <c r="FB429" s="17"/>
      <c r="FC429" s="16"/>
      <c r="FD429" s="16"/>
      <c r="FE429" s="17"/>
      <c r="FF429" s="17"/>
      <c r="FG429" s="11"/>
      <c r="GT429" s="11"/>
      <c r="IG429" s="11"/>
      <c r="JT429" s="11"/>
      <c r="LG429" s="11"/>
      <c r="MT429" s="11"/>
      <c r="OG429" s="11"/>
      <c r="PT429" s="11"/>
    </row>
    <row r="430" spans="3:436" ht="15.75" x14ac:dyDescent="0.25">
      <c r="C430" s="20" t="s">
        <v>403</v>
      </c>
      <c r="D430" s="21" t="s">
        <v>79</v>
      </c>
      <c r="H430" s="11"/>
      <c r="AU430" s="11"/>
      <c r="CH430" s="11"/>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7"/>
      <c r="DF430" s="17"/>
      <c r="DG430" s="16"/>
      <c r="DH430" s="16"/>
      <c r="DI430" s="18">
        <v>1</v>
      </c>
      <c r="DJ430" s="18">
        <v>1</v>
      </c>
      <c r="DK430" s="16"/>
      <c r="DL430" s="16"/>
      <c r="DM430" s="17"/>
      <c r="DN430" s="17"/>
      <c r="DO430" s="16"/>
      <c r="DP430" s="16"/>
      <c r="DQ430" s="17"/>
      <c r="DR430" s="17"/>
      <c r="DS430" s="16"/>
      <c r="DT430" s="16"/>
      <c r="DU430" s="17"/>
      <c r="DV430" s="17"/>
      <c r="DW430" s="16"/>
      <c r="DX430" s="16"/>
      <c r="DY430" s="17"/>
      <c r="DZ430" s="17"/>
      <c r="EA430" s="16"/>
      <c r="EB430" s="16"/>
      <c r="EC430" s="17"/>
      <c r="ED430" s="17"/>
      <c r="EE430" s="16"/>
      <c r="EF430" s="16"/>
      <c r="EG430" s="17"/>
      <c r="EH430" s="17"/>
      <c r="EI430" s="16"/>
      <c r="EJ430" s="16"/>
      <c r="EK430" s="17"/>
      <c r="EL430" s="17"/>
      <c r="EM430" s="16"/>
      <c r="EN430" s="16"/>
      <c r="EO430" s="17"/>
      <c r="EP430" s="17"/>
      <c r="EQ430" s="16"/>
      <c r="ER430" s="16"/>
      <c r="ES430" s="17"/>
      <c r="ET430" s="17"/>
      <c r="EU430" s="16"/>
      <c r="EV430" s="16"/>
      <c r="EW430" s="17"/>
      <c r="EX430" s="17"/>
      <c r="EY430" s="16"/>
      <c r="EZ430" s="16"/>
      <c r="FA430" s="17"/>
      <c r="FB430" s="17"/>
      <c r="FC430" s="16"/>
      <c r="FD430" s="16"/>
      <c r="FE430" s="17"/>
      <c r="FF430" s="17"/>
      <c r="FG430" s="11"/>
      <c r="GT430" s="11"/>
      <c r="IG430" s="11"/>
      <c r="JT430" s="11"/>
      <c r="LG430" s="11"/>
      <c r="MT430" s="11"/>
      <c r="OG430" s="11"/>
      <c r="PT430" s="11"/>
    </row>
    <row r="431" spans="3:436" ht="15.75" x14ac:dyDescent="0.25">
      <c r="C431" s="20" t="s">
        <v>404</v>
      </c>
      <c r="D431" s="21" t="s">
        <v>129</v>
      </c>
      <c r="H431" s="11"/>
      <c r="AU431" s="11"/>
      <c r="CH431" s="11"/>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7"/>
      <c r="DF431" s="17"/>
      <c r="DG431" s="16"/>
      <c r="DH431" s="16"/>
      <c r="DI431" s="17"/>
      <c r="DJ431" s="17"/>
      <c r="DK431" s="16"/>
      <c r="DL431" s="16"/>
      <c r="DM431" s="17"/>
      <c r="DN431" s="17"/>
      <c r="DO431" s="16"/>
      <c r="DP431" s="16"/>
      <c r="DQ431" s="17"/>
      <c r="DR431" s="17"/>
      <c r="DS431" s="16"/>
      <c r="DT431" s="16"/>
      <c r="DU431" s="17"/>
      <c r="DV431" s="17"/>
      <c r="DW431" s="16"/>
      <c r="DX431" s="16"/>
      <c r="DY431" s="17"/>
      <c r="DZ431" s="17"/>
      <c r="EA431" s="16"/>
      <c r="EB431" s="16"/>
      <c r="EC431" s="17"/>
      <c r="ED431" s="17"/>
      <c r="EE431" s="16"/>
      <c r="EF431" s="16"/>
      <c r="EG431" s="17"/>
      <c r="EH431" s="17"/>
      <c r="EI431" s="16"/>
      <c r="EJ431" s="16"/>
      <c r="EK431" s="17"/>
      <c r="EL431" s="17"/>
      <c r="EM431" s="16"/>
      <c r="EN431" s="16"/>
      <c r="EO431" s="17"/>
      <c r="EP431" s="17"/>
      <c r="EQ431" s="16"/>
      <c r="ER431" s="16"/>
      <c r="ES431" s="17"/>
      <c r="ET431" s="17"/>
      <c r="EU431" s="16"/>
      <c r="EV431" s="16"/>
      <c r="EW431" s="17"/>
      <c r="EX431" s="17"/>
      <c r="EY431" s="16"/>
      <c r="EZ431" s="16"/>
      <c r="FA431" s="17"/>
      <c r="FB431" s="17"/>
      <c r="FC431" s="16"/>
      <c r="FD431" s="16"/>
      <c r="FE431" s="17"/>
      <c r="FF431" s="17"/>
      <c r="FG431" s="11"/>
      <c r="GT431" s="11"/>
      <c r="IG431" s="11"/>
      <c r="JT431" s="11"/>
      <c r="LG431" s="11"/>
      <c r="MT431" s="11"/>
      <c r="OG431" s="11"/>
      <c r="PT431" s="11"/>
    </row>
    <row r="432" spans="3:436" ht="15.75" x14ac:dyDescent="0.25">
      <c r="C432" s="20" t="s">
        <v>405</v>
      </c>
      <c r="D432" s="21" t="s">
        <v>136</v>
      </c>
      <c r="H432" s="11"/>
      <c r="AU432" s="11"/>
      <c r="CH432" s="11"/>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7"/>
      <c r="DF432" s="17"/>
      <c r="DG432" s="16"/>
      <c r="DH432" s="16"/>
      <c r="DI432" s="17"/>
      <c r="DJ432" s="17"/>
      <c r="DK432" s="16"/>
      <c r="DL432" s="16"/>
      <c r="DM432" s="17"/>
      <c r="DN432" s="17"/>
      <c r="DO432" s="16"/>
      <c r="DP432" s="16"/>
      <c r="DQ432" s="17"/>
      <c r="DR432" s="17"/>
      <c r="DS432" s="16"/>
      <c r="DT432" s="16"/>
      <c r="DU432" s="17"/>
      <c r="DV432" s="17"/>
      <c r="DW432" s="16"/>
      <c r="DX432" s="16"/>
      <c r="DY432" s="17"/>
      <c r="DZ432" s="17"/>
      <c r="EA432" s="16"/>
      <c r="EB432" s="16"/>
      <c r="EC432" s="17"/>
      <c r="ED432" s="17"/>
      <c r="EE432" s="16"/>
      <c r="EF432" s="16"/>
      <c r="EG432" s="17"/>
      <c r="EH432" s="17"/>
      <c r="EI432" s="16"/>
      <c r="EJ432" s="16"/>
      <c r="EK432" s="17"/>
      <c r="EL432" s="17"/>
      <c r="EM432" s="16"/>
      <c r="EN432" s="16"/>
      <c r="EO432" s="17"/>
      <c r="EP432" s="17"/>
      <c r="EQ432" s="16"/>
      <c r="ER432" s="16"/>
      <c r="ES432" s="17"/>
      <c r="ET432" s="17"/>
      <c r="EU432" s="16"/>
      <c r="EV432" s="16"/>
      <c r="EW432" s="17"/>
      <c r="EX432" s="17"/>
      <c r="EY432" s="16"/>
      <c r="EZ432" s="16"/>
      <c r="FA432" s="17"/>
      <c r="FB432" s="17"/>
      <c r="FC432" s="16"/>
      <c r="FD432" s="16"/>
      <c r="FE432" s="17"/>
      <c r="FF432" s="17"/>
      <c r="FG432" s="11"/>
      <c r="GT432" s="11"/>
      <c r="IG432" s="11"/>
      <c r="JT432" s="11"/>
      <c r="LG432" s="11"/>
      <c r="MT432" s="11"/>
      <c r="OG432" s="11"/>
      <c r="PT432" s="11"/>
    </row>
    <row r="433" spans="3:436" ht="15.75" x14ac:dyDescent="0.25">
      <c r="C433" s="20" t="s">
        <v>406</v>
      </c>
      <c r="D433" s="21" t="s">
        <v>159</v>
      </c>
      <c r="H433" s="11"/>
      <c r="AU433" s="11"/>
      <c r="CH433" s="11"/>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7"/>
      <c r="DF433" s="17"/>
      <c r="DG433" s="16"/>
      <c r="DH433" s="16"/>
      <c r="DI433" s="17"/>
      <c r="DJ433" s="17"/>
      <c r="DK433" s="16"/>
      <c r="DL433" s="16"/>
      <c r="DM433" s="17"/>
      <c r="DN433" s="17"/>
      <c r="DO433" s="16"/>
      <c r="DP433" s="16"/>
      <c r="DQ433" s="17"/>
      <c r="DR433" s="17"/>
      <c r="DS433" s="16"/>
      <c r="DT433" s="16"/>
      <c r="DU433" s="17"/>
      <c r="DV433" s="17"/>
      <c r="DW433" s="16"/>
      <c r="DX433" s="16"/>
      <c r="DY433" s="17"/>
      <c r="DZ433" s="17"/>
      <c r="EA433" s="16"/>
      <c r="EB433" s="16"/>
      <c r="EC433" s="17"/>
      <c r="ED433" s="17"/>
      <c r="EE433" s="16"/>
      <c r="EF433" s="16"/>
      <c r="EG433" s="17"/>
      <c r="EH433" s="17"/>
      <c r="EI433" s="16"/>
      <c r="EJ433" s="16"/>
      <c r="EK433" s="17"/>
      <c r="EL433" s="17"/>
      <c r="EM433" s="16"/>
      <c r="EN433" s="16"/>
      <c r="EO433" s="17"/>
      <c r="EP433" s="17"/>
      <c r="EQ433" s="16"/>
      <c r="ER433" s="16"/>
      <c r="ES433" s="17"/>
      <c r="ET433" s="17"/>
      <c r="EU433" s="16"/>
      <c r="EV433" s="16"/>
      <c r="EW433" s="17"/>
      <c r="EX433" s="17"/>
      <c r="EY433" s="16"/>
      <c r="EZ433" s="16"/>
      <c r="FA433" s="17"/>
      <c r="FB433" s="17"/>
      <c r="FC433" s="16"/>
      <c r="FD433" s="16"/>
      <c r="FE433" s="17"/>
      <c r="FF433" s="17"/>
      <c r="FG433" s="11"/>
      <c r="GT433" s="11"/>
      <c r="IG433" s="11"/>
      <c r="JT433" s="11"/>
      <c r="LG433" s="11"/>
      <c r="MT433" s="11"/>
      <c r="OG433" s="11"/>
      <c r="PT433" s="11"/>
    </row>
    <row r="434" spans="3:436" ht="15.75" x14ac:dyDescent="0.25">
      <c r="C434" s="20" t="s">
        <v>407</v>
      </c>
      <c r="D434" s="21" t="s">
        <v>82</v>
      </c>
      <c r="H434" s="11"/>
      <c r="AU434" s="11"/>
      <c r="CH434" s="11"/>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7"/>
      <c r="DF434" s="17"/>
      <c r="DG434" s="16"/>
      <c r="DH434" s="16"/>
      <c r="DI434" s="17"/>
      <c r="DJ434" s="17"/>
      <c r="DK434" s="16"/>
      <c r="DL434" s="16"/>
      <c r="DM434" s="17"/>
      <c r="DN434" s="17"/>
      <c r="DO434" s="16"/>
      <c r="DP434" s="16"/>
      <c r="DQ434" s="17"/>
      <c r="DR434" s="17"/>
      <c r="DS434" s="16"/>
      <c r="DT434" s="16"/>
      <c r="DU434" s="17"/>
      <c r="DV434" s="17"/>
      <c r="DW434" s="16"/>
      <c r="DX434" s="16"/>
      <c r="DY434" s="17"/>
      <c r="DZ434" s="17"/>
      <c r="EA434" s="16"/>
      <c r="EB434" s="16"/>
      <c r="EC434" s="17"/>
      <c r="ED434" s="17"/>
      <c r="EE434" s="16"/>
      <c r="EF434" s="16"/>
      <c r="EG434" s="17"/>
      <c r="EH434" s="17"/>
      <c r="EI434" s="16"/>
      <c r="EJ434" s="16"/>
      <c r="EK434" s="17"/>
      <c r="EL434" s="17"/>
      <c r="EM434" s="16"/>
      <c r="EN434" s="16"/>
      <c r="EO434" s="17"/>
      <c r="EP434" s="17"/>
      <c r="EQ434" s="16"/>
      <c r="ER434" s="16"/>
      <c r="ES434" s="17"/>
      <c r="ET434" s="17"/>
      <c r="EU434" s="16"/>
      <c r="EV434" s="16"/>
      <c r="EW434" s="17"/>
      <c r="EX434" s="17"/>
      <c r="EY434" s="16"/>
      <c r="EZ434" s="16"/>
      <c r="FA434" s="17"/>
      <c r="FB434" s="17"/>
      <c r="FC434" s="16"/>
      <c r="FD434" s="16"/>
      <c r="FE434" s="17"/>
      <c r="FF434" s="17"/>
      <c r="FG434" s="11"/>
      <c r="GT434" s="11"/>
      <c r="IG434" s="11"/>
      <c r="JT434" s="11"/>
      <c r="LG434" s="11"/>
      <c r="MT434" s="11"/>
      <c r="OG434" s="11"/>
      <c r="PT434" s="11"/>
    </row>
    <row r="435" spans="3:436" ht="15.75" x14ac:dyDescent="0.25">
      <c r="C435" s="20" t="s">
        <v>408</v>
      </c>
      <c r="D435" s="21" t="s">
        <v>104</v>
      </c>
      <c r="H435" s="11"/>
      <c r="AU435" s="11"/>
      <c r="CH435" s="11"/>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7"/>
      <c r="DF435" s="17"/>
      <c r="DG435" s="16"/>
      <c r="DH435" s="16"/>
      <c r="DI435" s="17"/>
      <c r="DJ435" s="17"/>
      <c r="DK435" s="16"/>
      <c r="DL435" s="16"/>
      <c r="DM435" s="17"/>
      <c r="DN435" s="17"/>
      <c r="DO435" s="16"/>
      <c r="DP435" s="16"/>
      <c r="DQ435" s="17"/>
      <c r="DR435" s="17"/>
      <c r="DS435" s="16"/>
      <c r="DT435" s="16"/>
      <c r="DU435" s="17"/>
      <c r="DV435" s="17"/>
      <c r="DW435" s="16"/>
      <c r="DX435" s="16"/>
      <c r="DY435" s="17"/>
      <c r="DZ435" s="17"/>
      <c r="EA435" s="16"/>
      <c r="EB435" s="16"/>
      <c r="EC435" s="17"/>
      <c r="ED435" s="17"/>
      <c r="EE435" s="16"/>
      <c r="EF435" s="16"/>
      <c r="EG435" s="17"/>
      <c r="EH435" s="17"/>
      <c r="EI435" s="16"/>
      <c r="EJ435" s="16"/>
      <c r="EK435" s="17"/>
      <c r="EL435" s="17"/>
      <c r="EM435" s="16"/>
      <c r="EN435" s="16"/>
      <c r="EO435" s="17"/>
      <c r="EP435" s="17"/>
      <c r="EQ435" s="16"/>
      <c r="ER435" s="16"/>
      <c r="ES435" s="17"/>
      <c r="ET435" s="17"/>
      <c r="EU435" s="16"/>
      <c r="EV435" s="16"/>
      <c r="EW435" s="17"/>
      <c r="EX435" s="17"/>
      <c r="EY435" s="16"/>
      <c r="EZ435" s="16"/>
      <c r="FA435" s="17"/>
      <c r="FB435" s="17"/>
      <c r="FC435" s="19">
        <v>0.5</v>
      </c>
      <c r="FD435" s="19">
        <v>1</v>
      </c>
      <c r="FE435" s="17"/>
      <c r="FF435" s="17"/>
      <c r="FG435" s="11"/>
      <c r="GT435" s="11"/>
      <c r="IG435" s="11"/>
      <c r="JT435" s="11"/>
      <c r="LG435" s="11"/>
      <c r="MT435" s="11"/>
      <c r="OG435" s="11"/>
      <c r="PT435" s="11"/>
    </row>
    <row r="436" spans="3:436" ht="15.75" x14ac:dyDescent="0.25">
      <c r="C436" s="20" t="s">
        <v>409</v>
      </c>
      <c r="D436" s="21" t="s">
        <v>84</v>
      </c>
      <c r="H436" s="11"/>
      <c r="AU436" s="11"/>
      <c r="CH436" s="11"/>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7"/>
      <c r="DF436" s="17"/>
      <c r="DG436" s="16"/>
      <c r="DH436" s="16"/>
      <c r="DI436" s="17"/>
      <c r="DJ436" s="17"/>
      <c r="DK436" s="16"/>
      <c r="DL436" s="16"/>
      <c r="DM436" s="17"/>
      <c r="DN436" s="17"/>
      <c r="DO436" s="16"/>
      <c r="DP436" s="16"/>
      <c r="DQ436" s="17"/>
      <c r="DR436" s="17"/>
      <c r="DS436" s="16"/>
      <c r="DT436" s="16"/>
      <c r="DU436" s="17"/>
      <c r="DV436" s="17"/>
      <c r="DW436" s="16"/>
      <c r="DX436" s="19">
        <v>5</v>
      </c>
      <c r="DY436" s="17"/>
      <c r="DZ436" s="17"/>
      <c r="EA436" s="16"/>
      <c r="EB436" s="16"/>
      <c r="EC436" s="17"/>
      <c r="ED436" s="17"/>
      <c r="EE436" s="16"/>
      <c r="EF436" s="16"/>
      <c r="EG436" s="17"/>
      <c r="EH436" s="17"/>
      <c r="EI436" s="16"/>
      <c r="EJ436" s="16"/>
      <c r="EK436" s="17"/>
      <c r="EL436" s="17"/>
      <c r="EM436" s="16"/>
      <c r="EN436" s="16"/>
      <c r="EO436" s="17"/>
      <c r="EP436" s="17"/>
      <c r="EQ436" s="16"/>
      <c r="ER436" s="16"/>
      <c r="ES436" s="17"/>
      <c r="ET436" s="17"/>
      <c r="EU436" s="16"/>
      <c r="EV436" s="16"/>
      <c r="EW436" s="17"/>
      <c r="EX436" s="17"/>
      <c r="EY436" s="16"/>
      <c r="EZ436" s="16"/>
      <c r="FA436" s="17"/>
      <c r="FB436" s="17"/>
      <c r="FC436" s="16"/>
      <c r="FD436" s="16"/>
      <c r="FE436" s="17"/>
      <c r="FF436" s="17"/>
      <c r="FG436" s="11"/>
      <c r="GT436" s="11"/>
      <c r="IG436" s="11"/>
      <c r="JT436" s="11"/>
      <c r="LG436" s="11"/>
      <c r="MT436" s="11"/>
      <c r="OG436" s="11"/>
      <c r="PT436" s="11"/>
    </row>
    <row r="437" spans="3:436" ht="15.75" x14ac:dyDescent="0.25">
      <c r="C437" s="20" t="s">
        <v>410</v>
      </c>
      <c r="D437" s="21" t="s">
        <v>142</v>
      </c>
      <c r="H437" s="11"/>
      <c r="AU437" s="11"/>
      <c r="CH437" s="11"/>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7"/>
      <c r="DF437" s="17"/>
      <c r="DG437" s="16"/>
      <c r="DH437" s="16"/>
      <c r="DI437" s="17"/>
      <c r="DJ437" s="17"/>
      <c r="DK437" s="16"/>
      <c r="DL437" s="16"/>
      <c r="DM437" s="17"/>
      <c r="DN437" s="17"/>
      <c r="DO437" s="16"/>
      <c r="DP437" s="16"/>
      <c r="DQ437" s="17"/>
      <c r="DR437" s="17"/>
      <c r="DS437" s="16"/>
      <c r="DT437" s="16"/>
      <c r="DU437" s="17"/>
      <c r="DV437" s="17"/>
      <c r="DW437" s="16"/>
      <c r="DX437" s="16"/>
      <c r="DY437" s="17"/>
      <c r="DZ437" s="17"/>
      <c r="EA437" s="16"/>
      <c r="EB437" s="16"/>
      <c r="EC437" s="17"/>
      <c r="ED437" s="17"/>
      <c r="EE437" s="16"/>
      <c r="EF437" s="16"/>
      <c r="EG437" s="17"/>
      <c r="EH437" s="17"/>
      <c r="EI437" s="16"/>
      <c r="EJ437" s="16"/>
      <c r="EK437" s="17"/>
      <c r="EL437" s="17"/>
      <c r="EM437" s="16"/>
      <c r="EN437" s="16"/>
      <c r="EO437" s="17"/>
      <c r="EP437" s="17"/>
      <c r="EQ437" s="16"/>
      <c r="ER437" s="16"/>
      <c r="ES437" s="17"/>
      <c r="ET437" s="17"/>
      <c r="EU437" s="16"/>
      <c r="EV437" s="16"/>
      <c r="EW437" s="17"/>
      <c r="EX437" s="17"/>
      <c r="EY437" s="16"/>
      <c r="EZ437" s="16"/>
      <c r="FA437" s="17"/>
      <c r="FB437" s="17"/>
      <c r="FC437" s="16"/>
      <c r="FD437" s="16"/>
      <c r="FE437" s="17"/>
      <c r="FF437" s="17"/>
      <c r="FG437" s="11"/>
      <c r="GT437" s="11"/>
      <c r="IG437" s="11"/>
      <c r="JT437" s="11"/>
      <c r="LG437" s="11"/>
      <c r="MT437" s="11"/>
      <c r="OG437" s="11"/>
      <c r="PT437" s="11"/>
    </row>
    <row r="438" spans="3:436" ht="15.75" x14ac:dyDescent="0.25">
      <c r="C438" s="20" t="s">
        <v>69</v>
      </c>
      <c r="D438" s="21" t="s">
        <v>90</v>
      </c>
      <c r="H438" s="11"/>
      <c r="AU438" s="11"/>
      <c r="CH438" s="11"/>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7"/>
      <c r="DF438" s="17"/>
      <c r="DG438" s="16"/>
      <c r="DH438" s="16"/>
      <c r="DI438" s="17"/>
      <c r="DJ438" s="17"/>
      <c r="DK438" s="16"/>
      <c r="DL438" s="16"/>
      <c r="DM438" s="17"/>
      <c r="DN438" s="17"/>
      <c r="DO438" s="16"/>
      <c r="DP438" s="16"/>
      <c r="DQ438" s="17"/>
      <c r="DR438" s="17"/>
      <c r="DS438" s="16"/>
      <c r="DT438" s="16"/>
      <c r="DU438" s="17"/>
      <c r="DV438" s="17"/>
      <c r="DW438" s="16"/>
      <c r="DX438" s="16"/>
      <c r="DY438" s="17"/>
      <c r="DZ438" s="17"/>
      <c r="EA438" s="16"/>
      <c r="EB438" s="16"/>
      <c r="EC438" s="17"/>
      <c r="ED438" s="17"/>
      <c r="EE438" s="16"/>
      <c r="EF438" s="16"/>
      <c r="EG438" s="17"/>
      <c r="EH438" s="17"/>
      <c r="EI438" s="16"/>
      <c r="EJ438" s="16"/>
      <c r="EK438" s="17"/>
      <c r="EL438" s="17"/>
      <c r="EM438" s="16"/>
      <c r="EN438" s="16"/>
      <c r="EO438" s="17"/>
      <c r="EP438" s="17"/>
      <c r="EQ438" s="16"/>
      <c r="ER438" s="16"/>
      <c r="ES438" s="17"/>
      <c r="ET438" s="17"/>
      <c r="EU438" s="16"/>
      <c r="EV438" s="16"/>
      <c r="EW438" s="17"/>
      <c r="EX438" s="17"/>
      <c r="EY438" s="16"/>
      <c r="EZ438" s="16"/>
      <c r="FA438" s="17"/>
      <c r="FB438" s="17"/>
      <c r="FC438" s="16"/>
      <c r="FD438" s="16"/>
      <c r="FE438" s="17"/>
      <c r="FF438" s="17"/>
      <c r="FG438" s="11"/>
      <c r="GT438" s="11"/>
      <c r="IG438" s="11"/>
      <c r="JT438" s="11"/>
      <c r="LG438" s="11"/>
      <c r="MT438" s="11"/>
      <c r="OG438" s="11"/>
      <c r="PT438" s="11"/>
    </row>
    <row r="439" spans="3:436" ht="15.75" x14ac:dyDescent="0.25">
      <c r="C439" s="20" t="s">
        <v>386</v>
      </c>
      <c r="D439" s="21" t="s">
        <v>79</v>
      </c>
      <c r="H439" s="11"/>
      <c r="AU439" s="11"/>
      <c r="CH439" s="11"/>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7"/>
      <c r="DF439" s="17"/>
      <c r="DG439" s="16"/>
      <c r="DH439" s="16"/>
      <c r="DI439" s="17"/>
      <c r="DJ439" s="17"/>
      <c r="DK439" s="16"/>
      <c r="DL439" s="16"/>
      <c r="DM439" s="17"/>
      <c r="DN439" s="17"/>
      <c r="DO439" s="16"/>
      <c r="DP439" s="16"/>
      <c r="DQ439" s="17"/>
      <c r="DR439" s="17"/>
      <c r="DS439" s="16"/>
      <c r="DT439" s="16"/>
      <c r="DU439" s="17"/>
      <c r="DV439" s="17"/>
      <c r="DW439" s="16"/>
      <c r="DX439" s="16"/>
      <c r="DY439" s="17"/>
      <c r="DZ439" s="17"/>
      <c r="EA439" s="16"/>
      <c r="EB439" s="16"/>
      <c r="EC439" s="17"/>
      <c r="ED439" s="17"/>
      <c r="EE439" s="16"/>
      <c r="EF439" s="16"/>
      <c r="EG439" s="17"/>
      <c r="EH439" s="17"/>
      <c r="EI439" s="16"/>
      <c r="EJ439" s="16"/>
      <c r="EK439" s="17"/>
      <c r="EL439" s="17"/>
      <c r="EM439" s="16"/>
      <c r="EN439" s="16"/>
      <c r="EO439" s="17"/>
      <c r="EP439" s="17"/>
      <c r="EQ439" s="16"/>
      <c r="ER439" s="16"/>
      <c r="ES439" s="17"/>
      <c r="ET439" s="17"/>
      <c r="EU439" s="16"/>
      <c r="EV439" s="16"/>
      <c r="EW439" s="17"/>
      <c r="EX439" s="17"/>
      <c r="EY439" s="16"/>
      <c r="EZ439" s="16"/>
      <c r="FA439" s="17"/>
      <c r="FB439" s="17"/>
      <c r="FC439" s="16"/>
      <c r="FD439" s="16"/>
      <c r="FE439" s="17"/>
      <c r="FF439" s="17"/>
      <c r="FG439" s="11"/>
      <c r="GT439" s="11"/>
      <c r="IG439" s="11"/>
      <c r="JT439" s="11"/>
      <c r="LG439" s="11"/>
      <c r="MT439" s="11"/>
      <c r="OG439" s="11"/>
      <c r="PT439" s="11"/>
    </row>
    <row r="440" spans="3:436" ht="15.75" x14ac:dyDescent="0.25">
      <c r="C440" s="20" t="s">
        <v>411</v>
      </c>
      <c r="D440" s="21" t="s">
        <v>82</v>
      </c>
      <c r="H440" s="11"/>
      <c r="AU440" s="11"/>
      <c r="CH440" s="11"/>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7"/>
      <c r="DF440" s="17"/>
      <c r="DG440" s="16"/>
      <c r="DH440" s="16"/>
      <c r="DI440" s="17"/>
      <c r="DJ440" s="17"/>
      <c r="DK440" s="16"/>
      <c r="DL440" s="16"/>
      <c r="DM440" s="17"/>
      <c r="DN440" s="17"/>
      <c r="DO440" s="16"/>
      <c r="DP440" s="16"/>
      <c r="DQ440" s="17"/>
      <c r="DR440" s="17"/>
      <c r="DS440" s="16"/>
      <c r="DT440" s="16"/>
      <c r="DU440" s="17"/>
      <c r="DV440" s="17"/>
      <c r="DW440" s="16"/>
      <c r="DX440" s="16"/>
      <c r="DY440" s="17"/>
      <c r="DZ440" s="17"/>
      <c r="EA440" s="16"/>
      <c r="EB440" s="16"/>
      <c r="EC440" s="17"/>
      <c r="ED440" s="17"/>
      <c r="EE440" s="16"/>
      <c r="EF440" s="16"/>
      <c r="EG440" s="17"/>
      <c r="EH440" s="17"/>
      <c r="EI440" s="16"/>
      <c r="EJ440" s="16"/>
      <c r="EK440" s="17"/>
      <c r="EL440" s="17"/>
      <c r="EM440" s="16"/>
      <c r="EN440" s="16"/>
      <c r="EO440" s="17"/>
      <c r="EP440" s="17"/>
      <c r="EQ440" s="16"/>
      <c r="ER440" s="16"/>
      <c r="ES440" s="18">
        <v>1</v>
      </c>
      <c r="ET440" s="18">
        <v>2</v>
      </c>
      <c r="EU440" s="16"/>
      <c r="EV440" s="16"/>
      <c r="EW440" s="17"/>
      <c r="EX440" s="17"/>
      <c r="EY440" s="16"/>
      <c r="EZ440" s="16"/>
      <c r="FA440" s="17"/>
      <c r="FB440" s="17"/>
      <c r="FC440" s="16"/>
      <c r="FD440" s="16"/>
      <c r="FE440" s="17"/>
      <c r="FF440" s="17"/>
      <c r="FG440" s="11"/>
      <c r="GT440" s="11"/>
      <c r="IG440" s="11"/>
      <c r="JT440" s="11"/>
      <c r="LG440" s="11"/>
      <c r="MT440" s="11"/>
      <c r="OG440" s="11"/>
      <c r="PT440" s="11"/>
    </row>
    <row r="441" spans="3:436" ht="15.75" x14ac:dyDescent="0.25">
      <c r="C441" s="20" t="s">
        <v>412</v>
      </c>
      <c r="D441" s="21" t="s">
        <v>82</v>
      </c>
      <c r="H441" s="11"/>
      <c r="AU441" s="11"/>
      <c r="CH441" s="11"/>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7"/>
      <c r="DF441" s="17"/>
      <c r="DG441" s="16"/>
      <c r="DH441" s="16"/>
      <c r="DI441" s="17"/>
      <c r="DJ441" s="17"/>
      <c r="DK441" s="16"/>
      <c r="DL441" s="16"/>
      <c r="DM441" s="17"/>
      <c r="DN441" s="17"/>
      <c r="DO441" s="16"/>
      <c r="DP441" s="16"/>
      <c r="DQ441" s="17"/>
      <c r="DR441" s="17"/>
      <c r="DS441" s="16"/>
      <c r="DT441" s="16"/>
      <c r="DU441" s="17"/>
      <c r="DV441" s="17"/>
      <c r="DW441" s="16"/>
      <c r="DX441" s="16"/>
      <c r="DY441" s="17"/>
      <c r="DZ441" s="17"/>
      <c r="EA441" s="16"/>
      <c r="EB441" s="16"/>
      <c r="EC441" s="17"/>
      <c r="ED441" s="17"/>
      <c r="EE441" s="16"/>
      <c r="EF441" s="16"/>
      <c r="EG441" s="17"/>
      <c r="EH441" s="17"/>
      <c r="EI441" s="16"/>
      <c r="EJ441" s="16"/>
      <c r="EK441" s="17"/>
      <c r="EL441" s="17"/>
      <c r="EM441" s="16"/>
      <c r="EN441" s="16"/>
      <c r="EO441" s="17"/>
      <c r="EP441" s="17"/>
      <c r="EQ441" s="16"/>
      <c r="ER441" s="16"/>
      <c r="ES441" s="18">
        <v>3</v>
      </c>
      <c r="ET441" s="18">
        <v>5</v>
      </c>
      <c r="EU441" s="16"/>
      <c r="EV441" s="16"/>
      <c r="EW441" s="17"/>
      <c r="EX441" s="17"/>
      <c r="EY441" s="16"/>
      <c r="EZ441" s="16"/>
      <c r="FA441" s="17"/>
      <c r="FB441" s="17"/>
      <c r="FC441" s="16"/>
      <c r="FD441" s="16"/>
      <c r="FE441" s="17"/>
      <c r="FF441" s="17"/>
      <c r="FG441" s="11"/>
      <c r="GT441" s="11"/>
      <c r="IG441" s="11"/>
      <c r="JT441" s="11"/>
      <c r="LG441" s="11"/>
      <c r="MT441" s="11"/>
      <c r="OG441" s="11"/>
      <c r="PT441" s="11"/>
    </row>
    <row r="442" spans="3:436" ht="15.75" x14ac:dyDescent="0.25">
      <c r="C442" s="20" t="s">
        <v>413</v>
      </c>
      <c r="D442" s="21" t="s">
        <v>82</v>
      </c>
      <c r="H442" s="11"/>
      <c r="AU442" s="11"/>
      <c r="CH442" s="11"/>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7"/>
      <c r="DF442" s="17"/>
      <c r="DG442" s="16"/>
      <c r="DH442" s="16"/>
      <c r="DI442" s="17"/>
      <c r="DJ442" s="17"/>
      <c r="DK442" s="16"/>
      <c r="DL442" s="16"/>
      <c r="DM442" s="17"/>
      <c r="DN442" s="17"/>
      <c r="DO442" s="16"/>
      <c r="DP442" s="16"/>
      <c r="DQ442" s="17"/>
      <c r="DR442" s="17"/>
      <c r="DS442" s="16"/>
      <c r="DT442" s="16"/>
      <c r="DU442" s="17"/>
      <c r="DV442" s="17"/>
      <c r="DW442" s="16"/>
      <c r="DX442" s="16"/>
      <c r="DY442" s="17"/>
      <c r="DZ442" s="17"/>
      <c r="EA442" s="16"/>
      <c r="EB442" s="16"/>
      <c r="EC442" s="17"/>
      <c r="ED442" s="17"/>
      <c r="EE442" s="16"/>
      <c r="EF442" s="16"/>
      <c r="EG442" s="17"/>
      <c r="EH442" s="17"/>
      <c r="EI442" s="16"/>
      <c r="EJ442" s="16"/>
      <c r="EK442" s="17"/>
      <c r="EL442" s="17"/>
      <c r="EM442" s="16"/>
      <c r="EN442" s="16"/>
      <c r="EO442" s="17"/>
      <c r="EP442" s="17"/>
      <c r="EQ442" s="16"/>
      <c r="ER442" s="16"/>
      <c r="ES442" s="18">
        <v>1</v>
      </c>
      <c r="ET442" s="18">
        <v>2</v>
      </c>
      <c r="EU442" s="16"/>
      <c r="EV442" s="16"/>
      <c r="EW442" s="17"/>
      <c r="EX442" s="17"/>
      <c r="EY442" s="16"/>
      <c r="EZ442" s="16"/>
      <c r="FA442" s="17"/>
      <c r="FB442" s="17"/>
      <c r="FC442" s="16"/>
      <c r="FD442" s="16"/>
      <c r="FE442" s="17"/>
      <c r="FF442" s="17"/>
      <c r="FG442" s="11"/>
      <c r="GT442" s="11"/>
      <c r="IG442" s="11"/>
      <c r="JT442" s="11"/>
      <c r="LG442" s="11"/>
      <c r="MT442" s="11"/>
      <c r="OG442" s="11"/>
      <c r="PT442" s="11"/>
    </row>
    <row r="443" spans="3:436" ht="15.75" x14ac:dyDescent="0.25">
      <c r="C443" s="20" t="s">
        <v>414</v>
      </c>
      <c r="D443" s="21" t="s">
        <v>82</v>
      </c>
      <c r="H443" s="11"/>
      <c r="AU443" s="11"/>
      <c r="CH443" s="11"/>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7"/>
      <c r="DF443" s="17"/>
      <c r="DG443" s="16"/>
      <c r="DH443" s="16"/>
      <c r="DI443" s="17"/>
      <c r="DJ443" s="17"/>
      <c r="DK443" s="16"/>
      <c r="DL443" s="16"/>
      <c r="DM443" s="17"/>
      <c r="DN443" s="17"/>
      <c r="DO443" s="16"/>
      <c r="DP443" s="16"/>
      <c r="DQ443" s="17"/>
      <c r="DR443" s="17"/>
      <c r="DS443" s="16"/>
      <c r="DT443" s="16"/>
      <c r="DU443" s="17"/>
      <c r="DV443" s="17"/>
      <c r="DW443" s="16"/>
      <c r="DX443" s="16"/>
      <c r="DY443" s="17"/>
      <c r="DZ443" s="17"/>
      <c r="EA443" s="16"/>
      <c r="EB443" s="16"/>
      <c r="EC443" s="17"/>
      <c r="ED443" s="17"/>
      <c r="EE443" s="16"/>
      <c r="EF443" s="16"/>
      <c r="EG443" s="17"/>
      <c r="EH443" s="17"/>
      <c r="EI443" s="16"/>
      <c r="EJ443" s="16"/>
      <c r="EK443" s="17"/>
      <c r="EL443" s="17"/>
      <c r="EM443" s="16"/>
      <c r="EN443" s="16"/>
      <c r="EO443" s="17"/>
      <c r="EP443" s="17"/>
      <c r="EQ443" s="16"/>
      <c r="ER443" s="16"/>
      <c r="ES443" s="18">
        <v>10</v>
      </c>
      <c r="ET443" s="18">
        <v>20</v>
      </c>
      <c r="EU443" s="16"/>
      <c r="EV443" s="16"/>
      <c r="EW443" s="17"/>
      <c r="EX443" s="17"/>
      <c r="EY443" s="16"/>
      <c r="EZ443" s="16"/>
      <c r="FA443" s="17"/>
      <c r="FB443" s="17"/>
      <c r="FC443" s="16"/>
      <c r="FD443" s="16"/>
      <c r="FE443" s="17"/>
      <c r="FF443" s="17"/>
      <c r="FG443" s="11"/>
      <c r="GT443" s="11"/>
      <c r="IG443" s="11"/>
      <c r="JT443" s="11"/>
      <c r="LG443" s="11"/>
      <c r="MT443" s="11"/>
      <c r="OG443" s="11"/>
      <c r="PT443" s="11"/>
    </row>
    <row r="444" spans="3:436" ht="15.75" x14ac:dyDescent="0.25">
      <c r="C444" s="20" t="s">
        <v>415</v>
      </c>
      <c r="D444" s="21" t="s">
        <v>82</v>
      </c>
      <c r="H444" s="11"/>
      <c r="AU444" s="11"/>
      <c r="CH444" s="11"/>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7"/>
      <c r="DF444" s="17"/>
      <c r="DG444" s="16"/>
      <c r="DH444" s="16"/>
      <c r="DI444" s="17"/>
      <c r="DJ444" s="17"/>
      <c r="DK444" s="16"/>
      <c r="DL444" s="16"/>
      <c r="DM444" s="17"/>
      <c r="DN444" s="17"/>
      <c r="DO444" s="16"/>
      <c r="DP444" s="16"/>
      <c r="DQ444" s="17"/>
      <c r="DR444" s="17"/>
      <c r="DS444" s="16"/>
      <c r="DT444" s="16"/>
      <c r="DU444" s="17"/>
      <c r="DV444" s="17"/>
      <c r="DW444" s="16"/>
      <c r="DX444" s="16"/>
      <c r="DY444" s="17"/>
      <c r="DZ444" s="17"/>
      <c r="EA444" s="16"/>
      <c r="EB444" s="16"/>
      <c r="EC444" s="17"/>
      <c r="ED444" s="17"/>
      <c r="EE444" s="16"/>
      <c r="EF444" s="16"/>
      <c r="EG444" s="17"/>
      <c r="EH444" s="17"/>
      <c r="EI444" s="16"/>
      <c r="EJ444" s="16"/>
      <c r="EK444" s="17"/>
      <c r="EL444" s="17"/>
      <c r="EM444" s="16"/>
      <c r="EN444" s="16"/>
      <c r="EO444" s="17"/>
      <c r="EP444" s="17"/>
      <c r="EQ444" s="16"/>
      <c r="ER444" s="16"/>
      <c r="ES444" s="18">
        <v>3</v>
      </c>
      <c r="ET444" s="18">
        <v>4</v>
      </c>
      <c r="EU444" s="16"/>
      <c r="EV444" s="16"/>
      <c r="EW444" s="17"/>
      <c r="EX444" s="17"/>
      <c r="EY444" s="16"/>
      <c r="EZ444" s="16"/>
      <c r="FA444" s="17"/>
      <c r="FB444" s="17"/>
      <c r="FC444" s="16"/>
      <c r="FD444" s="16"/>
      <c r="FE444" s="17"/>
      <c r="FF444" s="17"/>
      <c r="FG444" s="11"/>
      <c r="GT444" s="11"/>
      <c r="IG444" s="11"/>
      <c r="JT444" s="11"/>
      <c r="LG444" s="11"/>
      <c r="MT444" s="11"/>
      <c r="OG444" s="11"/>
      <c r="PT444" s="11"/>
    </row>
    <row r="445" spans="3:436" ht="15.75" x14ac:dyDescent="0.25">
      <c r="C445" s="20" t="s">
        <v>416</v>
      </c>
      <c r="D445" s="21" t="s">
        <v>82</v>
      </c>
      <c r="H445" s="11"/>
      <c r="AU445" s="11"/>
      <c r="CH445" s="11"/>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7"/>
      <c r="DF445" s="17"/>
      <c r="DG445" s="16"/>
      <c r="DH445" s="16"/>
      <c r="DI445" s="17"/>
      <c r="DJ445" s="17"/>
      <c r="DK445" s="16"/>
      <c r="DL445" s="16"/>
      <c r="DM445" s="17"/>
      <c r="DN445" s="17"/>
      <c r="DO445" s="16"/>
      <c r="DP445" s="16"/>
      <c r="DQ445" s="17"/>
      <c r="DR445" s="17"/>
      <c r="DS445" s="16"/>
      <c r="DT445" s="16"/>
      <c r="DU445" s="17"/>
      <c r="DV445" s="17"/>
      <c r="DW445" s="16"/>
      <c r="DX445" s="16"/>
      <c r="DY445" s="17"/>
      <c r="DZ445" s="17"/>
      <c r="EA445" s="16"/>
      <c r="EB445" s="16"/>
      <c r="EC445" s="17"/>
      <c r="ED445" s="17"/>
      <c r="EE445" s="16"/>
      <c r="EF445" s="16"/>
      <c r="EG445" s="17"/>
      <c r="EH445" s="17"/>
      <c r="EI445" s="16"/>
      <c r="EJ445" s="16"/>
      <c r="EK445" s="17"/>
      <c r="EL445" s="17"/>
      <c r="EM445" s="16"/>
      <c r="EN445" s="16"/>
      <c r="EO445" s="17"/>
      <c r="EP445" s="17"/>
      <c r="EQ445" s="16"/>
      <c r="ER445" s="16"/>
      <c r="ES445" s="18">
        <v>3</v>
      </c>
      <c r="ET445" s="18">
        <v>5</v>
      </c>
      <c r="EU445" s="16"/>
      <c r="EV445" s="16"/>
      <c r="EW445" s="17"/>
      <c r="EX445" s="17"/>
      <c r="EY445" s="16"/>
      <c r="EZ445" s="16"/>
      <c r="FA445" s="17"/>
      <c r="FB445" s="17"/>
      <c r="FC445" s="16"/>
      <c r="FD445" s="16"/>
      <c r="FE445" s="17"/>
      <c r="FF445" s="17"/>
      <c r="FG445" s="11"/>
      <c r="GT445" s="11"/>
      <c r="IG445" s="11"/>
      <c r="JT445" s="11"/>
      <c r="LG445" s="11"/>
      <c r="MT445" s="11"/>
      <c r="OG445" s="11"/>
      <c r="PT445" s="11"/>
    </row>
    <row r="446" spans="3:436" ht="15.75" x14ac:dyDescent="0.25">
      <c r="C446" s="20" t="s">
        <v>417</v>
      </c>
      <c r="D446" s="21" t="s">
        <v>82</v>
      </c>
      <c r="H446" s="11"/>
      <c r="AU446" s="11"/>
      <c r="CH446" s="11"/>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7"/>
      <c r="DF446" s="17"/>
      <c r="DG446" s="16"/>
      <c r="DH446" s="16"/>
      <c r="DI446" s="17"/>
      <c r="DJ446" s="17"/>
      <c r="DK446" s="16"/>
      <c r="DL446" s="16"/>
      <c r="DM446" s="17"/>
      <c r="DN446" s="17"/>
      <c r="DO446" s="16"/>
      <c r="DP446" s="16"/>
      <c r="DQ446" s="17"/>
      <c r="DR446" s="17"/>
      <c r="DS446" s="16"/>
      <c r="DT446" s="16"/>
      <c r="DU446" s="17"/>
      <c r="DV446" s="17"/>
      <c r="DW446" s="16"/>
      <c r="DX446" s="16"/>
      <c r="DY446" s="17"/>
      <c r="DZ446" s="17"/>
      <c r="EA446" s="16"/>
      <c r="EB446" s="16"/>
      <c r="EC446" s="17"/>
      <c r="ED446" s="17"/>
      <c r="EE446" s="16"/>
      <c r="EF446" s="16"/>
      <c r="EG446" s="17"/>
      <c r="EH446" s="17"/>
      <c r="EI446" s="16"/>
      <c r="EJ446" s="16"/>
      <c r="EK446" s="17"/>
      <c r="EL446" s="17"/>
      <c r="EM446" s="16"/>
      <c r="EN446" s="16"/>
      <c r="EO446" s="17"/>
      <c r="EP446" s="17"/>
      <c r="EQ446" s="16"/>
      <c r="ER446" s="16"/>
      <c r="ES446" s="18">
        <v>2</v>
      </c>
      <c r="ET446" s="18">
        <v>3</v>
      </c>
      <c r="EU446" s="16"/>
      <c r="EV446" s="16"/>
      <c r="EW446" s="17"/>
      <c r="EX446" s="17"/>
      <c r="EY446" s="16"/>
      <c r="EZ446" s="16"/>
      <c r="FA446" s="17"/>
      <c r="FB446" s="17"/>
      <c r="FC446" s="16"/>
      <c r="FD446" s="16"/>
      <c r="FE446" s="17"/>
      <c r="FF446" s="17"/>
      <c r="FG446" s="11"/>
      <c r="GT446" s="11"/>
      <c r="IG446" s="11"/>
      <c r="JT446" s="11"/>
      <c r="LG446" s="11"/>
      <c r="MT446" s="11"/>
      <c r="OG446" s="11"/>
      <c r="PT446" s="11"/>
    </row>
    <row r="447" spans="3:436" ht="15.75" x14ac:dyDescent="0.25">
      <c r="C447" s="20" t="s">
        <v>418</v>
      </c>
      <c r="D447" s="21" t="s">
        <v>82</v>
      </c>
      <c r="H447" s="11"/>
      <c r="AU447" s="11"/>
      <c r="CH447" s="11"/>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7"/>
      <c r="DF447" s="17"/>
      <c r="DG447" s="16"/>
      <c r="DH447" s="16"/>
      <c r="DI447" s="17"/>
      <c r="DJ447" s="17"/>
      <c r="DK447" s="16"/>
      <c r="DL447" s="16"/>
      <c r="DM447" s="17"/>
      <c r="DN447" s="17"/>
      <c r="DO447" s="16"/>
      <c r="DP447" s="16"/>
      <c r="DQ447" s="17"/>
      <c r="DR447" s="17"/>
      <c r="DS447" s="16"/>
      <c r="DT447" s="16"/>
      <c r="DU447" s="17"/>
      <c r="DV447" s="17"/>
      <c r="DW447" s="16"/>
      <c r="DX447" s="16"/>
      <c r="DY447" s="17"/>
      <c r="DZ447" s="17"/>
      <c r="EA447" s="16"/>
      <c r="EB447" s="16"/>
      <c r="EC447" s="17"/>
      <c r="ED447" s="17"/>
      <c r="EE447" s="16"/>
      <c r="EF447" s="16"/>
      <c r="EG447" s="17"/>
      <c r="EH447" s="17"/>
      <c r="EI447" s="16"/>
      <c r="EJ447" s="16"/>
      <c r="EK447" s="17"/>
      <c r="EL447" s="17"/>
      <c r="EM447" s="16"/>
      <c r="EN447" s="16"/>
      <c r="EO447" s="17"/>
      <c r="EP447" s="17"/>
      <c r="EQ447" s="16"/>
      <c r="ER447" s="16"/>
      <c r="ES447" s="18">
        <v>1</v>
      </c>
      <c r="ET447" s="18">
        <v>2</v>
      </c>
      <c r="EU447" s="16"/>
      <c r="EV447" s="16"/>
      <c r="EW447" s="17"/>
      <c r="EX447" s="17"/>
      <c r="EY447" s="16"/>
      <c r="EZ447" s="16"/>
      <c r="FA447" s="17"/>
      <c r="FB447" s="17"/>
      <c r="FC447" s="16"/>
      <c r="FD447" s="16"/>
      <c r="FE447" s="17"/>
      <c r="FF447" s="17"/>
      <c r="FG447" s="11"/>
      <c r="GT447" s="11"/>
      <c r="IG447" s="11"/>
      <c r="JT447" s="11"/>
      <c r="LG447" s="11"/>
      <c r="MT447" s="11"/>
      <c r="OG447" s="11"/>
      <c r="PT447" s="11"/>
    </row>
    <row r="448" spans="3:436" ht="15.75" x14ac:dyDescent="0.25">
      <c r="C448" s="20" t="s">
        <v>387</v>
      </c>
      <c r="D448" s="21" t="s">
        <v>79</v>
      </c>
      <c r="H448" s="11"/>
      <c r="AU448" s="11"/>
      <c r="CH448" s="11"/>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7"/>
      <c r="DF448" s="17"/>
      <c r="DG448" s="16"/>
      <c r="DH448" s="16"/>
      <c r="DI448" s="17"/>
      <c r="DJ448" s="17"/>
      <c r="DK448" s="16"/>
      <c r="DL448" s="16"/>
      <c r="DM448" s="17"/>
      <c r="DN448" s="17"/>
      <c r="DO448" s="16"/>
      <c r="DP448" s="16"/>
      <c r="DQ448" s="17"/>
      <c r="DR448" s="17"/>
      <c r="DS448" s="16"/>
      <c r="DT448" s="16"/>
      <c r="DU448" s="17"/>
      <c r="DV448" s="17"/>
      <c r="DW448" s="16"/>
      <c r="DX448" s="16"/>
      <c r="DY448" s="17"/>
      <c r="DZ448" s="17"/>
      <c r="EA448" s="16"/>
      <c r="EB448" s="16"/>
      <c r="EC448" s="17"/>
      <c r="ED448" s="17"/>
      <c r="EE448" s="16"/>
      <c r="EF448" s="16"/>
      <c r="EG448" s="17"/>
      <c r="EH448" s="17"/>
      <c r="EI448" s="16"/>
      <c r="EJ448" s="16"/>
      <c r="EK448" s="17"/>
      <c r="EL448" s="17"/>
      <c r="EM448" s="16"/>
      <c r="EN448" s="16"/>
      <c r="EO448" s="17"/>
      <c r="EP448" s="17"/>
      <c r="EQ448" s="16"/>
      <c r="ER448" s="16"/>
      <c r="ES448" s="17"/>
      <c r="ET448" s="17"/>
      <c r="EU448" s="16"/>
      <c r="EV448" s="16"/>
      <c r="EW448" s="17"/>
      <c r="EX448" s="17"/>
      <c r="EY448" s="16"/>
      <c r="EZ448" s="16"/>
      <c r="FA448" s="17"/>
      <c r="FB448" s="17"/>
      <c r="FC448" s="16"/>
      <c r="FD448" s="16"/>
      <c r="FE448" s="17"/>
      <c r="FF448" s="17"/>
      <c r="FG448" s="11"/>
      <c r="GT448" s="11"/>
      <c r="IG448" s="11"/>
      <c r="JT448" s="11"/>
      <c r="LG448" s="11"/>
      <c r="MT448" s="11"/>
      <c r="OG448" s="11"/>
      <c r="PT448" s="11"/>
    </row>
    <row r="449" spans="3:436" ht="15.75" x14ac:dyDescent="0.25">
      <c r="C449" s="20" t="s">
        <v>388</v>
      </c>
      <c r="D449" s="21" t="s">
        <v>134</v>
      </c>
      <c r="H449" s="11"/>
      <c r="AU449" s="11"/>
      <c r="CH449" s="11"/>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7"/>
      <c r="DF449" s="17"/>
      <c r="DG449" s="16"/>
      <c r="DH449" s="16"/>
      <c r="DI449" s="17"/>
      <c r="DJ449" s="17"/>
      <c r="DK449" s="16"/>
      <c r="DL449" s="16"/>
      <c r="DM449" s="17"/>
      <c r="DN449" s="17"/>
      <c r="DO449" s="16"/>
      <c r="DP449" s="16"/>
      <c r="DQ449" s="17"/>
      <c r="DR449" s="17"/>
      <c r="DS449" s="16"/>
      <c r="DT449" s="16"/>
      <c r="DU449" s="17"/>
      <c r="DV449" s="17"/>
      <c r="DW449" s="16"/>
      <c r="DX449" s="16"/>
      <c r="DY449" s="17"/>
      <c r="DZ449" s="17"/>
      <c r="EA449" s="16"/>
      <c r="EB449" s="16"/>
      <c r="EC449" s="17"/>
      <c r="ED449" s="17"/>
      <c r="EE449" s="16"/>
      <c r="EF449" s="16"/>
      <c r="EG449" s="17"/>
      <c r="EH449" s="17"/>
      <c r="EI449" s="16"/>
      <c r="EJ449" s="16"/>
      <c r="EK449" s="17"/>
      <c r="EL449" s="17"/>
      <c r="EM449" s="16"/>
      <c r="EN449" s="16"/>
      <c r="EO449" s="17"/>
      <c r="EP449" s="17"/>
      <c r="EQ449" s="16"/>
      <c r="ER449" s="16"/>
      <c r="ES449" s="17"/>
      <c r="ET449" s="17"/>
      <c r="EU449" s="16"/>
      <c r="EV449" s="16"/>
      <c r="EW449" s="17"/>
      <c r="EX449" s="17"/>
      <c r="EY449" s="16"/>
      <c r="EZ449" s="16"/>
      <c r="FA449" s="17"/>
      <c r="FB449" s="17"/>
      <c r="FC449" s="16"/>
      <c r="FD449" s="16"/>
      <c r="FE449" s="17"/>
      <c r="FF449" s="17"/>
      <c r="FG449" s="11"/>
      <c r="GT449" s="11"/>
      <c r="IG449" s="11"/>
      <c r="JT449" s="11"/>
      <c r="LG449" s="11"/>
      <c r="MT449" s="11"/>
      <c r="OG449" s="11"/>
      <c r="PT449" s="11"/>
    </row>
    <row r="450" spans="3:436" ht="15.75" x14ac:dyDescent="0.25">
      <c r="C450" s="20" t="s">
        <v>389</v>
      </c>
      <c r="D450" s="21" t="s">
        <v>82</v>
      </c>
      <c r="H450" s="11"/>
      <c r="AU450" s="11"/>
      <c r="CH450" s="11"/>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7"/>
      <c r="DF450" s="17"/>
      <c r="DG450" s="16"/>
      <c r="DH450" s="16"/>
      <c r="DI450" s="17"/>
      <c r="DJ450" s="17"/>
      <c r="DK450" s="16"/>
      <c r="DL450" s="16"/>
      <c r="DM450" s="17"/>
      <c r="DN450" s="17"/>
      <c r="DO450" s="16"/>
      <c r="DP450" s="16"/>
      <c r="DQ450" s="17"/>
      <c r="DR450" s="17"/>
      <c r="DS450" s="16"/>
      <c r="DT450" s="16"/>
      <c r="DU450" s="17"/>
      <c r="DV450" s="17"/>
      <c r="DW450" s="16"/>
      <c r="DX450" s="16"/>
      <c r="DY450" s="17"/>
      <c r="DZ450" s="17"/>
      <c r="EA450" s="16"/>
      <c r="EB450" s="16"/>
      <c r="EC450" s="17"/>
      <c r="ED450" s="17"/>
      <c r="EE450" s="16"/>
      <c r="EF450" s="16"/>
      <c r="EG450" s="17"/>
      <c r="EH450" s="17"/>
      <c r="EI450" s="16"/>
      <c r="EJ450" s="16"/>
      <c r="EK450" s="17"/>
      <c r="EL450" s="17"/>
      <c r="EM450" s="16"/>
      <c r="EN450" s="16"/>
      <c r="EO450" s="17"/>
      <c r="EP450" s="17"/>
      <c r="EQ450" s="16"/>
      <c r="ER450" s="16"/>
      <c r="ES450" s="17"/>
      <c r="ET450" s="17"/>
      <c r="EU450" s="16"/>
      <c r="EV450" s="16"/>
      <c r="EW450" s="17"/>
      <c r="EX450" s="17"/>
      <c r="EY450" s="16"/>
      <c r="EZ450" s="16"/>
      <c r="FA450" s="17"/>
      <c r="FB450" s="17"/>
      <c r="FC450" s="16"/>
      <c r="FD450" s="16"/>
      <c r="FE450" s="17"/>
      <c r="FF450" s="17"/>
      <c r="FG450" s="11"/>
      <c r="GT450" s="11"/>
      <c r="IG450" s="11"/>
      <c r="JT450" s="11"/>
      <c r="LG450" s="11"/>
      <c r="MT450" s="11"/>
      <c r="OG450" s="11"/>
      <c r="PT450" s="11"/>
    </row>
    <row r="451" spans="3:436" ht="15.75" x14ac:dyDescent="0.25">
      <c r="C451" s="20" t="s">
        <v>419</v>
      </c>
      <c r="D451" s="21" t="s">
        <v>82</v>
      </c>
      <c r="H451" s="11"/>
      <c r="AU451" s="11"/>
      <c r="CH451" s="11"/>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7"/>
      <c r="DF451" s="17"/>
      <c r="DG451" s="16"/>
      <c r="DH451" s="16"/>
      <c r="DI451" s="17"/>
      <c r="DJ451" s="17"/>
      <c r="DK451" s="16"/>
      <c r="DL451" s="16"/>
      <c r="DM451" s="17"/>
      <c r="DN451" s="17"/>
      <c r="DO451" s="16"/>
      <c r="DP451" s="16"/>
      <c r="DQ451" s="17"/>
      <c r="DR451" s="17"/>
      <c r="DS451" s="16"/>
      <c r="DT451" s="16"/>
      <c r="DU451" s="17"/>
      <c r="DV451" s="17"/>
      <c r="DW451" s="16"/>
      <c r="DX451" s="16"/>
      <c r="DY451" s="17"/>
      <c r="DZ451" s="17"/>
      <c r="EA451" s="16"/>
      <c r="EB451" s="16"/>
      <c r="EC451" s="17"/>
      <c r="ED451" s="17"/>
      <c r="EE451" s="16"/>
      <c r="EF451" s="16"/>
      <c r="EG451" s="17"/>
      <c r="EH451" s="17"/>
      <c r="EI451" s="16"/>
      <c r="EJ451" s="16"/>
      <c r="EK451" s="17"/>
      <c r="EL451" s="17"/>
      <c r="EM451" s="16"/>
      <c r="EN451" s="16"/>
      <c r="EO451" s="17"/>
      <c r="EP451" s="17"/>
      <c r="EQ451" s="16"/>
      <c r="ER451" s="16"/>
      <c r="ES451" s="18">
        <v>5</v>
      </c>
      <c r="ET451" s="18">
        <v>10</v>
      </c>
      <c r="EU451" s="16"/>
      <c r="EV451" s="16"/>
      <c r="EW451" s="17"/>
      <c r="EX451" s="17"/>
      <c r="EY451" s="16"/>
      <c r="EZ451" s="16"/>
      <c r="FA451" s="17"/>
      <c r="FB451" s="17"/>
      <c r="FC451" s="16"/>
      <c r="FD451" s="16"/>
      <c r="FE451" s="17"/>
      <c r="FF451" s="17"/>
      <c r="FG451" s="11"/>
      <c r="GT451" s="11"/>
      <c r="IG451" s="11"/>
      <c r="JT451" s="11"/>
      <c r="LG451" s="11"/>
      <c r="MT451" s="11"/>
      <c r="OG451" s="11"/>
      <c r="PT451" s="11"/>
    </row>
    <row r="452" spans="3:436" ht="15.75" x14ac:dyDescent="0.25">
      <c r="C452" s="20" t="s">
        <v>390</v>
      </c>
      <c r="D452" s="21" t="s">
        <v>90</v>
      </c>
      <c r="H452" s="11"/>
      <c r="AU452" s="11"/>
      <c r="CH452" s="11"/>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7"/>
      <c r="DF452" s="17"/>
      <c r="DG452" s="16"/>
      <c r="DH452" s="16"/>
      <c r="DI452" s="17"/>
      <c r="DJ452" s="17"/>
      <c r="DK452" s="16"/>
      <c r="DL452" s="16"/>
      <c r="DM452" s="17"/>
      <c r="DN452" s="17"/>
      <c r="DO452" s="16"/>
      <c r="DP452" s="16"/>
      <c r="DQ452" s="17"/>
      <c r="DR452" s="17"/>
      <c r="DS452" s="16"/>
      <c r="DT452" s="16"/>
      <c r="DU452" s="17"/>
      <c r="DV452" s="17"/>
      <c r="DW452" s="16"/>
      <c r="DX452" s="16"/>
      <c r="DY452" s="17"/>
      <c r="DZ452" s="17"/>
      <c r="EA452" s="16"/>
      <c r="EB452" s="16"/>
      <c r="EC452" s="17"/>
      <c r="ED452" s="17"/>
      <c r="EE452" s="16"/>
      <c r="EF452" s="16"/>
      <c r="EG452" s="17"/>
      <c r="EH452" s="17"/>
      <c r="EI452" s="16"/>
      <c r="EJ452" s="16"/>
      <c r="EK452" s="17"/>
      <c r="EL452" s="17"/>
      <c r="EM452" s="16"/>
      <c r="EN452" s="16"/>
      <c r="EO452" s="17"/>
      <c r="EP452" s="17"/>
      <c r="EQ452" s="16"/>
      <c r="ER452" s="16"/>
      <c r="ES452" s="17"/>
      <c r="ET452" s="17"/>
      <c r="EU452" s="16"/>
      <c r="EV452" s="16"/>
      <c r="EW452" s="17"/>
      <c r="EX452" s="17"/>
      <c r="EY452" s="16"/>
      <c r="EZ452" s="16"/>
      <c r="FA452" s="17"/>
      <c r="FB452" s="17"/>
      <c r="FC452" s="16"/>
      <c r="FD452" s="16"/>
      <c r="FE452" s="17"/>
      <c r="FF452" s="17"/>
      <c r="FG452" s="11"/>
      <c r="GT452" s="11"/>
      <c r="IG452" s="11"/>
      <c r="JT452" s="11"/>
      <c r="LG452" s="11"/>
      <c r="MT452" s="11"/>
      <c r="OG452" s="11"/>
      <c r="PT452" s="11"/>
    </row>
    <row r="453" spans="3:436" ht="15.75" x14ac:dyDescent="0.25">
      <c r="C453" s="20" t="s">
        <v>391</v>
      </c>
      <c r="D453" s="21" t="s">
        <v>79</v>
      </c>
      <c r="H453" s="11"/>
      <c r="AU453" s="11"/>
      <c r="CH453" s="11"/>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7"/>
      <c r="DF453" s="17"/>
      <c r="DG453" s="16"/>
      <c r="DH453" s="16"/>
      <c r="DI453" s="17"/>
      <c r="DJ453" s="17"/>
      <c r="DK453" s="16"/>
      <c r="DL453" s="16"/>
      <c r="DM453" s="17"/>
      <c r="DN453" s="17"/>
      <c r="DO453" s="16"/>
      <c r="DP453" s="16"/>
      <c r="DQ453" s="17"/>
      <c r="DR453" s="17"/>
      <c r="DS453" s="16"/>
      <c r="DT453" s="16"/>
      <c r="DU453" s="17"/>
      <c r="DV453" s="17"/>
      <c r="DW453" s="16"/>
      <c r="DX453" s="16"/>
      <c r="DY453" s="17"/>
      <c r="DZ453" s="17"/>
      <c r="EA453" s="16"/>
      <c r="EB453" s="16"/>
      <c r="EC453" s="17"/>
      <c r="ED453" s="17"/>
      <c r="EE453" s="16"/>
      <c r="EF453" s="16"/>
      <c r="EG453" s="17"/>
      <c r="EH453" s="17"/>
      <c r="EI453" s="16"/>
      <c r="EJ453" s="16"/>
      <c r="EK453" s="17"/>
      <c r="EL453" s="17"/>
      <c r="EM453" s="16"/>
      <c r="EN453" s="16"/>
      <c r="EO453" s="17"/>
      <c r="EP453" s="17"/>
      <c r="EQ453" s="16"/>
      <c r="ER453" s="16"/>
      <c r="ES453" s="17"/>
      <c r="ET453" s="17"/>
      <c r="EU453" s="16"/>
      <c r="EV453" s="16"/>
      <c r="EW453" s="17"/>
      <c r="EX453" s="17"/>
      <c r="EY453" s="16"/>
      <c r="EZ453" s="16"/>
      <c r="FA453" s="17"/>
      <c r="FB453" s="17"/>
      <c r="FC453" s="16"/>
      <c r="FD453" s="16"/>
      <c r="FE453" s="17"/>
      <c r="FF453" s="17"/>
      <c r="FG453" s="11"/>
      <c r="GT453" s="11"/>
      <c r="IG453" s="11"/>
      <c r="JT453" s="11"/>
      <c r="LG453" s="11"/>
      <c r="MT453" s="11"/>
      <c r="OG453" s="11"/>
      <c r="PT453" s="11"/>
    </row>
    <row r="454" spans="3:436" ht="15.75" x14ac:dyDescent="0.25">
      <c r="C454" s="20" t="s">
        <v>394</v>
      </c>
      <c r="D454" s="21" t="s">
        <v>93</v>
      </c>
      <c r="H454" s="11"/>
      <c r="AU454" s="11"/>
      <c r="CH454" s="11"/>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7"/>
      <c r="DF454" s="17"/>
      <c r="DG454" s="16"/>
      <c r="DH454" s="16"/>
      <c r="DI454" s="17"/>
      <c r="DJ454" s="17"/>
      <c r="DK454" s="16"/>
      <c r="DL454" s="16"/>
      <c r="DM454" s="17"/>
      <c r="DN454" s="17"/>
      <c r="DO454" s="16"/>
      <c r="DP454" s="16"/>
      <c r="DQ454" s="17"/>
      <c r="DR454" s="17"/>
      <c r="DS454" s="16"/>
      <c r="DT454" s="16"/>
      <c r="DU454" s="17"/>
      <c r="DV454" s="17"/>
      <c r="DW454" s="16"/>
      <c r="DX454" s="16"/>
      <c r="DY454" s="17"/>
      <c r="DZ454" s="17"/>
      <c r="EA454" s="16"/>
      <c r="EB454" s="16"/>
      <c r="EC454" s="17"/>
      <c r="ED454" s="17"/>
      <c r="EE454" s="16"/>
      <c r="EF454" s="16"/>
      <c r="EG454" s="17"/>
      <c r="EH454" s="17"/>
      <c r="EI454" s="16"/>
      <c r="EJ454" s="16"/>
      <c r="EK454" s="17"/>
      <c r="EL454" s="17"/>
      <c r="EM454" s="16"/>
      <c r="EN454" s="16"/>
      <c r="EO454" s="17"/>
      <c r="EP454" s="17"/>
      <c r="EQ454" s="16"/>
      <c r="ER454" s="16"/>
      <c r="ES454" s="17"/>
      <c r="ET454" s="17"/>
      <c r="EU454" s="16"/>
      <c r="EV454" s="16"/>
      <c r="EW454" s="18">
        <v>5</v>
      </c>
      <c r="EX454" s="18">
        <v>10</v>
      </c>
      <c r="EY454" s="16"/>
      <c r="EZ454" s="16"/>
      <c r="FA454" s="17"/>
      <c r="FB454" s="17"/>
      <c r="FC454" s="16"/>
      <c r="FD454" s="16"/>
      <c r="FE454" s="17"/>
      <c r="FF454" s="17"/>
      <c r="FG454" s="11"/>
      <c r="GT454" s="11"/>
      <c r="IG454" s="11"/>
      <c r="JT454" s="11"/>
      <c r="LG454" s="11"/>
      <c r="MT454" s="11"/>
      <c r="OG454" s="11"/>
      <c r="PT454" s="11"/>
    </row>
    <row r="455" spans="3:436" ht="15.75" x14ac:dyDescent="0.25">
      <c r="C455" s="20" t="s">
        <v>395</v>
      </c>
      <c r="D455" s="21" t="s">
        <v>129</v>
      </c>
      <c r="H455" s="11"/>
      <c r="AU455" s="11"/>
      <c r="CH455" s="11"/>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7"/>
      <c r="DF455" s="17"/>
      <c r="DG455" s="16"/>
      <c r="DH455" s="16"/>
      <c r="DI455" s="17"/>
      <c r="DJ455" s="17"/>
      <c r="DK455" s="16"/>
      <c r="DL455" s="16"/>
      <c r="DM455" s="17"/>
      <c r="DN455" s="17"/>
      <c r="DO455" s="16"/>
      <c r="DP455" s="16"/>
      <c r="DQ455" s="17"/>
      <c r="DR455" s="17"/>
      <c r="DS455" s="16"/>
      <c r="DT455" s="16"/>
      <c r="DU455" s="17"/>
      <c r="DV455" s="17"/>
      <c r="DW455" s="16"/>
      <c r="DX455" s="16"/>
      <c r="DY455" s="17"/>
      <c r="DZ455" s="17"/>
      <c r="EA455" s="16"/>
      <c r="EB455" s="16"/>
      <c r="EC455" s="17"/>
      <c r="ED455" s="17"/>
      <c r="EE455" s="16"/>
      <c r="EF455" s="16"/>
      <c r="EG455" s="17"/>
      <c r="EH455" s="17"/>
      <c r="EI455" s="16"/>
      <c r="EJ455" s="16"/>
      <c r="EK455" s="17"/>
      <c r="EL455" s="17"/>
      <c r="EM455" s="16"/>
      <c r="EN455" s="16"/>
      <c r="EO455" s="17"/>
      <c r="EP455" s="17"/>
      <c r="EQ455" s="16"/>
      <c r="ER455" s="16"/>
      <c r="ES455" s="17"/>
      <c r="ET455" s="17"/>
      <c r="EU455" s="16"/>
      <c r="EV455" s="16"/>
      <c r="EW455" s="17"/>
      <c r="EX455" s="17"/>
      <c r="EY455" s="16"/>
      <c r="EZ455" s="16"/>
      <c r="FA455" s="17"/>
      <c r="FB455" s="17"/>
      <c r="FC455" s="16"/>
      <c r="FD455" s="16"/>
      <c r="FE455" s="17"/>
      <c r="FF455" s="17"/>
      <c r="FG455" s="11"/>
      <c r="GT455" s="11"/>
      <c r="IG455" s="11"/>
      <c r="JT455" s="11"/>
      <c r="LG455" s="11"/>
      <c r="MT455" s="11"/>
      <c r="OG455" s="11"/>
      <c r="PT455" s="11"/>
    </row>
    <row r="456" spans="3:436" ht="15.75" x14ac:dyDescent="0.25">
      <c r="C456" s="20" t="s">
        <v>396</v>
      </c>
      <c r="D456" s="21" t="s">
        <v>136</v>
      </c>
      <c r="H456" s="11"/>
      <c r="AU456" s="11"/>
      <c r="CH456" s="11"/>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7"/>
      <c r="DF456" s="17"/>
      <c r="DG456" s="16"/>
      <c r="DH456" s="16"/>
      <c r="DI456" s="17"/>
      <c r="DJ456" s="17"/>
      <c r="DK456" s="16"/>
      <c r="DL456" s="16"/>
      <c r="DM456" s="17"/>
      <c r="DN456" s="17"/>
      <c r="DO456" s="16"/>
      <c r="DP456" s="16"/>
      <c r="DQ456" s="17"/>
      <c r="DR456" s="17"/>
      <c r="DS456" s="16"/>
      <c r="DT456" s="16"/>
      <c r="DU456" s="17"/>
      <c r="DV456" s="17"/>
      <c r="DW456" s="16"/>
      <c r="DX456" s="16"/>
      <c r="DY456" s="17"/>
      <c r="DZ456" s="17"/>
      <c r="EA456" s="16"/>
      <c r="EB456" s="16"/>
      <c r="EC456" s="17"/>
      <c r="ED456" s="17"/>
      <c r="EE456" s="16"/>
      <c r="EF456" s="16"/>
      <c r="EG456" s="17"/>
      <c r="EH456" s="17"/>
      <c r="EI456" s="16"/>
      <c r="EJ456" s="16"/>
      <c r="EK456" s="17"/>
      <c r="EL456" s="17"/>
      <c r="EM456" s="16"/>
      <c r="EN456" s="16"/>
      <c r="EO456" s="17"/>
      <c r="EP456" s="17"/>
      <c r="EQ456" s="16"/>
      <c r="ER456" s="16"/>
      <c r="ES456" s="17"/>
      <c r="ET456" s="17"/>
      <c r="EU456" s="16"/>
      <c r="EV456" s="16"/>
      <c r="EW456" s="17"/>
      <c r="EX456" s="17"/>
      <c r="EY456" s="16"/>
      <c r="EZ456" s="16"/>
      <c r="FA456" s="17"/>
      <c r="FB456" s="17"/>
      <c r="FC456" s="16"/>
      <c r="FD456" s="16"/>
      <c r="FE456" s="17"/>
      <c r="FF456" s="17"/>
      <c r="FG456" s="11"/>
      <c r="GT456" s="11"/>
      <c r="IG456" s="11"/>
      <c r="JT456" s="11"/>
      <c r="LG456" s="11"/>
      <c r="MT456" s="11"/>
      <c r="OG456" s="11"/>
      <c r="PT456" s="11"/>
    </row>
    <row r="457" spans="3:436" ht="15.75" x14ac:dyDescent="0.25">
      <c r="C457" s="20" t="s">
        <v>397</v>
      </c>
      <c r="D457" s="21" t="s">
        <v>136</v>
      </c>
      <c r="H457" s="11"/>
      <c r="AU457" s="11"/>
      <c r="CH457" s="11"/>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7"/>
      <c r="DF457" s="17"/>
      <c r="DG457" s="16"/>
      <c r="DH457" s="16"/>
      <c r="DI457" s="17"/>
      <c r="DJ457" s="17"/>
      <c r="DK457" s="16"/>
      <c r="DL457" s="16"/>
      <c r="DM457" s="17"/>
      <c r="DN457" s="17"/>
      <c r="DO457" s="16"/>
      <c r="DP457" s="16"/>
      <c r="DQ457" s="17"/>
      <c r="DR457" s="17"/>
      <c r="DS457" s="16"/>
      <c r="DT457" s="16"/>
      <c r="DU457" s="17"/>
      <c r="DV457" s="17"/>
      <c r="DW457" s="16"/>
      <c r="DX457" s="16"/>
      <c r="DY457" s="17"/>
      <c r="DZ457" s="17"/>
      <c r="EA457" s="16"/>
      <c r="EB457" s="16"/>
      <c r="EC457" s="17"/>
      <c r="ED457" s="17"/>
      <c r="EE457" s="16"/>
      <c r="EF457" s="16"/>
      <c r="EG457" s="17"/>
      <c r="EH457" s="17"/>
      <c r="EI457" s="16"/>
      <c r="EJ457" s="16"/>
      <c r="EK457" s="17"/>
      <c r="EL457" s="17"/>
      <c r="EM457" s="16"/>
      <c r="EN457" s="16"/>
      <c r="EO457" s="17"/>
      <c r="EP457" s="17"/>
      <c r="EQ457" s="16"/>
      <c r="ER457" s="16"/>
      <c r="ES457" s="17"/>
      <c r="ET457" s="17"/>
      <c r="EU457" s="16"/>
      <c r="EV457" s="16"/>
      <c r="EW457" s="17"/>
      <c r="EX457" s="17"/>
      <c r="EY457" s="16"/>
      <c r="EZ457" s="16"/>
      <c r="FA457" s="17"/>
      <c r="FB457" s="17"/>
      <c r="FC457" s="16"/>
      <c r="FD457" s="16"/>
      <c r="FE457" s="17"/>
      <c r="FF457" s="17"/>
      <c r="FG457" s="11"/>
      <c r="GT457" s="11"/>
      <c r="IG457" s="11"/>
      <c r="JT457" s="11"/>
      <c r="LG457" s="11"/>
      <c r="MT457" s="11"/>
      <c r="OG457" s="11"/>
      <c r="PT457" s="11"/>
    </row>
    <row r="458" spans="3:436" ht="15.75" x14ac:dyDescent="0.25">
      <c r="C458" s="20" t="s">
        <v>398</v>
      </c>
      <c r="D458" s="21" t="s">
        <v>136</v>
      </c>
      <c r="H458" s="11"/>
      <c r="AU458" s="11"/>
      <c r="CH458" s="11"/>
      <c r="CI458" s="16"/>
      <c r="CJ458" s="16"/>
      <c r="CK458" s="16"/>
      <c r="CL458" s="16"/>
      <c r="CM458" s="16"/>
      <c r="CN458" s="16"/>
      <c r="CO458" s="16"/>
      <c r="CP458" s="16"/>
      <c r="CQ458" s="16"/>
      <c r="CR458" s="16"/>
      <c r="CS458" s="16"/>
      <c r="CT458" s="16"/>
      <c r="CU458" s="16"/>
      <c r="CV458" s="16"/>
      <c r="CW458" s="16"/>
      <c r="CX458" s="16"/>
      <c r="CY458" s="16"/>
      <c r="CZ458" s="16"/>
      <c r="DA458" s="16"/>
      <c r="DB458" s="16"/>
      <c r="DC458" s="16"/>
      <c r="DD458" s="16"/>
      <c r="DE458" s="17"/>
      <c r="DF458" s="17"/>
      <c r="DG458" s="16"/>
      <c r="DH458" s="16"/>
      <c r="DI458" s="17"/>
      <c r="DJ458" s="17"/>
      <c r="DK458" s="16"/>
      <c r="DL458" s="16"/>
      <c r="DM458" s="17"/>
      <c r="DN458" s="17"/>
      <c r="DO458" s="16"/>
      <c r="DP458" s="16"/>
      <c r="DQ458" s="17"/>
      <c r="DR458" s="17"/>
      <c r="DS458" s="16"/>
      <c r="DT458" s="16"/>
      <c r="DU458" s="17"/>
      <c r="DV458" s="17"/>
      <c r="DW458" s="16"/>
      <c r="DX458" s="16"/>
      <c r="DY458" s="17"/>
      <c r="DZ458" s="17"/>
      <c r="EA458" s="16"/>
      <c r="EB458" s="16"/>
      <c r="EC458" s="17"/>
      <c r="ED458" s="17"/>
      <c r="EE458" s="16"/>
      <c r="EF458" s="16"/>
      <c r="EG458" s="17"/>
      <c r="EH458" s="17"/>
      <c r="EI458" s="16"/>
      <c r="EJ458" s="16"/>
      <c r="EK458" s="17"/>
      <c r="EL458" s="17"/>
      <c r="EM458" s="16"/>
      <c r="EN458" s="16"/>
      <c r="EO458" s="17"/>
      <c r="EP458" s="17"/>
      <c r="EQ458" s="16"/>
      <c r="ER458" s="16"/>
      <c r="ES458" s="17"/>
      <c r="ET458" s="17"/>
      <c r="EU458" s="16"/>
      <c r="EV458" s="16"/>
      <c r="EW458" s="17"/>
      <c r="EX458" s="17"/>
      <c r="EY458" s="16"/>
      <c r="EZ458" s="16"/>
      <c r="FA458" s="17"/>
      <c r="FB458" s="17"/>
      <c r="FC458" s="16"/>
      <c r="FD458" s="16"/>
      <c r="FE458" s="17"/>
      <c r="FF458" s="17"/>
      <c r="FG458" s="11"/>
      <c r="GT458" s="11"/>
      <c r="IG458" s="11"/>
      <c r="JT458" s="11"/>
      <c r="LG458" s="11"/>
      <c r="MT458" s="11"/>
      <c r="OG458" s="11"/>
      <c r="PT458" s="11"/>
    </row>
    <row r="459" spans="3:436" ht="15.75" x14ac:dyDescent="0.25">
      <c r="C459" s="20" t="s">
        <v>399</v>
      </c>
      <c r="D459" s="21" t="s">
        <v>136</v>
      </c>
      <c r="H459" s="11"/>
      <c r="AU459" s="11"/>
      <c r="CH459" s="11"/>
      <c r="CI459" s="16"/>
      <c r="CJ459" s="16"/>
      <c r="CK459" s="16"/>
      <c r="CL459" s="16"/>
      <c r="CM459" s="16"/>
      <c r="CN459" s="16"/>
      <c r="CO459" s="16"/>
      <c r="CP459" s="16"/>
      <c r="CQ459" s="16"/>
      <c r="CR459" s="16"/>
      <c r="CS459" s="16"/>
      <c r="CT459" s="16"/>
      <c r="CU459" s="16"/>
      <c r="CV459" s="16"/>
      <c r="CW459" s="16"/>
      <c r="CX459" s="16"/>
      <c r="CY459" s="16"/>
      <c r="CZ459" s="16"/>
      <c r="DA459" s="16"/>
      <c r="DB459" s="16"/>
      <c r="DC459" s="16"/>
      <c r="DD459" s="16"/>
      <c r="DE459" s="17"/>
      <c r="DF459" s="17"/>
      <c r="DG459" s="16"/>
      <c r="DH459" s="16"/>
      <c r="DI459" s="17"/>
      <c r="DJ459" s="17"/>
      <c r="DK459" s="16"/>
      <c r="DL459" s="16"/>
      <c r="DM459" s="17"/>
      <c r="DN459" s="17"/>
      <c r="DO459" s="16"/>
      <c r="DP459" s="16"/>
      <c r="DQ459" s="17"/>
      <c r="DR459" s="17"/>
      <c r="DS459" s="16"/>
      <c r="DT459" s="16"/>
      <c r="DU459" s="17"/>
      <c r="DV459" s="17"/>
      <c r="DW459" s="16"/>
      <c r="DX459" s="16"/>
      <c r="DY459" s="17"/>
      <c r="DZ459" s="17"/>
      <c r="EA459" s="16"/>
      <c r="EB459" s="16"/>
      <c r="EC459" s="17"/>
      <c r="ED459" s="17"/>
      <c r="EE459" s="16"/>
      <c r="EF459" s="16"/>
      <c r="EG459" s="17"/>
      <c r="EH459" s="17"/>
      <c r="EI459" s="16"/>
      <c r="EJ459" s="16"/>
      <c r="EK459" s="17"/>
      <c r="EL459" s="17"/>
      <c r="EM459" s="16"/>
      <c r="EN459" s="16"/>
      <c r="EO459" s="17"/>
      <c r="EP459" s="17"/>
      <c r="EQ459" s="16"/>
      <c r="ER459" s="16"/>
      <c r="ES459" s="17"/>
      <c r="ET459" s="17"/>
      <c r="EU459" s="16"/>
      <c r="EV459" s="16"/>
      <c r="EW459" s="17"/>
      <c r="EX459" s="17"/>
      <c r="EY459" s="16"/>
      <c r="EZ459" s="16"/>
      <c r="FA459" s="17"/>
      <c r="FB459" s="17"/>
      <c r="FC459" s="16"/>
      <c r="FD459" s="16"/>
      <c r="FE459" s="17"/>
      <c r="FF459" s="17"/>
      <c r="FG459" s="11"/>
      <c r="GT459" s="11"/>
      <c r="IG459" s="11"/>
      <c r="JT459" s="11"/>
      <c r="LG459" s="11"/>
      <c r="MT459" s="11"/>
      <c r="OG459" s="11"/>
      <c r="PT459" s="11"/>
    </row>
    <row r="460" spans="3:436" ht="15.75" x14ac:dyDescent="0.25">
      <c r="C460" s="20" t="s">
        <v>400</v>
      </c>
      <c r="D460" s="21" t="s">
        <v>136</v>
      </c>
      <c r="H460" s="11"/>
      <c r="AU460" s="11"/>
      <c r="CH460" s="11"/>
      <c r="CI460" s="16"/>
      <c r="CJ460" s="16"/>
      <c r="CK460" s="16"/>
      <c r="CL460" s="16"/>
      <c r="CM460" s="16"/>
      <c r="CN460" s="16"/>
      <c r="CO460" s="16"/>
      <c r="CP460" s="16"/>
      <c r="CQ460" s="16"/>
      <c r="CR460" s="16"/>
      <c r="CS460" s="16"/>
      <c r="CT460" s="16"/>
      <c r="CU460" s="16"/>
      <c r="CV460" s="16"/>
      <c r="CW460" s="16"/>
      <c r="CX460" s="16"/>
      <c r="CY460" s="16"/>
      <c r="CZ460" s="16"/>
      <c r="DA460" s="16"/>
      <c r="DB460" s="16"/>
      <c r="DC460" s="16"/>
      <c r="DD460" s="16"/>
      <c r="DE460" s="17"/>
      <c r="DF460" s="17"/>
      <c r="DG460" s="16"/>
      <c r="DH460" s="16"/>
      <c r="DI460" s="17"/>
      <c r="DJ460" s="17"/>
      <c r="DK460" s="16"/>
      <c r="DL460" s="16"/>
      <c r="DM460" s="17"/>
      <c r="DN460" s="17"/>
      <c r="DO460" s="16"/>
      <c r="DP460" s="16"/>
      <c r="DQ460" s="17"/>
      <c r="DR460" s="17"/>
      <c r="DS460" s="16"/>
      <c r="DT460" s="16"/>
      <c r="DU460" s="17"/>
      <c r="DV460" s="17"/>
      <c r="DW460" s="16"/>
      <c r="DX460" s="16"/>
      <c r="DY460" s="17"/>
      <c r="DZ460" s="17"/>
      <c r="EA460" s="16"/>
      <c r="EB460" s="16"/>
      <c r="EC460" s="17"/>
      <c r="ED460" s="17"/>
      <c r="EE460" s="16"/>
      <c r="EF460" s="16"/>
      <c r="EG460" s="17"/>
      <c r="EH460" s="17"/>
      <c r="EI460" s="16"/>
      <c r="EJ460" s="16"/>
      <c r="EK460" s="17"/>
      <c r="EL460" s="17"/>
      <c r="EM460" s="16"/>
      <c r="EN460" s="16"/>
      <c r="EO460" s="17"/>
      <c r="EP460" s="17"/>
      <c r="EQ460" s="16"/>
      <c r="ER460" s="16"/>
      <c r="ES460" s="17"/>
      <c r="ET460" s="17"/>
      <c r="EU460" s="16"/>
      <c r="EV460" s="16"/>
      <c r="EW460" s="17"/>
      <c r="EX460" s="17"/>
      <c r="EY460" s="16"/>
      <c r="EZ460" s="16"/>
      <c r="FA460" s="17"/>
      <c r="FB460" s="17"/>
      <c r="FC460" s="16"/>
      <c r="FD460" s="16"/>
      <c r="FE460" s="17"/>
      <c r="FF460" s="17"/>
      <c r="FG460" s="11"/>
      <c r="GT460" s="11"/>
      <c r="IG460" s="11"/>
      <c r="JT460" s="11"/>
      <c r="LG460" s="11"/>
      <c r="MT460" s="11"/>
      <c r="OG460" s="11"/>
      <c r="PT460" s="11"/>
    </row>
    <row r="461" spans="3:436" ht="15.75" x14ac:dyDescent="0.25">
      <c r="C461" s="20" t="s">
        <v>401</v>
      </c>
      <c r="D461" s="21" t="s">
        <v>162</v>
      </c>
      <c r="H461" s="11"/>
      <c r="AU461" s="11"/>
      <c r="CH461" s="11"/>
      <c r="CI461" s="16"/>
      <c r="CJ461" s="16"/>
      <c r="CK461" s="16"/>
      <c r="CL461" s="16"/>
      <c r="CM461" s="16"/>
      <c r="CN461" s="16"/>
      <c r="CO461" s="16"/>
      <c r="CP461" s="16"/>
      <c r="CQ461" s="16"/>
      <c r="CR461" s="16"/>
      <c r="CS461" s="16"/>
      <c r="CT461" s="16"/>
      <c r="CU461" s="16"/>
      <c r="CV461" s="16"/>
      <c r="CW461" s="16"/>
      <c r="CX461" s="16"/>
      <c r="CY461" s="16"/>
      <c r="CZ461" s="16"/>
      <c r="DA461" s="16"/>
      <c r="DB461" s="16"/>
      <c r="DC461" s="16"/>
      <c r="DD461" s="16"/>
      <c r="DE461" s="17"/>
      <c r="DF461" s="17"/>
      <c r="DG461" s="16"/>
      <c r="DH461" s="16"/>
      <c r="DI461" s="17"/>
      <c r="DJ461" s="17"/>
      <c r="DK461" s="16"/>
      <c r="DL461" s="16"/>
      <c r="DM461" s="17"/>
      <c r="DN461" s="17"/>
      <c r="DO461" s="16"/>
      <c r="DP461" s="16"/>
      <c r="DQ461" s="17"/>
      <c r="DR461" s="17"/>
      <c r="DS461" s="16"/>
      <c r="DT461" s="16"/>
      <c r="DU461" s="17"/>
      <c r="DV461" s="17"/>
      <c r="DW461" s="16"/>
      <c r="DX461" s="16"/>
      <c r="DY461" s="17"/>
      <c r="DZ461" s="17"/>
      <c r="EA461" s="16"/>
      <c r="EB461" s="16"/>
      <c r="EC461" s="17"/>
      <c r="ED461" s="17"/>
      <c r="EE461" s="16"/>
      <c r="EF461" s="16"/>
      <c r="EG461" s="17"/>
      <c r="EH461" s="17"/>
      <c r="EI461" s="16"/>
      <c r="EJ461" s="16"/>
      <c r="EK461" s="17"/>
      <c r="EL461" s="17"/>
      <c r="EM461" s="16"/>
      <c r="EN461" s="16"/>
      <c r="EO461" s="17"/>
      <c r="EP461" s="17"/>
      <c r="EQ461" s="16"/>
      <c r="ER461" s="16"/>
      <c r="ES461" s="17"/>
      <c r="ET461" s="17"/>
      <c r="EU461" s="16"/>
      <c r="EV461" s="16"/>
      <c r="EW461" s="17"/>
      <c r="EX461" s="17"/>
      <c r="EY461" s="16"/>
      <c r="EZ461" s="16"/>
      <c r="FA461" s="17"/>
      <c r="FB461" s="17"/>
      <c r="FC461" s="16"/>
      <c r="FD461" s="16"/>
      <c r="FE461" s="17"/>
      <c r="FF461" s="17"/>
      <c r="FG461" s="11"/>
      <c r="GT461" s="11"/>
      <c r="IG461" s="11"/>
      <c r="JT461" s="11"/>
      <c r="LG461" s="11"/>
      <c r="MT461" s="11"/>
      <c r="OG461" s="11"/>
      <c r="PT461" s="11"/>
    </row>
    <row r="462" spans="3:436" ht="15.75" x14ac:dyDescent="0.25">
      <c r="C462" s="20" t="s">
        <v>402</v>
      </c>
      <c r="D462" s="21" t="s">
        <v>79</v>
      </c>
      <c r="H462" s="11"/>
      <c r="AU462" s="11"/>
      <c r="CH462" s="11"/>
      <c r="CI462" s="16"/>
      <c r="CJ462" s="16"/>
      <c r="CK462" s="16"/>
      <c r="CL462" s="16"/>
      <c r="CM462" s="16"/>
      <c r="CN462" s="16"/>
      <c r="CO462" s="16"/>
      <c r="CP462" s="16"/>
      <c r="CQ462" s="16"/>
      <c r="CR462" s="16"/>
      <c r="CS462" s="16"/>
      <c r="CT462" s="16"/>
      <c r="CU462" s="16"/>
      <c r="CV462" s="16"/>
      <c r="CW462" s="16"/>
      <c r="CX462" s="16"/>
      <c r="CY462" s="16"/>
      <c r="CZ462" s="16"/>
      <c r="DA462" s="16"/>
      <c r="DB462" s="16"/>
      <c r="DC462" s="16"/>
      <c r="DD462" s="16"/>
      <c r="DE462" s="17"/>
      <c r="DF462" s="17"/>
      <c r="DG462" s="16"/>
      <c r="DH462" s="16"/>
      <c r="DI462" s="17"/>
      <c r="DJ462" s="17"/>
      <c r="DK462" s="16"/>
      <c r="DL462" s="16"/>
      <c r="DM462" s="17"/>
      <c r="DN462" s="17"/>
      <c r="DO462" s="16"/>
      <c r="DP462" s="16"/>
      <c r="DQ462" s="17"/>
      <c r="DR462" s="17"/>
      <c r="DS462" s="16"/>
      <c r="DT462" s="16"/>
      <c r="DU462" s="17"/>
      <c r="DV462" s="17"/>
      <c r="DW462" s="16"/>
      <c r="DX462" s="16"/>
      <c r="DY462" s="17"/>
      <c r="DZ462" s="17"/>
      <c r="EA462" s="16"/>
      <c r="EB462" s="16"/>
      <c r="EC462" s="17"/>
      <c r="ED462" s="17"/>
      <c r="EE462" s="16"/>
      <c r="EF462" s="16"/>
      <c r="EG462" s="17"/>
      <c r="EH462" s="17"/>
      <c r="EI462" s="16"/>
      <c r="EJ462" s="16"/>
      <c r="EK462" s="17"/>
      <c r="EL462" s="17"/>
      <c r="EM462" s="16"/>
      <c r="EN462" s="16"/>
      <c r="EO462" s="17"/>
      <c r="EP462" s="17"/>
      <c r="EQ462" s="16"/>
      <c r="ER462" s="16"/>
      <c r="ES462" s="17"/>
      <c r="ET462" s="17"/>
      <c r="EU462" s="16"/>
      <c r="EV462" s="16"/>
      <c r="EW462" s="17"/>
      <c r="EX462" s="17"/>
      <c r="EY462" s="16"/>
      <c r="EZ462" s="16"/>
      <c r="FA462" s="17"/>
      <c r="FB462" s="17"/>
      <c r="FC462" s="16"/>
      <c r="FD462" s="16"/>
      <c r="FE462" s="17"/>
      <c r="FF462" s="17"/>
      <c r="FG462" s="11"/>
      <c r="GT462" s="11"/>
      <c r="IG462" s="11"/>
      <c r="JT462" s="11"/>
      <c r="LG462" s="11"/>
      <c r="MT462" s="11"/>
      <c r="OG462" s="11"/>
      <c r="PT462" s="11"/>
    </row>
    <row r="463" spans="3:436" ht="15.75" x14ac:dyDescent="0.25">
      <c r="C463" s="20" t="s">
        <v>403</v>
      </c>
      <c r="D463" s="21" t="s">
        <v>79</v>
      </c>
      <c r="H463" s="11"/>
      <c r="AU463" s="11"/>
      <c r="CH463" s="11"/>
      <c r="CI463" s="16"/>
      <c r="CJ463" s="16"/>
      <c r="CK463" s="16"/>
      <c r="CL463" s="16"/>
      <c r="CM463" s="16"/>
      <c r="CN463" s="16"/>
      <c r="CO463" s="16"/>
      <c r="CP463" s="16"/>
      <c r="CQ463" s="16"/>
      <c r="CR463" s="16"/>
      <c r="CS463" s="16"/>
      <c r="CT463" s="16"/>
      <c r="CU463" s="16"/>
      <c r="CV463" s="16"/>
      <c r="CW463" s="16"/>
      <c r="CX463" s="16"/>
      <c r="CY463" s="16"/>
      <c r="CZ463" s="16"/>
      <c r="DA463" s="16"/>
      <c r="DB463" s="16"/>
      <c r="DC463" s="16"/>
      <c r="DD463" s="16"/>
      <c r="DE463" s="17"/>
      <c r="DF463" s="17"/>
      <c r="DG463" s="16"/>
      <c r="DH463" s="16"/>
      <c r="DI463" s="17"/>
      <c r="DJ463" s="17"/>
      <c r="DK463" s="16"/>
      <c r="DL463" s="16"/>
      <c r="DM463" s="17"/>
      <c r="DN463" s="17"/>
      <c r="DO463" s="16"/>
      <c r="DP463" s="16"/>
      <c r="DQ463" s="17"/>
      <c r="DR463" s="17"/>
      <c r="DS463" s="16"/>
      <c r="DT463" s="16"/>
      <c r="DU463" s="17"/>
      <c r="DV463" s="17"/>
      <c r="DW463" s="16"/>
      <c r="DX463" s="16"/>
      <c r="DY463" s="17"/>
      <c r="DZ463" s="17"/>
      <c r="EA463" s="16"/>
      <c r="EB463" s="16"/>
      <c r="EC463" s="17"/>
      <c r="ED463" s="17"/>
      <c r="EE463" s="16"/>
      <c r="EF463" s="16"/>
      <c r="EG463" s="17"/>
      <c r="EH463" s="17"/>
      <c r="EI463" s="16"/>
      <c r="EJ463" s="16"/>
      <c r="EK463" s="17"/>
      <c r="EL463" s="17"/>
      <c r="EM463" s="16"/>
      <c r="EN463" s="16"/>
      <c r="EO463" s="17"/>
      <c r="EP463" s="17"/>
      <c r="EQ463" s="16"/>
      <c r="ER463" s="16"/>
      <c r="ES463" s="17"/>
      <c r="ET463" s="17"/>
      <c r="EU463" s="16"/>
      <c r="EV463" s="16"/>
      <c r="EW463" s="17"/>
      <c r="EX463" s="17"/>
      <c r="EY463" s="16"/>
      <c r="EZ463" s="16"/>
      <c r="FA463" s="17"/>
      <c r="FB463" s="17"/>
      <c r="FC463" s="16"/>
      <c r="FD463" s="16"/>
      <c r="FE463" s="17"/>
      <c r="FF463" s="17"/>
      <c r="FG463" s="11"/>
      <c r="GT463" s="11"/>
      <c r="IG463" s="11"/>
      <c r="JT463" s="11"/>
      <c r="LG463" s="11"/>
      <c r="MT463" s="11"/>
      <c r="OG463" s="11"/>
      <c r="PT463" s="11"/>
    </row>
    <row r="464" spans="3:436" ht="15.75" x14ac:dyDescent="0.25">
      <c r="C464" s="20" t="s">
        <v>404</v>
      </c>
      <c r="D464" s="21" t="s">
        <v>129</v>
      </c>
      <c r="H464" s="11"/>
      <c r="AU464" s="11"/>
      <c r="CH464" s="11"/>
      <c r="CI464" s="16"/>
      <c r="CJ464" s="16"/>
      <c r="CK464" s="16"/>
      <c r="CL464" s="16"/>
      <c r="CM464" s="16"/>
      <c r="CN464" s="16"/>
      <c r="CO464" s="16"/>
      <c r="CP464" s="16"/>
      <c r="CQ464" s="16"/>
      <c r="CR464" s="16"/>
      <c r="CS464" s="16"/>
      <c r="CT464" s="16"/>
      <c r="CU464" s="16"/>
      <c r="CV464" s="16"/>
      <c r="CW464" s="16"/>
      <c r="CX464" s="16"/>
      <c r="CY464" s="16"/>
      <c r="CZ464" s="16"/>
      <c r="DA464" s="16"/>
      <c r="DB464" s="16"/>
      <c r="DC464" s="16"/>
      <c r="DD464" s="16"/>
      <c r="DE464" s="17"/>
      <c r="DF464" s="17"/>
      <c r="DG464" s="16"/>
      <c r="DH464" s="16"/>
      <c r="DI464" s="17"/>
      <c r="DJ464" s="17"/>
      <c r="DK464" s="16"/>
      <c r="DL464" s="16"/>
      <c r="DM464" s="17"/>
      <c r="DN464" s="17"/>
      <c r="DO464" s="16"/>
      <c r="DP464" s="16"/>
      <c r="DQ464" s="17"/>
      <c r="DR464" s="17"/>
      <c r="DS464" s="16"/>
      <c r="DT464" s="16"/>
      <c r="DU464" s="17"/>
      <c r="DV464" s="17"/>
      <c r="DW464" s="16"/>
      <c r="DX464" s="16"/>
      <c r="DY464" s="17"/>
      <c r="DZ464" s="17"/>
      <c r="EA464" s="16"/>
      <c r="EB464" s="16"/>
      <c r="EC464" s="17"/>
      <c r="ED464" s="17"/>
      <c r="EE464" s="16"/>
      <c r="EF464" s="16"/>
      <c r="EG464" s="17"/>
      <c r="EH464" s="17"/>
      <c r="EI464" s="16"/>
      <c r="EJ464" s="16"/>
      <c r="EK464" s="17"/>
      <c r="EL464" s="17"/>
      <c r="EM464" s="16"/>
      <c r="EN464" s="16"/>
      <c r="EO464" s="17"/>
      <c r="EP464" s="17"/>
      <c r="EQ464" s="16"/>
      <c r="ER464" s="16"/>
      <c r="ES464" s="17"/>
      <c r="ET464" s="17"/>
      <c r="EU464" s="16"/>
      <c r="EV464" s="16"/>
      <c r="EW464" s="17"/>
      <c r="EX464" s="17"/>
      <c r="EY464" s="16"/>
      <c r="EZ464" s="16"/>
      <c r="FA464" s="17"/>
      <c r="FB464" s="17"/>
      <c r="FC464" s="16"/>
      <c r="FD464" s="16"/>
      <c r="FE464" s="17"/>
      <c r="FF464" s="17"/>
      <c r="FG464" s="11"/>
      <c r="GT464" s="11"/>
      <c r="IG464" s="11"/>
      <c r="JT464" s="11"/>
      <c r="LG464" s="11"/>
      <c r="MT464" s="11"/>
      <c r="OG464" s="11"/>
      <c r="PT464" s="11"/>
    </row>
    <row r="465" spans="1:436" ht="15.75" x14ac:dyDescent="0.25">
      <c r="C465" s="20" t="s">
        <v>405</v>
      </c>
      <c r="D465" s="21" t="s">
        <v>136</v>
      </c>
      <c r="H465" s="11"/>
      <c r="AU465" s="11"/>
      <c r="CH465" s="11"/>
      <c r="CI465" s="16"/>
      <c r="CJ465" s="16"/>
      <c r="CK465" s="16"/>
      <c r="CL465" s="16"/>
      <c r="CM465" s="16"/>
      <c r="CN465" s="16"/>
      <c r="CO465" s="16"/>
      <c r="CP465" s="16"/>
      <c r="CQ465" s="16"/>
      <c r="CR465" s="16"/>
      <c r="CS465" s="16"/>
      <c r="CT465" s="16"/>
      <c r="CU465" s="16"/>
      <c r="CV465" s="16"/>
      <c r="CW465" s="16"/>
      <c r="CX465" s="16"/>
      <c r="CY465" s="16"/>
      <c r="CZ465" s="16"/>
      <c r="DA465" s="16"/>
      <c r="DB465" s="16"/>
      <c r="DC465" s="16"/>
      <c r="DD465" s="16"/>
      <c r="DE465" s="17"/>
      <c r="DF465" s="17"/>
      <c r="DG465" s="16"/>
      <c r="DH465" s="16"/>
      <c r="DI465" s="17"/>
      <c r="DJ465" s="17"/>
      <c r="DK465" s="16"/>
      <c r="DL465" s="16"/>
      <c r="DM465" s="17"/>
      <c r="DN465" s="17"/>
      <c r="DO465" s="16"/>
      <c r="DP465" s="16"/>
      <c r="DQ465" s="17"/>
      <c r="DR465" s="17"/>
      <c r="DS465" s="16"/>
      <c r="DT465" s="16"/>
      <c r="DU465" s="17"/>
      <c r="DV465" s="17"/>
      <c r="DW465" s="16"/>
      <c r="DX465" s="16"/>
      <c r="DY465" s="17"/>
      <c r="DZ465" s="17"/>
      <c r="EA465" s="16"/>
      <c r="EB465" s="16"/>
      <c r="EC465" s="17"/>
      <c r="ED465" s="17"/>
      <c r="EE465" s="16"/>
      <c r="EF465" s="16"/>
      <c r="EG465" s="17"/>
      <c r="EH465" s="17"/>
      <c r="EI465" s="16"/>
      <c r="EJ465" s="16"/>
      <c r="EK465" s="17"/>
      <c r="EL465" s="17"/>
      <c r="EM465" s="16"/>
      <c r="EN465" s="16"/>
      <c r="EO465" s="17"/>
      <c r="EP465" s="17"/>
      <c r="EQ465" s="16"/>
      <c r="ER465" s="16"/>
      <c r="ES465" s="17"/>
      <c r="ET465" s="17"/>
      <c r="EU465" s="16"/>
      <c r="EV465" s="16"/>
      <c r="EW465" s="17"/>
      <c r="EX465" s="17"/>
      <c r="EY465" s="16"/>
      <c r="EZ465" s="16"/>
      <c r="FA465" s="17"/>
      <c r="FB465" s="17"/>
      <c r="FC465" s="16"/>
      <c r="FD465" s="16"/>
      <c r="FE465" s="17"/>
      <c r="FF465" s="17"/>
      <c r="FG465" s="11"/>
      <c r="GT465" s="11"/>
      <c r="IG465" s="11"/>
      <c r="JT465" s="11"/>
      <c r="LG465" s="11"/>
      <c r="MT465" s="11"/>
      <c r="OG465" s="11"/>
      <c r="PT465" s="11"/>
    </row>
    <row r="466" spans="1:436" ht="15.75" x14ac:dyDescent="0.25">
      <c r="C466" s="20" t="s">
        <v>406</v>
      </c>
      <c r="D466" s="21" t="s">
        <v>159</v>
      </c>
      <c r="H466" s="11"/>
      <c r="AU466" s="11"/>
      <c r="CH466" s="11"/>
      <c r="CI466" s="16"/>
      <c r="CJ466" s="16"/>
      <c r="CK466" s="16"/>
      <c r="CL466" s="16"/>
      <c r="CM466" s="16"/>
      <c r="CN466" s="16"/>
      <c r="CO466" s="16"/>
      <c r="CP466" s="16"/>
      <c r="CQ466" s="16"/>
      <c r="CR466" s="16"/>
      <c r="CS466" s="16"/>
      <c r="CT466" s="16"/>
      <c r="CU466" s="16"/>
      <c r="CV466" s="16"/>
      <c r="CW466" s="16"/>
      <c r="CX466" s="16"/>
      <c r="CY466" s="16"/>
      <c r="CZ466" s="16"/>
      <c r="DA466" s="16"/>
      <c r="DB466" s="16"/>
      <c r="DC466" s="16"/>
      <c r="DD466" s="16"/>
      <c r="DE466" s="17"/>
      <c r="DF466" s="17"/>
      <c r="DG466" s="16"/>
      <c r="DH466" s="16"/>
      <c r="DI466" s="17"/>
      <c r="DJ466" s="17"/>
      <c r="DK466" s="16"/>
      <c r="DL466" s="16"/>
      <c r="DM466" s="17"/>
      <c r="DN466" s="17"/>
      <c r="DO466" s="16"/>
      <c r="DP466" s="16"/>
      <c r="DQ466" s="17"/>
      <c r="DR466" s="17"/>
      <c r="DS466" s="16"/>
      <c r="DT466" s="16"/>
      <c r="DU466" s="17"/>
      <c r="DV466" s="17"/>
      <c r="DW466" s="16"/>
      <c r="DX466" s="16"/>
      <c r="DY466" s="17"/>
      <c r="DZ466" s="17"/>
      <c r="EA466" s="16"/>
      <c r="EB466" s="16"/>
      <c r="EC466" s="17"/>
      <c r="ED466" s="17"/>
      <c r="EE466" s="16"/>
      <c r="EF466" s="16"/>
      <c r="EG466" s="17"/>
      <c r="EH466" s="17"/>
      <c r="EI466" s="16"/>
      <c r="EJ466" s="16"/>
      <c r="EK466" s="17"/>
      <c r="EL466" s="17"/>
      <c r="EM466" s="16"/>
      <c r="EN466" s="16"/>
      <c r="EO466" s="17"/>
      <c r="EP466" s="17"/>
      <c r="EQ466" s="16"/>
      <c r="ER466" s="16"/>
      <c r="ES466" s="17"/>
      <c r="ET466" s="17"/>
      <c r="EU466" s="16"/>
      <c r="EV466" s="16"/>
      <c r="EW466" s="17"/>
      <c r="EX466" s="17"/>
      <c r="EY466" s="16"/>
      <c r="EZ466" s="16"/>
      <c r="FA466" s="17"/>
      <c r="FB466" s="17"/>
      <c r="FC466" s="16"/>
      <c r="FD466" s="16"/>
      <c r="FE466" s="17"/>
      <c r="FF466" s="17"/>
      <c r="FG466" s="11"/>
      <c r="GT466" s="11"/>
      <c r="IG466" s="11"/>
      <c r="JT466" s="11"/>
      <c r="LG466" s="11"/>
      <c r="MT466" s="11"/>
      <c r="OG466" s="11"/>
      <c r="PT466" s="11"/>
    </row>
    <row r="467" spans="1:436" ht="15.75" x14ac:dyDescent="0.25">
      <c r="C467" s="20" t="s">
        <v>407</v>
      </c>
      <c r="D467" s="21" t="s">
        <v>82</v>
      </c>
      <c r="H467" s="11"/>
      <c r="AU467" s="11"/>
      <c r="CH467" s="11"/>
      <c r="CI467" s="16"/>
      <c r="CJ467" s="16"/>
      <c r="CK467" s="16"/>
      <c r="CL467" s="16"/>
      <c r="CM467" s="16"/>
      <c r="CN467" s="16"/>
      <c r="CO467" s="16"/>
      <c r="CP467" s="16"/>
      <c r="CQ467" s="16"/>
      <c r="CR467" s="16"/>
      <c r="CS467" s="16"/>
      <c r="CT467" s="16"/>
      <c r="CU467" s="16"/>
      <c r="CV467" s="16"/>
      <c r="CW467" s="16"/>
      <c r="CX467" s="16"/>
      <c r="CY467" s="16"/>
      <c r="CZ467" s="16"/>
      <c r="DA467" s="16"/>
      <c r="DB467" s="16"/>
      <c r="DC467" s="16"/>
      <c r="DD467" s="16"/>
      <c r="DE467" s="17"/>
      <c r="DF467" s="17"/>
      <c r="DG467" s="16"/>
      <c r="DH467" s="16"/>
      <c r="DI467" s="17"/>
      <c r="DJ467" s="17"/>
      <c r="DK467" s="16"/>
      <c r="DL467" s="16"/>
      <c r="DM467" s="17"/>
      <c r="DN467" s="17"/>
      <c r="DO467" s="16"/>
      <c r="DP467" s="16"/>
      <c r="DQ467" s="17"/>
      <c r="DR467" s="17"/>
      <c r="DS467" s="16"/>
      <c r="DT467" s="16"/>
      <c r="DU467" s="17"/>
      <c r="DV467" s="17"/>
      <c r="DW467" s="16"/>
      <c r="DX467" s="16"/>
      <c r="DY467" s="17"/>
      <c r="DZ467" s="17"/>
      <c r="EA467" s="16"/>
      <c r="EB467" s="16"/>
      <c r="EC467" s="17"/>
      <c r="ED467" s="17"/>
      <c r="EE467" s="16"/>
      <c r="EF467" s="16"/>
      <c r="EG467" s="17"/>
      <c r="EH467" s="17"/>
      <c r="EI467" s="16"/>
      <c r="EJ467" s="16"/>
      <c r="EK467" s="17"/>
      <c r="EL467" s="17"/>
      <c r="EM467" s="16"/>
      <c r="EN467" s="16"/>
      <c r="EO467" s="17"/>
      <c r="EP467" s="17"/>
      <c r="EQ467" s="16"/>
      <c r="ER467" s="16"/>
      <c r="ES467" s="18">
        <v>3</v>
      </c>
      <c r="ET467" s="18">
        <v>4</v>
      </c>
      <c r="EU467" s="16"/>
      <c r="EV467" s="16"/>
      <c r="EW467" s="17"/>
      <c r="EX467" s="17"/>
      <c r="EY467" s="16"/>
      <c r="EZ467" s="16"/>
      <c r="FA467" s="17"/>
      <c r="FB467" s="17"/>
      <c r="FC467" s="16"/>
      <c r="FD467" s="16"/>
      <c r="FE467" s="17"/>
      <c r="FF467" s="17"/>
      <c r="FG467" s="11"/>
      <c r="GT467" s="11"/>
      <c r="IG467" s="11"/>
      <c r="JT467" s="11"/>
      <c r="LG467" s="11"/>
      <c r="MT467" s="11"/>
      <c r="OG467" s="11"/>
      <c r="PT467" s="11"/>
    </row>
    <row r="468" spans="1:436" ht="15.75" x14ac:dyDescent="0.25">
      <c r="C468" s="20" t="s">
        <v>408</v>
      </c>
      <c r="D468" s="21" t="s">
        <v>104</v>
      </c>
      <c r="H468" s="11"/>
      <c r="AU468" s="11"/>
      <c r="CH468" s="11"/>
      <c r="CI468" s="16"/>
      <c r="CJ468" s="16"/>
      <c r="CK468" s="16"/>
      <c r="CL468" s="16"/>
      <c r="CM468" s="16"/>
      <c r="CN468" s="16"/>
      <c r="CO468" s="16"/>
      <c r="CP468" s="16"/>
      <c r="CQ468" s="16"/>
      <c r="CR468" s="16"/>
      <c r="CS468" s="16"/>
      <c r="CT468" s="16"/>
      <c r="CU468" s="16"/>
      <c r="CV468" s="16"/>
      <c r="CW468" s="16"/>
      <c r="CX468" s="16"/>
      <c r="CY468" s="16"/>
      <c r="CZ468" s="16"/>
      <c r="DA468" s="16"/>
      <c r="DB468" s="16"/>
      <c r="DC468" s="16"/>
      <c r="DD468" s="16"/>
      <c r="DE468" s="17"/>
      <c r="DF468" s="17"/>
      <c r="DG468" s="16"/>
      <c r="DH468" s="16"/>
      <c r="DI468" s="17"/>
      <c r="DJ468" s="17"/>
      <c r="DK468" s="16"/>
      <c r="DL468" s="16"/>
      <c r="DM468" s="17"/>
      <c r="DN468" s="17"/>
      <c r="DO468" s="16"/>
      <c r="DP468" s="16"/>
      <c r="DQ468" s="17"/>
      <c r="DR468" s="17"/>
      <c r="DS468" s="16"/>
      <c r="DT468" s="16"/>
      <c r="DU468" s="17"/>
      <c r="DV468" s="17"/>
      <c r="DW468" s="16"/>
      <c r="DX468" s="16"/>
      <c r="DY468" s="17"/>
      <c r="DZ468" s="17"/>
      <c r="EA468" s="16"/>
      <c r="EB468" s="16"/>
      <c r="EC468" s="17"/>
      <c r="ED468" s="17"/>
      <c r="EE468" s="16"/>
      <c r="EF468" s="16"/>
      <c r="EG468" s="17"/>
      <c r="EH468" s="17"/>
      <c r="EI468" s="16"/>
      <c r="EJ468" s="16"/>
      <c r="EK468" s="17"/>
      <c r="EL468" s="17"/>
      <c r="EM468" s="16"/>
      <c r="EN468" s="16"/>
      <c r="EO468" s="17"/>
      <c r="EP468" s="17"/>
      <c r="EQ468" s="16"/>
      <c r="ER468" s="16"/>
      <c r="ES468" s="17"/>
      <c r="ET468" s="17"/>
      <c r="EU468" s="16"/>
      <c r="EV468" s="16"/>
      <c r="EW468" s="17"/>
      <c r="EX468" s="17"/>
      <c r="EY468" s="16"/>
      <c r="EZ468" s="16"/>
      <c r="FA468" s="17"/>
      <c r="FB468" s="17"/>
      <c r="FC468" s="16"/>
      <c r="FD468" s="16"/>
      <c r="FE468" s="17"/>
      <c r="FF468" s="17"/>
      <c r="FG468" s="11"/>
      <c r="GT468" s="11"/>
      <c r="IG468" s="11"/>
      <c r="JT468" s="11"/>
      <c r="LG468" s="11"/>
      <c r="MT468" s="11"/>
      <c r="OG468" s="11"/>
      <c r="PT468" s="11"/>
    </row>
    <row r="469" spans="1:436" ht="15.75" x14ac:dyDescent="0.25">
      <c r="C469" s="20" t="s">
        <v>409</v>
      </c>
      <c r="D469" s="21" t="s">
        <v>84</v>
      </c>
      <c r="H469" s="11"/>
      <c r="AU469" s="11"/>
      <c r="CH469" s="11"/>
      <c r="CI469" s="16"/>
      <c r="CJ469" s="16"/>
      <c r="CK469" s="16"/>
      <c r="CL469" s="16"/>
      <c r="CM469" s="16"/>
      <c r="CN469" s="16"/>
      <c r="CO469" s="16"/>
      <c r="CP469" s="16"/>
      <c r="CQ469" s="16"/>
      <c r="CR469" s="16"/>
      <c r="CS469" s="16"/>
      <c r="CT469" s="16"/>
      <c r="CU469" s="16"/>
      <c r="CV469" s="16"/>
      <c r="CW469" s="16"/>
      <c r="CX469" s="16"/>
      <c r="CY469" s="16"/>
      <c r="CZ469" s="16"/>
      <c r="DA469" s="16"/>
      <c r="DB469" s="16"/>
      <c r="DC469" s="16"/>
      <c r="DD469" s="16"/>
      <c r="DE469" s="17"/>
      <c r="DF469" s="17"/>
      <c r="DG469" s="16"/>
      <c r="DH469" s="16"/>
      <c r="DI469" s="17"/>
      <c r="DJ469" s="17"/>
      <c r="DK469" s="16"/>
      <c r="DL469" s="16"/>
      <c r="DM469" s="17"/>
      <c r="DN469" s="17"/>
      <c r="DO469" s="16"/>
      <c r="DP469" s="16"/>
      <c r="DQ469" s="17"/>
      <c r="DR469" s="17"/>
      <c r="DS469" s="16"/>
      <c r="DT469" s="16"/>
      <c r="DU469" s="17"/>
      <c r="DV469" s="17"/>
      <c r="DW469" s="16"/>
      <c r="DX469" s="16"/>
      <c r="DY469" s="17"/>
      <c r="DZ469" s="17"/>
      <c r="EA469" s="16"/>
      <c r="EB469" s="16"/>
      <c r="EC469" s="17"/>
      <c r="ED469" s="17"/>
      <c r="EE469" s="16"/>
      <c r="EF469" s="16"/>
      <c r="EG469" s="17"/>
      <c r="EH469" s="17"/>
      <c r="EI469" s="16"/>
      <c r="EJ469" s="16"/>
      <c r="EK469" s="17"/>
      <c r="EL469" s="17"/>
      <c r="EM469" s="16"/>
      <c r="EN469" s="16"/>
      <c r="EO469" s="17"/>
      <c r="EP469" s="17"/>
      <c r="EQ469" s="16"/>
      <c r="ER469" s="16"/>
      <c r="ES469" s="17"/>
      <c r="ET469" s="17"/>
      <c r="EU469" s="16"/>
      <c r="EV469" s="16"/>
      <c r="EW469" s="17"/>
      <c r="EX469" s="17"/>
      <c r="EY469" s="16"/>
      <c r="EZ469" s="16"/>
      <c r="FA469" s="17"/>
      <c r="FB469" s="17"/>
      <c r="FC469" s="16"/>
      <c r="FD469" s="16"/>
      <c r="FE469" s="17"/>
      <c r="FF469" s="17"/>
      <c r="FG469" s="11"/>
      <c r="GT469" s="11"/>
      <c r="IG469" s="11"/>
      <c r="JT469" s="11"/>
      <c r="LG469" s="11"/>
      <c r="MT469" s="11"/>
      <c r="OG469" s="11"/>
      <c r="PT469" s="11"/>
    </row>
    <row r="470" spans="1:436" ht="15.75" x14ac:dyDescent="0.25">
      <c r="C470" s="20" t="s">
        <v>410</v>
      </c>
      <c r="D470" s="21" t="s">
        <v>142</v>
      </c>
      <c r="H470" s="11"/>
      <c r="AU470" s="11"/>
      <c r="CH470" s="11"/>
      <c r="CI470" s="16"/>
      <c r="CJ470" s="16"/>
      <c r="CK470" s="16"/>
      <c r="CL470" s="16"/>
      <c r="CM470" s="16"/>
      <c r="CN470" s="16"/>
      <c r="CO470" s="16"/>
      <c r="CP470" s="16"/>
      <c r="CQ470" s="16"/>
      <c r="CR470" s="16"/>
      <c r="CS470" s="16"/>
      <c r="CT470" s="16"/>
      <c r="CU470" s="16"/>
      <c r="CV470" s="16"/>
      <c r="CW470" s="16"/>
      <c r="CX470" s="16"/>
      <c r="CY470" s="16"/>
      <c r="CZ470" s="16"/>
      <c r="DA470" s="16"/>
      <c r="DB470" s="16"/>
      <c r="DC470" s="16"/>
      <c r="DD470" s="16"/>
      <c r="DE470" s="17"/>
      <c r="DF470" s="17"/>
      <c r="DG470" s="16"/>
      <c r="DH470" s="16"/>
      <c r="DI470" s="17"/>
      <c r="DJ470" s="17"/>
      <c r="DK470" s="16"/>
      <c r="DL470" s="16"/>
      <c r="DM470" s="17"/>
      <c r="DN470" s="17"/>
      <c r="DO470" s="16"/>
      <c r="DP470" s="16"/>
      <c r="DQ470" s="17"/>
      <c r="DR470" s="17"/>
      <c r="DS470" s="16"/>
      <c r="DT470" s="16"/>
      <c r="DU470" s="17"/>
      <c r="DV470" s="17"/>
      <c r="DW470" s="16"/>
      <c r="DX470" s="16"/>
      <c r="DY470" s="17"/>
      <c r="DZ470" s="17"/>
      <c r="EA470" s="16"/>
      <c r="EB470" s="16"/>
      <c r="EC470" s="17"/>
      <c r="ED470" s="17"/>
      <c r="EE470" s="16"/>
      <c r="EF470" s="16"/>
      <c r="EG470" s="17"/>
      <c r="EH470" s="17"/>
      <c r="EI470" s="16"/>
      <c r="EJ470" s="16"/>
      <c r="EK470" s="17"/>
      <c r="EL470" s="17"/>
      <c r="EM470" s="16"/>
      <c r="EN470" s="16"/>
      <c r="EO470" s="17"/>
      <c r="EP470" s="17"/>
      <c r="EQ470" s="16"/>
      <c r="ER470" s="16"/>
      <c r="ES470" s="17"/>
      <c r="ET470" s="17"/>
      <c r="EU470" s="16"/>
      <c r="EV470" s="16"/>
      <c r="EW470" s="17"/>
      <c r="EX470" s="17"/>
      <c r="EY470" s="16"/>
      <c r="EZ470" s="16"/>
      <c r="FA470" s="17"/>
      <c r="FB470" s="17"/>
      <c r="FC470" s="16"/>
      <c r="FD470" s="16"/>
      <c r="FE470" s="17"/>
      <c r="FF470" s="17"/>
      <c r="FG470" s="11"/>
      <c r="GT470" s="11"/>
      <c r="IG470" s="11"/>
      <c r="JT470" s="11"/>
      <c r="LG470" s="11"/>
      <c r="MT470" s="11"/>
      <c r="OG470" s="11"/>
      <c r="PT470" s="11"/>
    </row>
    <row r="471" spans="1:436" ht="15.75" x14ac:dyDescent="0.25">
      <c r="C471" s="20" t="s">
        <v>69</v>
      </c>
      <c r="D471" s="21" t="s">
        <v>90</v>
      </c>
      <c r="H471" s="11"/>
      <c r="AU471" s="11"/>
      <c r="CH471" s="11"/>
      <c r="CI471" s="16"/>
      <c r="CJ471" s="16"/>
      <c r="CK471" s="16"/>
      <c r="CL471" s="16"/>
      <c r="CM471" s="16"/>
      <c r="CN471" s="16"/>
      <c r="CO471" s="16"/>
      <c r="CP471" s="16"/>
      <c r="CQ471" s="16"/>
      <c r="CR471" s="16"/>
      <c r="CS471" s="16"/>
      <c r="CT471" s="16"/>
      <c r="CU471" s="16"/>
      <c r="CV471" s="16"/>
      <c r="CW471" s="16"/>
      <c r="CX471" s="16"/>
      <c r="CY471" s="16"/>
      <c r="CZ471" s="16"/>
      <c r="DA471" s="16"/>
      <c r="DB471" s="16"/>
      <c r="DC471" s="16"/>
      <c r="DD471" s="16"/>
      <c r="DE471" s="17"/>
      <c r="DF471" s="17"/>
      <c r="DG471" s="16"/>
      <c r="DH471" s="16"/>
      <c r="DI471" s="17"/>
      <c r="DJ471" s="17"/>
      <c r="DK471" s="16"/>
      <c r="DL471" s="16"/>
      <c r="DM471" s="17"/>
      <c r="DN471" s="17"/>
      <c r="DO471" s="16"/>
      <c r="DP471" s="16"/>
      <c r="DQ471" s="17"/>
      <c r="DR471" s="17"/>
      <c r="DS471" s="16"/>
      <c r="DT471" s="16"/>
      <c r="DU471" s="17"/>
      <c r="DV471" s="17"/>
      <c r="DW471" s="16"/>
      <c r="DX471" s="16"/>
      <c r="DY471" s="17"/>
      <c r="DZ471" s="17"/>
      <c r="EA471" s="16"/>
      <c r="EB471" s="16"/>
      <c r="EC471" s="17"/>
      <c r="ED471" s="17"/>
      <c r="EE471" s="16"/>
      <c r="EF471" s="16"/>
      <c r="EG471" s="17"/>
      <c r="EH471" s="17"/>
      <c r="EI471" s="16"/>
      <c r="EJ471" s="16"/>
      <c r="EK471" s="17"/>
      <c r="EL471" s="17"/>
      <c r="EM471" s="16"/>
      <c r="EN471" s="16"/>
      <c r="EO471" s="17"/>
      <c r="EP471" s="17"/>
      <c r="EQ471" s="16"/>
      <c r="ER471" s="16"/>
      <c r="ES471" s="17"/>
      <c r="ET471" s="17"/>
      <c r="EU471" s="16"/>
      <c r="EV471" s="16"/>
      <c r="EW471" s="17"/>
      <c r="EX471" s="17"/>
      <c r="EY471" s="16"/>
      <c r="EZ471" s="16"/>
      <c r="FA471" s="17"/>
      <c r="FB471" s="17"/>
      <c r="FC471" s="16"/>
      <c r="FD471" s="16"/>
      <c r="FE471" s="17"/>
      <c r="FF471" s="17"/>
      <c r="FG471" s="11"/>
      <c r="GT471" s="11"/>
      <c r="IG471" s="11"/>
      <c r="JT471" s="11"/>
      <c r="LG471" s="11"/>
      <c r="MT471" s="11"/>
      <c r="OG471" s="11"/>
      <c r="PT471" s="11"/>
    </row>
    <row r="472" spans="1:436" ht="15.75" x14ac:dyDescent="0.25">
      <c r="C472" s="20" t="s">
        <v>420</v>
      </c>
      <c r="D472" s="21" t="s">
        <v>136</v>
      </c>
      <c r="H472" s="11"/>
      <c r="AU472" s="11"/>
      <c r="CH472" s="11"/>
      <c r="CI472" s="16"/>
      <c r="CJ472" s="16"/>
      <c r="CK472" s="16"/>
      <c r="CL472" s="16"/>
      <c r="CM472" s="16"/>
      <c r="CN472" s="16"/>
      <c r="CO472" s="16"/>
      <c r="CP472" s="16"/>
      <c r="CQ472" s="16"/>
      <c r="CR472" s="16"/>
      <c r="CS472" s="16"/>
      <c r="CT472" s="16"/>
      <c r="CU472" s="16"/>
      <c r="CV472" s="16"/>
      <c r="CW472" s="16"/>
      <c r="CX472" s="16"/>
      <c r="CY472" s="16"/>
      <c r="CZ472" s="16"/>
      <c r="DA472" s="16"/>
      <c r="DB472" s="16"/>
      <c r="DC472" s="16"/>
      <c r="DD472" s="16"/>
      <c r="DE472" s="17"/>
      <c r="DF472" s="17"/>
      <c r="DG472" s="16"/>
      <c r="DH472" s="16"/>
      <c r="DI472" s="17"/>
      <c r="DJ472" s="17"/>
      <c r="DK472" s="16"/>
      <c r="DL472" s="16"/>
      <c r="DM472" s="17"/>
      <c r="DN472" s="17"/>
      <c r="DO472" s="16"/>
      <c r="DP472" s="16"/>
      <c r="DQ472" s="17"/>
      <c r="DR472" s="17"/>
      <c r="DS472" s="16"/>
      <c r="DT472" s="16"/>
      <c r="DU472" s="17"/>
      <c r="DV472" s="17"/>
      <c r="DW472" s="16"/>
      <c r="DX472" s="16"/>
      <c r="DY472" s="17"/>
      <c r="DZ472" s="17"/>
      <c r="EA472" s="16"/>
      <c r="EB472" s="16"/>
      <c r="EC472" s="18">
        <v>11.4</v>
      </c>
      <c r="ED472" s="18">
        <v>17.100000000000001</v>
      </c>
      <c r="EE472" s="16"/>
      <c r="EF472" s="16"/>
      <c r="EG472" s="17"/>
      <c r="EH472" s="17"/>
      <c r="EI472" s="16"/>
      <c r="EJ472" s="16"/>
      <c r="EK472" s="17"/>
      <c r="EL472" s="17"/>
      <c r="EM472" s="16"/>
      <c r="EN472" s="16"/>
      <c r="EO472" s="17"/>
      <c r="EP472" s="17"/>
      <c r="EQ472" s="16"/>
      <c r="ER472" s="16"/>
      <c r="ES472" s="17"/>
      <c r="ET472" s="17"/>
      <c r="EU472" s="16"/>
      <c r="EV472" s="16"/>
      <c r="EW472" s="17"/>
      <c r="EX472" s="17"/>
      <c r="EY472" s="16"/>
      <c r="EZ472" s="16"/>
      <c r="FA472" s="17"/>
      <c r="FB472" s="17"/>
      <c r="FC472" s="16"/>
      <c r="FD472" s="16"/>
      <c r="FE472" s="17"/>
      <c r="FF472" s="17"/>
      <c r="FG472" s="11"/>
      <c r="GT472" s="11"/>
      <c r="IG472" s="11"/>
      <c r="JT472" s="11"/>
      <c r="LG472" s="11"/>
      <c r="MT472" s="11"/>
      <c r="OG472" s="11"/>
      <c r="PT472" s="11"/>
    </row>
    <row r="473" spans="1:436" ht="15.75" x14ac:dyDescent="0.25">
      <c r="C473" s="20" t="s">
        <v>421</v>
      </c>
      <c r="D473" s="21" t="s">
        <v>136</v>
      </c>
      <c r="H473" s="11"/>
      <c r="AU473" s="11"/>
      <c r="CH473" s="11"/>
      <c r="CI473" s="16"/>
      <c r="CJ473" s="16"/>
      <c r="CK473" s="16"/>
      <c r="CL473" s="16"/>
      <c r="CM473" s="16"/>
      <c r="CN473" s="16"/>
      <c r="CO473" s="16"/>
      <c r="CP473" s="16"/>
      <c r="CQ473" s="16"/>
      <c r="CR473" s="16"/>
      <c r="CS473" s="16"/>
      <c r="CT473" s="16"/>
      <c r="CU473" s="16"/>
      <c r="CV473" s="16"/>
      <c r="CW473" s="16"/>
      <c r="CX473" s="16"/>
      <c r="CY473" s="16"/>
      <c r="CZ473" s="16"/>
      <c r="DA473" s="16"/>
      <c r="DB473" s="16"/>
      <c r="DC473" s="16"/>
      <c r="DD473" s="16"/>
      <c r="DE473" s="17"/>
      <c r="DF473" s="17"/>
      <c r="DG473" s="16"/>
      <c r="DH473" s="16"/>
      <c r="DI473" s="17"/>
      <c r="DJ473" s="17"/>
      <c r="DK473" s="16"/>
      <c r="DL473" s="16"/>
      <c r="DM473" s="17"/>
      <c r="DN473" s="17"/>
      <c r="DO473" s="16"/>
      <c r="DP473" s="16"/>
      <c r="DQ473" s="17"/>
      <c r="DR473" s="17"/>
      <c r="DS473" s="16"/>
      <c r="DT473" s="16"/>
      <c r="DU473" s="17"/>
      <c r="DV473" s="17"/>
      <c r="DW473" s="16"/>
      <c r="DX473" s="16"/>
      <c r="DY473" s="17"/>
      <c r="DZ473" s="17"/>
      <c r="EA473" s="16"/>
      <c r="EB473" s="16"/>
      <c r="EC473" s="17"/>
      <c r="ED473" s="17"/>
      <c r="EE473" s="16"/>
      <c r="EF473" s="16"/>
      <c r="EG473" s="17"/>
      <c r="EH473" s="17"/>
      <c r="EI473" s="16"/>
      <c r="EJ473" s="16"/>
      <c r="EK473" s="17"/>
      <c r="EL473" s="17"/>
      <c r="EM473" s="16"/>
      <c r="EN473" s="16"/>
      <c r="EO473" s="17"/>
      <c r="EP473" s="17"/>
      <c r="EQ473" s="16"/>
      <c r="ER473" s="16"/>
      <c r="ES473" s="17"/>
      <c r="ET473" s="17"/>
      <c r="EU473" s="16"/>
      <c r="EV473" s="16"/>
      <c r="EW473" s="17"/>
      <c r="EX473" s="17"/>
      <c r="EY473" s="16"/>
      <c r="EZ473" s="16"/>
      <c r="FA473" s="17"/>
      <c r="FB473" s="17"/>
      <c r="FC473" s="16"/>
      <c r="FD473" s="16"/>
      <c r="FE473" s="17"/>
      <c r="FF473" s="17"/>
      <c r="FG473" s="11"/>
      <c r="GT473" s="11"/>
      <c r="IG473" s="11"/>
      <c r="JT473" s="11"/>
      <c r="LG473" s="11"/>
      <c r="MT473" s="11"/>
      <c r="OG473" s="11"/>
      <c r="PT473" s="11"/>
    </row>
    <row r="474" spans="1:436" ht="15.75" x14ac:dyDescent="0.25">
      <c r="A474" s="13"/>
      <c r="B474" s="14" t="s">
        <v>422</v>
      </c>
      <c r="C474" s="13"/>
      <c r="D474" s="13"/>
      <c r="E474" s="15" t="s">
        <v>76</v>
      </c>
      <c r="F474" s="15" t="s">
        <v>177</v>
      </c>
      <c r="G474" s="13"/>
      <c r="H474" s="11"/>
      <c r="AU474" s="11"/>
      <c r="CH474" s="11"/>
      <c r="CI474" s="16"/>
      <c r="CJ474" s="16"/>
      <c r="CK474" s="16"/>
      <c r="CL474" s="16"/>
      <c r="CM474" s="16"/>
      <c r="CN474" s="16"/>
      <c r="CO474" s="16"/>
      <c r="CP474" s="16"/>
      <c r="CQ474" s="16"/>
      <c r="CR474" s="16"/>
      <c r="CS474" s="16"/>
      <c r="CT474" s="16"/>
      <c r="CU474" s="16"/>
      <c r="CV474" s="16"/>
      <c r="CW474" s="16"/>
      <c r="CX474" s="16"/>
      <c r="CY474" s="16"/>
      <c r="CZ474" s="16"/>
      <c r="DA474" s="16"/>
      <c r="DB474" s="16"/>
      <c r="DC474" s="16"/>
      <c r="DD474" s="16"/>
      <c r="DE474" s="17"/>
      <c r="DF474" s="17"/>
      <c r="DG474" s="16"/>
      <c r="DH474" s="16"/>
      <c r="DI474" s="17"/>
      <c r="DJ474" s="18">
        <v>35</v>
      </c>
      <c r="DK474" s="16"/>
      <c r="DL474" s="19">
        <v>10</v>
      </c>
      <c r="DM474" s="17"/>
      <c r="DN474" s="18">
        <v>15</v>
      </c>
      <c r="DO474" s="16"/>
      <c r="DP474" s="16"/>
      <c r="DQ474" s="17"/>
      <c r="DR474" s="17"/>
      <c r="DS474" s="16"/>
      <c r="DT474" s="16"/>
      <c r="DU474" s="17"/>
      <c r="DV474" s="17"/>
      <c r="DW474" s="16"/>
      <c r="DX474" s="16"/>
      <c r="DY474" s="17"/>
      <c r="DZ474" s="17"/>
      <c r="EA474" s="16"/>
      <c r="EB474" s="16"/>
      <c r="EC474" s="18">
        <v>68.599999999999994</v>
      </c>
      <c r="ED474" s="18">
        <v>98.6</v>
      </c>
      <c r="EE474" s="16"/>
      <c r="EF474" s="16"/>
      <c r="EG474" s="17"/>
      <c r="EH474" s="17"/>
      <c r="EI474" s="16"/>
      <c r="EJ474" s="16"/>
      <c r="EK474" s="17"/>
      <c r="EL474" s="17"/>
      <c r="EM474" s="16"/>
      <c r="EN474" s="16"/>
      <c r="EO474" s="17"/>
      <c r="EP474" s="17"/>
      <c r="EQ474" s="16"/>
      <c r="ER474" s="16"/>
      <c r="ES474" s="17"/>
      <c r="ET474" s="18">
        <v>10</v>
      </c>
      <c r="EU474" s="16"/>
      <c r="EV474" s="16"/>
      <c r="EW474" s="17"/>
      <c r="EX474" s="17"/>
      <c r="EY474" s="16"/>
      <c r="EZ474" s="16"/>
      <c r="FA474" s="17"/>
      <c r="FB474" s="17"/>
      <c r="FC474" s="16"/>
      <c r="FD474" s="16"/>
      <c r="FE474" s="17"/>
      <c r="FF474" s="17"/>
      <c r="FG474" s="11"/>
      <c r="GT474" s="11"/>
      <c r="IG474" s="11"/>
      <c r="JT474" s="11"/>
      <c r="LG474" s="11"/>
      <c r="MT474" s="11"/>
      <c r="OG474" s="11"/>
      <c r="PT474" s="11"/>
    </row>
    <row r="475" spans="1:436" ht="15.75" x14ac:dyDescent="0.25">
      <c r="C475" s="20" t="s">
        <v>423</v>
      </c>
      <c r="D475" s="21" t="s">
        <v>136</v>
      </c>
      <c r="H475" s="11"/>
      <c r="AU475" s="11"/>
      <c r="CH475" s="11"/>
      <c r="CI475" s="16"/>
      <c r="CJ475" s="16"/>
      <c r="CK475" s="16"/>
      <c r="CL475" s="16"/>
      <c r="CM475" s="16"/>
      <c r="CN475" s="16"/>
      <c r="CO475" s="16"/>
      <c r="CP475" s="16"/>
      <c r="CQ475" s="16"/>
      <c r="CR475" s="16"/>
      <c r="CS475" s="16"/>
      <c r="CT475" s="16"/>
      <c r="CU475" s="16"/>
      <c r="CV475" s="16"/>
      <c r="CW475" s="16"/>
      <c r="CX475" s="16"/>
      <c r="CY475" s="16"/>
      <c r="CZ475" s="16"/>
      <c r="DA475" s="16"/>
      <c r="DB475" s="16"/>
      <c r="DC475" s="16"/>
      <c r="DD475" s="16"/>
      <c r="DE475" s="17"/>
      <c r="DF475" s="17"/>
      <c r="DG475" s="16"/>
      <c r="DH475" s="16"/>
      <c r="DI475" s="17"/>
      <c r="DJ475" s="17"/>
      <c r="DK475" s="16"/>
      <c r="DL475" s="16"/>
      <c r="DM475" s="17"/>
      <c r="DN475" s="17"/>
      <c r="DO475" s="16"/>
      <c r="DP475" s="16"/>
      <c r="DQ475" s="17"/>
      <c r="DR475" s="17"/>
      <c r="DS475" s="16"/>
      <c r="DT475" s="16"/>
      <c r="DU475" s="17"/>
      <c r="DV475" s="17"/>
      <c r="DW475" s="16"/>
      <c r="DX475" s="16"/>
      <c r="DY475" s="17"/>
      <c r="DZ475" s="17"/>
      <c r="EA475" s="16"/>
      <c r="EB475" s="16"/>
      <c r="EC475" s="18">
        <v>68.599999999999994</v>
      </c>
      <c r="ED475" s="18">
        <v>68.599999999999994</v>
      </c>
      <c r="EE475" s="16"/>
      <c r="EF475" s="16"/>
      <c r="EG475" s="17"/>
      <c r="EH475" s="17"/>
      <c r="EI475" s="16"/>
      <c r="EJ475" s="16"/>
      <c r="EK475" s="17"/>
      <c r="EL475" s="17"/>
      <c r="EM475" s="16"/>
      <c r="EN475" s="16"/>
      <c r="EO475" s="17"/>
      <c r="EP475" s="17"/>
      <c r="EQ475" s="16"/>
      <c r="ER475" s="16"/>
      <c r="ES475" s="17"/>
      <c r="ET475" s="17"/>
      <c r="EU475" s="16"/>
      <c r="EV475" s="16"/>
      <c r="EW475" s="17"/>
      <c r="EX475" s="17"/>
      <c r="EY475" s="16"/>
      <c r="EZ475" s="16"/>
      <c r="FA475" s="17"/>
      <c r="FB475" s="17"/>
      <c r="FC475" s="16"/>
      <c r="FD475" s="16"/>
      <c r="FE475" s="17"/>
      <c r="FF475" s="17"/>
      <c r="FG475" s="11"/>
      <c r="GT475" s="11"/>
      <c r="IG475" s="11"/>
      <c r="JT475" s="11"/>
      <c r="LG475" s="11"/>
      <c r="MT475" s="11"/>
      <c r="OG475" s="11"/>
      <c r="PT475" s="11"/>
    </row>
    <row r="476" spans="1:436" ht="15.75" x14ac:dyDescent="0.25">
      <c r="A476" s="13"/>
      <c r="B476" s="14" t="s">
        <v>424</v>
      </c>
      <c r="C476" s="13"/>
      <c r="D476" s="13"/>
      <c r="E476" s="15" t="s">
        <v>127</v>
      </c>
      <c r="F476" s="15" t="s">
        <v>77</v>
      </c>
      <c r="G476" s="13"/>
      <c r="H476" s="11"/>
      <c r="AU476" s="11"/>
      <c r="CH476" s="11"/>
      <c r="CI476" s="16"/>
      <c r="CJ476" s="16"/>
      <c r="CK476" s="16"/>
      <c r="CL476" s="16"/>
      <c r="CM476" s="16"/>
      <c r="CN476" s="16"/>
      <c r="CO476" s="16"/>
      <c r="CP476" s="16"/>
      <c r="CQ476" s="16"/>
      <c r="CR476" s="16"/>
      <c r="CS476" s="16"/>
      <c r="CT476" s="16"/>
      <c r="CU476" s="16"/>
      <c r="CV476" s="16"/>
      <c r="CW476" s="16"/>
      <c r="CX476" s="16"/>
      <c r="CY476" s="16"/>
      <c r="CZ476" s="16"/>
      <c r="DA476" s="16"/>
      <c r="DB476" s="16"/>
      <c r="DC476" s="16"/>
      <c r="DD476" s="16"/>
      <c r="DE476" s="17"/>
      <c r="DF476" s="17"/>
      <c r="DG476" s="16"/>
      <c r="DH476" s="16"/>
      <c r="DI476" s="17"/>
      <c r="DJ476" s="17"/>
      <c r="DK476" s="16"/>
      <c r="DL476" s="16"/>
      <c r="DM476" s="17"/>
      <c r="DN476" s="17"/>
      <c r="DO476" s="16"/>
      <c r="DP476" s="16"/>
      <c r="DQ476" s="17"/>
      <c r="DR476" s="17"/>
      <c r="DS476" s="16"/>
      <c r="DT476" s="16"/>
      <c r="DU476" s="17"/>
      <c r="DV476" s="17"/>
      <c r="DW476" s="16"/>
      <c r="DX476" s="16"/>
      <c r="DY476" s="17"/>
      <c r="DZ476" s="17"/>
      <c r="EA476" s="16"/>
      <c r="EB476" s="16"/>
      <c r="EC476" s="17"/>
      <c r="ED476" s="18">
        <v>5</v>
      </c>
      <c r="EE476" s="16"/>
      <c r="EF476" s="16"/>
      <c r="EG476" s="17"/>
      <c r="EH476" s="17"/>
      <c r="EI476" s="16"/>
      <c r="EJ476" s="16"/>
      <c r="EK476" s="17"/>
      <c r="EL476" s="18">
        <v>17</v>
      </c>
      <c r="EM476" s="16"/>
      <c r="EN476" s="16"/>
      <c r="EO476" s="17"/>
      <c r="EP476" s="17"/>
      <c r="EQ476" s="16"/>
      <c r="ER476" s="16"/>
      <c r="ES476" s="17"/>
      <c r="ET476" s="18">
        <v>20</v>
      </c>
      <c r="EU476" s="16"/>
      <c r="EV476" s="16"/>
      <c r="EW476" s="17"/>
      <c r="EX476" s="17"/>
      <c r="EY476" s="16"/>
      <c r="EZ476" s="16"/>
      <c r="FA476" s="17"/>
      <c r="FB476" s="17"/>
      <c r="FC476" s="16"/>
      <c r="FD476" s="16"/>
      <c r="FE476" s="17"/>
      <c r="FF476" s="17"/>
      <c r="FG476" s="11"/>
      <c r="GT476" s="11"/>
      <c r="IG476" s="11"/>
      <c r="JT476" s="11"/>
      <c r="LG476" s="11"/>
      <c r="MT476" s="11"/>
      <c r="OG476" s="11"/>
      <c r="PT476" s="11"/>
    </row>
    <row r="477" spans="1:436" ht="15.75" x14ac:dyDescent="0.25">
      <c r="C477" s="20" t="s">
        <v>425</v>
      </c>
      <c r="D477" s="21" t="s">
        <v>79</v>
      </c>
      <c r="H477" s="11"/>
      <c r="AU477" s="11"/>
      <c r="CH477" s="11"/>
      <c r="CI477" s="16"/>
      <c r="CJ477" s="16"/>
      <c r="CK477" s="16"/>
      <c r="CL477" s="16"/>
      <c r="CM477" s="16"/>
      <c r="CN477" s="16"/>
      <c r="CO477" s="16"/>
      <c r="CP477" s="16"/>
      <c r="CQ477" s="16"/>
      <c r="CR477" s="16"/>
      <c r="CS477" s="16"/>
      <c r="CT477" s="16"/>
      <c r="CU477" s="16"/>
      <c r="CV477" s="16"/>
      <c r="CW477" s="16"/>
      <c r="CX477" s="16"/>
      <c r="CY477" s="16"/>
      <c r="CZ477" s="16"/>
      <c r="DA477" s="16"/>
      <c r="DB477" s="16"/>
      <c r="DC477" s="16"/>
      <c r="DD477" s="16"/>
      <c r="DE477" s="17"/>
      <c r="DF477" s="17"/>
      <c r="DG477" s="16"/>
      <c r="DH477" s="16"/>
      <c r="DI477" s="17"/>
      <c r="DJ477" s="18">
        <v>1</v>
      </c>
      <c r="DK477" s="16"/>
      <c r="DL477" s="16"/>
      <c r="DM477" s="17"/>
      <c r="DN477" s="17"/>
      <c r="DO477" s="16"/>
      <c r="DP477" s="16"/>
      <c r="DQ477" s="17"/>
      <c r="DR477" s="17"/>
      <c r="DS477" s="16"/>
      <c r="DT477" s="16"/>
      <c r="DU477" s="17"/>
      <c r="DV477" s="17"/>
      <c r="DW477" s="16"/>
      <c r="DX477" s="16"/>
      <c r="DY477" s="17"/>
      <c r="DZ477" s="17"/>
      <c r="EA477" s="16"/>
      <c r="EB477" s="16"/>
      <c r="EC477" s="17"/>
      <c r="ED477" s="17"/>
      <c r="EE477" s="16"/>
      <c r="EF477" s="16"/>
      <c r="EG477" s="17"/>
      <c r="EH477" s="17"/>
      <c r="EI477" s="16"/>
      <c r="EJ477" s="16"/>
      <c r="EK477" s="17"/>
      <c r="EL477" s="17"/>
      <c r="EM477" s="16"/>
      <c r="EN477" s="16"/>
      <c r="EO477" s="17"/>
      <c r="EP477" s="17"/>
      <c r="EQ477" s="16"/>
      <c r="ER477" s="16"/>
      <c r="ES477" s="17"/>
      <c r="ET477" s="17"/>
      <c r="EU477" s="16"/>
      <c r="EV477" s="16"/>
      <c r="EW477" s="17"/>
      <c r="EX477" s="17"/>
      <c r="EY477" s="16"/>
      <c r="EZ477" s="16"/>
      <c r="FA477" s="17"/>
      <c r="FB477" s="17"/>
      <c r="FC477" s="16"/>
      <c r="FD477" s="16"/>
      <c r="FE477" s="17"/>
      <c r="FF477" s="17"/>
      <c r="FG477" s="11"/>
      <c r="GT477" s="11"/>
      <c r="IG477" s="11"/>
      <c r="JT477" s="11"/>
      <c r="LG477" s="11"/>
      <c r="MT477" s="11"/>
      <c r="OG477" s="11"/>
      <c r="PT477" s="11"/>
    </row>
    <row r="478" spans="1:436" ht="15.75" x14ac:dyDescent="0.25">
      <c r="C478" s="20" t="s">
        <v>426</v>
      </c>
      <c r="D478" s="21" t="s">
        <v>79</v>
      </c>
      <c r="H478" s="11"/>
      <c r="AU478" s="11"/>
      <c r="CH478" s="11"/>
      <c r="CI478" s="16"/>
      <c r="CJ478" s="16"/>
      <c r="CK478" s="16"/>
      <c r="CL478" s="16"/>
      <c r="CM478" s="16"/>
      <c r="CN478" s="16"/>
      <c r="CO478" s="16"/>
      <c r="CP478" s="16"/>
      <c r="CQ478" s="16"/>
      <c r="CR478" s="16"/>
      <c r="CS478" s="16"/>
      <c r="CT478" s="16"/>
      <c r="CU478" s="16"/>
      <c r="CV478" s="16"/>
      <c r="CW478" s="16"/>
      <c r="CX478" s="16"/>
      <c r="CY478" s="16"/>
      <c r="CZ478" s="16"/>
      <c r="DA478" s="16"/>
      <c r="DB478" s="16"/>
      <c r="DC478" s="16"/>
      <c r="DD478" s="16"/>
      <c r="DE478" s="17"/>
      <c r="DF478" s="17"/>
      <c r="DG478" s="16"/>
      <c r="DH478" s="16"/>
      <c r="DI478" s="17"/>
      <c r="DJ478" s="18">
        <v>1</v>
      </c>
      <c r="DK478" s="16"/>
      <c r="DL478" s="16"/>
      <c r="DM478" s="17"/>
      <c r="DN478" s="17"/>
      <c r="DO478" s="16"/>
      <c r="DP478" s="16"/>
      <c r="DQ478" s="17"/>
      <c r="DR478" s="17"/>
      <c r="DS478" s="16"/>
      <c r="DT478" s="16"/>
      <c r="DU478" s="17"/>
      <c r="DV478" s="17"/>
      <c r="DW478" s="16"/>
      <c r="DX478" s="16"/>
      <c r="DY478" s="17"/>
      <c r="DZ478" s="17"/>
      <c r="EA478" s="16"/>
      <c r="EB478" s="16"/>
      <c r="EC478" s="17"/>
      <c r="ED478" s="17"/>
      <c r="EE478" s="16"/>
      <c r="EF478" s="16"/>
      <c r="EG478" s="17"/>
      <c r="EH478" s="17"/>
      <c r="EI478" s="16"/>
      <c r="EJ478" s="16"/>
      <c r="EK478" s="17"/>
      <c r="EL478" s="17"/>
      <c r="EM478" s="16"/>
      <c r="EN478" s="16"/>
      <c r="EO478" s="17"/>
      <c r="EP478" s="17"/>
      <c r="EQ478" s="16"/>
      <c r="ER478" s="16"/>
      <c r="ES478" s="17"/>
      <c r="ET478" s="17"/>
      <c r="EU478" s="16"/>
      <c r="EV478" s="16"/>
      <c r="EW478" s="17"/>
      <c r="EX478" s="17"/>
      <c r="EY478" s="16"/>
      <c r="EZ478" s="16"/>
      <c r="FA478" s="17"/>
      <c r="FB478" s="17"/>
      <c r="FC478" s="16"/>
      <c r="FD478" s="16"/>
      <c r="FE478" s="17"/>
      <c r="FF478" s="17"/>
      <c r="FG478" s="11"/>
      <c r="GT478" s="11"/>
      <c r="IG478" s="11"/>
      <c r="JT478" s="11"/>
      <c r="LG478" s="11"/>
      <c r="MT478" s="11"/>
      <c r="OG478" s="11"/>
      <c r="PT478" s="11"/>
    </row>
    <row r="479" spans="1:436" ht="15.75" x14ac:dyDescent="0.25">
      <c r="C479" s="20" t="s">
        <v>427</v>
      </c>
      <c r="D479" s="21" t="s">
        <v>93</v>
      </c>
      <c r="H479" s="11"/>
      <c r="AU479" s="11"/>
      <c r="CH479" s="11"/>
      <c r="CI479" s="16"/>
      <c r="CJ479" s="16"/>
      <c r="CK479" s="16"/>
      <c r="CL479" s="16"/>
      <c r="CM479" s="16"/>
      <c r="CN479" s="16"/>
      <c r="CO479" s="16"/>
      <c r="CP479" s="16"/>
      <c r="CQ479" s="16"/>
      <c r="CR479" s="16"/>
      <c r="CS479" s="16"/>
      <c r="CT479" s="16"/>
      <c r="CU479" s="16"/>
      <c r="CV479" s="16"/>
      <c r="CW479" s="16"/>
      <c r="CX479" s="16"/>
      <c r="CY479" s="16"/>
      <c r="CZ479" s="16"/>
      <c r="DA479" s="16"/>
      <c r="DB479" s="16"/>
      <c r="DC479" s="16"/>
      <c r="DD479" s="16"/>
      <c r="DE479" s="17"/>
      <c r="DF479" s="17"/>
      <c r="DG479" s="16"/>
      <c r="DH479" s="16"/>
      <c r="DI479" s="17"/>
      <c r="DJ479" s="17"/>
      <c r="DK479" s="16"/>
      <c r="DL479" s="16"/>
      <c r="DM479" s="17"/>
      <c r="DN479" s="17"/>
      <c r="DO479" s="16"/>
      <c r="DP479" s="16"/>
      <c r="DQ479" s="17"/>
      <c r="DR479" s="17"/>
      <c r="DS479" s="16"/>
      <c r="DT479" s="16"/>
      <c r="DU479" s="17"/>
      <c r="DV479" s="17"/>
      <c r="DW479" s="16"/>
      <c r="DX479" s="16"/>
      <c r="DY479" s="17"/>
      <c r="DZ479" s="17"/>
      <c r="EA479" s="16"/>
      <c r="EB479" s="16"/>
      <c r="EC479" s="17"/>
      <c r="ED479" s="17"/>
      <c r="EE479" s="16"/>
      <c r="EF479" s="16"/>
      <c r="EG479" s="17"/>
      <c r="EH479" s="17"/>
      <c r="EI479" s="16"/>
      <c r="EJ479" s="16"/>
      <c r="EK479" s="17"/>
      <c r="EL479" s="17"/>
      <c r="EM479" s="16"/>
      <c r="EN479" s="16"/>
      <c r="EO479" s="17"/>
      <c r="EP479" s="17"/>
      <c r="EQ479" s="16"/>
      <c r="ER479" s="16"/>
      <c r="ES479" s="17"/>
      <c r="ET479" s="17"/>
      <c r="EU479" s="16"/>
      <c r="EV479" s="16"/>
      <c r="EW479" s="17"/>
      <c r="EX479" s="17"/>
      <c r="EY479" s="16"/>
      <c r="EZ479" s="16"/>
      <c r="FA479" s="17"/>
      <c r="FB479" s="17"/>
      <c r="FC479" s="16"/>
      <c r="FD479" s="16"/>
      <c r="FE479" s="17"/>
      <c r="FF479" s="17"/>
      <c r="FG479" s="11"/>
      <c r="GT479" s="11"/>
      <c r="IG479" s="11"/>
      <c r="JT479" s="11"/>
      <c r="LG479" s="11"/>
      <c r="MT479" s="11"/>
      <c r="OG479" s="11"/>
      <c r="PT479" s="11"/>
    </row>
    <row r="480" spans="1:436" ht="15.75" x14ac:dyDescent="0.25">
      <c r="C480" s="20" t="s">
        <v>428</v>
      </c>
      <c r="D480" s="21" t="s">
        <v>142</v>
      </c>
      <c r="H480" s="11"/>
      <c r="AU480" s="11"/>
      <c r="CH480" s="11"/>
      <c r="CI480" s="16"/>
      <c r="CJ480" s="16"/>
      <c r="CK480" s="16"/>
      <c r="CL480" s="16"/>
      <c r="CM480" s="16"/>
      <c r="CN480" s="16"/>
      <c r="CO480" s="16"/>
      <c r="CP480" s="16"/>
      <c r="CQ480" s="16"/>
      <c r="CR480" s="16"/>
      <c r="CS480" s="16"/>
      <c r="CT480" s="16"/>
      <c r="CU480" s="16"/>
      <c r="CV480" s="16"/>
      <c r="CW480" s="16"/>
      <c r="CX480" s="16"/>
      <c r="CY480" s="16"/>
      <c r="CZ480" s="16"/>
      <c r="DA480" s="16"/>
      <c r="DB480" s="16"/>
      <c r="DC480" s="16"/>
      <c r="DD480" s="16"/>
      <c r="DE480" s="17"/>
      <c r="DF480" s="17"/>
      <c r="DG480" s="16"/>
      <c r="DH480" s="16"/>
      <c r="DI480" s="17"/>
      <c r="DJ480" s="17"/>
      <c r="DK480" s="16"/>
      <c r="DL480" s="16"/>
      <c r="DM480" s="17"/>
      <c r="DN480" s="17"/>
      <c r="DO480" s="16"/>
      <c r="DP480" s="16"/>
      <c r="DQ480" s="17"/>
      <c r="DR480" s="17"/>
      <c r="DS480" s="16"/>
      <c r="DT480" s="16"/>
      <c r="DU480" s="17"/>
      <c r="DV480" s="17"/>
      <c r="DW480" s="16"/>
      <c r="DX480" s="16"/>
      <c r="DY480" s="17"/>
      <c r="DZ480" s="17"/>
      <c r="EA480" s="16"/>
      <c r="EB480" s="16"/>
      <c r="EC480" s="17"/>
      <c r="ED480" s="17"/>
      <c r="EE480" s="16"/>
      <c r="EF480" s="16"/>
      <c r="EG480" s="17"/>
      <c r="EH480" s="17"/>
      <c r="EI480" s="16"/>
      <c r="EJ480" s="16"/>
      <c r="EK480" s="17"/>
      <c r="EL480" s="17"/>
      <c r="EM480" s="16"/>
      <c r="EN480" s="16"/>
      <c r="EO480" s="17"/>
      <c r="EP480" s="17"/>
      <c r="EQ480" s="16"/>
      <c r="ER480" s="16"/>
      <c r="ES480" s="17"/>
      <c r="ET480" s="17"/>
      <c r="EU480" s="16"/>
      <c r="EV480" s="16"/>
      <c r="EW480" s="17"/>
      <c r="EX480" s="17"/>
      <c r="EY480" s="16"/>
      <c r="EZ480" s="16"/>
      <c r="FA480" s="17"/>
      <c r="FB480" s="17"/>
      <c r="FC480" s="16"/>
      <c r="FD480" s="16"/>
      <c r="FE480" s="17"/>
      <c r="FF480" s="17"/>
      <c r="FG480" s="11"/>
      <c r="GT480" s="11"/>
      <c r="IG480" s="11"/>
      <c r="JT480" s="11"/>
      <c r="LG480" s="11"/>
      <c r="MT480" s="11"/>
      <c r="OG480" s="11"/>
      <c r="PT480" s="11"/>
    </row>
    <row r="481" spans="1:436" ht="15.75" x14ac:dyDescent="0.25">
      <c r="C481" s="20" t="s">
        <v>429</v>
      </c>
      <c r="D481" s="21" t="s">
        <v>136</v>
      </c>
      <c r="H481" s="11"/>
      <c r="AU481" s="11"/>
      <c r="CH481" s="11"/>
      <c r="CI481" s="16"/>
      <c r="CJ481" s="16"/>
      <c r="CK481" s="16"/>
      <c r="CL481" s="16"/>
      <c r="CM481" s="16"/>
      <c r="CN481" s="16"/>
      <c r="CO481" s="16"/>
      <c r="CP481" s="16"/>
      <c r="CQ481" s="16"/>
      <c r="CR481" s="16"/>
      <c r="CS481" s="16"/>
      <c r="CT481" s="16"/>
      <c r="CU481" s="16"/>
      <c r="CV481" s="16"/>
      <c r="CW481" s="16"/>
      <c r="CX481" s="16"/>
      <c r="CY481" s="16"/>
      <c r="CZ481" s="16"/>
      <c r="DA481" s="16"/>
      <c r="DB481" s="16"/>
      <c r="DC481" s="16"/>
      <c r="DD481" s="16"/>
      <c r="DE481" s="17"/>
      <c r="DF481" s="17"/>
      <c r="DG481" s="16"/>
      <c r="DH481" s="16"/>
      <c r="DI481" s="17"/>
      <c r="DJ481" s="17"/>
      <c r="DK481" s="16"/>
      <c r="DL481" s="16"/>
      <c r="DM481" s="17"/>
      <c r="DN481" s="17"/>
      <c r="DO481" s="16"/>
      <c r="DP481" s="16"/>
      <c r="DQ481" s="17"/>
      <c r="DR481" s="17"/>
      <c r="DS481" s="16"/>
      <c r="DT481" s="16"/>
      <c r="DU481" s="17"/>
      <c r="DV481" s="17"/>
      <c r="DW481" s="16"/>
      <c r="DX481" s="16"/>
      <c r="DY481" s="17"/>
      <c r="DZ481" s="17"/>
      <c r="EA481" s="16"/>
      <c r="EB481" s="16"/>
      <c r="EC481" s="17"/>
      <c r="ED481" s="17"/>
      <c r="EE481" s="16"/>
      <c r="EF481" s="16"/>
      <c r="EG481" s="17"/>
      <c r="EH481" s="17"/>
      <c r="EI481" s="16"/>
      <c r="EJ481" s="16"/>
      <c r="EK481" s="17"/>
      <c r="EL481" s="17"/>
      <c r="EM481" s="16"/>
      <c r="EN481" s="16"/>
      <c r="EO481" s="17"/>
      <c r="EP481" s="17"/>
      <c r="EQ481" s="16"/>
      <c r="ER481" s="16"/>
      <c r="ES481" s="17"/>
      <c r="ET481" s="17"/>
      <c r="EU481" s="16"/>
      <c r="EV481" s="16"/>
      <c r="EW481" s="17"/>
      <c r="EX481" s="17"/>
      <c r="EY481" s="16"/>
      <c r="EZ481" s="16"/>
      <c r="FA481" s="17"/>
      <c r="FB481" s="17"/>
      <c r="FC481" s="16"/>
      <c r="FD481" s="16"/>
      <c r="FE481" s="17"/>
      <c r="FF481" s="17"/>
      <c r="FG481" s="11"/>
      <c r="GT481" s="11"/>
      <c r="IG481" s="11"/>
      <c r="JT481" s="11"/>
      <c r="LG481" s="11"/>
      <c r="MT481" s="11"/>
      <c r="OG481" s="11"/>
      <c r="PT481" s="11"/>
    </row>
    <row r="482" spans="1:436" ht="15.75" x14ac:dyDescent="0.25">
      <c r="C482" s="20" t="s">
        <v>427</v>
      </c>
      <c r="D482" s="21" t="s">
        <v>93</v>
      </c>
      <c r="H482" s="11"/>
      <c r="AU482" s="11"/>
      <c r="CH482" s="11"/>
      <c r="CI482" s="16"/>
      <c r="CJ482" s="16"/>
      <c r="CK482" s="16"/>
      <c r="CL482" s="16"/>
      <c r="CM482" s="16"/>
      <c r="CN482" s="16"/>
      <c r="CO482" s="16"/>
      <c r="CP482" s="16"/>
      <c r="CQ482" s="16"/>
      <c r="CR482" s="16"/>
      <c r="CS482" s="16"/>
      <c r="CT482" s="16"/>
      <c r="CU482" s="16"/>
      <c r="CV482" s="16"/>
      <c r="CW482" s="16"/>
      <c r="CX482" s="16"/>
      <c r="CY482" s="16"/>
      <c r="CZ482" s="16"/>
      <c r="DA482" s="16"/>
      <c r="DB482" s="16"/>
      <c r="DC482" s="16"/>
      <c r="DD482" s="16"/>
      <c r="DE482" s="17"/>
      <c r="DF482" s="17"/>
      <c r="DG482" s="16"/>
      <c r="DH482" s="16"/>
      <c r="DI482" s="17"/>
      <c r="DJ482" s="17"/>
      <c r="DK482" s="16"/>
      <c r="DL482" s="16"/>
      <c r="DM482" s="17"/>
      <c r="DN482" s="17"/>
      <c r="DO482" s="16"/>
      <c r="DP482" s="16"/>
      <c r="DQ482" s="17"/>
      <c r="DR482" s="17"/>
      <c r="DS482" s="16"/>
      <c r="DT482" s="16"/>
      <c r="DU482" s="17"/>
      <c r="DV482" s="17"/>
      <c r="DW482" s="16"/>
      <c r="DX482" s="16"/>
      <c r="DY482" s="17"/>
      <c r="DZ482" s="17"/>
      <c r="EA482" s="16"/>
      <c r="EB482" s="16"/>
      <c r="EC482" s="17"/>
      <c r="ED482" s="17"/>
      <c r="EE482" s="16"/>
      <c r="EF482" s="16"/>
      <c r="EG482" s="17"/>
      <c r="EH482" s="17"/>
      <c r="EI482" s="16"/>
      <c r="EJ482" s="16"/>
      <c r="EK482" s="17"/>
      <c r="EL482" s="17"/>
      <c r="EM482" s="16"/>
      <c r="EN482" s="16"/>
      <c r="EO482" s="17"/>
      <c r="EP482" s="17"/>
      <c r="EQ482" s="16"/>
      <c r="ER482" s="16"/>
      <c r="ES482" s="17"/>
      <c r="ET482" s="17"/>
      <c r="EU482" s="16"/>
      <c r="EV482" s="16"/>
      <c r="EW482" s="18">
        <v>10</v>
      </c>
      <c r="EX482" s="18">
        <v>15</v>
      </c>
      <c r="EY482" s="16"/>
      <c r="EZ482" s="16"/>
      <c r="FA482" s="17"/>
      <c r="FB482" s="17"/>
      <c r="FC482" s="16"/>
      <c r="FD482" s="16"/>
      <c r="FE482" s="17"/>
      <c r="FF482" s="17"/>
      <c r="FG482" s="11"/>
      <c r="GT482" s="11"/>
      <c r="IG482" s="11"/>
      <c r="JT482" s="11"/>
      <c r="LG482" s="11"/>
      <c r="MT482" s="11"/>
      <c r="OG482" s="11"/>
      <c r="PT482" s="11"/>
    </row>
    <row r="483" spans="1:436" ht="15.75" x14ac:dyDescent="0.25">
      <c r="C483" s="20" t="s">
        <v>427</v>
      </c>
      <c r="D483" s="21" t="s">
        <v>82</v>
      </c>
      <c r="H483" s="11"/>
      <c r="AU483" s="11"/>
      <c r="CH483" s="11"/>
      <c r="CI483" s="16"/>
      <c r="CJ483" s="16"/>
      <c r="CK483" s="16"/>
      <c r="CL483" s="16"/>
      <c r="CM483" s="16"/>
      <c r="CN483" s="16"/>
      <c r="CO483" s="16"/>
      <c r="CP483" s="16"/>
      <c r="CQ483" s="16"/>
      <c r="CR483" s="16"/>
      <c r="CS483" s="16"/>
      <c r="CT483" s="16"/>
      <c r="CU483" s="16"/>
      <c r="CV483" s="16"/>
      <c r="CW483" s="16"/>
      <c r="CX483" s="16"/>
      <c r="CY483" s="16"/>
      <c r="CZ483" s="16"/>
      <c r="DA483" s="16"/>
      <c r="DB483" s="16"/>
      <c r="DC483" s="16"/>
      <c r="DD483" s="16"/>
      <c r="DE483" s="17"/>
      <c r="DF483" s="17"/>
      <c r="DG483" s="16"/>
      <c r="DH483" s="16"/>
      <c r="DI483" s="17"/>
      <c r="DJ483" s="17"/>
      <c r="DK483" s="16"/>
      <c r="DL483" s="16"/>
      <c r="DM483" s="17"/>
      <c r="DN483" s="17"/>
      <c r="DO483" s="16"/>
      <c r="DP483" s="16"/>
      <c r="DQ483" s="17"/>
      <c r="DR483" s="17"/>
      <c r="DS483" s="16"/>
      <c r="DT483" s="16"/>
      <c r="DU483" s="17"/>
      <c r="DV483" s="17"/>
      <c r="DW483" s="16"/>
      <c r="DX483" s="16"/>
      <c r="DY483" s="17"/>
      <c r="DZ483" s="17"/>
      <c r="EA483" s="16"/>
      <c r="EB483" s="16"/>
      <c r="EC483" s="17"/>
      <c r="ED483" s="17"/>
      <c r="EE483" s="16"/>
      <c r="EF483" s="16"/>
      <c r="EG483" s="17"/>
      <c r="EH483" s="17"/>
      <c r="EI483" s="16"/>
      <c r="EJ483" s="16"/>
      <c r="EK483" s="17"/>
      <c r="EL483" s="17"/>
      <c r="EM483" s="16"/>
      <c r="EN483" s="16"/>
      <c r="EO483" s="17"/>
      <c r="EP483" s="17"/>
      <c r="EQ483" s="16"/>
      <c r="ER483" s="16"/>
      <c r="ES483" s="18">
        <v>5</v>
      </c>
      <c r="ET483" s="18">
        <v>10</v>
      </c>
      <c r="EU483" s="16"/>
      <c r="EV483" s="16"/>
      <c r="EW483" s="17"/>
      <c r="EX483" s="17"/>
      <c r="EY483" s="16"/>
      <c r="EZ483" s="16"/>
      <c r="FA483" s="17"/>
      <c r="FB483" s="17"/>
      <c r="FC483" s="16"/>
      <c r="FD483" s="16"/>
      <c r="FE483" s="17"/>
      <c r="FF483" s="17"/>
      <c r="FG483" s="11"/>
      <c r="GT483" s="11"/>
      <c r="IG483" s="11"/>
      <c r="JT483" s="11"/>
      <c r="LG483" s="11"/>
      <c r="MT483" s="11"/>
      <c r="OG483" s="11"/>
      <c r="PT483" s="11"/>
    </row>
    <row r="484" spans="1:436" ht="15.75" x14ac:dyDescent="0.25">
      <c r="C484" s="20" t="s">
        <v>428</v>
      </c>
      <c r="D484" s="21" t="s">
        <v>142</v>
      </c>
      <c r="H484" s="11"/>
      <c r="AU484" s="11"/>
      <c r="CH484" s="11"/>
      <c r="CI484" s="16"/>
      <c r="CJ484" s="16"/>
      <c r="CK484" s="16"/>
      <c r="CL484" s="16"/>
      <c r="CM484" s="16"/>
      <c r="CN484" s="16"/>
      <c r="CO484" s="16"/>
      <c r="CP484" s="16"/>
      <c r="CQ484" s="16"/>
      <c r="CR484" s="16"/>
      <c r="CS484" s="16"/>
      <c r="CT484" s="16"/>
      <c r="CU484" s="16"/>
      <c r="CV484" s="16"/>
      <c r="CW484" s="16"/>
      <c r="CX484" s="16"/>
      <c r="CY484" s="16"/>
      <c r="CZ484" s="16"/>
      <c r="DA484" s="16"/>
      <c r="DB484" s="16"/>
      <c r="DC484" s="16"/>
      <c r="DD484" s="16"/>
      <c r="DE484" s="17"/>
      <c r="DF484" s="17"/>
      <c r="DG484" s="16"/>
      <c r="DH484" s="16"/>
      <c r="DI484" s="17"/>
      <c r="DJ484" s="17"/>
      <c r="DK484" s="16"/>
      <c r="DL484" s="16"/>
      <c r="DM484" s="17"/>
      <c r="DN484" s="17"/>
      <c r="DO484" s="16"/>
      <c r="DP484" s="16"/>
      <c r="DQ484" s="17"/>
      <c r="DR484" s="17"/>
      <c r="DS484" s="16"/>
      <c r="DT484" s="16"/>
      <c r="DU484" s="17"/>
      <c r="DV484" s="17"/>
      <c r="DW484" s="16"/>
      <c r="DX484" s="16"/>
      <c r="DY484" s="17"/>
      <c r="DZ484" s="17"/>
      <c r="EA484" s="16"/>
      <c r="EB484" s="16"/>
      <c r="EC484" s="17"/>
      <c r="ED484" s="17"/>
      <c r="EE484" s="16"/>
      <c r="EF484" s="16"/>
      <c r="EG484" s="17"/>
      <c r="EH484" s="17"/>
      <c r="EI484" s="16"/>
      <c r="EJ484" s="16"/>
      <c r="EK484" s="17"/>
      <c r="EL484" s="17"/>
      <c r="EM484" s="16"/>
      <c r="EN484" s="16"/>
      <c r="EO484" s="17"/>
      <c r="EP484" s="17"/>
      <c r="EQ484" s="16"/>
      <c r="ER484" s="16"/>
      <c r="ES484" s="17"/>
      <c r="ET484" s="17"/>
      <c r="EU484" s="16"/>
      <c r="EV484" s="16"/>
      <c r="EW484" s="17"/>
      <c r="EX484" s="17"/>
      <c r="EY484" s="16"/>
      <c r="EZ484" s="16"/>
      <c r="FA484" s="17"/>
      <c r="FB484" s="17"/>
      <c r="FC484" s="16"/>
      <c r="FD484" s="16"/>
      <c r="FE484" s="17"/>
      <c r="FF484" s="17"/>
      <c r="FG484" s="11"/>
      <c r="GT484" s="11"/>
      <c r="IG484" s="11"/>
      <c r="JT484" s="11"/>
      <c r="LG484" s="11"/>
      <c r="MT484" s="11"/>
      <c r="OG484" s="11"/>
      <c r="PT484" s="11"/>
    </row>
    <row r="485" spans="1:436" ht="15.75" x14ac:dyDescent="0.25">
      <c r="C485" s="20" t="s">
        <v>429</v>
      </c>
      <c r="D485" s="21" t="s">
        <v>136</v>
      </c>
      <c r="H485" s="11"/>
      <c r="AU485" s="11"/>
      <c r="CH485" s="11"/>
      <c r="CI485" s="16"/>
      <c r="CJ485" s="16"/>
      <c r="CK485" s="16"/>
      <c r="CL485" s="16"/>
      <c r="CM485" s="16"/>
      <c r="CN485" s="16"/>
      <c r="CO485" s="16"/>
      <c r="CP485" s="16"/>
      <c r="CQ485" s="16"/>
      <c r="CR485" s="16"/>
      <c r="CS485" s="16"/>
      <c r="CT485" s="16"/>
      <c r="CU485" s="16"/>
      <c r="CV485" s="16"/>
      <c r="CW485" s="16"/>
      <c r="CX485" s="16"/>
      <c r="CY485" s="16"/>
      <c r="CZ485" s="16"/>
      <c r="DA485" s="16"/>
      <c r="DB485" s="16"/>
      <c r="DC485" s="16"/>
      <c r="DD485" s="16"/>
      <c r="DE485" s="17"/>
      <c r="DF485" s="17"/>
      <c r="DG485" s="16"/>
      <c r="DH485" s="16"/>
      <c r="DI485" s="17"/>
      <c r="DJ485" s="17"/>
      <c r="DK485" s="16"/>
      <c r="DL485" s="16"/>
      <c r="DM485" s="17"/>
      <c r="DN485" s="17"/>
      <c r="DO485" s="16"/>
      <c r="DP485" s="16"/>
      <c r="DQ485" s="17"/>
      <c r="DR485" s="17"/>
      <c r="DS485" s="16"/>
      <c r="DT485" s="16"/>
      <c r="DU485" s="17"/>
      <c r="DV485" s="17"/>
      <c r="DW485" s="16"/>
      <c r="DX485" s="16"/>
      <c r="DY485" s="17"/>
      <c r="DZ485" s="17"/>
      <c r="EA485" s="16"/>
      <c r="EB485" s="16"/>
      <c r="EC485" s="17"/>
      <c r="ED485" s="17"/>
      <c r="EE485" s="16"/>
      <c r="EF485" s="16"/>
      <c r="EG485" s="17"/>
      <c r="EH485" s="17"/>
      <c r="EI485" s="16"/>
      <c r="EJ485" s="16"/>
      <c r="EK485" s="17"/>
      <c r="EL485" s="17"/>
      <c r="EM485" s="16"/>
      <c r="EN485" s="16"/>
      <c r="EO485" s="17"/>
      <c r="EP485" s="17"/>
      <c r="EQ485" s="16"/>
      <c r="ER485" s="16"/>
      <c r="ES485" s="17"/>
      <c r="ET485" s="17"/>
      <c r="EU485" s="16"/>
      <c r="EV485" s="16"/>
      <c r="EW485" s="17"/>
      <c r="EX485" s="17"/>
      <c r="EY485" s="16"/>
      <c r="EZ485" s="16"/>
      <c r="FA485" s="17"/>
      <c r="FB485" s="17"/>
      <c r="FC485" s="16"/>
      <c r="FD485" s="16"/>
      <c r="FE485" s="17"/>
      <c r="FF485" s="17"/>
      <c r="FG485" s="11"/>
      <c r="GT485" s="11"/>
      <c r="IG485" s="11"/>
      <c r="JT485" s="11"/>
      <c r="LG485" s="11"/>
      <c r="MT485" s="11"/>
      <c r="OG485" s="11"/>
      <c r="PT485" s="11"/>
    </row>
    <row r="486" spans="1:436" ht="15.75" x14ac:dyDescent="0.25">
      <c r="A486" s="13"/>
      <c r="B486" s="14" t="s">
        <v>430</v>
      </c>
      <c r="C486" s="13"/>
      <c r="D486" s="13"/>
      <c r="E486" s="15" t="s">
        <v>76</v>
      </c>
      <c r="F486" s="15" t="s">
        <v>177</v>
      </c>
      <c r="G486" s="13"/>
      <c r="H486" s="11"/>
      <c r="AU486" s="11"/>
      <c r="CH486" s="11"/>
      <c r="CI486" s="16"/>
      <c r="CJ486" s="16"/>
      <c r="CK486" s="16"/>
      <c r="CL486" s="16"/>
      <c r="CM486" s="16"/>
      <c r="CN486" s="16"/>
      <c r="CO486" s="16"/>
      <c r="CP486" s="16"/>
      <c r="CQ486" s="16"/>
      <c r="CR486" s="16"/>
      <c r="CS486" s="16"/>
      <c r="CT486" s="16"/>
      <c r="CU486" s="16"/>
      <c r="CV486" s="16"/>
      <c r="CW486" s="16"/>
      <c r="CX486" s="16"/>
      <c r="CY486" s="16"/>
      <c r="CZ486" s="16"/>
      <c r="DA486" s="16"/>
      <c r="DB486" s="16"/>
      <c r="DC486" s="16"/>
      <c r="DD486" s="16"/>
      <c r="DE486" s="17"/>
      <c r="DF486" s="17"/>
      <c r="DG486" s="16"/>
      <c r="DH486" s="16"/>
      <c r="DI486" s="17"/>
      <c r="DJ486" s="17"/>
      <c r="DK486" s="16"/>
      <c r="DL486" s="16"/>
      <c r="DM486" s="17"/>
      <c r="DN486" s="17"/>
      <c r="DO486" s="16"/>
      <c r="DP486" s="16"/>
      <c r="DQ486" s="17"/>
      <c r="DR486" s="17"/>
      <c r="DS486" s="16"/>
      <c r="DT486" s="16"/>
      <c r="DU486" s="17"/>
      <c r="DV486" s="17"/>
      <c r="DW486" s="16"/>
      <c r="DX486" s="16"/>
      <c r="DY486" s="17"/>
      <c r="DZ486" s="17"/>
      <c r="EA486" s="16"/>
      <c r="EB486" s="16"/>
      <c r="EC486" s="17"/>
      <c r="ED486" s="17"/>
      <c r="EE486" s="16"/>
      <c r="EF486" s="16"/>
      <c r="EG486" s="17"/>
      <c r="EH486" s="17"/>
      <c r="EI486" s="16"/>
      <c r="EJ486" s="16"/>
      <c r="EK486" s="17"/>
      <c r="EL486" s="17"/>
      <c r="EM486" s="16"/>
      <c r="EN486" s="16"/>
      <c r="EO486" s="17"/>
      <c r="EP486" s="17"/>
      <c r="EQ486" s="16"/>
      <c r="ER486" s="16"/>
      <c r="ES486" s="17"/>
      <c r="ET486" s="17"/>
      <c r="EU486" s="16"/>
      <c r="EV486" s="16"/>
      <c r="EW486" s="17"/>
      <c r="EX486" s="17"/>
      <c r="EY486" s="16"/>
      <c r="EZ486" s="16"/>
      <c r="FA486" s="17"/>
      <c r="FB486" s="17"/>
      <c r="FC486" s="16"/>
      <c r="FD486" s="16"/>
      <c r="FE486" s="17"/>
      <c r="FF486" s="17"/>
      <c r="FG486" s="11"/>
      <c r="GT486" s="11"/>
      <c r="IG486" s="11"/>
      <c r="JT486" s="11"/>
      <c r="LG486" s="11"/>
      <c r="MT486" s="11"/>
      <c r="OG486" s="11"/>
      <c r="PT486" s="11"/>
    </row>
    <row r="487" spans="1:436" ht="15.75" x14ac:dyDescent="0.25">
      <c r="A487" s="13"/>
      <c r="B487" s="14" t="s">
        <v>431</v>
      </c>
      <c r="C487" s="13"/>
      <c r="D487" s="13"/>
      <c r="E487" s="15" t="s">
        <v>127</v>
      </c>
      <c r="F487" s="15" t="s">
        <v>77</v>
      </c>
      <c r="G487" s="13"/>
      <c r="H487" s="11"/>
      <c r="AU487" s="11"/>
      <c r="CH487" s="11"/>
      <c r="CI487" s="16"/>
      <c r="CJ487" s="16"/>
      <c r="CK487" s="16"/>
      <c r="CL487" s="16"/>
      <c r="CM487" s="16"/>
      <c r="CN487" s="16"/>
      <c r="CO487" s="16"/>
      <c r="CP487" s="16"/>
      <c r="CQ487" s="16"/>
      <c r="CR487" s="16"/>
      <c r="CS487" s="16"/>
      <c r="CT487" s="16"/>
      <c r="CU487" s="16"/>
      <c r="CV487" s="16"/>
      <c r="CW487" s="16"/>
      <c r="CX487" s="16"/>
      <c r="CY487" s="16"/>
      <c r="CZ487" s="16"/>
      <c r="DA487" s="16"/>
      <c r="DB487" s="16"/>
      <c r="DC487" s="16"/>
      <c r="DD487" s="16"/>
      <c r="DE487" s="17"/>
      <c r="DF487" s="17"/>
      <c r="DG487" s="16"/>
      <c r="DH487" s="16"/>
      <c r="DI487" s="17"/>
      <c r="DJ487" s="17"/>
      <c r="DK487" s="16"/>
      <c r="DL487" s="16"/>
      <c r="DM487" s="17"/>
      <c r="DN487" s="17"/>
      <c r="DO487" s="16"/>
      <c r="DP487" s="16"/>
      <c r="DQ487" s="17"/>
      <c r="DR487" s="17"/>
      <c r="DS487" s="16"/>
      <c r="DT487" s="16"/>
      <c r="DU487" s="17"/>
      <c r="DV487" s="17"/>
      <c r="DW487" s="16"/>
      <c r="DX487" s="16"/>
      <c r="DY487" s="17"/>
      <c r="DZ487" s="17"/>
      <c r="EA487" s="16"/>
      <c r="EB487" s="16"/>
      <c r="EC487" s="17"/>
      <c r="ED487" s="17"/>
      <c r="EE487" s="16"/>
      <c r="EF487" s="16"/>
      <c r="EG487" s="17"/>
      <c r="EH487" s="17"/>
      <c r="EI487" s="16"/>
      <c r="EJ487" s="16"/>
      <c r="EK487" s="17"/>
      <c r="EL487" s="17"/>
      <c r="EM487" s="16"/>
      <c r="EN487" s="16"/>
      <c r="EO487" s="17"/>
      <c r="EP487" s="17"/>
      <c r="EQ487" s="16"/>
      <c r="ER487" s="16"/>
      <c r="ES487" s="17"/>
      <c r="ET487" s="17"/>
      <c r="EU487" s="16"/>
      <c r="EV487" s="16"/>
      <c r="EW487" s="17"/>
      <c r="EX487" s="17"/>
      <c r="EY487" s="16"/>
      <c r="EZ487" s="16"/>
      <c r="FA487" s="17"/>
      <c r="FB487" s="17"/>
      <c r="FC487" s="16"/>
      <c r="FD487" s="16"/>
      <c r="FE487" s="17"/>
      <c r="FF487" s="17"/>
      <c r="FG487" s="11"/>
      <c r="GT487" s="11"/>
      <c r="IG487" s="11"/>
      <c r="JT487" s="11"/>
      <c r="LG487" s="11"/>
      <c r="MT487" s="11"/>
      <c r="OG487" s="11"/>
      <c r="PT487" s="11"/>
    </row>
    <row r="488" spans="1:436" ht="15.75" x14ac:dyDescent="0.25">
      <c r="A488" s="13"/>
      <c r="B488" s="14" t="s">
        <v>432</v>
      </c>
      <c r="C488" s="13"/>
      <c r="D488" s="13"/>
      <c r="E488" s="15" t="s">
        <v>127</v>
      </c>
      <c r="F488" s="15" t="s">
        <v>433</v>
      </c>
      <c r="G488" s="13"/>
      <c r="H488" s="11"/>
      <c r="AU488" s="11"/>
      <c r="CH488" s="11"/>
      <c r="CI488" s="16"/>
      <c r="CJ488" s="16"/>
      <c r="CK488" s="16"/>
      <c r="CL488" s="16"/>
      <c r="CM488" s="16"/>
      <c r="CN488" s="16"/>
      <c r="CO488" s="16"/>
      <c r="CP488" s="16"/>
      <c r="CQ488" s="16"/>
      <c r="CR488" s="16"/>
      <c r="CS488" s="16"/>
      <c r="CT488" s="16"/>
      <c r="CU488" s="16"/>
      <c r="CV488" s="16"/>
      <c r="CW488" s="16"/>
      <c r="CX488" s="16"/>
      <c r="CY488" s="16"/>
      <c r="CZ488" s="16"/>
      <c r="DA488" s="16"/>
      <c r="DB488" s="16"/>
      <c r="DC488" s="16"/>
      <c r="DD488" s="16"/>
      <c r="DE488" s="17"/>
      <c r="DF488" s="17"/>
      <c r="DG488" s="16"/>
      <c r="DH488" s="16"/>
      <c r="DI488" s="17"/>
      <c r="DJ488" s="17"/>
      <c r="DK488" s="16"/>
      <c r="DL488" s="16"/>
      <c r="DM488" s="17"/>
      <c r="DN488" s="17"/>
      <c r="DO488" s="16"/>
      <c r="DP488" s="16"/>
      <c r="DQ488" s="17"/>
      <c r="DR488" s="17"/>
      <c r="DS488" s="16"/>
      <c r="DT488" s="16"/>
      <c r="DU488" s="17"/>
      <c r="DV488" s="17"/>
      <c r="DW488" s="16"/>
      <c r="DX488" s="16"/>
      <c r="DY488" s="17"/>
      <c r="DZ488" s="17"/>
      <c r="EA488" s="16"/>
      <c r="EB488" s="16"/>
      <c r="EC488" s="18">
        <v>384.7</v>
      </c>
      <c r="ED488" s="18">
        <v>501.6</v>
      </c>
      <c r="EE488" s="19">
        <v>57.2</v>
      </c>
      <c r="EF488" s="19">
        <v>114.2</v>
      </c>
      <c r="EG488" s="17"/>
      <c r="EH488" s="17"/>
      <c r="EI488" s="16"/>
      <c r="EJ488" s="16"/>
      <c r="EK488" s="17"/>
      <c r="EL488" s="17"/>
      <c r="EM488" s="16"/>
      <c r="EN488" s="16"/>
      <c r="EO488" s="17"/>
      <c r="EP488" s="17"/>
      <c r="EQ488" s="16"/>
      <c r="ER488" s="16"/>
      <c r="ES488" s="17"/>
      <c r="ET488" s="17"/>
      <c r="EU488" s="16"/>
      <c r="EV488" s="16"/>
      <c r="EW488" s="17"/>
      <c r="EX488" s="17"/>
      <c r="EY488" s="16"/>
      <c r="EZ488" s="16"/>
      <c r="FA488" s="17"/>
      <c r="FB488" s="17"/>
      <c r="FC488" s="16"/>
      <c r="FD488" s="16"/>
      <c r="FE488" s="17"/>
      <c r="FF488" s="17"/>
      <c r="FG488" s="11"/>
      <c r="GT488" s="11"/>
      <c r="IG488" s="11"/>
      <c r="JT488" s="11"/>
      <c r="LG488" s="11"/>
      <c r="MT488" s="11"/>
      <c r="OG488" s="11"/>
      <c r="PT488" s="11"/>
    </row>
    <row r="489" spans="1:436" ht="15.75" x14ac:dyDescent="0.25">
      <c r="C489" s="20" t="s">
        <v>434</v>
      </c>
      <c r="D489" s="21" t="s">
        <v>79</v>
      </c>
      <c r="H489" s="11"/>
      <c r="AU489" s="11"/>
      <c r="CH489" s="11"/>
      <c r="CI489" s="16"/>
      <c r="CJ489" s="16"/>
      <c r="CK489" s="16"/>
      <c r="CL489" s="16"/>
      <c r="CM489" s="16"/>
      <c r="CN489" s="16"/>
      <c r="CO489" s="16"/>
      <c r="CP489" s="16"/>
      <c r="CQ489" s="16"/>
      <c r="CR489" s="16"/>
      <c r="CS489" s="16"/>
      <c r="CT489" s="16"/>
      <c r="CU489" s="16"/>
      <c r="CV489" s="16"/>
      <c r="CW489" s="16"/>
      <c r="CX489" s="16"/>
      <c r="CY489" s="16"/>
      <c r="CZ489" s="16"/>
      <c r="DA489" s="16"/>
      <c r="DB489" s="16"/>
      <c r="DC489" s="16"/>
      <c r="DD489" s="16"/>
      <c r="DE489" s="17"/>
      <c r="DF489" s="17"/>
      <c r="DG489" s="16"/>
      <c r="DH489" s="16"/>
      <c r="DI489" s="18">
        <v>3</v>
      </c>
      <c r="DJ489" s="18">
        <v>5</v>
      </c>
      <c r="DK489" s="16"/>
      <c r="DL489" s="16"/>
      <c r="DM489" s="17"/>
      <c r="DN489" s="17"/>
      <c r="DO489" s="16"/>
      <c r="DP489" s="16"/>
      <c r="DQ489" s="17"/>
      <c r="DR489" s="17"/>
      <c r="DS489" s="16"/>
      <c r="DT489" s="16"/>
      <c r="DU489" s="17"/>
      <c r="DV489" s="17"/>
      <c r="DW489" s="16"/>
      <c r="DX489" s="16"/>
      <c r="DY489" s="17"/>
      <c r="DZ489" s="17"/>
      <c r="EA489" s="16"/>
      <c r="EB489" s="16"/>
      <c r="EC489" s="17"/>
      <c r="ED489" s="17"/>
      <c r="EE489" s="16"/>
      <c r="EF489" s="16"/>
      <c r="EG489" s="17"/>
      <c r="EH489" s="17"/>
      <c r="EI489" s="16"/>
      <c r="EJ489" s="16"/>
      <c r="EK489" s="17"/>
      <c r="EL489" s="17"/>
      <c r="EM489" s="16"/>
      <c r="EN489" s="16"/>
      <c r="EO489" s="17"/>
      <c r="EP489" s="17"/>
      <c r="EQ489" s="16"/>
      <c r="ER489" s="16"/>
      <c r="ES489" s="17"/>
      <c r="ET489" s="17"/>
      <c r="EU489" s="16"/>
      <c r="EV489" s="16"/>
      <c r="EW489" s="17"/>
      <c r="EX489" s="17"/>
      <c r="EY489" s="16"/>
      <c r="EZ489" s="16"/>
      <c r="FA489" s="17"/>
      <c r="FB489" s="17"/>
      <c r="FC489" s="16"/>
      <c r="FD489" s="16"/>
      <c r="FE489" s="17"/>
      <c r="FF489" s="17"/>
      <c r="FG489" s="11"/>
      <c r="GT489" s="11"/>
      <c r="IG489" s="11"/>
      <c r="JT489" s="11"/>
      <c r="LG489" s="11"/>
      <c r="MT489" s="11"/>
      <c r="OG489" s="11"/>
      <c r="PT489" s="11"/>
    </row>
    <row r="490" spans="1:436" ht="15.75" x14ac:dyDescent="0.25">
      <c r="C490" s="20" t="s">
        <v>435</v>
      </c>
      <c r="D490" s="21" t="s">
        <v>134</v>
      </c>
      <c r="H490" s="11"/>
      <c r="AU490" s="11"/>
      <c r="CH490" s="11"/>
      <c r="CI490" s="16"/>
      <c r="CJ490" s="16"/>
      <c r="CK490" s="16"/>
      <c r="CL490" s="16"/>
      <c r="CM490" s="16"/>
      <c r="CN490" s="16"/>
      <c r="CO490" s="16"/>
      <c r="CP490" s="16"/>
      <c r="CQ490" s="16"/>
      <c r="CR490" s="16"/>
      <c r="CS490" s="16"/>
      <c r="CT490" s="16"/>
      <c r="CU490" s="16"/>
      <c r="CV490" s="16"/>
      <c r="CW490" s="16"/>
      <c r="CX490" s="16"/>
      <c r="CY490" s="16"/>
      <c r="CZ490" s="16"/>
      <c r="DA490" s="16"/>
      <c r="DB490" s="16"/>
      <c r="DC490" s="16"/>
      <c r="DD490" s="16"/>
      <c r="DE490" s="17"/>
      <c r="DF490" s="17"/>
      <c r="DG490" s="16"/>
      <c r="DH490" s="16"/>
      <c r="DI490" s="17"/>
      <c r="DJ490" s="17"/>
      <c r="DK490" s="16"/>
      <c r="DL490" s="16"/>
      <c r="DM490" s="18">
        <v>10</v>
      </c>
      <c r="DN490" s="18">
        <v>20</v>
      </c>
      <c r="DO490" s="16"/>
      <c r="DP490" s="16"/>
      <c r="DQ490" s="17"/>
      <c r="DR490" s="17"/>
      <c r="DS490" s="16"/>
      <c r="DT490" s="16"/>
      <c r="DU490" s="17"/>
      <c r="DV490" s="17"/>
      <c r="DW490" s="16"/>
      <c r="DX490" s="16"/>
      <c r="DY490" s="17"/>
      <c r="DZ490" s="17"/>
      <c r="EA490" s="16"/>
      <c r="EB490" s="16"/>
      <c r="EC490" s="17"/>
      <c r="ED490" s="17"/>
      <c r="EE490" s="16"/>
      <c r="EF490" s="16"/>
      <c r="EG490" s="17"/>
      <c r="EH490" s="17"/>
      <c r="EI490" s="16"/>
      <c r="EJ490" s="16"/>
      <c r="EK490" s="17"/>
      <c r="EL490" s="17"/>
      <c r="EM490" s="16"/>
      <c r="EN490" s="16"/>
      <c r="EO490" s="17"/>
      <c r="EP490" s="17"/>
      <c r="EQ490" s="16"/>
      <c r="ER490" s="16"/>
      <c r="ES490" s="17"/>
      <c r="ET490" s="17"/>
      <c r="EU490" s="16"/>
      <c r="EV490" s="16"/>
      <c r="EW490" s="17"/>
      <c r="EX490" s="17"/>
      <c r="EY490" s="16"/>
      <c r="EZ490" s="16"/>
      <c r="FA490" s="17"/>
      <c r="FB490" s="17"/>
      <c r="FC490" s="16"/>
      <c r="FD490" s="16"/>
      <c r="FE490" s="17"/>
      <c r="FF490" s="17"/>
      <c r="FG490" s="11"/>
      <c r="GT490" s="11"/>
      <c r="IG490" s="11"/>
      <c r="JT490" s="11"/>
      <c r="LG490" s="11"/>
      <c r="MT490" s="11"/>
      <c r="OG490" s="11"/>
      <c r="PT490" s="11"/>
    </row>
    <row r="491" spans="1:436" ht="15.75" x14ac:dyDescent="0.25">
      <c r="C491" s="20" t="s">
        <v>436</v>
      </c>
      <c r="D491" s="21" t="s">
        <v>129</v>
      </c>
      <c r="H491" s="11"/>
      <c r="AU491" s="11"/>
      <c r="CH491" s="11"/>
      <c r="CI491" s="16"/>
      <c r="CJ491" s="16"/>
      <c r="CK491" s="16"/>
      <c r="CL491" s="16"/>
      <c r="CM491" s="16"/>
      <c r="CN491" s="16"/>
      <c r="CO491" s="16"/>
      <c r="CP491" s="16"/>
      <c r="CQ491" s="16"/>
      <c r="CR491" s="16"/>
      <c r="CS491" s="16"/>
      <c r="CT491" s="16"/>
      <c r="CU491" s="16"/>
      <c r="CV491" s="16"/>
      <c r="CW491" s="16"/>
      <c r="CX491" s="16"/>
      <c r="CY491" s="16"/>
      <c r="CZ491" s="16"/>
      <c r="DA491" s="16"/>
      <c r="DB491" s="16"/>
      <c r="DC491" s="16"/>
      <c r="DD491" s="16"/>
      <c r="DE491" s="17"/>
      <c r="DF491" s="17"/>
      <c r="DG491" s="16"/>
      <c r="DH491" s="16"/>
      <c r="DI491" s="17"/>
      <c r="DJ491" s="17"/>
      <c r="DK491" s="16"/>
      <c r="DL491" s="16"/>
      <c r="DM491" s="17"/>
      <c r="DN491" s="17"/>
      <c r="DO491" s="16"/>
      <c r="DP491" s="16"/>
      <c r="DQ491" s="17"/>
      <c r="DR491" s="17"/>
      <c r="DS491" s="16"/>
      <c r="DT491" s="16"/>
      <c r="DU491" s="17"/>
      <c r="DV491" s="17"/>
      <c r="DW491" s="16"/>
      <c r="DX491" s="16"/>
      <c r="DY491" s="17"/>
      <c r="DZ491" s="17"/>
      <c r="EA491" s="16"/>
      <c r="EB491" s="16"/>
      <c r="EC491" s="17"/>
      <c r="ED491" s="17"/>
      <c r="EE491" s="16"/>
      <c r="EF491" s="16"/>
      <c r="EG491" s="17"/>
      <c r="EH491" s="17"/>
      <c r="EI491" s="16"/>
      <c r="EJ491" s="16"/>
      <c r="EK491" s="17"/>
      <c r="EL491" s="17"/>
      <c r="EM491" s="16"/>
      <c r="EN491" s="16"/>
      <c r="EO491" s="17"/>
      <c r="EP491" s="17"/>
      <c r="EQ491" s="16"/>
      <c r="ER491" s="16"/>
      <c r="ES491" s="17"/>
      <c r="ET491" s="17"/>
      <c r="EU491" s="16"/>
      <c r="EV491" s="16"/>
      <c r="EW491" s="17"/>
      <c r="EX491" s="17"/>
      <c r="EY491" s="16"/>
      <c r="EZ491" s="16"/>
      <c r="FA491" s="17"/>
      <c r="FB491" s="17"/>
      <c r="FC491" s="16"/>
      <c r="FD491" s="16"/>
      <c r="FE491" s="17"/>
      <c r="FF491" s="17"/>
      <c r="FG491" s="11"/>
      <c r="GT491" s="11"/>
      <c r="IG491" s="11"/>
      <c r="JT491" s="11"/>
      <c r="LG491" s="11"/>
      <c r="MT491" s="11"/>
      <c r="OG491" s="11"/>
      <c r="PT491" s="11"/>
    </row>
    <row r="492" spans="1:436" ht="15.75" x14ac:dyDescent="0.25">
      <c r="C492" s="20" t="s">
        <v>437</v>
      </c>
      <c r="D492" s="21" t="s">
        <v>136</v>
      </c>
      <c r="H492" s="11"/>
      <c r="AU492" s="11"/>
      <c r="CH492" s="11"/>
      <c r="CI492" s="16"/>
      <c r="CJ492" s="16"/>
      <c r="CK492" s="16"/>
      <c r="CL492" s="16"/>
      <c r="CM492" s="16"/>
      <c r="CN492" s="16"/>
      <c r="CO492" s="16"/>
      <c r="CP492" s="16"/>
      <c r="CQ492" s="16"/>
      <c r="CR492" s="16"/>
      <c r="CS492" s="16"/>
      <c r="CT492" s="16"/>
      <c r="CU492" s="16"/>
      <c r="CV492" s="16"/>
      <c r="CW492" s="16"/>
      <c r="CX492" s="16"/>
      <c r="CY492" s="16"/>
      <c r="CZ492" s="16"/>
      <c r="DA492" s="16"/>
      <c r="DB492" s="16"/>
      <c r="DC492" s="16"/>
      <c r="DD492" s="16"/>
      <c r="DE492" s="17"/>
      <c r="DF492" s="17"/>
      <c r="DG492" s="16"/>
      <c r="DH492" s="16"/>
      <c r="DI492" s="17"/>
      <c r="DJ492" s="17"/>
      <c r="DK492" s="16"/>
      <c r="DL492" s="16"/>
      <c r="DM492" s="17"/>
      <c r="DN492" s="17"/>
      <c r="DO492" s="16"/>
      <c r="DP492" s="16"/>
      <c r="DQ492" s="17"/>
      <c r="DR492" s="17"/>
      <c r="DS492" s="16"/>
      <c r="DT492" s="16"/>
      <c r="DU492" s="17"/>
      <c r="DV492" s="17"/>
      <c r="DW492" s="16"/>
      <c r="DX492" s="16"/>
      <c r="DY492" s="17"/>
      <c r="DZ492" s="17"/>
      <c r="EA492" s="16"/>
      <c r="EB492" s="16"/>
      <c r="EC492" s="17"/>
      <c r="ED492" s="17"/>
      <c r="EE492" s="16"/>
      <c r="EF492" s="16"/>
      <c r="EG492" s="17"/>
      <c r="EH492" s="17"/>
      <c r="EI492" s="16"/>
      <c r="EJ492" s="16"/>
      <c r="EK492" s="17"/>
      <c r="EL492" s="17"/>
      <c r="EM492" s="16"/>
      <c r="EN492" s="16"/>
      <c r="EO492" s="17"/>
      <c r="EP492" s="17"/>
      <c r="EQ492" s="16"/>
      <c r="ER492" s="16"/>
      <c r="ES492" s="17"/>
      <c r="ET492" s="17"/>
      <c r="EU492" s="16"/>
      <c r="EV492" s="16"/>
      <c r="EW492" s="17"/>
      <c r="EX492" s="17"/>
      <c r="EY492" s="16"/>
      <c r="EZ492" s="16"/>
      <c r="FA492" s="17"/>
      <c r="FB492" s="17"/>
      <c r="FC492" s="16"/>
      <c r="FD492" s="16"/>
      <c r="FE492" s="17"/>
      <c r="FF492" s="17"/>
      <c r="FG492" s="11"/>
      <c r="GT492" s="11"/>
      <c r="IG492" s="11"/>
      <c r="JT492" s="11"/>
      <c r="LG492" s="11"/>
      <c r="MT492" s="11"/>
      <c r="OG492" s="11"/>
      <c r="PT492" s="11"/>
    </row>
    <row r="493" spans="1:436" ht="15.75" x14ac:dyDescent="0.25">
      <c r="C493" s="20" t="s">
        <v>438</v>
      </c>
      <c r="D493" s="21" t="s">
        <v>136</v>
      </c>
      <c r="H493" s="11"/>
      <c r="AU493" s="11"/>
      <c r="CH493" s="11"/>
      <c r="CI493" s="16"/>
      <c r="CJ493" s="16"/>
      <c r="CK493" s="16"/>
      <c r="CL493" s="16"/>
      <c r="CM493" s="16"/>
      <c r="CN493" s="16"/>
      <c r="CO493" s="16"/>
      <c r="CP493" s="16"/>
      <c r="CQ493" s="16"/>
      <c r="CR493" s="16"/>
      <c r="CS493" s="16"/>
      <c r="CT493" s="16"/>
      <c r="CU493" s="16"/>
      <c r="CV493" s="16"/>
      <c r="CW493" s="16"/>
      <c r="CX493" s="16"/>
      <c r="CY493" s="16"/>
      <c r="CZ493" s="16"/>
      <c r="DA493" s="16"/>
      <c r="DB493" s="16"/>
      <c r="DC493" s="16"/>
      <c r="DD493" s="16"/>
      <c r="DE493" s="17"/>
      <c r="DF493" s="17"/>
      <c r="DG493" s="16"/>
      <c r="DH493" s="16"/>
      <c r="DI493" s="17"/>
      <c r="DJ493" s="17"/>
      <c r="DK493" s="16"/>
      <c r="DL493" s="16"/>
      <c r="DM493" s="17"/>
      <c r="DN493" s="17"/>
      <c r="DO493" s="16"/>
      <c r="DP493" s="16"/>
      <c r="DQ493" s="17"/>
      <c r="DR493" s="17"/>
      <c r="DS493" s="16"/>
      <c r="DT493" s="16"/>
      <c r="DU493" s="17"/>
      <c r="DV493" s="17"/>
      <c r="DW493" s="16"/>
      <c r="DX493" s="16"/>
      <c r="DY493" s="17"/>
      <c r="DZ493" s="17"/>
      <c r="EA493" s="16"/>
      <c r="EB493" s="16"/>
      <c r="EC493" s="17"/>
      <c r="ED493" s="17"/>
      <c r="EE493" s="16"/>
      <c r="EF493" s="16"/>
      <c r="EG493" s="17"/>
      <c r="EH493" s="17"/>
      <c r="EI493" s="16"/>
      <c r="EJ493" s="16"/>
      <c r="EK493" s="17"/>
      <c r="EL493" s="17"/>
      <c r="EM493" s="16"/>
      <c r="EN493" s="16"/>
      <c r="EO493" s="17"/>
      <c r="EP493" s="17"/>
      <c r="EQ493" s="16"/>
      <c r="ER493" s="16"/>
      <c r="ES493" s="17"/>
      <c r="ET493" s="17"/>
      <c r="EU493" s="16"/>
      <c r="EV493" s="16"/>
      <c r="EW493" s="17"/>
      <c r="EX493" s="17"/>
      <c r="EY493" s="16"/>
      <c r="EZ493" s="16"/>
      <c r="FA493" s="17"/>
      <c r="FB493" s="17"/>
      <c r="FC493" s="16"/>
      <c r="FD493" s="16"/>
      <c r="FE493" s="17"/>
      <c r="FF493" s="17"/>
      <c r="FG493" s="11"/>
      <c r="GT493" s="11"/>
      <c r="IG493" s="11"/>
      <c r="JT493" s="11"/>
      <c r="LG493" s="11"/>
      <c r="MT493" s="11"/>
      <c r="OG493" s="11"/>
      <c r="PT493" s="11"/>
    </row>
    <row r="494" spans="1:436" ht="15.75" x14ac:dyDescent="0.25">
      <c r="C494" s="20" t="s">
        <v>439</v>
      </c>
      <c r="D494" s="21" t="s">
        <v>136</v>
      </c>
      <c r="H494" s="11"/>
      <c r="AU494" s="11"/>
      <c r="CH494" s="11"/>
      <c r="CI494" s="16"/>
      <c r="CJ494" s="16"/>
      <c r="CK494" s="16"/>
      <c r="CL494" s="16"/>
      <c r="CM494" s="16"/>
      <c r="CN494" s="16"/>
      <c r="CO494" s="16"/>
      <c r="CP494" s="16"/>
      <c r="CQ494" s="16"/>
      <c r="CR494" s="16"/>
      <c r="CS494" s="16"/>
      <c r="CT494" s="16"/>
      <c r="CU494" s="16"/>
      <c r="CV494" s="16"/>
      <c r="CW494" s="16"/>
      <c r="CX494" s="16"/>
      <c r="CY494" s="16"/>
      <c r="CZ494" s="16"/>
      <c r="DA494" s="16"/>
      <c r="DB494" s="16"/>
      <c r="DC494" s="16"/>
      <c r="DD494" s="16"/>
      <c r="DE494" s="17"/>
      <c r="DF494" s="17"/>
      <c r="DG494" s="16"/>
      <c r="DH494" s="16"/>
      <c r="DI494" s="17"/>
      <c r="DJ494" s="17"/>
      <c r="DK494" s="16"/>
      <c r="DL494" s="16"/>
      <c r="DM494" s="17"/>
      <c r="DN494" s="17"/>
      <c r="DO494" s="16"/>
      <c r="DP494" s="16"/>
      <c r="DQ494" s="17"/>
      <c r="DR494" s="17"/>
      <c r="DS494" s="16"/>
      <c r="DT494" s="16"/>
      <c r="DU494" s="17"/>
      <c r="DV494" s="17"/>
      <c r="DW494" s="16"/>
      <c r="DX494" s="16"/>
      <c r="DY494" s="17"/>
      <c r="DZ494" s="17"/>
      <c r="EA494" s="16"/>
      <c r="EB494" s="16"/>
      <c r="EC494" s="17"/>
      <c r="ED494" s="17"/>
      <c r="EE494" s="16"/>
      <c r="EF494" s="16"/>
      <c r="EG494" s="17"/>
      <c r="EH494" s="17"/>
      <c r="EI494" s="16"/>
      <c r="EJ494" s="16"/>
      <c r="EK494" s="17"/>
      <c r="EL494" s="17"/>
      <c r="EM494" s="16"/>
      <c r="EN494" s="16"/>
      <c r="EO494" s="17"/>
      <c r="EP494" s="17"/>
      <c r="EQ494" s="16"/>
      <c r="ER494" s="16"/>
      <c r="ES494" s="17"/>
      <c r="ET494" s="17"/>
      <c r="EU494" s="16"/>
      <c r="EV494" s="16"/>
      <c r="EW494" s="17"/>
      <c r="EX494" s="17"/>
      <c r="EY494" s="16"/>
      <c r="EZ494" s="16"/>
      <c r="FA494" s="17"/>
      <c r="FB494" s="17"/>
      <c r="FC494" s="16"/>
      <c r="FD494" s="16"/>
      <c r="FE494" s="17"/>
      <c r="FF494" s="17"/>
      <c r="FG494" s="11"/>
      <c r="GT494" s="11"/>
      <c r="IG494" s="11"/>
      <c r="JT494" s="11"/>
      <c r="LG494" s="11"/>
      <c r="MT494" s="11"/>
      <c r="OG494" s="11"/>
      <c r="PT494" s="11"/>
    </row>
    <row r="495" spans="1:436" ht="15.75" x14ac:dyDescent="0.25">
      <c r="C495" s="20" t="s">
        <v>440</v>
      </c>
      <c r="D495" s="21" t="s">
        <v>104</v>
      </c>
      <c r="H495" s="11"/>
      <c r="AU495" s="11"/>
      <c r="CH495" s="11"/>
      <c r="CI495" s="16"/>
      <c r="CJ495" s="16"/>
      <c r="CK495" s="16"/>
      <c r="CL495" s="16"/>
      <c r="CM495" s="16"/>
      <c r="CN495" s="16"/>
      <c r="CO495" s="16"/>
      <c r="CP495" s="16"/>
      <c r="CQ495" s="16"/>
      <c r="CR495" s="16"/>
      <c r="CS495" s="16"/>
      <c r="CT495" s="16"/>
      <c r="CU495" s="16"/>
      <c r="CV495" s="16"/>
      <c r="CW495" s="16"/>
      <c r="CX495" s="16"/>
      <c r="CY495" s="16"/>
      <c r="CZ495" s="16"/>
      <c r="DA495" s="16"/>
      <c r="DB495" s="16"/>
      <c r="DC495" s="16"/>
      <c r="DD495" s="16"/>
      <c r="DE495" s="17"/>
      <c r="DF495" s="17"/>
      <c r="DG495" s="16"/>
      <c r="DH495" s="16"/>
      <c r="DI495" s="17"/>
      <c r="DJ495" s="17"/>
      <c r="DK495" s="16"/>
      <c r="DL495" s="16"/>
      <c r="DM495" s="17"/>
      <c r="DN495" s="17"/>
      <c r="DO495" s="16"/>
      <c r="DP495" s="16"/>
      <c r="DQ495" s="17"/>
      <c r="DR495" s="17"/>
      <c r="DS495" s="16"/>
      <c r="DT495" s="16"/>
      <c r="DU495" s="17"/>
      <c r="DV495" s="17"/>
      <c r="DW495" s="16"/>
      <c r="DX495" s="16"/>
      <c r="DY495" s="17"/>
      <c r="DZ495" s="17"/>
      <c r="EA495" s="16"/>
      <c r="EB495" s="16"/>
      <c r="EC495" s="17"/>
      <c r="ED495" s="17"/>
      <c r="EE495" s="16"/>
      <c r="EF495" s="16"/>
      <c r="EG495" s="17"/>
      <c r="EH495" s="17"/>
      <c r="EI495" s="16"/>
      <c r="EJ495" s="16"/>
      <c r="EK495" s="17"/>
      <c r="EL495" s="17"/>
      <c r="EM495" s="16"/>
      <c r="EN495" s="16"/>
      <c r="EO495" s="17"/>
      <c r="EP495" s="17"/>
      <c r="EQ495" s="16"/>
      <c r="ER495" s="16"/>
      <c r="ES495" s="17"/>
      <c r="ET495" s="17"/>
      <c r="EU495" s="16"/>
      <c r="EV495" s="16"/>
      <c r="EW495" s="17"/>
      <c r="EX495" s="17"/>
      <c r="EY495" s="16"/>
      <c r="EZ495" s="16"/>
      <c r="FA495" s="17"/>
      <c r="FB495" s="17"/>
      <c r="FC495" s="19">
        <v>14</v>
      </c>
      <c r="FD495" s="19">
        <v>15</v>
      </c>
      <c r="FE495" s="17"/>
      <c r="FF495" s="17"/>
      <c r="FG495" s="11"/>
      <c r="GT495" s="11"/>
      <c r="IG495" s="11"/>
      <c r="JT495" s="11"/>
      <c r="LG495" s="11"/>
      <c r="MT495" s="11"/>
      <c r="OG495" s="11"/>
      <c r="PT495" s="11"/>
    </row>
    <row r="496" spans="1:436" ht="15.75" x14ac:dyDescent="0.25">
      <c r="C496" s="20" t="s">
        <v>441</v>
      </c>
      <c r="D496" s="21" t="s">
        <v>90</v>
      </c>
      <c r="H496" s="11"/>
      <c r="AU496" s="11"/>
      <c r="CH496" s="11"/>
      <c r="CI496" s="16"/>
      <c r="CJ496" s="16"/>
      <c r="CK496" s="16"/>
      <c r="CL496" s="16"/>
      <c r="CM496" s="16"/>
      <c r="CN496" s="16"/>
      <c r="CO496" s="16"/>
      <c r="CP496" s="16"/>
      <c r="CQ496" s="16"/>
      <c r="CR496" s="16"/>
      <c r="CS496" s="16"/>
      <c r="CT496" s="16"/>
      <c r="CU496" s="16"/>
      <c r="CV496" s="16"/>
      <c r="CW496" s="16"/>
      <c r="CX496" s="16"/>
      <c r="CY496" s="16"/>
      <c r="CZ496" s="16"/>
      <c r="DA496" s="16"/>
      <c r="DB496" s="16"/>
      <c r="DC496" s="16"/>
      <c r="DD496" s="16"/>
      <c r="DE496" s="17"/>
      <c r="DF496" s="17"/>
      <c r="DG496" s="16"/>
      <c r="DH496" s="16"/>
      <c r="DI496" s="17"/>
      <c r="DJ496" s="17"/>
      <c r="DK496" s="16"/>
      <c r="DL496" s="16"/>
      <c r="DM496" s="17"/>
      <c r="DN496" s="17"/>
      <c r="DO496" s="16"/>
      <c r="DP496" s="16"/>
      <c r="DQ496" s="17"/>
      <c r="DR496" s="17"/>
      <c r="DS496" s="16"/>
      <c r="DT496" s="16"/>
      <c r="DU496" s="17"/>
      <c r="DV496" s="17"/>
      <c r="DW496" s="16"/>
      <c r="DX496" s="16"/>
      <c r="DY496" s="17"/>
      <c r="DZ496" s="17"/>
      <c r="EA496" s="16"/>
      <c r="EB496" s="16"/>
      <c r="EC496" s="17"/>
      <c r="ED496" s="17"/>
      <c r="EE496" s="16"/>
      <c r="EF496" s="16"/>
      <c r="EG496" s="17"/>
      <c r="EH496" s="17"/>
      <c r="EI496" s="16"/>
      <c r="EJ496" s="16"/>
      <c r="EK496" s="17"/>
      <c r="EL496" s="17"/>
      <c r="EM496" s="16"/>
      <c r="EN496" s="16"/>
      <c r="EO496" s="17"/>
      <c r="EP496" s="17"/>
      <c r="EQ496" s="16"/>
      <c r="ER496" s="16"/>
      <c r="ES496" s="17"/>
      <c r="ET496" s="17"/>
      <c r="EU496" s="16"/>
      <c r="EV496" s="16"/>
      <c r="EW496" s="17"/>
      <c r="EX496" s="17"/>
      <c r="EY496" s="16"/>
      <c r="EZ496" s="16"/>
      <c r="FA496" s="17"/>
      <c r="FB496" s="17"/>
      <c r="FC496" s="16"/>
      <c r="FD496" s="16"/>
      <c r="FE496" s="17"/>
      <c r="FF496" s="17"/>
      <c r="FG496" s="11"/>
      <c r="GT496" s="11"/>
      <c r="IG496" s="11"/>
      <c r="JT496" s="11"/>
      <c r="LG496" s="11"/>
      <c r="MT496" s="11"/>
      <c r="OG496" s="11"/>
      <c r="PT496" s="11"/>
    </row>
    <row r="497" spans="3:436" ht="15.75" x14ac:dyDescent="0.25">
      <c r="C497" s="20" t="s">
        <v>442</v>
      </c>
      <c r="D497" s="21" t="s">
        <v>79</v>
      </c>
      <c r="H497" s="11"/>
      <c r="AU497" s="11"/>
      <c r="CH497" s="11"/>
      <c r="CI497" s="16"/>
      <c r="CJ497" s="16"/>
      <c r="CK497" s="16"/>
      <c r="CL497" s="16"/>
      <c r="CM497" s="16"/>
      <c r="CN497" s="16"/>
      <c r="CO497" s="16"/>
      <c r="CP497" s="16"/>
      <c r="CQ497" s="16"/>
      <c r="CR497" s="16"/>
      <c r="CS497" s="16"/>
      <c r="CT497" s="16"/>
      <c r="CU497" s="16"/>
      <c r="CV497" s="16"/>
      <c r="CW497" s="16"/>
      <c r="CX497" s="16"/>
      <c r="CY497" s="16"/>
      <c r="CZ497" s="16"/>
      <c r="DA497" s="16"/>
      <c r="DB497" s="16"/>
      <c r="DC497" s="16"/>
      <c r="DD497" s="16"/>
      <c r="DE497" s="17"/>
      <c r="DF497" s="17"/>
      <c r="DG497" s="16"/>
      <c r="DH497" s="16"/>
      <c r="DI497" s="18">
        <v>1</v>
      </c>
      <c r="DJ497" s="18">
        <v>1</v>
      </c>
      <c r="DK497" s="16"/>
      <c r="DL497" s="16"/>
      <c r="DM497" s="17"/>
      <c r="DN497" s="17"/>
      <c r="DO497" s="16"/>
      <c r="DP497" s="16"/>
      <c r="DQ497" s="17"/>
      <c r="DR497" s="17"/>
      <c r="DS497" s="16"/>
      <c r="DT497" s="16"/>
      <c r="DU497" s="17"/>
      <c r="DV497" s="17"/>
      <c r="DW497" s="16"/>
      <c r="DX497" s="16"/>
      <c r="DY497" s="17"/>
      <c r="DZ497" s="17"/>
      <c r="EA497" s="16"/>
      <c r="EB497" s="16"/>
      <c r="EC497" s="17"/>
      <c r="ED497" s="17"/>
      <c r="EE497" s="16"/>
      <c r="EF497" s="16"/>
      <c r="EG497" s="17"/>
      <c r="EH497" s="17"/>
      <c r="EI497" s="16"/>
      <c r="EJ497" s="16"/>
      <c r="EK497" s="17"/>
      <c r="EL497" s="17"/>
      <c r="EM497" s="16"/>
      <c r="EN497" s="16"/>
      <c r="EO497" s="17"/>
      <c r="EP497" s="17"/>
      <c r="EQ497" s="16"/>
      <c r="ER497" s="16"/>
      <c r="ES497" s="17"/>
      <c r="ET497" s="17"/>
      <c r="EU497" s="16"/>
      <c r="EV497" s="16"/>
      <c r="EW497" s="17"/>
      <c r="EX497" s="17"/>
      <c r="EY497" s="16"/>
      <c r="EZ497" s="16"/>
      <c r="FA497" s="17"/>
      <c r="FB497" s="17"/>
      <c r="FC497" s="16"/>
      <c r="FD497" s="16"/>
      <c r="FE497" s="17"/>
      <c r="FF497" s="17"/>
      <c r="FG497" s="11"/>
      <c r="GT497" s="11"/>
      <c r="IG497" s="11"/>
      <c r="JT497" s="11"/>
      <c r="LG497" s="11"/>
      <c r="MT497" s="11"/>
      <c r="OG497" s="11"/>
      <c r="PT497" s="11"/>
    </row>
    <row r="498" spans="3:436" ht="15.75" x14ac:dyDescent="0.25">
      <c r="C498" s="20" t="s">
        <v>443</v>
      </c>
      <c r="D498" s="21" t="s">
        <v>134</v>
      </c>
      <c r="H498" s="11"/>
      <c r="AU498" s="11"/>
      <c r="CH498" s="11"/>
      <c r="CI498" s="16"/>
      <c r="CJ498" s="16"/>
      <c r="CK498" s="16"/>
      <c r="CL498" s="16"/>
      <c r="CM498" s="16"/>
      <c r="CN498" s="16"/>
      <c r="CO498" s="16"/>
      <c r="CP498" s="16"/>
      <c r="CQ498" s="16"/>
      <c r="CR498" s="16"/>
      <c r="CS498" s="16"/>
      <c r="CT498" s="16"/>
      <c r="CU498" s="16"/>
      <c r="CV498" s="16"/>
      <c r="CW498" s="16"/>
      <c r="CX498" s="16"/>
      <c r="CY498" s="16"/>
      <c r="CZ498" s="16"/>
      <c r="DA498" s="16"/>
      <c r="DB498" s="16"/>
      <c r="DC498" s="16"/>
      <c r="DD498" s="16"/>
      <c r="DE498" s="17"/>
      <c r="DF498" s="17"/>
      <c r="DG498" s="16"/>
      <c r="DH498" s="16"/>
      <c r="DI498" s="17"/>
      <c r="DJ498" s="17"/>
      <c r="DK498" s="16"/>
      <c r="DL498" s="16"/>
      <c r="DM498" s="18">
        <v>1</v>
      </c>
      <c r="DN498" s="18">
        <v>15</v>
      </c>
      <c r="DO498" s="16"/>
      <c r="DP498" s="16"/>
      <c r="DQ498" s="17"/>
      <c r="DR498" s="17"/>
      <c r="DS498" s="16"/>
      <c r="DT498" s="16"/>
      <c r="DU498" s="17"/>
      <c r="DV498" s="17"/>
      <c r="DW498" s="16"/>
      <c r="DX498" s="16"/>
      <c r="DY498" s="17"/>
      <c r="DZ498" s="17"/>
      <c r="EA498" s="16"/>
      <c r="EB498" s="16"/>
      <c r="EC498" s="17"/>
      <c r="ED498" s="17"/>
      <c r="EE498" s="16"/>
      <c r="EF498" s="16"/>
      <c r="EG498" s="17"/>
      <c r="EH498" s="17"/>
      <c r="EI498" s="16"/>
      <c r="EJ498" s="16"/>
      <c r="EK498" s="17"/>
      <c r="EL498" s="17"/>
      <c r="EM498" s="16"/>
      <c r="EN498" s="16"/>
      <c r="EO498" s="17"/>
      <c r="EP498" s="17"/>
      <c r="EQ498" s="16"/>
      <c r="ER498" s="16"/>
      <c r="ES498" s="17"/>
      <c r="ET498" s="17"/>
      <c r="EU498" s="16"/>
      <c r="EV498" s="16"/>
      <c r="EW498" s="17"/>
      <c r="EX498" s="17"/>
      <c r="EY498" s="16"/>
      <c r="EZ498" s="16"/>
      <c r="FA498" s="17"/>
      <c r="FB498" s="17"/>
      <c r="FC498" s="16"/>
      <c r="FD498" s="16"/>
      <c r="FE498" s="17"/>
      <c r="FF498" s="17"/>
      <c r="FG498" s="11"/>
      <c r="GT498" s="11"/>
      <c r="IG498" s="11"/>
      <c r="JT498" s="11"/>
      <c r="LG498" s="11"/>
      <c r="MT498" s="11"/>
      <c r="OG498" s="11"/>
      <c r="PT498" s="11"/>
    </row>
    <row r="499" spans="3:436" ht="15.75" x14ac:dyDescent="0.25">
      <c r="C499" s="20" t="s">
        <v>444</v>
      </c>
      <c r="D499" s="21" t="s">
        <v>129</v>
      </c>
      <c r="H499" s="11"/>
      <c r="AU499" s="11"/>
      <c r="CH499" s="11"/>
      <c r="CI499" s="16"/>
      <c r="CJ499" s="16"/>
      <c r="CK499" s="16"/>
      <c r="CL499" s="16"/>
      <c r="CM499" s="16"/>
      <c r="CN499" s="16"/>
      <c r="CO499" s="16"/>
      <c r="CP499" s="16"/>
      <c r="CQ499" s="16"/>
      <c r="CR499" s="16"/>
      <c r="CS499" s="16"/>
      <c r="CT499" s="16"/>
      <c r="CU499" s="16"/>
      <c r="CV499" s="16"/>
      <c r="CW499" s="16"/>
      <c r="CX499" s="16"/>
      <c r="CY499" s="16"/>
      <c r="CZ499" s="16"/>
      <c r="DA499" s="16"/>
      <c r="DB499" s="16"/>
      <c r="DC499" s="16"/>
      <c r="DD499" s="16"/>
      <c r="DE499" s="17"/>
      <c r="DF499" s="17"/>
      <c r="DG499" s="16"/>
      <c r="DH499" s="16"/>
      <c r="DI499" s="17"/>
      <c r="DJ499" s="17"/>
      <c r="DK499" s="16"/>
      <c r="DL499" s="16"/>
      <c r="DM499" s="17"/>
      <c r="DN499" s="17"/>
      <c r="DO499" s="16"/>
      <c r="DP499" s="16"/>
      <c r="DQ499" s="17"/>
      <c r="DR499" s="17"/>
      <c r="DS499" s="16"/>
      <c r="DT499" s="16"/>
      <c r="DU499" s="17"/>
      <c r="DV499" s="17"/>
      <c r="DW499" s="16"/>
      <c r="DX499" s="16"/>
      <c r="DY499" s="17"/>
      <c r="DZ499" s="17"/>
      <c r="EA499" s="16"/>
      <c r="EB499" s="16"/>
      <c r="EC499" s="17"/>
      <c r="ED499" s="17"/>
      <c r="EE499" s="16"/>
      <c r="EF499" s="16"/>
      <c r="EG499" s="17"/>
      <c r="EH499" s="17"/>
      <c r="EI499" s="16"/>
      <c r="EJ499" s="16"/>
      <c r="EK499" s="17"/>
      <c r="EL499" s="17"/>
      <c r="EM499" s="16"/>
      <c r="EN499" s="16"/>
      <c r="EO499" s="17"/>
      <c r="EP499" s="17"/>
      <c r="EQ499" s="16"/>
      <c r="ER499" s="16"/>
      <c r="ES499" s="17"/>
      <c r="ET499" s="17"/>
      <c r="EU499" s="16"/>
      <c r="EV499" s="16"/>
      <c r="EW499" s="17"/>
      <c r="EX499" s="17"/>
      <c r="EY499" s="16"/>
      <c r="EZ499" s="16"/>
      <c r="FA499" s="17"/>
      <c r="FB499" s="17"/>
      <c r="FC499" s="16"/>
      <c r="FD499" s="16"/>
      <c r="FE499" s="17"/>
      <c r="FF499" s="17"/>
      <c r="FG499" s="11"/>
      <c r="GT499" s="11"/>
      <c r="IG499" s="11"/>
      <c r="JT499" s="11"/>
      <c r="LG499" s="11"/>
      <c r="MT499" s="11"/>
      <c r="OG499" s="11"/>
      <c r="PT499" s="11"/>
    </row>
    <row r="500" spans="3:436" ht="15.75" x14ac:dyDescent="0.25">
      <c r="C500" s="20" t="s">
        <v>445</v>
      </c>
      <c r="D500" s="21" t="s">
        <v>136</v>
      </c>
      <c r="H500" s="11"/>
      <c r="AU500" s="11"/>
      <c r="CH500" s="11"/>
      <c r="CI500" s="16"/>
      <c r="CJ500" s="16"/>
      <c r="CK500" s="16"/>
      <c r="CL500" s="16"/>
      <c r="CM500" s="16"/>
      <c r="CN500" s="16"/>
      <c r="CO500" s="16"/>
      <c r="CP500" s="16"/>
      <c r="CQ500" s="16"/>
      <c r="CR500" s="16"/>
      <c r="CS500" s="16"/>
      <c r="CT500" s="16"/>
      <c r="CU500" s="16"/>
      <c r="CV500" s="16"/>
      <c r="CW500" s="16"/>
      <c r="CX500" s="16"/>
      <c r="CY500" s="16"/>
      <c r="CZ500" s="16"/>
      <c r="DA500" s="16"/>
      <c r="DB500" s="16"/>
      <c r="DC500" s="16"/>
      <c r="DD500" s="16"/>
      <c r="DE500" s="17"/>
      <c r="DF500" s="17"/>
      <c r="DG500" s="16"/>
      <c r="DH500" s="16"/>
      <c r="DI500" s="17"/>
      <c r="DJ500" s="17"/>
      <c r="DK500" s="16"/>
      <c r="DL500" s="16"/>
      <c r="DM500" s="17"/>
      <c r="DN500" s="17"/>
      <c r="DO500" s="16"/>
      <c r="DP500" s="16"/>
      <c r="DQ500" s="17"/>
      <c r="DR500" s="17"/>
      <c r="DS500" s="16"/>
      <c r="DT500" s="16"/>
      <c r="DU500" s="17"/>
      <c r="DV500" s="17"/>
      <c r="DW500" s="16"/>
      <c r="DX500" s="16"/>
      <c r="DY500" s="17"/>
      <c r="DZ500" s="17"/>
      <c r="EA500" s="16"/>
      <c r="EB500" s="16"/>
      <c r="EC500" s="17"/>
      <c r="ED500" s="17"/>
      <c r="EE500" s="16"/>
      <c r="EF500" s="16"/>
      <c r="EG500" s="17"/>
      <c r="EH500" s="17"/>
      <c r="EI500" s="16"/>
      <c r="EJ500" s="16"/>
      <c r="EK500" s="17"/>
      <c r="EL500" s="17"/>
      <c r="EM500" s="16"/>
      <c r="EN500" s="16"/>
      <c r="EO500" s="17"/>
      <c r="EP500" s="17"/>
      <c r="EQ500" s="16"/>
      <c r="ER500" s="16"/>
      <c r="ES500" s="17"/>
      <c r="ET500" s="17"/>
      <c r="EU500" s="16"/>
      <c r="EV500" s="16"/>
      <c r="EW500" s="17"/>
      <c r="EX500" s="17"/>
      <c r="EY500" s="16"/>
      <c r="EZ500" s="16"/>
      <c r="FA500" s="17"/>
      <c r="FB500" s="17"/>
      <c r="FC500" s="16"/>
      <c r="FD500" s="16"/>
      <c r="FE500" s="17"/>
      <c r="FF500" s="17"/>
      <c r="FG500" s="11"/>
      <c r="GT500" s="11"/>
      <c r="IG500" s="11"/>
      <c r="JT500" s="11"/>
      <c r="LG500" s="11"/>
      <c r="MT500" s="11"/>
      <c r="OG500" s="11"/>
      <c r="PT500" s="11"/>
    </row>
    <row r="501" spans="3:436" ht="15.75" x14ac:dyDescent="0.25">
      <c r="C501" s="20" t="s">
        <v>446</v>
      </c>
      <c r="D501" s="21" t="s">
        <v>136</v>
      </c>
      <c r="H501" s="11"/>
      <c r="AU501" s="11"/>
      <c r="CH501" s="11"/>
      <c r="CI501" s="16"/>
      <c r="CJ501" s="16"/>
      <c r="CK501" s="16"/>
      <c r="CL501" s="16"/>
      <c r="CM501" s="16"/>
      <c r="CN501" s="16"/>
      <c r="CO501" s="16"/>
      <c r="CP501" s="16"/>
      <c r="CQ501" s="16"/>
      <c r="CR501" s="16"/>
      <c r="CS501" s="16"/>
      <c r="CT501" s="16"/>
      <c r="CU501" s="16"/>
      <c r="CV501" s="16"/>
      <c r="CW501" s="16"/>
      <c r="CX501" s="16"/>
      <c r="CY501" s="16"/>
      <c r="CZ501" s="16"/>
      <c r="DA501" s="16"/>
      <c r="DB501" s="16"/>
      <c r="DC501" s="16"/>
      <c r="DD501" s="16"/>
      <c r="DE501" s="17"/>
      <c r="DF501" s="17"/>
      <c r="DG501" s="16"/>
      <c r="DH501" s="16"/>
      <c r="DI501" s="17"/>
      <c r="DJ501" s="17"/>
      <c r="DK501" s="16"/>
      <c r="DL501" s="16"/>
      <c r="DM501" s="17"/>
      <c r="DN501" s="17"/>
      <c r="DO501" s="16"/>
      <c r="DP501" s="16"/>
      <c r="DQ501" s="17"/>
      <c r="DR501" s="17"/>
      <c r="DS501" s="16"/>
      <c r="DT501" s="16"/>
      <c r="DU501" s="17"/>
      <c r="DV501" s="17"/>
      <c r="DW501" s="16"/>
      <c r="DX501" s="16"/>
      <c r="DY501" s="17"/>
      <c r="DZ501" s="17"/>
      <c r="EA501" s="16"/>
      <c r="EB501" s="16"/>
      <c r="EC501" s="17"/>
      <c r="ED501" s="17"/>
      <c r="EE501" s="16"/>
      <c r="EF501" s="16"/>
      <c r="EG501" s="17"/>
      <c r="EH501" s="17"/>
      <c r="EI501" s="16"/>
      <c r="EJ501" s="16"/>
      <c r="EK501" s="17"/>
      <c r="EL501" s="17"/>
      <c r="EM501" s="16"/>
      <c r="EN501" s="16"/>
      <c r="EO501" s="17"/>
      <c r="EP501" s="17"/>
      <c r="EQ501" s="16"/>
      <c r="ER501" s="16"/>
      <c r="ES501" s="17"/>
      <c r="ET501" s="17"/>
      <c r="EU501" s="16"/>
      <c r="EV501" s="16"/>
      <c r="EW501" s="17"/>
      <c r="EX501" s="17"/>
      <c r="EY501" s="16"/>
      <c r="EZ501" s="16"/>
      <c r="FA501" s="17"/>
      <c r="FB501" s="17"/>
      <c r="FC501" s="16"/>
      <c r="FD501" s="16"/>
      <c r="FE501" s="17"/>
      <c r="FF501" s="17"/>
      <c r="FG501" s="11"/>
      <c r="GT501" s="11"/>
      <c r="IG501" s="11"/>
      <c r="JT501" s="11"/>
      <c r="LG501" s="11"/>
      <c r="MT501" s="11"/>
      <c r="OG501" s="11"/>
      <c r="PT501" s="11"/>
    </row>
    <row r="502" spans="3:436" ht="15.75" x14ac:dyDescent="0.25">
      <c r="C502" s="20" t="s">
        <v>447</v>
      </c>
      <c r="D502" s="21" t="s">
        <v>136</v>
      </c>
      <c r="H502" s="11"/>
      <c r="AU502" s="11"/>
      <c r="CH502" s="11"/>
      <c r="CI502" s="16"/>
      <c r="CJ502" s="16"/>
      <c r="CK502" s="16"/>
      <c r="CL502" s="16"/>
      <c r="CM502" s="16"/>
      <c r="CN502" s="16"/>
      <c r="CO502" s="16"/>
      <c r="CP502" s="16"/>
      <c r="CQ502" s="16"/>
      <c r="CR502" s="16"/>
      <c r="CS502" s="16"/>
      <c r="CT502" s="16"/>
      <c r="CU502" s="16"/>
      <c r="CV502" s="16"/>
      <c r="CW502" s="16"/>
      <c r="CX502" s="16"/>
      <c r="CY502" s="16"/>
      <c r="CZ502" s="16"/>
      <c r="DA502" s="16"/>
      <c r="DB502" s="16"/>
      <c r="DC502" s="16"/>
      <c r="DD502" s="16"/>
      <c r="DE502" s="17"/>
      <c r="DF502" s="17"/>
      <c r="DG502" s="16"/>
      <c r="DH502" s="16"/>
      <c r="DI502" s="17"/>
      <c r="DJ502" s="17"/>
      <c r="DK502" s="16"/>
      <c r="DL502" s="16"/>
      <c r="DM502" s="17"/>
      <c r="DN502" s="17"/>
      <c r="DO502" s="16"/>
      <c r="DP502" s="16"/>
      <c r="DQ502" s="17"/>
      <c r="DR502" s="17"/>
      <c r="DS502" s="16"/>
      <c r="DT502" s="16"/>
      <c r="DU502" s="17"/>
      <c r="DV502" s="17"/>
      <c r="DW502" s="16"/>
      <c r="DX502" s="16"/>
      <c r="DY502" s="17"/>
      <c r="DZ502" s="17"/>
      <c r="EA502" s="16"/>
      <c r="EB502" s="16"/>
      <c r="EC502" s="17"/>
      <c r="ED502" s="17"/>
      <c r="EE502" s="16"/>
      <c r="EF502" s="16"/>
      <c r="EG502" s="17"/>
      <c r="EH502" s="17"/>
      <c r="EI502" s="16"/>
      <c r="EJ502" s="16"/>
      <c r="EK502" s="17"/>
      <c r="EL502" s="17"/>
      <c r="EM502" s="16"/>
      <c r="EN502" s="16"/>
      <c r="EO502" s="17"/>
      <c r="EP502" s="17"/>
      <c r="EQ502" s="16"/>
      <c r="ER502" s="16"/>
      <c r="ES502" s="17"/>
      <c r="ET502" s="17"/>
      <c r="EU502" s="16"/>
      <c r="EV502" s="16"/>
      <c r="EW502" s="17"/>
      <c r="EX502" s="17"/>
      <c r="EY502" s="16"/>
      <c r="EZ502" s="16"/>
      <c r="FA502" s="17"/>
      <c r="FB502" s="17"/>
      <c r="FC502" s="16"/>
      <c r="FD502" s="16"/>
      <c r="FE502" s="17"/>
      <c r="FF502" s="17"/>
      <c r="FG502" s="11"/>
      <c r="GT502" s="11"/>
      <c r="IG502" s="11"/>
      <c r="JT502" s="11"/>
      <c r="LG502" s="11"/>
      <c r="MT502" s="11"/>
      <c r="OG502" s="11"/>
      <c r="PT502" s="11"/>
    </row>
    <row r="503" spans="3:436" ht="15.75" x14ac:dyDescent="0.25">
      <c r="C503" s="20" t="s">
        <v>448</v>
      </c>
      <c r="D503" s="21" t="s">
        <v>104</v>
      </c>
      <c r="H503" s="11"/>
      <c r="AU503" s="11"/>
      <c r="CH503" s="11"/>
      <c r="CI503" s="16"/>
      <c r="CJ503" s="16"/>
      <c r="CK503" s="16"/>
      <c r="CL503" s="16"/>
      <c r="CM503" s="16"/>
      <c r="CN503" s="16"/>
      <c r="CO503" s="16"/>
      <c r="CP503" s="16"/>
      <c r="CQ503" s="16"/>
      <c r="CR503" s="16"/>
      <c r="CS503" s="16"/>
      <c r="CT503" s="16"/>
      <c r="CU503" s="16"/>
      <c r="CV503" s="16"/>
      <c r="CW503" s="16"/>
      <c r="CX503" s="16"/>
      <c r="CY503" s="16"/>
      <c r="CZ503" s="16"/>
      <c r="DA503" s="16"/>
      <c r="DB503" s="16"/>
      <c r="DC503" s="16"/>
      <c r="DD503" s="16"/>
      <c r="DE503" s="17"/>
      <c r="DF503" s="17"/>
      <c r="DG503" s="16"/>
      <c r="DH503" s="16"/>
      <c r="DI503" s="17"/>
      <c r="DJ503" s="17"/>
      <c r="DK503" s="16"/>
      <c r="DL503" s="16"/>
      <c r="DM503" s="17"/>
      <c r="DN503" s="17"/>
      <c r="DO503" s="16"/>
      <c r="DP503" s="16"/>
      <c r="DQ503" s="17"/>
      <c r="DR503" s="17"/>
      <c r="DS503" s="16"/>
      <c r="DT503" s="16"/>
      <c r="DU503" s="17"/>
      <c r="DV503" s="17"/>
      <c r="DW503" s="16"/>
      <c r="DX503" s="16"/>
      <c r="DY503" s="17"/>
      <c r="DZ503" s="17"/>
      <c r="EA503" s="16"/>
      <c r="EB503" s="16"/>
      <c r="EC503" s="17"/>
      <c r="ED503" s="17"/>
      <c r="EE503" s="16"/>
      <c r="EF503" s="16"/>
      <c r="EG503" s="17"/>
      <c r="EH503" s="17"/>
      <c r="EI503" s="16"/>
      <c r="EJ503" s="16"/>
      <c r="EK503" s="17"/>
      <c r="EL503" s="17"/>
      <c r="EM503" s="16"/>
      <c r="EN503" s="16"/>
      <c r="EO503" s="17"/>
      <c r="EP503" s="17"/>
      <c r="EQ503" s="16"/>
      <c r="ER503" s="16"/>
      <c r="ES503" s="17"/>
      <c r="ET503" s="17"/>
      <c r="EU503" s="16"/>
      <c r="EV503" s="16"/>
      <c r="EW503" s="17"/>
      <c r="EX503" s="17"/>
      <c r="EY503" s="16"/>
      <c r="EZ503" s="16"/>
      <c r="FA503" s="17"/>
      <c r="FB503" s="17"/>
      <c r="FC503" s="19">
        <v>0.5</v>
      </c>
      <c r="FD503" s="19">
        <v>1</v>
      </c>
      <c r="FE503" s="17"/>
      <c r="FF503" s="17"/>
      <c r="FG503" s="11"/>
      <c r="GT503" s="11"/>
      <c r="IG503" s="11"/>
      <c r="JT503" s="11"/>
      <c r="LG503" s="11"/>
      <c r="MT503" s="11"/>
      <c r="OG503" s="11"/>
      <c r="PT503" s="11"/>
    </row>
    <row r="504" spans="3:436" ht="15.75" x14ac:dyDescent="0.25">
      <c r="C504" s="20" t="s">
        <v>449</v>
      </c>
      <c r="D504" s="21" t="s">
        <v>90</v>
      </c>
      <c r="H504" s="11"/>
      <c r="AU504" s="11"/>
      <c r="CH504" s="11"/>
      <c r="CI504" s="16"/>
      <c r="CJ504" s="16"/>
      <c r="CK504" s="16"/>
      <c r="CL504" s="16"/>
      <c r="CM504" s="16"/>
      <c r="CN504" s="16"/>
      <c r="CO504" s="16"/>
      <c r="CP504" s="16"/>
      <c r="CQ504" s="16"/>
      <c r="CR504" s="16"/>
      <c r="CS504" s="16"/>
      <c r="CT504" s="16"/>
      <c r="CU504" s="16"/>
      <c r="CV504" s="16"/>
      <c r="CW504" s="16"/>
      <c r="CX504" s="16"/>
      <c r="CY504" s="16"/>
      <c r="CZ504" s="16"/>
      <c r="DA504" s="16"/>
      <c r="DB504" s="16"/>
      <c r="DC504" s="16"/>
      <c r="DD504" s="16"/>
      <c r="DE504" s="17"/>
      <c r="DF504" s="17"/>
      <c r="DG504" s="16"/>
      <c r="DH504" s="16"/>
      <c r="DI504" s="17"/>
      <c r="DJ504" s="17"/>
      <c r="DK504" s="16"/>
      <c r="DL504" s="16"/>
      <c r="DM504" s="17"/>
      <c r="DN504" s="17"/>
      <c r="DO504" s="16"/>
      <c r="DP504" s="16"/>
      <c r="DQ504" s="17"/>
      <c r="DR504" s="17"/>
      <c r="DS504" s="16"/>
      <c r="DT504" s="16"/>
      <c r="DU504" s="17"/>
      <c r="DV504" s="17"/>
      <c r="DW504" s="16"/>
      <c r="DX504" s="16"/>
      <c r="DY504" s="17"/>
      <c r="DZ504" s="17"/>
      <c r="EA504" s="16"/>
      <c r="EB504" s="16"/>
      <c r="EC504" s="17"/>
      <c r="ED504" s="17"/>
      <c r="EE504" s="16"/>
      <c r="EF504" s="16"/>
      <c r="EG504" s="17"/>
      <c r="EH504" s="17"/>
      <c r="EI504" s="16"/>
      <c r="EJ504" s="16"/>
      <c r="EK504" s="17"/>
      <c r="EL504" s="17"/>
      <c r="EM504" s="16"/>
      <c r="EN504" s="16"/>
      <c r="EO504" s="17"/>
      <c r="EP504" s="17"/>
      <c r="EQ504" s="16"/>
      <c r="ER504" s="16"/>
      <c r="ES504" s="17"/>
      <c r="ET504" s="17"/>
      <c r="EU504" s="16"/>
      <c r="EV504" s="16"/>
      <c r="EW504" s="17"/>
      <c r="EX504" s="17"/>
      <c r="EY504" s="16"/>
      <c r="EZ504" s="16"/>
      <c r="FA504" s="17"/>
      <c r="FB504" s="17"/>
      <c r="FC504" s="16"/>
      <c r="FD504" s="16"/>
      <c r="FE504" s="17"/>
      <c r="FF504" s="17"/>
      <c r="FG504" s="11"/>
      <c r="GT504" s="11"/>
      <c r="IG504" s="11"/>
      <c r="JT504" s="11"/>
      <c r="LG504" s="11"/>
      <c r="MT504" s="11"/>
      <c r="OG504" s="11"/>
      <c r="PT504" s="11"/>
    </row>
    <row r="505" spans="3:436" ht="15.75" x14ac:dyDescent="0.25">
      <c r="C505" s="20" t="s">
        <v>450</v>
      </c>
      <c r="D505" s="21" t="s">
        <v>79</v>
      </c>
      <c r="H505" s="11"/>
      <c r="AU505" s="11"/>
      <c r="CH505" s="11"/>
      <c r="CI505" s="16"/>
      <c r="CJ505" s="16"/>
      <c r="CK505" s="16"/>
      <c r="CL505" s="16"/>
      <c r="CM505" s="16"/>
      <c r="CN505" s="16"/>
      <c r="CO505" s="16"/>
      <c r="CP505" s="16"/>
      <c r="CQ505" s="16"/>
      <c r="CR505" s="16"/>
      <c r="CS505" s="16"/>
      <c r="CT505" s="16"/>
      <c r="CU505" s="16"/>
      <c r="CV505" s="16"/>
      <c r="CW505" s="16"/>
      <c r="CX505" s="16"/>
      <c r="CY505" s="16"/>
      <c r="CZ505" s="16"/>
      <c r="DA505" s="16"/>
      <c r="DB505" s="16"/>
      <c r="DC505" s="16"/>
      <c r="DD505" s="16"/>
      <c r="DE505" s="17"/>
      <c r="DF505" s="17"/>
      <c r="DG505" s="16"/>
      <c r="DH505" s="16"/>
      <c r="DI505" s="18">
        <v>1</v>
      </c>
      <c r="DJ505" s="18">
        <v>1</v>
      </c>
      <c r="DK505" s="16"/>
      <c r="DL505" s="16"/>
      <c r="DM505" s="17"/>
      <c r="DN505" s="17"/>
      <c r="DO505" s="16"/>
      <c r="DP505" s="16"/>
      <c r="DQ505" s="17"/>
      <c r="DR505" s="17"/>
      <c r="DS505" s="16"/>
      <c r="DT505" s="16"/>
      <c r="DU505" s="17"/>
      <c r="DV505" s="17"/>
      <c r="DW505" s="16"/>
      <c r="DX505" s="16"/>
      <c r="DY505" s="17"/>
      <c r="DZ505" s="17"/>
      <c r="EA505" s="16"/>
      <c r="EB505" s="16"/>
      <c r="EC505" s="17"/>
      <c r="ED505" s="17"/>
      <c r="EE505" s="16"/>
      <c r="EF505" s="16"/>
      <c r="EG505" s="17"/>
      <c r="EH505" s="17"/>
      <c r="EI505" s="16"/>
      <c r="EJ505" s="16"/>
      <c r="EK505" s="17"/>
      <c r="EL505" s="17"/>
      <c r="EM505" s="16"/>
      <c r="EN505" s="16"/>
      <c r="EO505" s="17"/>
      <c r="EP505" s="17"/>
      <c r="EQ505" s="16"/>
      <c r="ER505" s="16"/>
      <c r="ES505" s="17"/>
      <c r="ET505" s="17"/>
      <c r="EU505" s="16"/>
      <c r="EV505" s="16"/>
      <c r="EW505" s="17"/>
      <c r="EX505" s="17"/>
      <c r="EY505" s="16"/>
      <c r="EZ505" s="16"/>
      <c r="FA505" s="17"/>
      <c r="FB505" s="17"/>
      <c r="FC505" s="16"/>
      <c r="FD505" s="16"/>
      <c r="FE505" s="17"/>
      <c r="FF505" s="17"/>
      <c r="FG505" s="11"/>
      <c r="GT505" s="11"/>
      <c r="IG505" s="11"/>
      <c r="JT505" s="11"/>
      <c r="LG505" s="11"/>
      <c r="MT505" s="11"/>
      <c r="OG505" s="11"/>
      <c r="PT505" s="11"/>
    </row>
    <row r="506" spans="3:436" ht="15.75" x14ac:dyDescent="0.25">
      <c r="C506" s="20" t="s">
        <v>451</v>
      </c>
      <c r="D506" s="21" t="s">
        <v>134</v>
      </c>
      <c r="H506" s="11"/>
      <c r="AU506" s="11"/>
      <c r="CH506" s="11"/>
      <c r="CI506" s="16"/>
      <c r="CJ506" s="16"/>
      <c r="CK506" s="16"/>
      <c r="CL506" s="16"/>
      <c r="CM506" s="16"/>
      <c r="CN506" s="16"/>
      <c r="CO506" s="16"/>
      <c r="CP506" s="16"/>
      <c r="CQ506" s="16"/>
      <c r="CR506" s="16"/>
      <c r="CS506" s="16"/>
      <c r="CT506" s="16"/>
      <c r="CU506" s="16"/>
      <c r="CV506" s="16"/>
      <c r="CW506" s="16"/>
      <c r="CX506" s="16"/>
      <c r="CY506" s="16"/>
      <c r="CZ506" s="16"/>
      <c r="DA506" s="16"/>
      <c r="DB506" s="16"/>
      <c r="DC506" s="16"/>
      <c r="DD506" s="16"/>
      <c r="DE506" s="17"/>
      <c r="DF506" s="17"/>
      <c r="DG506" s="16"/>
      <c r="DH506" s="16"/>
      <c r="DI506" s="17"/>
      <c r="DJ506" s="17"/>
      <c r="DK506" s="16"/>
      <c r="DL506" s="16"/>
      <c r="DM506" s="18">
        <v>1</v>
      </c>
      <c r="DN506" s="18">
        <v>5</v>
      </c>
      <c r="DO506" s="16"/>
      <c r="DP506" s="16"/>
      <c r="DQ506" s="17"/>
      <c r="DR506" s="17"/>
      <c r="DS506" s="16"/>
      <c r="DT506" s="16"/>
      <c r="DU506" s="17"/>
      <c r="DV506" s="17"/>
      <c r="DW506" s="16"/>
      <c r="DX506" s="16"/>
      <c r="DY506" s="17"/>
      <c r="DZ506" s="17"/>
      <c r="EA506" s="16"/>
      <c r="EB506" s="16"/>
      <c r="EC506" s="17"/>
      <c r="ED506" s="17"/>
      <c r="EE506" s="16"/>
      <c r="EF506" s="16"/>
      <c r="EG506" s="17"/>
      <c r="EH506" s="17"/>
      <c r="EI506" s="16"/>
      <c r="EJ506" s="16"/>
      <c r="EK506" s="17"/>
      <c r="EL506" s="17"/>
      <c r="EM506" s="16"/>
      <c r="EN506" s="16"/>
      <c r="EO506" s="17"/>
      <c r="EP506" s="17"/>
      <c r="EQ506" s="16"/>
      <c r="ER506" s="16"/>
      <c r="ES506" s="17"/>
      <c r="ET506" s="17"/>
      <c r="EU506" s="16"/>
      <c r="EV506" s="16"/>
      <c r="EW506" s="17"/>
      <c r="EX506" s="17"/>
      <c r="EY506" s="16"/>
      <c r="EZ506" s="16"/>
      <c r="FA506" s="17"/>
      <c r="FB506" s="17"/>
      <c r="FC506" s="16"/>
      <c r="FD506" s="16"/>
      <c r="FE506" s="17"/>
      <c r="FF506" s="17"/>
      <c r="FG506" s="11"/>
      <c r="GT506" s="11"/>
      <c r="IG506" s="11"/>
      <c r="JT506" s="11"/>
      <c r="LG506" s="11"/>
      <c r="MT506" s="11"/>
      <c r="OG506" s="11"/>
      <c r="PT506" s="11"/>
    </row>
    <row r="507" spans="3:436" ht="15.75" x14ac:dyDescent="0.25">
      <c r="C507" s="20" t="s">
        <v>452</v>
      </c>
      <c r="D507" s="21" t="s">
        <v>129</v>
      </c>
      <c r="H507" s="11"/>
      <c r="AU507" s="11"/>
      <c r="CH507" s="11"/>
      <c r="CI507" s="16"/>
      <c r="CJ507" s="16"/>
      <c r="CK507" s="16"/>
      <c r="CL507" s="16"/>
      <c r="CM507" s="16"/>
      <c r="CN507" s="16"/>
      <c r="CO507" s="16"/>
      <c r="CP507" s="16"/>
      <c r="CQ507" s="16"/>
      <c r="CR507" s="16"/>
      <c r="CS507" s="16"/>
      <c r="CT507" s="16"/>
      <c r="CU507" s="16"/>
      <c r="CV507" s="16"/>
      <c r="CW507" s="16"/>
      <c r="CX507" s="16"/>
      <c r="CY507" s="16"/>
      <c r="CZ507" s="16"/>
      <c r="DA507" s="16"/>
      <c r="DB507" s="16"/>
      <c r="DC507" s="16"/>
      <c r="DD507" s="16"/>
      <c r="DE507" s="17"/>
      <c r="DF507" s="17"/>
      <c r="DG507" s="16"/>
      <c r="DH507" s="16"/>
      <c r="DI507" s="17"/>
      <c r="DJ507" s="17"/>
      <c r="DK507" s="16"/>
      <c r="DL507" s="16"/>
      <c r="DM507" s="17"/>
      <c r="DN507" s="17"/>
      <c r="DO507" s="16"/>
      <c r="DP507" s="16"/>
      <c r="DQ507" s="17"/>
      <c r="DR507" s="17"/>
      <c r="DS507" s="16"/>
      <c r="DT507" s="16"/>
      <c r="DU507" s="17"/>
      <c r="DV507" s="17"/>
      <c r="DW507" s="16"/>
      <c r="DX507" s="16"/>
      <c r="DY507" s="17"/>
      <c r="DZ507" s="17"/>
      <c r="EA507" s="16"/>
      <c r="EB507" s="16"/>
      <c r="EC507" s="17"/>
      <c r="ED507" s="17"/>
      <c r="EE507" s="16"/>
      <c r="EF507" s="16"/>
      <c r="EG507" s="17"/>
      <c r="EH507" s="17"/>
      <c r="EI507" s="16"/>
      <c r="EJ507" s="16"/>
      <c r="EK507" s="17"/>
      <c r="EL507" s="17"/>
      <c r="EM507" s="16"/>
      <c r="EN507" s="16"/>
      <c r="EO507" s="17"/>
      <c r="EP507" s="17"/>
      <c r="EQ507" s="16"/>
      <c r="ER507" s="16"/>
      <c r="ES507" s="17"/>
      <c r="ET507" s="17"/>
      <c r="EU507" s="16"/>
      <c r="EV507" s="16"/>
      <c r="EW507" s="17"/>
      <c r="EX507" s="17"/>
      <c r="EY507" s="16"/>
      <c r="EZ507" s="16"/>
      <c r="FA507" s="17"/>
      <c r="FB507" s="17"/>
      <c r="FC507" s="16"/>
      <c r="FD507" s="16"/>
      <c r="FE507" s="17"/>
      <c r="FF507" s="17"/>
      <c r="FG507" s="11"/>
      <c r="GT507" s="11"/>
      <c r="IG507" s="11"/>
      <c r="JT507" s="11"/>
      <c r="LG507" s="11"/>
      <c r="MT507" s="11"/>
      <c r="OG507" s="11"/>
      <c r="PT507" s="11"/>
    </row>
    <row r="508" spans="3:436" ht="15.75" x14ac:dyDescent="0.25">
      <c r="C508" s="20" t="s">
        <v>453</v>
      </c>
      <c r="D508" s="21" t="s">
        <v>136</v>
      </c>
      <c r="H508" s="11"/>
      <c r="AU508" s="11"/>
      <c r="CH508" s="11"/>
      <c r="CI508" s="16"/>
      <c r="CJ508" s="16"/>
      <c r="CK508" s="16"/>
      <c r="CL508" s="16"/>
      <c r="CM508" s="16"/>
      <c r="CN508" s="16"/>
      <c r="CO508" s="16"/>
      <c r="CP508" s="16"/>
      <c r="CQ508" s="16"/>
      <c r="CR508" s="16"/>
      <c r="CS508" s="16"/>
      <c r="CT508" s="16"/>
      <c r="CU508" s="16"/>
      <c r="CV508" s="16"/>
      <c r="CW508" s="16"/>
      <c r="CX508" s="16"/>
      <c r="CY508" s="16"/>
      <c r="CZ508" s="16"/>
      <c r="DA508" s="16"/>
      <c r="DB508" s="16"/>
      <c r="DC508" s="16"/>
      <c r="DD508" s="16"/>
      <c r="DE508" s="17"/>
      <c r="DF508" s="17"/>
      <c r="DG508" s="16"/>
      <c r="DH508" s="16"/>
      <c r="DI508" s="17"/>
      <c r="DJ508" s="17"/>
      <c r="DK508" s="16"/>
      <c r="DL508" s="16"/>
      <c r="DM508" s="17"/>
      <c r="DN508" s="17"/>
      <c r="DO508" s="16"/>
      <c r="DP508" s="16"/>
      <c r="DQ508" s="17"/>
      <c r="DR508" s="17"/>
      <c r="DS508" s="16"/>
      <c r="DT508" s="16"/>
      <c r="DU508" s="17"/>
      <c r="DV508" s="17"/>
      <c r="DW508" s="16"/>
      <c r="DX508" s="16"/>
      <c r="DY508" s="17"/>
      <c r="DZ508" s="17"/>
      <c r="EA508" s="16"/>
      <c r="EB508" s="16"/>
      <c r="EC508" s="17"/>
      <c r="ED508" s="17"/>
      <c r="EE508" s="16"/>
      <c r="EF508" s="16"/>
      <c r="EG508" s="17"/>
      <c r="EH508" s="17"/>
      <c r="EI508" s="16"/>
      <c r="EJ508" s="16"/>
      <c r="EK508" s="17"/>
      <c r="EL508" s="17"/>
      <c r="EM508" s="16"/>
      <c r="EN508" s="16"/>
      <c r="EO508" s="17"/>
      <c r="EP508" s="17"/>
      <c r="EQ508" s="16"/>
      <c r="ER508" s="16"/>
      <c r="ES508" s="17"/>
      <c r="ET508" s="17"/>
      <c r="EU508" s="16"/>
      <c r="EV508" s="16"/>
      <c r="EW508" s="17"/>
      <c r="EX508" s="17"/>
      <c r="EY508" s="16"/>
      <c r="EZ508" s="16"/>
      <c r="FA508" s="17"/>
      <c r="FB508" s="17"/>
      <c r="FC508" s="16"/>
      <c r="FD508" s="16"/>
      <c r="FE508" s="17"/>
      <c r="FF508" s="17"/>
      <c r="FG508" s="11"/>
      <c r="GT508" s="11"/>
      <c r="IG508" s="11"/>
      <c r="JT508" s="11"/>
      <c r="LG508" s="11"/>
      <c r="MT508" s="11"/>
      <c r="OG508" s="11"/>
      <c r="PT508" s="11"/>
    </row>
    <row r="509" spans="3:436" ht="15.75" x14ac:dyDescent="0.25">
      <c r="C509" s="20" t="s">
        <v>454</v>
      </c>
      <c r="D509" s="21" t="s">
        <v>136</v>
      </c>
      <c r="H509" s="11"/>
      <c r="AU509" s="11"/>
      <c r="CH509" s="11"/>
      <c r="CI509" s="16"/>
      <c r="CJ509" s="16"/>
      <c r="CK509" s="16"/>
      <c r="CL509" s="16"/>
      <c r="CM509" s="16"/>
      <c r="CN509" s="16"/>
      <c r="CO509" s="16"/>
      <c r="CP509" s="16"/>
      <c r="CQ509" s="16"/>
      <c r="CR509" s="16"/>
      <c r="CS509" s="16"/>
      <c r="CT509" s="16"/>
      <c r="CU509" s="16"/>
      <c r="CV509" s="16"/>
      <c r="CW509" s="16"/>
      <c r="CX509" s="16"/>
      <c r="CY509" s="16"/>
      <c r="CZ509" s="16"/>
      <c r="DA509" s="16"/>
      <c r="DB509" s="16"/>
      <c r="DC509" s="16"/>
      <c r="DD509" s="16"/>
      <c r="DE509" s="17"/>
      <c r="DF509" s="17"/>
      <c r="DG509" s="16"/>
      <c r="DH509" s="16"/>
      <c r="DI509" s="17"/>
      <c r="DJ509" s="17"/>
      <c r="DK509" s="16"/>
      <c r="DL509" s="16"/>
      <c r="DM509" s="17"/>
      <c r="DN509" s="17"/>
      <c r="DO509" s="16"/>
      <c r="DP509" s="16"/>
      <c r="DQ509" s="17"/>
      <c r="DR509" s="17"/>
      <c r="DS509" s="16"/>
      <c r="DT509" s="16"/>
      <c r="DU509" s="17"/>
      <c r="DV509" s="17"/>
      <c r="DW509" s="16"/>
      <c r="DX509" s="16"/>
      <c r="DY509" s="17"/>
      <c r="DZ509" s="17"/>
      <c r="EA509" s="16"/>
      <c r="EB509" s="16"/>
      <c r="EC509" s="17"/>
      <c r="ED509" s="17"/>
      <c r="EE509" s="16"/>
      <c r="EF509" s="16"/>
      <c r="EG509" s="17"/>
      <c r="EH509" s="17"/>
      <c r="EI509" s="16"/>
      <c r="EJ509" s="16"/>
      <c r="EK509" s="17"/>
      <c r="EL509" s="17"/>
      <c r="EM509" s="16"/>
      <c r="EN509" s="16"/>
      <c r="EO509" s="17"/>
      <c r="EP509" s="17"/>
      <c r="EQ509" s="16"/>
      <c r="ER509" s="16"/>
      <c r="ES509" s="17"/>
      <c r="ET509" s="17"/>
      <c r="EU509" s="16"/>
      <c r="EV509" s="16"/>
      <c r="EW509" s="17"/>
      <c r="EX509" s="17"/>
      <c r="EY509" s="16"/>
      <c r="EZ509" s="16"/>
      <c r="FA509" s="17"/>
      <c r="FB509" s="17"/>
      <c r="FC509" s="16"/>
      <c r="FD509" s="16"/>
      <c r="FE509" s="17"/>
      <c r="FF509" s="17"/>
      <c r="FG509" s="11"/>
      <c r="GT509" s="11"/>
      <c r="IG509" s="11"/>
      <c r="JT509" s="11"/>
      <c r="LG509" s="11"/>
      <c r="MT509" s="11"/>
      <c r="OG509" s="11"/>
      <c r="PT509" s="11"/>
    </row>
    <row r="510" spans="3:436" ht="15.75" x14ac:dyDescent="0.25">
      <c r="C510" s="20" t="s">
        <v>455</v>
      </c>
      <c r="D510" s="21" t="s">
        <v>136</v>
      </c>
      <c r="H510" s="11"/>
      <c r="AU510" s="11"/>
      <c r="CH510" s="11"/>
      <c r="CI510" s="16"/>
      <c r="CJ510" s="16"/>
      <c r="CK510" s="16"/>
      <c r="CL510" s="16"/>
      <c r="CM510" s="16"/>
      <c r="CN510" s="16"/>
      <c r="CO510" s="16"/>
      <c r="CP510" s="16"/>
      <c r="CQ510" s="16"/>
      <c r="CR510" s="16"/>
      <c r="CS510" s="16"/>
      <c r="CT510" s="16"/>
      <c r="CU510" s="16"/>
      <c r="CV510" s="16"/>
      <c r="CW510" s="16"/>
      <c r="CX510" s="16"/>
      <c r="CY510" s="16"/>
      <c r="CZ510" s="16"/>
      <c r="DA510" s="16"/>
      <c r="DB510" s="16"/>
      <c r="DC510" s="16"/>
      <c r="DD510" s="16"/>
      <c r="DE510" s="17"/>
      <c r="DF510" s="17"/>
      <c r="DG510" s="16"/>
      <c r="DH510" s="16"/>
      <c r="DI510" s="17"/>
      <c r="DJ510" s="17"/>
      <c r="DK510" s="16"/>
      <c r="DL510" s="16"/>
      <c r="DM510" s="17"/>
      <c r="DN510" s="17"/>
      <c r="DO510" s="16"/>
      <c r="DP510" s="16"/>
      <c r="DQ510" s="17"/>
      <c r="DR510" s="17"/>
      <c r="DS510" s="16"/>
      <c r="DT510" s="16"/>
      <c r="DU510" s="17"/>
      <c r="DV510" s="17"/>
      <c r="DW510" s="16"/>
      <c r="DX510" s="16"/>
      <c r="DY510" s="17"/>
      <c r="DZ510" s="17"/>
      <c r="EA510" s="16"/>
      <c r="EB510" s="16"/>
      <c r="EC510" s="17"/>
      <c r="ED510" s="17"/>
      <c r="EE510" s="16"/>
      <c r="EF510" s="16"/>
      <c r="EG510" s="17"/>
      <c r="EH510" s="17"/>
      <c r="EI510" s="16"/>
      <c r="EJ510" s="16"/>
      <c r="EK510" s="17"/>
      <c r="EL510" s="17"/>
      <c r="EM510" s="16"/>
      <c r="EN510" s="16"/>
      <c r="EO510" s="17"/>
      <c r="EP510" s="17"/>
      <c r="EQ510" s="16"/>
      <c r="ER510" s="16"/>
      <c r="ES510" s="17"/>
      <c r="ET510" s="17"/>
      <c r="EU510" s="16"/>
      <c r="EV510" s="16"/>
      <c r="EW510" s="17"/>
      <c r="EX510" s="17"/>
      <c r="EY510" s="16"/>
      <c r="EZ510" s="16"/>
      <c r="FA510" s="17"/>
      <c r="FB510" s="17"/>
      <c r="FC510" s="16"/>
      <c r="FD510" s="16"/>
      <c r="FE510" s="17"/>
      <c r="FF510" s="17"/>
      <c r="FG510" s="11"/>
      <c r="GT510" s="11"/>
      <c r="IG510" s="11"/>
      <c r="JT510" s="11"/>
      <c r="LG510" s="11"/>
      <c r="MT510" s="11"/>
      <c r="OG510" s="11"/>
      <c r="PT510" s="11"/>
    </row>
    <row r="511" spans="3:436" ht="15.75" x14ac:dyDescent="0.25">
      <c r="C511" s="20" t="s">
        <v>456</v>
      </c>
      <c r="D511" s="21" t="s">
        <v>104</v>
      </c>
      <c r="H511" s="11"/>
      <c r="AU511" s="11"/>
      <c r="CH511" s="11"/>
      <c r="CI511" s="16"/>
      <c r="CJ511" s="16"/>
      <c r="CK511" s="16"/>
      <c r="CL511" s="16"/>
      <c r="CM511" s="16"/>
      <c r="CN511" s="16"/>
      <c r="CO511" s="16"/>
      <c r="CP511" s="16"/>
      <c r="CQ511" s="16"/>
      <c r="CR511" s="16"/>
      <c r="CS511" s="16"/>
      <c r="CT511" s="16"/>
      <c r="CU511" s="16"/>
      <c r="CV511" s="16"/>
      <c r="CW511" s="16"/>
      <c r="CX511" s="16"/>
      <c r="CY511" s="16"/>
      <c r="CZ511" s="16"/>
      <c r="DA511" s="16"/>
      <c r="DB511" s="16"/>
      <c r="DC511" s="16"/>
      <c r="DD511" s="16"/>
      <c r="DE511" s="17"/>
      <c r="DF511" s="17"/>
      <c r="DG511" s="16"/>
      <c r="DH511" s="16"/>
      <c r="DI511" s="17"/>
      <c r="DJ511" s="17"/>
      <c r="DK511" s="16"/>
      <c r="DL511" s="16"/>
      <c r="DM511" s="17"/>
      <c r="DN511" s="17"/>
      <c r="DO511" s="16"/>
      <c r="DP511" s="16"/>
      <c r="DQ511" s="17"/>
      <c r="DR511" s="17"/>
      <c r="DS511" s="16"/>
      <c r="DT511" s="16"/>
      <c r="DU511" s="17"/>
      <c r="DV511" s="17"/>
      <c r="DW511" s="16"/>
      <c r="DX511" s="16"/>
      <c r="DY511" s="17"/>
      <c r="DZ511" s="17"/>
      <c r="EA511" s="16"/>
      <c r="EB511" s="16"/>
      <c r="EC511" s="17"/>
      <c r="ED511" s="17"/>
      <c r="EE511" s="16"/>
      <c r="EF511" s="16"/>
      <c r="EG511" s="17"/>
      <c r="EH511" s="17"/>
      <c r="EI511" s="16"/>
      <c r="EJ511" s="16"/>
      <c r="EK511" s="17"/>
      <c r="EL511" s="17"/>
      <c r="EM511" s="16"/>
      <c r="EN511" s="16"/>
      <c r="EO511" s="17"/>
      <c r="EP511" s="17"/>
      <c r="EQ511" s="16"/>
      <c r="ER511" s="16"/>
      <c r="ES511" s="17"/>
      <c r="ET511" s="17"/>
      <c r="EU511" s="16"/>
      <c r="EV511" s="16"/>
      <c r="EW511" s="17"/>
      <c r="EX511" s="17"/>
      <c r="EY511" s="16"/>
      <c r="EZ511" s="16"/>
      <c r="FA511" s="17"/>
      <c r="FB511" s="17"/>
      <c r="FC511" s="19">
        <v>3</v>
      </c>
      <c r="FD511" s="19">
        <v>2</v>
      </c>
      <c r="FE511" s="17"/>
      <c r="FF511" s="17"/>
      <c r="FG511" s="11"/>
      <c r="GT511" s="11"/>
      <c r="IG511" s="11"/>
      <c r="JT511" s="11"/>
      <c r="LG511" s="11"/>
      <c r="MT511" s="11"/>
      <c r="OG511" s="11"/>
      <c r="PT511" s="11"/>
    </row>
    <row r="512" spans="3:436" ht="15.75" x14ac:dyDescent="0.25">
      <c r="C512" s="20" t="s">
        <v>449</v>
      </c>
      <c r="D512" s="21" t="s">
        <v>90</v>
      </c>
      <c r="H512" s="11"/>
      <c r="AU512" s="11"/>
      <c r="CH512" s="11"/>
      <c r="CI512" s="16"/>
      <c r="CJ512" s="16"/>
      <c r="CK512" s="16"/>
      <c r="CL512" s="16"/>
      <c r="CM512" s="16"/>
      <c r="CN512" s="16"/>
      <c r="CO512" s="16"/>
      <c r="CP512" s="16"/>
      <c r="CQ512" s="16"/>
      <c r="CR512" s="16"/>
      <c r="CS512" s="16"/>
      <c r="CT512" s="16"/>
      <c r="CU512" s="16"/>
      <c r="CV512" s="16"/>
      <c r="CW512" s="16"/>
      <c r="CX512" s="16"/>
      <c r="CY512" s="16"/>
      <c r="CZ512" s="16"/>
      <c r="DA512" s="16"/>
      <c r="DB512" s="16"/>
      <c r="DC512" s="16"/>
      <c r="DD512" s="16"/>
      <c r="DE512" s="17"/>
      <c r="DF512" s="17"/>
      <c r="DG512" s="16"/>
      <c r="DH512" s="16"/>
      <c r="DI512" s="17"/>
      <c r="DJ512" s="17"/>
      <c r="DK512" s="16"/>
      <c r="DL512" s="16"/>
      <c r="DM512" s="17"/>
      <c r="DN512" s="17"/>
      <c r="DO512" s="16"/>
      <c r="DP512" s="16"/>
      <c r="DQ512" s="17"/>
      <c r="DR512" s="17"/>
      <c r="DS512" s="16"/>
      <c r="DT512" s="16"/>
      <c r="DU512" s="17"/>
      <c r="DV512" s="17"/>
      <c r="DW512" s="16"/>
      <c r="DX512" s="16"/>
      <c r="DY512" s="17"/>
      <c r="DZ512" s="17"/>
      <c r="EA512" s="16"/>
      <c r="EB512" s="16"/>
      <c r="EC512" s="17"/>
      <c r="ED512" s="17"/>
      <c r="EE512" s="16"/>
      <c r="EF512" s="16"/>
      <c r="EG512" s="17"/>
      <c r="EH512" s="17"/>
      <c r="EI512" s="16"/>
      <c r="EJ512" s="16"/>
      <c r="EK512" s="17"/>
      <c r="EL512" s="17"/>
      <c r="EM512" s="16"/>
      <c r="EN512" s="16"/>
      <c r="EO512" s="17"/>
      <c r="EP512" s="17"/>
      <c r="EQ512" s="16"/>
      <c r="ER512" s="16"/>
      <c r="ES512" s="17"/>
      <c r="ET512" s="17"/>
      <c r="EU512" s="16"/>
      <c r="EV512" s="16"/>
      <c r="EW512" s="17"/>
      <c r="EX512" s="17"/>
      <c r="EY512" s="16"/>
      <c r="EZ512" s="16"/>
      <c r="FA512" s="17"/>
      <c r="FB512" s="17"/>
      <c r="FC512" s="16"/>
      <c r="FD512" s="16"/>
      <c r="FE512" s="17"/>
      <c r="FF512" s="17"/>
      <c r="FG512" s="11"/>
      <c r="GT512" s="11"/>
      <c r="IG512" s="11"/>
      <c r="JT512" s="11"/>
      <c r="LG512" s="11"/>
      <c r="MT512" s="11"/>
      <c r="OG512" s="11"/>
      <c r="PT512" s="11"/>
    </row>
    <row r="513" spans="3:436" ht="15.75" x14ac:dyDescent="0.25">
      <c r="C513" s="20" t="s">
        <v>434</v>
      </c>
      <c r="D513" s="21" t="s">
        <v>79</v>
      </c>
      <c r="H513" s="11"/>
      <c r="AU513" s="11"/>
      <c r="CH513" s="11"/>
      <c r="CI513" s="16"/>
      <c r="CJ513" s="16"/>
      <c r="CK513" s="16"/>
      <c r="CL513" s="16"/>
      <c r="CM513" s="16"/>
      <c r="CN513" s="16"/>
      <c r="CO513" s="16"/>
      <c r="CP513" s="16"/>
      <c r="CQ513" s="16"/>
      <c r="CR513" s="16"/>
      <c r="CS513" s="16"/>
      <c r="CT513" s="16"/>
      <c r="CU513" s="16"/>
      <c r="CV513" s="16"/>
      <c r="CW513" s="16"/>
      <c r="CX513" s="16"/>
      <c r="CY513" s="16"/>
      <c r="CZ513" s="16"/>
      <c r="DA513" s="16"/>
      <c r="DB513" s="16"/>
      <c r="DC513" s="16"/>
      <c r="DD513" s="16"/>
      <c r="DE513" s="17"/>
      <c r="DF513" s="17"/>
      <c r="DG513" s="16"/>
      <c r="DH513" s="16"/>
      <c r="DI513" s="17"/>
      <c r="DJ513" s="17"/>
      <c r="DK513" s="16"/>
      <c r="DL513" s="16"/>
      <c r="DM513" s="17"/>
      <c r="DN513" s="17"/>
      <c r="DO513" s="16"/>
      <c r="DP513" s="16"/>
      <c r="DQ513" s="17"/>
      <c r="DR513" s="17"/>
      <c r="DS513" s="16"/>
      <c r="DT513" s="16"/>
      <c r="DU513" s="17"/>
      <c r="DV513" s="17"/>
      <c r="DW513" s="16"/>
      <c r="DX513" s="16"/>
      <c r="DY513" s="17"/>
      <c r="DZ513" s="17"/>
      <c r="EA513" s="16"/>
      <c r="EB513" s="16"/>
      <c r="EC513" s="17"/>
      <c r="ED513" s="17"/>
      <c r="EE513" s="16"/>
      <c r="EF513" s="16"/>
      <c r="EG513" s="17"/>
      <c r="EH513" s="17"/>
      <c r="EI513" s="16"/>
      <c r="EJ513" s="16"/>
      <c r="EK513" s="17"/>
      <c r="EL513" s="17"/>
      <c r="EM513" s="16"/>
      <c r="EN513" s="16"/>
      <c r="EO513" s="17"/>
      <c r="EP513" s="17"/>
      <c r="EQ513" s="16"/>
      <c r="ER513" s="16"/>
      <c r="ES513" s="17"/>
      <c r="ET513" s="17"/>
      <c r="EU513" s="16"/>
      <c r="EV513" s="16"/>
      <c r="EW513" s="17"/>
      <c r="EX513" s="17"/>
      <c r="EY513" s="16"/>
      <c r="EZ513" s="16"/>
      <c r="FA513" s="17"/>
      <c r="FB513" s="17"/>
      <c r="FC513" s="16"/>
      <c r="FD513" s="16"/>
      <c r="FE513" s="17"/>
      <c r="FF513" s="17"/>
      <c r="FG513" s="11"/>
      <c r="GT513" s="11"/>
      <c r="IG513" s="11"/>
      <c r="JT513" s="11"/>
      <c r="LG513" s="11"/>
      <c r="MT513" s="11"/>
      <c r="OG513" s="11"/>
      <c r="PT513" s="11"/>
    </row>
    <row r="514" spans="3:436" ht="15.75" x14ac:dyDescent="0.25">
      <c r="C514" s="20" t="s">
        <v>435</v>
      </c>
      <c r="D514" s="21" t="s">
        <v>134</v>
      </c>
      <c r="H514" s="11"/>
      <c r="AU514" s="11"/>
      <c r="CH514" s="11"/>
      <c r="CI514" s="16"/>
      <c r="CJ514" s="16"/>
      <c r="CK514" s="16"/>
      <c r="CL514" s="16"/>
      <c r="CM514" s="16"/>
      <c r="CN514" s="16"/>
      <c r="CO514" s="16"/>
      <c r="CP514" s="16"/>
      <c r="CQ514" s="16"/>
      <c r="CR514" s="16"/>
      <c r="CS514" s="16"/>
      <c r="CT514" s="16"/>
      <c r="CU514" s="16"/>
      <c r="CV514" s="16"/>
      <c r="CW514" s="16"/>
      <c r="CX514" s="16"/>
      <c r="CY514" s="16"/>
      <c r="CZ514" s="16"/>
      <c r="DA514" s="16"/>
      <c r="DB514" s="16"/>
      <c r="DC514" s="16"/>
      <c r="DD514" s="16"/>
      <c r="DE514" s="17"/>
      <c r="DF514" s="17"/>
      <c r="DG514" s="16"/>
      <c r="DH514" s="16"/>
      <c r="DI514" s="17"/>
      <c r="DJ514" s="17"/>
      <c r="DK514" s="16"/>
      <c r="DL514" s="16"/>
      <c r="DM514" s="17"/>
      <c r="DN514" s="17"/>
      <c r="DO514" s="16"/>
      <c r="DP514" s="16"/>
      <c r="DQ514" s="17"/>
      <c r="DR514" s="17"/>
      <c r="DS514" s="16"/>
      <c r="DT514" s="16"/>
      <c r="DU514" s="17"/>
      <c r="DV514" s="17"/>
      <c r="DW514" s="16"/>
      <c r="DX514" s="16"/>
      <c r="DY514" s="17"/>
      <c r="DZ514" s="17"/>
      <c r="EA514" s="16"/>
      <c r="EB514" s="16"/>
      <c r="EC514" s="17"/>
      <c r="ED514" s="17"/>
      <c r="EE514" s="16"/>
      <c r="EF514" s="16"/>
      <c r="EG514" s="17"/>
      <c r="EH514" s="17"/>
      <c r="EI514" s="16"/>
      <c r="EJ514" s="16"/>
      <c r="EK514" s="17"/>
      <c r="EL514" s="17"/>
      <c r="EM514" s="16"/>
      <c r="EN514" s="16"/>
      <c r="EO514" s="17"/>
      <c r="EP514" s="17"/>
      <c r="EQ514" s="16"/>
      <c r="ER514" s="16"/>
      <c r="ES514" s="17"/>
      <c r="ET514" s="17"/>
      <c r="EU514" s="16"/>
      <c r="EV514" s="16"/>
      <c r="EW514" s="17"/>
      <c r="EX514" s="17"/>
      <c r="EY514" s="16"/>
      <c r="EZ514" s="16"/>
      <c r="FA514" s="17"/>
      <c r="FB514" s="17"/>
      <c r="FC514" s="16"/>
      <c r="FD514" s="16"/>
      <c r="FE514" s="17"/>
      <c r="FF514" s="17"/>
      <c r="FG514" s="11"/>
      <c r="GT514" s="11"/>
      <c r="IG514" s="11"/>
      <c r="JT514" s="11"/>
      <c r="LG514" s="11"/>
      <c r="MT514" s="11"/>
      <c r="OG514" s="11"/>
      <c r="PT514" s="11"/>
    </row>
    <row r="515" spans="3:436" ht="15.75" x14ac:dyDescent="0.25">
      <c r="C515" s="20" t="s">
        <v>436</v>
      </c>
      <c r="D515" s="21" t="s">
        <v>129</v>
      </c>
      <c r="H515" s="11"/>
      <c r="AU515" s="11"/>
      <c r="CH515" s="11"/>
      <c r="CI515" s="16"/>
      <c r="CJ515" s="16"/>
      <c r="CK515" s="16"/>
      <c r="CL515" s="16"/>
      <c r="CM515" s="16"/>
      <c r="CN515" s="16"/>
      <c r="CO515" s="16"/>
      <c r="CP515" s="16"/>
      <c r="CQ515" s="16"/>
      <c r="CR515" s="16"/>
      <c r="CS515" s="16"/>
      <c r="CT515" s="16"/>
      <c r="CU515" s="16"/>
      <c r="CV515" s="16"/>
      <c r="CW515" s="16"/>
      <c r="CX515" s="16"/>
      <c r="CY515" s="16"/>
      <c r="CZ515" s="16"/>
      <c r="DA515" s="16"/>
      <c r="DB515" s="16"/>
      <c r="DC515" s="16"/>
      <c r="DD515" s="16"/>
      <c r="DE515" s="17"/>
      <c r="DF515" s="17"/>
      <c r="DG515" s="16"/>
      <c r="DH515" s="16"/>
      <c r="DI515" s="17"/>
      <c r="DJ515" s="17"/>
      <c r="DK515" s="16"/>
      <c r="DL515" s="16"/>
      <c r="DM515" s="17"/>
      <c r="DN515" s="17"/>
      <c r="DO515" s="16"/>
      <c r="DP515" s="16"/>
      <c r="DQ515" s="17"/>
      <c r="DR515" s="17"/>
      <c r="DS515" s="16"/>
      <c r="DT515" s="16"/>
      <c r="DU515" s="17"/>
      <c r="DV515" s="17"/>
      <c r="DW515" s="16"/>
      <c r="DX515" s="16"/>
      <c r="DY515" s="17"/>
      <c r="DZ515" s="17"/>
      <c r="EA515" s="16"/>
      <c r="EB515" s="16"/>
      <c r="EC515" s="17"/>
      <c r="ED515" s="17"/>
      <c r="EE515" s="16"/>
      <c r="EF515" s="16"/>
      <c r="EG515" s="17"/>
      <c r="EH515" s="17"/>
      <c r="EI515" s="16"/>
      <c r="EJ515" s="16"/>
      <c r="EK515" s="17"/>
      <c r="EL515" s="17"/>
      <c r="EM515" s="16"/>
      <c r="EN515" s="16"/>
      <c r="EO515" s="17"/>
      <c r="EP515" s="17"/>
      <c r="EQ515" s="16"/>
      <c r="ER515" s="16"/>
      <c r="ES515" s="17"/>
      <c r="ET515" s="17"/>
      <c r="EU515" s="16"/>
      <c r="EV515" s="16"/>
      <c r="EW515" s="17"/>
      <c r="EX515" s="17"/>
      <c r="EY515" s="16"/>
      <c r="EZ515" s="16"/>
      <c r="FA515" s="17"/>
      <c r="FB515" s="17"/>
      <c r="FC515" s="16"/>
      <c r="FD515" s="16"/>
      <c r="FE515" s="17"/>
      <c r="FF515" s="17"/>
      <c r="FG515" s="11"/>
      <c r="GT515" s="11"/>
      <c r="IG515" s="11"/>
      <c r="JT515" s="11"/>
      <c r="LG515" s="11"/>
      <c r="MT515" s="11"/>
      <c r="OG515" s="11"/>
      <c r="PT515" s="11"/>
    </row>
    <row r="516" spans="3:436" ht="15.75" x14ac:dyDescent="0.25">
      <c r="C516" s="20" t="s">
        <v>437</v>
      </c>
      <c r="D516" s="21" t="s">
        <v>136</v>
      </c>
      <c r="H516" s="11"/>
      <c r="AU516" s="11"/>
      <c r="CH516" s="11"/>
      <c r="CI516" s="16"/>
      <c r="CJ516" s="16"/>
      <c r="CK516" s="16"/>
      <c r="CL516" s="16"/>
      <c r="CM516" s="16"/>
      <c r="CN516" s="16"/>
      <c r="CO516" s="16"/>
      <c r="CP516" s="16"/>
      <c r="CQ516" s="16"/>
      <c r="CR516" s="16"/>
      <c r="CS516" s="16"/>
      <c r="CT516" s="16"/>
      <c r="CU516" s="16"/>
      <c r="CV516" s="16"/>
      <c r="CW516" s="16"/>
      <c r="CX516" s="16"/>
      <c r="CY516" s="16"/>
      <c r="CZ516" s="16"/>
      <c r="DA516" s="16"/>
      <c r="DB516" s="16"/>
      <c r="DC516" s="16"/>
      <c r="DD516" s="16"/>
      <c r="DE516" s="17"/>
      <c r="DF516" s="17"/>
      <c r="DG516" s="16"/>
      <c r="DH516" s="16"/>
      <c r="DI516" s="17"/>
      <c r="DJ516" s="17"/>
      <c r="DK516" s="16"/>
      <c r="DL516" s="16"/>
      <c r="DM516" s="17"/>
      <c r="DN516" s="17"/>
      <c r="DO516" s="16"/>
      <c r="DP516" s="16"/>
      <c r="DQ516" s="17"/>
      <c r="DR516" s="17"/>
      <c r="DS516" s="16"/>
      <c r="DT516" s="16"/>
      <c r="DU516" s="17"/>
      <c r="DV516" s="17"/>
      <c r="DW516" s="16"/>
      <c r="DX516" s="16"/>
      <c r="DY516" s="17"/>
      <c r="DZ516" s="17"/>
      <c r="EA516" s="16"/>
      <c r="EB516" s="16"/>
      <c r="EC516" s="17"/>
      <c r="ED516" s="17"/>
      <c r="EE516" s="16"/>
      <c r="EF516" s="16"/>
      <c r="EG516" s="17"/>
      <c r="EH516" s="17"/>
      <c r="EI516" s="16"/>
      <c r="EJ516" s="16"/>
      <c r="EK516" s="17"/>
      <c r="EL516" s="17"/>
      <c r="EM516" s="16"/>
      <c r="EN516" s="16"/>
      <c r="EO516" s="17"/>
      <c r="EP516" s="17"/>
      <c r="EQ516" s="16"/>
      <c r="ER516" s="16"/>
      <c r="ES516" s="17"/>
      <c r="ET516" s="17"/>
      <c r="EU516" s="16"/>
      <c r="EV516" s="16"/>
      <c r="EW516" s="17"/>
      <c r="EX516" s="17"/>
      <c r="EY516" s="16"/>
      <c r="EZ516" s="16"/>
      <c r="FA516" s="17"/>
      <c r="FB516" s="17"/>
      <c r="FC516" s="16"/>
      <c r="FD516" s="16"/>
      <c r="FE516" s="17"/>
      <c r="FF516" s="17"/>
      <c r="FG516" s="11"/>
      <c r="GT516" s="11"/>
      <c r="IG516" s="11"/>
      <c r="JT516" s="11"/>
      <c r="LG516" s="11"/>
      <c r="MT516" s="11"/>
      <c r="OG516" s="11"/>
      <c r="PT516" s="11"/>
    </row>
    <row r="517" spans="3:436" ht="15.75" x14ac:dyDescent="0.25">
      <c r="C517" s="20" t="s">
        <v>438</v>
      </c>
      <c r="D517" s="21" t="s">
        <v>136</v>
      </c>
      <c r="H517" s="11"/>
      <c r="AU517" s="11"/>
      <c r="CH517" s="11"/>
      <c r="CI517" s="16"/>
      <c r="CJ517" s="16"/>
      <c r="CK517" s="16"/>
      <c r="CL517" s="16"/>
      <c r="CM517" s="16"/>
      <c r="CN517" s="16"/>
      <c r="CO517" s="16"/>
      <c r="CP517" s="16"/>
      <c r="CQ517" s="16"/>
      <c r="CR517" s="16"/>
      <c r="CS517" s="16"/>
      <c r="CT517" s="16"/>
      <c r="CU517" s="16"/>
      <c r="CV517" s="16"/>
      <c r="CW517" s="16"/>
      <c r="CX517" s="16"/>
      <c r="CY517" s="16"/>
      <c r="CZ517" s="16"/>
      <c r="DA517" s="16"/>
      <c r="DB517" s="16"/>
      <c r="DC517" s="16"/>
      <c r="DD517" s="16"/>
      <c r="DE517" s="17"/>
      <c r="DF517" s="17"/>
      <c r="DG517" s="16"/>
      <c r="DH517" s="16"/>
      <c r="DI517" s="17"/>
      <c r="DJ517" s="17"/>
      <c r="DK517" s="16"/>
      <c r="DL517" s="16"/>
      <c r="DM517" s="17"/>
      <c r="DN517" s="17"/>
      <c r="DO517" s="16"/>
      <c r="DP517" s="16"/>
      <c r="DQ517" s="17"/>
      <c r="DR517" s="17"/>
      <c r="DS517" s="16"/>
      <c r="DT517" s="16"/>
      <c r="DU517" s="17"/>
      <c r="DV517" s="17"/>
      <c r="DW517" s="16"/>
      <c r="DX517" s="16"/>
      <c r="DY517" s="17"/>
      <c r="DZ517" s="17"/>
      <c r="EA517" s="16"/>
      <c r="EB517" s="16"/>
      <c r="EC517" s="17"/>
      <c r="ED517" s="17"/>
      <c r="EE517" s="16"/>
      <c r="EF517" s="16"/>
      <c r="EG517" s="17"/>
      <c r="EH517" s="17"/>
      <c r="EI517" s="16"/>
      <c r="EJ517" s="16"/>
      <c r="EK517" s="17"/>
      <c r="EL517" s="17"/>
      <c r="EM517" s="16"/>
      <c r="EN517" s="16"/>
      <c r="EO517" s="17"/>
      <c r="EP517" s="17"/>
      <c r="EQ517" s="16"/>
      <c r="ER517" s="16"/>
      <c r="ES517" s="17"/>
      <c r="ET517" s="17"/>
      <c r="EU517" s="16"/>
      <c r="EV517" s="16"/>
      <c r="EW517" s="17"/>
      <c r="EX517" s="17"/>
      <c r="EY517" s="16"/>
      <c r="EZ517" s="16"/>
      <c r="FA517" s="17"/>
      <c r="FB517" s="17"/>
      <c r="FC517" s="16"/>
      <c r="FD517" s="16"/>
      <c r="FE517" s="17"/>
      <c r="FF517" s="17"/>
      <c r="FG517" s="11"/>
      <c r="GT517" s="11"/>
      <c r="IG517" s="11"/>
      <c r="JT517" s="11"/>
      <c r="LG517" s="11"/>
      <c r="MT517" s="11"/>
      <c r="OG517" s="11"/>
      <c r="PT517" s="11"/>
    </row>
    <row r="518" spans="3:436" ht="15.75" x14ac:dyDescent="0.25">
      <c r="C518" s="20" t="s">
        <v>439</v>
      </c>
      <c r="D518" s="21" t="s">
        <v>136</v>
      </c>
      <c r="H518" s="11"/>
      <c r="AU518" s="11"/>
      <c r="CH518" s="11"/>
      <c r="CI518" s="16"/>
      <c r="CJ518" s="16"/>
      <c r="CK518" s="16"/>
      <c r="CL518" s="16"/>
      <c r="CM518" s="16"/>
      <c r="CN518" s="16"/>
      <c r="CO518" s="16"/>
      <c r="CP518" s="16"/>
      <c r="CQ518" s="16"/>
      <c r="CR518" s="16"/>
      <c r="CS518" s="16"/>
      <c r="CT518" s="16"/>
      <c r="CU518" s="16"/>
      <c r="CV518" s="16"/>
      <c r="CW518" s="16"/>
      <c r="CX518" s="16"/>
      <c r="CY518" s="16"/>
      <c r="CZ518" s="16"/>
      <c r="DA518" s="16"/>
      <c r="DB518" s="16"/>
      <c r="DC518" s="16"/>
      <c r="DD518" s="16"/>
      <c r="DE518" s="17"/>
      <c r="DF518" s="17"/>
      <c r="DG518" s="16"/>
      <c r="DH518" s="16"/>
      <c r="DI518" s="17"/>
      <c r="DJ518" s="17"/>
      <c r="DK518" s="16"/>
      <c r="DL518" s="16"/>
      <c r="DM518" s="17"/>
      <c r="DN518" s="17"/>
      <c r="DO518" s="16"/>
      <c r="DP518" s="16"/>
      <c r="DQ518" s="17"/>
      <c r="DR518" s="17"/>
      <c r="DS518" s="16"/>
      <c r="DT518" s="16"/>
      <c r="DU518" s="17"/>
      <c r="DV518" s="17"/>
      <c r="DW518" s="16"/>
      <c r="DX518" s="16"/>
      <c r="DY518" s="17"/>
      <c r="DZ518" s="17"/>
      <c r="EA518" s="16"/>
      <c r="EB518" s="16"/>
      <c r="EC518" s="17"/>
      <c r="ED518" s="17"/>
      <c r="EE518" s="16"/>
      <c r="EF518" s="16"/>
      <c r="EG518" s="17"/>
      <c r="EH518" s="17"/>
      <c r="EI518" s="16"/>
      <c r="EJ518" s="16"/>
      <c r="EK518" s="17"/>
      <c r="EL518" s="17"/>
      <c r="EM518" s="16"/>
      <c r="EN518" s="16"/>
      <c r="EO518" s="17"/>
      <c r="EP518" s="17"/>
      <c r="EQ518" s="16"/>
      <c r="ER518" s="16"/>
      <c r="ES518" s="17"/>
      <c r="ET518" s="17"/>
      <c r="EU518" s="16"/>
      <c r="EV518" s="16"/>
      <c r="EW518" s="17"/>
      <c r="EX518" s="17"/>
      <c r="EY518" s="16"/>
      <c r="EZ518" s="16"/>
      <c r="FA518" s="17"/>
      <c r="FB518" s="17"/>
      <c r="FC518" s="16"/>
      <c r="FD518" s="16"/>
      <c r="FE518" s="17"/>
      <c r="FF518" s="17"/>
      <c r="FG518" s="11"/>
      <c r="GT518" s="11"/>
      <c r="IG518" s="11"/>
      <c r="JT518" s="11"/>
      <c r="LG518" s="11"/>
      <c r="MT518" s="11"/>
      <c r="OG518" s="11"/>
      <c r="PT518" s="11"/>
    </row>
    <row r="519" spans="3:436" ht="15.75" x14ac:dyDescent="0.25">
      <c r="C519" s="20" t="s">
        <v>440</v>
      </c>
      <c r="D519" s="21" t="s">
        <v>104</v>
      </c>
      <c r="H519" s="11"/>
      <c r="AU519" s="11"/>
      <c r="CH519" s="11"/>
      <c r="CI519" s="16"/>
      <c r="CJ519" s="16"/>
      <c r="CK519" s="16"/>
      <c r="CL519" s="16"/>
      <c r="CM519" s="16"/>
      <c r="CN519" s="16"/>
      <c r="CO519" s="16"/>
      <c r="CP519" s="16"/>
      <c r="CQ519" s="16"/>
      <c r="CR519" s="16"/>
      <c r="CS519" s="16"/>
      <c r="CT519" s="16"/>
      <c r="CU519" s="16"/>
      <c r="CV519" s="16"/>
      <c r="CW519" s="16"/>
      <c r="CX519" s="16"/>
      <c r="CY519" s="16"/>
      <c r="CZ519" s="16"/>
      <c r="DA519" s="16"/>
      <c r="DB519" s="16"/>
      <c r="DC519" s="16"/>
      <c r="DD519" s="16"/>
      <c r="DE519" s="17"/>
      <c r="DF519" s="17"/>
      <c r="DG519" s="16"/>
      <c r="DH519" s="16"/>
      <c r="DI519" s="17"/>
      <c r="DJ519" s="17"/>
      <c r="DK519" s="16"/>
      <c r="DL519" s="16"/>
      <c r="DM519" s="17"/>
      <c r="DN519" s="17"/>
      <c r="DO519" s="16"/>
      <c r="DP519" s="16"/>
      <c r="DQ519" s="17"/>
      <c r="DR519" s="17"/>
      <c r="DS519" s="16"/>
      <c r="DT519" s="16"/>
      <c r="DU519" s="17"/>
      <c r="DV519" s="17"/>
      <c r="DW519" s="16"/>
      <c r="DX519" s="16"/>
      <c r="DY519" s="17"/>
      <c r="DZ519" s="17"/>
      <c r="EA519" s="16"/>
      <c r="EB519" s="16"/>
      <c r="EC519" s="17"/>
      <c r="ED519" s="17"/>
      <c r="EE519" s="16"/>
      <c r="EF519" s="16"/>
      <c r="EG519" s="17"/>
      <c r="EH519" s="17"/>
      <c r="EI519" s="16"/>
      <c r="EJ519" s="16"/>
      <c r="EK519" s="17"/>
      <c r="EL519" s="17"/>
      <c r="EM519" s="16"/>
      <c r="EN519" s="16"/>
      <c r="EO519" s="17"/>
      <c r="EP519" s="17"/>
      <c r="EQ519" s="16"/>
      <c r="ER519" s="16"/>
      <c r="ES519" s="17"/>
      <c r="ET519" s="17"/>
      <c r="EU519" s="16"/>
      <c r="EV519" s="16"/>
      <c r="EW519" s="17"/>
      <c r="EX519" s="17"/>
      <c r="EY519" s="16"/>
      <c r="EZ519" s="16"/>
      <c r="FA519" s="17"/>
      <c r="FB519" s="17"/>
      <c r="FC519" s="16"/>
      <c r="FD519" s="16"/>
      <c r="FE519" s="17"/>
      <c r="FF519" s="17"/>
      <c r="FG519" s="11"/>
      <c r="GT519" s="11"/>
      <c r="IG519" s="11"/>
      <c r="JT519" s="11"/>
      <c r="LG519" s="11"/>
      <c r="MT519" s="11"/>
      <c r="OG519" s="11"/>
      <c r="PT519" s="11"/>
    </row>
    <row r="520" spans="3:436" ht="15.75" x14ac:dyDescent="0.25">
      <c r="C520" s="20" t="s">
        <v>441</v>
      </c>
      <c r="D520" s="21" t="s">
        <v>90</v>
      </c>
      <c r="H520" s="11"/>
      <c r="AU520" s="11"/>
      <c r="CH520" s="11"/>
      <c r="CI520" s="16"/>
      <c r="CJ520" s="16"/>
      <c r="CK520" s="16"/>
      <c r="CL520" s="16"/>
      <c r="CM520" s="16"/>
      <c r="CN520" s="16"/>
      <c r="CO520" s="16"/>
      <c r="CP520" s="16"/>
      <c r="CQ520" s="16"/>
      <c r="CR520" s="16"/>
      <c r="CS520" s="16"/>
      <c r="CT520" s="16"/>
      <c r="CU520" s="16"/>
      <c r="CV520" s="16"/>
      <c r="CW520" s="16"/>
      <c r="CX520" s="16"/>
      <c r="CY520" s="16"/>
      <c r="CZ520" s="16"/>
      <c r="DA520" s="16"/>
      <c r="DB520" s="16"/>
      <c r="DC520" s="16"/>
      <c r="DD520" s="16"/>
      <c r="DE520" s="17"/>
      <c r="DF520" s="17"/>
      <c r="DG520" s="16"/>
      <c r="DH520" s="16"/>
      <c r="DI520" s="17"/>
      <c r="DJ520" s="17"/>
      <c r="DK520" s="16"/>
      <c r="DL520" s="16"/>
      <c r="DM520" s="17"/>
      <c r="DN520" s="17"/>
      <c r="DO520" s="16"/>
      <c r="DP520" s="16"/>
      <c r="DQ520" s="17"/>
      <c r="DR520" s="17"/>
      <c r="DS520" s="16"/>
      <c r="DT520" s="16"/>
      <c r="DU520" s="17"/>
      <c r="DV520" s="17"/>
      <c r="DW520" s="16"/>
      <c r="DX520" s="16"/>
      <c r="DY520" s="17"/>
      <c r="DZ520" s="17"/>
      <c r="EA520" s="16"/>
      <c r="EB520" s="16"/>
      <c r="EC520" s="17"/>
      <c r="ED520" s="17"/>
      <c r="EE520" s="16"/>
      <c r="EF520" s="16"/>
      <c r="EG520" s="17"/>
      <c r="EH520" s="17"/>
      <c r="EI520" s="16"/>
      <c r="EJ520" s="16"/>
      <c r="EK520" s="17"/>
      <c r="EL520" s="17"/>
      <c r="EM520" s="16"/>
      <c r="EN520" s="16"/>
      <c r="EO520" s="17"/>
      <c r="EP520" s="17"/>
      <c r="EQ520" s="16"/>
      <c r="ER520" s="16"/>
      <c r="ES520" s="17"/>
      <c r="ET520" s="17"/>
      <c r="EU520" s="16"/>
      <c r="EV520" s="16"/>
      <c r="EW520" s="17"/>
      <c r="EX520" s="17"/>
      <c r="EY520" s="16"/>
      <c r="EZ520" s="16"/>
      <c r="FA520" s="17"/>
      <c r="FB520" s="17"/>
      <c r="FC520" s="16"/>
      <c r="FD520" s="16"/>
      <c r="FE520" s="17"/>
      <c r="FF520" s="17"/>
      <c r="FG520" s="11"/>
      <c r="GT520" s="11"/>
      <c r="IG520" s="11"/>
      <c r="JT520" s="11"/>
      <c r="LG520" s="11"/>
      <c r="MT520" s="11"/>
      <c r="OG520" s="11"/>
      <c r="PT520" s="11"/>
    </row>
    <row r="521" spans="3:436" ht="15.75" x14ac:dyDescent="0.25">
      <c r="C521" s="20" t="s">
        <v>442</v>
      </c>
      <c r="D521" s="21" t="s">
        <v>79</v>
      </c>
      <c r="H521" s="11"/>
      <c r="AU521" s="11"/>
      <c r="CH521" s="11"/>
      <c r="CI521" s="16"/>
      <c r="CJ521" s="16"/>
      <c r="CK521" s="16"/>
      <c r="CL521" s="16"/>
      <c r="CM521" s="16"/>
      <c r="CN521" s="16"/>
      <c r="CO521" s="16"/>
      <c r="CP521" s="16"/>
      <c r="CQ521" s="16"/>
      <c r="CR521" s="16"/>
      <c r="CS521" s="16"/>
      <c r="CT521" s="16"/>
      <c r="CU521" s="16"/>
      <c r="CV521" s="16"/>
      <c r="CW521" s="16"/>
      <c r="CX521" s="16"/>
      <c r="CY521" s="16"/>
      <c r="CZ521" s="16"/>
      <c r="DA521" s="16"/>
      <c r="DB521" s="16"/>
      <c r="DC521" s="16"/>
      <c r="DD521" s="16"/>
      <c r="DE521" s="17"/>
      <c r="DF521" s="17"/>
      <c r="DG521" s="16"/>
      <c r="DH521" s="16"/>
      <c r="DI521" s="17"/>
      <c r="DJ521" s="17"/>
      <c r="DK521" s="16"/>
      <c r="DL521" s="16"/>
      <c r="DM521" s="17"/>
      <c r="DN521" s="17"/>
      <c r="DO521" s="16"/>
      <c r="DP521" s="16"/>
      <c r="DQ521" s="17"/>
      <c r="DR521" s="17"/>
      <c r="DS521" s="16"/>
      <c r="DT521" s="16"/>
      <c r="DU521" s="17"/>
      <c r="DV521" s="17"/>
      <c r="DW521" s="16"/>
      <c r="DX521" s="16"/>
      <c r="DY521" s="17"/>
      <c r="DZ521" s="17"/>
      <c r="EA521" s="16"/>
      <c r="EB521" s="16"/>
      <c r="EC521" s="17"/>
      <c r="ED521" s="17"/>
      <c r="EE521" s="16"/>
      <c r="EF521" s="16"/>
      <c r="EG521" s="17"/>
      <c r="EH521" s="17"/>
      <c r="EI521" s="16"/>
      <c r="EJ521" s="16"/>
      <c r="EK521" s="17"/>
      <c r="EL521" s="17"/>
      <c r="EM521" s="16"/>
      <c r="EN521" s="16"/>
      <c r="EO521" s="17"/>
      <c r="EP521" s="17"/>
      <c r="EQ521" s="16"/>
      <c r="ER521" s="16"/>
      <c r="ES521" s="17"/>
      <c r="ET521" s="17"/>
      <c r="EU521" s="16"/>
      <c r="EV521" s="16"/>
      <c r="EW521" s="17"/>
      <c r="EX521" s="17"/>
      <c r="EY521" s="16"/>
      <c r="EZ521" s="16"/>
      <c r="FA521" s="17"/>
      <c r="FB521" s="17"/>
      <c r="FC521" s="16"/>
      <c r="FD521" s="16"/>
      <c r="FE521" s="17"/>
      <c r="FF521" s="17"/>
      <c r="FG521" s="11"/>
      <c r="GT521" s="11"/>
      <c r="IG521" s="11"/>
      <c r="JT521" s="11"/>
      <c r="LG521" s="11"/>
      <c r="MT521" s="11"/>
      <c r="OG521" s="11"/>
      <c r="PT521" s="11"/>
    </row>
    <row r="522" spans="3:436" ht="15.75" x14ac:dyDescent="0.25">
      <c r="C522" s="20" t="s">
        <v>443</v>
      </c>
      <c r="D522" s="21" t="s">
        <v>134</v>
      </c>
      <c r="H522" s="11"/>
      <c r="AU522" s="11"/>
      <c r="CH522" s="11"/>
      <c r="CI522" s="16"/>
      <c r="CJ522" s="16"/>
      <c r="CK522" s="16"/>
      <c r="CL522" s="16"/>
      <c r="CM522" s="16"/>
      <c r="CN522" s="16"/>
      <c r="CO522" s="16"/>
      <c r="CP522" s="16"/>
      <c r="CQ522" s="16"/>
      <c r="CR522" s="16"/>
      <c r="CS522" s="16"/>
      <c r="CT522" s="16"/>
      <c r="CU522" s="16"/>
      <c r="CV522" s="16"/>
      <c r="CW522" s="16"/>
      <c r="CX522" s="16"/>
      <c r="CY522" s="16"/>
      <c r="CZ522" s="16"/>
      <c r="DA522" s="16"/>
      <c r="DB522" s="16"/>
      <c r="DC522" s="16"/>
      <c r="DD522" s="16"/>
      <c r="DE522" s="17"/>
      <c r="DF522" s="17"/>
      <c r="DG522" s="16"/>
      <c r="DH522" s="16"/>
      <c r="DI522" s="17"/>
      <c r="DJ522" s="17"/>
      <c r="DK522" s="16"/>
      <c r="DL522" s="16"/>
      <c r="DM522" s="17"/>
      <c r="DN522" s="17"/>
      <c r="DO522" s="16"/>
      <c r="DP522" s="16"/>
      <c r="DQ522" s="17"/>
      <c r="DR522" s="17"/>
      <c r="DS522" s="16"/>
      <c r="DT522" s="16"/>
      <c r="DU522" s="17"/>
      <c r="DV522" s="17"/>
      <c r="DW522" s="16"/>
      <c r="DX522" s="16"/>
      <c r="DY522" s="17"/>
      <c r="DZ522" s="17"/>
      <c r="EA522" s="16"/>
      <c r="EB522" s="16"/>
      <c r="EC522" s="17"/>
      <c r="ED522" s="17"/>
      <c r="EE522" s="16"/>
      <c r="EF522" s="16"/>
      <c r="EG522" s="17"/>
      <c r="EH522" s="17"/>
      <c r="EI522" s="16"/>
      <c r="EJ522" s="16"/>
      <c r="EK522" s="17"/>
      <c r="EL522" s="17"/>
      <c r="EM522" s="16"/>
      <c r="EN522" s="16"/>
      <c r="EO522" s="17"/>
      <c r="EP522" s="17"/>
      <c r="EQ522" s="16"/>
      <c r="ER522" s="16"/>
      <c r="ES522" s="17"/>
      <c r="ET522" s="17"/>
      <c r="EU522" s="16"/>
      <c r="EV522" s="16"/>
      <c r="EW522" s="17"/>
      <c r="EX522" s="17"/>
      <c r="EY522" s="16"/>
      <c r="EZ522" s="16"/>
      <c r="FA522" s="17"/>
      <c r="FB522" s="17"/>
      <c r="FC522" s="16"/>
      <c r="FD522" s="16"/>
      <c r="FE522" s="17"/>
      <c r="FF522" s="17"/>
      <c r="FG522" s="11"/>
      <c r="GT522" s="11"/>
      <c r="IG522" s="11"/>
      <c r="JT522" s="11"/>
      <c r="LG522" s="11"/>
      <c r="MT522" s="11"/>
      <c r="OG522" s="11"/>
      <c r="PT522" s="11"/>
    </row>
    <row r="523" spans="3:436" ht="15.75" x14ac:dyDescent="0.25">
      <c r="C523" s="20" t="s">
        <v>444</v>
      </c>
      <c r="D523" s="21" t="s">
        <v>129</v>
      </c>
      <c r="H523" s="11"/>
      <c r="AU523" s="11"/>
      <c r="CH523" s="11"/>
      <c r="CI523" s="16"/>
      <c r="CJ523" s="16"/>
      <c r="CK523" s="16"/>
      <c r="CL523" s="16"/>
      <c r="CM523" s="16"/>
      <c r="CN523" s="16"/>
      <c r="CO523" s="16"/>
      <c r="CP523" s="16"/>
      <c r="CQ523" s="16"/>
      <c r="CR523" s="16"/>
      <c r="CS523" s="16"/>
      <c r="CT523" s="16"/>
      <c r="CU523" s="16"/>
      <c r="CV523" s="16"/>
      <c r="CW523" s="16"/>
      <c r="CX523" s="16"/>
      <c r="CY523" s="16"/>
      <c r="CZ523" s="16"/>
      <c r="DA523" s="16"/>
      <c r="DB523" s="16"/>
      <c r="DC523" s="16"/>
      <c r="DD523" s="16"/>
      <c r="DE523" s="17"/>
      <c r="DF523" s="17"/>
      <c r="DG523" s="16"/>
      <c r="DH523" s="16"/>
      <c r="DI523" s="17"/>
      <c r="DJ523" s="17"/>
      <c r="DK523" s="16"/>
      <c r="DL523" s="16"/>
      <c r="DM523" s="17"/>
      <c r="DN523" s="17"/>
      <c r="DO523" s="16"/>
      <c r="DP523" s="16"/>
      <c r="DQ523" s="17"/>
      <c r="DR523" s="17"/>
      <c r="DS523" s="16"/>
      <c r="DT523" s="16"/>
      <c r="DU523" s="17"/>
      <c r="DV523" s="17"/>
      <c r="DW523" s="16"/>
      <c r="DX523" s="16"/>
      <c r="DY523" s="17"/>
      <c r="DZ523" s="17"/>
      <c r="EA523" s="16"/>
      <c r="EB523" s="16"/>
      <c r="EC523" s="17"/>
      <c r="ED523" s="17"/>
      <c r="EE523" s="16"/>
      <c r="EF523" s="16"/>
      <c r="EG523" s="17"/>
      <c r="EH523" s="17"/>
      <c r="EI523" s="16"/>
      <c r="EJ523" s="16"/>
      <c r="EK523" s="17"/>
      <c r="EL523" s="17"/>
      <c r="EM523" s="16"/>
      <c r="EN523" s="16"/>
      <c r="EO523" s="17"/>
      <c r="EP523" s="17"/>
      <c r="EQ523" s="16"/>
      <c r="ER523" s="16"/>
      <c r="ES523" s="17"/>
      <c r="ET523" s="17"/>
      <c r="EU523" s="16"/>
      <c r="EV523" s="16"/>
      <c r="EW523" s="17"/>
      <c r="EX523" s="17"/>
      <c r="EY523" s="16"/>
      <c r="EZ523" s="16"/>
      <c r="FA523" s="17"/>
      <c r="FB523" s="17"/>
      <c r="FC523" s="16"/>
      <c r="FD523" s="16"/>
      <c r="FE523" s="17"/>
      <c r="FF523" s="17"/>
      <c r="FG523" s="11"/>
      <c r="GT523" s="11"/>
      <c r="IG523" s="11"/>
      <c r="JT523" s="11"/>
      <c r="LG523" s="11"/>
      <c r="MT523" s="11"/>
      <c r="OG523" s="11"/>
      <c r="PT523" s="11"/>
    </row>
    <row r="524" spans="3:436" ht="15.75" x14ac:dyDescent="0.25">
      <c r="C524" s="20" t="s">
        <v>445</v>
      </c>
      <c r="D524" s="21" t="s">
        <v>136</v>
      </c>
      <c r="H524" s="11"/>
      <c r="AU524" s="11"/>
      <c r="CH524" s="11"/>
      <c r="CI524" s="16"/>
      <c r="CJ524" s="16"/>
      <c r="CK524" s="16"/>
      <c r="CL524" s="16"/>
      <c r="CM524" s="16"/>
      <c r="CN524" s="16"/>
      <c r="CO524" s="16"/>
      <c r="CP524" s="16"/>
      <c r="CQ524" s="16"/>
      <c r="CR524" s="16"/>
      <c r="CS524" s="16"/>
      <c r="CT524" s="16"/>
      <c r="CU524" s="16"/>
      <c r="CV524" s="16"/>
      <c r="CW524" s="16"/>
      <c r="CX524" s="16"/>
      <c r="CY524" s="16"/>
      <c r="CZ524" s="16"/>
      <c r="DA524" s="16"/>
      <c r="DB524" s="16"/>
      <c r="DC524" s="16"/>
      <c r="DD524" s="16"/>
      <c r="DE524" s="17"/>
      <c r="DF524" s="17"/>
      <c r="DG524" s="16"/>
      <c r="DH524" s="16"/>
      <c r="DI524" s="17"/>
      <c r="DJ524" s="17"/>
      <c r="DK524" s="16"/>
      <c r="DL524" s="16"/>
      <c r="DM524" s="17"/>
      <c r="DN524" s="17"/>
      <c r="DO524" s="16"/>
      <c r="DP524" s="16"/>
      <c r="DQ524" s="17"/>
      <c r="DR524" s="17"/>
      <c r="DS524" s="16"/>
      <c r="DT524" s="16"/>
      <c r="DU524" s="17"/>
      <c r="DV524" s="17"/>
      <c r="DW524" s="16"/>
      <c r="DX524" s="16"/>
      <c r="DY524" s="17"/>
      <c r="DZ524" s="17"/>
      <c r="EA524" s="16"/>
      <c r="EB524" s="16"/>
      <c r="EC524" s="17"/>
      <c r="ED524" s="17"/>
      <c r="EE524" s="16"/>
      <c r="EF524" s="16"/>
      <c r="EG524" s="17"/>
      <c r="EH524" s="17"/>
      <c r="EI524" s="16"/>
      <c r="EJ524" s="16"/>
      <c r="EK524" s="17"/>
      <c r="EL524" s="17"/>
      <c r="EM524" s="16"/>
      <c r="EN524" s="16"/>
      <c r="EO524" s="17"/>
      <c r="EP524" s="17"/>
      <c r="EQ524" s="16"/>
      <c r="ER524" s="16"/>
      <c r="ES524" s="17"/>
      <c r="ET524" s="17"/>
      <c r="EU524" s="16"/>
      <c r="EV524" s="16"/>
      <c r="EW524" s="17"/>
      <c r="EX524" s="17"/>
      <c r="EY524" s="16"/>
      <c r="EZ524" s="16"/>
      <c r="FA524" s="17"/>
      <c r="FB524" s="17"/>
      <c r="FC524" s="16"/>
      <c r="FD524" s="16"/>
      <c r="FE524" s="17"/>
      <c r="FF524" s="17"/>
      <c r="FG524" s="11"/>
      <c r="GT524" s="11"/>
      <c r="IG524" s="11"/>
      <c r="JT524" s="11"/>
      <c r="LG524" s="11"/>
      <c r="MT524" s="11"/>
      <c r="OG524" s="11"/>
      <c r="PT524" s="11"/>
    </row>
    <row r="525" spans="3:436" ht="15.75" x14ac:dyDescent="0.25">
      <c r="C525" s="20" t="s">
        <v>446</v>
      </c>
      <c r="D525" s="21" t="s">
        <v>136</v>
      </c>
      <c r="H525" s="11"/>
      <c r="AU525" s="11"/>
      <c r="CH525" s="11"/>
      <c r="CI525" s="16"/>
      <c r="CJ525" s="16"/>
      <c r="CK525" s="16"/>
      <c r="CL525" s="16"/>
      <c r="CM525" s="16"/>
      <c r="CN525" s="16"/>
      <c r="CO525" s="16"/>
      <c r="CP525" s="16"/>
      <c r="CQ525" s="16"/>
      <c r="CR525" s="16"/>
      <c r="CS525" s="16"/>
      <c r="CT525" s="16"/>
      <c r="CU525" s="16"/>
      <c r="CV525" s="16"/>
      <c r="CW525" s="16"/>
      <c r="CX525" s="16"/>
      <c r="CY525" s="16"/>
      <c r="CZ525" s="16"/>
      <c r="DA525" s="16"/>
      <c r="DB525" s="16"/>
      <c r="DC525" s="16"/>
      <c r="DD525" s="16"/>
      <c r="DE525" s="17"/>
      <c r="DF525" s="17"/>
      <c r="DG525" s="16"/>
      <c r="DH525" s="16"/>
      <c r="DI525" s="17"/>
      <c r="DJ525" s="17"/>
      <c r="DK525" s="16"/>
      <c r="DL525" s="16"/>
      <c r="DM525" s="17"/>
      <c r="DN525" s="17"/>
      <c r="DO525" s="16"/>
      <c r="DP525" s="16"/>
      <c r="DQ525" s="17"/>
      <c r="DR525" s="17"/>
      <c r="DS525" s="16"/>
      <c r="DT525" s="16"/>
      <c r="DU525" s="17"/>
      <c r="DV525" s="17"/>
      <c r="DW525" s="16"/>
      <c r="DX525" s="16"/>
      <c r="DY525" s="17"/>
      <c r="DZ525" s="17"/>
      <c r="EA525" s="16"/>
      <c r="EB525" s="16"/>
      <c r="EC525" s="17"/>
      <c r="ED525" s="17"/>
      <c r="EE525" s="16"/>
      <c r="EF525" s="16"/>
      <c r="EG525" s="17"/>
      <c r="EH525" s="17"/>
      <c r="EI525" s="16"/>
      <c r="EJ525" s="16"/>
      <c r="EK525" s="17"/>
      <c r="EL525" s="17"/>
      <c r="EM525" s="16"/>
      <c r="EN525" s="16"/>
      <c r="EO525" s="17"/>
      <c r="EP525" s="17"/>
      <c r="EQ525" s="16"/>
      <c r="ER525" s="16"/>
      <c r="ES525" s="17"/>
      <c r="ET525" s="17"/>
      <c r="EU525" s="16"/>
      <c r="EV525" s="16"/>
      <c r="EW525" s="17"/>
      <c r="EX525" s="17"/>
      <c r="EY525" s="16"/>
      <c r="EZ525" s="16"/>
      <c r="FA525" s="17"/>
      <c r="FB525" s="17"/>
      <c r="FC525" s="16"/>
      <c r="FD525" s="16"/>
      <c r="FE525" s="17"/>
      <c r="FF525" s="17"/>
      <c r="FG525" s="11"/>
      <c r="GT525" s="11"/>
      <c r="IG525" s="11"/>
      <c r="JT525" s="11"/>
      <c r="LG525" s="11"/>
      <c r="MT525" s="11"/>
      <c r="OG525" s="11"/>
      <c r="PT525" s="11"/>
    </row>
    <row r="526" spans="3:436" ht="15.75" x14ac:dyDescent="0.25">
      <c r="C526" s="20" t="s">
        <v>447</v>
      </c>
      <c r="D526" s="21" t="s">
        <v>136</v>
      </c>
      <c r="H526" s="11"/>
      <c r="AU526" s="11"/>
      <c r="CH526" s="11"/>
      <c r="CI526" s="16"/>
      <c r="CJ526" s="16"/>
      <c r="CK526" s="16"/>
      <c r="CL526" s="16"/>
      <c r="CM526" s="16"/>
      <c r="CN526" s="16"/>
      <c r="CO526" s="16"/>
      <c r="CP526" s="16"/>
      <c r="CQ526" s="16"/>
      <c r="CR526" s="16"/>
      <c r="CS526" s="16"/>
      <c r="CT526" s="16"/>
      <c r="CU526" s="16"/>
      <c r="CV526" s="16"/>
      <c r="CW526" s="16"/>
      <c r="CX526" s="16"/>
      <c r="CY526" s="16"/>
      <c r="CZ526" s="16"/>
      <c r="DA526" s="16"/>
      <c r="DB526" s="16"/>
      <c r="DC526" s="16"/>
      <c r="DD526" s="16"/>
      <c r="DE526" s="17"/>
      <c r="DF526" s="17"/>
      <c r="DG526" s="16"/>
      <c r="DH526" s="16"/>
      <c r="DI526" s="17"/>
      <c r="DJ526" s="17"/>
      <c r="DK526" s="16"/>
      <c r="DL526" s="16"/>
      <c r="DM526" s="17"/>
      <c r="DN526" s="17"/>
      <c r="DO526" s="16"/>
      <c r="DP526" s="16"/>
      <c r="DQ526" s="17"/>
      <c r="DR526" s="17"/>
      <c r="DS526" s="16"/>
      <c r="DT526" s="16"/>
      <c r="DU526" s="17"/>
      <c r="DV526" s="17"/>
      <c r="DW526" s="16"/>
      <c r="DX526" s="16"/>
      <c r="DY526" s="17"/>
      <c r="DZ526" s="17"/>
      <c r="EA526" s="16"/>
      <c r="EB526" s="16"/>
      <c r="EC526" s="17"/>
      <c r="ED526" s="17"/>
      <c r="EE526" s="16"/>
      <c r="EF526" s="16"/>
      <c r="EG526" s="17"/>
      <c r="EH526" s="17"/>
      <c r="EI526" s="16"/>
      <c r="EJ526" s="16"/>
      <c r="EK526" s="17"/>
      <c r="EL526" s="17"/>
      <c r="EM526" s="16"/>
      <c r="EN526" s="16"/>
      <c r="EO526" s="17"/>
      <c r="EP526" s="17"/>
      <c r="EQ526" s="16"/>
      <c r="ER526" s="16"/>
      <c r="ES526" s="17"/>
      <c r="ET526" s="17"/>
      <c r="EU526" s="16"/>
      <c r="EV526" s="16"/>
      <c r="EW526" s="17"/>
      <c r="EX526" s="17"/>
      <c r="EY526" s="16"/>
      <c r="EZ526" s="16"/>
      <c r="FA526" s="17"/>
      <c r="FB526" s="17"/>
      <c r="FC526" s="16"/>
      <c r="FD526" s="16"/>
      <c r="FE526" s="17"/>
      <c r="FF526" s="17"/>
      <c r="FG526" s="11"/>
      <c r="GT526" s="11"/>
      <c r="IG526" s="11"/>
      <c r="JT526" s="11"/>
      <c r="LG526" s="11"/>
      <c r="MT526" s="11"/>
      <c r="OG526" s="11"/>
      <c r="PT526" s="11"/>
    </row>
    <row r="527" spans="3:436" ht="15.75" x14ac:dyDescent="0.25">
      <c r="C527" s="20" t="s">
        <v>448</v>
      </c>
      <c r="D527" s="21" t="s">
        <v>104</v>
      </c>
      <c r="H527" s="11"/>
      <c r="AU527" s="11"/>
      <c r="CH527" s="11"/>
      <c r="CI527" s="16"/>
      <c r="CJ527" s="16"/>
      <c r="CK527" s="16"/>
      <c r="CL527" s="16"/>
      <c r="CM527" s="16"/>
      <c r="CN527" s="16"/>
      <c r="CO527" s="16"/>
      <c r="CP527" s="16"/>
      <c r="CQ527" s="16"/>
      <c r="CR527" s="16"/>
      <c r="CS527" s="16"/>
      <c r="CT527" s="16"/>
      <c r="CU527" s="16"/>
      <c r="CV527" s="16"/>
      <c r="CW527" s="16"/>
      <c r="CX527" s="16"/>
      <c r="CY527" s="16"/>
      <c r="CZ527" s="16"/>
      <c r="DA527" s="16"/>
      <c r="DB527" s="16"/>
      <c r="DC527" s="16"/>
      <c r="DD527" s="16"/>
      <c r="DE527" s="17"/>
      <c r="DF527" s="17"/>
      <c r="DG527" s="16"/>
      <c r="DH527" s="16"/>
      <c r="DI527" s="17"/>
      <c r="DJ527" s="17"/>
      <c r="DK527" s="16"/>
      <c r="DL527" s="16"/>
      <c r="DM527" s="17"/>
      <c r="DN527" s="17"/>
      <c r="DO527" s="16"/>
      <c r="DP527" s="16"/>
      <c r="DQ527" s="17"/>
      <c r="DR527" s="17"/>
      <c r="DS527" s="16"/>
      <c r="DT527" s="16"/>
      <c r="DU527" s="17"/>
      <c r="DV527" s="17"/>
      <c r="DW527" s="16"/>
      <c r="DX527" s="16"/>
      <c r="DY527" s="17"/>
      <c r="DZ527" s="17"/>
      <c r="EA527" s="16"/>
      <c r="EB527" s="16"/>
      <c r="EC527" s="17"/>
      <c r="ED527" s="17"/>
      <c r="EE527" s="16"/>
      <c r="EF527" s="16"/>
      <c r="EG527" s="17"/>
      <c r="EH527" s="17"/>
      <c r="EI527" s="16"/>
      <c r="EJ527" s="16"/>
      <c r="EK527" s="17"/>
      <c r="EL527" s="17"/>
      <c r="EM527" s="16"/>
      <c r="EN527" s="16"/>
      <c r="EO527" s="17"/>
      <c r="EP527" s="17"/>
      <c r="EQ527" s="16"/>
      <c r="ER527" s="16"/>
      <c r="ES527" s="17"/>
      <c r="ET527" s="17"/>
      <c r="EU527" s="16"/>
      <c r="EV527" s="16"/>
      <c r="EW527" s="17"/>
      <c r="EX527" s="17"/>
      <c r="EY527" s="16"/>
      <c r="EZ527" s="16"/>
      <c r="FA527" s="17"/>
      <c r="FB527" s="17"/>
      <c r="FC527" s="16"/>
      <c r="FD527" s="16"/>
      <c r="FE527" s="17"/>
      <c r="FF527" s="17"/>
      <c r="FG527" s="11"/>
      <c r="GT527" s="11"/>
      <c r="IG527" s="11"/>
      <c r="JT527" s="11"/>
      <c r="LG527" s="11"/>
      <c r="MT527" s="11"/>
      <c r="OG527" s="11"/>
      <c r="PT527" s="11"/>
    </row>
    <row r="528" spans="3:436" ht="15.75" x14ac:dyDescent="0.25">
      <c r="C528" s="20" t="s">
        <v>449</v>
      </c>
      <c r="D528" s="21" t="s">
        <v>90</v>
      </c>
      <c r="H528" s="11"/>
      <c r="AU528" s="11"/>
      <c r="CH528" s="11"/>
      <c r="CI528" s="16"/>
      <c r="CJ528" s="16"/>
      <c r="CK528" s="16"/>
      <c r="CL528" s="16"/>
      <c r="CM528" s="16"/>
      <c r="CN528" s="16"/>
      <c r="CO528" s="16"/>
      <c r="CP528" s="16"/>
      <c r="CQ528" s="16"/>
      <c r="CR528" s="16"/>
      <c r="CS528" s="16"/>
      <c r="CT528" s="16"/>
      <c r="CU528" s="16"/>
      <c r="CV528" s="16"/>
      <c r="CW528" s="16"/>
      <c r="CX528" s="16"/>
      <c r="CY528" s="16"/>
      <c r="CZ528" s="16"/>
      <c r="DA528" s="16"/>
      <c r="DB528" s="16"/>
      <c r="DC528" s="16"/>
      <c r="DD528" s="16"/>
      <c r="DE528" s="17"/>
      <c r="DF528" s="17"/>
      <c r="DG528" s="16"/>
      <c r="DH528" s="16"/>
      <c r="DI528" s="17"/>
      <c r="DJ528" s="17"/>
      <c r="DK528" s="16"/>
      <c r="DL528" s="16"/>
      <c r="DM528" s="17"/>
      <c r="DN528" s="17"/>
      <c r="DO528" s="16"/>
      <c r="DP528" s="16"/>
      <c r="DQ528" s="17"/>
      <c r="DR528" s="17"/>
      <c r="DS528" s="16"/>
      <c r="DT528" s="16"/>
      <c r="DU528" s="17"/>
      <c r="DV528" s="17"/>
      <c r="DW528" s="16"/>
      <c r="DX528" s="16"/>
      <c r="DY528" s="17"/>
      <c r="DZ528" s="17"/>
      <c r="EA528" s="16"/>
      <c r="EB528" s="16"/>
      <c r="EC528" s="17"/>
      <c r="ED528" s="17"/>
      <c r="EE528" s="16"/>
      <c r="EF528" s="16"/>
      <c r="EG528" s="17"/>
      <c r="EH528" s="17"/>
      <c r="EI528" s="16"/>
      <c r="EJ528" s="16"/>
      <c r="EK528" s="17"/>
      <c r="EL528" s="17"/>
      <c r="EM528" s="16"/>
      <c r="EN528" s="16"/>
      <c r="EO528" s="17"/>
      <c r="EP528" s="17"/>
      <c r="EQ528" s="16"/>
      <c r="ER528" s="16"/>
      <c r="ES528" s="17"/>
      <c r="ET528" s="17"/>
      <c r="EU528" s="16"/>
      <c r="EV528" s="16"/>
      <c r="EW528" s="17"/>
      <c r="EX528" s="17"/>
      <c r="EY528" s="16"/>
      <c r="EZ528" s="16"/>
      <c r="FA528" s="17"/>
      <c r="FB528" s="17"/>
      <c r="FC528" s="16"/>
      <c r="FD528" s="16"/>
      <c r="FE528" s="17"/>
      <c r="FF528" s="17"/>
      <c r="FG528" s="11"/>
      <c r="GT528" s="11"/>
      <c r="IG528" s="11"/>
      <c r="JT528" s="11"/>
      <c r="LG528" s="11"/>
      <c r="MT528" s="11"/>
      <c r="OG528" s="11"/>
      <c r="PT528" s="11"/>
    </row>
    <row r="529" spans="1:436" ht="15.75" x14ac:dyDescent="0.25">
      <c r="C529" s="20" t="s">
        <v>457</v>
      </c>
      <c r="D529" s="21" t="s">
        <v>136</v>
      </c>
      <c r="H529" s="11"/>
      <c r="AU529" s="11"/>
      <c r="CH529" s="11"/>
      <c r="CI529" s="16"/>
      <c r="CJ529" s="16"/>
      <c r="CK529" s="16"/>
      <c r="CL529" s="16"/>
      <c r="CM529" s="16"/>
      <c r="CN529" s="16"/>
      <c r="CO529" s="16"/>
      <c r="CP529" s="16"/>
      <c r="CQ529" s="16"/>
      <c r="CR529" s="16"/>
      <c r="CS529" s="16"/>
      <c r="CT529" s="16"/>
      <c r="CU529" s="16"/>
      <c r="CV529" s="16"/>
      <c r="CW529" s="16"/>
      <c r="CX529" s="16"/>
      <c r="CY529" s="16"/>
      <c r="CZ529" s="16"/>
      <c r="DA529" s="16"/>
      <c r="DB529" s="16"/>
      <c r="DC529" s="16"/>
      <c r="DD529" s="16"/>
      <c r="DE529" s="17"/>
      <c r="DF529" s="17"/>
      <c r="DG529" s="16"/>
      <c r="DH529" s="16"/>
      <c r="DI529" s="17"/>
      <c r="DJ529" s="17"/>
      <c r="DK529" s="16"/>
      <c r="DL529" s="16"/>
      <c r="DM529" s="17"/>
      <c r="DN529" s="17"/>
      <c r="DO529" s="16"/>
      <c r="DP529" s="16"/>
      <c r="DQ529" s="17"/>
      <c r="DR529" s="17"/>
      <c r="DS529" s="16"/>
      <c r="DT529" s="16"/>
      <c r="DU529" s="17"/>
      <c r="DV529" s="17"/>
      <c r="DW529" s="16"/>
      <c r="DX529" s="16"/>
      <c r="DY529" s="17"/>
      <c r="DZ529" s="17"/>
      <c r="EA529" s="16"/>
      <c r="EB529" s="16"/>
      <c r="EC529" s="18">
        <v>5.7</v>
      </c>
      <c r="ED529" s="18">
        <v>11.4</v>
      </c>
      <c r="EE529" s="16"/>
      <c r="EF529" s="16"/>
      <c r="EG529" s="17"/>
      <c r="EH529" s="17"/>
      <c r="EI529" s="16"/>
      <c r="EJ529" s="16"/>
      <c r="EK529" s="17"/>
      <c r="EL529" s="17"/>
      <c r="EM529" s="16"/>
      <c r="EN529" s="16"/>
      <c r="EO529" s="17"/>
      <c r="EP529" s="17"/>
      <c r="EQ529" s="16"/>
      <c r="ER529" s="16"/>
      <c r="ES529" s="17"/>
      <c r="ET529" s="17"/>
      <c r="EU529" s="16"/>
      <c r="EV529" s="16"/>
      <c r="EW529" s="17"/>
      <c r="EX529" s="17"/>
      <c r="EY529" s="16"/>
      <c r="EZ529" s="16"/>
      <c r="FA529" s="17"/>
      <c r="FB529" s="17"/>
      <c r="FC529" s="16"/>
      <c r="FD529" s="16"/>
      <c r="FE529" s="17"/>
      <c r="FF529" s="17"/>
      <c r="FG529" s="11"/>
      <c r="GT529" s="11"/>
      <c r="IG529" s="11"/>
      <c r="JT529" s="11"/>
      <c r="LG529" s="11"/>
      <c r="MT529" s="11"/>
      <c r="OG529" s="11"/>
      <c r="PT529" s="11"/>
    </row>
    <row r="530" spans="1:436" ht="15.75" x14ac:dyDescent="0.25">
      <c r="C530" s="20" t="s">
        <v>458</v>
      </c>
      <c r="D530" s="21" t="s">
        <v>136</v>
      </c>
      <c r="H530" s="11"/>
      <c r="AU530" s="11"/>
      <c r="CH530" s="11"/>
      <c r="CI530" s="16"/>
      <c r="CJ530" s="16"/>
      <c r="CK530" s="16"/>
      <c r="CL530" s="16"/>
      <c r="CM530" s="16"/>
      <c r="CN530" s="16"/>
      <c r="CO530" s="16"/>
      <c r="CP530" s="16"/>
      <c r="CQ530" s="16"/>
      <c r="CR530" s="16"/>
      <c r="CS530" s="16"/>
      <c r="CT530" s="16"/>
      <c r="CU530" s="16"/>
      <c r="CV530" s="16"/>
      <c r="CW530" s="16"/>
      <c r="CX530" s="16"/>
      <c r="CY530" s="16"/>
      <c r="CZ530" s="16"/>
      <c r="DA530" s="16"/>
      <c r="DB530" s="16"/>
      <c r="DC530" s="16"/>
      <c r="DD530" s="16"/>
      <c r="DE530" s="17"/>
      <c r="DF530" s="17"/>
      <c r="DG530" s="16"/>
      <c r="DH530" s="16"/>
      <c r="DI530" s="17"/>
      <c r="DJ530" s="17"/>
      <c r="DK530" s="16"/>
      <c r="DL530" s="16"/>
      <c r="DM530" s="17"/>
      <c r="DN530" s="17"/>
      <c r="DO530" s="16"/>
      <c r="DP530" s="16"/>
      <c r="DQ530" s="17"/>
      <c r="DR530" s="17"/>
      <c r="DS530" s="16"/>
      <c r="DT530" s="16"/>
      <c r="DU530" s="17"/>
      <c r="DV530" s="17"/>
      <c r="DW530" s="16"/>
      <c r="DX530" s="16"/>
      <c r="DY530" s="17"/>
      <c r="DZ530" s="17"/>
      <c r="EA530" s="16"/>
      <c r="EB530" s="16"/>
      <c r="EC530" s="18">
        <v>5.7</v>
      </c>
      <c r="ED530" s="18">
        <v>11.4</v>
      </c>
      <c r="EE530" s="16"/>
      <c r="EF530" s="16"/>
      <c r="EG530" s="17"/>
      <c r="EH530" s="17"/>
      <c r="EI530" s="16"/>
      <c r="EJ530" s="16"/>
      <c r="EK530" s="17"/>
      <c r="EL530" s="17"/>
      <c r="EM530" s="16"/>
      <c r="EN530" s="16"/>
      <c r="EO530" s="17"/>
      <c r="EP530" s="17"/>
      <c r="EQ530" s="16"/>
      <c r="ER530" s="16"/>
      <c r="ES530" s="17"/>
      <c r="ET530" s="17"/>
      <c r="EU530" s="16"/>
      <c r="EV530" s="16"/>
      <c r="EW530" s="17"/>
      <c r="EX530" s="17"/>
      <c r="EY530" s="16"/>
      <c r="EZ530" s="16"/>
      <c r="FA530" s="17"/>
      <c r="FB530" s="17"/>
      <c r="FC530" s="16"/>
      <c r="FD530" s="16"/>
      <c r="FE530" s="17"/>
      <c r="FF530" s="17"/>
      <c r="FG530" s="11"/>
      <c r="GT530" s="11"/>
      <c r="IG530" s="11"/>
      <c r="JT530" s="11"/>
      <c r="LG530" s="11"/>
      <c r="MT530" s="11"/>
      <c r="OG530" s="11"/>
      <c r="PT530" s="11"/>
    </row>
    <row r="531" spans="1:436" ht="15.75" x14ac:dyDescent="0.25">
      <c r="C531" s="20" t="s">
        <v>459</v>
      </c>
      <c r="D531" s="21" t="s">
        <v>136</v>
      </c>
      <c r="H531" s="11"/>
      <c r="AU531" s="11"/>
      <c r="CH531" s="11"/>
      <c r="CI531" s="16"/>
      <c r="CJ531" s="16"/>
      <c r="CK531" s="16"/>
      <c r="CL531" s="16"/>
      <c r="CM531" s="16"/>
      <c r="CN531" s="16"/>
      <c r="CO531" s="16"/>
      <c r="CP531" s="16"/>
      <c r="CQ531" s="16"/>
      <c r="CR531" s="16"/>
      <c r="CS531" s="16"/>
      <c r="CT531" s="16"/>
      <c r="CU531" s="16"/>
      <c r="CV531" s="16"/>
      <c r="CW531" s="16"/>
      <c r="CX531" s="16"/>
      <c r="CY531" s="16"/>
      <c r="CZ531" s="16"/>
      <c r="DA531" s="16"/>
      <c r="DB531" s="16"/>
      <c r="DC531" s="16"/>
      <c r="DD531" s="16"/>
      <c r="DE531" s="17"/>
      <c r="DF531" s="17"/>
      <c r="DG531" s="16"/>
      <c r="DH531" s="16"/>
      <c r="DI531" s="17"/>
      <c r="DJ531" s="17"/>
      <c r="DK531" s="16"/>
      <c r="DL531" s="16"/>
      <c r="DM531" s="17"/>
      <c r="DN531" s="17"/>
      <c r="DO531" s="16"/>
      <c r="DP531" s="16"/>
      <c r="DQ531" s="17"/>
      <c r="DR531" s="17"/>
      <c r="DS531" s="16"/>
      <c r="DT531" s="16"/>
      <c r="DU531" s="17"/>
      <c r="DV531" s="17"/>
      <c r="DW531" s="16"/>
      <c r="DX531" s="16"/>
      <c r="DY531" s="17"/>
      <c r="DZ531" s="17"/>
      <c r="EA531" s="16"/>
      <c r="EB531" s="16"/>
      <c r="EC531" s="18">
        <v>68.599999999999994</v>
      </c>
      <c r="ED531" s="18">
        <v>114.3</v>
      </c>
      <c r="EE531" s="16"/>
      <c r="EF531" s="16"/>
      <c r="EG531" s="17"/>
      <c r="EH531" s="17"/>
      <c r="EI531" s="16"/>
      <c r="EJ531" s="16"/>
      <c r="EK531" s="17"/>
      <c r="EL531" s="17"/>
      <c r="EM531" s="16"/>
      <c r="EN531" s="16"/>
      <c r="EO531" s="17"/>
      <c r="EP531" s="17"/>
      <c r="EQ531" s="16"/>
      <c r="ER531" s="16"/>
      <c r="ES531" s="17"/>
      <c r="ET531" s="17"/>
      <c r="EU531" s="16"/>
      <c r="EV531" s="16"/>
      <c r="EW531" s="17"/>
      <c r="EX531" s="17"/>
      <c r="EY531" s="16"/>
      <c r="EZ531" s="16"/>
      <c r="FA531" s="17"/>
      <c r="FB531" s="17"/>
      <c r="FC531" s="16"/>
      <c r="FD531" s="16"/>
      <c r="FE531" s="17"/>
      <c r="FF531" s="17"/>
      <c r="FG531" s="11"/>
      <c r="GT531" s="11"/>
      <c r="IG531" s="11"/>
      <c r="JT531" s="11"/>
      <c r="LG531" s="11"/>
      <c r="MT531" s="11"/>
      <c r="OG531" s="11"/>
      <c r="PT531" s="11"/>
    </row>
    <row r="532" spans="1:436" ht="15.75" x14ac:dyDescent="0.25">
      <c r="C532" s="20" t="s">
        <v>460</v>
      </c>
      <c r="D532" s="21" t="s">
        <v>136</v>
      </c>
      <c r="H532" s="11"/>
      <c r="AU532" s="11"/>
      <c r="CH532" s="11"/>
      <c r="CI532" s="16"/>
      <c r="CJ532" s="16"/>
      <c r="CK532" s="16"/>
      <c r="CL532" s="16"/>
      <c r="CM532" s="16"/>
      <c r="CN532" s="16"/>
      <c r="CO532" s="16"/>
      <c r="CP532" s="16"/>
      <c r="CQ532" s="16"/>
      <c r="CR532" s="16"/>
      <c r="CS532" s="16"/>
      <c r="CT532" s="16"/>
      <c r="CU532" s="16"/>
      <c r="CV532" s="16"/>
      <c r="CW532" s="16"/>
      <c r="CX532" s="16"/>
      <c r="CY532" s="16"/>
      <c r="CZ532" s="16"/>
      <c r="DA532" s="16"/>
      <c r="DB532" s="16"/>
      <c r="DC532" s="16"/>
      <c r="DD532" s="16"/>
      <c r="DE532" s="17"/>
      <c r="DF532" s="17"/>
      <c r="DG532" s="16"/>
      <c r="DH532" s="16"/>
      <c r="DI532" s="17"/>
      <c r="DJ532" s="17"/>
      <c r="DK532" s="16"/>
      <c r="DL532" s="16"/>
      <c r="DM532" s="17"/>
      <c r="DN532" s="17"/>
      <c r="DO532" s="16"/>
      <c r="DP532" s="16"/>
      <c r="DQ532" s="17"/>
      <c r="DR532" s="17"/>
      <c r="DS532" s="16"/>
      <c r="DT532" s="16"/>
      <c r="DU532" s="17"/>
      <c r="DV532" s="17"/>
      <c r="DW532" s="16"/>
      <c r="DX532" s="16"/>
      <c r="DY532" s="17"/>
      <c r="DZ532" s="17"/>
      <c r="EA532" s="16"/>
      <c r="EB532" s="16"/>
      <c r="EC532" s="18">
        <v>11.4</v>
      </c>
      <c r="ED532" s="18">
        <v>17.100000000000001</v>
      </c>
      <c r="EE532" s="16"/>
      <c r="EF532" s="16"/>
      <c r="EG532" s="17"/>
      <c r="EH532" s="17"/>
      <c r="EI532" s="16"/>
      <c r="EJ532" s="16"/>
      <c r="EK532" s="17"/>
      <c r="EL532" s="17"/>
      <c r="EM532" s="16"/>
      <c r="EN532" s="16"/>
      <c r="EO532" s="17"/>
      <c r="EP532" s="17"/>
      <c r="EQ532" s="16"/>
      <c r="ER532" s="16"/>
      <c r="ES532" s="17"/>
      <c r="ET532" s="17"/>
      <c r="EU532" s="16"/>
      <c r="EV532" s="16"/>
      <c r="EW532" s="17"/>
      <c r="EX532" s="17"/>
      <c r="EY532" s="16"/>
      <c r="EZ532" s="16"/>
      <c r="FA532" s="17"/>
      <c r="FB532" s="17"/>
      <c r="FC532" s="16"/>
      <c r="FD532" s="16"/>
      <c r="FE532" s="17"/>
      <c r="FF532" s="17"/>
      <c r="FG532" s="11"/>
      <c r="GT532" s="11"/>
      <c r="IG532" s="11"/>
      <c r="JT532" s="11"/>
      <c r="LG532" s="11"/>
      <c r="MT532" s="11"/>
      <c r="OG532" s="11"/>
      <c r="PT532" s="11"/>
    </row>
    <row r="533" spans="1:436" ht="15.75" x14ac:dyDescent="0.25">
      <c r="C533" s="20" t="s">
        <v>461</v>
      </c>
      <c r="D533" s="21" t="s">
        <v>136</v>
      </c>
      <c r="H533" s="11"/>
      <c r="AU533" s="11"/>
      <c r="CH533" s="11"/>
      <c r="CI533" s="16"/>
      <c r="CJ533" s="16"/>
      <c r="CK533" s="16"/>
      <c r="CL533" s="16"/>
      <c r="CM533" s="16"/>
      <c r="CN533" s="16"/>
      <c r="CO533" s="16"/>
      <c r="CP533" s="16"/>
      <c r="CQ533" s="16"/>
      <c r="CR533" s="16"/>
      <c r="CS533" s="16"/>
      <c r="CT533" s="16"/>
      <c r="CU533" s="16"/>
      <c r="CV533" s="16"/>
      <c r="CW533" s="16"/>
      <c r="CX533" s="16"/>
      <c r="CY533" s="16"/>
      <c r="CZ533" s="16"/>
      <c r="DA533" s="16"/>
      <c r="DB533" s="16"/>
      <c r="DC533" s="16"/>
      <c r="DD533" s="16"/>
      <c r="DE533" s="17"/>
      <c r="DF533" s="17"/>
      <c r="DG533" s="16"/>
      <c r="DH533" s="16"/>
      <c r="DI533" s="17"/>
      <c r="DJ533" s="17"/>
      <c r="DK533" s="16"/>
      <c r="DL533" s="16"/>
      <c r="DM533" s="17"/>
      <c r="DN533" s="17"/>
      <c r="DO533" s="16"/>
      <c r="DP533" s="16"/>
      <c r="DQ533" s="17"/>
      <c r="DR533" s="17"/>
      <c r="DS533" s="16"/>
      <c r="DT533" s="16"/>
      <c r="DU533" s="17"/>
      <c r="DV533" s="17"/>
      <c r="DW533" s="16"/>
      <c r="DX533" s="16"/>
      <c r="DY533" s="17"/>
      <c r="DZ533" s="17"/>
      <c r="EA533" s="16"/>
      <c r="EB533" s="16"/>
      <c r="EC533" s="18">
        <v>17.100000000000001</v>
      </c>
      <c r="ED533" s="18">
        <v>22.9</v>
      </c>
      <c r="EE533" s="16"/>
      <c r="EF533" s="16"/>
      <c r="EG533" s="17"/>
      <c r="EH533" s="17"/>
      <c r="EI533" s="16"/>
      <c r="EJ533" s="16"/>
      <c r="EK533" s="17"/>
      <c r="EL533" s="17"/>
      <c r="EM533" s="16"/>
      <c r="EN533" s="16"/>
      <c r="EO533" s="17"/>
      <c r="EP533" s="17"/>
      <c r="EQ533" s="16"/>
      <c r="ER533" s="16"/>
      <c r="ES533" s="17"/>
      <c r="ET533" s="17"/>
      <c r="EU533" s="16"/>
      <c r="EV533" s="16"/>
      <c r="EW533" s="17"/>
      <c r="EX533" s="17"/>
      <c r="EY533" s="16"/>
      <c r="EZ533" s="16"/>
      <c r="FA533" s="17"/>
      <c r="FB533" s="17"/>
      <c r="FC533" s="16"/>
      <c r="FD533" s="16"/>
      <c r="FE533" s="17"/>
      <c r="FF533" s="17"/>
      <c r="FG533" s="11"/>
      <c r="GT533" s="11"/>
      <c r="IG533" s="11"/>
      <c r="JT533" s="11"/>
      <c r="LG533" s="11"/>
      <c r="MT533" s="11"/>
      <c r="OG533" s="11"/>
      <c r="PT533" s="11"/>
    </row>
    <row r="534" spans="1:436" ht="15.75" x14ac:dyDescent="0.25">
      <c r="C534" s="20" t="s">
        <v>462</v>
      </c>
      <c r="D534" s="21" t="s">
        <v>136</v>
      </c>
      <c r="H534" s="11"/>
      <c r="AU534" s="11"/>
      <c r="CH534" s="11"/>
      <c r="CI534" s="16"/>
      <c r="CJ534" s="16"/>
      <c r="CK534" s="16"/>
      <c r="CL534" s="16"/>
      <c r="CM534" s="16"/>
      <c r="CN534" s="16"/>
      <c r="CO534" s="16"/>
      <c r="CP534" s="16"/>
      <c r="CQ534" s="16"/>
      <c r="CR534" s="16"/>
      <c r="CS534" s="16"/>
      <c r="CT534" s="16"/>
      <c r="CU534" s="16"/>
      <c r="CV534" s="16"/>
      <c r="CW534" s="16"/>
      <c r="CX534" s="16"/>
      <c r="CY534" s="16"/>
      <c r="CZ534" s="16"/>
      <c r="DA534" s="16"/>
      <c r="DB534" s="16"/>
      <c r="DC534" s="16"/>
      <c r="DD534" s="16"/>
      <c r="DE534" s="17"/>
      <c r="DF534" s="17"/>
      <c r="DG534" s="16"/>
      <c r="DH534" s="16"/>
      <c r="DI534" s="17"/>
      <c r="DJ534" s="17"/>
      <c r="DK534" s="16"/>
      <c r="DL534" s="16"/>
      <c r="DM534" s="17"/>
      <c r="DN534" s="17"/>
      <c r="DO534" s="16"/>
      <c r="DP534" s="16"/>
      <c r="DQ534" s="17"/>
      <c r="DR534" s="17"/>
      <c r="DS534" s="16"/>
      <c r="DT534" s="16"/>
      <c r="DU534" s="17"/>
      <c r="DV534" s="17"/>
      <c r="DW534" s="16"/>
      <c r="DX534" s="16"/>
      <c r="DY534" s="17"/>
      <c r="DZ534" s="17"/>
      <c r="EA534" s="16"/>
      <c r="EB534" s="16"/>
      <c r="EC534" s="18">
        <v>28.6</v>
      </c>
      <c r="ED534" s="18">
        <v>28.6</v>
      </c>
      <c r="EE534" s="16"/>
      <c r="EF534" s="16"/>
      <c r="EG534" s="17"/>
      <c r="EH534" s="17"/>
      <c r="EI534" s="16"/>
      <c r="EJ534" s="16"/>
      <c r="EK534" s="17"/>
      <c r="EL534" s="17"/>
      <c r="EM534" s="16"/>
      <c r="EN534" s="16"/>
      <c r="EO534" s="17"/>
      <c r="EP534" s="17"/>
      <c r="EQ534" s="16"/>
      <c r="ER534" s="16"/>
      <c r="ES534" s="17"/>
      <c r="ET534" s="17"/>
      <c r="EU534" s="16"/>
      <c r="EV534" s="16"/>
      <c r="EW534" s="17"/>
      <c r="EX534" s="17"/>
      <c r="EY534" s="16"/>
      <c r="EZ534" s="16"/>
      <c r="FA534" s="17"/>
      <c r="FB534" s="17"/>
      <c r="FC534" s="16"/>
      <c r="FD534" s="16"/>
      <c r="FE534" s="17"/>
      <c r="FF534" s="17"/>
      <c r="FG534" s="11"/>
      <c r="GT534" s="11"/>
      <c r="IG534" s="11"/>
      <c r="JT534" s="11"/>
      <c r="LG534" s="11"/>
      <c r="MT534" s="11"/>
      <c r="OG534" s="11"/>
      <c r="PT534" s="11"/>
    </row>
    <row r="535" spans="1:436" ht="15.75" x14ac:dyDescent="0.25">
      <c r="C535" s="20" t="s">
        <v>463</v>
      </c>
      <c r="D535" s="21" t="s">
        <v>136</v>
      </c>
      <c r="H535" s="11"/>
      <c r="AU535" s="11"/>
      <c r="CH535" s="11"/>
      <c r="CI535" s="16"/>
      <c r="CJ535" s="16"/>
      <c r="CK535" s="16"/>
      <c r="CL535" s="16"/>
      <c r="CM535" s="16"/>
      <c r="CN535" s="16"/>
      <c r="CO535" s="16"/>
      <c r="CP535" s="16"/>
      <c r="CQ535" s="16"/>
      <c r="CR535" s="16"/>
      <c r="CS535" s="16"/>
      <c r="CT535" s="16"/>
      <c r="CU535" s="16"/>
      <c r="CV535" s="16"/>
      <c r="CW535" s="16"/>
      <c r="CX535" s="16"/>
      <c r="CY535" s="16"/>
      <c r="CZ535" s="16"/>
      <c r="DA535" s="16"/>
      <c r="DB535" s="16"/>
      <c r="DC535" s="16"/>
      <c r="DD535" s="16"/>
      <c r="DE535" s="17"/>
      <c r="DF535" s="17"/>
      <c r="DG535" s="16"/>
      <c r="DH535" s="16"/>
      <c r="DI535" s="17"/>
      <c r="DJ535" s="17"/>
      <c r="DK535" s="16"/>
      <c r="DL535" s="16"/>
      <c r="DM535" s="17"/>
      <c r="DN535" s="17"/>
      <c r="DO535" s="16"/>
      <c r="DP535" s="16"/>
      <c r="DQ535" s="17"/>
      <c r="DR535" s="17"/>
      <c r="DS535" s="16"/>
      <c r="DT535" s="16"/>
      <c r="DU535" s="17"/>
      <c r="DV535" s="17"/>
      <c r="DW535" s="16"/>
      <c r="DX535" s="16"/>
      <c r="DY535" s="17"/>
      <c r="DZ535" s="17"/>
      <c r="EA535" s="16"/>
      <c r="EB535" s="16"/>
      <c r="EC535" s="18">
        <v>45.7</v>
      </c>
      <c r="ED535" s="18">
        <v>60</v>
      </c>
      <c r="EE535" s="16"/>
      <c r="EF535" s="16"/>
      <c r="EG535" s="17"/>
      <c r="EH535" s="17"/>
      <c r="EI535" s="16"/>
      <c r="EJ535" s="16"/>
      <c r="EK535" s="17"/>
      <c r="EL535" s="17"/>
      <c r="EM535" s="16"/>
      <c r="EN535" s="16"/>
      <c r="EO535" s="17"/>
      <c r="EP535" s="17"/>
      <c r="EQ535" s="16"/>
      <c r="ER535" s="16"/>
      <c r="ES535" s="17"/>
      <c r="ET535" s="17"/>
      <c r="EU535" s="16"/>
      <c r="EV535" s="16"/>
      <c r="EW535" s="17"/>
      <c r="EX535" s="17"/>
      <c r="EY535" s="16"/>
      <c r="EZ535" s="16"/>
      <c r="FA535" s="17"/>
      <c r="FB535" s="17"/>
      <c r="FC535" s="16"/>
      <c r="FD535" s="16"/>
      <c r="FE535" s="17"/>
      <c r="FF535" s="17"/>
      <c r="FG535" s="11"/>
      <c r="GT535" s="11"/>
      <c r="IG535" s="11"/>
      <c r="JT535" s="11"/>
      <c r="LG535" s="11"/>
      <c r="MT535" s="11"/>
      <c r="OG535" s="11"/>
      <c r="PT535" s="11"/>
    </row>
    <row r="536" spans="1:436" ht="15.75" x14ac:dyDescent="0.25">
      <c r="C536" s="20" t="s">
        <v>464</v>
      </c>
      <c r="D536" s="21" t="s">
        <v>136</v>
      </c>
      <c r="H536" s="11"/>
      <c r="AU536" s="11"/>
      <c r="CH536" s="11"/>
      <c r="CI536" s="16"/>
      <c r="CJ536" s="16"/>
      <c r="CK536" s="16"/>
      <c r="CL536" s="16"/>
      <c r="CM536" s="16"/>
      <c r="CN536" s="16"/>
      <c r="CO536" s="16"/>
      <c r="CP536" s="16"/>
      <c r="CQ536" s="16"/>
      <c r="CR536" s="16"/>
      <c r="CS536" s="16"/>
      <c r="CT536" s="16"/>
      <c r="CU536" s="16"/>
      <c r="CV536" s="16"/>
      <c r="CW536" s="16"/>
      <c r="CX536" s="16"/>
      <c r="CY536" s="16"/>
      <c r="CZ536" s="16"/>
      <c r="DA536" s="16"/>
      <c r="DB536" s="16"/>
      <c r="DC536" s="16"/>
      <c r="DD536" s="16"/>
      <c r="DE536" s="17"/>
      <c r="DF536" s="17"/>
      <c r="DG536" s="16"/>
      <c r="DH536" s="16"/>
      <c r="DI536" s="17"/>
      <c r="DJ536" s="17"/>
      <c r="DK536" s="16"/>
      <c r="DL536" s="16"/>
      <c r="DM536" s="17"/>
      <c r="DN536" s="17"/>
      <c r="DO536" s="16"/>
      <c r="DP536" s="16"/>
      <c r="DQ536" s="17"/>
      <c r="DR536" s="17"/>
      <c r="DS536" s="16"/>
      <c r="DT536" s="16"/>
      <c r="DU536" s="17"/>
      <c r="DV536" s="17"/>
      <c r="DW536" s="16"/>
      <c r="DX536" s="16"/>
      <c r="DY536" s="17"/>
      <c r="DZ536" s="17"/>
      <c r="EA536" s="16"/>
      <c r="EB536" s="16"/>
      <c r="EC536" s="18">
        <v>27.4</v>
      </c>
      <c r="ED536" s="18">
        <v>27.4</v>
      </c>
      <c r="EE536" s="16"/>
      <c r="EF536" s="16"/>
      <c r="EG536" s="17"/>
      <c r="EH536" s="17"/>
      <c r="EI536" s="16"/>
      <c r="EJ536" s="16"/>
      <c r="EK536" s="17"/>
      <c r="EL536" s="17"/>
      <c r="EM536" s="16"/>
      <c r="EN536" s="16"/>
      <c r="EO536" s="17"/>
      <c r="EP536" s="17"/>
      <c r="EQ536" s="16"/>
      <c r="ER536" s="16"/>
      <c r="ES536" s="17"/>
      <c r="ET536" s="17"/>
      <c r="EU536" s="16"/>
      <c r="EV536" s="16"/>
      <c r="EW536" s="17"/>
      <c r="EX536" s="17"/>
      <c r="EY536" s="16"/>
      <c r="EZ536" s="16"/>
      <c r="FA536" s="17"/>
      <c r="FB536" s="17"/>
      <c r="FC536" s="16"/>
      <c r="FD536" s="16"/>
      <c r="FE536" s="17"/>
      <c r="FF536" s="17"/>
      <c r="FG536" s="11"/>
      <c r="GT536" s="11"/>
      <c r="IG536" s="11"/>
      <c r="JT536" s="11"/>
      <c r="LG536" s="11"/>
      <c r="MT536" s="11"/>
      <c r="OG536" s="11"/>
      <c r="PT536" s="11"/>
    </row>
    <row r="537" spans="1:436" ht="15.75" x14ac:dyDescent="0.25">
      <c r="C537" s="20" t="s">
        <v>465</v>
      </c>
      <c r="D537" s="21" t="s">
        <v>136</v>
      </c>
      <c r="H537" s="11"/>
      <c r="AU537" s="11"/>
      <c r="CH537" s="11"/>
      <c r="CI537" s="16"/>
      <c r="CJ537" s="16"/>
      <c r="CK537" s="16"/>
      <c r="CL537" s="16"/>
      <c r="CM537" s="16"/>
      <c r="CN537" s="16"/>
      <c r="CO537" s="16"/>
      <c r="CP537" s="16"/>
      <c r="CQ537" s="16"/>
      <c r="CR537" s="16"/>
      <c r="CS537" s="16"/>
      <c r="CT537" s="16"/>
      <c r="CU537" s="16"/>
      <c r="CV537" s="16"/>
      <c r="CW537" s="16"/>
      <c r="CX537" s="16"/>
      <c r="CY537" s="16"/>
      <c r="CZ537" s="16"/>
      <c r="DA537" s="16"/>
      <c r="DB537" s="16"/>
      <c r="DC537" s="16"/>
      <c r="DD537" s="16"/>
      <c r="DE537" s="17"/>
      <c r="DF537" s="17"/>
      <c r="DG537" s="16"/>
      <c r="DH537" s="16"/>
      <c r="DI537" s="17"/>
      <c r="DJ537" s="17"/>
      <c r="DK537" s="16"/>
      <c r="DL537" s="16"/>
      <c r="DM537" s="17"/>
      <c r="DN537" s="17"/>
      <c r="DO537" s="16"/>
      <c r="DP537" s="16"/>
      <c r="DQ537" s="17"/>
      <c r="DR537" s="17"/>
      <c r="DS537" s="16"/>
      <c r="DT537" s="16"/>
      <c r="DU537" s="17"/>
      <c r="DV537" s="17"/>
      <c r="DW537" s="16"/>
      <c r="DX537" s="16"/>
      <c r="DY537" s="17"/>
      <c r="DZ537" s="17"/>
      <c r="EA537" s="16"/>
      <c r="EB537" s="16"/>
      <c r="EC537" s="18">
        <v>28.6</v>
      </c>
      <c r="ED537" s="18">
        <v>57.1</v>
      </c>
      <c r="EE537" s="16"/>
      <c r="EF537" s="16"/>
      <c r="EG537" s="17"/>
      <c r="EH537" s="17"/>
      <c r="EI537" s="16"/>
      <c r="EJ537" s="16"/>
      <c r="EK537" s="17"/>
      <c r="EL537" s="17"/>
      <c r="EM537" s="16"/>
      <c r="EN537" s="16"/>
      <c r="EO537" s="17"/>
      <c r="EP537" s="17"/>
      <c r="EQ537" s="16"/>
      <c r="ER537" s="16"/>
      <c r="ES537" s="17"/>
      <c r="ET537" s="17"/>
      <c r="EU537" s="16"/>
      <c r="EV537" s="16"/>
      <c r="EW537" s="17"/>
      <c r="EX537" s="17"/>
      <c r="EY537" s="16"/>
      <c r="EZ537" s="16"/>
      <c r="FA537" s="17"/>
      <c r="FB537" s="17"/>
      <c r="FC537" s="16"/>
      <c r="FD537" s="16"/>
      <c r="FE537" s="17"/>
      <c r="FF537" s="17"/>
      <c r="FG537" s="11"/>
      <c r="GT537" s="11"/>
      <c r="IG537" s="11"/>
      <c r="JT537" s="11"/>
      <c r="LG537" s="11"/>
      <c r="MT537" s="11"/>
      <c r="OG537" s="11"/>
      <c r="PT537" s="11"/>
    </row>
    <row r="538" spans="1:436" ht="15.75" x14ac:dyDescent="0.25">
      <c r="C538" s="20" t="s">
        <v>466</v>
      </c>
      <c r="D538" s="21" t="s">
        <v>136</v>
      </c>
      <c r="H538" s="11"/>
      <c r="AU538" s="11"/>
      <c r="CH538" s="11"/>
      <c r="CI538" s="16"/>
      <c r="CJ538" s="16"/>
      <c r="CK538" s="16"/>
      <c r="CL538" s="16"/>
      <c r="CM538" s="16"/>
      <c r="CN538" s="16"/>
      <c r="CO538" s="16"/>
      <c r="CP538" s="16"/>
      <c r="CQ538" s="16"/>
      <c r="CR538" s="16"/>
      <c r="CS538" s="16"/>
      <c r="CT538" s="16"/>
      <c r="CU538" s="16"/>
      <c r="CV538" s="16"/>
      <c r="CW538" s="16"/>
      <c r="CX538" s="16"/>
      <c r="CY538" s="16"/>
      <c r="CZ538" s="16"/>
      <c r="DA538" s="16"/>
      <c r="DB538" s="16"/>
      <c r="DC538" s="16"/>
      <c r="DD538" s="16"/>
      <c r="DE538" s="17"/>
      <c r="DF538" s="17"/>
      <c r="DG538" s="16"/>
      <c r="DH538" s="16"/>
      <c r="DI538" s="17"/>
      <c r="DJ538" s="17"/>
      <c r="DK538" s="16"/>
      <c r="DL538" s="16"/>
      <c r="DM538" s="17"/>
      <c r="DN538" s="17"/>
      <c r="DO538" s="16"/>
      <c r="DP538" s="16"/>
      <c r="DQ538" s="17"/>
      <c r="DR538" s="17"/>
      <c r="DS538" s="16"/>
      <c r="DT538" s="16"/>
      <c r="DU538" s="17"/>
      <c r="DV538" s="17"/>
      <c r="DW538" s="16"/>
      <c r="DX538" s="16"/>
      <c r="DY538" s="17"/>
      <c r="DZ538" s="17"/>
      <c r="EA538" s="16"/>
      <c r="EB538" s="16"/>
      <c r="EC538" s="18">
        <v>28.6</v>
      </c>
      <c r="ED538" s="18">
        <v>57.1</v>
      </c>
      <c r="EE538" s="16"/>
      <c r="EF538" s="16"/>
      <c r="EG538" s="17"/>
      <c r="EH538" s="17"/>
      <c r="EI538" s="16"/>
      <c r="EJ538" s="16"/>
      <c r="EK538" s="17"/>
      <c r="EL538" s="17"/>
      <c r="EM538" s="16"/>
      <c r="EN538" s="16"/>
      <c r="EO538" s="17"/>
      <c r="EP538" s="17"/>
      <c r="EQ538" s="16"/>
      <c r="ER538" s="16"/>
      <c r="ES538" s="17"/>
      <c r="ET538" s="17"/>
      <c r="EU538" s="16"/>
      <c r="EV538" s="16"/>
      <c r="EW538" s="17"/>
      <c r="EX538" s="17"/>
      <c r="EY538" s="16"/>
      <c r="EZ538" s="16"/>
      <c r="FA538" s="17"/>
      <c r="FB538" s="17"/>
      <c r="FC538" s="16"/>
      <c r="FD538" s="16"/>
      <c r="FE538" s="17"/>
      <c r="FF538" s="17"/>
      <c r="FG538" s="11"/>
      <c r="GT538" s="11"/>
      <c r="IG538" s="11"/>
      <c r="JT538" s="11"/>
      <c r="LG538" s="11"/>
      <c r="MT538" s="11"/>
      <c r="OG538" s="11"/>
      <c r="PT538" s="11"/>
    </row>
    <row r="539" spans="1:436" ht="15.75" x14ac:dyDescent="0.25">
      <c r="C539" s="20" t="s">
        <v>467</v>
      </c>
      <c r="D539" s="21" t="s">
        <v>136</v>
      </c>
      <c r="H539" s="11"/>
      <c r="AU539" s="11"/>
      <c r="CH539" s="11"/>
      <c r="CI539" s="16"/>
      <c r="CJ539" s="16"/>
      <c r="CK539" s="16"/>
      <c r="CL539" s="16"/>
      <c r="CM539" s="16"/>
      <c r="CN539" s="16"/>
      <c r="CO539" s="16"/>
      <c r="CP539" s="16"/>
      <c r="CQ539" s="16"/>
      <c r="CR539" s="16"/>
      <c r="CS539" s="16"/>
      <c r="CT539" s="16"/>
      <c r="CU539" s="16"/>
      <c r="CV539" s="16"/>
      <c r="CW539" s="16"/>
      <c r="CX539" s="16"/>
      <c r="CY539" s="16"/>
      <c r="CZ539" s="16"/>
      <c r="DA539" s="16"/>
      <c r="DB539" s="16"/>
      <c r="DC539" s="16"/>
      <c r="DD539" s="16"/>
      <c r="DE539" s="17"/>
      <c r="DF539" s="17"/>
      <c r="DG539" s="16"/>
      <c r="DH539" s="16"/>
      <c r="DI539" s="17"/>
      <c r="DJ539" s="17"/>
      <c r="DK539" s="16"/>
      <c r="DL539" s="16"/>
      <c r="DM539" s="17"/>
      <c r="DN539" s="17"/>
      <c r="DO539" s="16"/>
      <c r="DP539" s="16"/>
      <c r="DQ539" s="17"/>
      <c r="DR539" s="17"/>
      <c r="DS539" s="16"/>
      <c r="DT539" s="16"/>
      <c r="DU539" s="17"/>
      <c r="DV539" s="17"/>
      <c r="DW539" s="16"/>
      <c r="DX539" s="16"/>
      <c r="DY539" s="17"/>
      <c r="DZ539" s="17"/>
      <c r="EA539" s="16"/>
      <c r="EB539" s="16"/>
      <c r="EC539" s="18">
        <v>50</v>
      </c>
      <c r="ED539" s="18">
        <v>57.1</v>
      </c>
      <c r="EE539" s="16"/>
      <c r="EF539" s="16"/>
      <c r="EG539" s="17"/>
      <c r="EH539" s="17"/>
      <c r="EI539" s="16"/>
      <c r="EJ539" s="16"/>
      <c r="EK539" s="17"/>
      <c r="EL539" s="17"/>
      <c r="EM539" s="16"/>
      <c r="EN539" s="16"/>
      <c r="EO539" s="17"/>
      <c r="EP539" s="17"/>
      <c r="EQ539" s="16"/>
      <c r="ER539" s="16"/>
      <c r="ES539" s="17"/>
      <c r="ET539" s="17"/>
      <c r="EU539" s="16"/>
      <c r="EV539" s="16"/>
      <c r="EW539" s="17"/>
      <c r="EX539" s="17"/>
      <c r="EY539" s="16"/>
      <c r="EZ539" s="16"/>
      <c r="FA539" s="17"/>
      <c r="FB539" s="17"/>
      <c r="FC539" s="16"/>
      <c r="FD539" s="16"/>
      <c r="FE539" s="17"/>
      <c r="FF539" s="17"/>
      <c r="FG539" s="11"/>
      <c r="GT539" s="11"/>
      <c r="IG539" s="11"/>
      <c r="JT539" s="11"/>
      <c r="LG539" s="11"/>
      <c r="MT539" s="11"/>
      <c r="OG539" s="11"/>
      <c r="PT539" s="11"/>
    </row>
    <row r="540" spans="1:436" ht="15.75" x14ac:dyDescent="0.25">
      <c r="C540" s="20" t="s">
        <v>468</v>
      </c>
      <c r="D540" s="21" t="s">
        <v>136</v>
      </c>
      <c r="H540" s="11"/>
      <c r="AU540" s="11"/>
      <c r="CH540" s="11"/>
      <c r="CI540" s="16"/>
      <c r="CJ540" s="16"/>
      <c r="CK540" s="16"/>
      <c r="CL540" s="16"/>
      <c r="CM540" s="16"/>
      <c r="CN540" s="16"/>
      <c r="CO540" s="16"/>
      <c r="CP540" s="16"/>
      <c r="CQ540" s="16"/>
      <c r="CR540" s="16"/>
      <c r="CS540" s="16"/>
      <c r="CT540" s="16"/>
      <c r="CU540" s="16"/>
      <c r="CV540" s="16"/>
      <c r="CW540" s="16"/>
      <c r="CX540" s="16"/>
      <c r="CY540" s="16"/>
      <c r="CZ540" s="16"/>
      <c r="DA540" s="16"/>
      <c r="DB540" s="16"/>
      <c r="DC540" s="16"/>
      <c r="DD540" s="16"/>
      <c r="DE540" s="17"/>
      <c r="DF540" s="17"/>
      <c r="DG540" s="16"/>
      <c r="DH540" s="16"/>
      <c r="DI540" s="17"/>
      <c r="DJ540" s="17"/>
      <c r="DK540" s="16"/>
      <c r="DL540" s="16"/>
      <c r="DM540" s="17"/>
      <c r="DN540" s="17"/>
      <c r="DO540" s="16"/>
      <c r="DP540" s="16"/>
      <c r="DQ540" s="17"/>
      <c r="DR540" s="17"/>
      <c r="DS540" s="16"/>
      <c r="DT540" s="16"/>
      <c r="DU540" s="17"/>
      <c r="DV540" s="17"/>
      <c r="DW540" s="16"/>
      <c r="DX540" s="16"/>
      <c r="DY540" s="17"/>
      <c r="DZ540" s="17"/>
      <c r="EA540" s="16"/>
      <c r="EB540" s="16"/>
      <c r="EC540" s="18">
        <v>81.099999999999994</v>
      </c>
      <c r="ED540" s="18">
        <v>91.4</v>
      </c>
      <c r="EE540" s="16"/>
      <c r="EF540" s="16"/>
      <c r="EG540" s="17"/>
      <c r="EH540" s="17"/>
      <c r="EI540" s="16"/>
      <c r="EJ540" s="16"/>
      <c r="EK540" s="17"/>
      <c r="EL540" s="17"/>
      <c r="EM540" s="16"/>
      <c r="EN540" s="16"/>
      <c r="EO540" s="17"/>
      <c r="EP540" s="17"/>
      <c r="EQ540" s="16"/>
      <c r="ER540" s="16"/>
      <c r="ES540" s="17"/>
      <c r="ET540" s="17"/>
      <c r="EU540" s="16"/>
      <c r="EV540" s="16"/>
      <c r="EW540" s="17"/>
      <c r="EX540" s="17"/>
      <c r="EY540" s="16"/>
      <c r="EZ540" s="16"/>
      <c r="FA540" s="17"/>
      <c r="FB540" s="17"/>
      <c r="FC540" s="16"/>
      <c r="FD540" s="16"/>
      <c r="FE540" s="17"/>
      <c r="FF540" s="17"/>
      <c r="FG540" s="11"/>
      <c r="GT540" s="11"/>
      <c r="IG540" s="11"/>
      <c r="JT540" s="11"/>
      <c r="LG540" s="11"/>
      <c r="MT540" s="11"/>
      <c r="OG540" s="11"/>
      <c r="PT540" s="11"/>
    </row>
    <row r="541" spans="1:436" ht="15.75" x14ac:dyDescent="0.25">
      <c r="C541" s="20" t="s">
        <v>469</v>
      </c>
      <c r="D541" s="21" t="s">
        <v>136</v>
      </c>
      <c r="H541" s="11"/>
      <c r="AU541" s="11"/>
      <c r="CH541" s="11"/>
      <c r="CI541" s="16"/>
      <c r="CJ541" s="16"/>
      <c r="CK541" s="16"/>
      <c r="CL541" s="16"/>
      <c r="CM541" s="16"/>
      <c r="CN541" s="16"/>
      <c r="CO541" s="16"/>
      <c r="CP541" s="16"/>
      <c r="CQ541" s="16"/>
      <c r="CR541" s="16"/>
      <c r="CS541" s="16"/>
      <c r="CT541" s="16"/>
      <c r="CU541" s="16"/>
      <c r="CV541" s="16"/>
      <c r="CW541" s="16"/>
      <c r="CX541" s="16"/>
      <c r="CY541" s="16"/>
      <c r="CZ541" s="16"/>
      <c r="DA541" s="16"/>
      <c r="DB541" s="16"/>
      <c r="DC541" s="16"/>
      <c r="DD541" s="16"/>
      <c r="DE541" s="17"/>
      <c r="DF541" s="17"/>
      <c r="DG541" s="16"/>
      <c r="DH541" s="16"/>
      <c r="DI541" s="17"/>
      <c r="DJ541" s="17"/>
      <c r="DK541" s="16"/>
      <c r="DL541" s="16"/>
      <c r="DM541" s="17"/>
      <c r="DN541" s="17"/>
      <c r="DO541" s="16"/>
      <c r="DP541" s="16"/>
      <c r="DQ541" s="17"/>
      <c r="DR541" s="17"/>
      <c r="DS541" s="16"/>
      <c r="DT541" s="16"/>
      <c r="DU541" s="17"/>
      <c r="DV541" s="17"/>
      <c r="DW541" s="16"/>
      <c r="DX541" s="16"/>
      <c r="DY541" s="17"/>
      <c r="DZ541" s="17"/>
      <c r="EA541" s="16"/>
      <c r="EB541" s="16"/>
      <c r="EC541" s="18">
        <v>32</v>
      </c>
      <c r="ED541" s="18">
        <v>42.9</v>
      </c>
      <c r="EE541" s="16"/>
      <c r="EF541" s="16"/>
      <c r="EG541" s="17"/>
      <c r="EH541" s="17"/>
      <c r="EI541" s="16"/>
      <c r="EJ541" s="16"/>
      <c r="EK541" s="17"/>
      <c r="EL541" s="17"/>
      <c r="EM541" s="16"/>
      <c r="EN541" s="16"/>
      <c r="EO541" s="17"/>
      <c r="EP541" s="17"/>
      <c r="EQ541" s="16"/>
      <c r="ER541" s="16"/>
      <c r="ES541" s="17"/>
      <c r="ET541" s="17"/>
      <c r="EU541" s="16"/>
      <c r="EV541" s="16"/>
      <c r="EW541" s="17"/>
      <c r="EX541" s="17"/>
      <c r="EY541" s="16"/>
      <c r="EZ541" s="16"/>
      <c r="FA541" s="17"/>
      <c r="FB541" s="17"/>
      <c r="FC541" s="16"/>
      <c r="FD541" s="16"/>
      <c r="FE541" s="17"/>
      <c r="FF541" s="17"/>
      <c r="FG541" s="11"/>
      <c r="GT541" s="11"/>
      <c r="IG541" s="11"/>
      <c r="JT541" s="11"/>
      <c r="LG541" s="11"/>
      <c r="MT541" s="11"/>
      <c r="OG541" s="11"/>
      <c r="PT541" s="11"/>
    </row>
    <row r="542" spans="1:436" ht="15.75" x14ac:dyDescent="0.25">
      <c r="C542" s="20" t="s">
        <v>470</v>
      </c>
      <c r="D542" s="21" t="s">
        <v>136</v>
      </c>
      <c r="H542" s="11"/>
      <c r="AU542" s="11"/>
      <c r="CH542" s="11"/>
      <c r="CI542" s="16"/>
      <c r="CJ542" s="16"/>
      <c r="CK542" s="16"/>
      <c r="CL542" s="16"/>
      <c r="CM542" s="16"/>
      <c r="CN542" s="16"/>
      <c r="CO542" s="16"/>
      <c r="CP542" s="16"/>
      <c r="CQ542" s="16"/>
      <c r="CR542" s="16"/>
      <c r="CS542" s="16"/>
      <c r="CT542" s="16"/>
      <c r="CU542" s="16"/>
      <c r="CV542" s="16"/>
      <c r="CW542" s="16"/>
      <c r="CX542" s="16"/>
      <c r="CY542" s="16"/>
      <c r="CZ542" s="16"/>
      <c r="DA542" s="16"/>
      <c r="DB542" s="16"/>
      <c r="DC542" s="16"/>
      <c r="DD542" s="16"/>
      <c r="DE542" s="17"/>
      <c r="DF542" s="17"/>
      <c r="DG542" s="16"/>
      <c r="DH542" s="16"/>
      <c r="DI542" s="17"/>
      <c r="DJ542" s="17"/>
      <c r="DK542" s="16"/>
      <c r="DL542" s="16"/>
      <c r="DM542" s="17"/>
      <c r="DN542" s="17"/>
      <c r="DO542" s="16"/>
      <c r="DP542" s="16"/>
      <c r="DQ542" s="17"/>
      <c r="DR542" s="17"/>
      <c r="DS542" s="16"/>
      <c r="DT542" s="16"/>
      <c r="DU542" s="17"/>
      <c r="DV542" s="17"/>
      <c r="DW542" s="16"/>
      <c r="DX542" s="16"/>
      <c r="DY542" s="17"/>
      <c r="DZ542" s="17"/>
      <c r="EA542" s="16"/>
      <c r="EB542" s="16"/>
      <c r="EC542" s="18">
        <v>11.4</v>
      </c>
      <c r="ED542" s="18">
        <v>17.100000000000001</v>
      </c>
      <c r="EE542" s="16"/>
      <c r="EF542" s="16"/>
      <c r="EG542" s="17"/>
      <c r="EH542" s="17"/>
      <c r="EI542" s="16"/>
      <c r="EJ542" s="16"/>
      <c r="EK542" s="17"/>
      <c r="EL542" s="17"/>
      <c r="EM542" s="16"/>
      <c r="EN542" s="16"/>
      <c r="EO542" s="17"/>
      <c r="EP542" s="17"/>
      <c r="EQ542" s="16"/>
      <c r="ER542" s="16"/>
      <c r="ES542" s="17"/>
      <c r="ET542" s="17"/>
      <c r="EU542" s="16"/>
      <c r="EV542" s="16"/>
      <c r="EW542" s="17"/>
      <c r="EX542" s="17"/>
      <c r="EY542" s="16"/>
      <c r="EZ542" s="16"/>
      <c r="FA542" s="17"/>
      <c r="FB542" s="17"/>
      <c r="FC542" s="16"/>
      <c r="FD542" s="16"/>
      <c r="FE542" s="17"/>
      <c r="FF542" s="17"/>
      <c r="FG542" s="11"/>
      <c r="GT542" s="11"/>
      <c r="IG542" s="11"/>
      <c r="JT542" s="11"/>
      <c r="LG542" s="11"/>
      <c r="MT542" s="11"/>
      <c r="OG542" s="11"/>
      <c r="PT542" s="11"/>
    </row>
    <row r="543" spans="1:436" ht="15.75" x14ac:dyDescent="0.25">
      <c r="C543" s="20" t="s">
        <v>471</v>
      </c>
      <c r="D543" s="21" t="s">
        <v>136</v>
      </c>
      <c r="H543" s="11"/>
      <c r="AU543" s="11"/>
      <c r="CH543" s="11"/>
      <c r="CI543" s="16"/>
      <c r="CJ543" s="16"/>
      <c r="CK543" s="16"/>
      <c r="CL543" s="16"/>
      <c r="CM543" s="16"/>
      <c r="CN543" s="16"/>
      <c r="CO543" s="16"/>
      <c r="CP543" s="16"/>
      <c r="CQ543" s="16"/>
      <c r="CR543" s="16"/>
      <c r="CS543" s="16"/>
      <c r="CT543" s="16"/>
      <c r="CU543" s="16"/>
      <c r="CV543" s="16"/>
      <c r="CW543" s="16"/>
      <c r="CX543" s="16"/>
      <c r="CY543" s="16"/>
      <c r="CZ543" s="16"/>
      <c r="DA543" s="16"/>
      <c r="DB543" s="16"/>
      <c r="DC543" s="16"/>
      <c r="DD543" s="16"/>
      <c r="DE543" s="17"/>
      <c r="DF543" s="17"/>
      <c r="DG543" s="16"/>
      <c r="DH543" s="16"/>
      <c r="DI543" s="17"/>
      <c r="DJ543" s="17"/>
      <c r="DK543" s="16"/>
      <c r="DL543" s="16"/>
      <c r="DM543" s="17"/>
      <c r="DN543" s="17"/>
      <c r="DO543" s="16"/>
      <c r="DP543" s="16"/>
      <c r="DQ543" s="17"/>
      <c r="DR543" s="17"/>
      <c r="DS543" s="16"/>
      <c r="DT543" s="16"/>
      <c r="DU543" s="17"/>
      <c r="DV543" s="17"/>
      <c r="DW543" s="16"/>
      <c r="DX543" s="16"/>
      <c r="DY543" s="17"/>
      <c r="DZ543" s="17"/>
      <c r="EA543" s="16"/>
      <c r="EB543" s="16"/>
      <c r="EC543" s="17"/>
      <c r="ED543" s="17"/>
      <c r="EE543" s="16"/>
      <c r="EF543" s="16"/>
      <c r="EG543" s="17"/>
      <c r="EH543" s="17"/>
      <c r="EI543" s="16"/>
      <c r="EJ543" s="16"/>
      <c r="EK543" s="17"/>
      <c r="EL543" s="17"/>
      <c r="EM543" s="16"/>
      <c r="EN543" s="16"/>
      <c r="EO543" s="17"/>
      <c r="EP543" s="17"/>
      <c r="EQ543" s="16"/>
      <c r="ER543" s="16"/>
      <c r="ES543" s="17"/>
      <c r="ET543" s="17"/>
      <c r="EU543" s="16"/>
      <c r="EV543" s="16"/>
      <c r="EW543" s="17"/>
      <c r="EX543" s="17"/>
      <c r="EY543" s="16"/>
      <c r="EZ543" s="16"/>
      <c r="FA543" s="17"/>
      <c r="FB543" s="17"/>
      <c r="FC543" s="16"/>
      <c r="FD543" s="16"/>
      <c r="FE543" s="17"/>
      <c r="FF543" s="17"/>
      <c r="FG543" s="11"/>
      <c r="GT543" s="11"/>
      <c r="IG543" s="11"/>
      <c r="JT543" s="11"/>
      <c r="LG543" s="11"/>
      <c r="MT543" s="11"/>
      <c r="OG543" s="11"/>
      <c r="PT543" s="11"/>
    </row>
    <row r="544" spans="1:436" ht="15.75" x14ac:dyDescent="0.25">
      <c r="A544" s="13"/>
      <c r="B544" s="14" t="s">
        <v>472</v>
      </c>
      <c r="C544" s="13"/>
      <c r="D544" s="13"/>
      <c r="E544" s="15" t="s">
        <v>127</v>
      </c>
      <c r="F544" s="15" t="s">
        <v>177</v>
      </c>
      <c r="G544" s="13"/>
      <c r="H544" s="11"/>
      <c r="AU544" s="11"/>
      <c r="CH544" s="11"/>
      <c r="CI544" s="16"/>
      <c r="CJ544" s="16"/>
      <c r="CK544" s="16"/>
      <c r="CL544" s="16"/>
      <c r="CM544" s="16"/>
      <c r="CN544" s="16"/>
      <c r="CO544" s="16"/>
      <c r="CP544" s="16"/>
      <c r="CQ544" s="16"/>
      <c r="CR544" s="16"/>
      <c r="CS544" s="16"/>
      <c r="CT544" s="16"/>
      <c r="CU544" s="16"/>
      <c r="CV544" s="16"/>
      <c r="CW544" s="16"/>
      <c r="CX544" s="16"/>
      <c r="CY544" s="16"/>
      <c r="CZ544" s="16"/>
      <c r="DA544" s="16"/>
      <c r="DB544" s="16"/>
      <c r="DC544" s="16"/>
      <c r="DD544" s="16"/>
      <c r="DE544" s="17"/>
      <c r="DF544" s="17"/>
      <c r="DG544" s="16"/>
      <c r="DH544" s="16"/>
      <c r="DI544" s="17"/>
      <c r="DJ544" s="17"/>
      <c r="DK544" s="16"/>
      <c r="DL544" s="16"/>
      <c r="DM544" s="17"/>
      <c r="DN544" s="17"/>
      <c r="DO544" s="16"/>
      <c r="DP544" s="16"/>
      <c r="DQ544" s="17"/>
      <c r="DR544" s="17"/>
      <c r="DS544" s="16"/>
      <c r="DT544" s="16"/>
      <c r="DU544" s="17"/>
      <c r="DV544" s="17"/>
      <c r="DW544" s="16"/>
      <c r="DX544" s="16"/>
      <c r="DY544" s="17"/>
      <c r="DZ544" s="17"/>
      <c r="EA544" s="16"/>
      <c r="EB544" s="16"/>
      <c r="EC544" s="18">
        <v>81.099999999999994</v>
      </c>
      <c r="ED544" s="18">
        <v>91.4</v>
      </c>
      <c r="EE544" s="16"/>
      <c r="EF544" s="16"/>
      <c r="EG544" s="17"/>
      <c r="EH544" s="17"/>
      <c r="EI544" s="16"/>
      <c r="EJ544" s="16"/>
      <c r="EK544" s="17"/>
      <c r="EL544" s="17"/>
      <c r="EM544" s="16"/>
      <c r="EN544" s="16"/>
      <c r="EO544" s="17"/>
      <c r="EP544" s="17"/>
      <c r="EQ544" s="16"/>
      <c r="ER544" s="16"/>
      <c r="ES544" s="17"/>
      <c r="ET544" s="17"/>
      <c r="EU544" s="16"/>
      <c r="EV544" s="16"/>
      <c r="EW544" s="17"/>
      <c r="EX544" s="17"/>
      <c r="EY544" s="16"/>
      <c r="EZ544" s="16"/>
      <c r="FA544" s="17"/>
      <c r="FB544" s="17"/>
      <c r="FC544" s="16"/>
      <c r="FD544" s="16"/>
      <c r="FE544" s="17"/>
      <c r="FF544" s="17"/>
      <c r="FG544" s="11"/>
      <c r="GT544" s="11"/>
      <c r="IG544" s="11"/>
      <c r="JT544" s="11"/>
      <c r="LG544" s="11"/>
      <c r="MT544" s="11"/>
      <c r="OG544" s="11"/>
      <c r="PT544" s="11"/>
    </row>
    <row r="545" spans="3:436" ht="15.75" x14ac:dyDescent="0.25">
      <c r="C545" s="20" t="s">
        <v>473</v>
      </c>
      <c r="D545" s="21" t="s">
        <v>79</v>
      </c>
      <c r="H545" s="11"/>
      <c r="AU545" s="11"/>
      <c r="CH545" s="11"/>
      <c r="CI545" s="16"/>
      <c r="CJ545" s="16"/>
      <c r="CK545" s="16"/>
      <c r="CL545" s="16"/>
      <c r="CM545" s="16"/>
      <c r="CN545" s="16"/>
      <c r="CO545" s="16"/>
      <c r="CP545" s="16"/>
      <c r="CQ545" s="16"/>
      <c r="CR545" s="16"/>
      <c r="CS545" s="16"/>
      <c r="CT545" s="16"/>
      <c r="CU545" s="16"/>
      <c r="CV545" s="16"/>
      <c r="CW545" s="16"/>
      <c r="CX545" s="16"/>
      <c r="CY545" s="16"/>
      <c r="CZ545" s="16"/>
      <c r="DA545" s="16"/>
      <c r="DB545" s="16"/>
      <c r="DC545" s="16"/>
      <c r="DD545" s="16"/>
      <c r="DE545" s="17"/>
      <c r="DF545" s="17"/>
      <c r="DG545" s="16"/>
      <c r="DH545" s="16"/>
      <c r="DI545" s="18">
        <v>4</v>
      </c>
      <c r="DJ545" s="18">
        <v>5</v>
      </c>
      <c r="DK545" s="16"/>
      <c r="DL545" s="16"/>
      <c r="DM545" s="17"/>
      <c r="DN545" s="17"/>
      <c r="DO545" s="16"/>
      <c r="DP545" s="16"/>
      <c r="DQ545" s="17"/>
      <c r="DR545" s="17"/>
      <c r="DS545" s="16"/>
      <c r="DT545" s="16"/>
      <c r="DU545" s="17"/>
      <c r="DV545" s="17"/>
      <c r="DW545" s="16"/>
      <c r="DX545" s="16"/>
      <c r="DY545" s="17"/>
      <c r="DZ545" s="17"/>
      <c r="EA545" s="16"/>
      <c r="EB545" s="16"/>
      <c r="EC545" s="17"/>
      <c r="ED545" s="17"/>
      <c r="EE545" s="16"/>
      <c r="EF545" s="16"/>
      <c r="EG545" s="17"/>
      <c r="EH545" s="17"/>
      <c r="EI545" s="16"/>
      <c r="EJ545" s="16"/>
      <c r="EK545" s="17"/>
      <c r="EL545" s="17"/>
      <c r="EM545" s="16"/>
      <c r="EN545" s="16"/>
      <c r="EO545" s="17"/>
      <c r="EP545" s="17"/>
      <c r="EQ545" s="16"/>
      <c r="ER545" s="16"/>
      <c r="ES545" s="17"/>
      <c r="ET545" s="17"/>
      <c r="EU545" s="16"/>
      <c r="EV545" s="16"/>
      <c r="EW545" s="17"/>
      <c r="EX545" s="17"/>
      <c r="EY545" s="16"/>
      <c r="EZ545" s="16"/>
      <c r="FA545" s="17"/>
      <c r="FB545" s="17"/>
      <c r="FC545" s="16"/>
      <c r="FD545" s="16"/>
      <c r="FE545" s="17"/>
      <c r="FF545" s="17"/>
      <c r="FG545" s="11"/>
      <c r="GT545" s="11"/>
      <c r="IG545" s="11"/>
      <c r="JT545" s="11"/>
      <c r="LG545" s="11"/>
      <c r="MT545" s="11"/>
      <c r="OG545" s="11"/>
      <c r="PT545" s="11"/>
    </row>
    <row r="546" spans="3:436" ht="15.75" x14ac:dyDescent="0.25">
      <c r="C546" s="20" t="s">
        <v>474</v>
      </c>
      <c r="D546" s="21" t="s">
        <v>134</v>
      </c>
      <c r="H546" s="11"/>
      <c r="AU546" s="11"/>
      <c r="CH546" s="11"/>
      <c r="CI546" s="16"/>
      <c r="CJ546" s="16"/>
      <c r="CK546" s="16"/>
      <c r="CL546" s="16"/>
      <c r="CM546" s="16"/>
      <c r="CN546" s="16"/>
      <c r="CO546" s="16"/>
      <c r="CP546" s="16"/>
      <c r="CQ546" s="16"/>
      <c r="CR546" s="16"/>
      <c r="CS546" s="16"/>
      <c r="CT546" s="16"/>
      <c r="CU546" s="16"/>
      <c r="CV546" s="16"/>
      <c r="CW546" s="16"/>
      <c r="CX546" s="16"/>
      <c r="CY546" s="16"/>
      <c r="CZ546" s="16"/>
      <c r="DA546" s="16"/>
      <c r="DB546" s="16"/>
      <c r="DC546" s="16"/>
      <c r="DD546" s="16"/>
      <c r="DE546" s="17"/>
      <c r="DF546" s="17"/>
      <c r="DG546" s="16"/>
      <c r="DH546" s="16"/>
      <c r="DI546" s="17"/>
      <c r="DJ546" s="17"/>
      <c r="DK546" s="16"/>
      <c r="DL546" s="16"/>
      <c r="DM546" s="18">
        <v>3</v>
      </c>
      <c r="DN546" s="18">
        <v>15</v>
      </c>
      <c r="DO546" s="16"/>
      <c r="DP546" s="16"/>
      <c r="DQ546" s="17"/>
      <c r="DR546" s="17"/>
      <c r="DS546" s="16"/>
      <c r="DT546" s="16"/>
      <c r="DU546" s="17"/>
      <c r="DV546" s="17"/>
      <c r="DW546" s="16"/>
      <c r="DX546" s="16"/>
      <c r="DY546" s="17"/>
      <c r="DZ546" s="17"/>
      <c r="EA546" s="16"/>
      <c r="EB546" s="16"/>
      <c r="EC546" s="17"/>
      <c r="ED546" s="17"/>
      <c r="EE546" s="16"/>
      <c r="EF546" s="16"/>
      <c r="EG546" s="17"/>
      <c r="EH546" s="17"/>
      <c r="EI546" s="16"/>
      <c r="EJ546" s="16"/>
      <c r="EK546" s="17"/>
      <c r="EL546" s="17"/>
      <c r="EM546" s="16"/>
      <c r="EN546" s="16"/>
      <c r="EO546" s="17"/>
      <c r="EP546" s="17"/>
      <c r="EQ546" s="16"/>
      <c r="ER546" s="16"/>
      <c r="ES546" s="17"/>
      <c r="ET546" s="17"/>
      <c r="EU546" s="16"/>
      <c r="EV546" s="16"/>
      <c r="EW546" s="17"/>
      <c r="EX546" s="17"/>
      <c r="EY546" s="16"/>
      <c r="EZ546" s="16"/>
      <c r="FA546" s="17"/>
      <c r="FB546" s="17"/>
      <c r="FC546" s="16"/>
      <c r="FD546" s="16"/>
      <c r="FE546" s="17"/>
      <c r="FF546" s="17"/>
      <c r="FG546" s="11"/>
      <c r="GT546" s="11"/>
      <c r="IG546" s="11"/>
      <c r="JT546" s="11"/>
      <c r="LG546" s="11"/>
      <c r="MT546" s="11"/>
      <c r="OG546" s="11"/>
      <c r="PT546" s="11"/>
    </row>
    <row r="547" spans="3:436" ht="15.75" x14ac:dyDescent="0.25">
      <c r="C547" s="20" t="s">
        <v>475</v>
      </c>
      <c r="D547" s="21" t="s">
        <v>129</v>
      </c>
      <c r="H547" s="11"/>
      <c r="AU547" s="11"/>
      <c r="CH547" s="11"/>
      <c r="CI547" s="16"/>
      <c r="CJ547" s="16"/>
      <c r="CK547" s="16"/>
      <c r="CL547" s="16"/>
      <c r="CM547" s="16"/>
      <c r="CN547" s="16"/>
      <c r="CO547" s="16"/>
      <c r="CP547" s="16"/>
      <c r="CQ547" s="16"/>
      <c r="CR547" s="16"/>
      <c r="CS547" s="16"/>
      <c r="CT547" s="16"/>
      <c r="CU547" s="16"/>
      <c r="CV547" s="16"/>
      <c r="CW547" s="16"/>
      <c r="CX547" s="16"/>
      <c r="CY547" s="16"/>
      <c r="CZ547" s="16"/>
      <c r="DA547" s="16"/>
      <c r="DB547" s="16"/>
      <c r="DC547" s="16"/>
      <c r="DD547" s="16"/>
      <c r="DE547" s="17"/>
      <c r="DF547" s="17"/>
      <c r="DG547" s="16"/>
      <c r="DH547" s="16"/>
      <c r="DI547" s="17"/>
      <c r="DJ547" s="17"/>
      <c r="DK547" s="16"/>
      <c r="DL547" s="16"/>
      <c r="DM547" s="17"/>
      <c r="DN547" s="17"/>
      <c r="DO547" s="16"/>
      <c r="DP547" s="16"/>
      <c r="DQ547" s="17"/>
      <c r="DR547" s="17"/>
      <c r="DS547" s="16"/>
      <c r="DT547" s="16"/>
      <c r="DU547" s="17"/>
      <c r="DV547" s="17"/>
      <c r="DW547" s="16"/>
      <c r="DX547" s="16"/>
      <c r="DY547" s="17"/>
      <c r="DZ547" s="17"/>
      <c r="EA547" s="16"/>
      <c r="EB547" s="16"/>
      <c r="EC547" s="17"/>
      <c r="ED547" s="17"/>
      <c r="EE547" s="16"/>
      <c r="EF547" s="16"/>
      <c r="EG547" s="17"/>
      <c r="EH547" s="17"/>
      <c r="EI547" s="16"/>
      <c r="EJ547" s="16"/>
      <c r="EK547" s="17"/>
      <c r="EL547" s="17"/>
      <c r="EM547" s="16"/>
      <c r="EN547" s="16"/>
      <c r="EO547" s="17"/>
      <c r="EP547" s="17"/>
      <c r="EQ547" s="16"/>
      <c r="ER547" s="16"/>
      <c r="ES547" s="17"/>
      <c r="ET547" s="17"/>
      <c r="EU547" s="16"/>
      <c r="EV547" s="16"/>
      <c r="EW547" s="17"/>
      <c r="EX547" s="17"/>
      <c r="EY547" s="16"/>
      <c r="EZ547" s="16"/>
      <c r="FA547" s="17"/>
      <c r="FB547" s="17"/>
      <c r="FC547" s="16"/>
      <c r="FD547" s="16"/>
      <c r="FE547" s="17"/>
      <c r="FF547" s="17"/>
      <c r="FG547" s="11"/>
      <c r="GT547" s="11"/>
      <c r="IG547" s="11"/>
      <c r="JT547" s="11"/>
      <c r="LG547" s="11"/>
      <c r="MT547" s="11"/>
      <c r="OG547" s="11"/>
      <c r="PT547" s="11"/>
    </row>
    <row r="548" spans="3:436" ht="15.75" x14ac:dyDescent="0.25">
      <c r="C548" s="20" t="s">
        <v>476</v>
      </c>
      <c r="D548" s="21" t="s">
        <v>136</v>
      </c>
      <c r="H548" s="11"/>
      <c r="AU548" s="11"/>
      <c r="CH548" s="11"/>
      <c r="CI548" s="16"/>
      <c r="CJ548" s="16"/>
      <c r="CK548" s="16"/>
      <c r="CL548" s="16"/>
      <c r="CM548" s="16"/>
      <c r="CN548" s="16"/>
      <c r="CO548" s="16"/>
      <c r="CP548" s="16"/>
      <c r="CQ548" s="16"/>
      <c r="CR548" s="16"/>
      <c r="CS548" s="16"/>
      <c r="CT548" s="16"/>
      <c r="CU548" s="16"/>
      <c r="CV548" s="16"/>
      <c r="CW548" s="16"/>
      <c r="CX548" s="16"/>
      <c r="CY548" s="16"/>
      <c r="CZ548" s="16"/>
      <c r="DA548" s="16"/>
      <c r="DB548" s="16"/>
      <c r="DC548" s="16"/>
      <c r="DD548" s="16"/>
      <c r="DE548" s="17"/>
      <c r="DF548" s="17"/>
      <c r="DG548" s="16"/>
      <c r="DH548" s="16"/>
      <c r="DI548" s="17"/>
      <c r="DJ548" s="17"/>
      <c r="DK548" s="16"/>
      <c r="DL548" s="16"/>
      <c r="DM548" s="17"/>
      <c r="DN548" s="17"/>
      <c r="DO548" s="16"/>
      <c r="DP548" s="16"/>
      <c r="DQ548" s="17"/>
      <c r="DR548" s="17"/>
      <c r="DS548" s="16"/>
      <c r="DT548" s="16"/>
      <c r="DU548" s="17"/>
      <c r="DV548" s="17"/>
      <c r="DW548" s="16"/>
      <c r="DX548" s="16"/>
      <c r="DY548" s="17"/>
      <c r="DZ548" s="17"/>
      <c r="EA548" s="16"/>
      <c r="EB548" s="16"/>
      <c r="EC548" s="17"/>
      <c r="ED548" s="17"/>
      <c r="EE548" s="16"/>
      <c r="EF548" s="16"/>
      <c r="EG548" s="17"/>
      <c r="EH548" s="17"/>
      <c r="EI548" s="16"/>
      <c r="EJ548" s="16"/>
      <c r="EK548" s="17"/>
      <c r="EL548" s="17"/>
      <c r="EM548" s="16"/>
      <c r="EN548" s="16"/>
      <c r="EO548" s="17"/>
      <c r="EP548" s="17"/>
      <c r="EQ548" s="16"/>
      <c r="ER548" s="16"/>
      <c r="ES548" s="17"/>
      <c r="ET548" s="17"/>
      <c r="EU548" s="16"/>
      <c r="EV548" s="16"/>
      <c r="EW548" s="17"/>
      <c r="EX548" s="17"/>
      <c r="EY548" s="16"/>
      <c r="EZ548" s="16"/>
      <c r="FA548" s="17"/>
      <c r="FB548" s="17"/>
      <c r="FC548" s="16"/>
      <c r="FD548" s="16"/>
      <c r="FE548" s="17"/>
      <c r="FF548" s="17"/>
      <c r="FG548" s="11"/>
      <c r="GT548" s="11"/>
      <c r="IG548" s="11"/>
      <c r="JT548" s="11"/>
      <c r="LG548" s="11"/>
      <c r="MT548" s="11"/>
      <c r="OG548" s="11"/>
      <c r="PT548" s="11"/>
    </row>
    <row r="549" spans="3:436" ht="15.75" x14ac:dyDescent="0.25">
      <c r="C549" s="20" t="s">
        <v>477</v>
      </c>
      <c r="D549" s="21" t="s">
        <v>136</v>
      </c>
      <c r="H549" s="11"/>
      <c r="AU549" s="11"/>
      <c r="CH549" s="11"/>
      <c r="CI549" s="16"/>
      <c r="CJ549" s="16"/>
      <c r="CK549" s="16"/>
      <c r="CL549" s="16"/>
      <c r="CM549" s="16"/>
      <c r="CN549" s="16"/>
      <c r="CO549" s="16"/>
      <c r="CP549" s="16"/>
      <c r="CQ549" s="16"/>
      <c r="CR549" s="16"/>
      <c r="CS549" s="16"/>
      <c r="CT549" s="16"/>
      <c r="CU549" s="16"/>
      <c r="CV549" s="16"/>
      <c r="CW549" s="16"/>
      <c r="CX549" s="16"/>
      <c r="CY549" s="16"/>
      <c r="CZ549" s="16"/>
      <c r="DA549" s="16"/>
      <c r="DB549" s="16"/>
      <c r="DC549" s="16"/>
      <c r="DD549" s="16"/>
      <c r="DE549" s="17"/>
      <c r="DF549" s="17"/>
      <c r="DG549" s="16"/>
      <c r="DH549" s="16"/>
      <c r="DI549" s="17"/>
      <c r="DJ549" s="17"/>
      <c r="DK549" s="16"/>
      <c r="DL549" s="16"/>
      <c r="DM549" s="17"/>
      <c r="DN549" s="17"/>
      <c r="DO549" s="16"/>
      <c r="DP549" s="16"/>
      <c r="DQ549" s="17"/>
      <c r="DR549" s="17"/>
      <c r="DS549" s="16"/>
      <c r="DT549" s="16"/>
      <c r="DU549" s="17"/>
      <c r="DV549" s="17"/>
      <c r="DW549" s="16"/>
      <c r="DX549" s="16"/>
      <c r="DY549" s="17"/>
      <c r="DZ549" s="17"/>
      <c r="EA549" s="16"/>
      <c r="EB549" s="16"/>
      <c r="EC549" s="17"/>
      <c r="ED549" s="17"/>
      <c r="EE549" s="16"/>
      <c r="EF549" s="16"/>
      <c r="EG549" s="17"/>
      <c r="EH549" s="17"/>
      <c r="EI549" s="16"/>
      <c r="EJ549" s="16"/>
      <c r="EK549" s="17"/>
      <c r="EL549" s="17"/>
      <c r="EM549" s="16"/>
      <c r="EN549" s="16"/>
      <c r="EO549" s="17"/>
      <c r="EP549" s="17"/>
      <c r="EQ549" s="16"/>
      <c r="ER549" s="16"/>
      <c r="ES549" s="17"/>
      <c r="ET549" s="17"/>
      <c r="EU549" s="16"/>
      <c r="EV549" s="16"/>
      <c r="EW549" s="17"/>
      <c r="EX549" s="17"/>
      <c r="EY549" s="16"/>
      <c r="EZ549" s="16"/>
      <c r="FA549" s="17"/>
      <c r="FB549" s="17"/>
      <c r="FC549" s="16"/>
      <c r="FD549" s="16"/>
      <c r="FE549" s="17"/>
      <c r="FF549" s="17"/>
      <c r="FG549" s="11"/>
      <c r="GT549" s="11"/>
      <c r="IG549" s="11"/>
      <c r="JT549" s="11"/>
      <c r="LG549" s="11"/>
      <c r="MT549" s="11"/>
      <c r="OG549" s="11"/>
      <c r="PT549" s="11"/>
    </row>
    <row r="550" spans="3:436" ht="15.75" x14ac:dyDescent="0.25">
      <c r="C550" s="20" t="s">
        <v>478</v>
      </c>
      <c r="D550" s="21" t="s">
        <v>136</v>
      </c>
      <c r="H550" s="11"/>
      <c r="AU550" s="11"/>
      <c r="CH550" s="11"/>
      <c r="CI550" s="16"/>
      <c r="CJ550" s="16"/>
      <c r="CK550" s="16"/>
      <c r="CL550" s="16"/>
      <c r="CM550" s="16"/>
      <c r="CN550" s="16"/>
      <c r="CO550" s="16"/>
      <c r="CP550" s="16"/>
      <c r="CQ550" s="16"/>
      <c r="CR550" s="16"/>
      <c r="CS550" s="16"/>
      <c r="CT550" s="16"/>
      <c r="CU550" s="16"/>
      <c r="CV550" s="16"/>
      <c r="CW550" s="16"/>
      <c r="CX550" s="16"/>
      <c r="CY550" s="16"/>
      <c r="CZ550" s="16"/>
      <c r="DA550" s="16"/>
      <c r="DB550" s="16"/>
      <c r="DC550" s="16"/>
      <c r="DD550" s="16"/>
      <c r="DE550" s="17"/>
      <c r="DF550" s="17"/>
      <c r="DG550" s="16"/>
      <c r="DH550" s="16"/>
      <c r="DI550" s="17"/>
      <c r="DJ550" s="17"/>
      <c r="DK550" s="16"/>
      <c r="DL550" s="16"/>
      <c r="DM550" s="17"/>
      <c r="DN550" s="17"/>
      <c r="DO550" s="16"/>
      <c r="DP550" s="16"/>
      <c r="DQ550" s="17"/>
      <c r="DR550" s="17"/>
      <c r="DS550" s="16"/>
      <c r="DT550" s="16"/>
      <c r="DU550" s="17"/>
      <c r="DV550" s="17"/>
      <c r="DW550" s="16"/>
      <c r="DX550" s="16"/>
      <c r="DY550" s="17"/>
      <c r="DZ550" s="17"/>
      <c r="EA550" s="16"/>
      <c r="EB550" s="16"/>
      <c r="EC550" s="17"/>
      <c r="ED550" s="17"/>
      <c r="EE550" s="16"/>
      <c r="EF550" s="16"/>
      <c r="EG550" s="17"/>
      <c r="EH550" s="17"/>
      <c r="EI550" s="16"/>
      <c r="EJ550" s="16"/>
      <c r="EK550" s="17"/>
      <c r="EL550" s="17"/>
      <c r="EM550" s="16"/>
      <c r="EN550" s="16"/>
      <c r="EO550" s="17"/>
      <c r="EP550" s="17"/>
      <c r="EQ550" s="16"/>
      <c r="ER550" s="16"/>
      <c r="ES550" s="17"/>
      <c r="ET550" s="17"/>
      <c r="EU550" s="16"/>
      <c r="EV550" s="16"/>
      <c r="EW550" s="17"/>
      <c r="EX550" s="17"/>
      <c r="EY550" s="16"/>
      <c r="EZ550" s="16"/>
      <c r="FA550" s="17"/>
      <c r="FB550" s="17"/>
      <c r="FC550" s="16"/>
      <c r="FD550" s="16"/>
      <c r="FE550" s="17"/>
      <c r="FF550" s="17"/>
      <c r="FG550" s="11"/>
      <c r="GT550" s="11"/>
      <c r="IG550" s="11"/>
      <c r="JT550" s="11"/>
      <c r="LG550" s="11"/>
      <c r="MT550" s="11"/>
      <c r="OG550" s="11"/>
      <c r="PT550" s="11"/>
    </row>
    <row r="551" spans="3:436" ht="15.75" x14ac:dyDescent="0.25">
      <c r="C551" s="20" t="s">
        <v>479</v>
      </c>
      <c r="D551" s="21" t="s">
        <v>104</v>
      </c>
      <c r="H551" s="11"/>
      <c r="AU551" s="11"/>
      <c r="CH551" s="11"/>
      <c r="CI551" s="16"/>
      <c r="CJ551" s="16"/>
      <c r="CK551" s="16"/>
      <c r="CL551" s="16"/>
      <c r="CM551" s="16"/>
      <c r="CN551" s="16"/>
      <c r="CO551" s="16"/>
      <c r="CP551" s="16"/>
      <c r="CQ551" s="16"/>
      <c r="CR551" s="16"/>
      <c r="CS551" s="16"/>
      <c r="CT551" s="16"/>
      <c r="CU551" s="16"/>
      <c r="CV551" s="16"/>
      <c r="CW551" s="16"/>
      <c r="CX551" s="16"/>
      <c r="CY551" s="16"/>
      <c r="CZ551" s="16"/>
      <c r="DA551" s="16"/>
      <c r="DB551" s="16"/>
      <c r="DC551" s="16"/>
      <c r="DD551" s="16"/>
      <c r="DE551" s="17"/>
      <c r="DF551" s="17"/>
      <c r="DG551" s="16"/>
      <c r="DH551" s="16"/>
      <c r="DI551" s="17"/>
      <c r="DJ551" s="17"/>
      <c r="DK551" s="16"/>
      <c r="DL551" s="16"/>
      <c r="DM551" s="17"/>
      <c r="DN551" s="17"/>
      <c r="DO551" s="16"/>
      <c r="DP551" s="16"/>
      <c r="DQ551" s="17"/>
      <c r="DR551" s="17"/>
      <c r="DS551" s="16"/>
      <c r="DT551" s="16"/>
      <c r="DU551" s="17"/>
      <c r="DV551" s="17"/>
      <c r="DW551" s="16"/>
      <c r="DX551" s="16"/>
      <c r="DY551" s="17"/>
      <c r="DZ551" s="17"/>
      <c r="EA551" s="16"/>
      <c r="EB551" s="16"/>
      <c r="EC551" s="17"/>
      <c r="ED551" s="17"/>
      <c r="EE551" s="16"/>
      <c r="EF551" s="16"/>
      <c r="EG551" s="17"/>
      <c r="EH551" s="17"/>
      <c r="EI551" s="16"/>
      <c r="EJ551" s="16"/>
      <c r="EK551" s="17"/>
      <c r="EL551" s="17"/>
      <c r="EM551" s="16"/>
      <c r="EN551" s="16"/>
      <c r="EO551" s="17"/>
      <c r="EP551" s="17"/>
      <c r="EQ551" s="16"/>
      <c r="ER551" s="16"/>
      <c r="ES551" s="17"/>
      <c r="ET551" s="17"/>
      <c r="EU551" s="16"/>
      <c r="EV551" s="16"/>
      <c r="EW551" s="17"/>
      <c r="EX551" s="17"/>
      <c r="EY551" s="16"/>
      <c r="EZ551" s="16"/>
      <c r="FA551" s="17"/>
      <c r="FB551" s="17"/>
      <c r="FC551" s="19">
        <v>4</v>
      </c>
      <c r="FD551" s="19">
        <v>4</v>
      </c>
      <c r="FE551" s="17"/>
      <c r="FF551" s="17"/>
      <c r="FG551" s="11"/>
      <c r="GT551" s="11"/>
      <c r="IG551" s="11"/>
      <c r="JT551" s="11"/>
      <c r="LG551" s="11"/>
      <c r="MT551" s="11"/>
      <c r="OG551" s="11"/>
      <c r="PT551" s="11"/>
    </row>
    <row r="552" spans="3:436" ht="15.75" x14ac:dyDescent="0.25">
      <c r="C552" s="20" t="s">
        <v>480</v>
      </c>
      <c r="D552" s="21" t="s">
        <v>90</v>
      </c>
      <c r="H552" s="11"/>
      <c r="AU552" s="11"/>
      <c r="CH552" s="11"/>
      <c r="CI552" s="16"/>
      <c r="CJ552" s="16"/>
      <c r="CK552" s="16"/>
      <c r="CL552" s="16"/>
      <c r="CM552" s="16"/>
      <c r="CN552" s="16"/>
      <c r="CO552" s="16"/>
      <c r="CP552" s="16"/>
      <c r="CQ552" s="16"/>
      <c r="CR552" s="16"/>
      <c r="CS552" s="16"/>
      <c r="CT552" s="16"/>
      <c r="CU552" s="16"/>
      <c r="CV552" s="16"/>
      <c r="CW552" s="16"/>
      <c r="CX552" s="16"/>
      <c r="CY552" s="16"/>
      <c r="CZ552" s="16"/>
      <c r="DA552" s="16"/>
      <c r="DB552" s="16"/>
      <c r="DC552" s="16"/>
      <c r="DD552" s="16"/>
      <c r="DE552" s="17"/>
      <c r="DF552" s="17"/>
      <c r="DG552" s="16"/>
      <c r="DH552" s="16"/>
      <c r="DI552" s="17"/>
      <c r="DJ552" s="17"/>
      <c r="DK552" s="16"/>
      <c r="DL552" s="16"/>
      <c r="DM552" s="17"/>
      <c r="DN552" s="17"/>
      <c r="DO552" s="16"/>
      <c r="DP552" s="16"/>
      <c r="DQ552" s="17"/>
      <c r="DR552" s="17"/>
      <c r="DS552" s="16"/>
      <c r="DT552" s="16"/>
      <c r="DU552" s="17"/>
      <c r="DV552" s="17"/>
      <c r="DW552" s="16"/>
      <c r="DX552" s="16"/>
      <c r="DY552" s="17"/>
      <c r="DZ552" s="17"/>
      <c r="EA552" s="16"/>
      <c r="EB552" s="16"/>
      <c r="EC552" s="17"/>
      <c r="ED552" s="17"/>
      <c r="EE552" s="16"/>
      <c r="EF552" s="16"/>
      <c r="EG552" s="17"/>
      <c r="EH552" s="17"/>
      <c r="EI552" s="16"/>
      <c r="EJ552" s="16"/>
      <c r="EK552" s="17"/>
      <c r="EL552" s="17"/>
      <c r="EM552" s="16"/>
      <c r="EN552" s="16"/>
      <c r="EO552" s="17"/>
      <c r="EP552" s="17"/>
      <c r="EQ552" s="16"/>
      <c r="ER552" s="16"/>
      <c r="ES552" s="17"/>
      <c r="ET552" s="17"/>
      <c r="EU552" s="16"/>
      <c r="EV552" s="16"/>
      <c r="EW552" s="17"/>
      <c r="EX552" s="17"/>
      <c r="EY552" s="16"/>
      <c r="EZ552" s="16"/>
      <c r="FA552" s="17"/>
      <c r="FB552" s="17"/>
      <c r="FC552" s="16"/>
      <c r="FD552" s="16"/>
      <c r="FE552" s="17"/>
      <c r="FF552" s="17"/>
      <c r="FG552" s="11"/>
      <c r="GT552" s="11"/>
      <c r="IG552" s="11"/>
      <c r="JT552" s="11"/>
      <c r="LG552" s="11"/>
      <c r="MT552" s="11"/>
      <c r="OG552" s="11"/>
      <c r="PT552" s="11"/>
    </row>
    <row r="553" spans="3:436" ht="15.75" x14ac:dyDescent="0.25">
      <c r="C553" s="20" t="s">
        <v>473</v>
      </c>
      <c r="D553" s="21" t="s">
        <v>79</v>
      </c>
      <c r="H553" s="11"/>
      <c r="AU553" s="11"/>
      <c r="CH553" s="11"/>
      <c r="CI553" s="16"/>
      <c r="CJ553" s="16"/>
      <c r="CK553" s="16"/>
      <c r="CL553" s="16"/>
      <c r="CM553" s="16"/>
      <c r="CN553" s="16"/>
      <c r="CO553" s="16"/>
      <c r="CP553" s="16"/>
      <c r="CQ553" s="16"/>
      <c r="CR553" s="16"/>
      <c r="CS553" s="16"/>
      <c r="CT553" s="16"/>
      <c r="CU553" s="16"/>
      <c r="CV553" s="16"/>
      <c r="CW553" s="16"/>
      <c r="CX553" s="16"/>
      <c r="CY553" s="16"/>
      <c r="CZ553" s="16"/>
      <c r="DA553" s="16"/>
      <c r="DB553" s="16"/>
      <c r="DC553" s="16"/>
      <c r="DD553" s="16"/>
      <c r="DE553" s="17"/>
      <c r="DF553" s="17"/>
      <c r="DG553" s="16"/>
      <c r="DH553" s="16"/>
      <c r="DI553" s="17"/>
      <c r="DJ553" s="17"/>
      <c r="DK553" s="16"/>
      <c r="DL553" s="16"/>
      <c r="DM553" s="17"/>
      <c r="DN553" s="17"/>
      <c r="DO553" s="16"/>
      <c r="DP553" s="16"/>
      <c r="DQ553" s="17"/>
      <c r="DR553" s="17"/>
      <c r="DS553" s="16"/>
      <c r="DT553" s="16"/>
      <c r="DU553" s="17"/>
      <c r="DV553" s="17"/>
      <c r="DW553" s="16"/>
      <c r="DX553" s="16"/>
      <c r="DY553" s="17"/>
      <c r="DZ553" s="17"/>
      <c r="EA553" s="16"/>
      <c r="EB553" s="16"/>
      <c r="EC553" s="17"/>
      <c r="ED553" s="17"/>
      <c r="EE553" s="16"/>
      <c r="EF553" s="16"/>
      <c r="EG553" s="17"/>
      <c r="EH553" s="17"/>
      <c r="EI553" s="16"/>
      <c r="EJ553" s="16"/>
      <c r="EK553" s="17"/>
      <c r="EL553" s="17"/>
      <c r="EM553" s="16"/>
      <c r="EN553" s="16"/>
      <c r="EO553" s="17"/>
      <c r="EP553" s="17"/>
      <c r="EQ553" s="16"/>
      <c r="ER553" s="16"/>
      <c r="ES553" s="17"/>
      <c r="ET553" s="17"/>
      <c r="EU553" s="16"/>
      <c r="EV553" s="16"/>
      <c r="EW553" s="17"/>
      <c r="EX553" s="17"/>
      <c r="EY553" s="16"/>
      <c r="EZ553" s="16"/>
      <c r="FA553" s="17"/>
      <c r="FB553" s="17"/>
      <c r="FC553" s="16"/>
      <c r="FD553" s="16"/>
      <c r="FE553" s="17"/>
      <c r="FF553" s="17"/>
      <c r="FG553" s="11"/>
      <c r="GT553" s="11"/>
      <c r="IG553" s="11"/>
      <c r="JT553" s="11"/>
      <c r="LG553" s="11"/>
      <c r="MT553" s="11"/>
      <c r="OG553" s="11"/>
      <c r="PT553" s="11"/>
    </row>
    <row r="554" spans="3:436" ht="15.75" x14ac:dyDescent="0.25">
      <c r="C554" s="20" t="s">
        <v>474</v>
      </c>
      <c r="D554" s="21" t="s">
        <v>134</v>
      </c>
      <c r="H554" s="11"/>
      <c r="AU554" s="11"/>
      <c r="CH554" s="11"/>
      <c r="CI554" s="16"/>
      <c r="CJ554" s="16"/>
      <c r="CK554" s="16"/>
      <c r="CL554" s="16"/>
      <c r="CM554" s="16"/>
      <c r="CN554" s="16"/>
      <c r="CO554" s="16"/>
      <c r="CP554" s="16"/>
      <c r="CQ554" s="16"/>
      <c r="CR554" s="16"/>
      <c r="CS554" s="16"/>
      <c r="CT554" s="16"/>
      <c r="CU554" s="16"/>
      <c r="CV554" s="16"/>
      <c r="CW554" s="16"/>
      <c r="CX554" s="16"/>
      <c r="CY554" s="16"/>
      <c r="CZ554" s="16"/>
      <c r="DA554" s="16"/>
      <c r="DB554" s="16"/>
      <c r="DC554" s="16"/>
      <c r="DD554" s="16"/>
      <c r="DE554" s="17"/>
      <c r="DF554" s="17"/>
      <c r="DG554" s="16"/>
      <c r="DH554" s="16"/>
      <c r="DI554" s="17"/>
      <c r="DJ554" s="17"/>
      <c r="DK554" s="16"/>
      <c r="DL554" s="16"/>
      <c r="DM554" s="17"/>
      <c r="DN554" s="17"/>
      <c r="DO554" s="16"/>
      <c r="DP554" s="16"/>
      <c r="DQ554" s="17"/>
      <c r="DR554" s="17"/>
      <c r="DS554" s="16"/>
      <c r="DT554" s="16"/>
      <c r="DU554" s="17"/>
      <c r="DV554" s="17"/>
      <c r="DW554" s="16"/>
      <c r="DX554" s="16"/>
      <c r="DY554" s="17"/>
      <c r="DZ554" s="17"/>
      <c r="EA554" s="16"/>
      <c r="EB554" s="16"/>
      <c r="EC554" s="17"/>
      <c r="ED554" s="17"/>
      <c r="EE554" s="16"/>
      <c r="EF554" s="16"/>
      <c r="EG554" s="17"/>
      <c r="EH554" s="17"/>
      <c r="EI554" s="16"/>
      <c r="EJ554" s="16"/>
      <c r="EK554" s="17"/>
      <c r="EL554" s="17"/>
      <c r="EM554" s="16"/>
      <c r="EN554" s="16"/>
      <c r="EO554" s="17"/>
      <c r="EP554" s="17"/>
      <c r="EQ554" s="16"/>
      <c r="ER554" s="16"/>
      <c r="ES554" s="17"/>
      <c r="ET554" s="17"/>
      <c r="EU554" s="16"/>
      <c r="EV554" s="16"/>
      <c r="EW554" s="17"/>
      <c r="EX554" s="17"/>
      <c r="EY554" s="16"/>
      <c r="EZ554" s="16"/>
      <c r="FA554" s="17"/>
      <c r="FB554" s="17"/>
      <c r="FC554" s="16"/>
      <c r="FD554" s="16"/>
      <c r="FE554" s="17"/>
      <c r="FF554" s="17"/>
      <c r="FG554" s="11"/>
      <c r="GT554" s="11"/>
      <c r="IG554" s="11"/>
      <c r="JT554" s="11"/>
      <c r="LG554" s="11"/>
      <c r="MT554" s="11"/>
      <c r="OG554" s="11"/>
      <c r="PT554" s="11"/>
    </row>
    <row r="555" spans="3:436" ht="15.75" x14ac:dyDescent="0.25">
      <c r="C555" s="20" t="s">
        <v>475</v>
      </c>
      <c r="D555" s="21" t="s">
        <v>129</v>
      </c>
      <c r="H555" s="11"/>
      <c r="AU555" s="11"/>
      <c r="CH555" s="11"/>
      <c r="CI555" s="16"/>
      <c r="CJ555" s="16"/>
      <c r="CK555" s="16"/>
      <c r="CL555" s="16"/>
      <c r="CM555" s="16"/>
      <c r="CN555" s="16"/>
      <c r="CO555" s="16"/>
      <c r="CP555" s="16"/>
      <c r="CQ555" s="16"/>
      <c r="CR555" s="16"/>
      <c r="CS555" s="16"/>
      <c r="CT555" s="16"/>
      <c r="CU555" s="16"/>
      <c r="CV555" s="16"/>
      <c r="CW555" s="16"/>
      <c r="CX555" s="16"/>
      <c r="CY555" s="16"/>
      <c r="CZ555" s="16"/>
      <c r="DA555" s="16"/>
      <c r="DB555" s="16"/>
      <c r="DC555" s="16"/>
      <c r="DD555" s="16"/>
      <c r="DE555" s="17"/>
      <c r="DF555" s="17"/>
      <c r="DG555" s="16"/>
      <c r="DH555" s="16"/>
      <c r="DI555" s="17"/>
      <c r="DJ555" s="17"/>
      <c r="DK555" s="16"/>
      <c r="DL555" s="16"/>
      <c r="DM555" s="17"/>
      <c r="DN555" s="17"/>
      <c r="DO555" s="16"/>
      <c r="DP555" s="16"/>
      <c r="DQ555" s="17"/>
      <c r="DR555" s="17"/>
      <c r="DS555" s="16"/>
      <c r="DT555" s="16"/>
      <c r="DU555" s="17"/>
      <c r="DV555" s="17"/>
      <c r="DW555" s="16"/>
      <c r="DX555" s="16"/>
      <c r="DY555" s="17"/>
      <c r="DZ555" s="17"/>
      <c r="EA555" s="16"/>
      <c r="EB555" s="16"/>
      <c r="EC555" s="17"/>
      <c r="ED555" s="17"/>
      <c r="EE555" s="16"/>
      <c r="EF555" s="16"/>
      <c r="EG555" s="17"/>
      <c r="EH555" s="17"/>
      <c r="EI555" s="16"/>
      <c r="EJ555" s="16"/>
      <c r="EK555" s="17"/>
      <c r="EL555" s="17"/>
      <c r="EM555" s="16"/>
      <c r="EN555" s="16"/>
      <c r="EO555" s="17"/>
      <c r="EP555" s="17"/>
      <c r="EQ555" s="16"/>
      <c r="ER555" s="16"/>
      <c r="ES555" s="17"/>
      <c r="ET555" s="17"/>
      <c r="EU555" s="16"/>
      <c r="EV555" s="16"/>
      <c r="EW555" s="17"/>
      <c r="EX555" s="17"/>
      <c r="EY555" s="16"/>
      <c r="EZ555" s="16"/>
      <c r="FA555" s="17"/>
      <c r="FB555" s="17"/>
      <c r="FC555" s="16"/>
      <c r="FD555" s="16"/>
      <c r="FE555" s="17"/>
      <c r="FF555" s="17"/>
      <c r="FG555" s="11"/>
      <c r="GT555" s="11"/>
      <c r="IG555" s="11"/>
      <c r="JT555" s="11"/>
      <c r="LG555" s="11"/>
      <c r="MT555" s="11"/>
      <c r="OG555" s="11"/>
      <c r="PT555" s="11"/>
    </row>
    <row r="556" spans="3:436" ht="15.75" x14ac:dyDescent="0.25">
      <c r="C556" s="20" t="s">
        <v>476</v>
      </c>
      <c r="D556" s="21" t="s">
        <v>136</v>
      </c>
      <c r="H556" s="11"/>
      <c r="AU556" s="11"/>
      <c r="CH556" s="11"/>
      <c r="CI556" s="16"/>
      <c r="CJ556" s="16"/>
      <c r="CK556" s="16"/>
      <c r="CL556" s="16"/>
      <c r="CM556" s="16"/>
      <c r="CN556" s="16"/>
      <c r="CO556" s="16"/>
      <c r="CP556" s="16"/>
      <c r="CQ556" s="16"/>
      <c r="CR556" s="16"/>
      <c r="CS556" s="16"/>
      <c r="CT556" s="16"/>
      <c r="CU556" s="16"/>
      <c r="CV556" s="16"/>
      <c r="CW556" s="16"/>
      <c r="CX556" s="16"/>
      <c r="CY556" s="16"/>
      <c r="CZ556" s="16"/>
      <c r="DA556" s="16"/>
      <c r="DB556" s="16"/>
      <c r="DC556" s="16"/>
      <c r="DD556" s="16"/>
      <c r="DE556" s="17"/>
      <c r="DF556" s="17"/>
      <c r="DG556" s="16"/>
      <c r="DH556" s="16"/>
      <c r="DI556" s="17"/>
      <c r="DJ556" s="17"/>
      <c r="DK556" s="16"/>
      <c r="DL556" s="16"/>
      <c r="DM556" s="17"/>
      <c r="DN556" s="17"/>
      <c r="DO556" s="16"/>
      <c r="DP556" s="16"/>
      <c r="DQ556" s="17"/>
      <c r="DR556" s="17"/>
      <c r="DS556" s="16"/>
      <c r="DT556" s="16"/>
      <c r="DU556" s="17"/>
      <c r="DV556" s="17"/>
      <c r="DW556" s="16"/>
      <c r="DX556" s="16"/>
      <c r="DY556" s="17"/>
      <c r="DZ556" s="17"/>
      <c r="EA556" s="16"/>
      <c r="EB556" s="16"/>
      <c r="EC556" s="17"/>
      <c r="ED556" s="17"/>
      <c r="EE556" s="16"/>
      <c r="EF556" s="16"/>
      <c r="EG556" s="17"/>
      <c r="EH556" s="17"/>
      <c r="EI556" s="16"/>
      <c r="EJ556" s="16"/>
      <c r="EK556" s="17"/>
      <c r="EL556" s="17"/>
      <c r="EM556" s="16"/>
      <c r="EN556" s="16"/>
      <c r="EO556" s="17"/>
      <c r="EP556" s="17"/>
      <c r="EQ556" s="16"/>
      <c r="ER556" s="16"/>
      <c r="ES556" s="17"/>
      <c r="ET556" s="17"/>
      <c r="EU556" s="16"/>
      <c r="EV556" s="16"/>
      <c r="EW556" s="17"/>
      <c r="EX556" s="17"/>
      <c r="EY556" s="16"/>
      <c r="EZ556" s="16"/>
      <c r="FA556" s="17"/>
      <c r="FB556" s="17"/>
      <c r="FC556" s="16"/>
      <c r="FD556" s="16"/>
      <c r="FE556" s="17"/>
      <c r="FF556" s="17"/>
      <c r="FG556" s="11"/>
      <c r="GT556" s="11"/>
      <c r="IG556" s="11"/>
      <c r="JT556" s="11"/>
      <c r="LG556" s="11"/>
      <c r="MT556" s="11"/>
      <c r="OG556" s="11"/>
      <c r="PT556" s="11"/>
    </row>
    <row r="557" spans="3:436" ht="15.75" x14ac:dyDescent="0.25">
      <c r="C557" s="20" t="s">
        <v>477</v>
      </c>
      <c r="D557" s="21" t="s">
        <v>136</v>
      </c>
      <c r="H557" s="11"/>
      <c r="AU557" s="11"/>
      <c r="CH557" s="11"/>
      <c r="CI557" s="16"/>
      <c r="CJ557" s="16"/>
      <c r="CK557" s="16"/>
      <c r="CL557" s="16"/>
      <c r="CM557" s="16"/>
      <c r="CN557" s="16"/>
      <c r="CO557" s="16"/>
      <c r="CP557" s="16"/>
      <c r="CQ557" s="16"/>
      <c r="CR557" s="16"/>
      <c r="CS557" s="16"/>
      <c r="CT557" s="16"/>
      <c r="CU557" s="16"/>
      <c r="CV557" s="16"/>
      <c r="CW557" s="16"/>
      <c r="CX557" s="16"/>
      <c r="CY557" s="16"/>
      <c r="CZ557" s="16"/>
      <c r="DA557" s="16"/>
      <c r="DB557" s="16"/>
      <c r="DC557" s="16"/>
      <c r="DD557" s="16"/>
      <c r="DE557" s="17"/>
      <c r="DF557" s="17"/>
      <c r="DG557" s="16"/>
      <c r="DH557" s="16"/>
      <c r="DI557" s="17"/>
      <c r="DJ557" s="17"/>
      <c r="DK557" s="16"/>
      <c r="DL557" s="16"/>
      <c r="DM557" s="17"/>
      <c r="DN557" s="17"/>
      <c r="DO557" s="16"/>
      <c r="DP557" s="16"/>
      <c r="DQ557" s="17"/>
      <c r="DR557" s="17"/>
      <c r="DS557" s="16"/>
      <c r="DT557" s="16"/>
      <c r="DU557" s="17"/>
      <c r="DV557" s="17"/>
      <c r="DW557" s="16"/>
      <c r="DX557" s="16"/>
      <c r="DY557" s="17"/>
      <c r="DZ557" s="17"/>
      <c r="EA557" s="16"/>
      <c r="EB557" s="16"/>
      <c r="EC557" s="17"/>
      <c r="ED557" s="17"/>
      <c r="EE557" s="16"/>
      <c r="EF557" s="16"/>
      <c r="EG557" s="17"/>
      <c r="EH557" s="17"/>
      <c r="EI557" s="16"/>
      <c r="EJ557" s="16"/>
      <c r="EK557" s="17"/>
      <c r="EL557" s="17"/>
      <c r="EM557" s="16"/>
      <c r="EN557" s="16"/>
      <c r="EO557" s="17"/>
      <c r="EP557" s="17"/>
      <c r="EQ557" s="16"/>
      <c r="ER557" s="16"/>
      <c r="ES557" s="17"/>
      <c r="ET557" s="17"/>
      <c r="EU557" s="16"/>
      <c r="EV557" s="16"/>
      <c r="EW557" s="17"/>
      <c r="EX557" s="17"/>
      <c r="EY557" s="16"/>
      <c r="EZ557" s="16"/>
      <c r="FA557" s="17"/>
      <c r="FB557" s="17"/>
      <c r="FC557" s="16"/>
      <c r="FD557" s="16"/>
      <c r="FE557" s="17"/>
      <c r="FF557" s="17"/>
      <c r="FG557" s="11"/>
      <c r="GT557" s="11"/>
      <c r="IG557" s="11"/>
      <c r="JT557" s="11"/>
      <c r="LG557" s="11"/>
      <c r="MT557" s="11"/>
      <c r="OG557" s="11"/>
      <c r="PT557" s="11"/>
    </row>
    <row r="558" spans="3:436" ht="15.75" x14ac:dyDescent="0.25">
      <c r="C558" s="20" t="s">
        <v>478</v>
      </c>
      <c r="D558" s="21" t="s">
        <v>136</v>
      </c>
      <c r="H558" s="11"/>
      <c r="AU558" s="11"/>
      <c r="CH558" s="11"/>
      <c r="CI558" s="16"/>
      <c r="CJ558" s="16"/>
      <c r="CK558" s="16"/>
      <c r="CL558" s="16"/>
      <c r="CM558" s="16"/>
      <c r="CN558" s="16"/>
      <c r="CO558" s="16"/>
      <c r="CP558" s="16"/>
      <c r="CQ558" s="16"/>
      <c r="CR558" s="16"/>
      <c r="CS558" s="16"/>
      <c r="CT558" s="16"/>
      <c r="CU558" s="16"/>
      <c r="CV558" s="16"/>
      <c r="CW558" s="16"/>
      <c r="CX558" s="16"/>
      <c r="CY558" s="16"/>
      <c r="CZ558" s="16"/>
      <c r="DA558" s="16"/>
      <c r="DB558" s="16"/>
      <c r="DC558" s="16"/>
      <c r="DD558" s="16"/>
      <c r="DE558" s="17"/>
      <c r="DF558" s="17"/>
      <c r="DG558" s="16"/>
      <c r="DH558" s="16"/>
      <c r="DI558" s="17"/>
      <c r="DJ558" s="17"/>
      <c r="DK558" s="16"/>
      <c r="DL558" s="16"/>
      <c r="DM558" s="17"/>
      <c r="DN558" s="17"/>
      <c r="DO558" s="16"/>
      <c r="DP558" s="16"/>
      <c r="DQ558" s="17"/>
      <c r="DR558" s="17"/>
      <c r="DS558" s="16"/>
      <c r="DT558" s="16"/>
      <c r="DU558" s="17"/>
      <c r="DV558" s="17"/>
      <c r="DW558" s="16"/>
      <c r="DX558" s="16"/>
      <c r="DY558" s="17"/>
      <c r="DZ558" s="17"/>
      <c r="EA558" s="16"/>
      <c r="EB558" s="16"/>
      <c r="EC558" s="17"/>
      <c r="ED558" s="17"/>
      <c r="EE558" s="16"/>
      <c r="EF558" s="16"/>
      <c r="EG558" s="17"/>
      <c r="EH558" s="17"/>
      <c r="EI558" s="16"/>
      <c r="EJ558" s="16"/>
      <c r="EK558" s="17"/>
      <c r="EL558" s="17"/>
      <c r="EM558" s="16"/>
      <c r="EN558" s="16"/>
      <c r="EO558" s="17"/>
      <c r="EP558" s="17"/>
      <c r="EQ558" s="16"/>
      <c r="ER558" s="16"/>
      <c r="ES558" s="17"/>
      <c r="ET558" s="17"/>
      <c r="EU558" s="16"/>
      <c r="EV558" s="16"/>
      <c r="EW558" s="17"/>
      <c r="EX558" s="17"/>
      <c r="EY558" s="16"/>
      <c r="EZ558" s="16"/>
      <c r="FA558" s="17"/>
      <c r="FB558" s="17"/>
      <c r="FC558" s="16"/>
      <c r="FD558" s="16"/>
      <c r="FE558" s="17"/>
      <c r="FF558" s="17"/>
      <c r="FG558" s="11"/>
      <c r="GT558" s="11"/>
      <c r="IG558" s="11"/>
      <c r="JT558" s="11"/>
      <c r="LG558" s="11"/>
      <c r="MT558" s="11"/>
      <c r="OG558" s="11"/>
      <c r="PT558" s="11"/>
    </row>
    <row r="559" spans="3:436" ht="15.75" x14ac:dyDescent="0.25">
      <c r="C559" s="20" t="s">
        <v>479</v>
      </c>
      <c r="D559" s="21" t="s">
        <v>104</v>
      </c>
      <c r="H559" s="11"/>
      <c r="AU559" s="11"/>
      <c r="CH559" s="11"/>
      <c r="CI559" s="16"/>
      <c r="CJ559" s="16"/>
      <c r="CK559" s="16"/>
      <c r="CL559" s="16"/>
      <c r="CM559" s="16"/>
      <c r="CN559" s="16"/>
      <c r="CO559" s="16"/>
      <c r="CP559" s="16"/>
      <c r="CQ559" s="16"/>
      <c r="CR559" s="16"/>
      <c r="CS559" s="16"/>
      <c r="CT559" s="16"/>
      <c r="CU559" s="16"/>
      <c r="CV559" s="16"/>
      <c r="CW559" s="16"/>
      <c r="CX559" s="16"/>
      <c r="CY559" s="16"/>
      <c r="CZ559" s="16"/>
      <c r="DA559" s="16"/>
      <c r="DB559" s="16"/>
      <c r="DC559" s="16"/>
      <c r="DD559" s="16"/>
      <c r="DE559" s="17"/>
      <c r="DF559" s="17"/>
      <c r="DG559" s="16"/>
      <c r="DH559" s="16"/>
      <c r="DI559" s="17"/>
      <c r="DJ559" s="17"/>
      <c r="DK559" s="16"/>
      <c r="DL559" s="16"/>
      <c r="DM559" s="17"/>
      <c r="DN559" s="17"/>
      <c r="DO559" s="16"/>
      <c r="DP559" s="16"/>
      <c r="DQ559" s="17"/>
      <c r="DR559" s="17"/>
      <c r="DS559" s="16"/>
      <c r="DT559" s="16"/>
      <c r="DU559" s="17"/>
      <c r="DV559" s="17"/>
      <c r="DW559" s="16"/>
      <c r="DX559" s="16"/>
      <c r="DY559" s="17"/>
      <c r="DZ559" s="17"/>
      <c r="EA559" s="16"/>
      <c r="EB559" s="16"/>
      <c r="EC559" s="17"/>
      <c r="ED559" s="17"/>
      <c r="EE559" s="16"/>
      <c r="EF559" s="16"/>
      <c r="EG559" s="17"/>
      <c r="EH559" s="17"/>
      <c r="EI559" s="16"/>
      <c r="EJ559" s="16"/>
      <c r="EK559" s="17"/>
      <c r="EL559" s="17"/>
      <c r="EM559" s="16"/>
      <c r="EN559" s="16"/>
      <c r="EO559" s="17"/>
      <c r="EP559" s="17"/>
      <c r="EQ559" s="16"/>
      <c r="ER559" s="16"/>
      <c r="ES559" s="17"/>
      <c r="ET559" s="17"/>
      <c r="EU559" s="16"/>
      <c r="EV559" s="16"/>
      <c r="EW559" s="17"/>
      <c r="EX559" s="17"/>
      <c r="EY559" s="16"/>
      <c r="EZ559" s="16"/>
      <c r="FA559" s="17"/>
      <c r="FB559" s="17"/>
      <c r="FC559" s="16"/>
      <c r="FD559" s="16"/>
      <c r="FE559" s="17"/>
      <c r="FF559" s="17"/>
      <c r="FG559" s="11"/>
      <c r="GT559" s="11"/>
      <c r="IG559" s="11"/>
      <c r="JT559" s="11"/>
      <c r="LG559" s="11"/>
      <c r="MT559" s="11"/>
      <c r="OG559" s="11"/>
      <c r="PT559" s="11"/>
    </row>
    <row r="560" spans="3:436" ht="15.75" x14ac:dyDescent="0.25">
      <c r="C560" s="20" t="s">
        <v>480</v>
      </c>
      <c r="D560" s="21" t="s">
        <v>90</v>
      </c>
      <c r="H560" s="11"/>
      <c r="AU560" s="11"/>
      <c r="CH560" s="11"/>
      <c r="CI560" s="16"/>
      <c r="CJ560" s="16"/>
      <c r="CK560" s="16"/>
      <c r="CL560" s="16"/>
      <c r="CM560" s="16"/>
      <c r="CN560" s="16"/>
      <c r="CO560" s="16"/>
      <c r="CP560" s="16"/>
      <c r="CQ560" s="16"/>
      <c r="CR560" s="16"/>
      <c r="CS560" s="16"/>
      <c r="CT560" s="16"/>
      <c r="CU560" s="16"/>
      <c r="CV560" s="16"/>
      <c r="CW560" s="16"/>
      <c r="CX560" s="16"/>
      <c r="CY560" s="16"/>
      <c r="CZ560" s="16"/>
      <c r="DA560" s="16"/>
      <c r="DB560" s="16"/>
      <c r="DC560" s="16"/>
      <c r="DD560" s="16"/>
      <c r="DE560" s="17"/>
      <c r="DF560" s="17"/>
      <c r="DG560" s="16"/>
      <c r="DH560" s="16"/>
      <c r="DI560" s="17"/>
      <c r="DJ560" s="17"/>
      <c r="DK560" s="16"/>
      <c r="DL560" s="16"/>
      <c r="DM560" s="17"/>
      <c r="DN560" s="17"/>
      <c r="DO560" s="16"/>
      <c r="DP560" s="16"/>
      <c r="DQ560" s="17"/>
      <c r="DR560" s="17"/>
      <c r="DS560" s="16"/>
      <c r="DT560" s="16"/>
      <c r="DU560" s="17"/>
      <c r="DV560" s="17"/>
      <c r="DW560" s="16"/>
      <c r="DX560" s="16"/>
      <c r="DY560" s="17"/>
      <c r="DZ560" s="17"/>
      <c r="EA560" s="16"/>
      <c r="EB560" s="16"/>
      <c r="EC560" s="17"/>
      <c r="ED560" s="17"/>
      <c r="EE560" s="16"/>
      <c r="EF560" s="16"/>
      <c r="EG560" s="17"/>
      <c r="EH560" s="17"/>
      <c r="EI560" s="16"/>
      <c r="EJ560" s="16"/>
      <c r="EK560" s="17"/>
      <c r="EL560" s="17"/>
      <c r="EM560" s="16"/>
      <c r="EN560" s="16"/>
      <c r="EO560" s="17"/>
      <c r="EP560" s="17"/>
      <c r="EQ560" s="16"/>
      <c r="ER560" s="16"/>
      <c r="ES560" s="17"/>
      <c r="ET560" s="17"/>
      <c r="EU560" s="16"/>
      <c r="EV560" s="16"/>
      <c r="EW560" s="17"/>
      <c r="EX560" s="17"/>
      <c r="EY560" s="16"/>
      <c r="EZ560" s="16"/>
      <c r="FA560" s="17"/>
      <c r="FB560" s="17"/>
      <c r="FC560" s="16"/>
      <c r="FD560" s="16"/>
      <c r="FE560" s="17"/>
      <c r="FF560" s="17"/>
      <c r="FG560" s="11"/>
      <c r="GT560" s="11"/>
      <c r="IG560" s="11"/>
      <c r="JT560" s="11"/>
      <c r="LG560" s="11"/>
      <c r="MT560" s="11"/>
      <c r="OG560" s="11"/>
      <c r="PT560" s="11"/>
    </row>
    <row r="561" spans="1:436" ht="15.75" x14ac:dyDescent="0.25">
      <c r="C561" s="20" t="s">
        <v>481</v>
      </c>
      <c r="D561" s="21" t="s">
        <v>136</v>
      </c>
      <c r="H561" s="11"/>
      <c r="AU561" s="11"/>
      <c r="CH561" s="11"/>
      <c r="CI561" s="16"/>
      <c r="CJ561" s="16"/>
      <c r="CK561" s="16"/>
      <c r="CL561" s="16"/>
      <c r="CM561" s="16"/>
      <c r="CN561" s="16"/>
      <c r="CO561" s="16"/>
      <c r="CP561" s="16"/>
      <c r="CQ561" s="16"/>
      <c r="CR561" s="16"/>
      <c r="CS561" s="16"/>
      <c r="CT561" s="16"/>
      <c r="CU561" s="16"/>
      <c r="CV561" s="16"/>
      <c r="CW561" s="16"/>
      <c r="CX561" s="16"/>
      <c r="CY561" s="16"/>
      <c r="CZ561" s="16"/>
      <c r="DA561" s="16"/>
      <c r="DB561" s="16"/>
      <c r="DC561" s="16"/>
      <c r="DD561" s="16"/>
      <c r="DE561" s="17"/>
      <c r="DF561" s="17"/>
      <c r="DG561" s="16"/>
      <c r="DH561" s="16"/>
      <c r="DI561" s="17"/>
      <c r="DJ561" s="17"/>
      <c r="DK561" s="16"/>
      <c r="DL561" s="16"/>
      <c r="DM561" s="17"/>
      <c r="DN561" s="17"/>
      <c r="DO561" s="16"/>
      <c r="DP561" s="16"/>
      <c r="DQ561" s="17"/>
      <c r="DR561" s="17"/>
      <c r="DS561" s="16"/>
      <c r="DT561" s="16"/>
      <c r="DU561" s="17"/>
      <c r="DV561" s="17"/>
      <c r="DW561" s="16"/>
      <c r="DX561" s="16"/>
      <c r="DY561" s="17"/>
      <c r="DZ561" s="17"/>
      <c r="EA561" s="16"/>
      <c r="EB561" s="16"/>
      <c r="EC561" s="18">
        <v>81.099999999999994</v>
      </c>
      <c r="ED561" s="18">
        <v>91.4</v>
      </c>
      <c r="EE561" s="16"/>
      <c r="EF561" s="16"/>
      <c r="EG561" s="17"/>
      <c r="EH561" s="17"/>
      <c r="EI561" s="16"/>
      <c r="EJ561" s="16"/>
      <c r="EK561" s="17"/>
      <c r="EL561" s="17"/>
      <c r="EM561" s="16"/>
      <c r="EN561" s="16"/>
      <c r="EO561" s="17"/>
      <c r="EP561" s="17"/>
      <c r="EQ561" s="16"/>
      <c r="ER561" s="16"/>
      <c r="ES561" s="17"/>
      <c r="ET561" s="17"/>
      <c r="EU561" s="16"/>
      <c r="EV561" s="16"/>
      <c r="EW561" s="17"/>
      <c r="EX561" s="17"/>
      <c r="EY561" s="16"/>
      <c r="EZ561" s="16"/>
      <c r="FA561" s="17"/>
      <c r="FB561" s="17"/>
      <c r="FC561" s="16"/>
      <c r="FD561" s="16"/>
      <c r="FE561" s="17"/>
      <c r="FF561" s="17"/>
      <c r="FG561" s="11"/>
      <c r="GT561" s="11"/>
      <c r="IG561" s="11"/>
      <c r="JT561" s="11"/>
      <c r="LG561" s="11"/>
      <c r="MT561" s="11"/>
      <c r="OG561" s="11"/>
      <c r="PT561" s="11"/>
    </row>
    <row r="562" spans="1:436" ht="15.75" x14ac:dyDescent="0.25">
      <c r="A562" s="13"/>
      <c r="B562" s="14" t="s">
        <v>482</v>
      </c>
      <c r="C562" s="13"/>
      <c r="D562" s="13"/>
      <c r="E562" s="15" t="s">
        <v>127</v>
      </c>
      <c r="F562" s="15" t="s">
        <v>177</v>
      </c>
      <c r="G562" s="13"/>
      <c r="H562" s="11"/>
      <c r="AU562" s="11"/>
      <c r="CH562" s="11"/>
      <c r="CI562" s="16"/>
      <c r="CJ562" s="16"/>
      <c r="CK562" s="16"/>
      <c r="CL562" s="16"/>
      <c r="CM562" s="16"/>
      <c r="CN562" s="16"/>
      <c r="CO562" s="16"/>
      <c r="CP562" s="16"/>
      <c r="CQ562" s="16"/>
      <c r="CR562" s="16"/>
      <c r="CS562" s="16"/>
      <c r="CT562" s="16"/>
      <c r="CU562" s="16"/>
      <c r="CV562" s="16"/>
      <c r="CW562" s="16"/>
      <c r="CX562" s="16"/>
      <c r="CY562" s="16"/>
      <c r="CZ562" s="16"/>
      <c r="DA562" s="16"/>
      <c r="DB562" s="16"/>
      <c r="DC562" s="16"/>
      <c r="DD562" s="16"/>
      <c r="DE562" s="17"/>
      <c r="DF562" s="17"/>
      <c r="DG562" s="16"/>
      <c r="DH562" s="16"/>
      <c r="DI562" s="17"/>
      <c r="DJ562" s="17"/>
      <c r="DK562" s="16"/>
      <c r="DL562" s="16"/>
      <c r="DM562" s="17"/>
      <c r="DN562" s="17"/>
      <c r="DO562" s="16"/>
      <c r="DP562" s="16"/>
      <c r="DQ562" s="17"/>
      <c r="DR562" s="17"/>
      <c r="DS562" s="16"/>
      <c r="DT562" s="16"/>
      <c r="DU562" s="17"/>
      <c r="DV562" s="17"/>
      <c r="DW562" s="16"/>
      <c r="DX562" s="16"/>
      <c r="DY562" s="17"/>
      <c r="DZ562" s="17"/>
      <c r="EA562" s="16"/>
      <c r="EB562" s="16"/>
      <c r="EC562" s="18">
        <v>176.8</v>
      </c>
      <c r="ED562" s="18">
        <v>195.4</v>
      </c>
      <c r="EE562" s="16"/>
      <c r="EF562" s="16"/>
      <c r="EG562" s="17"/>
      <c r="EH562" s="17"/>
      <c r="EI562" s="16"/>
      <c r="EJ562" s="16"/>
      <c r="EK562" s="17"/>
      <c r="EL562" s="17"/>
      <c r="EM562" s="16"/>
      <c r="EN562" s="16"/>
      <c r="EO562" s="17"/>
      <c r="EP562" s="17"/>
      <c r="EQ562" s="16"/>
      <c r="ER562" s="16"/>
      <c r="ES562" s="17"/>
      <c r="ET562" s="17"/>
      <c r="EU562" s="16"/>
      <c r="EV562" s="16"/>
      <c r="EW562" s="17"/>
      <c r="EX562" s="17"/>
      <c r="EY562" s="16"/>
      <c r="EZ562" s="16"/>
      <c r="FA562" s="17"/>
      <c r="FB562" s="17"/>
      <c r="FC562" s="16"/>
      <c r="FD562" s="16"/>
      <c r="FE562" s="17"/>
      <c r="FF562" s="17"/>
      <c r="FG562" s="11"/>
      <c r="GT562" s="11"/>
      <c r="IG562" s="11"/>
      <c r="JT562" s="11"/>
      <c r="LG562" s="11"/>
      <c r="MT562" s="11"/>
      <c r="OG562" s="11"/>
      <c r="PT562" s="11"/>
    </row>
    <row r="563" spans="1:436" ht="15.75" x14ac:dyDescent="0.25">
      <c r="C563" s="20" t="s">
        <v>483</v>
      </c>
      <c r="D563" s="21" t="s">
        <v>136</v>
      </c>
      <c r="H563" s="11"/>
      <c r="AU563" s="11"/>
      <c r="CH563" s="11"/>
      <c r="CI563" s="16"/>
      <c r="CJ563" s="16"/>
      <c r="CK563" s="16"/>
      <c r="CL563" s="16"/>
      <c r="CM563" s="16"/>
      <c r="CN563" s="16"/>
      <c r="CO563" s="16"/>
      <c r="CP563" s="16"/>
      <c r="CQ563" s="16"/>
      <c r="CR563" s="16"/>
      <c r="CS563" s="16"/>
      <c r="CT563" s="16"/>
      <c r="CU563" s="16"/>
      <c r="CV563" s="16"/>
      <c r="CW563" s="16"/>
      <c r="CX563" s="16"/>
      <c r="CY563" s="16"/>
      <c r="CZ563" s="16"/>
      <c r="DA563" s="16"/>
      <c r="DB563" s="16"/>
      <c r="DC563" s="16"/>
      <c r="DD563" s="16"/>
      <c r="DE563" s="17"/>
      <c r="DF563" s="17"/>
      <c r="DG563" s="16"/>
      <c r="DH563" s="16"/>
      <c r="DI563" s="17"/>
      <c r="DJ563" s="17"/>
      <c r="DK563" s="16"/>
      <c r="DL563" s="16"/>
      <c r="DM563" s="17"/>
      <c r="DN563" s="17"/>
      <c r="DO563" s="16"/>
      <c r="DP563" s="16"/>
      <c r="DQ563" s="17"/>
      <c r="DR563" s="17"/>
      <c r="DS563" s="16"/>
      <c r="DT563" s="16"/>
      <c r="DU563" s="17"/>
      <c r="DV563" s="17"/>
      <c r="DW563" s="16"/>
      <c r="DX563" s="16"/>
      <c r="DY563" s="17"/>
      <c r="DZ563" s="17"/>
      <c r="EA563" s="16"/>
      <c r="EB563" s="16"/>
      <c r="EC563" s="18">
        <v>81.099999999999994</v>
      </c>
      <c r="ED563" s="18">
        <v>92.6</v>
      </c>
      <c r="EE563" s="16"/>
      <c r="EF563" s="16"/>
      <c r="EG563" s="17"/>
      <c r="EH563" s="17"/>
      <c r="EI563" s="16"/>
      <c r="EJ563" s="16"/>
      <c r="EK563" s="17"/>
      <c r="EL563" s="17"/>
      <c r="EM563" s="16"/>
      <c r="EN563" s="16"/>
      <c r="EO563" s="17"/>
      <c r="EP563" s="17"/>
      <c r="EQ563" s="16"/>
      <c r="ER563" s="16"/>
      <c r="ES563" s="17"/>
      <c r="ET563" s="17"/>
      <c r="EU563" s="16"/>
      <c r="EV563" s="16"/>
      <c r="EW563" s="17"/>
      <c r="EX563" s="17"/>
      <c r="EY563" s="16"/>
      <c r="EZ563" s="16"/>
      <c r="FA563" s="17"/>
      <c r="FB563" s="17"/>
      <c r="FC563" s="16"/>
      <c r="FD563" s="16"/>
      <c r="FE563" s="17"/>
      <c r="FF563" s="17"/>
      <c r="FG563" s="11"/>
      <c r="GT563" s="11"/>
      <c r="IG563" s="11"/>
      <c r="JT563" s="11"/>
      <c r="LG563" s="11"/>
      <c r="MT563" s="11"/>
      <c r="OG563" s="11"/>
      <c r="PT563" s="11"/>
    </row>
    <row r="564" spans="1:436" ht="15.75" x14ac:dyDescent="0.25">
      <c r="C564" s="20" t="s">
        <v>484</v>
      </c>
      <c r="D564" s="21" t="s">
        <v>136</v>
      </c>
      <c r="H564" s="11"/>
      <c r="AU564" s="11"/>
      <c r="CH564" s="11"/>
      <c r="CI564" s="16"/>
      <c r="CJ564" s="16"/>
      <c r="CK564" s="16"/>
      <c r="CL564" s="16"/>
      <c r="CM564" s="16"/>
      <c r="CN564" s="16"/>
      <c r="CO564" s="16"/>
      <c r="CP564" s="16"/>
      <c r="CQ564" s="16"/>
      <c r="CR564" s="16"/>
      <c r="CS564" s="16"/>
      <c r="CT564" s="16"/>
      <c r="CU564" s="16"/>
      <c r="CV564" s="16"/>
      <c r="CW564" s="16"/>
      <c r="CX564" s="16"/>
      <c r="CY564" s="16"/>
      <c r="CZ564" s="16"/>
      <c r="DA564" s="16"/>
      <c r="DB564" s="16"/>
      <c r="DC564" s="16"/>
      <c r="DD564" s="16"/>
      <c r="DE564" s="17"/>
      <c r="DF564" s="17"/>
      <c r="DG564" s="16"/>
      <c r="DH564" s="16"/>
      <c r="DI564" s="17"/>
      <c r="DJ564" s="17"/>
      <c r="DK564" s="16"/>
      <c r="DL564" s="16"/>
      <c r="DM564" s="17"/>
      <c r="DN564" s="17"/>
      <c r="DO564" s="16"/>
      <c r="DP564" s="16"/>
      <c r="DQ564" s="17"/>
      <c r="DR564" s="17"/>
      <c r="DS564" s="16"/>
      <c r="DT564" s="16"/>
      <c r="DU564" s="17"/>
      <c r="DV564" s="17"/>
      <c r="DW564" s="16"/>
      <c r="DX564" s="16"/>
      <c r="DY564" s="17"/>
      <c r="DZ564" s="17"/>
      <c r="EA564" s="16"/>
      <c r="EB564" s="16"/>
      <c r="EC564" s="18">
        <v>50</v>
      </c>
      <c r="ED564" s="18">
        <v>57.1</v>
      </c>
      <c r="EE564" s="16"/>
      <c r="EF564" s="16"/>
      <c r="EG564" s="17"/>
      <c r="EH564" s="17"/>
      <c r="EI564" s="16"/>
      <c r="EJ564" s="16"/>
      <c r="EK564" s="17"/>
      <c r="EL564" s="17"/>
      <c r="EM564" s="16"/>
      <c r="EN564" s="16"/>
      <c r="EO564" s="17"/>
      <c r="EP564" s="17"/>
      <c r="EQ564" s="16"/>
      <c r="ER564" s="16"/>
      <c r="ES564" s="17"/>
      <c r="ET564" s="17"/>
      <c r="EU564" s="16"/>
      <c r="EV564" s="16"/>
      <c r="EW564" s="17"/>
      <c r="EX564" s="17"/>
      <c r="EY564" s="16"/>
      <c r="EZ564" s="16"/>
      <c r="FA564" s="17"/>
      <c r="FB564" s="17"/>
      <c r="FC564" s="16"/>
      <c r="FD564" s="16"/>
      <c r="FE564" s="17"/>
      <c r="FF564" s="17"/>
      <c r="FG564" s="11"/>
      <c r="GT564" s="11"/>
      <c r="IG564" s="11"/>
      <c r="JT564" s="11"/>
      <c r="LG564" s="11"/>
      <c r="MT564" s="11"/>
      <c r="OG564" s="11"/>
      <c r="PT564" s="11"/>
    </row>
    <row r="565" spans="1:436" ht="15.75" x14ac:dyDescent="0.25">
      <c r="C565" s="20" t="s">
        <v>485</v>
      </c>
      <c r="D565" s="21" t="s">
        <v>136</v>
      </c>
      <c r="H565" s="11"/>
      <c r="AU565" s="11"/>
      <c r="CH565" s="11"/>
      <c r="CI565" s="16"/>
      <c r="CJ565" s="16"/>
      <c r="CK565" s="16"/>
      <c r="CL565" s="16"/>
      <c r="CM565" s="16"/>
      <c r="CN565" s="16"/>
      <c r="CO565" s="16"/>
      <c r="CP565" s="16"/>
      <c r="CQ565" s="16"/>
      <c r="CR565" s="16"/>
      <c r="CS565" s="16"/>
      <c r="CT565" s="16"/>
      <c r="CU565" s="16"/>
      <c r="CV565" s="16"/>
      <c r="CW565" s="16"/>
      <c r="CX565" s="16"/>
      <c r="CY565" s="16"/>
      <c r="CZ565" s="16"/>
      <c r="DA565" s="16"/>
      <c r="DB565" s="16"/>
      <c r="DC565" s="16"/>
      <c r="DD565" s="16"/>
      <c r="DE565" s="17"/>
      <c r="DF565" s="17"/>
      <c r="DG565" s="16"/>
      <c r="DH565" s="16"/>
      <c r="DI565" s="17"/>
      <c r="DJ565" s="17"/>
      <c r="DK565" s="16"/>
      <c r="DL565" s="16"/>
      <c r="DM565" s="17"/>
      <c r="DN565" s="17"/>
      <c r="DO565" s="16"/>
      <c r="DP565" s="16"/>
      <c r="DQ565" s="17"/>
      <c r="DR565" s="17"/>
      <c r="DS565" s="16"/>
      <c r="DT565" s="16"/>
      <c r="DU565" s="17"/>
      <c r="DV565" s="17"/>
      <c r="DW565" s="16"/>
      <c r="DX565" s="16"/>
      <c r="DY565" s="17"/>
      <c r="DZ565" s="17"/>
      <c r="EA565" s="16"/>
      <c r="EB565" s="16"/>
      <c r="EC565" s="18">
        <v>45.7</v>
      </c>
      <c r="ED565" s="18">
        <v>45.7</v>
      </c>
      <c r="EE565" s="16"/>
      <c r="EF565" s="16"/>
      <c r="EG565" s="17"/>
      <c r="EH565" s="17"/>
      <c r="EI565" s="16"/>
      <c r="EJ565" s="16"/>
      <c r="EK565" s="17"/>
      <c r="EL565" s="17"/>
      <c r="EM565" s="16"/>
      <c r="EN565" s="16"/>
      <c r="EO565" s="17"/>
      <c r="EP565" s="17"/>
      <c r="EQ565" s="16"/>
      <c r="ER565" s="16"/>
      <c r="ES565" s="17"/>
      <c r="ET565" s="17"/>
      <c r="EU565" s="16"/>
      <c r="EV565" s="16"/>
      <c r="EW565" s="17"/>
      <c r="EX565" s="17"/>
      <c r="EY565" s="16"/>
      <c r="EZ565" s="16"/>
      <c r="FA565" s="17"/>
      <c r="FB565" s="17"/>
      <c r="FC565" s="16"/>
      <c r="FD565" s="16"/>
      <c r="FE565" s="17"/>
      <c r="FF565" s="17"/>
      <c r="FG565" s="11"/>
      <c r="GT565" s="11"/>
      <c r="IG565" s="11"/>
      <c r="JT565" s="11"/>
      <c r="LG565" s="11"/>
      <c r="MT565" s="11"/>
      <c r="OG565" s="11"/>
      <c r="PT565" s="11"/>
    </row>
    <row r="566" spans="1:436" ht="15.75" x14ac:dyDescent="0.25">
      <c r="C566" s="20" t="s">
        <v>486</v>
      </c>
      <c r="D566" s="21" t="s">
        <v>136</v>
      </c>
      <c r="H566" s="11"/>
      <c r="AU566" s="11"/>
      <c r="CH566" s="11"/>
      <c r="CI566" s="16"/>
      <c r="CJ566" s="16"/>
      <c r="CK566" s="16"/>
      <c r="CL566" s="16"/>
      <c r="CM566" s="16"/>
      <c r="CN566" s="16"/>
      <c r="CO566" s="16"/>
      <c r="CP566" s="16"/>
      <c r="CQ566" s="16"/>
      <c r="CR566" s="16"/>
      <c r="CS566" s="16"/>
      <c r="CT566" s="16"/>
      <c r="CU566" s="16"/>
      <c r="CV566" s="16"/>
      <c r="CW566" s="16"/>
      <c r="CX566" s="16"/>
      <c r="CY566" s="16"/>
      <c r="CZ566" s="16"/>
      <c r="DA566" s="16"/>
      <c r="DB566" s="16"/>
      <c r="DC566" s="16"/>
      <c r="DD566" s="16"/>
      <c r="DE566" s="17"/>
      <c r="DF566" s="17"/>
      <c r="DG566" s="16"/>
      <c r="DH566" s="16"/>
      <c r="DI566" s="17"/>
      <c r="DJ566" s="17"/>
      <c r="DK566" s="16"/>
      <c r="DL566" s="16"/>
      <c r="DM566" s="17"/>
      <c r="DN566" s="17"/>
      <c r="DO566" s="16"/>
      <c r="DP566" s="16"/>
      <c r="DQ566" s="17"/>
      <c r="DR566" s="17"/>
      <c r="DS566" s="16"/>
      <c r="DT566" s="16"/>
      <c r="DU566" s="17"/>
      <c r="DV566" s="17"/>
      <c r="DW566" s="16"/>
      <c r="DX566" s="16"/>
      <c r="DY566" s="17"/>
      <c r="DZ566" s="17"/>
      <c r="EA566" s="16"/>
      <c r="EB566" s="16"/>
      <c r="EC566" s="17"/>
      <c r="ED566" s="17"/>
      <c r="EE566" s="16"/>
      <c r="EF566" s="16"/>
      <c r="EG566" s="17"/>
      <c r="EH566" s="17"/>
      <c r="EI566" s="16"/>
      <c r="EJ566" s="16"/>
      <c r="EK566" s="17"/>
      <c r="EL566" s="17"/>
      <c r="EM566" s="16"/>
      <c r="EN566" s="16"/>
      <c r="EO566" s="17"/>
      <c r="EP566" s="17"/>
      <c r="EQ566" s="16"/>
      <c r="ER566" s="16"/>
      <c r="ES566" s="17"/>
      <c r="ET566" s="17"/>
      <c r="EU566" s="16"/>
      <c r="EV566" s="16"/>
      <c r="EW566" s="17"/>
      <c r="EX566" s="17"/>
      <c r="EY566" s="16"/>
      <c r="EZ566" s="16"/>
      <c r="FA566" s="17"/>
      <c r="FB566" s="17"/>
      <c r="FC566" s="16"/>
      <c r="FD566" s="16"/>
      <c r="FE566" s="17"/>
      <c r="FF566" s="17"/>
      <c r="FG566" s="11"/>
      <c r="GT566" s="11"/>
      <c r="IG566" s="11"/>
      <c r="JT566" s="11"/>
      <c r="LG566" s="11"/>
      <c r="MT566" s="11"/>
      <c r="OG566" s="11"/>
      <c r="PT566" s="11"/>
    </row>
    <row r="567" spans="1:436" ht="15.75" x14ac:dyDescent="0.25">
      <c r="A567" s="13"/>
      <c r="B567" s="14" t="s">
        <v>487</v>
      </c>
      <c r="C567" s="13"/>
      <c r="D567" s="13"/>
      <c r="E567" s="15" t="s">
        <v>127</v>
      </c>
      <c r="F567" s="15" t="s">
        <v>177</v>
      </c>
      <c r="G567" s="13"/>
      <c r="H567" s="11"/>
      <c r="AU567" s="11"/>
      <c r="CH567" s="11"/>
      <c r="CI567" s="16"/>
      <c r="CJ567" s="16"/>
      <c r="CK567" s="16"/>
      <c r="CL567" s="16"/>
      <c r="CM567" s="16"/>
      <c r="CN567" s="16"/>
      <c r="CO567" s="16"/>
      <c r="CP567" s="16"/>
      <c r="CQ567" s="16"/>
      <c r="CR567" s="16"/>
      <c r="CS567" s="16"/>
      <c r="CT567" s="16"/>
      <c r="CU567" s="16"/>
      <c r="CV567" s="16"/>
      <c r="CW567" s="16"/>
      <c r="CX567" s="16"/>
      <c r="CY567" s="16"/>
      <c r="CZ567" s="16"/>
      <c r="DA567" s="16"/>
      <c r="DB567" s="16"/>
      <c r="DC567" s="16"/>
      <c r="DD567" s="16"/>
      <c r="DE567" s="17"/>
      <c r="DF567" s="17"/>
      <c r="DG567" s="16"/>
      <c r="DH567" s="16"/>
      <c r="DI567" s="17"/>
      <c r="DJ567" s="17"/>
      <c r="DK567" s="16"/>
      <c r="DL567" s="16"/>
      <c r="DM567" s="17"/>
      <c r="DN567" s="17"/>
      <c r="DO567" s="16"/>
      <c r="DP567" s="16"/>
      <c r="DQ567" s="17"/>
      <c r="DR567" s="17"/>
      <c r="DS567" s="16"/>
      <c r="DT567" s="16"/>
      <c r="DU567" s="17"/>
      <c r="DV567" s="17"/>
      <c r="DW567" s="16"/>
      <c r="DX567" s="16"/>
      <c r="DY567" s="17"/>
      <c r="DZ567" s="17"/>
      <c r="EA567" s="16"/>
      <c r="EB567" s="16"/>
      <c r="EC567" s="17"/>
      <c r="ED567" s="17"/>
      <c r="EE567" s="16"/>
      <c r="EF567" s="16"/>
      <c r="EG567" s="17"/>
      <c r="EH567" s="17"/>
      <c r="EI567" s="16"/>
      <c r="EJ567" s="16"/>
      <c r="EK567" s="17"/>
      <c r="EL567" s="17"/>
      <c r="EM567" s="16"/>
      <c r="EN567" s="16"/>
      <c r="EO567" s="17"/>
      <c r="EP567" s="17"/>
      <c r="EQ567" s="16"/>
      <c r="ER567" s="16"/>
      <c r="ES567" s="17"/>
      <c r="ET567" s="17"/>
      <c r="EU567" s="16"/>
      <c r="EV567" s="16"/>
      <c r="EW567" s="17"/>
      <c r="EX567" s="17"/>
      <c r="EY567" s="16"/>
      <c r="EZ567" s="16"/>
      <c r="FA567" s="17"/>
      <c r="FB567" s="17"/>
      <c r="FC567" s="16"/>
      <c r="FD567" s="16"/>
      <c r="FE567" s="17"/>
      <c r="FF567" s="17"/>
      <c r="FG567" s="11"/>
      <c r="GT567" s="11"/>
      <c r="IG567" s="11"/>
      <c r="JT567" s="11"/>
      <c r="LG567" s="11"/>
      <c r="MT567" s="11"/>
      <c r="OG567" s="11"/>
      <c r="PT567" s="11"/>
    </row>
    <row r="568" spans="1:436" ht="15.75" x14ac:dyDescent="0.25">
      <c r="A568" s="13"/>
      <c r="B568" s="14" t="s">
        <v>488</v>
      </c>
      <c r="C568" s="13"/>
      <c r="D568" s="13"/>
      <c r="E568" s="15" t="s">
        <v>127</v>
      </c>
      <c r="F568" s="15" t="s">
        <v>177</v>
      </c>
      <c r="G568" s="13"/>
      <c r="H568" s="11"/>
      <c r="AU568" s="11"/>
      <c r="CH568" s="11"/>
      <c r="CI568" s="16"/>
      <c r="CJ568" s="16"/>
      <c r="CK568" s="16"/>
      <c r="CL568" s="16"/>
      <c r="CM568" s="16"/>
      <c r="CN568" s="16"/>
      <c r="CO568" s="16"/>
      <c r="CP568" s="16"/>
      <c r="CQ568" s="16"/>
      <c r="CR568" s="16"/>
      <c r="CS568" s="16"/>
      <c r="CT568" s="16"/>
      <c r="CU568" s="16"/>
      <c r="CV568" s="16"/>
      <c r="CW568" s="16"/>
      <c r="CX568" s="16"/>
      <c r="CY568" s="16"/>
      <c r="CZ568" s="16"/>
      <c r="DA568" s="16"/>
      <c r="DB568" s="16"/>
      <c r="DC568" s="16"/>
      <c r="DD568" s="16"/>
      <c r="DE568" s="17"/>
      <c r="DF568" s="17"/>
      <c r="DG568" s="16"/>
      <c r="DH568" s="16"/>
      <c r="DI568" s="17"/>
      <c r="DJ568" s="17"/>
      <c r="DK568" s="16"/>
      <c r="DL568" s="16"/>
      <c r="DM568" s="17"/>
      <c r="DN568" s="17"/>
      <c r="DO568" s="16"/>
      <c r="DP568" s="16"/>
      <c r="DQ568" s="17"/>
      <c r="DR568" s="17"/>
      <c r="DS568" s="16"/>
      <c r="DT568" s="16"/>
      <c r="DU568" s="17"/>
      <c r="DV568" s="17"/>
      <c r="DW568" s="16"/>
      <c r="DX568" s="16"/>
      <c r="DY568" s="17"/>
      <c r="DZ568" s="17"/>
      <c r="EA568" s="16"/>
      <c r="EB568" s="16"/>
      <c r="EC568" s="18">
        <v>11.4</v>
      </c>
      <c r="ED568" s="18">
        <v>17.100000000000001</v>
      </c>
      <c r="EE568" s="16"/>
      <c r="EF568" s="16"/>
      <c r="EG568" s="17"/>
      <c r="EH568" s="17"/>
      <c r="EI568" s="16"/>
      <c r="EJ568" s="16"/>
      <c r="EK568" s="17"/>
      <c r="EL568" s="17"/>
      <c r="EM568" s="16"/>
      <c r="EN568" s="16"/>
      <c r="EO568" s="17"/>
      <c r="EP568" s="17"/>
      <c r="EQ568" s="16"/>
      <c r="ER568" s="16"/>
      <c r="ES568" s="17"/>
      <c r="ET568" s="17"/>
      <c r="EU568" s="16"/>
      <c r="EV568" s="16"/>
      <c r="EW568" s="17"/>
      <c r="EX568" s="17"/>
      <c r="EY568" s="16"/>
      <c r="EZ568" s="16"/>
      <c r="FA568" s="17"/>
      <c r="FB568" s="17"/>
      <c r="FC568" s="16"/>
      <c r="FD568" s="16"/>
      <c r="FE568" s="17"/>
      <c r="FF568" s="17"/>
      <c r="FG568" s="11"/>
      <c r="GT568" s="11"/>
      <c r="IG568" s="11"/>
      <c r="JT568" s="11"/>
      <c r="LG568" s="11"/>
      <c r="MT568" s="11"/>
      <c r="OG568" s="11"/>
      <c r="PT568" s="11"/>
    </row>
    <row r="569" spans="1:436" ht="15.75" x14ac:dyDescent="0.25">
      <c r="C569" s="20" t="s">
        <v>489</v>
      </c>
      <c r="D569" s="21" t="s">
        <v>129</v>
      </c>
      <c r="H569" s="11"/>
      <c r="AU569" s="11"/>
      <c r="CH569" s="11"/>
      <c r="CI569" s="16"/>
      <c r="CJ569" s="16"/>
      <c r="CK569" s="16"/>
      <c r="CL569" s="16"/>
      <c r="CM569" s="16"/>
      <c r="CN569" s="16"/>
      <c r="CO569" s="16"/>
      <c r="CP569" s="16"/>
      <c r="CQ569" s="16"/>
      <c r="CR569" s="16"/>
      <c r="CS569" s="16"/>
      <c r="CT569" s="16"/>
      <c r="CU569" s="16"/>
      <c r="CV569" s="16"/>
      <c r="CW569" s="16"/>
      <c r="CX569" s="16"/>
      <c r="CY569" s="16"/>
      <c r="CZ569" s="16"/>
      <c r="DA569" s="16"/>
      <c r="DB569" s="16"/>
      <c r="DC569" s="16"/>
      <c r="DD569" s="16"/>
      <c r="DE569" s="17"/>
      <c r="DF569" s="17"/>
      <c r="DG569" s="16"/>
      <c r="DH569" s="16"/>
      <c r="DI569" s="17"/>
      <c r="DJ569" s="17"/>
      <c r="DK569" s="16"/>
      <c r="DL569" s="16"/>
      <c r="DM569" s="17"/>
      <c r="DN569" s="17"/>
      <c r="DO569" s="16"/>
      <c r="DP569" s="16"/>
      <c r="DQ569" s="17"/>
      <c r="DR569" s="17"/>
      <c r="DS569" s="16"/>
      <c r="DT569" s="16"/>
      <c r="DU569" s="17"/>
      <c r="DV569" s="17"/>
      <c r="DW569" s="16"/>
      <c r="DX569" s="16"/>
      <c r="DY569" s="17"/>
      <c r="DZ569" s="17"/>
      <c r="EA569" s="16"/>
      <c r="EB569" s="16"/>
      <c r="EC569" s="17"/>
      <c r="ED569" s="17"/>
      <c r="EE569" s="16"/>
      <c r="EF569" s="16"/>
      <c r="EG569" s="17"/>
      <c r="EH569" s="17"/>
      <c r="EI569" s="16"/>
      <c r="EJ569" s="16"/>
      <c r="EK569" s="17"/>
      <c r="EL569" s="17"/>
      <c r="EM569" s="16"/>
      <c r="EN569" s="16"/>
      <c r="EO569" s="17"/>
      <c r="EP569" s="17"/>
      <c r="EQ569" s="16"/>
      <c r="ER569" s="16"/>
      <c r="ES569" s="17"/>
      <c r="ET569" s="17"/>
      <c r="EU569" s="16"/>
      <c r="EV569" s="16"/>
      <c r="EW569" s="17"/>
      <c r="EX569" s="17"/>
      <c r="EY569" s="16"/>
      <c r="EZ569" s="16"/>
      <c r="FA569" s="17"/>
      <c r="FB569" s="17"/>
      <c r="FC569" s="16"/>
      <c r="FD569" s="16"/>
      <c r="FE569" s="17"/>
      <c r="FF569" s="17"/>
      <c r="FG569" s="11"/>
      <c r="GT569" s="11"/>
      <c r="IG569" s="11"/>
      <c r="JT569" s="11"/>
      <c r="LG569" s="11"/>
      <c r="MT569" s="11"/>
      <c r="OG569" s="11"/>
      <c r="PT569" s="11"/>
    </row>
    <row r="570" spans="1:436" ht="15.75" x14ac:dyDescent="0.25">
      <c r="C570" s="20" t="s">
        <v>490</v>
      </c>
      <c r="D570" s="21" t="s">
        <v>79</v>
      </c>
      <c r="H570" s="11"/>
      <c r="AU570" s="11"/>
      <c r="CH570" s="11"/>
      <c r="CI570" s="16"/>
      <c r="CJ570" s="16"/>
      <c r="CK570" s="16"/>
      <c r="CL570" s="16"/>
      <c r="CM570" s="16"/>
      <c r="CN570" s="16"/>
      <c r="CO570" s="16"/>
      <c r="CP570" s="16"/>
      <c r="CQ570" s="16"/>
      <c r="CR570" s="16"/>
      <c r="CS570" s="16"/>
      <c r="CT570" s="16"/>
      <c r="CU570" s="16"/>
      <c r="CV570" s="16"/>
      <c r="CW570" s="16"/>
      <c r="CX570" s="16"/>
      <c r="CY570" s="16"/>
      <c r="CZ570" s="16"/>
      <c r="DA570" s="16"/>
      <c r="DB570" s="16"/>
      <c r="DC570" s="16"/>
      <c r="DD570" s="16"/>
      <c r="DE570" s="17"/>
      <c r="DF570" s="17"/>
      <c r="DG570" s="16"/>
      <c r="DH570" s="16"/>
      <c r="DI570" s="18">
        <v>2</v>
      </c>
      <c r="DJ570" s="18">
        <v>2</v>
      </c>
      <c r="DK570" s="16"/>
      <c r="DL570" s="16"/>
      <c r="DM570" s="17"/>
      <c r="DN570" s="17"/>
      <c r="DO570" s="16"/>
      <c r="DP570" s="16"/>
      <c r="DQ570" s="17"/>
      <c r="DR570" s="17"/>
      <c r="DS570" s="16"/>
      <c r="DT570" s="16"/>
      <c r="DU570" s="17"/>
      <c r="DV570" s="17"/>
      <c r="DW570" s="16"/>
      <c r="DX570" s="16"/>
      <c r="DY570" s="17"/>
      <c r="DZ570" s="17"/>
      <c r="EA570" s="16"/>
      <c r="EB570" s="16"/>
      <c r="EC570" s="17"/>
      <c r="ED570" s="17"/>
      <c r="EE570" s="16"/>
      <c r="EF570" s="16"/>
      <c r="EG570" s="17"/>
      <c r="EH570" s="17"/>
      <c r="EI570" s="16"/>
      <c r="EJ570" s="16"/>
      <c r="EK570" s="17"/>
      <c r="EL570" s="17"/>
      <c r="EM570" s="16"/>
      <c r="EN570" s="16"/>
      <c r="EO570" s="17"/>
      <c r="EP570" s="17"/>
      <c r="EQ570" s="16"/>
      <c r="ER570" s="16"/>
      <c r="ES570" s="17"/>
      <c r="ET570" s="17"/>
      <c r="EU570" s="16"/>
      <c r="EV570" s="16"/>
      <c r="EW570" s="17"/>
      <c r="EX570" s="17"/>
      <c r="EY570" s="16"/>
      <c r="EZ570" s="16"/>
      <c r="FA570" s="17"/>
      <c r="FB570" s="17"/>
      <c r="FC570" s="16"/>
      <c r="FD570" s="16"/>
      <c r="FE570" s="17"/>
      <c r="FF570" s="17"/>
      <c r="FG570" s="11"/>
      <c r="GT570" s="11"/>
      <c r="IG570" s="11"/>
      <c r="JT570" s="11"/>
      <c r="LG570" s="11"/>
      <c r="MT570" s="11"/>
      <c r="OG570" s="11"/>
      <c r="PT570" s="11"/>
    </row>
    <row r="571" spans="1:436" ht="15.75" x14ac:dyDescent="0.25">
      <c r="C571" s="20" t="s">
        <v>491</v>
      </c>
      <c r="D571" s="21" t="s">
        <v>134</v>
      </c>
      <c r="H571" s="11"/>
      <c r="AU571" s="11"/>
      <c r="CH571" s="11"/>
      <c r="CI571" s="16"/>
      <c r="CJ571" s="16"/>
      <c r="CK571" s="16"/>
      <c r="CL571" s="16"/>
      <c r="CM571" s="16"/>
      <c r="CN571" s="16"/>
      <c r="CO571" s="16"/>
      <c r="CP571" s="16"/>
      <c r="CQ571" s="16"/>
      <c r="CR571" s="16"/>
      <c r="CS571" s="16"/>
      <c r="CT571" s="16"/>
      <c r="CU571" s="16"/>
      <c r="CV571" s="16"/>
      <c r="CW571" s="16"/>
      <c r="CX571" s="16"/>
      <c r="CY571" s="16"/>
      <c r="CZ571" s="16"/>
      <c r="DA571" s="16"/>
      <c r="DB571" s="16"/>
      <c r="DC571" s="16"/>
      <c r="DD571" s="16"/>
      <c r="DE571" s="17"/>
      <c r="DF571" s="17"/>
      <c r="DG571" s="16"/>
      <c r="DH571" s="16"/>
      <c r="DI571" s="17"/>
      <c r="DJ571" s="17"/>
      <c r="DK571" s="16"/>
      <c r="DL571" s="16"/>
      <c r="DM571" s="18">
        <v>1</v>
      </c>
      <c r="DN571" s="18">
        <v>4</v>
      </c>
      <c r="DO571" s="16"/>
      <c r="DP571" s="16"/>
      <c r="DQ571" s="17"/>
      <c r="DR571" s="17"/>
      <c r="DS571" s="16"/>
      <c r="DT571" s="16"/>
      <c r="DU571" s="17"/>
      <c r="DV571" s="17"/>
      <c r="DW571" s="16"/>
      <c r="DX571" s="16"/>
      <c r="DY571" s="17"/>
      <c r="DZ571" s="17"/>
      <c r="EA571" s="16"/>
      <c r="EB571" s="16"/>
      <c r="EC571" s="17"/>
      <c r="ED571" s="17"/>
      <c r="EE571" s="16"/>
      <c r="EF571" s="16"/>
      <c r="EG571" s="17"/>
      <c r="EH571" s="17"/>
      <c r="EI571" s="16"/>
      <c r="EJ571" s="16"/>
      <c r="EK571" s="17"/>
      <c r="EL571" s="17"/>
      <c r="EM571" s="16"/>
      <c r="EN571" s="16"/>
      <c r="EO571" s="17"/>
      <c r="EP571" s="17"/>
      <c r="EQ571" s="16"/>
      <c r="ER571" s="16"/>
      <c r="ES571" s="17"/>
      <c r="ET571" s="17"/>
      <c r="EU571" s="16"/>
      <c r="EV571" s="16"/>
      <c r="EW571" s="17"/>
      <c r="EX571" s="17"/>
      <c r="EY571" s="16"/>
      <c r="EZ571" s="16"/>
      <c r="FA571" s="17"/>
      <c r="FB571" s="17"/>
      <c r="FC571" s="16"/>
      <c r="FD571" s="16"/>
      <c r="FE571" s="17"/>
      <c r="FF571" s="17"/>
      <c r="FG571" s="11"/>
      <c r="GT571" s="11"/>
      <c r="IG571" s="11"/>
      <c r="JT571" s="11"/>
      <c r="LG571" s="11"/>
      <c r="MT571" s="11"/>
      <c r="OG571" s="11"/>
      <c r="PT571" s="11"/>
    </row>
    <row r="572" spans="1:436" ht="15.75" x14ac:dyDescent="0.25">
      <c r="C572" s="20" t="s">
        <v>492</v>
      </c>
      <c r="D572" s="21" t="s">
        <v>136</v>
      </c>
      <c r="H572" s="11"/>
      <c r="AU572" s="11"/>
      <c r="CH572" s="11"/>
      <c r="CI572" s="16"/>
      <c r="CJ572" s="16"/>
      <c r="CK572" s="16"/>
      <c r="CL572" s="16"/>
      <c r="CM572" s="16"/>
      <c r="CN572" s="16"/>
      <c r="CO572" s="16"/>
      <c r="CP572" s="16"/>
      <c r="CQ572" s="16"/>
      <c r="CR572" s="16"/>
      <c r="CS572" s="16"/>
      <c r="CT572" s="16"/>
      <c r="CU572" s="16"/>
      <c r="CV572" s="16"/>
      <c r="CW572" s="16"/>
      <c r="CX572" s="16"/>
      <c r="CY572" s="16"/>
      <c r="CZ572" s="16"/>
      <c r="DA572" s="16"/>
      <c r="DB572" s="16"/>
      <c r="DC572" s="16"/>
      <c r="DD572" s="16"/>
      <c r="DE572" s="17"/>
      <c r="DF572" s="17"/>
      <c r="DG572" s="16"/>
      <c r="DH572" s="16"/>
      <c r="DI572" s="17"/>
      <c r="DJ572" s="17"/>
      <c r="DK572" s="16"/>
      <c r="DL572" s="16"/>
      <c r="DM572" s="17"/>
      <c r="DN572" s="17"/>
      <c r="DO572" s="16"/>
      <c r="DP572" s="16"/>
      <c r="DQ572" s="17"/>
      <c r="DR572" s="17"/>
      <c r="DS572" s="16"/>
      <c r="DT572" s="16"/>
      <c r="DU572" s="17"/>
      <c r="DV572" s="17"/>
      <c r="DW572" s="16"/>
      <c r="DX572" s="16"/>
      <c r="DY572" s="17"/>
      <c r="DZ572" s="17"/>
      <c r="EA572" s="16"/>
      <c r="EB572" s="16"/>
      <c r="EC572" s="17"/>
      <c r="ED572" s="17"/>
      <c r="EE572" s="16"/>
      <c r="EF572" s="16"/>
      <c r="EG572" s="17"/>
      <c r="EH572" s="17"/>
      <c r="EI572" s="16"/>
      <c r="EJ572" s="16"/>
      <c r="EK572" s="17"/>
      <c r="EL572" s="17"/>
      <c r="EM572" s="16"/>
      <c r="EN572" s="16"/>
      <c r="EO572" s="17"/>
      <c r="EP572" s="17"/>
      <c r="EQ572" s="16"/>
      <c r="ER572" s="16"/>
      <c r="ES572" s="17"/>
      <c r="ET572" s="17"/>
      <c r="EU572" s="16"/>
      <c r="EV572" s="16"/>
      <c r="EW572" s="17"/>
      <c r="EX572" s="17"/>
      <c r="EY572" s="16"/>
      <c r="EZ572" s="16"/>
      <c r="FA572" s="17"/>
      <c r="FB572" s="17"/>
      <c r="FC572" s="16"/>
      <c r="FD572" s="16"/>
      <c r="FE572" s="17"/>
      <c r="FF572" s="17"/>
      <c r="FG572" s="11"/>
      <c r="GT572" s="11"/>
      <c r="IG572" s="11"/>
      <c r="JT572" s="11"/>
      <c r="LG572" s="11"/>
      <c r="MT572" s="11"/>
      <c r="OG572" s="11"/>
      <c r="PT572" s="11"/>
    </row>
    <row r="573" spans="1:436" ht="15.75" x14ac:dyDescent="0.25">
      <c r="C573" s="20" t="s">
        <v>493</v>
      </c>
      <c r="D573" s="21" t="s">
        <v>136</v>
      </c>
      <c r="H573" s="11"/>
      <c r="AU573" s="11"/>
      <c r="CH573" s="11"/>
      <c r="CI573" s="16"/>
      <c r="CJ573" s="16"/>
      <c r="CK573" s="16"/>
      <c r="CL573" s="16"/>
      <c r="CM573" s="16"/>
      <c r="CN573" s="16"/>
      <c r="CO573" s="16"/>
      <c r="CP573" s="16"/>
      <c r="CQ573" s="16"/>
      <c r="CR573" s="16"/>
      <c r="CS573" s="16"/>
      <c r="CT573" s="16"/>
      <c r="CU573" s="16"/>
      <c r="CV573" s="16"/>
      <c r="CW573" s="16"/>
      <c r="CX573" s="16"/>
      <c r="CY573" s="16"/>
      <c r="CZ573" s="16"/>
      <c r="DA573" s="16"/>
      <c r="DB573" s="16"/>
      <c r="DC573" s="16"/>
      <c r="DD573" s="16"/>
      <c r="DE573" s="17"/>
      <c r="DF573" s="17"/>
      <c r="DG573" s="16"/>
      <c r="DH573" s="16"/>
      <c r="DI573" s="17"/>
      <c r="DJ573" s="17"/>
      <c r="DK573" s="16"/>
      <c r="DL573" s="16"/>
      <c r="DM573" s="17"/>
      <c r="DN573" s="17"/>
      <c r="DO573" s="16"/>
      <c r="DP573" s="16"/>
      <c r="DQ573" s="17"/>
      <c r="DR573" s="17"/>
      <c r="DS573" s="16"/>
      <c r="DT573" s="16"/>
      <c r="DU573" s="17"/>
      <c r="DV573" s="17"/>
      <c r="DW573" s="16"/>
      <c r="DX573" s="16"/>
      <c r="DY573" s="17"/>
      <c r="DZ573" s="17"/>
      <c r="EA573" s="16"/>
      <c r="EB573" s="16"/>
      <c r="EC573" s="17"/>
      <c r="ED573" s="17"/>
      <c r="EE573" s="16"/>
      <c r="EF573" s="16"/>
      <c r="EG573" s="17"/>
      <c r="EH573" s="17"/>
      <c r="EI573" s="16"/>
      <c r="EJ573" s="16"/>
      <c r="EK573" s="17"/>
      <c r="EL573" s="17"/>
      <c r="EM573" s="16"/>
      <c r="EN573" s="16"/>
      <c r="EO573" s="17"/>
      <c r="EP573" s="17"/>
      <c r="EQ573" s="16"/>
      <c r="ER573" s="16"/>
      <c r="ES573" s="17"/>
      <c r="ET573" s="17"/>
      <c r="EU573" s="16"/>
      <c r="EV573" s="16"/>
      <c r="EW573" s="17"/>
      <c r="EX573" s="17"/>
      <c r="EY573" s="16"/>
      <c r="EZ573" s="16"/>
      <c r="FA573" s="17"/>
      <c r="FB573" s="17"/>
      <c r="FC573" s="16"/>
      <c r="FD573" s="16"/>
      <c r="FE573" s="17"/>
      <c r="FF573" s="17"/>
      <c r="FG573" s="11"/>
      <c r="GT573" s="11"/>
      <c r="IG573" s="11"/>
      <c r="JT573" s="11"/>
      <c r="LG573" s="11"/>
      <c r="MT573" s="11"/>
      <c r="OG573" s="11"/>
      <c r="PT573" s="11"/>
    </row>
    <row r="574" spans="1:436" ht="15.75" x14ac:dyDescent="0.25">
      <c r="C574" s="20" t="s">
        <v>494</v>
      </c>
      <c r="D574" s="21" t="s">
        <v>136</v>
      </c>
      <c r="H574" s="11"/>
      <c r="AU574" s="11"/>
      <c r="CH574" s="11"/>
      <c r="CI574" s="16"/>
      <c r="CJ574" s="16"/>
      <c r="CK574" s="16"/>
      <c r="CL574" s="16"/>
      <c r="CM574" s="16"/>
      <c r="CN574" s="16"/>
      <c r="CO574" s="16"/>
      <c r="CP574" s="16"/>
      <c r="CQ574" s="16"/>
      <c r="CR574" s="16"/>
      <c r="CS574" s="16"/>
      <c r="CT574" s="16"/>
      <c r="CU574" s="16"/>
      <c r="CV574" s="16"/>
      <c r="CW574" s="16"/>
      <c r="CX574" s="16"/>
      <c r="CY574" s="16"/>
      <c r="CZ574" s="16"/>
      <c r="DA574" s="16"/>
      <c r="DB574" s="16"/>
      <c r="DC574" s="16"/>
      <c r="DD574" s="16"/>
      <c r="DE574" s="17"/>
      <c r="DF574" s="17"/>
      <c r="DG574" s="16"/>
      <c r="DH574" s="16"/>
      <c r="DI574" s="17"/>
      <c r="DJ574" s="17"/>
      <c r="DK574" s="16"/>
      <c r="DL574" s="16"/>
      <c r="DM574" s="17"/>
      <c r="DN574" s="17"/>
      <c r="DO574" s="16"/>
      <c r="DP574" s="16"/>
      <c r="DQ574" s="17"/>
      <c r="DR574" s="17"/>
      <c r="DS574" s="16"/>
      <c r="DT574" s="16"/>
      <c r="DU574" s="17"/>
      <c r="DV574" s="17"/>
      <c r="DW574" s="16"/>
      <c r="DX574" s="16"/>
      <c r="DY574" s="17"/>
      <c r="DZ574" s="17"/>
      <c r="EA574" s="16"/>
      <c r="EB574" s="16"/>
      <c r="EC574" s="17"/>
      <c r="ED574" s="17"/>
      <c r="EE574" s="16"/>
      <c r="EF574" s="16"/>
      <c r="EG574" s="17"/>
      <c r="EH574" s="17"/>
      <c r="EI574" s="16"/>
      <c r="EJ574" s="16"/>
      <c r="EK574" s="17"/>
      <c r="EL574" s="17"/>
      <c r="EM574" s="16"/>
      <c r="EN574" s="16"/>
      <c r="EO574" s="17"/>
      <c r="EP574" s="17"/>
      <c r="EQ574" s="16"/>
      <c r="ER574" s="16"/>
      <c r="ES574" s="17"/>
      <c r="ET574" s="17"/>
      <c r="EU574" s="16"/>
      <c r="EV574" s="16"/>
      <c r="EW574" s="17"/>
      <c r="EX574" s="17"/>
      <c r="EY574" s="16"/>
      <c r="EZ574" s="16"/>
      <c r="FA574" s="17"/>
      <c r="FB574" s="17"/>
      <c r="FC574" s="16"/>
      <c r="FD574" s="16"/>
      <c r="FE574" s="17"/>
      <c r="FF574" s="17"/>
      <c r="FG574" s="11"/>
      <c r="GT574" s="11"/>
      <c r="IG574" s="11"/>
      <c r="JT574" s="11"/>
      <c r="LG574" s="11"/>
      <c r="MT574" s="11"/>
      <c r="OG574" s="11"/>
      <c r="PT574" s="11"/>
    </row>
    <row r="575" spans="1:436" ht="15.75" x14ac:dyDescent="0.25">
      <c r="C575" s="20" t="s">
        <v>495</v>
      </c>
      <c r="D575" s="21" t="s">
        <v>104</v>
      </c>
      <c r="H575" s="11"/>
      <c r="AU575" s="11"/>
      <c r="CH575" s="11"/>
      <c r="CI575" s="16"/>
      <c r="CJ575" s="16"/>
      <c r="CK575" s="16"/>
      <c r="CL575" s="16"/>
      <c r="CM575" s="16"/>
      <c r="CN575" s="16"/>
      <c r="CO575" s="16"/>
      <c r="CP575" s="16"/>
      <c r="CQ575" s="16"/>
      <c r="CR575" s="16"/>
      <c r="CS575" s="16"/>
      <c r="CT575" s="16"/>
      <c r="CU575" s="16"/>
      <c r="CV575" s="16"/>
      <c r="CW575" s="16"/>
      <c r="CX575" s="16"/>
      <c r="CY575" s="16"/>
      <c r="CZ575" s="16"/>
      <c r="DA575" s="16"/>
      <c r="DB575" s="16"/>
      <c r="DC575" s="16"/>
      <c r="DD575" s="16"/>
      <c r="DE575" s="17"/>
      <c r="DF575" s="17"/>
      <c r="DG575" s="16"/>
      <c r="DH575" s="16"/>
      <c r="DI575" s="17"/>
      <c r="DJ575" s="17"/>
      <c r="DK575" s="16"/>
      <c r="DL575" s="16"/>
      <c r="DM575" s="17"/>
      <c r="DN575" s="17"/>
      <c r="DO575" s="16"/>
      <c r="DP575" s="16"/>
      <c r="DQ575" s="17"/>
      <c r="DR575" s="17"/>
      <c r="DS575" s="16"/>
      <c r="DT575" s="16"/>
      <c r="DU575" s="17"/>
      <c r="DV575" s="17"/>
      <c r="DW575" s="16"/>
      <c r="DX575" s="16"/>
      <c r="DY575" s="17"/>
      <c r="DZ575" s="17"/>
      <c r="EA575" s="16"/>
      <c r="EB575" s="16"/>
      <c r="EC575" s="17"/>
      <c r="ED575" s="17"/>
      <c r="EE575" s="16"/>
      <c r="EF575" s="16"/>
      <c r="EG575" s="17"/>
      <c r="EH575" s="17"/>
      <c r="EI575" s="16"/>
      <c r="EJ575" s="16"/>
      <c r="EK575" s="17"/>
      <c r="EL575" s="17"/>
      <c r="EM575" s="16"/>
      <c r="EN575" s="16"/>
      <c r="EO575" s="17"/>
      <c r="EP575" s="17"/>
      <c r="EQ575" s="16"/>
      <c r="ER575" s="16"/>
      <c r="ES575" s="17"/>
      <c r="ET575" s="17"/>
      <c r="EU575" s="16"/>
      <c r="EV575" s="16"/>
      <c r="EW575" s="17"/>
      <c r="EX575" s="17"/>
      <c r="EY575" s="16"/>
      <c r="EZ575" s="16"/>
      <c r="FA575" s="17"/>
      <c r="FB575" s="17"/>
      <c r="FC575" s="19">
        <v>4</v>
      </c>
      <c r="FD575" s="19">
        <v>3</v>
      </c>
      <c r="FE575" s="17"/>
      <c r="FF575" s="17"/>
      <c r="FG575" s="11"/>
      <c r="GT575" s="11"/>
      <c r="IG575" s="11"/>
      <c r="JT575" s="11"/>
      <c r="LG575" s="11"/>
      <c r="MT575" s="11"/>
      <c r="OG575" s="11"/>
      <c r="PT575" s="11"/>
    </row>
    <row r="576" spans="1:436" ht="15.75" x14ac:dyDescent="0.25">
      <c r="C576" s="20" t="s">
        <v>496</v>
      </c>
      <c r="D576" s="21" t="s">
        <v>90</v>
      </c>
      <c r="H576" s="11"/>
      <c r="AU576" s="11"/>
      <c r="CH576" s="11"/>
      <c r="CI576" s="16"/>
      <c r="CJ576" s="16"/>
      <c r="CK576" s="16"/>
      <c r="CL576" s="16"/>
      <c r="CM576" s="16"/>
      <c r="CN576" s="16"/>
      <c r="CO576" s="16"/>
      <c r="CP576" s="16"/>
      <c r="CQ576" s="16"/>
      <c r="CR576" s="16"/>
      <c r="CS576" s="16"/>
      <c r="CT576" s="16"/>
      <c r="CU576" s="16"/>
      <c r="CV576" s="16"/>
      <c r="CW576" s="16"/>
      <c r="CX576" s="16"/>
      <c r="CY576" s="16"/>
      <c r="CZ576" s="16"/>
      <c r="DA576" s="16"/>
      <c r="DB576" s="16"/>
      <c r="DC576" s="16"/>
      <c r="DD576" s="16"/>
      <c r="DE576" s="17"/>
      <c r="DF576" s="17"/>
      <c r="DG576" s="16"/>
      <c r="DH576" s="16"/>
      <c r="DI576" s="17"/>
      <c r="DJ576" s="17"/>
      <c r="DK576" s="16"/>
      <c r="DL576" s="16"/>
      <c r="DM576" s="17"/>
      <c r="DN576" s="17"/>
      <c r="DO576" s="16"/>
      <c r="DP576" s="16"/>
      <c r="DQ576" s="17"/>
      <c r="DR576" s="17"/>
      <c r="DS576" s="16"/>
      <c r="DT576" s="16"/>
      <c r="DU576" s="17"/>
      <c r="DV576" s="17"/>
      <c r="DW576" s="16"/>
      <c r="DX576" s="16"/>
      <c r="DY576" s="17"/>
      <c r="DZ576" s="17"/>
      <c r="EA576" s="16"/>
      <c r="EB576" s="16"/>
      <c r="EC576" s="17"/>
      <c r="ED576" s="17"/>
      <c r="EE576" s="16"/>
      <c r="EF576" s="16"/>
      <c r="EG576" s="17"/>
      <c r="EH576" s="17"/>
      <c r="EI576" s="16"/>
      <c r="EJ576" s="16"/>
      <c r="EK576" s="17"/>
      <c r="EL576" s="17"/>
      <c r="EM576" s="16"/>
      <c r="EN576" s="16"/>
      <c r="EO576" s="17"/>
      <c r="EP576" s="17"/>
      <c r="EQ576" s="16"/>
      <c r="ER576" s="16"/>
      <c r="ES576" s="17"/>
      <c r="ET576" s="17"/>
      <c r="EU576" s="16"/>
      <c r="EV576" s="16"/>
      <c r="EW576" s="17"/>
      <c r="EX576" s="17"/>
      <c r="EY576" s="16"/>
      <c r="EZ576" s="16"/>
      <c r="FA576" s="17"/>
      <c r="FB576" s="17"/>
      <c r="FC576" s="16"/>
      <c r="FD576" s="16"/>
      <c r="FE576" s="17"/>
      <c r="FF576" s="17"/>
      <c r="FG576" s="11"/>
      <c r="GT576" s="11"/>
      <c r="IG576" s="11"/>
      <c r="JT576" s="11"/>
      <c r="LG576" s="11"/>
      <c r="MT576" s="11"/>
      <c r="OG576" s="11"/>
      <c r="PT576" s="11"/>
    </row>
    <row r="577" spans="1:436" ht="15.75" x14ac:dyDescent="0.25">
      <c r="C577" s="20" t="s">
        <v>490</v>
      </c>
      <c r="D577" s="21" t="s">
        <v>79</v>
      </c>
      <c r="H577" s="11"/>
      <c r="AU577" s="11"/>
      <c r="CH577" s="11"/>
      <c r="CI577" s="16"/>
      <c r="CJ577" s="16"/>
      <c r="CK577" s="16"/>
      <c r="CL577" s="16"/>
      <c r="CM577" s="16"/>
      <c r="CN577" s="16"/>
      <c r="CO577" s="16"/>
      <c r="CP577" s="16"/>
      <c r="CQ577" s="16"/>
      <c r="CR577" s="16"/>
      <c r="CS577" s="16"/>
      <c r="CT577" s="16"/>
      <c r="CU577" s="16"/>
      <c r="CV577" s="16"/>
      <c r="CW577" s="16"/>
      <c r="CX577" s="16"/>
      <c r="CY577" s="16"/>
      <c r="CZ577" s="16"/>
      <c r="DA577" s="16"/>
      <c r="DB577" s="16"/>
      <c r="DC577" s="16"/>
      <c r="DD577" s="16"/>
      <c r="DE577" s="17"/>
      <c r="DF577" s="17"/>
      <c r="DG577" s="16"/>
      <c r="DH577" s="16"/>
      <c r="DI577" s="17"/>
      <c r="DJ577" s="17"/>
      <c r="DK577" s="16"/>
      <c r="DL577" s="16"/>
      <c r="DM577" s="17"/>
      <c r="DN577" s="17"/>
      <c r="DO577" s="16"/>
      <c r="DP577" s="16"/>
      <c r="DQ577" s="17"/>
      <c r="DR577" s="17"/>
      <c r="DS577" s="16"/>
      <c r="DT577" s="16"/>
      <c r="DU577" s="17"/>
      <c r="DV577" s="17"/>
      <c r="DW577" s="16"/>
      <c r="DX577" s="16"/>
      <c r="DY577" s="17"/>
      <c r="DZ577" s="17"/>
      <c r="EA577" s="16"/>
      <c r="EB577" s="16"/>
      <c r="EC577" s="17"/>
      <c r="ED577" s="17"/>
      <c r="EE577" s="16"/>
      <c r="EF577" s="16"/>
      <c r="EG577" s="17"/>
      <c r="EH577" s="17"/>
      <c r="EI577" s="16"/>
      <c r="EJ577" s="16"/>
      <c r="EK577" s="17"/>
      <c r="EL577" s="17"/>
      <c r="EM577" s="16"/>
      <c r="EN577" s="16"/>
      <c r="EO577" s="17"/>
      <c r="EP577" s="17"/>
      <c r="EQ577" s="16"/>
      <c r="ER577" s="16"/>
      <c r="ES577" s="17"/>
      <c r="ET577" s="17"/>
      <c r="EU577" s="16"/>
      <c r="EV577" s="16"/>
      <c r="EW577" s="17"/>
      <c r="EX577" s="17"/>
      <c r="EY577" s="16"/>
      <c r="EZ577" s="16"/>
      <c r="FA577" s="17"/>
      <c r="FB577" s="17"/>
      <c r="FC577" s="16"/>
      <c r="FD577" s="16"/>
      <c r="FE577" s="17"/>
      <c r="FF577" s="17"/>
      <c r="FG577" s="11"/>
      <c r="GT577" s="11"/>
      <c r="IG577" s="11"/>
      <c r="JT577" s="11"/>
      <c r="LG577" s="11"/>
      <c r="MT577" s="11"/>
      <c r="OG577" s="11"/>
      <c r="PT577" s="11"/>
    </row>
    <row r="578" spans="1:436" ht="15.75" x14ac:dyDescent="0.25">
      <c r="C578" s="20" t="s">
        <v>491</v>
      </c>
      <c r="D578" s="21" t="s">
        <v>134</v>
      </c>
      <c r="H578" s="11"/>
      <c r="AU578" s="11"/>
      <c r="CH578" s="11"/>
      <c r="CI578" s="16"/>
      <c r="CJ578" s="16"/>
      <c r="CK578" s="16"/>
      <c r="CL578" s="16"/>
      <c r="CM578" s="16"/>
      <c r="CN578" s="16"/>
      <c r="CO578" s="16"/>
      <c r="CP578" s="16"/>
      <c r="CQ578" s="16"/>
      <c r="CR578" s="16"/>
      <c r="CS578" s="16"/>
      <c r="CT578" s="16"/>
      <c r="CU578" s="16"/>
      <c r="CV578" s="16"/>
      <c r="CW578" s="16"/>
      <c r="CX578" s="16"/>
      <c r="CY578" s="16"/>
      <c r="CZ578" s="16"/>
      <c r="DA578" s="16"/>
      <c r="DB578" s="16"/>
      <c r="DC578" s="16"/>
      <c r="DD578" s="16"/>
      <c r="DE578" s="17"/>
      <c r="DF578" s="17"/>
      <c r="DG578" s="16"/>
      <c r="DH578" s="16"/>
      <c r="DI578" s="17"/>
      <c r="DJ578" s="17"/>
      <c r="DK578" s="16"/>
      <c r="DL578" s="16"/>
      <c r="DM578" s="17"/>
      <c r="DN578" s="17"/>
      <c r="DO578" s="16"/>
      <c r="DP578" s="16"/>
      <c r="DQ578" s="17"/>
      <c r="DR578" s="17"/>
      <c r="DS578" s="16"/>
      <c r="DT578" s="16"/>
      <c r="DU578" s="17"/>
      <c r="DV578" s="17"/>
      <c r="DW578" s="16"/>
      <c r="DX578" s="16"/>
      <c r="DY578" s="17"/>
      <c r="DZ578" s="17"/>
      <c r="EA578" s="16"/>
      <c r="EB578" s="16"/>
      <c r="EC578" s="17"/>
      <c r="ED578" s="17"/>
      <c r="EE578" s="16"/>
      <c r="EF578" s="16"/>
      <c r="EG578" s="17"/>
      <c r="EH578" s="17"/>
      <c r="EI578" s="16"/>
      <c r="EJ578" s="16"/>
      <c r="EK578" s="17"/>
      <c r="EL578" s="17"/>
      <c r="EM578" s="16"/>
      <c r="EN578" s="16"/>
      <c r="EO578" s="17"/>
      <c r="EP578" s="17"/>
      <c r="EQ578" s="16"/>
      <c r="ER578" s="16"/>
      <c r="ES578" s="17"/>
      <c r="ET578" s="17"/>
      <c r="EU578" s="16"/>
      <c r="EV578" s="16"/>
      <c r="EW578" s="17"/>
      <c r="EX578" s="17"/>
      <c r="EY578" s="16"/>
      <c r="EZ578" s="16"/>
      <c r="FA578" s="17"/>
      <c r="FB578" s="17"/>
      <c r="FC578" s="16"/>
      <c r="FD578" s="16"/>
      <c r="FE578" s="17"/>
      <c r="FF578" s="17"/>
      <c r="FG578" s="11"/>
      <c r="GT578" s="11"/>
      <c r="IG578" s="11"/>
      <c r="JT578" s="11"/>
      <c r="LG578" s="11"/>
      <c r="MT578" s="11"/>
      <c r="OG578" s="11"/>
      <c r="PT578" s="11"/>
    </row>
    <row r="579" spans="1:436" ht="15.75" x14ac:dyDescent="0.25">
      <c r="C579" s="20" t="s">
        <v>489</v>
      </c>
      <c r="D579" s="21" t="s">
        <v>129</v>
      </c>
      <c r="H579" s="11"/>
      <c r="AU579" s="11"/>
      <c r="CH579" s="11"/>
      <c r="CI579" s="16"/>
      <c r="CJ579" s="16"/>
      <c r="CK579" s="16"/>
      <c r="CL579" s="16"/>
      <c r="CM579" s="16"/>
      <c r="CN579" s="16"/>
      <c r="CO579" s="16"/>
      <c r="CP579" s="16"/>
      <c r="CQ579" s="16"/>
      <c r="CR579" s="16"/>
      <c r="CS579" s="16"/>
      <c r="CT579" s="16"/>
      <c r="CU579" s="16"/>
      <c r="CV579" s="16"/>
      <c r="CW579" s="16"/>
      <c r="CX579" s="16"/>
      <c r="CY579" s="16"/>
      <c r="CZ579" s="16"/>
      <c r="DA579" s="16"/>
      <c r="DB579" s="16"/>
      <c r="DC579" s="16"/>
      <c r="DD579" s="16"/>
      <c r="DE579" s="17"/>
      <c r="DF579" s="17"/>
      <c r="DG579" s="16"/>
      <c r="DH579" s="16"/>
      <c r="DI579" s="17"/>
      <c r="DJ579" s="17"/>
      <c r="DK579" s="16"/>
      <c r="DL579" s="16"/>
      <c r="DM579" s="17"/>
      <c r="DN579" s="17"/>
      <c r="DO579" s="16"/>
      <c r="DP579" s="16"/>
      <c r="DQ579" s="17"/>
      <c r="DR579" s="17"/>
      <c r="DS579" s="16"/>
      <c r="DT579" s="16"/>
      <c r="DU579" s="17"/>
      <c r="DV579" s="17"/>
      <c r="DW579" s="16"/>
      <c r="DX579" s="16"/>
      <c r="DY579" s="17"/>
      <c r="DZ579" s="17"/>
      <c r="EA579" s="16"/>
      <c r="EB579" s="16"/>
      <c r="EC579" s="17"/>
      <c r="ED579" s="17"/>
      <c r="EE579" s="16"/>
      <c r="EF579" s="16"/>
      <c r="EG579" s="17"/>
      <c r="EH579" s="17"/>
      <c r="EI579" s="16"/>
      <c r="EJ579" s="16"/>
      <c r="EK579" s="17"/>
      <c r="EL579" s="17"/>
      <c r="EM579" s="16"/>
      <c r="EN579" s="16"/>
      <c r="EO579" s="17"/>
      <c r="EP579" s="17"/>
      <c r="EQ579" s="16"/>
      <c r="ER579" s="16"/>
      <c r="ES579" s="17"/>
      <c r="ET579" s="17"/>
      <c r="EU579" s="16"/>
      <c r="EV579" s="16"/>
      <c r="EW579" s="17"/>
      <c r="EX579" s="17"/>
      <c r="EY579" s="16"/>
      <c r="EZ579" s="16"/>
      <c r="FA579" s="17"/>
      <c r="FB579" s="17"/>
      <c r="FC579" s="16"/>
      <c r="FD579" s="16"/>
      <c r="FE579" s="17"/>
      <c r="FF579" s="17"/>
      <c r="FG579" s="11"/>
      <c r="GT579" s="11"/>
      <c r="IG579" s="11"/>
      <c r="JT579" s="11"/>
      <c r="LG579" s="11"/>
      <c r="MT579" s="11"/>
      <c r="OG579" s="11"/>
      <c r="PT579" s="11"/>
    </row>
    <row r="580" spans="1:436" ht="15.75" x14ac:dyDescent="0.25">
      <c r="C580" s="20" t="s">
        <v>492</v>
      </c>
      <c r="D580" s="21" t="s">
        <v>136</v>
      </c>
      <c r="H580" s="11"/>
      <c r="AU580" s="11"/>
      <c r="CH580" s="11"/>
      <c r="CI580" s="16"/>
      <c r="CJ580" s="16"/>
      <c r="CK580" s="16"/>
      <c r="CL580" s="16"/>
      <c r="CM580" s="16"/>
      <c r="CN580" s="16"/>
      <c r="CO580" s="16"/>
      <c r="CP580" s="16"/>
      <c r="CQ580" s="16"/>
      <c r="CR580" s="16"/>
      <c r="CS580" s="16"/>
      <c r="CT580" s="16"/>
      <c r="CU580" s="16"/>
      <c r="CV580" s="16"/>
      <c r="CW580" s="16"/>
      <c r="CX580" s="16"/>
      <c r="CY580" s="16"/>
      <c r="CZ580" s="16"/>
      <c r="DA580" s="16"/>
      <c r="DB580" s="16"/>
      <c r="DC580" s="16"/>
      <c r="DD580" s="16"/>
      <c r="DE580" s="17"/>
      <c r="DF580" s="17"/>
      <c r="DG580" s="16"/>
      <c r="DH580" s="16"/>
      <c r="DI580" s="17"/>
      <c r="DJ580" s="17"/>
      <c r="DK580" s="16"/>
      <c r="DL580" s="16"/>
      <c r="DM580" s="17"/>
      <c r="DN580" s="17"/>
      <c r="DO580" s="16"/>
      <c r="DP580" s="16"/>
      <c r="DQ580" s="17"/>
      <c r="DR580" s="17"/>
      <c r="DS580" s="16"/>
      <c r="DT580" s="16"/>
      <c r="DU580" s="17"/>
      <c r="DV580" s="17"/>
      <c r="DW580" s="16"/>
      <c r="DX580" s="16"/>
      <c r="DY580" s="17"/>
      <c r="DZ580" s="17"/>
      <c r="EA580" s="16"/>
      <c r="EB580" s="16"/>
      <c r="EC580" s="17"/>
      <c r="ED580" s="17"/>
      <c r="EE580" s="16"/>
      <c r="EF580" s="16"/>
      <c r="EG580" s="17"/>
      <c r="EH580" s="17"/>
      <c r="EI580" s="16"/>
      <c r="EJ580" s="16"/>
      <c r="EK580" s="17"/>
      <c r="EL580" s="17"/>
      <c r="EM580" s="16"/>
      <c r="EN580" s="16"/>
      <c r="EO580" s="17"/>
      <c r="EP580" s="17"/>
      <c r="EQ580" s="16"/>
      <c r="ER580" s="16"/>
      <c r="ES580" s="17"/>
      <c r="ET580" s="17"/>
      <c r="EU580" s="16"/>
      <c r="EV580" s="16"/>
      <c r="EW580" s="17"/>
      <c r="EX580" s="17"/>
      <c r="EY580" s="16"/>
      <c r="EZ580" s="16"/>
      <c r="FA580" s="17"/>
      <c r="FB580" s="17"/>
      <c r="FC580" s="16"/>
      <c r="FD580" s="16"/>
      <c r="FE580" s="17"/>
      <c r="FF580" s="17"/>
      <c r="FG580" s="11"/>
      <c r="GT580" s="11"/>
      <c r="IG580" s="11"/>
      <c r="JT580" s="11"/>
      <c r="LG580" s="11"/>
      <c r="MT580" s="11"/>
      <c r="OG580" s="11"/>
      <c r="PT580" s="11"/>
    </row>
    <row r="581" spans="1:436" ht="15.75" x14ac:dyDescent="0.25">
      <c r="C581" s="20" t="s">
        <v>493</v>
      </c>
      <c r="D581" s="21" t="s">
        <v>136</v>
      </c>
      <c r="H581" s="11"/>
      <c r="AU581" s="11"/>
      <c r="CH581" s="11"/>
      <c r="CI581" s="16"/>
      <c r="CJ581" s="16"/>
      <c r="CK581" s="16"/>
      <c r="CL581" s="16"/>
      <c r="CM581" s="16"/>
      <c r="CN581" s="16"/>
      <c r="CO581" s="16"/>
      <c r="CP581" s="16"/>
      <c r="CQ581" s="16"/>
      <c r="CR581" s="16"/>
      <c r="CS581" s="16"/>
      <c r="CT581" s="16"/>
      <c r="CU581" s="16"/>
      <c r="CV581" s="16"/>
      <c r="CW581" s="16"/>
      <c r="CX581" s="16"/>
      <c r="CY581" s="16"/>
      <c r="CZ581" s="16"/>
      <c r="DA581" s="16"/>
      <c r="DB581" s="16"/>
      <c r="DC581" s="16"/>
      <c r="DD581" s="16"/>
      <c r="DE581" s="17"/>
      <c r="DF581" s="17"/>
      <c r="DG581" s="16"/>
      <c r="DH581" s="16"/>
      <c r="DI581" s="17"/>
      <c r="DJ581" s="17"/>
      <c r="DK581" s="16"/>
      <c r="DL581" s="16"/>
      <c r="DM581" s="17"/>
      <c r="DN581" s="17"/>
      <c r="DO581" s="16"/>
      <c r="DP581" s="16"/>
      <c r="DQ581" s="17"/>
      <c r="DR581" s="17"/>
      <c r="DS581" s="16"/>
      <c r="DT581" s="16"/>
      <c r="DU581" s="17"/>
      <c r="DV581" s="17"/>
      <c r="DW581" s="16"/>
      <c r="DX581" s="16"/>
      <c r="DY581" s="17"/>
      <c r="DZ581" s="17"/>
      <c r="EA581" s="16"/>
      <c r="EB581" s="16"/>
      <c r="EC581" s="17"/>
      <c r="ED581" s="17"/>
      <c r="EE581" s="16"/>
      <c r="EF581" s="16"/>
      <c r="EG581" s="17"/>
      <c r="EH581" s="17"/>
      <c r="EI581" s="16"/>
      <c r="EJ581" s="16"/>
      <c r="EK581" s="17"/>
      <c r="EL581" s="17"/>
      <c r="EM581" s="16"/>
      <c r="EN581" s="16"/>
      <c r="EO581" s="17"/>
      <c r="EP581" s="17"/>
      <c r="EQ581" s="16"/>
      <c r="ER581" s="16"/>
      <c r="ES581" s="17"/>
      <c r="ET581" s="17"/>
      <c r="EU581" s="16"/>
      <c r="EV581" s="16"/>
      <c r="EW581" s="17"/>
      <c r="EX581" s="17"/>
      <c r="EY581" s="16"/>
      <c r="EZ581" s="16"/>
      <c r="FA581" s="17"/>
      <c r="FB581" s="17"/>
      <c r="FC581" s="16"/>
      <c r="FD581" s="16"/>
      <c r="FE581" s="17"/>
      <c r="FF581" s="17"/>
      <c r="FG581" s="11"/>
      <c r="GT581" s="11"/>
      <c r="IG581" s="11"/>
      <c r="JT581" s="11"/>
      <c r="LG581" s="11"/>
      <c r="MT581" s="11"/>
      <c r="OG581" s="11"/>
      <c r="PT581" s="11"/>
    </row>
    <row r="582" spans="1:436" ht="15.75" x14ac:dyDescent="0.25">
      <c r="C582" s="20" t="s">
        <v>494</v>
      </c>
      <c r="D582" s="21" t="s">
        <v>136</v>
      </c>
      <c r="H582" s="11"/>
      <c r="AU582" s="11"/>
      <c r="CH582" s="11"/>
      <c r="CI582" s="16"/>
      <c r="CJ582" s="16"/>
      <c r="CK582" s="16"/>
      <c r="CL582" s="16"/>
      <c r="CM582" s="16"/>
      <c r="CN582" s="16"/>
      <c r="CO582" s="16"/>
      <c r="CP582" s="16"/>
      <c r="CQ582" s="16"/>
      <c r="CR582" s="16"/>
      <c r="CS582" s="16"/>
      <c r="CT582" s="16"/>
      <c r="CU582" s="16"/>
      <c r="CV582" s="16"/>
      <c r="CW582" s="16"/>
      <c r="CX582" s="16"/>
      <c r="CY582" s="16"/>
      <c r="CZ582" s="16"/>
      <c r="DA582" s="16"/>
      <c r="DB582" s="16"/>
      <c r="DC582" s="16"/>
      <c r="DD582" s="16"/>
      <c r="DE582" s="17"/>
      <c r="DF582" s="17"/>
      <c r="DG582" s="16"/>
      <c r="DH582" s="16"/>
      <c r="DI582" s="17"/>
      <c r="DJ582" s="17"/>
      <c r="DK582" s="16"/>
      <c r="DL582" s="16"/>
      <c r="DM582" s="17"/>
      <c r="DN582" s="17"/>
      <c r="DO582" s="16"/>
      <c r="DP582" s="16"/>
      <c r="DQ582" s="17"/>
      <c r="DR582" s="17"/>
      <c r="DS582" s="16"/>
      <c r="DT582" s="16"/>
      <c r="DU582" s="17"/>
      <c r="DV582" s="17"/>
      <c r="DW582" s="16"/>
      <c r="DX582" s="16"/>
      <c r="DY582" s="17"/>
      <c r="DZ582" s="17"/>
      <c r="EA582" s="16"/>
      <c r="EB582" s="16"/>
      <c r="EC582" s="17"/>
      <c r="ED582" s="17"/>
      <c r="EE582" s="16"/>
      <c r="EF582" s="16"/>
      <c r="EG582" s="17"/>
      <c r="EH582" s="17"/>
      <c r="EI582" s="16"/>
      <c r="EJ582" s="16"/>
      <c r="EK582" s="17"/>
      <c r="EL582" s="17"/>
      <c r="EM582" s="16"/>
      <c r="EN582" s="16"/>
      <c r="EO582" s="17"/>
      <c r="EP582" s="17"/>
      <c r="EQ582" s="16"/>
      <c r="ER582" s="16"/>
      <c r="ES582" s="17"/>
      <c r="ET582" s="17"/>
      <c r="EU582" s="16"/>
      <c r="EV582" s="16"/>
      <c r="EW582" s="17"/>
      <c r="EX582" s="17"/>
      <c r="EY582" s="16"/>
      <c r="EZ582" s="16"/>
      <c r="FA582" s="17"/>
      <c r="FB582" s="17"/>
      <c r="FC582" s="16"/>
      <c r="FD582" s="16"/>
      <c r="FE582" s="17"/>
      <c r="FF582" s="17"/>
      <c r="FG582" s="11"/>
      <c r="GT582" s="11"/>
      <c r="IG582" s="11"/>
      <c r="JT582" s="11"/>
      <c r="LG582" s="11"/>
      <c r="MT582" s="11"/>
      <c r="OG582" s="11"/>
      <c r="PT582" s="11"/>
    </row>
    <row r="583" spans="1:436" ht="15.75" x14ac:dyDescent="0.25">
      <c r="C583" s="20" t="s">
        <v>495</v>
      </c>
      <c r="D583" s="21" t="s">
        <v>104</v>
      </c>
      <c r="H583" s="11"/>
      <c r="AU583" s="11"/>
      <c r="CH583" s="11"/>
      <c r="CI583" s="16"/>
      <c r="CJ583" s="16"/>
      <c r="CK583" s="16"/>
      <c r="CL583" s="16"/>
      <c r="CM583" s="16"/>
      <c r="CN583" s="16"/>
      <c r="CO583" s="16"/>
      <c r="CP583" s="16"/>
      <c r="CQ583" s="16"/>
      <c r="CR583" s="16"/>
      <c r="CS583" s="16"/>
      <c r="CT583" s="16"/>
      <c r="CU583" s="16"/>
      <c r="CV583" s="16"/>
      <c r="CW583" s="16"/>
      <c r="CX583" s="16"/>
      <c r="CY583" s="16"/>
      <c r="CZ583" s="16"/>
      <c r="DA583" s="16"/>
      <c r="DB583" s="16"/>
      <c r="DC583" s="16"/>
      <c r="DD583" s="16"/>
      <c r="DE583" s="17"/>
      <c r="DF583" s="17"/>
      <c r="DG583" s="16"/>
      <c r="DH583" s="16"/>
      <c r="DI583" s="17"/>
      <c r="DJ583" s="17"/>
      <c r="DK583" s="16"/>
      <c r="DL583" s="16"/>
      <c r="DM583" s="17"/>
      <c r="DN583" s="17"/>
      <c r="DO583" s="16"/>
      <c r="DP583" s="16"/>
      <c r="DQ583" s="17"/>
      <c r="DR583" s="17"/>
      <c r="DS583" s="16"/>
      <c r="DT583" s="16"/>
      <c r="DU583" s="17"/>
      <c r="DV583" s="17"/>
      <c r="DW583" s="16"/>
      <c r="DX583" s="16"/>
      <c r="DY583" s="17"/>
      <c r="DZ583" s="17"/>
      <c r="EA583" s="16"/>
      <c r="EB583" s="16"/>
      <c r="EC583" s="17"/>
      <c r="ED583" s="17"/>
      <c r="EE583" s="16"/>
      <c r="EF583" s="16"/>
      <c r="EG583" s="17"/>
      <c r="EH583" s="17"/>
      <c r="EI583" s="16"/>
      <c r="EJ583" s="16"/>
      <c r="EK583" s="17"/>
      <c r="EL583" s="17"/>
      <c r="EM583" s="16"/>
      <c r="EN583" s="16"/>
      <c r="EO583" s="17"/>
      <c r="EP583" s="17"/>
      <c r="EQ583" s="16"/>
      <c r="ER583" s="16"/>
      <c r="ES583" s="17"/>
      <c r="ET583" s="17"/>
      <c r="EU583" s="16"/>
      <c r="EV583" s="16"/>
      <c r="EW583" s="17"/>
      <c r="EX583" s="17"/>
      <c r="EY583" s="16"/>
      <c r="EZ583" s="16"/>
      <c r="FA583" s="17"/>
      <c r="FB583" s="17"/>
      <c r="FC583" s="16"/>
      <c r="FD583" s="16"/>
      <c r="FE583" s="17"/>
      <c r="FF583" s="17"/>
      <c r="FG583" s="11"/>
      <c r="GT583" s="11"/>
      <c r="IG583" s="11"/>
      <c r="JT583" s="11"/>
      <c r="LG583" s="11"/>
      <c r="MT583" s="11"/>
      <c r="OG583" s="11"/>
      <c r="PT583" s="11"/>
    </row>
    <row r="584" spans="1:436" ht="15.75" x14ac:dyDescent="0.25">
      <c r="C584" s="20" t="s">
        <v>496</v>
      </c>
      <c r="D584" s="21" t="s">
        <v>90</v>
      </c>
      <c r="H584" s="11"/>
      <c r="AU584" s="11"/>
      <c r="CH584" s="11"/>
      <c r="CI584" s="16"/>
      <c r="CJ584" s="16"/>
      <c r="CK584" s="16"/>
      <c r="CL584" s="16"/>
      <c r="CM584" s="16"/>
      <c r="CN584" s="16"/>
      <c r="CO584" s="16"/>
      <c r="CP584" s="16"/>
      <c r="CQ584" s="16"/>
      <c r="CR584" s="16"/>
      <c r="CS584" s="16"/>
      <c r="CT584" s="16"/>
      <c r="CU584" s="16"/>
      <c r="CV584" s="16"/>
      <c r="CW584" s="16"/>
      <c r="CX584" s="16"/>
      <c r="CY584" s="16"/>
      <c r="CZ584" s="16"/>
      <c r="DA584" s="16"/>
      <c r="DB584" s="16"/>
      <c r="DC584" s="16"/>
      <c r="DD584" s="16"/>
      <c r="DE584" s="17"/>
      <c r="DF584" s="17"/>
      <c r="DG584" s="16"/>
      <c r="DH584" s="16"/>
      <c r="DI584" s="17"/>
      <c r="DJ584" s="17"/>
      <c r="DK584" s="16"/>
      <c r="DL584" s="16"/>
      <c r="DM584" s="17"/>
      <c r="DN584" s="17"/>
      <c r="DO584" s="16"/>
      <c r="DP584" s="16"/>
      <c r="DQ584" s="17"/>
      <c r="DR584" s="17"/>
      <c r="DS584" s="16"/>
      <c r="DT584" s="16"/>
      <c r="DU584" s="17"/>
      <c r="DV584" s="17"/>
      <c r="DW584" s="16"/>
      <c r="DX584" s="16"/>
      <c r="DY584" s="17"/>
      <c r="DZ584" s="17"/>
      <c r="EA584" s="16"/>
      <c r="EB584" s="16"/>
      <c r="EC584" s="17"/>
      <c r="ED584" s="17"/>
      <c r="EE584" s="16"/>
      <c r="EF584" s="16"/>
      <c r="EG584" s="17"/>
      <c r="EH584" s="17"/>
      <c r="EI584" s="16"/>
      <c r="EJ584" s="16"/>
      <c r="EK584" s="17"/>
      <c r="EL584" s="17"/>
      <c r="EM584" s="16"/>
      <c r="EN584" s="16"/>
      <c r="EO584" s="17"/>
      <c r="EP584" s="17"/>
      <c r="EQ584" s="16"/>
      <c r="ER584" s="16"/>
      <c r="ES584" s="17"/>
      <c r="ET584" s="17"/>
      <c r="EU584" s="16"/>
      <c r="EV584" s="16"/>
      <c r="EW584" s="17"/>
      <c r="EX584" s="17"/>
      <c r="EY584" s="16"/>
      <c r="EZ584" s="16"/>
      <c r="FA584" s="17"/>
      <c r="FB584" s="17"/>
      <c r="FC584" s="16"/>
      <c r="FD584" s="16"/>
      <c r="FE584" s="17"/>
      <c r="FF584" s="17"/>
      <c r="FG584" s="11"/>
      <c r="GT584" s="11"/>
      <c r="IG584" s="11"/>
      <c r="JT584" s="11"/>
      <c r="LG584" s="11"/>
      <c r="MT584" s="11"/>
      <c r="OG584" s="11"/>
      <c r="PT584" s="11"/>
    </row>
    <row r="585" spans="1:436" ht="15.75" x14ac:dyDescent="0.25">
      <c r="C585" s="20" t="s">
        <v>497</v>
      </c>
      <c r="D585" s="21" t="s">
        <v>136</v>
      </c>
      <c r="H585" s="11"/>
      <c r="AU585" s="11"/>
      <c r="CH585" s="11"/>
      <c r="CI585" s="16"/>
      <c r="CJ585" s="16"/>
      <c r="CK585" s="16"/>
      <c r="CL585" s="16"/>
      <c r="CM585" s="16"/>
      <c r="CN585" s="16"/>
      <c r="CO585" s="16"/>
      <c r="CP585" s="16"/>
      <c r="CQ585" s="16"/>
      <c r="CR585" s="16"/>
      <c r="CS585" s="16"/>
      <c r="CT585" s="16"/>
      <c r="CU585" s="16"/>
      <c r="CV585" s="16"/>
      <c r="CW585" s="16"/>
      <c r="CX585" s="16"/>
      <c r="CY585" s="16"/>
      <c r="CZ585" s="16"/>
      <c r="DA585" s="16"/>
      <c r="DB585" s="16"/>
      <c r="DC585" s="16"/>
      <c r="DD585" s="16"/>
      <c r="DE585" s="17"/>
      <c r="DF585" s="17"/>
      <c r="DG585" s="16"/>
      <c r="DH585" s="16"/>
      <c r="DI585" s="17"/>
      <c r="DJ585" s="17"/>
      <c r="DK585" s="16"/>
      <c r="DL585" s="16"/>
      <c r="DM585" s="17"/>
      <c r="DN585" s="17"/>
      <c r="DO585" s="16"/>
      <c r="DP585" s="16"/>
      <c r="DQ585" s="17"/>
      <c r="DR585" s="17"/>
      <c r="DS585" s="16"/>
      <c r="DT585" s="16"/>
      <c r="DU585" s="17"/>
      <c r="DV585" s="17"/>
      <c r="DW585" s="16"/>
      <c r="DX585" s="16"/>
      <c r="DY585" s="17"/>
      <c r="DZ585" s="17"/>
      <c r="EA585" s="16"/>
      <c r="EB585" s="16"/>
      <c r="EC585" s="18">
        <v>11.4</v>
      </c>
      <c r="ED585" s="18">
        <v>17.100000000000001</v>
      </c>
      <c r="EE585" s="16"/>
      <c r="EF585" s="16"/>
      <c r="EG585" s="17"/>
      <c r="EH585" s="17"/>
      <c r="EI585" s="16"/>
      <c r="EJ585" s="16"/>
      <c r="EK585" s="17"/>
      <c r="EL585" s="17"/>
      <c r="EM585" s="16"/>
      <c r="EN585" s="16"/>
      <c r="EO585" s="17"/>
      <c r="EP585" s="17"/>
      <c r="EQ585" s="16"/>
      <c r="ER585" s="16"/>
      <c r="ES585" s="17"/>
      <c r="ET585" s="17"/>
      <c r="EU585" s="16"/>
      <c r="EV585" s="16"/>
      <c r="EW585" s="17"/>
      <c r="EX585" s="17"/>
      <c r="EY585" s="16"/>
      <c r="EZ585" s="16"/>
      <c r="FA585" s="17"/>
      <c r="FB585" s="17"/>
      <c r="FC585" s="16"/>
      <c r="FD585" s="16"/>
      <c r="FE585" s="17"/>
      <c r="FF585" s="17"/>
      <c r="FG585" s="11"/>
      <c r="GT585" s="11"/>
      <c r="IG585" s="11"/>
      <c r="JT585" s="11"/>
      <c r="LG585" s="11"/>
      <c r="MT585" s="11"/>
      <c r="OG585" s="11"/>
      <c r="PT585" s="11"/>
    </row>
    <row r="586" spans="1:436" ht="15.75" x14ac:dyDescent="0.25">
      <c r="A586" s="13"/>
      <c r="B586" s="14" t="s">
        <v>498</v>
      </c>
      <c r="C586" s="13"/>
      <c r="D586" s="13"/>
      <c r="E586" s="15" t="s">
        <v>127</v>
      </c>
      <c r="F586" s="15" t="s">
        <v>177</v>
      </c>
      <c r="G586" s="13"/>
      <c r="H586" s="11"/>
      <c r="AU586" s="11"/>
      <c r="CH586" s="11"/>
      <c r="CI586" s="16"/>
      <c r="CJ586" s="16"/>
      <c r="CK586" s="16"/>
      <c r="CL586" s="16"/>
      <c r="CM586" s="16"/>
      <c r="CN586" s="16"/>
      <c r="CO586" s="16"/>
      <c r="CP586" s="16"/>
      <c r="CQ586" s="16"/>
      <c r="CR586" s="16"/>
      <c r="CS586" s="16"/>
      <c r="CT586" s="16"/>
      <c r="CU586" s="16"/>
      <c r="CV586" s="16"/>
      <c r="CW586" s="16"/>
      <c r="CX586" s="16"/>
      <c r="CY586" s="16"/>
      <c r="CZ586" s="16"/>
      <c r="DA586" s="16"/>
      <c r="DB586" s="16"/>
      <c r="DC586" s="16"/>
      <c r="DD586" s="16"/>
      <c r="DE586" s="17"/>
      <c r="DF586" s="17"/>
      <c r="DG586" s="16"/>
      <c r="DH586" s="16"/>
      <c r="DI586" s="17"/>
      <c r="DJ586" s="17"/>
      <c r="DK586" s="16"/>
      <c r="DL586" s="16"/>
      <c r="DM586" s="17"/>
      <c r="DN586" s="17"/>
      <c r="DO586" s="16"/>
      <c r="DP586" s="16"/>
      <c r="DQ586" s="17"/>
      <c r="DR586" s="17"/>
      <c r="DS586" s="16"/>
      <c r="DT586" s="16"/>
      <c r="DU586" s="17"/>
      <c r="DV586" s="17"/>
      <c r="DW586" s="16"/>
      <c r="DX586" s="16"/>
      <c r="DY586" s="17"/>
      <c r="DZ586" s="17"/>
      <c r="EA586" s="16"/>
      <c r="EB586" s="16"/>
      <c r="EC586" s="17"/>
      <c r="ED586" s="17"/>
      <c r="EE586" s="16"/>
      <c r="EF586" s="16"/>
      <c r="EG586" s="17"/>
      <c r="EH586" s="17"/>
      <c r="EI586" s="16"/>
      <c r="EJ586" s="16"/>
      <c r="EK586" s="17"/>
      <c r="EL586" s="17"/>
      <c r="EM586" s="16"/>
      <c r="EN586" s="16"/>
      <c r="EO586" s="17"/>
      <c r="EP586" s="17"/>
      <c r="EQ586" s="16"/>
      <c r="ER586" s="16"/>
      <c r="ES586" s="17"/>
      <c r="ET586" s="17"/>
      <c r="EU586" s="16"/>
      <c r="EV586" s="16"/>
      <c r="EW586" s="17"/>
      <c r="EX586" s="17"/>
      <c r="EY586" s="16"/>
      <c r="EZ586" s="16"/>
      <c r="FA586" s="17"/>
      <c r="FB586" s="17"/>
      <c r="FC586" s="16"/>
      <c r="FD586" s="16"/>
      <c r="FE586" s="17"/>
      <c r="FF586" s="17"/>
      <c r="FG586" s="11"/>
      <c r="GT586" s="11"/>
      <c r="IG586" s="11"/>
      <c r="JT586" s="11"/>
      <c r="LG586" s="11"/>
      <c r="MT586" s="11"/>
      <c r="OG586" s="11"/>
      <c r="PT586" s="11"/>
    </row>
    <row r="587" spans="1:436" ht="15.75" x14ac:dyDescent="0.25">
      <c r="A587" s="13"/>
      <c r="B587" s="14" t="s">
        <v>499</v>
      </c>
      <c r="C587" s="13"/>
      <c r="D587" s="13"/>
      <c r="E587" s="15" t="s">
        <v>127</v>
      </c>
      <c r="F587" s="15" t="s">
        <v>177</v>
      </c>
      <c r="G587" s="13"/>
      <c r="H587" s="11"/>
      <c r="AU587" s="11"/>
      <c r="CH587" s="11"/>
      <c r="CI587" s="16"/>
      <c r="CJ587" s="16"/>
      <c r="CK587" s="16"/>
      <c r="CL587" s="16"/>
      <c r="CM587" s="16"/>
      <c r="CN587" s="16"/>
      <c r="CO587" s="16"/>
      <c r="CP587" s="16"/>
      <c r="CQ587" s="16"/>
      <c r="CR587" s="16"/>
      <c r="CS587" s="16"/>
      <c r="CT587" s="16"/>
      <c r="CU587" s="16"/>
      <c r="CV587" s="16"/>
      <c r="CW587" s="16"/>
      <c r="CX587" s="16"/>
      <c r="CY587" s="16"/>
      <c r="CZ587" s="16"/>
      <c r="DA587" s="16"/>
      <c r="DB587" s="16"/>
      <c r="DC587" s="16"/>
      <c r="DD587" s="16"/>
      <c r="DE587" s="17"/>
      <c r="DF587" s="17"/>
      <c r="DG587" s="16"/>
      <c r="DH587" s="16"/>
      <c r="DI587" s="17"/>
      <c r="DJ587" s="17"/>
      <c r="DK587" s="16"/>
      <c r="DL587" s="16"/>
      <c r="DM587" s="17"/>
      <c r="DN587" s="17"/>
      <c r="DO587" s="16"/>
      <c r="DP587" s="16"/>
      <c r="DQ587" s="17"/>
      <c r="DR587" s="17"/>
      <c r="DS587" s="16"/>
      <c r="DT587" s="16"/>
      <c r="DU587" s="17"/>
      <c r="DV587" s="17"/>
      <c r="DW587" s="16"/>
      <c r="DX587" s="16"/>
      <c r="DY587" s="17"/>
      <c r="DZ587" s="17"/>
      <c r="EA587" s="16"/>
      <c r="EB587" s="16"/>
      <c r="EC587" s="17"/>
      <c r="ED587" s="17"/>
      <c r="EE587" s="16"/>
      <c r="EF587" s="16"/>
      <c r="EG587" s="17"/>
      <c r="EH587" s="17"/>
      <c r="EI587" s="16"/>
      <c r="EJ587" s="16"/>
      <c r="EK587" s="17"/>
      <c r="EL587" s="17"/>
      <c r="EM587" s="16"/>
      <c r="EN587" s="16"/>
      <c r="EO587" s="17"/>
      <c r="EP587" s="17"/>
      <c r="EQ587" s="16"/>
      <c r="ER587" s="16"/>
      <c r="ES587" s="17"/>
      <c r="ET587" s="17"/>
      <c r="EU587" s="16"/>
      <c r="EV587" s="16"/>
      <c r="EW587" s="17"/>
      <c r="EX587" s="17"/>
      <c r="EY587" s="16"/>
      <c r="EZ587" s="16"/>
      <c r="FA587" s="17"/>
      <c r="FB587" s="17"/>
      <c r="FC587" s="16"/>
      <c r="FD587" s="16"/>
      <c r="FE587" s="17"/>
      <c r="FF587" s="17"/>
      <c r="FG587" s="11"/>
      <c r="GT587" s="11"/>
      <c r="IG587" s="11"/>
      <c r="JT587" s="11"/>
      <c r="LG587" s="11"/>
      <c r="MT587" s="11"/>
      <c r="OG587" s="11"/>
      <c r="PT587" s="11"/>
    </row>
    <row r="588" spans="1:436" ht="15.75" x14ac:dyDescent="0.25">
      <c r="A588" s="13"/>
      <c r="B588" s="14" t="s">
        <v>500</v>
      </c>
      <c r="C588" s="13"/>
      <c r="D588" s="13"/>
      <c r="E588" s="15" t="s">
        <v>127</v>
      </c>
      <c r="F588" s="15" t="s">
        <v>177</v>
      </c>
      <c r="G588" s="13"/>
      <c r="H588" s="11"/>
      <c r="AU588" s="11"/>
      <c r="CH588" s="11"/>
      <c r="CI588" s="16"/>
      <c r="CJ588" s="16"/>
      <c r="CK588" s="16"/>
      <c r="CL588" s="16"/>
      <c r="CM588" s="16"/>
      <c r="CN588" s="16"/>
      <c r="CO588" s="16"/>
      <c r="CP588" s="16"/>
      <c r="CQ588" s="16"/>
      <c r="CR588" s="16"/>
      <c r="CS588" s="16"/>
      <c r="CT588" s="16"/>
      <c r="CU588" s="16"/>
      <c r="CV588" s="16"/>
      <c r="CW588" s="16"/>
      <c r="CX588" s="16"/>
      <c r="CY588" s="16"/>
      <c r="CZ588" s="16"/>
      <c r="DA588" s="16"/>
      <c r="DB588" s="16"/>
      <c r="DC588" s="16"/>
      <c r="DD588" s="16"/>
      <c r="DE588" s="17"/>
      <c r="DF588" s="17"/>
      <c r="DG588" s="16"/>
      <c r="DH588" s="16"/>
      <c r="DI588" s="17"/>
      <c r="DJ588" s="17"/>
      <c r="DK588" s="16"/>
      <c r="DL588" s="16"/>
      <c r="DM588" s="17"/>
      <c r="DN588" s="17"/>
      <c r="DO588" s="16"/>
      <c r="DP588" s="16"/>
      <c r="DQ588" s="17"/>
      <c r="DR588" s="17"/>
      <c r="DS588" s="16"/>
      <c r="DT588" s="16"/>
      <c r="DU588" s="17"/>
      <c r="DV588" s="17"/>
      <c r="DW588" s="16"/>
      <c r="DX588" s="16"/>
      <c r="DY588" s="17"/>
      <c r="DZ588" s="17"/>
      <c r="EA588" s="16"/>
      <c r="EB588" s="16"/>
      <c r="EC588" s="17"/>
      <c r="ED588" s="17"/>
      <c r="EE588" s="16"/>
      <c r="EF588" s="16"/>
      <c r="EG588" s="17"/>
      <c r="EH588" s="17"/>
      <c r="EI588" s="16"/>
      <c r="EJ588" s="16"/>
      <c r="EK588" s="17"/>
      <c r="EL588" s="17"/>
      <c r="EM588" s="16"/>
      <c r="EN588" s="16"/>
      <c r="EO588" s="17"/>
      <c r="EP588" s="17"/>
      <c r="EQ588" s="16"/>
      <c r="ER588" s="16"/>
      <c r="ES588" s="17"/>
      <c r="ET588" s="17"/>
      <c r="EU588" s="16"/>
      <c r="EV588" s="16"/>
      <c r="EW588" s="17"/>
      <c r="EX588" s="17"/>
      <c r="EY588" s="16"/>
      <c r="EZ588" s="16"/>
      <c r="FA588" s="17"/>
      <c r="FB588" s="17"/>
      <c r="FC588" s="16"/>
      <c r="FD588" s="16"/>
      <c r="FE588" s="17"/>
      <c r="FF588" s="17"/>
      <c r="FG588" s="11"/>
      <c r="GT588" s="11"/>
      <c r="IG588" s="11"/>
      <c r="JT588" s="11"/>
      <c r="LG588" s="11"/>
      <c r="MT588" s="11"/>
      <c r="OG588" s="11"/>
      <c r="PT588" s="11"/>
    </row>
    <row r="589" spans="1:436" ht="15.75" x14ac:dyDescent="0.25">
      <c r="A589" s="13"/>
      <c r="B589" s="14" t="s">
        <v>501</v>
      </c>
      <c r="C589" s="13"/>
      <c r="D589" s="13"/>
      <c r="E589" s="15" t="s">
        <v>127</v>
      </c>
      <c r="F589" s="15" t="s">
        <v>433</v>
      </c>
      <c r="G589" s="13"/>
      <c r="H589" s="11"/>
      <c r="AU589" s="11"/>
      <c r="CH589" s="11"/>
      <c r="CI589" s="16"/>
      <c r="CJ589" s="16"/>
      <c r="CK589" s="16"/>
      <c r="CL589" s="16"/>
      <c r="CM589" s="16"/>
      <c r="CN589" s="16"/>
      <c r="CO589" s="16"/>
      <c r="CP589" s="16"/>
      <c r="CQ589" s="16"/>
      <c r="CR589" s="16"/>
      <c r="CS589" s="16"/>
      <c r="CT589" s="16"/>
      <c r="CU589" s="16"/>
      <c r="CV589" s="16"/>
      <c r="CW589" s="16"/>
      <c r="CX589" s="16"/>
      <c r="CY589" s="16"/>
      <c r="CZ589" s="16"/>
      <c r="DA589" s="16"/>
      <c r="DB589" s="16"/>
      <c r="DC589" s="16"/>
      <c r="DD589" s="16"/>
      <c r="DE589" s="17"/>
      <c r="DF589" s="17"/>
      <c r="DG589" s="16"/>
      <c r="DH589" s="16"/>
      <c r="DI589" s="17"/>
      <c r="DJ589" s="17"/>
      <c r="DK589" s="16"/>
      <c r="DL589" s="16"/>
      <c r="DM589" s="17"/>
      <c r="DN589" s="17"/>
      <c r="DO589" s="16"/>
      <c r="DP589" s="16"/>
      <c r="DQ589" s="17"/>
      <c r="DR589" s="17"/>
      <c r="DS589" s="16"/>
      <c r="DT589" s="16"/>
      <c r="DU589" s="17"/>
      <c r="DV589" s="17"/>
      <c r="DW589" s="16"/>
      <c r="DX589" s="16"/>
      <c r="DY589" s="17"/>
      <c r="DZ589" s="17"/>
      <c r="EA589" s="16"/>
      <c r="EB589" s="16"/>
      <c r="EC589" s="18">
        <v>142.6</v>
      </c>
      <c r="ED589" s="18">
        <v>171.4</v>
      </c>
      <c r="EE589" s="16"/>
      <c r="EF589" s="16"/>
      <c r="EG589" s="17"/>
      <c r="EH589" s="17"/>
      <c r="EI589" s="16"/>
      <c r="EJ589" s="16"/>
      <c r="EK589" s="17"/>
      <c r="EL589" s="17"/>
      <c r="EM589" s="16"/>
      <c r="EN589" s="16"/>
      <c r="EO589" s="17"/>
      <c r="EP589" s="17"/>
      <c r="EQ589" s="16"/>
      <c r="ER589" s="16"/>
      <c r="ES589" s="17"/>
      <c r="ET589" s="17"/>
      <c r="EU589" s="16"/>
      <c r="EV589" s="16"/>
      <c r="EW589" s="17"/>
      <c r="EX589" s="17"/>
      <c r="EY589" s="16"/>
      <c r="EZ589" s="16"/>
      <c r="FA589" s="17"/>
      <c r="FB589" s="17"/>
      <c r="FC589" s="16"/>
      <c r="FD589" s="16"/>
      <c r="FE589" s="17"/>
      <c r="FF589" s="17"/>
      <c r="FG589" s="11"/>
      <c r="GT589" s="11"/>
      <c r="IG589" s="11"/>
      <c r="JT589" s="11"/>
      <c r="LG589" s="11"/>
      <c r="MT589" s="11"/>
      <c r="OG589" s="11"/>
      <c r="PT589" s="11"/>
    </row>
    <row r="590" spans="1:436" ht="15.75" x14ac:dyDescent="0.25">
      <c r="C590" s="20" t="s">
        <v>502</v>
      </c>
      <c r="D590" s="21" t="s">
        <v>79</v>
      </c>
      <c r="H590" s="11"/>
      <c r="AU590" s="11"/>
      <c r="CH590" s="11"/>
      <c r="CI590" s="16"/>
      <c r="CJ590" s="16"/>
      <c r="CK590" s="16"/>
      <c r="CL590" s="16"/>
      <c r="CM590" s="16"/>
      <c r="CN590" s="16"/>
      <c r="CO590" s="16"/>
      <c r="CP590" s="16"/>
      <c r="CQ590" s="16"/>
      <c r="CR590" s="16"/>
      <c r="CS590" s="16"/>
      <c r="CT590" s="16"/>
      <c r="CU590" s="16"/>
      <c r="CV590" s="16"/>
      <c r="CW590" s="16"/>
      <c r="CX590" s="16"/>
      <c r="CY590" s="16"/>
      <c r="CZ590" s="16"/>
      <c r="DA590" s="16"/>
      <c r="DB590" s="16"/>
      <c r="DC590" s="16"/>
      <c r="DD590" s="16"/>
      <c r="DE590" s="17"/>
      <c r="DF590" s="17"/>
      <c r="DG590" s="16"/>
      <c r="DH590" s="16"/>
      <c r="DI590" s="18">
        <v>2</v>
      </c>
      <c r="DJ590" s="18">
        <v>2</v>
      </c>
      <c r="DK590" s="16"/>
      <c r="DL590" s="16"/>
      <c r="DM590" s="17"/>
      <c r="DN590" s="17"/>
      <c r="DO590" s="16"/>
      <c r="DP590" s="16"/>
      <c r="DQ590" s="17"/>
      <c r="DR590" s="17"/>
      <c r="DS590" s="16"/>
      <c r="DT590" s="16"/>
      <c r="DU590" s="17"/>
      <c r="DV590" s="17"/>
      <c r="DW590" s="16"/>
      <c r="DX590" s="16"/>
      <c r="DY590" s="17"/>
      <c r="DZ590" s="17"/>
      <c r="EA590" s="16"/>
      <c r="EB590" s="16"/>
      <c r="EC590" s="17"/>
      <c r="ED590" s="17"/>
      <c r="EE590" s="16"/>
      <c r="EF590" s="16"/>
      <c r="EG590" s="17"/>
      <c r="EH590" s="17"/>
      <c r="EI590" s="16"/>
      <c r="EJ590" s="16"/>
      <c r="EK590" s="17"/>
      <c r="EL590" s="17"/>
      <c r="EM590" s="16"/>
      <c r="EN590" s="16"/>
      <c r="EO590" s="17"/>
      <c r="EP590" s="17"/>
      <c r="EQ590" s="16"/>
      <c r="ER590" s="16"/>
      <c r="ES590" s="17"/>
      <c r="ET590" s="17"/>
      <c r="EU590" s="16"/>
      <c r="EV590" s="16"/>
      <c r="EW590" s="17"/>
      <c r="EX590" s="17"/>
      <c r="EY590" s="16"/>
      <c r="EZ590" s="16"/>
      <c r="FA590" s="17"/>
      <c r="FB590" s="17"/>
      <c r="FC590" s="16"/>
      <c r="FD590" s="16"/>
      <c r="FE590" s="17"/>
      <c r="FF590" s="17"/>
      <c r="FG590" s="11"/>
      <c r="GT590" s="11"/>
      <c r="IG590" s="11"/>
      <c r="JT590" s="11"/>
      <c r="LG590" s="11"/>
      <c r="MT590" s="11"/>
      <c r="OG590" s="11"/>
      <c r="PT590" s="11"/>
    </row>
    <row r="591" spans="1:436" ht="15.75" x14ac:dyDescent="0.25">
      <c r="C591" s="20" t="s">
        <v>503</v>
      </c>
      <c r="D591" s="21" t="s">
        <v>79</v>
      </c>
      <c r="H591" s="11"/>
      <c r="AU591" s="11"/>
      <c r="CH591" s="11"/>
      <c r="CI591" s="16"/>
      <c r="CJ591" s="16"/>
      <c r="CK591" s="16"/>
      <c r="CL591" s="16"/>
      <c r="CM591" s="16"/>
      <c r="CN591" s="16"/>
      <c r="CO591" s="16"/>
      <c r="CP591" s="16"/>
      <c r="CQ591" s="16"/>
      <c r="CR591" s="16"/>
      <c r="CS591" s="16"/>
      <c r="CT591" s="16"/>
      <c r="CU591" s="16"/>
      <c r="CV591" s="16"/>
      <c r="CW591" s="16"/>
      <c r="CX591" s="16"/>
      <c r="CY591" s="16"/>
      <c r="CZ591" s="16"/>
      <c r="DA591" s="16"/>
      <c r="DB591" s="16"/>
      <c r="DC591" s="16"/>
      <c r="DD591" s="16"/>
      <c r="DE591" s="17"/>
      <c r="DF591" s="17"/>
      <c r="DG591" s="16"/>
      <c r="DH591" s="16"/>
      <c r="DI591" s="18">
        <v>2</v>
      </c>
      <c r="DJ591" s="18">
        <v>2</v>
      </c>
      <c r="DK591" s="16"/>
      <c r="DL591" s="16"/>
      <c r="DM591" s="17"/>
      <c r="DN591" s="17"/>
      <c r="DO591" s="16"/>
      <c r="DP591" s="16"/>
      <c r="DQ591" s="17"/>
      <c r="DR591" s="17"/>
      <c r="DS591" s="16"/>
      <c r="DT591" s="16"/>
      <c r="DU591" s="17"/>
      <c r="DV591" s="17"/>
      <c r="DW591" s="16"/>
      <c r="DX591" s="16"/>
      <c r="DY591" s="17"/>
      <c r="DZ591" s="17"/>
      <c r="EA591" s="16"/>
      <c r="EB591" s="16"/>
      <c r="EC591" s="17"/>
      <c r="ED591" s="17"/>
      <c r="EE591" s="16"/>
      <c r="EF591" s="16"/>
      <c r="EG591" s="17"/>
      <c r="EH591" s="17"/>
      <c r="EI591" s="16"/>
      <c r="EJ591" s="16"/>
      <c r="EK591" s="17"/>
      <c r="EL591" s="17"/>
      <c r="EM591" s="16"/>
      <c r="EN591" s="16"/>
      <c r="EO591" s="17"/>
      <c r="EP591" s="17"/>
      <c r="EQ591" s="16"/>
      <c r="ER591" s="16"/>
      <c r="ES591" s="17"/>
      <c r="ET591" s="17"/>
      <c r="EU591" s="16"/>
      <c r="EV591" s="16"/>
      <c r="EW591" s="17"/>
      <c r="EX591" s="17"/>
      <c r="EY591" s="16"/>
      <c r="EZ591" s="16"/>
      <c r="FA591" s="17"/>
      <c r="FB591" s="17"/>
      <c r="FC591" s="16"/>
      <c r="FD591" s="16"/>
      <c r="FE591" s="17"/>
      <c r="FF591" s="17"/>
      <c r="FG591" s="11"/>
      <c r="GT591" s="11"/>
      <c r="IG591" s="11"/>
      <c r="JT591" s="11"/>
      <c r="LG591" s="11"/>
      <c r="MT591" s="11"/>
      <c r="OG591" s="11"/>
      <c r="PT591" s="11"/>
    </row>
    <row r="592" spans="1:436" ht="15.75" x14ac:dyDescent="0.25">
      <c r="C592" s="20" t="s">
        <v>504</v>
      </c>
      <c r="D592" s="21" t="s">
        <v>134</v>
      </c>
      <c r="H592" s="11"/>
      <c r="AU592" s="11"/>
      <c r="CH592" s="11"/>
      <c r="CI592" s="16"/>
      <c r="CJ592" s="16"/>
      <c r="CK592" s="16"/>
      <c r="CL592" s="16"/>
      <c r="CM592" s="16"/>
      <c r="CN592" s="16"/>
      <c r="CO592" s="16"/>
      <c r="CP592" s="16"/>
      <c r="CQ592" s="16"/>
      <c r="CR592" s="16"/>
      <c r="CS592" s="16"/>
      <c r="CT592" s="16"/>
      <c r="CU592" s="16"/>
      <c r="CV592" s="16"/>
      <c r="CW592" s="16"/>
      <c r="CX592" s="16"/>
      <c r="CY592" s="16"/>
      <c r="CZ592" s="16"/>
      <c r="DA592" s="16"/>
      <c r="DB592" s="16"/>
      <c r="DC592" s="16"/>
      <c r="DD592" s="16"/>
      <c r="DE592" s="17"/>
      <c r="DF592" s="17"/>
      <c r="DG592" s="16"/>
      <c r="DH592" s="16"/>
      <c r="DI592" s="17"/>
      <c r="DJ592" s="17"/>
      <c r="DK592" s="16"/>
      <c r="DL592" s="16"/>
      <c r="DM592" s="18">
        <v>6</v>
      </c>
      <c r="DN592" s="18">
        <v>6</v>
      </c>
      <c r="DO592" s="16"/>
      <c r="DP592" s="16"/>
      <c r="DQ592" s="17"/>
      <c r="DR592" s="17"/>
      <c r="DS592" s="16"/>
      <c r="DT592" s="16"/>
      <c r="DU592" s="17"/>
      <c r="DV592" s="17"/>
      <c r="DW592" s="16"/>
      <c r="DX592" s="16"/>
      <c r="DY592" s="17"/>
      <c r="DZ592" s="17"/>
      <c r="EA592" s="16"/>
      <c r="EB592" s="16"/>
      <c r="EC592" s="17"/>
      <c r="ED592" s="17"/>
      <c r="EE592" s="16"/>
      <c r="EF592" s="16"/>
      <c r="EG592" s="17"/>
      <c r="EH592" s="17"/>
      <c r="EI592" s="16"/>
      <c r="EJ592" s="16"/>
      <c r="EK592" s="17"/>
      <c r="EL592" s="17"/>
      <c r="EM592" s="16"/>
      <c r="EN592" s="16"/>
      <c r="EO592" s="17"/>
      <c r="EP592" s="17"/>
      <c r="EQ592" s="16"/>
      <c r="ER592" s="16"/>
      <c r="ES592" s="17"/>
      <c r="ET592" s="17"/>
      <c r="EU592" s="16"/>
      <c r="EV592" s="16"/>
      <c r="EW592" s="17"/>
      <c r="EX592" s="17"/>
      <c r="EY592" s="16"/>
      <c r="EZ592" s="16"/>
      <c r="FA592" s="17"/>
      <c r="FB592" s="17"/>
      <c r="FC592" s="16"/>
      <c r="FD592" s="16"/>
      <c r="FE592" s="17"/>
      <c r="FF592" s="17"/>
      <c r="FG592" s="11"/>
      <c r="GT592" s="11"/>
      <c r="IG592" s="11"/>
      <c r="JT592" s="11"/>
      <c r="LG592" s="11"/>
      <c r="MT592" s="11"/>
      <c r="OG592" s="11"/>
      <c r="PT592" s="11"/>
    </row>
    <row r="593" spans="3:436" ht="15.75" x14ac:dyDescent="0.25">
      <c r="C593" s="20" t="s">
        <v>505</v>
      </c>
      <c r="D593" s="21" t="s">
        <v>134</v>
      </c>
      <c r="H593" s="11"/>
      <c r="AU593" s="11"/>
      <c r="CH593" s="11"/>
      <c r="CI593" s="16"/>
      <c r="CJ593" s="16"/>
      <c r="CK593" s="16"/>
      <c r="CL593" s="16"/>
      <c r="CM593" s="16"/>
      <c r="CN593" s="16"/>
      <c r="CO593" s="16"/>
      <c r="CP593" s="16"/>
      <c r="CQ593" s="16"/>
      <c r="CR593" s="16"/>
      <c r="CS593" s="16"/>
      <c r="CT593" s="16"/>
      <c r="CU593" s="16"/>
      <c r="CV593" s="16"/>
      <c r="CW593" s="16"/>
      <c r="CX593" s="16"/>
      <c r="CY593" s="16"/>
      <c r="CZ593" s="16"/>
      <c r="DA593" s="16"/>
      <c r="DB593" s="16"/>
      <c r="DC593" s="16"/>
      <c r="DD593" s="16"/>
      <c r="DE593" s="17"/>
      <c r="DF593" s="17"/>
      <c r="DG593" s="16"/>
      <c r="DH593" s="16"/>
      <c r="DI593" s="17"/>
      <c r="DJ593" s="17"/>
      <c r="DK593" s="16"/>
      <c r="DL593" s="16"/>
      <c r="DM593" s="18">
        <v>3</v>
      </c>
      <c r="DN593" s="18">
        <v>7</v>
      </c>
      <c r="DO593" s="16"/>
      <c r="DP593" s="16"/>
      <c r="DQ593" s="17"/>
      <c r="DR593" s="17"/>
      <c r="DS593" s="16"/>
      <c r="DT593" s="16"/>
      <c r="DU593" s="17"/>
      <c r="DV593" s="17"/>
      <c r="DW593" s="16"/>
      <c r="DX593" s="16"/>
      <c r="DY593" s="17"/>
      <c r="DZ593" s="17"/>
      <c r="EA593" s="16"/>
      <c r="EB593" s="16"/>
      <c r="EC593" s="17"/>
      <c r="ED593" s="17"/>
      <c r="EE593" s="16"/>
      <c r="EF593" s="16"/>
      <c r="EG593" s="17"/>
      <c r="EH593" s="17"/>
      <c r="EI593" s="16"/>
      <c r="EJ593" s="16"/>
      <c r="EK593" s="17"/>
      <c r="EL593" s="17"/>
      <c r="EM593" s="16"/>
      <c r="EN593" s="16"/>
      <c r="EO593" s="17"/>
      <c r="EP593" s="17"/>
      <c r="EQ593" s="16"/>
      <c r="ER593" s="16"/>
      <c r="ES593" s="17"/>
      <c r="ET593" s="17"/>
      <c r="EU593" s="16"/>
      <c r="EV593" s="16"/>
      <c r="EW593" s="17"/>
      <c r="EX593" s="17"/>
      <c r="EY593" s="16"/>
      <c r="EZ593" s="16"/>
      <c r="FA593" s="17"/>
      <c r="FB593" s="17"/>
      <c r="FC593" s="16"/>
      <c r="FD593" s="16"/>
      <c r="FE593" s="17"/>
      <c r="FF593" s="17"/>
      <c r="FG593" s="11"/>
      <c r="GT593" s="11"/>
      <c r="IG593" s="11"/>
      <c r="JT593" s="11"/>
      <c r="LG593" s="11"/>
      <c r="MT593" s="11"/>
      <c r="OG593" s="11"/>
      <c r="PT593" s="11"/>
    </row>
    <row r="594" spans="3:436" ht="15.75" x14ac:dyDescent="0.25">
      <c r="C594" s="20" t="s">
        <v>506</v>
      </c>
      <c r="D594" s="21" t="s">
        <v>129</v>
      </c>
      <c r="H594" s="11"/>
      <c r="AU594" s="11"/>
      <c r="CH594" s="11"/>
      <c r="CI594" s="16"/>
      <c r="CJ594" s="16"/>
      <c r="CK594" s="16"/>
      <c r="CL594" s="16"/>
      <c r="CM594" s="16"/>
      <c r="CN594" s="16"/>
      <c r="CO594" s="16"/>
      <c r="CP594" s="16"/>
      <c r="CQ594" s="16"/>
      <c r="CR594" s="16"/>
      <c r="CS594" s="16"/>
      <c r="CT594" s="16"/>
      <c r="CU594" s="16"/>
      <c r="CV594" s="16"/>
      <c r="CW594" s="16"/>
      <c r="CX594" s="16"/>
      <c r="CY594" s="16"/>
      <c r="CZ594" s="16"/>
      <c r="DA594" s="16"/>
      <c r="DB594" s="16"/>
      <c r="DC594" s="16"/>
      <c r="DD594" s="16"/>
      <c r="DE594" s="17"/>
      <c r="DF594" s="17"/>
      <c r="DG594" s="16"/>
      <c r="DH594" s="16"/>
      <c r="DI594" s="17"/>
      <c r="DJ594" s="17"/>
      <c r="DK594" s="16"/>
      <c r="DL594" s="16"/>
      <c r="DM594" s="17"/>
      <c r="DN594" s="17"/>
      <c r="DO594" s="16"/>
      <c r="DP594" s="16"/>
      <c r="DQ594" s="17"/>
      <c r="DR594" s="17"/>
      <c r="DS594" s="16"/>
      <c r="DT594" s="16"/>
      <c r="DU594" s="17"/>
      <c r="DV594" s="17"/>
      <c r="DW594" s="16"/>
      <c r="DX594" s="16"/>
      <c r="DY594" s="17"/>
      <c r="DZ594" s="17"/>
      <c r="EA594" s="16"/>
      <c r="EB594" s="16"/>
      <c r="EC594" s="17"/>
      <c r="ED594" s="17"/>
      <c r="EE594" s="16"/>
      <c r="EF594" s="16"/>
      <c r="EG594" s="17"/>
      <c r="EH594" s="17"/>
      <c r="EI594" s="16"/>
      <c r="EJ594" s="16"/>
      <c r="EK594" s="17"/>
      <c r="EL594" s="17"/>
      <c r="EM594" s="16"/>
      <c r="EN594" s="16"/>
      <c r="EO594" s="17"/>
      <c r="EP594" s="17"/>
      <c r="EQ594" s="16"/>
      <c r="ER594" s="16"/>
      <c r="ES594" s="17"/>
      <c r="ET594" s="17"/>
      <c r="EU594" s="16"/>
      <c r="EV594" s="16"/>
      <c r="EW594" s="17"/>
      <c r="EX594" s="17"/>
      <c r="EY594" s="16"/>
      <c r="EZ594" s="16"/>
      <c r="FA594" s="17"/>
      <c r="FB594" s="17"/>
      <c r="FC594" s="16"/>
      <c r="FD594" s="16"/>
      <c r="FE594" s="17"/>
      <c r="FF594" s="17"/>
      <c r="FG594" s="11"/>
      <c r="GT594" s="11"/>
      <c r="IG594" s="11"/>
      <c r="JT594" s="11"/>
      <c r="LG594" s="11"/>
      <c r="MT594" s="11"/>
      <c r="OG594" s="11"/>
      <c r="PT594" s="11"/>
    </row>
    <row r="595" spans="3:436" ht="15.75" x14ac:dyDescent="0.25">
      <c r="C595" s="20" t="s">
        <v>507</v>
      </c>
      <c r="D595" s="21" t="s">
        <v>136</v>
      </c>
      <c r="H595" s="11"/>
      <c r="AU595" s="11"/>
      <c r="CH595" s="11"/>
      <c r="CI595" s="16"/>
      <c r="CJ595" s="16"/>
      <c r="CK595" s="16"/>
      <c r="CL595" s="16"/>
      <c r="CM595" s="16"/>
      <c r="CN595" s="16"/>
      <c r="CO595" s="16"/>
      <c r="CP595" s="16"/>
      <c r="CQ595" s="16"/>
      <c r="CR595" s="16"/>
      <c r="CS595" s="16"/>
      <c r="CT595" s="16"/>
      <c r="CU595" s="16"/>
      <c r="CV595" s="16"/>
      <c r="CW595" s="16"/>
      <c r="CX595" s="16"/>
      <c r="CY595" s="16"/>
      <c r="CZ595" s="16"/>
      <c r="DA595" s="16"/>
      <c r="DB595" s="16"/>
      <c r="DC595" s="16"/>
      <c r="DD595" s="16"/>
      <c r="DE595" s="17"/>
      <c r="DF595" s="17"/>
      <c r="DG595" s="16"/>
      <c r="DH595" s="16"/>
      <c r="DI595" s="17"/>
      <c r="DJ595" s="17"/>
      <c r="DK595" s="16"/>
      <c r="DL595" s="16"/>
      <c r="DM595" s="17"/>
      <c r="DN595" s="17"/>
      <c r="DO595" s="16"/>
      <c r="DP595" s="16"/>
      <c r="DQ595" s="17"/>
      <c r="DR595" s="17"/>
      <c r="DS595" s="16"/>
      <c r="DT595" s="16"/>
      <c r="DU595" s="17"/>
      <c r="DV595" s="17"/>
      <c r="DW595" s="16"/>
      <c r="DX595" s="16"/>
      <c r="DY595" s="17"/>
      <c r="DZ595" s="17"/>
      <c r="EA595" s="16"/>
      <c r="EB595" s="16"/>
      <c r="EC595" s="17"/>
      <c r="ED595" s="17"/>
      <c r="EE595" s="16"/>
      <c r="EF595" s="16"/>
      <c r="EG595" s="17"/>
      <c r="EH595" s="17"/>
      <c r="EI595" s="16"/>
      <c r="EJ595" s="16"/>
      <c r="EK595" s="17"/>
      <c r="EL595" s="17"/>
      <c r="EM595" s="16"/>
      <c r="EN595" s="16"/>
      <c r="EO595" s="17"/>
      <c r="EP595" s="17"/>
      <c r="EQ595" s="16"/>
      <c r="ER595" s="16"/>
      <c r="ES595" s="17"/>
      <c r="ET595" s="17"/>
      <c r="EU595" s="16"/>
      <c r="EV595" s="16"/>
      <c r="EW595" s="17"/>
      <c r="EX595" s="17"/>
      <c r="EY595" s="16"/>
      <c r="EZ595" s="16"/>
      <c r="FA595" s="17"/>
      <c r="FB595" s="17"/>
      <c r="FC595" s="16"/>
      <c r="FD595" s="16"/>
      <c r="FE595" s="17"/>
      <c r="FF595" s="17"/>
      <c r="FG595" s="11"/>
      <c r="GT595" s="11"/>
      <c r="IG595" s="11"/>
      <c r="JT595" s="11"/>
      <c r="LG595" s="11"/>
      <c r="MT595" s="11"/>
      <c r="OG595" s="11"/>
      <c r="PT595" s="11"/>
    </row>
    <row r="596" spans="3:436" ht="15.75" x14ac:dyDescent="0.25">
      <c r="C596" s="20" t="s">
        <v>508</v>
      </c>
      <c r="D596" s="21" t="s">
        <v>136</v>
      </c>
      <c r="H596" s="11"/>
      <c r="AU596" s="11"/>
      <c r="CH596" s="11"/>
      <c r="CI596" s="16"/>
      <c r="CJ596" s="16"/>
      <c r="CK596" s="16"/>
      <c r="CL596" s="16"/>
      <c r="CM596" s="16"/>
      <c r="CN596" s="16"/>
      <c r="CO596" s="16"/>
      <c r="CP596" s="16"/>
      <c r="CQ596" s="16"/>
      <c r="CR596" s="16"/>
      <c r="CS596" s="16"/>
      <c r="CT596" s="16"/>
      <c r="CU596" s="16"/>
      <c r="CV596" s="16"/>
      <c r="CW596" s="16"/>
      <c r="CX596" s="16"/>
      <c r="CY596" s="16"/>
      <c r="CZ596" s="16"/>
      <c r="DA596" s="16"/>
      <c r="DB596" s="16"/>
      <c r="DC596" s="16"/>
      <c r="DD596" s="16"/>
      <c r="DE596" s="17"/>
      <c r="DF596" s="17"/>
      <c r="DG596" s="16"/>
      <c r="DH596" s="16"/>
      <c r="DI596" s="17"/>
      <c r="DJ596" s="17"/>
      <c r="DK596" s="16"/>
      <c r="DL596" s="16"/>
      <c r="DM596" s="17"/>
      <c r="DN596" s="17"/>
      <c r="DO596" s="16"/>
      <c r="DP596" s="16"/>
      <c r="DQ596" s="17"/>
      <c r="DR596" s="17"/>
      <c r="DS596" s="16"/>
      <c r="DT596" s="16"/>
      <c r="DU596" s="17"/>
      <c r="DV596" s="17"/>
      <c r="DW596" s="16"/>
      <c r="DX596" s="16"/>
      <c r="DY596" s="17"/>
      <c r="DZ596" s="17"/>
      <c r="EA596" s="16"/>
      <c r="EB596" s="16"/>
      <c r="EC596" s="17"/>
      <c r="ED596" s="17"/>
      <c r="EE596" s="16"/>
      <c r="EF596" s="16"/>
      <c r="EG596" s="17"/>
      <c r="EH596" s="17"/>
      <c r="EI596" s="16"/>
      <c r="EJ596" s="16"/>
      <c r="EK596" s="17"/>
      <c r="EL596" s="17"/>
      <c r="EM596" s="16"/>
      <c r="EN596" s="16"/>
      <c r="EO596" s="17"/>
      <c r="EP596" s="17"/>
      <c r="EQ596" s="16"/>
      <c r="ER596" s="16"/>
      <c r="ES596" s="17"/>
      <c r="ET596" s="17"/>
      <c r="EU596" s="16"/>
      <c r="EV596" s="16"/>
      <c r="EW596" s="17"/>
      <c r="EX596" s="17"/>
      <c r="EY596" s="16"/>
      <c r="EZ596" s="16"/>
      <c r="FA596" s="17"/>
      <c r="FB596" s="17"/>
      <c r="FC596" s="16"/>
      <c r="FD596" s="16"/>
      <c r="FE596" s="17"/>
      <c r="FF596" s="17"/>
      <c r="FG596" s="11"/>
      <c r="GT596" s="11"/>
      <c r="IG596" s="11"/>
      <c r="JT596" s="11"/>
      <c r="LG596" s="11"/>
      <c r="MT596" s="11"/>
      <c r="OG596" s="11"/>
      <c r="PT596" s="11"/>
    </row>
    <row r="597" spans="3:436" ht="15.75" x14ac:dyDescent="0.25">
      <c r="C597" s="20" t="s">
        <v>509</v>
      </c>
      <c r="D597" s="21" t="s">
        <v>79</v>
      </c>
      <c r="H597" s="11"/>
      <c r="AU597" s="11"/>
      <c r="CH597" s="11"/>
      <c r="CI597" s="16"/>
      <c r="CJ597" s="16"/>
      <c r="CK597" s="16"/>
      <c r="CL597" s="16"/>
      <c r="CM597" s="16"/>
      <c r="CN597" s="16"/>
      <c r="CO597" s="16"/>
      <c r="CP597" s="16"/>
      <c r="CQ597" s="16"/>
      <c r="CR597" s="16"/>
      <c r="CS597" s="16"/>
      <c r="CT597" s="16"/>
      <c r="CU597" s="16"/>
      <c r="CV597" s="16"/>
      <c r="CW597" s="16"/>
      <c r="CX597" s="16"/>
      <c r="CY597" s="16"/>
      <c r="CZ597" s="16"/>
      <c r="DA597" s="16"/>
      <c r="DB597" s="16"/>
      <c r="DC597" s="16"/>
      <c r="DD597" s="16"/>
      <c r="DE597" s="17"/>
      <c r="DF597" s="17"/>
      <c r="DG597" s="16"/>
      <c r="DH597" s="16"/>
      <c r="DI597" s="17"/>
      <c r="DJ597" s="18">
        <v>2</v>
      </c>
      <c r="DK597" s="16"/>
      <c r="DL597" s="16"/>
      <c r="DM597" s="17"/>
      <c r="DN597" s="17"/>
      <c r="DO597" s="16"/>
      <c r="DP597" s="16"/>
      <c r="DQ597" s="17"/>
      <c r="DR597" s="17"/>
      <c r="DS597" s="16"/>
      <c r="DT597" s="16"/>
      <c r="DU597" s="17"/>
      <c r="DV597" s="17"/>
      <c r="DW597" s="16"/>
      <c r="DX597" s="16"/>
      <c r="DY597" s="17"/>
      <c r="DZ597" s="17"/>
      <c r="EA597" s="16"/>
      <c r="EB597" s="16"/>
      <c r="EC597" s="17"/>
      <c r="ED597" s="17"/>
      <c r="EE597" s="16"/>
      <c r="EF597" s="16"/>
      <c r="EG597" s="17"/>
      <c r="EH597" s="17"/>
      <c r="EI597" s="16"/>
      <c r="EJ597" s="16"/>
      <c r="EK597" s="17"/>
      <c r="EL597" s="17"/>
      <c r="EM597" s="16"/>
      <c r="EN597" s="16"/>
      <c r="EO597" s="17"/>
      <c r="EP597" s="17"/>
      <c r="EQ597" s="16"/>
      <c r="ER597" s="16"/>
      <c r="ES597" s="17"/>
      <c r="ET597" s="17"/>
      <c r="EU597" s="16"/>
      <c r="EV597" s="16"/>
      <c r="EW597" s="17"/>
      <c r="EX597" s="17"/>
      <c r="EY597" s="16"/>
      <c r="EZ597" s="16"/>
      <c r="FA597" s="17"/>
      <c r="FB597" s="17"/>
      <c r="FC597" s="16"/>
      <c r="FD597" s="16"/>
      <c r="FE597" s="17"/>
      <c r="FF597" s="17"/>
      <c r="FG597" s="11"/>
      <c r="GT597" s="11"/>
      <c r="IG597" s="11"/>
      <c r="JT597" s="11"/>
      <c r="LG597" s="11"/>
      <c r="MT597" s="11"/>
      <c r="OG597" s="11"/>
      <c r="PT597" s="11"/>
    </row>
    <row r="598" spans="3:436" ht="15.75" x14ac:dyDescent="0.25">
      <c r="C598" s="20" t="s">
        <v>510</v>
      </c>
      <c r="D598" s="21" t="s">
        <v>79</v>
      </c>
      <c r="H598" s="11"/>
      <c r="AU598" s="11"/>
      <c r="CH598" s="11"/>
      <c r="CI598" s="16"/>
      <c r="CJ598" s="16"/>
      <c r="CK598" s="16"/>
      <c r="CL598" s="16"/>
      <c r="CM598" s="16"/>
      <c r="CN598" s="16"/>
      <c r="CO598" s="16"/>
      <c r="CP598" s="16"/>
      <c r="CQ598" s="16"/>
      <c r="CR598" s="16"/>
      <c r="CS598" s="16"/>
      <c r="CT598" s="16"/>
      <c r="CU598" s="16"/>
      <c r="CV598" s="16"/>
      <c r="CW598" s="16"/>
      <c r="CX598" s="16"/>
      <c r="CY598" s="16"/>
      <c r="CZ598" s="16"/>
      <c r="DA598" s="16"/>
      <c r="DB598" s="16"/>
      <c r="DC598" s="16"/>
      <c r="DD598" s="16"/>
      <c r="DE598" s="17"/>
      <c r="DF598" s="17"/>
      <c r="DG598" s="16"/>
      <c r="DH598" s="16"/>
      <c r="DI598" s="18">
        <v>4</v>
      </c>
      <c r="DJ598" s="18">
        <v>5</v>
      </c>
      <c r="DK598" s="16"/>
      <c r="DL598" s="16"/>
      <c r="DM598" s="17"/>
      <c r="DN598" s="17"/>
      <c r="DO598" s="16"/>
      <c r="DP598" s="16"/>
      <c r="DQ598" s="17"/>
      <c r="DR598" s="17"/>
      <c r="DS598" s="16"/>
      <c r="DT598" s="16"/>
      <c r="DU598" s="17"/>
      <c r="DV598" s="17"/>
      <c r="DW598" s="16"/>
      <c r="DX598" s="16"/>
      <c r="DY598" s="17"/>
      <c r="DZ598" s="17"/>
      <c r="EA598" s="16"/>
      <c r="EB598" s="16"/>
      <c r="EC598" s="17"/>
      <c r="ED598" s="17"/>
      <c r="EE598" s="16"/>
      <c r="EF598" s="16"/>
      <c r="EG598" s="17"/>
      <c r="EH598" s="17"/>
      <c r="EI598" s="16"/>
      <c r="EJ598" s="16"/>
      <c r="EK598" s="17"/>
      <c r="EL598" s="17"/>
      <c r="EM598" s="16"/>
      <c r="EN598" s="16"/>
      <c r="EO598" s="17"/>
      <c r="EP598" s="17"/>
      <c r="EQ598" s="16"/>
      <c r="ER598" s="16"/>
      <c r="ES598" s="17"/>
      <c r="ET598" s="17"/>
      <c r="EU598" s="16"/>
      <c r="EV598" s="16"/>
      <c r="EW598" s="17"/>
      <c r="EX598" s="17"/>
      <c r="EY598" s="16"/>
      <c r="EZ598" s="16"/>
      <c r="FA598" s="17"/>
      <c r="FB598" s="17"/>
      <c r="FC598" s="16"/>
      <c r="FD598" s="16"/>
      <c r="FE598" s="17"/>
      <c r="FF598" s="17"/>
      <c r="FG598" s="11"/>
      <c r="GT598" s="11"/>
      <c r="IG598" s="11"/>
      <c r="JT598" s="11"/>
      <c r="LG598" s="11"/>
      <c r="MT598" s="11"/>
      <c r="OG598" s="11"/>
      <c r="PT598" s="11"/>
    </row>
    <row r="599" spans="3:436" ht="15.75" x14ac:dyDescent="0.25">
      <c r="C599" s="20" t="s">
        <v>511</v>
      </c>
      <c r="D599" s="21" t="s">
        <v>136</v>
      </c>
      <c r="H599" s="11"/>
      <c r="AU599" s="11"/>
      <c r="CH599" s="11"/>
      <c r="CI599" s="16"/>
      <c r="CJ599" s="16"/>
      <c r="CK599" s="16"/>
      <c r="CL599" s="16"/>
      <c r="CM599" s="16"/>
      <c r="CN599" s="16"/>
      <c r="CO599" s="16"/>
      <c r="CP599" s="16"/>
      <c r="CQ599" s="16"/>
      <c r="CR599" s="16"/>
      <c r="CS599" s="16"/>
      <c r="CT599" s="16"/>
      <c r="CU599" s="16"/>
      <c r="CV599" s="16"/>
      <c r="CW599" s="16"/>
      <c r="CX599" s="16"/>
      <c r="CY599" s="16"/>
      <c r="CZ599" s="16"/>
      <c r="DA599" s="16"/>
      <c r="DB599" s="16"/>
      <c r="DC599" s="16"/>
      <c r="DD599" s="16"/>
      <c r="DE599" s="17"/>
      <c r="DF599" s="17"/>
      <c r="DG599" s="16"/>
      <c r="DH599" s="16"/>
      <c r="DI599" s="17"/>
      <c r="DJ599" s="17"/>
      <c r="DK599" s="16"/>
      <c r="DL599" s="16"/>
      <c r="DM599" s="17"/>
      <c r="DN599" s="17"/>
      <c r="DO599" s="16"/>
      <c r="DP599" s="16"/>
      <c r="DQ599" s="17"/>
      <c r="DR599" s="17"/>
      <c r="DS599" s="16"/>
      <c r="DT599" s="16"/>
      <c r="DU599" s="17"/>
      <c r="DV599" s="17"/>
      <c r="DW599" s="16"/>
      <c r="DX599" s="16"/>
      <c r="DY599" s="17"/>
      <c r="DZ599" s="17"/>
      <c r="EA599" s="16"/>
      <c r="EB599" s="16"/>
      <c r="EC599" s="17"/>
      <c r="ED599" s="17"/>
      <c r="EE599" s="16"/>
      <c r="EF599" s="16"/>
      <c r="EG599" s="17"/>
      <c r="EH599" s="17"/>
      <c r="EI599" s="16"/>
      <c r="EJ599" s="16"/>
      <c r="EK599" s="17"/>
      <c r="EL599" s="17"/>
      <c r="EM599" s="16"/>
      <c r="EN599" s="16"/>
      <c r="EO599" s="17"/>
      <c r="EP599" s="17"/>
      <c r="EQ599" s="16"/>
      <c r="ER599" s="16"/>
      <c r="ES599" s="17"/>
      <c r="ET599" s="17"/>
      <c r="EU599" s="16"/>
      <c r="EV599" s="16"/>
      <c r="EW599" s="17"/>
      <c r="EX599" s="17"/>
      <c r="EY599" s="16"/>
      <c r="EZ599" s="16"/>
      <c r="FA599" s="17"/>
      <c r="FB599" s="17"/>
      <c r="FC599" s="16"/>
      <c r="FD599" s="16"/>
      <c r="FE599" s="17"/>
      <c r="FF599" s="17"/>
      <c r="FG599" s="11"/>
      <c r="GT599" s="11"/>
      <c r="IG599" s="11"/>
      <c r="JT599" s="11"/>
      <c r="LG599" s="11"/>
      <c r="MT599" s="11"/>
      <c r="OG599" s="11"/>
      <c r="PT599" s="11"/>
    </row>
    <row r="600" spans="3:436" ht="15.75" x14ac:dyDescent="0.25">
      <c r="C600" s="20" t="s">
        <v>512</v>
      </c>
      <c r="D600" s="21" t="s">
        <v>136</v>
      </c>
      <c r="H600" s="11"/>
      <c r="AU600" s="11"/>
      <c r="CH600" s="11"/>
      <c r="CI600" s="16"/>
      <c r="CJ600" s="16"/>
      <c r="CK600" s="16"/>
      <c r="CL600" s="16"/>
      <c r="CM600" s="16"/>
      <c r="CN600" s="16"/>
      <c r="CO600" s="16"/>
      <c r="CP600" s="16"/>
      <c r="CQ600" s="16"/>
      <c r="CR600" s="16"/>
      <c r="CS600" s="16"/>
      <c r="CT600" s="16"/>
      <c r="CU600" s="16"/>
      <c r="CV600" s="16"/>
      <c r="CW600" s="16"/>
      <c r="CX600" s="16"/>
      <c r="CY600" s="16"/>
      <c r="CZ600" s="16"/>
      <c r="DA600" s="16"/>
      <c r="DB600" s="16"/>
      <c r="DC600" s="16"/>
      <c r="DD600" s="16"/>
      <c r="DE600" s="17"/>
      <c r="DF600" s="17"/>
      <c r="DG600" s="16"/>
      <c r="DH600" s="16"/>
      <c r="DI600" s="17"/>
      <c r="DJ600" s="17"/>
      <c r="DK600" s="16"/>
      <c r="DL600" s="16"/>
      <c r="DM600" s="17"/>
      <c r="DN600" s="17"/>
      <c r="DO600" s="16"/>
      <c r="DP600" s="16"/>
      <c r="DQ600" s="17"/>
      <c r="DR600" s="17"/>
      <c r="DS600" s="16"/>
      <c r="DT600" s="16"/>
      <c r="DU600" s="17"/>
      <c r="DV600" s="17"/>
      <c r="DW600" s="16"/>
      <c r="DX600" s="16"/>
      <c r="DY600" s="17"/>
      <c r="DZ600" s="17"/>
      <c r="EA600" s="16"/>
      <c r="EB600" s="16"/>
      <c r="EC600" s="17"/>
      <c r="ED600" s="17"/>
      <c r="EE600" s="16"/>
      <c r="EF600" s="16"/>
      <c r="EG600" s="17"/>
      <c r="EH600" s="17"/>
      <c r="EI600" s="16"/>
      <c r="EJ600" s="16"/>
      <c r="EK600" s="17"/>
      <c r="EL600" s="17"/>
      <c r="EM600" s="16"/>
      <c r="EN600" s="16"/>
      <c r="EO600" s="17"/>
      <c r="EP600" s="17"/>
      <c r="EQ600" s="16"/>
      <c r="ER600" s="16"/>
      <c r="ES600" s="17"/>
      <c r="ET600" s="17"/>
      <c r="EU600" s="16"/>
      <c r="EV600" s="16"/>
      <c r="EW600" s="17"/>
      <c r="EX600" s="17"/>
      <c r="EY600" s="16"/>
      <c r="EZ600" s="16"/>
      <c r="FA600" s="17"/>
      <c r="FB600" s="17"/>
      <c r="FC600" s="16"/>
      <c r="FD600" s="16"/>
      <c r="FE600" s="17"/>
      <c r="FF600" s="17"/>
      <c r="FG600" s="11"/>
      <c r="GT600" s="11"/>
      <c r="IG600" s="11"/>
      <c r="JT600" s="11"/>
      <c r="LG600" s="11"/>
      <c r="MT600" s="11"/>
      <c r="OG600" s="11"/>
      <c r="PT600" s="11"/>
    </row>
    <row r="601" spans="3:436" ht="15.75" x14ac:dyDescent="0.25">
      <c r="C601" s="20" t="s">
        <v>513</v>
      </c>
      <c r="D601" s="21" t="s">
        <v>136</v>
      </c>
      <c r="H601" s="11"/>
      <c r="AU601" s="11"/>
      <c r="CH601" s="11"/>
      <c r="CI601" s="16"/>
      <c r="CJ601" s="16"/>
      <c r="CK601" s="16"/>
      <c r="CL601" s="16"/>
      <c r="CM601" s="16"/>
      <c r="CN601" s="16"/>
      <c r="CO601" s="16"/>
      <c r="CP601" s="16"/>
      <c r="CQ601" s="16"/>
      <c r="CR601" s="16"/>
      <c r="CS601" s="16"/>
      <c r="CT601" s="16"/>
      <c r="CU601" s="16"/>
      <c r="CV601" s="16"/>
      <c r="CW601" s="16"/>
      <c r="CX601" s="16"/>
      <c r="CY601" s="16"/>
      <c r="CZ601" s="16"/>
      <c r="DA601" s="16"/>
      <c r="DB601" s="16"/>
      <c r="DC601" s="16"/>
      <c r="DD601" s="16"/>
      <c r="DE601" s="17"/>
      <c r="DF601" s="17"/>
      <c r="DG601" s="16"/>
      <c r="DH601" s="16"/>
      <c r="DI601" s="17"/>
      <c r="DJ601" s="17"/>
      <c r="DK601" s="16"/>
      <c r="DL601" s="16"/>
      <c r="DM601" s="17"/>
      <c r="DN601" s="17"/>
      <c r="DO601" s="16"/>
      <c r="DP601" s="16"/>
      <c r="DQ601" s="17"/>
      <c r="DR601" s="17"/>
      <c r="DS601" s="16"/>
      <c r="DT601" s="16"/>
      <c r="DU601" s="17"/>
      <c r="DV601" s="17"/>
      <c r="DW601" s="16"/>
      <c r="DX601" s="16"/>
      <c r="DY601" s="17"/>
      <c r="DZ601" s="17"/>
      <c r="EA601" s="16"/>
      <c r="EB601" s="16"/>
      <c r="EC601" s="17"/>
      <c r="ED601" s="17"/>
      <c r="EE601" s="16"/>
      <c r="EF601" s="16"/>
      <c r="EG601" s="17"/>
      <c r="EH601" s="17"/>
      <c r="EI601" s="16"/>
      <c r="EJ601" s="16"/>
      <c r="EK601" s="17"/>
      <c r="EL601" s="17"/>
      <c r="EM601" s="16"/>
      <c r="EN601" s="16"/>
      <c r="EO601" s="17"/>
      <c r="EP601" s="17"/>
      <c r="EQ601" s="16"/>
      <c r="ER601" s="16"/>
      <c r="ES601" s="17"/>
      <c r="ET601" s="17"/>
      <c r="EU601" s="16"/>
      <c r="EV601" s="16"/>
      <c r="EW601" s="17"/>
      <c r="EX601" s="17"/>
      <c r="EY601" s="16"/>
      <c r="EZ601" s="16"/>
      <c r="FA601" s="17"/>
      <c r="FB601" s="17"/>
      <c r="FC601" s="16"/>
      <c r="FD601" s="16"/>
      <c r="FE601" s="17"/>
      <c r="FF601" s="17"/>
      <c r="FG601" s="11"/>
      <c r="GT601" s="11"/>
      <c r="IG601" s="11"/>
      <c r="JT601" s="11"/>
      <c r="LG601" s="11"/>
      <c r="MT601" s="11"/>
      <c r="OG601" s="11"/>
      <c r="PT601" s="11"/>
    </row>
    <row r="602" spans="3:436" ht="15.75" x14ac:dyDescent="0.25">
      <c r="C602" s="20" t="s">
        <v>514</v>
      </c>
      <c r="D602" s="21" t="s">
        <v>136</v>
      </c>
      <c r="H602" s="11"/>
      <c r="AU602" s="11"/>
      <c r="CH602" s="11"/>
      <c r="CI602" s="16"/>
      <c r="CJ602" s="16"/>
      <c r="CK602" s="16"/>
      <c r="CL602" s="16"/>
      <c r="CM602" s="16"/>
      <c r="CN602" s="16"/>
      <c r="CO602" s="16"/>
      <c r="CP602" s="16"/>
      <c r="CQ602" s="16"/>
      <c r="CR602" s="16"/>
      <c r="CS602" s="16"/>
      <c r="CT602" s="16"/>
      <c r="CU602" s="16"/>
      <c r="CV602" s="16"/>
      <c r="CW602" s="16"/>
      <c r="CX602" s="16"/>
      <c r="CY602" s="16"/>
      <c r="CZ602" s="16"/>
      <c r="DA602" s="16"/>
      <c r="DB602" s="16"/>
      <c r="DC602" s="16"/>
      <c r="DD602" s="16"/>
      <c r="DE602" s="17"/>
      <c r="DF602" s="17"/>
      <c r="DG602" s="16"/>
      <c r="DH602" s="16"/>
      <c r="DI602" s="17"/>
      <c r="DJ602" s="17"/>
      <c r="DK602" s="16"/>
      <c r="DL602" s="16"/>
      <c r="DM602" s="17"/>
      <c r="DN602" s="17"/>
      <c r="DO602" s="16"/>
      <c r="DP602" s="16"/>
      <c r="DQ602" s="17"/>
      <c r="DR602" s="17"/>
      <c r="DS602" s="16"/>
      <c r="DT602" s="16"/>
      <c r="DU602" s="17"/>
      <c r="DV602" s="17"/>
      <c r="DW602" s="16"/>
      <c r="DX602" s="16"/>
      <c r="DY602" s="17"/>
      <c r="DZ602" s="17"/>
      <c r="EA602" s="16"/>
      <c r="EB602" s="16"/>
      <c r="EC602" s="17"/>
      <c r="ED602" s="17"/>
      <c r="EE602" s="16"/>
      <c r="EF602" s="16"/>
      <c r="EG602" s="17"/>
      <c r="EH602" s="17"/>
      <c r="EI602" s="16"/>
      <c r="EJ602" s="16"/>
      <c r="EK602" s="17"/>
      <c r="EL602" s="17"/>
      <c r="EM602" s="16"/>
      <c r="EN602" s="16"/>
      <c r="EO602" s="17"/>
      <c r="EP602" s="17"/>
      <c r="EQ602" s="16"/>
      <c r="ER602" s="16"/>
      <c r="ES602" s="17"/>
      <c r="ET602" s="17"/>
      <c r="EU602" s="16"/>
      <c r="EV602" s="16"/>
      <c r="EW602" s="17"/>
      <c r="EX602" s="17"/>
      <c r="EY602" s="16"/>
      <c r="EZ602" s="16"/>
      <c r="FA602" s="17"/>
      <c r="FB602" s="17"/>
      <c r="FC602" s="16"/>
      <c r="FD602" s="16"/>
      <c r="FE602" s="17"/>
      <c r="FF602" s="17"/>
      <c r="FG602" s="11"/>
      <c r="GT602" s="11"/>
      <c r="IG602" s="11"/>
      <c r="JT602" s="11"/>
      <c r="LG602" s="11"/>
      <c r="MT602" s="11"/>
      <c r="OG602" s="11"/>
      <c r="PT602" s="11"/>
    </row>
    <row r="603" spans="3:436" ht="15.75" x14ac:dyDescent="0.25">
      <c r="C603" s="20" t="s">
        <v>515</v>
      </c>
      <c r="D603" s="21" t="s">
        <v>90</v>
      </c>
      <c r="H603" s="11"/>
      <c r="AU603" s="11"/>
      <c r="CH603" s="11"/>
      <c r="CI603" s="16"/>
      <c r="CJ603" s="16"/>
      <c r="CK603" s="16"/>
      <c r="CL603" s="16"/>
      <c r="CM603" s="16"/>
      <c r="CN603" s="16"/>
      <c r="CO603" s="16"/>
      <c r="CP603" s="16"/>
      <c r="CQ603" s="16"/>
      <c r="CR603" s="16"/>
      <c r="CS603" s="16"/>
      <c r="CT603" s="16"/>
      <c r="CU603" s="16"/>
      <c r="CV603" s="16"/>
      <c r="CW603" s="16"/>
      <c r="CX603" s="16"/>
      <c r="CY603" s="16"/>
      <c r="CZ603" s="16"/>
      <c r="DA603" s="16"/>
      <c r="DB603" s="16"/>
      <c r="DC603" s="16"/>
      <c r="DD603" s="16"/>
      <c r="DE603" s="17"/>
      <c r="DF603" s="17"/>
      <c r="DG603" s="16"/>
      <c r="DH603" s="16"/>
      <c r="DI603" s="17"/>
      <c r="DJ603" s="17"/>
      <c r="DK603" s="16"/>
      <c r="DL603" s="16"/>
      <c r="DM603" s="17"/>
      <c r="DN603" s="17"/>
      <c r="DO603" s="16"/>
      <c r="DP603" s="16"/>
      <c r="DQ603" s="17"/>
      <c r="DR603" s="17"/>
      <c r="DS603" s="16"/>
      <c r="DT603" s="16"/>
      <c r="DU603" s="17"/>
      <c r="DV603" s="17"/>
      <c r="DW603" s="16"/>
      <c r="DX603" s="16"/>
      <c r="DY603" s="17"/>
      <c r="DZ603" s="17"/>
      <c r="EA603" s="16"/>
      <c r="EB603" s="16"/>
      <c r="EC603" s="17"/>
      <c r="ED603" s="17"/>
      <c r="EE603" s="16"/>
      <c r="EF603" s="16"/>
      <c r="EG603" s="17"/>
      <c r="EH603" s="17"/>
      <c r="EI603" s="16"/>
      <c r="EJ603" s="16"/>
      <c r="EK603" s="17"/>
      <c r="EL603" s="17"/>
      <c r="EM603" s="16"/>
      <c r="EN603" s="16"/>
      <c r="EO603" s="17"/>
      <c r="EP603" s="17"/>
      <c r="EQ603" s="16"/>
      <c r="ER603" s="16"/>
      <c r="ES603" s="17"/>
      <c r="ET603" s="17"/>
      <c r="EU603" s="16"/>
      <c r="EV603" s="16"/>
      <c r="EW603" s="17"/>
      <c r="EX603" s="17"/>
      <c r="EY603" s="16"/>
      <c r="EZ603" s="16"/>
      <c r="FA603" s="17"/>
      <c r="FB603" s="17"/>
      <c r="FC603" s="16"/>
      <c r="FD603" s="16"/>
      <c r="FE603" s="17"/>
      <c r="FF603" s="17"/>
      <c r="FG603" s="11"/>
      <c r="GT603" s="11"/>
      <c r="IG603" s="11"/>
      <c r="JT603" s="11"/>
      <c r="LG603" s="11"/>
      <c r="MT603" s="11"/>
      <c r="OG603" s="11"/>
      <c r="PT603" s="11"/>
    </row>
    <row r="604" spans="3:436" ht="15.75" x14ac:dyDescent="0.25">
      <c r="C604" s="20" t="s">
        <v>506</v>
      </c>
      <c r="D604" s="21" t="s">
        <v>129</v>
      </c>
      <c r="H604" s="11"/>
      <c r="AU604" s="11"/>
      <c r="CH604" s="11"/>
      <c r="CI604" s="16"/>
      <c r="CJ604" s="16"/>
      <c r="CK604" s="16"/>
      <c r="CL604" s="16"/>
      <c r="CM604" s="16"/>
      <c r="CN604" s="16"/>
      <c r="CO604" s="16"/>
      <c r="CP604" s="16"/>
      <c r="CQ604" s="16"/>
      <c r="CR604" s="16"/>
      <c r="CS604" s="16"/>
      <c r="CT604" s="16"/>
      <c r="CU604" s="16"/>
      <c r="CV604" s="16"/>
      <c r="CW604" s="16"/>
      <c r="CX604" s="16"/>
      <c r="CY604" s="16"/>
      <c r="CZ604" s="16"/>
      <c r="DA604" s="16"/>
      <c r="DB604" s="16"/>
      <c r="DC604" s="16"/>
      <c r="DD604" s="16"/>
      <c r="DE604" s="17"/>
      <c r="DF604" s="17"/>
      <c r="DG604" s="16"/>
      <c r="DH604" s="16"/>
      <c r="DI604" s="17"/>
      <c r="DJ604" s="17"/>
      <c r="DK604" s="16"/>
      <c r="DL604" s="16"/>
      <c r="DM604" s="17"/>
      <c r="DN604" s="17"/>
      <c r="DO604" s="16"/>
      <c r="DP604" s="16"/>
      <c r="DQ604" s="17"/>
      <c r="DR604" s="17"/>
      <c r="DS604" s="16"/>
      <c r="DT604" s="16"/>
      <c r="DU604" s="17"/>
      <c r="DV604" s="17"/>
      <c r="DW604" s="16"/>
      <c r="DX604" s="16"/>
      <c r="DY604" s="17"/>
      <c r="DZ604" s="17"/>
      <c r="EA604" s="16"/>
      <c r="EB604" s="16"/>
      <c r="EC604" s="17"/>
      <c r="ED604" s="17"/>
      <c r="EE604" s="16"/>
      <c r="EF604" s="16"/>
      <c r="EG604" s="17"/>
      <c r="EH604" s="17"/>
      <c r="EI604" s="16"/>
      <c r="EJ604" s="16"/>
      <c r="EK604" s="17"/>
      <c r="EL604" s="17"/>
      <c r="EM604" s="16"/>
      <c r="EN604" s="16"/>
      <c r="EO604" s="17"/>
      <c r="EP604" s="17"/>
      <c r="EQ604" s="16"/>
      <c r="ER604" s="16"/>
      <c r="ES604" s="17"/>
      <c r="ET604" s="17"/>
      <c r="EU604" s="16"/>
      <c r="EV604" s="16"/>
      <c r="EW604" s="17"/>
      <c r="EX604" s="17"/>
      <c r="EY604" s="16"/>
      <c r="EZ604" s="16"/>
      <c r="FA604" s="17"/>
      <c r="FB604" s="17"/>
      <c r="FC604" s="16"/>
      <c r="FD604" s="16"/>
      <c r="FE604" s="17"/>
      <c r="FF604" s="17"/>
      <c r="FG604" s="11"/>
      <c r="GT604" s="11"/>
      <c r="IG604" s="11"/>
      <c r="JT604" s="11"/>
      <c r="LG604" s="11"/>
      <c r="MT604" s="11"/>
      <c r="OG604" s="11"/>
      <c r="PT604" s="11"/>
    </row>
    <row r="605" spans="3:436" ht="15.75" x14ac:dyDescent="0.25">
      <c r="C605" s="20" t="s">
        <v>507</v>
      </c>
      <c r="D605" s="21" t="s">
        <v>136</v>
      </c>
      <c r="H605" s="11"/>
      <c r="AU605" s="11"/>
      <c r="CH605" s="11"/>
      <c r="CI605" s="16"/>
      <c r="CJ605" s="16"/>
      <c r="CK605" s="16"/>
      <c r="CL605" s="16"/>
      <c r="CM605" s="16"/>
      <c r="CN605" s="16"/>
      <c r="CO605" s="16"/>
      <c r="CP605" s="16"/>
      <c r="CQ605" s="16"/>
      <c r="CR605" s="16"/>
      <c r="CS605" s="16"/>
      <c r="CT605" s="16"/>
      <c r="CU605" s="16"/>
      <c r="CV605" s="16"/>
      <c r="CW605" s="16"/>
      <c r="CX605" s="16"/>
      <c r="CY605" s="16"/>
      <c r="CZ605" s="16"/>
      <c r="DA605" s="16"/>
      <c r="DB605" s="16"/>
      <c r="DC605" s="16"/>
      <c r="DD605" s="16"/>
      <c r="DE605" s="17"/>
      <c r="DF605" s="17"/>
      <c r="DG605" s="16"/>
      <c r="DH605" s="16"/>
      <c r="DI605" s="17"/>
      <c r="DJ605" s="17"/>
      <c r="DK605" s="16"/>
      <c r="DL605" s="16"/>
      <c r="DM605" s="17"/>
      <c r="DN605" s="17"/>
      <c r="DO605" s="16"/>
      <c r="DP605" s="16"/>
      <c r="DQ605" s="17"/>
      <c r="DR605" s="17"/>
      <c r="DS605" s="16"/>
      <c r="DT605" s="16"/>
      <c r="DU605" s="17"/>
      <c r="DV605" s="17"/>
      <c r="DW605" s="16"/>
      <c r="DX605" s="16"/>
      <c r="DY605" s="17"/>
      <c r="DZ605" s="17"/>
      <c r="EA605" s="16"/>
      <c r="EB605" s="16"/>
      <c r="EC605" s="17"/>
      <c r="ED605" s="17"/>
      <c r="EE605" s="16"/>
      <c r="EF605" s="16"/>
      <c r="EG605" s="17"/>
      <c r="EH605" s="17"/>
      <c r="EI605" s="16"/>
      <c r="EJ605" s="16"/>
      <c r="EK605" s="17"/>
      <c r="EL605" s="17"/>
      <c r="EM605" s="16"/>
      <c r="EN605" s="16"/>
      <c r="EO605" s="17"/>
      <c r="EP605" s="17"/>
      <c r="EQ605" s="16"/>
      <c r="ER605" s="16"/>
      <c r="ES605" s="17"/>
      <c r="ET605" s="17"/>
      <c r="EU605" s="16"/>
      <c r="EV605" s="16"/>
      <c r="EW605" s="17"/>
      <c r="EX605" s="17"/>
      <c r="EY605" s="16"/>
      <c r="EZ605" s="16"/>
      <c r="FA605" s="17"/>
      <c r="FB605" s="17"/>
      <c r="FC605" s="16"/>
      <c r="FD605" s="16"/>
      <c r="FE605" s="17"/>
      <c r="FF605" s="17"/>
      <c r="FG605" s="11"/>
      <c r="GT605" s="11"/>
      <c r="IG605" s="11"/>
      <c r="JT605" s="11"/>
      <c r="LG605" s="11"/>
      <c r="MT605" s="11"/>
      <c r="OG605" s="11"/>
      <c r="PT605" s="11"/>
    </row>
    <row r="606" spans="3:436" ht="15.75" x14ac:dyDescent="0.25">
      <c r="C606" s="20" t="s">
        <v>508</v>
      </c>
      <c r="D606" s="21" t="s">
        <v>136</v>
      </c>
      <c r="H606" s="11"/>
      <c r="AU606" s="11"/>
      <c r="CH606" s="11"/>
      <c r="CI606" s="16"/>
      <c r="CJ606" s="16"/>
      <c r="CK606" s="16"/>
      <c r="CL606" s="16"/>
      <c r="CM606" s="16"/>
      <c r="CN606" s="16"/>
      <c r="CO606" s="16"/>
      <c r="CP606" s="16"/>
      <c r="CQ606" s="16"/>
      <c r="CR606" s="16"/>
      <c r="CS606" s="16"/>
      <c r="CT606" s="16"/>
      <c r="CU606" s="16"/>
      <c r="CV606" s="16"/>
      <c r="CW606" s="16"/>
      <c r="CX606" s="16"/>
      <c r="CY606" s="16"/>
      <c r="CZ606" s="16"/>
      <c r="DA606" s="16"/>
      <c r="DB606" s="16"/>
      <c r="DC606" s="16"/>
      <c r="DD606" s="16"/>
      <c r="DE606" s="17"/>
      <c r="DF606" s="17"/>
      <c r="DG606" s="16"/>
      <c r="DH606" s="16"/>
      <c r="DI606" s="17"/>
      <c r="DJ606" s="17"/>
      <c r="DK606" s="16"/>
      <c r="DL606" s="16"/>
      <c r="DM606" s="17"/>
      <c r="DN606" s="17"/>
      <c r="DO606" s="16"/>
      <c r="DP606" s="16"/>
      <c r="DQ606" s="17"/>
      <c r="DR606" s="17"/>
      <c r="DS606" s="16"/>
      <c r="DT606" s="16"/>
      <c r="DU606" s="17"/>
      <c r="DV606" s="17"/>
      <c r="DW606" s="16"/>
      <c r="DX606" s="16"/>
      <c r="DY606" s="17"/>
      <c r="DZ606" s="17"/>
      <c r="EA606" s="16"/>
      <c r="EB606" s="16"/>
      <c r="EC606" s="17"/>
      <c r="ED606" s="17"/>
      <c r="EE606" s="16"/>
      <c r="EF606" s="16"/>
      <c r="EG606" s="17"/>
      <c r="EH606" s="17"/>
      <c r="EI606" s="16"/>
      <c r="EJ606" s="16"/>
      <c r="EK606" s="17"/>
      <c r="EL606" s="17"/>
      <c r="EM606" s="16"/>
      <c r="EN606" s="16"/>
      <c r="EO606" s="17"/>
      <c r="EP606" s="17"/>
      <c r="EQ606" s="16"/>
      <c r="ER606" s="16"/>
      <c r="ES606" s="17"/>
      <c r="ET606" s="17"/>
      <c r="EU606" s="16"/>
      <c r="EV606" s="16"/>
      <c r="EW606" s="17"/>
      <c r="EX606" s="17"/>
      <c r="EY606" s="16"/>
      <c r="EZ606" s="16"/>
      <c r="FA606" s="17"/>
      <c r="FB606" s="17"/>
      <c r="FC606" s="16"/>
      <c r="FD606" s="16"/>
      <c r="FE606" s="17"/>
      <c r="FF606" s="17"/>
      <c r="FG606" s="11"/>
      <c r="GT606" s="11"/>
      <c r="IG606" s="11"/>
      <c r="JT606" s="11"/>
      <c r="LG606" s="11"/>
      <c r="MT606" s="11"/>
      <c r="OG606" s="11"/>
      <c r="PT606" s="11"/>
    </row>
    <row r="607" spans="3:436" ht="15.75" x14ac:dyDescent="0.25">
      <c r="C607" s="20" t="s">
        <v>510</v>
      </c>
      <c r="D607" s="21" t="s">
        <v>79</v>
      </c>
      <c r="H607" s="11"/>
      <c r="AU607" s="11"/>
      <c r="CH607" s="11"/>
      <c r="CI607" s="16"/>
      <c r="CJ607" s="16"/>
      <c r="CK607" s="16"/>
      <c r="CL607" s="16"/>
      <c r="CM607" s="16"/>
      <c r="CN607" s="16"/>
      <c r="CO607" s="16"/>
      <c r="CP607" s="16"/>
      <c r="CQ607" s="16"/>
      <c r="CR607" s="16"/>
      <c r="CS607" s="16"/>
      <c r="CT607" s="16"/>
      <c r="CU607" s="16"/>
      <c r="CV607" s="16"/>
      <c r="CW607" s="16"/>
      <c r="CX607" s="16"/>
      <c r="CY607" s="16"/>
      <c r="CZ607" s="16"/>
      <c r="DA607" s="16"/>
      <c r="DB607" s="16"/>
      <c r="DC607" s="16"/>
      <c r="DD607" s="16"/>
      <c r="DE607" s="17"/>
      <c r="DF607" s="17"/>
      <c r="DG607" s="16"/>
      <c r="DH607" s="16"/>
      <c r="DI607" s="17"/>
      <c r="DJ607" s="17"/>
      <c r="DK607" s="16"/>
      <c r="DL607" s="16"/>
      <c r="DM607" s="17"/>
      <c r="DN607" s="17"/>
      <c r="DO607" s="16"/>
      <c r="DP607" s="16"/>
      <c r="DQ607" s="17"/>
      <c r="DR607" s="17"/>
      <c r="DS607" s="16"/>
      <c r="DT607" s="16"/>
      <c r="DU607" s="17"/>
      <c r="DV607" s="17"/>
      <c r="DW607" s="16"/>
      <c r="DX607" s="16"/>
      <c r="DY607" s="17"/>
      <c r="DZ607" s="17"/>
      <c r="EA607" s="16"/>
      <c r="EB607" s="16"/>
      <c r="EC607" s="17"/>
      <c r="ED607" s="17"/>
      <c r="EE607" s="16"/>
      <c r="EF607" s="16"/>
      <c r="EG607" s="17"/>
      <c r="EH607" s="17"/>
      <c r="EI607" s="16"/>
      <c r="EJ607" s="16"/>
      <c r="EK607" s="17"/>
      <c r="EL607" s="17"/>
      <c r="EM607" s="16"/>
      <c r="EN607" s="16"/>
      <c r="EO607" s="17"/>
      <c r="EP607" s="17"/>
      <c r="EQ607" s="16"/>
      <c r="ER607" s="16"/>
      <c r="ES607" s="17"/>
      <c r="ET607" s="17"/>
      <c r="EU607" s="16"/>
      <c r="EV607" s="16"/>
      <c r="EW607" s="17"/>
      <c r="EX607" s="17"/>
      <c r="EY607" s="16"/>
      <c r="EZ607" s="16"/>
      <c r="FA607" s="17"/>
      <c r="FB607" s="17"/>
      <c r="FC607" s="16"/>
      <c r="FD607" s="16"/>
      <c r="FE607" s="17"/>
      <c r="FF607" s="17"/>
      <c r="FG607" s="11"/>
      <c r="GT607" s="11"/>
      <c r="IG607" s="11"/>
      <c r="JT607" s="11"/>
      <c r="LG607" s="11"/>
      <c r="MT607" s="11"/>
      <c r="OG607" s="11"/>
      <c r="PT607" s="11"/>
    </row>
    <row r="608" spans="3:436" ht="15.75" x14ac:dyDescent="0.25">
      <c r="C608" s="20" t="s">
        <v>511</v>
      </c>
      <c r="D608" s="21" t="s">
        <v>136</v>
      </c>
      <c r="H608" s="11"/>
      <c r="AU608" s="11"/>
      <c r="CH608" s="11"/>
      <c r="CI608" s="16"/>
      <c r="CJ608" s="16"/>
      <c r="CK608" s="16"/>
      <c r="CL608" s="16"/>
      <c r="CM608" s="16"/>
      <c r="CN608" s="16"/>
      <c r="CO608" s="16"/>
      <c r="CP608" s="16"/>
      <c r="CQ608" s="16"/>
      <c r="CR608" s="16"/>
      <c r="CS608" s="16"/>
      <c r="CT608" s="16"/>
      <c r="CU608" s="16"/>
      <c r="CV608" s="16"/>
      <c r="CW608" s="16"/>
      <c r="CX608" s="16"/>
      <c r="CY608" s="16"/>
      <c r="CZ608" s="16"/>
      <c r="DA608" s="16"/>
      <c r="DB608" s="16"/>
      <c r="DC608" s="16"/>
      <c r="DD608" s="16"/>
      <c r="DE608" s="17"/>
      <c r="DF608" s="17"/>
      <c r="DG608" s="16"/>
      <c r="DH608" s="16"/>
      <c r="DI608" s="17"/>
      <c r="DJ608" s="17"/>
      <c r="DK608" s="16"/>
      <c r="DL608" s="16"/>
      <c r="DM608" s="17"/>
      <c r="DN608" s="17"/>
      <c r="DO608" s="16"/>
      <c r="DP608" s="16"/>
      <c r="DQ608" s="17"/>
      <c r="DR608" s="17"/>
      <c r="DS608" s="16"/>
      <c r="DT608" s="16"/>
      <c r="DU608" s="17"/>
      <c r="DV608" s="17"/>
      <c r="DW608" s="16"/>
      <c r="DX608" s="16"/>
      <c r="DY608" s="17"/>
      <c r="DZ608" s="17"/>
      <c r="EA608" s="16"/>
      <c r="EB608" s="16"/>
      <c r="EC608" s="17"/>
      <c r="ED608" s="17"/>
      <c r="EE608" s="16"/>
      <c r="EF608" s="16"/>
      <c r="EG608" s="17"/>
      <c r="EH608" s="17"/>
      <c r="EI608" s="16"/>
      <c r="EJ608" s="16"/>
      <c r="EK608" s="17"/>
      <c r="EL608" s="17"/>
      <c r="EM608" s="16"/>
      <c r="EN608" s="16"/>
      <c r="EO608" s="17"/>
      <c r="EP608" s="17"/>
      <c r="EQ608" s="16"/>
      <c r="ER608" s="16"/>
      <c r="ES608" s="17"/>
      <c r="ET608" s="17"/>
      <c r="EU608" s="16"/>
      <c r="EV608" s="16"/>
      <c r="EW608" s="17"/>
      <c r="EX608" s="17"/>
      <c r="EY608" s="16"/>
      <c r="EZ608" s="16"/>
      <c r="FA608" s="17"/>
      <c r="FB608" s="17"/>
      <c r="FC608" s="16"/>
      <c r="FD608" s="16"/>
      <c r="FE608" s="17"/>
      <c r="FF608" s="17"/>
      <c r="FG608" s="11"/>
      <c r="GT608" s="11"/>
      <c r="IG608" s="11"/>
      <c r="JT608" s="11"/>
      <c r="LG608" s="11"/>
      <c r="MT608" s="11"/>
      <c r="OG608" s="11"/>
      <c r="PT608" s="11"/>
    </row>
    <row r="609" spans="1:474" ht="15.75" x14ac:dyDescent="0.25">
      <c r="C609" s="20" t="s">
        <v>512</v>
      </c>
      <c r="D609" s="21" t="s">
        <v>136</v>
      </c>
      <c r="H609" s="11"/>
      <c r="AU609" s="11"/>
      <c r="CH609" s="11"/>
      <c r="CI609" s="16"/>
      <c r="CJ609" s="16"/>
      <c r="CK609" s="16"/>
      <c r="CL609" s="16"/>
      <c r="CM609" s="16"/>
      <c r="CN609" s="16"/>
      <c r="CO609" s="16"/>
      <c r="CP609" s="16"/>
      <c r="CQ609" s="16"/>
      <c r="CR609" s="16"/>
      <c r="CS609" s="16"/>
      <c r="CT609" s="16"/>
      <c r="CU609" s="16"/>
      <c r="CV609" s="16"/>
      <c r="CW609" s="16"/>
      <c r="CX609" s="16"/>
      <c r="CY609" s="16"/>
      <c r="CZ609" s="16"/>
      <c r="DA609" s="16"/>
      <c r="DB609" s="16"/>
      <c r="DC609" s="16"/>
      <c r="DD609" s="16"/>
      <c r="DE609" s="17"/>
      <c r="DF609" s="17"/>
      <c r="DG609" s="16"/>
      <c r="DH609" s="16"/>
      <c r="DI609" s="17"/>
      <c r="DJ609" s="17"/>
      <c r="DK609" s="16"/>
      <c r="DL609" s="16"/>
      <c r="DM609" s="17"/>
      <c r="DN609" s="17"/>
      <c r="DO609" s="16"/>
      <c r="DP609" s="16"/>
      <c r="DQ609" s="17"/>
      <c r="DR609" s="17"/>
      <c r="DS609" s="16"/>
      <c r="DT609" s="16"/>
      <c r="DU609" s="17"/>
      <c r="DV609" s="17"/>
      <c r="DW609" s="16"/>
      <c r="DX609" s="16"/>
      <c r="DY609" s="17"/>
      <c r="DZ609" s="17"/>
      <c r="EA609" s="16"/>
      <c r="EB609" s="16"/>
      <c r="EC609" s="17"/>
      <c r="ED609" s="17"/>
      <c r="EE609" s="16"/>
      <c r="EF609" s="16"/>
      <c r="EG609" s="17"/>
      <c r="EH609" s="17"/>
      <c r="EI609" s="16"/>
      <c r="EJ609" s="16"/>
      <c r="EK609" s="17"/>
      <c r="EL609" s="17"/>
      <c r="EM609" s="16"/>
      <c r="EN609" s="16"/>
      <c r="EO609" s="17"/>
      <c r="EP609" s="17"/>
      <c r="EQ609" s="16"/>
      <c r="ER609" s="16"/>
      <c r="ES609" s="17"/>
      <c r="ET609" s="17"/>
      <c r="EU609" s="16"/>
      <c r="EV609" s="16"/>
      <c r="EW609" s="17"/>
      <c r="EX609" s="17"/>
      <c r="EY609" s="16"/>
      <c r="EZ609" s="16"/>
      <c r="FA609" s="17"/>
      <c r="FB609" s="17"/>
      <c r="FC609" s="16"/>
      <c r="FD609" s="16"/>
      <c r="FE609" s="17"/>
      <c r="FF609" s="17"/>
      <c r="FG609" s="11"/>
      <c r="GT609" s="11"/>
      <c r="IG609" s="11"/>
      <c r="JT609" s="11"/>
      <c r="LG609" s="11"/>
      <c r="MT609" s="11"/>
      <c r="OG609" s="11"/>
      <c r="PT609" s="11"/>
    </row>
    <row r="610" spans="1:474" ht="15.75" x14ac:dyDescent="0.25">
      <c r="C610" s="20" t="s">
        <v>513</v>
      </c>
      <c r="D610" s="21" t="s">
        <v>136</v>
      </c>
      <c r="H610" s="11"/>
      <c r="AU610" s="11"/>
      <c r="CH610" s="11"/>
      <c r="CI610" s="16"/>
      <c r="CJ610" s="16"/>
      <c r="CK610" s="16"/>
      <c r="CL610" s="16"/>
      <c r="CM610" s="16"/>
      <c r="CN610" s="16"/>
      <c r="CO610" s="16"/>
      <c r="CP610" s="16"/>
      <c r="CQ610" s="16"/>
      <c r="CR610" s="16"/>
      <c r="CS610" s="16"/>
      <c r="CT610" s="16"/>
      <c r="CU610" s="16"/>
      <c r="CV610" s="16"/>
      <c r="CW610" s="16"/>
      <c r="CX610" s="16"/>
      <c r="CY610" s="16"/>
      <c r="CZ610" s="16"/>
      <c r="DA610" s="16"/>
      <c r="DB610" s="16"/>
      <c r="DC610" s="16"/>
      <c r="DD610" s="16"/>
      <c r="DE610" s="17"/>
      <c r="DF610" s="17"/>
      <c r="DG610" s="16"/>
      <c r="DH610" s="16"/>
      <c r="DI610" s="17"/>
      <c r="DJ610" s="17"/>
      <c r="DK610" s="16"/>
      <c r="DL610" s="16"/>
      <c r="DM610" s="17"/>
      <c r="DN610" s="17"/>
      <c r="DO610" s="16"/>
      <c r="DP610" s="16"/>
      <c r="DQ610" s="17"/>
      <c r="DR610" s="17"/>
      <c r="DS610" s="16"/>
      <c r="DT610" s="16"/>
      <c r="DU610" s="17"/>
      <c r="DV610" s="17"/>
      <c r="DW610" s="16"/>
      <c r="DX610" s="16"/>
      <c r="DY610" s="17"/>
      <c r="DZ610" s="17"/>
      <c r="EA610" s="16"/>
      <c r="EB610" s="16"/>
      <c r="EC610" s="17"/>
      <c r="ED610" s="17"/>
      <c r="EE610" s="16"/>
      <c r="EF610" s="16"/>
      <c r="EG610" s="17"/>
      <c r="EH610" s="17"/>
      <c r="EI610" s="16"/>
      <c r="EJ610" s="16"/>
      <c r="EK610" s="17"/>
      <c r="EL610" s="17"/>
      <c r="EM610" s="16"/>
      <c r="EN610" s="16"/>
      <c r="EO610" s="17"/>
      <c r="EP610" s="17"/>
      <c r="EQ610" s="16"/>
      <c r="ER610" s="16"/>
      <c r="ES610" s="17"/>
      <c r="ET610" s="17"/>
      <c r="EU610" s="16"/>
      <c r="EV610" s="16"/>
      <c r="EW610" s="17"/>
      <c r="EX610" s="17"/>
      <c r="EY610" s="16"/>
      <c r="EZ610" s="16"/>
      <c r="FA610" s="17"/>
      <c r="FB610" s="17"/>
      <c r="FC610" s="16"/>
      <c r="FD610" s="16"/>
      <c r="FE610" s="17"/>
      <c r="FF610" s="17"/>
      <c r="FG610" s="11"/>
      <c r="GT610" s="11"/>
      <c r="IG610" s="11"/>
      <c r="JT610" s="11"/>
      <c r="LG610" s="11"/>
      <c r="MT610" s="11"/>
      <c r="OG610" s="11"/>
      <c r="PT610" s="11"/>
    </row>
    <row r="611" spans="1:474" ht="15.75" x14ac:dyDescent="0.25">
      <c r="C611" s="20" t="s">
        <v>514</v>
      </c>
      <c r="D611" s="21" t="s">
        <v>136</v>
      </c>
      <c r="H611" s="11"/>
      <c r="AU611" s="11"/>
      <c r="CH611" s="11"/>
      <c r="CI611" s="16"/>
      <c r="CJ611" s="16"/>
      <c r="CK611" s="16"/>
      <c r="CL611" s="16"/>
      <c r="CM611" s="16"/>
      <c r="CN611" s="16"/>
      <c r="CO611" s="16"/>
      <c r="CP611" s="16"/>
      <c r="CQ611" s="16"/>
      <c r="CR611" s="16"/>
      <c r="CS611" s="16"/>
      <c r="CT611" s="16"/>
      <c r="CU611" s="16"/>
      <c r="CV611" s="16"/>
      <c r="CW611" s="16"/>
      <c r="CX611" s="16"/>
      <c r="CY611" s="16"/>
      <c r="CZ611" s="16"/>
      <c r="DA611" s="16"/>
      <c r="DB611" s="16"/>
      <c r="DC611" s="16"/>
      <c r="DD611" s="16"/>
      <c r="DE611" s="17"/>
      <c r="DF611" s="17"/>
      <c r="DG611" s="16"/>
      <c r="DH611" s="16"/>
      <c r="DI611" s="17"/>
      <c r="DJ611" s="17"/>
      <c r="DK611" s="16"/>
      <c r="DL611" s="16"/>
      <c r="DM611" s="17"/>
      <c r="DN611" s="17"/>
      <c r="DO611" s="16"/>
      <c r="DP611" s="16"/>
      <c r="DQ611" s="17"/>
      <c r="DR611" s="17"/>
      <c r="DS611" s="16"/>
      <c r="DT611" s="16"/>
      <c r="DU611" s="17"/>
      <c r="DV611" s="17"/>
      <c r="DW611" s="16"/>
      <c r="DX611" s="16"/>
      <c r="DY611" s="17"/>
      <c r="DZ611" s="17"/>
      <c r="EA611" s="16"/>
      <c r="EB611" s="16"/>
      <c r="EC611" s="17"/>
      <c r="ED611" s="17"/>
      <c r="EE611" s="16"/>
      <c r="EF611" s="16"/>
      <c r="EG611" s="17"/>
      <c r="EH611" s="17"/>
      <c r="EI611" s="16"/>
      <c r="EJ611" s="16"/>
      <c r="EK611" s="17"/>
      <c r="EL611" s="17"/>
      <c r="EM611" s="16"/>
      <c r="EN611" s="16"/>
      <c r="EO611" s="17"/>
      <c r="EP611" s="17"/>
      <c r="EQ611" s="16"/>
      <c r="ER611" s="16"/>
      <c r="ES611" s="17"/>
      <c r="ET611" s="17"/>
      <c r="EU611" s="16"/>
      <c r="EV611" s="16"/>
      <c r="EW611" s="17"/>
      <c r="EX611" s="17"/>
      <c r="EY611" s="16"/>
      <c r="EZ611" s="16"/>
      <c r="FA611" s="17"/>
      <c r="FB611" s="17"/>
      <c r="FC611" s="16"/>
      <c r="FD611" s="16"/>
      <c r="FE611" s="17"/>
      <c r="FF611" s="17"/>
      <c r="FG611" s="11"/>
      <c r="GT611" s="11"/>
      <c r="IG611" s="11"/>
      <c r="JT611" s="11"/>
      <c r="LG611" s="11"/>
      <c r="MT611" s="11"/>
      <c r="OG611" s="11"/>
      <c r="PT611" s="11"/>
    </row>
    <row r="612" spans="1:474" ht="15.75" x14ac:dyDescent="0.25">
      <c r="C612" s="20" t="s">
        <v>515</v>
      </c>
      <c r="D612" s="21" t="s">
        <v>90</v>
      </c>
      <c r="H612" s="11"/>
      <c r="AU612" s="11"/>
      <c r="CH612" s="11"/>
      <c r="CI612" s="16"/>
      <c r="CJ612" s="16"/>
      <c r="CK612" s="16"/>
      <c r="CL612" s="16"/>
      <c r="CM612" s="16"/>
      <c r="CN612" s="16"/>
      <c r="CO612" s="16"/>
      <c r="CP612" s="16"/>
      <c r="CQ612" s="16"/>
      <c r="CR612" s="16"/>
      <c r="CS612" s="16"/>
      <c r="CT612" s="16"/>
      <c r="CU612" s="16"/>
      <c r="CV612" s="16"/>
      <c r="CW612" s="16"/>
      <c r="CX612" s="16"/>
      <c r="CY612" s="16"/>
      <c r="CZ612" s="16"/>
      <c r="DA612" s="16"/>
      <c r="DB612" s="16"/>
      <c r="DC612" s="16"/>
      <c r="DD612" s="16"/>
      <c r="DE612" s="17"/>
      <c r="DF612" s="17"/>
      <c r="DG612" s="16"/>
      <c r="DH612" s="16"/>
      <c r="DI612" s="17"/>
      <c r="DJ612" s="17"/>
      <c r="DK612" s="16"/>
      <c r="DL612" s="16"/>
      <c r="DM612" s="17"/>
      <c r="DN612" s="17"/>
      <c r="DO612" s="16"/>
      <c r="DP612" s="16"/>
      <c r="DQ612" s="17"/>
      <c r="DR612" s="17"/>
      <c r="DS612" s="16"/>
      <c r="DT612" s="16"/>
      <c r="DU612" s="17"/>
      <c r="DV612" s="17"/>
      <c r="DW612" s="16"/>
      <c r="DX612" s="16"/>
      <c r="DY612" s="17"/>
      <c r="DZ612" s="17"/>
      <c r="EA612" s="16"/>
      <c r="EB612" s="16"/>
      <c r="EC612" s="17"/>
      <c r="ED612" s="17"/>
      <c r="EE612" s="16"/>
      <c r="EF612" s="16"/>
      <c r="EG612" s="17"/>
      <c r="EH612" s="17"/>
      <c r="EI612" s="16"/>
      <c r="EJ612" s="16"/>
      <c r="EK612" s="17"/>
      <c r="EL612" s="17"/>
      <c r="EM612" s="16"/>
      <c r="EN612" s="16"/>
      <c r="EO612" s="17"/>
      <c r="EP612" s="17"/>
      <c r="EQ612" s="16"/>
      <c r="ER612" s="16"/>
      <c r="ES612" s="17"/>
      <c r="ET612" s="17"/>
      <c r="EU612" s="16"/>
      <c r="EV612" s="16"/>
      <c r="EW612" s="17"/>
      <c r="EX612" s="17"/>
      <c r="EY612" s="16"/>
      <c r="EZ612" s="16"/>
      <c r="FA612" s="17"/>
      <c r="FB612" s="17"/>
      <c r="FC612" s="16"/>
      <c r="FD612" s="16"/>
      <c r="FE612" s="17"/>
      <c r="FF612" s="17"/>
      <c r="FG612" s="11"/>
      <c r="GT612" s="11"/>
      <c r="IG612" s="11"/>
      <c r="JT612" s="11"/>
      <c r="LG612" s="11"/>
      <c r="MT612" s="11"/>
      <c r="OG612" s="11"/>
      <c r="PT612" s="11"/>
    </row>
    <row r="613" spans="1:474" ht="15.75" x14ac:dyDescent="0.25">
      <c r="C613" s="20" t="s">
        <v>516</v>
      </c>
      <c r="D613" s="21" t="s">
        <v>136</v>
      </c>
      <c r="H613" s="11"/>
      <c r="AU613" s="11"/>
      <c r="CH613" s="11"/>
      <c r="CI613" s="16"/>
      <c r="CJ613" s="16"/>
      <c r="CK613" s="16"/>
      <c r="CL613" s="16"/>
      <c r="CM613" s="16"/>
      <c r="CN613" s="16"/>
      <c r="CO613" s="16"/>
      <c r="CP613" s="16"/>
      <c r="CQ613" s="16"/>
      <c r="CR613" s="16"/>
      <c r="CS613" s="16"/>
      <c r="CT613" s="16"/>
      <c r="CU613" s="16"/>
      <c r="CV613" s="16"/>
      <c r="CW613" s="16"/>
      <c r="CX613" s="16"/>
      <c r="CY613" s="16"/>
      <c r="CZ613" s="16"/>
      <c r="DA613" s="16"/>
      <c r="DB613" s="16"/>
      <c r="DC613" s="16"/>
      <c r="DD613" s="16"/>
      <c r="DE613" s="17"/>
      <c r="DF613" s="17"/>
      <c r="DG613" s="16"/>
      <c r="DH613" s="16"/>
      <c r="DI613" s="17"/>
      <c r="DJ613" s="17"/>
      <c r="DK613" s="16"/>
      <c r="DL613" s="16"/>
      <c r="DM613" s="17"/>
      <c r="DN613" s="17"/>
      <c r="DO613" s="16"/>
      <c r="DP613" s="16"/>
      <c r="DQ613" s="17"/>
      <c r="DR613" s="17"/>
      <c r="DS613" s="16"/>
      <c r="DT613" s="16"/>
      <c r="DU613" s="17"/>
      <c r="DV613" s="17"/>
      <c r="DW613" s="16"/>
      <c r="DX613" s="16"/>
      <c r="DY613" s="17"/>
      <c r="DZ613" s="17"/>
      <c r="EA613" s="16"/>
      <c r="EB613" s="16"/>
      <c r="EC613" s="18">
        <v>92.6</v>
      </c>
      <c r="ED613" s="18">
        <v>114.3</v>
      </c>
      <c r="EE613" s="16"/>
      <c r="EF613" s="16"/>
      <c r="EG613" s="17"/>
      <c r="EH613" s="17"/>
      <c r="EI613" s="16"/>
      <c r="EJ613" s="16"/>
      <c r="EK613" s="17"/>
      <c r="EL613" s="17"/>
      <c r="EM613" s="16"/>
      <c r="EN613" s="16"/>
      <c r="EO613" s="17"/>
      <c r="EP613" s="17"/>
      <c r="EQ613" s="16"/>
      <c r="ER613" s="16"/>
      <c r="ES613" s="17"/>
      <c r="ET613" s="17"/>
      <c r="EU613" s="16"/>
      <c r="EV613" s="16"/>
      <c r="EW613" s="17"/>
      <c r="EX613" s="17"/>
      <c r="EY613" s="16"/>
      <c r="EZ613" s="16"/>
      <c r="FA613" s="17"/>
      <c r="FB613" s="17"/>
      <c r="FC613" s="16"/>
      <c r="FD613" s="16"/>
      <c r="FE613" s="17"/>
      <c r="FF613" s="17"/>
      <c r="FG613" s="11"/>
      <c r="GT613" s="11"/>
      <c r="IG613" s="11"/>
      <c r="JT613" s="11"/>
      <c r="LG613" s="11"/>
      <c r="MT613" s="11"/>
      <c r="OG613" s="11"/>
      <c r="PT613" s="11"/>
    </row>
    <row r="614" spans="1:474" ht="15.75" x14ac:dyDescent="0.25">
      <c r="C614" s="20" t="s">
        <v>517</v>
      </c>
      <c r="D614" s="21" t="s">
        <v>136</v>
      </c>
      <c r="H614" s="11"/>
      <c r="AU614" s="11"/>
      <c r="CH614" s="11"/>
      <c r="CI614" s="16"/>
      <c r="CJ614" s="16"/>
      <c r="CK614" s="16"/>
      <c r="CL614" s="16"/>
      <c r="CM614" s="16"/>
      <c r="CN614" s="16"/>
      <c r="CO614" s="16"/>
      <c r="CP614" s="16"/>
      <c r="CQ614" s="16"/>
      <c r="CR614" s="16"/>
      <c r="CS614" s="16"/>
      <c r="CT614" s="16"/>
      <c r="CU614" s="16"/>
      <c r="CV614" s="16"/>
      <c r="CW614" s="16"/>
      <c r="CX614" s="16"/>
      <c r="CY614" s="16"/>
      <c r="CZ614" s="16"/>
      <c r="DA614" s="16"/>
      <c r="DB614" s="16"/>
      <c r="DC614" s="16"/>
      <c r="DD614" s="16"/>
      <c r="DE614" s="17"/>
      <c r="DF614" s="17"/>
      <c r="DG614" s="16"/>
      <c r="DH614" s="16"/>
      <c r="DI614" s="17"/>
      <c r="DJ614" s="17"/>
      <c r="DK614" s="16"/>
      <c r="DL614" s="16"/>
      <c r="DM614" s="17"/>
      <c r="DN614" s="17"/>
      <c r="DO614" s="16"/>
      <c r="DP614" s="16"/>
      <c r="DQ614" s="17"/>
      <c r="DR614" s="17"/>
      <c r="DS614" s="16"/>
      <c r="DT614" s="16"/>
      <c r="DU614" s="17"/>
      <c r="DV614" s="17"/>
      <c r="DW614" s="16"/>
      <c r="DX614" s="16"/>
      <c r="DY614" s="17"/>
      <c r="DZ614" s="17"/>
      <c r="EA614" s="16"/>
      <c r="EB614" s="16"/>
      <c r="EC614" s="18">
        <v>50</v>
      </c>
      <c r="ED614" s="18">
        <v>57.1</v>
      </c>
      <c r="EE614" s="16"/>
      <c r="EF614" s="16"/>
      <c r="EG614" s="17"/>
      <c r="EH614" s="17"/>
      <c r="EI614" s="16"/>
      <c r="EJ614" s="16"/>
      <c r="EK614" s="17"/>
      <c r="EL614" s="17"/>
      <c r="EM614" s="16"/>
      <c r="EN614" s="16"/>
      <c r="EO614" s="17"/>
      <c r="EP614" s="17"/>
      <c r="EQ614" s="16"/>
      <c r="ER614" s="16"/>
      <c r="ES614" s="17"/>
      <c r="ET614" s="17"/>
      <c r="EU614" s="16"/>
      <c r="EV614" s="16"/>
      <c r="EW614" s="17"/>
      <c r="EX614" s="17"/>
      <c r="EY614" s="16"/>
      <c r="EZ614" s="16"/>
      <c r="FA614" s="17"/>
      <c r="FB614" s="17"/>
      <c r="FC614" s="16"/>
      <c r="FD614" s="16"/>
      <c r="FE614" s="17"/>
      <c r="FF614" s="17"/>
      <c r="FG614" s="11"/>
      <c r="GT614" s="11"/>
      <c r="IG614" s="11"/>
      <c r="JT614" s="11"/>
      <c r="LG614" s="11"/>
      <c r="MT614" s="11"/>
      <c r="OG614" s="11"/>
      <c r="PT614" s="11"/>
    </row>
    <row r="615" spans="1:474" ht="15.75" x14ac:dyDescent="0.25">
      <c r="C615" s="20" t="s">
        <v>518</v>
      </c>
      <c r="D615" s="21" t="s">
        <v>136</v>
      </c>
      <c r="H615" s="11"/>
      <c r="AU615" s="11"/>
      <c r="CH615" s="11"/>
      <c r="CI615" s="16"/>
      <c r="CJ615" s="16"/>
      <c r="CK615" s="16"/>
      <c r="CL615" s="16"/>
      <c r="CM615" s="16"/>
      <c r="CN615" s="16"/>
      <c r="CO615" s="16"/>
      <c r="CP615" s="16"/>
      <c r="CQ615" s="16"/>
      <c r="CR615" s="16"/>
      <c r="CS615" s="16"/>
      <c r="CT615" s="16"/>
      <c r="CU615" s="16"/>
      <c r="CV615" s="16"/>
      <c r="CW615" s="16"/>
      <c r="CX615" s="16"/>
      <c r="CY615" s="16"/>
      <c r="CZ615" s="16"/>
      <c r="DA615" s="16"/>
      <c r="DB615" s="16"/>
      <c r="DC615" s="16"/>
      <c r="DD615" s="16"/>
      <c r="DE615" s="17"/>
      <c r="DF615" s="17"/>
      <c r="DG615" s="16"/>
      <c r="DH615" s="16"/>
      <c r="DI615" s="17"/>
      <c r="DJ615" s="17"/>
      <c r="DK615" s="16"/>
      <c r="DL615" s="16"/>
      <c r="DM615" s="17"/>
      <c r="DN615" s="17"/>
      <c r="DO615" s="16"/>
      <c r="DP615" s="16"/>
      <c r="DQ615" s="17"/>
      <c r="DR615" s="17"/>
      <c r="DS615" s="16"/>
      <c r="DT615" s="16"/>
      <c r="DU615" s="17"/>
      <c r="DV615" s="17"/>
      <c r="DW615" s="16"/>
      <c r="DX615" s="16"/>
      <c r="DY615" s="17"/>
      <c r="DZ615" s="17"/>
      <c r="EA615" s="16"/>
      <c r="EB615" s="16"/>
      <c r="EC615" s="17"/>
      <c r="ED615" s="17"/>
      <c r="EE615" s="16"/>
      <c r="EF615" s="16"/>
      <c r="EG615" s="17"/>
      <c r="EH615" s="17"/>
      <c r="EI615" s="16"/>
      <c r="EJ615" s="16"/>
      <c r="EK615" s="17"/>
      <c r="EL615" s="17"/>
      <c r="EM615" s="16"/>
      <c r="EN615" s="16"/>
      <c r="EO615" s="17"/>
      <c r="EP615" s="17"/>
      <c r="EQ615" s="16"/>
      <c r="ER615" s="16"/>
      <c r="ES615" s="17"/>
      <c r="ET615" s="17"/>
      <c r="EU615" s="16"/>
      <c r="EV615" s="16"/>
      <c r="EW615" s="17"/>
      <c r="EX615" s="17"/>
      <c r="EY615" s="16"/>
      <c r="EZ615" s="16"/>
      <c r="FA615" s="17"/>
      <c r="FB615" s="17"/>
      <c r="FC615" s="16"/>
      <c r="FD615" s="16"/>
      <c r="FE615" s="17"/>
      <c r="FF615" s="17"/>
      <c r="FG615" s="11"/>
      <c r="GT615" s="11"/>
      <c r="IG615" s="11"/>
      <c r="JT615" s="11"/>
      <c r="LG615" s="11"/>
      <c r="MT615" s="11"/>
      <c r="OG615" s="11"/>
      <c r="PT615" s="11"/>
    </row>
    <row r="616" spans="1:474" x14ac:dyDescent="0.25">
      <c r="A616" s="57" t="s">
        <v>519</v>
      </c>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c r="AF616" s="57"/>
      <c r="AG616" s="57"/>
      <c r="AH616" s="57"/>
      <c r="AI616" s="57"/>
      <c r="AJ616" s="57"/>
      <c r="AK616" s="57"/>
      <c r="AL616" s="57"/>
      <c r="AM616" s="57"/>
      <c r="AN616" s="57"/>
      <c r="AO616" s="57"/>
      <c r="AP616" s="57"/>
      <c r="AQ616" s="57"/>
      <c r="AR616" s="57"/>
      <c r="AS616" s="57"/>
      <c r="AT616" s="57"/>
      <c r="AU616" s="57"/>
      <c r="AV616" s="57"/>
      <c r="AW616" s="57"/>
      <c r="AX616" s="57"/>
      <c r="AY616" s="57"/>
      <c r="AZ616" s="57"/>
      <c r="BA616" s="57"/>
      <c r="BB616" s="57"/>
      <c r="BC616" s="57"/>
      <c r="BD616" s="57"/>
      <c r="BE616" s="57"/>
      <c r="BF616" s="57"/>
      <c r="BG616" s="57"/>
      <c r="BH616" s="57"/>
      <c r="BI616" s="57"/>
      <c r="BJ616" s="57"/>
      <c r="BK616" s="57"/>
      <c r="BL616" s="57"/>
      <c r="BM616" s="57"/>
      <c r="BN616" s="57"/>
      <c r="BO616" s="57"/>
      <c r="BP616" s="57"/>
      <c r="BQ616" s="57"/>
      <c r="BR616" s="57"/>
      <c r="BS616" s="57"/>
      <c r="BT616" s="57"/>
      <c r="BU616" s="57"/>
      <c r="BV616" s="57"/>
      <c r="BW616" s="57"/>
      <c r="BX616" s="57"/>
      <c r="BY616" s="57"/>
      <c r="BZ616" s="57"/>
      <c r="CA616" s="57"/>
      <c r="CB616" s="57"/>
      <c r="CC616" s="57"/>
      <c r="CD616" s="57"/>
      <c r="CE616" s="57"/>
      <c r="CF616" s="57"/>
      <c r="CG616" s="57"/>
      <c r="CH616" s="57"/>
      <c r="CI616" s="57"/>
      <c r="CJ616" s="57"/>
      <c r="CK616" s="57"/>
      <c r="CL616" s="57"/>
      <c r="CM616" s="57"/>
      <c r="CN616" s="57"/>
      <c r="CO616" s="57"/>
      <c r="CP616" s="57"/>
      <c r="CQ616" s="57"/>
      <c r="CR616" s="57"/>
      <c r="CS616" s="57"/>
      <c r="CT616" s="57"/>
      <c r="CU616" s="57"/>
      <c r="CV616" s="57"/>
      <c r="CW616" s="57"/>
      <c r="CX616" s="57"/>
      <c r="CY616" s="57"/>
      <c r="CZ616" s="57"/>
      <c r="DA616" s="57"/>
      <c r="DB616" s="57"/>
      <c r="DC616" s="57"/>
      <c r="DD616" s="57"/>
      <c r="DE616" s="57"/>
      <c r="DF616" s="57"/>
      <c r="DG616" s="57"/>
      <c r="DH616" s="57"/>
      <c r="DI616" s="57"/>
      <c r="DJ616" s="57"/>
      <c r="DK616" s="57"/>
      <c r="DL616" s="57"/>
      <c r="DM616" s="57"/>
      <c r="DN616" s="57"/>
      <c r="DO616" s="57"/>
      <c r="DP616" s="57"/>
      <c r="DQ616" s="57"/>
      <c r="DR616" s="57"/>
      <c r="DS616" s="57"/>
      <c r="DT616" s="57"/>
      <c r="DU616" s="57"/>
      <c r="DV616" s="57"/>
      <c r="DW616" s="57"/>
      <c r="DX616" s="57"/>
      <c r="DY616" s="57"/>
      <c r="DZ616" s="57"/>
      <c r="EA616" s="57"/>
      <c r="EB616" s="57"/>
      <c r="EC616" s="57"/>
      <c r="ED616" s="57"/>
      <c r="EE616" s="57"/>
      <c r="EF616" s="57"/>
      <c r="EG616" s="57"/>
      <c r="EH616" s="57"/>
      <c r="EI616" s="57"/>
      <c r="EJ616" s="57"/>
      <c r="EK616" s="57"/>
      <c r="EL616" s="57"/>
      <c r="EM616" s="57"/>
      <c r="EN616" s="57"/>
      <c r="EO616" s="57"/>
      <c r="EP616" s="57"/>
      <c r="EQ616" s="57"/>
      <c r="ER616" s="57"/>
      <c r="ES616" s="57"/>
      <c r="ET616" s="57"/>
      <c r="EU616" s="57"/>
      <c r="EV616" s="57"/>
      <c r="EW616" s="57"/>
      <c r="EX616" s="57"/>
      <c r="EY616" s="57"/>
      <c r="EZ616" s="57"/>
      <c r="FA616" s="57"/>
      <c r="FB616" s="57"/>
      <c r="FC616" s="57"/>
      <c r="FD616" s="57"/>
      <c r="FE616" s="57"/>
      <c r="FF616" s="57"/>
      <c r="FG616" s="57"/>
      <c r="FH616" s="57"/>
      <c r="FI616" s="57"/>
      <c r="FJ616" s="57"/>
      <c r="FK616" s="57"/>
      <c r="FL616" s="57"/>
      <c r="FM616" s="57"/>
      <c r="FN616" s="57"/>
      <c r="FO616" s="57"/>
      <c r="FP616" s="57"/>
      <c r="FQ616" s="57"/>
      <c r="FR616" s="57"/>
      <c r="FS616" s="57"/>
      <c r="FT616" s="57"/>
      <c r="FU616" s="57"/>
      <c r="FV616" s="57"/>
      <c r="FW616" s="57"/>
      <c r="FX616" s="57"/>
      <c r="FY616" s="57"/>
      <c r="FZ616" s="57"/>
      <c r="GA616" s="57"/>
      <c r="GB616" s="57"/>
      <c r="GC616" s="57"/>
      <c r="GD616" s="57"/>
      <c r="GE616" s="57"/>
      <c r="GF616" s="57"/>
      <c r="GG616" s="57"/>
      <c r="GH616" s="57"/>
      <c r="GI616" s="57"/>
      <c r="GJ616" s="57"/>
      <c r="GK616" s="57"/>
      <c r="GL616" s="57"/>
      <c r="GM616" s="57"/>
      <c r="GN616" s="57"/>
      <c r="GO616" s="57"/>
      <c r="GP616" s="57"/>
      <c r="GQ616" s="57"/>
      <c r="GR616" s="57"/>
      <c r="GS616" s="57"/>
      <c r="GT616" s="57"/>
      <c r="GU616" s="57"/>
      <c r="GV616" s="57"/>
      <c r="GW616" s="57"/>
      <c r="GX616" s="57"/>
      <c r="GY616" s="57"/>
      <c r="GZ616" s="57"/>
      <c r="HA616" s="57"/>
      <c r="HB616" s="57"/>
      <c r="HC616" s="57"/>
      <c r="HD616" s="57"/>
      <c r="HE616" s="57"/>
      <c r="HF616" s="57"/>
      <c r="HG616" s="57"/>
      <c r="HH616" s="57"/>
      <c r="HI616" s="57"/>
      <c r="HJ616" s="57"/>
      <c r="HK616" s="57"/>
      <c r="HL616" s="57"/>
      <c r="HM616" s="57"/>
      <c r="HN616" s="57"/>
      <c r="HO616" s="57"/>
      <c r="HP616" s="57"/>
      <c r="HQ616" s="57"/>
      <c r="HR616" s="57"/>
      <c r="HS616" s="57"/>
      <c r="HT616" s="57"/>
      <c r="HU616" s="57"/>
      <c r="HV616" s="57"/>
      <c r="HW616" s="57"/>
      <c r="HX616" s="57"/>
      <c r="HY616" s="57"/>
      <c r="HZ616" s="57"/>
      <c r="IA616" s="57"/>
      <c r="IB616" s="57"/>
      <c r="IC616" s="57"/>
      <c r="ID616" s="57"/>
      <c r="IE616" s="57"/>
      <c r="IF616" s="57"/>
      <c r="IG616" s="57"/>
      <c r="IH616" s="57"/>
      <c r="II616" s="57"/>
      <c r="IJ616" s="57"/>
      <c r="IK616" s="57"/>
      <c r="IL616" s="57"/>
      <c r="IM616" s="57"/>
      <c r="IN616" s="57"/>
      <c r="IO616" s="57"/>
      <c r="IP616" s="57"/>
      <c r="IQ616" s="57"/>
      <c r="IR616" s="57"/>
      <c r="IS616" s="57"/>
      <c r="IT616" s="57"/>
      <c r="IU616" s="57"/>
      <c r="IV616" s="57"/>
      <c r="IW616" s="57"/>
      <c r="IX616" s="57"/>
      <c r="IY616" s="57"/>
      <c r="IZ616" s="57"/>
      <c r="JA616" s="57"/>
      <c r="JB616" s="57"/>
      <c r="JC616" s="57"/>
      <c r="JD616" s="57"/>
      <c r="JE616" s="57"/>
      <c r="JF616" s="57"/>
      <c r="JG616" s="57"/>
      <c r="JH616" s="57"/>
      <c r="JI616" s="57"/>
      <c r="JJ616" s="57"/>
      <c r="JK616" s="57"/>
      <c r="JL616" s="57"/>
      <c r="JM616" s="57"/>
      <c r="JN616" s="57"/>
      <c r="JO616" s="57"/>
      <c r="JP616" s="57"/>
      <c r="JQ616" s="57"/>
      <c r="JR616" s="57"/>
      <c r="JS616" s="57"/>
      <c r="JT616" s="57"/>
      <c r="JU616" s="57"/>
      <c r="JV616" s="57"/>
      <c r="JW616" s="57"/>
      <c r="JX616" s="57"/>
      <c r="JY616" s="57"/>
      <c r="JZ616" s="57"/>
      <c r="KA616" s="57"/>
      <c r="KB616" s="57"/>
      <c r="KC616" s="57"/>
      <c r="KD616" s="57"/>
      <c r="KE616" s="57"/>
      <c r="KF616" s="57"/>
      <c r="KG616" s="57"/>
      <c r="KH616" s="57"/>
      <c r="KI616" s="57"/>
      <c r="KJ616" s="57"/>
      <c r="KK616" s="57"/>
      <c r="KL616" s="57"/>
      <c r="KM616" s="57"/>
      <c r="KN616" s="57"/>
      <c r="KO616" s="57"/>
      <c r="KP616" s="57"/>
      <c r="KQ616" s="57"/>
      <c r="KR616" s="57"/>
      <c r="KS616" s="57"/>
      <c r="KT616" s="57"/>
      <c r="KU616" s="57"/>
      <c r="KV616" s="57"/>
      <c r="KW616" s="57"/>
      <c r="KX616" s="57"/>
      <c r="KY616" s="57"/>
      <c r="KZ616" s="57"/>
      <c r="LA616" s="57"/>
      <c r="LB616" s="57"/>
      <c r="LC616" s="57"/>
      <c r="LD616" s="57"/>
      <c r="LE616" s="57"/>
      <c r="LF616" s="57"/>
      <c r="LG616" s="57"/>
      <c r="LH616" s="57"/>
      <c r="LI616" s="57"/>
      <c r="LJ616" s="57"/>
      <c r="LK616" s="57"/>
      <c r="LL616" s="57"/>
      <c r="LM616" s="57"/>
      <c r="LN616" s="57"/>
      <c r="LO616" s="57"/>
      <c r="LP616" s="57"/>
      <c r="LQ616" s="57"/>
      <c r="LR616" s="57"/>
      <c r="LS616" s="57"/>
      <c r="LT616" s="57"/>
      <c r="LU616" s="57"/>
      <c r="LV616" s="57"/>
      <c r="LW616" s="57"/>
      <c r="LX616" s="57"/>
      <c r="LY616" s="57"/>
      <c r="LZ616" s="57"/>
      <c r="MA616" s="57"/>
      <c r="MB616" s="57"/>
      <c r="MC616" s="57"/>
      <c r="MD616" s="57"/>
      <c r="ME616" s="57"/>
      <c r="MF616" s="57"/>
      <c r="MG616" s="57"/>
      <c r="MH616" s="57"/>
      <c r="MI616" s="57"/>
      <c r="MJ616" s="57"/>
      <c r="MK616" s="57"/>
      <c r="ML616" s="57"/>
      <c r="MM616" s="57"/>
      <c r="MN616" s="57"/>
      <c r="MO616" s="57"/>
      <c r="MP616" s="57"/>
      <c r="MQ616" s="57"/>
      <c r="MR616" s="57"/>
      <c r="MS616" s="57"/>
      <c r="MT616" s="57"/>
      <c r="MU616" s="57"/>
      <c r="MV616" s="57"/>
      <c r="MW616" s="57"/>
      <c r="MX616" s="57"/>
      <c r="MY616" s="57"/>
      <c r="MZ616" s="57"/>
      <c r="NA616" s="57"/>
      <c r="NB616" s="57"/>
      <c r="NC616" s="57"/>
      <c r="ND616" s="57"/>
      <c r="NE616" s="57"/>
      <c r="NF616" s="57"/>
      <c r="NG616" s="57"/>
      <c r="NH616" s="57"/>
      <c r="NI616" s="57"/>
      <c r="NJ616" s="57"/>
      <c r="NK616" s="57"/>
      <c r="NL616" s="57"/>
      <c r="NM616" s="57"/>
      <c r="NN616" s="57"/>
      <c r="NO616" s="57"/>
      <c r="NP616" s="57"/>
      <c r="NQ616" s="57"/>
      <c r="NR616" s="57"/>
      <c r="NS616" s="57"/>
      <c r="NT616" s="57"/>
      <c r="NU616" s="57"/>
      <c r="NV616" s="57"/>
      <c r="NW616" s="57"/>
      <c r="NX616" s="57"/>
      <c r="NY616" s="57"/>
      <c r="NZ616" s="57"/>
      <c r="OA616" s="57"/>
      <c r="OB616" s="57"/>
      <c r="OC616" s="57"/>
      <c r="OD616" s="57"/>
      <c r="OE616" s="57"/>
      <c r="OF616" s="57"/>
      <c r="OG616" s="57"/>
      <c r="OH616" s="57"/>
      <c r="OI616" s="57"/>
      <c r="OJ616" s="57"/>
      <c r="OK616" s="57"/>
      <c r="OL616" s="57"/>
      <c r="OM616" s="57"/>
      <c r="ON616" s="57"/>
      <c r="OO616" s="57"/>
      <c r="OP616" s="57"/>
      <c r="OQ616" s="57"/>
      <c r="OR616" s="57"/>
      <c r="OS616" s="57"/>
      <c r="OT616" s="57"/>
      <c r="OU616" s="57"/>
      <c r="OV616" s="57"/>
      <c r="OW616" s="57"/>
      <c r="OX616" s="57"/>
      <c r="OY616" s="57"/>
      <c r="OZ616" s="57"/>
      <c r="PA616" s="57"/>
      <c r="PB616" s="57"/>
      <c r="PC616" s="57"/>
      <c r="PD616" s="57"/>
      <c r="PE616" s="57"/>
      <c r="PF616" s="57"/>
      <c r="PG616" s="57"/>
      <c r="PH616" s="57"/>
      <c r="PI616" s="57"/>
      <c r="PJ616" s="57"/>
      <c r="PK616" s="57"/>
      <c r="PL616" s="57"/>
      <c r="PM616" s="57"/>
      <c r="PN616" s="57"/>
      <c r="PO616" s="57"/>
      <c r="PP616" s="57"/>
      <c r="PQ616" s="57"/>
      <c r="PR616" s="57"/>
      <c r="PS616" s="57"/>
      <c r="PT616" s="57"/>
      <c r="PU616" s="57"/>
      <c r="PV616" s="57"/>
      <c r="PW616" s="57"/>
      <c r="PX616" s="57"/>
      <c r="PY616" s="57"/>
      <c r="PZ616" s="57"/>
      <c r="QA616" s="57"/>
      <c r="QB616" s="57"/>
      <c r="QC616" s="57"/>
      <c r="QD616" s="57"/>
      <c r="QE616" s="57"/>
      <c r="QF616" s="57"/>
      <c r="QG616" s="57"/>
      <c r="QH616" s="57"/>
      <c r="QI616" s="57"/>
      <c r="QJ616" s="57"/>
      <c r="QK616" s="57"/>
      <c r="QL616" s="57"/>
      <c r="QM616" s="57"/>
      <c r="QN616" s="57"/>
      <c r="QO616" s="57"/>
      <c r="QP616" s="57"/>
      <c r="QQ616" s="57"/>
      <c r="QR616" s="57"/>
      <c r="QS616" s="57"/>
      <c r="QT616" s="57"/>
      <c r="QU616" s="57"/>
      <c r="QV616" s="57"/>
      <c r="QW616" s="57"/>
      <c r="QX616" s="57"/>
      <c r="QY616" s="57"/>
      <c r="QZ616" s="57"/>
      <c r="RA616" s="57"/>
      <c r="RB616" s="57"/>
      <c r="RC616" s="57"/>
      <c r="RD616" s="57"/>
      <c r="RE616" s="57"/>
      <c r="RF616" s="57"/>
    </row>
    <row r="617" spans="1:474" x14ac:dyDescent="0.25">
      <c r="H617" s="11"/>
      <c r="AU617" s="11"/>
      <c r="CH617" s="11"/>
      <c r="CI617" s="12" t="s">
        <v>73</v>
      </c>
      <c r="CJ617" s="12" t="s">
        <v>74</v>
      </c>
      <c r="CK617" s="12" t="s">
        <v>73</v>
      </c>
      <c r="CL617" s="12" t="s">
        <v>74</v>
      </c>
      <c r="CM617" s="12" t="s">
        <v>73</v>
      </c>
      <c r="CN617" s="12" t="s">
        <v>74</v>
      </c>
      <c r="CO617" s="12" t="s">
        <v>73</v>
      </c>
      <c r="CP617" s="12" t="s">
        <v>74</v>
      </c>
      <c r="CQ617" s="12" t="s">
        <v>73</v>
      </c>
      <c r="CR617" s="12" t="s">
        <v>74</v>
      </c>
      <c r="CS617" s="12" t="s">
        <v>73</v>
      </c>
      <c r="CT617" s="12" t="s">
        <v>74</v>
      </c>
      <c r="CU617" s="12" t="s">
        <v>73</v>
      </c>
      <c r="CV617" s="12" t="s">
        <v>74</v>
      </c>
      <c r="CW617" s="12" t="s">
        <v>73</v>
      </c>
      <c r="CX617" s="12" t="s">
        <v>74</v>
      </c>
      <c r="CY617" s="12" t="s">
        <v>73</v>
      </c>
      <c r="CZ617" s="12" t="s">
        <v>74</v>
      </c>
      <c r="DA617" s="12" t="s">
        <v>73</v>
      </c>
      <c r="DB617" s="12" t="s">
        <v>74</v>
      </c>
      <c r="DC617" s="12" t="s">
        <v>73</v>
      </c>
      <c r="DD617" s="12" t="s">
        <v>74</v>
      </c>
      <c r="DE617" s="12" t="s">
        <v>73</v>
      </c>
      <c r="DF617" s="12" t="s">
        <v>74</v>
      </c>
      <c r="DG617" s="12" t="s">
        <v>73</v>
      </c>
      <c r="DH617" s="12" t="s">
        <v>74</v>
      </c>
      <c r="DI617" s="12" t="s">
        <v>73</v>
      </c>
      <c r="DJ617" s="12" t="s">
        <v>74</v>
      </c>
      <c r="DK617" s="12" t="s">
        <v>73</v>
      </c>
      <c r="DL617" s="12" t="s">
        <v>74</v>
      </c>
      <c r="DM617" s="12" t="s">
        <v>73</v>
      </c>
      <c r="DN617" s="12" t="s">
        <v>74</v>
      </c>
      <c r="DO617" s="12" t="s">
        <v>73</v>
      </c>
      <c r="DP617" s="12" t="s">
        <v>74</v>
      </c>
      <c r="DQ617" s="12" t="s">
        <v>73</v>
      </c>
      <c r="DR617" s="12" t="s">
        <v>74</v>
      </c>
      <c r="DS617" s="12" t="s">
        <v>73</v>
      </c>
      <c r="DT617" s="12" t="s">
        <v>74</v>
      </c>
      <c r="DU617" s="12" t="s">
        <v>73</v>
      </c>
      <c r="DV617" s="12" t="s">
        <v>74</v>
      </c>
      <c r="DW617" s="12" t="s">
        <v>73</v>
      </c>
      <c r="DX617" s="12" t="s">
        <v>74</v>
      </c>
      <c r="DY617" s="12" t="s">
        <v>73</v>
      </c>
      <c r="DZ617" s="12" t="s">
        <v>74</v>
      </c>
      <c r="EA617" s="12" t="s">
        <v>73</v>
      </c>
      <c r="EB617" s="12" t="s">
        <v>74</v>
      </c>
      <c r="EC617" s="12" t="s">
        <v>73</v>
      </c>
      <c r="ED617" s="12" t="s">
        <v>74</v>
      </c>
      <c r="EE617" s="12" t="s">
        <v>73</v>
      </c>
      <c r="EF617" s="12" t="s">
        <v>74</v>
      </c>
      <c r="EG617" s="12" t="s">
        <v>73</v>
      </c>
      <c r="EH617" s="12" t="s">
        <v>74</v>
      </c>
      <c r="EI617" s="12" t="s">
        <v>73</v>
      </c>
      <c r="EJ617" s="12" t="s">
        <v>74</v>
      </c>
      <c r="EK617" s="12" t="s">
        <v>73</v>
      </c>
      <c r="EL617" s="12" t="s">
        <v>74</v>
      </c>
      <c r="EM617" s="12" t="s">
        <v>73</v>
      </c>
      <c r="EN617" s="12" t="s">
        <v>74</v>
      </c>
      <c r="EO617" s="12" t="s">
        <v>73</v>
      </c>
      <c r="EP617" s="12" t="s">
        <v>74</v>
      </c>
      <c r="EQ617" s="12" t="s">
        <v>73</v>
      </c>
      <c r="ER617" s="12" t="s">
        <v>74</v>
      </c>
      <c r="ES617" s="12" t="s">
        <v>73</v>
      </c>
      <c r="ET617" s="12" t="s">
        <v>74</v>
      </c>
      <c r="EU617" s="12" t="s">
        <v>73</v>
      </c>
      <c r="EV617" s="12" t="s">
        <v>74</v>
      </c>
      <c r="EW617" s="12" t="s">
        <v>73</v>
      </c>
      <c r="EX617" s="12" t="s">
        <v>74</v>
      </c>
      <c r="EY617" s="12" t="s">
        <v>73</v>
      </c>
      <c r="EZ617" s="12" t="s">
        <v>74</v>
      </c>
      <c r="FA617" s="12" t="s">
        <v>73</v>
      </c>
      <c r="FB617" s="12" t="s">
        <v>74</v>
      </c>
      <c r="FC617" s="12" t="s">
        <v>73</v>
      </c>
      <c r="FD617" s="12" t="s">
        <v>74</v>
      </c>
      <c r="FE617" s="12" t="s">
        <v>73</v>
      </c>
      <c r="FF617" s="12" t="s">
        <v>74</v>
      </c>
      <c r="FG617" s="11"/>
      <c r="GT617" s="11"/>
      <c r="IG617" s="11"/>
      <c r="JT617" s="11"/>
      <c r="LG617" s="11"/>
      <c r="MT617" s="11"/>
      <c r="OG617" s="11"/>
      <c r="PT617" s="11"/>
    </row>
    <row r="618" spans="1:474" ht="15.75" x14ac:dyDescent="0.25">
      <c r="A618" s="13"/>
      <c r="B618" s="14" t="s">
        <v>520</v>
      </c>
      <c r="C618" s="13"/>
      <c r="D618" s="13"/>
      <c r="E618" s="15" t="s">
        <v>76</v>
      </c>
      <c r="F618" s="15" t="s">
        <v>132</v>
      </c>
      <c r="G618" s="13"/>
      <c r="H618" s="11"/>
      <c r="AU618" s="11"/>
      <c r="CH618" s="11"/>
      <c r="CI618" s="16"/>
      <c r="CJ618" s="16"/>
      <c r="CK618" s="16"/>
      <c r="CL618" s="16"/>
      <c r="CM618" s="16"/>
      <c r="CN618" s="16"/>
      <c r="CO618" s="16"/>
      <c r="CP618" s="16"/>
      <c r="CQ618" s="16"/>
      <c r="CR618" s="16"/>
      <c r="CS618" s="16"/>
      <c r="CT618" s="16"/>
      <c r="CU618" s="16"/>
      <c r="CV618" s="16"/>
      <c r="CW618" s="16"/>
      <c r="CX618" s="16"/>
      <c r="CY618" s="16"/>
      <c r="CZ618" s="16"/>
      <c r="DA618" s="16"/>
      <c r="DB618" s="16"/>
      <c r="DC618" s="16"/>
      <c r="DD618" s="16"/>
      <c r="DE618" s="17"/>
      <c r="DF618" s="17"/>
      <c r="DG618" s="16"/>
      <c r="DH618" s="16"/>
      <c r="DI618" s="17"/>
      <c r="DJ618" s="18">
        <v>24</v>
      </c>
      <c r="DK618" s="16"/>
      <c r="DL618" s="16"/>
      <c r="DM618" s="17"/>
      <c r="DN618" s="17"/>
      <c r="DO618" s="16"/>
      <c r="DP618" s="16"/>
      <c r="DQ618" s="17"/>
      <c r="DR618" s="17"/>
      <c r="DS618" s="16"/>
      <c r="DT618" s="16"/>
      <c r="DU618" s="17"/>
      <c r="DV618" s="17"/>
      <c r="DW618" s="16"/>
      <c r="DX618" s="19">
        <v>9</v>
      </c>
      <c r="DY618" s="17"/>
      <c r="DZ618" s="17"/>
      <c r="EA618" s="16"/>
      <c r="EB618" s="16"/>
      <c r="EC618" s="17"/>
      <c r="ED618" s="17"/>
      <c r="EE618" s="16"/>
      <c r="EF618" s="16"/>
      <c r="EG618" s="17"/>
      <c r="EH618" s="17"/>
      <c r="EI618" s="16"/>
      <c r="EJ618" s="16"/>
      <c r="EK618" s="17"/>
      <c r="EL618" s="18">
        <v>30</v>
      </c>
      <c r="EM618" s="16"/>
      <c r="EN618" s="19">
        <v>60</v>
      </c>
      <c r="EO618" s="17"/>
      <c r="EP618" s="17"/>
      <c r="EQ618" s="16"/>
      <c r="ER618" s="16"/>
      <c r="ES618" s="17"/>
      <c r="ET618" s="18">
        <v>36</v>
      </c>
      <c r="EU618" s="16"/>
      <c r="EV618" s="16"/>
      <c r="EW618" s="17"/>
      <c r="EX618" s="17"/>
      <c r="EY618" s="16"/>
      <c r="EZ618" s="16"/>
      <c r="FA618" s="17"/>
      <c r="FB618" s="17"/>
      <c r="FC618" s="16"/>
      <c r="FD618" s="19">
        <v>6</v>
      </c>
      <c r="FE618" s="17"/>
      <c r="FF618" s="17"/>
      <c r="FG618" s="11"/>
      <c r="GT618" s="11"/>
      <c r="IG618" s="11"/>
      <c r="JT618" s="11"/>
      <c r="LG618" s="11"/>
      <c r="MT618" s="11"/>
      <c r="OG618" s="11"/>
      <c r="PT618" s="11"/>
    </row>
    <row r="619" spans="1:474" ht="15.75" x14ac:dyDescent="0.25">
      <c r="C619" s="20" t="s">
        <v>521</v>
      </c>
      <c r="D619" s="21" t="s">
        <v>79</v>
      </c>
      <c r="H619" s="11"/>
      <c r="AU619" s="11"/>
      <c r="CH619" s="11"/>
      <c r="CI619" s="16"/>
      <c r="CJ619" s="16"/>
      <c r="CK619" s="16"/>
      <c r="CL619" s="16"/>
      <c r="CM619" s="16"/>
      <c r="CN619" s="16"/>
      <c r="CO619" s="16"/>
      <c r="CP619" s="16"/>
      <c r="CQ619" s="16"/>
      <c r="CR619" s="16"/>
      <c r="CS619" s="16"/>
      <c r="CT619" s="16"/>
      <c r="CU619" s="16"/>
      <c r="CV619" s="16"/>
      <c r="CW619" s="16"/>
      <c r="CX619" s="16"/>
      <c r="CY619" s="16"/>
      <c r="CZ619" s="16"/>
      <c r="DA619" s="16"/>
      <c r="DB619" s="16"/>
      <c r="DC619" s="16"/>
      <c r="DD619" s="16"/>
      <c r="DE619" s="17"/>
      <c r="DF619" s="17"/>
      <c r="DG619" s="16"/>
      <c r="DH619" s="16"/>
      <c r="DI619" s="18">
        <v>15</v>
      </c>
      <c r="DJ619" s="18">
        <v>15</v>
      </c>
      <c r="DK619" s="16"/>
      <c r="DL619" s="16"/>
      <c r="DM619" s="17"/>
      <c r="DN619" s="17"/>
      <c r="DO619" s="16"/>
      <c r="DP619" s="16"/>
      <c r="DQ619" s="17"/>
      <c r="DR619" s="17"/>
      <c r="DS619" s="16"/>
      <c r="DT619" s="16"/>
      <c r="DU619" s="17"/>
      <c r="DV619" s="17"/>
      <c r="DW619" s="16"/>
      <c r="DX619" s="16"/>
      <c r="DY619" s="17"/>
      <c r="DZ619" s="17"/>
      <c r="EA619" s="16"/>
      <c r="EB619" s="16"/>
      <c r="EC619" s="17"/>
      <c r="ED619" s="17"/>
      <c r="EE619" s="16"/>
      <c r="EF619" s="16"/>
      <c r="EG619" s="17"/>
      <c r="EH619" s="17"/>
      <c r="EI619" s="16"/>
      <c r="EJ619" s="16"/>
      <c r="EK619" s="17"/>
      <c r="EL619" s="17"/>
      <c r="EM619" s="16"/>
      <c r="EN619" s="16"/>
      <c r="EO619" s="17"/>
      <c r="EP619" s="17"/>
      <c r="EQ619" s="16"/>
      <c r="ER619" s="16"/>
      <c r="ES619" s="17"/>
      <c r="ET619" s="17"/>
      <c r="EU619" s="16"/>
      <c r="EV619" s="16"/>
      <c r="EW619" s="17"/>
      <c r="EX619" s="17"/>
      <c r="EY619" s="16"/>
      <c r="EZ619" s="16"/>
      <c r="FA619" s="17"/>
      <c r="FB619" s="17"/>
      <c r="FC619" s="16"/>
      <c r="FD619" s="16"/>
      <c r="FE619" s="17"/>
      <c r="FF619" s="17"/>
      <c r="FG619" s="11"/>
      <c r="GT619" s="11"/>
      <c r="IG619" s="11"/>
      <c r="JT619" s="11"/>
      <c r="LG619" s="11"/>
      <c r="MT619" s="11"/>
      <c r="OG619" s="11"/>
      <c r="PT619" s="11"/>
    </row>
    <row r="620" spans="1:474" ht="25.5" x14ac:dyDescent="0.25">
      <c r="C620" s="20" t="s">
        <v>522</v>
      </c>
      <c r="D620" s="21" t="s">
        <v>79</v>
      </c>
      <c r="H620" s="11"/>
      <c r="AU620" s="11"/>
      <c r="CH620" s="11"/>
      <c r="CI620" s="16"/>
      <c r="CJ620" s="16"/>
      <c r="CK620" s="16"/>
      <c r="CL620" s="16"/>
      <c r="CM620" s="16"/>
      <c r="CN620" s="16"/>
      <c r="CO620" s="16"/>
      <c r="CP620" s="16"/>
      <c r="CQ620" s="16"/>
      <c r="CR620" s="16"/>
      <c r="CS620" s="16"/>
      <c r="CT620" s="16"/>
      <c r="CU620" s="16"/>
      <c r="CV620" s="16"/>
      <c r="CW620" s="16"/>
      <c r="CX620" s="16"/>
      <c r="CY620" s="16"/>
      <c r="CZ620" s="16"/>
      <c r="DA620" s="16"/>
      <c r="DB620" s="16"/>
      <c r="DC620" s="16"/>
      <c r="DD620" s="16"/>
      <c r="DE620" s="17"/>
      <c r="DF620" s="17"/>
      <c r="DG620" s="16"/>
      <c r="DH620" s="16"/>
      <c r="DI620" s="18">
        <v>3</v>
      </c>
      <c r="DJ620" s="18">
        <v>4</v>
      </c>
      <c r="DK620" s="16"/>
      <c r="DL620" s="16"/>
      <c r="DM620" s="17"/>
      <c r="DN620" s="17"/>
      <c r="DO620" s="16"/>
      <c r="DP620" s="16"/>
      <c r="DQ620" s="17"/>
      <c r="DR620" s="17"/>
      <c r="DS620" s="16"/>
      <c r="DT620" s="16"/>
      <c r="DU620" s="17"/>
      <c r="DV620" s="17"/>
      <c r="DW620" s="16"/>
      <c r="DX620" s="16"/>
      <c r="DY620" s="17"/>
      <c r="DZ620" s="17"/>
      <c r="EA620" s="16"/>
      <c r="EB620" s="16"/>
      <c r="EC620" s="17"/>
      <c r="ED620" s="17"/>
      <c r="EE620" s="16"/>
      <c r="EF620" s="16"/>
      <c r="EG620" s="17"/>
      <c r="EH620" s="17"/>
      <c r="EI620" s="16"/>
      <c r="EJ620" s="16"/>
      <c r="EK620" s="17"/>
      <c r="EL620" s="17"/>
      <c r="EM620" s="16"/>
      <c r="EN620" s="16"/>
      <c r="EO620" s="17"/>
      <c r="EP620" s="17"/>
      <c r="EQ620" s="16"/>
      <c r="ER620" s="16"/>
      <c r="ES620" s="17"/>
      <c r="ET620" s="17"/>
      <c r="EU620" s="16"/>
      <c r="EV620" s="16"/>
      <c r="EW620" s="17"/>
      <c r="EX620" s="17"/>
      <c r="EY620" s="16"/>
      <c r="EZ620" s="16"/>
      <c r="FA620" s="17"/>
      <c r="FB620" s="17"/>
      <c r="FC620" s="16"/>
      <c r="FD620" s="16"/>
      <c r="FE620" s="17"/>
      <c r="FF620" s="17"/>
      <c r="FG620" s="11"/>
      <c r="GT620" s="11"/>
      <c r="IG620" s="11"/>
      <c r="JT620" s="11"/>
      <c r="LG620" s="11"/>
      <c r="MT620" s="11"/>
      <c r="OG620" s="11"/>
      <c r="PT620" s="11"/>
    </row>
    <row r="621" spans="1:474" ht="15.75" x14ac:dyDescent="0.25">
      <c r="C621" s="20" t="s">
        <v>523</v>
      </c>
      <c r="D621" s="21" t="s">
        <v>79</v>
      </c>
      <c r="H621" s="11"/>
      <c r="AU621" s="11"/>
      <c r="CH621" s="11"/>
      <c r="CI621" s="16"/>
      <c r="CJ621" s="16"/>
      <c r="CK621" s="16"/>
      <c r="CL621" s="16"/>
      <c r="CM621" s="16"/>
      <c r="CN621" s="16"/>
      <c r="CO621" s="16"/>
      <c r="CP621" s="16"/>
      <c r="CQ621" s="16"/>
      <c r="CR621" s="16"/>
      <c r="CS621" s="16"/>
      <c r="CT621" s="16"/>
      <c r="CU621" s="16"/>
      <c r="CV621" s="16"/>
      <c r="CW621" s="16"/>
      <c r="CX621" s="16"/>
      <c r="CY621" s="16"/>
      <c r="CZ621" s="16"/>
      <c r="DA621" s="16"/>
      <c r="DB621" s="16"/>
      <c r="DC621" s="16"/>
      <c r="DD621" s="16"/>
      <c r="DE621" s="17"/>
      <c r="DF621" s="17"/>
      <c r="DG621" s="16"/>
      <c r="DH621" s="16"/>
      <c r="DI621" s="18">
        <v>1</v>
      </c>
      <c r="DJ621" s="18">
        <v>1</v>
      </c>
      <c r="DK621" s="16"/>
      <c r="DL621" s="16"/>
      <c r="DM621" s="17"/>
      <c r="DN621" s="17"/>
      <c r="DO621" s="16"/>
      <c r="DP621" s="16"/>
      <c r="DQ621" s="17"/>
      <c r="DR621" s="17"/>
      <c r="DS621" s="16"/>
      <c r="DT621" s="16"/>
      <c r="DU621" s="17"/>
      <c r="DV621" s="17"/>
      <c r="DW621" s="16"/>
      <c r="DX621" s="16"/>
      <c r="DY621" s="17"/>
      <c r="DZ621" s="17"/>
      <c r="EA621" s="16"/>
      <c r="EB621" s="16"/>
      <c r="EC621" s="17"/>
      <c r="ED621" s="17"/>
      <c r="EE621" s="16"/>
      <c r="EF621" s="16"/>
      <c r="EG621" s="17"/>
      <c r="EH621" s="17"/>
      <c r="EI621" s="16"/>
      <c r="EJ621" s="16"/>
      <c r="EK621" s="17"/>
      <c r="EL621" s="17"/>
      <c r="EM621" s="16"/>
      <c r="EN621" s="16"/>
      <c r="EO621" s="17"/>
      <c r="EP621" s="17"/>
      <c r="EQ621" s="16"/>
      <c r="ER621" s="16"/>
      <c r="ES621" s="17"/>
      <c r="ET621" s="17"/>
      <c r="EU621" s="16"/>
      <c r="EV621" s="16"/>
      <c r="EW621" s="17"/>
      <c r="EX621" s="17"/>
      <c r="EY621" s="16"/>
      <c r="EZ621" s="16"/>
      <c r="FA621" s="17"/>
      <c r="FB621" s="17"/>
      <c r="FC621" s="16"/>
      <c r="FD621" s="16"/>
      <c r="FE621" s="17"/>
      <c r="FF621" s="17"/>
      <c r="FG621" s="11"/>
      <c r="GT621" s="11"/>
      <c r="IG621" s="11"/>
      <c r="JT621" s="11"/>
      <c r="LG621" s="11"/>
      <c r="MT621" s="11"/>
      <c r="OG621" s="11"/>
      <c r="PT621" s="11"/>
    </row>
    <row r="622" spans="1:474" ht="15.75" x14ac:dyDescent="0.25">
      <c r="C622" s="20" t="s">
        <v>524</v>
      </c>
      <c r="D622" s="21" t="s">
        <v>203</v>
      </c>
      <c r="H622" s="11"/>
      <c r="AU622" s="11"/>
      <c r="CH622" s="11"/>
      <c r="CI622" s="16"/>
      <c r="CJ622" s="16"/>
      <c r="CK622" s="16"/>
      <c r="CL622" s="16"/>
      <c r="CM622" s="16"/>
      <c r="CN622" s="16"/>
      <c r="CO622" s="16"/>
      <c r="CP622" s="16"/>
      <c r="CQ622" s="16"/>
      <c r="CR622" s="16"/>
      <c r="CS622" s="16"/>
      <c r="CT622" s="16"/>
      <c r="CU622" s="16"/>
      <c r="CV622" s="16"/>
      <c r="CW622" s="16"/>
      <c r="CX622" s="16"/>
      <c r="CY622" s="16"/>
      <c r="CZ622" s="16"/>
      <c r="DA622" s="16"/>
      <c r="DB622" s="16"/>
      <c r="DC622" s="16"/>
      <c r="DD622" s="16"/>
      <c r="DE622" s="17"/>
      <c r="DF622" s="17"/>
      <c r="DG622" s="16"/>
      <c r="DH622" s="16"/>
      <c r="DI622" s="17"/>
      <c r="DJ622" s="17"/>
      <c r="DK622" s="16"/>
      <c r="DL622" s="16"/>
      <c r="DM622" s="17"/>
      <c r="DN622" s="17"/>
      <c r="DO622" s="16"/>
      <c r="DP622" s="16"/>
      <c r="DQ622" s="17"/>
      <c r="DR622" s="17"/>
      <c r="DS622" s="16"/>
      <c r="DT622" s="16"/>
      <c r="DU622" s="17"/>
      <c r="DV622" s="17"/>
      <c r="DW622" s="16"/>
      <c r="DX622" s="16"/>
      <c r="DY622" s="17"/>
      <c r="DZ622" s="17"/>
      <c r="EA622" s="16"/>
      <c r="EB622" s="16"/>
      <c r="EC622" s="17"/>
      <c r="ED622" s="17"/>
      <c r="EE622" s="16"/>
      <c r="EF622" s="16"/>
      <c r="EG622" s="17"/>
      <c r="EH622" s="17"/>
      <c r="EI622" s="16"/>
      <c r="EJ622" s="16"/>
      <c r="EK622" s="17"/>
      <c r="EL622" s="17"/>
      <c r="EM622" s="16"/>
      <c r="EN622" s="16"/>
      <c r="EO622" s="17"/>
      <c r="EP622" s="17"/>
      <c r="EQ622" s="16"/>
      <c r="ER622" s="16"/>
      <c r="ES622" s="17"/>
      <c r="ET622" s="17"/>
      <c r="EU622" s="16"/>
      <c r="EV622" s="16"/>
      <c r="EW622" s="17"/>
      <c r="EX622" s="17"/>
      <c r="EY622" s="16"/>
      <c r="EZ622" s="16"/>
      <c r="FA622" s="17"/>
      <c r="FB622" s="17"/>
      <c r="FC622" s="16"/>
      <c r="FD622" s="16"/>
      <c r="FE622" s="17"/>
      <c r="FF622" s="17"/>
      <c r="FG622" s="11"/>
      <c r="GT622" s="11"/>
      <c r="IG622" s="11"/>
      <c r="JT622" s="11"/>
      <c r="LG622" s="11"/>
      <c r="MT622" s="11"/>
      <c r="OG622" s="11"/>
      <c r="PT622" s="11"/>
    </row>
    <row r="623" spans="1:474" ht="15.75" x14ac:dyDescent="0.25">
      <c r="C623" s="20" t="s">
        <v>525</v>
      </c>
      <c r="D623" s="21" t="s">
        <v>203</v>
      </c>
      <c r="H623" s="11"/>
      <c r="AU623" s="11"/>
      <c r="CH623" s="11"/>
      <c r="CI623" s="16"/>
      <c r="CJ623" s="16"/>
      <c r="CK623" s="16"/>
      <c r="CL623" s="16"/>
      <c r="CM623" s="16"/>
      <c r="CN623" s="16"/>
      <c r="CO623" s="16"/>
      <c r="CP623" s="16"/>
      <c r="CQ623" s="16"/>
      <c r="CR623" s="16"/>
      <c r="CS623" s="16"/>
      <c r="CT623" s="16"/>
      <c r="CU623" s="16"/>
      <c r="CV623" s="16"/>
      <c r="CW623" s="16"/>
      <c r="CX623" s="16"/>
      <c r="CY623" s="16"/>
      <c r="CZ623" s="16"/>
      <c r="DA623" s="16"/>
      <c r="DB623" s="16"/>
      <c r="DC623" s="16"/>
      <c r="DD623" s="16"/>
      <c r="DE623" s="17"/>
      <c r="DF623" s="17"/>
      <c r="DG623" s="16"/>
      <c r="DH623" s="16"/>
      <c r="DI623" s="17"/>
      <c r="DJ623" s="17"/>
      <c r="DK623" s="16"/>
      <c r="DL623" s="16"/>
      <c r="DM623" s="17"/>
      <c r="DN623" s="17"/>
      <c r="DO623" s="16"/>
      <c r="DP623" s="16"/>
      <c r="DQ623" s="17"/>
      <c r="DR623" s="17"/>
      <c r="DS623" s="16"/>
      <c r="DT623" s="16"/>
      <c r="DU623" s="17"/>
      <c r="DV623" s="17"/>
      <c r="DW623" s="16"/>
      <c r="DX623" s="16"/>
      <c r="DY623" s="17"/>
      <c r="DZ623" s="17"/>
      <c r="EA623" s="16"/>
      <c r="EB623" s="16"/>
      <c r="EC623" s="17"/>
      <c r="ED623" s="17"/>
      <c r="EE623" s="16"/>
      <c r="EF623" s="16"/>
      <c r="EG623" s="17"/>
      <c r="EH623" s="17"/>
      <c r="EI623" s="16"/>
      <c r="EJ623" s="16"/>
      <c r="EK623" s="17"/>
      <c r="EL623" s="17"/>
      <c r="EM623" s="16"/>
      <c r="EN623" s="16"/>
      <c r="EO623" s="17"/>
      <c r="EP623" s="17"/>
      <c r="EQ623" s="16"/>
      <c r="ER623" s="16"/>
      <c r="ES623" s="17"/>
      <c r="ET623" s="17"/>
      <c r="EU623" s="16"/>
      <c r="EV623" s="16"/>
      <c r="EW623" s="17"/>
      <c r="EX623" s="17"/>
      <c r="EY623" s="16"/>
      <c r="EZ623" s="16"/>
      <c r="FA623" s="17"/>
      <c r="FB623" s="17"/>
      <c r="FC623" s="16"/>
      <c r="FD623" s="16"/>
      <c r="FE623" s="17"/>
      <c r="FF623" s="17"/>
      <c r="FG623" s="11"/>
      <c r="GT623" s="11"/>
      <c r="IG623" s="11"/>
      <c r="JT623" s="11"/>
      <c r="LG623" s="11"/>
      <c r="MT623" s="11"/>
      <c r="OG623" s="11"/>
      <c r="PT623" s="11"/>
    </row>
    <row r="624" spans="1:474" ht="15.75" x14ac:dyDescent="0.25">
      <c r="C624" s="20" t="s">
        <v>526</v>
      </c>
      <c r="D624" s="21" t="s">
        <v>203</v>
      </c>
      <c r="H624" s="11"/>
      <c r="AU624" s="11"/>
      <c r="CH624" s="11"/>
      <c r="CI624" s="16"/>
      <c r="CJ624" s="16"/>
      <c r="CK624" s="16"/>
      <c r="CL624" s="16"/>
      <c r="CM624" s="16"/>
      <c r="CN624" s="16"/>
      <c r="CO624" s="16"/>
      <c r="CP624" s="16"/>
      <c r="CQ624" s="16"/>
      <c r="CR624" s="16"/>
      <c r="CS624" s="16"/>
      <c r="CT624" s="16"/>
      <c r="CU624" s="16"/>
      <c r="CV624" s="16"/>
      <c r="CW624" s="16"/>
      <c r="CX624" s="16"/>
      <c r="CY624" s="16"/>
      <c r="CZ624" s="16"/>
      <c r="DA624" s="16"/>
      <c r="DB624" s="16"/>
      <c r="DC624" s="16"/>
      <c r="DD624" s="16"/>
      <c r="DE624" s="17"/>
      <c r="DF624" s="17"/>
      <c r="DG624" s="16"/>
      <c r="DH624" s="16"/>
      <c r="DI624" s="17"/>
      <c r="DJ624" s="17"/>
      <c r="DK624" s="16"/>
      <c r="DL624" s="16"/>
      <c r="DM624" s="17"/>
      <c r="DN624" s="17"/>
      <c r="DO624" s="16"/>
      <c r="DP624" s="16"/>
      <c r="DQ624" s="17"/>
      <c r="DR624" s="17"/>
      <c r="DS624" s="16"/>
      <c r="DT624" s="16"/>
      <c r="DU624" s="17"/>
      <c r="DV624" s="17"/>
      <c r="DW624" s="16"/>
      <c r="DX624" s="16"/>
      <c r="DY624" s="17"/>
      <c r="DZ624" s="17"/>
      <c r="EA624" s="16"/>
      <c r="EB624" s="16"/>
      <c r="EC624" s="17"/>
      <c r="ED624" s="17"/>
      <c r="EE624" s="16"/>
      <c r="EF624" s="16"/>
      <c r="EG624" s="17"/>
      <c r="EH624" s="17"/>
      <c r="EI624" s="16"/>
      <c r="EJ624" s="16"/>
      <c r="EK624" s="17"/>
      <c r="EL624" s="17"/>
      <c r="EM624" s="16"/>
      <c r="EN624" s="16"/>
      <c r="EO624" s="17"/>
      <c r="EP624" s="17"/>
      <c r="EQ624" s="16"/>
      <c r="ER624" s="16"/>
      <c r="ES624" s="17"/>
      <c r="ET624" s="17"/>
      <c r="EU624" s="16"/>
      <c r="EV624" s="16"/>
      <c r="EW624" s="17"/>
      <c r="EX624" s="17"/>
      <c r="EY624" s="16"/>
      <c r="EZ624" s="16"/>
      <c r="FA624" s="17"/>
      <c r="FB624" s="17"/>
      <c r="FC624" s="16"/>
      <c r="FD624" s="16"/>
      <c r="FE624" s="17"/>
      <c r="FF624" s="17"/>
      <c r="FG624" s="11"/>
      <c r="GT624" s="11"/>
      <c r="IG624" s="11"/>
      <c r="JT624" s="11"/>
      <c r="LG624" s="11"/>
      <c r="MT624" s="11"/>
      <c r="OG624" s="11"/>
      <c r="PT624" s="11"/>
    </row>
    <row r="625" spans="3:436" ht="15.75" x14ac:dyDescent="0.25">
      <c r="C625" s="20" t="s">
        <v>527</v>
      </c>
      <c r="D625" s="21" t="s">
        <v>82</v>
      </c>
      <c r="H625" s="11"/>
      <c r="AU625" s="11"/>
      <c r="CH625" s="11"/>
      <c r="CI625" s="16"/>
      <c r="CJ625" s="16"/>
      <c r="CK625" s="16"/>
      <c r="CL625" s="16"/>
      <c r="CM625" s="16"/>
      <c r="CN625" s="16"/>
      <c r="CO625" s="16"/>
      <c r="CP625" s="16"/>
      <c r="CQ625" s="16"/>
      <c r="CR625" s="16"/>
      <c r="CS625" s="16"/>
      <c r="CT625" s="16"/>
      <c r="CU625" s="16"/>
      <c r="CV625" s="16"/>
      <c r="CW625" s="16"/>
      <c r="CX625" s="16"/>
      <c r="CY625" s="16"/>
      <c r="CZ625" s="16"/>
      <c r="DA625" s="16"/>
      <c r="DB625" s="16"/>
      <c r="DC625" s="16"/>
      <c r="DD625" s="16"/>
      <c r="DE625" s="17"/>
      <c r="DF625" s="17"/>
      <c r="DG625" s="16"/>
      <c r="DH625" s="16"/>
      <c r="DI625" s="17"/>
      <c r="DJ625" s="17"/>
      <c r="DK625" s="16"/>
      <c r="DL625" s="16"/>
      <c r="DM625" s="17"/>
      <c r="DN625" s="17"/>
      <c r="DO625" s="16"/>
      <c r="DP625" s="16"/>
      <c r="DQ625" s="17"/>
      <c r="DR625" s="17"/>
      <c r="DS625" s="16"/>
      <c r="DT625" s="16"/>
      <c r="DU625" s="17"/>
      <c r="DV625" s="17"/>
      <c r="DW625" s="16"/>
      <c r="DX625" s="16"/>
      <c r="DY625" s="17"/>
      <c r="DZ625" s="17"/>
      <c r="EA625" s="16"/>
      <c r="EB625" s="16"/>
      <c r="EC625" s="17"/>
      <c r="ED625" s="17"/>
      <c r="EE625" s="16"/>
      <c r="EF625" s="16"/>
      <c r="EG625" s="17"/>
      <c r="EH625" s="17"/>
      <c r="EI625" s="16"/>
      <c r="EJ625" s="16"/>
      <c r="EK625" s="17"/>
      <c r="EL625" s="17"/>
      <c r="EM625" s="16"/>
      <c r="EN625" s="16"/>
      <c r="EO625" s="17"/>
      <c r="EP625" s="17"/>
      <c r="EQ625" s="16"/>
      <c r="ER625" s="16"/>
      <c r="ES625" s="17"/>
      <c r="ET625" s="17"/>
      <c r="EU625" s="16"/>
      <c r="EV625" s="16"/>
      <c r="EW625" s="17"/>
      <c r="EX625" s="17"/>
      <c r="EY625" s="16"/>
      <c r="EZ625" s="16"/>
      <c r="FA625" s="17"/>
      <c r="FB625" s="17"/>
      <c r="FC625" s="16"/>
      <c r="FD625" s="16"/>
      <c r="FE625" s="17"/>
      <c r="FF625" s="17"/>
      <c r="FG625" s="11"/>
      <c r="GT625" s="11"/>
      <c r="IG625" s="11"/>
      <c r="JT625" s="11"/>
      <c r="LG625" s="11"/>
      <c r="MT625" s="11"/>
      <c r="OG625" s="11"/>
      <c r="PT625" s="11"/>
    </row>
    <row r="626" spans="3:436" ht="15.75" x14ac:dyDescent="0.25">
      <c r="C626" s="20" t="s">
        <v>528</v>
      </c>
      <c r="D626" s="21" t="s">
        <v>162</v>
      </c>
      <c r="H626" s="11"/>
      <c r="AU626" s="11"/>
      <c r="CH626" s="11"/>
      <c r="CI626" s="16"/>
      <c r="CJ626" s="16"/>
      <c r="CK626" s="16"/>
      <c r="CL626" s="16"/>
      <c r="CM626" s="16"/>
      <c r="CN626" s="16"/>
      <c r="CO626" s="16"/>
      <c r="CP626" s="16"/>
      <c r="CQ626" s="16"/>
      <c r="CR626" s="16"/>
      <c r="CS626" s="16"/>
      <c r="CT626" s="16"/>
      <c r="CU626" s="16"/>
      <c r="CV626" s="16"/>
      <c r="CW626" s="16"/>
      <c r="CX626" s="16"/>
      <c r="CY626" s="16"/>
      <c r="CZ626" s="16"/>
      <c r="DA626" s="16"/>
      <c r="DB626" s="16"/>
      <c r="DC626" s="16"/>
      <c r="DD626" s="16"/>
      <c r="DE626" s="17"/>
      <c r="DF626" s="17"/>
      <c r="DG626" s="16"/>
      <c r="DH626" s="16"/>
      <c r="DI626" s="17"/>
      <c r="DJ626" s="17"/>
      <c r="DK626" s="16"/>
      <c r="DL626" s="16"/>
      <c r="DM626" s="17"/>
      <c r="DN626" s="17"/>
      <c r="DO626" s="16"/>
      <c r="DP626" s="16"/>
      <c r="DQ626" s="17"/>
      <c r="DR626" s="17"/>
      <c r="DS626" s="16"/>
      <c r="DT626" s="16"/>
      <c r="DU626" s="17"/>
      <c r="DV626" s="17"/>
      <c r="DW626" s="16"/>
      <c r="DX626" s="16"/>
      <c r="DY626" s="17"/>
      <c r="DZ626" s="17"/>
      <c r="EA626" s="16"/>
      <c r="EB626" s="16"/>
      <c r="EC626" s="17"/>
      <c r="ED626" s="17"/>
      <c r="EE626" s="16"/>
      <c r="EF626" s="16"/>
      <c r="EG626" s="17"/>
      <c r="EH626" s="17"/>
      <c r="EI626" s="16"/>
      <c r="EJ626" s="16"/>
      <c r="EK626" s="17"/>
      <c r="EL626" s="17"/>
      <c r="EM626" s="16"/>
      <c r="EN626" s="16"/>
      <c r="EO626" s="17"/>
      <c r="EP626" s="17"/>
      <c r="EQ626" s="16"/>
      <c r="ER626" s="16"/>
      <c r="ES626" s="17"/>
      <c r="ET626" s="17"/>
      <c r="EU626" s="16"/>
      <c r="EV626" s="16"/>
      <c r="EW626" s="17"/>
      <c r="EX626" s="17"/>
      <c r="EY626" s="16"/>
      <c r="EZ626" s="16"/>
      <c r="FA626" s="17"/>
      <c r="FB626" s="17"/>
      <c r="FC626" s="16"/>
      <c r="FD626" s="16"/>
      <c r="FE626" s="17"/>
      <c r="FF626" s="17"/>
      <c r="FG626" s="11"/>
      <c r="GT626" s="11"/>
      <c r="IG626" s="11"/>
      <c r="JT626" s="11"/>
      <c r="LG626" s="11"/>
      <c r="MT626" s="11"/>
      <c r="OG626" s="11"/>
      <c r="PT626" s="11"/>
    </row>
    <row r="627" spans="3:436" ht="15.75" x14ac:dyDescent="0.25">
      <c r="C627" s="20" t="s">
        <v>529</v>
      </c>
      <c r="D627" s="21" t="s">
        <v>142</v>
      </c>
      <c r="H627" s="11"/>
      <c r="AU627" s="11"/>
      <c r="CH627" s="11"/>
      <c r="CI627" s="16"/>
      <c r="CJ627" s="16"/>
      <c r="CK627" s="16"/>
      <c r="CL627" s="16"/>
      <c r="CM627" s="16"/>
      <c r="CN627" s="16"/>
      <c r="CO627" s="16"/>
      <c r="CP627" s="16"/>
      <c r="CQ627" s="16"/>
      <c r="CR627" s="16"/>
      <c r="CS627" s="16"/>
      <c r="CT627" s="16"/>
      <c r="CU627" s="16"/>
      <c r="CV627" s="16"/>
      <c r="CW627" s="16"/>
      <c r="CX627" s="16"/>
      <c r="CY627" s="16"/>
      <c r="CZ627" s="16"/>
      <c r="DA627" s="16"/>
      <c r="DB627" s="16"/>
      <c r="DC627" s="16"/>
      <c r="DD627" s="16"/>
      <c r="DE627" s="17"/>
      <c r="DF627" s="17"/>
      <c r="DG627" s="16"/>
      <c r="DH627" s="16"/>
      <c r="DI627" s="17"/>
      <c r="DJ627" s="17"/>
      <c r="DK627" s="16"/>
      <c r="DL627" s="16"/>
      <c r="DM627" s="17"/>
      <c r="DN627" s="17"/>
      <c r="DO627" s="16"/>
      <c r="DP627" s="16"/>
      <c r="DQ627" s="17"/>
      <c r="DR627" s="17"/>
      <c r="DS627" s="16"/>
      <c r="DT627" s="16"/>
      <c r="DU627" s="17"/>
      <c r="DV627" s="17"/>
      <c r="DW627" s="16"/>
      <c r="DX627" s="16"/>
      <c r="DY627" s="17"/>
      <c r="DZ627" s="17"/>
      <c r="EA627" s="16"/>
      <c r="EB627" s="16"/>
      <c r="EC627" s="17"/>
      <c r="ED627" s="17"/>
      <c r="EE627" s="16"/>
      <c r="EF627" s="16"/>
      <c r="EG627" s="17"/>
      <c r="EH627" s="17"/>
      <c r="EI627" s="16"/>
      <c r="EJ627" s="16"/>
      <c r="EK627" s="17"/>
      <c r="EL627" s="17"/>
      <c r="EM627" s="16"/>
      <c r="EN627" s="16"/>
      <c r="EO627" s="17"/>
      <c r="EP627" s="17"/>
      <c r="EQ627" s="16"/>
      <c r="ER627" s="16"/>
      <c r="ES627" s="17"/>
      <c r="ET627" s="17"/>
      <c r="EU627" s="16"/>
      <c r="EV627" s="16"/>
      <c r="EW627" s="17"/>
      <c r="EX627" s="17"/>
      <c r="EY627" s="16"/>
      <c r="EZ627" s="16"/>
      <c r="FA627" s="17"/>
      <c r="FB627" s="17"/>
      <c r="FC627" s="16"/>
      <c r="FD627" s="16"/>
      <c r="FE627" s="17"/>
      <c r="FF627" s="17"/>
      <c r="FG627" s="11"/>
      <c r="GT627" s="11"/>
      <c r="IG627" s="11"/>
      <c r="JT627" s="11"/>
      <c r="LG627" s="11"/>
      <c r="MT627" s="11"/>
      <c r="OG627" s="11"/>
      <c r="PT627" s="11"/>
    </row>
    <row r="628" spans="3:436" ht="15.75" x14ac:dyDescent="0.25">
      <c r="C628" s="20" t="s">
        <v>530</v>
      </c>
      <c r="D628" s="21" t="s">
        <v>90</v>
      </c>
      <c r="H628" s="11"/>
      <c r="AU628" s="11"/>
      <c r="CH628" s="11"/>
      <c r="CI628" s="16"/>
      <c r="CJ628" s="16"/>
      <c r="CK628" s="16"/>
      <c r="CL628" s="16"/>
      <c r="CM628" s="16"/>
      <c r="CN628" s="16"/>
      <c r="CO628" s="16"/>
      <c r="CP628" s="16"/>
      <c r="CQ628" s="16"/>
      <c r="CR628" s="16"/>
      <c r="CS628" s="16"/>
      <c r="CT628" s="16"/>
      <c r="CU628" s="16"/>
      <c r="CV628" s="16"/>
      <c r="CW628" s="16"/>
      <c r="CX628" s="16"/>
      <c r="CY628" s="16"/>
      <c r="CZ628" s="16"/>
      <c r="DA628" s="16"/>
      <c r="DB628" s="16"/>
      <c r="DC628" s="16"/>
      <c r="DD628" s="16"/>
      <c r="DE628" s="17"/>
      <c r="DF628" s="17"/>
      <c r="DG628" s="16"/>
      <c r="DH628" s="16"/>
      <c r="DI628" s="17"/>
      <c r="DJ628" s="17"/>
      <c r="DK628" s="16"/>
      <c r="DL628" s="16"/>
      <c r="DM628" s="17"/>
      <c r="DN628" s="17"/>
      <c r="DO628" s="16"/>
      <c r="DP628" s="16"/>
      <c r="DQ628" s="17"/>
      <c r="DR628" s="17"/>
      <c r="DS628" s="16"/>
      <c r="DT628" s="16"/>
      <c r="DU628" s="17"/>
      <c r="DV628" s="17"/>
      <c r="DW628" s="16"/>
      <c r="DX628" s="16"/>
      <c r="DY628" s="17"/>
      <c r="DZ628" s="17"/>
      <c r="EA628" s="16"/>
      <c r="EB628" s="16"/>
      <c r="EC628" s="17"/>
      <c r="ED628" s="17"/>
      <c r="EE628" s="16"/>
      <c r="EF628" s="16"/>
      <c r="EG628" s="17"/>
      <c r="EH628" s="17"/>
      <c r="EI628" s="16"/>
      <c r="EJ628" s="16"/>
      <c r="EK628" s="17"/>
      <c r="EL628" s="17"/>
      <c r="EM628" s="16"/>
      <c r="EN628" s="16"/>
      <c r="EO628" s="17"/>
      <c r="EP628" s="17"/>
      <c r="EQ628" s="16"/>
      <c r="ER628" s="16"/>
      <c r="ES628" s="17"/>
      <c r="ET628" s="17"/>
      <c r="EU628" s="16"/>
      <c r="EV628" s="16"/>
      <c r="EW628" s="17"/>
      <c r="EX628" s="17"/>
      <c r="EY628" s="16"/>
      <c r="EZ628" s="16"/>
      <c r="FA628" s="17"/>
      <c r="FB628" s="17"/>
      <c r="FC628" s="16"/>
      <c r="FD628" s="16"/>
      <c r="FE628" s="17"/>
      <c r="FF628" s="17"/>
      <c r="FG628" s="11"/>
      <c r="GT628" s="11"/>
      <c r="IG628" s="11"/>
      <c r="JT628" s="11"/>
      <c r="LG628" s="11"/>
      <c r="MT628" s="11"/>
      <c r="OG628" s="11"/>
      <c r="PT628" s="11"/>
    </row>
    <row r="629" spans="3:436" ht="15.75" x14ac:dyDescent="0.25">
      <c r="C629" s="20" t="s">
        <v>521</v>
      </c>
      <c r="D629" s="21" t="s">
        <v>79</v>
      </c>
      <c r="H629" s="11"/>
      <c r="AU629" s="11"/>
      <c r="CH629" s="11"/>
      <c r="CI629" s="16"/>
      <c r="CJ629" s="16"/>
      <c r="CK629" s="16"/>
      <c r="CL629" s="16"/>
      <c r="CM629" s="16"/>
      <c r="CN629" s="16"/>
      <c r="CO629" s="16"/>
      <c r="CP629" s="16"/>
      <c r="CQ629" s="16"/>
      <c r="CR629" s="16"/>
      <c r="CS629" s="16"/>
      <c r="CT629" s="16"/>
      <c r="CU629" s="16"/>
      <c r="CV629" s="16"/>
      <c r="CW629" s="16"/>
      <c r="CX629" s="16"/>
      <c r="CY629" s="16"/>
      <c r="CZ629" s="16"/>
      <c r="DA629" s="16"/>
      <c r="DB629" s="16"/>
      <c r="DC629" s="16"/>
      <c r="DD629" s="16"/>
      <c r="DE629" s="17"/>
      <c r="DF629" s="17"/>
      <c r="DG629" s="16"/>
      <c r="DH629" s="16"/>
      <c r="DI629" s="17"/>
      <c r="DJ629" s="17"/>
      <c r="DK629" s="16"/>
      <c r="DL629" s="16"/>
      <c r="DM629" s="17"/>
      <c r="DN629" s="17"/>
      <c r="DO629" s="16"/>
      <c r="DP629" s="16"/>
      <c r="DQ629" s="17"/>
      <c r="DR629" s="17"/>
      <c r="DS629" s="16"/>
      <c r="DT629" s="16"/>
      <c r="DU629" s="17"/>
      <c r="DV629" s="17"/>
      <c r="DW629" s="16"/>
      <c r="DX629" s="16"/>
      <c r="DY629" s="17"/>
      <c r="DZ629" s="17"/>
      <c r="EA629" s="16"/>
      <c r="EB629" s="16"/>
      <c r="EC629" s="17"/>
      <c r="ED629" s="17"/>
      <c r="EE629" s="16"/>
      <c r="EF629" s="16"/>
      <c r="EG629" s="17"/>
      <c r="EH629" s="17"/>
      <c r="EI629" s="16"/>
      <c r="EJ629" s="16"/>
      <c r="EK629" s="17"/>
      <c r="EL629" s="17"/>
      <c r="EM629" s="16"/>
      <c r="EN629" s="16"/>
      <c r="EO629" s="17"/>
      <c r="EP629" s="17"/>
      <c r="EQ629" s="16"/>
      <c r="ER629" s="16"/>
      <c r="ES629" s="17"/>
      <c r="ET629" s="17"/>
      <c r="EU629" s="16"/>
      <c r="EV629" s="16"/>
      <c r="EW629" s="17"/>
      <c r="EX629" s="17"/>
      <c r="EY629" s="16"/>
      <c r="EZ629" s="16"/>
      <c r="FA629" s="17"/>
      <c r="FB629" s="17"/>
      <c r="FC629" s="16"/>
      <c r="FD629" s="16"/>
      <c r="FE629" s="17"/>
      <c r="FF629" s="17"/>
      <c r="FG629" s="11"/>
      <c r="GT629" s="11"/>
      <c r="IG629" s="11"/>
      <c r="JT629" s="11"/>
      <c r="LG629" s="11"/>
      <c r="MT629" s="11"/>
      <c r="OG629" s="11"/>
      <c r="PT629" s="11"/>
    </row>
    <row r="630" spans="3:436" ht="15.75" x14ac:dyDescent="0.25">
      <c r="C630" s="20" t="s">
        <v>524</v>
      </c>
      <c r="D630" s="21" t="s">
        <v>203</v>
      </c>
      <c r="H630" s="11"/>
      <c r="AU630" s="11"/>
      <c r="CH630" s="11"/>
      <c r="CI630" s="16"/>
      <c r="CJ630" s="16"/>
      <c r="CK630" s="16"/>
      <c r="CL630" s="16"/>
      <c r="CM630" s="16"/>
      <c r="CN630" s="16"/>
      <c r="CO630" s="16"/>
      <c r="CP630" s="16"/>
      <c r="CQ630" s="16"/>
      <c r="CR630" s="16"/>
      <c r="CS630" s="16"/>
      <c r="CT630" s="16"/>
      <c r="CU630" s="16"/>
      <c r="CV630" s="16"/>
      <c r="CW630" s="16"/>
      <c r="CX630" s="16"/>
      <c r="CY630" s="16"/>
      <c r="CZ630" s="16"/>
      <c r="DA630" s="16"/>
      <c r="DB630" s="16"/>
      <c r="DC630" s="16"/>
      <c r="DD630" s="16"/>
      <c r="DE630" s="17"/>
      <c r="DF630" s="17"/>
      <c r="DG630" s="16"/>
      <c r="DH630" s="16"/>
      <c r="DI630" s="17"/>
      <c r="DJ630" s="17"/>
      <c r="DK630" s="16"/>
      <c r="DL630" s="16"/>
      <c r="DM630" s="17"/>
      <c r="DN630" s="17"/>
      <c r="DO630" s="16"/>
      <c r="DP630" s="16"/>
      <c r="DQ630" s="17"/>
      <c r="DR630" s="17"/>
      <c r="DS630" s="16"/>
      <c r="DT630" s="16"/>
      <c r="DU630" s="17"/>
      <c r="DV630" s="17"/>
      <c r="DW630" s="16"/>
      <c r="DX630" s="16"/>
      <c r="DY630" s="17"/>
      <c r="DZ630" s="17"/>
      <c r="EA630" s="16"/>
      <c r="EB630" s="16"/>
      <c r="EC630" s="17"/>
      <c r="ED630" s="17"/>
      <c r="EE630" s="16"/>
      <c r="EF630" s="16"/>
      <c r="EG630" s="17"/>
      <c r="EH630" s="17"/>
      <c r="EI630" s="16"/>
      <c r="EJ630" s="16"/>
      <c r="EK630" s="17"/>
      <c r="EL630" s="17"/>
      <c r="EM630" s="16"/>
      <c r="EN630" s="16"/>
      <c r="EO630" s="17"/>
      <c r="EP630" s="17"/>
      <c r="EQ630" s="16"/>
      <c r="ER630" s="16"/>
      <c r="ES630" s="17"/>
      <c r="ET630" s="17"/>
      <c r="EU630" s="16"/>
      <c r="EV630" s="16"/>
      <c r="EW630" s="17"/>
      <c r="EX630" s="17"/>
      <c r="EY630" s="16"/>
      <c r="EZ630" s="16"/>
      <c r="FA630" s="17"/>
      <c r="FB630" s="17"/>
      <c r="FC630" s="16"/>
      <c r="FD630" s="16"/>
      <c r="FE630" s="17"/>
      <c r="FF630" s="17"/>
      <c r="FG630" s="11"/>
      <c r="GT630" s="11"/>
      <c r="IG630" s="11"/>
      <c r="JT630" s="11"/>
      <c r="LG630" s="11"/>
      <c r="MT630" s="11"/>
      <c r="OG630" s="11"/>
      <c r="PT630" s="11"/>
    </row>
    <row r="631" spans="3:436" ht="15.75" x14ac:dyDescent="0.25">
      <c r="C631" s="20" t="s">
        <v>526</v>
      </c>
      <c r="D631" s="21" t="s">
        <v>203</v>
      </c>
      <c r="H631" s="11"/>
      <c r="AU631" s="11"/>
      <c r="CH631" s="11"/>
      <c r="CI631" s="16"/>
      <c r="CJ631" s="16"/>
      <c r="CK631" s="16"/>
      <c r="CL631" s="16"/>
      <c r="CM631" s="16"/>
      <c r="CN631" s="16"/>
      <c r="CO631" s="16"/>
      <c r="CP631" s="16"/>
      <c r="CQ631" s="16"/>
      <c r="CR631" s="16"/>
      <c r="CS631" s="16"/>
      <c r="CT631" s="16"/>
      <c r="CU631" s="16"/>
      <c r="CV631" s="16"/>
      <c r="CW631" s="16"/>
      <c r="CX631" s="16"/>
      <c r="CY631" s="16"/>
      <c r="CZ631" s="16"/>
      <c r="DA631" s="16"/>
      <c r="DB631" s="16"/>
      <c r="DC631" s="16"/>
      <c r="DD631" s="16"/>
      <c r="DE631" s="17"/>
      <c r="DF631" s="17"/>
      <c r="DG631" s="16"/>
      <c r="DH631" s="16"/>
      <c r="DI631" s="17"/>
      <c r="DJ631" s="17"/>
      <c r="DK631" s="16"/>
      <c r="DL631" s="16"/>
      <c r="DM631" s="17"/>
      <c r="DN631" s="17"/>
      <c r="DO631" s="16"/>
      <c r="DP631" s="16"/>
      <c r="DQ631" s="17"/>
      <c r="DR631" s="17"/>
      <c r="DS631" s="16"/>
      <c r="DT631" s="16"/>
      <c r="DU631" s="17"/>
      <c r="DV631" s="17"/>
      <c r="DW631" s="16"/>
      <c r="DX631" s="16"/>
      <c r="DY631" s="17"/>
      <c r="DZ631" s="17"/>
      <c r="EA631" s="16"/>
      <c r="EB631" s="16"/>
      <c r="EC631" s="17"/>
      <c r="ED631" s="17"/>
      <c r="EE631" s="16"/>
      <c r="EF631" s="16"/>
      <c r="EG631" s="18">
        <v>10</v>
      </c>
      <c r="EH631" s="18">
        <v>20</v>
      </c>
      <c r="EI631" s="16"/>
      <c r="EJ631" s="16"/>
      <c r="EK631" s="17"/>
      <c r="EL631" s="17"/>
      <c r="EM631" s="16"/>
      <c r="EN631" s="16"/>
      <c r="EO631" s="17"/>
      <c r="EP631" s="17"/>
      <c r="EQ631" s="16"/>
      <c r="ER631" s="16"/>
      <c r="ES631" s="17"/>
      <c r="ET631" s="17"/>
      <c r="EU631" s="16"/>
      <c r="EV631" s="16"/>
      <c r="EW631" s="17"/>
      <c r="EX631" s="17"/>
      <c r="EY631" s="16"/>
      <c r="EZ631" s="16"/>
      <c r="FA631" s="17"/>
      <c r="FB631" s="17"/>
      <c r="FC631" s="16"/>
      <c r="FD631" s="16"/>
      <c r="FE631" s="17"/>
      <c r="FF631" s="17"/>
      <c r="FG631" s="11"/>
      <c r="GT631" s="11"/>
      <c r="IG631" s="11"/>
      <c r="JT631" s="11"/>
      <c r="LG631" s="11"/>
      <c r="MT631" s="11"/>
      <c r="OG631" s="11"/>
      <c r="PT631" s="11"/>
    </row>
    <row r="632" spans="3:436" ht="15.75" x14ac:dyDescent="0.25">
      <c r="C632" s="20" t="s">
        <v>531</v>
      </c>
      <c r="D632" s="21" t="s">
        <v>203</v>
      </c>
      <c r="H632" s="11"/>
      <c r="AU632" s="11"/>
      <c r="CH632" s="11"/>
      <c r="CI632" s="16"/>
      <c r="CJ632" s="16"/>
      <c r="CK632" s="16"/>
      <c r="CL632" s="16"/>
      <c r="CM632" s="16"/>
      <c r="CN632" s="16"/>
      <c r="CO632" s="16"/>
      <c r="CP632" s="16"/>
      <c r="CQ632" s="16"/>
      <c r="CR632" s="16"/>
      <c r="CS632" s="16"/>
      <c r="CT632" s="16"/>
      <c r="CU632" s="16"/>
      <c r="CV632" s="16"/>
      <c r="CW632" s="16"/>
      <c r="CX632" s="16"/>
      <c r="CY632" s="16"/>
      <c r="CZ632" s="16"/>
      <c r="DA632" s="16"/>
      <c r="DB632" s="16"/>
      <c r="DC632" s="16"/>
      <c r="DD632" s="16"/>
      <c r="DE632" s="17"/>
      <c r="DF632" s="17"/>
      <c r="DG632" s="16"/>
      <c r="DH632" s="16"/>
      <c r="DI632" s="17"/>
      <c r="DJ632" s="17"/>
      <c r="DK632" s="16"/>
      <c r="DL632" s="16"/>
      <c r="DM632" s="17"/>
      <c r="DN632" s="17"/>
      <c r="DO632" s="16"/>
      <c r="DP632" s="16"/>
      <c r="DQ632" s="17"/>
      <c r="DR632" s="17"/>
      <c r="DS632" s="16"/>
      <c r="DT632" s="16"/>
      <c r="DU632" s="17"/>
      <c r="DV632" s="17"/>
      <c r="DW632" s="16"/>
      <c r="DX632" s="16"/>
      <c r="DY632" s="17"/>
      <c r="DZ632" s="17"/>
      <c r="EA632" s="16"/>
      <c r="EB632" s="16"/>
      <c r="EC632" s="17"/>
      <c r="ED632" s="17"/>
      <c r="EE632" s="16"/>
      <c r="EF632" s="16"/>
      <c r="EG632" s="18">
        <v>2</v>
      </c>
      <c r="EH632" s="18">
        <v>2</v>
      </c>
      <c r="EI632" s="16"/>
      <c r="EJ632" s="16"/>
      <c r="EK632" s="17"/>
      <c r="EL632" s="17"/>
      <c r="EM632" s="16"/>
      <c r="EN632" s="16"/>
      <c r="EO632" s="17"/>
      <c r="EP632" s="17"/>
      <c r="EQ632" s="16"/>
      <c r="ER632" s="16"/>
      <c r="ES632" s="17"/>
      <c r="ET632" s="17"/>
      <c r="EU632" s="16"/>
      <c r="EV632" s="16"/>
      <c r="EW632" s="17"/>
      <c r="EX632" s="17"/>
      <c r="EY632" s="16"/>
      <c r="EZ632" s="16"/>
      <c r="FA632" s="17"/>
      <c r="FB632" s="17"/>
      <c r="FC632" s="16"/>
      <c r="FD632" s="16"/>
      <c r="FE632" s="17"/>
      <c r="FF632" s="17"/>
      <c r="FG632" s="11"/>
      <c r="GT632" s="11"/>
      <c r="IG632" s="11"/>
      <c r="JT632" s="11"/>
      <c r="LG632" s="11"/>
      <c r="MT632" s="11"/>
      <c r="OG632" s="11"/>
      <c r="PT632" s="11"/>
    </row>
    <row r="633" spans="3:436" ht="15.75" x14ac:dyDescent="0.25">
      <c r="C633" s="20" t="s">
        <v>532</v>
      </c>
      <c r="D633" s="21" t="s">
        <v>203</v>
      </c>
      <c r="H633" s="11"/>
      <c r="AU633" s="11"/>
      <c r="CH633" s="11"/>
      <c r="CI633" s="16"/>
      <c r="CJ633" s="16"/>
      <c r="CK633" s="16"/>
      <c r="CL633" s="16"/>
      <c r="CM633" s="16"/>
      <c r="CN633" s="16"/>
      <c r="CO633" s="16"/>
      <c r="CP633" s="16"/>
      <c r="CQ633" s="16"/>
      <c r="CR633" s="16"/>
      <c r="CS633" s="16"/>
      <c r="CT633" s="16"/>
      <c r="CU633" s="16"/>
      <c r="CV633" s="16"/>
      <c r="CW633" s="16"/>
      <c r="CX633" s="16"/>
      <c r="CY633" s="16"/>
      <c r="CZ633" s="16"/>
      <c r="DA633" s="16"/>
      <c r="DB633" s="16"/>
      <c r="DC633" s="16"/>
      <c r="DD633" s="16"/>
      <c r="DE633" s="17"/>
      <c r="DF633" s="17"/>
      <c r="DG633" s="16"/>
      <c r="DH633" s="16"/>
      <c r="DI633" s="17"/>
      <c r="DJ633" s="17"/>
      <c r="DK633" s="16"/>
      <c r="DL633" s="16"/>
      <c r="DM633" s="17"/>
      <c r="DN633" s="17"/>
      <c r="DO633" s="16"/>
      <c r="DP633" s="16"/>
      <c r="DQ633" s="17"/>
      <c r="DR633" s="17"/>
      <c r="DS633" s="16"/>
      <c r="DT633" s="16"/>
      <c r="DU633" s="17"/>
      <c r="DV633" s="17"/>
      <c r="DW633" s="16"/>
      <c r="DX633" s="16"/>
      <c r="DY633" s="17"/>
      <c r="DZ633" s="17"/>
      <c r="EA633" s="16"/>
      <c r="EB633" s="16"/>
      <c r="EC633" s="17"/>
      <c r="ED633" s="17"/>
      <c r="EE633" s="16"/>
      <c r="EF633" s="16"/>
      <c r="EG633" s="18">
        <v>2</v>
      </c>
      <c r="EH633" s="18">
        <v>4</v>
      </c>
      <c r="EI633" s="16"/>
      <c r="EJ633" s="16"/>
      <c r="EK633" s="17"/>
      <c r="EL633" s="17"/>
      <c r="EM633" s="16"/>
      <c r="EN633" s="16"/>
      <c r="EO633" s="17"/>
      <c r="EP633" s="17"/>
      <c r="EQ633" s="16"/>
      <c r="ER633" s="16"/>
      <c r="ES633" s="17"/>
      <c r="ET633" s="17"/>
      <c r="EU633" s="16"/>
      <c r="EV633" s="16"/>
      <c r="EW633" s="17"/>
      <c r="EX633" s="17"/>
      <c r="EY633" s="16"/>
      <c r="EZ633" s="16"/>
      <c r="FA633" s="17"/>
      <c r="FB633" s="17"/>
      <c r="FC633" s="16"/>
      <c r="FD633" s="16"/>
      <c r="FE633" s="17"/>
      <c r="FF633" s="17"/>
      <c r="FG633" s="11"/>
      <c r="GT633" s="11"/>
      <c r="IG633" s="11"/>
      <c r="JT633" s="11"/>
      <c r="LG633" s="11"/>
      <c r="MT633" s="11"/>
      <c r="OG633" s="11"/>
      <c r="PT633" s="11"/>
    </row>
    <row r="634" spans="3:436" ht="15.75" x14ac:dyDescent="0.25">
      <c r="C634" s="20" t="s">
        <v>533</v>
      </c>
      <c r="D634" s="21" t="s">
        <v>82</v>
      </c>
      <c r="H634" s="11"/>
      <c r="AU634" s="11"/>
      <c r="CH634" s="11"/>
      <c r="CI634" s="16"/>
      <c r="CJ634" s="16"/>
      <c r="CK634" s="16"/>
      <c r="CL634" s="16"/>
      <c r="CM634" s="16"/>
      <c r="CN634" s="16"/>
      <c r="CO634" s="16"/>
      <c r="CP634" s="16"/>
      <c r="CQ634" s="16"/>
      <c r="CR634" s="16"/>
      <c r="CS634" s="16"/>
      <c r="CT634" s="16"/>
      <c r="CU634" s="16"/>
      <c r="CV634" s="16"/>
      <c r="CW634" s="16"/>
      <c r="CX634" s="16"/>
      <c r="CY634" s="16"/>
      <c r="CZ634" s="16"/>
      <c r="DA634" s="16"/>
      <c r="DB634" s="16"/>
      <c r="DC634" s="16"/>
      <c r="DD634" s="16"/>
      <c r="DE634" s="17"/>
      <c r="DF634" s="17"/>
      <c r="DG634" s="16"/>
      <c r="DH634" s="16"/>
      <c r="DI634" s="17"/>
      <c r="DJ634" s="17"/>
      <c r="DK634" s="16"/>
      <c r="DL634" s="16"/>
      <c r="DM634" s="17"/>
      <c r="DN634" s="17"/>
      <c r="DO634" s="16"/>
      <c r="DP634" s="16"/>
      <c r="DQ634" s="17"/>
      <c r="DR634" s="17"/>
      <c r="DS634" s="16"/>
      <c r="DT634" s="16"/>
      <c r="DU634" s="17"/>
      <c r="DV634" s="17"/>
      <c r="DW634" s="16"/>
      <c r="DX634" s="16"/>
      <c r="DY634" s="17"/>
      <c r="DZ634" s="17"/>
      <c r="EA634" s="16"/>
      <c r="EB634" s="16"/>
      <c r="EC634" s="17"/>
      <c r="ED634" s="17"/>
      <c r="EE634" s="16"/>
      <c r="EF634" s="16"/>
      <c r="EG634" s="17"/>
      <c r="EH634" s="17"/>
      <c r="EI634" s="16"/>
      <c r="EJ634" s="16"/>
      <c r="EK634" s="17"/>
      <c r="EL634" s="17"/>
      <c r="EM634" s="16"/>
      <c r="EN634" s="16"/>
      <c r="EO634" s="17"/>
      <c r="EP634" s="17"/>
      <c r="EQ634" s="16"/>
      <c r="ER634" s="16"/>
      <c r="ES634" s="18">
        <v>5</v>
      </c>
      <c r="ET634" s="18">
        <v>5</v>
      </c>
      <c r="EU634" s="16"/>
      <c r="EV634" s="16"/>
      <c r="EW634" s="17"/>
      <c r="EX634" s="17"/>
      <c r="EY634" s="16"/>
      <c r="EZ634" s="16"/>
      <c r="FA634" s="17"/>
      <c r="FB634" s="17"/>
      <c r="FC634" s="16"/>
      <c r="FD634" s="16"/>
      <c r="FE634" s="17"/>
      <c r="FF634" s="17"/>
      <c r="FG634" s="11"/>
      <c r="GT634" s="11"/>
      <c r="IG634" s="11"/>
      <c r="JT634" s="11"/>
      <c r="LG634" s="11"/>
      <c r="MT634" s="11"/>
      <c r="OG634" s="11"/>
      <c r="PT634" s="11"/>
    </row>
    <row r="635" spans="3:436" ht="15.75" x14ac:dyDescent="0.25">
      <c r="C635" s="20" t="s">
        <v>534</v>
      </c>
      <c r="D635" s="21" t="s">
        <v>82</v>
      </c>
      <c r="H635" s="11"/>
      <c r="AU635" s="11"/>
      <c r="CH635" s="11"/>
      <c r="CI635" s="16"/>
      <c r="CJ635" s="16"/>
      <c r="CK635" s="16"/>
      <c r="CL635" s="16"/>
      <c r="CM635" s="16"/>
      <c r="CN635" s="16"/>
      <c r="CO635" s="16"/>
      <c r="CP635" s="16"/>
      <c r="CQ635" s="16"/>
      <c r="CR635" s="16"/>
      <c r="CS635" s="16"/>
      <c r="CT635" s="16"/>
      <c r="CU635" s="16"/>
      <c r="CV635" s="16"/>
      <c r="CW635" s="16"/>
      <c r="CX635" s="16"/>
      <c r="CY635" s="16"/>
      <c r="CZ635" s="16"/>
      <c r="DA635" s="16"/>
      <c r="DB635" s="16"/>
      <c r="DC635" s="16"/>
      <c r="DD635" s="16"/>
      <c r="DE635" s="17"/>
      <c r="DF635" s="17"/>
      <c r="DG635" s="16"/>
      <c r="DH635" s="16"/>
      <c r="DI635" s="17"/>
      <c r="DJ635" s="17"/>
      <c r="DK635" s="16"/>
      <c r="DL635" s="16"/>
      <c r="DM635" s="17"/>
      <c r="DN635" s="17"/>
      <c r="DO635" s="16"/>
      <c r="DP635" s="16"/>
      <c r="DQ635" s="17"/>
      <c r="DR635" s="17"/>
      <c r="DS635" s="16"/>
      <c r="DT635" s="16"/>
      <c r="DU635" s="17"/>
      <c r="DV635" s="17"/>
      <c r="DW635" s="16"/>
      <c r="DX635" s="16"/>
      <c r="DY635" s="17"/>
      <c r="DZ635" s="17"/>
      <c r="EA635" s="16"/>
      <c r="EB635" s="16"/>
      <c r="EC635" s="17"/>
      <c r="ED635" s="17"/>
      <c r="EE635" s="16"/>
      <c r="EF635" s="16"/>
      <c r="EG635" s="17"/>
      <c r="EH635" s="17"/>
      <c r="EI635" s="16"/>
      <c r="EJ635" s="16"/>
      <c r="EK635" s="17"/>
      <c r="EL635" s="17"/>
      <c r="EM635" s="16"/>
      <c r="EN635" s="16"/>
      <c r="EO635" s="17"/>
      <c r="EP635" s="17"/>
      <c r="EQ635" s="16"/>
      <c r="ER635" s="16"/>
      <c r="ES635" s="18">
        <v>1</v>
      </c>
      <c r="ET635" s="18">
        <v>2</v>
      </c>
      <c r="EU635" s="16"/>
      <c r="EV635" s="16"/>
      <c r="EW635" s="17"/>
      <c r="EX635" s="17"/>
      <c r="EY635" s="16"/>
      <c r="EZ635" s="16"/>
      <c r="FA635" s="17"/>
      <c r="FB635" s="17"/>
      <c r="FC635" s="16"/>
      <c r="FD635" s="16"/>
      <c r="FE635" s="17"/>
      <c r="FF635" s="17"/>
      <c r="FG635" s="11"/>
      <c r="GT635" s="11"/>
      <c r="IG635" s="11"/>
      <c r="JT635" s="11"/>
      <c r="LG635" s="11"/>
      <c r="MT635" s="11"/>
      <c r="OG635" s="11"/>
      <c r="PT635" s="11"/>
    </row>
    <row r="636" spans="3:436" ht="15.75" x14ac:dyDescent="0.25">
      <c r="C636" s="20" t="s">
        <v>528</v>
      </c>
      <c r="D636" s="21" t="s">
        <v>162</v>
      </c>
      <c r="H636" s="11"/>
      <c r="AU636" s="11"/>
      <c r="CH636" s="11"/>
      <c r="CI636" s="16"/>
      <c r="CJ636" s="16"/>
      <c r="CK636" s="16"/>
      <c r="CL636" s="16"/>
      <c r="CM636" s="16"/>
      <c r="CN636" s="16"/>
      <c r="CO636" s="16"/>
      <c r="CP636" s="16"/>
      <c r="CQ636" s="16"/>
      <c r="CR636" s="16"/>
      <c r="CS636" s="16"/>
      <c r="CT636" s="16"/>
      <c r="CU636" s="16"/>
      <c r="CV636" s="16"/>
      <c r="CW636" s="16"/>
      <c r="CX636" s="16"/>
      <c r="CY636" s="16"/>
      <c r="CZ636" s="16"/>
      <c r="DA636" s="16"/>
      <c r="DB636" s="16"/>
      <c r="DC636" s="16"/>
      <c r="DD636" s="16"/>
      <c r="DE636" s="17"/>
      <c r="DF636" s="17"/>
      <c r="DG636" s="16"/>
      <c r="DH636" s="16"/>
      <c r="DI636" s="17"/>
      <c r="DJ636" s="17"/>
      <c r="DK636" s="16"/>
      <c r="DL636" s="16"/>
      <c r="DM636" s="17"/>
      <c r="DN636" s="17"/>
      <c r="DO636" s="16"/>
      <c r="DP636" s="16"/>
      <c r="DQ636" s="17"/>
      <c r="DR636" s="17"/>
      <c r="DS636" s="16"/>
      <c r="DT636" s="16"/>
      <c r="DU636" s="17"/>
      <c r="DV636" s="17"/>
      <c r="DW636" s="16"/>
      <c r="DX636" s="16"/>
      <c r="DY636" s="17"/>
      <c r="DZ636" s="17"/>
      <c r="EA636" s="16"/>
      <c r="EB636" s="16"/>
      <c r="EC636" s="17"/>
      <c r="ED636" s="17"/>
      <c r="EE636" s="16"/>
      <c r="EF636" s="16"/>
      <c r="EG636" s="17"/>
      <c r="EH636" s="17"/>
      <c r="EI636" s="16"/>
      <c r="EJ636" s="16"/>
      <c r="EK636" s="17"/>
      <c r="EL636" s="17"/>
      <c r="EM636" s="16"/>
      <c r="EN636" s="16"/>
      <c r="EO636" s="17"/>
      <c r="EP636" s="17"/>
      <c r="EQ636" s="16"/>
      <c r="ER636" s="16"/>
      <c r="ES636" s="17"/>
      <c r="ET636" s="17"/>
      <c r="EU636" s="16"/>
      <c r="EV636" s="16"/>
      <c r="EW636" s="17"/>
      <c r="EX636" s="17"/>
      <c r="EY636" s="16"/>
      <c r="EZ636" s="16"/>
      <c r="FA636" s="17"/>
      <c r="FB636" s="17"/>
      <c r="FC636" s="16"/>
      <c r="FD636" s="16"/>
      <c r="FE636" s="17"/>
      <c r="FF636" s="17"/>
      <c r="FG636" s="11"/>
      <c r="GT636" s="11"/>
      <c r="IG636" s="11"/>
      <c r="JT636" s="11"/>
      <c r="LG636" s="11"/>
      <c r="MT636" s="11"/>
      <c r="OG636" s="11"/>
      <c r="PT636" s="11"/>
    </row>
    <row r="637" spans="3:436" ht="15.75" x14ac:dyDescent="0.25">
      <c r="C637" s="20" t="s">
        <v>529</v>
      </c>
      <c r="D637" s="21" t="s">
        <v>142</v>
      </c>
      <c r="H637" s="11"/>
      <c r="AU637" s="11"/>
      <c r="CH637" s="11"/>
      <c r="CI637" s="16"/>
      <c r="CJ637" s="16"/>
      <c r="CK637" s="16"/>
      <c r="CL637" s="16"/>
      <c r="CM637" s="16"/>
      <c r="CN637" s="16"/>
      <c r="CO637" s="16"/>
      <c r="CP637" s="16"/>
      <c r="CQ637" s="16"/>
      <c r="CR637" s="16"/>
      <c r="CS637" s="16"/>
      <c r="CT637" s="16"/>
      <c r="CU637" s="16"/>
      <c r="CV637" s="16"/>
      <c r="CW637" s="16"/>
      <c r="CX637" s="16"/>
      <c r="CY637" s="16"/>
      <c r="CZ637" s="16"/>
      <c r="DA637" s="16"/>
      <c r="DB637" s="16"/>
      <c r="DC637" s="16"/>
      <c r="DD637" s="16"/>
      <c r="DE637" s="17"/>
      <c r="DF637" s="17"/>
      <c r="DG637" s="16"/>
      <c r="DH637" s="16"/>
      <c r="DI637" s="17"/>
      <c r="DJ637" s="17"/>
      <c r="DK637" s="16"/>
      <c r="DL637" s="16"/>
      <c r="DM637" s="17"/>
      <c r="DN637" s="17"/>
      <c r="DO637" s="16"/>
      <c r="DP637" s="16"/>
      <c r="DQ637" s="17"/>
      <c r="DR637" s="17"/>
      <c r="DS637" s="16"/>
      <c r="DT637" s="16"/>
      <c r="DU637" s="17"/>
      <c r="DV637" s="17"/>
      <c r="DW637" s="16"/>
      <c r="DX637" s="16"/>
      <c r="DY637" s="17"/>
      <c r="DZ637" s="17"/>
      <c r="EA637" s="16"/>
      <c r="EB637" s="16"/>
      <c r="EC637" s="17"/>
      <c r="ED637" s="17"/>
      <c r="EE637" s="16"/>
      <c r="EF637" s="16"/>
      <c r="EG637" s="17"/>
      <c r="EH637" s="17"/>
      <c r="EI637" s="16"/>
      <c r="EJ637" s="16"/>
      <c r="EK637" s="17"/>
      <c r="EL637" s="17"/>
      <c r="EM637" s="16"/>
      <c r="EN637" s="16"/>
      <c r="EO637" s="17"/>
      <c r="EP637" s="17"/>
      <c r="EQ637" s="16"/>
      <c r="ER637" s="16"/>
      <c r="ES637" s="17"/>
      <c r="ET637" s="17"/>
      <c r="EU637" s="16"/>
      <c r="EV637" s="16"/>
      <c r="EW637" s="17"/>
      <c r="EX637" s="17"/>
      <c r="EY637" s="16"/>
      <c r="EZ637" s="16"/>
      <c r="FA637" s="17"/>
      <c r="FB637" s="17"/>
      <c r="FC637" s="16"/>
      <c r="FD637" s="16"/>
      <c r="FE637" s="17"/>
      <c r="FF637" s="17"/>
      <c r="FG637" s="11"/>
      <c r="GT637" s="11"/>
      <c r="IG637" s="11"/>
      <c r="JT637" s="11"/>
      <c r="LG637" s="11"/>
      <c r="MT637" s="11"/>
      <c r="OG637" s="11"/>
      <c r="PT637" s="11"/>
    </row>
    <row r="638" spans="3:436" ht="15.75" x14ac:dyDescent="0.25">
      <c r="C638" s="20" t="s">
        <v>530</v>
      </c>
      <c r="D638" s="21" t="s">
        <v>90</v>
      </c>
      <c r="H638" s="11"/>
      <c r="AU638" s="11"/>
      <c r="CH638" s="11"/>
      <c r="CI638" s="16"/>
      <c r="CJ638" s="16"/>
      <c r="CK638" s="16"/>
      <c r="CL638" s="16"/>
      <c r="CM638" s="16"/>
      <c r="CN638" s="16"/>
      <c r="CO638" s="16"/>
      <c r="CP638" s="16"/>
      <c r="CQ638" s="16"/>
      <c r="CR638" s="16"/>
      <c r="CS638" s="16"/>
      <c r="CT638" s="16"/>
      <c r="CU638" s="16"/>
      <c r="CV638" s="16"/>
      <c r="CW638" s="16"/>
      <c r="CX638" s="16"/>
      <c r="CY638" s="16"/>
      <c r="CZ638" s="16"/>
      <c r="DA638" s="16"/>
      <c r="DB638" s="16"/>
      <c r="DC638" s="16"/>
      <c r="DD638" s="16"/>
      <c r="DE638" s="17"/>
      <c r="DF638" s="17"/>
      <c r="DG638" s="16"/>
      <c r="DH638" s="16"/>
      <c r="DI638" s="17"/>
      <c r="DJ638" s="17"/>
      <c r="DK638" s="16"/>
      <c r="DL638" s="16"/>
      <c r="DM638" s="17"/>
      <c r="DN638" s="17"/>
      <c r="DO638" s="16"/>
      <c r="DP638" s="16"/>
      <c r="DQ638" s="17"/>
      <c r="DR638" s="17"/>
      <c r="DS638" s="16"/>
      <c r="DT638" s="16"/>
      <c r="DU638" s="17"/>
      <c r="DV638" s="17"/>
      <c r="DW638" s="16"/>
      <c r="DX638" s="16"/>
      <c r="DY638" s="17"/>
      <c r="DZ638" s="17"/>
      <c r="EA638" s="16"/>
      <c r="EB638" s="16"/>
      <c r="EC638" s="17"/>
      <c r="ED638" s="17"/>
      <c r="EE638" s="16"/>
      <c r="EF638" s="16"/>
      <c r="EG638" s="17"/>
      <c r="EH638" s="17"/>
      <c r="EI638" s="16"/>
      <c r="EJ638" s="16"/>
      <c r="EK638" s="17"/>
      <c r="EL638" s="17"/>
      <c r="EM638" s="16"/>
      <c r="EN638" s="16"/>
      <c r="EO638" s="17"/>
      <c r="EP638" s="17"/>
      <c r="EQ638" s="16"/>
      <c r="ER638" s="16"/>
      <c r="ES638" s="17"/>
      <c r="ET638" s="17"/>
      <c r="EU638" s="16"/>
      <c r="EV638" s="16"/>
      <c r="EW638" s="17"/>
      <c r="EX638" s="17"/>
      <c r="EY638" s="16"/>
      <c r="EZ638" s="16"/>
      <c r="FA638" s="17"/>
      <c r="FB638" s="17"/>
      <c r="FC638" s="16"/>
      <c r="FD638" s="16"/>
      <c r="FE638" s="17"/>
      <c r="FF638" s="17"/>
      <c r="FG638" s="11"/>
      <c r="GT638" s="11"/>
      <c r="IG638" s="11"/>
      <c r="JT638" s="11"/>
      <c r="LG638" s="11"/>
      <c r="MT638" s="11"/>
      <c r="OG638" s="11"/>
      <c r="PT638" s="11"/>
    </row>
    <row r="639" spans="3:436" ht="15.75" x14ac:dyDescent="0.25">
      <c r="C639" s="20" t="s">
        <v>535</v>
      </c>
      <c r="D639" s="21" t="s">
        <v>82</v>
      </c>
      <c r="H639" s="11"/>
      <c r="AU639" s="11"/>
      <c r="CH639" s="11"/>
      <c r="CI639" s="16"/>
      <c r="CJ639" s="16"/>
      <c r="CK639" s="16"/>
      <c r="CL639" s="16"/>
      <c r="CM639" s="16"/>
      <c r="CN639" s="16"/>
      <c r="CO639" s="16"/>
      <c r="CP639" s="16"/>
      <c r="CQ639" s="16"/>
      <c r="CR639" s="16"/>
      <c r="CS639" s="16"/>
      <c r="CT639" s="16"/>
      <c r="CU639" s="16"/>
      <c r="CV639" s="16"/>
      <c r="CW639" s="16"/>
      <c r="CX639" s="16"/>
      <c r="CY639" s="16"/>
      <c r="CZ639" s="16"/>
      <c r="DA639" s="16"/>
      <c r="DB639" s="16"/>
      <c r="DC639" s="16"/>
      <c r="DD639" s="16"/>
      <c r="DE639" s="17"/>
      <c r="DF639" s="17"/>
      <c r="DG639" s="16"/>
      <c r="DH639" s="16"/>
      <c r="DI639" s="17"/>
      <c r="DJ639" s="17"/>
      <c r="DK639" s="16"/>
      <c r="DL639" s="16"/>
      <c r="DM639" s="17"/>
      <c r="DN639" s="17"/>
      <c r="DO639" s="16"/>
      <c r="DP639" s="16"/>
      <c r="DQ639" s="17"/>
      <c r="DR639" s="17"/>
      <c r="DS639" s="16"/>
      <c r="DT639" s="16"/>
      <c r="DU639" s="17"/>
      <c r="DV639" s="17"/>
      <c r="DW639" s="16"/>
      <c r="DX639" s="16"/>
      <c r="DY639" s="17"/>
      <c r="DZ639" s="17"/>
      <c r="EA639" s="16"/>
      <c r="EB639" s="16"/>
      <c r="EC639" s="17"/>
      <c r="ED639" s="17"/>
      <c r="EE639" s="16"/>
      <c r="EF639" s="16"/>
      <c r="EG639" s="17"/>
      <c r="EH639" s="17"/>
      <c r="EI639" s="16"/>
      <c r="EJ639" s="16"/>
      <c r="EK639" s="17"/>
      <c r="EL639" s="17"/>
      <c r="EM639" s="16"/>
      <c r="EN639" s="16"/>
      <c r="EO639" s="17"/>
      <c r="EP639" s="17"/>
      <c r="EQ639" s="16"/>
      <c r="ER639" s="16"/>
      <c r="ES639" s="18">
        <v>5</v>
      </c>
      <c r="ET639" s="18">
        <v>8</v>
      </c>
      <c r="EU639" s="16"/>
      <c r="EV639" s="16"/>
      <c r="EW639" s="17"/>
      <c r="EX639" s="17"/>
      <c r="EY639" s="16"/>
      <c r="EZ639" s="16"/>
      <c r="FA639" s="17"/>
      <c r="FB639" s="17"/>
      <c r="FC639" s="16"/>
      <c r="FD639" s="16"/>
      <c r="FE639" s="17"/>
      <c r="FF639" s="17"/>
      <c r="FG639" s="11"/>
      <c r="GT639" s="11"/>
      <c r="IG639" s="11"/>
      <c r="JT639" s="11"/>
      <c r="LG639" s="11"/>
      <c r="MT639" s="11"/>
      <c r="OG639" s="11"/>
      <c r="PT639" s="11"/>
    </row>
    <row r="640" spans="3:436" ht="15.75" x14ac:dyDescent="0.25">
      <c r="C640" s="20" t="s">
        <v>536</v>
      </c>
      <c r="D640" s="21" t="s">
        <v>82</v>
      </c>
      <c r="H640" s="11"/>
      <c r="AU640" s="11"/>
      <c r="CH640" s="11"/>
      <c r="CI640" s="16"/>
      <c r="CJ640" s="16"/>
      <c r="CK640" s="16"/>
      <c r="CL640" s="16"/>
      <c r="CM640" s="16"/>
      <c r="CN640" s="16"/>
      <c r="CO640" s="16"/>
      <c r="CP640" s="16"/>
      <c r="CQ640" s="16"/>
      <c r="CR640" s="16"/>
      <c r="CS640" s="16"/>
      <c r="CT640" s="16"/>
      <c r="CU640" s="16"/>
      <c r="CV640" s="16"/>
      <c r="CW640" s="16"/>
      <c r="CX640" s="16"/>
      <c r="CY640" s="16"/>
      <c r="CZ640" s="16"/>
      <c r="DA640" s="16"/>
      <c r="DB640" s="16"/>
      <c r="DC640" s="16"/>
      <c r="DD640" s="16"/>
      <c r="DE640" s="17"/>
      <c r="DF640" s="17"/>
      <c r="DG640" s="16"/>
      <c r="DH640" s="16"/>
      <c r="DI640" s="17"/>
      <c r="DJ640" s="17"/>
      <c r="DK640" s="16"/>
      <c r="DL640" s="16"/>
      <c r="DM640" s="17"/>
      <c r="DN640" s="17"/>
      <c r="DO640" s="16"/>
      <c r="DP640" s="16"/>
      <c r="DQ640" s="17"/>
      <c r="DR640" s="17"/>
      <c r="DS640" s="16"/>
      <c r="DT640" s="16"/>
      <c r="DU640" s="17"/>
      <c r="DV640" s="17"/>
      <c r="DW640" s="16"/>
      <c r="DX640" s="16"/>
      <c r="DY640" s="17"/>
      <c r="DZ640" s="17"/>
      <c r="EA640" s="16"/>
      <c r="EB640" s="16"/>
      <c r="EC640" s="17"/>
      <c r="ED640" s="17"/>
      <c r="EE640" s="16"/>
      <c r="EF640" s="16"/>
      <c r="EG640" s="17"/>
      <c r="EH640" s="17"/>
      <c r="EI640" s="16"/>
      <c r="EJ640" s="16"/>
      <c r="EK640" s="17"/>
      <c r="EL640" s="17"/>
      <c r="EM640" s="16"/>
      <c r="EN640" s="16"/>
      <c r="EO640" s="17"/>
      <c r="EP640" s="17"/>
      <c r="EQ640" s="16"/>
      <c r="ER640" s="16"/>
      <c r="ES640" s="18">
        <v>1</v>
      </c>
      <c r="ET640" s="18">
        <v>2</v>
      </c>
      <c r="EU640" s="16"/>
      <c r="EV640" s="16"/>
      <c r="EW640" s="17"/>
      <c r="EX640" s="17"/>
      <c r="EY640" s="16"/>
      <c r="EZ640" s="16"/>
      <c r="FA640" s="17"/>
      <c r="FB640" s="17"/>
      <c r="FC640" s="16"/>
      <c r="FD640" s="16"/>
      <c r="FE640" s="17"/>
      <c r="FF640" s="17"/>
      <c r="FG640" s="11"/>
      <c r="GT640" s="11"/>
      <c r="IG640" s="11"/>
      <c r="JT640" s="11"/>
      <c r="LG640" s="11"/>
      <c r="MT640" s="11"/>
      <c r="OG640" s="11"/>
      <c r="PT640" s="11"/>
    </row>
    <row r="641" spans="1:436" ht="15.75" x14ac:dyDescent="0.25">
      <c r="C641" s="20" t="s">
        <v>537</v>
      </c>
      <c r="D641" s="21" t="s">
        <v>82</v>
      </c>
      <c r="H641" s="11"/>
      <c r="AU641" s="11"/>
      <c r="CH641" s="11"/>
      <c r="CI641" s="16"/>
      <c r="CJ641" s="16"/>
      <c r="CK641" s="16"/>
      <c r="CL641" s="16"/>
      <c r="CM641" s="16"/>
      <c r="CN641" s="16"/>
      <c r="CO641" s="16"/>
      <c r="CP641" s="16"/>
      <c r="CQ641" s="16"/>
      <c r="CR641" s="16"/>
      <c r="CS641" s="16"/>
      <c r="CT641" s="16"/>
      <c r="CU641" s="16"/>
      <c r="CV641" s="16"/>
      <c r="CW641" s="16"/>
      <c r="CX641" s="16"/>
      <c r="CY641" s="16"/>
      <c r="CZ641" s="16"/>
      <c r="DA641" s="16"/>
      <c r="DB641" s="16"/>
      <c r="DC641" s="16"/>
      <c r="DD641" s="16"/>
      <c r="DE641" s="17"/>
      <c r="DF641" s="17"/>
      <c r="DG641" s="16"/>
      <c r="DH641" s="16"/>
      <c r="DI641" s="17"/>
      <c r="DJ641" s="17"/>
      <c r="DK641" s="16"/>
      <c r="DL641" s="16"/>
      <c r="DM641" s="17"/>
      <c r="DN641" s="17"/>
      <c r="DO641" s="16"/>
      <c r="DP641" s="16"/>
      <c r="DQ641" s="17"/>
      <c r="DR641" s="17"/>
      <c r="DS641" s="16"/>
      <c r="DT641" s="16"/>
      <c r="DU641" s="17"/>
      <c r="DV641" s="17"/>
      <c r="DW641" s="16"/>
      <c r="DX641" s="16"/>
      <c r="DY641" s="17"/>
      <c r="DZ641" s="17"/>
      <c r="EA641" s="16"/>
      <c r="EB641" s="16"/>
      <c r="EC641" s="17"/>
      <c r="ED641" s="17"/>
      <c r="EE641" s="16"/>
      <c r="EF641" s="16"/>
      <c r="EG641" s="17"/>
      <c r="EH641" s="17"/>
      <c r="EI641" s="16"/>
      <c r="EJ641" s="16"/>
      <c r="EK641" s="17"/>
      <c r="EL641" s="17"/>
      <c r="EM641" s="16"/>
      <c r="EN641" s="16"/>
      <c r="EO641" s="17"/>
      <c r="EP641" s="17"/>
      <c r="EQ641" s="16"/>
      <c r="ER641" s="16"/>
      <c r="ES641" s="18">
        <v>1</v>
      </c>
      <c r="ET641" s="18">
        <v>2</v>
      </c>
      <c r="EU641" s="16"/>
      <c r="EV641" s="16"/>
      <c r="EW641" s="17"/>
      <c r="EX641" s="17"/>
      <c r="EY641" s="16"/>
      <c r="EZ641" s="16"/>
      <c r="FA641" s="17"/>
      <c r="FB641" s="17"/>
      <c r="FC641" s="16"/>
      <c r="FD641" s="16"/>
      <c r="FE641" s="17"/>
      <c r="FF641" s="17"/>
      <c r="FG641" s="11"/>
      <c r="GT641" s="11"/>
      <c r="IG641" s="11"/>
      <c r="JT641" s="11"/>
      <c r="LG641" s="11"/>
      <c r="MT641" s="11"/>
      <c r="OG641" s="11"/>
      <c r="PT641" s="11"/>
    </row>
    <row r="642" spans="1:436" ht="15.75" x14ac:dyDescent="0.25">
      <c r="C642" s="20" t="s">
        <v>538</v>
      </c>
      <c r="D642" s="21" t="s">
        <v>82</v>
      </c>
      <c r="H642" s="11"/>
      <c r="AU642" s="11"/>
      <c r="CH642" s="11"/>
      <c r="CI642" s="16"/>
      <c r="CJ642" s="16"/>
      <c r="CK642" s="16"/>
      <c r="CL642" s="16"/>
      <c r="CM642" s="16"/>
      <c r="CN642" s="16"/>
      <c r="CO642" s="16"/>
      <c r="CP642" s="16"/>
      <c r="CQ642" s="16"/>
      <c r="CR642" s="16"/>
      <c r="CS642" s="16"/>
      <c r="CT642" s="16"/>
      <c r="CU642" s="16"/>
      <c r="CV642" s="16"/>
      <c r="CW642" s="16"/>
      <c r="CX642" s="16"/>
      <c r="CY642" s="16"/>
      <c r="CZ642" s="16"/>
      <c r="DA642" s="16"/>
      <c r="DB642" s="16"/>
      <c r="DC642" s="16"/>
      <c r="DD642" s="16"/>
      <c r="DE642" s="17"/>
      <c r="DF642" s="17"/>
      <c r="DG642" s="16"/>
      <c r="DH642" s="16"/>
      <c r="DI642" s="17"/>
      <c r="DJ642" s="17"/>
      <c r="DK642" s="16"/>
      <c r="DL642" s="16"/>
      <c r="DM642" s="17"/>
      <c r="DN642" s="17"/>
      <c r="DO642" s="16"/>
      <c r="DP642" s="16"/>
      <c r="DQ642" s="17"/>
      <c r="DR642" s="17"/>
      <c r="DS642" s="16"/>
      <c r="DT642" s="16"/>
      <c r="DU642" s="17"/>
      <c r="DV642" s="17"/>
      <c r="DW642" s="16"/>
      <c r="DX642" s="16"/>
      <c r="DY642" s="17"/>
      <c r="DZ642" s="17"/>
      <c r="EA642" s="16"/>
      <c r="EB642" s="16"/>
      <c r="EC642" s="17"/>
      <c r="ED642" s="17"/>
      <c r="EE642" s="16"/>
      <c r="EF642" s="16"/>
      <c r="EG642" s="17"/>
      <c r="EH642" s="17"/>
      <c r="EI642" s="16"/>
      <c r="EJ642" s="16"/>
      <c r="EK642" s="17"/>
      <c r="EL642" s="17"/>
      <c r="EM642" s="16"/>
      <c r="EN642" s="16"/>
      <c r="EO642" s="17"/>
      <c r="EP642" s="17"/>
      <c r="EQ642" s="16"/>
      <c r="ER642" s="16"/>
      <c r="ES642" s="18">
        <v>5</v>
      </c>
      <c r="ET642" s="18">
        <v>10</v>
      </c>
      <c r="EU642" s="16"/>
      <c r="EV642" s="16"/>
      <c r="EW642" s="17"/>
      <c r="EX642" s="17"/>
      <c r="EY642" s="16"/>
      <c r="EZ642" s="16"/>
      <c r="FA642" s="17"/>
      <c r="FB642" s="17"/>
      <c r="FC642" s="16"/>
      <c r="FD642" s="16"/>
      <c r="FE642" s="17"/>
      <c r="FF642" s="17"/>
      <c r="FG642" s="11"/>
      <c r="GT642" s="11"/>
      <c r="IG642" s="11"/>
      <c r="JT642" s="11"/>
      <c r="LG642" s="11"/>
      <c r="MT642" s="11"/>
      <c r="OG642" s="11"/>
      <c r="PT642" s="11"/>
    </row>
    <row r="643" spans="1:436" ht="15.75" x14ac:dyDescent="0.25">
      <c r="C643" s="20" t="s">
        <v>539</v>
      </c>
      <c r="D643" s="21" t="s">
        <v>82</v>
      </c>
      <c r="H643" s="11"/>
      <c r="AU643" s="11"/>
      <c r="CH643" s="11"/>
      <c r="CI643" s="16"/>
      <c r="CJ643" s="16"/>
      <c r="CK643" s="16"/>
      <c r="CL643" s="16"/>
      <c r="CM643" s="16"/>
      <c r="CN643" s="16"/>
      <c r="CO643" s="16"/>
      <c r="CP643" s="16"/>
      <c r="CQ643" s="16"/>
      <c r="CR643" s="16"/>
      <c r="CS643" s="16"/>
      <c r="CT643" s="16"/>
      <c r="CU643" s="16"/>
      <c r="CV643" s="16"/>
      <c r="CW643" s="16"/>
      <c r="CX643" s="16"/>
      <c r="CY643" s="16"/>
      <c r="CZ643" s="16"/>
      <c r="DA643" s="16"/>
      <c r="DB643" s="16"/>
      <c r="DC643" s="16"/>
      <c r="DD643" s="16"/>
      <c r="DE643" s="17"/>
      <c r="DF643" s="17"/>
      <c r="DG643" s="16"/>
      <c r="DH643" s="16"/>
      <c r="DI643" s="17"/>
      <c r="DJ643" s="17"/>
      <c r="DK643" s="16"/>
      <c r="DL643" s="16"/>
      <c r="DM643" s="17"/>
      <c r="DN643" s="17"/>
      <c r="DO643" s="16"/>
      <c r="DP643" s="16"/>
      <c r="DQ643" s="17"/>
      <c r="DR643" s="17"/>
      <c r="DS643" s="16"/>
      <c r="DT643" s="16"/>
      <c r="DU643" s="17"/>
      <c r="DV643" s="17"/>
      <c r="DW643" s="16"/>
      <c r="DX643" s="16"/>
      <c r="DY643" s="17"/>
      <c r="DZ643" s="17"/>
      <c r="EA643" s="16"/>
      <c r="EB643" s="16"/>
      <c r="EC643" s="17"/>
      <c r="ED643" s="17"/>
      <c r="EE643" s="16"/>
      <c r="EF643" s="16"/>
      <c r="EG643" s="17"/>
      <c r="EH643" s="17"/>
      <c r="EI643" s="16"/>
      <c r="EJ643" s="16"/>
      <c r="EK643" s="17"/>
      <c r="EL643" s="17"/>
      <c r="EM643" s="16"/>
      <c r="EN643" s="16"/>
      <c r="EO643" s="17"/>
      <c r="EP643" s="17"/>
      <c r="EQ643" s="16"/>
      <c r="ER643" s="16"/>
      <c r="ES643" s="18">
        <v>1</v>
      </c>
      <c r="ET643" s="18">
        <v>2</v>
      </c>
      <c r="EU643" s="16"/>
      <c r="EV643" s="16"/>
      <c r="EW643" s="17"/>
      <c r="EX643" s="17"/>
      <c r="EY643" s="16"/>
      <c r="EZ643" s="16"/>
      <c r="FA643" s="17"/>
      <c r="FB643" s="17"/>
      <c r="FC643" s="16"/>
      <c r="FD643" s="16"/>
      <c r="FE643" s="17"/>
      <c r="FF643" s="17"/>
      <c r="FG643" s="11"/>
      <c r="GT643" s="11"/>
      <c r="IG643" s="11"/>
      <c r="JT643" s="11"/>
      <c r="LG643" s="11"/>
      <c r="MT643" s="11"/>
      <c r="OG643" s="11"/>
      <c r="PT643" s="11"/>
    </row>
    <row r="644" spans="1:436" ht="15.75" x14ac:dyDescent="0.25">
      <c r="C644" s="20" t="s">
        <v>540</v>
      </c>
      <c r="D644" s="21" t="s">
        <v>82</v>
      </c>
      <c r="H644" s="11"/>
      <c r="AU644" s="11"/>
      <c r="CH644" s="11"/>
      <c r="CI644" s="16"/>
      <c r="CJ644" s="16"/>
      <c r="CK644" s="16"/>
      <c r="CL644" s="16"/>
      <c r="CM644" s="16"/>
      <c r="CN644" s="16"/>
      <c r="CO644" s="16"/>
      <c r="CP644" s="16"/>
      <c r="CQ644" s="16"/>
      <c r="CR644" s="16"/>
      <c r="CS644" s="16"/>
      <c r="CT644" s="16"/>
      <c r="CU644" s="16"/>
      <c r="CV644" s="16"/>
      <c r="CW644" s="16"/>
      <c r="CX644" s="16"/>
      <c r="CY644" s="16"/>
      <c r="CZ644" s="16"/>
      <c r="DA644" s="16"/>
      <c r="DB644" s="16"/>
      <c r="DC644" s="16"/>
      <c r="DD644" s="16"/>
      <c r="DE644" s="17"/>
      <c r="DF644" s="17"/>
      <c r="DG644" s="16"/>
      <c r="DH644" s="16"/>
      <c r="DI644" s="17"/>
      <c r="DJ644" s="17"/>
      <c r="DK644" s="16"/>
      <c r="DL644" s="16"/>
      <c r="DM644" s="17"/>
      <c r="DN644" s="17"/>
      <c r="DO644" s="16"/>
      <c r="DP644" s="16"/>
      <c r="DQ644" s="17"/>
      <c r="DR644" s="17"/>
      <c r="DS644" s="16"/>
      <c r="DT644" s="16"/>
      <c r="DU644" s="17"/>
      <c r="DV644" s="17"/>
      <c r="DW644" s="16"/>
      <c r="DX644" s="16"/>
      <c r="DY644" s="17"/>
      <c r="DZ644" s="17"/>
      <c r="EA644" s="16"/>
      <c r="EB644" s="16"/>
      <c r="EC644" s="17"/>
      <c r="ED644" s="17"/>
      <c r="EE644" s="16"/>
      <c r="EF644" s="16"/>
      <c r="EG644" s="17"/>
      <c r="EH644" s="17"/>
      <c r="EI644" s="16"/>
      <c r="EJ644" s="16"/>
      <c r="EK644" s="17"/>
      <c r="EL644" s="17"/>
      <c r="EM644" s="16"/>
      <c r="EN644" s="16"/>
      <c r="EO644" s="17"/>
      <c r="EP644" s="17"/>
      <c r="EQ644" s="16"/>
      <c r="ER644" s="16"/>
      <c r="ES644" s="18">
        <v>3</v>
      </c>
      <c r="ET644" s="18">
        <v>5</v>
      </c>
      <c r="EU644" s="16"/>
      <c r="EV644" s="16"/>
      <c r="EW644" s="17"/>
      <c r="EX644" s="17"/>
      <c r="EY644" s="16"/>
      <c r="EZ644" s="16"/>
      <c r="FA644" s="17"/>
      <c r="FB644" s="17"/>
      <c r="FC644" s="16"/>
      <c r="FD644" s="16"/>
      <c r="FE644" s="17"/>
      <c r="FF644" s="17"/>
      <c r="FG644" s="11"/>
      <c r="GT644" s="11"/>
      <c r="IG644" s="11"/>
      <c r="JT644" s="11"/>
      <c r="LG644" s="11"/>
      <c r="MT644" s="11"/>
      <c r="OG644" s="11"/>
      <c r="PT644" s="11"/>
    </row>
    <row r="645" spans="1:436" ht="15.75" x14ac:dyDescent="0.25">
      <c r="C645" s="20" t="s">
        <v>541</v>
      </c>
      <c r="D645" s="21" t="s">
        <v>82</v>
      </c>
      <c r="H645" s="11"/>
      <c r="AU645" s="11"/>
      <c r="CH645" s="11"/>
      <c r="CI645" s="16"/>
      <c r="CJ645" s="16"/>
      <c r="CK645" s="16"/>
      <c r="CL645" s="16"/>
      <c r="CM645" s="16"/>
      <c r="CN645" s="16"/>
      <c r="CO645" s="16"/>
      <c r="CP645" s="16"/>
      <c r="CQ645" s="16"/>
      <c r="CR645" s="16"/>
      <c r="CS645" s="16"/>
      <c r="CT645" s="16"/>
      <c r="CU645" s="16"/>
      <c r="CV645" s="16"/>
      <c r="CW645" s="16"/>
      <c r="CX645" s="16"/>
      <c r="CY645" s="16"/>
      <c r="CZ645" s="16"/>
      <c r="DA645" s="16"/>
      <c r="DB645" s="16"/>
      <c r="DC645" s="16"/>
      <c r="DD645" s="16"/>
      <c r="DE645" s="17"/>
      <c r="DF645" s="17"/>
      <c r="DG645" s="16"/>
      <c r="DH645" s="16"/>
      <c r="DI645" s="17"/>
      <c r="DJ645" s="17"/>
      <c r="DK645" s="16"/>
      <c r="DL645" s="16"/>
      <c r="DM645" s="17"/>
      <c r="DN645" s="17"/>
      <c r="DO645" s="16"/>
      <c r="DP645" s="16"/>
      <c r="DQ645" s="17"/>
      <c r="DR645" s="17"/>
      <c r="DS645" s="16"/>
      <c r="DT645" s="16"/>
      <c r="DU645" s="17"/>
      <c r="DV645" s="17"/>
      <c r="DW645" s="16"/>
      <c r="DX645" s="16"/>
      <c r="DY645" s="17"/>
      <c r="DZ645" s="17"/>
      <c r="EA645" s="16"/>
      <c r="EB645" s="16"/>
      <c r="EC645" s="17"/>
      <c r="ED645" s="17"/>
      <c r="EE645" s="16"/>
      <c r="EF645" s="16"/>
      <c r="EG645" s="17"/>
      <c r="EH645" s="17"/>
      <c r="EI645" s="16"/>
      <c r="EJ645" s="16"/>
      <c r="EK645" s="17"/>
      <c r="EL645" s="17"/>
      <c r="EM645" s="16"/>
      <c r="EN645" s="16"/>
      <c r="EO645" s="17"/>
      <c r="EP645" s="17"/>
      <c r="EQ645" s="16"/>
      <c r="ER645" s="16"/>
      <c r="ES645" s="18">
        <v>3</v>
      </c>
      <c r="ET645" s="18">
        <v>5</v>
      </c>
      <c r="EU645" s="16"/>
      <c r="EV645" s="16"/>
      <c r="EW645" s="17"/>
      <c r="EX645" s="17"/>
      <c r="EY645" s="16"/>
      <c r="EZ645" s="16"/>
      <c r="FA645" s="17"/>
      <c r="FB645" s="17"/>
      <c r="FC645" s="16"/>
      <c r="FD645" s="16"/>
      <c r="FE645" s="17"/>
      <c r="FF645" s="17"/>
      <c r="FG645" s="11"/>
      <c r="GT645" s="11"/>
      <c r="IG645" s="11"/>
      <c r="JT645" s="11"/>
      <c r="LG645" s="11"/>
      <c r="MT645" s="11"/>
      <c r="OG645" s="11"/>
      <c r="PT645" s="11"/>
    </row>
    <row r="646" spans="1:436" ht="15.75" x14ac:dyDescent="0.25">
      <c r="C646" s="20" t="s">
        <v>542</v>
      </c>
      <c r="D646" s="21" t="s">
        <v>82</v>
      </c>
      <c r="H646" s="11"/>
      <c r="AU646" s="11"/>
      <c r="CH646" s="11"/>
      <c r="CI646" s="16"/>
      <c r="CJ646" s="16"/>
      <c r="CK646" s="16"/>
      <c r="CL646" s="16"/>
      <c r="CM646" s="16"/>
      <c r="CN646" s="16"/>
      <c r="CO646" s="16"/>
      <c r="CP646" s="16"/>
      <c r="CQ646" s="16"/>
      <c r="CR646" s="16"/>
      <c r="CS646" s="16"/>
      <c r="CT646" s="16"/>
      <c r="CU646" s="16"/>
      <c r="CV646" s="16"/>
      <c r="CW646" s="16"/>
      <c r="CX646" s="16"/>
      <c r="CY646" s="16"/>
      <c r="CZ646" s="16"/>
      <c r="DA646" s="16"/>
      <c r="DB646" s="16"/>
      <c r="DC646" s="16"/>
      <c r="DD646" s="16"/>
      <c r="DE646" s="17"/>
      <c r="DF646" s="17"/>
      <c r="DG646" s="16"/>
      <c r="DH646" s="16"/>
      <c r="DI646" s="17"/>
      <c r="DJ646" s="17"/>
      <c r="DK646" s="16"/>
      <c r="DL646" s="16"/>
      <c r="DM646" s="17"/>
      <c r="DN646" s="17"/>
      <c r="DO646" s="16"/>
      <c r="DP646" s="16"/>
      <c r="DQ646" s="17"/>
      <c r="DR646" s="17"/>
      <c r="DS646" s="16"/>
      <c r="DT646" s="16"/>
      <c r="DU646" s="17"/>
      <c r="DV646" s="17"/>
      <c r="DW646" s="16"/>
      <c r="DX646" s="16"/>
      <c r="DY646" s="17"/>
      <c r="DZ646" s="17"/>
      <c r="EA646" s="16"/>
      <c r="EB646" s="16"/>
      <c r="EC646" s="17"/>
      <c r="ED646" s="17"/>
      <c r="EE646" s="16"/>
      <c r="EF646" s="16"/>
      <c r="EG646" s="17"/>
      <c r="EH646" s="17"/>
      <c r="EI646" s="16"/>
      <c r="EJ646" s="16"/>
      <c r="EK646" s="17"/>
      <c r="EL646" s="17"/>
      <c r="EM646" s="16"/>
      <c r="EN646" s="16"/>
      <c r="EO646" s="17"/>
      <c r="EP646" s="17"/>
      <c r="EQ646" s="16"/>
      <c r="ER646" s="16"/>
      <c r="ES646" s="18">
        <v>5</v>
      </c>
      <c r="ET646" s="18">
        <v>10</v>
      </c>
      <c r="EU646" s="16"/>
      <c r="EV646" s="16"/>
      <c r="EW646" s="17"/>
      <c r="EX646" s="17"/>
      <c r="EY646" s="16"/>
      <c r="EZ646" s="16"/>
      <c r="FA646" s="17"/>
      <c r="FB646" s="17"/>
      <c r="FC646" s="16"/>
      <c r="FD646" s="16"/>
      <c r="FE646" s="17"/>
      <c r="FF646" s="17"/>
      <c r="FG646" s="11"/>
      <c r="GT646" s="11"/>
      <c r="IG646" s="11"/>
      <c r="JT646" s="11"/>
      <c r="LG646" s="11"/>
      <c r="MT646" s="11"/>
      <c r="OG646" s="11"/>
      <c r="PT646" s="11"/>
    </row>
    <row r="647" spans="1:436" ht="15.75" x14ac:dyDescent="0.25">
      <c r="C647" s="20" t="s">
        <v>543</v>
      </c>
      <c r="D647" s="21" t="s">
        <v>82</v>
      </c>
      <c r="H647" s="11"/>
      <c r="AU647" s="11"/>
      <c r="CH647" s="11"/>
      <c r="CI647" s="16"/>
      <c r="CJ647" s="16"/>
      <c r="CK647" s="16"/>
      <c r="CL647" s="16"/>
      <c r="CM647" s="16"/>
      <c r="CN647" s="16"/>
      <c r="CO647" s="16"/>
      <c r="CP647" s="16"/>
      <c r="CQ647" s="16"/>
      <c r="CR647" s="16"/>
      <c r="CS647" s="16"/>
      <c r="CT647" s="16"/>
      <c r="CU647" s="16"/>
      <c r="CV647" s="16"/>
      <c r="CW647" s="16"/>
      <c r="CX647" s="16"/>
      <c r="CY647" s="16"/>
      <c r="CZ647" s="16"/>
      <c r="DA647" s="16"/>
      <c r="DB647" s="16"/>
      <c r="DC647" s="16"/>
      <c r="DD647" s="16"/>
      <c r="DE647" s="17"/>
      <c r="DF647" s="17"/>
      <c r="DG647" s="16"/>
      <c r="DH647" s="16"/>
      <c r="DI647" s="17"/>
      <c r="DJ647" s="17"/>
      <c r="DK647" s="16"/>
      <c r="DL647" s="16"/>
      <c r="DM647" s="17"/>
      <c r="DN647" s="17"/>
      <c r="DO647" s="16"/>
      <c r="DP647" s="16"/>
      <c r="DQ647" s="17"/>
      <c r="DR647" s="17"/>
      <c r="DS647" s="16"/>
      <c r="DT647" s="16"/>
      <c r="DU647" s="17"/>
      <c r="DV647" s="17"/>
      <c r="DW647" s="16"/>
      <c r="DX647" s="16"/>
      <c r="DY647" s="17"/>
      <c r="DZ647" s="17"/>
      <c r="EA647" s="16"/>
      <c r="EB647" s="16"/>
      <c r="EC647" s="17"/>
      <c r="ED647" s="17"/>
      <c r="EE647" s="16"/>
      <c r="EF647" s="16"/>
      <c r="EG647" s="17"/>
      <c r="EH647" s="17"/>
      <c r="EI647" s="16"/>
      <c r="EJ647" s="16"/>
      <c r="EK647" s="17"/>
      <c r="EL647" s="17"/>
      <c r="EM647" s="16"/>
      <c r="EN647" s="16"/>
      <c r="EO647" s="17"/>
      <c r="EP647" s="17"/>
      <c r="EQ647" s="16"/>
      <c r="ER647" s="16"/>
      <c r="ES647" s="18">
        <v>5</v>
      </c>
      <c r="ET647" s="18">
        <v>10</v>
      </c>
      <c r="EU647" s="16"/>
      <c r="EV647" s="16"/>
      <c r="EW647" s="17"/>
      <c r="EX647" s="17"/>
      <c r="EY647" s="16"/>
      <c r="EZ647" s="16"/>
      <c r="FA647" s="17"/>
      <c r="FB647" s="17"/>
      <c r="FC647" s="16"/>
      <c r="FD647" s="16"/>
      <c r="FE647" s="17"/>
      <c r="FF647" s="17"/>
      <c r="FG647" s="11"/>
      <c r="GT647" s="11"/>
      <c r="IG647" s="11"/>
      <c r="JT647" s="11"/>
      <c r="LG647" s="11"/>
      <c r="MT647" s="11"/>
      <c r="OG647" s="11"/>
      <c r="PT647" s="11"/>
    </row>
    <row r="648" spans="1:436" ht="15.75" x14ac:dyDescent="0.25">
      <c r="C648" s="20" t="s">
        <v>544</v>
      </c>
      <c r="D648" s="21" t="s">
        <v>82</v>
      </c>
      <c r="H648" s="11"/>
      <c r="AU648" s="11"/>
      <c r="CH648" s="11"/>
      <c r="CI648" s="16"/>
      <c r="CJ648" s="16"/>
      <c r="CK648" s="16"/>
      <c r="CL648" s="16"/>
      <c r="CM648" s="16"/>
      <c r="CN648" s="16"/>
      <c r="CO648" s="16"/>
      <c r="CP648" s="16"/>
      <c r="CQ648" s="16"/>
      <c r="CR648" s="16"/>
      <c r="CS648" s="16"/>
      <c r="CT648" s="16"/>
      <c r="CU648" s="16"/>
      <c r="CV648" s="16"/>
      <c r="CW648" s="16"/>
      <c r="CX648" s="16"/>
      <c r="CY648" s="16"/>
      <c r="CZ648" s="16"/>
      <c r="DA648" s="16"/>
      <c r="DB648" s="16"/>
      <c r="DC648" s="16"/>
      <c r="DD648" s="16"/>
      <c r="DE648" s="17"/>
      <c r="DF648" s="17"/>
      <c r="DG648" s="16"/>
      <c r="DH648" s="16"/>
      <c r="DI648" s="17"/>
      <c r="DJ648" s="17"/>
      <c r="DK648" s="16"/>
      <c r="DL648" s="16"/>
      <c r="DM648" s="17"/>
      <c r="DN648" s="17"/>
      <c r="DO648" s="16"/>
      <c r="DP648" s="16"/>
      <c r="DQ648" s="17"/>
      <c r="DR648" s="17"/>
      <c r="DS648" s="16"/>
      <c r="DT648" s="16"/>
      <c r="DU648" s="17"/>
      <c r="DV648" s="17"/>
      <c r="DW648" s="16"/>
      <c r="DX648" s="16"/>
      <c r="DY648" s="17"/>
      <c r="DZ648" s="17"/>
      <c r="EA648" s="16"/>
      <c r="EB648" s="16"/>
      <c r="EC648" s="17"/>
      <c r="ED648" s="17"/>
      <c r="EE648" s="16"/>
      <c r="EF648" s="16"/>
      <c r="EG648" s="17"/>
      <c r="EH648" s="17"/>
      <c r="EI648" s="16"/>
      <c r="EJ648" s="16"/>
      <c r="EK648" s="17"/>
      <c r="EL648" s="17"/>
      <c r="EM648" s="16"/>
      <c r="EN648" s="16"/>
      <c r="EO648" s="17"/>
      <c r="EP648" s="17"/>
      <c r="EQ648" s="16"/>
      <c r="ER648" s="16"/>
      <c r="ES648" s="18">
        <v>5</v>
      </c>
      <c r="ET648" s="18">
        <v>10</v>
      </c>
      <c r="EU648" s="16"/>
      <c r="EV648" s="16"/>
      <c r="EW648" s="17"/>
      <c r="EX648" s="17"/>
      <c r="EY648" s="16"/>
      <c r="EZ648" s="16"/>
      <c r="FA648" s="17"/>
      <c r="FB648" s="17"/>
      <c r="FC648" s="16"/>
      <c r="FD648" s="16"/>
      <c r="FE648" s="17"/>
      <c r="FF648" s="17"/>
      <c r="FG648" s="11"/>
      <c r="GT648" s="11"/>
      <c r="IG648" s="11"/>
      <c r="JT648" s="11"/>
      <c r="LG648" s="11"/>
      <c r="MT648" s="11"/>
      <c r="OG648" s="11"/>
      <c r="PT648" s="11"/>
    </row>
    <row r="649" spans="1:436" ht="15.75" x14ac:dyDescent="0.25">
      <c r="C649" s="20" t="s">
        <v>545</v>
      </c>
      <c r="D649" s="21" t="s">
        <v>82</v>
      </c>
      <c r="H649" s="11"/>
      <c r="AU649" s="11"/>
      <c r="CH649" s="11"/>
      <c r="CI649" s="16"/>
      <c r="CJ649" s="16"/>
      <c r="CK649" s="16"/>
      <c r="CL649" s="16"/>
      <c r="CM649" s="16"/>
      <c r="CN649" s="16"/>
      <c r="CO649" s="16"/>
      <c r="CP649" s="16"/>
      <c r="CQ649" s="16"/>
      <c r="CR649" s="16"/>
      <c r="CS649" s="16"/>
      <c r="CT649" s="16"/>
      <c r="CU649" s="16"/>
      <c r="CV649" s="16"/>
      <c r="CW649" s="16"/>
      <c r="CX649" s="16"/>
      <c r="CY649" s="16"/>
      <c r="CZ649" s="16"/>
      <c r="DA649" s="16"/>
      <c r="DB649" s="16"/>
      <c r="DC649" s="16"/>
      <c r="DD649" s="16"/>
      <c r="DE649" s="17"/>
      <c r="DF649" s="17"/>
      <c r="DG649" s="16"/>
      <c r="DH649" s="16"/>
      <c r="DI649" s="17"/>
      <c r="DJ649" s="17"/>
      <c r="DK649" s="16"/>
      <c r="DL649" s="16"/>
      <c r="DM649" s="17"/>
      <c r="DN649" s="17"/>
      <c r="DO649" s="16"/>
      <c r="DP649" s="16"/>
      <c r="DQ649" s="17"/>
      <c r="DR649" s="17"/>
      <c r="DS649" s="16"/>
      <c r="DT649" s="16"/>
      <c r="DU649" s="17"/>
      <c r="DV649" s="17"/>
      <c r="DW649" s="16"/>
      <c r="DX649" s="16"/>
      <c r="DY649" s="17"/>
      <c r="DZ649" s="17"/>
      <c r="EA649" s="16"/>
      <c r="EB649" s="16"/>
      <c r="EC649" s="17"/>
      <c r="ED649" s="17"/>
      <c r="EE649" s="16"/>
      <c r="EF649" s="16"/>
      <c r="EG649" s="17"/>
      <c r="EH649" s="17"/>
      <c r="EI649" s="16"/>
      <c r="EJ649" s="16"/>
      <c r="EK649" s="17"/>
      <c r="EL649" s="17"/>
      <c r="EM649" s="16"/>
      <c r="EN649" s="16"/>
      <c r="EO649" s="17"/>
      <c r="EP649" s="17"/>
      <c r="EQ649" s="16"/>
      <c r="ER649" s="16"/>
      <c r="ES649" s="18">
        <v>5</v>
      </c>
      <c r="ET649" s="18">
        <v>10</v>
      </c>
      <c r="EU649" s="16"/>
      <c r="EV649" s="16"/>
      <c r="EW649" s="17"/>
      <c r="EX649" s="17"/>
      <c r="EY649" s="16"/>
      <c r="EZ649" s="16"/>
      <c r="FA649" s="17"/>
      <c r="FB649" s="17"/>
      <c r="FC649" s="16"/>
      <c r="FD649" s="16"/>
      <c r="FE649" s="17"/>
      <c r="FF649" s="17"/>
      <c r="FG649" s="11"/>
      <c r="GT649" s="11"/>
      <c r="IG649" s="11"/>
      <c r="JT649" s="11"/>
      <c r="LG649" s="11"/>
      <c r="MT649" s="11"/>
      <c r="OG649" s="11"/>
      <c r="PT649" s="11"/>
    </row>
    <row r="650" spans="1:436" ht="15.75" x14ac:dyDescent="0.25">
      <c r="C650" s="20" t="s">
        <v>546</v>
      </c>
      <c r="D650" s="21" t="s">
        <v>82</v>
      </c>
      <c r="H650" s="11"/>
      <c r="AU650" s="11"/>
      <c r="CH650" s="11"/>
      <c r="CI650" s="16"/>
      <c r="CJ650" s="16"/>
      <c r="CK650" s="16"/>
      <c r="CL650" s="16"/>
      <c r="CM650" s="16"/>
      <c r="CN650" s="16"/>
      <c r="CO650" s="16"/>
      <c r="CP650" s="16"/>
      <c r="CQ650" s="16"/>
      <c r="CR650" s="16"/>
      <c r="CS650" s="16"/>
      <c r="CT650" s="16"/>
      <c r="CU650" s="16"/>
      <c r="CV650" s="16"/>
      <c r="CW650" s="16"/>
      <c r="CX650" s="16"/>
      <c r="CY650" s="16"/>
      <c r="CZ650" s="16"/>
      <c r="DA650" s="16"/>
      <c r="DB650" s="16"/>
      <c r="DC650" s="16"/>
      <c r="DD650" s="16"/>
      <c r="DE650" s="17"/>
      <c r="DF650" s="17"/>
      <c r="DG650" s="16"/>
      <c r="DH650" s="16"/>
      <c r="DI650" s="17"/>
      <c r="DJ650" s="17"/>
      <c r="DK650" s="16"/>
      <c r="DL650" s="16"/>
      <c r="DM650" s="17"/>
      <c r="DN650" s="17"/>
      <c r="DO650" s="16"/>
      <c r="DP650" s="16"/>
      <c r="DQ650" s="17"/>
      <c r="DR650" s="17"/>
      <c r="DS650" s="16"/>
      <c r="DT650" s="16"/>
      <c r="DU650" s="17"/>
      <c r="DV650" s="17"/>
      <c r="DW650" s="16"/>
      <c r="DX650" s="16"/>
      <c r="DY650" s="17"/>
      <c r="DZ650" s="17"/>
      <c r="EA650" s="16"/>
      <c r="EB650" s="16"/>
      <c r="EC650" s="17"/>
      <c r="ED650" s="17"/>
      <c r="EE650" s="16"/>
      <c r="EF650" s="16"/>
      <c r="EG650" s="17"/>
      <c r="EH650" s="17"/>
      <c r="EI650" s="16"/>
      <c r="EJ650" s="16"/>
      <c r="EK650" s="17"/>
      <c r="EL650" s="17"/>
      <c r="EM650" s="16"/>
      <c r="EN650" s="16"/>
      <c r="EO650" s="17"/>
      <c r="EP650" s="17"/>
      <c r="EQ650" s="16"/>
      <c r="ER650" s="16"/>
      <c r="ES650" s="18">
        <v>2</v>
      </c>
      <c r="ET650" s="18">
        <v>4</v>
      </c>
      <c r="EU650" s="16"/>
      <c r="EV650" s="16"/>
      <c r="EW650" s="17"/>
      <c r="EX650" s="17"/>
      <c r="EY650" s="16"/>
      <c r="EZ650" s="16"/>
      <c r="FA650" s="17"/>
      <c r="FB650" s="17"/>
      <c r="FC650" s="16"/>
      <c r="FD650" s="16"/>
      <c r="FE650" s="17"/>
      <c r="FF650" s="17"/>
      <c r="FG650" s="11"/>
      <c r="GT650" s="11"/>
      <c r="IG650" s="11"/>
      <c r="JT650" s="11"/>
      <c r="LG650" s="11"/>
      <c r="MT650" s="11"/>
      <c r="OG650" s="11"/>
      <c r="PT650" s="11"/>
    </row>
    <row r="651" spans="1:436" ht="15.75" x14ac:dyDescent="0.25">
      <c r="C651" s="20" t="s">
        <v>547</v>
      </c>
      <c r="D651" s="21" t="s">
        <v>82</v>
      </c>
      <c r="H651" s="11"/>
      <c r="AU651" s="11"/>
      <c r="CH651" s="11"/>
      <c r="CI651" s="16"/>
      <c r="CJ651" s="16"/>
      <c r="CK651" s="16"/>
      <c r="CL651" s="16"/>
      <c r="CM651" s="16"/>
      <c r="CN651" s="16"/>
      <c r="CO651" s="16"/>
      <c r="CP651" s="16"/>
      <c r="CQ651" s="16"/>
      <c r="CR651" s="16"/>
      <c r="CS651" s="16"/>
      <c r="CT651" s="16"/>
      <c r="CU651" s="16"/>
      <c r="CV651" s="16"/>
      <c r="CW651" s="16"/>
      <c r="CX651" s="16"/>
      <c r="CY651" s="16"/>
      <c r="CZ651" s="16"/>
      <c r="DA651" s="16"/>
      <c r="DB651" s="16"/>
      <c r="DC651" s="16"/>
      <c r="DD651" s="16"/>
      <c r="DE651" s="17"/>
      <c r="DF651" s="17"/>
      <c r="DG651" s="16"/>
      <c r="DH651" s="16"/>
      <c r="DI651" s="17"/>
      <c r="DJ651" s="17"/>
      <c r="DK651" s="16"/>
      <c r="DL651" s="16"/>
      <c r="DM651" s="17"/>
      <c r="DN651" s="17"/>
      <c r="DO651" s="16"/>
      <c r="DP651" s="16"/>
      <c r="DQ651" s="17"/>
      <c r="DR651" s="17"/>
      <c r="DS651" s="16"/>
      <c r="DT651" s="16"/>
      <c r="DU651" s="17"/>
      <c r="DV651" s="17"/>
      <c r="DW651" s="16"/>
      <c r="DX651" s="16"/>
      <c r="DY651" s="17"/>
      <c r="DZ651" s="17"/>
      <c r="EA651" s="16"/>
      <c r="EB651" s="16"/>
      <c r="EC651" s="17"/>
      <c r="ED651" s="17"/>
      <c r="EE651" s="16"/>
      <c r="EF651" s="16"/>
      <c r="EG651" s="17"/>
      <c r="EH651" s="17"/>
      <c r="EI651" s="16"/>
      <c r="EJ651" s="16"/>
      <c r="EK651" s="17"/>
      <c r="EL651" s="17"/>
      <c r="EM651" s="16"/>
      <c r="EN651" s="16"/>
      <c r="EO651" s="17"/>
      <c r="EP651" s="17"/>
      <c r="EQ651" s="16"/>
      <c r="ER651" s="16"/>
      <c r="ES651" s="18">
        <v>5</v>
      </c>
      <c r="ET651" s="18">
        <v>10</v>
      </c>
      <c r="EU651" s="16"/>
      <c r="EV651" s="16"/>
      <c r="EW651" s="17"/>
      <c r="EX651" s="17"/>
      <c r="EY651" s="16"/>
      <c r="EZ651" s="16"/>
      <c r="FA651" s="17"/>
      <c r="FB651" s="17"/>
      <c r="FC651" s="16"/>
      <c r="FD651" s="16"/>
      <c r="FE651" s="17"/>
      <c r="FF651" s="17"/>
      <c r="FG651" s="11"/>
      <c r="GT651" s="11"/>
      <c r="IG651" s="11"/>
      <c r="JT651" s="11"/>
      <c r="LG651" s="11"/>
      <c r="MT651" s="11"/>
      <c r="OG651" s="11"/>
      <c r="PT651" s="11"/>
    </row>
    <row r="652" spans="1:436" ht="15.75" x14ac:dyDescent="0.25">
      <c r="C652" s="20" t="s">
        <v>548</v>
      </c>
      <c r="D652" s="21" t="s">
        <v>82</v>
      </c>
      <c r="H652" s="11"/>
      <c r="AU652" s="11"/>
      <c r="CH652" s="11"/>
      <c r="CI652" s="16"/>
      <c r="CJ652" s="16"/>
      <c r="CK652" s="16"/>
      <c r="CL652" s="16"/>
      <c r="CM652" s="16"/>
      <c r="CN652" s="16"/>
      <c r="CO652" s="16"/>
      <c r="CP652" s="16"/>
      <c r="CQ652" s="16"/>
      <c r="CR652" s="16"/>
      <c r="CS652" s="16"/>
      <c r="CT652" s="16"/>
      <c r="CU652" s="16"/>
      <c r="CV652" s="16"/>
      <c r="CW652" s="16"/>
      <c r="CX652" s="16"/>
      <c r="CY652" s="16"/>
      <c r="CZ652" s="16"/>
      <c r="DA652" s="16"/>
      <c r="DB652" s="16"/>
      <c r="DC652" s="16"/>
      <c r="DD652" s="16"/>
      <c r="DE652" s="17"/>
      <c r="DF652" s="17"/>
      <c r="DG652" s="16"/>
      <c r="DH652" s="16"/>
      <c r="DI652" s="17"/>
      <c r="DJ652" s="17"/>
      <c r="DK652" s="16"/>
      <c r="DL652" s="16"/>
      <c r="DM652" s="17"/>
      <c r="DN652" s="17"/>
      <c r="DO652" s="16"/>
      <c r="DP652" s="16"/>
      <c r="DQ652" s="17"/>
      <c r="DR652" s="17"/>
      <c r="DS652" s="16"/>
      <c r="DT652" s="16"/>
      <c r="DU652" s="17"/>
      <c r="DV652" s="17"/>
      <c r="DW652" s="16"/>
      <c r="DX652" s="16"/>
      <c r="DY652" s="17"/>
      <c r="DZ652" s="17"/>
      <c r="EA652" s="16"/>
      <c r="EB652" s="16"/>
      <c r="EC652" s="17"/>
      <c r="ED652" s="17"/>
      <c r="EE652" s="16"/>
      <c r="EF652" s="16"/>
      <c r="EG652" s="17"/>
      <c r="EH652" s="17"/>
      <c r="EI652" s="16"/>
      <c r="EJ652" s="16"/>
      <c r="EK652" s="17"/>
      <c r="EL652" s="17"/>
      <c r="EM652" s="16"/>
      <c r="EN652" s="16"/>
      <c r="EO652" s="17"/>
      <c r="EP652" s="17"/>
      <c r="EQ652" s="16"/>
      <c r="ER652" s="16"/>
      <c r="ES652" s="18">
        <v>2</v>
      </c>
      <c r="ET652" s="18">
        <v>4</v>
      </c>
      <c r="EU652" s="16"/>
      <c r="EV652" s="16"/>
      <c r="EW652" s="17"/>
      <c r="EX652" s="17"/>
      <c r="EY652" s="16"/>
      <c r="EZ652" s="16"/>
      <c r="FA652" s="17"/>
      <c r="FB652" s="17"/>
      <c r="FC652" s="16"/>
      <c r="FD652" s="16"/>
      <c r="FE652" s="17"/>
      <c r="FF652" s="17"/>
      <c r="FG652" s="11"/>
      <c r="GT652" s="11"/>
      <c r="IG652" s="11"/>
      <c r="JT652" s="11"/>
      <c r="LG652" s="11"/>
      <c r="MT652" s="11"/>
      <c r="OG652" s="11"/>
      <c r="PT652" s="11"/>
    </row>
    <row r="653" spans="1:436" ht="15.75" x14ac:dyDescent="0.25">
      <c r="C653" s="20" t="s">
        <v>549</v>
      </c>
      <c r="D653" s="21" t="s">
        <v>82</v>
      </c>
      <c r="H653" s="11"/>
      <c r="AU653" s="11"/>
      <c r="CH653" s="11"/>
      <c r="CI653" s="16"/>
      <c r="CJ653" s="16"/>
      <c r="CK653" s="16"/>
      <c r="CL653" s="16"/>
      <c r="CM653" s="16"/>
      <c r="CN653" s="16"/>
      <c r="CO653" s="16"/>
      <c r="CP653" s="16"/>
      <c r="CQ653" s="16"/>
      <c r="CR653" s="16"/>
      <c r="CS653" s="16"/>
      <c r="CT653" s="16"/>
      <c r="CU653" s="16"/>
      <c r="CV653" s="16"/>
      <c r="CW653" s="16"/>
      <c r="CX653" s="16"/>
      <c r="CY653" s="16"/>
      <c r="CZ653" s="16"/>
      <c r="DA653" s="16"/>
      <c r="DB653" s="16"/>
      <c r="DC653" s="16"/>
      <c r="DD653" s="16"/>
      <c r="DE653" s="17"/>
      <c r="DF653" s="17"/>
      <c r="DG653" s="16"/>
      <c r="DH653" s="16"/>
      <c r="DI653" s="17"/>
      <c r="DJ653" s="17"/>
      <c r="DK653" s="16"/>
      <c r="DL653" s="16"/>
      <c r="DM653" s="17"/>
      <c r="DN653" s="17"/>
      <c r="DO653" s="16"/>
      <c r="DP653" s="16"/>
      <c r="DQ653" s="17"/>
      <c r="DR653" s="17"/>
      <c r="DS653" s="16"/>
      <c r="DT653" s="16"/>
      <c r="DU653" s="17"/>
      <c r="DV653" s="17"/>
      <c r="DW653" s="16"/>
      <c r="DX653" s="16"/>
      <c r="DY653" s="17"/>
      <c r="DZ653" s="17"/>
      <c r="EA653" s="16"/>
      <c r="EB653" s="16"/>
      <c r="EC653" s="17"/>
      <c r="ED653" s="17"/>
      <c r="EE653" s="16"/>
      <c r="EF653" s="16"/>
      <c r="EG653" s="17"/>
      <c r="EH653" s="17"/>
      <c r="EI653" s="16"/>
      <c r="EJ653" s="16"/>
      <c r="EK653" s="17"/>
      <c r="EL653" s="17"/>
      <c r="EM653" s="16"/>
      <c r="EN653" s="16"/>
      <c r="EO653" s="17"/>
      <c r="EP653" s="17"/>
      <c r="EQ653" s="16"/>
      <c r="ER653" s="16"/>
      <c r="ES653" s="18">
        <v>2</v>
      </c>
      <c r="ET653" s="18">
        <v>4</v>
      </c>
      <c r="EU653" s="16"/>
      <c r="EV653" s="16"/>
      <c r="EW653" s="17"/>
      <c r="EX653" s="17"/>
      <c r="EY653" s="16"/>
      <c r="EZ653" s="16"/>
      <c r="FA653" s="17"/>
      <c r="FB653" s="17"/>
      <c r="FC653" s="16"/>
      <c r="FD653" s="16"/>
      <c r="FE653" s="17"/>
      <c r="FF653" s="17"/>
      <c r="FG653" s="11"/>
      <c r="GT653" s="11"/>
      <c r="IG653" s="11"/>
      <c r="JT653" s="11"/>
      <c r="LG653" s="11"/>
      <c r="MT653" s="11"/>
      <c r="OG653" s="11"/>
      <c r="PT653" s="11"/>
    </row>
    <row r="654" spans="1:436" ht="15.75" x14ac:dyDescent="0.25">
      <c r="C654" s="20" t="s">
        <v>550</v>
      </c>
      <c r="D654" s="21" t="s">
        <v>82</v>
      </c>
      <c r="H654" s="11"/>
      <c r="AU654" s="11"/>
      <c r="CH654" s="11"/>
      <c r="CI654" s="16"/>
      <c r="CJ654" s="16"/>
      <c r="CK654" s="16"/>
      <c r="CL654" s="16"/>
      <c r="CM654" s="16"/>
      <c r="CN654" s="16"/>
      <c r="CO654" s="16"/>
      <c r="CP654" s="16"/>
      <c r="CQ654" s="16"/>
      <c r="CR654" s="16"/>
      <c r="CS654" s="16"/>
      <c r="CT654" s="16"/>
      <c r="CU654" s="16"/>
      <c r="CV654" s="16"/>
      <c r="CW654" s="16"/>
      <c r="CX654" s="16"/>
      <c r="CY654" s="16"/>
      <c r="CZ654" s="16"/>
      <c r="DA654" s="16"/>
      <c r="DB654" s="16"/>
      <c r="DC654" s="16"/>
      <c r="DD654" s="16"/>
      <c r="DE654" s="17"/>
      <c r="DF654" s="17"/>
      <c r="DG654" s="16"/>
      <c r="DH654" s="16"/>
      <c r="DI654" s="17"/>
      <c r="DJ654" s="17"/>
      <c r="DK654" s="16"/>
      <c r="DL654" s="16"/>
      <c r="DM654" s="17"/>
      <c r="DN654" s="17"/>
      <c r="DO654" s="16"/>
      <c r="DP654" s="16"/>
      <c r="DQ654" s="17"/>
      <c r="DR654" s="17"/>
      <c r="DS654" s="16"/>
      <c r="DT654" s="16"/>
      <c r="DU654" s="17"/>
      <c r="DV654" s="17"/>
      <c r="DW654" s="16"/>
      <c r="DX654" s="16"/>
      <c r="DY654" s="17"/>
      <c r="DZ654" s="17"/>
      <c r="EA654" s="16"/>
      <c r="EB654" s="16"/>
      <c r="EC654" s="17"/>
      <c r="ED654" s="17"/>
      <c r="EE654" s="16"/>
      <c r="EF654" s="16"/>
      <c r="EG654" s="17"/>
      <c r="EH654" s="17"/>
      <c r="EI654" s="16"/>
      <c r="EJ654" s="16"/>
      <c r="EK654" s="17"/>
      <c r="EL654" s="17"/>
      <c r="EM654" s="16"/>
      <c r="EN654" s="16"/>
      <c r="EO654" s="17"/>
      <c r="EP654" s="17"/>
      <c r="EQ654" s="16"/>
      <c r="ER654" s="16"/>
      <c r="ES654" s="18">
        <v>2</v>
      </c>
      <c r="ET654" s="18">
        <v>4</v>
      </c>
      <c r="EU654" s="16"/>
      <c r="EV654" s="16"/>
      <c r="EW654" s="17"/>
      <c r="EX654" s="17"/>
      <c r="EY654" s="16"/>
      <c r="EZ654" s="16"/>
      <c r="FA654" s="17"/>
      <c r="FB654" s="17"/>
      <c r="FC654" s="16"/>
      <c r="FD654" s="16"/>
      <c r="FE654" s="17"/>
      <c r="FF654" s="17"/>
      <c r="FG654" s="11"/>
      <c r="GT654" s="11"/>
      <c r="IG654" s="11"/>
      <c r="JT654" s="11"/>
      <c r="LG654" s="11"/>
      <c r="MT654" s="11"/>
      <c r="OG654" s="11"/>
      <c r="PT654" s="11"/>
    </row>
    <row r="655" spans="1:436" ht="15.75" x14ac:dyDescent="0.25">
      <c r="A655" s="13"/>
      <c r="B655" s="14" t="s">
        <v>551</v>
      </c>
      <c r="C655" s="13"/>
      <c r="D655" s="13"/>
      <c r="E655" s="15" t="s">
        <v>127</v>
      </c>
      <c r="F655" s="15" t="s">
        <v>177</v>
      </c>
      <c r="G655" s="13"/>
      <c r="H655" s="11"/>
      <c r="AU655" s="11"/>
      <c r="CH655" s="11"/>
      <c r="CI655" s="16"/>
      <c r="CJ655" s="16"/>
      <c r="CK655" s="16"/>
      <c r="CL655" s="16"/>
      <c r="CM655" s="16"/>
      <c r="CN655" s="16"/>
      <c r="CO655" s="16"/>
      <c r="CP655" s="16"/>
      <c r="CQ655" s="16"/>
      <c r="CR655" s="16"/>
      <c r="CS655" s="16"/>
      <c r="CT655" s="16"/>
      <c r="CU655" s="16"/>
      <c r="CV655" s="16"/>
      <c r="CW655" s="16"/>
      <c r="CX655" s="16"/>
      <c r="CY655" s="16"/>
      <c r="CZ655" s="16"/>
      <c r="DA655" s="16"/>
      <c r="DB655" s="16"/>
      <c r="DC655" s="16"/>
      <c r="DD655" s="16"/>
      <c r="DE655" s="17"/>
      <c r="DF655" s="17"/>
      <c r="DG655" s="16"/>
      <c r="DH655" s="16"/>
      <c r="DI655" s="17"/>
      <c r="DJ655" s="17"/>
      <c r="DK655" s="16"/>
      <c r="DL655" s="16"/>
      <c r="DM655" s="17"/>
      <c r="DN655" s="17"/>
      <c r="DO655" s="16"/>
      <c r="DP655" s="16"/>
      <c r="DQ655" s="17"/>
      <c r="DR655" s="17"/>
      <c r="DS655" s="16"/>
      <c r="DT655" s="16"/>
      <c r="DU655" s="17"/>
      <c r="DV655" s="17"/>
      <c r="DW655" s="16"/>
      <c r="DX655" s="16"/>
      <c r="DY655" s="17"/>
      <c r="DZ655" s="17"/>
      <c r="EA655" s="16"/>
      <c r="EB655" s="16"/>
      <c r="EC655" s="17"/>
      <c r="ED655" s="17"/>
      <c r="EE655" s="16"/>
      <c r="EF655" s="16"/>
      <c r="EG655" s="17"/>
      <c r="EH655" s="18">
        <v>30</v>
      </c>
      <c r="EI655" s="16"/>
      <c r="EJ655" s="19">
        <v>10</v>
      </c>
      <c r="EK655" s="17"/>
      <c r="EL655" s="17"/>
      <c r="EM655" s="16"/>
      <c r="EN655" s="16"/>
      <c r="EO655" s="17"/>
      <c r="EP655" s="17"/>
      <c r="EQ655" s="16"/>
      <c r="ER655" s="16"/>
      <c r="ES655" s="17"/>
      <c r="ET655" s="18">
        <v>20</v>
      </c>
      <c r="EU655" s="16"/>
      <c r="EV655" s="16"/>
      <c r="EW655" s="17"/>
      <c r="EX655" s="17"/>
      <c r="EY655" s="16"/>
      <c r="EZ655" s="16"/>
      <c r="FA655" s="17"/>
      <c r="FB655" s="17"/>
      <c r="FC655" s="16"/>
      <c r="FD655" s="16"/>
      <c r="FE655" s="17"/>
      <c r="FF655" s="17"/>
      <c r="FG655" s="11"/>
      <c r="GT655" s="11"/>
      <c r="IG655" s="11"/>
      <c r="JT655" s="11"/>
      <c r="LG655" s="11"/>
      <c r="MT655" s="11"/>
      <c r="OG655" s="11"/>
      <c r="PT655" s="11"/>
    </row>
    <row r="656" spans="1:436" ht="15.75" x14ac:dyDescent="0.25">
      <c r="C656" s="20" t="s">
        <v>552</v>
      </c>
      <c r="D656" s="21" t="s">
        <v>79</v>
      </c>
      <c r="H656" s="11"/>
      <c r="AU656" s="11"/>
      <c r="CH656" s="11"/>
      <c r="CI656" s="16"/>
      <c r="CJ656" s="16"/>
      <c r="CK656" s="16"/>
      <c r="CL656" s="16"/>
      <c r="CM656" s="16"/>
      <c r="CN656" s="16"/>
      <c r="CO656" s="16"/>
      <c r="CP656" s="16"/>
      <c r="CQ656" s="16"/>
      <c r="CR656" s="16"/>
      <c r="CS656" s="16"/>
      <c r="CT656" s="16"/>
      <c r="CU656" s="16"/>
      <c r="CV656" s="16"/>
      <c r="CW656" s="16"/>
      <c r="CX656" s="16"/>
      <c r="CY656" s="16"/>
      <c r="CZ656" s="16"/>
      <c r="DA656" s="16"/>
      <c r="DB656" s="16"/>
      <c r="DC656" s="16"/>
      <c r="DD656" s="16"/>
      <c r="DE656" s="17"/>
      <c r="DF656" s="17"/>
      <c r="DG656" s="16"/>
      <c r="DH656" s="16"/>
      <c r="DI656" s="18">
        <v>2</v>
      </c>
      <c r="DJ656" s="18">
        <v>4</v>
      </c>
      <c r="DK656" s="16"/>
      <c r="DL656" s="16"/>
      <c r="DM656" s="17"/>
      <c r="DN656" s="17"/>
      <c r="DO656" s="16"/>
      <c r="DP656" s="16"/>
      <c r="DQ656" s="17"/>
      <c r="DR656" s="17"/>
      <c r="DS656" s="16"/>
      <c r="DT656" s="16"/>
      <c r="DU656" s="17"/>
      <c r="DV656" s="17"/>
      <c r="DW656" s="16"/>
      <c r="DX656" s="16"/>
      <c r="DY656" s="17"/>
      <c r="DZ656" s="17"/>
      <c r="EA656" s="16"/>
      <c r="EB656" s="16"/>
      <c r="EC656" s="17"/>
      <c r="ED656" s="17"/>
      <c r="EE656" s="16"/>
      <c r="EF656" s="16"/>
      <c r="EG656" s="17"/>
      <c r="EH656" s="17"/>
      <c r="EI656" s="16"/>
      <c r="EJ656" s="16"/>
      <c r="EK656" s="17"/>
      <c r="EL656" s="17"/>
      <c r="EM656" s="16"/>
      <c r="EN656" s="16"/>
      <c r="EO656" s="17"/>
      <c r="EP656" s="17"/>
      <c r="EQ656" s="16"/>
      <c r="ER656" s="16"/>
      <c r="ES656" s="17"/>
      <c r="ET656" s="17"/>
      <c r="EU656" s="16"/>
      <c r="EV656" s="16"/>
      <c r="EW656" s="17"/>
      <c r="EX656" s="17"/>
      <c r="EY656" s="16"/>
      <c r="EZ656" s="16"/>
      <c r="FA656" s="17"/>
      <c r="FB656" s="17"/>
      <c r="FC656" s="16"/>
      <c r="FD656" s="16"/>
      <c r="FE656" s="17"/>
      <c r="FF656" s="17"/>
      <c r="FG656" s="11"/>
      <c r="GT656" s="11"/>
      <c r="IG656" s="11"/>
      <c r="JT656" s="11"/>
      <c r="LG656" s="11"/>
      <c r="MT656" s="11"/>
      <c r="OG656" s="11"/>
      <c r="PT656" s="11"/>
    </row>
    <row r="657" spans="1:436" ht="15.75" x14ac:dyDescent="0.25">
      <c r="C657" s="20" t="s">
        <v>553</v>
      </c>
      <c r="D657" s="21" t="s">
        <v>79</v>
      </c>
      <c r="H657" s="11"/>
      <c r="AU657" s="11"/>
      <c r="CH657" s="11"/>
      <c r="CI657" s="16"/>
      <c r="CJ657" s="16"/>
      <c r="CK657" s="16"/>
      <c r="CL657" s="16"/>
      <c r="CM657" s="16"/>
      <c r="CN657" s="16"/>
      <c r="CO657" s="16"/>
      <c r="CP657" s="16"/>
      <c r="CQ657" s="16"/>
      <c r="CR657" s="16"/>
      <c r="CS657" s="16"/>
      <c r="CT657" s="16"/>
      <c r="CU657" s="16"/>
      <c r="CV657" s="16"/>
      <c r="CW657" s="16"/>
      <c r="CX657" s="16"/>
      <c r="CY657" s="16"/>
      <c r="CZ657" s="16"/>
      <c r="DA657" s="16"/>
      <c r="DB657" s="16"/>
      <c r="DC657" s="16"/>
      <c r="DD657" s="16"/>
      <c r="DE657" s="17"/>
      <c r="DF657" s="17"/>
      <c r="DG657" s="16"/>
      <c r="DH657" s="16"/>
      <c r="DI657" s="18">
        <v>5</v>
      </c>
      <c r="DJ657" s="18">
        <v>5</v>
      </c>
      <c r="DK657" s="16"/>
      <c r="DL657" s="16"/>
      <c r="DM657" s="17"/>
      <c r="DN657" s="17"/>
      <c r="DO657" s="16"/>
      <c r="DP657" s="16"/>
      <c r="DQ657" s="17"/>
      <c r="DR657" s="17"/>
      <c r="DS657" s="16"/>
      <c r="DT657" s="16"/>
      <c r="DU657" s="17"/>
      <c r="DV657" s="17"/>
      <c r="DW657" s="16"/>
      <c r="DX657" s="16"/>
      <c r="DY657" s="17"/>
      <c r="DZ657" s="17"/>
      <c r="EA657" s="16"/>
      <c r="EB657" s="16"/>
      <c r="EC657" s="17"/>
      <c r="ED657" s="17"/>
      <c r="EE657" s="16"/>
      <c r="EF657" s="16"/>
      <c r="EG657" s="17"/>
      <c r="EH657" s="17"/>
      <c r="EI657" s="16"/>
      <c r="EJ657" s="16"/>
      <c r="EK657" s="17"/>
      <c r="EL657" s="17"/>
      <c r="EM657" s="16"/>
      <c r="EN657" s="16"/>
      <c r="EO657" s="17"/>
      <c r="EP657" s="17"/>
      <c r="EQ657" s="16"/>
      <c r="ER657" s="16"/>
      <c r="ES657" s="17"/>
      <c r="ET657" s="17"/>
      <c r="EU657" s="16"/>
      <c r="EV657" s="16"/>
      <c r="EW657" s="17"/>
      <c r="EX657" s="17"/>
      <c r="EY657" s="16"/>
      <c r="EZ657" s="16"/>
      <c r="FA657" s="17"/>
      <c r="FB657" s="17"/>
      <c r="FC657" s="16"/>
      <c r="FD657" s="16"/>
      <c r="FE657" s="17"/>
      <c r="FF657" s="17"/>
      <c r="FG657" s="11"/>
      <c r="GT657" s="11"/>
      <c r="IG657" s="11"/>
      <c r="JT657" s="11"/>
      <c r="LG657" s="11"/>
      <c r="MT657" s="11"/>
      <c r="OG657" s="11"/>
      <c r="PT657" s="11"/>
    </row>
    <row r="658" spans="1:436" ht="15.75" x14ac:dyDescent="0.25">
      <c r="C658" s="20" t="s">
        <v>554</v>
      </c>
      <c r="D658" s="21" t="s">
        <v>203</v>
      </c>
      <c r="H658" s="11"/>
      <c r="AU658" s="11"/>
      <c r="CH658" s="11"/>
      <c r="CI658" s="16"/>
      <c r="CJ658" s="16"/>
      <c r="CK658" s="16"/>
      <c r="CL658" s="16"/>
      <c r="CM658" s="16"/>
      <c r="CN658" s="16"/>
      <c r="CO658" s="16"/>
      <c r="CP658" s="16"/>
      <c r="CQ658" s="16"/>
      <c r="CR658" s="16"/>
      <c r="CS658" s="16"/>
      <c r="CT658" s="16"/>
      <c r="CU658" s="16"/>
      <c r="CV658" s="16"/>
      <c r="CW658" s="16"/>
      <c r="CX658" s="16"/>
      <c r="CY658" s="16"/>
      <c r="CZ658" s="16"/>
      <c r="DA658" s="16"/>
      <c r="DB658" s="16"/>
      <c r="DC658" s="16"/>
      <c r="DD658" s="16"/>
      <c r="DE658" s="17"/>
      <c r="DF658" s="17"/>
      <c r="DG658" s="16"/>
      <c r="DH658" s="16"/>
      <c r="DI658" s="17"/>
      <c r="DJ658" s="17"/>
      <c r="DK658" s="16"/>
      <c r="DL658" s="16"/>
      <c r="DM658" s="17"/>
      <c r="DN658" s="17"/>
      <c r="DO658" s="16"/>
      <c r="DP658" s="16"/>
      <c r="DQ658" s="17"/>
      <c r="DR658" s="17"/>
      <c r="DS658" s="16"/>
      <c r="DT658" s="16"/>
      <c r="DU658" s="17"/>
      <c r="DV658" s="17"/>
      <c r="DW658" s="16"/>
      <c r="DX658" s="16"/>
      <c r="DY658" s="17"/>
      <c r="DZ658" s="17"/>
      <c r="EA658" s="16"/>
      <c r="EB658" s="16"/>
      <c r="EC658" s="17"/>
      <c r="ED658" s="17"/>
      <c r="EE658" s="16"/>
      <c r="EF658" s="16"/>
      <c r="EG658" s="17"/>
      <c r="EH658" s="17"/>
      <c r="EI658" s="16"/>
      <c r="EJ658" s="16"/>
      <c r="EK658" s="17"/>
      <c r="EL658" s="17"/>
      <c r="EM658" s="16"/>
      <c r="EN658" s="16"/>
      <c r="EO658" s="17"/>
      <c r="EP658" s="17"/>
      <c r="EQ658" s="16"/>
      <c r="ER658" s="16"/>
      <c r="ES658" s="17"/>
      <c r="ET658" s="17"/>
      <c r="EU658" s="16"/>
      <c r="EV658" s="16"/>
      <c r="EW658" s="17"/>
      <c r="EX658" s="17"/>
      <c r="EY658" s="16"/>
      <c r="EZ658" s="16"/>
      <c r="FA658" s="17"/>
      <c r="FB658" s="17"/>
      <c r="FC658" s="16"/>
      <c r="FD658" s="16"/>
      <c r="FE658" s="17"/>
      <c r="FF658" s="17"/>
      <c r="FG658" s="11"/>
      <c r="GT658" s="11"/>
      <c r="IG658" s="11"/>
      <c r="JT658" s="11"/>
      <c r="LG658" s="11"/>
      <c r="MT658" s="11"/>
      <c r="OG658" s="11"/>
      <c r="PT658" s="11"/>
    </row>
    <row r="659" spans="1:436" ht="15.75" x14ac:dyDescent="0.25">
      <c r="A659" s="13"/>
      <c r="B659" s="14" t="s">
        <v>555</v>
      </c>
      <c r="C659" s="13"/>
      <c r="D659" s="13"/>
      <c r="E659" s="15" t="s">
        <v>76</v>
      </c>
      <c r="F659" s="15" t="s">
        <v>177</v>
      </c>
      <c r="G659" s="13"/>
      <c r="H659" s="11"/>
      <c r="AU659" s="11"/>
      <c r="CH659" s="11"/>
      <c r="CI659" s="16"/>
      <c r="CJ659" s="16"/>
      <c r="CK659" s="16"/>
      <c r="CL659" s="16"/>
      <c r="CM659" s="16"/>
      <c r="CN659" s="16"/>
      <c r="CO659" s="16"/>
      <c r="CP659" s="16"/>
      <c r="CQ659" s="16"/>
      <c r="CR659" s="16"/>
      <c r="CS659" s="16"/>
      <c r="CT659" s="16"/>
      <c r="CU659" s="16"/>
      <c r="CV659" s="16"/>
      <c r="CW659" s="16"/>
      <c r="CX659" s="16"/>
      <c r="CY659" s="16"/>
      <c r="CZ659" s="16"/>
      <c r="DA659" s="16"/>
      <c r="DB659" s="16"/>
      <c r="DC659" s="16"/>
      <c r="DD659" s="16"/>
      <c r="DE659" s="17"/>
      <c r="DF659" s="17"/>
      <c r="DG659" s="16"/>
      <c r="DH659" s="16"/>
      <c r="DI659" s="17"/>
      <c r="DJ659" s="18">
        <v>14</v>
      </c>
      <c r="DK659" s="16"/>
      <c r="DL659" s="16"/>
      <c r="DM659" s="17"/>
      <c r="DN659" s="17"/>
      <c r="DO659" s="16"/>
      <c r="DP659" s="16"/>
      <c r="DQ659" s="17"/>
      <c r="DR659" s="17"/>
      <c r="DS659" s="16"/>
      <c r="DT659" s="16"/>
      <c r="DU659" s="17"/>
      <c r="DV659" s="17"/>
      <c r="DW659" s="16"/>
      <c r="DX659" s="19">
        <v>6</v>
      </c>
      <c r="DY659" s="17"/>
      <c r="DZ659" s="17"/>
      <c r="EA659" s="16"/>
      <c r="EB659" s="16"/>
      <c r="EC659" s="17"/>
      <c r="ED659" s="17"/>
      <c r="EE659" s="16"/>
      <c r="EF659" s="16"/>
      <c r="EG659" s="17"/>
      <c r="EH659" s="18">
        <v>15</v>
      </c>
      <c r="EI659" s="16"/>
      <c r="EJ659" s="19">
        <v>5</v>
      </c>
      <c r="EK659" s="17"/>
      <c r="EL659" s="18">
        <v>25</v>
      </c>
      <c r="EM659" s="16"/>
      <c r="EN659" s="19">
        <v>20</v>
      </c>
      <c r="EO659" s="17"/>
      <c r="EP659" s="17"/>
      <c r="EQ659" s="16"/>
      <c r="ER659" s="16"/>
      <c r="ES659" s="17"/>
      <c r="ET659" s="18">
        <v>6</v>
      </c>
      <c r="EU659" s="16"/>
      <c r="EV659" s="16"/>
      <c r="EW659" s="17"/>
      <c r="EX659" s="17"/>
      <c r="EY659" s="16"/>
      <c r="EZ659" s="16"/>
      <c r="FA659" s="17"/>
      <c r="FB659" s="17"/>
      <c r="FC659" s="16"/>
      <c r="FD659" s="19">
        <v>10</v>
      </c>
      <c r="FE659" s="17"/>
      <c r="FF659" s="17"/>
      <c r="FG659" s="11"/>
      <c r="GT659" s="11"/>
      <c r="IG659" s="11"/>
      <c r="JT659" s="11"/>
      <c r="LG659" s="11"/>
      <c r="MT659" s="11"/>
      <c r="OG659" s="11"/>
      <c r="PT659" s="11"/>
    </row>
    <row r="660" spans="1:436" ht="15.75" x14ac:dyDescent="0.25">
      <c r="A660" s="13"/>
      <c r="B660" s="14" t="s">
        <v>556</v>
      </c>
      <c r="C660" s="13"/>
      <c r="D660" s="13"/>
      <c r="E660" s="15" t="s">
        <v>127</v>
      </c>
      <c r="F660" s="15" t="s">
        <v>177</v>
      </c>
      <c r="G660" s="13"/>
      <c r="H660" s="11"/>
      <c r="AU660" s="11"/>
      <c r="CH660" s="11"/>
      <c r="CI660" s="16"/>
      <c r="CJ660" s="16"/>
      <c r="CK660" s="16"/>
      <c r="CL660" s="16"/>
      <c r="CM660" s="16"/>
      <c r="CN660" s="16"/>
      <c r="CO660" s="16"/>
      <c r="CP660" s="16"/>
      <c r="CQ660" s="16"/>
      <c r="CR660" s="16"/>
      <c r="CS660" s="16"/>
      <c r="CT660" s="16"/>
      <c r="CU660" s="16"/>
      <c r="CV660" s="16"/>
      <c r="CW660" s="16"/>
      <c r="CX660" s="16"/>
      <c r="CY660" s="16"/>
      <c r="CZ660" s="16"/>
      <c r="DA660" s="16"/>
      <c r="DB660" s="16"/>
      <c r="DC660" s="16"/>
      <c r="DD660" s="16"/>
      <c r="DE660" s="17"/>
      <c r="DF660" s="17"/>
      <c r="DG660" s="16"/>
      <c r="DH660" s="16"/>
      <c r="DI660" s="17"/>
      <c r="DJ660" s="18">
        <v>13</v>
      </c>
      <c r="DK660" s="16"/>
      <c r="DL660" s="16"/>
      <c r="DM660" s="17"/>
      <c r="DN660" s="17"/>
      <c r="DO660" s="16"/>
      <c r="DP660" s="16"/>
      <c r="DQ660" s="17"/>
      <c r="DR660" s="17"/>
      <c r="DS660" s="16"/>
      <c r="DT660" s="16"/>
      <c r="DU660" s="17"/>
      <c r="DV660" s="18">
        <v>10</v>
      </c>
      <c r="DW660" s="16"/>
      <c r="DX660" s="19">
        <v>30</v>
      </c>
      <c r="DY660" s="17"/>
      <c r="DZ660" s="17"/>
      <c r="EA660" s="16"/>
      <c r="EB660" s="19">
        <v>15</v>
      </c>
      <c r="EC660" s="17"/>
      <c r="ED660" s="17"/>
      <c r="EE660" s="16"/>
      <c r="EF660" s="16"/>
      <c r="EG660" s="17"/>
      <c r="EH660" s="18">
        <v>95</v>
      </c>
      <c r="EI660" s="16"/>
      <c r="EJ660" s="19">
        <v>30</v>
      </c>
      <c r="EK660" s="17"/>
      <c r="EL660" s="18">
        <v>15</v>
      </c>
      <c r="EM660" s="16"/>
      <c r="EN660" s="19">
        <v>10</v>
      </c>
      <c r="EO660" s="17"/>
      <c r="EP660" s="17"/>
      <c r="EQ660" s="16"/>
      <c r="ER660" s="16"/>
      <c r="ES660" s="17"/>
      <c r="ET660" s="18">
        <v>20</v>
      </c>
      <c r="EU660" s="16"/>
      <c r="EV660" s="16"/>
      <c r="EW660" s="17"/>
      <c r="EX660" s="17"/>
      <c r="EY660" s="16"/>
      <c r="EZ660" s="16"/>
      <c r="FA660" s="17"/>
      <c r="FB660" s="17"/>
      <c r="FC660" s="16"/>
      <c r="FD660" s="19">
        <v>17</v>
      </c>
      <c r="FE660" s="17"/>
      <c r="FF660" s="17"/>
      <c r="FG660" s="11"/>
      <c r="GT660" s="11"/>
      <c r="IG660" s="11"/>
      <c r="JT660" s="11"/>
      <c r="LG660" s="11"/>
      <c r="MT660" s="11"/>
      <c r="OG660" s="11"/>
      <c r="PT660" s="11"/>
    </row>
    <row r="661" spans="1:436" ht="15.75" x14ac:dyDescent="0.25">
      <c r="C661" s="20" t="s">
        <v>557</v>
      </c>
      <c r="D661" s="21" t="s">
        <v>203</v>
      </c>
      <c r="H661" s="11"/>
      <c r="AU661" s="11"/>
      <c r="CH661" s="11"/>
      <c r="CI661" s="16"/>
      <c r="CJ661" s="16"/>
      <c r="CK661" s="16"/>
      <c r="CL661" s="16"/>
      <c r="CM661" s="16"/>
      <c r="CN661" s="16"/>
      <c r="CO661" s="16"/>
      <c r="CP661" s="16"/>
      <c r="CQ661" s="16"/>
      <c r="CR661" s="16"/>
      <c r="CS661" s="16"/>
      <c r="CT661" s="16"/>
      <c r="CU661" s="16"/>
      <c r="CV661" s="16"/>
      <c r="CW661" s="16"/>
      <c r="CX661" s="16"/>
      <c r="CY661" s="16"/>
      <c r="CZ661" s="16"/>
      <c r="DA661" s="16"/>
      <c r="DB661" s="16"/>
      <c r="DC661" s="16"/>
      <c r="DD661" s="16"/>
      <c r="DE661" s="17"/>
      <c r="DF661" s="17"/>
      <c r="DG661" s="16"/>
      <c r="DH661" s="16"/>
      <c r="DI661" s="17"/>
      <c r="DJ661" s="17"/>
      <c r="DK661" s="16"/>
      <c r="DL661" s="16"/>
      <c r="DM661" s="17"/>
      <c r="DN661" s="17"/>
      <c r="DO661" s="16"/>
      <c r="DP661" s="16"/>
      <c r="DQ661" s="17"/>
      <c r="DR661" s="17"/>
      <c r="DS661" s="16"/>
      <c r="DT661" s="16"/>
      <c r="DU661" s="17"/>
      <c r="DV661" s="17"/>
      <c r="DW661" s="16"/>
      <c r="DX661" s="16"/>
      <c r="DY661" s="17"/>
      <c r="DZ661" s="17"/>
      <c r="EA661" s="16"/>
      <c r="EB661" s="16"/>
      <c r="EC661" s="17"/>
      <c r="ED661" s="17"/>
      <c r="EE661" s="16"/>
      <c r="EF661" s="16"/>
      <c r="EG661" s="17"/>
      <c r="EH661" s="17"/>
      <c r="EI661" s="16"/>
      <c r="EJ661" s="16"/>
      <c r="EK661" s="17"/>
      <c r="EL661" s="17"/>
      <c r="EM661" s="16"/>
      <c r="EN661" s="16"/>
      <c r="EO661" s="17"/>
      <c r="EP661" s="17"/>
      <c r="EQ661" s="16"/>
      <c r="ER661" s="16"/>
      <c r="ES661" s="17"/>
      <c r="ET661" s="17"/>
      <c r="EU661" s="16"/>
      <c r="EV661" s="16"/>
      <c r="EW661" s="17"/>
      <c r="EX661" s="17"/>
      <c r="EY661" s="16"/>
      <c r="EZ661" s="16"/>
      <c r="FA661" s="17"/>
      <c r="FB661" s="17"/>
      <c r="FC661" s="16"/>
      <c r="FD661" s="16"/>
      <c r="FE661" s="17"/>
      <c r="FF661" s="17"/>
      <c r="FG661" s="11"/>
      <c r="GT661" s="11"/>
      <c r="IG661" s="11"/>
      <c r="JT661" s="11"/>
      <c r="LG661" s="11"/>
      <c r="MT661" s="11"/>
      <c r="OG661" s="11"/>
      <c r="PT661" s="11"/>
    </row>
    <row r="662" spans="1:436" ht="15.75" x14ac:dyDescent="0.25">
      <c r="C662" s="20" t="s">
        <v>558</v>
      </c>
      <c r="D662" s="21" t="s">
        <v>79</v>
      </c>
      <c r="H662" s="11"/>
      <c r="AU662" s="11"/>
      <c r="CH662" s="11"/>
      <c r="CI662" s="16"/>
      <c r="CJ662" s="16"/>
      <c r="CK662" s="16"/>
      <c r="CL662" s="16"/>
      <c r="CM662" s="16"/>
      <c r="CN662" s="16"/>
      <c r="CO662" s="16"/>
      <c r="CP662" s="16"/>
      <c r="CQ662" s="16"/>
      <c r="CR662" s="16"/>
      <c r="CS662" s="16"/>
      <c r="CT662" s="16"/>
      <c r="CU662" s="16"/>
      <c r="CV662" s="16"/>
      <c r="CW662" s="16"/>
      <c r="CX662" s="16"/>
      <c r="CY662" s="16"/>
      <c r="CZ662" s="16"/>
      <c r="DA662" s="16"/>
      <c r="DB662" s="16"/>
      <c r="DC662" s="16"/>
      <c r="DD662" s="16"/>
      <c r="DE662" s="17"/>
      <c r="DF662" s="17"/>
      <c r="DG662" s="16"/>
      <c r="DH662" s="16"/>
      <c r="DI662" s="17"/>
      <c r="DJ662" s="18">
        <v>2</v>
      </c>
      <c r="DK662" s="16"/>
      <c r="DL662" s="16"/>
      <c r="DM662" s="17"/>
      <c r="DN662" s="17"/>
      <c r="DO662" s="16"/>
      <c r="DP662" s="16"/>
      <c r="DQ662" s="17"/>
      <c r="DR662" s="17"/>
      <c r="DS662" s="16"/>
      <c r="DT662" s="16"/>
      <c r="DU662" s="17"/>
      <c r="DV662" s="17"/>
      <c r="DW662" s="16"/>
      <c r="DX662" s="16"/>
      <c r="DY662" s="17"/>
      <c r="DZ662" s="17"/>
      <c r="EA662" s="16"/>
      <c r="EB662" s="16"/>
      <c r="EC662" s="17"/>
      <c r="ED662" s="17"/>
      <c r="EE662" s="16"/>
      <c r="EF662" s="16"/>
      <c r="EG662" s="17"/>
      <c r="EH662" s="17"/>
      <c r="EI662" s="16"/>
      <c r="EJ662" s="16"/>
      <c r="EK662" s="17"/>
      <c r="EL662" s="17"/>
      <c r="EM662" s="16"/>
      <c r="EN662" s="16"/>
      <c r="EO662" s="17"/>
      <c r="EP662" s="17"/>
      <c r="EQ662" s="16"/>
      <c r="ER662" s="16"/>
      <c r="ES662" s="17"/>
      <c r="ET662" s="17"/>
      <c r="EU662" s="16"/>
      <c r="EV662" s="16"/>
      <c r="EW662" s="17"/>
      <c r="EX662" s="17"/>
      <c r="EY662" s="16"/>
      <c r="EZ662" s="16"/>
      <c r="FA662" s="17"/>
      <c r="FB662" s="17"/>
      <c r="FC662" s="16"/>
      <c r="FD662" s="16"/>
      <c r="FE662" s="17"/>
      <c r="FF662" s="17"/>
      <c r="FG662" s="11"/>
      <c r="GT662" s="11"/>
      <c r="IG662" s="11"/>
      <c r="JT662" s="11"/>
      <c r="LG662" s="11"/>
      <c r="MT662" s="11"/>
      <c r="OG662" s="11"/>
      <c r="PT662" s="11"/>
    </row>
    <row r="663" spans="1:436" ht="15.75" x14ac:dyDescent="0.25">
      <c r="C663" s="20" t="s">
        <v>559</v>
      </c>
      <c r="D663" s="21" t="s">
        <v>79</v>
      </c>
      <c r="H663" s="11"/>
      <c r="AU663" s="11"/>
      <c r="CH663" s="11"/>
      <c r="CI663" s="16"/>
      <c r="CJ663" s="16"/>
      <c r="CK663" s="16"/>
      <c r="CL663" s="16"/>
      <c r="CM663" s="16"/>
      <c r="CN663" s="16"/>
      <c r="CO663" s="16"/>
      <c r="CP663" s="16"/>
      <c r="CQ663" s="16"/>
      <c r="CR663" s="16"/>
      <c r="CS663" s="16"/>
      <c r="CT663" s="16"/>
      <c r="CU663" s="16"/>
      <c r="CV663" s="16"/>
      <c r="CW663" s="16"/>
      <c r="CX663" s="16"/>
      <c r="CY663" s="16"/>
      <c r="CZ663" s="16"/>
      <c r="DA663" s="16"/>
      <c r="DB663" s="16"/>
      <c r="DC663" s="16"/>
      <c r="DD663" s="16"/>
      <c r="DE663" s="17"/>
      <c r="DF663" s="17"/>
      <c r="DG663" s="16"/>
      <c r="DH663" s="16"/>
      <c r="DI663" s="18">
        <v>3</v>
      </c>
      <c r="DJ663" s="18">
        <v>5</v>
      </c>
      <c r="DK663" s="16"/>
      <c r="DL663" s="16"/>
      <c r="DM663" s="17"/>
      <c r="DN663" s="17"/>
      <c r="DO663" s="16"/>
      <c r="DP663" s="16"/>
      <c r="DQ663" s="17"/>
      <c r="DR663" s="17"/>
      <c r="DS663" s="16"/>
      <c r="DT663" s="16"/>
      <c r="DU663" s="17"/>
      <c r="DV663" s="17"/>
      <c r="DW663" s="16"/>
      <c r="DX663" s="16"/>
      <c r="DY663" s="17"/>
      <c r="DZ663" s="17"/>
      <c r="EA663" s="16"/>
      <c r="EB663" s="16"/>
      <c r="EC663" s="17"/>
      <c r="ED663" s="17"/>
      <c r="EE663" s="16"/>
      <c r="EF663" s="16"/>
      <c r="EG663" s="17"/>
      <c r="EH663" s="17"/>
      <c r="EI663" s="16"/>
      <c r="EJ663" s="16"/>
      <c r="EK663" s="17"/>
      <c r="EL663" s="17"/>
      <c r="EM663" s="16"/>
      <c r="EN663" s="16"/>
      <c r="EO663" s="17"/>
      <c r="EP663" s="17"/>
      <c r="EQ663" s="16"/>
      <c r="ER663" s="16"/>
      <c r="ES663" s="17"/>
      <c r="ET663" s="17"/>
      <c r="EU663" s="16"/>
      <c r="EV663" s="16"/>
      <c r="EW663" s="17"/>
      <c r="EX663" s="17"/>
      <c r="EY663" s="16"/>
      <c r="EZ663" s="16"/>
      <c r="FA663" s="17"/>
      <c r="FB663" s="17"/>
      <c r="FC663" s="16"/>
      <c r="FD663" s="16"/>
      <c r="FE663" s="17"/>
      <c r="FF663" s="17"/>
      <c r="FG663" s="11"/>
      <c r="GT663" s="11"/>
      <c r="IG663" s="11"/>
      <c r="JT663" s="11"/>
      <c r="LG663" s="11"/>
      <c r="MT663" s="11"/>
      <c r="OG663" s="11"/>
      <c r="PT663" s="11"/>
    </row>
    <row r="664" spans="1:436" ht="15.75" x14ac:dyDescent="0.25">
      <c r="C664" s="20" t="s">
        <v>404</v>
      </c>
      <c r="D664" s="21" t="s">
        <v>129</v>
      </c>
      <c r="H664" s="11"/>
      <c r="AU664" s="11"/>
      <c r="CH664" s="11"/>
      <c r="CI664" s="16"/>
      <c r="CJ664" s="16"/>
      <c r="CK664" s="16"/>
      <c r="CL664" s="16"/>
      <c r="CM664" s="16"/>
      <c r="CN664" s="16"/>
      <c r="CO664" s="16"/>
      <c r="CP664" s="16"/>
      <c r="CQ664" s="16"/>
      <c r="CR664" s="16"/>
      <c r="CS664" s="16"/>
      <c r="CT664" s="16"/>
      <c r="CU664" s="16"/>
      <c r="CV664" s="16"/>
      <c r="CW664" s="16"/>
      <c r="CX664" s="16"/>
      <c r="CY664" s="16"/>
      <c r="CZ664" s="16"/>
      <c r="DA664" s="16"/>
      <c r="DB664" s="16"/>
      <c r="DC664" s="16"/>
      <c r="DD664" s="16"/>
      <c r="DE664" s="17"/>
      <c r="DF664" s="17"/>
      <c r="DG664" s="16"/>
      <c r="DH664" s="16"/>
      <c r="DI664" s="17"/>
      <c r="DJ664" s="17"/>
      <c r="DK664" s="16"/>
      <c r="DL664" s="16"/>
      <c r="DM664" s="17"/>
      <c r="DN664" s="17"/>
      <c r="DO664" s="16"/>
      <c r="DP664" s="16"/>
      <c r="DQ664" s="17"/>
      <c r="DR664" s="17"/>
      <c r="DS664" s="16"/>
      <c r="DT664" s="16"/>
      <c r="DU664" s="17"/>
      <c r="DV664" s="17"/>
      <c r="DW664" s="16"/>
      <c r="DX664" s="16"/>
      <c r="DY664" s="17"/>
      <c r="DZ664" s="17"/>
      <c r="EA664" s="16"/>
      <c r="EB664" s="16"/>
      <c r="EC664" s="17"/>
      <c r="ED664" s="17"/>
      <c r="EE664" s="16"/>
      <c r="EF664" s="16"/>
      <c r="EG664" s="17"/>
      <c r="EH664" s="17"/>
      <c r="EI664" s="16"/>
      <c r="EJ664" s="16"/>
      <c r="EK664" s="17"/>
      <c r="EL664" s="17"/>
      <c r="EM664" s="16"/>
      <c r="EN664" s="16"/>
      <c r="EO664" s="17"/>
      <c r="EP664" s="17"/>
      <c r="EQ664" s="16"/>
      <c r="ER664" s="16"/>
      <c r="ES664" s="17"/>
      <c r="ET664" s="17"/>
      <c r="EU664" s="16"/>
      <c r="EV664" s="16"/>
      <c r="EW664" s="17"/>
      <c r="EX664" s="17"/>
      <c r="EY664" s="16"/>
      <c r="EZ664" s="16"/>
      <c r="FA664" s="17"/>
      <c r="FB664" s="17"/>
      <c r="FC664" s="16"/>
      <c r="FD664" s="16"/>
      <c r="FE664" s="17"/>
      <c r="FF664" s="17"/>
      <c r="FG664" s="11"/>
      <c r="GT664" s="11"/>
      <c r="IG664" s="11"/>
      <c r="JT664" s="11"/>
      <c r="LG664" s="11"/>
      <c r="MT664" s="11"/>
      <c r="OG664" s="11"/>
      <c r="PT664" s="11"/>
    </row>
    <row r="665" spans="1:436" ht="15.75" x14ac:dyDescent="0.25">
      <c r="C665" s="20" t="s">
        <v>405</v>
      </c>
      <c r="D665" s="21" t="s">
        <v>162</v>
      </c>
      <c r="H665" s="11"/>
      <c r="AU665" s="11"/>
      <c r="CH665" s="11"/>
      <c r="CI665" s="16"/>
      <c r="CJ665" s="16"/>
      <c r="CK665" s="16"/>
      <c r="CL665" s="16"/>
      <c r="CM665" s="16"/>
      <c r="CN665" s="16"/>
      <c r="CO665" s="16"/>
      <c r="CP665" s="16"/>
      <c r="CQ665" s="16"/>
      <c r="CR665" s="16"/>
      <c r="CS665" s="16"/>
      <c r="CT665" s="16"/>
      <c r="CU665" s="16"/>
      <c r="CV665" s="16"/>
      <c r="CW665" s="16"/>
      <c r="CX665" s="16"/>
      <c r="CY665" s="16"/>
      <c r="CZ665" s="16"/>
      <c r="DA665" s="16"/>
      <c r="DB665" s="16"/>
      <c r="DC665" s="16"/>
      <c r="DD665" s="16"/>
      <c r="DE665" s="17"/>
      <c r="DF665" s="17"/>
      <c r="DG665" s="16"/>
      <c r="DH665" s="16"/>
      <c r="DI665" s="17"/>
      <c r="DJ665" s="17"/>
      <c r="DK665" s="16"/>
      <c r="DL665" s="16"/>
      <c r="DM665" s="17"/>
      <c r="DN665" s="17"/>
      <c r="DO665" s="16"/>
      <c r="DP665" s="16"/>
      <c r="DQ665" s="17"/>
      <c r="DR665" s="17"/>
      <c r="DS665" s="16"/>
      <c r="DT665" s="16"/>
      <c r="DU665" s="17"/>
      <c r="DV665" s="17"/>
      <c r="DW665" s="16"/>
      <c r="DX665" s="16"/>
      <c r="DY665" s="17"/>
      <c r="DZ665" s="17"/>
      <c r="EA665" s="16"/>
      <c r="EB665" s="16"/>
      <c r="EC665" s="17"/>
      <c r="ED665" s="17"/>
      <c r="EE665" s="16"/>
      <c r="EF665" s="16"/>
      <c r="EG665" s="17"/>
      <c r="EH665" s="17"/>
      <c r="EI665" s="16"/>
      <c r="EJ665" s="16"/>
      <c r="EK665" s="17"/>
      <c r="EL665" s="17"/>
      <c r="EM665" s="16"/>
      <c r="EN665" s="16"/>
      <c r="EO665" s="17"/>
      <c r="EP665" s="17"/>
      <c r="EQ665" s="16"/>
      <c r="ER665" s="16"/>
      <c r="ES665" s="17"/>
      <c r="ET665" s="17"/>
      <c r="EU665" s="16"/>
      <c r="EV665" s="16"/>
      <c r="EW665" s="17"/>
      <c r="EX665" s="17"/>
      <c r="EY665" s="16"/>
      <c r="EZ665" s="16"/>
      <c r="FA665" s="17"/>
      <c r="FB665" s="17"/>
      <c r="FC665" s="16"/>
      <c r="FD665" s="16"/>
      <c r="FE665" s="17"/>
      <c r="FF665" s="17"/>
      <c r="FG665" s="11"/>
      <c r="GT665" s="11"/>
      <c r="IG665" s="11"/>
      <c r="JT665" s="11"/>
      <c r="LG665" s="11"/>
      <c r="MT665" s="11"/>
      <c r="OG665" s="11"/>
      <c r="PT665" s="11"/>
    </row>
    <row r="666" spans="1:436" ht="15.75" x14ac:dyDescent="0.25">
      <c r="C666" s="20" t="s">
        <v>560</v>
      </c>
      <c r="D666" s="21" t="s">
        <v>203</v>
      </c>
      <c r="H666" s="11"/>
      <c r="AU666" s="11"/>
      <c r="CH666" s="11"/>
      <c r="CI666" s="16"/>
      <c r="CJ666" s="16"/>
      <c r="CK666" s="16"/>
      <c r="CL666" s="16"/>
      <c r="CM666" s="16"/>
      <c r="CN666" s="16"/>
      <c r="CO666" s="16"/>
      <c r="CP666" s="16"/>
      <c r="CQ666" s="16"/>
      <c r="CR666" s="16"/>
      <c r="CS666" s="16"/>
      <c r="CT666" s="16"/>
      <c r="CU666" s="16"/>
      <c r="CV666" s="16"/>
      <c r="CW666" s="16"/>
      <c r="CX666" s="16"/>
      <c r="CY666" s="16"/>
      <c r="CZ666" s="16"/>
      <c r="DA666" s="16"/>
      <c r="DB666" s="16"/>
      <c r="DC666" s="16"/>
      <c r="DD666" s="16"/>
      <c r="DE666" s="17"/>
      <c r="DF666" s="17"/>
      <c r="DG666" s="16"/>
      <c r="DH666" s="16"/>
      <c r="DI666" s="17"/>
      <c r="DJ666" s="17"/>
      <c r="DK666" s="16"/>
      <c r="DL666" s="16"/>
      <c r="DM666" s="17"/>
      <c r="DN666" s="17"/>
      <c r="DO666" s="16"/>
      <c r="DP666" s="16"/>
      <c r="DQ666" s="17"/>
      <c r="DR666" s="17"/>
      <c r="DS666" s="16"/>
      <c r="DT666" s="16"/>
      <c r="DU666" s="17"/>
      <c r="DV666" s="17"/>
      <c r="DW666" s="16"/>
      <c r="DX666" s="16"/>
      <c r="DY666" s="17"/>
      <c r="DZ666" s="17"/>
      <c r="EA666" s="16"/>
      <c r="EB666" s="16"/>
      <c r="EC666" s="17"/>
      <c r="ED666" s="17"/>
      <c r="EE666" s="16"/>
      <c r="EF666" s="16"/>
      <c r="EG666" s="17"/>
      <c r="EH666" s="17"/>
      <c r="EI666" s="16"/>
      <c r="EJ666" s="16"/>
      <c r="EK666" s="17"/>
      <c r="EL666" s="17"/>
      <c r="EM666" s="16"/>
      <c r="EN666" s="16"/>
      <c r="EO666" s="17"/>
      <c r="EP666" s="17"/>
      <c r="EQ666" s="16"/>
      <c r="ER666" s="16"/>
      <c r="ES666" s="17"/>
      <c r="ET666" s="17"/>
      <c r="EU666" s="16"/>
      <c r="EV666" s="16"/>
      <c r="EW666" s="17"/>
      <c r="EX666" s="17"/>
      <c r="EY666" s="16"/>
      <c r="EZ666" s="16"/>
      <c r="FA666" s="17"/>
      <c r="FB666" s="17"/>
      <c r="FC666" s="16"/>
      <c r="FD666" s="16"/>
      <c r="FE666" s="17"/>
      <c r="FF666" s="17"/>
      <c r="FG666" s="11"/>
      <c r="GT666" s="11"/>
      <c r="IG666" s="11"/>
      <c r="JT666" s="11"/>
      <c r="LG666" s="11"/>
      <c r="MT666" s="11"/>
      <c r="OG666" s="11"/>
      <c r="PT666" s="11"/>
    </row>
    <row r="667" spans="1:436" ht="15.75" x14ac:dyDescent="0.25">
      <c r="C667" s="20" t="s">
        <v>561</v>
      </c>
      <c r="D667" s="21" t="s">
        <v>203</v>
      </c>
      <c r="H667" s="11"/>
      <c r="AU667" s="11"/>
      <c r="CH667" s="11"/>
      <c r="CI667" s="16"/>
      <c r="CJ667" s="16"/>
      <c r="CK667" s="16"/>
      <c r="CL667" s="16"/>
      <c r="CM667" s="16"/>
      <c r="CN667" s="16"/>
      <c r="CO667" s="16"/>
      <c r="CP667" s="16"/>
      <c r="CQ667" s="16"/>
      <c r="CR667" s="16"/>
      <c r="CS667" s="16"/>
      <c r="CT667" s="16"/>
      <c r="CU667" s="16"/>
      <c r="CV667" s="16"/>
      <c r="CW667" s="16"/>
      <c r="CX667" s="16"/>
      <c r="CY667" s="16"/>
      <c r="CZ667" s="16"/>
      <c r="DA667" s="16"/>
      <c r="DB667" s="16"/>
      <c r="DC667" s="16"/>
      <c r="DD667" s="16"/>
      <c r="DE667" s="17"/>
      <c r="DF667" s="17"/>
      <c r="DG667" s="16"/>
      <c r="DH667" s="16"/>
      <c r="DI667" s="17"/>
      <c r="DJ667" s="17"/>
      <c r="DK667" s="16"/>
      <c r="DL667" s="16"/>
      <c r="DM667" s="17"/>
      <c r="DN667" s="17"/>
      <c r="DO667" s="16"/>
      <c r="DP667" s="16"/>
      <c r="DQ667" s="17"/>
      <c r="DR667" s="17"/>
      <c r="DS667" s="16"/>
      <c r="DT667" s="16"/>
      <c r="DU667" s="17"/>
      <c r="DV667" s="17"/>
      <c r="DW667" s="16"/>
      <c r="DX667" s="16"/>
      <c r="DY667" s="17"/>
      <c r="DZ667" s="17"/>
      <c r="EA667" s="16"/>
      <c r="EB667" s="16"/>
      <c r="EC667" s="17"/>
      <c r="ED667" s="17"/>
      <c r="EE667" s="16"/>
      <c r="EF667" s="16"/>
      <c r="EG667" s="17"/>
      <c r="EH667" s="17"/>
      <c r="EI667" s="16"/>
      <c r="EJ667" s="16"/>
      <c r="EK667" s="17"/>
      <c r="EL667" s="17"/>
      <c r="EM667" s="16"/>
      <c r="EN667" s="16"/>
      <c r="EO667" s="17"/>
      <c r="EP667" s="17"/>
      <c r="EQ667" s="16"/>
      <c r="ER667" s="16"/>
      <c r="ES667" s="17"/>
      <c r="ET667" s="17"/>
      <c r="EU667" s="16"/>
      <c r="EV667" s="16"/>
      <c r="EW667" s="17"/>
      <c r="EX667" s="17"/>
      <c r="EY667" s="16"/>
      <c r="EZ667" s="16"/>
      <c r="FA667" s="17"/>
      <c r="FB667" s="17"/>
      <c r="FC667" s="16"/>
      <c r="FD667" s="16"/>
      <c r="FE667" s="17"/>
      <c r="FF667" s="17"/>
      <c r="FG667" s="11"/>
      <c r="GT667" s="11"/>
      <c r="IG667" s="11"/>
      <c r="JT667" s="11"/>
      <c r="LG667" s="11"/>
      <c r="MT667" s="11"/>
      <c r="OG667" s="11"/>
      <c r="PT667" s="11"/>
    </row>
    <row r="668" spans="1:436" ht="15.75" x14ac:dyDescent="0.25">
      <c r="C668" s="20" t="s">
        <v>562</v>
      </c>
      <c r="D668" s="21" t="s">
        <v>159</v>
      </c>
      <c r="H668" s="11"/>
      <c r="AU668" s="11"/>
      <c r="CH668" s="11"/>
      <c r="CI668" s="16"/>
      <c r="CJ668" s="16"/>
      <c r="CK668" s="16"/>
      <c r="CL668" s="16"/>
      <c r="CM668" s="16"/>
      <c r="CN668" s="16"/>
      <c r="CO668" s="16"/>
      <c r="CP668" s="16"/>
      <c r="CQ668" s="16"/>
      <c r="CR668" s="16"/>
      <c r="CS668" s="16"/>
      <c r="CT668" s="16"/>
      <c r="CU668" s="16"/>
      <c r="CV668" s="16"/>
      <c r="CW668" s="16"/>
      <c r="CX668" s="16"/>
      <c r="CY668" s="16"/>
      <c r="CZ668" s="16"/>
      <c r="DA668" s="16"/>
      <c r="DB668" s="16"/>
      <c r="DC668" s="16"/>
      <c r="DD668" s="16"/>
      <c r="DE668" s="17"/>
      <c r="DF668" s="17"/>
      <c r="DG668" s="16"/>
      <c r="DH668" s="16"/>
      <c r="DI668" s="17"/>
      <c r="DJ668" s="17"/>
      <c r="DK668" s="16"/>
      <c r="DL668" s="16"/>
      <c r="DM668" s="17"/>
      <c r="DN668" s="17"/>
      <c r="DO668" s="16"/>
      <c r="DP668" s="16"/>
      <c r="DQ668" s="17"/>
      <c r="DR668" s="17"/>
      <c r="DS668" s="16"/>
      <c r="DT668" s="16"/>
      <c r="DU668" s="17"/>
      <c r="DV668" s="17"/>
      <c r="DW668" s="16"/>
      <c r="DX668" s="16"/>
      <c r="DY668" s="17"/>
      <c r="DZ668" s="17"/>
      <c r="EA668" s="16"/>
      <c r="EB668" s="16"/>
      <c r="EC668" s="17"/>
      <c r="ED668" s="17"/>
      <c r="EE668" s="16"/>
      <c r="EF668" s="16"/>
      <c r="EG668" s="17"/>
      <c r="EH668" s="17"/>
      <c r="EI668" s="16"/>
      <c r="EJ668" s="16"/>
      <c r="EK668" s="17"/>
      <c r="EL668" s="17"/>
      <c r="EM668" s="16"/>
      <c r="EN668" s="16"/>
      <c r="EO668" s="17"/>
      <c r="EP668" s="17"/>
      <c r="EQ668" s="16"/>
      <c r="ER668" s="16"/>
      <c r="ES668" s="17"/>
      <c r="ET668" s="17"/>
      <c r="EU668" s="16"/>
      <c r="EV668" s="16"/>
      <c r="EW668" s="17"/>
      <c r="EX668" s="17"/>
      <c r="EY668" s="16"/>
      <c r="EZ668" s="16"/>
      <c r="FA668" s="17"/>
      <c r="FB668" s="17"/>
      <c r="FC668" s="16"/>
      <c r="FD668" s="16"/>
      <c r="FE668" s="17"/>
      <c r="FF668" s="17"/>
      <c r="FG668" s="11"/>
      <c r="GT668" s="11"/>
      <c r="IG668" s="11"/>
      <c r="JT668" s="11"/>
      <c r="LG668" s="11"/>
      <c r="MT668" s="11"/>
      <c r="OG668" s="11"/>
      <c r="PT668" s="11"/>
    </row>
    <row r="669" spans="1:436" ht="15.75" x14ac:dyDescent="0.25">
      <c r="C669" s="20" t="s">
        <v>563</v>
      </c>
      <c r="D669" s="21" t="s">
        <v>82</v>
      </c>
      <c r="H669" s="11"/>
      <c r="AU669" s="11"/>
      <c r="CH669" s="11"/>
      <c r="CI669" s="16"/>
      <c r="CJ669" s="16"/>
      <c r="CK669" s="16"/>
      <c r="CL669" s="16"/>
      <c r="CM669" s="16"/>
      <c r="CN669" s="16"/>
      <c r="CO669" s="16"/>
      <c r="CP669" s="16"/>
      <c r="CQ669" s="16"/>
      <c r="CR669" s="16"/>
      <c r="CS669" s="16"/>
      <c r="CT669" s="16"/>
      <c r="CU669" s="16"/>
      <c r="CV669" s="16"/>
      <c r="CW669" s="16"/>
      <c r="CX669" s="16"/>
      <c r="CY669" s="16"/>
      <c r="CZ669" s="16"/>
      <c r="DA669" s="16"/>
      <c r="DB669" s="16"/>
      <c r="DC669" s="16"/>
      <c r="DD669" s="16"/>
      <c r="DE669" s="17"/>
      <c r="DF669" s="17"/>
      <c r="DG669" s="16"/>
      <c r="DH669" s="16"/>
      <c r="DI669" s="17"/>
      <c r="DJ669" s="17"/>
      <c r="DK669" s="16"/>
      <c r="DL669" s="16"/>
      <c r="DM669" s="17"/>
      <c r="DN669" s="17"/>
      <c r="DO669" s="16"/>
      <c r="DP669" s="16"/>
      <c r="DQ669" s="17"/>
      <c r="DR669" s="17"/>
      <c r="DS669" s="16"/>
      <c r="DT669" s="16"/>
      <c r="DU669" s="17"/>
      <c r="DV669" s="17"/>
      <c r="DW669" s="16"/>
      <c r="DX669" s="16"/>
      <c r="DY669" s="17"/>
      <c r="DZ669" s="17"/>
      <c r="EA669" s="16"/>
      <c r="EB669" s="16"/>
      <c r="EC669" s="17"/>
      <c r="ED669" s="17"/>
      <c r="EE669" s="16"/>
      <c r="EF669" s="16"/>
      <c r="EG669" s="17"/>
      <c r="EH669" s="17"/>
      <c r="EI669" s="16"/>
      <c r="EJ669" s="16"/>
      <c r="EK669" s="17"/>
      <c r="EL669" s="17"/>
      <c r="EM669" s="16"/>
      <c r="EN669" s="16"/>
      <c r="EO669" s="17"/>
      <c r="EP669" s="17"/>
      <c r="EQ669" s="16"/>
      <c r="ER669" s="16"/>
      <c r="ES669" s="17"/>
      <c r="ET669" s="17"/>
      <c r="EU669" s="16"/>
      <c r="EV669" s="16"/>
      <c r="EW669" s="17"/>
      <c r="EX669" s="17"/>
      <c r="EY669" s="16"/>
      <c r="EZ669" s="16"/>
      <c r="FA669" s="17"/>
      <c r="FB669" s="17"/>
      <c r="FC669" s="16"/>
      <c r="FD669" s="16"/>
      <c r="FE669" s="17"/>
      <c r="FF669" s="17"/>
      <c r="FG669" s="11"/>
      <c r="GT669" s="11"/>
      <c r="IG669" s="11"/>
      <c r="JT669" s="11"/>
      <c r="LG669" s="11"/>
      <c r="MT669" s="11"/>
      <c r="OG669" s="11"/>
      <c r="PT669" s="11"/>
    </row>
    <row r="670" spans="1:436" ht="15.75" x14ac:dyDescent="0.25">
      <c r="C670" s="20" t="s">
        <v>410</v>
      </c>
      <c r="D670" s="21" t="s">
        <v>142</v>
      </c>
      <c r="H670" s="11"/>
      <c r="AU670" s="11"/>
      <c r="CH670" s="11"/>
      <c r="CI670" s="16"/>
      <c r="CJ670" s="16"/>
      <c r="CK670" s="16"/>
      <c r="CL670" s="16"/>
      <c r="CM670" s="16"/>
      <c r="CN670" s="16"/>
      <c r="CO670" s="16"/>
      <c r="CP670" s="16"/>
      <c r="CQ670" s="16"/>
      <c r="CR670" s="16"/>
      <c r="CS670" s="16"/>
      <c r="CT670" s="16"/>
      <c r="CU670" s="16"/>
      <c r="CV670" s="16"/>
      <c r="CW670" s="16"/>
      <c r="CX670" s="16"/>
      <c r="CY670" s="16"/>
      <c r="CZ670" s="16"/>
      <c r="DA670" s="16"/>
      <c r="DB670" s="16"/>
      <c r="DC670" s="16"/>
      <c r="DD670" s="16"/>
      <c r="DE670" s="17"/>
      <c r="DF670" s="17"/>
      <c r="DG670" s="16"/>
      <c r="DH670" s="16"/>
      <c r="DI670" s="17"/>
      <c r="DJ670" s="17"/>
      <c r="DK670" s="16"/>
      <c r="DL670" s="16"/>
      <c r="DM670" s="17"/>
      <c r="DN670" s="17"/>
      <c r="DO670" s="16"/>
      <c r="DP670" s="16"/>
      <c r="DQ670" s="17"/>
      <c r="DR670" s="17"/>
      <c r="DS670" s="16"/>
      <c r="DT670" s="16"/>
      <c r="DU670" s="17"/>
      <c r="DV670" s="17"/>
      <c r="DW670" s="16"/>
      <c r="DX670" s="16"/>
      <c r="DY670" s="17"/>
      <c r="DZ670" s="17"/>
      <c r="EA670" s="16"/>
      <c r="EB670" s="16"/>
      <c r="EC670" s="17"/>
      <c r="ED670" s="17"/>
      <c r="EE670" s="16"/>
      <c r="EF670" s="16"/>
      <c r="EG670" s="17"/>
      <c r="EH670" s="17"/>
      <c r="EI670" s="16"/>
      <c r="EJ670" s="16"/>
      <c r="EK670" s="17"/>
      <c r="EL670" s="17"/>
      <c r="EM670" s="16"/>
      <c r="EN670" s="16"/>
      <c r="EO670" s="17"/>
      <c r="EP670" s="17"/>
      <c r="EQ670" s="16"/>
      <c r="ER670" s="16"/>
      <c r="ES670" s="17"/>
      <c r="ET670" s="17"/>
      <c r="EU670" s="16"/>
      <c r="EV670" s="16"/>
      <c r="EW670" s="17"/>
      <c r="EX670" s="17"/>
      <c r="EY670" s="16"/>
      <c r="EZ670" s="16"/>
      <c r="FA670" s="17"/>
      <c r="FB670" s="17"/>
      <c r="FC670" s="16"/>
      <c r="FD670" s="16"/>
      <c r="FE670" s="17"/>
      <c r="FF670" s="17"/>
      <c r="FG670" s="11"/>
      <c r="GT670" s="11"/>
      <c r="IG670" s="11"/>
      <c r="JT670" s="11"/>
      <c r="LG670" s="11"/>
      <c r="MT670" s="11"/>
      <c r="OG670" s="11"/>
      <c r="PT670" s="11"/>
    </row>
    <row r="671" spans="1:436" ht="15.75" x14ac:dyDescent="0.25">
      <c r="C671" s="20" t="s">
        <v>564</v>
      </c>
      <c r="D671" s="21" t="s">
        <v>104</v>
      </c>
      <c r="H671" s="11"/>
      <c r="AU671" s="11"/>
      <c r="CH671" s="11"/>
      <c r="CI671" s="16"/>
      <c r="CJ671" s="16"/>
      <c r="CK671" s="16"/>
      <c r="CL671" s="16"/>
      <c r="CM671" s="16"/>
      <c r="CN671" s="16"/>
      <c r="CO671" s="16"/>
      <c r="CP671" s="16"/>
      <c r="CQ671" s="16"/>
      <c r="CR671" s="16"/>
      <c r="CS671" s="16"/>
      <c r="CT671" s="16"/>
      <c r="CU671" s="16"/>
      <c r="CV671" s="16"/>
      <c r="CW671" s="16"/>
      <c r="CX671" s="16"/>
      <c r="CY671" s="16"/>
      <c r="CZ671" s="16"/>
      <c r="DA671" s="16"/>
      <c r="DB671" s="16"/>
      <c r="DC671" s="16"/>
      <c r="DD671" s="16"/>
      <c r="DE671" s="17"/>
      <c r="DF671" s="17"/>
      <c r="DG671" s="16"/>
      <c r="DH671" s="16"/>
      <c r="DI671" s="17"/>
      <c r="DJ671" s="17"/>
      <c r="DK671" s="16"/>
      <c r="DL671" s="16"/>
      <c r="DM671" s="17"/>
      <c r="DN671" s="17"/>
      <c r="DO671" s="16"/>
      <c r="DP671" s="16"/>
      <c r="DQ671" s="17"/>
      <c r="DR671" s="17"/>
      <c r="DS671" s="16"/>
      <c r="DT671" s="16"/>
      <c r="DU671" s="17"/>
      <c r="DV671" s="17"/>
      <c r="DW671" s="16"/>
      <c r="DX671" s="16"/>
      <c r="DY671" s="17"/>
      <c r="DZ671" s="17"/>
      <c r="EA671" s="16"/>
      <c r="EB671" s="16"/>
      <c r="EC671" s="17"/>
      <c r="ED671" s="17"/>
      <c r="EE671" s="16"/>
      <c r="EF671" s="16"/>
      <c r="EG671" s="17"/>
      <c r="EH671" s="17"/>
      <c r="EI671" s="16"/>
      <c r="EJ671" s="16"/>
      <c r="EK671" s="17"/>
      <c r="EL671" s="17"/>
      <c r="EM671" s="16"/>
      <c r="EN671" s="16"/>
      <c r="EO671" s="17"/>
      <c r="EP671" s="17"/>
      <c r="EQ671" s="16"/>
      <c r="ER671" s="16"/>
      <c r="ES671" s="17"/>
      <c r="ET671" s="17"/>
      <c r="EU671" s="16"/>
      <c r="EV671" s="16"/>
      <c r="EW671" s="17"/>
      <c r="EX671" s="17"/>
      <c r="EY671" s="16"/>
      <c r="EZ671" s="16"/>
      <c r="FA671" s="17"/>
      <c r="FB671" s="17"/>
      <c r="FC671" s="19">
        <v>0</v>
      </c>
      <c r="FD671" s="19">
        <v>0</v>
      </c>
      <c r="FE671" s="17"/>
      <c r="FF671" s="17"/>
      <c r="FG671" s="11"/>
      <c r="GT671" s="11"/>
      <c r="IG671" s="11"/>
      <c r="JT671" s="11"/>
      <c r="LG671" s="11"/>
      <c r="MT671" s="11"/>
      <c r="OG671" s="11"/>
      <c r="PT671" s="11"/>
    </row>
    <row r="672" spans="1:436" ht="15.75" x14ac:dyDescent="0.25">
      <c r="C672" s="20" t="s">
        <v>565</v>
      </c>
      <c r="D672" s="21" t="s">
        <v>90</v>
      </c>
      <c r="H672" s="11"/>
      <c r="AU672" s="11"/>
      <c r="CH672" s="11"/>
      <c r="CI672" s="16"/>
      <c r="CJ672" s="16"/>
      <c r="CK672" s="16"/>
      <c r="CL672" s="16"/>
      <c r="CM672" s="16"/>
      <c r="CN672" s="16"/>
      <c r="CO672" s="16"/>
      <c r="CP672" s="16"/>
      <c r="CQ672" s="16"/>
      <c r="CR672" s="16"/>
      <c r="CS672" s="16"/>
      <c r="CT672" s="16"/>
      <c r="CU672" s="16"/>
      <c r="CV672" s="16"/>
      <c r="CW672" s="16"/>
      <c r="CX672" s="16"/>
      <c r="CY672" s="16"/>
      <c r="CZ672" s="16"/>
      <c r="DA672" s="16"/>
      <c r="DB672" s="16"/>
      <c r="DC672" s="16"/>
      <c r="DD672" s="16"/>
      <c r="DE672" s="17"/>
      <c r="DF672" s="17"/>
      <c r="DG672" s="16"/>
      <c r="DH672" s="16"/>
      <c r="DI672" s="17"/>
      <c r="DJ672" s="17"/>
      <c r="DK672" s="16"/>
      <c r="DL672" s="16"/>
      <c r="DM672" s="17"/>
      <c r="DN672" s="17"/>
      <c r="DO672" s="16"/>
      <c r="DP672" s="16"/>
      <c r="DQ672" s="17"/>
      <c r="DR672" s="17"/>
      <c r="DS672" s="16"/>
      <c r="DT672" s="16"/>
      <c r="DU672" s="17"/>
      <c r="DV672" s="17"/>
      <c r="DW672" s="16"/>
      <c r="DX672" s="16"/>
      <c r="DY672" s="17"/>
      <c r="DZ672" s="17"/>
      <c r="EA672" s="16"/>
      <c r="EB672" s="16"/>
      <c r="EC672" s="17"/>
      <c r="ED672" s="17"/>
      <c r="EE672" s="16"/>
      <c r="EF672" s="16"/>
      <c r="EG672" s="17"/>
      <c r="EH672" s="17"/>
      <c r="EI672" s="16"/>
      <c r="EJ672" s="16"/>
      <c r="EK672" s="17"/>
      <c r="EL672" s="17"/>
      <c r="EM672" s="16"/>
      <c r="EN672" s="16"/>
      <c r="EO672" s="17"/>
      <c r="EP672" s="17"/>
      <c r="EQ672" s="16"/>
      <c r="ER672" s="16"/>
      <c r="ES672" s="17"/>
      <c r="ET672" s="17"/>
      <c r="EU672" s="16"/>
      <c r="EV672" s="16"/>
      <c r="EW672" s="17"/>
      <c r="EX672" s="17"/>
      <c r="EY672" s="16"/>
      <c r="EZ672" s="16"/>
      <c r="FA672" s="17"/>
      <c r="FB672" s="17"/>
      <c r="FC672" s="16"/>
      <c r="FD672" s="16"/>
      <c r="FE672" s="17"/>
      <c r="FF672" s="17"/>
      <c r="FG672" s="11"/>
      <c r="GT672" s="11"/>
      <c r="IG672" s="11"/>
      <c r="JT672" s="11"/>
      <c r="LG672" s="11"/>
      <c r="MT672" s="11"/>
      <c r="OG672" s="11"/>
      <c r="PT672" s="11"/>
    </row>
    <row r="673" spans="3:436" ht="15.75" x14ac:dyDescent="0.25">
      <c r="C673" s="20" t="s">
        <v>566</v>
      </c>
      <c r="D673" s="21" t="s">
        <v>203</v>
      </c>
      <c r="H673" s="11"/>
      <c r="AU673" s="11"/>
      <c r="CH673" s="11"/>
      <c r="CI673" s="16"/>
      <c r="CJ673" s="16"/>
      <c r="CK673" s="16"/>
      <c r="CL673" s="16"/>
      <c r="CM673" s="16"/>
      <c r="CN673" s="16"/>
      <c r="CO673" s="16"/>
      <c r="CP673" s="16"/>
      <c r="CQ673" s="16"/>
      <c r="CR673" s="16"/>
      <c r="CS673" s="16"/>
      <c r="CT673" s="16"/>
      <c r="CU673" s="16"/>
      <c r="CV673" s="16"/>
      <c r="CW673" s="16"/>
      <c r="CX673" s="16"/>
      <c r="CY673" s="16"/>
      <c r="CZ673" s="16"/>
      <c r="DA673" s="16"/>
      <c r="DB673" s="16"/>
      <c r="DC673" s="16"/>
      <c r="DD673" s="16"/>
      <c r="DE673" s="17"/>
      <c r="DF673" s="17"/>
      <c r="DG673" s="16"/>
      <c r="DH673" s="16"/>
      <c r="DI673" s="17"/>
      <c r="DJ673" s="17"/>
      <c r="DK673" s="16"/>
      <c r="DL673" s="16"/>
      <c r="DM673" s="17"/>
      <c r="DN673" s="17"/>
      <c r="DO673" s="16"/>
      <c r="DP673" s="16"/>
      <c r="DQ673" s="17"/>
      <c r="DR673" s="17"/>
      <c r="DS673" s="16"/>
      <c r="DT673" s="16"/>
      <c r="DU673" s="17"/>
      <c r="DV673" s="17"/>
      <c r="DW673" s="16"/>
      <c r="DX673" s="16"/>
      <c r="DY673" s="17"/>
      <c r="DZ673" s="17"/>
      <c r="EA673" s="16"/>
      <c r="EB673" s="16"/>
      <c r="EC673" s="17"/>
      <c r="ED673" s="17"/>
      <c r="EE673" s="16"/>
      <c r="EF673" s="16"/>
      <c r="EG673" s="17"/>
      <c r="EH673" s="17"/>
      <c r="EI673" s="16"/>
      <c r="EJ673" s="16"/>
      <c r="EK673" s="17"/>
      <c r="EL673" s="17"/>
      <c r="EM673" s="16"/>
      <c r="EN673" s="16"/>
      <c r="EO673" s="17"/>
      <c r="EP673" s="17"/>
      <c r="EQ673" s="16"/>
      <c r="ER673" s="16"/>
      <c r="ES673" s="17"/>
      <c r="ET673" s="17"/>
      <c r="EU673" s="16"/>
      <c r="EV673" s="16"/>
      <c r="EW673" s="17"/>
      <c r="EX673" s="17"/>
      <c r="EY673" s="16"/>
      <c r="EZ673" s="16"/>
      <c r="FA673" s="17"/>
      <c r="FB673" s="17"/>
      <c r="FC673" s="16"/>
      <c r="FD673" s="16"/>
      <c r="FE673" s="17"/>
      <c r="FF673" s="17"/>
      <c r="FG673" s="11"/>
      <c r="GT673" s="11"/>
      <c r="IG673" s="11"/>
      <c r="JT673" s="11"/>
      <c r="LG673" s="11"/>
      <c r="MT673" s="11"/>
      <c r="OG673" s="11"/>
      <c r="PT673" s="11"/>
    </row>
    <row r="674" spans="3:436" ht="15.75" x14ac:dyDescent="0.25">
      <c r="C674" s="20" t="s">
        <v>567</v>
      </c>
      <c r="D674" s="21" t="s">
        <v>79</v>
      </c>
      <c r="H674" s="11"/>
      <c r="AU674" s="11"/>
      <c r="CH674" s="11"/>
      <c r="CI674" s="16"/>
      <c r="CJ674" s="16"/>
      <c r="CK674" s="16"/>
      <c r="CL674" s="16"/>
      <c r="CM674" s="16"/>
      <c r="CN674" s="16"/>
      <c r="CO674" s="16"/>
      <c r="CP674" s="16"/>
      <c r="CQ674" s="16"/>
      <c r="CR674" s="16"/>
      <c r="CS674" s="16"/>
      <c r="CT674" s="16"/>
      <c r="CU674" s="16"/>
      <c r="CV674" s="16"/>
      <c r="CW674" s="16"/>
      <c r="CX674" s="16"/>
      <c r="CY674" s="16"/>
      <c r="CZ674" s="16"/>
      <c r="DA674" s="16"/>
      <c r="DB674" s="16"/>
      <c r="DC674" s="16"/>
      <c r="DD674" s="16"/>
      <c r="DE674" s="17"/>
      <c r="DF674" s="17"/>
      <c r="DG674" s="16"/>
      <c r="DH674" s="16"/>
      <c r="DI674" s="17"/>
      <c r="DJ674" s="18">
        <v>4</v>
      </c>
      <c r="DK674" s="16"/>
      <c r="DL674" s="16"/>
      <c r="DM674" s="17"/>
      <c r="DN674" s="17"/>
      <c r="DO674" s="16"/>
      <c r="DP674" s="16"/>
      <c r="DQ674" s="17"/>
      <c r="DR674" s="17"/>
      <c r="DS674" s="16"/>
      <c r="DT674" s="16"/>
      <c r="DU674" s="17"/>
      <c r="DV674" s="17"/>
      <c r="DW674" s="16"/>
      <c r="DX674" s="16"/>
      <c r="DY674" s="17"/>
      <c r="DZ674" s="17"/>
      <c r="EA674" s="16"/>
      <c r="EB674" s="16"/>
      <c r="EC674" s="17"/>
      <c r="ED674" s="17"/>
      <c r="EE674" s="16"/>
      <c r="EF674" s="16"/>
      <c r="EG674" s="17"/>
      <c r="EH674" s="17"/>
      <c r="EI674" s="16"/>
      <c r="EJ674" s="16"/>
      <c r="EK674" s="17"/>
      <c r="EL674" s="17"/>
      <c r="EM674" s="16"/>
      <c r="EN674" s="16"/>
      <c r="EO674" s="17"/>
      <c r="EP674" s="17"/>
      <c r="EQ674" s="16"/>
      <c r="ER674" s="16"/>
      <c r="ES674" s="17"/>
      <c r="ET674" s="17"/>
      <c r="EU674" s="16"/>
      <c r="EV674" s="16"/>
      <c r="EW674" s="17"/>
      <c r="EX674" s="17"/>
      <c r="EY674" s="16"/>
      <c r="EZ674" s="16"/>
      <c r="FA674" s="17"/>
      <c r="FB674" s="17"/>
      <c r="FC674" s="16"/>
      <c r="FD674" s="16"/>
      <c r="FE674" s="17"/>
      <c r="FF674" s="17"/>
      <c r="FG674" s="11"/>
      <c r="GT674" s="11"/>
      <c r="IG674" s="11"/>
      <c r="JT674" s="11"/>
      <c r="LG674" s="11"/>
      <c r="MT674" s="11"/>
      <c r="OG674" s="11"/>
      <c r="PT674" s="11"/>
    </row>
    <row r="675" spans="3:436" ht="15.75" x14ac:dyDescent="0.25">
      <c r="C675" s="20" t="s">
        <v>559</v>
      </c>
      <c r="D675" s="21" t="s">
        <v>79</v>
      </c>
      <c r="H675" s="11"/>
      <c r="AU675" s="11"/>
      <c r="CH675" s="11"/>
      <c r="CI675" s="16"/>
      <c r="CJ675" s="16"/>
      <c r="CK675" s="16"/>
      <c r="CL675" s="16"/>
      <c r="CM675" s="16"/>
      <c r="CN675" s="16"/>
      <c r="CO675" s="16"/>
      <c r="CP675" s="16"/>
      <c r="CQ675" s="16"/>
      <c r="CR675" s="16"/>
      <c r="CS675" s="16"/>
      <c r="CT675" s="16"/>
      <c r="CU675" s="16"/>
      <c r="CV675" s="16"/>
      <c r="CW675" s="16"/>
      <c r="CX675" s="16"/>
      <c r="CY675" s="16"/>
      <c r="CZ675" s="16"/>
      <c r="DA675" s="16"/>
      <c r="DB675" s="16"/>
      <c r="DC675" s="16"/>
      <c r="DD675" s="16"/>
      <c r="DE675" s="17"/>
      <c r="DF675" s="17"/>
      <c r="DG675" s="16"/>
      <c r="DH675" s="16"/>
      <c r="DI675" s="18">
        <v>3</v>
      </c>
      <c r="DJ675" s="18">
        <v>9</v>
      </c>
      <c r="DK675" s="16"/>
      <c r="DL675" s="16"/>
      <c r="DM675" s="17"/>
      <c r="DN675" s="17"/>
      <c r="DO675" s="16"/>
      <c r="DP675" s="16"/>
      <c r="DQ675" s="17"/>
      <c r="DR675" s="17"/>
      <c r="DS675" s="16"/>
      <c r="DT675" s="16"/>
      <c r="DU675" s="17"/>
      <c r="DV675" s="17"/>
      <c r="DW675" s="16"/>
      <c r="DX675" s="16"/>
      <c r="DY675" s="17"/>
      <c r="DZ675" s="17"/>
      <c r="EA675" s="16"/>
      <c r="EB675" s="16"/>
      <c r="EC675" s="17"/>
      <c r="ED675" s="17"/>
      <c r="EE675" s="16"/>
      <c r="EF675" s="16"/>
      <c r="EG675" s="17"/>
      <c r="EH675" s="17"/>
      <c r="EI675" s="16"/>
      <c r="EJ675" s="16"/>
      <c r="EK675" s="17"/>
      <c r="EL675" s="17"/>
      <c r="EM675" s="16"/>
      <c r="EN675" s="16"/>
      <c r="EO675" s="17"/>
      <c r="EP675" s="17"/>
      <c r="EQ675" s="16"/>
      <c r="ER675" s="16"/>
      <c r="ES675" s="17"/>
      <c r="ET675" s="17"/>
      <c r="EU675" s="16"/>
      <c r="EV675" s="16"/>
      <c r="EW675" s="17"/>
      <c r="EX675" s="17"/>
      <c r="EY675" s="16"/>
      <c r="EZ675" s="16"/>
      <c r="FA675" s="17"/>
      <c r="FB675" s="17"/>
      <c r="FC675" s="16"/>
      <c r="FD675" s="16"/>
      <c r="FE675" s="17"/>
      <c r="FF675" s="17"/>
      <c r="FG675" s="11"/>
      <c r="GT675" s="11"/>
      <c r="IG675" s="11"/>
      <c r="JT675" s="11"/>
      <c r="LG675" s="11"/>
      <c r="MT675" s="11"/>
      <c r="OG675" s="11"/>
      <c r="PT675" s="11"/>
    </row>
    <row r="676" spans="3:436" ht="15.75" x14ac:dyDescent="0.25">
      <c r="C676" s="20" t="s">
        <v>404</v>
      </c>
      <c r="D676" s="21" t="s">
        <v>129</v>
      </c>
      <c r="H676" s="11"/>
      <c r="AU676" s="11"/>
      <c r="CH676" s="11"/>
      <c r="CI676" s="16"/>
      <c r="CJ676" s="16"/>
      <c r="CK676" s="16"/>
      <c r="CL676" s="16"/>
      <c r="CM676" s="16"/>
      <c r="CN676" s="16"/>
      <c r="CO676" s="16"/>
      <c r="CP676" s="16"/>
      <c r="CQ676" s="16"/>
      <c r="CR676" s="16"/>
      <c r="CS676" s="16"/>
      <c r="CT676" s="16"/>
      <c r="CU676" s="16"/>
      <c r="CV676" s="16"/>
      <c r="CW676" s="16"/>
      <c r="CX676" s="16"/>
      <c r="CY676" s="16"/>
      <c r="CZ676" s="16"/>
      <c r="DA676" s="16"/>
      <c r="DB676" s="16"/>
      <c r="DC676" s="16"/>
      <c r="DD676" s="16"/>
      <c r="DE676" s="17"/>
      <c r="DF676" s="17"/>
      <c r="DG676" s="16"/>
      <c r="DH676" s="16"/>
      <c r="DI676" s="17"/>
      <c r="DJ676" s="17"/>
      <c r="DK676" s="16"/>
      <c r="DL676" s="16"/>
      <c r="DM676" s="17"/>
      <c r="DN676" s="17"/>
      <c r="DO676" s="16"/>
      <c r="DP676" s="16"/>
      <c r="DQ676" s="17"/>
      <c r="DR676" s="17"/>
      <c r="DS676" s="16"/>
      <c r="DT676" s="16"/>
      <c r="DU676" s="17"/>
      <c r="DV676" s="17"/>
      <c r="DW676" s="16"/>
      <c r="DX676" s="16"/>
      <c r="DY676" s="17"/>
      <c r="DZ676" s="17"/>
      <c r="EA676" s="16"/>
      <c r="EB676" s="16"/>
      <c r="EC676" s="17"/>
      <c r="ED676" s="17"/>
      <c r="EE676" s="16"/>
      <c r="EF676" s="16"/>
      <c r="EG676" s="17"/>
      <c r="EH676" s="17"/>
      <c r="EI676" s="16"/>
      <c r="EJ676" s="16"/>
      <c r="EK676" s="17"/>
      <c r="EL676" s="17"/>
      <c r="EM676" s="16"/>
      <c r="EN676" s="16"/>
      <c r="EO676" s="17"/>
      <c r="EP676" s="17"/>
      <c r="EQ676" s="16"/>
      <c r="ER676" s="16"/>
      <c r="ES676" s="17"/>
      <c r="ET676" s="17"/>
      <c r="EU676" s="16"/>
      <c r="EV676" s="16"/>
      <c r="EW676" s="17"/>
      <c r="EX676" s="17"/>
      <c r="EY676" s="16"/>
      <c r="EZ676" s="16"/>
      <c r="FA676" s="17"/>
      <c r="FB676" s="17"/>
      <c r="FC676" s="16"/>
      <c r="FD676" s="16"/>
      <c r="FE676" s="17"/>
      <c r="FF676" s="17"/>
      <c r="FG676" s="11"/>
      <c r="GT676" s="11"/>
      <c r="IG676" s="11"/>
      <c r="JT676" s="11"/>
      <c r="LG676" s="11"/>
      <c r="MT676" s="11"/>
      <c r="OG676" s="11"/>
      <c r="PT676" s="11"/>
    </row>
    <row r="677" spans="3:436" ht="15.75" x14ac:dyDescent="0.25">
      <c r="C677" s="20" t="s">
        <v>405</v>
      </c>
      <c r="D677" s="21" t="s">
        <v>162</v>
      </c>
      <c r="H677" s="11"/>
      <c r="AU677" s="11"/>
      <c r="CH677" s="11"/>
      <c r="CI677" s="16"/>
      <c r="CJ677" s="16"/>
      <c r="CK677" s="16"/>
      <c r="CL677" s="16"/>
      <c r="CM677" s="16"/>
      <c r="CN677" s="16"/>
      <c r="CO677" s="16"/>
      <c r="CP677" s="16"/>
      <c r="CQ677" s="16"/>
      <c r="CR677" s="16"/>
      <c r="CS677" s="16"/>
      <c r="CT677" s="16"/>
      <c r="CU677" s="16"/>
      <c r="CV677" s="16"/>
      <c r="CW677" s="16"/>
      <c r="CX677" s="16"/>
      <c r="CY677" s="16"/>
      <c r="CZ677" s="16"/>
      <c r="DA677" s="16"/>
      <c r="DB677" s="16"/>
      <c r="DC677" s="16"/>
      <c r="DD677" s="16"/>
      <c r="DE677" s="17"/>
      <c r="DF677" s="17"/>
      <c r="DG677" s="16"/>
      <c r="DH677" s="16"/>
      <c r="DI677" s="17"/>
      <c r="DJ677" s="17"/>
      <c r="DK677" s="16"/>
      <c r="DL677" s="16"/>
      <c r="DM677" s="17"/>
      <c r="DN677" s="17"/>
      <c r="DO677" s="16"/>
      <c r="DP677" s="16"/>
      <c r="DQ677" s="17"/>
      <c r="DR677" s="17"/>
      <c r="DS677" s="16"/>
      <c r="DT677" s="16"/>
      <c r="DU677" s="17"/>
      <c r="DV677" s="17"/>
      <c r="DW677" s="16"/>
      <c r="DX677" s="16"/>
      <c r="DY677" s="17"/>
      <c r="DZ677" s="17"/>
      <c r="EA677" s="16"/>
      <c r="EB677" s="16"/>
      <c r="EC677" s="17"/>
      <c r="ED677" s="17"/>
      <c r="EE677" s="16"/>
      <c r="EF677" s="16"/>
      <c r="EG677" s="17"/>
      <c r="EH677" s="17"/>
      <c r="EI677" s="16"/>
      <c r="EJ677" s="16"/>
      <c r="EK677" s="17"/>
      <c r="EL677" s="17"/>
      <c r="EM677" s="16"/>
      <c r="EN677" s="16"/>
      <c r="EO677" s="17"/>
      <c r="EP677" s="17"/>
      <c r="EQ677" s="16"/>
      <c r="ER677" s="16"/>
      <c r="ES677" s="17"/>
      <c r="ET677" s="17"/>
      <c r="EU677" s="16"/>
      <c r="EV677" s="16"/>
      <c r="EW677" s="17"/>
      <c r="EX677" s="17"/>
      <c r="EY677" s="16"/>
      <c r="EZ677" s="16"/>
      <c r="FA677" s="17"/>
      <c r="FB677" s="17"/>
      <c r="FC677" s="16"/>
      <c r="FD677" s="16"/>
      <c r="FE677" s="17"/>
      <c r="FF677" s="17"/>
      <c r="FG677" s="11"/>
      <c r="GT677" s="11"/>
      <c r="IG677" s="11"/>
      <c r="JT677" s="11"/>
      <c r="LG677" s="11"/>
      <c r="MT677" s="11"/>
      <c r="OG677" s="11"/>
      <c r="PT677" s="11"/>
    </row>
    <row r="678" spans="3:436" ht="15.75" x14ac:dyDescent="0.25">
      <c r="C678" s="20" t="s">
        <v>560</v>
      </c>
      <c r="D678" s="21" t="s">
        <v>203</v>
      </c>
      <c r="H678" s="11"/>
      <c r="AU678" s="11"/>
      <c r="CH678" s="11"/>
      <c r="CI678" s="16"/>
      <c r="CJ678" s="16"/>
      <c r="CK678" s="16"/>
      <c r="CL678" s="16"/>
      <c r="CM678" s="16"/>
      <c r="CN678" s="16"/>
      <c r="CO678" s="16"/>
      <c r="CP678" s="16"/>
      <c r="CQ678" s="16"/>
      <c r="CR678" s="16"/>
      <c r="CS678" s="16"/>
      <c r="CT678" s="16"/>
      <c r="CU678" s="16"/>
      <c r="CV678" s="16"/>
      <c r="CW678" s="16"/>
      <c r="CX678" s="16"/>
      <c r="CY678" s="16"/>
      <c r="CZ678" s="16"/>
      <c r="DA678" s="16"/>
      <c r="DB678" s="16"/>
      <c r="DC678" s="16"/>
      <c r="DD678" s="16"/>
      <c r="DE678" s="17"/>
      <c r="DF678" s="17"/>
      <c r="DG678" s="16"/>
      <c r="DH678" s="16"/>
      <c r="DI678" s="17"/>
      <c r="DJ678" s="17"/>
      <c r="DK678" s="16"/>
      <c r="DL678" s="16"/>
      <c r="DM678" s="17"/>
      <c r="DN678" s="17"/>
      <c r="DO678" s="16"/>
      <c r="DP678" s="16"/>
      <c r="DQ678" s="17"/>
      <c r="DR678" s="17"/>
      <c r="DS678" s="16"/>
      <c r="DT678" s="16"/>
      <c r="DU678" s="17"/>
      <c r="DV678" s="17"/>
      <c r="DW678" s="16"/>
      <c r="DX678" s="16"/>
      <c r="DY678" s="17"/>
      <c r="DZ678" s="17"/>
      <c r="EA678" s="16"/>
      <c r="EB678" s="16"/>
      <c r="EC678" s="17"/>
      <c r="ED678" s="17"/>
      <c r="EE678" s="16"/>
      <c r="EF678" s="16"/>
      <c r="EG678" s="17"/>
      <c r="EH678" s="17"/>
      <c r="EI678" s="16"/>
      <c r="EJ678" s="16"/>
      <c r="EK678" s="17"/>
      <c r="EL678" s="17"/>
      <c r="EM678" s="16"/>
      <c r="EN678" s="16"/>
      <c r="EO678" s="17"/>
      <c r="EP678" s="17"/>
      <c r="EQ678" s="16"/>
      <c r="ER678" s="16"/>
      <c r="ES678" s="17"/>
      <c r="ET678" s="17"/>
      <c r="EU678" s="16"/>
      <c r="EV678" s="16"/>
      <c r="EW678" s="17"/>
      <c r="EX678" s="17"/>
      <c r="EY678" s="16"/>
      <c r="EZ678" s="16"/>
      <c r="FA678" s="17"/>
      <c r="FB678" s="17"/>
      <c r="FC678" s="16"/>
      <c r="FD678" s="16"/>
      <c r="FE678" s="17"/>
      <c r="FF678" s="17"/>
      <c r="FG678" s="11"/>
      <c r="GT678" s="11"/>
      <c r="IG678" s="11"/>
      <c r="JT678" s="11"/>
      <c r="LG678" s="11"/>
      <c r="MT678" s="11"/>
      <c r="OG678" s="11"/>
      <c r="PT678" s="11"/>
    </row>
    <row r="679" spans="3:436" ht="15.75" x14ac:dyDescent="0.25">
      <c r="C679" s="20" t="s">
        <v>561</v>
      </c>
      <c r="D679" s="21" t="s">
        <v>203</v>
      </c>
      <c r="H679" s="11"/>
      <c r="AU679" s="11"/>
      <c r="CH679" s="11"/>
      <c r="CI679" s="16"/>
      <c r="CJ679" s="16"/>
      <c r="CK679" s="16"/>
      <c r="CL679" s="16"/>
      <c r="CM679" s="16"/>
      <c r="CN679" s="16"/>
      <c r="CO679" s="16"/>
      <c r="CP679" s="16"/>
      <c r="CQ679" s="16"/>
      <c r="CR679" s="16"/>
      <c r="CS679" s="16"/>
      <c r="CT679" s="16"/>
      <c r="CU679" s="16"/>
      <c r="CV679" s="16"/>
      <c r="CW679" s="16"/>
      <c r="CX679" s="16"/>
      <c r="CY679" s="16"/>
      <c r="CZ679" s="16"/>
      <c r="DA679" s="16"/>
      <c r="DB679" s="16"/>
      <c r="DC679" s="16"/>
      <c r="DD679" s="16"/>
      <c r="DE679" s="17"/>
      <c r="DF679" s="17"/>
      <c r="DG679" s="16"/>
      <c r="DH679" s="16"/>
      <c r="DI679" s="17"/>
      <c r="DJ679" s="17"/>
      <c r="DK679" s="16"/>
      <c r="DL679" s="16"/>
      <c r="DM679" s="17"/>
      <c r="DN679" s="17"/>
      <c r="DO679" s="16"/>
      <c r="DP679" s="16"/>
      <c r="DQ679" s="17"/>
      <c r="DR679" s="17"/>
      <c r="DS679" s="16"/>
      <c r="DT679" s="16"/>
      <c r="DU679" s="17"/>
      <c r="DV679" s="17"/>
      <c r="DW679" s="16"/>
      <c r="DX679" s="16"/>
      <c r="DY679" s="17"/>
      <c r="DZ679" s="17"/>
      <c r="EA679" s="16"/>
      <c r="EB679" s="16"/>
      <c r="EC679" s="17"/>
      <c r="ED679" s="17"/>
      <c r="EE679" s="16"/>
      <c r="EF679" s="16"/>
      <c r="EG679" s="17"/>
      <c r="EH679" s="17"/>
      <c r="EI679" s="16"/>
      <c r="EJ679" s="16"/>
      <c r="EK679" s="17"/>
      <c r="EL679" s="17"/>
      <c r="EM679" s="16"/>
      <c r="EN679" s="16"/>
      <c r="EO679" s="17"/>
      <c r="EP679" s="17"/>
      <c r="EQ679" s="16"/>
      <c r="ER679" s="16"/>
      <c r="ES679" s="17"/>
      <c r="ET679" s="17"/>
      <c r="EU679" s="16"/>
      <c r="EV679" s="16"/>
      <c r="EW679" s="17"/>
      <c r="EX679" s="17"/>
      <c r="EY679" s="16"/>
      <c r="EZ679" s="16"/>
      <c r="FA679" s="17"/>
      <c r="FB679" s="17"/>
      <c r="FC679" s="16"/>
      <c r="FD679" s="16"/>
      <c r="FE679" s="17"/>
      <c r="FF679" s="17"/>
      <c r="FG679" s="11"/>
      <c r="GT679" s="11"/>
      <c r="IG679" s="11"/>
      <c r="JT679" s="11"/>
      <c r="LG679" s="11"/>
      <c r="MT679" s="11"/>
      <c r="OG679" s="11"/>
      <c r="PT679" s="11"/>
    </row>
    <row r="680" spans="3:436" ht="15.75" x14ac:dyDescent="0.25">
      <c r="C680" s="20" t="s">
        <v>562</v>
      </c>
      <c r="D680" s="21" t="s">
        <v>159</v>
      </c>
      <c r="H680" s="11"/>
      <c r="AU680" s="11"/>
      <c r="CH680" s="11"/>
      <c r="CI680" s="16"/>
      <c r="CJ680" s="16"/>
      <c r="CK680" s="16"/>
      <c r="CL680" s="16"/>
      <c r="CM680" s="16"/>
      <c r="CN680" s="16"/>
      <c r="CO680" s="16"/>
      <c r="CP680" s="16"/>
      <c r="CQ680" s="16"/>
      <c r="CR680" s="16"/>
      <c r="CS680" s="16"/>
      <c r="CT680" s="16"/>
      <c r="CU680" s="16"/>
      <c r="CV680" s="16"/>
      <c r="CW680" s="16"/>
      <c r="CX680" s="16"/>
      <c r="CY680" s="16"/>
      <c r="CZ680" s="16"/>
      <c r="DA680" s="16"/>
      <c r="DB680" s="16"/>
      <c r="DC680" s="16"/>
      <c r="DD680" s="16"/>
      <c r="DE680" s="17"/>
      <c r="DF680" s="17"/>
      <c r="DG680" s="16"/>
      <c r="DH680" s="16"/>
      <c r="DI680" s="17"/>
      <c r="DJ680" s="17"/>
      <c r="DK680" s="16"/>
      <c r="DL680" s="16"/>
      <c r="DM680" s="17"/>
      <c r="DN680" s="17"/>
      <c r="DO680" s="16"/>
      <c r="DP680" s="16"/>
      <c r="DQ680" s="17"/>
      <c r="DR680" s="17"/>
      <c r="DS680" s="16"/>
      <c r="DT680" s="16"/>
      <c r="DU680" s="17"/>
      <c r="DV680" s="17"/>
      <c r="DW680" s="16"/>
      <c r="DX680" s="16"/>
      <c r="DY680" s="17"/>
      <c r="DZ680" s="17"/>
      <c r="EA680" s="16"/>
      <c r="EB680" s="16"/>
      <c r="EC680" s="17"/>
      <c r="ED680" s="17"/>
      <c r="EE680" s="16"/>
      <c r="EF680" s="16"/>
      <c r="EG680" s="17"/>
      <c r="EH680" s="17"/>
      <c r="EI680" s="16"/>
      <c r="EJ680" s="16"/>
      <c r="EK680" s="17"/>
      <c r="EL680" s="17"/>
      <c r="EM680" s="16"/>
      <c r="EN680" s="16"/>
      <c r="EO680" s="17"/>
      <c r="EP680" s="17"/>
      <c r="EQ680" s="16"/>
      <c r="ER680" s="16"/>
      <c r="ES680" s="17"/>
      <c r="ET680" s="17"/>
      <c r="EU680" s="16"/>
      <c r="EV680" s="16"/>
      <c r="EW680" s="17"/>
      <c r="EX680" s="17"/>
      <c r="EY680" s="16"/>
      <c r="EZ680" s="16"/>
      <c r="FA680" s="17"/>
      <c r="FB680" s="17"/>
      <c r="FC680" s="16"/>
      <c r="FD680" s="16"/>
      <c r="FE680" s="17"/>
      <c r="FF680" s="17"/>
      <c r="FG680" s="11"/>
      <c r="GT680" s="11"/>
      <c r="IG680" s="11"/>
      <c r="JT680" s="11"/>
      <c r="LG680" s="11"/>
      <c r="MT680" s="11"/>
      <c r="OG680" s="11"/>
      <c r="PT680" s="11"/>
    </row>
    <row r="681" spans="3:436" ht="15.75" x14ac:dyDescent="0.25">
      <c r="C681" s="20" t="s">
        <v>563</v>
      </c>
      <c r="D681" s="21" t="s">
        <v>82</v>
      </c>
      <c r="H681" s="11"/>
      <c r="AU681" s="11"/>
      <c r="CH681" s="11"/>
      <c r="CI681" s="16"/>
      <c r="CJ681" s="16"/>
      <c r="CK681" s="16"/>
      <c r="CL681" s="16"/>
      <c r="CM681" s="16"/>
      <c r="CN681" s="16"/>
      <c r="CO681" s="16"/>
      <c r="CP681" s="16"/>
      <c r="CQ681" s="16"/>
      <c r="CR681" s="16"/>
      <c r="CS681" s="16"/>
      <c r="CT681" s="16"/>
      <c r="CU681" s="16"/>
      <c r="CV681" s="16"/>
      <c r="CW681" s="16"/>
      <c r="CX681" s="16"/>
      <c r="CY681" s="16"/>
      <c r="CZ681" s="16"/>
      <c r="DA681" s="16"/>
      <c r="DB681" s="16"/>
      <c r="DC681" s="16"/>
      <c r="DD681" s="16"/>
      <c r="DE681" s="17"/>
      <c r="DF681" s="17"/>
      <c r="DG681" s="16"/>
      <c r="DH681" s="16"/>
      <c r="DI681" s="17"/>
      <c r="DJ681" s="17"/>
      <c r="DK681" s="16"/>
      <c r="DL681" s="16"/>
      <c r="DM681" s="17"/>
      <c r="DN681" s="17"/>
      <c r="DO681" s="16"/>
      <c r="DP681" s="16"/>
      <c r="DQ681" s="17"/>
      <c r="DR681" s="17"/>
      <c r="DS681" s="16"/>
      <c r="DT681" s="16"/>
      <c r="DU681" s="17"/>
      <c r="DV681" s="17"/>
      <c r="DW681" s="16"/>
      <c r="DX681" s="16"/>
      <c r="DY681" s="17"/>
      <c r="DZ681" s="17"/>
      <c r="EA681" s="16"/>
      <c r="EB681" s="16"/>
      <c r="EC681" s="17"/>
      <c r="ED681" s="17"/>
      <c r="EE681" s="16"/>
      <c r="EF681" s="16"/>
      <c r="EG681" s="17"/>
      <c r="EH681" s="17"/>
      <c r="EI681" s="16"/>
      <c r="EJ681" s="16"/>
      <c r="EK681" s="17"/>
      <c r="EL681" s="17"/>
      <c r="EM681" s="16"/>
      <c r="EN681" s="16"/>
      <c r="EO681" s="17"/>
      <c r="EP681" s="17"/>
      <c r="EQ681" s="16"/>
      <c r="ER681" s="16"/>
      <c r="ES681" s="17"/>
      <c r="ET681" s="17"/>
      <c r="EU681" s="16"/>
      <c r="EV681" s="16"/>
      <c r="EW681" s="17"/>
      <c r="EX681" s="17"/>
      <c r="EY681" s="16"/>
      <c r="EZ681" s="16"/>
      <c r="FA681" s="17"/>
      <c r="FB681" s="17"/>
      <c r="FC681" s="16"/>
      <c r="FD681" s="16"/>
      <c r="FE681" s="17"/>
      <c r="FF681" s="17"/>
      <c r="FG681" s="11"/>
      <c r="GT681" s="11"/>
      <c r="IG681" s="11"/>
      <c r="JT681" s="11"/>
      <c r="LG681" s="11"/>
      <c r="MT681" s="11"/>
      <c r="OG681" s="11"/>
      <c r="PT681" s="11"/>
    </row>
    <row r="682" spans="3:436" ht="15.75" x14ac:dyDescent="0.25">
      <c r="C682" s="20" t="s">
        <v>410</v>
      </c>
      <c r="D682" s="21" t="s">
        <v>142</v>
      </c>
      <c r="H682" s="11"/>
      <c r="AU682" s="11"/>
      <c r="CH682" s="11"/>
      <c r="CI682" s="16"/>
      <c r="CJ682" s="16"/>
      <c r="CK682" s="16"/>
      <c r="CL682" s="16"/>
      <c r="CM682" s="16"/>
      <c r="CN682" s="16"/>
      <c r="CO682" s="16"/>
      <c r="CP682" s="16"/>
      <c r="CQ682" s="16"/>
      <c r="CR682" s="16"/>
      <c r="CS682" s="16"/>
      <c r="CT682" s="16"/>
      <c r="CU682" s="16"/>
      <c r="CV682" s="16"/>
      <c r="CW682" s="16"/>
      <c r="CX682" s="16"/>
      <c r="CY682" s="16"/>
      <c r="CZ682" s="16"/>
      <c r="DA682" s="16"/>
      <c r="DB682" s="16"/>
      <c r="DC682" s="16"/>
      <c r="DD682" s="16"/>
      <c r="DE682" s="17"/>
      <c r="DF682" s="17"/>
      <c r="DG682" s="16"/>
      <c r="DH682" s="16"/>
      <c r="DI682" s="17"/>
      <c r="DJ682" s="17"/>
      <c r="DK682" s="16"/>
      <c r="DL682" s="16"/>
      <c r="DM682" s="17"/>
      <c r="DN682" s="17"/>
      <c r="DO682" s="16"/>
      <c r="DP682" s="16"/>
      <c r="DQ682" s="17"/>
      <c r="DR682" s="17"/>
      <c r="DS682" s="16"/>
      <c r="DT682" s="16"/>
      <c r="DU682" s="17"/>
      <c r="DV682" s="17"/>
      <c r="DW682" s="16"/>
      <c r="DX682" s="16"/>
      <c r="DY682" s="17"/>
      <c r="DZ682" s="17"/>
      <c r="EA682" s="16"/>
      <c r="EB682" s="16"/>
      <c r="EC682" s="17"/>
      <c r="ED682" s="17"/>
      <c r="EE682" s="16"/>
      <c r="EF682" s="16"/>
      <c r="EG682" s="17"/>
      <c r="EH682" s="17"/>
      <c r="EI682" s="16"/>
      <c r="EJ682" s="16"/>
      <c r="EK682" s="17"/>
      <c r="EL682" s="17"/>
      <c r="EM682" s="16"/>
      <c r="EN682" s="16"/>
      <c r="EO682" s="17"/>
      <c r="EP682" s="17"/>
      <c r="EQ682" s="16"/>
      <c r="ER682" s="16"/>
      <c r="ES682" s="17"/>
      <c r="ET682" s="17"/>
      <c r="EU682" s="16"/>
      <c r="EV682" s="16"/>
      <c r="EW682" s="17"/>
      <c r="EX682" s="17"/>
      <c r="EY682" s="16"/>
      <c r="EZ682" s="16"/>
      <c r="FA682" s="17"/>
      <c r="FB682" s="17"/>
      <c r="FC682" s="16"/>
      <c r="FD682" s="16"/>
      <c r="FE682" s="17"/>
      <c r="FF682" s="17"/>
      <c r="FG682" s="11"/>
      <c r="GT682" s="11"/>
      <c r="IG682" s="11"/>
      <c r="JT682" s="11"/>
      <c r="LG682" s="11"/>
      <c r="MT682" s="11"/>
      <c r="OG682" s="11"/>
      <c r="PT682" s="11"/>
    </row>
    <row r="683" spans="3:436" ht="15.75" x14ac:dyDescent="0.25">
      <c r="C683" s="20" t="s">
        <v>568</v>
      </c>
      <c r="D683" s="21" t="s">
        <v>104</v>
      </c>
      <c r="H683" s="11"/>
      <c r="AU683" s="11"/>
      <c r="CH683" s="11"/>
      <c r="CI683" s="16"/>
      <c r="CJ683" s="16"/>
      <c r="CK683" s="16"/>
      <c r="CL683" s="16"/>
      <c r="CM683" s="16"/>
      <c r="CN683" s="16"/>
      <c r="CO683" s="16"/>
      <c r="CP683" s="16"/>
      <c r="CQ683" s="16"/>
      <c r="CR683" s="16"/>
      <c r="CS683" s="16"/>
      <c r="CT683" s="16"/>
      <c r="CU683" s="16"/>
      <c r="CV683" s="16"/>
      <c r="CW683" s="16"/>
      <c r="CX683" s="16"/>
      <c r="CY683" s="16"/>
      <c r="CZ683" s="16"/>
      <c r="DA683" s="16"/>
      <c r="DB683" s="16"/>
      <c r="DC683" s="16"/>
      <c r="DD683" s="16"/>
      <c r="DE683" s="17"/>
      <c r="DF683" s="17"/>
      <c r="DG683" s="16"/>
      <c r="DH683" s="16"/>
      <c r="DI683" s="17"/>
      <c r="DJ683" s="17"/>
      <c r="DK683" s="16"/>
      <c r="DL683" s="16"/>
      <c r="DM683" s="17"/>
      <c r="DN683" s="17"/>
      <c r="DO683" s="16"/>
      <c r="DP683" s="16"/>
      <c r="DQ683" s="17"/>
      <c r="DR683" s="17"/>
      <c r="DS683" s="16"/>
      <c r="DT683" s="16"/>
      <c r="DU683" s="17"/>
      <c r="DV683" s="17"/>
      <c r="DW683" s="16"/>
      <c r="DX683" s="16"/>
      <c r="DY683" s="17"/>
      <c r="DZ683" s="17"/>
      <c r="EA683" s="16"/>
      <c r="EB683" s="16"/>
      <c r="EC683" s="17"/>
      <c r="ED683" s="17"/>
      <c r="EE683" s="16"/>
      <c r="EF683" s="16"/>
      <c r="EG683" s="17"/>
      <c r="EH683" s="17"/>
      <c r="EI683" s="16"/>
      <c r="EJ683" s="16"/>
      <c r="EK683" s="17"/>
      <c r="EL683" s="17"/>
      <c r="EM683" s="16"/>
      <c r="EN683" s="16"/>
      <c r="EO683" s="17"/>
      <c r="EP683" s="17"/>
      <c r="EQ683" s="16"/>
      <c r="ER683" s="16"/>
      <c r="ES683" s="17"/>
      <c r="ET683" s="17"/>
      <c r="EU683" s="16"/>
      <c r="EV683" s="16"/>
      <c r="EW683" s="17"/>
      <c r="EX683" s="17"/>
      <c r="EY683" s="16"/>
      <c r="EZ683" s="16"/>
      <c r="FA683" s="17"/>
      <c r="FB683" s="17"/>
      <c r="FC683" s="19">
        <v>7</v>
      </c>
      <c r="FD683" s="19">
        <v>7</v>
      </c>
      <c r="FE683" s="17"/>
      <c r="FF683" s="17"/>
      <c r="FG683" s="11"/>
      <c r="GT683" s="11"/>
      <c r="IG683" s="11"/>
      <c r="JT683" s="11"/>
      <c r="LG683" s="11"/>
      <c r="MT683" s="11"/>
      <c r="OG683" s="11"/>
      <c r="PT683" s="11"/>
    </row>
    <row r="684" spans="3:436" ht="15.75" x14ac:dyDescent="0.25">
      <c r="C684" s="20" t="s">
        <v>569</v>
      </c>
      <c r="D684" s="21" t="s">
        <v>90</v>
      </c>
      <c r="H684" s="11"/>
      <c r="AU684" s="11"/>
      <c r="CH684" s="11"/>
      <c r="CI684" s="16"/>
      <c r="CJ684" s="16"/>
      <c r="CK684" s="16"/>
      <c r="CL684" s="16"/>
      <c r="CM684" s="16"/>
      <c r="CN684" s="16"/>
      <c r="CO684" s="16"/>
      <c r="CP684" s="16"/>
      <c r="CQ684" s="16"/>
      <c r="CR684" s="16"/>
      <c r="CS684" s="16"/>
      <c r="CT684" s="16"/>
      <c r="CU684" s="16"/>
      <c r="CV684" s="16"/>
      <c r="CW684" s="16"/>
      <c r="CX684" s="16"/>
      <c r="CY684" s="16"/>
      <c r="CZ684" s="16"/>
      <c r="DA684" s="16"/>
      <c r="DB684" s="16"/>
      <c r="DC684" s="16"/>
      <c r="DD684" s="16"/>
      <c r="DE684" s="17"/>
      <c r="DF684" s="17"/>
      <c r="DG684" s="16"/>
      <c r="DH684" s="16"/>
      <c r="DI684" s="17"/>
      <c r="DJ684" s="17"/>
      <c r="DK684" s="16"/>
      <c r="DL684" s="16"/>
      <c r="DM684" s="17"/>
      <c r="DN684" s="17"/>
      <c r="DO684" s="16"/>
      <c r="DP684" s="16"/>
      <c r="DQ684" s="17"/>
      <c r="DR684" s="17"/>
      <c r="DS684" s="16"/>
      <c r="DT684" s="16"/>
      <c r="DU684" s="17"/>
      <c r="DV684" s="17"/>
      <c r="DW684" s="16"/>
      <c r="DX684" s="16"/>
      <c r="DY684" s="17"/>
      <c r="DZ684" s="17"/>
      <c r="EA684" s="16"/>
      <c r="EB684" s="16"/>
      <c r="EC684" s="17"/>
      <c r="ED684" s="17"/>
      <c r="EE684" s="16"/>
      <c r="EF684" s="16"/>
      <c r="EG684" s="17"/>
      <c r="EH684" s="17"/>
      <c r="EI684" s="16"/>
      <c r="EJ684" s="16"/>
      <c r="EK684" s="17"/>
      <c r="EL684" s="17"/>
      <c r="EM684" s="16"/>
      <c r="EN684" s="16"/>
      <c r="EO684" s="17"/>
      <c r="EP684" s="17"/>
      <c r="EQ684" s="16"/>
      <c r="ER684" s="16"/>
      <c r="ES684" s="17"/>
      <c r="ET684" s="17"/>
      <c r="EU684" s="16"/>
      <c r="EV684" s="16"/>
      <c r="EW684" s="17"/>
      <c r="EX684" s="17"/>
      <c r="EY684" s="16"/>
      <c r="EZ684" s="16"/>
      <c r="FA684" s="17"/>
      <c r="FB684" s="17"/>
      <c r="FC684" s="16"/>
      <c r="FD684" s="16"/>
      <c r="FE684" s="17"/>
      <c r="FF684" s="17"/>
      <c r="FG684" s="11"/>
      <c r="GT684" s="11"/>
      <c r="IG684" s="11"/>
      <c r="JT684" s="11"/>
      <c r="LG684" s="11"/>
      <c r="MT684" s="11"/>
      <c r="OG684" s="11"/>
      <c r="PT684" s="11"/>
    </row>
    <row r="685" spans="3:436" ht="15.75" x14ac:dyDescent="0.25">
      <c r="C685" s="20" t="s">
        <v>570</v>
      </c>
      <c r="D685" s="21" t="s">
        <v>203</v>
      </c>
      <c r="H685" s="11"/>
      <c r="AU685" s="11"/>
      <c r="CH685" s="11"/>
      <c r="CI685" s="16"/>
      <c r="CJ685" s="16"/>
      <c r="CK685" s="16"/>
      <c r="CL685" s="16"/>
      <c r="CM685" s="16"/>
      <c r="CN685" s="16"/>
      <c r="CO685" s="16"/>
      <c r="CP685" s="16"/>
      <c r="CQ685" s="16"/>
      <c r="CR685" s="16"/>
      <c r="CS685" s="16"/>
      <c r="CT685" s="16"/>
      <c r="CU685" s="16"/>
      <c r="CV685" s="16"/>
      <c r="CW685" s="16"/>
      <c r="CX685" s="16"/>
      <c r="CY685" s="16"/>
      <c r="CZ685" s="16"/>
      <c r="DA685" s="16"/>
      <c r="DB685" s="16"/>
      <c r="DC685" s="16"/>
      <c r="DD685" s="16"/>
      <c r="DE685" s="17"/>
      <c r="DF685" s="17"/>
      <c r="DG685" s="16"/>
      <c r="DH685" s="16"/>
      <c r="DI685" s="17"/>
      <c r="DJ685" s="17"/>
      <c r="DK685" s="16"/>
      <c r="DL685" s="16"/>
      <c r="DM685" s="17"/>
      <c r="DN685" s="17"/>
      <c r="DO685" s="16"/>
      <c r="DP685" s="16"/>
      <c r="DQ685" s="17"/>
      <c r="DR685" s="17"/>
      <c r="DS685" s="16"/>
      <c r="DT685" s="16"/>
      <c r="DU685" s="17"/>
      <c r="DV685" s="17"/>
      <c r="DW685" s="16"/>
      <c r="DX685" s="16"/>
      <c r="DY685" s="17"/>
      <c r="DZ685" s="17"/>
      <c r="EA685" s="16"/>
      <c r="EB685" s="16"/>
      <c r="EC685" s="17"/>
      <c r="ED685" s="17"/>
      <c r="EE685" s="16"/>
      <c r="EF685" s="16"/>
      <c r="EG685" s="17"/>
      <c r="EH685" s="17"/>
      <c r="EI685" s="16"/>
      <c r="EJ685" s="16"/>
      <c r="EK685" s="17"/>
      <c r="EL685" s="17"/>
      <c r="EM685" s="16"/>
      <c r="EN685" s="16"/>
      <c r="EO685" s="17"/>
      <c r="EP685" s="17"/>
      <c r="EQ685" s="16"/>
      <c r="ER685" s="16"/>
      <c r="ES685" s="17"/>
      <c r="ET685" s="17"/>
      <c r="EU685" s="16"/>
      <c r="EV685" s="16"/>
      <c r="EW685" s="17"/>
      <c r="EX685" s="17"/>
      <c r="EY685" s="16"/>
      <c r="EZ685" s="16"/>
      <c r="FA685" s="17"/>
      <c r="FB685" s="17"/>
      <c r="FC685" s="16"/>
      <c r="FD685" s="16"/>
      <c r="FE685" s="17"/>
      <c r="FF685" s="17"/>
      <c r="FG685" s="11"/>
      <c r="GT685" s="11"/>
      <c r="IG685" s="11"/>
      <c r="JT685" s="11"/>
      <c r="LG685" s="11"/>
      <c r="MT685" s="11"/>
      <c r="OG685" s="11"/>
      <c r="PT685" s="11"/>
    </row>
    <row r="686" spans="3:436" ht="15.75" x14ac:dyDescent="0.25">
      <c r="C686" s="20" t="s">
        <v>571</v>
      </c>
      <c r="D686" s="21" t="s">
        <v>79</v>
      </c>
      <c r="H686" s="11"/>
      <c r="AU686" s="11"/>
      <c r="CH686" s="11"/>
      <c r="CI686" s="16"/>
      <c r="CJ686" s="16"/>
      <c r="CK686" s="16"/>
      <c r="CL686" s="16"/>
      <c r="CM686" s="16"/>
      <c r="CN686" s="16"/>
      <c r="CO686" s="16"/>
      <c r="CP686" s="16"/>
      <c r="CQ686" s="16"/>
      <c r="CR686" s="16"/>
      <c r="CS686" s="16"/>
      <c r="CT686" s="16"/>
      <c r="CU686" s="16"/>
      <c r="CV686" s="16"/>
      <c r="CW686" s="16"/>
      <c r="CX686" s="16"/>
      <c r="CY686" s="16"/>
      <c r="CZ686" s="16"/>
      <c r="DA686" s="16"/>
      <c r="DB686" s="16"/>
      <c r="DC686" s="16"/>
      <c r="DD686" s="16"/>
      <c r="DE686" s="17"/>
      <c r="DF686" s="17"/>
      <c r="DG686" s="16"/>
      <c r="DH686" s="16"/>
      <c r="DI686" s="17"/>
      <c r="DJ686" s="18">
        <v>4</v>
      </c>
      <c r="DK686" s="16"/>
      <c r="DL686" s="16"/>
      <c r="DM686" s="17"/>
      <c r="DN686" s="17"/>
      <c r="DO686" s="16"/>
      <c r="DP686" s="16"/>
      <c r="DQ686" s="17"/>
      <c r="DR686" s="17"/>
      <c r="DS686" s="16"/>
      <c r="DT686" s="16"/>
      <c r="DU686" s="17"/>
      <c r="DV686" s="17"/>
      <c r="DW686" s="16"/>
      <c r="DX686" s="16"/>
      <c r="DY686" s="17"/>
      <c r="DZ686" s="17"/>
      <c r="EA686" s="16"/>
      <c r="EB686" s="16"/>
      <c r="EC686" s="17"/>
      <c r="ED686" s="17"/>
      <c r="EE686" s="16"/>
      <c r="EF686" s="16"/>
      <c r="EG686" s="17"/>
      <c r="EH686" s="17"/>
      <c r="EI686" s="16"/>
      <c r="EJ686" s="16"/>
      <c r="EK686" s="17"/>
      <c r="EL686" s="17"/>
      <c r="EM686" s="16"/>
      <c r="EN686" s="16"/>
      <c r="EO686" s="17"/>
      <c r="EP686" s="17"/>
      <c r="EQ686" s="16"/>
      <c r="ER686" s="16"/>
      <c r="ES686" s="17"/>
      <c r="ET686" s="17"/>
      <c r="EU686" s="16"/>
      <c r="EV686" s="16"/>
      <c r="EW686" s="17"/>
      <c r="EX686" s="17"/>
      <c r="EY686" s="16"/>
      <c r="EZ686" s="16"/>
      <c r="FA686" s="17"/>
      <c r="FB686" s="17"/>
      <c r="FC686" s="16"/>
      <c r="FD686" s="16"/>
      <c r="FE686" s="17"/>
      <c r="FF686" s="17"/>
      <c r="FG686" s="11"/>
      <c r="GT686" s="11"/>
      <c r="IG686" s="11"/>
      <c r="JT686" s="11"/>
      <c r="LG686" s="11"/>
      <c r="MT686" s="11"/>
      <c r="OG686" s="11"/>
      <c r="PT686" s="11"/>
    </row>
    <row r="687" spans="3:436" ht="15.75" x14ac:dyDescent="0.25">
      <c r="C687" s="20" t="s">
        <v>559</v>
      </c>
      <c r="D687" s="21" t="s">
        <v>79</v>
      </c>
      <c r="H687" s="11"/>
      <c r="AU687" s="11"/>
      <c r="CH687" s="11"/>
      <c r="CI687" s="16"/>
      <c r="CJ687" s="16"/>
      <c r="CK687" s="16"/>
      <c r="CL687" s="16"/>
      <c r="CM687" s="16"/>
      <c r="CN687" s="16"/>
      <c r="CO687" s="16"/>
      <c r="CP687" s="16"/>
      <c r="CQ687" s="16"/>
      <c r="CR687" s="16"/>
      <c r="CS687" s="16"/>
      <c r="CT687" s="16"/>
      <c r="CU687" s="16"/>
      <c r="CV687" s="16"/>
      <c r="CW687" s="16"/>
      <c r="CX687" s="16"/>
      <c r="CY687" s="16"/>
      <c r="CZ687" s="16"/>
      <c r="DA687" s="16"/>
      <c r="DB687" s="16"/>
      <c r="DC687" s="16"/>
      <c r="DD687" s="16"/>
      <c r="DE687" s="17"/>
      <c r="DF687" s="17"/>
      <c r="DG687" s="16"/>
      <c r="DH687" s="16"/>
      <c r="DI687" s="18">
        <v>3</v>
      </c>
      <c r="DJ687" s="18">
        <v>9</v>
      </c>
      <c r="DK687" s="16"/>
      <c r="DL687" s="16"/>
      <c r="DM687" s="17"/>
      <c r="DN687" s="17"/>
      <c r="DO687" s="16"/>
      <c r="DP687" s="16"/>
      <c r="DQ687" s="17"/>
      <c r="DR687" s="17"/>
      <c r="DS687" s="16"/>
      <c r="DT687" s="16"/>
      <c r="DU687" s="17"/>
      <c r="DV687" s="17"/>
      <c r="DW687" s="16"/>
      <c r="DX687" s="16"/>
      <c r="DY687" s="17"/>
      <c r="DZ687" s="17"/>
      <c r="EA687" s="16"/>
      <c r="EB687" s="16"/>
      <c r="EC687" s="17"/>
      <c r="ED687" s="17"/>
      <c r="EE687" s="16"/>
      <c r="EF687" s="16"/>
      <c r="EG687" s="17"/>
      <c r="EH687" s="17"/>
      <c r="EI687" s="16"/>
      <c r="EJ687" s="16"/>
      <c r="EK687" s="17"/>
      <c r="EL687" s="17"/>
      <c r="EM687" s="16"/>
      <c r="EN687" s="16"/>
      <c r="EO687" s="17"/>
      <c r="EP687" s="17"/>
      <c r="EQ687" s="16"/>
      <c r="ER687" s="16"/>
      <c r="ES687" s="17"/>
      <c r="ET687" s="17"/>
      <c r="EU687" s="16"/>
      <c r="EV687" s="16"/>
      <c r="EW687" s="17"/>
      <c r="EX687" s="17"/>
      <c r="EY687" s="16"/>
      <c r="EZ687" s="16"/>
      <c r="FA687" s="17"/>
      <c r="FB687" s="17"/>
      <c r="FC687" s="16"/>
      <c r="FD687" s="16"/>
      <c r="FE687" s="17"/>
      <c r="FF687" s="17"/>
      <c r="FG687" s="11"/>
      <c r="GT687" s="11"/>
      <c r="IG687" s="11"/>
      <c r="JT687" s="11"/>
      <c r="LG687" s="11"/>
      <c r="MT687" s="11"/>
      <c r="OG687" s="11"/>
      <c r="PT687" s="11"/>
    </row>
    <row r="688" spans="3:436" ht="15.75" x14ac:dyDescent="0.25">
      <c r="C688" s="20" t="s">
        <v>404</v>
      </c>
      <c r="D688" s="21" t="s">
        <v>129</v>
      </c>
      <c r="H688" s="11"/>
      <c r="AU688" s="11"/>
      <c r="CH688" s="11"/>
      <c r="CI688" s="16"/>
      <c r="CJ688" s="16"/>
      <c r="CK688" s="16"/>
      <c r="CL688" s="16"/>
      <c r="CM688" s="16"/>
      <c r="CN688" s="16"/>
      <c r="CO688" s="16"/>
      <c r="CP688" s="16"/>
      <c r="CQ688" s="16"/>
      <c r="CR688" s="16"/>
      <c r="CS688" s="16"/>
      <c r="CT688" s="16"/>
      <c r="CU688" s="16"/>
      <c r="CV688" s="16"/>
      <c r="CW688" s="16"/>
      <c r="CX688" s="16"/>
      <c r="CY688" s="16"/>
      <c r="CZ688" s="16"/>
      <c r="DA688" s="16"/>
      <c r="DB688" s="16"/>
      <c r="DC688" s="16"/>
      <c r="DD688" s="16"/>
      <c r="DE688" s="17"/>
      <c r="DF688" s="17"/>
      <c r="DG688" s="16"/>
      <c r="DH688" s="16"/>
      <c r="DI688" s="17"/>
      <c r="DJ688" s="17"/>
      <c r="DK688" s="16"/>
      <c r="DL688" s="16"/>
      <c r="DM688" s="17"/>
      <c r="DN688" s="17"/>
      <c r="DO688" s="16"/>
      <c r="DP688" s="16"/>
      <c r="DQ688" s="17"/>
      <c r="DR688" s="17"/>
      <c r="DS688" s="16"/>
      <c r="DT688" s="16"/>
      <c r="DU688" s="17"/>
      <c r="DV688" s="17"/>
      <c r="DW688" s="16"/>
      <c r="DX688" s="16"/>
      <c r="DY688" s="17"/>
      <c r="DZ688" s="17"/>
      <c r="EA688" s="16"/>
      <c r="EB688" s="16"/>
      <c r="EC688" s="17"/>
      <c r="ED688" s="17"/>
      <c r="EE688" s="16"/>
      <c r="EF688" s="16"/>
      <c r="EG688" s="17"/>
      <c r="EH688" s="17"/>
      <c r="EI688" s="16"/>
      <c r="EJ688" s="16"/>
      <c r="EK688" s="17"/>
      <c r="EL688" s="17"/>
      <c r="EM688" s="16"/>
      <c r="EN688" s="16"/>
      <c r="EO688" s="17"/>
      <c r="EP688" s="17"/>
      <c r="EQ688" s="16"/>
      <c r="ER688" s="16"/>
      <c r="ES688" s="17"/>
      <c r="ET688" s="17"/>
      <c r="EU688" s="16"/>
      <c r="EV688" s="16"/>
      <c r="EW688" s="17"/>
      <c r="EX688" s="17"/>
      <c r="EY688" s="16"/>
      <c r="EZ688" s="16"/>
      <c r="FA688" s="17"/>
      <c r="FB688" s="17"/>
      <c r="FC688" s="16"/>
      <c r="FD688" s="16"/>
      <c r="FE688" s="17"/>
      <c r="FF688" s="17"/>
      <c r="FG688" s="11"/>
      <c r="GT688" s="11"/>
      <c r="IG688" s="11"/>
      <c r="JT688" s="11"/>
      <c r="LG688" s="11"/>
      <c r="MT688" s="11"/>
      <c r="OG688" s="11"/>
      <c r="PT688" s="11"/>
    </row>
    <row r="689" spans="3:436" ht="15.75" x14ac:dyDescent="0.25">
      <c r="C689" s="20" t="s">
        <v>405</v>
      </c>
      <c r="D689" s="21" t="s">
        <v>162</v>
      </c>
      <c r="H689" s="11"/>
      <c r="AU689" s="11"/>
      <c r="CH689" s="11"/>
      <c r="CI689" s="16"/>
      <c r="CJ689" s="16"/>
      <c r="CK689" s="16"/>
      <c r="CL689" s="16"/>
      <c r="CM689" s="16"/>
      <c r="CN689" s="16"/>
      <c r="CO689" s="16"/>
      <c r="CP689" s="16"/>
      <c r="CQ689" s="16"/>
      <c r="CR689" s="16"/>
      <c r="CS689" s="16"/>
      <c r="CT689" s="16"/>
      <c r="CU689" s="16"/>
      <c r="CV689" s="16"/>
      <c r="CW689" s="16"/>
      <c r="CX689" s="16"/>
      <c r="CY689" s="16"/>
      <c r="CZ689" s="16"/>
      <c r="DA689" s="16"/>
      <c r="DB689" s="16"/>
      <c r="DC689" s="16"/>
      <c r="DD689" s="16"/>
      <c r="DE689" s="17"/>
      <c r="DF689" s="17"/>
      <c r="DG689" s="16"/>
      <c r="DH689" s="16"/>
      <c r="DI689" s="17"/>
      <c r="DJ689" s="17"/>
      <c r="DK689" s="16"/>
      <c r="DL689" s="16"/>
      <c r="DM689" s="17"/>
      <c r="DN689" s="17"/>
      <c r="DO689" s="16"/>
      <c r="DP689" s="16"/>
      <c r="DQ689" s="17"/>
      <c r="DR689" s="17"/>
      <c r="DS689" s="16"/>
      <c r="DT689" s="16"/>
      <c r="DU689" s="17"/>
      <c r="DV689" s="17"/>
      <c r="DW689" s="16"/>
      <c r="DX689" s="16"/>
      <c r="DY689" s="17"/>
      <c r="DZ689" s="17"/>
      <c r="EA689" s="16"/>
      <c r="EB689" s="16"/>
      <c r="EC689" s="17"/>
      <c r="ED689" s="17"/>
      <c r="EE689" s="16"/>
      <c r="EF689" s="16"/>
      <c r="EG689" s="17"/>
      <c r="EH689" s="17"/>
      <c r="EI689" s="16"/>
      <c r="EJ689" s="16"/>
      <c r="EK689" s="17"/>
      <c r="EL689" s="17"/>
      <c r="EM689" s="16"/>
      <c r="EN689" s="16"/>
      <c r="EO689" s="17"/>
      <c r="EP689" s="17"/>
      <c r="EQ689" s="16"/>
      <c r="ER689" s="16"/>
      <c r="ES689" s="17"/>
      <c r="ET689" s="17"/>
      <c r="EU689" s="16"/>
      <c r="EV689" s="16"/>
      <c r="EW689" s="17"/>
      <c r="EX689" s="17"/>
      <c r="EY689" s="16"/>
      <c r="EZ689" s="16"/>
      <c r="FA689" s="17"/>
      <c r="FB689" s="17"/>
      <c r="FC689" s="16"/>
      <c r="FD689" s="16"/>
      <c r="FE689" s="17"/>
      <c r="FF689" s="17"/>
      <c r="FG689" s="11"/>
      <c r="GT689" s="11"/>
      <c r="IG689" s="11"/>
      <c r="JT689" s="11"/>
      <c r="LG689" s="11"/>
      <c r="MT689" s="11"/>
      <c r="OG689" s="11"/>
      <c r="PT689" s="11"/>
    </row>
    <row r="690" spans="3:436" ht="15.75" x14ac:dyDescent="0.25">
      <c r="C690" s="20" t="s">
        <v>560</v>
      </c>
      <c r="D690" s="21" t="s">
        <v>203</v>
      </c>
      <c r="H690" s="11"/>
      <c r="AU690" s="11"/>
      <c r="CH690" s="11"/>
      <c r="CI690" s="16"/>
      <c r="CJ690" s="16"/>
      <c r="CK690" s="16"/>
      <c r="CL690" s="16"/>
      <c r="CM690" s="16"/>
      <c r="CN690" s="16"/>
      <c r="CO690" s="16"/>
      <c r="CP690" s="16"/>
      <c r="CQ690" s="16"/>
      <c r="CR690" s="16"/>
      <c r="CS690" s="16"/>
      <c r="CT690" s="16"/>
      <c r="CU690" s="16"/>
      <c r="CV690" s="16"/>
      <c r="CW690" s="16"/>
      <c r="CX690" s="16"/>
      <c r="CY690" s="16"/>
      <c r="CZ690" s="16"/>
      <c r="DA690" s="16"/>
      <c r="DB690" s="16"/>
      <c r="DC690" s="16"/>
      <c r="DD690" s="16"/>
      <c r="DE690" s="17"/>
      <c r="DF690" s="17"/>
      <c r="DG690" s="16"/>
      <c r="DH690" s="16"/>
      <c r="DI690" s="17"/>
      <c r="DJ690" s="17"/>
      <c r="DK690" s="16"/>
      <c r="DL690" s="16"/>
      <c r="DM690" s="17"/>
      <c r="DN690" s="17"/>
      <c r="DO690" s="16"/>
      <c r="DP690" s="16"/>
      <c r="DQ690" s="17"/>
      <c r="DR690" s="17"/>
      <c r="DS690" s="16"/>
      <c r="DT690" s="16"/>
      <c r="DU690" s="17"/>
      <c r="DV690" s="17"/>
      <c r="DW690" s="16"/>
      <c r="DX690" s="16"/>
      <c r="DY690" s="17"/>
      <c r="DZ690" s="17"/>
      <c r="EA690" s="16"/>
      <c r="EB690" s="16"/>
      <c r="EC690" s="17"/>
      <c r="ED690" s="17"/>
      <c r="EE690" s="16"/>
      <c r="EF690" s="16"/>
      <c r="EG690" s="17"/>
      <c r="EH690" s="17"/>
      <c r="EI690" s="16"/>
      <c r="EJ690" s="16"/>
      <c r="EK690" s="17"/>
      <c r="EL690" s="17"/>
      <c r="EM690" s="16"/>
      <c r="EN690" s="16"/>
      <c r="EO690" s="17"/>
      <c r="EP690" s="17"/>
      <c r="EQ690" s="16"/>
      <c r="ER690" s="16"/>
      <c r="ES690" s="17"/>
      <c r="ET690" s="17"/>
      <c r="EU690" s="16"/>
      <c r="EV690" s="16"/>
      <c r="EW690" s="17"/>
      <c r="EX690" s="17"/>
      <c r="EY690" s="16"/>
      <c r="EZ690" s="16"/>
      <c r="FA690" s="17"/>
      <c r="FB690" s="17"/>
      <c r="FC690" s="16"/>
      <c r="FD690" s="16"/>
      <c r="FE690" s="17"/>
      <c r="FF690" s="17"/>
      <c r="FG690" s="11"/>
      <c r="GT690" s="11"/>
      <c r="IG690" s="11"/>
      <c r="JT690" s="11"/>
      <c r="LG690" s="11"/>
      <c r="MT690" s="11"/>
      <c r="OG690" s="11"/>
      <c r="PT690" s="11"/>
    </row>
    <row r="691" spans="3:436" ht="15.75" x14ac:dyDescent="0.25">
      <c r="C691" s="20" t="s">
        <v>561</v>
      </c>
      <c r="D691" s="21" t="s">
        <v>203</v>
      </c>
      <c r="H691" s="11"/>
      <c r="AU691" s="11"/>
      <c r="CH691" s="11"/>
      <c r="CI691" s="16"/>
      <c r="CJ691" s="16"/>
      <c r="CK691" s="16"/>
      <c r="CL691" s="16"/>
      <c r="CM691" s="16"/>
      <c r="CN691" s="16"/>
      <c r="CO691" s="16"/>
      <c r="CP691" s="16"/>
      <c r="CQ691" s="16"/>
      <c r="CR691" s="16"/>
      <c r="CS691" s="16"/>
      <c r="CT691" s="16"/>
      <c r="CU691" s="16"/>
      <c r="CV691" s="16"/>
      <c r="CW691" s="16"/>
      <c r="CX691" s="16"/>
      <c r="CY691" s="16"/>
      <c r="CZ691" s="16"/>
      <c r="DA691" s="16"/>
      <c r="DB691" s="16"/>
      <c r="DC691" s="16"/>
      <c r="DD691" s="16"/>
      <c r="DE691" s="17"/>
      <c r="DF691" s="17"/>
      <c r="DG691" s="16"/>
      <c r="DH691" s="16"/>
      <c r="DI691" s="17"/>
      <c r="DJ691" s="17"/>
      <c r="DK691" s="16"/>
      <c r="DL691" s="16"/>
      <c r="DM691" s="17"/>
      <c r="DN691" s="17"/>
      <c r="DO691" s="16"/>
      <c r="DP691" s="16"/>
      <c r="DQ691" s="17"/>
      <c r="DR691" s="17"/>
      <c r="DS691" s="16"/>
      <c r="DT691" s="16"/>
      <c r="DU691" s="17"/>
      <c r="DV691" s="17"/>
      <c r="DW691" s="16"/>
      <c r="DX691" s="16"/>
      <c r="DY691" s="17"/>
      <c r="DZ691" s="17"/>
      <c r="EA691" s="16"/>
      <c r="EB691" s="16"/>
      <c r="EC691" s="17"/>
      <c r="ED691" s="17"/>
      <c r="EE691" s="16"/>
      <c r="EF691" s="16"/>
      <c r="EG691" s="17"/>
      <c r="EH691" s="17"/>
      <c r="EI691" s="16"/>
      <c r="EJ691" s="16"/>
      <c r="EK691" s="17"/>
      <c r="EL691" s="17"/>
      <c r="EM691" s="16"/>
      <c r="EN691" s="16"/>
      <c r="EO691" s="17"/>
      <c r="EP691" s="17"/>
      <c r="EQ691" s="16"/>
      <c r="ER691" s="16"/>
      <c r="ES691" s="17"/>
      <c r="ET691" s="17"/>
      <c r="EU691" s="16"/>
      <c r="EV691" s="16"/>
      <c r="EW691" s="17"/>
      <c r="EX691" s="17"/>
      <c r="EY691" s="16"/>
      <c r="EZ691" s="16"/>
      <c r="FA691" s="17"/>
      <c r="FB691" s="17"/>
      <c r="FC691" s="16"/>
      <c r="FD691" s="16"/>
      <c r="FE691" s="17"/>
      <c r="FF691" s="17"/>
      <c r="FG691" s="11"/>
      <c r="GT691" s="11"/>
      <c r="IG691" s="11"/>
      <c r="JT691" s="11"/>
      <c r="LG691" s="11"/>
      <c r="MT691" s="11"/>
      <c r="OG691" s="11"/>
      <c r="PT691" s="11"/>
    </row>
    <row r="692" spans="3:436" ht="15.75" x14ac:dyDescent="0.25">
      <c r="C692" s="20" t="s">
        <v>562</v>
      </c>
      <c r="D692" s="21" t="s">
        <v>159</v>
      </c>
      <c r="H692" s="11"/>
      <c r="AU692" s="11"/>
      <c r="CH692" s="11"/>
      <c r="CI692" s="16"/>
      <c r="CJ692" s="16"/>
      <c r="CK692" s="16"/>
      <c r="CL692" s="16"/>
      <c r="CM692" s="16"/>
      <c r="CN692" s="16"/>
      <c r="CO692" s="16"/>
      <c r="CP692" s="16"/>
      <c r="CQ692" s="16"/>
      <c r="CR692" s="16"/>
      <c r="CS692" s="16"/>
      <c r="CT692" s="16"/>
      <c r="CU692" s="16"/>
      <c r="CV692" s="16"/>
      <c r="CW692" s="16"/>
      <c r="CX692" s="16"/>
      <c r="CY692" s="16"/>
      <c r="CZ692" s="16"/>
      <c r="DA692" s="16"/>
      <c r="DB692" s="16"/>
      <c r="DC692" s="16"/>
      <c r="DD692" s="16"/>
      <c r="DE692" s="17"/>
      <c r="DF692" s="17"/>
      <c r="DG692" s="16"/>
      <c r="DH692" s="16"/>
      <c r="DI692" s="17"/>
      <c r="DJ692" s="17"/>
      <c r="DK692" s="16"/>
      <c r="DL692" s="16"/>
      <c r="DM692" s="17"/>
      <c r="DN692" s="17"/>
      <c r="DO692" s="16"/>
      <c r="DP692" s="16"/>
      <c r="DQ692" s="17"/>
      <c r="DR692" s="17"/>
      <c r="DS692" s="16"/>
      <c r="DT692" s="16"/>
      <c r="DU692" s="17"/>
      <c r="DV692" s="17"/>
      <c r="DW692" s="16"/>
      <c r="DX692" s="16"/>
      <c r="DY692" s="17"/>
      <c r="DZ692" s="17"/>
      <c r="EA692" s="16"/>
      <c r="EB692" s="16"/>
      <c r="EC692" s="17"/>
      <c r="ED692" s="17"/>
      <c r="EE692" s="16"/>
      <c r="EF692" s="16"/>
      <c r="EG692" s="17"/>
      <c r="EH692" s="17"/>
      <c r="EI692" s="16"/>
      <c r="EJ692" s="16"/>
      <c r="EK692" s="17"/>
      <c r="EL692" s="17"/>
      <c r="EM692" s="16"/>
      <c r="EN692" s="16"/>
      <c r="EO692" s="17"/>
      <c r="EP692" s="17"/>
      <c r="EQ692" s="16"/>
      <c r="ER692" s="16"/>
      <c r="ES692" s="17"/>
      <c r="ET692" s="17"/>
      <c r="EU692" s="16"/>
      <c r="EV692" s="16"/>
      <c r="EW692" s="17"/>
      <c r="EX692" s="17"/>
      <c r="EY692" s="16"/>
      <c r="EZ692" s="16"/>
      <c r="FA692" s="17"/>
      <c r="FB692" s="17"/>
      <c r="FC692" s="16"/>
      <c r="FD692" s="16"/>
      <c r="FE692" s="17"/>
      <c r="FF692" s="17"/>
      <c r="FG692" s="11"/>
      <c r="GT692" s="11"/>
      <c r="IG692" s="11"/>
      <c r="JT692" s="11"/>
      <c r="LG692" s="11"/>
      <c r="MT692" s="11"/>
      <c r="OG692" s="11"/>
      <c r="PT692" s="11"/>
    </row>
    <row r="693" spans="3:436" ht="15.75" x14ac:dyDescent="0.25">
      <c r="C693" s="20" t="s">
        <v>563</v>
      </c>
      <c r="D693" s="21" t="s">
        <v>82</v>
      </c>
      <c r="H693" s="11"/>
      <c r="AU693" s="11"/>
      <c r="CH693" s="11"/>
      <c r="CI693" s="16"/>
      <c r="CJ693" s="16"/>
      <c r="CK693" s="16"/>
      <c r="CL693" s="16"/>
      <c r="CM693" s="16"/>
      <c r="CN693" s="16"/>
      <c r="CO693" s="16"/>
      <c r="CP693" s="16"/>
      <c r="CQ693" s="16"/>
      <c r="CR693" s="16"/>
      <c r="CS693" s="16"/>
      <c r="CT693" s="16"/>
      <c r="CU693" s="16"/>
      <c r="CV693" s="16"/>
      <c r="CW693" s="16"/>
      <c r="CX693" s="16"/>
      <c r="CY693" s="16"/>
      <c r="CZ693" s="16"/>
      <c r="DA693" s="16"/>
      <c r="DB693" s="16"/>
      <c r="DC693" s="16"/>
      <c r="DD693" s="16"/>
      <c r="DE693" s="17"/>
      <c r="DF693" s="17"/>
      <c r="DG693" s="16"/>
      <c r="DH693" s="16"/>
      <c r="DI693" s="17"/>
      <c r="DJ693" s="17"/>
      <c r="DK693" s="16"/>
      <c r="DL693" s="16"/>
      <c r="DM693" s="17"/>
      <c r="DN693" s="17"/>
      <c r="DO693" s="16"/>
      <c r="DP693" s="16"/>
      <c r="DQ693" s="17"/>
      <c r="DR693" s="17"/>
      <c r="DS693" s="16"/>
      <c r="DT693" s="16"/>
      <c r="DU693" s="17"/>
      <c r="DV693" s="17"/>
      <c r="DW693" s="16"/>
      <c r="DX693" s="16"/>
      <c r="DY693" s="17"/>
      <c r="DZ693" s="17"/>
      <c r="EA693" s="16"/>
      <c r="EB693" s="16"/>
      <c r="EC693" s="17"/>
      <c r="ED693" s="17"/>
      <c r="EE693" s="16"/>
      <c r="EF693" s="16"/>
      <c r="EG693" s="17"/>
      <c r="EH693" s="17"/>
      <c r="EI693" s="16"/>
      <c r="EJ693" s="16"/>
      <c r="EK693" s="17"/>
      <c r="EL693" s="17"/>
      <c r="EM693" s="16"/>
      <c r="EN693" s="16"/>
      <c r="EO693" s="17"/>
      <c r="EP693" s="17"/>
      <c r="EQ693" s="16"/>
      <c r="ER693" s="16"/>
      <c r="ES693" s="17"/>
      <c r="ET693" s="17"/>
      <c r="EU693" s="16"/>
      <c r="EV693" s="16"/>
      <c r="EW693" s="17"/>
      <c r="EX693" s="17"/>
      <c r="EY693" s="16"/>
      <c r="EZ693" s="16"/>
      <c r="FA693" s="17"/>
      <c r="FB693" s="17"/>
      <c r="FC693" s="16"/>
      <c r="FD693" s="16"/>
      <c r="FE693" s="17"/>
      <c r="FF693" s="17"/>
      <c r="FG693" s="11"/>
      <c r="GT693" s="11"/>
      <c r="IG693" s="11"/>
      <c r="JT693" s="11"/>
      <c r="LG693" s="11"/>
      <c r="MT693" s="11"/>
      <c r="OG693" s="11"/>
      <c r="PT693" s="11"/>
    </row>
    <row r="694" spans="3:436" ht="15.75" x14ac:dyDescent="0.25">
      <c r="C694" s="20" t="s">
        <v>410</v>
      </c>
      <c r="D694" s="21" t="s">
        <v>142</v>
      </c>
      <c r="H694" s="11"/>
      <c r="AU694" s="11"/>
      <c r="CH694" s="11"/>
      <c r="CI694" s="16"/>
      <c r="CJ694" s="16"/>
      <c r="CK694" s="16"/>
      <c r="CL694" s="16"/>
      <c r="CM694" s="16"/>
      <c r="CN694" s="16"/>
      <c r="CO694" s="16"/>
      <c r="CP694" s="16"/>
      <c r="CQ694" s="16"/>
      <c r="CR694" s="16"/>
      <c r="CS694" s="16"/>
      <c r="CT694" s="16"/>
      <c r="CU694" s="16"/>
      <c r="CV694" s="16"/>
      <c r="CW694" s="16"/>
      <c r="CX694" s="16"/>
      <c r="CY694" s="16"/>
      <c r="CZ694" s="16"/>
      <c r="DA694" s="16"/>
      <c r="DB694" s="16"/>
      <c r="DC694" s="16"/>
      <c r="DD694" s="16"/>
      <c r="DE694" s="17"/>
      <c r="DF694" s="17"/>
      <c r="DG694" s="16"/>
      <c r="DH694" s="16"/>
      <c r="DI694" s="17"/>
      <c r="DJ694" s="17"/>
      <c r="DK694" s="16"/>
      <c r="DL694" s="16"/>
      <c r="DM694" s="17"/>
      <c r="DN694" s="17"/>
      <c r="DO694" s="16"/>
      <c r="DP694" s="16"/>
      <c r="DQ694" s="17"/>
      <c r="DR694" s="17"/>
      <c r="DS694" s="16"/>
      <c r="DT694" s="16"/>
      <c r="DU694" s="17"/>
      <c r="DV694" s="17"/>
      <c r="DW694" s="16"/>
      <c r="DX694" s="16"/>
      <c r="DY694" s="17"/>
      <c r="DZ694" s="17"/>
      <c r="EA694" s="16"/>
      <c r="EB694" s="16"/>
      <c r="EC694" s="17"/>
      <c r="ED694" s="17"/>
      <c r="EE694" s="16"/>
      <c r="EF694" s="16"/>
      <c r="EG694" s="17"/>
      <c r="EH694" s="17"/>
      <c r="EI694" s="16"/>
      <c r="EJ694" s="16"/>
      <c r="EK694" s="17"/>
      <c r="EL694" s="17"/>
      <c r="EM694" s="16"/>
      <c r="EN694" s="16"/>
      <c r="EO694" s="17"/>
      <c r="EP694" s="17"/>
      <c r="EQ694" s="16"/>
      <c r="ER694" s="16"/>
      <c r="ES694" s="17"/>
      <c r="ET694" s="17"/>
      <c r="EU694" s="16"/>
      <c r="EV694" s="16"/>
      <c r="EW694" s="17"/>
      <c r="EX694" s="17"/>
      <c r="EY694" s="16"/>
      <c r="EZ694" s="16"/>
      <c r="FA694" s="17"/>
      <c r="FB694" s="17"/>
      <c r="FC694" s="16"/>
      <c r="FD694" s="16"/>
      <c r="FE694" s="17"/>
      <c r="FF694" s="17"/>
      <c r="FG694" s="11"/>
      <c r="GT694" s="11"/>
      <c r="IG694" s="11"/>
      <c r="JT694" s="11"/>
      <c r="LG694" s="11"/>
      <c r="MT694" s="11"/>
      <c r="OG694" s="11"/>
      <c r="PT694" s="11"/>
    </row>
    <row r="695" spans="3:436" ht="15.75" x14ac:dyDescent="0.25">
      <c r="C695" s="20" t="s">
        <v>568</v>
      </c>
      <c r="D695" s="21" t="s">
        <v>104</v>
      </c>
      <c r="H695" s="11"/>
      <c r="AU695" s="11"/>
      <c r="CH695" s="11"/>
      <c r="CI695" s="16"/>
      <c r="CJ695" s="16"/>
      <c r="CK695" s="16"/>
      <c r="CL695" s="16"/>
      <c r="CM695" s="16"/>
      <c r="CN695" s="16"/>
      <c r="CO695" s="16"/>
      <c r="CP695" s="16"/>
      <c r="CQ695" s="16"/>
      <c r="CR695" s="16"/>
      <c r="CS695" s="16"/>
      <c r="CT695" s="16"/>
      <c r="CU695" s="16"/>
      <c r="CV695" s="16"/>
      <c r="CW695" s="16"/>
      <c r="CX695" s="16"/>
      <c r="CY695" s="16"/>
      <c r="CZ695" s="16"/>
      <c r="DA695" s="16"/>
      <c r="DB695" s="16"/>
      <c r="DC695" s="16"/>
      <c r="DD695" s="16"/>
      <c r="DE695" s="17"/>
      <c r="DF695" s="17"/>
      <c r="DG695" s="16"/>
      <c r="DH695" s="16"/>
      <c r="DI695" s="17"/>
      <c r="DJ695" s="17"/>
      <c r="DK695" s="16"/>
      <c r="DL695" s="16"/>
      <c r="DM695" s="17"/>
      <c r="DN695" s="17"/>
      <c r="DO695" s="16"/>
      <c r="DP695" s="16"/>
      <c r="DQ695" s="17"/>
      <c r="DR695" s="17"/>
      <c r="DS695" s="16"/>
      <c r="DT695" s="16"/>
      <c r="DU695" s="17"/>
      <c r="DV695" s="17"/>
      <c r="DW695" s="16"/>
      <c r="DX695" s="16"/>
      <c r="DY695" s="17"/>
      <c r="DZ695" s="17"/>
      <c r="EA695" s="16"/>
      <c r="EB695" s="16"/>
      <c r="EC695" s="17"/>
      <c r="ED695" s="17"/>
      <c r="EE695" s="16"/>
      <c r="EF695" s="16"/>
      <c r="EG695" s="17"/>
      <c r="EH695" s="17"/>
      <c r="EI695" s="16"/>
      <c r="EJ695" s="16"/>
      <c r="EK695" s="17"/>
      <c r="EL695" s="17"/>
      <c r="EM695" s="16"/>
      <c r="EN695" s="16"/>
      <c r="EO695" s="17"/>
      <c r="EP695" s="17"/>
      <c r="EQ695" s="16"/>
      <c r="ER695" s="16"/>
      <c r="ES695" s="17"/>
      <c r="ET695" s="17"/>
      <c r="EU695" s="16"/>
      <c r="EV695" s="16"/>
      <c r="EW695" s="17"/>
      <c r="EX695" s="17"/>
      <c r="EY695" s="16"/>
      <c r="EZ695" s="16"/>
      <c r="FA695" s="17"/>
      <c r="FB695" s="17"/>
      <c r="FC695" s="19">
        <v>0</v>
      </c>
      <c r="FD695" s="19">
        <v>0</v>
      </c>
      <c r="FE695" s="17"/>
      <c r="FF695" s="17"/>
      <c r="FG695" s="11"/>
      <c r="GT695" s="11"/>
      <c r="IG695" s="11"/>
      <c r="JT695" s="11"/>
      <c r="LG695" s="11"/>
      <c r="MT695" s="11"/>
      <c r="OG695" s="11"/>
      <c r="PT695" s="11"/>
    </row>
    <row r="696" spans="3:436" ht="15.75" x14ac:dyDescent="0.25">
      <c r="C696" s="20" t="s">
        <v>572</v>
      </c>
      <c r="D696" s="21" t="s">
        <v>90</v>
      </c>
      <c r="H696" s="11"/>
      <c r="AU696" s="11"/>
      <c r="CH696" s="11"/>
      <c r="CI696" s="16"/>
      <c r="CJ696" s="16"/>
      <c r="CK696" s="16"/>
      <c r="CL696" s="16"/>
      <c r="CM696" s="16"/>
      <c r="CN696" s="16"/>
      <c r="CO696" s="16"/>
      <c r="CP696" s="16"/>
      <c r="CQ696" s="16"/>
      <c r="CR696" s="16"/>
      <c r="CS696" s="16"/>
      <c r="CT696" s="16"/>
      <c r="CU696" s="16"/>
      <c r="CV696" s="16"/>
      <c r="CW696" s="16"/>
      <c r="CX696" s="16"/>
      <c r="CY696" s="16"/>
      <c r="CZ696" s="16"/>
      <c r="DA696" s="16"/>
      <c r="DB696" s="16"/>
      <c r="DC696" s="16"/>
      <c r="DD696" s="16"/>
      <c r="DE696" s="17"/>
      <c r="DF696" s="17"/>
      <c r="DG696" s="16"/>
      <c r="DH696" s="16"/>
      <c r="DI696" s="17"/>
      <c r="DJ696" s="17"/>
      <c r="DK696" s="16"/>
      <c r="DL696" s="16"/>
      <c r="DM696" s="17"/>
      <c r="DN696" s="17"/>
      <c r="DO696" s="16"/>
      <c r="DP696" s="16"/>
      <c r="DQ696" s="17"/>
      <c r="DR696" s="17"/>
      <c r="DS696" s="16"/>
      <c r="DT696" s="16"/>
      <c r="DU696" s="17"/>
      <c r="DV696" s="17"/>
      <c r="DW696" s="16"/>
      <c r="DX696" s="16"/>
      <c r="DY696" s="17"/>
      <c r="DZ696" s="17"/>
      <c r="EA696" s="16"/>
      <c r="EB696" s="16"/>
      <c r="EC696" s="17"/>
      <c r="ED696" s="17"/>
      <c r="EE696" s="16"/>
      <c r="EF696" s="16"/>
      <c r="EG696" s="17"/>
      <c r="EH696" s="17"/>
      <c r="EI696" s="16"/>
      <c r="EJ696" s="16"/>
      <c r="EK696" s="17"/>
      <c r="EL696" s="17"/>
      <c r="EM696" s="16"/>
      <c r="EN696" s="16"/>
      <c r="EO696" s="17"/>
      <c r="EP696" s="17"/>
      <c r="EQ696" s="16"/>
      <c r="ER696" s="16"/>
      <c r="ES696" s="17"/>
      <c r="ET696" s="17"/>
      <c r="EU696" s="16"/>
      <c r="EV696" s="16"/>
      <c r="EW696" s="17"/>
      <c r="EX696" s="17"/>
      <c r="EY696" s="16"/>
      <c r="EZ696" s="16"/>
      <c r="FA696" s="17"/>
      <c r="FB696" s="17"/>
      <c r="FC696" s="16"/>
      <c r="FD696" s="16"/>
      <c r="FE696" s="17"/>
      <c r="FF696" s="17"/>
      <c r="FG696" s="11"/>
      <c r="GT696" s="11"/>
      <c r="IG696" s="11"/>
      <c r="JT696" s="11"/>
      <c r="LG696" s="11"/>
      <c r="MT696" s="11"/>
      <c r="OG696" s="11"/>
      <c r="PT696" s="11"/>
    </row>
    <row r="697" spans="3:436" ht="15.75" x14ac:dyDescent="0.25">
      <c r="C697" s="20" t="s">
        <v>559</v>
      </c>
      <c r="D697" s="21" t="s">
        <v>79</v>
      </c>
      <c r="H697" s="11"/>
      <c r="AU697" s="11"/>
      <c r="CH697" s="11"/>
      <c r="CI697" s="16"/>
      <c r="CJ697" s="16"/>
      <c r="CK697" s="16"/>
      <c r="CL697" s="16"/>
      <c r="CM697" s="16"/>
      <c r="CN697" s="16"/>
      <c r="CO697" s="16"/>
      <c r="CP697" s="16"/>
      <c r="CQ697" s="16"/>
      <c r="CR697" s="16"/>
      <c r="CS697" s="16"/>
      <c r="CT697" s="16"/>
      <c r="CU697" s="16"/>
      <c r="CV697" s="16"/>
      <c r="CW697" s="16"/>
      <c r="CX697" s="16"/>
      <c r="CY697" s="16"/>
      <c r="CZ697" s="16"/>
      <c r="DA697" s="16"/>
      <c r="DB697" s="16"/>
      <c r="DC697" s="16"/>
      <c r="DD697" s="16"/>
      <c r="DE697" s="17"/>
      <c r="DF697" s="17"/>
      <c r="DG697" s="16"/>
      <c r="DH697" s="16"/>
      <c r="DI697" s="18">
        <v>3</v>
      </c>
      <c r="DJ697" s="18">
        <v>5</v>
      </c>
      <c r="DK697" s="16"/>
      <c r="DL697" s="16"/>
      <c r="DM697" s="17"/>
      <c r="DN697" s="17"/>
      <c r="DO697" s="16"/>
      <c r="DP697" s="16"/>
      <c r="DQ697" s="17"/>
      <c r="DR697" s="17"/>
      <c r="DS697" s="16"/>
      <c r="DT697" s="16"/>
      <c r="DU697" s="17"/>
      <c r="DV697" s="17"/>
      <c r="DW697" s="16"/>
      <c r="DX697" s="16"/>
      <c r="DY697" s="17"/>
      <c r="DZ697" s="17"/>
      <c r="EA697" s="16"/>
      <c r="EB697" s="16"/>
      <c r="EC697" s="17"/>
      <c r="ED697" s="17"/>
      <c r="EE697" s="16"/>
      <c r="EF697" s="16"/>
      <c r="EG697" s="17"/>
      <c r="EH697" s="17"/>
      <c r="EI697" s="16"/>
      <c r="EJ697" s="16"/>
      <c r="EK697" s="17"/>
      <c r="EL697" s="17"/>
      <c r="EM697" s="16"/>
      <c r="EN697" s="16"/>
      <c r="EO697" s="17"/>
      <c r="EP697" s="17"/>
      <c r="EQ697" s="16"/>
      <c r="ER697" s="16"/>
      <c r="ES697" s="17"/>
      <c r="ET697" s="17"/>
      <c r="EU697" s="16"/>
      <c r="EV697" s="16"/>
      <c r="EW697" s="17"/>
      <c r="EX697" s="17"/>
      <c r="EY697" s="16"/>
      <c r="EZ697" s="16"/>
      <c r="FA697" s="17"/>
      <c r="FB697" s="17"/>
      <c r="FC697" s="16"/>
      <c r="FD697" s="16"/>
      <c r="FE697" s="17"/>
      <c r="FF697" s="17"/>
      <c r="FG697" s="11"/>
      <c r="GT697" s="11"/>
      <c r="IG697" s="11"/>
      <c r="JT697" s="11"/>
      <c r="LG697" s="11"/>
      <c r="MT697" s="11"/>
      <c r="OG697" s="11"/>
      <c r="PT697" s="11"/>
    </row>
    <row r="698" spans="3:436" ht="15.75" x14ac:dyDescent="0.25">
      <c r="C698" s="20" t="s">
        <v>573</v>
      </c>
      <c r="D698" s="21" t="s">
        <v>79</v>
      </c>
      <c r="H698" s="11"/>
      <c r="AU698" s="11"/>
      <c r="CH698" s="11"/>
      <c r="CI698" s="16"/>
      <c r="CJ698" s="16"/>
      <c r="CK698" s="16"/>
      <c r="CL698" s="16"/>
      <c r="CM698" s="16"/>
      <c r="CN698" s="16"/>
      <c r="CO698" s="16"/>
      <c r="CP698" s="16"/>
      <c r="CQ698" s="16"/>
      <c r="CR698" s="16"/>
      <c r="CS698" s="16"/>
      <c r="CT698" s="16"/>
      <c r="CU698" s="16"/>
      <c r="CV698" s="16"/>
      <c r="CW698" s="16"/>
      <c r="CX698" s="16"/>
      <c r="CY698" s="16"/>
      <c r="CZ698" s="16"/>
      <c r="DA698" s="16"/>
      <c r="DB698" s="16"/>
      <c r="DC698" s="16"/>
      <c r="DD698" s="16"/>
      <c r="DE698" s="17"/>
      <c r="DF698" s="17"/>
      <c r="DG698" s="16"/>
      <c r="DH698" s="16"/>
      <c r="DI698" s="17"/>
      <c r="DJ698" s="18">
        <v>2</v>
      </c>
      <c r="DK698" s="16"/>
      <c r="DL698" s="16"/>
      <c r="DM698" s="17"/>
      <c r="DN698" s="17"/>
      <c r="DO698" s="16"/>
      <c r="DP698" s="16"/>
      <c r="DQ698" s="17"/>
      <c r="DR698" s="17"/>
      <c r="DS698" s="16"/>
      <c r="DT698" s="16"/>
      <c r="DU698" s="17"/>
      <c r="DV698" s="17"/>
      <c r="DW698" s="16"/>
      <c r="DX698" s="16"/>
      <c r="DY698" s="17"/>
      <c r="DZ698" s="17"/>
      <c r="EA698" s="16"/>
      <c r="EB698" s="16"/>
      <c r="EC698" s="17"/>
      <c r="ED698" s="17"/>
      <c r="EE698" s="16"/>
      <c r="EF698" s="16"/>
      <c r="EG698" s="17"/>
      <c r="EH698" s="17"/>
      <c r="EI698" s="16"/>
      <c r="EJ698" s="16"/>
      <c r="EK698" s="17"/>
      <c r="EL698" s="17"/>
      <c r="EM698" s="16"/>
      <c r="EN698" s="16"/>
      <c r="EO698" s="17"/>
      <c r="EP698" s="17"/>
      <c r="EQ698" s="16"/>
      <c r="ER698" s="16"/>
      <c r="ES698" s="17"/>
      <c r="ET698" s="17"/>
      <c r="EU698" s="16"/>
      <c r="EV698" s="16"/>
      <c r="EW698" s="17"/>
      <c r="EX698" s="17"/>
      <c r="EY698" s="16"/>
      <c r="EZ698" s="16"/>
      <c r="FA698" s="17"/>
      <c r="FB698" s="17"/>
      <c r="FC698" s="16"/>
      <c r="FD698" s="16"/>
      <c r="FE698" s="17"/>
      <c r="FF698" s="17"/>
      <c r="FG698" s="11"/>
      <c r="GT698" s="11"/>
      <c r="IG698" s="11"/>
      <c r="JT698" s="11"/>
      <c r="LG698" s="11"/>
      <c r="MT698" s="11"/>
      <c r="OG698" s="11"/>
      <c r="PT698" s="11"/>
    </row>
    <row r="699" spans="3:436" ht="15.75" x14ac:dyDescent="0.25">
      <c r="C699" s="20" t="s">
        <v>404</v>
      </c>
      <c r="D699" s="21" t="s">
        <v>129</v>
      </c>
      <c r="H699" s="11"/>
      <c r="AU699" s="11"/>
      <c r="CH699" s="11"/>
      <c r="CI699" s="16"/>
      <c r="CJ699" s="16"/>
      <c r="CK699" s="16"/>
      <c r="CL699" s="16"/>
      <c r="CM699" s="16"/>
      <c r="CN699" s="16"/>
      <c r="CO699" s="16"/>
      <c r="CP699" s="16"/>
      <c r="CQ699" s="16"/>
      <c r="CR699" s="16"/>
      <c r="CS699" s="16"/>
      <c r="CT699" s="16"/>
      <c r="CU699" s="16"/>
      <c r="CV699" s="16"/>
      <c r="CW699" s="16"/>
      <c r="CX699" s="16"/>
      <c r="CY699" s="16"/>
      <c r="CZ699" s="16"/>
      <c r="DA699" s="16"/>
      <c r="DB699" s="16"/>
      <c r="DC699" s="16"/>
      <c r="DD699" s="16"/>
      <c r="DE699" s="17"/>
      <c r="DF699" s="17"/>
      <c r="DG699" s="16"/>
      <c r="DH699" s="16"/>
      <c r="DI699" s="17"/>
      <c r="DJ699" s="17"/>
      <c r="DK699" s="16"/>
      <c r="DL699" s="16"/>
      <c r="DM699" s="17"/>
      <c r="DN699" s="17"/>
      <c r="DO699" s="16"/>
      <c r="DP699" s="16"/>
      <c r="DQ699" s="17"/>
      <c r="DR699" s="17"/>
      <c r="DS699" s="16"/>
      <c r="DT699" s="16"/>
      <c r="DU699" s="17"/>
      <c r="DV699" s="17"/>
      <c r="DW699" s="16"/>
      <c r="DX699" s="16"/>
      <c r="DY699" s="17"/>
      <c r="DZ699" s="17"/>
      <c r="EA699" s="16"/>
      <c r="EB699" s="16"/>
      <c r="EC699" s="17"/>
      <c r="ED699" s="17"/>
      <c r="EE699" s="16"/>
      <c r="EF699" s="16"/>
      <c r="EG699" s="17"/>
      <c r="EH699" s="17"/>
      <c r="EI699" s="16"/>
      <c r="EJ699" s="16"/>
      <c r="EK699" s="17"/>
      <c r="EL699" s="17"/>
      <c r="EM699" s="16"/>
      <c r="EN699" s="16"/>
      <c r="EO699" s="17"/>
      <c r="EP699" s="17"/>
      <c r="EQ699" s="16"/>
      <c r="ER699" s="16"/>
      <c r="ES699" s="17"/>
      <c r="ET699" s="17"/>
      <c r="EU699" s="16"/>
      <c r="EV699" s="16"/>
      <c r="EW699" s="17"/>
      <c r="EX699" s="17"/>
      <c r="EY699" s="16"/>
      <c r="EZ699" s="16"/>
      <c r="FA699" s="17"/>
      <c r="FB699" s="17"/>
      <c r="FC699" s="16"/>
      <c r="FD699" s="16"/>
      <c r="FE699" s="17"/>
      <c r="FF699" s="17"/>
      <c r="FG699" s="11"/>
      <c r="GT699" s="11"/>
      <c r="IG699" s="11"/>
      <c r="JT699" s="11"/>
      <c r="LG699" s="11"/>
      <c r="MT699" s="11"/>
      <c r="OG699" s="11"/>
      <c r="PT699" s="11"/>
    </row>
    <row r="700" spans="3:436" ht="15.75" x14ac:dyDescent="0.25">
      <c r="C700" s="20" t="s">
        <v>405</v>
      </c>
      <c r="D700" s="21" t="s">
        <v>162</v>
      </c>
      <c r="H700" s="11"/>
      <c r="AU700" s="11"/>
      <c r="CH700" s="11"/>
      <c r="CI700" s="16"/>
      <c r="CJ700" s="16"/>
      <c r="CK700" s="16"/>
      <c r="CL700" s="16"/>
      <c r="CM700" s="16"/>
      <c r="CN700" s="16"/>
      <c r="CO700" s="16"/>
      <c r="CP700" s="16"/>
      <c r="CQ700" s="16"/>
      <c r="CR700" s="16"/>
      <c r="CS700" s="16"/>
      <c r="CT700" s="16"/>
      <c r="CU700" s="16"/>
      <c r="CV700" s="16"/>
      <c r="CW700" s="16"/>
      <c r="CX700" s="16"/>
      <c r="CY700" s="16"/>
      <c r="CZ700" s="16"/>
      <c r="DA700" s="16"/>
      <c r="DB700" s="16"/>
      <c r="DC700" s="16"/>
      <c r="DD700" s="16"/>
      <c r="DE700" s="17"/>
      <c r="DF700" s="17"/>
      <c r="DG700" s="16"/>
      <c r="DH700" s="16"/>
      <c r="DI700" s="17"/>
      <c r="DJ700" s="17"/>
      <c r="DK700" s="16"/>
      <c r="DL700" s="16"/>
      <c r="DM700" s="17"/>
      <c r="DN700" s="17"/>
      <c r="DO700" s="16"/>
      <c r="DP700" s="16"/>
      <c r="DQ700" s="17"/>
      <c r="DR700" s="17"/>
      <c r="DS700" s="16"/>
      <c r="DT700" s="16"/>
      <c r="DU700" s="17"/>
      <c r="DV700" s="17"/>
      <c r="DW700" s="16"/>
      <c r="DX700" s="16"/>
      <c r="DY700" s="17"/>
      <c r="DZ700" s="17"/>
      <c r="EA700" s="16"/>
      <c r="EB700" s="16"/>
      <c r="EC700" s="17"/>
      <c r="ED700" s="17"/>
      <c r="EE700" s="16"/>
      <c r="EF700" s="16"/>
      <c r="EG700" s="17"/>
      <c r="EH700" s="17"/>
      <c r="EI700" s="16"/>
      <c r="EJ700" s="16"/>
      <c r="EK700" s="17"/>
      <c r="EL700" s="17"/>
      <c r="EM700" s="16"/>
      <c r="EN700" s="16"/>
      <c r="EO700" s="17"/>
      <c r="EP700" s="17"/>
      <c r="EQ700" s="16"/>
      <c r="ER700" s="16"/>
      <c r="ES700" s="17"/>
      <c r="ET700" s="17"/>
      <c r="EU700" s="16"/>
      <c r="EV700" s="16"/>
      <c r="EW700" s="17"/>
      <c r="EX700" s="17"/>
      <c r="EY700" s="16"/>
      <c r="EZ700" s="16"/>
      <c r="FA700" s="17"/>
      <c r="FB700" s="17"/>
      <c r="FC700" s="16"/>
      <c r="FD700" s="16"/>
      <c r="FE700" s="17"/>
      <c r="FF700" s="17"/>
      <c r="FG700" s="11"/>
      <c r="GT700" s="11"/>
      <c r="IG700" s="11"/>
      <c r="JT700" s="11"/>
      <c r="LG700" s="11"/>
      <c r="MT700" s="11"/>
      <c r="OG700" s="11"/>
      <c r="PT700" s="11"/>
    </row>
    <row r="701" spans="3:436" ht="15.75" x14ac:dyDescent="0.25">
      <c r="C701" s="20" t="s">
        <v>560</v>
      </c>
      <c r="D701" s="21" t="s">
        <v>203</v>
      </c>
      <c r="H701" s="11"/>
      <c r="AU701" s="11"/>
      <c r="CH701" s="11"/>
      <c r="CI701" s="16"/>
      <c r="CJ701" s="16"/>
      <c r="CK701" s="16"/>
      <c r="CL701" s="16"/>
      <c r="CM701" s="16"/>
      <c r="CN701" s="16"/>
      <c r="CO701" s="16"/>
      <c r="CP701" s="16"/>
      <c r="CQ701" s="16"/>
      <c r="CR701" s="16"/>
      <c r="CS701" s="16"/>
      <c r="CT701" s="16"/>
      <c r="CU701" s="16"/>
      <c r="CV701" s="16"/>
      <c r="CW701" s="16"/>
      <c r="CX701" s="16"/>
      <c r="CY701" s="16"/>
      <c r="CZ701" s="16"/>
      <c r="DA701" s="16"/>
      <c r="DB701" s="16"/>
      <c r="DC701" s="16"/>
      <c r="DD701" s="16"/>
      <c r="DE701" s="17"/>
      <c r="DF701" s="17"/>
      <c r="DG701" s="16"/>
      <c r="DH701" s="16"/>
      <c r="DI701" s="17"/>
      <c r="DJ701" s="17"/>
      <c r="DK701" s="16"/>
      <c r="DL701" s="16"/>
      <c r="DM701" s="17"/>
      <c r="DN701" s="17"/>
      <c r="DO701" s="16"/>
      <c r="DP701" s="16"/>
      <c r="DQ701" s="17"/>
      <c r="DR701" s="17"/>
      <c r="DS701" s="16"/>
      <c r="DT701" s="16"/>
      <c r="DU701" s="17"/>
      <c r="DV701" s="17"/>
      <c r="DW701" s="16"/>
      <c r="DX701" s="16"/>
      <c r="DY701" s="17"/>
      <c r="DZ701" s="17"/>
      <c r="EA701" s="16"/>
      <c r="EB701" s="16"/>
      <c r="EC701" s="17"/>
      <c r="ED701" s="17"/>
      <c r="EE701" s="16"/>
      <c r="EF701" s="16"/>
      <c r="EG701" s="17"/>
      <c r="EH701" s="17"/>
      <c r="EI701" s="16"/>
      <c r="EJ701" s="16"/>
      <c r="EK701" s="17"/>
      <c r="EL701" s="17"/>
      <c r="EM701" s="16"/>
      <c r="EN701" s="16"/>
      <c r="EO701" s="17"/>
      <c r="EP701" s="17"/>
      <c r="EQ701" s="16"/>
      <c r="ER701" s="16"/>
      <c r="ES701" s="17"/>
      <c r="ET701" s="17"/>
      <c r="EU701" s="16"/>
      <c r="EV701" s="16"/>
      <c r="EW701" s="17"/>
      <c r="EX701" s="17"/>
      <c r="EY701" s="16"/>
      <c r="EZ701" s="16"/>
      <c r="FA701" s="17"/>
      <c r="FB701" s="17"/>
      <c r="FC701" s="16"/>
      <c r="FD701" s="16"/>
      <c r="FE701" s="17"/>
      <c r="FF701" s="17"/>
      <c r="FG701" s="11"/>
      <c r="GT701" s="11"/>
      <c r="IG701" s="11"/>
      <c r="JT701" s="11"/>
      <c r="LG701" s="11"/>
      <c r="MT701" s="11"/>
      <c r="OG701" s="11"/>
      <c r="PT701" s="11"/>
    </row>
    <row r="702" spans="3:436" ht="15.75" x14ac:dyDescent="0.25">
      <c r="C702" s="20" t="s">
        <v>561</v>
      </c>
      <c r="D702" s="21" t="s">
        <v>203</v>
      </c>
      <c r="H702" s="11"/>
      <c r="AU702" s="11"/>
      <c r="CH702" s="11"/>
      <c r="CI702" s="16"/>
      <c r="CJ702" s="16"/>
      <c r="CK702" s="16"/>
      <c r="CL702" s="16"/>
      <c r="CM702" s="16"/>
      <c r="CN702" s="16"/>
      <c r="CO702" s="16"/>
      <c r="CP702" s="16"/>
      <c r="CQ702" s="16"/>
      <c r="CR702" s="16"/>
      <c r="CS702" s="16"/>
      <c r="CT702" s="16"/>
      <c r="CU702" s="16"/>
      <c r="CV702" s="16"/>
      <c r="CW702" s="16"/>
      <c r="CX702" s="16"/>
      <c r="CY702" s="16"/>
      <c r="CZ702" s="16"/>
      <c r="DA702" s="16"/>
      <c r="DB702" s="16"/>
      <c r="DC702" s="16"/>
      <c r="DD702" s="16"/>
      <c r="DE702" s="17"/>
      <c r="DF702" s="17"/>
      <c r="DG702" s="16"/>
      <c r="DH702" s="16"/>
      <c r="DI702" s="17"/>
      <c r="DJ702" s="17"/>
      <c r="DK702" s="16"/>
      <c r="DL702" s="16"/>
      <c r="DM702" s="17"/>
      <c r="DN702" s="17"/>
      <c r="DO702" s="16"/>
      <c r="DP702" s="16"/>
      <c r="DQ702" s="17"/>
      <c r="DR702" s="17"/>
      <c r="DS702" s="16"/>
      <c r="DT702" s="16"/>
      <c r="DU702" s="17"/>
      <c r="DV702" s="17"/>
      <c r="DW702" s="16"/>
      <c r="DX702" s="16"/>
      <c r="DY702" s="17"/>
      <c r="DZ702" s="17"/>
      <c r="EA702" s="16"/>
      <c r="EB702" s="16"/>
      <c r="EC702" s="17"/>
      <c r="ED702" s="17"/>
      <c r="EE702" s="16"/>
      <c r="EF702" s="16"/>
      <c r="EG702" s="17"/>
      <c r="EH702" s="17"/>
      <c r="EI702" s="16"/>
      <c r="EJ702" s="16"/>
      <c r="EK702" s="17"/>
      <c r="EL702" s="17"/>
      <c r="EM702" s="16"/>
      <c r="EN702" s="16"/>
      <c r="EO702" s="17"/>
      <c r="EP702" s="17"/>
      <c r="EQ702" s="16"/>
      <c r="ER702" s="16"/>
      <c r="ES702" s="17"/>
      <c r="ET702" s="17"/>
      <c r="EU702" s="16"/>
      <c r="EV702" s="16"/>
      <c r="EW702" s="17"/>
      <c r="EX702" s="17"/>
      <c r="EY702" s="16"/>
      <c r="EZ702" s="16"/>
      <c r="FA702" s="17"/>
      <c r="FB702" s="17"/>
      <c r="FC702" s="16"/>
      <c r="FD702" s="16"/>
      <c r="FE702" s="17"/>
      <c r="FF702" s="17"/>
      <c r="FG702" s="11"/>
      <c r="GT702" s="11"/>
      <c r="IG702" s="11"/>
      <c r="JT702" s="11"/>
      <c r="LG702" s="11"/>
      <c r="MT702" s="11"/>
      <c r="OG702" s="11"/>
      <c r="PT702" s="11"/>
    </row>
    <row r="703" spans="3:436" ht="15.75" x14ac:dyDescent="0.25">
      <c r="C703" s="20" t="s">
        <v>562</v>
      </c>
      <c r="D703" s="21" t="s">
        <v>159</v>
      </c>
      <c r="H703" s="11"/>
      <c r="AU703" s="11"/>
      <c r="CH703" s="11"/>
      <c r="CI703" s="16"/>
      <c r="CJ703" s="16"/>
      <c r="CK703" s="16"/>
      <c r="CL703" s="16"/>
      <c r="CM703" s="16"/>
      <c r="CN703" s="16"/>
      <c r="CO703" s="16"/>
      <c r="CP703" s="16"/>
      <c r="CQ703" s="16"/>
      <c r="CR703" s="16"/>
      <c r="CS703" s="16"/>
      <c r="CT703" s="16"/>
      <c r="CU703" s="16"/>
      <c r="CV703" s="16"/>
      <c r="CW703" s="16"/>
      <c r="CX703" s="16"/>
      <c r="CY703" s="16"/>
      <c r="CZ703" s="16"/>
      <c r="DA703" s="16"/>
      <c r="DB703" s="16"/>
      <c r="DC703" s="16"/>
      <c r="DD703" s="16"/>
      <c r="DE703" s="17"/>
      <c r="DF703" s="17"/>
      <c r="DG703" s="16"/>
      <c r="DH703" s="16"/>
      <c r="DI703" s="17"/>
      <c r="DJ703" s="17"/>
      <c r="DK703" s="16"/>
      <c r="DL703" s="16"/>
      <c r="DM703" s="17"/>
      <c r="DN703" s="17"/>
      <c r="DO703" s="16"/>
      <c r="DP703" s="16"/>
      <c r="DQ703" s="17"/>
      <c r="DR703" s="17"/>
      <c r="DS703" s="16"/>
      <c r="DT703" s="16"/>
      <c r="DU703" s="17"/>
      <c r="DV703" s="17"/>
      <c r="DW703" s="16"/>
      <c r="DX703" s="16"/>
      <c r="DY703" s="17"/>
      <c r="DZ703" s="17"/>
      <c r="EA703" s="16"/>
      <c r="EB703" s="16"/>
      <c r="EC703" s="17"/>
      <c r="ED703" s="17"/>
      <c r="EE703" s="16"/>
      <c r="EF703" s="16"/>
      <c r="EG703" s="17"/>
      <c r="EH703" s="17"/>
      <c r="EI703" s="16"/>
      <c r="EJ703" s="16"/>
      <c r="EK703" s="17"/>
      <c r="EL703" s="17"/>
      <c r="EM703" s="16"/>
      <c r="EN703" s="16"/>
      <c r="EO703" s="17"/>
      <c r="EP703" s="17"/>
      <c r="EQ703" s="16"/>
      <c r="ER703" s="16"/>
      <c r="ES703" s="17"/>
      <c r="ET703" s="17"/>
      <c r="EU703" s="16"/>
      <c r="EV703" s="16"/>
      <c r="EW703" s="17"/>
      <c r="EX703" s="17"/>
      <c r="EY703" s="16"/>
      <c r="EZ703" s="16"/>
      <c r="FA703" s="17"/>
      <c r="FB703" s="17"/>
      <c r="FC703" s="16"/>
      <c r="FD703" s="16"/>
      <c r="FE703" s="17"/>
      <c r="FF703" s="17"/>
      <c r="FG703" s="11"/>
      <c r="GT703" s="11"/>
      <c r="IG703" s="11"/>
      <c r="JT703" s="11"/>
      <c r="LG703" s="11"/>
      <c r="MT703" s="11"/>
      <c r="OG703" s="11"/>
      <c r="PT703" s="11"/>
    </row>
    <row r="704" spans="3:436" ht="15.75" x14ac:dyDescent="0.25">
      <c r="C704" s="20" t="s">
        <v>563</v>
      </c>
      <c r="D704" s="21" t="s">
        <v>82</v>
      </c>
      <c r="H704" s="11"/>
      <c r="AU704" s="11"/>
      <c r="CH704" s="11"/>
      <c r="CI704" s="16"/>
      <c r="CJ704" s="16"/>
      <c r="CK704" s="16"/>
      <c r="CL704" s="16"/>
      <c r="CM704" s="16"/>
      <c r="CN704" s="16"/>
      <c r="CO704" s="16"/>
      <c r="CP704" s="16"/>
      <c r="CQ704" s="16"/>
      <c r="CR704" s="16"/>
      <c r="CS704" s="16"/>
      <c r="CT704" s="16"/>
      <c r="CU704" s="16"/>
      <c r="CV704" s="16"/>
      <c r="CW704" s="16"/>
      <c r="CX704" s="16"/>
      <c r="CY704" s="16"/>
      <c r="CZ704" s="16"/>
      <c r="DA704" s="16"/>
      <c r="DB704" s="16"/>
      <c r="DC704" s="16"/>
      <c r="DD704" s="16"/>
      <c r="DE704" s="17"/>
      <c r="DF704" s="17"/>
      <c r="DG704" s="16"/>
      <c r="DH704" s="16"/>
      <c r="DI704" s="17"/>
      <c r="DJ704" s="17"/>
      <c r="DK704" s="16"/>
      <c r="DL704" s="16"/>
      <c r="DM704" s="17"/>
      <c r="DN704" s="17"/>
      <c r="DO704" s="16"/>
      <c r="DP704" s="16"/>
      <c r="DQ704" s="17"/>
      <c r="DR704" s="17"/>
      <c r="DS704" s="16"/>
      <c r="DT704" s="16"/>
      <c r="DU704" s="17"/>
      <c r="DV704" s="17"/>
      <c r="DW704" s="16"/>
      <c r="DX704" s="16"/>
      <c r="DY704" s="17"/>
      <c r="DZ704" s="17"/>
      <c r="EA704" s="16"/>
      <c r="EB704" s="16"/>
      <c r="EC704" s="17"/>
      <c r="ED704" s="17"/>
      <c r="EE704" s="16"/>
      <c r="EF704" s="16"/>
      <c r="EG704" s="17"/>
      <c r="EH704" s="17"/>
      <c r="EI704" s="16"/>
      <c r="EJ704" s="16"/>
      <c r="EK704" s="17"/>
      <c r="EL704" s="17"/>
      <c r="EM704" s="16"/>
      <c r="EN704" s="16"/>
      <c r="EO704" s="17"/>
      <c r="EP704" s="17"/>
      <c r="EQ704" s="16"/>
      <c r="ER704" s="16"/>
      <c r="ES704" s="17"/>
      <c r="ET704" s="17"/>
      <c r="EU704" s="16"/>
      <c r="EV704" s="16"/>
      <c r="EW704" s="17"/>
      <c r="EX704" s="17"/>
      <c r="EY704" s="16"/>
      <c r="EZ704" s="16"/>
      <c r="FA704" s="17"/>
      <c r="FB704" s="17"/>
      <c r="FC704" s="16"/>
      <c r="FD704" s="16"/>
      <c r="FE704" s="17"/>
      <c r="FF704" s="17"/>
      <c r="FG704" s="11"/>
      <c r="GT704" s="11"/>
      <c r="IG704" s="11"/>
      <c r="JT704" s="11"/>
      <c r="LG704" s="11"/>
      <c r="MT704" s="11"/>
      <c r="OG704" s="11"/>
      <c r="PT704" s="11"/>
    </row>
    <row r="705" spans="3:436" ht="15.75" x14ac:dyDescent="0.25">
      <c r="C705" s="20" t="s">
        <v>410</v>
      </c>
      <c r="D705" s="21" t="s">
        <v>142</v>
      </c>
      <c r="H705" s="11"/>
      <c r="AU705" s="11"/>
      <c r="CH705" s="11"/>
      <c r="CI705" s="16"/>
      <c r="CJ705" s="16"/>
      <c r="CK705" s="16"/>
      <c r="CL705" s="16"/>
      <c r="CM705" s="16"/>
      <c r="CN705" s="16"/>
      <c r="CO705" s="16"/>
      <c r="CP705" s="16"/>
      <c r="CQ705" s="16"/>
      <c r="CR705" s="16"/>
      <c r="CS705" s="16"/>
      <c r="CT705" s="16"/>
      <c r="CU705" s="16"/>
      <c r="CV705" s="16"/>
      <c r="CW705" s="16"/>
      <c r="CX705" s="16"/>
      <c r="CY705" s="16"/>
      <c r="CZ705" s="16"/>
      <c r="DA705" s="16"/>
      <c r="DB705" s="16"/>
      <c r="DC705" s="16"/>
      <c r="DD705" s="16"/>
      <c r="DE705" s="17"/>
      <c r="DF705" s="17"/>
      <c r="DG705" s="16"/>
      <c r="DH705" s="16"/>
      <c r="DI705" s="17"/>
      <c r="DJ705" s="17"/>
      <c r="DK705" s="16"/>
      <c r="DL705" s="16"/>
      <c r="DM705" s="17"/>
      <c r="DN705" s="17"/>
      <c r="DO705" s="16"/>
      <c r="DP705" s="16"/>
      <c r="DQ705" s="17"/>
      <c r="DR705" s="17"/>
      <c r="DS705" s="16"/>
      <c r="DT705" s="16"/>
      <c r="DU705" s="17"/>
      <c r="DV705" s="17"/>
      <c r="DW705" s="16"/>
      <c r="DX705" s="16"/>
      <c r="DY705" s="17"/>
      <c r="DZ705" s="17"/>
      <c r="EA705" s="16"/>
      <c r="EB705" s="16"/>
      <c r="EC705" s="17"/>
      <c r="ED705" s="17"/>
      <c r="EE705" s="16"/>
      <c r="EF705" s="16"/>
      <c r="EG705" s="17"/>
      <c r="EH705" s="17"/>
      <c r="EI705" s="16"/>
      <c r="EJ705" s="16"/>
      <c r="EK705" s="17"/>
      <c r="EL705" s="17"/>
      <c r="EM705" s="16"/>
      <c r="EN705" s="16"/>
      <c r="EO705" s="17"/>
      <c r="EP705" s="17"/>
      <c r="EQ705" s="16"/>
      <c r="ER705" s="16"/>
      <c r="ES705" s="17"/>
      <c r="ET705" s="17"/>
      <c r="EU705" s="16"/>
      <c r="EV705" s="16"/>
      <c r="EW705" s="17"/>
      <c r="EX705" s="17"/>
      <c r="EY705" s="16"/>
      <c r="EZ705" s="16"/>
      <c r="FA705" s="17"/>
      <c r="FB705" s="17"/>
      <c r="FC705" s="16"/>
      <c r="FD705" s="16"/>
      <c r="FE705" s="17"/>
      <c r="FF705" s="17"/>
      <c r="FG705" s="11"/>
      <c r="GT705" s="11"/>
      <c r="IG705" s="11"/>
      <c r="JT705" s="11"/>
      <c r="LG705" s="11"/>
      <c r="MT705" s="11"/>
      <c r="OG705" s="11"/>
      <c r="PT705" s="11"/>
    </row>
    <row r="706" spans="3:436" ht="15.75" x14ac:dyDescent="0.25">
      <c r="C706" s="20" t="s">
        <v>568</v>
      </c>
      <c r="D706" s="21" t="s">
        <v>104</v>
      </c>
      <c r="H706" s="11"/>
      <c r="AU706" s="11"/>
      <c r="CH706" s="11"/>
      <c r="CI706" s="16"/>
      <c r="CJ706" s="16"/>
      <c r="CK706" s="16"/>
      <c r="CL706" s="16"/>
      <c r="CM706" s="16"/>
      <c r="CN706" s="16"/>
      <c r="CO706" s="16"/>
      <c r="CP706" s="16"/>
      <c r="CQ706" s="16"/>
      <c r="CR706" s="16"/>
      <c r="CS706" s="16"/>
      <c r="CT706" s="16"/>
      <c r="CU706" s="16"/>
      <c r="CV706" s="16"/>
      <c r="CW706" s="16"/>
      <c r="CX706" s="16"/>
      <c r="CY706" s="16"/>
      <c r="CZ706" s="16"/>
      <c r="DA706" s="16"/>
      <c r="DB706" s="16"/>
      <c r="DC706" s="16"/>
      <c r="DD706" s="16"/>
      <c r="DE706" s="17"/>
      <c r="DF706" s="17"/>
      <c r="DG706" s="16"/>
      <c r="DH706" s="16"/>
      <c r="DI706" s="17"/>
      <c r="DJ706" s="17"/>
      <c r="DK706" s="16"/>
      <c r="DL706" s="16"/>
      <c r="DM706" s="17"/>
      <c r="DN706" s="17"/>
      <c r="DO706" s="16"/>
      <c r="DP706" s="16"/>
      <c r="DQ706" s="17"/>
      <c r="DR706" s="17"/>
      <c r="DS706" s="16"/>
      <c r="DT706" s="16"/>
      <c r="DU706" s="17"/>
      <c r="DV706" s="17"/>
      <c r="DW706" s="16"/>
      <c r="DX706" s="16"/>
      <c r="DY706" s="17"/>
      <c r="DZ706" s="17"/>
      <c r="EA706" s="16"/>
      <c r="EB706" s="16"/>
      <c r="EC706" s="17"/>
      <c r="ED706" s="17"/>
      <c r="EE706" s="16"/>
      <c r="EF706" s="16"/>
      <c r="EG706" s="17"/>
      <c r="EH706" s="17"/>
      <c r="EI706" s="16"/>
      <c r="EJ706" s="16"/>
      <c r="EK706" s="17"/>
      <c r="EL706" s="17"/>
      <c r="EM706" s="16"/>
      <c r="EN706" s="16"/>
      <c r="EO706" s="17"/>
      <c r="EP706" s="17"/>
      <c r="EQ706" s="16"/>
      <c r="ER706" s="16"/>
      <c r="ES706" s="17"/>
      <c r="ET706" s="17"/>
      <c r="EU706" s="16"/>
      <c r="EV706" s="16"/>
      <c r="EW706" s="17"/>
      <c r="EX706" s="17"/>
      <c r="EY706" s="16"/>
      <c r="EZ706" s="16"/>
      <c r="FA706" s="17"/>
      <c r="FB706" s="17"/>
      <c r="FC706" s="19">
        <v>0</v>
      </c>
      <c r="FD706" s="19">
        <v>0</v>
      </c>
      <c r="FE706" s="17"/>
      <c r="FF706" s="17"/>
      <c r="FG706" s="11"/>
      <c r="GT706" s="11"/>
      <c r="IG706" s="11"/>
      <c r="JT706" s="11"/>
      <c r="LG706" s="11"/>
      <c r="MT706" s="11"/>
      <c r="OG706" s="11"/>
      <c r="PT706" s="11"/>
    </row>
    <row r="707" spans="3:436" ht="15.75" x14ac:dyDescent="0.25">
      <c r="C707" s="20" t="s">
        <v>574</v>
      </c>
      <c r="D707" s="21" t="s">
        <v>90</v>
      </c>
      <c r="H707" s="11"/>
      <c r="AU707" s="11"/>
      <c r="CH707" s="11"/>
      <c r="CI707" s="16"/>
      <c r="CJ707" s="16"/>
      <c r="CK707" s="16"/>
      <c r="CL707" s="16"/>
      <c r="CM707" s="16"/>
      <c r="CN707" s="16"/>
      <c r="CO707" s="16"/>
      <c r="CP707" s="16"/>
      <c r="CQ707" s="16"/>
      <c r="CR707" s="16"/>
      <c r="CS707" s="16"/>
      <c r="CT707" s="16"/>
      <c r="CU707" s="16"/>
      <c r="CV707" s="16"/>
      <c r="CW707" s="16"/>
      <c r="CX707" s="16"/>
      <c r="CY707" s="16"/>
      <c r="CZ707" s="16"/>
      <c r="DA707" s="16"/>
      <c r="DB707" s="16"/>
      <c r="DC707" s="16"/>
      <c r="DD707" s="16"/>
      <c r="DE707" s="17"/>
      <c r="DF707" s="17"/>
      <c r="DG707" s="16"/>
      <c r="DH707" s="16"/>
      <c r="DI707" s="17"/>
      <c r="DJ707" s="17"/>
      <c r="DK707" s="16"/>
      <c r="DL707" s="16"/>
      <c r="DM707" s="17"/>
      <c r="DN707" s="17"/>
      <c r="DO707" s="16"/>
      <c r="DP707" s="16"/>
      <c r="DQ707" s="17"/>
      <c r="DR707" s="17"/>
      <c r="DS707" s="16"/>
      <c r="DT707" s="16"/>
      <c r="DU707" s="17"/>
      <c r="DV707" s="17"/>
      <c r="DW707" s="16"/>
      <c r="DX707" s="16"/>
      <c r="DY707" s="17"/>
      <c r="DZ707" s="17"/>
      <c r="EA707" s="16"/>
      <c r="EB707" s="16"/>
      <c r="EC707" s="17"/>
      <c r="ED707" s="17"/>
      <c r="EE707" s="16"/>
      <c r="EF707" s="16"/>
      <c r="EG707" s="17"/>
      <c r="EH707" s="17"/>
      <c r="EI707" s="16"/>
      <c r="EJ707" s="16"/>
      <c r="EK707" s="17"/>
      <c r="EL707" s="17"/>
      <c r="EM707" s="16"/>
      <c r="EN707" s="16"/>
      <c r="EO707" s="17"/>
      <c r="EP707" s="17"/>
      <c r="EQ707" s="16"/>
      <c r="ER707" s="16"/>
      <c r="ES707" s="17"/>
      <c r="ET707" s="17"/>
      <c r="EU707" s="16"/>
      <c r="EV707" s="16"/>
      <c r="EW707" s="17"/>
      <c r="EX707" s="17"/>
      <c r="EY707" s="16"/>
      <c r="EZ707" s="16"/>
      <c r="FA707" s="17"/>
      <c r="FB707" s="17"/>
      <c r="FC707" s="16"/>
      <c r="FD707" s="16"/>
      <c r="FE707" s="17"/>
      <c r="FF707" s="17"/>
      <c r="FG707" s="11"/>
      <c r="GT707" s="11"/>
      <c r="IG707" s="11"/>
      <c r="JT707" s="11"/>
      <c r="LG707" s="11"/>
      <c r="MT707" s="11"/>
      <c r="OG707" s="11"/>
      <c r="PT707" s="11"/>
    </row>
    <row r="708" spans="3:436" ht="15.75" x14ac:dyDescent="0.25">
      <c r="C708" s="20" t="s">
        <v>145</v>
      </c>
      <c r="D708" s="21" t="s">
        <v>79</v>
      </c>
      <c r="H708" s="11"/>
      <c r="AU708" s="11"/>
      <c r="CH708" s="11"/>
      <c r="CI708" s="16"/>
      <c r="CJ708" s="16"/>
      <c r="CK708" s="16"/>
      <c r="CL708" s="16"/>
      <c r="CM708" s="16"/>
      <c r="CN708" s="16"/>
      <c r="CO708" s="16"/>
      <c r="CP708" s="16"/>
      <c r="CQ708" s="16"/>
      <c r="CR708" s="16"/>
      <c r="CS708" s="16"/>
      <c r="CT708" s="16"/>
      <c r="CU708" s="16"/>
      <c r="CV708" s="16"/>
      <c r="CW708" s="16"/>
      <c r="CX708" s="16"/>
      <c r="CY708" s="16"/>
      <c r="CZ708" s="16"/>
      <c r="DA708" s="16"/>
      <c r="DB708" s="16"/>
      <c r="DC708" s="16"/>
      <c r="DD708" s="16"/>
      <c r="DE708" s="17"/>
      <c r="DF708" s="17"/>
      <c r="DG708" s="16"/>
      <c r="DH708" s="16"/>
      <c r="DI708" s="18">
        <v>2</v>
      </c>
      <c r="DJ708" s="18">
        <v>1</v>
      </c>
      <c r="DK708" s="16"/>
      <c r="DL708" s="16"/>
      <c r="DM708" s="17"/>
      <c r="DN708" s="17"/>
      <c r="DO708" s="16"/>
      <c r="DP708" s="16"/>
      <c r="DQ708" s="17"/>
      <c r="DR708" s="17"/>
      <c r="DS708" s="16"/>
      <c r="DT708" s="16"/>
      <c r="DU708" s="17"/>
      <c r="DV708" s="17"/>
      <c r="DW708" s="16"/>
      <c r="DX708" s="16"/>
      <c r="DY708" s="17"/>
      <c r="DZ708" s="17"/>
      <c r="EA708" s="16"/>
      <c r="EB708" s="16"/>
      <c r="EC708" s="17"/>
      <c r="ED708" s="17"/>
      <c r="EE708" s="16"/>
      <c r="EF708" s="16"/>
      <c r="EG708" s="17"/>
      <c r="EH708" s="17"/>
      <c r="EI708" s="16"/>
      <c r="EJ708" s="16"/>
      <c r="EK708" s="17"/>
      <c r="EL708" s="17"/>
      <c r="EM708" s="16"/>
      <c r="EN708" s="16"/>
      <c r="EO708" s="17"/>
      <c r="EP708" s="17"/>
      <c r="EQ708" s="16"/>
      <c r="ER708" s="16"/>
      <c r="ES708" s="17"/>
      <c r="ET708" s="17"/>
      <c r="EU708" s="16"/>
      <c r="EV708" s="16"/>
      <c r="EW708" s="17"/>
      <c r="EX708" s="17"/>
      <c r="EY708" s="16"/>
      <c r="EZ708" s="16"/>
      <c r="FA708" s="17"/>
      <c r="FB708" s="17"/>
      <c r="FC708" s="16"/>
      <c r="FD708" s="16"/>
      <c r="FE708" s="17"/>
      <c r="FF708" s="17"/>
      <c r="FG708" s="11"/>
      <c r="GT708" s="11"/>
      <c r="IG708" s="11"/>
      <c r="JT708" s="11"/>
      <c r="LG708" s="11"/>
      <c r="MT708" s="11"/>
      <c r="OG708" s="11"/>
      <c r="PT708" s="11"/>
    </row>
    <row r="709" spans="3:436" ht="15.75" x14ac:dyDescent="0.25">
      <c r="C709" s="20" t="s">
        <v>559</v>
      </c>
      <c r="D709" s="21" t="s">
        <v>79</v>
      </c>
      <c r="H709" s="11"/>
      <c r="AU709" s="11"/>
      <c r="CH709" s="11"/>
      <c r="CI709" s="16"/>
      <c r="CJ709" s="16"/>
      <c r="CK709" s="16"/>
      <c r="CL709" s="16"/>
      <c r="CM709" s="16"/>
      <c r="CN709" s="16"/>
      <c r="CO709" s="16"/>
      <c r="CP709" s="16"/>
      <c r="CQ709" s="16"/>
      <c r="CR709" s="16"/>
      <c r="CS709" s="16"/>
      <c r="CT709" s="16"/>
      <c r="CU709" s="16"/>
      <c r="CV709" s="16"/>
      <c r="CW709" s="16"/>
      <c r="CX709" s="16"/>
      <c r="CY709" s="16"/>
      <c r="CZ709" s="16"/>
      <c r="DA709" s="16"/>
      <c r="DB709" s="16"/>
      <c r="DC709" s="16"/>
      <c r="DD709" s="16"/>
      <c r="DE709" s="17"/>
      <c r="DF709" s="17"/>
      <c r="DG709" s="16"/>
      <c r="DH709" s="16"/>
      <c r="DI709" s="18">
        <v>2</v>
      </c>
      <c r="DJ709" s="18">
        <v>2</v>
      </c>
      <c r="DK709" s="16"/>
      <c r="DL709" s="16"/>
      <c r="DM709" s="17"/>
      <c r="DN709" s="17"/>
      <c r="DO709" s="16"/>
      <c r="DP709" s="16"/>
      <c r="DQ709" s="17"/>
      <c r="DR709" s="17"/>
      <c r="DS709" s="16"/>
      <c r="DT709" s="16"/>
      <c r="DU709" s="17"/>
      <c r="DV709" s="17"/>
      <c r="DW709" s="16"/>
      <c r="DX709" s="16"/>
      <c r="DY709" s="17"/>
      <c r="DZ709" s="17"/>
      <c r="EA709" s="16"/>
      <c r="EB709" s="16"/>
      <c r="EC709" s="17"/>
      <c r="ED709" s="17"/>
      <c r="EE709" s="16"/>
      <c r="EF709" s="16"/>
      <c r="EG709" s="17"/>
      <c r="EH709" s="17"/>
      <c r="EI709" s="16"/>
      <c r="EJ709" s="16"/>
      <c r="EK709" s="17"/>
      <c r="EL709" s="17"/>
      <c r="EM709" s="16"/>
      <c r="EN709" s="16"/>
      <c r="EO709" s="17"/>
      <c r="EP709" s="17"/>
      <c r="EQ709" s="16"/>
      <c r="ER709" s="16"/>
      <c r="ES709" s="17"/>
      <c r="ET709" s="17"/>
      <c r="EU709" s="16"/>
      <c r="EV709" s="16"/>
      <c r="EW709" s="17"/>
      <c r="EX709" s="17"/>
      <c r="EY709" s="16"/>
      <c r="EZ709" s="16"/>
      <c r="FA709" s="17"/>
      <c r="FB709" s="17"/>
      <c r="FC709" s="16"/>
      <c r="FD709" s="16"/>
      <c r="FE709" s="17"/>
      <c r="FF709" s="17"/>
      <c r="FG709" s="11"/>
      <c r="GT709" s="11"/>
      <c r="IG709" s="11"/>
      <c r="JT709" s="11"/>
      <c r="LG709" s="11"/>
      <c r="MT709" s="11"/>
      <c r="OG709" s="11"/>
      <c r="PT709" s="11"/>
    </row>
    <row r="710" spans="3:436" ht="15.75" x14ac:dyDescent="0.25">
      <c r="C710" s="20" t="s">
        <v>575</v>
      </c>
      <c r="D710" s="21" t="s">
        <v>79</v>
      </c>
      <c r="H710" s="11"/>
      <c r="AU710" s="11"/>
      <c r="CH710" s="11"/>
      <c r="CI710" s="16"/>
      <c r="CJ710" s="16"/>
      <c r="CK710" s="16"/>
      <c r="CL710" s="16"/>
      <c r="CM710" s="16"/>
      <c r="CN710" s="16"/>
      <c r="CO710" s="16"/>
      <c r="CP710" s="16"/>
      <c r="CQ710" s="16"/>
      <c r="CR710" s="16"/>
      <c r="CS710" s="16"/>
      <c r="CT710" s="16"/>
      <c r="CU710" s="16"/>
      <c r="CV710" s="16"/>
      <c r="CW710" s="16"/>
      <c r="CX710" s="16"/>
      <c r="CY710" s="16"/>
      <c r="CZ710" s="16"/>
      <c r="DA710" s="16"/>
      <c r="DB710" s="16"/>
      <c r="DC710" s="16"/>
      <c r="DD710" s="16"/>
      <c r="DE710" s="17"/>
      <c r="DF710" s="17"/>
      <c r="DG710" s="16"/>
      <c r="DH710" s="16"/>
      <c r="DI710" s="18">
        <v>1</v>
      </c>
      <c r="DJ710" s="18">
        <v>4</v>
      </c>
      <c r="DK710" s="16"/>
      <c r="DL710" s="16"/>
      <c r="DM710" s="17"/>
      <c r="DN710" s="17"/>
      <c r="DO710" s="16"/>
      <c r="DP710" s="16"/>
      <c r="DQ710" s="17"/>
      <c r="DR710" s="17"/>
      <c r="DS710" s="16"/>
      <c r="DT710" s="16"/>
      <c r="DU710" s="17"/>
      <c r="DV710" s="17"/>
      <c r="DW710" s="16"/>
      <c r="DX710" s="16"/>
      <c r="DY710" s="17"/>
      <c r="DZ710" s="17"/>
      <c r="EA710" s="16"/>
      <c r="EB710" s="16"/>
      <c r="EC710" s="17"/>
      <c r="ED710" s="17"/>
      <c r="EE710" s="16"/>
      <c r="EF710" s="16"/>
      <c r="EG710" s="17"/>
      <c r="EH710" s="17"/>
      <c r="EI710" s="16"/>
      <c r="EJ710" s="16"/>
      <c r="EK710" s="17"/>
      <c r="EL710" s="17"/>
      <c r="EM710" s="16"/>
      <c r="EN710" s="16"/>
      <c r="EO710" s="17"/>
      <c r="EP710" s="17"/>
      <c r="EQ710" s="16"/>
      <c r="ER710" s="16"/>
      <c r="ES710" s="17"/>
      <c r="ET710" s="17"/>
      <c r="EU710" s="16"/>
      <c r="EV710" s="16"/>
      <c r="EW710" s="17"/>
      <c r="EX710" s="17"/>
      <c r="EY710" s="16"/>
      <c r="EZ710" s="16"/>
      <c r="FA710" s="17"/>
      <c r="FB710" s="17"/>
      <c r="FC710" s="16"/>
      <c r="FD710" s="16"/>
      <c r="FE710" s="17"/>
      <c r="FF710" s="17"/>
      <c r="FG710" s="11"/>
      <c r="GT710" s="11"/>
      <c r="IG710" s="11"/>
      <c r="JT710" s="11"/>
      <c r="LG710" s="11"/>
      <c r="MT710" s="11"/>
      <c r="OG710" s="11"/>
      <c r="PT710" s="11"/>
    </row>
    <row r="711" spans="3:436" ht="15.75" x14ac:dyDescent="0.25">
      <c r="C711" s="20" t="s">
        <v>404</v>
      </c>
      <c r="D711" s="21" t="s">
        <v>129</v>
      </c>
      <c r="H711" s="11"/>
      <c r="AU711" s="11"/>
      <c r="CH711" s="11"/>
      <c r="CI711" s="16"/>
      <c r="CJ711" s="16"/>
      <c r="CK711" s="16"/>
      <c r="CL711" s="16"/>
      <c r="CM711" s="16"/>
      <c r="CN711" s="16"/>
      <c r="CO711" s="16"/>
      <c r="CP711" s="16"/>
      <c r="CQ711" s="16"/>
      <c r="CR711" s="16"/>
      <c r="CS711" s="16"/>
      <c r="CT711" s="16"/>
      <c r="CU711" s="16"/>
      <c r="CV711" s="16"/>
      <c r="CW711" s="16"/>
      <c r="CX711" s="16"/>
      <c r="CY711" s="16"/>
      <c r="CZ711" s="16"/>
      <c r="DA711" s="16"/>
      <c r="DB711" s="16"/>
      <c r="DC711" s="16"/>
      <c r="DD711" s="16"/>
      <c r="DE711" s="17"/>
      <c r="DF711" s="17"/>
      <c r="DG711" s="16"/>
      <c r="DH711" s="16"/>
      <c r="DI711" s="17"/>
      <c r="DJ711" s="17"/>
      <c r="DK711" s="16"/>
      <c r="DL711" s="16"/>
      <c r="DM711" s="17"/>
      <c r="DN711" s="17"/>
      <c r="DO711" s="16"/>
      <c r="DP711" s="16"/>
      <c r="DQ711" s="17"/>
      <c r="DR711" s="17"/>
      <c r="DS711" s="16"/>
      <c r="DT711" s="16"/>
      <c r="DU711" s="17"/>
      <c r="DV711" s="17"/>
      <c r="DW711" s="16"/>
      <c r="DX711" s="16"/>
      <c r="DY711" s="17"/>
      <c r="DZ711" s="17"/>
      <c r="EA711" s="16"/>
      <c r="EB711" s="16"/>
      <c r="EC711" s="17"/>
      <c r="ED711" s="17"/>
      <c r="EE711" s="16"/>
      <c r="EF711" s="16"/>
      <c r="EG711" s="17"/>
      <c r="EH711" s="17"/>
      <c r="EI711" s="16"/>
      <c r="EJ711" s="16"/>
      <c r="EK711" s="17"/>
      <c r="EL711" s="17"/>
      <c r="EM711" s="16"/>
      <c r="EN711" s="16"/>
      <c r="EO711" s="17"/>
      <c r="EP711" s="17"/>
      <c r="EQ711" s="16"/>
      <c r="ER711" s="16"/>
      <c r="ES711" s="17"/>
      <c r="ET711" s="17"/>
      <c r="EU711" s="16"/>
      <c r="EV711" s="16"/>
      <c r="EW711" s="17"/>
      <c r="EX711" s="17"/>
      <c r="EY711" s="16"/>
      <c r="EZ711" s="16"/>
      <c r="FA711" s="17"/>
      <c r="FB711" s="17"/>
      <c r="FC711" s="16"/>
      <c r="FD711" s="16"/>
      <c r="FE711" s="17"/>
      <c r="FF711" s="17"/>
      <c r="FG711" s="11"/>
      <c r="GT711" s="11"/>
      <c r="IG711" s="11"/>
      <c r="JT711" s="11"/>
      <c r="LG711" s="11"/>
      <c r="MT711" s="11"/>
      <c r="OG711" s="11"/>
      <c r="PT711" s="11"/>
    </row>
    <row r="712" spans="3:436" ht="15.75" x14ac:dyDescent="0.25">
      <c r="C712" s="20" t="s">
        <v>405</v>
      </c>
      <c r="D712" s="21" t="s">
        <v>162</v>
      </c>
      <c r="H712" s="11"/>
      <c r="AU712" s="11"/>
      <c r="CH712" s="11"/>
      <c r="CI712" s="16"/>
      <c r="CJ712" s="16"/>
      <c r="CK712" s="16"/>
      <c r="CL712" s="16"/>
      <c r="CM712" s="16"/>
      <c r="CN712" s="16"/>
      <c r="CO712" s="16"/>
      <c r="CP712" s="16"/>
      <c r="CQ712" s="16"/>
      <c r="CR712" s="16"/>
      <c r="CS712" s="16"/>
      <c r="CT712" s="16"/>
      <c r="CU712" s="16"/>
      <c r="CV712" s="16"/>
      <c r="CW712" s="16"/>
      <c r="CX712" s="16"/>
      <c r="CY712" s="16"/>
      <c r="CZ712" s="16"/>
      <c r="DA712" s="16"/>
      <c r="DB712" s="16"/>
      <c r="DC712" s="16"/>
      <c r="DD712" s="16"/>
      <c r="DE712" s="17"/>
      <c r="DF712" s="17"/>
      <c r="DG712" s="16"/>
      <c r="DH712" s="16"/>
      <c r="DI712" s="17"/>
      <c r="DJ712" s="17"/>
      <c r="DK712" s="16"/>
      <c r="DL712" s="16"/>
      <c r="DM712" s="17"/>
      <c r="DN712" s="17"/>
      <c r="DO712" s="16"/>
      <c r="DP712" s="16"/>
      <c r="DQ712" s="17"/>
      <c r="DR712" s="17"/>
      <c r="DS712" s="16"/>
      <c r="DT712" s="16"/>
      <c r="DU712" s="17"/>
      <c r="DV712" s="17"/>
      <c r="DW712" s="16"/>
      <c r="DX712" s="16"/>
      <c r="DY712" s="17"/>
      <c r="DZ712" s="17"/>
      <c r="EA712" s="16"/>
      <c r="EB712" s="16"/>
      <c r="EC712" s="17"/>
      <c r="ED712" s="17"/>
      <c r="EE712" s="16"/>
      <c r="EF712" s="16"/>
      <c r="EG712" s="17"/>
      <c r="EH712" s="17"/>
      <c r="EI712" s="16"/>
      <c r="EJ712" s="16"/>
      <c r="EK712" s="17"/>
      <c r="EL712" s="17"/>
      <c r="EM712" s="16"/>
      <c r="EN712" s="16"/>
      <c r="EO712" s="17"/>
      <c r="EP712" s="17"/>
      <c r="EQ712" s="16"/>
      <c r="ER712" s="16"/>
      <c r="ES712" s="17"/>
      <c r="ET712" s="17"/>
      <c r="EU712" s="16"/>
      <c r="EV712" s="16"/>
      <c r="EW712" s="17"/>
      <c r="EX712" s="17"/>
      <c r="EY712" s="16"/>
      <c r="EZ712" s="16"/>
      <c r="FA712" s="17"/>
      <c r="FB712" s="17"/>
      <c r="FC712" s="16"/>
      <c r="FD712" s="16"/>
      <c r="FE712" s="17"/>
      <c r="FF712" s="17"/>
      <c r="FG712" s="11"/>
      <c r="GT712" s="11"/>
      <c r="IG712" s="11"/>
      <c r="JT712" s="11"/>
      <c r="LG712" s="11"/>
      <c r="MT712" s="11"/>
      <c r="OG712" s="11"/>
      <c r="PT712" s="11"/>
    </row>
    <row r="713" spans="3:436" ht="15.75" x14ac:dyDescent="0.25">
      <c r="C713" s="20" t="s">
        <v>560</v>
      </c>
      <c r="D713" s="21" t="s">
        <v>203</v>
      </c>
      <c r="H713" s="11"/>
      <c r="AU713" s="11"/>
      <c r="CH713" s="11"/>
      <c r="CI713" s="16"/>
      <c r="CJ713" s="16"/>
      <c r="CK713" s="16"/>
      <c r="CL713" s="16"/>
      <c r="CM713" s="16"/>
      <c r="CN713" s="16"/>
      <c r="CO713" s="16"/>
      <c r="CP713" s="16"/>
      <c r="CQ713" s="16"/>
      <c r="CR713" s="16"/>
      <c r="CS713" s="16"/>
      <c r="CT713" s="16"/>
      <c r="CU713" s="16"/>
      <c r="CV713" s="16"/>
      <c r="CW713" s="16"/>
      <c r="CX713" s="16"/>
      <c r="CY713" s="16"/>
      <c r="CZ713" s="16"/>
      <c r="DA713" s="16"/>
      <c r="DB713" s="16"/>
      <c r="DC713" s="16"/>
      <c r="DD713" s="16"/>
      <c r="DE713" s="17"/>
      <c r="DF713" s="17"/>
      <c r="DG713" s="16"/>
      <c r="DH713" s="16"/>
      <c r="DI713" s="17"/>
      <c r="DJ713" s="17"/>
      <c r="DK713" s="16"/>
      <c r="DL713" s="16"/>
      <c r="DM713" s="17"/>
      <c r="DN713" s="17"/>
      <c r="DO713" s="16"/>
      <c r="DP713" s="16"/>
      <c r="DQ713" s="17"/>
      <c r="DR713" s="17"/>
      <c r="DS713" s="16"/>
      <c r="DT713" s="16"/>
      <c r="DU713" s="17"/>
      <c r="DV713" s="17"/>
      <c r="DW713" s="16"/>
      <c r="DX713" s="16"/>
      <c r="DY713" s="17"/>
      <c r="DZ713" s="17"/>
      <c r="EA713" s="16"/>
      <c r="EB713" s="16"/>
      <c r="EC713" s="17"/>
      <c r="ED713" s="17"/>
      <c r="EE713" s="16"/>
      <c r="EF713" s="16"/>
      <c r="EG713" s="17"/>
      <c r="EH713" s="17"/>
      <c r="EI713" s="16"/>
      <c r="EJ713" s="16"/>
      <c r="EK713" s="17"/>
      <c r="EL713" s="17"/>
      <c r="EM713" s="16"/>
      <c r="EN713" s="16"/>
      <c r="EO713" s="17"/>
      <c r="EP713" s="17"/>
      <c r="EQ713" s="16"/>
      <c r="ER713" s="16"/>
      <c r="ES713" s="17"/>
      <c r="ET713" s="17"/>
      <c r="EU713" s="16"/>
      <c r="EV713" s="16"/>
      <c r="EW713" s="17"/>
      <c r="EX713" s="17"/>
      <c r="EY713" s="16"/>
      <c r="EZ713" s="16"/>
      <c r="FA713" s="17"/>
      <c r="FB713" s="17"/>
      <c r="FC713" s="16"/>
      <c r="FD713" s="16"/>
      <c r="FE713" s="17"/>
      <c r="FF713" s="17"/>
      <c r="FG713" s="11"/>
      <c r="GT713" s="11"/>
      <c r="IG713" s="11"/>
      <c r="JT713" s="11"/>
      <c r="LG713" s="11"/>
      <c r="MT713" s="11"/>
      <c r="OG713" s="11"/>
      <c r="PT713" s="11"/>
    </row>
    <row r="714" spans="3:436" ht="15.75" x14ac:dyDescent="0.25">
      <c r="C714" s="20" t="s">
        <v>561</v>
      </c>
      <c r="D714" s="21" t="s">
        <v>203</v>
      </c>
      <c r="H714" s="11"/>
      <c r="AU714" s="11"/>
      <c r="CH714" s="11"/>
      <c r="CI714" s="16"/>
      <c r="CJ714" s="16"/>
      <c r="CK714" s="16"/>
      <c r="CL714" s="16"/>
      <c r="CM714" s="16"/>
      <c r="CN714" s="16"/>
      <c r="CO714" s="16"/>
      <c r="CP714" s="16"/>
      <c r="CQ714" s="16"/>
      <c r="CR714" s="16"/>
      <c r="CS714" s="16"/>
      <c r="CT714" s="16"/>
      <c r="CU714" s="16"/>
      <c r="CV714" s="16"/>
      <c r="CW714" s="16"/>
      <c r="CX714" s="16"/>
      <c r="CY714" s="16"/>
      <c r="CZ714" s="16"/>
      <c r="DA714" s="16"/>
      <c r="DB714" s="16"/>
      <c r="DC714" s="16"/>
      <c r="DD714" s="16"/>
      <c r="DE714" s="17"/>
      <c r="DF714" s="17"/>
      <c r="DG714" s="16"/>
      <c r="DH714" s="16"/>
      <c r="DI714" s="17"/>
      <c r="DJ714" s="17"/>
      <c r="DK714" s="16"/>
      <c r="DL714" s="16"/>
      <c r="DM714" s="17"/>
      <c r="DN714" s="17"/>
      <c r="DO714" s="16"/>
      <c r="DP714" s="16"/>
      <c r="DQ714" s="17"/>
      <c r="DR714" s="17"/>
      <c r="DS714" s="16"/>
      <c r="DT714" s="16"/>
      <c r="DU714" s="17"/>
      <c r="DV714" s="17"/>
      <c r="DW714" s="16"/>
      <c r="DX714" s="16"/>
      <c r="DY714" s="17"/>
      <c r="DZ714" s="17"/>
      <c r="EA714" s="16"/>
      <c r="EB714" s="16"/>
      <c r="EC714" s="17"/>
      <c r="ED714" s="17"/>
      <c r="EE714" s="16"/>
      <c r="EF714" s="16"/>
      <c r="EG714" s="17"/>
      <c r="EH714" s="17"/>
      <c r="EI714" s="16"/>
      <c r="EJ714" s="16"/>
      <c r="EK714" s="17"/>
      <c r="EL714" s="17"/>
      <c r="EM714" s="16"/>
      <c r="EN714" s="16"/>
      <c r="EO714" s="17"/>
      <c r="EP714" s="17"/>
      <c r="EQ714" s="16"/>
      <c r="ER714" s="16"/>
      <c r="ES714" s="17"/>
      <c r="ET714" s="17"/>
      <c r="EU714" s="16"/>
      <c r="EV714" s="16"/>
      <c r="EW714" s="17"/>
      <c r="EX714" s="17"/>
      <c r="EY714" s="16"/>
      <c r="EZ714" s="16"/>
      <c r="FA714" s="17"/>
      <c r="FB714" s="17"/>
      <c r="FC714" s="16"/>
      <c r="FD714" s="16"/>
      <c r="FE714" s="17"/>
      <c r="FF714" s="17"/>
      <c r="FG714" s="11"/>
      <c r="GT714" s="11"/>
      <c r="IG714" s="11"/>
      <c r="JT714" s="11"/>
      <c r="LG714" s="11"/>
      <c r="MT714" s="11"/>
      <c r="OG714" s="11"/>
      <c r="PT714" s="11"/>
    </row>
    <row r="715" spans="3:436" ht="15.75" x14ac:dyDescent="0.25">
      <c r="C715" s="20" t="s">
        <v>562</v>
      </c>
      <c r="D715" s="21" t="s">
        <v>159</v>
      </c>
      <c r="H715" s="11"/>
      <c r="AU715" s="11"/>
      <c r="CH715" s="11"/>
      <c r="CI715" s="16"/>
      <c r="CJ715" s="16"/>
      <c r="CK715" s="16"/>
      <c r="CL715" s="16"/>
      <c r="CM715" s="16"/>
      <c r="CN715" s="16"/>
      <c r="CO715" s="16"/>
      <c r="CP715" s="16"/>
      <c r="CQ715" s="16"/>
      <c r="CR715" s="16"/>
      <c r="CS715" s="16"/>
      <c r="CT715" s="16"/>
      <c r="CU715" s="16"/>
      <c r="CV715" s="16"/>
      <c r="CW715" s="16"/>
      <c r="CX715" s="16"/>
      <c r="CY715" s="16"/>
      <c r="CZ715" s="16"/>
      <c r="DA715" s="16"/>
      <c r="DB715" s="16"/>
      <c r="DC715" s="16"/>
      <c r="DD715" s="16"/>
      <c r="DE715" s="17"/>
      <c r="DF715" s="17"/>
      <c r="DG715" s="16"/>
      <c r="DH715" s="16"/>
      <c r="DI715" s="17"/>
      <c r="DJ715" s="17"/>
      <c r="DK715" s="16"/>
      <c r="DL715" s="16"/>
      <c r="DM715" s="17"/>
      <c r="DN715" s="17"/>
      <c r="DO715" s="16"/>
      <c r="DP715" s="16"/>
      <c r="DQ715" s="17"/>
      <c r="DR715" s="17"/>
      <c r="DS715" s="16"/>
      <c r="DT715" s="16"/>
      <c r="DU715" s="17"/>
      <c r="DV715" s="17"/>
      <c r="DW715" s="16"/>
      <c r="DX715" s="16"/>
      <c r="DY715" s="17"/>
      <c r="DZ715" s="17"/>
      <c r="EA715" s="16"/>
      <c r="EB715" s="16"/>
      <c r="EC715" s="17"/>
      <c r="ED715" s="17"/>
      <c r="EE715" s="16"/>
      <c r="EF715" s="16"/>
      <c r="EG715" s="17"/>
      <c r="EH715" s="17"/>
      <c r="EI715" s="16"/>
      <c r="EJ715" s="16"/>
      <c r="EK715" s="17"/>
      <c r="EL715" s="17"/>
      <c r="EM715" s="16"/>
      <c r="EN715" s="16"/>
      <c r="EO715" s="17"/>
      <c r="EP715" s="17"/>
      <c r="EQ715" s="16"/>
      <c r="ER715" s="16"/>
      <c r="ES715" s="17"/>
      <c r="ET715" s="17"/>
      <c r="EU715" s="16"/>
      <c r="EV715" s="16"/>
      <c r="EW715" s="17"/>
      <c r="EX715" s="17"/>
      <c r="EY715" s="16"/>
      <c r="EZ715" s="16"/>
      <c r="FA715" s="17"/>
      <c r="FB715" s="17"/>
      <c r="FC715" s="16"/>
      <c r="FD715" s="16"/>
      <c r="FE715" s="17"/>
      <c r="FF715" s="17"/>
      <c r="FG715" s="11"/>
      <c r="GT715" s="11"/>
      <c r="IG715" s="11"/>
      <c r="JT715" s="11"/>
      <c r="LG715" s="11"/>
      <c r="MT715" s="11"/>
      <c r="OG715" s="11"/>
      <c r="PT715" s="11"/>
    </row>
    <row r="716" spans="3:436" ht="15.75" x14ac:dyDescent="0.25">
      <c r="C716" s="20" t="s">
        <v>410</v>
      </c>
      <c r="D716" s="21" t="s">
        <v>142</v>
      </c>
      <c r="H716" s="11"/>
      <c r="AU716" s="11"/>
      <c r="CH716" s="11"/>
      <c r="CI716" s="16"/>
      <c r="CJ716" s="16"/>
      <c r="CK716" s="16"/>
      <c r="CL716" s="16"/>
      <c r="CM716" s="16"/>
      <c r="CN716" s="16"/>
      <c r="CO716" s="16"/>
      <c r="CP716" s="16"/>
      <c r="CQ716" s="16"/>
      <c r="CR716" s="16"/>
      <c r="CS716" s="16"/>
      <c r="CT716" s="16"/>
      <c r="CU716" s="16"/>
      <c r="CV716" s="16"/>
      <c r="CW716" s="16"/>
      <c r="CX716" s="16"/>
      <c r="CY716" s="16"/>
      <c r="CZ716" s="16"/>
      <c r="DA716" s="16"/>
      <c r="DB716" s="16"/>
      <c r="DC716" s="16"/>
      <c r="DD716" s="16"/>
      <c r="DE716" s="17"/>
      <c r="DF716" s="17"/>
      <c r="DG716" s="16"/>
      <c r="DH716" s="16"/>
      <c r="DI716" s="17"/>
      <c r="DJ716" s="17"/>
      <c r="DK716" s="16"/>
      <c r="DL716" s="16"/>
      <c r="DM716" s="17"/>
      <c r="DN716" s="17"/>
      <c r="DO716" s="16"/>
      <c r="DP716" s="16"/>
      <c r="DQ716" s="17"/>
      <c r="DR716" s="17"/>
      <c r="DS716" s="16"/>
      <c r="DT716" s="16"/>
      <c r="DU716" s="17"/>
      <c r="DV716" s="17"/>
      <c r="DW716" s="16"/>
      <c r="DX716" s="16"/>
      <c r="DY716" s="17"/>
      <c r="DZ716" s="17"/>
      <c r="EA716" s="16"/>
      <c r="EB716" s="16"/>
      <c r="EC716" s="17"/>
      <c r="ED716" s="17"/>
      <c r="EE716" s="16"/>
      <c r="EF716" s="16"/>
      <c r="EG716" s="17"/>
      <c r="EH716" s="17"/>
      <c r="EI716" s="16"/>
      <c r="EJ716" s="16"/>
      <c r="EK716" s="17"/>
      <c r="EL716" s="17"/>
      <c r="EM716" s="16"/>
      <c r="EN716" s="16"/>
      <c r="EO716" s="17"/>
      <c r="EP716" s="17"/>
      <c r="EQ716" s="16"/>
      <c r="ER716" s="16"/>
      <c r="ES716" s="17"/>
      <c r="ET716" s="17"/>
      <c r="EU716" s="16"/>
      <c r="EV716" s="16"/>
      <c r="EW716" s="17"/>
      <c r="EX716" s="17"/>
      <c r="EY716" s="16"/>
      <c r="EZ716" s="16"/>
      <c r="FA716" s="17"/>
      <c r="FB716" s="17"/>
      <c r="FC716" s="16"/>
      <c r="FD716" s="16"/>
      <c r="FE716" s="17"/>
      <c r="FF716" s="17"/>
      <c r="FG716" s="11"/>
      <c r="GT716" s="11"/>
      <c r="IG716" s="11"/>
      <c r="JT716" s="11"/>
      <c r="LG716" s="11"/>
      <c r="MT716" s="11"/>
      <c r="OG716" s="11"/>
      <c r="PT716" s="11"/>
    </row>
    <row r="717" spans="3:436" ht="15.75" x14ac:dyDescent="0.25">
      <c r="C717" s="20" t="s">
        <v>568</v>
      </c>
      <c r="D717" s="21" t="s">
        <v>104</v>
      </c>
      <c r="H717" s="11"/>
      <c r="AU717" s="11"/>
      <c r="CH717" s="11"/>
      <c r="CI717" s="16"/>
      <c r="CJ717" s="16"/>
      <c r="CK717" s="16"/>
      <c r="CL717" s="16"/>
      <c r="CM717" s="16"/>
      <c r="CN717" s="16"/>
      <c r="CO717" s="16"/>
      <c r="CP717" s="16"/>
      <c r="CQ717" s="16"/>
      <c r="CR717" s="16"/>
      <c r="CS717" s="16"/>
      <c r="CT717" s="16"/>
      <c r="CU717" s="16"/>
      <c r="CV717" s="16"/>
      <c r="CW717" s="16"/>
      <c r="CX717" s="16"/>
      <c r="CY717" s="16"/>
      <c r="CZ717" s="16"/>
      <c r="DA717" s="16"/>
      <c r="DB717" s="16"/>
      <c r="DC717" s="16"/>
      <c r="DD717" s="16"/>
      <c r="DE717" s="17"/>
      <c r="DF717" s="17"/>
      <c r="DG717" s="16"/>
      <c r="DH717" s="16"/>
      <c r="DI717" s="17"/>
      <c r="DJ717" s="17"/>
      <c r="DK717" s="16"/>
      <c r="DL717" s="16"/>
      <c r="DM717" s="17"/>
      <c r="DN717" s="17"/>
      <c r="DO717" s="16"/>
      <c r="DP717" s="16"/>
      <c r="DQ717" s="17"/>
      <c r="DR717" s="17"/>
      <c r="DS717" s="16"/>
      <c r="DT717" s="16"/>
      <c r="DU717" s="17"/>
      <c r="DV717" s="17"/>
      <c r="DW717" s="16"/>
      <c r="DX717" s="16"/>
      <c r="DY717" s="17"/>
      <c r="DZ717" s="17"/>
      <c r="EA717" s="16"/>
      <c r="EB717" s="16"/>
      <c r="EC717" s="17"/>
      <c r="ED717" s="17"/>
      <c r="EE717" s="16"/>
      <c r="EF717" s="16"/>
      <c r="EG717" s="17"/>
      <c r="EH717" s="17"/>
      <c r="EI717" s="16"/>
      <c r="EJ717" s="16"/>
      <c r="EK717" s="17"/>
      <c r="EL717" s="17"/>
      <c r="EM717" s="16"/>
      <c r="EN717" s="16"/>
      <c r="EO717" s="17"/>
      <c r="EP717" s="17"/>
      <c r="EQ717" s="16"/>
      <c r="ER717" s="16"/>
      <c r="ES717" s="17"/>
      <c r="ET717" s="17"/>
      <c r="EU717" s="16"/>
      <c r="EV717" s="16"/>
      <c r="EW717" s="17"/>
      <c r="EX717" s="17"/>
      <c r="EY717" s="16"/>
      <c r="EZ717" s="16"/>
      <c r="FA717" s="17"/>
      <c r="FB717" s="17"/>
      <c r="FC717" s="19">
        <v>3</v>
      </c>
      <c r="FD717" s="19">
        <v>3</v>
      </c>
      <c r="FE717" s="17"/>
      <c r="FF717" s="17"/>
      <c r="FG717" s="11"/>
      <c r="GT717" s="11"/>
      <c r="IG717" s="11"/>
      <c r="JT717" s="11"/>
      <c r="LG717" s="11"/>
      <c r="MT717" s="11"/>
      <c r="OG717" s="11"/>
      <c r="PT717" s="11"/>
    </row>
    <row r="718" spans="3:436" ht="15.75" x14ac:dyDescent="0.25">
      <c r="C718" s="20" t="s">
        <v>576</v>
      </c>
      <c r="D718" s="21" t="s">
        <v>90</v>
      </c>
      <c r="H718" s="11"/>
      <c r="AU718" s="11"/>
      <c r="CH718" s="11"/>
      <c r="CI718" s="16"/>
      <c r="CJ718" s="16"/>
      <c r="CK718" s="16"/>
      <c r="CL718" s="16"/>
      <c r="CM718" s="16"/>
      <c r="CN718" s="16"/>
      <c r="CO718" s="16"/>
      <c r="CP718" s="16"/>
      <c r="CQ718" s="16"/>
      <c r="CR718" s="16"/>
      <c r="CS718" s="16"/>
      <c r="CT718" s="16"/>
      <c r="CU718" s="16"/>
      <c r="CV718" s="16"/>
      <c r="CW718" s="16"/>
      <c r="CX718" s="16"/>
      <c r="CY718" s="16"/>
      <c r="CZ718" s="16"/>
      <c r="DA718" s="16"/>
      <c r="DB718" s="16"/>
      <c r="DC718" s="16"/>
      <c r="DD718" s="16"/>
      <c r="DE718" s="17"/>
      <c r="DF718" s="17"/>
      <c r="DG718" s="16"/>
      <c r="DH718" s="16"/>
      <c r="DI718" s="17"/>
      <c r="DJ718" s="17"/>
      <c r="DK718" s="16"/>
      <c r="DL718" s="16"/>
      <c r="DM718" s="17"/>
      <c r="DN718" s="17"/>
      <c r="DO718" s="16"/>
      <c r="DP718" s="16"/>
      <c r="DQ718" s="17"/>
      <c r="DR718" s="17"/>
      <c r="DS718" s="16"/>
      <c r="DT718" s="16"/>
      <c r="DU718" s="17"/>
      <c r="DV718" s="17"/>
      <c r="DW718" s="16"/>
      <c r="DX718" s="16"/>
      <c r="DY718" s="17"/>
      <c r="DZ718" s="17"/>
      <c r="EA718" s="16"/>
      <c r="EB718" s="16"/>
      <c r="EC718" s="17"/>
      <c r="ED718" s="17"/>
      <c r="EE718" s="16"/>
      <c r="EF718" s="16"/>
      <c r="EG718" s="17"/>
      <c r="EH718" s="17"/>
      <c r="EI718" s="16"/>
      <c r="EJ718" s="16"/>
      <c r="EK718" s="17"/>
      <c r="EL718" s="17"/>
      <c r="EM718" s="16"/>
      <c r="EN718" s="16"/>
      <c r="EO718" s="17"/>
      <c r="EP718" s="17"/>
      <c r="EQ718" s="16"/>
      <c r="ER718" s="16"/>
      <c r="ES718" s="17"/>
      <c r="ET718" s="17"/>
      <c r="EU718" s="16"/>
      <c r="EV718" s="16"/>
      <c r="EW718" s="17"/>
      <c r="EX718" s="17"/>
      <c r="EY718" s="16"/>
      <c r="EZ718" s="16"/>
      <c r="FA718" s="17"/>
      <c r="FB718" s="17"/>
      <c r="FC718" s="16"/>
      <c r="FD718" s="16"/>
      <c r="FE718" s="17"/>
      <c r="FF718" s="17"/>
      <c r="FG718" s="11"/>
      <c r="GT718" s="11"/>
      <c r="IG718" s="11"/>
      <c r="JT718" s="11"/>
      <c r="LG718" s="11"/>
      <c r="MT718" s="11"/>
      <c r="OG718" s="11"/>
      <c r="PT718" s="11"/>
    </row>
    <row r="719" spans="3:436" ht="15.75" x14ac:dyDescent="0.25">
      <c r="C719" s="20" t="s">
        <v>559</v>
      </c>
      <c r="D719" s="21" t="s">
        <v>79</v>
      </c>
      <c r="H719" s="11"/>
      <c r="AU719" s="11"/>
      <c r="CH719" s="11"/>
      <c r="CI719" s="16"/>
      <c r="CJ719" s="16"/>
      <c r="CK719" s="16"/>
      <c r="CL719" s="16"/>
      <c r="CM719" s="16"/>
      <c r="CN719" s="16"/>
      <c r="CO719" s="16"/>
      <c r="CP719" s="16"/>
      <c r="CQ719" s="16"/>
      <c r="CR719" s="16"/>
      <c r="CS719" s="16"/>
      <c r="CT719" s="16"/>
      <c r="CU719" s="16"/>
      <c r="CV719" s="16"/>
      <c r="CW719" s="16"/>
      <c r="CX719" s="16"/>
      <c r="CY719" s="16"/>
      <c r="CZ719" s="16"/>
      <c r="DA719" s="16"/>
      <c r="DB719" s="16"/>
      <c r="DC719" s="16"/>
      <c r="DD719" s="16"/>
      <c r="DE719" s="17"/>
      <c r="DF719" s="17"/>
      <c r="DG719" s="16"/>
      <c r="DH719" s="16"/>
      <c r="DI719" s="18">
        <v>2</v>
      </c>
      <c r="DJ719" s="18">
        <v>5</v>
      </c>
      <c r="DK719" s="16"/>
      <c r="DL719" s="16"/>
      <c r="DM719" s="17"/>
      <c r="DN719" s="17"/>
      <c r="DO719" s="16"/>
      <c r="DP719" s="16"/>
      <c r="DQ719" s="17"/>
      <c r="DR719" s="17"/>
      <c r="DS719" s="16"/>
      <c r="DT719" s="16"/>
      <c r="DU719" s="17"/>
      <c r="DV719" s="17"/>
      <c r="DW719" s="16"/>
      <c r="DX719" s="16"/>
      <c r="DY719" s="17"/>
      <c r="DZ719" s="17"/>
      <c r="EA719" s="16"/>
      <c r="EB719" s="16"/>
      <c r="EC719" s="17"/>
      <c r="ED719" s="17"/>
      <c r="EE719" s="16"/>
      <c r="EF719" s="16"/>
      <c r="EG719" s="17"/>
      <c r="EH719" s="17"/>
      <c r="EI719" s="16"/>
      <c r="EJ719" s="16"/>
      <c r="EK719" s="17"/>
      <c r="EL719" s="17"/>
      <c r="EM719" s="16"/>
      <c r="EN719" s="16"/>
      <c r="EO719" s="17"/>
      <c r="EP719" s="17"/>
      <c r="EQ719" s="16"/>
      <c r="ER719" s="16"/>
      <c r="ES719" s="17"/>
      <c r="ET719" s="17"/>
      <c r="EU719" s="16"/>
      <c r="EV719" s="16"/>
      <c r="EW719" s="17"/>
      <c r="EX719" s="17"/>
      <c r="EY719" s="16"/>
      <c r="EZ719" s="16"/>
      <c r="FA719" s="17"/>
      <c r="FB719" s="17"/>
      <c r="FC719" s="16"/>
      <c r="FD719" s="16"/>
      <c r="FE719" s="17"/>
      <c r="FF719" s="17"/>
      <c r="FG719" s="11"/>
      <c r="GT719" s="11"/>
      <c r="IG719" s="11"/>
      <c r="JT719" s="11"/>
      <c r="LG719" s="11"/>
      <c r="MT719" s="11"/>
      <c r="OG719" s="11"/>
      <c r="PT719" s="11"/>
    </row>
    <row r="720" spans="3:436" ht="15.75" x14ac:dyDescent="0.25">
      <c r="C720" s="20" t="s">
        <v>577</v>
      </c>
      <c r="D720" s="21" t="s">
        <v>79</v>
      </c>
      <c r="H720" s="11"/>
      <c r="AU720" s="11"/>
      <c r="CH720" s="11"/>
      <c r="CI720" s="16"/>
      <c r="CJ720" s="16"/>
      <c r="CK720" s="16"/>
      <c r="CL720" s="16"/>
      <c r="CM720" s="16"/>
      <c r="CN720" s="16"/>
      <c r="CO720" s="16"/>
      <c r="CP720" s="16"/>
      <c r="CQ720" s="16"/>
      <c r="CR720" s="16"/>
      <c r="CS720" s="16"/>
      <c r="CT720" s="16"/>
      <c r="CU720" s="16"/>
      <c r="CV720" s="16"/>
      <c r="CW720" s="16"/>
      <c r="CX720" s="16"/>
      <c r="CY720" s="16"/>
      <c r="CZ720" s="16"/>
      <c r="DA720" s="16"/>
      <c r="DB720" s="16"/>
      <c r="DC720" s="16"/>
      <c r="DD720" s="16"/>
      <c r="DE720" s="17"/>
      <c r="DF720" s="17"/>
      <c r="DG720" s="16"/>
      <c r="DH720" s="16"/>
      <c r="DI720" s="17"/>
      <c r="DJ720" s="18">
        <v>4</v>
      </c>
      <c r="DK720" s="16"/>
      <c r="DL720" s="16"/>
      <c r="DM720" s="17"/>
      <c r="DN720" s="17"/>
      <c r="DO720" s="16"/>
      <c r="DP720" s="16"/>
      <c r="DQ720" s="17"/>
      <c r="DR720" s="17"/>
      <c r="DS720" s="16"/>
      <c r="DT720" s="16"/>
      <c r="DU720" s="17"/>
      <c r="DV720" s="17"/>
      <c r="DW720" s="16"/>
      <c r="DX720" s="16"/>
      <c r="DY720" s="17"/>
      <c r="DZ720" s="17"/>
      <c r="EA720" s="16"/>
      <c r="EB720" s="16"/>
      <c r="EC720" s="17"/>
      <c r="ED720" s="17"/>
      <c r="EE720" s="16"/>
      <c r="EF720" s="16"/>
      <c r="EG720" s="17"/>
      <c r="EH720" s="17"/>
      <c r="EI720" s="16"/>
      <c r="EJ720" s="16"/>
      <c r="EK720" s="17"/>
      <c r="EL720" s="17"/>
      <c r="EM720" s="16"/>
      <c r="EN720" s="16"/>
      <c r="EO720" s="17"/>
      <c r="EP720" s="17"/>
      <c r="EQ720" s="16"/>
      <c r="ER720" s="16"/>
      <c r="ES720" s="17"/>
      <c r="ET720" s="17"/>
      <c r="EU720" s="16"/>
      <c r="EV720" s="16"/>
      <c r="EW720" s="17"/>
      <c r="EX720" s="17"/>
      <c r="EY720" s="16"/>
      <c r="EZ720" s="16"/>
      <c r="FA720" s="17"/>
      <c r="FB720" s="17"/>
      <c r="FC720" s="16"/>
      <c r="FD720" s="16"/>
      <c r="FE720" s="17"/>
      <c r="FF720" s="17"/>
      <c r="FG720" s="11"/>
      <c r="GT720" s="11"/>
      <c r="IG720" s="11"/>
      <c r="JT720" s="11"/>
      <c r="LG720" s="11"/>
      <c r="MT720" s="11"/>
      <c r="OG720" s="11"/>
      <c r="PT720" s="11"/>
    </row>
    <row r="721" spans="3:436" ht="15.75" x14ac:dyDescent="0.25">
      <c r="C721" s="20" t="s">
        <v>404</v>
      </c>
      <c r="D721" s="21" t="s">
        <v>129</v>
      </c>
      <c r="H721" s="11"/>
      <c r="AU721" s="11"/>
      <c r="CH721" s="11"/>
      <c r="CI721" s="16"/>
      <c r="CJ721" s="16"/>
      <c r="CK721" s="16"/>
      <c r="CL721" s="16"/>
      <c r="CM721" s="16"/>
      <c r="CN721" s="16"/>
      <c r="CO721" s="16"/>
      <c r="CP721" s="16"/>
      <c r="CQ721" s="16"/>
      <c r="CR721" s="16"/>
      <c r="CS721" s="16"/>
      <c r="CT721" s="16"/>
      <c r="CU721" s="16"/>
      <c r="CV721" s="16"/>
      <c r="CW721" s="16"/>
      <c r="CX721" s="16"/>
      <c r="CY721" s="16"/>
      <c r="CZ721" s="16"/>
      <c r="DA721" s="16"/>
      <c r="DB721" s="16"/>
      <c r="DC721" s="16"/>
      <c r="DD721" s="16"/>
      <c r="DE721" s="17"/>
      <c r="DF721" s="17"/>
      <c r="DG721" s="16"/>
      <c r="DH721" s="16"/>
      <c r="DI721" s="17"/>
      <c r="DJ721" s="17"/>
      <c r="DK721" s="16"/>
      <c r="DL721" s="16"/>
      <c r="DM721" s="17"/>
      <c r="DN721" s="17"/>
      <c r="DO721" s="16"/>
      <c r="DP721" s="16"/>
      <c r="DQ721" s="17"/>
      <c r="DR721" s="17"/>
      <c r="DS721" s="16"/>
      <c r="DT721" s="16"/>
      <c r="DU721" s="17"/>
      <c r="DV721" s="17"/>
      <c r="DW721" s="16"/>
      <c r="DX721" s="16"/>
      <c r="DY721" s="17"/>
      <c r="DZ721" s="17"/>
      <c r="EA721" s="16"/>
      <c r="EB721" s="16"/>
      <c r="EC721" s="17"/>
      <c r="ED721" s="17"/>
      <c r="EE721" s="16"/>
      <c r="EF721" s="16"/>
      <c r="EG721" s="17"/>
      <c r="EH721" s="17"/>
      <c r="EI721" s="16"/>
      <c r="EJ721" s="16"/>
      <c r="EK721" s="17"/>
      <c r="EL721" s="17"/>
      <c r="EM721" s="16"/>
      <c r="EN721" s="16"/>
      <c r="EO721" s="17"/>
      <c r="EP721" s="17"/>
      <c r="EQ721" s="16"/>
      <c r="ER721" s="16"/>
      <c r="ES721" s="17"/>
      <c r="ET721" s="17"/>
      <c r="EU721" s="16"/>
      <c r="EV721" s="16"/>
      <c r="EW721" s="17"/>
      <c r="EX721" s="17"/>
      <c r="EY721" s="16"/>
      <c r="EZ721" s="16"/>
      <c r="FA721" s="17"/>
      <c r="FB721" s="17"/>
      <c r="FC721" s="16"/>
      <c r="FD721" s="16"/>
      <c r="FE721" s="17"/>
      <c r="FF721" s="17"/>
      <c r="FG721" s="11"/>
      <c r="GT721" s="11"/>
      <c r="IG721" s="11"/>
      <c r="JT721" s="11"/>
      <c r="LG721" s="11"/>
      <c r="MT721" s="11"/>
      <c r="OG721" s="11"/>
      <c r="PT721" s="11"/>
    </row>
    <row r="722" spans="3:436" ht="15.75" x14ac:dyDescent="0.25">
      <c r="C722" s="20" t="s">
        <v>405</v>
      </c>
      <c r="D722" s="21" t="s">
        <v>162</v>
      </c>
      <c r="H722" s="11"/>
      <c r="AU722" s="11"/>
      <c r="CH722" s="11"/>
      <c r="CI722" s="16"/>
      <c r="CJ722" s="16"/>
      <c r="CK722" s="16"/>
      <c r="CL722" s="16"/>
      <c r="CM722" s="16"/>
      <c r="CN722" s="16"/>
      <c r="CO722" s="16"/>
      <c r="CP722" s="16"/>
      <c r="CQ722" s="16"/>
      <c r="CR722" s="16"/>
      <c r="CS722" s="16"/>
      <c r="CT722" s="16"/>
      <c r="CU722" s="16"/>
      <c r="CV722" s="16"/>
      <c r="CW722" s="16"/>
      <c r="CX722" s="16"/>
      <c r="CY722" s="16"/>
      <c r="CZ722" s="16"/>
      <c r="DA722" s="16"/>
      <c r="DB722" s="16"/>
      <c r="DC722" s="16"/>
      <c r="DD722" s="16"/>
      <c r="DE722" s="17"/>
      <c r="DF722" s="17"/>
      <c r="DG722" s="16"/>
      <c r="DH722" s="16"/>
      <c r="DI722" s="17"/>
      <c r="DJ722" s="17"/>
      <c r="DK722" s="16"/>
      <c r="DL722" s="16"/>
      <c r="DM722" s="17"/>
      <c r="DN722" s="17"/>
      <c r="DO722" s="16"/>
      <c r="DP722" s="16"/>
      <c r="DQ722" s="17"/>
      <c r="DR722" s="17"/>
      <c r="DS722" s="16"/>
      <c r="DT722" s="16"/>
      <c r="DU722" s="17"/>
      <c r="DV722" s="17"/>
      <c r="DW722" s="16"/>
      <c r="DX722" s="16"/>
      <c r="DY722" s="17"/>
      <c r="DZ722" s="17"/>
      <c r="EA722" s="16"/>
      <c r="EB722" s="16"/>
      <c r="EC722" s="17"/>
      <c r="ED722" s="17"/>
      <c r="EE722" s="16"/>
      <c r="EF722" s="16"/>
      <c r="EG722" s="17"/>
      <c r="EH722" s="17"/>
      <c r="EI722" s="16"/>
      <c r="EJ722" s="16"/>
      <c r="EK722" s="17"/>
      <c r="EL722" s="17"/>
      <c r="EM722" s="16"/>
      <c r="EN722" s="16"/>
      <c r="EO722" s="17"/>
      <c r="EP722" s="17"/>
      <c r="EQ722" s="16"/>
      <c r="ER722" s="16"/>
      <c r="ES722" s="17"/>
      <c r="ET722" s="17"/>
      <c r="EU722" s="16"/>
      <c r="EV722" s="16"/>
      <c r="EW722" s="17"/>
      <c r="EX722" s="17"/>
      <c r="EY722" s="16"/>
      <c r="EZ722" s="16"/>
      <c r="FA722" s="17"/>
      <c r="FB722" s="17"/>
      <c r="FC722" s="16"/>
      <c r="FD722" s="16"/>
      <c r="FE722" s="17"/>
      <c r="FF722" s="17"/>
      <c r="FG722" s="11"/>
      <c r="GT722" s="11"/>
      <c r="IG722" s="11"/>
      <c r="JT722" s="11"/>
      <c r="LG722" s="11"/>
      <c r="MT722" s="11"/>
      <c r="OG722" s="11"/>
      <c r="PT722" s="11"/>
    </row>
    <row r="723" spans="3:436" ht="15.75" x14ac:dyDescent="0.25">
      <c r="C723" s="20" t="s">
        <v>560</v>
      </c>
      <c r="D723" s="21" t="s">
        <v>203</v>
      </c>
      <c r="H723" s="11"/>
      <c r="AU723" s="11"/>
      <c r="CH723" s="11"/>
      <c r="CI723" s="16"/>
      <c r="CJ723" s="16"/>
      <c r="CK723" s="16"/>
      <c r="CL723" s="16"/>
      <c r="CM723" s="16"/>
      <c r="CN723" s="16"/>
      <c r="CO723" s="16"/>
      <c r="CP723" s="16"/>
      <c r="CQ723" s="16"/>
      <c r="CR723" s="16"/>
      <c r="CS723" s="16"/>
      <c r="CT723" s="16"/>
      <c r="CU723" s="16"/>
      <c r="CV723" s="16"/>
      <c r="CW723" s="16"/>
      <c r="CX723" s="16"/>
      <c r="CY723" s="16"/>
      <c r="CZ723" s="16"/>
      <c r="DA723" s="16"/>
      <c r="DB723" s="16"/>
      <c r="DC723" s="16"/>
      <c r="DD723" s="16"/>
      <c r="DE723" s="17"/>
      <c r="DF723" s="17"/>
      <c r="DG723" s="16"/>
      <c r="DH723" s="16"/>
      <c r="DI723" s="17"/>
      <c r="DJ723" s="17"/>
      <c r="DK723" s="16"/>
      <c r="DL723" s="16"/>
      <c r="DM723" s="17"/>
      <c r="DN723" s="17"/>
      <c r="DO723" s="16"/>
      <c r="DP723" s="16"/>
      <c r="DQ723" s="17"/>
      <c r="DR723" s="17"/>
      <c r="DS723" s="16"/>
      <c r="DT723" s="16"/>
      <c r="DU723" s="17"/>
      <c r="DV723" s="17"/>
      <c r="DW723" s="16"/>
      <c r="DX723" s="16"/>
      <c r="DY723" s="17"/>
      <c r="DZ723" s="17"/>
      <c r="EA723" s="16"/>
      <c r="EB723" s="16"/>
      <c r="EC723" s="17"/>
      <c r="ED723" s="17"/>
      <c r="EE723" s="16"/>
      <c r="EF723" s="16"/>
      <c r="EG723" s="17"/>
      <c r="EH723" s="17"/>
      <c r="EI723" s="16"/>
      <c r="EJ723" s="16"/>
      <c r="EK723" s="17"/>
      <c r="EL723" s="17"/>
      <c r="EM723" s="16"/>
      <c r="EN723" s="16"/>
      <c r="EO723" s="17"/>
      <c r="EP723" s="17"/>
      <c r="EQ723" s="16"/>
      <c r="ER723" s="16"/>
      <c r="ES723" s="17"/>
      <c r="ET723" s="17"/>
      <c r="EU723" s="16"/>
      <c r="EV723" s="16"/>
      <c r="EW723" s="17"/>
      <c r="EX723" s="17"/>
      <c r="EY723" s="16"/>
      <c r="EZ723" s="16"/>
      <c r="FA723" s="17"/>
      <c r="FB723" s="17"/>
      <c r="FC723" s="16"/>
      <c r="FD723" s="16"/>
      <c r="FE723" s="17"/>
      <c r="FF723" s="17"/>
      <c r="FG723" s="11"/>
      <c r="GT723" s="11"/>
      <c r="IG723" s="11"/>
      <c r="JT723" s="11"/>
      <c r="LG723" s="11"/>
      <c r="MT723" s="11"/>
      <c r="OG723" s="11"/>
      <c r="PT723" s="11"/>
    </row>
    <row r="724" spans="3:436" ht="15.75" x14ac:dyDescent="0.25">
      <c r="C724" s="20" t="s">
        <v>561</v>
      </c>
      <c r="D724" s="21" t="s">
        <v>203</v>
      </c>
      <c r="H724" s="11"/>
      <c r="AU724" s="11"/>
      <c r="CH724" s="11"/>
      <c r="CI724" s="16"/>
      <c r="CJ724" s="16"/>
      <c r="CK724" s="16"/>
      <c r="CL724" s="16"/>
      <c r="CM724" s="16"/>
      <c r="CN724" s="16"/>
      <c r="CO724" s="16"/>
      <c r="CP724" s="16"/>
      <c r="CQ724" s="16"/>
      <c r="CR724" s="16"/>
      <c r="CS724" s="16"/>
      <c r="CT724" s="16"/>
      <c r="CU724" s="16"/>
      <c r="CV724" s="16"/>
      <c r="CW724" s="16"/>
      <c r="CX724" s="16"/>
      <c r="CY724" s="16"/>
      <c r="CZ724" s="16"/>
      <c r="DA724" s="16"/>
      <c r="DB724" s="16"/>
      <c r="DC724" s="16"/>
      <c r="DD724" s="16"/>
      <c r="DE724" s="17"/>
      <c r="DF724" s="17"/>
      <c r="DG724" s="16"/>
      <c r="DH724" s="16"/>
      <c r="DI724" s="17"/>
      <c r="DJ724" s="17"/>
      <c r="DK724" s="16"/>
      <c r="DL724" s="16"/>
      <c r="DM724" s="17"/>
      <c r="DN724" s="17"/>
      <c r="DO724" s="16"/>
      <c r="DP724" s="16"/>
      <c r="DQ724" s="17"/>
      <c r="DR724" s="17"/>
      <c r="DS724" s="16"/>
      <c r="DT724" s="16"/>
      <c r="DU724" s="17"/>
      <c r="DV724" s="17"/>
      <c r="DW724" s="16"/>
      <c r="DX724" s="16"/>
      <c r="DY724" s="17"/>
      <c r="DZ724" s="17"/>
      <c r="EA724" s="16"/>
      <c r="EB724" s="16"/>
      <c r="EC724" s="17"/>
      <c r="ED724" s="17"/>
      <c r="EE724" s="16"/>
      <c r="EF724" s="16"/>
      <c r="EG724" s="17"/>
      <c r="EH724" s="17"/>
      <c r="EI724" s="16"/>
      <c r="EJ724" s="16"/>
      <c r="EK724" s="17"/>
      <c r="EL724" s="17"/>
      <c r="EM724" s="16"/>
      <c r="EN724" s="16"/>
      <c r="EO724" s="17"/>
      <c r="EP724" s="17"/>
      <c r="EQ724" s="16"/>
      <c r="ER724" s="16"/>
      <c r="ES724" s="17"/>
      <c r="ET724" s="17"/>
      <c r="EU724" s="16"/>
      <c r="EV724" s="16"/>
      <c r="EW724" s="17"/>
      <c r="EX724" s="17"/>
      <c r="EY724" s="16"/>
      <c r="EZ724" s="16"/>
      <c r="FA724" s="17"/>
      <c r="FB724" s="17"/>
      <c r="FC724" s="16"/>
      <c r="FD724" s="16"/>
      <c r="FE724" s="17"/>
      <c r="FF724" s="17"/>
      <c r="FG724" s="11"/>
      <c r="GT724" s="11"/>
      <c r="IG724" s="11"/>
      <c r="JT724" s="11"/>
      <c r="LG724" s="11"/>
      <c r="MT724" s="11"/>
      <c r="OG724" s="11"/>
      <c r="PT724" s="11"/>
    </row>
    <row r="725" spans="3:436" ht="15.75" x14ac:dyDescent="0.25">
      <c r="C725" s="20" t="s">
        <v>562</v>
      </c>
      <c r="D725" s="21" t="s">
        <v>159</v>
      </c>
      <c r="H725" s="11"/>
      <c r="AU725" s="11"/>
      <c r="CH725" s="11"/>
      <c r="CI725" s="16"/>
      <c r="CJ725" s="16"/>
      <c r="CK725" s="16"/>
      <c r="CL725" s="16"/>
      <c r="CM725" s="16"/>
      <c r="CN725" s="16"/>
      <c r="CO725" s="16"/>
      <c r="CP725" s="16"/>
      <c r="CQ725" s="16"/>
      <c r="CR725" s="16"/>
      <c r="CS725" s="16"/>
      <c r="CT725" s="16"/>
      <c r="CU725" s="16"/>
      <c r="CV725" s="16"/>
      <c r="CW725" s="16"/>
      <c r="CX725" s="16"/>
      <c r="CY725" s="16"/>
      <c r="CZ725" s="16"/>
      <c r="DA725" s="16"/>
      <c r="DB725" s="16"/>
      <c r="DC725" s="16"/>
      <c r="DD725" s="16"/>
      <c r="DE725" s="17"/>
      <c r="DF725" s="17"/>
      <c r="DG725" s="16"/>
      <c r="DH725" s="16"/>
      <c r="DI725" s="17"/>
      <c r="DJ725" s="17"/>
      <c r="DK725" s="16"/>
      <c r="DL725" s="16"/>
      <c r="DM725" s="17"/>
      <c r="DN725" s="17"/>
      <c r="DO725" s="16"/>
      <c r="DP725" s="16"/>
      <c r="DQ725" s="17"/>
      <c r="DR725" s="17"/>
      <c r="DS725" s="16"/>
      <c r="DT725" s="16"/>
      <c r="DU725" s="17"/>
      <c r="DV725" s="17"/>
      <c r="DW725" s="16"/>
      <c r="DX725" s="16"/>
      <c r="DY725" s="17"/>
      <c r="DZ725" s="17"/>
      <c r="EA725" s="16"/>
      <c r="EB725" s="16"/>
      <c r="EC725" s="17"/>
      <c r="ED725" s="17"/>
      <c r="EE725" s="16"/>
      <c r="EF725" s="16"/>
      <c r="EG725" s="17"/>
      <c r="EH725" s="17"/>
      <c r="EI725" s="16"/>
      <c r="EJ725" s="16"/>
      <c r="EK725" s="17"/>
      <c r="EL725" s="17"/>
      <c r="EM725" s="16"/>
      <c r="EN725" s="16"/>
      <c r="EO725" s="17"/>
      <c r="EP725" s="17"/>
      <c r="EQ725" s="16"/>
      <c r="ER725" s="16"/>
      <c r="ES725" s="17"/>
      <c r="ET725" s="17"/>
      <c r="EU725" s="16"/>
      <c r="EV725" s="16"/>
      <c r="EW725" s="17"/>
      <c r="EX725" s="17"/>
      <c r="EY725" s="16"/>
      <c r="EZ725" s="16"/>
      <c r="FA725" s="17"/>
      <c r="FB725" s="17"/>
      <c r="FC725" s="16"/>
      <c r="FD725" s="16"/>
      <c r="FE725" s="17"/>
      <c r="FF725" s="17"/>
      <c r="FG725" s="11"/>
      <c r="GT725" s="11"/>
      <c r="IG725" s="11"/>
      <c r="JT725" s="11"/>
      <c r="LG725" s="11"/>
      <c r="MT725" s="11"/>
      <c r="OG725" s="11"/>
      <c r="PT725" s="11"/>
    </row>
    <row r="726" spans="3:436" ht="15.75" x14ac:dyDescent="0.25">
      <c r="C726" s="20" t="s">
        <v>563</v>
      </c>
      <c r="D726" s="21" t="s">
        <v>82</v>
      </c>
      <c r="H726" s="11"/>
      <c r="AU726" s="11"/>
      <c r="CH726" s="11"/>
      <c r="CI726" s="16"/>
      <c r="CJ726" s="16"/>
      <c r="CK726" s="16"/>
      <c r="CL726" s="16"/>
      <c r="CM726" s="16"/>
      <c r="CN726" s="16"/>
      <c r="CO726" s="16"/>
      <c r="CP726" s="16"/>
      <c r="CQ726" s="16"/>
      <c r="CR726" s="16"/>
      <c r="CS726" s="16"/>
      <c r="CT726" s="16"/>
      <c r="CU726" s="16"/>
      <c r="CV726" s="16"/>
      <c r="CW726" s="16"/>
      <c r="CX726" s="16"/>
      <c r="CY726" s="16"/>
      <c r="CZ726" s="16"/>
      <c r="DA726" s="16"/>
      <c r="DB726" s="16"/>
      <c r="DC726" s="16"/>
      <c r="DD726" s="16"/>
      <c r="DE726" s="17"/>
      <c r="DF726" s="17"/>
      <c r="DG726" s="16"/>
      <c r="DH726" s="16"/>
      <c r="DI726" s="17"/>
      <c r="DJ726" s="17"/>
      <c r="DK726" s="16"/>
      <c r="DL726" s="16"/>
      <c r="DM726" s="17"/>
      <c r="DN726" s="17"/>
      <c r="DO726" s="16"/>
      <c r="DP726" s="16"/>
      <c r="DQ726" s="17"/>
      <c r="DR726" s="17"/>
      <c r="DS726" s="16"/>
      <c r="DT726" s="16"/>
      <c r="DU726" s="17"/>
      <c r="DV726" s="17"/>
      <c r="DW726" s="16"/>
      <c r="DX726" s="16"/>
      <c r="DY726" s="17"/>
      <c r="DZ726" s="17"/>
      <c r="EA726" s="16"/>
      <c r="EB726" s="16"/>
      <c r="EC726" s="17"/>
      <c r="ED726" s="17"/>
      <c r="EE726" s="16"/>
      <c r="EF726" s="16"/>
      <c r="EG726" s="17"/>
      <c r="EH726" s="17"/>
      <c r="EI726" s="16"/>
      <c r="EJ726" s="16"/>
      <c r="EK726" s="17"/>
      <c r="EL726" s="17"/>
      <c r="EM726" s="16"/>
      <c r="EN726" s="16"/>
      <c r="EO726" s="17"/>
      <c r="EP726" s="17"/>
      <c r="EQ726" s="16"/>
      <c r="ER726" s="16"/>
      <c r="ES726" s="17"/>
      <c r="ET726" s="17"/>
      <c r="EU726" s="16"/>
      <c r="EV726" s="16"/>
      <c r="EW726" s="17"/>
      <c r="EX726" s="17"/>
      <c r="EY726" s="16"/>
      <c r="EZ726" s="16"/>
      <c r="FA726" s="17"/>
      <c r="FB726" s="17"/>
      <c r="FC726" s="16"/>
      <c r="FD726" s="16"/>
      <c r="FE726" s="17"/>
      <c r="FF726" s="17"/>
      <c r="FG726" s="11"/>
      <c r="GT726" s="11"/>
      <c r="IG726" s="11"/>
      <c r="JT726" s="11"/>
      <c r="LG726" s="11"/>
      <c r="MT726" s="11"/>
      <c r="OG726" s="11"/>
      <c r="PT726" s="11"/>
    </row>
    <row r="727" spans="3:436" ht="15.75" x14ac:dyDescent="0.25">
      <c r="C727" s="20" t="s">
        <v>410</v>
      </c>
      <c r="D727" s="21" t="s">
        <v>142</v>
      </c>
      <c r="H727" s="11"/>
      <c r="AU727" s="11"/>
      <c r="CH727" s="11"/>
      <c r="CI727" s="16"/>
      <c r="CJ727" s="16"/>
      <c r="CK727" s="16"/>
      <c r="CL727" s="16"/>
      <c r="CM727" s="16"/>
      <c r="CN727" s="16"/>
      <c r="CO727" s="16"/>
      <c r="CP727" s="16"/>
      <c r="CQ727" s="16"/>
      <c r="CR727" s="16"/>
      <c r="CS727" s="16"/>
      <c r="CT727" s="16"/>
      <c r="CU727" s="16"/>
      <c r="CV727" s="16"/>
      <c r="CW727" s="16"/>
      <c r="CX727" s="16"/>
      <c r="CY727" s="16"/>
      <c r="CZ727" s="16"/>
      <c r="DA727" s="16"/>
      <c r="DB727" s="16"/>
      <c r="DC727" s="16"/>
      <c r="DD727" s="16"/>
      <c r="DE727" s="17"/>
      <c r="DF727" s="17"/>
      <c r="DG727" s="16"/>
      <c r="DH727" s="16"/>
      <c r="DI727" s="17"/>
      <c r="DJ727" s="17"/>
      <c r="DK727" s="16"/>
      <c r="DL727" s="16"/>
      <c r="DM727" s="17"/>
      <c r="DN727" s="17"/>
      <c r="DO727" s="16"/>
      <c r="DP727" s="16"/>
      <c r="DQ727" s="17"/>
      <c r="DR727" s="17"/>
      <c r="DS727" s="16"/>
      <c r="DT727" s="16"/>
      <c r="DU727" s="17"/>
      <c r="DV727" s="17"/>
      <c r="DW727" s="16"/>
      <c r="DX727" s="16"/>
      <c r="DY727" s="17"/>
      <c r="DZ727" s="17"/>
      <c r="EA727" s="16"/>
      <c r="EB727" s="16"/>
      <c r="EC727" s="17"/>
      <c r="ED727" s="17"/>
      <c r="EE727" s="16"/>
      <c r="EF727" s="16"/>
      <c r="EG727" s="17"/>
      <c r="EH727" s="17"/>
      <c r="EI727" s="16"/>
      <c r="EJ727" s="16"/>
      <c r="EK727" s="17"/>
      <c r="EL727" s="17"/>
      <c r="EM727" s="16"/>
      <c r="EN727" s="16"/>
      <c r="EO727" s="17"/>
      <c r="EP727" s="17"/>
      <c r="EQ727" s="16"/>
      <c r="ER727" s="16"/>
      <c r="ES727" s="17"/>
      <c r="ET727" s="17"/>
      <c r="EU727" s="16"/>
      <c r="EV727" s="16"/>
      <c r="EW727" s="17"/>
      <c r="EX727" s="17"/>
      <c r="EY727" s="16"/>
      <c r="EZ727" s="16"/>
      <c r="FA727" s="17"/>
      <c r="FB727" s="17"/>
      <c r="FC727" s="16"/>
      <c r="FD727" s="16"/>
      <c r="FE727" s="17"/>
      <c r="FF727" s="17"/>
      <c r="FG727" s="11"/>
      <c r="GT727" s="11"/>
      <c r="IG727" s="11"/>
      <c r="JT727" s="11"/>
      <c r="LG727" s="11"/>
      <c r="MT727" s="11"/>
      <c r="OG727" s="11"/>
      <c r="PT727" s="11"/>
    </row>
    <row r="728" spans="3:436" ht="15.75" x14ac:dyDescent="0.25">
      <c r="C728" s="20" t="s">
        <v>568</v>
      </c>
      <c r="D728" s="21" t="s">
        <v>104</v>
      </c>
      <c r="H728" s="11"/>
      <c r="AU728" s="11"/>
      <c r="CH728" s="11"/>
      <c r="CI728" s="16"/>
      <c r="CJ728" s="16"/>
      <c r="CK728" s="16"/>
      <c r="CL728" s="16"/>
      <c r="CM728" s="16"/>
      <c r="CN728" s="16"/>
      <c r="CO728" s="16"/>
      <c r="CP728" s="16"/>
      <c r="CQ728" s="16"/>
      <c r="CR728" s="16"/>
      <c r="CS728" s="16"/>
      <c r="CT728" s="16"/>
      <c r="CU728" s="16"/>
      <c r="CV728" s="16"/>
      <c r="CW728" s="16"/>
      <c r="CX728" s="16"/>
      <c r="CY728" s="16"/>
      <c r="CZ728" s="16"/>
      <c r="DA728" s="16"/>
      <c r="DB728" s="16"/>
      <c r="DC728" s="16"/>
      <c r="DD728" s="16"/>
      <c r="DE728" s="17"/>
      <c r="DF728" s="17"/>
      <c r="DG728" s="16"/>
      <c r="DH728" s="16"/>
      <c r="DI728" s="17"/>
      <c r="DJ728" s="17"/>
      <c r="DK728" s="16"/>
      <c r="DL728" s="16"/>
      <c r="DM728" s="17"/>
      <c r="DN728" s="17"/>
      <c r="DO728" s="16"/>
      <c r="DP728" s="16"/>
      <c r="DQ728" s="17"/>
      <c r="DR728" s="17"/>
      <c r="DS728" s="16"/>
      <c r="DT728" s="16"/>
      <c r="DU728" s="17"/>
      <c r="DV728" s="17"/>
      <c r="DW728" s="16"/>
      <c r="DX728" s="16"/>
      <c r="DY728" s="17"/>
      <c r="DZ728" s="17"/>
      <c r="EA728" s="16"/>
      <c r="EB728" s="16"/>
      <c r="EC728" s="17"/>
      <c r="ED728" s="17"/>
      <c r="EE728" s="16"/>
      <c r="EF728" s="16"/>
      <c r="EG728" s="17"/>
      <c r="EH728" s="17"/>
      <c r="EI728" s="16"/>
      <c r="EJ728" s="16"/>
      <c r="EK728" s="17"/>
      <c r="EL728" s="17"/>
      <c r="EM728" s="16"/>
      <c r="EN728" s="16"/>
      <c r="EO728" s="17"/>
      <c r="EP728" s="17"/>
      <c r="EQ728" s="16"/>
      <c r="ER728" s="16"/>
      <c r="ES728" s="17"/>
      <c r="ET728" s="17"/>
      <c r="EU728" s="16"/>
      <c r="EV728" s="16"/>
      <c r="EW728" s="17"/>
      <c r="EX728" s="17"/>
      <c r="EY728" s="16"/>
      <c r="EZ728" s="16"/>
      <c r="FA728" s="17"/>
      <c r="FB728" s="17"/>
      <c r="FC728" s="19">
        <v>5</v>
      </c>
      <c r="FD728" s="19">
        <v>7</v>
      </c>
      <c r="FE728" s="17"/>
      <c r="FF728" s="17"/>
      <c r="FG728" s="11"/>
      <c r="GT728" s="11"/>
      <c r="IG728" s="11"/>
      <c r="JT728" s="11"/>
      <c r="LG728" s="11"/>
      <c r="MT728" s="11"/>
      <c r="OG728" s="11"/>
      <c r="PT728" s="11"/>
    </row>
    <row r="729" spans="3:436" ht="15.75" x14ac:dyDescent="0.25">
      <c r="C729" s="20" t="s">
        <v>578</v>
      </c>
      <c r="D729" s="21" t="s">
        <v>90</v>
      </c>
      <c r="H729" s="11"/>
      <c r="AU729" s="11"/>
      <c r="CH729" s="11"/>
      <c r="CI729" s="16"/>
      <c r="CJ729" s="16"/>
      <c r="CK729" s="16"/>
      <c r="CL729" s="16"/>
      <c r="CM729" s="16"/>
      <c r="CN729" s="16"/>
      <c r="CO729" s="16"/>
      <c r="CP729" s="16"/>
      <c r="CQ729" s="16"/>
      <c r="CR729" s="16"/>
      <c r="CS729" s="16"/>
      <c r="CT729" s="16"/>
      <c r="CU729" s="16"/>
      <c r="CV729" s="16"/>
      <c r="CW729" s="16"/>
      <c r="CX729" s="16"/>
      <c r="CY729" s="16"/>
      <c r="CZ729" s="16"/>
      <c r="DA729" s="16"/>
      <c r="DB729" s="16"/>
      <c r="DC729" s="16"/>
      <c r="DD729" s="16"/>
      <c r="DE729" s="17"/>
      <c r="DF729" s="17"/>
      <c r="DG729" s="16"/>
      <c r="DH729" s="16"/>
      <c r="DI729" s="17"/>
      <c r="DJ729" s="17"/>
      <c r="DK729" s="16"/>
      <c r="DL729" s="16"/>
      <c r="DM729" s="17"/>
      <c r="DN729" s="17"/>
      <c r="DO729" s="16"/>
      <c r="DP729" s="16"/>
      <c r="DQ729" s="17"/>
      <c r="DR729" s="17"/>
      <c r="DS729" s="16"/>
      <c r="DT729" s="16"/>
      <c r="DU729" s="17"/>
      <c r="DV729" s="17"/>
      <c r="DW729" s="16"/>
      <c r="DX729" s="16"/>
      <c r="DY729" s="17"/>
      <c r="DZ729" s="17"/>
      <c r="EA729" s="16"/>
      <c r="EB729" s="16"/>
      <c r="EC729" s="17"/>
      <c r="ED729" s="17"/>
      <c r="EE729" s="16"/>
      <c r="EF729" s="16"/>
      <c r="EG729" s="17"/>
      <c r="EH729" s="17"/>
      <c r="EI729" s="16"/>
      <c r="EJ729" s="16"/>
      <c r="EK729" s="17"/>
      <c r="EL729" s="17"/>
      <c r="EM729" s="16"/>
      <c r="EN729" s="16"/>
      <c r="EO729" s="17"/>
      <c r="EP729" s="17"/>
      <c r="EQ729" s="16"/>
      <c r="ER729" s="16"/>
      <c r="ES729" s="17"/>
      <c r="ET729" s="17"/>
      <c r="EU729" s="16"/>
      <c r="EV729" s="16"/>
      <c r="EW729" s="17"/>
      <c r="EX729" s="17"/>
      <c r="EY729" s="16"/>
      <c r="EZ729" s="16"/>
      <c r="FA729" s="17"/>
      <c r="FB729" s="17"/>
      <c r="FC729" s="16"/>
      <c r="FD729" s="16"/>
      <c r="FE729" s="17"/>
      <c r="FF729" s="17"/>
      <c r="FG729" s="11"/>
      <c r="GT729" s="11"/>
      <c r="IG729" s="11"/>
      <c r="JT729" s="11"/>
      <c r="LG729" s="11"/>
      <c r="MT729" s="11"/>
      <c r="OG729" s="11"/>
      <c r="PT729" s="11"/>
    </row>
    <row r="730" spans="3:436" ht="15.75" x14ac:dyDescent="0.25">
      <c r="C730" s="20" t="s">
        <v>559</v>
      </c>
      <c r="D730" s="21" t="s">
        <v>79</v>
      </c>
      <c r="H730" s="11"/>
      <c r="AU730" s="11"/>
      <c r="CH730" s="11"/>
      <c r="CI730" s="16"/>
      <c r="CJ730" s="16"/>
      <c r="CK730" s="16"/>
      <c r="CL730" s="16"/>
      <c r="CM730" s="16"/>
      <c r="CN730" s="16"/>
      <c r="CO730" s="16"/>
      <c r="CP730" s="16"/>
      <c r="CQ730" s="16"/>
      <c r="CR730" s="16"/>
      <c r="CS730" s="16"/>
      <c r="CT730" s="16"/>
      <c r="CU730" s="16"/>
      <c r="CV730" s="16"/>
      <c r="CW730" s="16"/>
      <c r="CX730" s="16"/>
      <c r="CY730" s="16"/>
      <c r="CZ730" s="16"/>
      <c r="DA730" s="16"/>
      <c r="DB730" s="16"/>
      <c r="DC730" s="16"/>
      <c r="DD730" s="16"/>
      <c r="DE730" s="17"/>
      <c r="DF730" s="17"/>
      <c r="DG730" s="16"/>
      <c r="DH730" s="16"/>
      <c r="DI730" s="17"/>
      <c r="DJ730" s="17"/>
      <c r="DK730" s="16"/>
      <c r="DL730" s="16"/>
      <c r="DM730" s="17"/>
      <c r="DN730" s="17"/>
      <c r="DO730" s="16"/>
      <c r="DP730" s="16"/>
      <c r="DQ730" s="17"/>
      <c r="DR730" s="17"/>
      <c r="DS730" s="16"/>
      <c r="DT730" s="16"/>
      <c r="DU730" s="17"/>
      <c r="DV730" s="17"/>
      <c r="DW730" s="16"/>
      <c r="DX730" s="16"/>
      <c r="DY730" s="17"/>
      <c r="DZ730" s="17"/>
      <c r="EA730" s="16"/>
      <c r="EB730" s="16"/>
      <c r="EC730" s="17"/>
      <c r="ED730" s="17"/>
      <c r="EE730" s="16"/>
      <c r="EF730" s="16"/>
      <c r="EG730" s="17"/>
      <c r="EH730" s="17"/>
      <c r="EI730" s="16"/>
      <c r="EJ730" s="16"/>
      <c r="EK730" s="17"/>
      <c r="EL730" s="17"/>
      <c r="EM730" s="16"/>
      <c r="EN730" s="16"/>
      <c r="EO730" s="17"/>
      <c r="EP730" s="17"/>
      <c r="EQ730" s="16"/>
      <c r="ER730" s="16"/>
      <c r="ES730" s="17"/>
      <c r="ET730" s="17"/>
      <c r="EU730" s="16"/>
      <c r="EV730" s="16"/>
      <c r="EW730" s="17"/>
      <c r="EX730" s="17"/>
      <c r="EY730" s="16"/>
      <c r="EZ730" s="16"/>
      <c r="FA730" s="17"/>
      <c r="FB730" s="17"/>
      <c r="FC730" s="16"/>
      <c r="FD730" s="16"/>
      <c r="FE730" s="17"/>
      <c r="FF730" s="17"/>
      <c r="FG730" s="11"/>
      <c r="GT730" s="11"/>
      <c r="IG730" s="11"/>
      <c r="JT730" s="11"/>
      <c r="LG730" s="11"/>
      <c r="MT730" s="11"/>
      <c r="OG730" s="11"/>
      <c r="PT730" s="11"/>
    </row>
    <row r="731" spans="3:436" ht="15.75" x14ac:dyDescent="0.25">
      <c r="C731" s="20" t="s">
        <v>404</v>
      </c>
      <c r="D731" s="21" t="s">
        <v>129</v>
      </c>
      <c r="H731" s="11"/>
      <c r="AU731" s="11"/>
      <c r="CH731" s="11"/>
      <c r="CI731" s="16"/>
      <c r="CJ731" s="16"/>
      <c r="CK731" s="16"/>
      <c r="CL731" s="16"/>
      <c r="CM731" s="16"/>
      <c r="CN731" s="16"/>
      <c r="CO731" s="16"/>
      <c r="CP731" s="16"/>
      <c r="CQ731" s="16"/>
      <c r="CR731" s="16"/>
      <c r="CS731" s="16"/>
      <c r="CT731" s="16"/>
      <c r="CU731" s="16"/>
      <c r="CV731" s="16"/>
      <c r="CW731" s="16"/>
      <c r="CX731" s="16"/>
      <c r="CY731" s="16"/>
      <c r="CZ731" s="16"/>
      <c r="DA731" s="16"/>
      <c r="DB731" s="16"/>
      <c r="DC731" s="16"/>
      <c r="DD731" s="16"/>
      <c r="DE731" s="17"/>
      <c r="DF731" s="17"/>
      <c r="DG731" s="16"/>
      <c r="DH731" s="16"/>
      <c r="DI731" s="17"/>
      <c r="DJ731" s="17"/>
      <c r="DK731" s="16"/>
      <c r="DL731" s="16"/>
      <c r="DM731" s="17"/>
      <c r="DN731" s="17"/>
      <c r="DO731" s="16"/>
      <c r="DP731" s="16"/>
      <c r="DQ731" s="17"/>
      <c r="DR731" s="17"/>
      <c r="DS731" s="16"/>
      <c r="DT731" s="16"/>
      <c r="DU731" s="17"/>
      <c r="DV731" s="17"/>
      <c r="DW731" s="16"/>
      <c r="DX731" s="16"/>
      <c r="DY731" s="17"/>
      <c r="DZ731" s="17"/>
      <c r="EA731" s="16"/>
      <c r="EB731" s="16"/>
      <c r="EC731" s="17"/>
      <c r="ED731" s="17"/>
      <c r="EE731" s="16"/>
      <c r="EF731" s="16"/>
      <c r="EG731" s="17"/>
      <c r="EH731" s="17"/>
      <c r="EI731" s="16"/>
      <c r="EJ731" s="16"/>
      <c r="EK731" s="17"/>
      <c r="EL731" s="17"/>
      <c r="EM731" s="16"/>
      <c r="EN731" s="16"/>
      <c r="EO731" s="17"/>
      <c r="EP731" s="17"/>
      <c r="EQ731" s="16"/>
      <c r="ER731" s="16"/>
      <c r="ES731" s="17"/>
      <c r="ET731" s="17"/>
      <c r="EU731" s="16"/>
      <c r="EV731" s="16"/>
      <c r="EW731" s="17"/>
      <c r="EX731" s="17"/>
      <c r="EY731" s="16"/>
      <c r="EZ731" s="16"/>
      <c r="FA731" s="17"/>
      <c r="FB731" s="17"/>
      <c r="FC731" s="16"/>
      <c r="FD731" s="16"/>
      <c r="FE731" s="17"/>
      <c r="FF731" s="17"/>
      <c r="FG731" s="11"/>
      <c r="GT731" s="11"/>
      <c r="IG731" s="11"/>
      <c r="JT731" s="11"/>
      <c r="LG731" s="11"/>
      <c r="MT731" s="11"/>
      <c r="OG731" s="11"/>
      <c r="PT731" s="11"/>
    </row>
    <row r="732" spans="3:436" ht="15.75" x14ac:dyDescent="0.25">
      <c r="C732" s="20" t="s">
        <v>405</v>
      </c>
      <c r="D732" s="21" t="s">
        <v>162</v>
      </c>
      <c r="H732" s="11"/>
      <c r="AU732" s="11"/>
      <c r="CH732" s="11"/>
      <c r="CI732" s="16"/>
      <c r="CJ732" s="16"/>
      <c r="CK732" s="16"/>
      <c r="CL732" s="16"/>
      <c r="CM732" s="16"/>
      <c r="CN732" s="16"/>
      <c r="CO732" s="16"/>
      <c r="CP732" s="16"/>
      <c r="CQ732" s="16"/>
      <c r="CR732" s="16"/>
      <c r="CS732" s="16"/>
      <c r="CT732" s="16"/>
      <c r="CU732" s="16"/>
      <c r="CV732" s="16"/>
      <c r="CW732" s="16"/>
      <c r="CX732" s="16"/>
      <c r="CY732" s="16"/>
      <c r="CZ732" s="16"/>
      <c r="DA732" s="16"/>
      <c r="DB732" s="16"/>
      <c r="DC732" s="16"/>
      <c r="DD732" s="16"/>
      <c r="DE732" s="17"/>
      <c r="DF732" s="17"/>
      <c r="DG732" s="16"/>
      <c r="DH732" s="16"/>
      <c r="DI732" s="17"/>
      <c r="DJ732" s="17"/>
      <c r="DK732" s="16"/>
      <c r="DL732" s="16"/>
      <c r="DM732" s="17"/>
      <c r="DN732" s="17"/>
      <c r="DO732" s="16"/>
      <c r="DP732" s="16"/>
      <c r="DQ732" s="17"/>
      <c r="DR732" s="17"/>
      <c r="DS732" s="16"/>
      <c r="DT732" s="16"/>
      <c r="DU732" s="17"/>
      <c r="DV732" s="17"/>
      <c r="DW732" s="16"/>
      <c r="DX732" s="16"/>
      <c r="DY732" s="17"/>
      <c r="DZ732" s="17"/>
      <c r="EA732" s="16"/>
      <c r="EB732" s="16"/>
      <c r="EC732" s="17"/>
      <c r="ED732" s="17"/>
      <c r="EE732" s="16"/>
      <c r="EF732" s="16"/>
      <c r="EG732" s="17"/>
      <c r="EH732" s="17"/>
      <c r="EI732" s="16"/>
      <c r="EJ732" s="16"/>
      <c r="EK732" s="17"/>
      <c r="EL732" s="17"/>
      <c r="EM732" s="16"/>
      <c r="EN732" s="16"/>
      <c r="EO732" s="17"/>
      <c r="EP732" s="17"/>
      <c r="EQ732" s="16"/>
      <c r="ER732" s="16"/>
      <c r="ES732" s="17"/>
      <c r="ET732" s="17"/>
      <c r="EU732" s="16"/>
      <c r="EV732" s="16"/>
      <c r="EW732" s="17"/>
      <c r="EX732" s="17"/>
      <c r="EY732" s="16"/>
      <c r="EZ732" s="16"/>
      <c r="FA732" s="17"/>
      <c r="FB732" s="17"/>
      <c r="FC732" s="16"/>
      <c r="FD732" s="16"/>
      <c r="FE732" s="17"/>
      <c r="FF732" s="17"/>
      <c r="FG732" s="11"/>
      <c r="GT732" s="11"/>
      <c r="IG732" s="11"/>
      <c r="JT732" s="11"/>
      <c r="LG732" s="11"/>
      <c r="MT732" s="11"/>
      <c r="OG732" s="11"/>
      <c r="PT732" s="11"/>
    </row>
    <row r="733" spans="3:436" ht="15.75" x14ac:dyDescent="0.25">
      <c r="C733" s="20" t="s">
        <v>560</v>
      </c>
      <c r="D733" s="21" t="s">
        <v>203</v>
      </c>
      <c r="H733" s="11"/>
      <c r="AU733" s="11"/>
      <c r="CH733" s="11"/>
      <c r="CI733" s="16"/>
      <c r="CJ733" s="16"/>
      <c r="CK733" s="16"/>
      <c r="CL733" s="16"/>
      <c r="CM733" s="16"/>
      <c r="CN733" s="16"/>
      <c r="CO733" s="16"/>
      <c r="CP733" s="16"/>
      <c r="CQ733" s="16"/>
      <c r="CR733" s="16"/>
      <c r="CS733" s="16"/>
      <c r="CT733" s="16"/>
      <c r="CU733" s="16"/>
      <c r="CV733" s="16"/>
      <c r="CW733" s="16"/>
      <c r="CX733" s="16"/>
      <c r="CY733" s="16"/>
      <c r="CZ733" s="16"/>
      <c r="DA733" s="16"/>
      <c r="DB733" s="16"/>
      <c r="DC733" s="16"/>
      <c r="DD733" s="16"/>
      <c r="DE733" s="17"/>
      <c r="DF733" s="17"/>
      <c r="DG733" s="16"/>
      <c r="DH733" s="16"/>
      <c r="DI733" s="17"/>
      <c r="DJ733" s="17"/>
      <c r="DK733" s="16"/>
      <c r="DL733" s="16"/>
      <c r="DM733" s="17"/>
      <c r="DN733" s="17"/>
      <c r="DO733" s="16"/>
      <c r="DP733" s="16"/>
      <c r="DQ733" s="17"/>
      <c r="DR733" s="17"/>
      <c r="DS733" s="16"/>
      <c r="DT733" s="16"/>
      <c r="DU733" s="17"/>
      <c r="DV733" s="17"/>
      <c r="DW733" s="16"/>
      <c r="DX733" s="16"/>
      <c r="DY733" s="17"/>
      <c r="DZ733" s="17"/>
      <c r="EA733" s="16"/>
      <c r="EB733" s="16"/>
      <c r="EC733" s="17"/>
      <c r="ED733" s="17"/>
      <c r="EE733" s="16"/>
      <c r="EF733" s="16"/>
      <c r="EG733" s="18">
        <v>10</v>
      </c>
      <c r="EH733" s="18">
        <v>10</v>
      </c>
      <c r="EI733" s="16"/>
      <c r="EJ733" s="16"/>
      <c r="EK733" s="17"/>
      <c r="EL733" s="17"/>
      <c r="EM733" s="16"/>
      <c r="EN733" s="16"/>
      <c r="EO733" s="17"/>
      <c r="EP733" s="17"/>
      <c r="EQ733" s="16"/>
      <c r="ER733" s="16"/>
      <c r="ES733" s="17"/>
      <c r="ET733" s="17"/>
      <c r="EU733" s="16"/>
      <c r="EV733" s="16"/>
      <c r="EW733" s="17"/>
      <c r="EX733" s="17"/>
      <c r="EY733" s="16"/>
      <c r="EZ733" s="16"/>
      <c r="FA733" s="17"/>
      <c r="FB733" s="17"/>
      <c r="FC733" s="16"/>
      <c r="FD733" s="16"/>
      <c r="FE733" s="17"/>
      <c r="FF733" s="17"/>
      <c r="FG733" s="11"/>
      <c r="GT733" s="11"/>
      <c r="IG733" s="11"/>
      <c r="JT733" s="11"/>
      <c r="LG733" s="11"/>
      <c r="MT733" s="11"/>
      <c r="OG733" s="11"/>
      <c r="PT733" s="11"/>
    </row>
    <row r="734" spans="3:436" ht="15.75" x14ac:dyDescent="0.25">
      <c r="C734" s="20" t="s">
        <v>561</v>
      </c>
      <c r="D734" s="21" t="s">
        <v>203</v>
      </c>
      <c r="H734" s="11"/>
      <c r="AU734" s="11"/>
      <c r="CH734" s="11"/>
      <c r="CI734" s="16"/>
      <c r="CJ734" s="16"/>
      <c r="CK734" s="16"/>
      <c r="CL734" s="16"/>
      <c r="CM734" s="16"/>
      <c r="CN734" s="16"/>
      <c r="CO734" s="16"/>
      <c r="CP734" s="16"/>
      <c r="CQ734" s="16"/>
      <c r="CR734" s="16"/>
      <c r="CS734" s="16"/>
      <c r="CT734" s="16"/>
      <c r="CU734" s="16"/>
      <c r="CV734" s="16"/>
      <c r="CW734" s="16"/>
      <c r="CX734" s="16"/>
      <c r="CY734" s="16"/>
      <c r="CZ734" s="16"/>
      <c r="DA734" s="16"/>
      <c r="DB734" s="16"/>
      <c r="DC734" s="16"/>
      <c r="DD734" s="16"/>
      <c r="DE734" s="17"/>
      <c r="DF734" s="17"/>
      <c r="DG734" s="16"/>
      <c r="DH734" s="16"/>
      <c r="DI734" s="17"/>
      <c r="DJ734" s="17"/>
      <c r="DK734" s="16"/>
      <c r="DL734" s="16"/>
      <c r="DM734" s="17"/>
      <c r="DN734" s="17"/>
      <c r="DO734" s="16"/>
      <c r="DP734" s="16"/>
      <c r="DQ734" s="17"/>
      <c r="DR734" s="17"/>
      <c r="DS734" s="16"/>
      <c r="DT734" s="16"/>
      <c r="DU734" s="17"/>
      <c r="DV734" s="17"/>
      <c r="DW734" s="16"/>
      <c r="DX734" s="16"/>
      <c r="DY734" s="17"/>
      <c r="DZ734" s="17"/>
      <c r="EA734" s="16"/>
      <c r="EB734" s="16"/>
      <c r="EC734" s="17"/>
      <c r="ED734" s="17"/>
      <c r="EE734" s="16"/>
      <c r="EF734" s="16"/>
      <c r="EG734" s="17"/>
      <c r="EH734" s="17"/>
      <c r="EI734" s="16"/>
      <c r="EJ734" s="16"/>
      <c r="EK734" s="17"/>
      <c r="EL734" s="17"/>
      <c r="EM734" s="16"/>
      <c r="EN734" s="16"/>
      <c r="EO734" s="17"/>
      <c r="EP734" s="17"/>
      <c r="EQ734" s="16"/>
      <c r="ER734" s="16"/>
      <c r="ES734" s="17"/>
      <c r="ET734" s="17"/>
      <c r="EU734" s="16"/>
      <c r="EV734" s="16"/>
      <c r="EW734" s="17"/>
      <c r="EX734" s="17"/>
      <c r="EY734" s="16"/>
      <c r="EZ734" s="16"/>
      <c r="FA734" s="17"/>
      <c r="FB734" s="17"/>
      <c r="FC734" s="16"/>
      <c r="FD734" s="16"/>
      <c r="FE734" s="17"/>
      <c r="FF734" s="17"/>
      <c r="FG734" s="11"/>
      <c r="GT734" s="11"/>
      <c r="IG734" s="11"/>
      <c r="JT734" s="11"/>
      <c r="LG734" s="11"/>
      <c r="MT734" s="11"/>
      <c r="OG734" s="11"/>
      <c r="PT734" s="11"/>
    </row>
    <row r="735" spans="3:436" ht="15.75" x14ac:dyDescent="0.25">
      <c r="C735" s="20" t="s">
        <v>579</v>
      </c>
      <c r="D735" s="21" t="s">
        <v>203</v>
      </c>
      <c r="H735" s="11"/>
      <c r="AU735" s="11"/>
      <c r="CH735" s="11"/>
      <c r="CI735" s="16"/>
      <c r="CJ735" s="16"/>
      <c r="CK735" s="16"/>
      <c r="CL735" s="16"/>
      <c r="CM735" s="16"/>
      <c r="CN735" s="16"/>
      <c r="CO735" s="16"/>
      <c r="CP735" s="16"/>
      <c r="CQ735" s="16"/>
      <c r="CR735" s="16"/>
      <c r="CS735" s="16"/>
      <c r="CT735" s="16"/>
      <c r="CU735" s="16"/>
      <c r="CV735" s="16"/>
      <c r="CW735" s="16"/>
      <c r="CX735" s="16"/>
      <c r="CY735" s="16"/>
      <c r="CZ735" s="16"/>
      <c r="DA735" s="16"/>
      <c r="DB735" s="16"/>
      <c r="DC735" s="16"/>
      <c r="DD735" s="16"/>
      <c r="DE735" s="17"/>
      <c r="DF735" s="17"/>
      <c r="DG735" s="16"/>
      <c r="DH735" s="16"/>
      <c r="DI735" s="17"/>
      <c r="DJ735" s="17"/>
      <c r="DK735" s="16"/>
      <c r="DL735" s="16"/>
      <c r="DM735" s="17"/>
      <c r="DN735" s="17"/>
      <c r="DO735" s="16"/>
      <c r="DP735" s="16"/>
      <c r="DQ735" s="17"/>
      <c r="DR735" s="17"/>
      <c r="DS735" s="16"/>
      <c r="DT735" s="16"/>
      <c r="DU735" s="17"/>
      <c r="DV735" s="17"/>
      <c r="DW735" s="16"/>
      <c r="DX735" s="16"/>
      <c r="DY735" s="17"/>
      <c r="DZ735" s="17"/>
      <c r="EA735" s="16"/>
      <c r="EB735" s="16"/>
      <c r="EC735" s="17"/>
      <c r="ED735" s="17"/>
      <c r="EE735" s="16"/>
      <c r="EF735" s="16"/>
      <c r="EG735" s="18">
        <v>3</v>
      </c>
      <c r="EH735" s="18">
        <v>5</v>
      </c>
      <c r="EI735" s="16"/>
      <c r="EJ735" s="16"/>
      <c r="EK735" s="17"/>
      <c r="EL735" s="17"/>
      <c r="EM735" s="16"/>
      <c r="EN735" s="16"/>
      <c r="EO735" s="17"/>
      <c r="EP735" s="17"/>
      <c r="EQ735" s="16"/>
      <c r="ER735" s="16"/>
      <c r="ES735" s="17"/>
      <c r="ET735" s="17"/>
      <c r="EU735" s="16"/>
      <c r="EV735" s="16"/>
      <c r="EW735" s="17"/>
      <c r="EX735" s="17"/>
      <c r="EY735" s="16"/>
      <c r="EZ735" s="16"/>
      <c r="FA735" s="17"/>
      <c r="FB735" s="17"/>
      <c r="FC735" s="16"/>
      <c r="FD735" s="16"/>
      <c r="FE735" s="17"/>
      <c r="FF735" s="17"/>
      <c r="FG735" s="11"/>
      <c r="GT735" s="11"/>
      <c r="IG735" s="11"/>
      <c r="JT735" s="11"/>
      <c r="LG735" s="11"/>
      <c r="MT735" s="11"/>
      <c r="OG735" s="11"/>
      <c r="PT735" s="11"/>
    </row>
    <row r="736" spans="3:436" ht="15.75" x14ac:dyDescent="0.25">
      <c r="C736" s="20" t="s">
        <v>580</v>
      </c>
      <c r="D736" s="21" t="s">
        <v>203</v>
      </c>
      <c r="H736" s="11"/>
      <c r="AU736" s="11"/>
      <c r="CH736" s="11"/>
      <c r="CI736" s="16"/>
      <c r="CJ736" s="16"/>
      <c r="CK736" s="16"/>
      <c r="CL736" s="16"/>
      <c r="CM736" s="16"/>
      <c r="CN736" s="16"/>
      <c r="CO736" s="16"/>
      <c r="CP736" s="16"/>
      <c r="CQ736" s="16"/>
      <c r="CR736" s="16"/>
      <c r="CS736" s="16"/>
      <c r="CT736" s="16"/>
      <c r="CU736" s="16"/>
      <c r="CV736" s="16"/>
      <c r="CW736" s="16"/>
      <c r="CX736" s="16"/>
      <c r="CY736" s="16"/>
      <c r="CZ736" s="16"/>
      <c r="DA736" s="16"/>
      <c r="DB736" s="16"/>
      <c r="DC736" s="16"/>
      <c r="DD736" s="16"/>
      <c r="DE736" s="17"/>
      <c r="DF736" s="17"/>
      <c r="DG736" s="16"/>
      <c r="DH736" s="16"/>
      <c r="DI736" s="17"/>
      <c r="DJ736" s="17"/>
      <c r="DK736" s="16"/>
      <c r="DL736" s="16"/>
      <c r="DM736" s="17"/>
      <c r="DN736" s="17"/>
      <c r="DO736" s="16"/>
      <c r="DP736" s="16"/>
      <c r="DQ736" s="17"/>
      <c r="DR736" s="17"/>
      <c r="DS736" s="16"/>
      <c r="DT736" s="16"/>
      <c r="DU736" s="17"/>
      <c r="DV736" s="17"/>
      <c r="DW736" s="16"/>
      <c r="DX736" s="16"/>
      <c r="DY736" s="17"/>
      <c r="DZ736" s="17"/>
      <c r="EA736" s="16"/>
      <c r="EB736" s="16"/>
      <c r="EC736" s="17"/>
      <c r="ED736" s="17"/>
      <c r="EE736" s="16"/>
      <c r="EF736" s="16"/>
      <c r="EG736" s="18">
        <v>1</v>
      </c>
      <c r="EH736" s="18">
        <v>2</v>
      </c>
      <c r="EI736" s="16"/>
      <c r="EJ736" s="16"/>
      <c r="EK736" s="17"/>
      <c r="EL736" s="17"/>
      <c r="EM736" s="16"/>
      <c r="EN736" s="16"/>
      <c r="EO736" s="17"/>
      <c r="EP736" s="17"/>
      <c r="EQ736" s="16"/>
      <c r="ER736" s="16"/>
      <c r="ES736" s="17"/>
      <c r="ET736" s="17"/>
      <c r="EU736" s="16"/>
      <c r="EV736" s="16"/>
      <c r="EW736" s="17"/>
      <c r="EX736" s="17"/>
      <c r="EY736" s="16"/>
      <c r="EZ736" s="16"/>
      <c r="FA736" s="17"/>
      <c r="FB736" s="17"/>
      <c r="FC736" s="16"/>
      <c r="FD736" s="16"/>
      <c r="FE736" s="17"/>
      <c r="FF736" s="17"/>
      <c r="FG736" s="11"/>
      <c r="GT736" s="11"/>
      <c r="IG736" s="11"/>
      <c r="JT736" s="11"/>
      <c r="LG736" s="11"/>
      <c r="MT736" s="11"/>
      <c r="OG736" s="11"/>
      <c r="PT736" s="11"/>
    </row>
    <row r="737" spans="3:436" ht="15.75" x14ac:dyDescent="0.25">
      <c r="C737" s="20" t="s">
        <v>562</v>
      </c>
      <c r="D737" s="21" t="s">
        <v>159</v>
      </c>
      <c r="H737" s="11"/>
      <c r="AU737" s="11"/>
      <c r="CH737" s="11"/>
      <c r="CI737" s="16"/>
      <c r="CJ737" s="16"/>
      <c r="CK737" s="16"/>
      <c r="CL737" s="16"/>
      <c r="CM737" s="16"/>
      <c r="CN737" s="16"/>
      <c r="CO737" s="16"/>
      <c r="CP737" s="16"/>
      <c r="CQ737" s="16"/>
      <c r="CR737" s="16"/>
      <c r="CS737" s="16"/>
      <c r="CT737" s="16"/>
      <c r="CU737" s="16"/>
      <c r="CV737" s="16"/>
      <c r="CW737" s="16"/>
      <c r="CX737" s="16"/>
      <c r="CY737" s="16"/>
      <c r="CZ737" s="16"/>
      <c r="DA737" s="16"/>
      <c r="DB737" s="16"/>
      <c r="DC737" s="16"/>
      <c r="DD737" s="16"/>
      <c r="DE737" s="17"/>
      <c r="DF737" s="17"/>
      <c r="DG737" s="16"/>
      <c r="DH737" s="16"/>
      <c r="DI737" s="17"/>
      <c r="DJ737" s="17"/>
      <c r="DK737" s="16"/>
      <c r="DL737" s="16"/>
      <c r="DM737" s="17"/>
      <c r="DN737" s="17"/>
      <c r="DO737" s="16"/>
      <c r="DP737" s="16"/>
      <c r="DQ737" s="17"/>
      <c r="DR737" s="17"/>
      <c r="DS737" s="16"/>
      <c r="DT737" s="16"/>
      <c r="DU737" s="17"/>
      <c r="DV737" s="17"/>
      <c r="DW737" s="16"/>
      <c r="DX737" s="16"/>
      <c r="DY737" s="17"/>
      <c r="DZ737" s="17"/>
      <c r="EA737" s="16"/>
      <c r="EB737" s="16"/>
      <c r="EC737" s="17"/>
      <c r="ED737" s="17"/>
      <c r="EE737" s="16"/>
      <c r="EF737" s="16"/>
      <c r="EG737" s="17"/>
      <c r="EH737" s="17"/>
      <c r="EI737" s="16"/>
      <c r="EJ737" s="16"/>
      <c r="EK737" s="17"/>
      <c r="EL737" s="17"/>
      <c r="EM737" s="16"/>
      <c r="EN737" s="16"/>
      <c r="EO737" s="17"/>
      <c r="EP737" s="17"/>
      <c r="EQ737" s="16"/>
      <c r="ER737" s="16"/>
      <c r="ES737" s="17"/>
      <c r="ET737" s="17"/>
      <c r="EU737" s="16"/>
      <c r="EV737" s="16"/>
      <c r="EW737" s="17"/>
      <c r="EX737" s="17"/>
      <c r="EY737" s="16"/>
      <c r="EZ737" s="16"/>
      <c r="FA737" s="17"/>
      <c r="FB737" s="17"/>
      <c r="FC737" s="16"/>
      <c r="FD737" s="16"/>
      <c r="FE737" s="17"/>
      <c r="FF737" s="17"/>
      <c r="FG737" s="11"/>
      <c r="GT737" s="11"/>
      <c r="IG737" s="11"/>
      <c r="JT737" s="11"/>
      <c r="LG737" s="11"/>
      <c r="MT737" s="11"/>
      <c r="OG737" s="11"/>
      <c r="PT737" s="11"/>
    </row>
    <row r="738" spans="3:436" ht="15.75" x14ac:dyDescent="0.25">
      <c r="C738" s="20" t="s">
        <v>563</v>
      </c>
      <c r="D738" s="21" t="s">
        <v>82</v>
      </c>
      <c r="H738" s="11"/>
      <c r="AU738" s="11"/>
      <c r="CH738" s="11"/>
      <c r="CI738" s="16"/>
      <c r="CJ738" s="16"/>
      <c r="CK738" s="16"/>
      <c r="CL738" s="16"/>
      <c r="CM738" s="16"/>
      <c r="CN738" s="16"/>
      <c r="CO738" s="16"/>
      <c r="CP738" s="16"/>
      <c r="CQ738" s="16"/>
      <c r="CR738" s="16"/>
      <c r="CS738" s="16"/>
      <c r="CT738" s="16"/>
      <c r="CU738" s="16"/>
      <c r="CV738" s="16"/>
      <c r="CW738" s="16"/>
      <c r="CX738" s="16"/>
      <c r="CY738" s="16"/>
      <c r="CZ738" s="16"/>
      <c r="DA738" s="16"/>
      <c r="DB738" s="16"/>
      <c r="DC738" s="16"/>
      <c r="DD738" s="16"/>
      <c r="DE738" s="17"/>
      <c r="DF738" s="17"/>
      <c r="DG738" s="16"/>
      <c r="DH738" s="16"/>
      <c r="DI738" s="17"/>
      <c r="DJ738" s="17"/>
      <c r="DK738" s="16"/>
      <c r="DL738" s="16"/>
      <c r="DM738" s="17"/>
      <c r="DN738" s="17"/>
      <c r="DO738" s="16"/>
      <c r="DP738" s="16"/>
      <c r="DQ738" s="17"/>
      <c r="DR738" s="17"/>
      <c r="DS738" s="16"/>
      <c r="DT738" s="16"/>
      <c r="DU738" s="17"/>
      <c r="DV738" s="17"/>
      <c r="DW738" s="16"/>
      <c r="DX738" s="16"/>
      <c r="DY738" s="17"/>
      <c r="DZ738" s="17"/>
      <c r="EA738" s="16"/>
      <c r="EB738" s="16"/>
      <c r="EC738" s="17"/>
      <c r="ED738" s="17"/>
      <c r="EE738" s="16"/>
      <c r="EF738" s="16"/>
      <c r="EG738" s="17"/>
      <c r="EH738" s="17"/>
      <c r="EI738" s="16"/>
      <c r="EJ738" s="16"/>
      <c r="EK738" s="17"/>
      <c r="EL738" s="17"/>
      <c r="EM738" s="16"/>
      <c r="EN738" s="16"/>
      <c r="EO738" s="17"/>
      <c r="EP738" s="17"/>
      <c r="EQ738" s="16"/>
      <c r="ER738" s="16"/>
      <c r="ES738" s="17"/>
      <c r="ET738" s="17"/>
      <c r="EU738" s="16"/>
      <c r="EV738" s="16"/>
      <c r="EW738" s="17"/>
      <c r="EX738" s="17"/>
      <c r="EY738" s="16"/>
      <c r="EZ738" s="16"/>
      <c r="FA738" s="17"/>
      <c r="FB738" s="17"/>
      <c r="FC738" s="16"/>
      <c r="FD738" s="16"/>
      <c r="FE738" s="17"/>
      <c r="FF738" s="17"/>
      <c r="FG738" s="11"/>
      <c r="GT738" s="11"/>
      <c r="IG738" s="11"/>
      <c r="JT738" s="11"/>
      <c r="LG738" s="11"/>
      <c r="MT738" s="11"/>
      <c r="OG738" s="11"/>
      <c r="PT738" s="11"/>
    </row>
    <row r="739" spans="3:436" ht="15.75" x14ac:dyDescent="0.25">
      <c r="C739" s="20" t="s">
        <v>581</v>
      </c>
      <c r="D739" s="21" t="s">
        <v>82</v>
      </c>
      <c r="H739" s="11"/>
      <c r="AU739" s="11"/>
      <c r="CH739" s="11"/>
      <c r="CI739" s="16"/>
      <c r="CJ739" s="16"/>
      <c r="CK739" s="16"/>
      <c r="CL739" s="16"/>
      <c r="CM739" s="16"/>
      <c r="CN739" s="16"/>
      <c r="CO739" s="16"/>
      <c r="CP739" s="16"/>
      <c r="CQ739" s="16"/>
      <c r="CR739" s="16"/>
      <c r="CS739" s="16"/>
      <c r="CT739" s="16"/>
      <c r="CU739" s="16"/>
      <c r="CV739" s="16"/>
      <c r="CW739" s="16"/>
      <c r="CX739" s="16"/>
      <c r="CY739" s="16"/>
      <c r="CZ739" s="16"/>
      <c r="DA739" s="16"/>
      <c r="DB739" s="16"/>
      <c r="DC739" s="16"/>
      <c r="DD739" s="16"/>
      <c r="DE739" s="17"/>
      <c r="DF739" s="17"/>
      <c r="DG739" s="16"/>
      <c r="DH739" s="16"/>
      <c r="DI739" s="17"/>
      <c r="DJ739" s="17"/>
      <c r="DK739" s="16"/>
      <c r="DL739" s="16"/>
      <c r="DM739" s="17"/>
      <c r="DN739" s="17"/>
      <c r="DO739" s="16"/>
      <c r="DP739" s="16"/>
      <c r="DQ739" s="17"/>
      <c r="DR739" s="17"/>
      <c r="DS739" s="16"/>
      <c r="DT739" s="16"/>
      <c r="DU739" s="17"/>
      <c r="DV739" s="17"/>
      <c r="DW739" s="16"/>
      <c r="DX739" s="16"/>
      <c r="DY739" s="17"/>
      <c r="DZ739" s="17"/>
      <c r="EA739" s="16"/>
      <c r="EB739" s="16"/>
      <c r="EC739" s="17"/>
      <c r="ED739" s="17"/>
      <c r="EE739" s="16"/>
      <c r="EF739" s="16"/>
      <c r="EG739" s="17"/>
      <c r="EH739" s="17"/>
      <c r="EI739" s="16"/>
      <c r="EJ739" s="16"/>
      <c r="EK739" s="17"/>
      <c r="EL739" s="17"/>
      <c r="EM739" s="16"/>
      <c r="EN739" s="16"/>
      <c r="EO739" s="17"/>
      <c r="EP739" s="17"/>
      <c r="EQ739" s="16"/>
      <c r="ER739" s="16"/>
      <c r="ES739" s="18">
        <v>5</v>
      </c>
      <c r="ET739" s="18">
        <v>10</v>
      </c>
      <c r="EU739" s="16"/>
      <c r="EV739" s="16"/>
      <c r="EW739" s="17"/>
      <c r="EX739" s="17"/>
      <c r="EY739" s="16"/>
      <c r="EZ739" s="16"/>
      <c r="FA739" s="17"/>
      <c r="FB739" s="17"/>
      <c r="FC739" s="16"/>
      <c r="FD739" s="16"/>
      <c r="FE739" s="17"/>
      <c r="FF739" s="17"/>
      <c r="FG739" s="11"/>
      <c r="GT739" s="11"/>
      <c r="IG739" s="11"/>
      <c r="JT739" s="11"/>
      <c r="LG739" s="11"/>
      <c r="MT739" s="11"/>
      <c r="OG739" s="11"/>
      <c r="PT739" s="11"/>
    </row>
    <row r="740" spans="3:436" ht="15.75" x14ac:dyDescent="0.25">
      <c r="C740" s="20" t="s">
        <v>410</v>
      </c>
      <c r="D740" s="21" t="s">
        <v>142</v>
      </c>
      <c r="H740" s="11"/>
      <c r="AU740" s="11"/>
      <c r="CH740" s="11"/>
      <c r="CI740" s="16"/>
      <c r="CJ740" s="16"/>
      <c r="CK740" s="16"/>
      <c r="CL740" s="16"/>
      <c r="CM740" s="16"/>
      <c r="CN740" s="16"/>
      <c r="CO740" s="16"/>
      <c r="CP740" s="16"/>
      <c r="CQ740" s="16"/>
      <c r="CR740" s="16"/>
      <c r="CS740" s="16"/>
      <c r="CT740" s="16"/>
      <c r="CU740" s="16"/>
      <c r="CV740" s="16"/>
      <c r="CW740" s="16"/>
      <c r="CX740" s="16"/>
      <c r="CY740" s="16"/>
      <c r="CZ740" s="16"/>
      <c r="DA740" s="16"/>
      <c r="DB740" s="16"/>
      <c r="DC740" s="16"/>
      <c r="DD740" s="16"/>
      <c r="DE740" s="17"/>
      <c r="DF740" s="17"/>
      <c r="DG740" s="16"/>
      <c r="DH740" s="16"/>
      <c r="DI740" s="17"/>
      <c r="DJ740" s="17"/>
      <c r="DK740" s="16"/>
      <c r="DL740" s="16"/>
      <c r="DM740" s="17"/>
      <c r="DN740" s="17"/>
      <c r="DO740" s="16"/>
      <c r="DP740" s="16"/>
      <c r="DQ740" s="17"/>
      <c r="DR740" s="17"/>
      <c r="DS740" s="16"/>
      <c r="DT740" s="16"/>
      <c r="DU740" s="17"/>
      <c r="DV740" s="17"/>
      <c r="DW740" s="16"/>
      <c r="DX740" s="16"/>
      <c r="DY740" s="17"/>
      <c r="DZ740" s="17"/>
      <c r="EA740" s="16"/>
      <c r="EB740" s="16"/>
      <c r="EC740" s="17"/>
      <c r="ED740" s="17"/>
      <c r="EE740" s="16"/>
      <c r="EF740" s="16"/>
      <c r="EG740" s="17"/>
      <c r="EH740" s="17"/>
      <c r="EI740" s="16"/>
      <c r="EJ740" s="16"/>
      <c r="EK740" s="17"/>
      <c r="EL740" s="17"/>
      <c r="EM740" s="16"/>
      <c r="EN740" s="16"/>
      <c r="EO740" s="17"/>
      <c r="EP740" s="17"/>
      <c r="EQ740" s="16"/>
      <c r="ER740" s="16"/>
      <c r="ES740" s="17"/>
      <c r="ET740" s="17"/>
      <c r="EU740" s="16"/>
      <c r="EV740" s="16"/>
      <c r="EW740" s="17"/>
      <c r="EX740" s="17"/>
      <c r="EY740" s="16"/>
      <c r="EZ740" s="16"/>
      <c r="FA740" s="17"/>
      <c r="FB740" s="17"/>
      <c r="FC740" s="16"/>
      <c r="FD740" s="16"/>
      <c r="FE740" s="17"/>
      <c r="FF740" s="17"/>
      <c r="FG740" s="11"/>
      <c r="GT740" s="11"/>
      <c r="IG740" s="11"/>
      <c r="JT740" s="11"/>
      <c r="LG740" s="11"/>
      <c r="MT740" s="11"/>
      <c r="OG740" s="11"/>
      <c r="PT740" s="11"/>
    </row>
    <row r="741" spans="3:436" ht="15.75" x14ac:dyDescent="0.25">
      <c r="C741" s="20" t="s">
        <v>565</v>
      </c>
      <c r="D741" s="21" t="s">
        <v>90</v>
      </c>
      <c r="H741" s="11"/>
      <c r="AU741" s="11"/>
      <c r="CH741" s="11"/>
      <c r="CI741" s="16"/>
      <c r="CJ741" s="16"/>
      <c r="CK741" s="16"/>
      <c r="CL741" s="16"/>
      <c r="CM741" s="16"/>
      <c r="CN741" s="16"/>
      <c r="CO741" s="16"/>
      <c r="CP741" s="16"/>
      <c r="CQ741" s="16"/>
      <c r="CR741" s="16"/>
      <c r="CS741" s="16"/>
      <c r="CT741" s="16"/>
      <c r="CU741" s="16"/>
      <c r="CV741" s="16"/>
      <c r="CW741" s="16"/>
      <c r="CX741" s="16"/>
      <c r="CY741" s="16"/>
      <c r="CZ741" s="16"/>
      <c r="DA741" s="16"/>
      <c r="DB741" s="16"/>
      <c r="DC741" s="16"/>
      <c r="DD741" s="16"/>
      <c r="DE741" s="17"/>
      <c r="DF741" s="17"/>
      <c r="DG741" s="16"/>
      <c r="DH741" s="16"/>
      <c r="DI741" s="17"/>
      <c r="DJ741" s="17"/>
      <c r="DK741" s="16"/>
      <c r="DL741" s="16"/>
      <c r="DM741" s="17"/>
      <c r="DN741" s="17"/>
      <c r="DO741" s="16"/>
      <c r="DP741" s="16"/>
      <c r="DQ741" s="17"/>
      <c r="DR741" s="17"/>
      <c r="DS741" s="16"/>
      <c r="DT741" s="16"/>
      <c r="DU741" s="17"/>
      <c r="DV741" s="17"/>
      <c r="DW741" s="16"/>
      <c r="DX741" s="16"/>
      <c r="DY741" s="17"/>
      <c r="DZ741" s="17"/>
      <c r="EA741" s="16"/>
      <c r="EB741" s="16"/>
      <c r="EC741" s="17"/>
      <c r="ED741" s="17"/>
      <c r="EE741" s="16"/>
      <c r="EF741" s="16"/>
      <c r="EG741" s="17"/>
      <c r="EH741" s="17"/>
      <c r="EI741" s="16"/>
      <c r="EJ741" s="16"/>
      <c r="EK741" s="17"/>
      <c r="EL741" s="17"/>
      <c r="EM741" s="16"/>
      <c r="EN741" s="16"/>
      <c r="EO741" s="17"/>
      <c r="EP741" s="17"/>
      <c r="EQ741" s="16"/>
      <c r="ER741" s="16"/>
      <c r="ES741" s="17"/>
      <c r="ET741" s="17"/>
      <c r="EU741" s="16"/>
      <c r="EV741" s="16"/>
      <c r="EW741" s="17"/>
      <c r="EX741" s="17"/>
      <c r="EY741" s="16"/>
      <c r="EZ741" s="16"/>
      <c r="FA741" s="17"/>
      <c r="FB741" s="17"/>
      <c r="FC741" s="16"/>
      <c r="FD741" s="16"/>
      <c r="FE741" s="17"/>
      <c r="FF741" s="17"/>
      <c r="FG741" s="11"/>
      <c r="GT741" s="11"/>
      <c r="IG741" s="11"/>
      <c r="JT741" s="11"/>
      <c r="LG741" s="11"/>
      <c r="MT741" s="11"/>
      <c r="OG741" s="11"/>
      <c r="PT741" s="11"/>
    </row>
    <row r="742" spans="3:436" ht="15.75" x14ac:dyDescent="0.25">
      <c r="C742" s="20" t="s">
        <v>559</v>
      </c>
      <c r="D742" s="21" t="s">
        <v>79</v>
      </c>
      <c r="H742" s="11"/>
      <c r="AU742" s="11"/>
      <c r="CH742" s="11"/>
      <c r="CI742" s="16"/>
      <c r="CJ742" s="16"/>
      <c r="CK742" s="16"/>
      <c r="CL742" s="16"/>
      <c r="CM742" s="16"/>
      <c r="CN742" s="16"/>
      <c r="CO742" s="16"/>
      <c r="CP742" s="16"/>
      <c r="CQ742" s="16"/>
      <c r="CR742" s="16"/>
      <c r="CS742" s="16"/>
      <c r="CT742" s="16"/>
      <c r="CU742" s="16"/>
      <c r="CV742" s="16"/>
      <c r="CW742" s="16"/>
      <c r="CX742" s="16"/>
      <c r="CY742" s="16"/>
      <c r="CZ742" s="16"/>
      <c r="DA742" s="16"/>
      <c r="DB742" s="16"/>
      <c r="DC742" s="16"/>
      <c r="DD742" s="16"/>
      <c r="DE742" s="17"/>
      <c r="DF742" s="17"/>
      <c r="DG742" s="16"/>
      <c r="DH742" s="16"/>
      <c r="DI742" s="17"/>
      <c r="DJ742" s="17"/>
      <c r="DK742" s="16"/>
      <c r="DL742" s="16"/>
      <c r="DM742" s="17"/>
      <c r="DN742" s="17"/>
      <c r="DO742" s="16"/>
      <c r="DP742" s="16"/>
      <c r="DQ742" s="17"/>
      <c r="DR742" s="17"/>
      <c r="DS742" s="16"/>
      <c r="DT742" s="16"/>
      <c r="DU742" s="17"/>
      <c r="DV742" s="17"/>
      <c r="DW742" s="16"/>
      <c r="DX742" s="16"/>
      <c r="DY742" s="17"/>
      <c r="DZ742" s="17"/>
      <c r="EA742" s="16"/>
      <c r="EB742" s="16"/>
      <c r="EC742" s="17"/>
      <c r="ED742" s="17"/>
      <c r="EE742" s="16"/>
      <c r="EF742" s="16"/>
      <c r="EG742" s="17"/>
      <c r="EH742" s="17"/>
      <c r="EI742" s="16"/>
      <c r="EJ742" s="16"/>
      <c r="EK742" s="17"/>
      <c r="EL742" s="17"/>
      <c r="EM742" s="16"/>
      <c r="EN742" s="16"/>
      <c r="EO742" s="17"/>
      <c r="EP742" s="17"/>
      <c r="EQ742" s="16"/>
      <c r="ER742" s="16"/>
      <c r="ES742" s="17"/>
      <c r="ET742" s="17"/>
      <c r="EU742" s="16"/>
      <c r="EV742" s="16"/>
      <c r="EW742" s="17"/>
      <c r="EX742" s="17"/>
      <c r="EY742" s="16"/>
      <c r="EZ742" s="16"/>
      <c r="FA742" s="17"/>
      <c r="FB742" s="17"/>
      <c r="FC742" s="16"/>
      <c r="FD742" s="16"/>
      <c r="FE742" s="17"/>
      <c r="FF742" s="17"/>
      <c r="FG742" s="11"/>
      <c r="GT742" s="11"/>
      <c r="IG742" s="11"/>
      <c r="JT742" s="11"/>
      <c r="LG742" s="11"/>
      <c r="MT742" s="11"/>
      <c r="OG742" s="11"/>
      <c r="PT742" s="11"/>
    </row>
    <row r="743" spans="3:436" ht="15.75" x14ac:dyDescent="0.25">
      <c r="C743" s="20" t="s">
        <v>404</v>
      </c>
      <c r="D743" s="21" t="s">
        <v>129</v>
      </c>
      <c r="H743" s="11"/>
      <c r="AU743" s="11"/>
      <c r="CH743" s="11"/>
      <c r="CI743" s="16"/>
      <c r="CJ743" s="16"/>
      <c r="CK743" s="16"/>
      <c r="CL743" s="16"/>
      <c r="CM743" s="16"/>
      <c r="CN743" s="16"/>
      <c r="CO743" s="16"/>
      <c r="CP743" s="16"/>
      <c r="CQ743" s="16"/>
      <c r="CR743" s="16"/>
      <c r="CS743" s="16"/>
      <c r="CT743" s="16"/>
      <c r="CU743" s="16"/>
      <c r="CV743" s="16"/>
      <c r="CW743" s="16"/>
      <c r="CX743" s="16"/>
      <c r="CY743" s="16"/>
      <c r="CZ743" s="16"/>
      <c r="DA743" s="16"/>
      <c r="DB743" s="16"/>
      <c r="DC743" s="16"/>
      <c r="DD743" s="16"/>
      <c r="DE743" s="17"/>
      <c r="DF743" s="17"/>
      <c r="DG743" s="16"/>
      <c r="DH743" s="16"/>
      <c r="DI743" s="17"/>
      <c r="DJ743" s="17"/>
      <c r="DK743" s="16"/>
      <c r="DL743" s="16"/>
      <c r="DM743" s="17"/>
      <c r="DN743" s="17"/>
      <c r="DO743" s="16"/>
      <c r="DP743" s="16"/>
      <c r="DQ743" s="17"/>
      <c r="DR743" s="17"/>
      <c r="DS743" s="16"/>
      <c r="DT743" s="16"/>
      <c r="DU743" s="17"/>
      <c r="DV743" s="17"/>
      <c r="DW743" s="16"/>
      <c r="DX743" s="16"/>
      <c r="DY743" s="17"/>
      <c r="DZ743" s="17"/>
      <c r="EA743" s="16"/>
      <c r="EB743" s="16"/>
      <c r="EC743" s="17"/>
      <c r="ED743" s="17"/>
      <c r="EE743" s="16"/>
      <c r="EF743" s="16"/>
      <c r="EG743" s="17"/>
      <c r="EH743" s="17"/>
      <c r="EI743" s="16"/>
      <c r="EJ743" s="16"/>
      <c r="EK743" s="17"/>
      <c r="EL743" s="17"/>
      <c r="EM743" s="16"/>
      <c r="EN743" s="16"/>
      <c r="EO743" s="17"/>
      <c r="EP743" s="17"/>
      <c r="EQ743" s="16"/>
      <c r="ER743" s="16"/>
      <c r="ES743" s="17"/>
      <c r="ET743" s="17"/>
      <c r="EU743" s="16"/>
      <c r="EV743" s="16"/>
      <c r="EW743" s="17"/>
      <c r="EX743" s="17"/>
      <c r="EY743" s="16"/>
      <c r="EZ743" s="16"/>
      <c r="FA743" s="17"/>
      <c r="FB743" s="17"/>
      <c r="FC743" s="16"/>
      <c r="FD743" s="16"/>
      <c r="FE743" s="17"/>
      <c r="FF743" s="17"/>
      <c r="FG743" s="11"/>
      <c r="GT743" s="11"/>
      <c r="IG743" s="11"/>
      <c r="JT743" s="11"/>
      <c r="LG743" s="11"/>
      <c r="MT743" s="11"/>
      <c r="OG743" s="11"/>
      <c r="PT743" s="11"/>
    </row>
    <row r="744" spans="3:436" ht="15.75" x14ac:dyDescent="0.25">
      <c r="C744" s="20" t="s">
        <v>405</v>
      </c>
      <c r="D744" s="21" t="s">
        <v>162</v>
      </c>
      <c r="H744" s="11"/>
      <c r="AU744" s="11"/>
      <c r="CH744" s="11"/>
      <c r="CI744" s="16"/>
      <c r="CJ744" s="16"/>
      <c r="CK744" s="16"/>
      <c r="CL744" s="16"/>
      <c r="CM744" s="16"/>
      <c r="CN744" s="16"/>
      <c r="CO744" s="16"/>
      <c r="CP744" s="16"/>
      <c r="CQ744" s="16"/>
      <c r="CR744" s="16"/>
      <c r="CS744" s="16"/>
      <c r="CT744" s="16"/>
      <c r="CU744" s="16"/>
      <c r="CV744" s="16"/>
      <c r="CW744" s="16"/>
      <c r="CX744" s="16"/>
      <c r="CY744" s="16"/>
      <c r="CZ744" s="16"/>
      <c r="DA744" s="16"/>
      <c r="DB744" s="16"/>
      <c r="DC744" s="16"/>
      <c r="DD744" s="16"/>
      <c r="DE744" s="17"/>
      <c r="DF744" s="17"/>
      <c r="DG744" s="16"/>
      <c r="DH744" s="16"/>
      <c r="DI744" s="17"/>
      <c r="DJ744" s="17"/>
      <c r="DK744" s="16"/>
      <c r="DL744" s="16"/>
      <c r="DM744" s="17"/>
      <c r="DN744" s="17"/>
      <c r="DO744" s="16"/>
      <c r="DP744" s="16"/>
      <c r="DQ744" s="17"/>
      <c r="DR744" s="17"/>
      <c r="DS744" s="16"/>
      <c r="DT744" s="16"/>
      <c r="DU744" s="17"/>
      <c r="DV744" s="17"/>
      <c r="DW744" s="16"/>
      <c r="DX744" s="16"/>
      <c r="DY744" s="17"/>
      <c r="DZ744" s="17"/>
      <c r="EA744" s="16"/>
      <c r="EB744" s="16"/>
      <c r="EC744" s="17"/>
      <c r="ED744" s="17"/>
      <c r="EE744" s="16"/>
      <c r="EF744" s="16"/>
      <c r="EG744" s="17"/>
      <c r="EH744" s="17"/>
      <c r="EI744" s="16"/>
      <c r="EJ744" s="16"/>
      <c r="EK744" s="17"/>
      <c r="EL744" s="17"/>
      <c r="EM744" s="16"/>
      <c r="EN744" s="16"/>
      <c r="EO744" s="17"/>
      <c r="EP744" s="17"/>
      <c r="EQ744" s="16"/>
      <c r="ER744" s="16"/>
      <c r="ES744" s="17"/>
      <c r="ET744" s="17"/>
      <c r="EU744" s="16"/>
      <c r="EV744" s="16"/>
      <c r="EW744" s="17"/>
      <c r="EX744" s="17"/>
      <c r="EY744" s="16"/>
      <c r="EZ744" s="16"/>
      <c r="FA744" s="17"/>
      <c r="FB744" s="17"/>
      <c r="FC744" s="16"/>
      <c r="FD744" s="16"/>
      <c r="FE744" s="17"/>
      <c r="FF744" s="17"/>
      <c r="FG744" s="11"/>
      <c r="GT744" s="11"/>
      <c r="IG744" s="11"/>
      <c r="JT744" s="11"/>
      <c r="LG744" s="11"/>
      <c r="MT744" s="11"/>
      <c r="OG744" s="11"/>
      <c r="PT744" s="11"/>
    </row>
    <row r="745" spans="3:436" ht="15.75" x14ac:dyDescent="0.25">
      <c r="C745" s="20" t="s">
        <v>560</v>
      </c>
      <c r="D745" s="21" t="s">
        <v>203</v>
      </c>
      <c r="H745" s="11"/>
      <c r="AU745" s="11"/>
      <c r="CH745" s="11"/>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7"/>
      <c r="DF745" s="17"/>
      <c r="DG745" s="16"/>
      <c r="DH745" s="16"/>
      <c r="DI745" s="17"/>
      <c r="DJ745" s="17"/>
      <c r="DK745" s="16"/>
      <c r="DL745" s="16"/>
      <c r="DM745" s="17"/>
      <c r="DN745" s="17"/>
      <c r="DO745" s="16"/>
      <c r="DP745" s="16"/>
      <c r="DQ745" s="17"/>
      <c r="DR745" s="17"/>
      <c r="DS745" s="16"/>
      <c r="DT745" s="16"/>
      <c r="DU745" s="17"/>
      <c r="DV745" s="17"/>
      <c r="DW745" s="16"/>
      <c r="DX745" s="16"/>
      <c r="DY745" s="17"/>
      <c r="DZ745" s="17"/>
      <c r="EA745" s="16"/>
      <c r="EB745" s="16"/>
      <c r="EC745" s="17"/>
      <c r="ED745" s="17"/>
      <c r="EE745" s="16"/>
      <c r="EF745" s="16"/>
      <c r="EG745" s="18">
        <v>10</v>
      </c>
      <c r="EH745" s="18">
        <v>10</v>
      </c>
      <c r="EI745" s="16"/>
      <c r="EJ745" s="16"/>
      <c r="EK745" s="17"/>
      <c r="EL745" s="17"/>
      <c r="EM745" s="16"/>
      <c r="EN745" s="16"/>
      <c r="EO745" s="17"/>
      <c r="EP745" s="17"/>
      <c r="EQ745" s="16"/>
      <c r="ER745" s="16"/>
      <c r="ES745" s="17"/>
      <c r="ET745" s="17"/>
      <c r="EU745" s="16"/>
      <c r="EV745" s="16"/>
      <c r="EW745" s="17"/>
      <c r="EX745" s="17"/>
      <c r="EY745" s="16"/>
      <c r="EZ745" s="16"/>
      <c r="FA745" s="17"/>
      <c r="FB745" s="17"/>
      <c r="FC745" s="16"/>
      <c r="FD745" s="16"/>
      <c r="FE745" s="17"/>
      <c r="FF745" s="17"/>
      <c r="FG745" s="11"/>
      <c r="GT745" s="11"/>
      <c r="IG745" s="11"/>
      <c r="JT745" s="11"/>
      <c r="LG745" s="11"/>
      <c r="MT745" s="11"/>
      <c r="OG745" s="11"/>
      <c r="PT745" s="11"/>
    </row>
    <row r="746" spans="3:436" ht="15.75" x14ac:dyDescent="0.25">
      <c r="C746" s="20" t="s">
        <v>561</v>
      </c>
      <c r="D746" s="21" t="s">
        <v>203</v>
      </c>
      <c r="H746" s="11"/>
      <c r="AU746" s="11"/>
      <c r="CH746" s="11"/>
      <c r="CI746" s="16"/>
      <c r="CJ746" s="16"/>
      <c r="CK746" s="16"/>
      <c r="CL746" s="16"/>
      <c r="CM746" s="16"/>
      <c r="CN746" s="16"/>
      <c r="CO746" s="16"/>
      <c r="CP746" s="16"/>
      <c r="CQ746" s="16"/>
      <c r="CR746" s="16"/>
      <c r="CS746" s="16"/>
      <c r="CT746" s="16"/>
      <c r="CU746" s="16"/>
      <c r="CV746" s="16"/>
      <c r="CW746" s="16"/>
      <c r="CX746" s="16"/>
      <c r="CY746" s="16"/>
      <c r="CZ746" s="16"/>
      <c r="DA746" s="16"/>
      <c r="DB746" s="16"/>
      <c r="DC746" s="16"/>
      <c r="DD746" s="16"/>
      <c r="DE746" s="17"/>
      <c r="DF746" s="17"/>
      <c r="DG746" s="16"/>
      <c r="DH746" s="16"/>
      <c r="DI746" s="17"/>
      <c r="DJ746" s="17"/>
      <c r="DK746" s="16"/>
      <c r="DL746" s="16"/>
      <c r="DM746" s="17"/>
      <c r="DN746" s="17"/>
      <c r="DO746" s="16"/>
      <c r="DP746" s="16"/>
      <c r="DQ746" s="17"/>
      <c r="DR746" s="17"/>
      <c r="DS746" s="16"/>
      <c r="DT746" s="16"/>
      <c r="DU746" s="17"/>
      <c r="DV746" s="17"/>
      <c r="DW746" s="16"/>
      <c r="DX746" s="16"/>
      <c r="DY746" s="17"/>
      <c r="DZ746" s="17"/>
      <c r="EA746" s="16"/>
      <c r="EB746" s="16"/>
      <c r="EC746" s="17"/>
      <c r="ED746" s="17"/>
      <c r="EE746" s="16"/>
      <c r="EF746" s="16"/>
      <c r="EG746" s="17"/>
      <c r="EH746" s="17"/>
      <c r="EI746" s="16"/>
      <c r="EJ746" s="16"/>
      <c r="EK746" s="17"/>
      <c r="EL746" s="17"/>
      <c r="EM746" s="16"/>
      <c r="EN746" s="16"/>
      <c r="EO746" s="17"/>
      <c r="EP746" s="17"/>
      <c r="EQ746" s="16"/>
      <c r="ER746" s="16"/>
      <c r="ES746" s="17"/>
      <c r="ET746" s="17"/>
      <c r="EU746" s="16"/>
      <c r="EV746" s="16"/>
      <c r="EW746" s="17"/>
      <c r="EX746" s="17"/>
      <c r="EY746" s="16"/>
      <c r="EZ746" s="16"/>
      <c r="FA746" s="17"/>
      <c r="FB746" s="17"/>
      <c r="FC746" s="16"/>
      <c r="FD746" s="16"/>
      <c r="FE746" s="17"/>
      <c r="FF746" s="17"/>
      <c r="FG746" s="11"/>
      <c r="GT746" s="11"/>
      <c r="IG746" s="11"/>
      <c r="JT746" s="11"/>
      <c r="LG746" s="11"/>
      <c r="MT746" s="11"/>
      <c r="OG746" s="11"/>
      <c r="PT746" s="11"/>
    </row>
    <row r="747" spans="3:436" ht="15.75" x14ac:dyDescent="0.25">
      <c r="C747" s="20" t="s">
        <v>579</v>
      </c>
      <c r="D747" s="21" t="s">
        <v>203</v>
      </c>
      <c r="H747" s="11"/>
      <c r="AU747" s="11"/>
      <c r="CH747" s="11"/>
      <c r="CI747" s="16"/>
      <c r="CJ747" s="16"/>
      <c r="CK747" s="16"/>
      <c r="CL747" s="16"/>
      <c r="CM747" s="16"/>
      <c r="CN747" s="16"/>
      <c r="CO747" s="16"/>
      <c r="CP747" s="16"/>
      <c r="CQ747" s="16"/>
      <c r="CR747" s="16"/>
      <c r="CS747" s="16"/>
      <c r="CT747" s="16"/>
      <c r="CU747" s="16"/>
      <c r="CV747" s="16"/>
      <c r="CW747" s="16"/>
      <c r="CX747" s="16"/>
      <c r="CY747" s="16"/>
      <c r="CZ747" s="16"/>
      <c r="DA747" s="16"/>
      <c r="DB747" s="16"/>
      <c r="DC747" s="16"/>
      <c r="DD747" s="16"/>
      <c r="DE747" s="17"/>
      <c r="DF747" s="17"/>
      <c r="DG747" s="16"/>
      <c r="DH747" s="16"/>
      <c r="DI747" s="17"/>
      <c r="DJ747" s="17"/>
      <c r="DK747" s="16"/>
      <c r="DL747" s="16"/>
      <c r="DM747" s="17"/>
      <c r="DN747" s="17"/>
      <c r="DO747" s="16"/>
      <c r="DP747" s="16"/>
      <c r="DQ747" s="17"/>
      <c r="DR747" s="17"/>
      <c r="DS747" s="16"/>
      <c r="DT747" s="16"/>
      <c r="DU747" s="17"/>
      <c r="DV747" s="17"/>
      <c r="DW747" s="16"/>
      <c r="DX747" s="16"/>
      <c r="DY747" s="17"/>
      <c r="DZ747" s="17"/>
      <c r="EA747" s="16"/>
      <c r="EB747" s="16"/>
      <c r="EC747" s="17"/>
      <c r="ED747" s="17"/>
      <c r="EE747" s="16"/>
      <c r="EF747" s="16"/>
      <c r="EG747" s="18">
        <v>3</v>
      </c>
      <c r="EH747" s="18">
        <v>5</v>
      </c>
      <c r="EI747" s="16"/>
      <c r="EJ747" s="16"/>
      <c r="EK747" s="17"/>
      <c r="EL747" s="17"/>
      <c r="EM747" s="16"/>
      <c r="EN747" s="16"/>
      <c r="EO747" s="17"/>
      <c r="EP747" s="17"/>
      <c r="EQ747" s="16"/>
      <c r="ER747" s="16"/>
      <c r="ES747" s="17"/>
      <c r="ET747" s="17"/>
      <c r="EU747" s="16"/>
      <c r="EV747" s="16"/>
      <c r="EW747" s="17"/>
      <c r="EX747" s="17"/>
      <c r="EY747" s="16"/>
      <c r="EZ747" s="16"/>
      <c r="FA747" s="17"/>
      <c r="FB747" s="17"/>
      <c r="FC747" s="16"/>
      <c r="FD747" s="16"/>
      <c r="FE747" s="17"/>
      <c r="FF747" s="17"/>
      <c r="FG747" s="11"/>
      <c r="GT747" s="11"/>
      <c r="IG747" s="11"/>
      <c r="JT747" s="11"/>
      <c r="LG747" s="11"/>
      <c r="MT747" s="11"/>
      <c r="OG747" s="11"/>
      <c r="PT747" s="11"/>
    </row>
    <row r="748" spans="3:436" ht="15.75" x14ac:dyDescent="0.25">
      <c r="C748" s="20" t="s">
        <v>582</v>
      </c>
      <c r="D748" s="21" t="s">
        <v>203</v>
      </c>
      <c r="H748" s="11"/>
      <c r="AU748" s="11"/>
      <c r="CH748" s="11"/>
      <c r="CI748" s="16"/>
      <c r="CJ748" s="16"/>
      <c r="CK748" s="16"/>
      <c r="CL748" s="16"/>
      <c r="CM748" s="16"/>
      <c r="CN748" s="16"/>
      <c r="CO748" s="16"/>
      <c r="CP748" s="16"/>
      <c r="CQ748" s="16"/>
      <c r="CR748" s="16"/>
      <c r="CS748" s="16"/>
      <c r="CT748" s="16"/>
      <c r="CU748" s="16"/>
      <c r="CV748" s="16"/>
      <c r="CW748" s="16"/>
      <c r="CX748" s="16"/>
      <c r="CY748" s="16"/>
      <c r="CZ748" s="16"/>
      <c r="DA748" s="16"/>
      <c r="DB748" s="16"/>
      <c r="DC748" s="16"/>
      <c r="DD748" s="16"/>
      <c r="DE748" s="17"/>
      <c r="DF748" s="17"/>
      <c r="DG748" s="16"/>
      <c r="DH748" s="16"/>
      <c r="DI748" s="17"/>
      <c r="DJ748" s="17"/>
      <c r="DK748" s="16"/>
      <c r="DL748" s="16"/>
      <c r="DM748" s="17"/>
      <c r="DN748" s="17"/>
      <c r="DO748" s="16"/>
      <c r="DP748" s="16"/>
      <c r="DQ748" s="17"/>
      <c r="DR748" s="17"/>
      <c r="DS748" s="16"/>
      <c r="DT748" s="16"/>
      <c r="DU748" s="17"/>
      <c r="DV748" s="17"/>
      <c r="DW748" s="16"/>
      <c r="DX748" s="16"/>
      <c r="DY748" s="17"/>
      <c r="DZ748" s="17"/>
      <c r="EA748" s="16"/>
      <c r="EB748" s="16"/>
      <c r="EC748" s="17"/>
      <c r="ED748" s="17"/>
      <c r="EE748" s="16"/>
      <c r="EF748" s="16"/>
      <c r="EG748" s="18">
        <v>2</v>
      </c>
      <c r="EH748" s="18">
        <v>4</v>
      </c>
      <c r="EI748" s="16"/>
      <c r="EJ748" s="16"/>
      <c r="EK748" s="17"/>
      <c r="EL748" s="17"/>
      <c r="EM748" s="16"/>
      <c r="EN748" s="16"/>
      <c r="EO748" s="17"/>
      <c r="EP748" s="17"/>
      <c r="EQ748" s="16"/>
      <c r="ER748" s="16"/>
      <c r="ES748" s="17"/>
      <c r="ET748" s="17"/>
      <c r="EU748" s="16"/>
      <c r="EV748" s="16"/>
      <c r="EW748" s="17"/>
      <c r="EX748" s="17"/>
      <c r="EY748" s="16"/>
      <c r="EZ748" s="16"/>
      <c r="FA748" s="17"/>
      <c r="FB748" s="17"/>
      <c r="FC748" s="16"/>
      <c r="FD748" s="16"/>
      <c r="FE748" s="17"/>
      <c r="FF748" s="17"/>
      <c r="FG748" s="11"/>
      <c r="GT748" s="11"/>
      <c r="IG748" s="11"/>
      <c r="JT748" s="11"/>
      <c r="LG748" s="11"/>
      <c r="MT748" s="11"/>
      <c r="OG748" s="11"/>
      <c r="PT748" s="11"/>
    </row>
    <row r="749" spans="3:436" ht="15.75" x14ac:dyDescent="0.25">
      <c r="C749" s="20" t="s">
        <v>580</v>
      </c>
      <c r="D749" s="21" t="s">
        <v>203</v>
      </c>
      <c r="H749" s="11"/>
      <c r="AU749" s="11"/>
      <c r="CH749" s="11"/>
      <c r="CI749" s="16"/>
      <c r="CJ749" s="16"/>
      <c r="CK749" s="16"/>
      <c r="CL749" s="16"/>
      <c r="CM749" s="16"/>
      <c r="CN749" s="16"/>
      <c r="CO749" s="16"/>
      <c r="CP749" s="16"/>
      <c r="CQ749" s="16"/>
      <c r="CR749" s="16"/>
      <c r="CS749" s="16"/>
      <c r="CT749" s="16"/>
      <c r="CU749" s="16"/>
      <c r="CV749" s="16"/>
      <c r="CW749" s="16"/>
      <c r="CX749" s="16"/>
      <c r="CY749" s="16"/>
      <c r="CZ749" s="16"/>
      <c r="DA749" s="16"/>
      <c r="DB749" s="16"/>
      <c r="DC749" s="16"/>
      <c r="DD749" s="16"/>
      <c r="DE749" s="17"/>
      <c r="DF749" s="17"/>
      <c r="DG749" s="16"/>
      <c r="DH749" s="16"/>
      <c r="DI749" s="17"/>
      <c r="DJ749" s="17"/>
      <c r="DK749" s="16"/>
      <c r="DL749" s="16"/>
      <c r="DM749" s="17"/>
      <c r="DN749" s="17"/>
      <c r="DO749" s="16"/>
      <c r="DP749" s="16"/>
      <c r="DQ749" s="17"/>
      <c r="DR749" s="17"/>
      <c r="DS749" s="16"/>
      <c r="DT749" s="16"/>
      <c r="DU749" s="17"/>
      <c r="DV749" s="17"/>
      <c r="DW749" s="16"/>
      <c r="DX749" s="16"/>
      <c r="DY749" s="17"/>
      <c r="DZ749" s="17"/>
      <c r="EA749" s="16"/>
      <c r="EB749" s="16"/>
      <c r="EC749" s="17"/>
      <c r="ED749" s="17"/>
      <c r="EE749" s="16"/>
      <c r="EF749" s="16"/>
      <c r="EG749" s="18">
        <v>1</v>
      </c>
      <c r="EH749" s="18">
        <v>2</v>
      </c>
      <c r="EI749" s="16"/>
      <c r="EJ749" s="16"/>
      <c r="EK749" s="17"/>
      <c r="EL749" s="17"/>
      <c r="EM749" s="16"/>
      <c r="EN749" s="16"/>
      <c r="EO749" s="17"/>
      <c r="EP749" s="17"/>
      <c r="EQ749" s="16"/>
      <c r="ER749" s="16"/>
      <c r="ES749" s="17"/>
      <c r="ET749" s="17"/>
      <c r="EU749" s="16"/>
      <c r="EV749" s="16"/>
      <c r="EW749" s="17"/>
      <c r="EX749" s="17"/>
      <c r="EY749" s="16"/>
      <c r="EZ749" s="16"/>
      <c r="FA749" s="17"/>
      <c r="FB749" s="17"/>
      <c r="FC749" s="16"/>
      <c r="FD749" s="16"/>
      <c r="FE749" s="17"/>
      <c r="FF749" s="17"/>
      <c r="FG749" s="11"/>
      <c r="GT749" s="11"/>
      <c r="IG749" s="11"/>
      <c r="JT749" s="11"/>
      <c r="LG749" s="11"/>
      <c r="MT749" s="11"/>
      <c r="OG749" s="11"/>
      <c r="PT749" s="11"/>
    </row>
    <row r="750" spans="3:436" ht="15.75" x14ac:dyDescent="0.25">
      <c r="C750" s="20" t="s">
        <v>562</v>
      </c>
      <c r="D750" s="21" t="s">
        <v>159</v>
      </c>
      <c r="H750" s="11"/>
      <c r="AU750" s="11"/>
      <c r="CH750" s="11"/>
      <c r="CI750" s="16"/>
      <c r="CJ750" s="16"/>
      <c r="CK750" s="16"/>
      <c r="CL750" s="16"/>
      <c r="CM750" s="16"/>
      <c r="CN750" s="16"/>
      <c r="CO750" s="16"/>
      <c r="CP750" s="16"/>
      <c r="CQ750" s="16"/>
      <c r="CR750" s="16"/>
      <c r="CS750" s="16"/>
      <c r="CT750" s="16"/>
      <c r="CU750" s="16"/>
      <c r="CV750" s="16"/>
      <c r="CW750" s="16"/>
      <c r="CX750" s="16"/>
      <c r="CY750" s="16"/>
      <c r="CZ750" s="16"/>
      <c r="DA750" s="16"/>
      <c r="DB750" s="16"/>
      <c r="DC750" s="16"/>
      <c r="DD750" s="16"/>
      <c r="DE750" s="17"/>
      <c r="DF750" s="17"/>
      <c r="DG750" s="16"/>
      <c r="DH750" s="16"/>
      <c r="DI750" s="17"/>
      <c r="DJ750" s="17"/>
      <c r="DK750" s="16"/>
      <c r="DL750" s="16"/>
      <c r="DM750" s="17"/>
      <c r="DN750" s="17"/>
      <c r="DO750" s="16"/>
      <c r="DP750" s="16"/>
      <c r="DQ750" s="17"/>
      <c r="DR750" s="17"/>
      <c r="DS750" s="16"/>
      <c r="DT750" s="16"/>
      <c r="DU750" s="17"/>
      <c r="DV750" s="17"/>
      <c r="DW750" s="16"/>
      <c r="DX750" s="16"/>
      <c r="DY750" s="17"/>
      <c r="DZ750" s="17"/>
      <c r="EA750" s="16"/>
      <c r="EB750" s="16"/>
      <c r="EC750" s="17"/>
      <c r="ED750" s="17"/>
      <c r="EE750" s="16"/>
      <c r="EF750" s="16"/>
      <c r="EG750" s="17"/>
      <c r="EH750" s="17"/>
      <c r="EI750" s="16"/>
      <c r="EJ750" s="16"/>
      <c r="EK750" s="17"/>
      <c r="EL750" s="17"/>
      <c r="EM750" s="16"/>
      <c r="EN750" s="16"/>
      <c r="EO750" s="17"/>
      <c r="EP750" s="17"/>
      <c r="EQ750" s="16"/>
      <c r="ER750" s="16"/>
      <c r="ES750" s="17"/>
      <c r="ET750" s="17"/>
      <c r="EU750" s="16"/>
      <c r="EV750" s="16"/>
      <c r="EW750" s="17"/>
      <c r="EX750" s="17"/>
      <c r="EY750" s="16"/>
      <c r="EZ750" s="16"/>
      <c r="FA750" s="17"/>
      <c r="FB750" s="17"/>
      <c r="FC750" s="16"/>
      <c r="FD750" s="16"/>
      <c r="FE750" s="17"/>
      <c r="FF750" s="17"/>
      <c r="FG750" s="11"/>
      <c r="GT750" s="11"/>
      <c r="IG750" s="11"/>
      <c r="JT750" s="11"/>
      <c r="LG750" s="11"/>
      <c r="MT750" s="11"/>
      <c r="OG750" s="11"/>
      <c r="PT750" s="11"/>
    </row>
    <row r="751" spans="3:436" ht="15.75" x14ac:dyDescent="0.25">
      <c r="C751" s="20" t="s">
        <v>563</v>
      </c>
      <c r="D751" s="21" t="s">
        <v>82</v>
      </c>
      <c r="H751" s="11"/>
      <c r="AU751" s="11"/>
      <c r="CH751" s="11"/>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7"/>
      <c r="DF751" s="17"/>
      <c r="DG751" s="16"/>
      <c r="DH751" s="16"/>
      <c r="DI751" s="17"/>
      <c r="DJ751" s="17"/>
      <c r="DK751" s="16"/>
      <c r="DL751" s="16"/>
      <c r="DM751" s="17"/>
      <c r="DN751" s="17"/>
      <c r="DO751" s="16"/>
      <c r="DP751" s="16"/>
      <c r="DQ751" s="17"/>
      <c r="DR751" s="17"/>
      <c r="DS751" s="16"/>
      <c r="DT751" s="16"/>
      <c r="DU751" s="17"/>
      <c r="DV751" s="17"/>
      <c r="DW751" s="16"/>
      <c r="DX751" s="16"/>
      <c r="DY751" s="17"/>
      <c r="DZ751" s="17"/>
      <c r="EA751" s="16"/>
      <c r="EB751" s="16"/>
      <c r="EC751" s="17"/>
      <c r="ED751" s="17"/>
      <c r="EE751" s="16"/>
      <c r="EF751" s="16"/>
      <c r="EG751" s="17"/>
      <c r="EH751" s="17"/>
      <c r="EI751" s="16"/>
      <c r="EJ751" s="16"/>
      <c r="EK751" s="17"/>
      <c r="EL751" s="17"/>
      <c r="EM751" s="16"/>
      <c r="EN751" s="16"/>
      <c r="EO751" s="17"/>
      <c r="EP751" s="17"/>
      <c r="EQ751" s="16"/>
      <c r="ER751" s="16"/>
      <c r="ES751" s="17"/>
      <c r="ET751" s="17"/>
      <c r="EU751" s="16"/>
      <c r="EV751" s="16"/>
      <c r="EW751" s="17"/>
      <c r="EX751" s="17"/>
      <c r="EY751" s="16"/>
      <c r="EZ751" s="16"/>
      <c r="FA751" s="17"/>
      <c r="FB751" s="17"/>
      <c r="FC751" s="16"/>
      <c r="FD751" s="16"/>
      <c r="FE751" s="17"/>
      <c r="FF751" s="17"/>
      <c r="FG751" s="11"/>
      <c r="GT751" s="11"/>
      <c r="IG751" s="11"/>
      <c r="JT751" s="11"/>
      <c r="LG751" s="11"/>
      <c r="MT751" s="11"/>
      <c r="OG751" s="11"/>
      <c r="PT751" s="11"/>
    </row>
    <row r="752" spans="3:436" ht="15.75" x14ac:dyDescent="0.25">
      <c r="C752" s="20" t="s">
        <v>581</v>
      </c>
      <c r="D752" s="21" t="s">
        <v>82</v>
      </c>
      <c r="H752" s="11"/>
      <c r="AU752" s="11"/>
      <c r="CH752" s="11"/>
      <c r="CI752" s="16"/>
      <c r="CJ752" s="16"/>
      <c r="CK752" s="16"/>
      <c r="CL752" s="16"/>
      <c r="CM752" s="16"/>
      <c r="CN752" s="16"/>
      <c r="CO752" s="16"/>
      <c r="CP752" s="16"/>
      <c r="CQ752" s="16"/>
      <c r="CR752" s="16"/>
      <c r="CS752" s="16"/>
      <c r="CT752" s="16"/>
      <c r="CU752" s="16"/>
      <c r="CV752" s="16"/>
      <c r="CW752" s="16"/>
      <c r="CX752" s="16"/>
      <c r="CY752" s="16"/>
      <c r="CZ752" s="16"/>
      <c r="DA752" s="16"/>
      <c r="DB752" s="16"/>
      <c r="DC752" s="16"/>
      <c r="DD752" s="16"/>
      <c r="DE752" s="17"/>
      <c r="DF752" s="17"/>
      <c r="DG752" s="16"/>
      <c r="DH752" s="16"/>
      <c r="DI752" s="17"/>
      <c r="DJ752" s="17"/>
      <c r="DK752" s="16"/>
      <c r="DL752" s="16"/>
      <c r="DM752" s="17"/>
      <c r="DN752" s="17"/>
      <c r="DO752" s="16"/>
      <c r="DP752" s="16"/>
      <c r="DQ752" s="17"/>
      <c r="DR752" s="17"/>
      <c r="DS752" s="16"/>
      <c r="DT752" s="16"/>
      <c r="DU752" s="17"/>
      <c r="DV752" s="17"/>
      <c r="DW752" s="16"/>
      <c r="DX752" s="16"/>
      <c r="DY752" s="17"/>
      <c r="DZ752" s="17"/>
      <c r="EA752" s="16"/>
      <c r="EB752" s="16"/>
      <c r="EC752" s="17"/>
      <c r="ED752" s="17"/>
      <c r="EE752" s="16"/>
      <c r="EF752" s="16"/>
      <c r="EG752" s="17"/>
      <c r="EH752" s="17"/>
      <c r="EI752" s="16"/>
      <c r="EJ752" s="16"/>
      <c r="EK752" s="17"/>
      <c r="EL752" s="17"/>
      <c r="EM752" s="16"/>
      <c r="EN752" s="16"/>
      <c r="EO752" s="17"/>
      <c r="EP752" s="17"/>
      <c r="EQ752" s="16"/>
      <c r="ER752" s="16"/>
      <c r="ES752" s="18">
        <v>5</v>
      </c>
      <c r="ET752" s="18">
        <v>10</v>
      </c>
      <c r="EU752" s="16"/>
      <c r="EV752" s="16"/>
      <c r="EW752" s="17"/>
      <c r="EX752" s="17"/>
      <c r="EY752" s="16"/>
      <c r="EZ752" s="16"/>
      <c r="FA752" s="17"/>
      <c r="FB752" s="17"/>
      <c r="FC752" s="16"/>
      <c r="FD752" s="16"/>
      <c r="FE752" s="17"/>
      <c r="FF752" s="17"/>
      <c r="FG752" s="11"/>
      <c r="GT752" s="11"/>
      <c r="IG752" s="11"/>
      <c r="JT752" s="11"/>
      <c r="LG752" s="11"/>
      <c r="MT752" s="11"/>
      <c r="OG752" s="11"/>
      <c r="PT752" s="11"/>
    </row>
    <row r="753" spans="3:436" ht="15.75" x14ac:dyDescent="0.25">
      <c r="C753" s="20" t="s">
        <v>410</v>
      </c>
      <c r="D753" s="21" t="s">
        <v>142</v>
      </c>
      <c r="H753" s="11"/>
      <c r="AU753" s="11"/>
      <c r="CH753" s="11"/>
      <c r="CI753" s="16"/>
      <c r="CJ753" s="16"/>
      <c r="CK753" s="16"/>
      <c r="CL753" s="16"/>
      <c r="CM753" s="16"/>
      <c r="CN753" s="16"/>
      <c r="CO753" s="16"/>
      <c r="CP753" s="16"/>
      <c r="CQ753" s="16"/>
      <c r="CR753" s="16"/>
      <c r="CS753" s="16"/>
      <c r="CT753" s="16"/>
      <c r="CU753" s="16"/>
      <c r="CV753" s="16"/>
      <c r="CW753" s="16"/>
      <c r="CX753" s="16"/>
      <c r="CY753" s="16"/>
      <c r="CZ753" s="16"/>
      <c r="DA753" s="16"/>
      <c r="DB753" s="16"/>
      <c r="DC753" s="16"/>
      <c r="DD753" s="16"/>
      <c r="DE753" s="17"/>
      <c r="DF753" s="17"/>
      <c r="DG753" s="16"/>
      <c r="DH753" s="16"/>
      <c r="DI753" s="17"/>
      <c r="DJ753" s="17"/>
      <c r="DK753" s="16"/>
      <c r="DL753" s="16"/>
      <c r="DM753" s="17"/>
      <c r="DN753" s="17"/>
      <c r="DO753" s="16"/>
      <c r="DP753" s="16"/>
      <c r="DQ753" s="17"/>
      <c r="DR753" s="17"/>
      <c r="DS753" s="16"/>
      <c r="DT753" s="16"/>
      <c r="DU753" s="17"/>
      <c r="DV753" s="17"/>
      <c r="DW753" s="16"/>
      <c r="DX753" s="16"/>
      <c r="DY753" s="17"/>
      <c r="DZ753" s="17"/>
      <c r="EA753" s="16"/>
      <c r="EB753" s="16"/>
      <c r="EC753" s="17"/>
      <c r="ED753" s="17"/>
      <c r="EE753" s="16"/>
      <c r="EF753" s="16"/>
      <c r="EG753" s="17"/>
      <c r="EH753" s="17"/>
      <c r="EI753" s="16"/>
      <c r="EJ753" s="16"/>
      <c r="EK753" s="17"/>
      <c r="EL753" s="17"/>
      <c r="EM753" s="16"/>
      <c r="EN753" s="16"/>
      <c r="EO753" s="17"/>
      <c r="EP753" s="17"/>
      <c r="EQ753" s="16"/>
      <c r="ER753" s="16"/>
      <c r="ES753" s="17"/>
      <c r="ET753" s="17"/>
      <c r="EU753" s="16"/>
      <c r="EV753" s="16"/>
      <c r="EW753" s="17"/>
      <c r="EX753" s="17"/>
      <c r="EY753" s="16"/>
      <c r="EZ753" s="16"/>
      <c r="FA753" s="17"/>
      <c r="FB753" s="17"/>
      <c r="FC753" s="16"/>
      <c r="FD753" s="16"/>
      <c r="FE753" s="17"/>
      <c r="FF753" s="17"/>
      <c r="FG753" s="11"/>
      <c r="GT753" s="11"/>
      <c r="IG753" s="11"/>
      <c r="JT753" s="11"/>
      <c r="LG753" s="11"/>
      <c r="MT753" s="11"/>
      <c r="OG753" s="11"/>
      <c r="PT753" s="11"/>
    </row>
    <row r="754" spans="3:436" ht="15.75" x14ac:dyDescent="0.25">
      <c r="C754" s="20" t="s">
        <v>569</v>
      </c>
      <c r="D754" s="21" t="s">
        <v>90</v>
      </c>
      <c r="H754" s="11"/>
      <c r="AU754" s="11"/>
      <c r="CH754" s="11"/>
      <c r="CI754" s="16"/>
      <c r="CJ754" s="16"/>
      <c r="CK754" s="16"/>
      <c r="CL754" s="16"/>
      <c r="CM754" s="16"/>
      <c r="CN754" s="16"/>
      <c r="CO754" s="16"/>
      <c r="CP754" s="16"/>
      <c r="CQ754" s="16"/>
      <c r="CR754" s="16"/>
      <c r="CS754" s="16"/>
      <c r="CT754" s="16"/>
      <c r="CU754" s="16"/>
      <c r="CV754" s="16"/>
      <c r="CW754" s="16"/>
      <c r="CX754" s="16"/>
      <c r="CY754" s="16"/>
      <c r="CZ754" s="16"/>
      <c r="DA754" s="16"/>
      <c r="DB754" s="16"/>
      <c r="DC754" s="16"/>
      <c r="DD754" s="16"/>
      <c r="DE754" s="17"/>
      <c r="DF754" s="17"/>
      <c r="DG754" s="16"/>
      <c r="DH754" s="16"/>
      <c r="DI754" s="17"/>
      <c r="DJ754" s="17"/>
      <c r="DK754" s="16"/>
      <c r="DL754" s="16"/>
      <c r="DM754" s="17"/>
      <c r="DN754" s="17"/>
      <c r="DO754" s="16"/>
      <c r="DP754" s="16"/>
      <c r="DQ754" s="17"/>
      <c r="DR754" s="17"/>
      <c r="DS754" s="16"/>
      <c r="DT754" s="16"/>
      <c r="DU754" s="17"/>
      <c r="DV754" s="17"/>
      <c r="DW754" s="16"/>
      <c r="DX754" s="16"/>
      <c r="DY754" s="17"/>
      <c r="DZ754" s="17"/>
      <c r="EA754" s="16"/>
      <c r="EB754" s="16"/>
      <c r="EC754" s="17"/>
      <c r="ED754" s="17"/>
      <c r="EE754" s="16"/>
      <c r="EF754" s="16"/>
      <c r="EG754" s="17"/>
      <c r="EH754" s="17"/>
      <c r="EI754" s="16"/>
      <c r="EJ754" s="16"/>
      <c r="EK754" s="17"/>
      <c r="EL754" s="17"/>
      <c r="EM754" s="16"/>
      <c r="EN754" s="16"/>
      <c r="EO754" s="17"/>
      <c r="EP754" s="17"/>
      <c r="EQ754" s="16"/>
      <c r="ER754" s="16"/>
      <c r="ES754" s="17"/>
      <c r="ET754" s="17"/>
      <c r="EU754" s="16"/>
      <c r="EV754" s="16"/>
      <c r="EW754" s="17"/>
      <c r="EX754" s="17"/>
      <c r="EY754" s="16"/>
      <c r="EZ754" s="16"/>
      <c r="FA754" s="17"/>
      <c r="FB754" s="17"/>
      <c r="FC754" s="16"/>
      <c r="FD754" s="16"/>
      <c r="FE754" s="17"/>
      <c r="FF754" s="17"/>
      <c r="FG754" s="11"/>
      <c r="GT754" s="11"/>
      <c r="IG754" s="11"/>
      <c r="JT754" s="11"/>
      <c r="LG754" s="11"/>
      <c r="MT754" s="11"/>
      <c r="OG754" s="11"/>
      <c r="PT754" s="11"/>
    </row>
    <row r="755" spans="3:436" ht="15.75" x14ac:dyDescent="0.25">
      <c r="C755" s="20" t="s">
        <v>559</v>
      </c>
      <c r="D755" s="21" t="s">
        <v>79</v>
      </c>
      <c r="H755" s="11"/>
      <c r="AU755" s="11"/>
      <c r="CH755" s="11"/>
      <c r="CI755" s="16"/>
      <c r="CJ755" s="16"/>
      <c r="CK755" s="16"/>
      <c r="CL755" s="16"/>
      <c r="CM755" s="16"/>
      <c r="CN755" s="16"/>
      <c r="CO755" s="16"/>
      <c r="CP755" s="16"/>
      <c r="CQ755" s="16"/>
      <c r="CR755" s="16"/>
      <c r="CS755" s="16"/>
      <c r="CT755" s="16"/>
      <c r="CU755" s="16"/>
      <c r="CV755" s="16"/>
      <c r="CW755" s="16"/>
      <c r="CX755" s="16"/>
      <c r="CY755" s="16"/>
      <c r="CZ755" s="16"/>
      <c r="DA755" s="16"/>
      <c r="DB755" s="16"/>
      <c r="DC755" s="16"/>
      <c r="DD755" s="16"/>
      <c r="DE755" s="17"/>
      <c r="DF755" s="17"/>
      <c r="DG755" s="16"/>
      <c r="DH755" s="16"/>
      <c r="DI755" s="17"/>
      <c r="DJ755" s="17"/>
      <c r="DK755" s="16"/>
      <c r="DL755" s="16"/>
      <c r="DM755" s="17"/>
      <c r="DN755" s="17"/>
      <c r="DO755" s="16"/>
      <c r="DP755" s="16"/>
      <c r="DQ755" s="17"/>
      <c r="DR755" s="17"/>
      <c r="DS755" s="16"/>
      <c r="DT755" s="16"/>
      <c r="DU755" s="17"/>
      <c r="DV755" s="17"/>
      <c r="DW755" s="16"/>
      <c r="DX755" s="16"/>
      <c r="DY755" s="17"/>
      <c r="DZ755" s="17"/>
      <c r="EA755" s="16"/>
      <c r="EB755" s="16"/>
      <c r="EC755" s="17"/>
      <c r="ED755" s="17"/>
      <c r="EE755" s="16"/>
      <c r="EF755" s="16"/>
      <c r="EG755" s="17"/>
      <c r="EH755" s="17"/>
      <c r="EI755" s="16"/>
      <c r="EJ755" s="16"/>
      <c r="EK755" s="17"/>
      <c r="EL755" s="17"/>
      <c r="EM755" s="16"/>
      <c r="EN755" s="16"/>
      <c r="EO755" s="17"/>
      <c r="EP755" s="17"/>
      <c r="EQ755" s="16"/>
      <c r="ER755" s="16"/>
      <c r="ES755" s="17"/>
      <c r="ET755" s="17"/>
      <c r="EU755" s="16"/>
      <c r="EV755" s="16"/>
      <c r="EW755" s="17"/>
      <c r="EX755" s="17"/>
      <c r="EY755" s="16"/>
      <c r="EZ755" s="16"/>
      <c r="FA755" s="17"/>
      <c r="FB755" s="17"/>
      <c r="FC755" s="16"/>
      <c r="FD755" s="16"/>
      <c r="FE755" s="17"/>
      <c r="FF755" s="17"/>
      <c r="FG755" s="11"/>
      <c r="GT755" s="11"/>
      <c r="IG755" s="11"/>
      <c r="JT755" s="11"/>
      <c r="LG755" s="11"/>
      <c r="MT755" s="11"/>
      <c r="OG755" s="11"/>
      <c r="PT755" s="11"/>
    </row>
    <row r="756" spans="3:436" ht="15.75" x14ac:dyDescent="0.25">
      <c r="C756" s="20" t="s">
        <v>404</v>
      </c>
      <c r="D756" s="21" t="s">
        <v>129</v>
      </c>
      <c r="H756" s="11"/>
      <c r="AU756" s="11"/>
      <c r="CH756" s="11"/>
      <c r="CI756" s="16"/>
      <c r="CJ756" s="16"/>
      <c r="CK756" s="16"/>
      <c r="CL756" s="16"/>
      <c r="CM756" s="16"/>
      <c r="CN756" s="16"/>
      <c r="CO756" s="16"/>
      <c r="CP756" s="16"/>
      <c r="CQ756" s="16"/>
      <c r="CR756" s="16"/>
      <c r="CS756" s="16"/>
      <c r="CT756" s="16"/>
      <c r="CU756" s="16"/>
      <c r="CV756" s="16"/>
      <c r="CW756" s="16"/>
      <c r="CX756" s="16"/>
      <c r="CY756" s="16"/>
      <c r="CZ756" s="16"/>
      <c r="DA756" s="16"/>
      <c r="DB756" s="16"/>
      <c r="DC756" s="16"/>
      <c r="DD756" s="16"/>
      <c r="DE756" s="17"/>
      <c r="DF756" s="17"/>
      <c r="DG756" s="16"/>
      <c r="DH756" s="16"/>
      <c r="DI756" s="17"/>
      <c r="DJ756" s="17"/>
      <c r="DK756" s="16"/>
      <c r="DL756" s="16"/>
      <c r="DM756" s="17"/>
      <c r="DN756" s="17"/>
      <c r="DO756" s="16"/>
      <c r="DP756" s="16"/>
      <c r="DQ756" s="17"/>
      <c r="DR756" s="17"/>
      <c r="DS756" s="16"/>
      <c r="DT756" s="16"/>
      <c r="DU756" s="17"/>
      <c r="DV756" s="17"/>
      <c r="DW756" s="16"/>
      <c r="DX756" s="16"/>
      <c r="DY756" s="17"/>
      <c r="DZ756" s="17"/>
      <c r="EA756" s="16"/>
      <c r="EB756" s="16"/>
      <c r="EC756" s="17"/>
      <c r="ED756" s="17"/>
      <c r="EE756" s="16"/>
      <c r="EF756" s="16"/>
      <c r="EG756" s="17"/>
      <c r="EH756" s="17"/>
      <c r="EI756" s="16"/>
      <c r="EJ756" s="16"/>
      <c r="EK756" s="17"/>
      <c r="EL756" s="17"/>
      <c r="EM756" s="16"/>
      <c r="EN756" s="16"/>
      <c r="EO756" s="17"/>
      <c r="EP756" s="17"/>
      <c r="EQ756" s="16"/>
      <c r="ER756" s="16"/>
      <c r="ES756" s="17"/>
      <c r="ET756" s="17"/>
      <c r="EU756" s="16"/>
      <c r="EV756" s="16"/>
      <c r="EW756" s="17"/>
      <c r="EX756" s="17"/>
      <c r="EY756" s="16"/>
      <c r="EZ756" s="16"/>
      <c r="FA756" s="17"/>
      <c r="FB756" s="17"/>
      <c r="FC756" s="16"/>
      <c r="FD756" s="16"/>
      <c r="FE756" s="17"/>
      <c r="FF756" s="17"/>
      <c r="FG756" s="11"/>
      <c r="GT756" s="11"/>
      <c r="IG756" s="11"/>
      <c r="JT756" s="11"/>
      <c r="LG756" s="11"/>
      <c r="MT756" s="11"/>
      <c r="OG756" s="11"/>
      <c r="PT756" s="11"/>
    </row>
    <row r="757" spans="3:436" ht="15.75" x14ac:dyDescent="0.25">
      <c r="C757" s="20" t="s">
        <v>405</v>
      </c>
      <c r="D757" s="21" t="s">
        <v>162</v>
      </c>
      <c r="H757" s="11"/>
      <c r="AU757" s="11"/>
      <c r="CH757" s="11"/>
      <c r="CI757" s="16"/>
      <c r="CJ757" s="16"/>
      <c r="CK757" s="16"/>
      <c r="CL757" s="16"/>
      <c r="CM757" s="16"/>
      <c r="CN757" s="16"/>
      <c r="CO757" s="16"/>
      <c r="CP757" s="16"/>
      <c r="CQ757" s="16"/>
      <c r="CR757" s="16"/>
      <c r="CS757" s="16"/>
      <c r="CT757" s="16"/>
      <c r="CU757" s="16"/>
      <c r="CV757" s="16"/>
      <c r="CW757" s="16"/>
      <c r="CX757" s="16"/>
      <c r="CY757" s="16"/>
      <c r="CZ757" s="16"/>
      <c r="DA757" s="16"/>
      <c r="DB757" s="16"/>
      <c r="DC757" s="16"/>
      <c r="DD757" s="16"/>
      <c r="DE757" s="17"/>
      <c r="DF757" s="17"/>
      <c r="DG757" s="16"/>
      <c r="DH757" s="16"/>
      <c r="DI757" s="17"/>
      <c r="DJ757" s="17"/>
      <c r="DK757" s="16"/>
      <c r="DL757" s="16"/>
      <c r="DM757" s="17"/>
      <c r="DN757" s="17"/>
      <c r="DO757" s="16"/>
      <c r="DP757" s="16"/>
      <c r="DQ757" s="17"/>
      <c r="DR757" s="17"/>
      <c r="DS757" s="16"/>
      <c r="DT757" s="16"/>
      <c r="DU757" s="17"/>
      <c r="DV757" s="17"/>
      <c r="DW757" s="16"/>
      <c r="DX757" s="16"/>
      <c r="DY757" s="17"/>
      <c r="DZ757" s="17"/>
      <c r="EA757" s="16"/>
      <c r="EB757" s="16"/>
      <c r="EC757" s="17"/>
      <c r="ED757" s="17"/>
      <c r="EE757" s="16"/>
      <c r="EF757" s="16"/>
      <c r="EG757" s="17"/>
      <c r="EH757" s="17"/>
      <c r="EI757" s="16"/>
      <c r="EJ757" s="16"/>
      <c r="EK757" s="17"/>
      <c r="EL757" s="17"/>
      <c r="EM757" s="16"/>
      <c r="EN757" s="16"/>
      <c r="EO757" s="17"/>
      <c r="EP757" s="17"/>
      <c r="EQ757" s="16"/>
      <c r="ER757" s="16"/>
      <c r="ES757" s="17"/>
      <c r="ET757" s="17"/>
      <c r="EU757" s="16"/>
      <c r="EV757" s="16"/>
      <c r="EW757" s="17"/>
      <c r="EX757" s="17"/>
      <c r="EY757" s="16"/>
      <c r="EZ757" s="16"/>
      <c r="FA757" s="17"/>
      <c r="FB757" s="17"/>
      <c r="FC757" s="16"/>
      <c r="FD757" s="16"/>
      <c r="FE757" s="17"/>
      <c r="FF757" s="17"/>
      <c r="FG757" s="11"/>
      <c r="GT757" s="11"/>
      <c r="IG757" s="11"/>
      <c r="JT757" s="11"/>
      <c r="LG757" s="11"/>
      <c r="MT757" s="11"/>
      <c r="OG757" s="11"/>
      <c r="PT757" s="11"/>
    </row>
    <row r="758" spans="3:436" ht="15.75" x14ac:dyDescent="0.25">
      <c r="C758" s="20" t="s">
        <v>560</v>
      </c>
      <c r="D758" s="21" t="s">
        <v>203</v>
      </c>
      <c r="H758" s="11"/>
      <c r="AU758" s="11"/>
      <c r="CH758" s="11"/>
      <c r="CI758" s="16"/>
      <c r="CJ758" s="16"/>
      <c r="CK758" s="16"/>
      <c r="CL758" s="16"/>
      <c r="CM758" s="16"/>
      <c r="CN758" s="16"/>
      <c r="CO758" s="16"/>
      <c r="CP758" s="16"/>
      <c r="CQ758" s="16"/>
      <c r="CR758" s="16"/>
      <c r="CS758" s="16"/>
      <c r="CT758" s="16"/>
      <c r="CU758" s="16"/>
      <c r="CV758" s="16"/>
      <c r="CW758" s="16"/>
      <c r="CX758" s="16"/>
      <c r="CY758" s="16"/>
      <c r="CZ758" s="16"/>
      <c r="DA758" s="16"/>
      <c r="DB758" s="16"/>
      <c r="DC758" s="16"/>
      <c r="DD758" s="16"/>
      <c r="DE758" s="17"/>
      <c r="DF758" s="17"/>
      <c r="DG758" s="16"/>
      <c r="DH758" s="16"/>
      <c r="DI758" s="17"/>
      <c r="DJ758" s="17"/>
      <c r="DK758" s="16"/>
      <c r="DL758" s="16"/>
      <c r="DM758" s="17"/>
      <c r="DN758" s="17"/>
      <c r="DO758" s="16"/>
      <c r="DP758" s="16"/>
      <c r="DQ758" s="17"/>
      <c r="DR758" s="17"/>
      <c r="DS758" s="16"/>
      <c r="DT758" s="16"/>
      <c r="DU758" s="17"/>
      <c r="DV758" s="17"/>
      <c r="DW758" s="16"/>
      <c r="DX758" s="16"/>
      <c r="DY758" s="17"/>
      <c r="DZ758" s="17"/>
      <c r="EA758" s="16"/>
      <c r="EB758" s="16"/>
      <c r="EC758" s="17"/>
      <c r="ED758" s="17"/>
      <c r="EE758" s="16"/>
      <c r="EF758" s="16"/>
      <c r="EG758" s="18">
        <v>10</v>
      </c>
      <c r="EH758" s="18">
        <v>10</v>
      </c>
      <c r="EI758" s="16"/>
      <c r="EJ758" s="16"/>
      <c r="EK758" s="17"/>
      <c r="EL758" s="17"/>
      <c r="EM758" s="16"/>
      <c r="EN758" s="16"/>
      <c r="EO758" s="17"/>
      <c r="EP758" s="17"/>
      <c r="EQ758" s="16"/>
      <c r="ER758" s="16"/>
      <c r="ES758" s="17"/>
      <c r="ET758" s="17"/>
      <c r="EU758" s="16"/>
      <c r="EV758" s="16"/>
      <c r="EW758" s="17"/>
      <c r="EX758" s="17"/>
      <c r="EY758" s="16"/>
      <c r="EZ758" s="16"/>
      <c r="FA758" s="17"/>
      <c r="FB758" s="17"/>
      <c r="FC758" s="16"/>
      <c r="FD758" s="16"/>
      <c r="FE758" s="17"/>
      <c r="FF758" s="17"/>
      <c r="FG758" s="11"/>
      <c r="GT758" s="11"/>
      <c r="IG758" s="11"/>
      <c r="JT758" s="11"/>
      <c r="LG758" s="11"/>
      <c r="MT758" s="11"/>
      <c r="OG758" s="11"/>
      <c r="PT758" s="11"/>
    </row>
    <row r="759" spans="3:436" ht="15.75" x14ac:dyDescent="0.25">
      <c r="C759" s="20" t="s">
        <v>561</v>
      </c>
      <c r="D759" s="21" t="s">
        <v>203</v>
      </c>
      <c r="H759" s="11"/>
      <c r="AU759" s="11"/>
      <c r="CH759" s="11"/>
      <c r="CI759" s="16"/>
      <c r="CJ759" s="16"/>
      <c r="CK759" s="16"/>
      <c r="CL759" s="16"/>
      <c r="CM759" s="16"/>
      <c r="CN759" s="16"/>
      <c r="CO759" s="16"/>
      <c r="CP759" s="16"/>
      <c r="CQ759" s="16"/>
      <c r="CR759" s="16"/>
      <c r="CS759" s="16"/>
      <c r="CT759" s="16"/>
      <c r="CU759" s="16"/>
      <c r="CV759" s="16"/>
      <c r="CW759" s="16"/>
      <c r="CX759" s="16"/>
      <c r="CY759" s="16"/>
      <c r="CZ759" s="16"/>
      <c r="DA759" s="16"/>
      <c r="DB759" s="16"/>
      <c r="DC759" s="16"/>
      <c r="DD759" s="16"/>
      <c r="DE759" s="17"/>
      <c r="DF759" s="17"/>
      <c r="DG759" s="16"/>
      <c r="DH759" s="16"/>
      <c r="DI759" s="17"/>
      <c r="DJ759" s="17"/>
      <c r="DK759" s="16"/>
      <c r="DL759" s="16"/>
      <c r="DM759" s="17"/>
      <c r="DN759" s="17"/>
      <c r="DO759" s="16"/>
      <c r="DP759" s="16"/>
      <c r="DQ759" s="17"/>
      <c r="DR759" s="17"/>
      <c r="DS759" s="16"/>
      <c r="DT759" s="16"/>
      <c r="DU759" s="17"/>
      <c r="DV759" s="17"/>
      <c r="DW759" s="16"/>
      <c r="DX759" s="16"/>
      <c r="DY759" s="17"/>
      <c r="DZ759" s="17"/>
      <c r="EA759" s="16"/>
      <c r="EB759" s="16"/>
      <c r="EC759" s="17"/>
      <c r="ED759" s="17"/>
      <c r="EE759" s="16"/>
      <c r="EF759" s="16"/>
      <c r="EG759" s="17"/>
      <c r="EH759" s="17"/>
      <c r="EI759" s="16"/>
      <c r="EJ759" s="16"/>
      <c r="EK759" s="17"/>
      <c r="EL759" s="17"/>
      <c r="EM759" s="16"/>
      <c r="EN759" s="16"/>
      <c r="EO759" s="17"/>
      <c r="EP759" s="17"/>
      <c r="EQ759" s="16"/>
      <c r="ER759" s="16"/>
      <c r="ES759" s="17"/>
      <c r="ET759" s="17"/>
      <c r="EU759" s="16"/>
      <c r="EV759" s="16"/>
      <c r="EW759" s="17"/>
      <c r="EX759" s="17"/>
      <c r="EY759" s="16"/>
      <c r="EZ759" s="16"/>
      <c r="FA759" s="17"/>
      <c r="FB759" s="17"/>
      <c r="FC759" s="16"/>
      <c r="FD759" s="16"/>
      <c r="FE759" s="17"/>
      <c r="FF759" s="17"/>
      <c r="FG759" s="11"/>
      <c r="GT759" s="11"/>
      <c r="IG759" s="11"/>
      <c r="JT759" s="11"/>
      <c r="LG759" s="11"/>
      <c r="MT759" s="11"/>
      <c r="OG759" s="11"/>
      <c r="PT759" s="11"/>
    </row>
    <row r="760" spans="3:436" ht="15.75" x14ac:dyDescent="0.25">
      <c r="C760" s="20" t="s">
        <v>579</v>
      </c>
      <c r="D760" s="21" t="s">
        <v>203</v>
      </c>
      <c r="H760" s="11"/>
      <c r="AU760" s="11"/>
      <c r="CH760" s="11"/>
      <c r="CI760" s="16"/>
      <c r="CJ760" s="16"/>
      <c r="CK760" s="16"/>
      <c r="CL760" s="16"/>
      <c r="CM760" s="16"/>
      <c r="CN760" s="16"/>
      <c r="CO760" s="16"/>
      <c r="CP760" s="16"/>
      <c r="CQ760" s="16"/>
      <c r="CR760" s="16"/>
      <c r="CS760" s="16"/>
      <c r="CT760" s="16"/>
      <c r="CU760" s="16"/>
      <c r="CV760" s="16"/>
      <c r="CW760" s="16"/>
      <c r="CX760" s="16"/>
      <c r="CY760" s="16"/>
      <c r="CZ760" s="16"/>
      <c r="DA760" s="16"/>
      <c r="DB760" s="16"/>
      <c r="DC760" s="16"/>
      <c r="DD760" s="16"/>
      <c r="DE760" s="17"/>
      <c r="DF760" s="17"/>
      <c r="DG760" s="16"/>
      <c r="DH760" s="16"/>
      <c r="DI760" s="17"/>
      <c r="DJ760" s="17"/>
      <c r="DK760" s="16"/>
      <c r="DL760" s="16"/>
      <c r="DM760" s="17"/>
      <c r="DN760" s="17"/>
      <c r="DO760" s="16"/>
      <c r="DP760" s="16"/>
      <c r="DQ760" s="17"/>
      <c r="DR760" s="17"/>
      <c r="DS760" s="16"/>
      <c r="DT760" s="16"/>
      <c r="DU760" s="17"/>
      <c r="DV760" s="17"/>
      <c r="DW760" s="16"/>
      <c r="DX760" s="16"/>
      <c r="DY760" s="17"/>
      <c r="DZ760" s="17"/>
      <c r="EA760" s="16"/>
      <c r="EB760" s="16"/>
      <c r="EC760" s="17"/>
      <c r="ED760" s="17"/>
      <c r="EE760" s="16"/>
      <c r="EF760" s="16"/>
      <c r="EG760" s="18">
        <v>3</v>
      </c>
      <c r="EH760" s="18">
        <v>5</v>
      </c>
      <c r="EI760" s="16"/>
      <c r="EJ760" s="16"/>
      <c r="EK760" s="17"/>
      <c r="EL760" s="17"/>
      <c r="EM760" s="16"/>
      <c r="EN760" s="16"/>
      <c r="EO760" s="17"/>
      <c r="EP760" s="17"/>
      <c r="EQ760" s="16"/>
      <c r="ER760" s="16"/>
      <c r="ES760" s="17"/>
      <c r="ET760" s="17"/>
      <c r="EU760" s="16"/>
      <c r="EV760" s="16"/>
      <c r="EW760" s="17"/>
      <c r="EX760" s="17"/>
      <c r="EY760" s="16"/>
      <c r="EZ760" s="16"/>
      <c r="FA760" s="17"/>
      <c r="FB760" s="17"/>
      <c r="FC760" s="16"/>
      <c r="FD760" s="16"/>
      <c r="FE760" s="17"/>
      <c r="FF760" s="17"/>
      <c r="FG760" s="11"/>
      <c r="GT760" s="11"/>
      <c r="IG760" s="11"/>
      <c r="JT760" s="11"/>
      <c r="LG760" s="11"/>
      <c r="MT760" s="11"/>
      <c r="OG760" s="11"/>
      <c r="PT760" s="11"/>
    </row>
    <row r="761" spans="3:436" ht="15.75" x14ac:dyDescent="0.25">
      <c r="C761" s="20" t="s">
        <v>583</v>
      </c>
      <c r="D761" s="21" t="s">
        <v>203</v>
      </c>
      <c r="H761" s="11"/>
      <c r="AU761" s="11"/>
      <c r="CH761" s="11"/>
      <c r="CI761" s="16"/>
      <c r="CJ761" s="16"/>
      <c r="CK761" s="16"/>
      <c r="CL761" s="16"/>
      <c r="CM761" s="16"/>
      <c r="CN761" s="16"/>
      <c r="CO761" s="16"/>
      <c r="CP761" s="16"/>
      <c r="CQ761" s="16"/>
      <c r="CR761" s="16"/>
      <c r="CS761" s="16"/>
      <c r="CT761" s="16"/>
      <c r="CU761" s="16"/>
      <c r="CV761" s="16"/>
      <c r="CW761" s="16"/>
      <c r="CX761" s="16"/>
      <c r="CY761" s="16"/>
      <c r="CZ761" s="16"/>
      <c r="DA761" s="16"/>
      <c r="DB761" s="16"/>
      <c r="DC761" s="16"/>
      <c r="DD761" s="16"/>
      <c r="DE761" s="17"/>
      <c r="DF761" s="17"/>
      <c r="DG761" s="16"/>
      <c r="DH761" s="16"/>
      <c r="DI761" s="17"/>
      <c r="DJ761" s="17"/>
      <c r="DK761" s="16"/>
      <c r="DL761" s="16"/>
      <c r="DM761" s="17"/>
      <c r="DN761" s="17"/>
      <c r="DO761" s="16"/>
      <c r="DP761" s="16"/>
      <c r="DQ761" s="17"/>
      <c r="DR761" s="17"/>
      <c r="DS761" s="16"/>
      <c r="DT761" s="16"/>
      <c r="DU761" s="17"/>
      <c r="DV761" s="17"/>
      <c r="DW761" s="16"/>
      <c r="DX761" s="16"/>
      <c r="DY761" s="17"/>
      <c r="DZ761" s="17"/>
      <c r="EA761" s="16"/>
      <c r="EB761" s="16"/>
      <c r="EC761" s="17"/>
      <c r="ED761" s="17"/>
      <c r="EE761" s="16"/>
      <c r="EF761" s="16"/>
      <c r="EG761" s="18">
        <v>5</v>
      </c>
      <c r="EH761" s="18">
        <v>7</v>
      </c>
      <c r="EI761" s="16"/>
      <c r="EJ761" s="16"/>
      <c r="EK761" s="17"/>
      <c r="EL761" s="17"/>
      <c r="EM761" s="16"/>
      <c r="EN761" s="16"/>
      <c r="EO761" s="17"/>
      <c r="EP761" s="17"/>
      <c r="EQ761" s="16"/>
      <c r="ER761" s="16"/>
      <c r="ES761" s="17"/>
      <c r="ET761" s="17"/>
      <c r="EU761" s="16"/>
      <c r="EV761" s="16"/>
      <c r="EW761" s="17"/>
      <c r="EX761" s="17"/>
      <c r="EY761" s="16"/>
      <c r="EZ761" s="16"/>
      <c r="FA761" s="17"/>
      <c r="FB761" s="17"/>
      <c r="FC761" s="16"/>
      <c r="FD761" s="16"/>
      <c r="FE761" s="17"/>
      <c r="FF761" s="17"/>
      <c r="FG761" s="11"/>
      <c r="GT761" s="11"/>
      <c r="IG761" s="11"/>
      <c r="JT761" s="11"/>
      <c r="LG761" s="11"/>
      <c r="MT761" s="11"/>
      <c r="OG761" s="11"/>
      <c r="PT761" s="11"/>
    </row>
    <row r="762" spans="3:436" ht="15.75" x14ac:dyDescent="0.25">
      <c r="C762" s="20" t="s">
        <v>584</v>
      </c>
      <c r="D762" s="21" t="s">
        <v>203</v>
      </c>
      <c r="H762" s="11"/>
      <c r="AU762" s="11"/>
      <c r="CH762" s="11"/>
      <c r="CI762" s="16"/>
      <c r="CJ762" s="16"/>
      <c r="CK762" s="16"/>
      <c r="CL762" s="16"/>
      <c r="CM762" s="16"/>
      <c r="CN762" s="16"/>
      <c r="CO762" s="16"/>
      <c r="CP762" s="16"/>
      <c r="CQ762" s="16"/>
      <c r="CR762" s="16"/>
      <c r="CS762" s="16"/>
      <c r="CT762" s="16"/>
      <c r="CU762" s="16"/>
      <c r="CV762" s="16"/>
      <c r="CW762" s="16"/>
      <c r="CX762" s="16"/>
      <c r="CY762" s="16"/>
      <c r="CZ762" s="16"/>
      <c r="DA762" s="16"/>
      <c r="DB762" s="16"/>
      <c r="DC762" s="16"/>
      <c r="DD762" s="16"/>
      <c r="DE762" s="17"/>
      <c r="DF762" s="17"/>
      <c r="DG762" s="16"/>
      <c r="DH762" s="16"/>
      <c r="DI762" s="17"/>
      <c r="DJ762" s="17"/>
      <c r="DK762" s="16"/>
      <c r="DL762" s="16"/>
      <c r="DM762" s="17"/>
      <c r="DN762" s="17"/>
      <c r="DO762" s="16"/>
      <c r="DP762" s="16"/>
      <c r="DQ762" s="17"/>
      <c r="DR762" s="17"/>
      <c r="DS762" s="16"/>
      <c r="DT762" s="16"/>
      <c r="DU762" s="17"/>
      <c r="DV762" s="17"/>
      <c r="DW762" s="16"/>
      <c r="DX762" s="16"/>
      <c r="DY762" s="17"/>
      <c r="DZ762" s="17"/>
      <c r="EA762" s="16"/>
      <c r="EB762" s="16"/>
      <c r="EC762" s="17"/>
      <c r="ED762" s="17"/>
      <c r="EE762" s="16"/>
      <c r="EF762" s="16"/>
      <c r="EG762" s="18">
        <v>5</v>
      </c>
      <c r="EH762" s="18">
        <v>7</v>
      </c>
      <c r="EI762" s="16"/>
      <c r="EJ762" s="16"/>
      <c r="EK762" s="17"/>
      <c r="EL762" s="17"/>
      <c r="EM762" s="16"/>
      <c r="EN762" s="16"/>
      <c r="EO762" s="17"/>
      <c r="EP762" s="17"/>
      <c r="EQ762" s="16"/>
      <c r="ER762" s="16"/>
      <c r="ES762" s="17"/>
      <c r="ET762" s="17"/>
      <c r="EU762" s="16"/>
      <c r="EV762" s="16"/>
      <c r="EW762" s="17"/>
      <c r="EX762" s="17"/>
      <c r="EY762" s="16"/>
      <c r="EZ762" s="16"/>
      <c r="FA762" s="17"/>
      <c r="FB762" s="17"/>
      <c r="FC762" s="16"/>
      <c r="FD762" s="16"/>
      <c r="FE762" s="17"/>
      <c r="FF762" s="17"/>
      <c r="FG762" s="11"/>
      <c r="GT762" s="11"/>
      <c r="IG762" s="11"/>
      <c r="JT762" s="11"/>
      <c r="LG762" s="11"/>
      <c r="MT762" s="11"/>
      <c r="OG762" s="11"/>
      <c r="PT762" s="11"/>
    </row>
    <row r="763" spans="3:436" ht="15.75" x14ac:dyDescent="0.25">
      <c r="C763" s="20" t="s">
        <v>580</v>
      </c>
      <c r="D763" s="21" t="s">
        <v>203</v>
      </c>
      <c r="H763" s="11"/>
      <c r="AU763" s="11"/>
      <c r="CH763" s="11"/>
      <c r="CI763" s="16"/>
      <c r="CJ763" s="16"/>
      <c r="CK763" s="16"/>
      <c r="CL763" s="16"/>
      <c r="CM763" s="16"/>
      <c r="CN763" s="16"/>
      <c r="CO763" s="16"/>
      <c r="CP763" s="16"/>
      <c r="CQ763" s="16"/>
      <c r="CR763" s="16"/>
      <c r="CS763" s="16"/>
      <c r="CT763" s="16"/>
      <c r="CU763" s="16"/>
      <c r="CV763" s="16"/>
      <c r="CW763" s="16"/>
      <c r="CX763" s="16"/>
      <c r="CY763" s="16"/>
      <c r="CZ763" s="16"/>
      <c r="DA763" s="16"/>
      <c r="DB763" s="16"/>
      <c r="DC763" s="16"/>
      <c r="DD763" s="16"/>
      <c r="DE763" s="17"/>
      <c r="DF763" s="17"/>
      <c r="DG763" s="16"/>
      <c r="DH763" s="16"/>
      <c r="DI763" s="17"/>
      <c r="DJ763" s="17"/>
      <c r="DK763" s="16"/>
      <c r="DL763" s="16"/>
      <c r="DM763" s="17"/>
      <c r="DN763" s="17"/>
      <c r="DO763" s="16"/>
      <c r="DP763" s="16"/>
      <c r="DQ763" s="17"/>
      <c r="DR763" s="17"/>
      <c r="DS763" s="16"/>
      <c r="DT763" s="16"/>
      <c r="DU763" s="17"/>
      <c r="DV763" s="17"/>
      <c r="DW763" s="16"/>
      <c r="DX763" s="16"/>
      <c r="DY763" s="17"/>
      <c r="DZ763" s="17"/>
      <c r="EA763" s="16"/>
      <c r="EB763" s="16"/>
      <c r="EC763" s="17"/>
      <c r="ED763" s="17"/>
      <c r="EE763" s="16"/>
      <c r="EF763" s="16"/>
      <c r="EG763" s="18">
        <v>1</v>
      </c>
      <c r="EH763" s="18">
        <v>2</v>
      </c>
      <c r="EI763" s="16"/>
      <c r="EJ763" s="16"/>
      <c r="EK763" s="17"/>
      <c r="EL763" s="17"/>
      <c r="EM763" s="16"/>
      <c r="EN763" s="16"/>
      <c r="EO763" s="17"/>
      <c r="EP763" s="17"/>
      <c r="EQ763" s="16"/>
      <c r="ER763" s="16"/>
      <c r="ES763" s="17"/>
      <c r="ET763" s="17"/>
      <c r="EU763" s="16"/>
      <c r="EV763" s="16"/>
      <c r="EW763" s="17"/>
      <c r="EX763" s="17"/>
      <c r="EY763" s="16"/>
      <c r="EZ763" s="16"/>
      <c r="FA763" s="17"/>
      <c r="FB763" s="17"/>
      <c r="FC763" s="16"/>
      <c r="FD763" s="16"/>
      <c r="FE763" s="17"/>
      <c r="FF763" s="17"/>
      <c r="FG763" s="11"/>
      <c r="GT763" s="11"/>
      <c r="IG763" s="11"/>
      <c r="JT763" s="11"/>
      <c r="LG763" s="11"/>
      <c r="MT763" s="11"/>
      <c r="OG763" s="11"/>
      <c r="PT763" s="11"/>
    </row>
    <row r="764" spans="3:436" ht="15.75" x14ac:dyDescent="0.25">
      <c r="C764" s="20" t="s">
        <v>562</v>
      </c>
      <c r="D764" s="21" t="s">
        <v>159</v>
      </c>
      <c r="H764" s="11"/>
      <c r="AU764" s="11"/>
      <c r="CH764" s="11"/>
      <c r="CI764" s="16"/>
      <c r="CJ764" s="16"/>
      <c r="CK764" s="16"/>
      <c r="CL764" s="16"/>
      <c r="CM764" s="16"/>
      <c r="CN764" s="16"/>
      <c r="CO764" s="16"/>
      <c r="CP764" s="16"/>
      <c r="CQ764" s="16"/>
      <c r="CR764" s="16"/>
      <c r="CS764" s="16"/>
      <c r="CT764" s="16"/>
      <c r="CU764" s="16"/>
      <c r="CV764" s="16"/>
      <c r="CW764" s="16"/>
      <c r="CX764" s="16"/>
      <c r="CY764" s="16"/>
      <c r="CZ764" s="16"/>
      <c r="DA764" s="16"/>
      <c r="DB764" s="16"/>
      <c r="DC764" s="16"/>
      <c r="DD764" s="16"/>
      <c r="DE764" s="17"/>
      <c r="DF764" s="17"/>
      <c r="DG764" s="16"/>
      <c r="DH764" s="16"/>
      <c r="DI764" s="17"/>
      <c r="DJ764" s="17"/>
      <c r="DK764" s="16"/>
      <c r="DL764" s="16"/>
      <c r="DM764" s="17"/>
      <c r="DN764" s="17"/>
      <c r="DO764" s="16"/>
      <c r="DP764" s="16"/>
      <c r="DQ764" s="17"/>
      <c r="DR764" s="17"/>
      <c r="DS764" s="16"/>
      <c r="DT764" s="16"/>
      <c r="DU764" s="17"/>
      <c r="DV764" s="17"/>
      <c r="DW764" s="16"/>
      <c r="DX764" s="16"/>
      <c r="DY764" s="17"/>
      <c r="DZ764" s="17"/>
      <c r="EA764" s="16"/>
      <c r="EB764" s="16"/>
      <c r="EC764" s="17"/>
      <c r="ED764" s="17"/>
      <c r="EE764" s="16"/>
      <c r="EF764" s="16"/>
      <c r="EG764" s="17"/>
      <c r="EH764" s="17"/>
      <c r="EI764" s="16"/>
      <c r="EJ764" s="16"/>
      <c r="EK764" s="17"/>
      <c r="EL764" s="17"/>
      <c r="EM764" s="16"/>
      <c r="EN764" s="16"/>
      <c r="EO764" s="17"/>
      <c r="EP764" s="17"/>
      <c r="EQ764" s="16"/>
      <c r="ER764" s="16"/>
      <c r="ES764" s="17"/>
      <c r="ET764" s="17"/>
      <c r="EU764" s="16"/>
      <c r="EV764" s="16"/>
      <c r="EW764" s="17"/>
      <c r="EX764" s="17"/>
      <c r="EY764" s="16"/>
      <c r="EZ764" s="16"/>
      <c r="FA764" s="17"/>
      <c r="FB764" s="17"/>
      <c r="FC764" s="16"/>
      <c r="FD764" s="16"/>
      <c r="FE764" s="17"/>
      <c r="FF764" s="17"/>
      <c r="FG764" s="11"/>
      <c r="GT764" s="11"/>
      <c r="IG764" s="11"/>
      <c r="JT764" s="11"/>
      <c r="LG764" s="11"/>
      <c r="MT764" s="11"/>
      <c r="OG764" s="11"/>
      <c r="PT764" s="11"/>
    </row>
    <row r="765" spans="3:436" ht="15.75" x14ac:dyDescent="0.25">
      <c r="C765" s="20" t="s">
        <v>563</v>
      </c>
      <c r="D765" s="21" t="s">
        <v>82</v>
      </c>
      <c r="H765" s="11"/>
      <c r="AU765" s="11"/>
      <c r="CH765" s="11"/>
      <c r="CI765" s="16"/>
      <c r="CJ765" s="16"/>
      <c r="CK765" s="16"/>
      <c r="CL765" s="16"/>
      <c r="CM765" s="16"/>
      <c r="CN765" s="16"/>
      <c r="CO765" s="16"/>
      <c r="CP765" s="16"/>
      <c r="CQ765" s="16"/>
      <c r="CR765" s="16"/>
      <c r="CS765" s="16"/>
      <c r="CT765" s="16"/>
      <c r="CU765" s="16"/>
      <c r="CV765" s="16"/>
      <c r="CW765" s="16"/>
      <c r="CX765" s="16"/>
      <c r="CY765" s="16"/>
      <c r="CZ765" s="16"/>
      <c r="DA765" s="16"/>
      <c r="DB765" s="16"/>
      <c r="DC765" s="16"/>
      <c r="DD765" s="16"/>
      <c r="DE765" s="17"/>
      <c r="DF765" s="17"/>
      <c r="DG765" s="16"/>
      <c r="DH765" s="16"/>
      <c r="DI765" s="17"/>
      <c r="DJ765" s="17"/>
      <c r="DK765" s="16"/>
      <c r="DL765" s="16"/>
      <c r="DM765" s="17"/>
      <c r="DN765" s="17"/>
      <c r="DO765" s="16"/>
      <c r="DP765" s="16"/>
      <c r="DQ765" s="17"/>
      <c r="DR765" s="17"/>
      <c r="DS765" s="16"/>
      <c r="DT765" s="16"/>
      <c r="DU765" s="17"/>
      <c r="DV765" s="17"/>
      <c r="DW765" s="16"/>
      <c r="DX765" s="16"/>
      <c r="DY765" s="17"/>
      <c r="DZ765" s="17"/>
      <c r="EA765" s="16"/>
      <c r="EB765" s="16"/>
      <c r="EC765" s="17"/>
      <c r="ED765" s="17"/>
      <c r="EE765" s="16"/>
      <c r="EF765" s="16"/>
      <c r="EG765" s="17"/>
      <c r="EH765" s="17"/>
      <c r="EI765" s="16"/>
      <c r="EJ765" s="16"/>
      <c r="EK765" s="17"/>
      <c r="EL765" s="17"/>
      <c r="EM765" s="16"/>
      <c r="EN765" s="16"/>
      <c r="EO765" s="17"/>
      <c r="EP765" s="17"/>
      <c r="EQ765" s="16"/>
      <c r="ER765" s="16"/>
      <c r="ES765" s="17"/>
      <c r="ET765" s="17"/>
      <c r="EU765" s="16"/>
      <c r="EV765" s="16"/>
      <c r="EW765" s="17"/>
      <c r="EX765" s="17"/>
      <c r="EY765" s="16"/>
      <c r="EZ765" s="16"/>
      <c r="FA765" s="17"/>
      <c r="FB765" s="17"/>
      <c r="FC765" s="16"/>
      <c r="FD765" s="16"/>
      <c r="FE765" s="17"/>
      <c r="FF765" s="17"/>
      <c r="FG765" s="11"/>
      <c r="GT765" s="11"/>
      <c r="IG765" s="11"/>
      <c r="JT765" s="11"/>
      <c r="LG765" s="11"/>
      <c r="MT765" s="11"/>
      <c r="OG765" s="11"/>
      <c r="PT765" s="11"/>
    </row>
    <row r="766" spans="3:436" ht="15.75" x14ac:dyDescent="0.25">
      <c r="C766" s="20" t="s">
        <v>581</v>
      </c>
      <c r="D766" s="21" t="s">
        <v>82</v>
      </c>
      <c r="H766" s="11"/>
      <c r="AU766" s="11"/>
      <c r="CH766" s="11"/>
      <c r="CI766" s="16"/>
      <c r="CJ766" s="16"/>
      <c r="CK766" s="16"/>
      <c r="CL766" s="16"/>
      <c r="CM766" s="16"/>
      <c r="CN766" s="16"/>
      <c r="CO766" s="16"/>
      <c r="CP766" s="16"/>
      <c r="CQ766" s="16"/>
      <c r="CR766" s="16"/>
      <c r="CS766" s="16"/>
      <c r="CT766" s="16"/>
      <c r="CU766" s="16"/>
      <c r="CV766" s="16"/>
      <c r="CW766" s="16"/>
      <c r="CX766" s="16"/>
      <c r="CY766" s="16"/>
      <c r="CZ766" s="16"/>
      <c r="DA766" s="16"/>
      <c r="DB766" s="16"/>
      <c r="DC766" s="16"/>
      <c r="DD766" s="16"/>
      <c r="DE766" s="17"/>
      <c r="DF766" s="17"/>
      <c r="DG766" s="16"/>
      <c r="DH766" s="16"/>
      <c r="DI766" s="17"/>
      <c r="DJ766" s="17"/>
      <c r="DK766" s="16"/>
      <c r="DL766" s="16"/>
      <c r="DM766" s="17"/>
      <c r="DN766" s="17"/>
      <c r="DO766" s="16"/>
      <c r="DP766" s="16"/>
      <c r="DQ766" s="17"/>
      <c r="DR766" s="17"/>
      <c r="DS766" s="16"/>
      <c r="DT766" s="16"/>
      <c r="DU766" s="17"/>
      <c r="DV766" s="17"/>
      <c r="DW766" s="16"/>
      <c r="DX766" s="16"/>
      <c r="DY766" s="17"/>
      <c r="DZ766" s="17"/>
      <c r="EA766" s="16"/>
      <c r="EB766" s="16"/>
      <c r="EC766" s="17"/>
      <c r="ED766" s="17"/>
      <c r="EE766" s="16"/>
      <c r="EF766" s="16"/>
      <c r="EG766" s="17"/>
      <c r="EH766" s="17"/>
      <c r="EI766" s="16"/>
      <c r="EJ766" s="16"/>
      <c r="EK766" s="17"/>
      <c r="EL766" s="17"/>
      <c r="EM766" s="16"/>
      <c r="EN766" s="16"/>
      <c r="EO766" s="17"/>
      <c r="EP766" s="17"/>
      <c r="EQ766" s="16"/>
      <c r="ER766" s="16"/>
      <c r="ES766" s="18">
        <v>5</v>
      </c>
      <c r="ET766" s="18">
        <v>10</v>
      </c>
      <c r="EU766" s="16"/>
      <c r="EV766" s="16"/>
      <c r="EW766" s="17"/>
      <c r="EX766" s="17"/>
      <c r="EY766" s="16"/>
      <c r="EZ766" s="16"/>
      <c r="FA766" s="17"/>
      <c r="FB766" s="17"/>
      <c r="FC766" s="16"/>
      <c r="FD766" s="16"/>
      <c r="FE766" s="17"/>
      <c r="FF766" s="17"/>
      <c r="FG766" s="11"/>
      <c r="GT766" s="11"/>
      <c r="IG766" s="11"/>
      <c r="JT766" s="11"/>
      <c r="LG766" s="11"/>
      <c r="MT766" s="11"/>
      <c r="OG766" s="11"/>
      <c r="PT766" s="11"/>
    </row>
    <row r="767" spans="3:436" ht="15.75" x14ac:dyDescent="0.25">
      <c r="C767" s="20" t="s">
        <v>410</v>
      </c>
      <c r="D767" s="21" t="s">
        <v>142</v>
      </c>
      <c r="H767" s="11"/>
      <c r="AU767" s="11"/>
      <c r="CH767" s="11"/>
      <c r="CI767" s="16"/>
      <c r="CJ767" s="16"/>
      <c r="CK767" s="16"/>
      <c r="CL767" s="16"/>
      <c r="CM767" s="16"/>
      <c r="CN767" s="16"/>
      <c r="CO767" s="16"/>
      <c r="CP767" s="16"/>
      <c r="CQ767" s="16"/>
      <c r="CR767" s="16"/>
      <c r="CS767" s="16"/>
      <c r="CT767" s="16"/>
      <c r="CU767" s="16"/>
      <c r="CV767" s="16"/>
      <c r="CW767" s="16"/>
      <c r="CX767" s="16"/>
      <c r="CY767" s="16"/>
      <c r="CZ767" s="16"/>
      <c r="DA767" s="16"/>
      <c r="DB767" s="16"/>
      <c r="DC767" s="16"/>
      <c r="DD767" s="16"/>
      <c r="DE767" s="17"/>
      <c r="DF767" s="17"/>
      <c r="DG767" s="16"/>
      <c r="DH767" s="16"/>
      <c r="DI767" s="17"/>
      <c r="DJ767" s="17"/>
      <c r="DK767" s="16"/>
      <c r="DL767" s="16"/>
      <c r="DM767" s="17"/>
      <c r="DN767" s="17"/>
      <c r="DO767" s="16"/>
      <c r="DP767" s="16"/>
      <c r="DQ767" s="17"/>
      <c r="DR767" s="17"/>
      <c r="DS767" s="16"/>
      <c r="DT767" s="16"/>
      <c r="DU767" s="17"/>
      <c r="DV767" s="17"/>
      <c r="DW767" s="16"/>
      <c r="DX767" s="16"/>
      <c r="DY767" s="17"/>
      <c r="DZ767" s="17"/>
      <c r="EA767" s="16"/>
      <c r="EB767" s="16"/>
      <c r="EC767" s="17"/>
      <c r="ED767" s="17"/>
      <c r="EE767" s="16"/>
      <c r="EF767" s="16"/>
      <c r="EG767" s="17"/>
      <c r="EH767" s="17"/>
      <c r="EI767" s="16"/>
      <c r="EJ767" s="16"/>
      <c r="EK767" s="17"/>
      <c r="EL767" s="17"/>
      <c r="EM767" s="16"/>
      <c r="EN767" s="16"/>
      <c r="EO767" s="17"/>
      <c r="EP767" s="17"/>
      <c r="EQ767" s="16"/>
      <c r="ER767" s="16"/>
      <c r="ES767" s="17"/>
      <c r="ET767" s="17"/>
      <c r="EU767" s="16"/>
      <c r="EV767" s="16"/>
      <c r="EW767" s="17"/>
      <c r="EX767" s="17"/>
      <c r="EY767" s="16"/>
      <c r="EZ767" s="16"/>
      <c r="FA767" s="17"/>
      <c r="FB767" s="17"/>
      <c r="FC767" s="16"/>
      <c r="FD767" s="16"/>
      <c r="FE767" s="17"/>
      <c r="FF767" s="17"/>
      <c r="FG767" s="11"/>
      <c r="GT767" s="11"/>
      <c r="IG767" s="11"/>
      <c r="JT767" s="11"/>
      <c r="LG767" s="11"/>
      <c r="MT767" s="11"/>
      <c r="OG767" s="11"/>
      <c r="PT767" s="11"/>
    </row>
    <row r="768" spans="3:436" ht="15.75" x14ac:dyDescent="0.25">
      <c r="C768" s="20" t="s">
        <v>572</v>
      </c>
      <c r="D768" s="21" t="s">
        <v>90</v>
      </c>
      <c r="H768" s="11"/>
      <c r="AU768" s="11"/>
      <c r="CH768" s="11"/>
      <c r="CI768" s="16"/>
      <c r="CJ768" s="16"/>
      <c r="CK768" s="16"/>
      <c r="CL768" s="16"/>
      <c r="CM768" s="16"/>
      <c r="CN768" s="16"/>
      <c r="CO768" s="16"/>
      <c r="CP768" s="16"/>
      <c r="CQ768" s="16"/>
      <c r="CR768" s="16"/>
      <c r="CS768" s="16"/>
      <c r="CT768" s="16"/>
      <c r="CU768" s="16"/>
      <c r="CV768" s="16"/>
      <c r="CW768" s="16"/>
      <c r="CX768" s="16"/>
      <c r="CY768" s="16"/>
      <c r="CZ768" s="16"/>
      <c r="DA768" s="16"/>
      <c r="DB768" s="16"/>
      <c r="DC768" s="16"/>
      <c r="DD768" s="16"/>
      <c r="DE768" s="17"/>
      <c r="DF768" s="17"/>
      <c r="DG768" s="16"/>
      <c r="DH768" s="16"/>
      <c r="DI768" s="17"/>
      <c r="DJ768" s="17"/>
      <c r="DK768" s="16"/>
      <c r="DL768" s="16"/>
      <c r="DM768" s="17"/>
      <c r="DN768" s="17"/>
      <c r="DO768" s="16"/>
      <c r="DP768" s="16"/>
      <c r="DQ768" s="17"/>
      <c r="DR768" s="17"/>
      <c r="DS768" s="16"/>
      <c r="DT768" s="16"/>
      <c r="DU768" s="17"/>
      <c r="DV768" s="17"/>
      <c r="DW768" s="16"/>
      <c r="DX768" s="16"/>
      <c r="DY768" s="17"/>
      <c r="DZ768" s="17"/>
      <c r="EA768" s="16"/>
      <c r="EB768" s="16"/>
      <c r="EC768" s="17"/>
      <c r="ED768" s="17"/>
      <c r="EE768" s="16"/>
      <c r="EF768" s="16"/>
      <c r="EG768" s="17"/>
      <c r="EH768" s="17"/>
      <c r="EI768" s="16"/>
      <c r="EJ768" s="16"/>
      <c r="EK768" s="17"/>
      <c r="EL768" s="17"/>
      <c r="EM768" s="16"/>
      <c r="EN768" s="16"/>
      <c r="EO768" s="17"/>
      <c r="EP768" s="17"/>
      <c r="EQ768" s="16"/>
      <c r="ER768" s="16"/>
      <c r="ES768" s="17"/>
      <c r="ET768" s="17"/>
      <c r="EU768" s="16"/>
      <c r="EV768" s="16"/>
      <c r="EW768" s="17"/>
      <c r="EX768" s="17"/>
      <c r="EY768" s="16"/>
      <c r="EZ768" s="16"/>
      <c r="FA768" s="17"/>
      <c r="FB768" s="17"/>
      <c r="FC768" s="16"/>
      <c r="FD768" s="16"/>
      <c r="FE768" s="17"/>
      <c r="FF768" s="17"/>
      <c r="FG768" s="11"/>
      <c r="GT768" s="11"/>
      <c r="IG768" s="11"/>
      <c r="JT768" s="11"/>
      <c r="LG768" s="11"/>
      <c r="MT768" s="11"/>
      <c r="OG768" s="11"/>
      <c r="PT768" s="11"/>
    </row>
    <row r="769" spans="3:436" ht="15.75" x14ac:dyDescent="0.25">
      <c r="C769" s="20" t="s">
        <v>559</v>
      </c>
      <c r="D769" s="21" t="s">
        <v>79</v>
      </c>
      <c r="H769" s="11"/>
      <c r="AU769" s="11"/>
      <c r="CH769" s="11"/>
      <c r="CI769" s="16"/>
      <c r="CJ769" s="16"/>
      <c r="CK769" s="16"/>
      <c r="CL769" s="16"/>
      <c r="CM769" s="16"/>
      <c r="CN769" s="16"/>
      <c r="CO769" s="16"/>
      <c r="CP769" s="16"/>
      <c r="CQ769" s="16"/>
      <c r="CR769" s="16"/>
      <c r="CS769" s="16"/>
      <c r="CT769" s="16"/>
      <c r="CU769" s="16"/>
      <c r="CV769" s="16"/>
      <c r="CW769" s="16"/>
      <c r="CX769" s="16"/>
      <c r="CY769" s="16"/>
      <c r="CZ769" s="16"/>
      <c r="DA769" s="16"/>
      <c r="DB769" s="16"/>
      <c r="DC769" s="16"/>
      <c r="DD769" s="16"/>
      <c r="DE769" s="17"/>
      <c r="DF769" s="17"/>
      <c r="DG769" s="16"/>
      <c r="DH769" s="16"/>
      <c r="DI769" s="17"/>
      <c r="DJ769" s="17"/>
      <c r="DK769" s="16"/>
      <c r="DL769" s="16"/>
      <c r="DM769" s="17"/>
      <c r="DN769" s="17"/>
      <c r="DO769" s="16"/>
      <c r="DP769" s="16"/>
      <c r="DQ769" s="17"/>
      <c r="DR769" s="17"/>
      <c r="DS769" s="16"/>
      <c r="DT769" s="16"/>
      <c r="DU769" s="17"/>
      <c r="DV769" s="17"/>
      <c r="DW769" s="16"/>
      <c r="DX769" s="16"/>
      <c r="DY769" s="17"/>
      <c r="DZ769" s="17"/>
      <c r="EA769" s="16"/>
      <c r="EB769" s="16"/>
      <c r="EC769" s="17"/>
      <c r="ED769" s="17"/>
      <c r="EE769" s="16"/>
      <c r="EF769" s="16"/>
      <c r="EG769" s="17"/>
      <c r="EH769" s="17"/>
      <c r="EI769" s="16"/>
      <c r="EJ769" s="16"/>
      <c r="EK769" s="17"/>
      <c r="EL769" s="17"/>
      <c r="EM769" s="16"/>
      <c r="EN769" s="16"/>
      <c r="EO769" s="17"/>
      <c r="EP769" s="17"/>
      <c r="EQ769" s="16"/>
      <c r="ER769" s="16"/>
      <c r="ES769" s="17"/>
      <c r="ET769" s="17"/>
      <c r="EU769" s="16"/>
      <c r="EV769" s="16"/>
      <c r="EW769" s="17"/>
      <c r="EX769" s="17"/>
      <c r="EY769" s="16"/>
      <c r="EZ769" s="16"/>
      <c r="FA769" s="17"/>
      <c r="FB769" s="17"/>
      <c r="FC769" s="16"/>
      <c r="FD769" s="16"/>
      <c r="FE769" s="17"/>
      <c r="FF769" s="17"/>
      <c r="FG769" s="11"/>
      <c r="GT769" s="11"/>
      <c r="IG769" s="11"/>
      <c r="JT769" s="11"/>
      <c r="LG769" s="11"/>
      <c r="MT769" s="11"/>
      <c r="OG769" s="11"/>
      <c r="PT769" s="11"/>
    </row>
    <row r="770" spans="3:436" ht="15.75" x14ac:dyDescent="0.25">
      <c r="C770" s="20" t="s">
        <v>404</v>
      </c>
      <c r="D770" s="21" t="s">
        <v>129</v>
      </c>
      <c r="H770" s="11"/>
      <c r="AU770" s="11"/>
      <c r="CH770" s="11"/>
      <c r="CI770" s="16"/>
      <c r="CJ770" s="16"/>
      <c r="CK770" s="16"/>
      <c r="CL770" s="16"/>
      <c r="CM770" s="16"/>
      <c r="CN770" s="16"/>
      <c r="CO770" s="16"/>
      <c r="CP770" s="16"/>
      <c r="CQ770" s="16"/>
      <c r="CR770" s="16"/>
      <c r="CS770" s="16"/>
      <c r="CT770" s="16"/>
      <c r="CU770" s="16"/>
      <c r="CV770" s="16"/>
      <c r="CW770" s="16"/>
      <c r="CX770" s="16"/>
      <c r="CY770" s="16"/>
      <c r="CZ770" s="16"/>
      <c r="DA770" s="16"/>
      <c r="DB770" s="16"/>
      <c r="DC770" s="16"/>
      <c r="DD770" s="16"/>
      <c r="DE770" s="17"/>
      <c r="DF770" s="17"/>
      <c r="DG770" s="16"/>
      <c r="DH770" s="16"/>
      <c r="DI770" s="17"/>
      <c r="DJ770" s="17"/>
      <c r="DK770" s="16"/>
      <c r="DL770" s="16"/>
      <c r="DM770" s="17"/>
      <c r="DN770" s="17"/>
      <c r="DO770" s="16"/>
      <c r="DP770" s="16"/>
      <c r="DQ770" s="17"/>
      <c r="DR770" s="17"/>
      <c r="DS770" s="16"/>
      <c r="DT770" s="16"/>
      <c r="DU770" s="17"/>
      <c r="DV770" s="17"/>
      <c r="DW770" s="16"/>
      <c r="DX770" s="16"/>
      <c r="DY770" s="17"/>
      <c r="DZ770" s="17"/>
      <c r="EA770" s="16"/>
      <c r="EB770" s="16"/>
      <c r="EC770" s="17"/>
      <c r="ED770" s="17"/>
      <c r="EE770" s="16"/>
      <c r="EF770" s="16"/>
      <c r="EG770" s="17"/>
      <c r="EH770" s="17"/>
      <c r="EI770" s="16"/>
      <c r="EJ770" s="16"/>
      <c r="EK770" s="17"/>
      <c r="EL770" s="17"/>
      <c r="EM770" s="16"/>
      <c r="EN770" s="16"/>
      <c r="EO770" s="17"/>
      <c r="EP770" s="17"/>
      <c r="EQ770" s="16"/>
      <c r="ER770" s="16"/>
      <c r="ES770" s="17"/>
      <c r="ET770" s="17"/>
      <c r="EU770" s="16"/>
      <c r="EV770" s="16"/>
      <c r="EW770" s="17"/>
      <c r="EX770" s="17"/>
      <c r="EY770" s="16"/>
      <c r="EZ770" s="16"/>
      <c r="FA770" s="17"/>
      <c r="FB770" s="17"/>
      <c r="FC770" s="16"/>
      <c r="FD770" s="16"/>
      <c r="FE770" s="17"/>
      <c r="FF770" s="17"/>
      <c r="FG770" s="11"/>
      <c r="GT770" s="11"/>
      <c r="IG770" s="11"/>
      <c r="JT770" s="11"/>
      <c r="LG770" s="11"/>
      <c r="MT770" s="11"/>
      <c r="OG770" s="11"/>
      <c r="PT770" s="11"/>
    </row>
    <row r="771" spans="3:436" ht="15.75" x14ac:dyDescent="0.25">
      <c r="C771" s="20" t="s">
        <v>405</v>
      </c>
      <c r="D771" s="21" t="s">
        <v>162</v>
      </c>
      <c r="H771" s="11"/>
      <c r="AU771" s="11"/>
      <c r="CH771" s="11"/>
      <c r="CI771" s="16"/>
      <c r="CJ771" s="16"/>
      <c r="CK771" s="16"/>
      <c r="CL771" s="16"/>
      <c r="CM771" s="16"/>
      <c r="CN771" s="16"/>
      <c r="CO771" s="16"/>
      <c r="CP771" s="16"/>
      <c r="CQ771" s="16"/>
      <c r="CR771" s="16"/>
      <c r="CS771" s="16"/>
      <c r="CT771" s="16"/>
      <c r="CU771" s="16"/>
      <c r="CV771" s="16"/>
      <c r="CW771" s="16"/>
      <c r="CX771" s="16"/>
      <c r="CY771" s="16"/>
      <c r="CZ771" s="16"/>
      <c r="DA771" s="16"/>
      <c r="DB771" s="16"/>
      <c r="DC771" s="16"/>
      <c r="DD771" s="16"/>
      <c r="DE771" s="17"/>
      <c r="DF771" s="17"/>
      <c r="DG771" s="16"/>
      <c r="DH771" s="16"/>
      <c r="DI771" s="17"/>
      <c r="DJ771" s="17"/>
      <c r="DK771" s="16"/>
      <c r="DL771" s="16"/>
      <c r="DM771" s="17"/>
      <c r="DN771" s="17"/>
      <c r="DO771" s="16"/>
      <c r="DP771" s="16"/>
      <c r="DQ771" s="17"/>
      <c r="DR771" s="17"/>
      <c r="DS771" s="16"/>
      <c r="DT771" s="16"/>
      <c r="DU771" s="17"/>
      <c r="DV771" s="17"/>
      <c r="DW771" s="16"/>
      <c r="DX771" s="16"/>
      <c r="DY771" s="17"/>
      <c r="DZ771" s="17"/>
      <c r="EA771" s="16"/>
      <c r="EB771" s="16"/>
      <c r="EC771" s="17"/>
      <c r="ED771" s="17"/>
      <c r="EE771" s="16"/>
      <c r="EF771" s="16"/>
      <c r="EG771" s="17"/>
      <c r="EH771" s="17"/>
      <c r="EI771" s="16"/>
      <c r="EJ771" s="16"/>
      <c r="EK771" s="17"/>
      <c r="EL771" s="17"/>
      <c r="EM771" s="16"/>
      <c r="EN771" s="16"/>
      <c r="EO771" s="17"/>
      <c r="EP771" s="17"/>
      <c r="EQ771" s="16"/>
      <c r="ER771" s="16"/>
      <c r="ES771" s="17"/>
      <c r="ET771" s="17"/>
      <c r="EU771" s="16"/>
      <c r="EV771" s="16"/>
      <c r="EW771" s="17"/>
      <c r="EX771" s="17"/>
      <c r="EY771" s="16"/>
      <c r="EZ771" s="16"/>
      <c r="FA771" s="17"/>
      <c r="FB771" s="17"/>
      <c r="FC771" s="16"/>
      <c r="FD771" s="16"/>
      <c r="FE771" s="17"/>
      <c r="FF771" s="17"/>
      <c r="FG771" s="11"/>
      <c r="GT771" s="11"/>
      <c r="IG771" s="11"/>
      <c r="JT771" s="11"/>
      <c r="LG771" s="11"/>
      <c r="MT771" s="11"/>
      <c r="OG771" s="11"/>
      <c r="PT771" s="11"/>
    </row>
    <row r="772" spans="3:436" ht="15.75" x14ac:dyDescent="0.25">
      <c r="C772" s="20" t="s">
        <v>560</v>
      </c>
      <c r="D772" s="21" t="s">
        <v>203</v>
      </c>
      <c r="H772" s="11"/>
      <c r="AU772" s="11"/>
      <c r="CH772" s="11"/>
      <c r="CI772" s="16"/>
      <c r="CJ772" s="16"/>
      <c r="CK772" s="16"/>
      <c r="CL772" s="16"/>
      <c r="CM772" s="16"/>
      <c r="CN772" s="16"/>
      <c r="CO772" s="16"/>
      <c r="CP772" s="16"/>
      <c r="CQ772" s="16"/>
      <c r="CR772" s="16"/>
      <c r="CS772" s="16"/>
      <c r="CT772" s="16"/>
      <c r="CU772" s="16"/>
      <c r="CV772" s="16"/>
      <c r="CW772" s="16"/>
      <c r="CX772" s="16"/>
      <c r="CY772" s="16"/>
      <c r="CZ772" s="16"/>
      <c r="DA772" s="16"/>
      <c r="DB772" s="16"/>
      <c r="DC772" s="16"/>
      <c r="DD772" s="16"/>
      <c r="DE772" s="17"/>
      <c r="DF772" s="17"/>
      <c r="DG772" s="16"/>
      <c r="DH772" s="16"/>
      <c r="DI772" s="17"/>
      <c r="DJ772" s="17"/>
      <c r="DK772" s="16"/>
      <c r="DL772" s="16"/>
      <c r="DM772" s="17"/>
      <c r="DN772" s="17"/>
      <c r="DO772" s="16"/>
      <c r="DP772" s="16"/>
      <c r="DQ772" s="17"/>
      <c r="DR772" s="17"/>
      <c r="DS772" s="16"/>
      <c r="DT772" s="16"/>
      <c r="DU772" s="17"/>
      <c r="DV772" s="17"/>
      <c r="DW772" s="16"/>
      <c r="DX772" s="16"/>
      <c r="DY772" s="17"/>
      <c r="DZ772" s="17"/>
      <c r="EA772" s="16"/>
      <c r="EB772" s="16"/>
      <c r="EC772" s="17"/>
      <c r="ED772" s="17"/>
      <c r="EE772" s="16"/>
      <c r="EF772" s="16"/>
      <c r="EG772" s="18">
        <v>2</v>
      </c>
      <c r="EH772" s="18">
        <v>2</v>
      </c>
      <c r="EI772" s="16"/>
      <c r="EJ772" s="16"/>
      <c r="EK772" s="17"/>
      <c r="EL772" s="17"/>
      <c r="EM772" s="16"/>
      <c r="EN772" s="16"/>
      <c r="EO772" s="17"/>
      <c r="EP772" s="17"/>
      <c r="EQ772" s="16"/>
      <c r="ER772" s="16"/>
      <c r="ES772" s="17"/>
      <c r="ET772" s="17"/>
      <c r="EU772" s="16"/>
      <c r="EV772" s="16"/>
      <c r="EW772" s="17"/>
      <c r="EX772" s="17"/>
      <c r="EY772" s="16"/>
      <c r="EZ772" s="16"/>
      <c r="FA772" s="17"/>
      <c r="FB772" s="17"/>
      <c r="FC772" s="16"/>
      <c r="FD772" s="16"/>
      <c r="FE772" s="17"/>
      <c r="FF772" s="17"/>
      <c r="FG772" s="11"/>
      <c r="GT772" s="11"/>
      <c r="IG772" s="11"/>
      <c r="JT772" s="11"/>
      <c r="LG772" s="11"/>
      <c r="MT772" s="11"/>
      <c r="OG772" s="11"/>
      <c r="PT772" s="11"/>
    </row>
    <row r="773" spans="3:436" ht="15.75" x14ac:dyDescent="0.25">
      <c r="C773" s="20" t="s">
        <v>561</v>
      </c>
      <c r="D773" s="21" t="s">
        <v>203</v>
      </c>
      <c r="H773" s="11"/>
      <c r="AU773" s="11"/>
      <c r="CH773" s="11"/>
      <c r="CI773" s="16"/>
      <c r="CJ773" s="16"/>
      <c r="CK773" s="16"/>
      <c r="CL773" s="16"/>
      <c r="CM773" s="16"/>
      <c r="CN773" s="16"/>
      <c r="CO773" s="16"/>
      <c r="CP773" s="16"/>
      <c r="CQ773" s="16"/>
      <c r="CR773" s="16"/>
      <c r="CS773" s="16"/>
      <c r="CT773" s="16"/>
      <c r="CU773" s="16"/>
      <c r="CV773" s="16"/>
      <c r="CW773" s="16"/>
      <c r="CX773" s="16"/>
      <c r="CY773" s="16"/>
      <c r="CZ773" s="16"/>
      <c r="DA773" s="16"/>
      <c r="DB773" s="16"/>
      <c r="DC773" s="16"/>
      <c r="DD773" s="16"/>
      <c r="DE773" s="17"/>
      <c r="DF773" s="17"/>
      <c r="DG773" s="16"/>
      <c r="DH773" s="16"/>
      <c r="DI773" s="17"/>
      <c r="DJ773" s="17"/>
      <c r="DK773" s="16"/>
      <c r="DL773" s="16"/>
      <c r="DM773" s="17"/>
      <c r="DN773" s="17"/>
      <c r="DO773" s="16"/>
      <c r="DP773" s="16"/>
      <c r="DQ773" s="17"/>
      <c r="DR773" s="17"/>
      <c r="DS773" s="16"/>
      <c r="DT773" s="16"/>
      <c r="DU773" s="17"/>
      <c r="DV773" s="17"/>
      <c r="DW773" s="16"/>
      <c r="DX773" s="16"/>
      <c r="DY773" s="17"/>
      <c r="DZ773" s="17"/>
      <c r="EA773" s="16"/>
      <c r="EB773" s="16"/>
      <c r="EC773" s="17"/>
      <c r="ED773" s="17"/>
      <c r="EE773" s="16"/>
      <c r="EF773" s="16"/>
      <c r="EG773" s="17"/>
      <c r="EH773" s="17"/>
      <c r="EI773" s="16"/>
      <c r="EJ773" s="16"/>
      <c r="EK773" s="17"/>
      <c r="EL773" s="17"/>
      <c r="EM773" s="16"/>
      <c r="EN773" s="16"/>
      <c r="EO773" s="17"/>
      <c r="EP773" s="17"/>
      <c r="EQ773" s="16"/>
      <c r="ER773" s="16"/>
      <c r="ES773" s="17"/>
      <c r="ET773" s="17"/>
      <c r="EU773" s="16"/>
      <c r="EV773" s="16"/>
      <c r="EW773" s="17"/>
      <c r="EX773" s="17"/>
      <c r="EY773" s="16"/>
      <c r="EZ773" s="16"/>
      <c r="FA773" s="17"/>
      <c r="FB773" s="17"/>
      <c r="FC773" s="16"/>
      <c r="FD773" s="16"/>
      <c r="FE773" s="17"/>
      <c r="FF773" s="17"/>
      <c r="FG773" s="11"/>
      <c r="GT773" s="11"/>
      <c r="IG773" s="11"/>
      <c r="JT773" s="11"/>
      <c r="LG773" s="11"/>
      <c r="MT773" s="11"/>
      <c r="OG773" s="11"/>
      <c r="PT773" s="11"/>
    </row>
    <row r="774" spans="3:436" ht="15.75" x14ac:dyDescent="0.25">
      <c r="C774" s="20" t="s">
        <v>579</v>
      </c>
      <c r="D774" s="21" t="s">
        <v>203</v>
      </c>
      <c r="H774" s="11"/>
      <c r="AU774" s="11"/>
      <c r="CH774" s="11"/>
      <c r="CI774" s="16"/>
      <c r="CJ774" s="16"/>
      <c r="CK774" s="16"/>
      <c r="CL774" s="16"/>
      <c r="CM774" s="16"/>
      <c r="CN774" s="16"/>
      <c r="CO774" s="16"/>
      <c r="CP774" s="16"/>
      <c r="CQ774" s="16"/>
      <c r="CR774" s="16"/>
      <c r="CS774" s="16"/>
      <c r="CT774" s="16"/>
      <c r="CU774" s="16"/>
      <c r="CV774" s="16"/>
      <c r="CW774" s="16"/>
      <c r="CX774" s="16"/>
      <c r="CY774" s="16"/>
      <c r="CZ774" s="16"/>
      <c r="DA774" s="16"/>
      <c r="DB774" s="16"/>
      <c r="DC774" s="16"/>
      <c r="DD774" s="16"/>
      <c r="DE774" s="17"/>
      <c r="DF774" s="17"/>
      <c r="DG774" s="16"/>
      <c r="DH774" s="16"/>
      <c r="DI774" s="17"/>
      <c r="DJ774" s="17"/>
      <c r="DK774" s="16"/>
      <c r="DL774" s="16"/>
      <c r="DM774" s="17"/>
      <c r="DN774" s="17"/>
      <c r="DO774" s="16"/>
      <c r="DP774" s="16"/>
      <c r="DQ774" s="17"/>
      <c r="DR774" s="17"/>
      <c r="DS774" s="16"/>
      <c r="DT774" s="16"/>
      <c r="DU774" s="17"/>
      <c r="DV774" s="17"/>
      <c r="DW774" s="16"/>
      <c r="DX774" s="16"/>
      <c r="DY774" s="17"/>
      <c r="DZ774" s="17"/>
      <c r="EA774" s="16"/>
      <c r="EB774" s="16"/>
      <c r="EC774" s="17"/>
      <c r="ED774" s="17"/>
      <c r="EE774" s="16"/>
      <c r="EF774" s="16"/>
      <c r="EG774" s="18">
        <v>2</v>
      </c>
      <c r="EH774" s="18">
        <v>2</v>
      </c>
      <c r="EI774" s="16"/>
      <c r="EJ774" s="16"/>
      <c r="EK774" s="17"/>
      <c r="EL774" s="17"/>
      <c r="EM774" s="16"/>
      <c r="EN774" s="16"/>
      <c r="EO774" s="17"/>
      <c r="EP774" s="17"/>
      <c r="EQ774" s="16"/>
      <c r="ER774" s="16"/>
      <c r="ES774" s="17"/>
      <c r="ET774" s="17"/>
      <c r="EU774" s="16"/>
      <c r="EV774" s="16"/>
      <c r="EW774" s="17"/>
      <c r="EX774" s="17"/>
      <c r="EY774" s="16"/>
      <c r="EZ774" s="16"/>
      <c r="FA774" s="17"/>
      <c r="FB774" s="17"/>
      <c r="FC774" s="16"/>
      <c r="FD774" s="16"/>
      <c r="FE774" s="17"/>
      <c r="FF774" s="17"/>
      <c r="FG774" s="11"/>
      <c r="GT774" s="11"/>
      <c r="IG774" s="11"/>
      <c r="JT774" s="11"/>
      <c r="LG774" s="11"/>
      <c r="MT774" s="11"/>
      <c r="OG774" s="11"/>
      <c r="PT774" s="11"/>
    </row>
    <row r="775" spans="3:436" ht="15.75" x14ac:dyDescent="0.25">
      <c r="C775" s="20" t="s">
        <v>562</v>
      </c>
      <c r="D775" s="21" t="s">
        <v>159</v>
      </c>
      <c r="H775" s="11"/>
      <c r="AU775" s="11"/>
      <c r="CH775" s="11"/>
      <c r="CI775" s="16"/>
      <c r="CJ775" s="16"/>
      <c r="CK775" s="16"/>
      <c r="CL775" s="16"/>
      <c r="CM775" s="16"/>
      <c r="CN775" s="16"/>
      <c r="CO775" s="16"/>
      <c r="CP775" s="16"/>
      <c r="CQ775" s="16"/>
      <c r="CR775" s="16"/>
      <c r="CS775" s="16"/>
      <c r="CT775" s="16"/>
      <c r="CU775" s="16"/>
      <c r="CV775" s="16"/>
      <c r="CW775" s="16"/>
      <c r="CX775" s="16"/>
      <c r="CY775" s="16"/>
      <c r="CZ775" s="16"/>
      <c r="DA775" s="16"/>
      <c r="DB775" s="16"/>
      <c r="DC775" s="16"/>
      <c r="DD775" s="16"/>
      <c r="DE775" s="17"/>
      <c r="DF775" s="17"/>
      <c r="DG775" s="16"/>
      <c r="DH775" s="16"/>
      <c r="DI775" s="17"/>
      <c r="DJ775" s="17"/>
      <c r="DK775" s="16"/>
      <c r="DL775" s="16"/>
      <c r="DM775" s="17"/>
      <c r="DN775" s="17"/>
      <c r="DO775" s="16"/>
      <c r="DP775" s="16"/>
      <c r="DQ775" s="17"/>
      <c r="DR775" s="17"/>
      <c r="DS775" s="16"/>
      <c r="DT775" s="16"/>
      <c r="DU775" s="17"/>
      <c r="DV775" s="17"/>
      <c r="DW775" s="16"/>
      <c r="DX775" s="16"/>
      <c r="DY775" s="17"/>
      <c r="DZ775" s="17"/>
      <c r="EA775" s="16"/>
      <c r="EB775" s="16"/>
      <c r="EC775" s="17"/>
      <c r="ED775" s="17"/>
      <c r="EE775" s="16"/>
      <c r="EF775" s="16"/>
      <c r="EG775" s="17"/>
      <c r="EH775" s="17"/>
      <c r="EI775" s="16"/>
      <c r="EJ775" s="16"/>
      <c r="EK775" s="17"/>
      <c r="EL775" s="17"/>
      <c r="EM775" s="16"/>
      <c r="EN775" s="16"/>
      <c r="EO775" s="17"/>
      <c r="EP775" s="17"/>
      <c r="EQ775" s="16"/>
      <c r="ER775" s="16"/>
      <c r="ES775" s="17"/>
      <c r="ET775" s="17"/>
      <c r="EU775" s="16"/>
      <c r="EV775" s="16"/>
      <c r="EW775" s="17"/>
      <c r="EX775" s="17"/>
      <c r="EY775" s="16"/>
      <c r="EZ775" s="16"/>
      <c r="FA775" s="17"/>
      <c r="FB775" s="17"/>
      <c r="FC775" s="16"/>
      <c r="FD775" s="16"/>
      <c r="FE775" s="17"/>
      <c r="FF775" s="17"/>
      <c r="FG775" s="11"/>
      <c r="GT775" s="11"/>
      <c r="IG775" s="11"/>
      <c r="JT775" s="11"/>
      <c r="LG775" s="11"/>
      <c r="MT775" s="11"/>
      <c r="OG775" s="11"/>
      <c r="PT775" s="11"/>
    </row>
    <row r="776" spans="3:436" ht="15.75" x14ac:dyDescent="0.25">
      <c r="C776" s="20" t="s">
        <v>563</v>
      </c>
      <c r="D776" s="21" t="s">
        <v>82</v>
      </c>
      <c r="H776" s="11"/>
      <c r="AU776" s="11"/>
      <c r="CH776" s="11"/>
      <c r="CI776" s="16"/>
      <c r="CJ776" s="16"/>
      <c r="CK776" s="16"/>
      <c r="CL776" s="16"/>
      <c r="CM776" s="16"/>
      <c r="CN776" s="16"/>
      <c r="CO776" s="16"/>
      <c r="CP776" s="16"/>
      <c r="CQ776" s="16"/>
      <c r="CR776" s="16"/>
      <c r="CS776" s="16"/>
      <c r="CT776" s="16"/>
      <c r="CU776" s="16"/>
      <c r="CV776" s="16"/>
      <c r="CW776" s="16"/>
      <c r="CX776" s="16"/>
      <c r="CY776" s="16"/>
      <c r="CZ776" s="16"/>
      <c r="DA776" s="16"/>
      <c r="DB776" s="16"/>
      <c r="DC776" s="16"/>
      <c r="DD776" s="16"/>
      <c r="DE776" s="17"/>
      <c r="DF776" s="17"/>
      <c r="DG776" s="16"/>
      <c r="DH776" s="16"/>
      <c r="DI776" s="17"/>
      <c r="DJ776" s="17"/>
      <c r="DK776" s="16"/>
      <c r="DL776" s="16"/>
      <c r="DM776" s="17"/>
      <c r="DN776" s="17"/>
      <c r="DO776" s="16"/>
      <c r="DP776" s="16"/>
      <c r="DQ776" s="17"/>
      <c r="DR776" s="17"/>
      <c r="DS776" s="16"/>
      <c r="DT776" s="16"/>
      <c r="DU776" s="17"/>
      <c r="DV776" s="17"/>
      <c r="DW776" s="16"/>
      <c r="DX776" s="16"/>
      <c r="DY776" s="17"/>
      <c r="DZ776" s="17"/>
      <c r="EA776" s="16"/>
      <c r="EB776" s="16"/>
      <c r="EC776" s="17"/>
      <c r="ED776" s="17"/>
      <c r="EE776" s="16"/>
      <c r="EF776" s="16"/>
      <c r="EG776" s="17"/>
      <c r="EH776" s="17"/>
      <c r="EI776" s="16"/>
      <c r="EJ776" s="16"/>
      <c r="EK776" s="17"/>
      <c r="EL776" s="17"/>
      <c r="EM776" s="16"/>
      <c r="EN776" s="16"/>
      <c r="EO776" s="17"/>
      <c r="EP776" s="17"/>
      <c r="EQ776" s="16"/>
      <c r="ER776" s="16"/>
      <c r="ES776" s="17"/>
      <c r="ET776" s="17"/>
      <c r="EU776" s="16"/>
      <c r="EV776" s="16"/>
      <c r="EW776" s="17"/>
      <c r="EX776" s="17"/>
      <c r="EY776" s="16"/>
      <c r="EZ776" s="16"/>
      <c r="FA776" s="17"/>
      <c r="FB776" s="17"/>
      <c r="FC776" s="16"/>
      <c r="FD776" s="16"/>
      <c r="FE776" s="17"/>
      <c r="FF776" s="17"/>
      <c r="FG776" s="11"/>
      <c r="GT776" s="11"/>
      <c r="IG776" s="11"/>
      <c r="JT776" s="11"/>
      <c r="LG776" s="11"/>
      <c r="MT776" s="11"/>
      <c r="OG776" s="11"/>
      <c r="PT776" s="11"/>
    </row>
    <row r="777" spans="3:436" ht="15.75" x14ac:dyDescent="0.25">
      <c r="C777" s="20" t="s">
        <v>581</v>
      </c>
      <c r="D777" s="21" t="s">
        <v>82</v>
      </c>
      <c r="H777" s="11"/>
      <c r="AU777" s="11"/>
      <c r="CH777" s="11"/>
      <c r="CI777" s="16"/>
      <c r="CJ777" s="16"/>
      <c r="CK777" s="16"/>
      <c r="CL777" s="16"/>
      <c r="CM777" s="16"/>
      <c r="CN777" s="16"/>
      <c r="CO777" s="16"/>
      <c r="CP777" s="16"/>
      <c r="CQ777" s="16"/>
      <c r="CR777" s="16"/>
      <c r="CS777" s="16"/>
      <c r="CT777" s="16"/>
      <c r="CU777" s="16"/>
      <c r="CV777" s="16"/>
      <c r="CW777" s="16"/>
      <c r="CX777" s="16"/>
      <c r="CY777" s="16"/>
      <c r="CZ777" s="16"/>
      <c r="DA777" s="16"/>
      <c r="DB777" s="16"/>
      <c r="DC777" s="16"/>
      <c r="DD777" s="16"/>
      <c r="DE777" s="17"/>
      <c r="DF777" s="17"/>
      <c r="DG777" s="16"/>
      <c r="DH777" s="16"/>
      <c r="DI777" s="17"/>
      <c r="DJ777" s="17"/>
      <c r="DK777" s="16"/>
      <c r="DL777" s="16"/>
      <c r="DM777" s="17"/>
      <c r="DN777" s="17"/>
      <c r="DO777" s="16"/>
      <c r="DP777" s="16"/>
      <c r="DQ777" s="17"/>
      <c r="DR777" s="17"/>
      <c r="DS777" s="16"/>
      <c r="DT777" s="16"/>
      <c r="DU777" s="17"/>
      <c r="DV777" s="17"/>
      <c r="DW777" s="16"/>
      <c r="DX777" s="16"/>
      <c r="DY777" s="17"/>
      <c r="DZ777" s="17"/>
      <c r="EA777" s="16"/>
      <c r="EB777" s="16"/>
      <c r="EC777" s="17"/>
      <c r="ED777" s="17"/>
      <c r="EE777" s="16"/>
      <c r="EF777" s="16"/>
      <c r="EG777" s="17"/>
      <c r="EH777" s="17"/>
      <c r="EI777" s="16"/>
      <c r="EJ777" s="16"/>
      <c r="EK777" s="17"/>
      <c r="EL777" s="17"/>
      <c r="EM777" s="16"/>
      <c r="EN777" s="16"/>
      <c r="EO777" s="17"/>
      <c r="EP777" s="17"/>
      <c r="EQ777" s="16"/>
      <c r="ER777" s="16"/>
      <c r="ES777" s="18">
        <v>5</v>
      </c>
      <c r="ET777" s="18">
        <v>10</v>
      </c>
      <c r="EU777" s="16"/>
      <c r="EV777" s="16"/>
      <c r="EW777" s="17"/>
      <c r="EX777" s="17"/>
      <c r="EY777" s="16"/>
      <c r="EZ777" s="16"/>
      <c r="FA777" s="17"/>
      <c r="FB777" s="17"/>
      <c r="FC777" s="16"/>
      <c r="FD777" s="16"/>
      <c r="FE777" s="17"/>
      <c r="FF777" s="17"/>
      <c r="FG777" s="11"/>
      <c r="GT777" s="11"/>
      <c r="IG777" s="11"/>
      <c r="JT777" s="11"/>
      <c r="LG777" s="11"/>
      <c r="MT777" s="11"/>
      <c r="OG777" s="11"/>
      <c r="PT777" s="11"/>
    </row>
    <row r="778" spans="3:436" ht="15.75" x14ac:dyDescent="0.25">
      <c r="C778" s="20" t="s">
        <v>410</v>
      </c>
      <c r="D778" s="21" t="s">
        <v>142</v>
      </c>
      <c r="H778" s="11"/>
      <c r="AU778" s="11"/>
      <c r="CH778" s="11"/>
      <c r="CI778" s="16"/>
      <c r="CJ778" s="16"/>
      <c r="CK778" s="16"/>
      <c r="CL778" s="16"/>
      <c r="CM778" s="16"/>
      <c r="CN778" s="16"/>
      <c r="CO778" s="16"/>
      <c r="CP778" s="16"/>
      <c r="CQ778" s="16"/>
      <c r="CR778" s="16"/>
      <c r="CS778" s="16"/>
      <c r="CT778" s="16"/>
      <c r="CU778" s="16"/>
      <c r="CV778" s="16"/>
      <c r="CW778" s="16"/>
      <c r="CX778" s="16"/>
      <c r="CY778" s="16"/>
      <c r="CZ778" s="16"/>
      <c r="DA778" s="16"/>
      <c r="DB778" s="16"/>
      <c r="DC778" s="16"/>
      <c r="DD778" s="16"/>
      <c r="DE778" s="17"/>
      <c r="DF778" s="17"/>
      <c r="DG778" s="16"/>
      <c r="DH778" s="16"/>
      <c r="DI778" s="17"/>
      <c r="DJ778" s="17"/>
      <c r="DK778" s="16"/>
      <c r="DL778" s="16"/>
      <c r="DM778" s="17"/>
      <c r="DN778" s="17"/>
      <c r="DO778" s="16"/>
      <c r="DP778" s="16"/>
      <c r="DQ778" s="17"/>
      <c r="DR778" s="17"/>
      <c r="DS778" s="16"/>
      <c r="DT778" s="16"/>
      <c r="DU778" s="17"/>
      <c r="DV778" s="17"/>
      <c r="DW778" s="16"/>
      <c r="DX778" s="16"/>
      <c r="DY778" s="17"/>
      <c r="DZ778" s="17"/>
      <c r="EA778" s="16"/>
      <c r="EB778" s="16"/>
      <c r="EC778" s="17"/>
      <c r="ED778" s="17"/>
      <c r="EE778" s="16"/>
      <c r="EF778" s="16"/>
      <c r="EG778" s="17"/>
      <c r="EH778" s="17"/>
      <c r="EI778" s="16"/>
      <c r="EJ778" s="16"/>
      <c r="EK778" s="17"/>
      <c r="EL778" s="17"/>
      <c r="EM778" s="16"/>
      <c r="EN778" s="16"/>
      <c r="EO778" s="17"/>
      <c r="EP778" s="17"/>
      <c r="EQ778" s="16"/>
      <c r="ER778" s="16"/>
      <c r="ES778" s="17"/>
      <c r="ET778" s="17"/>
      <c r="EU778" s="16"/>
      <c r="EV778" s="16"/>
      <c r="EW778" s="17"/>
      <c r="EX778" s="17"/>
      <c r="EY778" s="16"/>
      <c r="EZ778" s="16"/>
      <c r="FA778" s="17"/>
      <c r="FB778" s="17"/>
      <c r="FC778" s="16"/>
      <c r="FD778" s="16"/>
      <c r="FE778" s="17"/>
      <c r="FF778" s="17"/>
      <c r="FG778" s="11"/>
      <c r="GT778" s="11"/>
      <c r="IG778" s="11"/>
      <c r="JT778" s="11"/>
      <c r="LG778" s="11"/>
      <c r="MT778" s="11"/>
      <c r="OG778" s="11"/>
      <c r="PT778" s="11"/>
    </row>
    <row r="779" spans="3:436" ht="15.75" x14ac:dyDescent="0.25">
      <c r="C779" s="20" t="s">
        <v>574</v>
      </c>
      <c r="D779" s="21" t="s">
        <v>90</v>
      </c>
      <c r="H779" s="11"/>
      <c r="AU779" s="11"/>
      <c r="CH779" s="11"/>
      <c r="CI779" s="16"/>
      <c r="CJ779" s="16"/>
      <c r="CK779" s="16"/>
      <c r="CL779" s="16"/>
      <c r="CM779" s="16"/>
      <c r="CN779" s="16"/>
      <c r="CO779" s="16"/>
      <c r="CP779" s="16"/>
      <c r="CQ779" s="16"/>
      <c r="CR779" s="16"/>
      <c r="CS779" s="16"/>
      <c r="CT779" s="16"/>
      <c r="CU779" s="16"/>
      <c r="CV779" s="16"/>
      <c r="CW779" s="16"/>
      <c r="CX779" s="16"/>
      <c r="CY779" s="16"/>
      <c r="CZ779" s="16"/>
      <c r="DA779" s="16"/>
      <c r="DB779" s="16"/>
      <c r="DC779" s="16"/>
      <c r="DD779" s="16"/>
      <c r="DE779" s="17"/>
      <c r="DF779" s="17"/>
      <c r="DG779" s="16"/>
      <c r="DH779" s="16"/>
      <c r="DI779" s="17"/>
      <c r="DJ779" s="17"/>
      <c r="DK779" s="16"/>
      <c r="DL779" s="16"/>
      <c r="DM779" s="17"/>
      <c r="DN779" s="17"/>
      <c r="DO779" s="16"/>
      <c r="DP779" s="16"/>
      <c r="DQ779" s="17"/>
      <c r="DR779" s="17"/>
      <c r="DS779" s="16"/>
      <c r="DT779" s="16"/>
      <c r="DU779" s="17"/>
      <c r="DV779" s="17"/>
      <c r="DW779" s="16"/>
      <c r="DX779" s="16"/>
      <c r="DY779" s="17"/>
      <c r="DZ779" s="17"/>
      <c r="EA779" s="16"/>
      <c r="EB779" s="16"/>
      <c r="EC779" s="17"/>
      <c r="ED779" s="17"/>
      <c r="EE779" s="16"/>
      <c r="EF779" s="16"/>
      <c r="EG779" s="17"/>
      <c r="EH779" s="17"/>
      <c r="EI779" s="16"/>
      <c r="EJ779" s="16"/>
      <c r="EK779" s="17"/>
      <c r="EL779" s="17"/>
      <c r="EM779" s="16"/>
      <c r="EN779" s="16"/>
      <c r="EO779" s="17"/>
      <c r="EP779" s="17"/>
      <c r="EQ779" s="16"/>
      <c r="ER779" s="16"/>
      <c r="ES779" s="17"/>
      <c r="ET779" s="17"/>
      <c r="EU779" s="16"/>
      <c r="EV779" s="16"/>
      <c r="EW779" s="17"/>
      <c r="EX779" s="17"/>
      <c r="EY779" s="16"/>
      <c r="EZ779" s="16"/>
      <c r="FA779" s="17"/>
      <c r="FB779" s="17"/>
      <c r="FC779" s="16"/>
      <c r="FD779" s="16"/>
      <c r="FE779" s="17"/>
      <c r="FF779" s="17"/>
      <c r="FG779" s="11"/>
      <c r="GT779" s="11"/>
      <c r="IG779" s="11"/>
      <c r="JT779" s="11"/>
      <c r="LG779" s="11"/>
      <c r="MT779" s="11"/>
      <c r="OG779" s="11"/>
      <c r="PT779" s="11"/>
    </row>
    <row r="780" spans="3:436" ht="15.75" x14ac:dyDescent="0.25">
      <c r="C780" s="20" t="s">
        <v>559</v>
      </c>
      <c r="D780" s="21" t="s">
        <v>79</v>
      </c>
      <c r="H780" s="11"/>
      <c r="AU780" s="11"/>
      <c r="CH780" s="11"/>
      <c r="CI780" s="16"/>
      <c r="CJ780" s="16"/>
      <c r="CK780" s="16"/>
      <c r="CL780" s="16"/>
      <c r="CM780" s="16"/>
      <c r="CN780" s="16"/>
      <c r="CO780" s="16"/>
      <c r="CP780" s="16"/>
      <c r="CQ780" s="16"/>
      <c r="CR780" s="16"/>
      <c r="CS780" s="16"/>
      <c r="CT780" s="16"/>
      <c r="CU780" s="16"/>
      <c r="CV780" s="16"/>
      <c r="CW780" s="16"/>
      <c r="CX780" s="16"/>
      <c r="CY780" s="16"/>
      <c r="CZ780" s="16"/>
      <c r="DA780" s="16"/>
      <c r="DB780" s="16"/>
      <c r="DC780" s="16"/>
      <c r="DD780" s="16"/>
      <c r="DE780" s="17"/>
      <c r="DF780" s="17"/>
      <c r="DG780" s="16"/>
      <c r="DH780" s="16"/>
      <c r="DI780" s="17"/>
      <c r="DJ780" s="17"/>
      <c r="DK780" s="16"/>
      <c r="DL780" s="16"/>
      <c r="DM780" s="17"/>
      <c r="DN780" s="17"/>
      <c r="DO780" s="16"/>
      <c r="DP780" s="16"/>
      <c r="DQ780" s="17"/>
      <c r="DR780" s="17"/>
      <c r="DS780" s="16"/>
      <c r="DT780" s="16"/>
      <c r="DU780" s="17"/>
      <c r="DV780" s="17"/>
      <c r="DW780" s="16"/>
      <c r="DX780" s="16"/>
      <c r="DY780" s="17"/>
      <c r="DZ780" s="17"/>
      <c r="EA780" s="16"/>
      <c r="EB780" s="16"/>
      <c r="EC780" s="17"/>
      <c r="ED780" s="17"/>
      <c r="EE780" s="16"/>
      <c r="EF780" s="16"/>
      <c r="EG780" s="17"/>
      <c r="EH780" s="17"/>
      <c r="EI780" s="16"/>
      <c r="EJ780" s="16"/>
      <c r="EK780" s="17"/>
      <c r="EL780" s="17"/>
      <c r="EM780" s="16"/>
      <c r="EN780" s="16"/>
      <c r="EO780" s="17"/>
      <c r="EP780" s="17"/>
      <c r="EQ780" s="16"/>
      <c r="ER780" s="16"/>
      <c r="ES780" s="17"/>
      <c r="ET780" s="17"/>
      <c r="EU780" s="16"/>
      <c r="EV780" s="16"/>
      <c r="EW780" s="17"/>
      <c r="EX780" s="17"/>
      <c r="EY780" s="16"/>
      <c r="EZ780" s="16"/>
      <c r="FA780" s="17"/>
      <c r="FB780" s="17"/>
      <c r="FC780" s="16"/>
      <c r="FD780" s="16"/>
      <c r="FE780" s="17"/>
      <c r="FF780" s="17"/>
      <c r="FG780" s="11"/>
      <c r="GT780" s="11"/>
      <c r="IG780" s="11"/>
      <c r="JT780" s="11"/>
      <c r="LG780" s="11"/>
      <c r="MT780" s="11"/>
      <c r="OG780" s="11"/>
      <c r="PT780" s="11"/>
    </row>
    <row r="781" spans="3:436" ht="15.75" x14ac:dyDescent="0.25">
      <c r="C781" s="20" t="s">
        <v>404</v>
      </c>
      <c r="D781" s="21" t="s">
        <v>129</v>
      </c>
      <c r="H781" s="11"/>
      <c r="AU781" s="11"/>
      <c r="CH781" s="11"/>
      <c r="CI781" s="16"/>
      <c r="CJ781" s="16"/>
      <c r="CK781" s="16"/>
      <c r="CL781" s="16"/>
      <c r="CM781" s="16"/>
      <c r="CN781" s="16"/>
      <c r="CO781" s="16"/>
      <c r="CP781" s="16"/>
      <c r="CQ781" s="16"/>
      <c r="CR781" s="16"/>
      <c r="CS781" s="16"/>
      <c r="CT781" s="16"/>
      <c r="CU781" s="16"/>
      <c r="CV781" s="16"/>
      <c r="CW781" s="16"/>
      <c r="CX781" s="16"/>
      <c r="CY781" s="16"/>
      <c r="CZ781" s="16"/>
      <c r="DA781" s="16"/>
      <c r="DB781" s="16"/>
      <c r="DC781" s="16"/>
      <c r="DD781" s="16"/>
      <c r="DE781" s="17"/>
      <c r="DF781" s="17"/>
      <c r="DG781" s="16"/>
      <c r="DH781" s="16"/>
      <c r="DI781" s="17"/>
      <c r="DJ781" s="17"/>
      <c r="DK781" s="16"/>
      <c r="DL781" s="16"/>
      <c r="DM781" s="17"/>
      <c r="DN781" s="17"/>
      <c r="DO781" s="16"/>
      <c r="DP781" s="16"/>
      <c r="DQ781" s="17"/>
      <c r="DR781" s="17"/>
      <c r="DS781" s="16"/>
      <c r="DT781" s="16"/>
      <c r="DU781" s="17"/>
      <c r="DV781" s="17"/>
      <c r="DW781" s="16"/>
      <c r="DX781" s="16"/>
      <c r="DY781" s="17"/>
      <c r="DZ781" s="17"/>
      <c r="EA781" s="16"/>
      <c r="EB781" s="16"/>
      <c r="EC781" s="17"/>
      <c r="ED781" s="17"/>
      <c r="EE781" s="16"/>
      <c r="EF781" s="16"/>
      <c r="EG781" s="17"/>
      <c r="EH781" s="17"/>
      <c r="EI781" s="16"/>
      <c r="EJ781" s="16"/>
      <c r="EK781" s="17"/>
      <c r="EL781" s="17"/>
      <c r="EM781" s="16"/>
      <c r="EN781" s="16"/>
      <c r="EO781" s="17"/>
      <c r="EP781" s="17"/>
      <c r="EQ781" s="16"/>
      <c r="ER781" s="16"/>
      <c r="ES781" s="17"/>
      <c r="ET781" s="17"/>
      <c r="EU781" s="16"/>
      <c r="EV781" s="16"/>
      <c r="EW781" s="17"/>
      <c r="EX781" s="17"/>
      <c r="EY781" s="16"/>
      <c r="EZ781" s="16"/>
      <c r="FA781" s="17"/>
      <c r="FB781" s="17"/>
      <c r="FC781" s="16"/>
      <c r="FD781" s="16"/>
      <c r="FE781" s="17"/>
      <c r="FF781" s="17"/>
      <c r="FG781" s="11"/>
      <c r="GT781" s="11"/>
      <c r="IG781" s="11"/>
      <c r="JT781" s="11"/>
      <c r="LG781" s="11"/>
      <c r="MT781" s="11"/>
      <c r="OG781" s="11"/>
      <c r="PT781" s="11"/>
    </row>
    <row r="782" spans="3:436" ht="15.75" x14ac:dyDescent="0.25">
      <c r="C782" s="20" t="s">
        <v>405</v>
      </c>
      <c r="D782" s="21" t="s">
        <v>162</v>
      </c>
      <c r="H782" s="11"/>
      <c r="AU782" s="11"/>
      <c r="CH782" s="11"/>
      <c r="CI782" s="16"/>
      <c r="CJ782" s="16"/>
      <c r="CK782" s="16"/>
      <c r="CL782" s="16"/>
      <c r="CM782" s="16"/>
      <c r="CN782" s="16"/>
      <c r="CO782" s="16"/>
      <c r="CP782" s="16"/>
      <c r="CQ782" s="16"/>
      <c r="CR782" s="16"/>
      <c r="CS782" s="16"/>
      <c r="CT782" s="16"/>
      <c r="CU782" s="16"/>
      <c r="CV782" s="16"/>
      <c r="CW782" s="16"/>
      <c r="CX782" s="16"/>
      <c r="CY782" s="16"/>
      <c r="CZ782" s="16"/>
      <c r="DA782" s="16"/>
      <c r="DB782" s="16"/>
      <c r="DC782" s="16"/>
      <c r="DD782" s="16"/>
      <c r="DE782" s="17"/>
      <c r="DF782" s="17"/>
      <c r="DG782" s="16"/>
      <c r="DH782" s="16"/>
      <c r="DI782" s="17"/>
      <c r="DJ782" s="17"/>
      <c r="DK782" s="16"/>
      <c r="DL782" s="16"/>
      <c r="DM782" s="17"/>
      <c r="DN782" s="17"/>
      <c r="DO782" s="16"/>
      <c r="DP782" s="16"/>
      <c r="DQ782" s="17"/>
      <c r="DR782" s="17"/>
      <c r="DS782" s="16"/>
      <c r="DT782" s="16"/>
      <c r="DU782" s="17"/>
      <c r="DV782" s="17"/>
      <c r="DW782" s="16"/>
      <c r="DX782" s="16"/>
      <c r="DY782" s="17"/>
      <c r="DZ782" s="17"/>
      <c r="EA782" s="16"/>
      <c r="EB782" s="16"/>
      <c r="EC782" s="17"/>
      <c r="ED782" s="17"/>
      <c r="EE782" s="16"/>
      <c r="EF782" s="16"/>
      <c r="EG782" s="17"/>
      <c r="EH782" s="17"/>
      <c r="EI782" s="16"/>
      <c r="EJ782" s="16"/>
      <c r="EK782" s="17"/>
      <c r="EL782" s="17"/>
      <c r="EM782" s="16"/>
      <c r="EN782" s="16"/>
      <c r="EO782" s="17"/>
      <c r="EP782" s="17"/>
      <c r="EQ782" s="16"/>
      <c r="ER782" s="16"/>
      <c r="ES782" s="17"/>
      <c r="ET782" s="17"/>
      <c r="EU782" s="16"/>
      <c r="EV782" s="16"/>
      <c r="EW782" s="17"/>
      <c r="EX782" s="17"/>
      <c r="EY782" s="16"/>
      <c r="EZ782" s="16"/>
      <c r="FA782" s="17"/>
      <c r="FB782" s="17"/>
      <c r="FC782" s="16"/>
      <c r="FD782" s="16"/>
      <c r="FE782" s="17"/>
      <c r="FF782" s="17"/>
      <c r="FG782" s="11"/>
      <c r="GT782" s="11"/>
      <c r="IG782" s="11"/>
      <c r="JT782" s="11"/>
      <c r="LG782" s="11"/>
      <c r="MT782" s="11"/>
      <c r="OG782" s="11"/>
      <c r="PT782" s="11"/>
    </row>
    <row r="783" spans="3:436" ht="15.75" x14ac:dyDescent="0.25">
      <c r="C783" s="20" t="s">
        <v>560</v>
      </c>
      <c r="D783" s="21" t="s">
        <v>203</v>
      </c>
      <c r="H783" s="11"/>
      <c r="AU783" s="11"/>
      <c r="CH783" s="11"/>
      <c r="CI783" s="16"/>
      <c r="CJ783" s="16"/>
      <c r="CK783" s="16"/>
      <c r="CL783" s="16"/>
      <c r="CM783" s="16"/>
      <c r="CN783" s="16"/>
      <c r="CO783" s="16"/>
      <c r="CP783" s="16"/>
      <c r="CQ783" s="16"/>
      <c r="CR783" s="16"/>
      <c r="CS783" s="16"/>
      <c r="CT783" s="16"/>
      <c r="CU783" s="16"/>
      <c r="CV783" s="16"/>
      <c r="CW783" s="16"/>
      <c r="CX783" s="16"/>
      <c r="CY783" s="16"/>
      <c r="CZ783" s="16"/>
      <c r="DA783" s="16"/>
      <c r="DB783" s="16"/>
      <c r="DC783" s="16"/>
      <c r="DD783" s="16"/>
      <c r="DE783" s="17"/>
      <c r="DF783" s="17"/>
      <c r="DG783" s="16"/>
      <c r="DH783" s="16"/>
      <c r="DI783" s="17"/>
      <c r="DJ783" s="17"/>
      <c r="DK783" s="16"/>
      <c r="DL783" s="16"/>
      <c r="DM783" s="17"/>
      <c r="DN783" s="17"/>
      <c r="DO783" s="16"/>
      <c r="DP783" s="16"/>
      <c r="DQ783" s="17"/>
      <c r="DR783" s="17"/>
      <c r="DS783" s="16"/>
      <c r="DT783" s="16"/>
      <c r="DU783" s="17"/>
      <c r="DV783" s="17"/>
      <c r="DW783" s="16"/>
      <c r="DX783" s="16"/>
      <c r="DY783" s="17"/>
      <c r="DZ783" s="17"/>
      <c r="EA783" s="16"/>
      <c r="EB783" s="16"/>
      <c r="EC783" s="17"/>
      <c r="ED783" s="17"/>
      <c r="EE783" s="16"/>
      <c r="EF783" s="16"/>
      <c r="EG783" s="18">
        <v>5</v>
      </c>
      <c r="EH783" s="18">
        <v>15</v>
      </c>
      <c r="EI783" s="16"/>
      <c r="EJ783" s="16"/>
      <c r="EK783" s="17"/>
      <c r="EL783" s="17"/>
      <c r="EM783" s="16"/>
      <c r="EN783" s="16"/>
      <c r="EO783" s="17"/>
      <c r="EP783" s="17"/>
      <c r="EQ783" s="16"/>
      <c r="ER783" s="16"/>
      <c r="ES783" s="17"/>
      <c r="ET783" s="17"/>
      <c r="EU783" s="16"/>
      <c r="EV783" s="16"/>
      <c r="EW783" s="17"/>
      <c r="EX783" s="17"/>
      <c r="EY783" s="16"/>
      <c r="EZ783" s="16"/>
      <c r="FA783" s="17"/>
      <c r="FB783" s="17"/>
      <c r="FC783" s="16"/>
      <c r="FD783" s="16"/>
      <c r="FE783" s="17"/>
      <c r="FF783" s="17"/>
      <c r="FG783" s="11"/>
      <c r="GT783" s="11"/>
      <c r="IG783" s="11"/>
      <c r="JT783" s="11"/>
      <c r="LG783" s="11"/>
      <c r="MT783" s="11"/>
      <c r="OG783" s="11"/>
      <c r="PT783" s="11"/>
    </row>
    <row r="784" spans="3:436" ht="15.75" x14ac:dyDescent="0.25">
      <c r="C784" s="20" t="s">
        <v>561</v>
      </c>
      <c r="D784" s="21" t="s">
        <v>203</v>
      </c>
      <c r="H784" s="11"/>
      <c r="AU784" s="11"/>
      <c r="CH784" s="11"/>
      <c r="CI784" s="16"/>
      <c r="CJ784" s="16"/>
      <c r="CK784" s="16"/>
      <c r="CL784" s="16"/>
      <c r="CM784" s="16"/>
      <c r="CN784" s="16"/>
      <c r="CO784" s="16"/>
      <c r="CP784" s="16"/>
      <c r="CQ784" s="16"/>
      <c r="CR784" s="16"/>
      <c r="CS784" s="16"/>
      <c r="CT784" s="16"/>
      <c r="CU784" s="16"/>
      <c r="CV784" s="16"/>
      <c r="CW784" s="16"/>
      <c r="CX784" s="16"/>
      <c r="CY784" s="16"/>
      <c r="CZ784" s="16"/>
      <c r="DA784" s="16"/>
      <c r="DB784" s="16"/>
      <c r="DC784" s="16"/>
      <c r="DD784" s="16"/>
      <c r="DE784" s="17"/>
      <c r="DF784" s="17"/>
      <c r="DG784" s="16"/>
      <c r="DH784" s="16"/>
      <c r="DI784" s="17"/>
      <c r="DJ784" s="17"/>
      <c r="DK784" s="16"/>
      <c r="DL784" s="16"/>
      <c r="DM784" s="17"/>
      <c r="DN784" s="17"/>
      <c r="DO784" s="16"/>
      <c r="DP784" s="16"/>
      <c r="DQ784" s="17"/>
      <c r="DR784" s="17"/>
      <c r="DS784" s="16"/>
      <c r="DT784" s="16"/>
      <c r="DU784" s="17"/>
      <c r="DV784" s="17"/>
      <c r="DW784" s="16"/>
      <c r="DX784" s="16"/>
      <c r="DY784" s="17"/>
      <c r="DZ784" s="17"/>
      <c r="EA784" s="16"/>
      <c r="EB784" s="16"/>
      <c r="EC784" s="17"/>
      <c r="ED784" s="17"/>
      <c r="EE784" s="16"/>
      <c r="EF784" s="16"/>
      <c r="EG784" s="17"/>
      <c r="EH784" s="17"/>
      <c r="EI784" s="16"/>
      <c r="EJ784" s="16"/>
      <c r="EK784" s="17"/>
      <c r="EL784" s="17"/>
      <c r="EM784" s="16"/>
      <c r="EN784" s="16"/>
      <c r="EO784" s="17"/>
      <c r="EP784" s="17"/>
      <c r="EQ784" s="16"/>
      <c r="ER784" s="16"/>
      <c r="ES784" s="17"/>
      <c r="ET784" s="17"/>
      <c r="EU784" s="16"/>
      <c r="EV784" s="16"/>
      <c r="EW784" s="17"/>
      <c r="EX784" s="17"/>
      <c r="EY784" s="16"/>
      <c r="EZ784" s="16"/>
      <c r="FA784" s="17"/>
      <c r="FB784" s="17"/>
      <c r="FC784" s="16"/>
      <c r="FD784" s="16"/>
      <c r="FE784" s="17"/>
      <c r="FF784" s="17"/>
      <c r="FG784" s="11"/>
      <c r="GT784" s="11"/>
      <c r="IG784" s="11"/>
      <c r="JT784" s="11"/>
      <c r="LG784" s="11"/>
      <c r="MT784" s="11"/>
      <c r="OG784" s="11"/>
      <c r="PT784" s="11"/>
    </row>
    <row r="785" spans="3:436" ht="15.75" x14ac:dyDescent="0.25">
      <c r="C785" s="20" t="s">
        <v>562</v>
      </c>
      <c r="D785" s="21" t="s">
        <v>159</v>
      </c>
      <c r="H785" s="11"/>
      <c r="AU785" s="11"/>
      <c r="CH785" s="11"/>
      <c r="CI785" s="16"/>
      <c r="CJ785" s="16"/>
      <c r="CK785" s="16"/>
      <c r="CL785" s="16"/>
      <c r="CM785" s="16"/>
      <c r="CN785" s="16"/>
      <c r="CO785" s="16"/>
      <c r="CP785" s="16"/>
      <c r="CQ785" s="16"/>
      <c r="CR785" s="16"/>
      <c r="CS785" s="16"/>
      <c r="CT785" s="16"/>
      <c r="CU785" s="16"/>
      <c r="CV785" s="16"/>
      <c r="CW785" s="16"/>
      <c r="CX785" s="16"/>
      <c r="CY785" s="16"/>
      <c r="CZ785" s="16"/>
      <c r="DA785" s="16"/>
      <c r="DB785" s="16"/>
      <c r="DC785" s="16"/>
      <c r="DD785" s="16"/>
      <c r="DE785" s="17"/>
      <c r="DF785" s="17"/>
      <c r="DG785" s="16"/>
      <c r="DH785" s="16"/>
      <c r="DI785" s="17"/>
      <c r="DJ785" s="17"/>
      <c r="DK785" s="16"/>
      <c r="DL785" s="16"/>
      <c r="DM785" s="17"/>
      <c r="DN785" s="17"/>
      <c r="DO785" s="16"/>
      <c r="DP785" s="16"/>
      <c r="DQ785" s="17"/>
      <c r="DR785" s="17"/>
      <c r="DS785" s="16"/>
      <c r="DT785" s="16"/>
      <c r="DU785" s="17"/>
      <c r="DV785" s="17"/>
      <c r="DW785" s="16"/>
      <c r="DX785" s="16"/>
      <c r="DY785" s="17"/>
      <c r="DZ785" s="17"/>
      <c r="EA785" s="16"/>
      <c r="EB785" s="16"/>
      <c r="EC785" s="17"/>
      <c r="ED785" s="17"/>
      <c r="EE785" s="16"/>
      <c r="EF785" s="16"/>
      <c r="EG785" s="17"/>
      <c r="EH785" s="17"/>
      <c r="EI785" s="16"/>
      <c r="EJ785" s="16"/>
      <c r="EK785" s="17"/>
      <c r="EL785" s="17"/>
      <c r="EM785" s="16"/>
      <c r="EN785" s="16"/>
      <c r="EO785" s="17"/>
      <c r="EP785" s="17"/>
      <c r="EQ785" s="16"/>
      <c r="ER785" s="16"/>
      <c r="ES785" s="17"/>
      <c r="ET785" s="17"/>
      <c r="EU785" s="16"/>
      <c r="EV785" s="16"/>
      <c r="EW785" s="17"/>
      <c r="EX785" s="17"/>
      <c r="EY785" s="16"/>
      <c r="EZ785" s="16"/>
      <c r="FA785" s="17"/>
      <c r="FB785" s="17"/>
      <c r="FC785" s="16"/>
      <c r="FD785" s="16"/>
      <c r="FE785" s="17"/>
      <c r="FF785" s="17"/>
      <c r="FG785" s="11"/>
      <c r="GT785" s="11"/>
      <c r="IG785" s="11"/>
      <c r="JT785" s="11"/>
      <c r="LG785" s="11"/>
      <c r="MT785" s="11"/>
      <c r="OG785" s="11"/>
      <c r="PT785" s="11"/>
    </row>
    <row r="786" spans="3:436" ht="15.75" x14ac:dyDescent="0.25">
      <c r="C786" s="20" t="s">
        <v>563</v>
      </c>
      <c r="D786" s="21" t="s">
        <v>82</v>
      </c>
      <c r="H786" s="11"/>
      <c r="AU786" s="11"/>
      <c r="CH786" s="11"/>
      <c r="CI786" s="16"/>
      <c r="CJ786" s="16"/>
      <c r="CK786" s="16"/>
      <c r="CL786" s="16"/>
      <c r="CM786" s="16"/>
      <c r="CN786" s="16"/>
      <c r="CO786" s="16"/>
      <c r="CP786" s="16"/>
      <c r="CQ786" s="16"/>
      <c r="CR786" s="16"/>
      <c r="CS786" s="16"/>
      <c r="CT786" s="16"/>
      <c r="CU786" s="16"/>
      <c r="CV786" s="16"/>
      <c r="CW786" s="16"/>
      <c r="CX786" s="16"/>
      <c r="CY786" s="16"/>
      <c r="CZ786" s="16"/>
      <c r="DA786" s="16"/>
      <c r="DB786" s="16"/>
      <c r="DC786" s="16"/>
      <c r="DD786" s="16"/>
      <c r="DE786" s="17"/>
      <c r="DF786" s="17"/>
      <c r="DG786" s="16"/>
      <c r="DH786" s="16"/>
      <c r="DI786" s="17"/>
      <c r="DJ786" s="17"/>
      <c r="DK786" s="16"/>
      <c r="DL786" s="16"/>
      <c r="DM786" s="17"/>
      <c r="DN786" s="17"/>
      <c r="DO786" s="16"/>
      <c r="DP786" s="16"/>
      <c r="DQ786" s="17"/>
      <c r="DR786" s="17"/>
      <c r="DS786" s="16"/>
      <c r="DT786" s="16"/>
      <c r="DU786" s="17"/>
      <c r="DV786" s="17"/>
      <c r="DW786" s="16"/>
      <c r="DX786" s="16"/>
      <c r="DY786" s="17"/>
      <c r="DZ786" s="17"/>
      <c r="EA786" s="16"/>
      <c r="EB786" s="16"/>
      <c r="EC786" s="17"/>
      <c r="ED786" s="17"/>
      <c r="EE786" s="16"/>
      <c r="EF786" s="16"/>
      <c r="EG786" s="17"/>
      <c r="EH786" s="17"/>
      <c r="EI786" s="16"/>
      <c r="EJ786" s="16"/>
      <c r="EK786" s="17"/>
      <c r="EL786" s="17"/>
      <c r="EM786" s="16"/>
      <c r="EN786" s="16"/>
      <c r="EO786" s="17"/>
      <c r="EP786" s="17"/>
      <c r="EQ786" s="16"/>
      <c r="ER786" s="16"/>
      <c r="ES786" s="17"/>
      <c r="ET786" s="17"/>
      <c r="EU786" s="16"/>
      <c r="EV786" s="16"/>
      <c r="EW786" s="17"/>
      <c r="EX786" s="17"/>
      <c r="EY786" s="16"/>
      <c r="EZ786" s="16"/>
      <c r="FA786" s="17"/>
      <c r="FB786" s="17"/>
      <c r="FC786" s="16"/>
      <c r="FD786" s="16"/>
      <c r="FE786" s="17"/>
      <c r="FF786" s="17"/>
      <c r="FG786" s="11"/>
      <c r="GT786" s="11"/>
      <c r="IG786" s="11"/>
      <c r="JT786" s="11"/>
      <c r="LG786" s="11"/>
      <c r="MT786" s="11"/>
      <c r="OG786" s="11"/>
      <c r="PT786" s="11"/>
    </row>
    <row r="787" spans="3:436" ht="15.75" x14ac:dyDescent="0.25">
      <c r="C787" s="20" t="s">
        <v>581</v>
      </c>
      <c r="D787" s="21" t="s">
        <v>82</v>
      </c>
      <c r="H787" s="11"/>
      <c r="AU787" s="11"/>
      <c r="CH787" s="11"/>
      <c r="CI787" s="16"/>
      <c r="CJ787" s="16"/>
      <c r="CK787" s="16"/>
      <c r="CL787" s="16"/>
      <c r="CM787" s="16"/>
      <c r="CN787" s="16"/>
      <c r="CO787" s="16"/>
      <c r="CP787" s="16"/>
      <c r="CQ787" s="16"/>
      <c r="CR787" s="16"/>
      <c r="CS787" s="16"/>
      <c r="CT787" s="16"/>
      <c r="CU787" s="16"/>
      <c r="CV787" s="16"/>
      <c r="CW787" s="16"/>
      <c r="CX787" s="16"/>
      <c r="CY787" s="16"/>
      <c r="CZ787" s="16"/>
      <c r="DA787" s="16"/>
      <c r="DB787" s="16"/>
      <c r="DC787" s="16"/>
      <c r="DD787" s="16"/>
      <c r="DE787" s="17"/>
      <c r="DF787" s="17"/>
      <c r="DG787" s="16"/>
      <c r="DH787" s="16"/>
      <c r="DI787" s="17"/>
      <c r="DJ787" s="17"/>
      <c r="DK787" s="16"/>
      <c r="DL787" s="16"/>
      <c r="DM787" s="17"/>
      <c r="DN787" s="17"/>
      <c r="DO787" s="16"/>
      <c r="DP787" s="16"/>
      <c r="DQ787" s="17"/>
      <c r="DR787" s="17"/>
      <c r="DS787" s="16"/>
      <c r="DT787" s="16"/>
      <c r="DU787" s="17"/>
      <c r="DV787" s="17"/>
      <c r="DW787" s="16"/>
      <c r="DX787" s="16"/>
      <c r="DY787" s="17"/>
      <c r="DZ787" s="17"/>
      <c r="EA787" s="16"/>
      <c r="EB787" s="16"/>
      <c r="EC787" s="17"/>
      <c r="ED787" s="17"/>
      <c r="EE787" s="16"/>
      <c r="EF787" s="16"/>
      <c r="EG787" s="17"/>
      <c r="EH787" s="17"/>
      <c r="EI787" s="16"/>
      <c r="EJ787" s="16"/>
      <c r="EK787" s="17"/>
      <c r="EL787" s="17"/>
      <c r="EM787" s="16"/>
      <c r="EN787" s="16"/>
      <c r="EO787" s="17"/>
      <c r="EP787" s="17"/>
      <c r="EQ787" s="16"/>
      <c r="ER787" s="16"/>
      <c r="ES787" s="18">
        <v>5</v>
      </c>
      <c r="ET787" s="18">
        <v>10</v>
      </c>
      <c r="EU787" s="16"/>
      <c r="EV787" s="16"/>
      <c r="EW787" s="17"/>
      <c r="EX787" s="17"/>
      <c r="EY787" s="16"/>
      <c r="EZ787" s="16"/>
      <c r="FA787" s="17"/>
      <c r="FB787" s="17"/>
      <c r="FC787" s="16"/>
      <c r="FD787" s="16"/>
      <c r="FE787" s="17"/>
      <c r="FF787" s="17"/>
      <c r="FG787" s="11"/>
      <c r="GT787" s="11"/>
      <c r="IG787" s="11"/>
      <c r="JT787" s="11"/>
      <c r="LG787" s="11"/>
      <c r="MT787" s="11"/>
      <c r="OG787" s="11"/>
      <c r="PT787" s="11"/>
    </row>
    <row r="788" spans="3:436" ht="15.75" x14ac:dyDescent="0.25">
      <c r="C788" s="20" t="s">
        <v>410</v>
      </c>
      <c r="D788" s="21" t="s">
        <v>142</v>
      </c>
      <c r="H788" s="11"/>
      <c r="AU788" s="11"/>
      <c r="CH788" s="11"/>
      <c r="CI788" s="16"/>
      <c r="CJ788" s="16"/>
      <c r="CK788" s="16"/>
      <c r="CL788" s="16"/>
      <c r="CM788" s="16"/>
      <c r="CN788" s="16"/>
      <c r="CO788" s="16"/>
      <c r="CP788" s="16"/>
      <c r="CQ788" s="16"/>
      <c r="CR788" s="16"/>
      <c r="CS788" s="16"/>
      <c r="CT788" s="16"/>
      <c r="CU788" s="16"/>
      <c r="CV788" s="16"/>
      <c r="CW788" s="16"/>
      <c r="CX788" s="16"/>
      <c r="CY788" s="16"/>
      <c r="CZ788" s="16"/>
      <c r="DA788" s="16"/>
      <c r="DB788" s="16"/>
      <c r="DC788" s="16"/>
      <c r="DD788" s="16"/>
      <c r="DE788" s="17"/>
      <c r="DF788" s="17"/>
      <c r="DG788" s="16"/>
      <c r="DH788" s="16"/>
      <c r="DI788" s="17"/>
      <c r="DJ788" s="17"/>
      <c r="DK788" s="16"/>
      <c r="DL788" s="16"/>
      <c r="DM788" s="17"/>
      <c r="DN788" s="17"/>
      <c r="DO788" s="16"/>
      <c r="DP788" s="16"/>
      <c r="DQ788" s="17"/>
      <c r="DR788" s="17"/>
      <c r="DS788" s="16"/>
      <c r="DT788" s="16"/>
      <c r="DU788" s="17"/>
      <c r="DV788" s="17"/>
      <c r="DW788" s="16"/>
      <c r="DX788" s="16"/>
      <c r="DY788" s="17"/>
      <c r="DZ788" s="17"/>
      <c r="EA788" s="16"/>
      <c r="EB788" s="16"/>
      <c r="EC788" s="17"/>
      <c r="ED788" s="17"/>
      <c r="EE788" s="16"/>
      <c r="EF788" s="16"/>
      <c r="EG788" s="17"/>
      <c r="EH788" s="17"/>
      <c r="EI788" s="16"/>
      <c r="EJ788" s="16"/>
      <c r="EK788" s="18">
        <v>3</v>
      </c>
      <c r="EL788" s="18">
        <v>10</v>
      </c>
      <c r="EM788" s="16"/>
      <c r="EN788" s="16"/>
      <c r="EO788" s="17"/>
      <c r="EP788" s="17"/>
      <c r="EQ788" s="16"/>
      <c r="ER788" s="16"/>
      <c r="ES788" s="17"/>
      <c r="ET788" s="17"/>
      <c r="EU788" s="16"/>
      <c r="EV788" s="16"/>
      <c r="EW788" s="17"/>
      <c r="EX788" s="17"/>
      <c r="EY788" s="16"/>
      <c r="EZ788" s="16"/>
      <c r="FA788" s="17"/>
      <c r="FB788" s="17"/>
      <c r="FC788" s="16"/>
      <c r="FD788" s="16"/>
      <c r="FE788" s="17"/>
      <c r="FF788" s="17"/>
      <c r="FG788" s="11"/>
      <c r="GT788" s="11"/>
      <c r="IG788" s="11"/>
      <c r="JT788" s="11"/>
      <c r="LG788" s="11"/>
      <c r="MT788" s="11"/>
      <c r="OG788" s="11"/>
      <c r="PT788" s="11"/>
    </row>
    <row r="789" spans="3:436" ht="15.75" x14ac:dyDescent="0.25">
      <c r="C789" s="20" t="s">
        <v>576</v>
      </c>
      <c r="D789" s="21" t="s">
        <v>90</v>
      </c>
      <c r="H789" s="11"/>
      <c r="AU789" s="11"/>
      <c r="CH789" s="11"/>
      <c r="CI789" s="16"/>
      <c r="CJ789" s="16"/>
      <c r="CK789" s="16"/>
      <c r="CL789" s="16"/>
      <c r="CM789" s="16"/>
      <c r="CN789" s="16"/>
      <c r="CO789" s="16"/>
      <c r="CP789" s="16"/>
      <c r="CQ789" s="16"/>
      <c r="CR789" s="16"/>
      <c r="CS789" s="16"/>
      <c r="CT789" s="16"/>
      <c r="CU789" s="16"/>
      <c r="CV789" s="16"/>
      <c r="CW789" s="16"/>
      <c r="CX789" s="16"/>
      <c r="CY789" s="16"/>
      <c r="CZ789" s="16"/>
      <c r="DA789" s="16"/>
      <c r="DB789" s="16"/>
      <c r="DC789" s="16"/>
      <c r="DD789" s="16"/>
      <c r="DE789" s="17"/>
      <c r="DF789" s="17"/>
      <c r="DG789" s="16"/>
      <c r="DH789" s="16"/>
      <c r="DI789" s="17"/>
      <c r="DJ789" s="17"/>
      <c r="DK789" s="16"/>
      <c r="DL789" s="16"/>
      <c r="DM789" s="17"/>
      <c r="DN789" s="17"/>
      <c r="DO789" s="16"/>
      <c r="DP789" s="16"/>
      <c r="DQ789" s="17"/>
      <c r="DR789" s="17"/>
      <c r="DS789" s="16"/>
      <c r="DT789" s="16"/>
      <c r="DU789" s="17"/>
      <c r="DV789" s="17"/>
      <c r="DW789" s="16"/>
      <c r="DX789" s="16"/>
      <c r="DY789" s="17"/>
      <c r="DZ789" s="17"/>
      <c r="EA789" s="16"/>
      <c r="EB789" s="16"/>
      <c r="EC789" s="17"/>
      <c r="ED789" s="17"/>
      <c r="EE789" s="16"/>
      <c r="EF789" s="16"/>
      <c r="EG789" s="17"/>
      <c r="EH789" s="17"/>
      <c r="EI789" s="16"/>
      <c r="EJ789" s="16"/>
      <c r="EK789" s="17"/>
      <c r="EL789" s="17"/>
      <c r="EM789" s="16"/>
      <c r="EN789" s="16"/>
      <c r="EO789" s="17"/>
      <c r="EP789" s="17"/>
      <c r="EQ789" s="16"/>
      <c r="ER789" s="16"/>
      <c r="ES789" s="17"/>
      <c r="ET789" s="17"/>
      <c r="EU789" s="16"/>
      <c r="EV789" s="16"/>
      <c r="EW789" s="17"/>
      <c r="EX789" s="17"/>
      <c r="EY789" s="16"/>
      <c r="EZ789" s="16"/>
      <c r="FA789" s="17"/>
      <c r="FB789" s="17"/>
      <c r="FC789" s="16"/>
      <c r="FD789" s="16"/>
      <c r="FE789" s="17"/>
      <c r="FF789" s="17"/>
      <c r="FG789" s="11"/>
      <c r="GT789" s="11"/>
      <c r="IG789" s="11"/>
      <c r="JT789" s="11"/>
      <c r="LG789" s="11"/>
      <c r="MT789" s="11"/>
      <c r="OG789" s="11"/>
      <c r="PT789" s="11"/>
    </row>
    <row r="790" spans="3:436" ht="15.75" x14ac:dyDescent="0.25">
      <c r="C790" s="20" t="s">
        <v>559</v>
      </c>
      <c r="D790" s="21" t="s">
        <v>79</v>
      </c>
      <c r="H790" s="11"/>
      <c r="AU790" s="11"/>
      <c r="CH790" s="11"/>
      <c r="CI790" s="16"/>
      <c r="CJ790" s="16"/>
      <c r="CK790" s="16"/>
      <c r="CL790" s="16"/>
      <c r="CM790" s="16"/>
      <c r="CN790" s="16"/>
      <c r="CO790" s="16"/>
      <c r="CP790" s="16"/>
      <c r="CQ790" s="16"/>
      <c r="CR790" s="16"/>
      <c r="CS790" s="16"/>
      <c r="CT790" s="16"/>
      <c r="CU790" s="16"/>
      <c r="CV790" s="16"/>
      <c r="CW790" s="16"/>
      <c r="CX790" s="16"/>
      <c r="CY790" s="16"/>
      <c r="CZ790" s="16"/>
      <c r="DA790" s="16"/>
      <c r="DB790" s="16"/>
      <c r="DC790" s="16"/>
      <c r="DD790" s="16"/>
      <c r="DE790" s="17"/>
      <c r="DF790" s="17"/>
      <c r="DG790" s="16"/>
      <c r="DH790" s="16"/>
      <c r="DI790" s="17"/>
      <c r="DJ790" s="17"/>
      <c r="DK790" s="16"/>
      <c r="DL790" s="16"/>
      <c r="DM790" s="17"/>
      <c r="DN790" s="17"/>
      <c r="DO790" s="16"/>
      <c r="DP790" s="16"/>
      <c r="DQ790" s="17"/>
      <c r="DR790" s="17"/>
      <c r="DS790" s="16"/>
      <c r="DT790" s="16"/>
      <c r="DU790" s="17"/>
      <c r="DV790" s="17"/>
      <c r="DW790" s="16"/>
      <c r="DX790" s="16"/>
      <c r="DY790" s="17"/>
      <c r="DZ790" s="17"/>
      <c r="EA790" s="16"/>
      <c r="EB790" s="16"/>
      <c r="EC790" s="17"/>
      <c r="ED790" s="17"/>
      <c r="EE790" s="16"/>
      <c r="EF790" s="16"/>
      <c r="EG790" s="17"/>
      <c r="EH790" s="17"/>
      <c r="EI790" s="16"/>
      <c r="EJ790" s="16"/>
      <c r="EK790" s="17"/>
      <c r="EL790" s="17"/>
      <c r="EM790" s="16"/>
      <c r="EN790" s="16"/>
      <c r="EO790" s="17"/>
      <c r="EP790" s="17"/>
      <c r="EQ790" s="16"/>
      <c r="ER790" s="16"/>
      <c r="ES790" s="17"/>
      <c r="ET790" s="17"/>
      <c r="EU790" s="16"/>
      <c r="EV790" s="16"/>
      <c r="EW790" s="17"/>
      <c r="EX790" s="17"/>
      <c r="EY790" s="16"/>
      <c r="EZ790" s="16"/>
      <c r="FA790" s="17"/>
      <c r="FB790" s="17"/>
      <c r="FC790" s="16"/>
      <c r="FD790" s="16"/>
      <c r="FE790" s="17"/>
      <c r="FF790" s="17"/>
      <c r="FG790" s="11"/>
      <c r="GT790" s="11"/>
      <c r="IG790" s="11"/>
      <c r="JT790" s="11"/>
      <c r="LG790" s="11"/>
      <c r="MT790" s="11"/>
      <c r="OG790" s="11"/>
      <c r="PT790" s="11"/>
    </row>
    <row r="791" spans="3:436" ht="15.75" x14ac:dyDescent="0.25">
      <c r="C791" s="20" t="s">
        <v>404</v>
      </c>
      <c r="D791" s="21" t="s">
        <v>129</v>
      </c>
      <c r="H791" s="11"/>
      <c r="AU791" s="11"/>
      <c r="CH791" s="11"/>
      <c r="CI791" s="16"/>
      <c r="CJ791" s="16"/>
      <c r="CK791" s="16"/>
      <c r="CL791" s="16"/>
      <c r="CM791" s="16"/>
      <c r="CN791" s="16"/>
      <c r="CO791" s="16"/>
      <c r="CP791" s="16"/>
      <c r="CQ791" s="16"/>
      <c r="CR791" s="16"/>
      <c r="CS791" s="16"/>
      <c r="CT791" s="16"/>
      <c r="CU791" s="16"/>
      <c r="CV791" s="16"/>
      <c r="CW791" s="16"/>
      <c r="CX791" s="16"/>
      <c r="CY791" s="16"/>
      <c r="CZ791" s="16"/>
      <c r="DA791" s="16"/>
      <c r="DB791" s="16"/>
      <c r="DC791" s="16"/>
      <c r="DD791" s="16"/>
      <c r="DE791" s="17"/>
      <c r="DF791" s="17"/>
      <c r="DG791" s="16"/>
      <c r="DH791" s="16"/>
      <c r="DI791" s="17"/>
      <c r="DJ791" s="17"/>
      <c r="DK791" s="16"/>
      <c r="DL791" s="16"/>
      <c r="DM791" s="17"/>
      <c r="DN791" s="17"/>
      <c r="DO791" s="16"/>
      <c r="DP791" s="16"/>
      <c r="DQ791" s="17"/>
      <c r="DR791" s="17"/>
      <c r="DS791" s="16"/>
      <c r="DT791" s="16"/>
      <c r="DU791" s="17"/>
      <c r="DV791" s="17"/>
      <c r="DW791" s="16"/>
      <c r="DX791" s="16"/>
      <c r="DY791" s="17"/>
      <c r="DZ791" s="17"/>
      <c r="EA791" s="16"/>
      <c r="EB791" s="16"/>
      <c r="EC791" s="17"/>
      <c r="ED791" s="17"/>
      <c r="EE791" s="16"/>
      <c r="EF791" s="16"/>
      <c r="EG791" s="17"/>
      <c r="EH791" s="17"/>
      <c r="EI791" s="16"/>
      <c r="EJ791" s="16"/>
      <c r="EK791" s="17"/>
      <c r="EL791" s="17"/>
      <c r="EM791" s="16"/>
      <c r="EN791" s="16"/>
      <c r="EO791" s="17"/>
      <c r="EP791" s="17"/>
      <c r="EQ791" s="16"/>
      <c r="ER791" s="16"/>
      <c r="ES791" s="17"/>
      <c r="ET791" s="17"/>
      <c r="EU791" s="16"/>
      <c r="EV791" s="16"/>
      <c r="EW791" s="17"/>
      <c r="EX791" s="17"/>
      <c r="EY791" s="16"/>
      <c r="EZ791" s="16"/>
      <c r="FA791" s="17"/>
      <c r="FB791" s="17"/>
      <c r="FC791" s="16"/>
      <c r="FD791" s="16"/>
      <c r="FE791" s="17"/>
      <c r="FF791" s="17"/>
      <c r="FG791" s="11"/>
      <c r="GT791" s="11"/>
      <c r="IG791" s="11"/>
      <c r="JT791" s="11"/>
      <c r="LG791" s="11"/>
      <c r="MT791" s="11"/>
      <c r="OG791" s="11"/>
      <c r="PT791" s="11"/>
    </row>
    <row r="792" spans="3:436" ht="15.75" x14ac:dyDescent="0.25">
      <c r="C792" s="20" t="s">
        <v>405</v>
      </c>
      <c r="D792" s="21" t="s">
        <v>162</v>
      </c>
      <c r="H792" s="11"/>
      <c r="AU792" s="11"/>
      <c r="CH792" s="11"/>
      <c r="CI792" s="16"/>
      <c r="CJ792" s="16"/>
      <c r="CK792" s="16"/>
      <c r="CL792" s="16"/>
      <c r="CM792" s="16"/>
      <c r="CN792" s="16"/>
      <c r="CO792" s="16"/>
      <c r="CP792" s="16"/>
      <c r="CQ792" s="16"/>
      <c r="CR792" s="16"/>
      <c r="CS792" s="16"/>
      <c r="CT792" s="16"/>
      <c r="CU792" s="16"/>
      <c r="CV792" s="16"/>
      <c r="CW792" s="16"/>
      <c r="CX792" s="16"/>
      <c r="CY792" s="16"/>
      <c r="CZ792" s="16"/>
      <c r="DA792" s="16"/>
      <c r="DB792" s="16"/>
      <c r="DC792" s="16"/>
      <c r="DD792" s="16"/>
      <c r="DE792" s="17"/>
      <c r="DF792" s="17"/>
      <c r="DG792" s="16"/>
      <c r="DH792" s="16"/>
      <c r="DI792" s="17"/>
      <c r="DJ792" s="17"/>
      <c r="DK792" s="16"/>
      <c r="DL792" s="16"/>
      <c r="DM792" s="17"/>
      <c r="DN792" s="17"/>
      <c r="DO792" s="16"/>
      <c r="DP792" s="16"/>
      <c r="DQ792" s="17"/>
      <c r="DR792" s="17"/>
      <c r="DS792" s="16"/>
      <c r="DT792" s="16"/>
      <c r="DU792" s="17"/>
      <c r="DV792" s="17"/>
      <c r="DW792" s="16"/>
      <c r="DX792" s="16"/>
      <c r="DY792" s="17"/>
      <c r="DZ792" s="17"/>
      <c r="EA792" s="16"/>
      <c r="EB792" s="16"/>
      <c r="EC792" s="17"/>
      <c r="ED792" s="17"/>
      <c r="EE792" s="16"/>
      <c r="EF792" s="16"/>
      <c r="EG792" s="17"/>
      <c r="EH792" s="17"/>
      <c r="EI792" s="16"/>
      <c r="EJ792" s="16"/>
      <c r="EK792" s="17"/>
      <c r="EL792" s="17"/>
      <c r="EM792" s="16"/>
      <c r="EN792" s="16"/>
      <c r="EO792" s="17"/>
      <c r="EP792" s="17"/>
      <c r="EQ792" s="16"/>
      <c r="ER792" s="16"/>
      <c r="ES792" s="17"/>
      <c r="ET792" s="17"/>
      <c r="EU792" s="16"/>
      <c r="EV792" s="16"/>
      <c r="EW792" s="17"/>
      <c r="EX792" s="17"/>
      <c r="EY792" s="16"/>
      <c r="EZ792" s="16"/>
      <c r="FA792" s="17"/>
      <c r="FB792" s="17"/>
      <c r="FC792" s="16"/>
      <c r="FD792" s="16"/>
      <c r="FE792" s="17"/>
      <c r="FF792" s="17"/>
      <c r="FG792" s="11"/>
      <c r="GT792" s="11"/>
      <c r="IG792" s="11"/>
      <c r="JT792" s="11"/>
      <c r="LG792" s="11"/>
      <c r="MT792" s="11"/>
      <c r="OG792" s="11"/>
      <c r="PT792" s="11"/>
    </row>
    <row r="793" spans="3:436" ht="15.75" x14ac:dyDescent="0.25">
      <c r="C793" s="20" t="s">
        <v>560</v>
      </c>
      <c r="D793" s="21" t="s">
        <v>203</v>
      </c>
      <c r="H793" s="11"/>
      <c r="AU793" s="11"/>
      <c r="CH793" s="11"/>
      <c r="CI793" s="16"/>
      <c r="CJ793" s="16"/>
      <c r="CK793" s="16"/>
      <c r="CL793" s="16"/>
      <c r="CM793" s="16"/>
      <c r="CN793" s="16"/>
      <c r="CO793" s="16"/>
      <c r="CP793" s="16"/>
      <c r="CQ793" s="16"/>
      <c r="CR793" s="16"/>
      <c r="CS793" s="16"/>
      <c r="CT793" s="16"/>
      <c r="CU793" s="16"/>
      <c r="CV793" s="16"/>
      <c r="CW793" s="16"/>
      <c r="CX793" s="16"/>
      <c r="CY793" s="16"/>
      <c r="CZ793" s="16"/>
      <c r="DA793" s="16"/>
      <c r="DB793" s="16"/>
      <c r="DC793" s="16"/>
      <c r="DD793" s="16"/>
      <c r="DE793" s="17"/>
      <c r="DF793" s="17"/>
      <c r="DG793" s="16"/>
      <c r="DH793" s="16"/>
      <c r="DI793" s="17"/>
      <c r="DJ793" s="17"/>
      <c r="DK793" s="16"/>
      <c r="DL793" s="16"/>
      <c r="DM793" s="17"/>
      <c r="DN793" s="17"/>
      <c r="DO793" s="16"/>
      <c r="DP793" s="16"/>
      <c r="DQ793" s="17"/>
      <c r="DR793" s="17"/>
      <c r="DS793" s="16"/>
      <c r="DT793" s="16"/>
      <c r="DU793" s="17"/>
      <c r="DV793" s="17"/>
      <c r="DW793" s="16"/>
      <c r="DX793" s="16"/>
      <c r="DY793" s="17"/>
      <c r="DZ793" s="17"/>
      <c r="EA793" s="16"/>
      <c r="EB793" s="16"/>
      <c r="EC793" s="17"/>
      <c r="ED793" s="17"/>
      <c r="EE793" s="16"/>
      <c r="EF793" s="16"/>
      <c r="EG793" s="18">
        <v>10</v>
      </c>
      <c r="EH793" s="18">
        <v>10</v>
      </c>
      <c r="EI793" s="16"/>
      <c r="EJ793" s="16"/>
      <c r="EK793" s="17"/>
      <c r="EL793" s="17"/>
      <c r="EM793" s="16"/>
      <c r="EN793" s="16"/>
      <c r="EO793" s="17"/>
      <c r="EP793" s="17"/>
      <c r="EQ793" s="16"/>
      <c r="ER793" s="16"/>
      <c r="ES793" s="17"/>
      <c r="ET793" s="17"/>
      <c r="EU793" s="16"/>
      <c r="EV793" s="16"/>
      <c r="EW793" s="17"/>
      <c r="EX793" s="17"/>
      <c r="EY793" s="16"/>
      <c r="EZ793" s="16"/>
      <c r="FA793" s="17"/>
      <c r="FB793" s="17"/>
      <c r="FC793" s="16"/>
      <c r="FD793" s="16"/>
      <c r="FE793" s="17"/>
      <c r="FF793" s="17"/>
      <c r="FG793" s="11"/>
      <c r="GT793" s="11"/>
      <c r="IG793" s="11"/>
      <c r="JT793" s="11"/>
      <c r="LG793" s="11"/>
      <c r="MT793" s="11"/>
      <c r="OG793" s="11"/>
      <c r="PT793" s="11"/>
    </row>
    <row r="794" spans="3:436" ht="15.75" x14ac:dyDescent="0.25">
      <c r="C794" s="20" t="s">
        <v>561</v>
      </c>
      <c r="D794" s="21" t="s">
        <v>203</v>
      </c>
      <c r="H794" s="11"/>
      <c r="AU794" s="11"/>
      <c r="CH794" s="11"/>
      <c r="CI794" s="16"/>
      <c r="CJ794" s="16"/>
      <c r="CK794" s="16"/>
      <c r="CL794" s="16"/>
      <c r="CM794" s="16"/>
      <c r="CN794" s="16"/>
      <c r="CO794" s="16"/>
      <c r="CP794" s="16"/>
      <c r="CQ794" s="16"/>
      <c r="CR794" s="16"/>
      <c r="CS794" s="16"/>
      <c r="CT794" s="16"/>
      <c r="CU794" s="16"/>
      <c r="CV794" s="16"/>
      <c r="CW794" s="16"/>
      <c r="CX794" s="16"/>
      <c r="CY794" s="16"/>
      <c r="CZ794" s="16"/>
      <c r="DA794" s="16"/>
      <c r="DB794" s="16"/>
      <c r="DC794" s="16"/>
      <c r="DD794" s="16"/>
      <c r="DE794" s="17"/>
      <c r="DF794" s="17"/>
      <c r="DG794" s="16"/>
      <c r="DH794" s="16"/>
      <c r="DI794" s="17"/>
      <c r="DJ794" s="17"/>
      <c r="DK794" s="16"/>
      <c r="DL794" s="16"/>
      <c r="DM794" s="17"/>
      <c r="DN794" s="17"/>
      <c r="DO794" s="16"/>
      <c r="DP794" s="16"/>
      <c r="DQ794" s="17"/>
      <c r="DR794" s="17"/>
      <c r="DS794" s="16"/>
      <c r="DT794" s="16"/>
      <c r="DU794" s="17"/>
      <c r="DV794" s="17"/>
      <c r="DW794" s="16"/>
      <c r="DX794" s="16"/>
      <c r="DY794" s="17"/>
      <c r="DZ794" s="17"/>
      <c r="EA794" s="16"/>
      <c r="EB794" s="16"/>
      <c r="EC794" s="17"/>
      <c r="ED794" s="17"/>
      <c r="EE794" s="16"/>
      <c r="EF794" s="16"/>
      <c r="EG794" s="17"/>
      <c r="EH794" s="17"/>
      <c r="EI794" s="16"/>
      <c r="EJ794" s="16"/>
      <c r="EK794" s="17"/>
      <c r="EL794" s="17"/>
      <c r="EM794" s="16"/>
      <c r="EN794" s="16"/>
      <c r="EO794" s="17"/>
      <c r="EP794" s="17"/>
      <c r="EQ794" s="16"/>
      <c r="ER794" s="16"/>
      <c r="ES794" s="17"/>
      <c r="ET794" s="17"/>
      <c r="EU794" s="16"/>
      <c r="EV794" s="16"/>
      <c r="EW794" s="17"/>
      <c r="EX794" s="17"/>
      <c r="EY794" s="16"/>
      <c r="EZ794" s="16"/>
      <c r="FA794" s="17"/>
      <c r="FB794" s="17"/>
      <c r="FC794" s="16"/>
      <c r="FD794" s="16"/>
      <c r="FE794" s="17"/>
      <c r="FF794" s="17"/>
      <c r="FG794" s="11"/>
      <c r="GT794" s="11"/>
      <c r="IG794" s="11"/>
      <c r="JT794" s="11"/>
      <c r="LG794" s="11"/>
      <c r="MT794" s="11"/>
      <c r="OG794" s="11"/>
      <c r="PT794" s="11"/>
    </row>
    <row r="795" spans="3:436" ht="15.75" x14ac:dyDescent="0.25">
      <c r="C795" s="20" t="s">
        <v>579</v>
      </c>
      <c r="D795" s="21" t="s">
        <v>203</v>
      </c>
      <c r="H795" s="11"/>
      <c r="AU795" s="11"/>
      <c r="CH795" s="11"/>
      <c r="CI795" s="16"/>
      <c r="CJ795" s="16"/>
      <c r="CK795" s="16"/>
      <c r="CL795" s="16"/>
      <c r="CM795" s="16"/>
      <c r="CN795" s="16"/>
      <c r="CO795" s="16"/>
      <c r="CP795" s="16"/>
      <c r="CQ795" s="16"/>
      <c r="CR795" s="16"/>
      <c r="CS795" s="16"/>
      <c r="CT795" s="16"/>
      <c r="CU795" s="16"/>
      <c r="CV795" s="16"/>
      <c r="CW795" s="16"/>
      <c r="CX795" s="16"/>
      <c r="CY795" s="16"/>
      <c r="CZ795" s="16"/>
      <c r="DA795" s="16"/>
      <c r="DB795" s="16"/>
      <c r="DC795" s="16"/>
      <c r="DD795" s="16"/>
      <c r="DE795" s="17"/>
      <c r="DF795" s="17"/>
      <c r="DG795" s="16"/>
      <c r="DH795" s="16"/>
      <c r="DI795" s="17"/>
      <c r="DJ795" s="17"/>
      <c r="DK795" s="16"/>
      <c r="DL795" s="16"/>
      <c r="DM795" s="17"/>
      <c r="DN795" s="17"/>
      <c r="DO795" s="16"/>
      <c r="DP795" s="16"/>
      <c r="DQ795" s="17"/>
      <c r="DR795" s="17"/>
      <c r="DS795" s="16"/>
      <c r="DT795" s="16"/>
      <c r="DU795" s="17"/>
      <c r="DV795" s="17"/>
      <c r="DW795" s="16"/>
      <c r="DX795" s="16"/>
      <c r="DY795" s="17"/>
      <c r="DZ795" s="17"/>
      <c r="EA795" s="16"/>
      <c r="EB795" s="16"/>
      <c r="EC795" s="17"/>
      <c r="ED795" s="17"/>
      <c r="EE795" s="16"/>
      <c r="EF795" s="16"/>
      <c r="EG795" s="18">
        <v>3</v>
      </c>
      <c r="EH795" s="18">
        <v>5</v>
      </c>
      <c r="EI795" s="16"/>
      <c r="EJ795" s="16"/>
      <c r="EK795" s="17"/>
      <c r="EL795" s="17"/>
      <c r="EM795" s="16"/>
      <c r="EN795" s="16"/>
      <c r="EO795" s="17"/>
      <c r="EP795" s="17"/>
      <c r="EQ795" s="16"/>
      <c r="ER795" s="16"/>
      <c r="ES795" s="17"/>
      <c r="ET795" s="17"/>
      <c r="EU795" s="16"/>
      <c r="EV795" s="16"/>
      <c r="EW795" s="17"/>
      <c r="EX795" s="17"/>
      <c r="EY795" s="16"/>
      <c r="EZ795" s="16"/>
      <c r="FA795" s="17"/>
      <c r="FB795" s="17"/>
      <c r="FC795" s="16"/>
      <c r="FD795" s="16"/>
      <c r="FE795" s="17"/>
      <c r="FF795" s="17"/>
      <c r="FG795" s="11"/>
      <c r="GT795" s="11"/>
      <c r="IG795" s="11"/>
      <c r="JT795" s="11"/>
      <c r="LG795" s="11"/>
      <c r="MT795" s="11"/>
      <c r="OG795" s="11"/>
      <c r="PT795" s="11"/>
    </row>
    <row r="796" spans="3:436" ht="15.75" x14ac:dyDescent="0.25">
      <c r="C796" s="20" t="s">
        <v>583</v>
      </c>
      <c r="D796" s="21" t="s">
        <v>203</v>
      </c>
      <c r="H796" s="11"/>
      <c r="AU796" s="11"/>
      <c r="CH796" s="11"/>
      <c r="CI796" s="16"/>
      <c r="CJ796" s="16"/>
      <c r="CK796" s="16"/>
      <c r="CL796" s="16"/>
      <c r="CM796" s="16"/>
      <c r="CN796" s="16"/>
      <c r="CO796" s="16"/>
      <c r="CP796" s="16"/>
      <c r="CQ796" s="16"/>
      <c r="CR796" s="16"/>
      <c r="CS796" s="16"/>
      <c r="CT796" s="16"/>
      <c r="CU796" s="16"/>
      <c r="CV796" s="16"/>
      <c r="CW796" s="16"/>
      <c r="CX796" s="16"/>
      <c r="CY796" s="16"/>
      <c r="CZ796" s="16"/>
      <c r="DA796" s="16"/>
      <c r="DB796" s="16"/>
      <c r="DC796" s="16"/>
      <c r="DD796" s="16"/>
      <c r="DE796" s="17"/>
      <c r="DF796" s="17"/>
      <c r="DG796" s="16"/>
      <c r="DH796" s="16"/>
      <c r="DI796" s="17"/>
      <c r="DJ796" s="17"/>
      <c r="DK796" s="16"/>
      <c r="DL796" s="16"/>
      <c r="DM796" s="17"/>
      <c r="DN796" s="17"/>
      <c r="DO796" s="16"/>
      <c r="DP796" s="16"/>
      <c r="DQ796" s="17"/>
      <c r="DR796" s="17"/>
      <c r="DS796" s="16"/>
      <c r="DT796" s="16"/>
      <c r="DU796" s="17"/>
      <c r="DV796" s="17"/>
      <c r="DW796" s="16"/>
      <c r="DX796" s="16"/>
      <c r="DY796" s="17"/>
      <c r="DZ796" s="17"/>
      <c r="EA796" s="16"/>
      <c r="EB796" s="16"/>
      <c r="EC796" s="17"/>
      <c r="ED796" s="17"/>
      <c r="EE796" s="16"/>
      <c r="EF796" s="16"/>
      <c r="EG796" s="18">
        <v>2</v>
      </c>
      <c r="EH796" s="18">
        <v>2</v>
      </c>
      <c r="EI796" s="16"/>
      <c r="EJ796" s="16"/>
      <c r="EK796" s="17"/>
      <c r="EL796" s="17"/>
      <c r="EM796" s="16"/>
      <c r="EN796" s="16"/>
      <c r="EO796" s="17"/>
      <c r="EP796" s="17"/>
      <c r="EQ796" s="16"/>
      <c r="ER796" s="16"/>
      <c r="ES796" s="17"/>
      <c r="ET796" s="17"/>
      <c r="EU796" s="16"/>
      <c r="EV796" s="16"/>
      <c r="EW796" s="17"/>
      <c r="EX796" s="17"/>
      <c r="EY796" s="16"/>
      <c r="EZ796" s="16"/>
      <c r="FA796" s="17"/>
      <c r="FB796" s="17"/>
      <c r="FC796" s="16"/>
      <c r="FD796" s="16"/>
      <c r="FE796" s="17"/>
      <c r="FF796" s="17"/>
      <c r="FG796" s="11"/>
      <c r="GT796" s="11"/>
      <c r="IG796" s="11"/>
      <c r="JT796" s="11"/>
      <c r="LG796" s="11"/>
      <c r="MT796" s="11"/>
      <c r="OG796" s="11"/>
      <c r="PT796" s="11"/>
    </row>
    <row r="797" spans="3:436" ht="15.75" x14ac:dyDescent="0.25">
      <c r="C797" s="20" t="s">
        <v>584</v>
      </c>
      <c r="D797" s="21" t="s">
        <v>203</v>
      </c>
      <c r="H797" s="11"/>
      <c r="AU797" s="11"/>
      <c r="CH797" s="11"/>
      <c r="CI797" s="16"/>
      <c r="CJ797" s="16"/>
      <c r="CK797" s="16"/>
      <c r="CL797" s="16"/>
      <c r="CM797" s="16"/>
      <c r="CN797" s="16"/>
      <c r="CO797" s="16"/>
      <c r="CP797" s="16"/>
      <c r="CQ797" s="16"/>
      <c r="CR797" s="16"/>
      <c r="CS797" s="16"/>
      <c r="CT797" s="16"/>
      <c r="CU797" s="16"/>
      <c r="CV797" s="16"/>
      <c r="CW797" s="16"/>
      <c r="CX797" s="16"/>
      <c r="CY797" s="16"/>
      <c r="CZ797" s="16"/>
      <c r="DA797" s="16"/>
      <c r="DB797" s="16"/>
      <c r="DC797" s="16"/>
      <c r="DD797" s="16"/>
      <c r="DE797" s="17"/>
      <c r="DF797" s="17"/>
      <c r="DG797" s="16"/>
      <c r="DH797" s="16"/>
      <c r="DI797" s="17"/>
      <c r="DJ797" s="17"/>
      <c r="DK797" s="16"/>
      <c r="DL797" s="16"/>
      <c r="DM797" s="17"/>
      <c r="DN797" s="17"/>
      <c r="DO797" s="16"/>
      <c r="DP797" s="16"/>
      <c r="DQ797" s="17"/>
      <c r="DR797" s="17"/>
      <c r="DS797" s="16"/>
      <c r="DT797" s="16"/>
      <c r="DU797" s="17"/>
      <c r="DV797" s="17"/>
      <c r="DW797" s="16"/>
      <c r="DX797" s="16"/>
      <c r="DY797" s="17"/>
      <c r="DZ797" s="17"/>
      <c r="EA797" s="16"/>
      <c r="EB797" s="16"/>
      <c r="EC797" s="17"/>
      <c r="ED797" s="17"/>
      <c r="EE797" s="16"/>
      <c r="EF797" s="16"/>
      <c r="EG797" s="18">
        <v>1</v>
      </c>
      <c r="EH797" s="18">
        <v>2</v>
      </c>
      <c r="EI797" s="16"/>
      <c r="EJ797" s="16"/>
      <c r="EK797" s="17"/>
      <c r="EL797" s="17"/>
      <c r="EM797" s="16"/>
      <c r="EN797" s="16"/>
      <c r="EO797" s="17"/>
      <c r="EP797" s="17"/>
      <c r="EQ797" s="16"/>
      <c r="ER797" s="16"/>
      <c r="ES797" s="17"/>
      <c r="ET797" s="17"/>
      <c r="EU797" s="16"/>
      <c r="EV797" s="16"/>
      <c r="EW797" s="17"/>
      <c r="EX797" s="17"/>
      <c r="EY797" s="16"/>
      <c r="EZ797" s="16"/>
      <c r="FA797" s="17"/>
      <c r="FB797" s="17"/>
      <c r="FC797" s="16"/>
      <c r="FD797" s="16"/>
      <c r="FE797" s="17"/>
      <c r="FF797" s="17"/>
      <c r="FG797" s="11"/>
      <c r="GT797" s="11"/>
      <c r="IG797" s="11"/>
      <c r="JT797" s="11"/>
      <c r="LG797" s="11"/>
      <c r="MT797" s="11"/>
      <c r="OG797" s="11"/>
      <c r="PT797" s="11"/>
    </row>
    <row r="798" spans="3:436" ht="15.75" x14ac:dyDescent="0.25">
      <c r="C798" s="20" t="s">
        <v>580</v>
      </c>
      <c r="D798" s="21" t="s">
        <v>203</v>
      </c>
      <c r="H798" s="11"/>
      <c r="AU798" s="11"/>
      <c r="CH798" s="11"/>
      <c r="CI798" s="16"/>
      <c r="CJ798" s="16"/>
      <c r="CK798" s="16"/>
      <c r="CL798" s="16"/>
      <c r="CM798" s="16"/>
      <c r="CN798" s="16"/>
      <c r="CO798" s="16"/>
      <c r="CP798" s="16"/>
      <c r="CQ798" s="16"/>
      <c r="CR798" s="16"/>
      <c r="CS798" s="16"/>
      <c r="CT798" s="16"/>
      <c r="CU798" s="16"/>
      <c r="CV798" s="16"/>
      <c r="CW798" s="16"/>
      <c r="CX798" s="16"/>
      <c r="CY798" s="16"/>
      <c r="CZ798" s="16"/>
      <c r="DA798" s="16"/>
      <c r="DB798" s="16"/>
      <c r="DC798" s="16"/>
      <c r="DD798" s="16"/>
      <c r="DE798" s="17"/>
      <c r="DF798" s="17"/>
      <c r="DG798" s="16"/>
      <c r="DH798" s="16"/>
      <c r="DI798" s="17"/>
      <c r="DJ798" s="17"/>
      <c r="DK798" s="16"/>
      <c r="DL798" s="16"/>
      <c r="DM798" s="17"/>
      <c r="DN798" s="17"/>
      <c r="DO798" s="16"/>
      <c r="DP798" s="16"/>
      <c r="DQ798" s="17"/>
      <c r="DR798" s="17"/>
      <c r="DS798" s="16"/>
      <c r="DT798" s="16"/>
      <c r="DU798" s="17"/>
      <c r="DV798" s="17"/>
      <c r="DW798" s="16"/>
      <c r="DX798" s="16"/>
      <c r="DY798" s="17"/>
      <c r="DZ798" s="17"/>
      <c r="EA798" s="16"/>
      <c r="EB798" s="16"/>
      <c r="EC798" s="17"/>
      <c r="ED798" s="17"/>
      <c r="EE798" s="16"/>
      <c r="EF798" s="16"/>
      <c r="EG798" s="18">
        <v>1</v>
      </c>
      <c r="EH798" s="18">
        <v>2</v>
      </c>
      <c r="EI798" s="16"/>
      <c r="EJ798" s="16"/>
      <c r="EK798" s="17"/>
      <c r="EL798" s="17"/>
      <c r="EM798" s="16"/>
      <c r="EN798" s="16"/>
      <c r="EO798" s="17"/>
      <c r="EP798" s="17"/>
      <c r="EQ798" s="16"/>
      <c r="ER798" s="16"/>
      <c r="ES798" s="17"/>
      <c r="ET798" s="17"/>
      <c r="EU798" s="16"/>
      <c r="EV798" s="16"/>
      <c r="EW798" s="17"/>
      <c r="EX798" s="17"/>
      <c r="EY798" s="16"/>
      <c r="EZ798" s="16"/>
      <c r="FA798" s="17"/>
      <c r="FB798" s="17"/>
      <c r="FC798" s="16"/>
      <c r="FD798" s="16"/>
      <c r="FE798" s="17"/>
      <c r="FF798" s="17"/>
      <c r="FG798" s="11"/>
      <c r="GT798" s="11"/>
      <c r="IG798" s="11"/>
      <c r="JT798" s="11"/>
      <c r="LG798" s="11"/>
      <c r="MT798" s="11"/>
      <c r="OG798" s="11"/>
      <c r="PT798" s="11"/>
    </row>
    <row r="799" spans="3:436" ht="15.75" x14ac:dyDescent="0.25">
      <c r="C799" s="20" t="s">
        <v>562</v>
      </c>
      <c r="D799" s="21" t="s">
        <v>159</v>
      </c>
      <c r="H799" s="11"/>
      <c r="AU799" s="11"/>
      <c r="CH799" s="11"/>
      <c r="CI799" s="16"/>
      <c r="CJ799" s="16"/>
      <c r="CK799" s="16"/>
      <c r="CL799" s="16"/>
      <c r="CM799" s="16"/>
      <c r="CN799" s="16"/>
      <c r="CO799" s="16"/>
      <c r="CP799" s="16"/>
      <c r="CQ799" s="16"/>
      <c r="CR799" s="16"/>
      <c r="CS799" s="16"/>
      <c r="CT799" s="16"/>
      <c r="CU799" s="16"/>
      <c r="CV799" s="16"/>
      <c r="CW799" s="16"/>
      <c r="CX799" s="16"/>
      <c r="CY799" s="16"/>
      <c r="CZ799" s="16"/>
      <c r="DA799" s="16"/>
      <c r="DB799" s="16"/>
      <c r="DC799" s="16"/>
      <c r="DD799" s="16"/>
      <c r="DE799" s="17"/>
      <c r="DF799" s="17"/>
      <c r="DG799" s="16"/>
      <c r="DH799" s="16"/>
      <c r="DI799" s="17"/>
      <c r="DJ799" s="17"/>
      <c r="DK799" s="16"/>
      <c r="DL799" s="16"/>
      <c r="DM799" s="17"/>
      <c r="DN799" s="17"/>
      <c r="DO799" s="16"/>
      <c r="DP799" s="16"/>
      <c r="DQ799" s="17"/>
      <c r="DR799" s="17"/>
      <c r="DS799" s="16"/>
      <c r="DT799" s="16"/>
      <c r="DU799" s="17"/>
      <c r="DV799" s="17"/>
      <c r="DW799" s="16"/>
      <c r="DX799" s="16"/>
      <c r="DY799" s="17"/>
      <c r="DZ799" s="17"/>
      <c r="EA799" s="16"/>
      <c r="EB799" s="16"/>
      <c r="EC799" s="17"/>
      <c r="ED799" s="17"/>
      <c r="EE799" s="16"/>
      <c r="EF799" s="16"/>
      <c r="EG799" s="17"/>
      <c r="EH799" s="17"/>
      <c r="EI799" s="16"/>
      <c r="EJ799" s="16"/>
      <c r="EK799" s="17"/>
      <c r="EL799" s="17"/>
      <c r="EM799" s="16"/>
      <c r="EN799" s="16"/>
      <c r="EO799" s="17"/>
      <c r="EP799" s="17"/>
      <c r="EQ799" s="16"/>
      <c r="ER799" s="16"/>
      <c r="ES799" s="17"/>
      <c r="ET799" s="17"/>
      <c r="EU799" s="16"/>
      <c r="EV799" s="16"/>
      <c r="EW799" s="17"/>
      <c r="EX799" s="17"/>
      <c r="EY799" s="16"/>
      <c r="EZ799" s="16"/>
      <c r="FA799" s="17"/>
      <c r="FB799" s="17"/>
      <c r="FC799" s="16"/>
      <c r="FD799" s="16"/>
      <c r="FE799" s="17"/>
      <c r="FF799" s="17"/>
      <c r="FG799" s="11"/>
      <c r="GT799" s="11"/>
      <c r="IG799" s="11"/>
      <c r="JT799" s="11"/>
      <c r="LG799" s="11"/>
      <c r="MT799" s="11"/>
      <c r="OG799" s="11"/>
      <c r="PT799" s="11"/>
    </row>
    <row r="800" spans="3:436" ht="15.75" x14ac:dyDescent="0.25">
      <c r="C800" s="20" t="s">
        <v>563</v>
      </c>
      <c r="D800" s="21" t="s">
        <v>82</v>
      </c>
      <c r="H800" s="11"/>
      <c r="AU800" s="11"/>
      <c r="CH800" s="11"/>
      <c r="CI800" s="16"/>
      <c r="CJ800" s="16"/>
      <c r="CK800" s="16"/>
      <c r="CL800" s="16"/>
      <c r="CM800" s="16"/>
      <c r="CN800" s="16"/>
      <c r="CO800" s="16"/>
      <c r="CP800" s="16"/>
      <c r="CQ800" s="16"/>
      <c r="CR800" s="16"/>
      <c r="CS800" s="16"/>
      <c r="CT800" s="16"/>
      <c r="CU800" s="16"/>
      <c r="CV800" s="16"/>
      <c r="CW800" s="16"/>
      <c r="CX800" s="16"/>
      <c r="CY800" s="16"/>
      <c r="CZ800" s="16"/>
      <c r="DA800" s="16"/>
      <c r="DB800" s="16"/>
      <c r="DC800" s="16"/>
      <c r="DD800" s="16"/>
      <c r="DE800" s="17"/>
      <c r="DF800" s="17"/>
      <c r="DG800" s="16"/>
      <c r="DH800" s="16"/>
      <c r="DI800" s="17"/>
      <c r="DJ800" s="17"/>
      <c r="DK800" s="16"/>
      <c r="DL800" s="16"/>
      <c r="DM800" s="17"/>
      <c r="DN800" s="17"/>
      <c r="DO800" s="16"/>
      <c r="DP800" s="16"/>
      <c r="DQ800" s="17"/>
      <c r="DR800" s="17"/>
      <c r="DS800" s="16"/>
      <c r="DT800" s="16"/>
      <c r="DU800" s="17"/>
      <c r="DV800" s="17"/>
      <c r="DW800" s="16"/>
      <c r="DX800" s="16"/>
      <c r="DY800" s="17"/>
      <c r="DZ800" s="17"/>
      <c r="EA800" s="16"/>
      <c r="EB800" s="16"/>
      <c r="EC800" s="17"/>
      <c r="ED800" s="17"/>
      <c r="EE800" s="16"/>
      <c r="EF800" s="16"/>
      <c r="EG800" s="17"/>
      <c r="EH800" s="17"/>
      <c r="EI800" s="16"/>
      <c r="EJ800" s="16"/>
      <c r="EK800" s="17"/>
      <c r="EL800" s="17"/>
      <c r="EM800" s="16"/>
      <c r="EN800" s="16"/>
      <c r="EO800" s="17"/>
      <c r="EP800" s="17"/>
      <c r="EQ800" s="16"/>
      <c r="ER800" s="16"/>
      <c r="ES800" s="17"/>
      <c r="ET800" s="17"/>
      <c r="EU800" s="16"/>
      <c r="EV800" s="16"/>
      <c r="EW800" s="17"/>
      <c r="EX800" s="17"/>
      <c r="EY800" s="16"/>
      <c r="EZ800" s="16"/>
      <c r="FA800" s="17"/>
      <c r="FB800" s="17"/>
      <c r="FC800" s="16"/>
      <c r="FD800" s="16"/>
      <c r="FE800" s="17"/>
      <c r="FF800" s="17"/>
      <c r="FG800" s="11"/>
      <c r="GT800" s="11"/>
      <c r="IG800" s="11"/>
      <c r="JT800" s="11"/>
      <c r="LG800" s="11"/>
      <c r="MT800" s="11"/>
      <c r="OG800" s="11"/>
      <c r="PT800" s="11"/>
    </row>
    <row r="801" spans="3:436" ht="15.75" x14ac:dyDescent="0.25">
      <c r="C801" s="20" t="s">
        <v>581</v>
      </c>
      <c r="D801" s="21" t="s">
        <v>82</v>
      </c>
      <c r="H801" s="11"/>
      <c r="AU801" s="11"/>
      <c r="CH801" s="11"/>
      <c r="CI801" s="16"/>
      <c r="CJ801" s="16"/>
      <c r="CK801" s="16"/>
      <c r="CL801" s="16"/>
      <c r="CM801" s="16"/>
      <c r="CN801" s="16"/>
      <c r="CO801" s="16"/>
      <c r="CP801" s="16"/>
      <c r="CQ801" s="16"/>
      <c r="CR801" s="16"/>
      <c r="CS801" s="16"/>
      <c r="CT801" s="16"/>
      <c r="CU801" s="16"/>
      <c r="CV801" s="16"/>
      <c r="CW801" s="16"/>
      <c r="CX801" s="16"/>
      <c r="CY801" s="16"/>
      <c r="CZ801" s="16"/>
      <c r="DA801" s="16"/>
      <c r="DB801" s="16"/>
      <c r="DC801" s="16"/>
      <c r="DD801" s="16"/>
      <c r="DE801" s="17"/>
      <c r="DF801" s="17"/>
      <c r="DG801" s="16"/>
      <c r="DH801" s="16"/>
      <c r="DI801" s="17"/>
      <c r="DJ801" s="17"/>
      <c r="DK801" s="16"/>
      <c r="DL801" s="16"/>
      <c r="DM801" s="17"/>
      <c r="DN801" s="17"/>
      <c r="DO801" s="16"/>
      <c r="DP801" s="16"/>
      <c r="DQ801" s="17"/>
      <c r="DR801" s="17"/>
      <c r="DS801" s="16"/>
      <c r="DT801" s="16"/>
      <c r="DU801" s="17"/>
      <c r="DV801" s="17"/>
      <c r="DW801" s="16"/>
      <c r="DX801" s="16"/>
      <c r="DY801" s="17"/>
      <c r="DZ801" s="17"/>
      <c r="EA801" s="16"/>
      <c r="EB801" s="16"/>
      <c r="EC801" s="17"/>
      <c r="ED801" s="17"/>
      <c r="EE801" s="16"/>
      <c r="EF801" s="16"/>
      <c r="EG801" s="17"/>
      <c r="EH801" s="17"/>
      <c r="EI801" s="16"/>
      <c r="EJ801" s="16"/>
      <c r="EK801" s="17"/>
      <c r="EL801" s="17"/>
      <c r="EM801" s="16"/>
      <c r="EN801" s="16"/>
      <c r="EO801" s="17"/>
      <c r="EP801" s="17"/>
      <c r="EQ801" s="16"/>
      <c r="ER801" s="16"/>
      <c r="ES801" s="18">
        <v>5</v>
      </c>
      <c r="ET801" s="18">
        <v>10</v>
      </c>
      <c r="EU801" s="16"/>
      <c r="EV801" s="16"/>
      <c r="EW801" s="17"/>
      <c r="EX801" s="17"/>
      <c r="EY801" s="16"/>
      <c r="EZ801" s="16"/>
      <c r="FA801" s="17"/>
      <c r="FB801" s="17"/>
      <c r="FC801" s="16"/>
      <c r="FD801" s="16"/>
      <c r="FE801" s="17"/>
      <c r="FF801" s="17"/>
      <c r="FG801" s="11"/>
      <c r="GT801" s="11"/>
      <c r="IG801" s="11"/>
      <c r="JT801" s="11"/>
      <c r="LG801" s="11"/>
      <c r="MT801" s="11"/>
      <c r="OG801" s="11"/>
      <c r="PT801" s="11"/>
    </row>
    <row r="802" spans="3:436" ht="15.75" x14ac:dyDescent="0.25">
      <c r="C802" s="20" t="s">
        <v>410</v>
      </c>
      <c r="D802" s="21" t="s">
        <v>142</v>
      </c>
      <c r="H802" s="11"/>
      <c r="AU802" s="11"/>
      <c r="CH802" s="11"/>
      <c r="CI802" s="16"/>
      <c r="CJ802" s="16"/>
      <c r="CK802" s="16"/>
      <c r="CL802" s="16"/>
      <c r="CM802" s="16"/>
      <c r="CN802" s="16"/>
      <c r="CO802" s="16"/>
      <c r="CP802" s="16"/>
      <c r="CQ802" s="16"/>
      <c r="CR802" s="16"/>
      <c r="CS802" s="16"/>
      <c r="CT802" s="16"/>
      <c r="CU802" s="16"/>
      <c r="CV802" s="16"/>
      <c r="CW802" s="16"/>
      <c r="CX802" s="16"/>
      <c r="CY802" s="16"/>
      <c r="CZ802" s="16"/>
      <c r="DA802" s="16"/>
      <c r="DB802" s="16"/>
      <c r="DC802" s="16"/>
      <c r="DD802" s="16"/>
      <c r="DE802" s="17"/>
      <c r="DF802" s="17"/>
      <c r="DG802" s="16"/>
      <c r="DH802" s="16"/>
      <c r="DI802" s="17"/>
      <c r="DJ802" s="17"/>
      <c r="DK802" s="16"/>
      <c r="DL802" s="16"/>
      <c r="DM802" s="17"/>
      <c r="DN802" s="17"/>
      <c r="DO802" s="16"/>
      <c r="DP802" s="16"/>
      <c r="DQ802" s="17"/>
      <c r="DR802" s="17"/>
      <c r="DS802" s="16"/>
      <c r="DT802" s="16"/>
      <c r="DU802" s="17"/>
      <c r="DV802" s="17"/>
      <c r="DW802" s="16"/>
      <c r="DX802" s="16"/>
      <c r="DY802" s="17"/>
      <c r="DZ802" s="17"/>
      <c r="EA802" s="16"/>
      <c r="EB802" s="16"/>
      <c r="EC802" s="17"/>
      <c r="ED802" s="17"/>
      <c r="EE802" s="16"/>
      <c r="EF802" s="16"/>
      <c r="EG802" s="17"/>
      <c r="EH802" s="17"/>
      <c r="EI802" s="16"/>
      <c r="EJ802" s="16"/>
      <c r="EK802" s="17"/>
      <c r="EL802" s="17"/>
      <c r="EM802" s="16"/>
      <c r="EN802" s="16"/>
      <c r="EO802" s="17"/>
      <c r="EP802" s="17"/>
      <c r="EQ802" s="16"/>
      <c r="ER802" s="16"/>
      <c r="ES802" s="17"/>
      <c r="ET802" s="17"/>
      <c r="EU802" s="16"/>
      <c r="EV802" s="16"/>
      <c r="EW802" s="17"/>
      <c r="EX802" s="17"/>
      <c r="EY802" s="16"/>
      <c r="EZ802" s="16"/>
      <c r="FA802" s="17"/>
      <c r="FB802" s="17"/>
      <c r="FC802" s="16"/>
      <c r="FD802" s="16"/>
      <c r="FE802" s="17"/>
      <c r="FF802" s="17"/>
      <c r="FG802" s="11"/>
      <c r="GT802" s="11"/>
      <c r="IG802" s="11"/>
      <c r="JT802" s="11"/>
      <c r="LG802" s="11"/>
      <c r="MT802" s="11"/>
      <c r="OG802" s="11"/>
      <c r="PT802" s="11"/>
    </row>
    <row r="803" spans="3:436" ht="15.75" x14ac:dyDescent="0.25">
      <c r="C803" s="20" t="s">
        <v>578</v>
      </c>
      <c r="D803" s="21" t="s">
        <v>90</v>
      </c>
      <c r="H803" s="11"/>
      <c r="AU803" s="11"/>
      <c r="CH803" s="11"/>
      <c r="CI803" s="16"/>
      <c r="CJ803" s="16"/>
      <c r="CK803" s="16"/>
      <c r="CL803" s="16"/>
      <c r="CM803" s="16"/>
      <c r="CN803" s="16"/>
      <c r="CO803" s="16"/>
      <c r="CP803" s="16"/>
      <c r="CQ803" s="16"/>
      <c r="CR803" s="16"/>
      <c r="CS803" s="16"/>
      <c r="CT803" s="16"/>
      <c r="CU803" s="16"/>
      <c r="CV803" s="16"/>
      <c r="CW803" s="16"/>
      <c r="CX803" s="16"/>
      <c r="CY803" s="16"/>
      <c r="CZ803" s="16"/>
      <c r="DA803" s="16"/>
      <c r="DB803" s="16"/>
      <c r="DC803" s="16"/>
      <c r="DD803" s="16"/>
      <c r="DE803" s="17"/>
      <c r="DF803" s="17"/>
      <c r="DG803" s="16"/>
      <c r="DH803" s="16"/>
      <c r="DI803" s="17"/>
      <c r="DJ803" s="17"/>
      <c r="DK803" s="16"/>
      <c r="DL803" s="16"/>
      <c r="DM803" s="17"/>
      <c r="DN803" s="17"/>
      <c r="DO803" s="16"/>
      <c r="DP803" s="16"/>
      <c r="DQ803" s="17"/>
      <c r="DR803" s="17"/>
      <c r="DS803" s="16"/>
      <c r="DT803" s="16"/>
      <c r="DU803" s="17"/>
      <c r="DV803" s="17"/>
      <c r="DW803" s="16"/>
      <c r="DX803" s="16"/>
      <c r="DY803" s="17"/>
      <c r="DZ803" s="17"/>
      <c r="EA803" s="16"/>
      <c r="EB803" s="16"/>
      <c r="EC803" s="17"/>
      <c r="ED803" s="17"/>
      <c r="EE803" s="16"/>
      <c r="EF803" s="16"/>
      <c r="EG803" s="17"/>
      <c r="EH803" s="17"/>
      <c r="EI803" s="16"/>
      <c r="EJ803" s="16"/>
      <c r="EK803" s="17"/>
      <c r="EL803" s="17"/>
      <c r="EM803" s="16"/>
      <c r="EN803" s="16"/>
      <c r="EO803" s="17"/>
      <c r="EP803" s="17"/>
      <c r="EQ803" s="16"/>
      <c r="ER803" s="16"/>
      <c r="ES803" s="17"/>
      <c r="ET803" s="17"/>
      <c r="EU803" s="16"/>
      <c r="EV803" s="16"/>
      <c r="EW803" s="17"/>
      <c r="EX803" s="17"/>
      <c r="EY803" s="16"/>
      <c r="EZ803" s="16"/>
      <c r="FA803" s="17"/>
      <c r="FB803" s="17"/>
      <c r="FC803" s="16"/>
      <c r="FD803" s="16"/>
      <c r="FE803" s="17"/>
      <c r="FF803" s="17"/>
      <c r="FG803" s="11"/>
      <c r="GT803" s="11"/>
      <c r="IG803" s="11"/>
      <c r="JT803" s="11"/>
      <c r="LG803" s="11"/>
      <c r="MT803" s="11"/>
      <c r="OG803" s="11"/>
      <c r="PT803" s="11"/>
    </row>
    <row r="804" spans="3:436" ht="15.75" x14ac:dyDescent="0.25">
      <c r="C804" s="20" t="s">
        <v>585</v>
      </c>
      <c r="D804" s="21" t="s">
        <v>162</v>
      </c>
      <c r="H804" s="11"/>
      <c r="AU804" s="11"/>
      <c r="CH804" s="11"/>
      <c r="CI804" s="16"/>
      <c r="CJ804" s="16"/>
      <c r="CK804" s="16"/>
      <c r="CL804" s="16"/>
      <c r="CM804" s="16"/>
      <c r="CN804" s="16"/>
      <c r="CO804" s="16"/>
      <c r="CP804" s="16"/>
      <c r="CQ804" s="16"/>
      <c r="CR804" s="16"/>
      <c r="CS804" s="16"/>
      <c r="CT804" s="16"/>
      <c r="CU804" s="16"/>
      <c r="CV804" s="16"/>
      <c r="CW804" s="16"/>
      <c r="CX804" s="16"/>
      <c r="CY804" s="16"/>
      <c r="CZ804" s="16"/>
      <c r="DA804" s="16"/>
      <c r="DB804" s="16"/>
      <c r="DC804" s="16"/>
      <c r="DD804" s="16"/>
      <c r="DE804" s="17"/>
      <c r="DF804" s="17"/>
      <c r="DG804" s="16"/>
      <c r="DH804" s="16"/>
      <c r="DI804" s="17"/>
      <c r="DJ804" s="17"/>
      <c r="DK804" s="16"/>
      <c r="DL804" s="16"/>
      <c r="DM804" s="17"/>
      <c r="DN804" s="17"/>
      <c r="DO804" s="16"/>
      <c r="DP804" s="16"/>
      <c r="DQ804" s="17"/>
      <c r="DR804" s="17"/>
      <c r="DS804" s="16"/>
      <c r="DT804" s="16"/>
      <c r="DU804" s="17"/>
      <c r="DV804" s="17"/>
      <c r="DW804" s="16"/>
      <c r="DX804" s="16"/>
      <c r="DY804" s="17"/>
      <c r="DZ804" s="17"/>
      <c r="EA804" s="16"/>
      <c r="EB804" s="16"/>
      <c r="EC804" s="17"/>
      <c r="ED804" s="17"/>
      <c r="EE804" s="16"/>
      <c r="EF804" s="16"/>
      <c r="EG804" s="17"/>
      <c r="EH804" s="17"/>
      <c r="EI804" s="16"/>
      <c r="EJ804" s="16"/>
      <c r="EK804" s="17"/>
      <c r="EL804" s="17"/>
      <c r="EM804" s="16"/>
      <c r="EN804" s="16"/>
      <c r="EO804" s="17"/>
      <c r="EP804" s="17"/>
      <c r="EQ804" s="16"/>
      <c r="ER804" s="16"/>
      <c r="ES804" s="17"/>
      <c r="ET804" s="17"/>
      <c r="EU804" s="16"/>
      <c r="EV804" s="16"/>
      <c r="EW804" s="17"/>
      <c r="EX804" s="17"/>
      <c r="EY804" s="16"/>
      <c r="EZ804" s="16"/>
      <c r="FA804" s="17"/>
      <c r="FB804" s="17"/>
      <c r="FC804" s="16"/>
      <c r="FD804" s="16"/>
      <c r="FE804" s="17"/>
      <c r="FF804" s="17"/>
      <c r="FG804" s="11"/>
      <c r="GT804" s="11"/>
      <c r="IG804" s="11"/>
      <c r="JT804" s="11"/>
      <c r="LG804" s="11"/>
      <c r="MT804" s="11"/>
      <c r="OG804" s="11"/>
      <c r="PT804" s="11"/>
    </row>
    <row r="805" spans="3:436" ht="15.75" x14ac:dyDescent="0.25">
      <c r="C805" s="20" t="s">
        <v>586</v>
      </c>
      <c r="D805" s="21" t="s">
        <v>162</v>
      </c>
      <c r="H805" s="11"/>
      <c r="AU805" s="11"/>
      <c r="CH805" s="11"/>
      <c r="CI805" s="16"/>
      <c r="CJ805" s="16"/>
      <c r="CK805" s="16"/>
      <c r="CL805" s="16"/>
      <c r="CM805" s="16"/>
      <c r="CN805" s="16"/>
      <c r="CO805" s="16"/>
      <c r="CP805" s="16"/>
      <c r="CQ805" s="16"/>
      <c r="CR805" s="16"/>
      <c r="CS805" s="16"/>
      <c r="CT805" s="16"/>
      <c r="CU805" s="16"/>
      <c r="CV805" s="16"/>
      <c r="CW805" s="16"/>
      <c r="CX805" s="16"/>
      <c r="CY805" s="16"/>
      <c r="CZ805" s="16"/>
      <c r="DA805" s="16"/>
      <c r="DB805" s="16"/>
      <c r="DC805" s="16"/>
      <c r="DD805" s="16"/>
      <c r="DE805" s="17"/>
      <c r="DF805" s="17"/>
      <c r="DG805" s="16"/>
      <c r="DH805" s="16"/>
      <c r="DI805" s="17"/>
      <c r="DJ805" s="17"/>
      <c r="DK805" s="16"/>
      <c r="DL805" s="16"/>
      <c r="DM805" s="17"/>
      <c r="DN805" s="17"/>
      <c r="DO805" s="16"/>
      <c r="DP805" s="16"/>
      <c r="DQ805" s="17"/>
      <c r="DR805" s="17"/>
      <c r="DS805" s="16"/>
      <c r="DT805" s="16"/>
      <c r="DU805" s="17"/>
      <c r="DV805" s="17"/>
      <c r="DW805" s="16"/>
      <c r="DX805" s="16"/>
      <c r="DY805" s="17"/>
      <c r="DZ805" s="17"/>
      <c r="EA805" s="16"/>
      <c r="EB805" s="16"/>
      <c r="EC805" s="17"/>
      <c r="ED805" s="17"/>
      <c r="EE805" s="16"/>
      <c r="EF805" s="16"/>
      <c r="EG805" s="17"/>
      <c r="EH805" s="17"/>
      <c r="EI805" s="16"/>
      <c r="EJ805" s="16"/>
      <c r="EK805" s="17"/>
      <c r="EL805" s="17"/>
      <c r="EM805" s="16"/>
      <c r="EN805" s="16"/>
      <c r="EO805" s="17"/>
      <c r="EP805" s="17"/>
      <c r="EQ805" s="16"/>
      <c r="ER805" s="16"/>
      <c r="ES805" s="17"/>
      <c r="ET805" s="17"/>
      <c r="EU805" s="16"/>
      <c r="EV805" s="16"/>
      <c r="EW805" s="17"/>
      <c r="EX805" s="17"/>
      <c r="EY805" s="16"/>
      <c r="EZ805" s="16"/>
      <c r="FA805" s="17"/>
      <c r="FB805" s="17"/>
      <c r="FC805" s="16"/>
      <c r="FD805" s="16"/>
      <c r="FE805" s="17"/>
      <c r="FF805" s="17"/>
      <c r="FG805" s="11"/>
      <c r="GT805" s="11"/>
      <c r="IG805" s="11"/>
      <c r="JT805" s="11"/>
      <c r="LG805" s="11"/>
      <c r="MT805" s="11"/>
      <c r="OG805" s="11"/>
      <c r="PT805" s="11"/>
    </row>
    <row r="806" spans="3:436" ht="15.75" x14ac:dyDescent="0.25">
      <c r="C806" s="20" t="s">
        <v>587</v>
      </c>
      <c r="D806" s="21" t="s">
        <v>162</v>
      </c>
      <c r="H806" s="11"/>
      <c r="AU806" s="11"/>
      <c r="CH806" s="11"/>
      <c r="CI806" s="16"/>
      <c r="CJ806" s="16"/>
      <c r="CK806" s="16"/>
      <c r="CL806" s="16"/>
      <c r="CM806" s="16"/>
      <c r="CN806" s="16"/>
      <c r="CO806" s="16"/>
      <c r="CP806" s="16"/>
      <c r="CQ806" s="16"/>
      <c r="CR806" s="16"/>
      <c r="CS806" s="16"/>
      <c r="CT806" s="16"/>
      <c r="CU806" s="16"/>
      <c r="CV806" s="16"/>
      <c r="CW806" s="16"/>
      <c r="CX806" s="16"/>
      <c r="CY806" s="16"/>
      <c r="CZ806" s="16"/>
      <c r="DA806" s="16"/>
      <c r="DB806" s="16"/>
      <c r="DC806" s="16"/>
      <c r="DD806" s="16"/>
      <c r="DE806" s="17"/>
      <c r="DF806" s="17"/>
      <c r="DG806" s="16"/>
      <c r="DH806" s="16"/>
      <c r="DI806" s="17"/>
      <c r="DJ806" s="17"/>
      <c r="DK806" s="16"/>
      <c r="DL806" s="16"/>
      <c r="DM806" s="17"/>
      <c r="DN806" s="17"/>
      <c r="DO806" s="16"/>
      <c r="DP806" s="16"/>
      <c r="DQ806" s="17"/>
      <c r="DR806" s="17"/>
      <c r="DS806" s="16"/>
      <c r="DT806" s="16"/>
      <c r="DU806" s="17"/>
      <c r="DV806" s="17"/>
      <c r="DW806" s="16"/>
      <c r="DX806" s="16"/>
      <c r="DY806" s="17"/>
      <c r="DZ806" s="17"/>
      <c r="EA806" s="16"/>
      <c r="EB806" s="16"/>
      <c r="EC806" s="17"/>
      <c r="ED806" s="17"/>
      <c r="EE806" s="16"/>
      <c r="EF806" s="16"/>
      <c r="EG806" s="17"/>
      <c r="EH806" s="17"/>
      <c r="EI806" s="16"/>
      <c r="EJ806" s="16"/>
      <c r="EK806" s="17"/>
      <c r="EL806" s="17"/>
      <c r="EM806" s="16"/>
      <c r="EN806" s="16"/>
      <c r="EO806" s="17"/>
      <c r="EP806" s="17"/>
      <c r="EQ806" s="16"/>
      <c r="ER806" s="16"/>
      <c r="ES806" s="17"/>
      <c r="ET806" s="17"/>
      <c r="EU806" s="16"/>
      <c r="EV806" s="16"/>
      <c r="EW806" s="17"/>
      <c r="EX806" s="17"/>
      <c r="EY806" s="16"/>
      <c r="EZ806" s="16"/>
      <c r="FA806" s="17"/>
      <c r="FB806" s="17"/>
      <c r="FC806" s="16"/>
      <c r="FD806" s="16"/>
      <c r="FE806" s="17"/>
      <c r="FF806" s="17"/>
      <c r="FG806" s="11"/>
      <c r="GT806" s="11"/>
      <c r="IG806" s="11"/>
      <c r="JT806" s="11"/>
      <c r="LG806" s="11"/>
      <c r="MT806" s="11"/>
      <c r="OG806" s="11"/>
      <c r="PT806" s="11"/>
    </row>
    <row r="807" spans="3:436" ht="15.75" x14ac:dyDescent="0.25">
      <c r="C807" s="20" t="s">
        <v>588</v>
      </c>
      <c r="D807" s="21" t="s">
        <v>162</v>
      </c>
      <c r="H807" s="11"/>
      <c r="AU807" s="11"/>
      <c r="CH807" s="11"/>
      <c r="CI807" s="16"/>
      <c r="CJ807" s="16"/>
      <c r="CK807" s="16"/>
      <c r="CL807" s="16"/>
      <c r="CM807" s="16"/>
      <c r="CN807" s="16"/>
      <c r="CO807" s="16"/>
      <c r="CP807" s="16"/>
      <c r="CQ807" s="16"/>
      <c r="CR807" s="16"/>
      <c r="CS807" s="16"/>
      <c r="CT807" s="16"/>
      <c r="CU807" s="16"/>
      <c r="CV807" s="16"/>
      <c r="CW807" s="16"/>
      <c r="CX807" s="16"/>
      <c r="CY807" s="16"/>
      <c r="CZ807" s="16"/>
      <c r="DA807" s="16"/>
      <c r="DB807" s="16"/>
      <c r="DC807" s="16"/>
      <c r="DD807" s="16"/>
      <c r="DE807" s="17"/>
      <c r="DF807" s="17"/>
      <c r="DG807" s="16"/>
      <c r="DH807" s="16"/>
      <c r="DI807" s="17"/>
      <c r="DJ807" s="17"/>
      <c r="DK807" s="16"/>
      <c r="DL807" s="16"/>
      <c r="DM807" s="17"/>
      <c r="DN807" s="17"/>
      <c r="DO807" s="16"/>
      <c r="DP807" s="16"/>
      <c r="DQ807" s="17"/>
      <c r="DR807" s="17"/>
      <c r="DS807" s="16"/>
      <c r="DT807" s="16"/>
      <c r="DU807" s="17"/>
      <c r="DV807" s="17"/>
      <c r="DW807" s="16"/>
      <c r="DX807" s="16"/>
      <c r="DY807" s="17"/>
      <c r="DZ807" s="17"/>
      <c r="EA807" s="16"/>
      <c r="EB807" s="16"/>
      <c r="EC807" s="17"/>
      <c r="ED807" s="17"/>
      <c r="EE807" s="16"/>
      <c r="EF807" s="16"/>
      <c r="EG807" s="17"/>
      <c r="EH807" s="17"/>
      <c r="EI807" s="16"/>
      <c r="EJ807" s="16"/>
      <c r="EK807" s="17"/>
      <c r="EL807" s="17"/>
      <c r="EM807" s="16"/>
      <c r="EN807" s="16"/>
      <c r="EO807" s="17"/>
      <c r="EP807" s="17"/>
      <c r="EQ807" s="16"/>
      <c r="ER807" s="16"/>
      <c r="ES807" s="17"/>
      <c r="ET807" s="17"/>
      <c r="EU807" s="16"/>
      <c r="EV807" s="16"/>
      <c r="EW807" s="17"/>
      <c r="EX807" s="17"/>
      <c r="EY807" s="16"/>
      <c r="EZ807" s="16"/>
      <c r="FA807" s="17"/>
      <c r="FB807" s="17"/>
      <c r="FC807" s="16"/>
      <c r="FD807" s="16"/>
      <c r="FE807" s="17"/>
      <c r="FF807" s="17"/>
      <c r="FG807" s="11"/>
      <c r="GT807" s="11"/>
      <c r="IG807" s="11"/>
      <c r="JT807" s="11"/>
      <c r="LG807" s="11"/>
      <c r="MT807" s="11"/>
      <c r="OG807" s="11"/>
      <c r="PT807" s="11"/>
    </row>
    <row r="808" spans="3:436" ht="15.75" x14ac:dyDescent="0.25">
      <c r="C808" s="20" t="s">
        <v>589</v>
      </c>
      <c r="D808" s="21" t="s">
        <v>162</v>
      </c>
      <c r="H808" s="11"/>
      <c r="AU808" s="11"/>
      <c r="CH808" s="11"/>
      <c r="CI808" s="16"/>
      <c r="CJ808" s="16"/>
      <c r="CK808" s="16"/>
      <c r="CL808" s="16"/>
      <c r="CM808" s="16"/>
      <c r="CN808" s="16"/>
      <c r="CO808" s="16"/>
      <c r="CP808" s="16"/>
      <c r="CQ808" s="16"/>
      <c r="CR808" s="16"/>
      <c r="CS808" s="16"/>
      <c r="CT808" s="16"/>
      <c r="CU808" s="16"/>
      <c r="CV808" s="16"/>
      <c r="CW808" s="16"/>
      <c r="CX808" s="16"/>
      <c r="CY808" s="16"/>
      <c r="CZ808" s="16"/>
      <c r="DA808" s="16"/>
      <c r="DB808" s="16"/>
      <c r="DC808" s="16"/>
      <c r="DD808" s="16"/>
      <c r="DE808" s="17"/>
      <c r="DF808" s="17"/>
      <c r="DG808" s="16"/>
      <c r="DH808" s="16"/>
      <c r="DI808" s="17"/>
      <c r="DJ808" s="17"/>
      <c r="DK808" s="16"/>
      <c r="DL808" s="16"/>
      <c r="DM808" s="17"/>
      <c r="DN808" s="17"/>
      <c r="DO808" s="16"/>
      <c r="DP808" s="16"/>
      <c r="DQ808" s="17"/>
      <c r="DR808" s="17"/>
      <c r="DS808" s="16"/>
      <c r="DT808" s="16"/>
      <c r="DU808" s="17"/>
      <c r="DV808" s="17"/>
      <c r="DW808" s="16"/>
      <c r="DX808" s="16"/>
      <c r="DY808" s="17"/>
      <c r="DZ808" s="17"/>
      <c r="EA808" s="16"/>
      <c r="EB808" s="16"/>
      <c r="EC808" s="17"/>
      <c r="ED808" s="17"/>
      <c r="EE808" s="16"/>
      <c r="EF808" s="16"/>
      <c r="EG808" s="17"/>
      <c r="EH808" s="17"/>
      <c r="EI808" s="16"/>
      <c r="EJ808" s="16"/>
      <c r="EK808" s="17"/>
      <c r="EL808" s="17"/>
      <c r="EM808" s="16"/>
      <c r="EN808" s="16"/>
      <c r="EO808" s="17"/>
      <c r="EP808" s="17"/>
      <c r="EQ808" s="16"/>
      <c r="ER808" s="16"/>
      <c r="ES808" s="17"/>
      <c r="ET808" s="17"/>
      <c r="EU808" s="16"/>
      <c r="EV808" s="16"/>
      <c r="EW808" s="17"/>
      <c r="EX808" s="17"/>
      <c r="EY808" s="16"/>
      <c r="EZ808" s="16"/>
      <c r="FA808" s="17"/>
      <c r="FB808" s="17"/>
      <c r="FC808" s="16"/>
      <c r="FD808" s="16"/>
      <c r="FE808" s="17"/>
      <c r="FF808" s="17"/>
      <c r="FG808" s="11"/>
      <c r="GT808" s="11"/>
      <c r="IG808" s="11"/>
      <c r="JT808" s="11"/>
      <c r="LG808" s="11"/>
      <c r="MT808" s="11"/>
      <c r="OG808" s="11"/>
      <c r="PT808" s="11"/>
    </row>
    <row r="809" spans="3:436" ht="15.75" x14ac:dyDescent="0.25">
      <c r="C809" s="20" t="s">
        <v>590</v>
      </c>
      <c r="D809" s="21" t="s">
        <v>162</v>
      </c>
      <c r="H809" s="11"/>
      <c r="AU809" s="11"/>
      <c r="CH809" s="11"/>
      <c r="CI809" s="16"/>
      <c r="CJ809" s="16"/>
      <c r="CK809" s="16"/>
      <c r="CL809" s="16"/>
      <c r="CM809" s="16"/>
      <c r="CN809" s="16"/>
      <c r="CO809" s="16"/>
      <c r="CP809" s="16"/>
      <c r="CQ809" s="16"/>
      <c r="CR809" s="16"/>
      <c r="CS809" s="16"/>
      <c r="CT809" s="16"/>
      <c r="CU809" s="16"/>
      <c r="CV809" s="16"/>
      <c r="CW809" s="16"/>
      <c r="CX809" s="16"/>
      <c r="CY809" s="16"/>
      <c r="CZ809" s="16"/>
      <c r="DA809" s="16"/>
      <c r="DB809" s="16"/>
      <c r="DC809" s="16"/>
      <c r="DD809" s="16"/>
      <c r="DE809" s="17"/>
      <c r="DF809" s="17"/>
      <c r="DG809" s="16"/>
      <c r="DH809" s="16"/>
      <c r="DI809" s="17"/>
      <c r="DJ809" s="17"/>
      <c r="DK809" s="16"/>
      <c r="DL809" s="16"/>
      <c r="DM809" s="17"/>
      <c r="DN809" s="17"/>
      <c r="DO809" s="16"/>
      <c r="DP809" s="16"/>
      <c r="DQ809" s="17"/>
      <c r="DR809" s="17"/>
      <c r="DS809" s="16"/>
      <c r="DT809" s="16"/>
      <c r="DU809" s="17"/>
      <c r="DV809" s="17"/>
      <c r="DW809" s="16"/>
      <c r="DX809" s="16"/>
      <c r="DY809" s="17"/>
      <c r="DZ809" s="17"/>
      <c r="EA809" s="16"/>
      <c r="EB809" s="16"/>
      <c r="EC809" s="17"/>
      <c r="ED809" s="17"/>
      <c r="EE809" s="16"/>
      <c r="EF809" s="16"/>
      <c r="EG809" s="17"/>
      <c r="EH809" s="17"/>
      <c r="EI809" s="16"/>
      <c r="EJ809" s="16"/>
      <c r="EK809" s="17"/>
      <c r="EL809" s="17"/>
      <c r="EM809" s="16"/>
      <c r="EN809" s="16"/>
      <c r="EO809" s="17"/>
      <c r="EP809" s="17"/>
      <c r="EQ809" s="16"/>
      <c r="ER809" s="16"/>
      <c r="ES809" s="17"/>
      <c r="ET809" s="17"/>
      <c r="EU809" s="16"/>
      <c r="EV809" s="16"/>
      <c r="EW809" s="17"/>
      <c r="EX809" s="17"/>
      <c r="EY809" s="16"/>
      <c r="EZ809" s="16"/>
      <c r="FA809" s="17"/>
      <c r="FB809" s="17"/>
      <c r="FC809" s="16"/>
      <c r="FD809" s="16"/>
      <c r="FE809" s="17"/>
      <c r="FF809" s="17"/>
      <c r="FG809" s="11"/>
      <c r="GT809" s="11"/>
      <c r="IG809" s="11"/>
      <c r="JT809" s="11"/>
      <c r="LG809" s="11"/>
      <c r="MT809" s="11"/>
      <c r="OG809" s="11"/>
      <c r="PT809" s="11"/>
    </row>
    <row r="810" spans="3:436" ht="15.75" x14ac:dyDescent="0.25">
      <c r="C810" s="20" t="s">
        <v>591</v>
      </c>
      <c r="D810" s="21" t="s">
        <v>162</v>
      </c>
      <c r="H810" s="11"/>
      <c r="AU810" s="11"/>
      <c r="CH810" s="11"/>
      <c r="CI810" s="16"/>
      <c r="CJ810" s="16"/>
      <c r="CK810" s="16"/>
      <c r="CL810" s="16"/>
      <c r="CM810" s="16"/>
      <c r="CN810" s="16"/>
      <c r="CO810" s="16"/>
      <c r="CP810" s="16"/>
      <c r="CQ810" s="16"/>
      <c r="CR810" s="16"/>
      <c r="CS810" s="16"/>
      <c r="CT810" s="16"/>
      <c r="CU810" s="16"/>
      <c r="CV810" s="16"/>
      <c r="CW810" s="16"/>
      <c r="CX810" s="16"/>
      <c r="CY810" s="16"/>
      <c r="CZ810" s="16"/>
      <c r="DA810" s="16"/>
      <c r="DB810" s="16"/>
      <c r="DC810" s="16"/>
      <c r="DD810" s="16"/>
      <c r="DE810" s="17"/>
      <c r="DF810" s="17"/>
      <c r="DG810" s="16"/>
      <c r="DH810" s="16"/>
      <c r="DI810" s="17"/>
      <c r="DJ810" s="17"/>
      <c r="DK810" s="16"/>
      <c r="DL810" s="16"/>
      <c r="DM810" s="17"/>
      <c r="DN810" s="17"/>
      <c r="DO810" s="16"/>
      <c r="DP810" s="16"/>
      <c r="DQ810" s="17"/>
      <c r="DR810" s="17"/>
      <c r="DS810" s="16"/>
      <c r="DT810" s="16"/>
      <c r="DU810" s="17"/>
      <c r="DV810" s="17"/>
      <c r="DW810" s="16"/>
      <c r="DX810" s="16"/>
      <c r="DY810" s="17"/>
      <c r="DZ810" s="17"/>
      <c r="EA810" s="16"/>
      <c r="EB810" s="16"/>
      <c r="EC810" s="17"/>
      <c r="ED810" s="17"/>
      <c r="EE810" s="16"/>
      <c r="EF810" s="16"/>
      <c r="EG810" s="17"/>
      <c r="EH810" s="17"/>
      <c r="EI810" s="16"/>
      <c r="EJ810" s="16"/>
      <c r="EK810" s="17"/>
      <c r="EL810" s="17"/>
      <c r="EM810" s="16"/>
      <c r="EN810" s="16"/>
      <c r="EO810" s="17"/>
      <c r="EP810" s="17"/>
      <c r="EQ810" s="16"/>
      <c r="ER810" s="16"/>
      <c r="ES810" s="17"/>
      <c r="ET810" s="17"/>
      <c r="EU810" s="16"/>
      <c r="EV810" s="16"/>
      <c r="EW810" s="17"/>
      <c r="EX810" s="17"/>
      <c r="EY810" s="16"/>
      <c r="EZ810" s="16"/>
      <c r="FA810" s="17"/>
      <c r="FB810" s="17"/>
      <c r="FC810" s="16"/>
      <c r="FD810" s="16"/>
      <c r="FE810" s="17"/>
      <c r="FF810" s="17"/>
      <c r="FG810" s="11"/>
      <c r="GT810" s="11"/>
      <c r="IG810" s="11"/>
      <c r="JT810" s="11"/>
      <c r="LG810" s="11"/>
      <c r="MT810" s="11"/>
      <c r="OG810" s="11"/>
      <c r="PT810" s="11"/>
    </row>
    <row r="811" spans="3:436" ht="15.75" x14ac:dyDescent="0.25">
      <c r="C811" s="20" t="s">
        <v>592</v>
      </c>
      <c r="D811" s="21" t="s">
        <v>162</v>
      </c>
      <c r="H811" s="11"/>
      <c r="AU811" s="11"/>
      <c r="CH811" s="11"/>
      <c r="CI811" s="16"/>
      <c r="CJ811" s="16"/>
      <c r="CK811" s="16"/>
      <c r="CL811" s="16"/>
      <c r="CM811" s="16"/>
      <c r="CN811" s="16"/>
      <c r="CO811" s="16"/>
      <c r="CP811" s="16"/>
      <c r="CQ811" s="16"/>
      <c r="CR811" s="16"/>
      <c r="CS811" s="16"/>
      <c r="CT811" s="16"/>
      <c r="CU811" s="16"/>
      <c r="CV811" s="16"/>
      <c r="CW811" s="16"/>
      <c r="CX811" s="16"/>
      <c r="CY811" s="16"/>
      <c r="CZ811" s="16"/>
      <c r="DA811" s="16"/>
      <c r="DB811" s="16"/>
      <c r="DC811" s="16"/>
      <c r="DD811" s="16"/>
      <c r="DE811" s="17"/>
      <c r="DF811" s="17"/>
      <c r="DG811" s="16"/>
      <c r="DH811" s="16"/>
      <c r="DI811" s="17"/>
      <c r="DJ811" s="17"/>
      <c r="DK811" s="16"/>
      <c r="DL811" s="16"/>
      <c r="DM811" s="17"/>
      <c r="DN811" s="17"/>
      <c r="DO811" s="16"/>
      <c r="DP811" s="16"/>
      <c r="DQ811" s="17"/>
      <c r="DR811" s="17"/>
      <c r="DS811" s="16"/>
      <c r="DT811" s="16"/>
      <c r="DU811" s="17"/>
      <c r="DV811" s="17"/>
      <c r="DW811" s="16"/>
      <c r="DX811" s="16"/>
      <c r="DY811" s="17"/>
      <c r="DZ811" s="17"/>
      <c r="EA811" s="16"/>
      <c r="EB811" s="16"/>
      <c r="EC811" s="17"/>
      <c r="ED811" s="17"/>
      <c r="EE811" s="16"/>
      <c r="EF811" s="16"/>
      <c r="EG811" s="17"/>
      <c r="EH811" s="17"/>
      <c r="EI811" s="16"/>
      <c r="EJ811" s="16"/>
      <c r="EK811" s="17"/>
      <c r="EL811" s="17"/>
      <c r="EM811" s="16"/>
      <c r="EN811" s="16"/>
      <c r="EO811" s="17"/>
      <c r="EP811" s="17"/>
      <c r="EQ811" s="16"/>
      <c r="ER811" s="16"/>
      <c r="ES811" s="17"/>
      <c r="ET811" s="17"/>
      <c r="EU811" s="16"/>
      <c r="EV811" s="16"/>
      <c r="EW811" s="17"/>
      <c r="EX811" s="17"/>
      <c r="EY811" s="16"/>
      <c r="EZ811" s="16"/>
      <c r="FA811" s="17"/>
      <c r="FB811" s="17"/>
      <c r="FC811" s="16"/>
      <c r="FD811" s="16"/>
      <c r="FE811" s="17"/>
      <c r="FF811" s="17"/>
      <c r="FG811" s="11"/>
      <c r="GT811" s="11"/>
      <c r="IG811" s="11"/>
      <c r="JT811" s="11"/>
      <c r="LG811" s="11"/>
      <c r="MT811" s="11"/>
      <c r="OG811" s="11"/>
      <c r="PT811" s="11"/>
    </row>
    <row r="812" spans="3:436" ht="15.75" x14ac:dyDescent="0.25">
      <c r="C812" s="20" t="s">
        <v>593</v>
      </c>
      <c r="D812" s="21" t="s">
        <v>162</v>
      </c>
      <c r="H812" s="11"/>
      <c r="AU812" s="11"/>
      <c r="CH812" s="11"/>
      <c r="CI812" s="16"/>
      <c r="CJ812" s="16"/>
      <c r="CK812" s="16"/>
      <c r="CL812" s="16"/>
      <c r="CM812" s="16"/>
      <c r="CN812" s="16"/>
      <c r="CO812" s="16"/>
      <c r="CP812" s="16"/>
      <c r="CQ812" s="16"/>
      <c r="CR812" s="16"/>
      <c r="CS812" s="16"/>
      <c r="CT812" s="16"/>
      <c r="CU812" s="16"/>
      <c r="CV812" s="16"/>
      <c r="CW812" s="16"/>
      <c r="CX812" s="16"/>
      <c r="CY812" s="16"/>
      <c r="CZ812" s="16"/>
      <c r="DA812" s="16"/>
      <c r="DB812" s="16"/>
      <c r="DC812" s="16"/>
      <c r="DD812" s="16"/>
      <c r="DE812" s="17"/>
      <c r="DF812" s="17"/>
      <c r="DG812" s="16"/>
      <c r="DH812" s="16"/>
      <c r="DI812" s="17"/>
      <c r="DJ812" s="17"/>
      <c r="DK812" s="16"/>
      <c r="DL812" s="16"/>
      <c r="DM812" s="17"/>
      <c r="DN812" s="17"/>
      <c r="DO812" s="16"/>
      <c r="DP812" s="16"/>
      <c r="DQ812" s="17"/>
      <c r="DR812" s="17"/>
      <c r="DS812" s="16"/>
      <c r="DT812" s="16"/>
      <c r="DU812" s="17"/>
      <c r="DV812" s="17"/>
      <c r="DW812" s="16"/>
      <c r="DX812" s="16"/>
      <c r="DY812" s="17"/>
      <c r="DZ812" s="17"/>
      <c r="EA812" s="16"/>
      <c r="EB812" s="16"/>
      <c r="EC812" s="17"/>
      <c r="ED812" s="17"/>
      <c r="EE812" s="16"/>
      <c r="EF812" s="16"/>
      <c r="EG812" s="17"/>
      <c r="EH812" s="17"/>
      <c r="EI812" s="16"/>
      <c r="EJ812" s="16"/>
      <c r="EK812" s="17"/>
      <c r="EL812" s="17"/>
      <c r="EM812" s="16"/>
      <c r="EN812" s="16"/>
      <c r="EO812" s="17"/>
      <c r="EP812" s="17"/>
      <c r="EQ812" s="16"/>
      <c r="ER812" s="16"/>
      <c r="ES812" s="17"/>
      <c r="ET812" s="17"/>
      <c r="EU812" s="16"/>
      <c r="EV812" s="16"/>
      <c r="EW812" s="17"/>
      <c r="EX812" s="17"/>
      <c r="EY812" s="16"/>
      <c r="EZ812" s="16"/>
      <c r="FA812" s="17"/>
      <c r="FB812" s="17"/>
      <c r="FC812" s="16"/>
      <c r="FD812" s="16"/>
      <c r="FE812" s="17"/>
      <c r="FF812" s="17"/>
      <c r="FG812" s="11"/>
      <c r="GT812" s="11"/>
      <c r="IG812" s="11"/>
      <c r="JT812" s="11"/>
      <c r="LG812" s="11"/>
      <c r="MT812" s="11"/>
      <c r="OG812" s="11"/>
      <c r="PT812" s="11"/>
    </row>
    <row r="813" spans="3:436" ht="15.75" x14ac:dyDescent="0.25">
      <c r="C813" s="20" t="s">
        <v>594</v>
      </c>
      <c r="D813" s="21" t="s">
        <v>162</v>
      </c>
      <c r="H813" s="11"/>
      <c r="AU813" s="11"/>
      <c r="CH813" s="11"/>
      <c r="CI813" s="16"/>
      <c r="CJ813" s="16"/>
      <c r="CK813" s="16"/>
      <c r="CL813" s="16"/>
      <c r="CM813" s="16"/>
      <c r="CN813" s="16"/>
      <c r="CO813" s="16"/>
      <c r="CP813" s="16"/>
      <c r="CQ813" s="16"/>
      <c r="CR813" s="16"/>
      <c r="CS813" s="16"/>
      <c r="CT813" s="16"/>
      <c r="CU813" s="16"/>
      <c r="CV813" s="16"/>
      <c r="CW813" s="16"/>
      <c r="CX813" s="16"/>
      <c r="CY813" s="16"/>
      <c r="CZ813" s="16"/>
      <c r="DA813" s="16"/>
      <c r="DB813" s="16"/>
      <c r="DC813" s="16"/>
      <c r="DD813" s="16"/>
      <c r="DE813" s="17"/>
      <c r="DF813" s="17"/>
      <c r="DG813" s="16"/>
      <c r="DH813" s="16"/>
      <c r="DI813" s="17"/>
      <c r="DJ813" s="17"/>
      <c r="DK813" s="16"/>
      <c r="DL813" s="16"/>
      <c r="DM813" s="17"/>
      <c r="DN813" s="17"/>
      <c r="DO813" s="16"/>
      <c r="DP813" s="16"/>
      <c r="DQ813" s="17"/>
      <c r="DR813" s="17"/>
      <c r="DS813" s="16"/>
      <c r="DT813" s="16"/>
      <c r="DU813" s="17"/>
      <c r="DV813" s="17"/>
      <c r="DW813" s="16"/>
      <c r="DX813" s="16"/>
      <c r="DY813" s="17"/>
      <c r="DZ813" s="17"/>
      <c r="EA813" s="16"/>
      <c r="EB813" s="16"/>
      <c r="EC813" s="17"/>
      <c r="ED813" s="17"/>
      <c r="EE813" s="16"/>
      <c r="EF813" s="16"/>
      <c r="EG813" s="17"/>
      <c r="EH813" s="17"/>
      <c r="EI813" s="16"/>
      <c r="EJ813" s="16"/>
      <c r="EK813" s="17"/>
      <c r="EL813" s="17"/>
      <c r="EM813" s="16"/>
      <c r="EN813" s="16"/>
      <c r="EO813" s="17"/>
      <c r="EP813" s="17"/>
      <c r="EQ813" s="16"/>
      <c r="ER813" s="16"/>
      <c r="ES813" s="17"/>
      <c r="ET813" s="17"/>
      <c r="EU813" s="16"/>
      <c r="EV813" s="16"/>
      <c r="EW813" s="17"/>
      <c r="EX813" s="17"/>
      <c r="EY813" s="16"/>
      <c r="EZ813" s="16"/>
      <c r="FA813" s="17"/>
      <c r="FB813" s="17"/>
      <c r="FC813" s="16"/>
      <c r="FD813" s="16"/>
      <c r="FE813" s="17"/>
      <c r="FF813" s="17"/>
      <c r="FG813" s="11"/>
      <c r="GT813" s="11"/>
      <c r="IG813" s="11"/>
      <c r="JT813" s="11"/>
      <c r="LG813" s="11"/>
      <c r="MT813" s="11"/>
      <c r="OG813" s="11"/>
      <c r="PT813" s="11"/>
    </row>
    <row r="814" spans="3:436" ht="15.75" x14ac:dyDescent="0.25">
      <c r="C814" s="20" t="s">
        <v>595</v>
      </c>
      <c r="D814" s="21" t="s">
        <v>162</v>
      </c>
      <c r="H814" s="11"/>
      <c r="AU814" s="11"/>
      <c r="CH814" s="11"/>
      <c r="CI814" s="16"/>
      <c r="CJ814" s="16"/>
      <c r="CK814" s="16"/>
      <c r="CL814" s="16"/>
      <c r="CM814" s="16"/>
      <c r="CN814" s="16"/>
      <c r="CO814" s="16"/>
      <c r="CP814" s="16"/>
      <c r="CQ814" s="16"/>
      <c r="CR814" s="16"/>
      <c r="CS814" s="16"/>
      <c r="CT814" s="16"/>
      <c r="CU814" s="16"/>
      <c r="CV814" s="16"/>
      <c r="CW814" s="16"/>
      <c r="CX814" s="16"/>
      <c r="CY814" s="16"/>
      <c r="CZ814" s="16"/>
      <c r="DA814" s="16"/>
      <c r="DB814" s="16"/>
      <c r="DC814" s="16"/>
      <c r="DD814" s="16"/>
      <c r="DE814" s="17"/>
      <c r="DF814" s="17"/>
      <c r="DG814" s="16"/>
      <c r="DH814" s="16"/>
      <c r="DI814" s="17"/>
      <c r="DJ814" s="17"/>
      <c r="DK814" s="16"/>
      <c r="DL814" s="16"/>
      <c r="DM814" s="17"/>
      <c r="DN814" s="17"/>
      <c r="DO814" s="16"/>
      <c r="DP814" s="16"/>
      <c r="DQ814" s="17"/>
      <c r="DR814" s="17"/>
      <c r="DS814" s="16"/>
      <c r="DT814" s="16"/>
      <c r="DU814" s="17"/>
      <c r="DV814" s="17"/>
      <c r="DW814" s="16"/>
      <c r="DX814" s="16"/>
      <c r="DY814" s="17"/>
      <c r="DZ814" s="17"/>
      <c r="EA814" s="16"/>
      <c r="EB814" s="16"/>
      <c r="EC814" s="17"/>
      <c r="ED814" s="17"/>
      <c r="EE814" s="16"/>
      <c r="EF814" s="16"/>
      <c r="EG814" s="17"/>
      <c r="EH814" s="17"/>
      <c r="EI814" s="16"/>
      <c r="EJ814" s="16"/>
      <c r="EK814" s="17"/>
      <c r="EL814" s="17"/>
      <c r="EM814" s="16"/>
      <c r="EN814" s="16"/>
      <c r="EO814" s="17"/>
      <c r="EP814" s="17"/>
      <c r="EQ814" s="16"/>
      <c r="ER814" s="16"/>
      <c r="ES814" s="17"/>
      <c r="ET814" s="17"/>
      <c r="EU814" s="16"/>
      <c r="EV814" s="16"/>
      <c r="EW814" s="17"/>
      <c r="EX814" s="17"/>
      <c r="EY814" s="16"/>
      <c r="EZ814" s="16"/>
      <c r="FA814" s="17"/>
      <c r="FB814" s="17"/>
      <c r="FC814" s="16"/>
      <c r="FD814" s="16"/>
      <c r="FE814" s="17"/>
      <c r="FF814" s="17"/>
      <c r="FG814" s="11"/>
      <c r="GT814" s="11"/>
      <c r="IG814" s="11"/>
      <c r="JT814" s="11"/>
      <c r="LG814" s="11"/>
      <c r="MT814" s="11"/>
      <c r="OG814" s="11"/>
      <c r="PT814" s="11"/>
    </row>
    <row r="815" spans="3:436" ht="15.75" x14ac:dyDescent="0.25">
      <c r="C815" s="20" t="s">
        <v>596</v>
      </c>
      <c r="D815" s="21" t="s">
        <v>162</v>
      </c>
      <c r="H815" s="11"/>
      <c r="AU815" s="11"/>
      <c r="CH815" s="11"/>
      <c r="CI815" s="16"/>
      <c r="CJ815" s="16"/>
      <c r="CK815" s="16"/>
      <c r="CL815" s="16"/>
      <c r="CM815" s="16"/>
      <c r="CN815" s="16"/>
      <c r="CO815" s="16"/>
      <c r="CP815" s="16"/>
      <c r="CQ815" s="16"/>
      <c r="CR815" s="16"/>
      <c r="CS815" s="16"/>
      <c r="CT815" s="16"/>
      <c r="CU815" s="16"/>
      <c r="CV815" s="16"/>
      <c r="CW815" s="16"/>
      <c r="CX815" s="16"/>
      <c r="CY815" s="16"/>
      <c r="CZ815" s="16"/>
      <c r="DA815" s="16"/>
      <c r="DB815" s="16"/>
      <c r="DC815" s="16"/>
      <c r="DD815" s="16"/>
      <c r="DE815" s="17"/>
      <c r="DF815" s="17"/>
      <c r="DG815" s="16"/>
      <c r="DH815" s="16"/>
      <c r="DI815" s="17"/>
      <c r="DJ815" s="17"/>
      <c r="DK815" s="16"/>
      <c r="DL815" s="16"/>
      <c r="DM815" s="17"/>
      <c r="DN815" s="17"/>
      <c r="DO815" s="16"/>
      <c r="DP815" s="16"/>
      <c r="DQ815" s="17"/>
      <c r="DR815" s="17"/>
      <c r="DS815" s="16"/>
      <c r="DT815" s="16"/>
      <c r="DU815" s="17"/>
      <c r="DV815" s="17"/>
      <c r="DW815" s="16"/>
      <c r="DX815" s="16"/>
      <c r="DY815" s="17"/>
      <c r="DZ815" s="17"/>
      <c r="EA815" s="16"/>
      <c r="EB815" s="16"/>
      <c r="EC815" s="17"/>
      <c r="ED815" s="17"/>
      <c r="EE815" s="16"/>
      <c r="EF815" s="16"/>
      <c r="EG815" s="17"/>
      <c r="EH815" s="17"/>
      <c r="EI815" s="16"/>
      <c r="EJ815" s="16"/>
      <c r="EK815" s="17"/>
      <c r="EL815" s="17"/>
      <c r="EM815" s="16"/>
      <c r="EN815" s="16"/>
      <c r="EO815" s="17"/>
      <c r="EP815" s="17"/>
      <c r="EQ815" s="16"/>
      <c r="ER815" s="16"/>
      <c r="ES815" s="17"/>
      <c r="ET815" s="17"/>
      <c r="EU815" s="16"/>
      <c r="EV815" s="16"/>
      <c r="EW815" s="17"/>
      <c r="EX815" s="17"/>
      <c r="EY815" s="16"/>
      <c r="EZ815" s="16"/>
      <c r="FA815" s="17"/>
      <c r="FB815" s="17"/>
      <c r="FC815" s="16"/>
      <c r="FD815" s="16"/>
      <c r="FE815" s="17"/>
      <c r="FF815" s="17"/>
      <c r="FG815" s="11"/>
      <c r="GT815" s="11"/>
      <c r="IG815" s="11"/>
      <c r="JT815" s="11"/>
      <c r="LG815" s="11"/>
      <c r="MT815" s="11"/>
      <c r="OG815" s="11"/>
      <c r="PT815" s="11"/>
    </row>
    <row r="816" spans="3:436" ht="15.75" x14ac:dyDescent="0.25">
      <c r="C816" s="20" t="s">
        <v>597</v>
      </c>
      <c r="D816" s="21" t="s">
        <v>162</v>
      </c>
      <c r="H816" s="11"/>
      <c r="AU816" s="11"/>
      <c r="CH816" s="11"/>
      <c r="CI816" s="16"/>
      <c r="CJ816" s="16"/>
      <c r="CK816" s="16"/>
      <c r="CL816" s="16"/>
      <c r="CM816" s="16"/>
      <c r="CN816" s="16"/>
      <c r="CO816" s="16"/>
      <c r="CP816" s="16"/>
      <c r="CQ816" s="16"/>
      <c r="CR816" s="16"/>
      <c r="CS816" s="16"/>
      <c r="CT816" s="16"/>
      <c r="CU816" s="16"/>
      <c r="CV816" s="16"/>
      <c r="CW816" s="16"/>
      <c r="CX816" s="16"/>
      <c r="CY816" s="16"/>
      <c r="CZ816" s="16"/>
      <c r="DA816" s="16"/>
      <c r="DB816" s="16"/>
      <c r="DC816" s="16"/>
      <c r="DD816" s="16"/>
      <c r="DE816" s="17"/>
      <c r="DF816" s="17"/>
      <c r="DG816" s="16"/>
      <c r="DH816" s="16"/>
      <c r="DI816" s="17"/>
      <c r="DJ816" s="17"/>
      <c r="DK816" s="16"/>
      <c r="DL816" s="16"/>
      <c r="DM816" s="17"/>
      <c r="DN816" s="17"/>
      <c r="DO816" s="16"/>
      <c r="DP816" s="16"/>
      <c r="DQ816" s="17"/>
      <c r="DR816" s="17"/>
      <c r="DS816" s="16"/>
      <c r="DT816" s="16"/>
      <c r="DU816" s="17"/>
      <c r="DV816" s="17"/>
      <c r="DW816" s="16"/>
      <c r="DX816" s="16"/>
      <c r="DY816" s="17"/>
      <c r="DZ816" s="17"/>
      <c r="EA816" s="16"/>
      <c r="EB816" s="16"/>
      <c r="EC816" s="17"/>
      <c r="ED816" s="17"/>
      <c r="EE816" s="16"/>
      <c r="EF816" s="16"/>
      <c r="EG816" s="17"/>
      <c r="EH816" s="17"/>
      <c r="EI816" s="16"/>
      <c r="EJ816" s="16"/>
      <c r="EK816" s="17"/>
      <c r="EL816" s="17"/>
      <c r="EM816" s="16"/>
      <c r="EN816" s="16"/>
      <c r="EO816" s="17"/>
      <c r="EP816" s="17"/>
      <c r="EQ816" s="16"/>
      <c r="ER816" s="16"/>
      <c r="ES816" s="17"/>
      <c r="ET816" s="17"/>
      <c r="EU816" s="16"/>
      <c r="EV816" s="16"/>
      <c r="EW816" s="17"/>
      <c r="EX816" s="17"/>
      <c r="EY816" s="16"/>
      <c r="EZ816" s="16"/>
      <c r="FA816" s="17"/>
      <c r="FB816" s="17"/>
      <c r="FC816" s="16"/>
      <c r="FD816" s="16"/>
      <c r="FE816" s="17"/>
      <c r="FF816" s="17"/>
      <c r="FG816" s="11"/>
      <c r="GT816" s="11"/>
      <c r="IG816" s="11"/>
      <c r="JT816" s="11"/>
      <c r="LG816" s="11"/>
      <c r="MT816" s="11"/>
      <c r="OG816" s="11"/>
      <c r="PT816" s="11"/>
    </row>
    <row r="817" spans="1:436" ht="15.75" x14ac:dyDescent="0.25">
      <c r="A817" s="13"/>
      <c r="B817" s="14" t="s">
        <v>598</v>
      </c>
      <c r="C817" s="13"/>
      <c r="D817" s="13"/>
      <c r="E817" s="15" t="s">
        <v>76</v>
      </c>
      <c r="F817" s="15" t="s">
        <v>177</v>
      </c>
      <c r="G817" s="13"/>
      <c r="H817" s="11"/>
      <c r="AU817" s="11"/>
      <c r="CH817" s="11"/>
      <c r="CI817" s="16"/>
      <c r="CJ817" s="16"/>
      <c r="CK817" s="16"/>
      <c r="CL817" s="16"/>
      <c r="CM817" s="16"/>
      <c r="CN817" s="16"/>
      <c r="CO817" s="16"/>
      <c r="CP817" s="16"/>
      <c r="CQ817" s="16"/>
      <c r="CR817" s="16"/>
      <c r="CS817" s="16"/>
      <c r="CT817" s="16"/>
      <c r="CU817" s="16"/>
      <c r="CV817" s="16"/>
      <c r="CW817" s="16"/>
      <c r="CX817" s="16"/>
      <c r="CY817" s="16"/>
      <c r="CZ817" s="16"/>
      <c r="DA817" s="16"/>
      <c r="DB817" s="16"/>
      <c r="DC817" s="16"/>
      <c r="DD817" s="16"/>
      <c r="DE817" s="17"/>
      <c r="DF817" s="17"/>
      <c r="DG817" s="16"/>
      <c r="DH817" s="16"/>
      <c r="DI817" s="17"/>
      <c r="DJ817" s="18">
        <v>16</v>
      </c>
      <c r="DK817" s="16"/>
      <c r="DL817" s="16"/>
      <c r="DM817" s="17"/>
      <c r="DN817" s="17"/>
      <c r="DO817" s="16"/>
      <c r="DP817" s="16"/>
      <c r="DQ817" s="17"/>
      <c r="DR817" s="17"/>
      <c r="DS817" s="16"/>
      <c r="DT817" s="16"/>
      <c r="DU817" s="17"/>
      <c r="DV817" s="17"/>
      <c r="DW817" s="16"/>
      <c r="DX817" s="19">
        <v>3</v>
      </c>
      <c r="DY817" s="17"/>
      <c r="DZ817" s="17"/>
      <c r="EA817" s="16"/>
      <c r="EB817" s="16"/>
      <c r="EC817" s="18">
        <v>91.4</v>
      </c>
      <c r="ED817" s="18">
        <v>205.7</v>
      </c>
      <c r="EE817" s="16"/>
      <c r="EF817" s="16"/>
      <c r="EG817" s="17"/>
      <c r="EH817" s="17"/>
      <c r="EI817" s="16"/>
      <c r="EJ817" s="16"/>
      <c r="EK817" s="17"/>
      <c r="EL817" s="17"/>
      <c r="EM817" s="16"/>
      <c r="EN817" s="16"/>
      <c r="EO817" s="17"/>
      <c r="EP817" s="17"/>
      <c r="EQ817" s="16"/>
      <c r="ER817" s="16"/>
      <c r="ES817" s="17"/>
      <c r="ET817" s="18">
        <v>3</v>
      </c>
      <c r="EU817" s="16"/>
      <c r="EV817" s="16"/>
      <c r="EW817" s="17"/>
      <c r="EX817" s="17"/>
      <c r="EY817" s="16"/>
      <c r="EZ817" s="16"/>
      <c r="FA817" s="17"/>
      <c r="FB817" s="17"/>
      <c r="FC817" s="16"/>
      <c r="FD817" s="19">
        <v>2</v>
      </c>
      <c r="FE817" s="17"/>
      <c r="FF817" s="17"/>
      <c r="FG817" s="11"/>
      <c r="GT817" s="11"/>
      <c r="IG817" s="11"/>
      <c r="JT817" s="11"/>
      <c r="LG817" s="11"/>
      <c r="MT817" s="11"/>
      <c r="OG817" s="11"/>
      <c r="PT817" s="11"/>
    </row>
    <row r="818" spans="1:436" ht="15.75" x14ac:dyDescent="0.25">
      <c r="C818" s="20" t="s">
        <v>599</v>
      </c>
      <c r="D818" s="21" t="s">
        <v>79</v>
      </c>
      <c r="H818" s="11"/>
      <c r="AU818" s="11"/>
      <c r="CH818" s="11"/>
      <c r="CI818" s="16"/>
      <c r="CJ818" s="16"/>
      <c r="CK818" s="16"/>
      <c r="CL818" s="16"/>
      <c r="CM818" s="16"/>
      <c r="CN818" s="16"/>
      <c r="CO818" s="16"/>
      <c r="CP818" s="16"/>
      <c r="CQ818" s="16"/>
      <c r="CR818" s="16"/>
      <c r="CS818" s="16"/>
      <c r="CT818" s="16"/>
      <c r="CU818" s="16"/>
      <c r="CV818" s="16"/>
      <c r="CW818" s="16"/>
      <c r="CX818" s="16"/>
      <c r="CY818" s="16"/>
      <c r="CZ818" s="16"/>
      <c r="DA818" s="16"/>
      <c r="DB818" s="16"/>
      <c r="DC818" s="16"/>
      <c r="DD818" s="16"/>
      <c r="DE818" s="17"/>
      <c r="DF818" s="17"/>
      <c r="DG818" s="16"/>
      <c r="DH818" s="16"/>
      <c r="DI818" s="18">
        <v>5</v>
      </c>
      <c r="DJ818" s="18">
        <v>12</v>
      </c>
      <c r="DK818" s="16"/>
      <c r="DL818" s="16"/>
      <c r="DM818" s="17"/>
      <c r="DN818" s="17"/>
      <c r="DO818" s="16"/>
      <c r="DP818" s="16"/>
      <c r="DQ818" s="17"/>
      <c r="DR818" s="17"/>
      <c r="DS818" s="16"/>
      <c r="DT818" s="16"/>
      <c r="DU818" s="17"/>
      <c r="DV818" s="17"/>
      <c r="DW818" s="16"/>
      <c r="DX818" s="16"/>
      <c r="DY818" s="17"/>
      <c r="DZ818" s="17"/>
      <c r="EA818" s="16"/>
      <c r="EB818" s="16"/>
      <c r="EC818" s="17"/>
      <c r="ED818" s="17"/>
      <c r="EE818" s="16"/>
      <c r="EF818" s="16"/>
      <c r="EG818" s="17"/>
      <c r="EH818" s="17"/>
      <c r="EI818" s="16"/>
      <c r="EJ818" s="16"/>
      <c r="EK818" s="17"/>
      <c r="EL818" s="17"/>
      <c r="EM818" s="16"/>
      <c r="EN818" s="16"/>
      <c r="EO818" s="17"/>
      <c r="EP818" s="17"/>
      <c r="EQ818" s="16"/>
      <c r="ER818" s="16"/>
      <c r="ES818" s="17"/>
      <c r="ET818" s="17"/>
      <c r="EU818" s="16"/>
      <c r="EV818" s="16"/>
      <c r="EW818" s="17"/>
      <c r="EX818" s="17"/>
      <c r="EY818" s="16"/>
      <c r="EZ818" s="16"/>
      <c r="FA818" s="17"/>
      <c r="FB818" s="17"/>
      <c r="FC818" s="16"/>
      <c r="FD818" s="16"/>
      <c r="FE818" s="17"/>
      <c r="FF818" s="17"/>
      <c r="FG818" s="11"/>
      <c r="GT818" s="11"/>
      <c r="IG818" s="11"/>
      <c r="JT818" s="11"/>
      <c r="LG818" s="11"/>
      <c r="MT818" s="11"/>
      <c r="OG818" s="11"/>
      <c r="PT818" s="11"/>
    </row>
    <row r="819" spans="1:436" ht="15.75" x14ac:dyDescent="0.25">
      <c r="C819" s="20" t="s">
        <v>600</v>
      </c>
      <c r="D819" s="21" t="s">
        <v>82</v>
      </c>
      <c r="H819" s="11"/>
      <c r="AU819" s="11"/>
      <c r="CH819" s="11"/>
      <c r="CI819" s="16"/>
      <c r="CJ819" s="16"/>
      <c r="CK819" s="16"/>
      <c r="CL819" s="16"/>
      <c r="CM819" s="16"/>
      <c r="CN819" s="16"/>
      <c r="CO819" s="16"/>
      <c r="CP819" s="16"/>
      <c r="CQ819" s="16"/>
      <c r="CR819" s="16"/>
      <c r="CS819" s="16"/>
      <c r="CT819" s="16"/>
      <c r="CU819" s="16"/>
      <c r="CV819" s="16"/>
      <c r="CW819" s="16"/>
      <c r="CX819" s="16"/>
      <c r="CY819" s="16"/>
      <c r="CZ819" s="16"/>
      <c r="DA819" s="16"/>
      <c r="DB819" s="16"/>
      <c r="DC819" s="16"/>
      <c r="DD819" s="16"/>
      <c r="DE819" s="17"/>
      <c r="DF819" s="17"/>
      <c r="DG819" s="16"/>
      <c r="DH819" s="16"/>
      <c r="DI819" s="17"/>
      <c r="DJ819" s="17"/>
      <c r="DK819" s="16"/>
      <c r="DL819" s="16"/>
      <c r="DM819" s="17"/>
      <c r="DN819" s="17"/>
      <c r="DO819" s="16"/>
      <c r="DP819" s="16"/>
      <c r="DQ819" s="17"/>
      <c r="DR819" s="17"/>
      <c r="DS819" s="16"/>
      <c r="DT819" s="16"/>
      <c r="DU819" s="17"/>
      <c r="DV819" s="17"/>
      <c r="DW819" s="16"/>
      <c r="DX819" s="16"/>
      <c r="DY819" s="17"/>
      <c r="DZ819" s="17"/>
      <c r="EA819" s="16"/>
      <c r="EB819" s="16"/>
      <c r="EC819" s="17"/>
      <c r="ED819" s="17"/>
      <c r="EE819" s="16"/>
      <c r="EF819" s="16"/>
      <c r="EG819" s="17"/>
      <c r="EH819" s="17"/>
      <c r="EI819" s="16"/>
      <c r="EJ819" s="16"/>
      <c r="EK819" s="17"/>
      <c r="EL819" s="17"/>
      <c r="EM819" s="16"/>
      <c r="EN819" s="16"/>
      <c r="EO819" s="17"/>
      <c r="EP819" s="17"/>
      <c r="EQ819" s="16"/>
      <c r="ER819" s="16"/>
      <c r="ES819" s="17"/>
      <c r="ET819" s="17"/>
      <c r="EU819" s="16"/>
      <c r="EV819" s="16"/>
      <c r="EW819" s="17"/>
      <c r="EX819" s="17"/>
      <c r="EY819" s="16"/>
      <c r="EZ819" s="16"/>
      <c r="FA819" s="17"/>
      <c r="FB819" s="17"/>
      <c r="FC819" s="16"/>
      <c r="FD819" s="16"/>
      <c r="FE819" s="17"/>
      <c r="FF819" s="17"/>
      <c r="FG819" s="11"/>
      <c r="GT819" s="11"/>
      <c r="IG819" s="11"/>
      <c r="JT819" s="11"/>
      <c r="LG819" s="11"/>
      <c r="MT819" s="11"/>
      <c r="OG819" s="11"/>
      <c r="PT819" s="11"/>
    </row>
    <row r="820" spans="1:436" ht="15.75" x14ac:dyDescent="0.25">
      <c r="C820" s="20" t="s">
        <v>601</v>
      </c>
      <c r="D820" s="21" t="s">
        <v>82</v>
      </c>
      <c r="H820" s="11"/>
      <c r="AU820" s="11"/>
      <c r="CH820" s="11"/>
      <c r="CI820" s="16"/>
      <c r="CJ820" s="16"/>
      <c r="CK820" s="16"/>
      <c r="CL820" s="16"/>
      <c r="CM820" s="16"/>
      <c r="CN820" s="16"/>
      <c r="CO820" s="16"/>
      <c r="CP820" s="16"/>
      <c r="CQ820" s="16"/>
      <c r="CR820" s="16"/>
      <c r="CS820" s="16"/>
      <c r="CT820" s="16"/>
      <c r="CU820" s="16"/>
      <c r="CV820" s="16"/>
      <c r="CW820" s="16"/>
      <c r="CX820" s="16"/>
      <c r="CY820" s="16"/>
      <c r="CZ820" s="16"/>
      <c r="DA820" s="16"/>
      <c r="DB820" s="16"/>
      <c r="DC820" s="16"/>
      <c r="DD820" s="16"/>
      <c r="DE820" s="17"/>
      <c r="DF820" s="17"/>
      <c r="DG820" s="16"/>
      <c r="DH820" s="16"/>
      <c r="DI820" s="17"/>
      <c r="DJ820" s="17"/>
      <c r="DK820" s="16"/>
      <c r="DL820" s="16"/>
      <c r="DM820" s="17"/>
      <c r="DN820" s="17"/>
      <c r="DO820" s="16"/>
      <c r="DP820" s="16"/>
      <c r="DQ820" s="17"/>
      <c r="DR820" s="17"/>
      <c r="DS820" s="16"/>
      <c r="DT820" s="16"/>
      <c r="DU820" s="17"/>
      <c r="DV820" s="17"/>
      <c r="DW820" s="16"/>
      <c r="DX820" s="16"/>
      <c r="DY820" s="17"/>
      <c r="DZ820" s="17"/>
      <c r="EA820" s="16"/>
      <c r="EB820" s="16"/>
      <c r="EC820" s="17"/>
      <c r="ED820" s="17"/>
      <c r="EE820" s="16"/>
      <c r="EF820" s="16"/>
      <c r="EG820" s="17"/>
      <c r="EH820" s="17"/>
      <c r="EI820" s="16"/>
      <c r="EJ820" s="16"/>
      <c r="EK820" s="17"/>
      <c r="EL820" s="17"/>
      <c r="EM820" s="16"/>
      <c r="EN820" s="16"/>
      <c r="EO820" s="17"/>
      <c r="EP820" s="17"/>
      <c r="EQ820" s="16"/>
      <c r="ER820" s="16"/>
      <c r="ES820" s="17"/>
      <c r="ET820" s="17"/>
      <c r="EU820" s="16"/>
      <c r="EV820" s="16"/>
      <c r="EW820" s="17"/>
      <c r="EX820" s="17"/>
      <c r="EY820" s="16"/>
      <c r="EZ820" s="16"/>
      <c r="FA820" s="17"/>
      <c r="FB820" s="17"/>
      <c r="FC820" s="16"/>
      <c r="FD820" s="16"/>
      <c r="FE820" s="17"/>
      <c r="FF820" s="17"/>
      <c r="FG820" s="11"/>
      <c r="GT820" s="11"/>
      <c r="IG820" s="11"/>
      <c r="JT820" s="11"/>
      <c r="LG820" s="11"/>
      <c r="MT820" s="11"/>
      <c r="OG820" s="11"/>
      <c r="PT820" s="11"/>
    </row>
    <row r="821" spans="1:436" ht="15.75" x14ac:dyDescent="0.25">
      <c r="C821" s="20" t="s">
        <v>602</v>
      </c>
      <c r="D821" s="21" t="s">
        <v>79</v>
      </c>
      <c r="H821" s="11"/>
      <c r="AU821" s="11"/>
      <c r="CH821" s="11"/>
      <c r="CI821" s="16"/>
      <c r="CJ821" s="16"/>
      <c r="CK821" s="16"/>
      <c r="CL821" s="16"/>
      <c r="CM821" s="16"/>
      <c r="CN821" s="16"/>
      <c r="CO821" s="16"/>
      <c r="CP821" s="16"/>
      <c r="CQ821" s="16"/>
      <c r="CR821" s="16"/>
      <c r="CS821" s="16"/>
      <c r="CT821" s="16"/>
      <c r="CU821" s="16"/>
      <c r="CV821" s="16"/>
      <c r="CW821" s="16"/>
      <c r="CX821" s="16"/>
      <c r="CY821" s="16"/>
      <c r="CZ821" s="16"/>
      <c r="DA821" s="16"/>
      <c r="DB821" s="16"/>
      <c r="DC821" s="16"/>
      <c r="DD821" s="16"/>
      <c r="DE821" s="17"/>
      <c r="DF821" s="17"/>
      <c r="DG821" s="16"/>
      <c r="DH821" s="16"/>
      <c r="DI821" s="18">
        <v>6</v>
      </c>
      <c r="DJ821" s="18">
        <v>7</v>
      </c>
      <c r="DK821" s="16"/>
      <c r="DL821" s="16"/>
      <c r="DM821" s="17"/>
      <c r="DN821" s="17"/>
      <c r="DO821" s="16"/>
      <c r="DP821" s="16"/>
      <c r="DQ821" s="17"/>
      <c r="DR821" s="17"/>
      <c r="DS821" s="16"/>
      <c r="DT821" s="16"/>
      <c r="DU821" s="17"/>
      <c r="DV821" s="17"/>
      <c r="DW821" s="16"/>
      <c r="DX821" s="16"/>
      <c r="DY821" s="17"/>
      <c r="DZ821" s="17"/>
      <c r="EA821" s="16"/>
      <c r="EB821" s="16"/>
      <c r="EC821" s="17"/>
      <c r="ED821" s="17"/>
      <c r="EE821" s="16"/>
      <c r="EF821" s="16"/>
      <c r="EG821" s="17"/>
      <c r="EH821" s="17"/>
      <c r="EI821" s="16"/>
      <c r="EJ821" s="16"/>
      <c r="EK821" s="17"/>
      <c r="EL821" s="17"/>
      <c r="EM821" s="16"/>
      <c r="EN821" s="16"/>
      <c r="EO821" s="17"/>
      <c r="EP821" s="17"/>
      <c r="EQ821" s="16"/>
      <c r="ER821" s="16"/>
      <c r="ES821" s="17"/>
      <c r="ET821" s="17"/>
      <c r="EU821" s="16"/>
      <c r="EV821" s="16"/>
      <c r="EW821" s="17"/>
      <c r="EX821" s="17"/>
      <c r="EY821" s="16"/>
      <c r="EZ821" s="16"/>
      <c r="FA821" s="17"/>
      <c r="FB821" s="17"/>
      <c r="FC821" s="16"/>
      <c r="FD821" s="16"/>
      <c r="FE821" s="17"/>
      <c r="FF821" s="17"/>
      <c r="FG821" s="11"/>
      <c r="GT821" s="11"/>
      <c r="IG821" s="11"/>
      <c r="JT821" s="11"/>
      <c r="LG821" s="11"/>
      <c r="MT821" s="11"/>
      <c r="OG821" s="11"/>
      <c r="PT821" s="11"/>
    </row>
    <row r="822" spans="1:436" ht="15.75" x14ac:dyDescent="0.25">
      <c r="C822" s="20" t="s">
        <v>603</v>
      </c>
      <c r="D822" s="21" t="s">
        <v>79</v>
      </c>
      <c r="H822" s="11"/>
      <c r="AU822" s="11"/>
      <c r="CH822" s="11"/>
      <c r="CI822" s="16"/>
      <c r="CJ822" s="16"/>
      <c r="CK822" s="16"/>
      <c r="CL822" s="16"/>
      <c r="CM822" s="16"/>
      <c r="CN822" s="16"/>
      <c r="CO822" s="16"/>
      <c r="CP822" s="16"/>
      <c r="CQ822" s="16"/>
      <c r="CR822" s="16"/>
      <c r="CS822" s="16"/>
      <c r="CT822" s="16"/>
      <c r="CU822" s="16"/>
      <c r="CV822" s="16"/>
      <c r="CW822" s="16"/>
      <c r="CX822" s="16"/>
      <c r="CY822" s="16"/>
      <c r="CZ822" s="16"/>
      <c r="DA822" s="16"/>
      <c r="DB822" s="16"/>
      <c r="DC822" s="16"/>
      <c r="DD822" s="16"/>
      <c r="DE822" s="17"/>
      <c r="DF822" s="17"/>
      <c r="DG822" s="16"/>
      <c r="DH822" s="16"/>
      <c r="DI822" s="17"/>
      <c r="DJ822" s="18">
        <v>6</v>
      </c>
      <c r="DK822" s="16"/>
      <c r="DL822" s="16"/>
      <c r="DM822" s="17"/>
      <c r="DN822" s="17"/>
      <c r="DO822" s="16"/>
      <c r="DP822" s="16"/>
      <c r="DQ822" s="17"/>
      <c r="DR822" s="17"/>
      <c r="DS822" s="16"/>
      <c r="DT822" s="16"/>
      <c r="DU822" s="17"/>
      <c r="DV822" s="17"/>
      <c r="DW822" s="16"/>
      <c r="DX822" s="16"/>
      <c r="DY822" s="17"/>
      <c r="DZ822" s="17"/>
      <c r="EA822" s="16"/>
      <c r="EB822" s="16"/>
      <c r="EC822" s="17"/>
      <c r="ED822" s="17"/>
      <c r="EE822" s="16"/>
      <c r="EF822" s="16"/>
      <c r="EG822" s="17"/>
      <c r="EH822" s="17"/>
      <c r="EI822" s="16"/>
      <c r="EJ822" s="16"/>
      <c r="EK822" s="17"/>
      <c r="EL822" s="17"/>
      <c r="EM822" s="16"/>
      <c r="EN822" s="16"/>
      <c r="EO822" s="17"/>
      <c r="EP822" s="17"/>
      <c r="EQ822" s="16"/>
      <c r="ER822" s="16"/>
      <c r="ES822" s="17"/>
      <c r="ET822" s="17"/>
      <c r="EU822" s="16"/>
      <c r="EV822" s="16"/>
      <c r="EW822" s="17"/>
      <c r="EX822" s="17"/>
      <c r="EY822" s="16"/>
      <c r="EZ822" s="16"/>
      <c r="FA822" s="17"/>
      <c r="FB822" s="17"/>
      <c r="FC822" s="16"/>
      <c r="FD822" s="16"/>
      <c r="FE822" s="17"/>
      <c r="FF822" s="17"/>
      <c r="FG822" s="11"/>
      <c r="GT822" s="11"/>
      <c r="IG822" s="11"/>
      <c r="JT822" s="11"/>
      <c r="LG822" s="11"/>
      <c r="MT822" s="11"/>
      <c r="OG822" s="11"/>
      <c r="PT822" s="11"/>
    </row>
    <row r="823" spans="1:436" ht="15.75" x14ac:dyDescent="0.25">
      <c r="C823" s="20" t="s">
        <v>604</v>
      </c>
      <c r="D823" s="21" t="s">
        <v>129</v>
      </c>
      <c r="H823" s="11"/>
      <c r="AU823" s="11"/>
      <c r="CH823" s="11"/>
      <c r="CI823" s="16"/>
      <c r="CJ823" s="16"/>
      <c r="CK823" s="16"/>
      <c r="CL823" s="16"/>
      <c r="CM823" s="16"/>
      <c r="CN823" s="16"/>
      <c r="CO823" s="16"/>
      <c r="CP823" s="16"/>
      <c r="CQ823" s="16"/>
      <c r="CR823" s="16"/>
      <c r="CS823" s="16"/>
      <c r="CT823" s="16"/>
      <c r="CU823" s="16"/>
      <c r="CV823" s="16"/>
      <c r="CW823" s="16"/>
      <c r="CX823" s="16"/>
      <c r="CY823" s="16"/>
      <c r="CZ823" s="16"/>
      <c r="DA823" s="16"/>
      <c r="DB823" s="16"/>
      <c r="DC823" s="16"/>
      <c r="DD823" s="16"/>
      <c r="DE823" s="17"/>
      <c r="DF823" s="17"/>
      <c r="DG823" s="16"/>
      <c r="DH823" s="16"/>
      <c r="DI823" s="17"/>
      <c r="DJ823" s="17"/>
      <c r="DK823" s="16"/>
      <c r="DL823" s="16"/>
      <c r="DM823" s="17"/>
      <c r="DN823" s="17"/>
      <c r="DO823" s="16"/>
      <c r="DP823" s="16"/>
      <c r="DQ823" s="17"/>
      <c r="DR823" s="17"/>
      <c r="DS823" s="16"/>
      <c r="DT823" s="16"/>
      <c r="DU823" s="17"/>
      <c r="DV823" s="17"/>
      <c r="DW823" s="16"/>
      <c r="DX823" s="16"/>
      <c r="DY823" s="17"/>
      <c r="DZ823" s="17"/>
      <c r="EA823" s="16"/>
      <c r="EB823" s="16"/>
      <c r="EC823" s="17"/>
      <c r="ED823" s="17"/>
      <c r="EE823" s="16"/>
      <c r="EF823" s="16"/>
      <c r="EG823" s="17"/>
      <c r="EH823" s="17"/>
      <c r="EI823" s="16"/>
      <c r="EJ823" s="16"/>
      <c r="EK823" s="17"/>
      <c r="EL823" s="17"/>
      <c r="EM823" s="16"/>
      <c r="EN823" s="16"/>
      <c r="EO823" s="17"/>
      <c r="EP823" s="17"/>
      <c r="EQ823" s="16"/>
      <c r="ER823" s="16"/>
      <c r="ES823" s="17"/>
      <c r="ET823" s="17"/>
      <c r="EU823" s="16"/>
      <c r="EV823" s="16"/>
      <c r="EW823" s="17"/>
      <c r="EX823" s="17"/>
      <c r="EY823" s="16"/>
      <c r="EZ823" s="16"/>
      <c r="FA823" s="17"/>
      <c r="FB823" s="17"/>
      <c r="FC823" s="16"/>
      <c r="FD823" s="16"/>
      <c r="FE823" s="17"/>
      <c r="FF823" s="17"/>
      <c r="FG823" s="11"/>
      <c r="GT823" s="11"/>
      <c r="IG823" s="11"/>
      <c r="JT823" s="11"/>
      <c r="LG823" s="11"/>
      <c r="MT823" s="11"/>
      <c r="OG823" s="11"/>
      <c r="PT823" s="11"/>
    </row>
    <row r="824" spans="1:436" ht="15.75" x14ac:dyDescent="0.25">
      <c r="C824" s="20" t="s">
        <v>605</v>
      </c>
      <c r="D824" s="21" t="s">
        <v>134</v>
      </c>
      <c r="H824" s="11"/>
      <c r="AU824" s="11"/>
      <c r="CH824" s="11"/>
      <c r="CI824" s="16"/>
      <c r="CJ824" s="16"/>
      <c r="CK824" s="16"/>
      <c r="CL824" s="16"/>
      <c r="CM824" s="16"/>
      <c r="CN824" s="16"/>
      <c r="CO824" s="16"/>
      <c r="CP824" s="16"/>
      <c r="CQ824" s="16"/>
      <c r="CR824" s="16"/>
      <c r="CS824" s="16"/>
      <c r="CT824" s="16"/>
      <c r="CU824" s="16"/>
      <c r="CV824" s="16"/>
      <c r="CW824" s="16"/>
      <c r="CX824" s="16"/>
      <c r="CY824" s="16"/>
      <c r="CZ824" s="16"/>
      <c r="DA824" s="16"/>
      <c r="DB824" s="16"/>
      <c r="DC824" s="16"/>
      <c r="DD824" s="16"/>
      <c r="DE824" s="17"/>
      <c r="DF824" s="17"/>
      <c r="DG824" s="16"/>
      <c r="DH824" s="16"/>
      <c r="DI824" s="17"/>
      <c r="DJ824" s="17"/>
      <c r="DK824" s="16"/>
      <c r="DL824" s="16"/>
      <c r="DM824" s="18">
        <v>3</v>
      </c>
      <c r="DN824" s="18">
        <v>10</v>
      </c>
      <c r="DO824" s="16"/>
      <c r="DP824" s="16"/>
      <c r="DQ824" s="17"/>
      <c r="DR824" s="17"/>
      <c r="DS824" s="16"/>
      <c r="DT824" s="16"/>
      <c r="DU824" s="17"/>
      <c r="DV824" s="17"/>
      <c r="DW824" s="16"/>
      <c r="DX824" s="16"/>
      <c r="DY824" s="17"/>
      <c r="DZ824" s="17"/>
      <c r="EA824" s="16"/>
      <c r="EB824" s="16"/>
      <c r="EC824" s="17"/>
      <c r="ED824" s="17"/>
      <c r="EE824" s="16"/>
      <c r="EF824" s="16"/>
      <c r="EG824" s="17"/>
      <c r="EH824" s="17"/>
      <c r="EI824" s="16"/>
      <c r="EJ824" s="16"/>
      <c r="EK824" s="17"/>
      <c r="EL824" s="17"/>
      <c r="EM824" s="16"/>
      <c r="EN824" s="16"/>
      <c r="EO824" s="17"/>
      <c r="EP824" s="17"/>
      <c r="EQ824" s="16"/>
      <c r="ER824" s="16"/>
      <c r="ES824" s="17"/>
      <c r="ET824" s="17"/>
      <c r="EU824" s="16"/>
      <c r="EV824" s="16"/>
      <c r="EW824" s="17"/>
      <c r="EX824" s="17"/>
      <c r="EY824" s="16"/>
      <c r="EZ824" s="16"/>
      <c r="FA824" s="17"/>
      <c r="FB824" s="17"/>
      <c r="FC824" s="16"/>
      <c r="FD824" s="16"/>
      <c r="FE824" s="17"/>
      <c r="FF824" s="17"/>
      <c r="FG824" s="11"/>
      <c r="GT824" s="11"/>
      <c r="IG824" s="11"/>
      <c r="JT824" s="11"/>
      <c r="LG824" s="11"/>
      <c r="MT824" s="11"/>
      <c r="OG824" s="11"/>
      <c r="PT824" s="11"/>
    </row>
    <row r="825" spans="1:436" ht="15.75" x14ac:dyDescent="0.25">
      <c r="C825" s="20" t="s">
        <v>606</v>
      </c>
      <c r="D825" s="21" t="s">
        <v>136</v>
      </c>
      <c r="H825" s="11"/>
      <c r="AU825" s="11"/>
      <c r="CH825" s="11"/>
      <c r="CI825" s="16"/>
      <c r="CJ825" s="16"/>
      <c r="CK825" s="16"/>
      <c r="CL825" s="16"/>
      <c r="CM825" s="16"/>
      <c r="CN825" s="16"/>
      <c r="CO825" s="16"/>
      <c r="CP825" s="16"/>
      <c r="CQ825" s="16"/>
      <c r="CR825" s="16"/>
      <c r="CS825" s="16"/>
      <c r="CT825" s="16"/>
      <c r="CU825" s="16"/>
      <c r="CV825" s="16"/>
      <c r="CW825" s="16"/>
      <c r="CX825" s="16"/>
      <c r="CY825" s="16"/>
      <c r="CZ825" s="16"/>
      <c r="DA825" s="16"/>
      <c r="DB825" s="16"/>
      <c r="DC825" s="16"/>
      <c r="DD825" s="16"/>
      <c r="DE825" s="17"/>
      <c r="DF825" s="17"/>
      <c r="DG825" s="16"/>
      <c r="DH825" s="16"/>
      <c r="DI825" s="17"/>
      <c r="DJ825" s="17"/>
      <c r="DK825" s="16"/>
      <c r="DL825" s="16"/>
      <c r="DM825" s="17"/>
      <c r="DN825" s="17"/>
      <c r="DO825" s="16"/>
      <c r="DP825" s="16"/>
      <c r="DQ825" s="17"/>
      <c r="DR825" s="17"/>
      <c r="DS825" s="16"/>
      <c r="DT825" s="16"/>
      <c r="DU825" s="17"/>
      <c r="DV825" s="17"/>
      <c r="DW825" s="16"/>
      <c r="DX825" s="16"/>
      <c r="DY825" s="17"/>
      <c r="DZ825" s="17"/>
      <c r="EA825" s="16"/>
      <c r="EB825" s="16"/>
      <c r="EC825" s="17"/>
      <c r="ED825" s="17"/>
      <c r="EE825" s="16"/>
      <c r="EF825" s="16"/>
      <c r="EG825" s="17"/>
      <c r="EH825" s="17"/>
      <c r="EI825" s="16"/>
      <c r="EJ825" s="16"/>
      <c r="EK825" s="17"/>
      <c r="EL825" s="17"/>
      <c r="EM825" s="16"/>
      <c r="EN825" s="16"/>
      <c r="EO825" s="17"/>
      <c r="EP825" s="17"/>
      <c r="EQ825" s="16"/>
      <c r="ER825" s="16"/>
      <c r="ES825" s="17"/>
      <c r="ET825" s="17"/>
      <c r="EU825" s="16"/>
      <c r="EV825" s="16"/>
      <c r="EW825" s="17"/>
      <c r="EX825" s="17"/>
      <c r="EY825" s="16"/>
      <c r="EZ825" s="16"/>
      <c r="FA825" s="17"/>
      <c r="FB825" s="17"/>
      <c r="FC825" s="16"/>
      <c r="FD825" s="16"/>
      <c r="FE825" s="17"/>
      <c r="FF825" s="17"/>
      <c r="FG825" s="11"/>
      <c r="GT825" s="11"/>
      <c r="IG825" s="11"/>
      <c r="JT825" s="11"/>
      <c r="LG825" s="11"/>
      <c r="MT825" s="11"/>
      <c r="OG825" s="11"/>
      <c r="PT825" s="11"/>
    </row>
    <row r="826" spans="1:436" ht="15.75" x14ac:dyDescent="0.25">
      <c r="C826" s="20" t="s">
        <v>607</v>
      </c>
      <c r="D826" s="21" t="s">
        <v>136</v>
      </c>
      <c r="H826" s="11"/>
      <c r="AU826" s="11"/>
      <c r="CH826" s="11"/>
      <c r="CI826" s="16"/>
      <c r="CJ826" s="16"/>
      <c r="CK826" s="16"/>
      <c r="CL826" s="16"/>
      <c r="CM826" s="16"/>
      <c r="CN826" s="16"/>
      <c r="CO826" s="16"/>
      <c r="CP826" s="16"/>
      <c r="CQ826" s="16"/>
      <c r="CR826" s="16"/>
      <c r="CS826" s="16"/>
      <c r="CT826" s="16"/>
      <c r="CU826" s="16"/>
      <c r="CV826" s="16"/>
      <c r="CW826" s="16"/>
      <c r="CX826" s="16"/>
      <c r="CY826" s="16"/>
      <c r="CZ826" s="16"/>
      <c r="DA826" s="16"/>
      <c r="DB826" s="16"/>
      <c r="DC826" s="16"/>
      <c r="DD826" s="16"/>
      <c r="DE826" s="17"/>
      <c r="DF826" s="17"/>
      <c r="DG826" s="16"/>
      <c r="DH826" s="16"/>
      <c r="DI826" s="17"/>
      <c r="DJ826" s="17"/>
      <c r="DK826" s="16"/>
      <c r="DL826" s="16"/>
      <c r="DM826" s="17"/>
      <c r="DN826" s="17"/>
      <c r="DO826" s="16"/>
      <c r="DP826" s="16"/>
      <c r="DQ826" s="17"/>
      <c r="DR826" s="17"/>
      <c r="DS826" s="16"/>
      <c r="DT826" s="16"/>
      <c r="DU826" s="17"/>
      <c r="DV826" s="17"/>
      <c r="DW826" s="16"/>
      <c r="DX826" s="16"/>
      <c r="DY826" s="17"/>
      <c r="DZ826" s="17"/>
      <c r="EA826" s="16"/>
      <c r="EB826" s="16"/>
      <c r="EC826" s="17"/>
      <c r="ED826" s="17"/>
      <c r="EE826" s="16"/>
      <c r="EF826" s="16"/>
      <c r="EG826" s="17"/>
      <c r="EH826" s="17"/>
      <c r="EI826" s="16"/>
      <c r="EJ826" s="16"/>
      <c r="EK826" s="17"/>
      <c r="EL826" s="17"/>
      <c r="EM826" s="16"/>
      <c r="EN826" s="16"/>
      <c r="EO826" s="17"/>
      <c r="EP826" s="17"/>
      <c r="EQ826" s="16"/>
      <c r="ER826" s="16"/>
      <c r="ES826" s="17"/>
      <c r="ET826" s="17"/>
      <c r="EU826" s="16"/>
      <c r="EV826" s="16"/>
      <c r="EW826" s="17"/>
      <c r="EX826" s="17"/>
      <c r="EY826" s="16"/>
      <c r="EZ826" s="16"/>
      <c r="FA826" s="17"/>
      <c r="FB826" s="17"/>
      <c r="FC826" s="16"/>
      <c r="FD826" s="16"/>
      <c r="FE826" s="17"/>
      <c r="FF826" s="17"/>
      <c r="FG826" s="11"/>
      <c r="GT826" s="11"/>
      <c r="IG826" s="11"/>
      <c r="JT826" s="11"/>
      <c r="LG826" s="11"/>
      <c r="MT826" s="11"/>
      <c r="OG826" s="11"/>
      <c r="PT826" s="11"/>
    </row>
    <row r="827" spans="1:436" ht="15.75" x14ac:dyDescent="0.25">
      <c r="C827" s="20" t="s">
        <v>608</v>
      </c>
      <c r="D827" s="21" t="s">
        <v>136</v>
      </c>
      <c r="H827" s="11"/>
      <c r="AU827" s="11"/>
      <c r="CH827" s="11"/>
      <c r="CI827" s="16"/>
      <c r="CJ827" s="16"/>
      <c r="CK827" s="16"/>
      <c r="CL827" s="16"/>
      <c r="CM827" s="16"/>
      <c r="CN827" s="16"/>
      <c r="CO827" s="16"/>
      <c r="CP827" s="16"/>
      <c r="CQ827" s="16"/>
      <c r="CR827" s="16"/>
      <c r="CS827" s="16"/>
      <c r="CT827" s="16"/>
      <c r="CU827" s="16"/>
      <c r="CV827" s="16"/>
      <c r="CW827" s="16"/>
      <c r="CX827" s="16"/>
      <c r="CY827" s="16"/>
      <c r="CZ827" s="16"/>
      <c r="DA827" s="16"/>
      <c r="DB827" s="16"/>
      <c r="DC827" s="16"/>
      <c r="DD827" s="16"/>
      <c r="DE827" s="17"/>
      <c r="DF827" s="17"/>
      <c r="DG827" s="16"/>
      <c r="DH827" s="16"/>
      <c r="DI827" s="17"/>
      <c r="DJ827" s="17"/>
      <c r="DK827" s="16"/>
      <c r="DL827" s="16"/>
      <c r="DM827" s="17"/>
      <c r="DN827" s="17"/>
      <c r="DO827" s="16"/>
      <c r="DP827" s="16"/>
      <c r="DQ827" s="17"/>
      <c r="DR827" s="17"/>
      <c r="DS827" s="16"/>
      <c r="DT827" s="16"/>
      <c r="DU827" s="17"/>
      <c r="DV827" s="17"/>
      <c r="DW827" s="16"/>
      <c r="DX827" s="16"/>
      <c r="DY827" s="17"/>
      <c r="DZ827" s="17"/>
      <c r="EA827" s="16"/>
      <c r="EB827" s="16"/>
      <c r="EC827" s="17"/>
      <c r="ED827" s="17"/>
      <c r="EE827" s="16"/>
      <c r="EF827" s="16"/>
      <c r="EG827" s="17"/>
      <c r="EH827" s="17"/>
      <c r="EI827" s="16"/>
      <c r="EJ827" s="16"/>
      <c r="EK827" s="17"/>
      <c r="EL827" s="17"/>
      <c r="EM827" s="16"/>
      <c r="EN827" s="16"/>
      <c r="EO827" s="17"/>
      <c r="EP827" s="17"/>
      <c r="EQ827" s="16"/>
      <c r="ER827" s="16"/>
      <c r="ES827" s="17"/>
      <c r="ET827" s="17"/>
      <c r="EU827" s="16"/>
      <c r="EV827" s="16"/>
      <c r="EW827" s="17"/>
      <c r="EX827" s="17"/>
      <c r="EY827" s="16"/>
      <c r="EZ827" s="16"/>
      <c r="FA827" s="17"/>
      <c r="FB827" s="17"/>
      <c r="FC827" s="16"/>
      <c r="FD827" s="16"/>
      <c r="FE827" s="17"/>
      <c r="FF827" s="17"/>
      <c r="FG827" s="11"/>
      <c r="GT827" s="11"/>
      <c r="IG827" s="11"/>
      <c r="JT827" s="11"/>
      <c r="LG827" s="11"/>
      <c r="MT827" s="11"/>
      <c r="OG827" s="11"/>
      <c r="PT827" s="11"/>
    </row>
    <row r="828" spans="1:436" ht="15.75" x14ac:dyDescent="0.25">
      <c r="C828" s="20" t="s">
        <v>609</v>
      </c>
      <c r="D828" s="21" t="s">
        <v>104</v>
      </c>
      <c r="H828" s="11"/>
      <c r="AU828" s="11"/>
      <c r="CH828" s="11"/>
      <c r="CI828" s="16"/>
      <c r="CJ828" s="16"/>
      <c r="CK828" s="16"/>
      <c r="CL828" s="16"/>
      <c r="CM828" s="16"/>
      <c r="CN828" s="16"/>
      <c r="CO828" s="16"/>
      <c r="CP828" s="16"/>
      <c r="CQ828" s="16"/>
      <c r="CR828" s="16"/>
      <c r="CS828" s="16"/>
      <c r="CT828" s="16"/>
      <c r="CU828" s="16"/>
      <c r="CV828" s="16"/>
      <c r="CW828" s="16"/>
      <c r="CX828" s="16"/>
      <c r="CY828" s="16"/>
      <c r="CZ828" s="16"/>
      <c r="DA828" s="16"/>
      <c r="DB828" s="16"/>
      <c r="DC828" s="16"/>
      <c r="DD828" s="16"/>
      <c r="DE828" s="17"/>
      <c r="DF828" s="17"/>
      <c r="DG828" s="16"/>
      <c r="DH828" s="16"/>
      <c r="DI828" s="17"/>
      <c r="DJ828" s="17"/>
      <c r="DK828" s="16"/>
      <c r="DL828" s="16"/>
      <c r="DM828" s="17"/>
      <c r="DN828" s="17"/>
      <c r="DO828" s="16"/>
      <c r="DP828" s="16"/>
      <c r="DQ828" s="17"/>
      <c r="DR828" s="17"/>
      <c r="DS828" s="16"/>
      <c r="DT828" s="16"/>
      <c r="DU828" s="17"/>
      <c r="DV828" s="17"/>
      <c r="DW828" s="16"/>
      <c r="DX828" s="16"/>
      <c r="DY828" s="17"/>
      <c r="DZ828" s="17"/>
      <c r="EA828" s="16"/>
      <c r="EB828" s="16"/>
      <c r="EC828" s="17"/>
      <c r="ED828" s="17"/>
      <c r="EE828" s="16"/>
      <c r="EF828" s="16"/>
      <c r="EG828" s="17"/>
      <c r="EH828" s="17"/>
      <c r="EI828" s="16"/>
      <c r="EJ828" s="16"/>
      <c r="EK828" s="17"/>
      <c r="EL828" s="17"/>
      <c r="EM828" s="16"/>
      <c r="EN828" s="16"/>
      <c r="EO828" s="17"/>
      <c r="EP828" s="17"/>
      <c r="EQ828" s="16"/>
      <c r="ER828" s="16"/>
      <c r="ES828" s="17"/>
      <c r="ET828" s="17"/>
      <c r="EU828" s="16"/>
      <c r="EV828" s="16"/>
      <c r="EW828" s="17"/>
      <c r="EX828" s="17"/>
      <c r="EY828" s="16"/>
      <c r="EZ828" s="16"/>
      <c r="FA828" s="17"/>
      <c r="FB828" s="17"/>
      <c r="FC828" s="19">
        <v>7</v>
      </c>
      <c r="FD828" s="19">
        <v>5</v>
      </c>
      <c r="FE828" s="17"/>
      <c r="FF828" s="17"/>
      <c r="FG828" s="11"/>
      <c r="GT828" s="11"/>
      <c r="IG828" s="11"/>
      <c r="JT828" s="11"/>
      <c r="LG828" s="11"/>
      <c r="MT828" s="11"/>
      <c r="OG828" s="11"/>
      <c r="PT828" s="11"/>
    </row>
    <row r="829" spans="1:436" ht="15.75" x14ac:dyDescent="0.25">
      <c r="C829" s="20" t="s">
        <v>610</v>
      </c>
      <c r="D829" s="21" t="s">
        <v>90</v>
      </c>
      <c r="H829" s="11"/>
      <c r="AU829" s="11"/>
      <c r="CH829" s="11"/>
      <c r="CI829" s="16"/>
      <c r="CJ829" s="16"/>
      <c r="CK829" s="16"/>
      <c r="CL829" s="16"/>
      <c r="CM829" s="16"/>
      <c r="CN829" s="16"/>
      <c r="CO829" s="16"/>
      <c r="CP829" s="16"/>
      <c r="CQ829" s="16"/>
      <c r="CR829" s="16"/>
      <c r="CS829" s="16"/>
      <c r="CT829" s="16"/>
      <c r="CU829" s="16"/>
      <c r="CV829" s="16"/>
      <c r="CW829" s="16"/>
      <c r="CX829" s="16"/>
      <c r="CY829" s="16"/>
      <c r="CZ829" s="16"/>
      <c r="DA829" s="16"/>
      <c r="DB829" s="16"/>
      <c r="DC829" s="16"/>
      <c r="DD829" s="16"/>
      <c r="DE829" s="17"/>
      <c r="DF829" s="17"/>
      <c r="DG829" s="16"/>
      <c r="DH829" s="16"/>
      <c r="DI829" s="17"/>
      <c r="DJ829" s="17"/>
      <c r="DK829" s="16"/>
      <c r="DL829" s="16"/>
      <c r="DM829" s="17"/>
      <c r="DN829" s="17"/>
      <c r="DO829" s="16"/>
      <c r="DP829" s="16"/>
      <c r="DQ829" s="17"/>
      <c r="DR829" s="17"/>
      <c r="DS829" s="16"/>
      <c r="DT829" s="16"/>
      <c r="DU829" s="17"/>
      <c r="DV829" s="17"/>
      <c r="DW829" s="16"/>
      <c r="DX829" s="16"/>
      <c r="DY829" s="17"/>
      <c r="DZ829" s="17"/>
      <c r="EA829" s="16"/>
      <c r="EB829" s="16"/>
      <c r="EC829" s="17"/>
      <c r="ED829" s="17"/>
      <c r="EE829" s="16"/>
      <c r="EF829" s="16"/>
      <c r="EG829" s="17"/>
      <c r="EH829" s="17"/>
      <c r="EI829" s="16"/>
      <c r="EJ829" s="16"/>
      <c r="EK829" s="17"/>
      <c r="EL829" s="17"/>
      <c r="EM829" s="16"/>
      <c r="EN829" s="16"/>
      <c r="EO829" s="17"/>
      <c r="EP829" s="17"/>
      <c r="EQ829" s="16"/>
      <c r="ER829" s="16"/>
      <c r="ES829" s="17"/>
      <c r="ET829" s="17"/>
      <c r="EU829" s="16"/>
      <c r="EV829" s="16"/>
      <c r="EW829" s="17"/>
      <c r="EX829" s="17"/>
      <c r="EY829" s="16"/>
      <c r="EZ829" s="16"/>
      <c r="FA829" s="17"/>
      <c r="FB829" s="17"/>
      <c r="FC829" s="16"/>
      <c r="FD829" s="16"/>
      <c r="FE829" s="17"/>
      <c r="FF829" s="17"/>
      <c r="FG829" s="11"/>
      <c r="GT829" s="11"/>
      <c r="IG829" s="11"/>
      <c r="JT829" s="11"/>
      <c r="LG829" s="11"/>
      <c r="MT829" s="11"/>
      <c r="OG829" s="11"/>
      <c r="PT829" s="11"/>
    </row>
    <row r="830" spans="1:436" ht="15.75" x14ac:dyDescent="0.25">
      <c r="C830" s="20" t="s">
        <v>599</v>
      </c>
      <c r="D830" s="21" t="s">
        <v>79</v>
      </c>
      <c r="H830" s="11"/>
      <c r="AU830" s="11"/>
      <c r="CH830" s="11"/>
      <c r="CI830" s="16"/>
      <c r="CJ830" s="16"/>
      <c r="CK830" s="16"/>
      <c r="CL830" s="16"/>
      <c r="CM830" s="16"/>
      <c r="CN830" s="16"/>
      <c r="CO830" s="16"/>
      <c r="CP830" s="16"/>
      <c r="CQ830" s="16"/>
      <c r="CR830" s="16"/>
      <c r="CS830" s="16"/>
      <c r="CT830" s="16"/>
      <c r="CU830" s="16"/>
      <c r="CV830" s="16"/>
      <c r="CW830" s="16"/>
      <c r="CX830" s="16"/>
      <c r="CY830" s="16"/>
      <c r="CZ830" s="16"/>
      <c r="DA830" s="16"/>
      <c r="DB830" s="16"/>
      <c r="DC830" s="16"/>
      <c r="DD830" s="16"/>
      <c r="DE830" s="17"/>
      <c r="DF830" s="17"/>
      <c r="DG830" s="16"/>
      <c r="DH830" s="16"/>
      <c r="DI830" s="17"/>
      <c r="DJ830" s="17"/>
      <c r="DK830" s="16"/>
      <c r="DL830" s="16"/>
      <c r="DM830" s="17"/>
      <c r="DN830" s="17"/>
      <c r="DO830" s="16"/>
      <c r="DP830" s="16"/>
      <c r="DQ830" s="17"/>
      <c r="DR830" s="17"/>
      <c r="DS830" s="16"/>
      <c r="DT830" s="16"/>
      <c r="DU830" s="17"/>
      <c r="DV830" s="17"/>
      <c r="DW830" s="16"/>
      <c r="DX830" s="16"/>
      <c r="DY830" s="17"/>
      <c r="DZ830" s="17"/>
      <c r="EA830" s="16"/>
      <c r="EB830" s="16"/>
      <c r="EC830" s="17"/>
      <c r="ED830" s="17"/>
      <c r="EE830" s="16"/>
      <c r="EF830" s="16"/>
      <c r="EG830" s="17"/>
      <c r="EH830" s="17"/>
      <c r="EI830" s="16"/>
      <c r="EJ830" s="16"/>
      <c r="EK830" s="17"/>
      <c r="EL830" s="17"/>
      <c r="EM830" s="16"/>
      <c r="EN830" s="16"/>
      <c r="EO830" s="17"/>
      <c r="EP830" s="17"/>
      <c r="EQ830" s="16"/>
      <c r="ER830" s="16"/>
      <c r="ES830" s="17"/>
      <c r="ET830" s="17"/>
      <c r="EU830" s="16"/>
      <c r="EV830" s="16"/>
      <c r="EW830" s="17"/>
      <c r="EX830" s="17"/>
      <c r="EY830" s="16"/>
      <c r="EZ830" s="16"/>
      <c r="FA830" s="17"/>
      <c r="FB830" s="17"/>
      <c r="FC830" s="16"/>
      <c r="FD830" s="16"/>
      <c r="FE830" s="17"/>
      <c r="FF830" s="17"/>
      <c r="FG830" s="11"/>
      <c r="GT830" s="11"/>
      <c r="IG830" s="11"/>
      <c r="JT830" s="11"/>
      <c r="LG830" s="11"/>
      <c r="MT830" s="11"/>
      <c r="OG830" s="11"/>
      <c r="PT830" s="11"/>
    </row>
    <row r="831" spans="1:436" ht="15.75" x14ac:dyDescent="0.25">
      <c r="C831" s="20" t="s">
        <v>611</v>
      </c>
      <c r="D831" s="21" t="s">
        <v>82</v>
      </c>
      <c r="H831" s="11"/>
      <c r="AU831" s="11"/>
      <c r="CH831" s="11"/>
      <c r="CI831" s="16"/>
      <c r="CJ831" s="16"/>
      <c r="CK831" s="16"/>
      <c r="CL831" s="16"/>
      <c r="CM831" s="16"/>
      <c r="CN831" s="16"/>
      <c r="CO831" s="16"/>
      <c r="CP831" s="16"/>
      <c r="CQ831" s="16"/>
      <c r="CR831" s="16"/>
      <c r="CS831" s="16"/>
      <c r="CT831" s="16"/>
      <c r="CU831" s="16"/>
      <c r="CV831" s="16"/>
      <c r="CW831" s="16"/>
      <c r="CX831" s="16"/>
      <c r="CY831" s="16"/>
      <c r="CZ831" s="16"/>
      <c r="DA831" s="16"/>
      <c r="DB831" s="16"/>
      <c r="DC831" s="16"/>
      <c r="DD831" s="16"/>
      <c r="DE831" s="17"/>
      <c r="DF831" s="17"/>
      <c r="DG831" s="16"/>
      <c r="DH831" s="16"/>
      <c r="DI831" s="17"/>
      <c r="DJ831" s="17"/>
      <c r="DK831" s="16"/>
      <c r="DL831" s="16"/>
      <c r="DM831" s="17"/>
      <c r="DN831" s="17"/>
      <c r="DO831" s="16"/>
      <c r="DP831" s="16"/>
      <c r="DQ831" s="17"/>
      <c r="DR831" s="17"/>
      <c r="DS831" s="16"/>
      <c r="DT831" s="16"/>
      <c r="DU831" s="17"/>
      <c r="DV831" s="17"/>
      <c r="DW831" s="16"/>
      <c r="DX831" s="16"/>
      <c r="DY831" s="17"/>
      <c r="DZ831" s="17"/>
      <c r="EA831" s="16"/>
      <c r="EB831" s="16"/>
      <c r="EC831" s="17"/>
      <c r="ED831" s="17"/>
      <c r="EE831" s="16"/>
      <c r="EF831" s="16"/>
      <c r="EG831" s="17"/>
      <c r="EH831" s="17"/>
      <c r="EI831" s="16"/>
      <c r="EJ831" s="16"/>
      <c r="EK831" s="17"/>
      <c r="EL831" s="17"/>
      <c r="EM831" s="16"/>
      <c r="EN831" s="16"/>
      <c r="EO831" s="17"/>
      <c r="EP831" s="17"/>
      <c r="EQ831" s="16"/>
      <c r="ER831" s="16"/>
      <c r="ES831" s="18">
        <v>1</v>
      </c>
      <c r="ET831" s="18">
        <v>3</v>
      </c>
      <c r="EU831" s="16"/>
      <c r="EV831" s="16"/>
      <c r="EW831" s="17"/>
      <c r="EX831" s="17"/>
      <c r="EY831" s="16"/>
      <c r="EZ831" s="16"/>
      <c r="FA831" s="17"/>
      <c r="FB831" s="17"/>
      <c r="FC831" s="16"/>
      <c r="FD831" s="16"/>
      <c r="FE831" s="17"/>
      <c r="FF831" s="17"/>
      <c r="FG831" s="11"/>
      <c r="GT831" s="11"/>
      <c r="IG831" s="11"/>
      <c r="JT831" s="11"/>
      <c r="LG831" s="11"/>
      <c r="MT831" s="11"/>
      <c r="OG831" s="11"/>
      <c r="PT831" s="11"/>
    </row>
    <row r="832" spans="1:436" ht="15.75" x14ac:dyDescent="0.25">
      <c r="C832" s="20" t="s">
        <v>612</v>
      </c>
      <c r="D832" s="21" t="s">
        <v>82</v>
      </c>
      <c r="H832" s="11"/>
      <c r="AU832" s="11"/>
      <c r="CH832" s="11"/>
      <c r="CI832" s="16"/>
      <c r="CJ832" s="16"/>
      <c r="CK832" s="16"/>
      <c r="CL832" s="16"/>
      <c r="CM832" s="16"/>
      <c r="CN832" s="16"/>
      <c r="CO832" s="16"/>
      <c r="CP832" s="16"/>
      <c r="CQ832" s="16"/>
      <c r="CR832" s="16"/>
      <c r="CS832" s="16"/>
      <c r="CT832" s="16"/>
      <c r="CU832" s="16"/>
      <c r="CV832" s="16"/>
      <c r="CW832" s="16"/>
      <c r="CX832" s="16"/>
      <c r="CY832" s="16"/>
      <c r="CZ832" s="16"/>
      <c r="DA832" s="16"/>
      <c r="DB832" s="16"/>
      <c r="DC832" s="16"/>
      <c r="DD832" s="16"/>
      <c r="DE832" s="17"/>
      <c r="DF832" s="17"/>
      <c r="DG832" s="16"/>
      <c r="DH832" s="16"/>
      <c r="DI832" s="17"/>
      <c r="DJ832" s="17"/>
      <c r="DK832" s="16"/>
      <c r="DL832" s="16"/>
      <c r="DM832" s="17"/>
      <c r="DN832" s="17"/>
      <c r="DO832" s="16"/>
      <c r="DP832" s="16"/>
      <c r="DQ832" s="17"/>
      <c r="DR832" s="17"/>
      <c r="DS832" s="16"/>
      <c r="DT832" s="16"/>
      <c r="DU832" s="17"/>
      <c r="DV832" s="17"/>
      <c r="DW832" s="16"/>
      <c r="DX832" s="16"/>
      <c r="DY832" s="17"/>
      <c r="DZ832" s="17"/>
      <c r="EA832" s="16"/>
      <c r="EB832" s="16"/>
      <c r="EC832" s="17"/>
      <c r="ED832" s="17"/>
      <c r="EE832" s="16"/>
      <c r="EF832" s="16"/>
      <c r="EG832" s="17"/>
      <c r="EH832" s="17"/>
      <c r="EI832" s="16"/>
      <c r="EJ832" s="16"/>
      <c r="EK832" s="17"/>
      <c r="EL832" s="17"/>
      <c r="EM832" s="16"/>
      <c r="EN832" s="16"/>
      <c r="EO832" s="17"/>
      <c r="EP832" s="17"/>
      <c r="EQ832" s="16"/>
      <c r="ER832" s="16"/>
      <c r="ES832" s="18">
        <v>5</v>
      </c>
      <c r="ET832" s="18">
        <v>10</v>
      </c>
      <c r="EU832" s="16"/>
      <c r="EV832" s="16"/>
      <c r="EW832" s="17"/>
      <c r="EX832" s="17"/>
      <c r="EY832" s="16"/>
      <c r="EZ832" s="16"/>
      <c r="FA832" s="17"/>
      <c r="FB832" s="17"/>
      <c r="FC832" s="16"/>
      <c r="FD832" s="16"/>
      <c r="FE832" s="17"/>
      <c r="FF832" s="17"/>
      <c r="FG832" s="11"/>
      <c r="GT832" s="11"/>
      <c r="IG832" s="11"/>
      <c r="JT832" s="11"/>
      <c r="LG832" s="11"/>
      <c r="MT832" s="11"/>
      <c r="OG832" s="11"/>
      <c r="PT832" s="11"/>
    </row>
    <row r="833" spans="3:436" ht="15.75" x14ac:dyDescent="0.25">
      <c r="C833" s="20" t="s">
        <v>613</v>
      </c>
      <c r="D833" s="21" t="s">
        <v>82</v>
      </c>
      <c r="H833" s="11"/>
      <c r="AU833" s="11"/>
      <c r="CH833" s="11"/>
      <c r="CI833" s="16"/>
      <c r="CJ833" s="16"/>
      <c r="CK833" s="16"/>
      <c r="CL833" s="16"/>
      <c r="CM833" s="16"/>
      <c r="CN833" s="16"/>
      <c r="CO833" s="16"/>
      <c r="CP833" s="16"/>
      <c r="CQ833" s="16"/>
      <c r="CR833" s="16"/>
      <c r="CS833" s="16"/>
      <c r="CT833" s="16"/>
      <c r="CU833" s="16"/>
      <c r="CV833" s="16"/>
      <c r="CW833" s="16"/>
      <c r="CX833" s="16"/>
      <c r="CY833" s="16"/>
      <c r="CZ833" s="16"/>
      <c r="DA833" s="16"/>
      <c r="DB833" s="16"/>
      <c r="DC833" s="16"/>
      <c r="DD833" s="16"/>
      <c r="DE833" s="17"/>
      <c r="DF833" s="17"/>
      <c r="DG833" s="16"/>
      <c r="DH833" s="16"/>
      <c r="DI833" s="17"/>
      <c r="DJ833" s="17"/>
      <c r="DK833" s="16"/>
      <c r="DL833" s="16"/>
      <c r="DM833" s="17"/>
      <c r="DN833" s="17"/>
      <c r="DO833" s="16"/>
      <c r="DP833" s="16"/>
      <c r="DQ833" s="17"/>
      <c r="DR833" s="17"/>
      <c r="DS833" s="16"/>
      <c r="DT833" s="16"/>
      <c r="DU833" s="17"/>
      <c r="DV833" s="17"/>
      <c r="DW833" s="16"/>
      <c r="DX833" s="16"/>
      <c r="DY833" s="17"/>
      <c r="DZ833" s="17"/>
      <c r="EA833" s="16"/>
      <c r="EB833" s="16"/>
      <c r="EC833" s="17"/>
      <c r="ED833" s="17"/>
      <c r="EE833" s="16"/>
      <c r="EF833" s="16"/>
      <c r="EG833" s="17"/>
      <c r="EH833" s="17"/>
      <c r="EI833" s="16"/>
      <c r="EJ833" s="16"/>
      <c r="EK833" s="17"/>
      <c r="EL833" s="17"/>
      <c r="EM833" s="16"/>
      <c r="EN833" s="16"/>
      <c r="EO833" s="17"/>
      <c r="EP833" s="17"/>
      <c r="EQ833" s="16"/>
      <c r="ER833" s="16"/>
      <c r="ES833" s="18">
        <v>2</v>
      </c>
      <c r="ET833" s="18">
        <v>4</v>
      </c>
      <c r="EU833" s="16"/>
      <c r="EV833" s="16"/>
      <c r="EW833" s="17"/>
      <c r="EX833" s="17"/>
      <c r="EY833" s="16"/>
      <c r="EZ833" s="16"/>
      <c r="FA833" s="17"/>
      <c r="FB833" s="17"/>
      <c r="FC833" s="16"/>
      <c r="FD833" s="16"/>
      <c r="FE833" s="17"/>
      <c r="FF833" s="17"/>
      <c r="FG833" s="11"/>
      <c r="GT833" s="11"/>
      <c r="IG833" s="11"/>
      <c r="JT833" s="11"/>
      <c r="LG833" s="11"/>
      <c r="MT833" s="11"/>
      <c r="OG833" s="11"/>
      <c r="PT833" s="11"/>
    </row>
    <row r="834" spans="3:436" ht="15.75" x14ac:dyDescent="0.25">
      <c r="C834" s="20" t="s">
        <v>614</v>
      </c>
      <c r="D834" s="21" t="s">
        <v>82</v>
      </c>
      <c r="H834" s="11"/>
      <c r="AU834" s="11"/>
      <c r="CH834" s="11"/>
      <c r="CI834" s="16"/>
      <c r="CJ834" s="16"/>
      <c r="CK834" s="16"/>
      <c r="CL834" s="16"/>
      <c r="CM834" s="16"/>
      <c r="CN834" s="16"/>
      <c r="CO834" s="16"/>
      <c r="CP834" s="16"/>
      <c r="CQ834" s="16"/>
      <c r="CR834" s="16"/>
      <c r="CS834" s="16"/>
      <c r="CT834" s="16"/>
      <c r="CU834" s="16"/>
      <c r="CV834" s="16"/>
      <c r="CW834" s="16"/>
      <c r="CX834" s="16"/>
      <c r="CY834" s="16"/>
      <c r="CZ834" s="16"/>
      <c r="DA834" s="16"/>
      <c r="DB834" s="16"/>
      <c r="DC834" s="16"/>
      <c r="DD834" s="16"/>
      <c r="DE834" s="17"/>
      <c r="DF834" s="17"/>
      <c r="DG834" s="16"/>
      <c r="DH834" s="16"/>
      <c r="DI834" s="17"/>
      <c r="DJ834" s="17"/>
      <c r="DK834" s="16"/>
      <c r="DL834" s="16"/>
      <c r="DM834" s="17"/>
      <c r="DN834" s="17"/>
      <c r="DO834" s="16"/>
      <c r="DP834" s="16"/>
      <c r="DQ834" s="17"/>
      <c r="DR834" s="17"/>
      <c r="DS834" s="16"/>
      <c r="DT834" s="16"/>
      <c r="DU834" s="17"/>
      <c r="DV834" s="17"/>
      <c r="DW834" s="16"/>
      <c r="DX834" s="16"/>
      <c r="DY834" s="17"/>
      <c r="DZ834" s="17"/>
      <c r="EA834" s="16"/>
      <c r="EB834" s="16"/>
      <c r="EC834" s="17"/>
      <c r="ED834" s="17"/>
      <c r="EE834" s="16"/>
      <c r="EF834" s="16"/>
      <c r="EG834" s="17"/>
      <c r="EH834" s="17"/>
      <c r="EI834" s="16"/>
      <c r="EJ834" s="16"/>
      <c r="EK834" s="17"/>
      <c r="EL834" s="17"/>
      <c r="EM834" s="16"/>
      <c r="EN834" s="16"/>
      <c r="EO834" s="17"/>
      <c r="EP834" s="17"/>
      <c r="EQ834" s="16"/>
      <c r="ER834" s="16"/>
      <c r="ES834" s="18">
        <v>1</v>
      </c>
      <c r="ET834" s="18">
        <v>2</v>
      </c>
      <c r="EU834" s="16"/>
      <c r="EV834" s="16"/>
      <c r="EW834" s="17"/>
      <c r="EX834" s="17"/>
      <c r="EY834" s="16"/>
      <c r="EZ834" s="16"/>
      <c r="FA834" s="17"/>
      <c r="FB834" s="17"/>
      <c r="FC834" s="16"/>
      <c r="FD834" s="16"/>
      <c r="FE834" s="17"/>
      <c r="FF834" s="17"/>
      <c r="FG834" s="11"/>
      <c r="GT834" s="11"/>
      <c r="IG834" s="11"/>
      <c r="JT834" s="11"/>
      <c r="LG834" s="11"/>
      <c r="MT834" s="11"/>
      <c r="OG834" s="11"/>
      <c r="PT834" s="11"/>
    </row>
    <row r="835" spans="3:436" ht="15.75" x14ac:dyDescent="0.25">
      <c r="C835" s="20" t="s">
        <v>615</v>
      </c>
      <c r="D835" s="21" t="s">
        <v>82</v>
      </c>
      <c r="H835" s="11"/>
      <c r="AU835" s="11"/>
      <c r="CH835" s="11"/>
      <c r="CI835" s="16"/>
      <c r="CJ835" s="16"/>
      <c r="CK835" s="16"/>
      <c r="CL835" s="16"/>
      <c r="CM835" s="16"/>
      <c r="CN835" s="16"/>
      <c r="CO835" s="16"/>
      <c r="CP835" s="16"/>
      <c r="CQ835" s="16"/>
      <c r="CR835" s="16"/>
      <c r="CS835" s="16"/>
      <c r="CT835" s="16"/>
      <c r="CU835" s="16"/>
      <c r="CV835" s="16"/>
      <c r="CW835" s="16"/>
      <c r="CX835" s="16"/>
      <c r="CY835" s="16"/>
      <c r="CZ835" s="16"/>
      <c r="DA835" s="16"/>
      <c r="DB835" s="16"/>
      <c r="DC835" s="16"/>
      <c r="DD835" s="16"/>
      <c r="DE835" s="17"/>
      <c r="DF835" s="17"/>
      <c r="DG835" s="16"/>
      <c r="DH835" s="16"/>
      <c r="DI835" s="17"/>
      <c r="DJ835" s="17"/>
      <c r="DK835" s="16"/>
      <c r="DL835" s="16"/>
      <c r="DM835" s="17"/>
      <c r="DN835" s="17"/>
      <c r="DO835" s="16"/>
      <c r="DP835" s="16"/>
      <c r="DQ835" s="17"/>
      <c r="DR835" s="17"/>
      <c r="DS835" s="16"/>
      <c r="DT835" s="16"/>
      <c r="DU835" s="17"/>
      <c r="DV835" s="17"/>
      <c r="DW835" s="16"/>
      <c r="DX835" s="16"/>
      <c r="DY835" s="17"/>
      <c r="DZ835" s="17"/>
      <c r="EA835" s="16"/>
      <c r="EB835" s="16"/>
      <c r="EC835" s="17"/>
      <c r="ED835" s="17"/>
      <c r="EE835" s="16"/>
      <c r="EF835" s="16"/>
      <c r="EG835" s="17"/>
      <c r="EH835" s="17"/>
      <c r="EI835" s="16"/>
      <c r="EJ835" s="16"/>
      <c r="EK835" s="17"/>
      <c r="EL835" s="17"/>
      <c r="EM835" s="16"/>
      <c r="EN835" s="16"/>
      <c r="EO835" s="17"/>
      <c r="EP835" s="17"/>
      <c r="EQ835" s="16"/>
      <c r="ER835" s="16"/>
      <c r="ES835" s="18">
        <v>1</v>
      </c>
      <c r="ET835" s="18">
        <v>2</v>
      </c>
      <c r="EU835" s="16"/>
      <c r="EV835" s="16"/>
      <c r="EW835" s="17"/>
      <c r="EX835" s="17"/>
      <c r="EY835" s="16"/>
      <c r="EZ835" s="16"/>
      <c r="FA835" s="17"/>
      <c r="FB835" s="17"/>
      <c r="FC835" s="16"/>
      <c r="FD835" s="16"/>
      <c r="FE835" s="17"/>
      <c r="FF835" s="17"/>
      <c r="FG835" s="11"/>
      <c r="GT835" s="11"/>
      <c r="IG835" s="11"/>
      <c r="JT835" s="11"/>
      <c r="LG835" s="11"/>
      <c r="MT835" s="11"/>
      <c r="OG835" s="11"/>
      <c r="PT835" s="11"/>
    </row>
    <row r="836" spans="3:436" ht="15.75" x14ac:dyDescent="0.25">
      <c r="C836" s="20" t="s">
        <v>616</v>
      </c>
      <c r="D836" s="21" t="s">
        <v>82</v>
      </c>
      <c r="H836" s="11"/>
      <c r="AU836" s="11"/>
      <c r="CH836" s="11"/>
      <c r="CI836" s="16"/>
      <c r="CJ836" s="16"/>
      <c r="CK836" s="16"/>
      <c r="CL836" s="16"/>
      <c r="CM836" s="16"/>
      <c r="CN836" s="16"/>
      <c r="CO836" s="16"/>
      <c r="CP836" s="16"/>
      <c r="CQ836" s="16"/>
      <c r="CR836" s="16"/>
      <c r="CS836" s="16"/>
      <c r="CT836" s="16"/>
      <c r="CU836" s="16"/>
      <c r="CV836" s="16"/>
      <c r="CW836" s="16"/>
      <c r="CX836" s="16"/>
      <c r="CY836" s="16"/>
      <c r="CZ836" s="16"/>
      <c r="DA836" s="16"/>
      <c r="DB836" s="16"/>
      <c r="DC836" s="16"/>
      <c r="DD836" s="16"/>
      <c r="DE836" s="17"/>
      <c r="DF836" s="17"/>
      <c r="DG836" s="16"/>
      <c r="DH836" s="16"/>
      <c r="DI836" s="17"/>
      <c r="DJ836" s="17"/>
      <c r="DK836" s="16"/>
      <c r="DL836" s="16"/>
      <c r="DM836" s="17"/>
      <c r="DN836" s="17"/>
      <c r="DO836" s="16"/>
      <c r="DP836" s="16"/>
      <c r="DQ836" s="17"/>
      <c r="DR836" s="17"/>
      <c r="DS836" s="16"/>
      <c r="DT836" s="16"/>
      <c r="DU836" s="17"/>
      <c r="DV836" s="17"/>
      <c r="DW836" s="16"/>
      <c r="DX836" s="16"/>
      <c r="DY836" s="17"/>
      <c r="DZ836" s="17"/>
      <c r="EA836" s="16"/>
      <c r="EB836" s="16"/>
      <c r="EC836" s="17"/>
      <c r="ED836" s="17"/>
      <c r="EE836" s="16"/>
      <c r="EF836" s="16"/>
      <c r="EG836" s="17"/>
      <c r="EH836" s="17"/>
      <c r="EI836" s="16"/>
      <c r="EJ836" s="16"/>
      <c r="EK836" s="17"/>
      <c r="EL836" s="17"/>
      <c r="EM836" s="16"/>
      <c r="EN836" s="16"/>
      <c r="EO836" s="17"/>
      <c r="EP836" s="17"/>
      <c r="EQ836" s="16"/>
      <c r="ER836" s="16"/>
      <c r="ES836" s="18">
        <v>1</v>
      </c>
      <c r="ET836" s="18">
        <v>2</v>
      </c>
      <c r="EU836" s="16"/>
      <c r="EV836" s="16"/>
      <c r="EW836" s="17"/>
      <c r="EX836" s="17"/>
      <c r="EY836" s="16"/>
      <c r="EZ836" s="16"/>
      <c r="FA836" s="17"/>
      <c r="FB836" s="17"/>
      <c r="FC836" s="16"/>
      <c r="FD836" s="16"/>
      <c r="FE836" s="17"/>
      <c r="FF836" s="17"/>
      <c r="FG836" s="11"/>
      <c r="GT836" s="11"/>
      <c r="IG836" s="11"/>
      <c r="JT836" s="11"/>
      <c r="LG836" s="11"/>
      <c r="MT836" s="11"/>
      <c r="OG836" s="11"/>
      <c r="PT836" s="11"/>
    </row>
    <row r="837" spans="3:436" ht="15.75" x14ac:dyDescent="0.25">
      <c r="C837" s="20" t="s">
        <v>617</v>
      </c>
      <c r="D837" s="21" t="s">
        <v>82</v>
      </c>
      <c r="H837" s="11"/>
      <c r="AU837" s="11"/>
      <c r="CH837" s="11"/>
      <c r="CI837" s="16"/>
      <c r="CJ837" s="16"/>
      <c r="CK837" s="16"/>
      <c r="CL837" s="16"/>
      <c r="CM837" s="16"/>
      <c r="CN837" s="16"/>
      <c r="CO837" s="16"/>
      <c r="CP837" s="16"/>
      <c r="CQ837" s="16"/>
      <c r="CR837" s="16"/>
      <c r="CS837" s="16"/>
      <c r="CT837" s="16"/>
      <c r="CU837" s="16"/>
      <c r="CV837" s="16"/>
      <c r="CW837" s="16"/>
      <c r="CX837" s="16"/>
      <c r="CY837" s="16"/>
      <c r="CZ837" s="16"/>
      <c r="DA837" s="16"/>
      <c r="DB837" s="16"/>
      <c r="DC837" s="16"/>
      <c r="DD837" s="16"/>
      <c r="DE837" s="17"/>
      <c r="DF837" s="17"/>
      <c r="DG837" s="16"/>
      <c r="DH837" s="16"/>
      <c r="DI837" s="17"/>
      <c r="DJ837" s="17"/>
      <c r="DK837" s="16"/>
      <c r="DL837" s="16"/>
      <c r="DM837" s="17"/>
      <c r="DN837" s="17"/>
      <c r="DO837" s="16"/>
      <c r="DP837" s="16"/>
      <c r="DQ837" s="17"/>
      <c r="DR837" s="17"/>
      <c r="DS837" s="16"/>
      <c r="DT837" s="16"/>
      <c r="DU837" s="17"/>
      <c r="DV837" s="17"/>
      <c r="DW837" s="16"/>
      <c r="DX837" s="16"/>
      <c r="DY837" s="17"/>
      <c r="DZ837" s="17"/>
      <c r="EA837" s="16"/>
      <c r="EB837" s="16"/>
      <c r="EC837" s="17"/>
      <c r="ED837" s="17"/>
      <c r="EE837" s="16"/>
      <c r="EF837" s="16"/>
      <c r="EG837" s="17"/>
      <c r="EH837" s="17"/>
      <c r="EI837" s="16"/>
      <c r="EJ837" s="16"/>
      <c r="EK837" s="17"/>
      <c r="EL837" s="17"/>
      <c r="EM837" s="16"/>
      <c r="EN837" s="16"/>
      <c r="EO837" s="17"/>
      <c r="EP837" s="17"/>
      <c r="EQ837" s="16"/>
      <c r="ER837" s="16"/>
      <c r="ES837" s="18">
        <v>1</v>
      </c>
      <c r="ET837" s="18">
        <v>2</v>
      </c>
      <c r="EU837" s="16"/>
      <c r="EV837" s="16"/>
      <c r="EW837" s="17"/>
      <c r="EX837" s="17"/>
      <c r="EY837" s="16"/>
      <c r="EZ837" s="16"/>
      <c r="FA837" s="17"/>
      <c r="FB837" s="17"/>
      <c r="FC837" s="16"/>
      <c r="FD837" s="16"/>
      <c r="FE837" s="17"/>
      <c r="FF837" s="17"/>
      <c r="FG837" s="11"/>
      <c r="GT837" s="11"/>
      <c r="IG837" s="11"/>
      <c r="JT837" s="11"/>
      <c r="LG837" s="11"/>
      <c r="MT837" s="11"/>
      <c r="OG837" s="11"/>
      <c r="PT837" s="11"/>
    </row>
    <row r="838" spans="3:436" ht="25.5" x14ac:dyDescent="0.25">
      <c r="C838" s="20" t="s">
        <v>618</v>
      </c>
      <c r="D838" s="21" t="s">
        <v>82</v>
      </c>
      <c r="H838" s="11"/>
      <c r="AU838" s="11"/>
      <c r="CH838" s="11"/>
      <c r="CI838" s="16"/>
      <c r="CJ838" s="16"/>
      <c r="CK838" s="16"/>
      <c r="CL838" s="16"/>
      <c r="CM838" s="16"/>
      <c r="CN838" s="16"/>
      <c r="CO838" s="16"/>
      <c r="CP838" s="16"/>
      <c r="CQ838" s="16"/>
      <c r="CR838" s="16"/>
      <c r="CS838" s="16"/>
      <c r="CT838" s="16"/>
      <c r="CU838" s="16"/>
      <c r="CV838" s="16"/>
      <c r="CW838" s="16"/>
      <c r="CX838" s="16"/>
      <c r="CY838" s="16"/>
      <c r="CZ838" s="16"/>
      <c r="DA838" s="16"/>
      <c r="DB838" s="16"/>
      <c r="DC838" s="16"/>
      <c r="DD838" s="16"/>
      <c r="DE838" s="17"/>
      <c r="DF838" s="17"/>
      <c r="DG838" s="16"/>
      <c r="DH838" s="16"/>
      <c r="DI838" s="17"/>
      <c r="DJ838" s="17"/>
      <c r="DK838" s="16"/>
      <c r="DL838" s="16"/>
      <c r="DM838" s="17"/>
      <c r="DN838" s="17"/>
      <c r="DO838" s="16"/>
      <c r="DP838" s="16"/>
      <c r="DQ838" s="17"/>
      <c r="DR838" s="17"/>
      <c r="DS838" s="16"/>
      <c r="DT838" s="16"/>
      <c r="DU838" s="17"/>
      <c r="DV838" s="17"/>
      <c r="DW838" s="16"/>
      <c r="DX838" s="16"/>
      <c r="DY838" s="17"/>
      <c r="DZ838" s="17"/>
      <c r="EA838" s="16"/>
      <c r="EB838" s="16"/>
      <c r="EC838" s="17"/>
      <c r="ED838" s="17"/>
      <c r="EE838" s="16"/>
      <c r="EF838" s="16"/>
      <c r="EG838" s="17"/>
      <c r="EH838" s="17"/>
      <c r="EI838" s="16"/>
      <c r="EJ838" s="16"/>
      <c r="EK838" s="17"/>
      <c r="EL838" s="17"/>
      <c r="EM838" s="16"/>
      <c r="EN838" s="16"/>
      <c r="EO838" s="17"/>
      <c r="EP838" s="17"/>
      <c r="EQ838" s="16"/>
      <c r="ER838" s="16"/>
      <c r="ES838" s="18">
        <v>2</v>
      </c>
      <c r="ET838" s="18">
        <v>4</v>
      </c>
      <c r="EU838" s="16"/>
      <c r="EV838" s="16"/>
      <c r="EW838" s="17"/>
      <c r="EX838" s="17"/>
      <c r="EY838" s="16"/>
      <c r="EZ838" s="16"/>
      <c r="FA838" s="17"/>
      <c r="FB838" s="17"/>
      <c r="FC838" s="16"/>
      <c r="FD838" s="16"/>
      <c r="FE838" s="17"/>
      <c r="FF838" s="17"/>
      <c r="FG838" s="11"/>
      <c r="GT838" s="11"/>
      <c r="IG838" s="11"/>
      <c r="JT838" s="11"/>
      <c r="LG838" s="11"/>
      <c r="MT838" s="11"/>
      <c r="OG838" s="11"/>
      <c r="PT838" s="11"/>
    </row>
    <row r="839" spans="3:436" ht="15.75" x14ac:dyDescent="0.25">
      <c r="C839" s="20" t="s">
        <v>619</v>
      </c>
      <c r="D839" s="21" t="s">
        <v>82</v>
      </c>
      <c r="H839" s="11"/>
      <c r="AU839" s="11"/>
      <c r="CH839" s="11"/>
      <c r="CI839" s="16"/>
      <c r="CJ839" s="16"/>
      <c r="CK839" s="16"/>
      <c r="CL839" s="16"/>
      <c r="CM839" s="16"/>
      <c r="CN839" s="16"/>
      <c r="CO839" s="16"/>
      <c r="CP839" s="16"/>
      <c r="CQ839" s="16"/>
      <c r="CR839" s="16"/>
      <c r="CS839" s="16"/>
      <c r="CT839" s="16"/>
      <c r="CU839" s="16"/>
      <c r="CV839" s="16"/>
      <c r="CW839" s="16"/>
      <c r="CX839" s="16"/>
      <c r="CY839" s="16"/>
      <c r="CZ839" s="16"/>
      <c r="DA839" s="16"/>
      <c r="DB839" s="16"/>
      <c r="DC839" s="16"/>
      <c r="DD839" s="16"/>
      <c r="DE839" s="17"/>
      <c r="DF839" s="17"/>
      <c r="DG839" s="16"/>
      <c r="DH839" s="16"/>
      <c r="DI839" s="17"/>
      <c r="DJ839" s="17"/>
      <c r="DK839" s="16"/>
      <c r="DL839" s="16"/>
      <c r="DM839" s="17"/>
      <c r="DN839" s="17"/>
      <c r="DO839" s="16"/>
      <c r="DP839" s="16"/>
      <c r="DQ839" s="17"/>
      <c r="DR839" s="17"/>
      <c r="DS839" s="16"/>
      <c r="DT839" s="16"/>
      <c r="DU839" s="17"/>
      <c r="DV839" s="17"/>
      <c r="DW839" s="16"/>
      <c r="DX839" s="16"/>
      <c r="DY839" s="17"/>
      <c r="DZ839" s="17"/>
      <c r="EA839" s="16"/>
      <c r="EB839" s="16"/>
      <c r="EC839" s="17"/>
      <c r="ED839" s="17"/>
      <c r="EE839" s="16"/>
      <c r="EF839" s="16"/>
      <c r="EG839" s="17"/>
      <c r="EH839" s="17"/>
      <c r="EI839" s="16"/>
      <c r="EJ839" s="16"/>
      <c r="EK839" s="17"/>
      <c r="EL839" s="17"/>
      <c r="EM839" s="16"/>
      <c r="EN839" s="16"/>
      <c r="EO839" s="17"/>
      <c r="EP839" s="17"/>
      <c r="EQ839" s="16"/>
      <c r="ER839" s="16"/>
      <c r="ES839" s="18">
        <v>1</v>
      </c>
      <c r="ET839" s="18">
        <v>2</v>
      </c>
      <c r="EU839" s="16"/>
      <c r="EV839" s="16"/>
      <c r="EW839" s="17"/>
      <c r="EX839" s="17"/>
      <c r="EY839" s="16"/>
      <c r="EZ839" s="16"/>
      <c r="FA839" s="17"/>
      <c r="FB839" s="17"/>
      <c r="FC839" s="16"/>
      <c r="FD839" s="16"/>
      <c r="FE839" s="17"/>
      <c r="FF839" s="17"/>
      <c r="FG839" s="11"/>
      <c r="GT839" s="11"/>
      <c r="IG839" s="11"/>
      <c r="JT839" s="11"/>
      <c r="LG839" s="11"/>
      <c r="MT839" s="11"/>
      <c r="OG839" s="11"/>
      <c r="PT839" s="11"/>
    </row>
    <row r="840" spans="3:436" ht="15.75" x14ac:dyDescent="0.25">
      <c r="C840" s="20" t="s">
        <v>600</v>
      </c>
      <c r="D840" s="21" t="s">
        <v>82</v>
      </c>
      <c r="H840" s="11"/>
      <c r="AU840" s="11"/>
      <c r="CH840" s="11"/>
      <c r="CI840" s="16"/>
      <c r="CJ840" s="16"/>
      <c r="CK840" s="16"/>
      <c r="CL840" s="16"/>
      <c r="CM840" s="16"/>
      <c r="CN840" s="16"/>
      <c r="CO840" s="16"/>
      <c r="CP840" s="16"/>
      <c r="CQ840" s="16"/>
      <c r="CR840" s="16"/>
      <c r="CS840" s="16"/>
      <c r="CT840" s="16"/>
      <c r="CU840" s="16"/>
      <c r="CV840" s="16"/>
      <c r="CW840" s="16"/>
      <c r="CX840" s="16"/>
      <c r="CY840" s="16"/>
      <c r="CZ840" s="16"/>
      <c r="DA840" s="16"/>
      <c r="DB840" s="16"/>
      <c r="DC840" s="16"/>
      <c r="DD840" s="16"/>
      <c r="DE840" s="17"/>
      <c r="DF840" s="17"/>
      <c r="DG840" s="16"/>
      <c r="DH840" s="16"/>
      <c r="DI840" s="17"/>
      <c r="DJ840" s="17"/>
      <c r="DK840" s="16"/>
      <c r="DL840" s="16"/>
      <c r="DM840" s="17"/>
      <c r="DN840" s="17"/>
      <c r="DO840" s="16"/>
      <c r="DP840" s="16"/>
      <c r="DQ840" s="17"/>
      <c r="DR840" s="17"/>
      <c r="DS840" s="16"/>
      <c r="DT840" s="16"/>
      <c r="DU840" s="17"/>
      <c r="DV840" s="17"/>
      <c r="DW840" s="16"/>
      <c r="DX840" s="16"/>
      <c r="DY840" s="17"/>
      <c r="DZ840" s="17"/>
      <c r="EA840" s="16"/>
      <c r="EB840" s="16"/>
      <c r="EC840" s="17"/>
      <c r="ED840" s="17"/>
      <c r="EE840" s="16"/>
      <c r="EF840" s="16"/>
      <c r="EG840" s="17"/>
      <c r="EH840" s="17"/>
      <c r="EI840" s="16"/>
      <c r="EJ840" s="16"/>
      <c r="EK840" s="17"/>
      <c r="EL840" s="17"/>
      <c r="EM840" s="16"/>
      <c r="EN840" s="16"/>
      <c r="EO840" s="17"/>
      <c r="EP840" s="17"/>
      <c r="EQ840" s="16"/>
      <c r="ER840" s="16"/>
      <c r="ES840" s="18">
        <v>3</v>
      </c>
      <c r="ET840" s="18">
        <v>5</v>
      </c>
      <c r="EU840" s="16"/>
      <c r="EV840" s="16"/>
      <c r="EW840" s="17"/>
      <c r="EX840" s="17"/>
      <c r="EY840" s="16"/>
      <c r="EZ840" s="16"/>
      <c r="FA840" s="17"/>
      <c r="FB840" s="17"/>
      <c r="FC840" s="16"/>
      <c r="FD840" s="16"/>
      <c r="FE840" s="17"/>
      <c r="FF840" s="17"/>
      <c r="FG840" s="11"/>
      <c r="GT840" s="11"/>
      <c r="IG840" s="11"/>
      <c r="JT840" s="11"/>
      <c r="LG840" s="11"/>
      <c r="MT840" s="11"/>
      <c r="OG840" s="11"/>
      <c r="PT840" s="11"/>
    </row>
    <row r="841" spans="3:436" ht="15.75" x14ac:dyDescent="0.25">
      <c r="C841" s="20" t="s">
        <v>601</v>
      </c>
      <c r="D841" s="21" t="s">
        <v>82</v>
      </c>
      <c r="H841" s="11"/>
      <c r="AU841" s="11"/>
      <c r="CH841" s="11"/>
      <c r="CI841" s="16"/>
      <c r="CJ841" s="16"/>
      <c r="CK841" s="16"/>
      <c r="CL841" s="16"/>
      <c r="CM841" s="16"/>
      <c r="CN841" s="16"/>
      <c r="CO841" s="16"/>
      <c r="CP841" s="16"/>
      <c r="CQ841" s="16"/>
      <c r="CR841" s="16"/>
      <c r="CS841" s="16"/>
      <c r="CT841" s="16"/>
      <c r="CU841" s="16"/>
      <c r="CV841" s="16"/>
      <c r="CW841" s="16"/>
      <c r="CX841" s="16"/>
      <c r="CY841" s="16"/>
      <c r="CZ841" s="16"/>
      <c r="DA841" s="16"/>
      <c r="DB841" s="16"/>
      <c r="DC841" s="16"/>
      <c r="DD841" s="16"/>
      <c r="DE841" s="17"/>
      <c r="DF841" s="17"/>
      <c r="DG841" s="16"/>
      <c r="DH841" s="16"/>
      <c r="DI841" s="17"/>
      <c r="DJ841" s="17"/>
      <c r="DK841" s="16"/>
      <c r="DL841" s="16"/>
      <c r="DM841" s="17"/>
      <c r="DN841" s="17"/>
      <c r="DO841" s="16"/>
      <c r="DP841" s="16"/>
      <c r="DQ841" s="17"/>
      <c r="DR841" s="17"/>
      <c r="DS841" s="16"/>
      <c r="DT841" s="16"/>
      <c r="DU841" s="17"/>
      <c r="DV841" s="17"/>
      <c r="DW841" s="16"/>
      <c r="DX841" s="16"/>
      <c r="DY841" s="17"/>
      <c r="DZ841" s="17"/>
      <c r="EA841" s="16"/>
      <c r="EB841" s="16"/>
      <c r="EC841" s="17"/>
      <c r="ED841" s="17"/>
      <c r="EE841" s="16"/>
      <c r="EF841" s="16"/>
      <c r="EG841" s="17"/>
      <c r="EH841" s="17"/>
      <c r="EI841" s="16"/>
      <c r="EJ841" s="16"/>
      <c r="EK841" s="17"/>
      <c r="EL841" s="17"/>
      <c r="EM841" s="16"/>
      <c r="EN841" s="16"/>
      <c r="EO841" s="17"/>
      <c r="EP841" s="17"/>
      <c r="EQ841" s="16"/>
      <c r="ER841" s="16"/>
      <c r="ES841" s="18">
        <v>1</v>
      </c>
      <c r="ET841" s="18">
        <v>2</v>
      </c>
      <c r="EU841" s="16"/>
      <c r="EV841" s="16"/>
      <c r="EW841" s="17"/>
      <c r="EX841" s="17"/>
      <c r="EY841" s="16"/>
      <c r="EZ841" s="16"/>
      <c r="FA841" s="17"/>
      <c r="FB841" s="17"/>
      <c r="FC841" s="16"/>
      <c r="FD841" s="16"/>
      <c r="FE841" s="17"/>
      <c r="FF841" s="17"/>
      <c r="FG841" s="11"/>
      <c r="GT841" s="11"/>
      <c r="IG841" s="11"/>
      <c r="JT841" s="11"/>
      <c r="LG841" s="11"/>
      <c r="MT841" s="11"/>
      <c r="OG841" s="11"/>
      <c r="PT841" s="11"/>
    </row>
    <row r="842" spans="3:436" ht="15.75" x14ac:dyDescent="0.25">
      <c r="C842" s="20" t="s">
        <v>620</v>
      </c>
      <c r="D842" s="21" t="s">
        <v>84</v>
      </c>
      <c r="H842" s="11"/>
      <c r="AU842" s="11"/>
      <c r="CH842" s="11"/>
      <c r="CI842" s="16"/>
      <c r="CJ842" s="16"/>
      <c r="CK842" s="16"/>
      <c r="CL842" s="16"/>
      <c r="CM842" s="16"/>
      <c r="CN842" s="16"/>
      <c r="CO842" s="16"/>
      <c r="CP842" s="16"/>
      <c r="CQ842" s="16"/>
      <c r="CR842" s="16"/>
      <c r="CS842" s="16"/>
      <c r="CT842" s="16"/>
      <c r="CU842" s="16"/>
      <c r="CV842" s="16"/>
      <c r="CW842" s="16"/>
      <c r="CX842" s="16"/>
      <c r="CY842" s="16"/>
      <c r="CZ842" s="16"/>
      <c r="DA842" s="16"/>
      <c r="DB842" s="16"/>
      <c r="DC842" s="16"/>
      <c r="DD842" s="16"/>
      <c r="DE842" s="17"/>
      <c r="DF842" s="17"/>
      <c r="DG842" s="16"/>
      <c r="DH842" s="16"/>
      <c r="DI842" s="17"/>
      <c r="DJ842" s="17"/>
      <c r="DK842" s="16"/>
      <c r="DL842" s="16"/>
      <c r="DM842" s="17"/>
      <c r="DN842" s="17"/>
      <c r="DO842" s="16"/>
      <c r="DP842" s="16"/>
      <c r="DQ842" s="17"/>
      <c r="DR842" s="17"/>
      <c r="DS842" s="16"/>
      <c r="DT842" s="16"/>
      <c r="DU842" s="17"/>
      <c r="DV842" s="17"/>
      <c r="DW842" s="16"/>
      <c r="DX842" s="16"/>
      <c r="DY842" s="17"/>
      <c r="DZ842" s="17"/>
      <c r="EA842" s="16"/>
      <c r="EB842" s="16"/>
      <c r="EC842" s="17"/>
      <c r="ED842" s="17"/>
      <c r="EE842" s="16"/>
      <c r="EF842" s="16"/>
      <c r="EG842" s="17"/>
      <c r="EH842" s="17"/>
      <c r="EI842" s="16"/>
      <c r="EJ842" s="16"/>
      <c r="EK842" s="17"/>
      <c r="EL842" s="17"/>
      <c r="EM842" s="16"/>
      <c r="EN842" s="16"/>
      <c r="EO842" s="17"/>
      <c r="EP842" s="17"/>
      <c r="EQ842" s="16"/>
      <c r="ER842" s="16"/>
      <c r="ES842" s="17"/>
      <c r="ET842" s="17"/>
      <c r="EU842" s="16"/>
      <c r="EV842" s="16"/>
      <c r="EW842" s="17"/>
      <c r="EX842" s="17"/>
      <c r="EY842" s="16"/>
      <c r="EZ842" s="16"/>
      <c r="FA842" s="17"/>
      <c r="FB842" s="17"/>
      <c r="FC842" s="16"/>
      <c r="FD842" s="16"/>
      <c r="FE842" s="17"/>
      <c r="FF842" s="17"/>
      <c r="FG842" s="11"/>
      <c r="GT842" s="11"/>
      <c r="IG842" s="11"/>
      <c r="JT842" s="11"/>
      <c r="LG842" s="11"/>
      <c r="MT842" s="11"/>
      <c r="OG842" s="11"/>
      <c r="PT842" s="11"/>
    </row>
    <row r="843" spans="3:436" ht="15.75" x14ac:dyDescent="0.25">
      <c r="C843" s="20" t="s">
        <v>621</v>
      </c>
      <c r="D843" s="21" t="s">
        <v>82</v>
      </c>
      <c r="H843" s="11"/>
      <c r="AU843" s="11"/>
      <c r="CH843" s="11"/>
      <c r="CI843" s="16"/>
      <c r="CJ843" s="16"/>
      <c r="CK843" s="16"/>
      <c r="CL843" s="16"/>
      <c r="CM843" s="16"/>
      <c r="CN843" s="16"/>
      <c r="CO843" s="16"/>
      <c r="CP843" s="16"/>
      <c r="CQ843" s="16"/>
      <c r="CR843" s="16"/>
      <c r="CS843" s="16"/>
      <c r="CT843" s="16"/>
      <c r="CU843" s="16"/>
      <c r="CV843" s="16"/>
      <c r="CW843" s="16"/>
      <c r="CX843" s="16"/>
      <c r="CY843" s="16"/>
      <c r="CZ843" s="16"/>
      <c r="DA843" s="16"/>
      <c r="DB843" s="16"/>
      <c r="DC843" s="16"/>
      <c r="DD843" s="16"/>
      <c r="DE843" s="17"/>
      <c r="DF843" s="17"/>
      <c r="DG843" s="16"/>
      <c r="DH843" s="16"/>
      <c r="DI843" s="17"/>
      <c r="DJ843" s="17"/>
      <c r="DK843" s="16"/>
      <c r="DL843" s="16"/>
      <c r="DM843" s="17"/>
      <c r="DN843" s="17"/>
      <c r="DO843" s="16"/>
      <c r="DP843" s="16"/>
      <c r="DQ843" s="17"/>
      <c r="DR843" s="17"/>
      <c r="DS843" s="16"/>
      <c r="DT843" s="16"/>
      <c r="DU843" s="17"/>
      <c r="DV843" s="17"/>
      <c r="DW843" s="16"/>
      <c r="DX843" s="16"/>
      <c r="DY843" s="17"/>
      <c r="DZ843" s="17"/>
      <c r="EA843" s="16"/>
      <c r="EB843" s="16"/>
      <c r="EC843" s="17"/>
      <c r="ED843" s="17"/>
      <c r="EE843" s="16"/>
      <c r="EF843" s="16"/>
      <c r="EG843" s="17"/>
      <c r="EH843" s="17"/>
      <c r="EI843" s="16"/>
      <c r="EJ843" s="16"/>
      <c r="EK843" s="17"/>
      <c r="EL843" s="17"/>
      <c r="EM843" s="16"/>
      <c r="EN843" s="16"/>
      <c r="EO843" s="17"/>
      <c r="EP843" s="17"/>
      <c r="EQ843" s="16"/>
      <c r="ER843" s="16"/>
      <c r="ES843" s="18">
        <v>2</v>
      </c>
      <c r="ET843" s="18">
        <v>3</v>
      </c>
      <c r="EU843" s="16"/>
      <c r="EV843" s="16"/>
      <c r="EW843" s="17"/>
      <c r="EX843" s="17"/>
      <c r="EY843" s="16"/>
      <c r="EZ843" s="16"/>
      <c r="FA843" s="17"/>
      <c r="FB843" s="17"/>
      <c r="FC843" s="16"/>
      <c r="FD843" s="16"/>
      <c r="FE843" s="17"/>
      <c r="FF843" s="17"/>
      <c r="FG843" s="11"/>
      <c r="GT843" s="11"/>
      <c r="IG843" s="11"/>
      <c r="JT843" s="11"/>
      <c r="LG843" s="11"/>
      <c r="MT843" s="11"/>
      <c r="OG843" s="11"/>
      <c r="PT843" s="11"/>
    </row>
    <row r="844" spans="3:436" ht="15.75" x14ac:dyDescent="0.25">
      <c r="C844" s="20" t="s">
        <v>602</v>
      </c>
      <c r="D844" s="21" t="s">
        <v>79</v>
      </c>
      <c r="H844" s="11"/>
      <c r="AU844" s="11"/>
      <c r="CH844" s="11"/>
      <c r="CI844" s="16"/>
      <c r="CJ844" s="16"/>
      <c r="CK844" s="16"/>
      <c r="CL844" s="16"/>
      <c r="CM844" s="16"/>
      <c r="CN844" s="16"/>
      <c r="CO844" s="16"/>
      <c r="CP844" s="16"/>
      <c r="CQ844" s="16"/>
      <c r="CR844" s="16"/>
      <c r="CS844" s="16"/>
      <c r="CT844" s="16"/>
      <c r="CU844" s="16"/>
      <c r="CV844" s="16"/>
      <c r="CW844" s="16"/>
      <c r="CX844" s="16"/>
      <c r="CY844" s="16"/>
      <c r="CZ844" s="16"/>
      <c r="DA844" s="16"/>
      <c r="DB844" s="16"/>
      <c r="DC844" s="16"/>
      <c r="DD844" s="16"/>
      <c r="DE844" s="17"/>
      <c r="DF844" s="17"/>
      <c r="DG844" s="16"/>
      <c r="DH844" s="16"/>
      <c r="DI844" s="17"/>
      <c r="DJ844" s="17"/>
      <c r="DK844" s="16"/>
      <c r="DL844" s="16"/>
      <c r="DM844" s="17"/>
      <c r="DN844" s="17"/>
      <c r="DO844" s="16"/>
      <c r="DP844" s="16"/>
      <c r="DQ844" s="17"/>
      <c r="DR844" s="17"/>
      <c r="DS844" s="16"/>
      <c r="DT844" s="16"/>
      <c r="DU844" s="17"/>
      <c r="DV844" s="17"/>
      <c r="DW844" s="16"/>
      <c r="DX844" s="16"/>
      <c r="DY844" s="17"/>
      <c r="DZ844" s="17"/>
      <c r="EA844" s="16"/>
      <c r="EB844" s="16"/>
      <c r="EC844" s="17"/>
      <c r="ED844" s="17"/>
      <c r="EE844" s="16"/>
      <c r="EF844" s="16"/>
      <c r="EG844" s="17"/>
      <c r="EH844" s="17"/>
      <c r="EI844" s="16"/>
      <c r="EJ844" s="16"/>
      <c r="EK844" s="17"/>
      <c r="EL844" s="17"/>
      <c r="EM844" s="16"/>
      <c r="EN844" s="16"/>
      <c r="EO844" s="17"/>
      <c r="EP844" s="17"/>
      <c r="EQ844" s="16"/>
      <c r="ER844" s="16"/>
      <c r="ES844" s="17"/>
      <c r="ET844" s="17"/>
      <c r="EU844" s="16"/>
      <c r="EV844" s="16"/>
      <c r="EW844" s="17"/>
      <c r="EX844" s="17"/>
      <c r="EY844" s="16"/>
      <c r="EZ844" s="16"/>
      <c r="FA844" s="17"/>
      <c r="FB844" s="17"/>
      <c r="FC844" s="16"/>
      <c r="FD844" s="16"/>
      <c r="FE844" s="17"/>
      <c r="FF844" s="17"/>
      <c r="FG844" s="11"/>
      <c r="GT844" s="11"/>
      <c r="IG844" s="11"/>
      <c r="JT844" s="11"/>
      <c r="LG844" s="11"/>
      <c r="MT844" s="11"/>
      <c r="OG844" s="11"/>
      <c r="PT844" s="11"/>
    </row>
    <row r="845" spans="3:436" ht="15.75" x14ac:dyDescent="0.25">
      <c r="C845" s="20" t="s">
        <v>604</v>
      </c>
      <c r="D845" s="21" t="s">
        <v>129</v>
      </c>
      <c r="H845" s="11"/>
      <c r="AU845" s="11"/>
      <c r="CH845" s="11"/>
      <c r="CI845" s="16"/>
      <c r="CJ845" s="16"/>
      <c r="CK845" s="16"/>
      <c r="CL845" s="16"/>
      <c r="CM845" s="16"/>
      <c r="CN845" s="16"/>
      <c r="CO845" s="16"/>
      <c r="CP845" s="16"/>
      <c r="CQ845" s="16"/>
      <c r="CR845" s="16"/>
      <c r="CS845" s="16"/>
      <c r="CT845" s="16"/>
      <c r="CU845" s="16"/>
      <c r="CV845" s="16"/>
      <c r="CW845" s="16"/>
      <c r="CX845" s="16"/>
      <c r="CY845" s="16"/>
      <c r="CZ845" s="16"/>
      <c r="DA845" s="16"/>
      <c r="DB845" s="16"/>
      <c r="DC845" s="16"/>
      <c r="DD845" s="16"/>
      <c r="DE845" s="17"/>
      <c r="DF845" s="17"/>
      <c r="DG845" s="16"/>
      <c r="DH845" s="16"/>
      <c r="DI845" s="17"/>
      <c r="DJ845" s="17"/>
      <c r="DK845" s="16"/>
      <c r="DL845" s="16"/>
      <c r="DM845" s="17"/>
      <c r="DN845" s="17"/>
      <c r="DO845" s="16"/>
      <c r="DP845" s="16"/>
      <c r="DQ845" s="17"/>
      <c r="DR845" s="17"/>
      <c r="DS845" s="16"/>
      <c r="DT845" s="16"/>
      <c r="DU845" s="17"/>
      <c r="DV845" s="17"/>
      <c r="DW845" s="16"/>
      <c r="DX845" s="16"/>
      <c r="DY845" s="17"/>
      <c r="DZ845" s="17"/>
      <c r="EA845" s="16"/>
      <c r="EB845" s="16"/>
      <c r="EC845" s="17"/>
      <c r="ED845" s="17"/>
      <c r="EE845" s="16"/>
      <c r="EF845" s="16"/>
      <c r="EG845" s="17"/>
      <c r="EH845" s="17"/>
      <c r="EI845" s="16"/>
      <c r="EJ845" s="16"/>
      <c r="EK845" s="17"/>
      <c r="EL845" s="17"/>
      <c r="EM845" s="16"/>
      <c r="EN845" s="16"/>
      <c r="EO845" s="17"/>
      <c r="EP845" s="17"/>
      <c r="EQ845" s="16"/>
      <c r="ER845" s="16"/>
      <c r="ES845" s="17"/>
      <c r="ET845" s="17"/>
      <c r="EU845" s="16"/>
      <c r="EV845" s="16"/>
      <c r="EW845" s="17"/>
      <c r="EX845" s="17"/>
      <c r="EY845" s="16"/>
      <c r="EZ845" s="16"/>
      <c r="FA845" s="17"/>
      <c r="FB845" s="17"/>
      <c r="FC845" s="16"/>
      <c r="FD845" s="16"/>
      <c r="FE845" s="17"/>
      <c r="FF845" s="17"/>
      <c r="FG845" s="11"/>
      <c r="GT845" s="11"/>
      <c r="IG845" s="11"/>
      <c r="JT845" s="11"/>
      <c r="LG845" s="11"/>
      <c r="MT845" s="11"/>
      <c r="OG845" s="11"/>
      <c r="PT845" s="11"/>
    </row>
    <row r="846" spans="3:436" ht="15.75" x14ac:dyDescent="0.25">
      <c r="C846" s="20" t="s">
        <v>605</v>
      </c>
      <c r="D846" s="21" t="s">
        <v>134</v>
      </c>
      <c r="H846" s="11"/>
      <c r="AU846" s="11"/>
      <c r="CH846" s="11"/>
      <c r="CI846" s="16"/>
      <c r="CJ846" s="16"/>
      <c r="CK846" s="16"/>
      <c r="CL846" s="16"/>
      <c r="CM846" s="16"/>
      <c r="CN846" s="16"/>
      <c r="CO846" s="16"/>
      <c r="CP846" s="16"/>
      <c r="CQ846" s="16"/>
      <c r="CR846" s="16"/>
      <c r="CS846" s="16"/>
      <c r="CT846" s="16"/>
      <c r="CU846" s="16"/>
      <c r="CV846" s="16"/>
      <c r="CW846" s="16"/>
      <c r="CX846" s="16"/>
      <c r="CY846" s="16"/>
      <c r="CZ846" s="16"/>
      <c r="DA846" s="16"/>
      <c r="DB846" s="16"/>
      <c r="DC846" s="16"/>
      <c r="DD846" s="16"/>
      <c r="DE846" s="17"/>
      <c r="DF846" s="17"/>
      <c r="DG846" s="16"/>
      <c r="DH846" s="16"/>
      <c r="DI846" s="17"/>
      <c r="DJ846" s="17"/>
      <c r="DK846" s="16"/>
      <c r="DL846" s="16"/>
      <c r="DM846" s="17"/>
      <c r="DN846" s="17"/>
      <c r="DO846" s="16"/>
      <c r="DP846" s="16"/>
      <c r="DQ846" s="17"/>
      <c r="DR846" s="17"/>
      <c r="DS846" s="16"/>
      <c r="DT846" s="16"/>
      <c r="DU846" s="17"/>
      <c r="DV846" s="17"/>
      <c r="DW846" s="16"/>
      <c r="DX846" s="16"/>
      <c r="DY846" s="17"/>
      <c r="DZ846" s="17"/>
      <c r="EA846" s="16"/>
      <c r="EB846" s="16"/>
      <c r="EC846" s="17"/>
      <c r="ED846" s="17"/>
      <c r="EE846" s="16"/>
      <c r="EF846" s="16"/>
      <c r="EG846" s="17"/>
      <c r="EH846" s="17"/>
      <c r="EI846" s="16"/>
      <c r="EJ846" s="16"/>
      <c r="EK846" s="17"/>
      <c r="EL846" s="17"/>
      <c r="EM846" s="16"/>
      <c r="EN846" s="16"/>
      <c r="EO846" s="17"/>
      <c r="EP846" s="17"/>
      <c r="EQ846" s="16"/>
      <c r="ER846" s="16"/>
      <c r="ES846" s="17"/>
      <c r="ET846" s="17"/>
      <c r="EU846" s="16"/>
      <c r="EV846" s="16"/>
      <c r="EW846" s="17"/>
      <c r="EX846" s="17"/>
      <c r="EY846" s="16"/>
      <c r="EZ846" s="16"/>
      <c r="FA846" s="17"/>
      <c r="FB846" s="17"/>
      <c r="FC846" s="16"/>
      <c r="FD846" s="16"/>
      <c r="FE846" s="17"/>
      <c r="FF846" s="17"/>
      <c r="FG846" s="11"/>
      <c r="GT846" s="11"/>
      <c r="IG846" s="11"/>
      <c r="JT846" s="11"/>
      <c r="LG846" s="11"/>
      <c r="MT846" s="11"/>
      <c r="OG846" s="11"/>
      <c r="PT846" s="11"/>
    </row>
    <row r="847" spans="3:436" ht="15.75" x14ac:dyDescent="0.25">
      <c r="C847" s="20" t="s">
        <v>606</v>
      </c>
      <c r="D847" s="21" t="s">
        <v>136</v>
      </c>
      <c r="H847" s="11"/>
      <c r="AU847" s="11"/>
      <c r="CH847" s="11"/>
      <c r="CI847" s="16"/>
      <c r="CJ847" s="16"/>
      <c r="CK847" s="16"/>
      <c r="CL847" s="16"/>
      <c r="CM847" s="16"/>
      <c r="CN847" s="16"/>
      <c r="CO847" s="16"/>
      <c r="CP847" s="16"/>
      <c r="CQ847" s="16"/>
      <c r="CR847" s="16"/>
      <c r="CS847" s="16"/>
      <c r="CT847" s="16"/>
      <c r="CU847" s="16"/>
      <c r="CV847" s="16"/>
      <c r="CW847" s="16"/>
      <c r="CX847" s="16"/>
      <c r="CY847" s="16"/>
      <c r="CZ847" s="16"/>
      <c r="DA847" s="16"/>
      <c r="DB847" s="16"/>
      <c r="DC847" s="16"/>
      <c r="DD847" s="16"/>
      <c r="DE847" s="17"/>
      <c r="DF847" s="17"/>
      <c r="DG847" s="16"/>
      <c r="DH847" s="16"/>
      <c r="DI847" s="17"/>
      <c r="DJ847" s="17"/>
      <c r="DK847" s="16"/>
      <c r="DL847" s="16"/>
      <c r="DM847" s="17"/>
      <c r="DN847" s="17"/>
      <c r="DO847" s="16"/>
      <c r="DP847" s="16"/>
      <c r="DQ847" s="17"/>
      <c r="DR847" s="17"/>
      <c r="DS847" s="16"/>
      <c r="DT847" s="16"/>
      <c r="DU847" s="17"/>
      <c r="DV847" s="17"/>
      <c r="DW847" s="16"/>
      <c r="DX847" s="16"/>
      <c r="DY847" s="17"/>
      <c r="DZ847" s="17"/>
      <c r="EA847" s="16"/>
      <c r="EB847" s="16"/>
      <c r="EC847" s="17"/>
      <c r="ED847" s="17"/>
      <c r="EE847" s="16"/>
      <c r="EF847" s="16"/>
      <c r="EG847" s="17"/>
      <c r="EH847" s="17"/>
      <c r="EI847" s="16"/>
      <c r="EJ847" s="16"/>
      <c r="EK847" s="17"/>
      <c r="EL847" s="17"/>
      <c r="EM847" s="16"/>
      <c r="EN847" s="16"/>
      <c r="EO847" s="17"/>
      <c r="EP847" s="17"/>
      <c r="EQ847" s="16"/>
      <c r="ER847" s="16"/>
      <c r="ES847" s="17"/>
      <c r="ET847" s="17"/>
      <c r="EU847" s="16"/>
      <c r="EV847" s="16"/>
      <c r="EW847" s="17"/>
      <c r="EX847" s="17"/>
      <c r="EY847" s="16"/>
      <c r="EZ847" s="16"/>
      <c r="FA847" s="17"/>
      <c r="FB847" s="17"/>
      <c r="FC847" s="16"/>
      <c r="FD847" s="16"/>
      <c r="FE847" s="17"/>
      <c r="FF847" s="17"/>
      <c r="FG847" s="11"/>
      <c r="GT847" s="11"/>
      <c r="IG847" s="11"/>
      <c r="JT847" s="11"/>
      <c r="LG847" s="11"/>
      <c r="MT847" s="11"/>
      <c r="OG847" s="11"/>
      <c r="PT847" s="11"/>
    </row>
    <row r="848" spans="3:436" ht="15.75" x14ac:dyDescent="0.25">
      <c r="C848" s="20" t="s">
        <v>607</v>
      </c>
      <c r="D848" s="21" t="s">
        <v>136</v>
      </c>
      <c r="H848" s="11"/>
      <c r="AU848" s="11"/>
      <c r="CH848" s="11"/>
      <c r="CI848" s="16"/>
      <c r="CJ848" s="16"/>
      <c r="CK848" s="16"/>
      <c r="CL848" s="16"/>
      <c r="CM848" s="16"/>
      <c r="CN848" s="16"/>
      <c r="CO848" s="16"/>
      <c r="CP848" s="16"/>
      <c r="CQ848" s="16"/>
      <c r="CR848" s="16"/>
      <c r="CS848" s="16"/>
      <c r="CT848" s="16"/>
      <c r="CU848" s="16"/>
      <c r="CV848" s="16"/>
      <c r="CW848" s="16"/>
      <c r="CX848" s="16"/>
      <c r="CY848" s="16"/>
      <c r="CZ848" s="16"/>
      <c r="DA848" s="16"/>
      <c r="DB848" s="16"/>
      <c r="DC848" s="16"/>
      <c r="DD848" s="16"/>
      <c r="DE848" s="17"/>
      <c r="DF848" s="17"/>
      <c r="DG848" s="16"/>
      <c r="DH848" s="16"/>
      <c r="DI848" s="17"/>
      <c r="DJ848" s="17"/>
      <c r="DK848" s="16"/>
      <c r="DL848" s="16"/>
      <c r="DM848" s="17"/>
      <c r="DN848" s="17"/>
      <c r="DO848" s="16"/>
      <c r="DP848" s="16"/>
      <c r="DQ848" s="17"/>
      <c r="DR848" s="17"/>
      <c r="DS848" s="16"/>
      <c r="DT848" s="16"/>
      <c r="DU848" s="17"/>
      <c r="DV848" s="17"/>
      <c r="DW848" s="16"/>
      <c r="DX848" s="16"/>
      <c r="DY848" s="17"/>
      <c r="DZ848" s="17"/>
      <c r="EA848" s="16"/>
      <c r="EB848" s="16"/>
      <c r="EC848" s="17"/>
      <c r="ED848" s="17"/>
      <c r="EE848" s="16"/>
      <c r="EF848" s="16"/>
      <c r="EG848" s="17"/>
      <c r="EH848" s="17"/>
      <c r="EI848" s="16"/>
      <c r="EJ848" s="16"/>
      <c r="EK848" s="17"/>
      <c r="EL848" s="17"/>
      <c r="EM848" s="16"/>
      <c r="EN848" s="16"/>
      <c r="EO848" s="17"/>
      <c r="EP848" s="17"/>
      <c r="EQ848" s="16"/>
      <c r="ER848" s="16"/>
      <c r="ES848" s="17"/>
      <c r="ET848" s="17"/>
      <c r="EU848" s="16"/>
      <c r="EV848" s="16"/>
      <c r="EW848" s="17"/>
      <c r="EX848" s="17"/>
      <c r="EY848" s="16"/>
      <c r="EZ848" s="16"/>
      <c r="FA848" s="17"/>
      <c r="FB848" s="17"/>
      <c r="FC848" s="16"/>
      <c r="FD848" s="16"/>
      <c r="FE848" s="17"/>
      <c r="FF848" s="17"/>
      <c r="FG848" s="11"/>
      <c r="GT848" s="11"/>
      <c r="IG848" s="11"/>
      <c r="JT848" s="11"/>
      <c r="LG848" s="11"/>
      <c r="MT848" s="11"/>
      <c r="OG848" s="11"/>
      <c r="PT848" s="11"/>
    </row>
    <row r="849" spans="1:436" ht="15.75" x14ac:dyDescent="0.25">
      <c r="C849" s="20" t="s">
        <v>608</v>
      </c>
      <c r="D849" s="21" t="s">
        <v>136</v>
      </c>
      <c r="H849" s="11"/>
      <c r="AU849" s="11"/>
      <c r="CH849" s="11"/>
      <c r="CI849" s="16"/>
      <c r="CJ849" s="16"/>
      <c r="CK849" s="16"/>
      <c r="CL849" s="16"/>
      <c r="CM849" s="16"/>
      <c r="CN849" s="16"/>
      <c r="CO849" s="16"/>
      <c r="CP849" s="16"/>
      <c r="CQ849" s="16"/>
      <c r="CR849" s="16"/>
      <c r="CS849" s="16"/>
      <c r="CT849" s="16"/>
      <c r="CU849" s="16"/>
      <c r="CV849" s="16"/>
      <c r="CW849" s="16"/>
      <c r="CX849" s="16"/>
      <c r="CY849" s="16"/>
      <c r="CZ849" s="16"/>
      <c r="DA849" s="16"/>
      <c r="DB849" s="16"/>
      <c r="DC849" s="16"/>
      <c r="DD849" s="16"/>
      <c r="DE849" s="17"/>
      <c r="DF849" s="17"/>
      <c r="DG849" s="16"/>
      <c r="DH849" s="16"/>
      <c r="DI849" s="17"/>
      <c r="DJ849" s="17"/>
      <c r="DK849" s="16"/>
      <c r="DL849" s="16"/>
      <c r="DM849" s="17"/>
      <c r="DN849" s="17"/>
      <c r="DO849" s="16"/>
      <c r="DP849" s="16"/>
      <c r="DQ849" s="17"/>
      <c r="DR849" s="17"/>
      <c r="DS849" s="16"/>
      <c r="DT849" s="16"/>
      <c r="DU849" s="17"/>
      <c r="DV849" s="17"/>
      <c r="DW849" s="16"/>
      <c r="DX849" s="16"/>
      <c r="DY849" s="17"/>
      <c r="DZ849" s="17"/>
      <c r="EA849" s="16"/>
      <c r="EB849" s="16"/>
      <c r="EC849" s="17"/>
      <c r="ED849" s="17"/>
      <c r="EE849" s="16"/>
      <c r="EF849" s="16"/>
      <c r="EG849" s="17"/>
      <c r="EH849" s="17"/>
      <c r="EI849" s="16"/>
      <c r="EJ849" s="16"/>
      <c r="EK849" s="17"/>
      <c r="EL849" s="17"/>
      <c r="EM849" s="16"/>
      <c r="EN849" s="16"/>
      <c r="EO849" s="17"/>
      <c r="EP849" s="17"/>
      <c r="EQ849" s="16"/>
      <c r="ER849" s="16"/>
      <c r="ES849" s="17"/>
      <c r="ET849" s="17"/>
      <c r="EU849" s="16"/>
      <c r="EV849" s="16"/>
      <c r="EW849" s="17"/>
      <c r="EX849" s="17"/>
      <c r="EY849" s="16"/>
      <c r="EZ849" s="16"/>
      <c r="FA849" s="17"/>
      <c r="FB849" s="17"/>
      <c r="FC849" s="16"/>
      <c r="FD849" s="16"/>
      <c r="FE849" s="17"/>
      <c r="FF849" s="17"/>
      <c r="FG849" s="11"/>
      <c r="GT849" s="11"/>
      <c r="IG849" s="11"/>
      <c r="JT849" s="11"/>
      <c r="LG849" s="11"/>
      <c r="MT849" s="11"/>
      <c r="OG849" s="11"/>
      <c r="PT849" s="11"/>
    </row>
    <row r="850" spans="1:436" ht="15.75" x14ac:dyDescent="0.25">
      <c r="C850" s="20" t="s">
        <v>609</v>
      </c>
      <c r="D850" s="21" t="s">
        <v>104</v>
      </c>
      <c r="H850" s="11"/>
      <c r="AU850" s="11"/>
      <c r="CH850" s="11"/>
      <c r="CI850" s="16"/>
      <c r="CJ850" s="16"/>
      <c r="CK850" s="16"/>
      <c r="CL850" s="16"/>
      <c r="CM850" s="16"/>
      <c r="CN850" s="16"/>
      <c r="CO850" s="16"/>
      <c r="CP850" s="16"/>
      <c r="CQ850" s="16"/>
      <c r="CR850" s="16"/>
      <c r="CS850" s="16"/>
      <c r="CT850" s="16"/>
      <c r="CU850" s="16"/>
      <c r="CV850" s="16"/>
      <c r="CW850" s="16"/>
      <c r="CX850" s="16"/>
      <c r="CY850" s="16"/>
      <c r="CZ850" s="16"/>
      <c r="DA850" s="16"/>
      <c r="DB850" s="16"/>
      <c r="DC850" s="16"/>
      <c r="DD850" s="16"/>
      <c r="DE850" s="17"/>
      <c r="DF850" s="17"/>
      <c r="DG850" s="16"/>
      <c r="DH850" s="16"/>
      <c r="DI850" s="17"/>
      <c r="DJ850" s="17"/>
      <c r="DK850" s="16"/>
      <c r="DL850" s="16"/>
      <c r="DM850" s="17"/>
      <c r="DN850" s="17"/>
      <c r="DO850" s="16"/>
      <c r="DP850" s="16"/>
      <c r="DQ850" s="17"/>
      <c r="DR850" s="17"/>
      <c r="DS850" s="16"/>
      <c r="DT850" s="16"/>
      <c r="DU850" s="17"/>
      <c r="DV850" s="17"/>
      <c r="DW850" s="16"/>
      <c r="DX850" s="16"/>
      <c r="DY850" s="17"/>
      <c r="DZ850" s="17"/>
      <c r="EA850" s="16"/>
      <c r="EB850" s="16"/>
      <c r="EC850" s="17"/>
      <c r="ED850" s="17"/>
      <c r="EE850" s="16"/>
      <c r="EF850" s="16"/>
      <c r="EG850" s="17"/>
      <c r="EH850" s="17"/>
      <c r="EI850" s="16"/>
      <c r="EJ850" s="16"/>
      <c r="EK850" s="17"/>
      <c r="EL850" s="17"/>
      <c r="EM850" s="16"/>
      <c r="EN850" s="16"/>
      <c r="EO850" s="17"/>
      <c r="EP850" s="17"/>
      <c r="EQ850" s="16"/>
      <c r="ER850" s="16"/>
      <c r="ES850" s="17"/>
      <c r="ET850" s="17"/>
      <c r="EU850" s="16"/>
      <c r="EV850" s="16"/>
      <c r="EW850" s="17"/>
      <c r="EX850" s="17"/>
      <c r="EY850" s="16"/>
      <c r="EZ850" s="16"/>
      <c r="FA850" s="17"/>
      <c r="FB850" s="17"/>
      <c r="FC850" s="16"/>
      <c r="FD850" s="16"/>
      <c r="FE850" s="17"/>
      <c r="FF850" s="17"/>
      <c r="FG850" s="11"/>
      <c r="GT850" s="11"/>
      <c r="IG850" s="11"/>
      <c r="JT850" s="11"/>
      <c r="LG850" s="11"/>
      <c r="MT850" s="11"/>
      <c r="OG850" s="11"/>
      <c r="PT850" s="11"/>
    </row>
    <row r="851" spans="1:436" ht="15.75" x14ac:dyDescent="0.25">
      <c r="C851" s="20" t="s">
        <v>610</v>
      </c>
      <c r="D851" s="21" t="s">
        <v>90</v>
      </c>
      <c r="H851" s="11"/>
      <c r="AU851" s="11"/>
      <c r="CH851" s="11"/>
      <c r="CI851" s="16"/>
      <c r="CJ851" s="16"/>
      <c r="CK851" s="16"/>
      <c r="CL851" s="16"/>
      <c r="CM851" s="16"/>
      <c r="CN851" s="16"/>
      <c r="CO851" s="16"/>
      <c r="CP851" s="16"/>
      <c r="CQ851" s="16"/>
      <c r="CR851" s="16"/>
      <c r="CS851" s="16"/>
      <c r="CT851" s="16"/>
      <c r="CU851" s="16"/>
      <c r="CV851" s="16"/>
      <c r="CW851" s="16"/>
      <c r="CX851" s="16"/>
      <c r="CY851" s="16"/>
      <c r="CZ851" s="16"/>
      <c r="DA851" s="16"/>
      <c r="DB851" s="16"/>
      <c r="DC851" s="16"/>
      <c r="DD851" s="16"/>
      <c r="DE851" s="17"/>
      <c r="DF851" s="17"/>
      <c r="DG851" s="16"/>
      <c r="DH851" s="16"/>
      <c r="DI851" s="17"/>
      <c r="DJ851" s="17"/>
      <c r="DK851" s="16"/>
      <c r="DL851" s="16"/>
      <c r="DM851" s="17"/>
      <c r="DN851" s="17"/>
      <c r="DO851" s="16"/>
      <c r="DP851" s="16"/>
      <c r="DQ851" s="17"/>
      <c r="DR851" s="17"/>
      <c r="DS851" s="16"/>
      <c r="DT851" s="16"/>
      <c r="DU851" s="17"/>
      <c r="DV851" s="17"/>
      <c r="DW851" s="16"/>
      <c r="DX851" s="16"/>
      <c r="DY851" s="17"/>
      <c r="DZ851" s="17"/>
      <c r="EA851" s="16"/>
      <c r="EB851" s="16"/>
      <c r="EC851" s="17"/>
      <c r="ED851" s="17"/>
      <c r="EE851" s="16"/>
      <c r="EF851" s="16"/>
      <c r="EG851" s="17"/>
      <c r="EH851" s="17"/>
      <c r="EI851" s="16"/>
      <c r="EJ851" s="16"/>
      <c r="EK851" s="17"/>
      <c r="EL851" s="17"/>
      <c r="EM851" s="16"/>
      <c r="EN851" s="16"/>
      <c r="EO851" s="17"/>
      <c r="EP851" s="17"/>
      <c r="EQ851" s="16"/>
      <c r="ER851" s="16"/>
      <c r="ES851" s="17"/>
      <c r="ET851" s="17"/>
      <c r="EU851" s="16"/>
      <c r="EV851" s="16"/>
      <c r="EW851" s="17"/>
      <c r="EX851" s="17"/>
      <c r="EY851" s="16"/>
      <c r="EZ851" s="16"/>
      <c r="FA851" s="17"/>
      <c r="FB851" s="17"/>
      <c r="FC851" s="16"/>
      <c r="FD851" s="16"/>
      <c r="FE851" s="17"/>
      <c r="FF851" s="17"/>
      <c r="FG851" s="11"/>
      <c r="GT851" s="11"/>
      <c r="IG851" s="11"/>
      <c r="JT851" s="11"/>
      <c r="LG851" s="11"/>
      <c r="MT851" s="11"/>
      <c r="OG851" s="11"/>
      <c r="PT851" s="11"/>
    </row>
    <row r="852" spans="1:436" ht="15.75" x14ac:dyDescent="0.25">
      <c r="C852" s="20" t="s">
        <v>622</v>
      </c>
      <c r="D852" s="21" t="s">
        <v>136</v>
      </c>
      <c r="H852" s="11"/>
      <c r="AU852" s="11"/>
      <c r="CH852" s="11"/>
      <c r="CI852" s="16"/>
      <c r="CJ852" s="16"/>
      <c r="CK852" s="16"/>
      <c r="CL852" s="16"/>
      <c r="CM852" s="16"/>
      <c r="CN852" s="16"/>
      <c r="CO852" s="16"/>
      <c r="CP852" s="16"/>
      <c r="CQ852" s="16"/>
      <c r="CR852" s="16"/>
      <c r="CS852" s="16"/>
      <c r="CT852" s="16"/>
      <c r="CU852" s="16"/>
      <c r="CV852" s="16"/>
      <c r="CW852" s="16"/>
      <c r="CX852" s="16"/>
      <c r="CY852" s="16"/>
      <c r="CZ852" s="16"/>
      <c r="DA852" s="16"/>
      <c r="DB852" s="16"/>
      <c r="DC852" s="16"/>
      <c r="DD852" s="16"/>
      <c r="DE852" s="17"/>
      <c r="DF852" s="17"/>
      <c r="DG852" s="16"/>
      <c r="DH852" s="16"/>
      <c r="DI852" s="17"/>
      <c r="DJ852" s="17"/>
      <c r="DK852" s="16"/>
      <c r="DL852" s="16"/>
      <c r="DM852" s="17"/>
      <c r="DN852" s="17"/>
      <c r="DO852" s="16"/>
      <c r="DP852" s="16"/>
      <c r="DQ852" s="17"/>
      <c r="DR852" s="17"/>
      <c r="DS852" s="16"/>
      <c r="DT852" s="16"/>
      <c r="DU852" s="17"/>
      <c r="DV852" s="17"/>
      <c r="DW852" s="16"/>
      <c r="DX852" s="16"/>
      <c r="DY852" s="17"/>
      <c r="DZ852" s="17"/>
      <c r="EA852" s="16"/>
      <c r="EB852" s="16"/>
      <c r="EC852" s="18">
        <v>34.299999999999997</v>
      </c>
      <c r="ED852" s="18">
        <v>114.3</v>
      </c>
      <c r="EE852" s="16"/>
      <c r="EF852" s="16"/>
      <c r="EG852" s="17"/>
      <c r="EH852" s="17"/>
      <c r="EI852" s="16"/>
      <c r="EJ852" s="16"/>
      <c r="EK852" s="17"/>
      <c r="EL852" s="17"/>
      <c r="EM852" s="16"/>
      <c r="EN852" s="16"/>
      <c r="EO852" s="17"/>
      <c r="EP852" s="17"/>
      <c r="EQ852" s="16"/>
      <c r="ER852" s="16"/>
      <c r="ES852" s="17"/>
      <c r="ET852" s="17"/>
      <c r="EU852" s="16"/>
      <c r="EV852" s="16"/>
      <c r="EW852" s="17"/>
      <c r="EX852" s="17"/>
      <c r="EY852" s="16"/>
      <c r="EZ852" s="16"/>
      <c r="FA852" s="17"/>
      <c r="FB852" s="17"/>
      <c r="FC852" s="16"/>
      <c r="FD852" s="16"/>
      <c r="FE852" s="17"/>
      <c r="FF852" s="17"/>
      <c r="FG852" s="11"/>
      <c r="GT852" s="11"/>
      <c r="IG852" s="11"/>
      <c r="JT852" s="11"/>
      <c r="LG852" s="11"/>
      <c r="MT852" s="11"/>
      <c r="OG852" s="11"/>
      <c r="PT852" s="11"/>
    </row>
    <row r="853" spans="1:436" ht="15.75" x14ac:dyDescent="0.25">
      <c r="C853" s="20" t="s">
        <v>623</v>
      </c>
      <c r="D853" s="21" t="s">
        <v>136</v>
      </c>
      <c r="H853" s="11"/>
      <c r="AU853" s="11"/>
      <c r="CH853" s="11"/>
      <c r="CI853" s="16"/>
      <c r="CJ853" s="16"/>
      <c r="CK853" s="16"/>
      <c r="CL853" s="16"/>
      <c r="CM853" s="16"/>
      <c r="CN853" s="16"/>
      <c r="CO853" s="16"/>
      <c r="CP853" s="16"/>
      <c r="CQ853" s="16"/>
      <c r="CR853" s="16"/>
      <c r="CS853" s="16"/>
      <c r="CT853" s="16"/>
      <c r="CU853" s="16"/>
      <c r="CV853" s="16"/>
      <c r="CW853" s="16"/>
      <c r="CX853" s="16"/>
      <c r="CY853" s="16"/>
      <c r="CZ853" s="16"/>
      <c r="DA853" s="16"/>
      <c r="DB853" s="16"/>
      <c r="DC853" s="16"/>
      <c r="DD853" s="16"/>
      <c r="DE853" s="17"/>
      <c r="DF853" s="17"/>
      <c r="DG853" s="16"/>
      <c r="DH853" s="16"/>
      <c r="DI853" s="17"/>
      <c r="DJ853" s="17"/>
      <c r="DK853" s="16"/>
      <c r="DL853" s="16"/>
      <c r="DM853" s="17"/>
      <c r="DN853" s="17"/>
      <c r="DO853" s="16"/>
      <c r="DP853" s="16"/>
      <c r="DQ853" s="17"/>
      <c r="DR853" s="17"/>
      <c r="DS853" s="16"/>
      <c r="DT853" s="16"/>
      <c r="DU853" s="17"/>
      <c r="DV853" s="17"/>
      <c r="DW853" s="16"/>
      <c r="DX853" s="16"/>
      <c r="DY853" s="17"/>
      <c r="DZ853" s="17"/>
      <c r="EA853" s="16"/>
      <c r="EB853" s="16"/>
      <c r="EC853" s="18">
        <v>57.1</v>
      </c>
      <c r="ED853" s="18">
        <v>91.4</v>
      </c>
      <c r="EE853" s="16"/>
      <c r="EF853" s="16"/>
      <c r="EG853" s="17"/>
      <c r="EH853" s="17"/>
      <c r="EI853" s="16"/>
      <c r="EJ853" s="16"/>
      <c r="EK853" s="17"/>
      <c r="EL853" s="17"/>
      <c r="EM853" s="16"/>
      <c r="EN853" s="16"/>
      <c r="EO853" s="17"/>
      <c r="EP853" s="17"/>
      <c r="EQ853" s="16"/>
      <c r="ER853" s="16"/>
      <c r="ES853" s="17"/>
      <c r="ET853" s="17"/>
      <c r="EU853" s="16"/>
      <c r="EV853" s="16"/>
      <c r="EW853" s="17"/>
      <c r="EX853" s="17"/>
      <c r="EY853" s="16"/>
      <c r="EZ853" s="16"/>
      <c r="FA853" s="17"/>
      <c r="FB853" s="17"/>
      <c r="FC853" s="16"/>
      <c r="FD853" s="16"/>
      <c r="FE853" s="17"/>
      <c r="FF853" s="17"/>
      <c r="FG853" s="11"/>
      <c r="GT853" s="11"/>
      <c r="IG853" s="11"/>
      <c r="JT853" s="11"/>
      <c r="LG853" s="11"/>
      <c r="MT853" s="11"/>
      <c r="OG853" s="11"/>
      <c r="PT853" s="11"/>
    </row>
    <row r="854" spans="1:436" ht="15.75" x14ac:dyDescent="0.25">
      <c r="A854" s="13"/>
      <c r="B854" s="14" t="s">
        <v>624</v>
      </c>
      <c r="C854" s="13"/>
      <c r="D854" s="13"/>
      <c r="E854" s="15" t="s">
        <v>127</v>
      </c>
      <c r="F854" s="15" t="s">
        <v>132</v>
      </c>
      <c r="G854" s="13"/>
      <c r="H854" s="11"/>
      <c r="AU854" s="11"/>
      <c r="CH854" s="11"/>
      <c r="CI854" s="16"/>
      <c r="CJ854" s="16"/>
      <c r="CK854" s="16"/>
      <c r="CL854" s="16"/>
      <c r="CM854" s="16"/>
      <c r="CN854" s="16"/>
      <c r="CO854" s="16"/>
      <c r="CP854" s="16"/>
      <c r="CQ854" s="16"/>
      <c r="CR854" s="16"/>
      <c r="CS854" s="16"/>
      <c r="CT854" s="16"/>
      <c r="CU854" s="16"/>
      <c r="CV854" s="16"/>
      <c r="CW854" s="16"/>
      <c r="CX854" s="16"/>
      <c r="CY854" s="16"/>
      <c r="CZ854" s="16"/>
      <c r="DA854" s="16"/>
      <c r="DB854" s="16"/>
      <c r="DC854" s="16"/>
      <c r="DD854" s="16"/>
      <c r="DE854" s="17"/>
      <c r="DF854" s="17"/>
      <c r="DG854" s="16"/>
      <c r="DH854" s="16"/>
      <c r="DI854" s="17"/>
      <c r="DJ854" s="17"/>
      <c r="DK854" s="16"/>
      <c r="DL854" s="16"/>
      <c r="DM854" s="17"/>
      <c r="DN854" s="17"/>
      <c r="DO854" s="16"/>
      <c r="DP854" s="16"/>
      <c r="DQ854" s="17"/>
      <c r="DR854" s="17"/>
      <c r="DS854" s="16"/>
      <c r="DT854" s="16"/>
      <c r="DU854" s="17"/>
      <c r="DV854" s="17"/>
      <c r="DW854" s="16"/>
      <c r="DX854" s="16"/>
      <c r="DY854" s="17"/>
      <c r="DZ854" s="17"/>
      <c r="EA854" s="16"/>
      <c r="EB854" s="16"/>
      <c r="EC854" s="17"/>
      <c r="ED854" s="17"/>
      <c r="EE854" s="16"/>
      <c r="EF854" s="16"/>
      <c r="EG854" s="17"/>
      <c r="EH854" s="17"/>
      <c r="EI854" s="16"/>
      <c r="EJ854" s="16"/>
      <c r="EK854" s="17"/>
      <c r="EL854" s="17"/>
      <c r="EM854" s="16"/>
      <c r="EN854" s="16"/>
      <c r="EO854" s="17"/>
      <c r="EP854" s="17"/>
      <c r="EQ854" s="16"/>
      <c r="ER854" s="16"/>
      <c r="ES854" s="17"/>
      <c r="ET854" s="18">
        <v>40</v>
      </c>
      <c r="EU854" s="16"/>
      <c r="EV854" s="16"/>
      <c r="EW854" s="17"/>
      <c r="EX854" s="17"/>
      <c r="EY854" s="16"/>
      <c r="EZ854" s="16"/>
      <c r="FA854" s="17"/>
      <c r="FB854" s="17"/>
      <c r="FC854" s="16"/>
      <c r="FD854" s="16"/>
      <c r="FE854" s="17"/>
      <c r="FF854" s="17"/>
      <c r="FG854" s="11"/>
      <c r="GT854" s="11"/>
      <c r="IG854" s="11"/>
      <c r="JT854" s="11"/>
      <c r="LG854" s="11"/>
      <c r="MT854" s="11"/>
      <c r="OG854" s="11"/>
      <c r="PT854" s="11"/>
    </row>
    <row r="855" spans="1:436" ht="15.75" x14ac:dyDescent="0.25">
      <c r="C855" s="20" t="s">
        <v>625</v>
      </c>
      <c r="D855" s="21" t="s">
        <v>93</v>
      </c>
      <c r="H855" s="11"/>
      <c r="AU855" s="11"/>
      <c r="CH855" s="11"/>
      <c r="CI855" s="16"/>
      <c r="CJ855" s="16"/>
      <c r="CK855" s="16"/>
      <c r="CL855" s="16"/>
      <c r="CM855" s="16"/>
      <c r="CN855" s="16"/>
      <c r="CO855" s="16"/>
      <c r="CP855" s="16"/>
      <c r="CQ855" s="16"/>
      <c r="CR855" s="16"/>
      <c r="CS855" s="16"/>
      <c r="CT855" s="16"/>
      <c r="CU855" s="16"/>
      <c r="CV855" s="16"/>
      <c r="CW855" s="16"/>
      <c r="CX855" s="16"/>
      <c r="CY855" s="16"/>
      <c r="CZ855" s="16"/>
      <c r="DA855" s="16"/>
      <c r="DB855" s="16"/>
      <c r="DC855" s="16"/>
      <c r="DD855" s="16"/>
      <c r="DE855" s="17"/>
      <c r="DF855" s="17"/>
      <c r="DG855" s="16"/>
      <c r="DH855" s="16"/>
      <c r="DI855" s="17"/>
      <c r="DJ855" s="17"/>
      <c r="DK855" s="16"/>
      <c r="DL855" s="16"/>
      <c r="DM855" s="17"/>
      <c r="DN855" s="17"/>
      <c r="DO855" s="16"/>
      <c r="DP855" s="16"/>
      <c r="DQ855" s="17"/>
      <c r="DR855" s="17"/>
      <c r="DS855" s="16"/>
      <c r="DT855" s="16"/>
      <c r="DU855" s="17"/>
      <c r="DV855" s="17"/>
      <c r="DW855" s="16"/>
      <c r="DX855" s="16"/>
      <c r="DY855" s="17"/>
      <c r="DZ855" s="17"/>
      <c r="EA855" s="16"/>
      <c r="EB855" s="16"/>
      <c r="EC855" s="17"/>
      <c r="ED855" s="17"/>
      <c r="EE855" s="16"/>
      <c r="EF855" s="16"/>
      <c r="EG855" s="17"/>
      <c r="EH855" s="17"/>
      <c r="EI855" s="16"/>
      <c r="EJ855" s="16"/>
      <c r="EK855" s="17"/>
      <c r="EL855" s="17"/>
      <c r="EM855" s="16"/>
      <c r="EN855" s="16"/>
      <c r="EO855" s="17"/>
      <c r="EP855" s="17"/>
      <c r="EQ855" s="16"/>
      <c r="ER855" s="16"/>
      <c r="ES855" s="17"/>
      <c r="ET855" s="17"/>
      <c r="EU855" s="16"/>
      <c r="EV855" s="16"/>
      <c r="EW855" s="18">
        <v>2</v>
      </c>
      <c r="EX855" s="18">
        <v>3</v>
      </c>
      <c r="EY855" s="16"/>
      <c r="EZ855" s="16"/>
      <c r="FA855" s="17"/>
      <c r="FB855" s="17"/>
      <c r="FC855" s="16"/>
      <c r="FD855" s="16"/>
      <c r="FE855" s="17"/>
      <c r="FF855" s="17"/>
      <c r="FG855" s="11"/>
      <c r="GT855" s="11"/>
      <c r="IG855" s="11"/>
      <c r="JT855" s="11"/>
      <c r="LG855" s="11"/>
      <c r="MT855" s="11"/>
      <c r="OG855" s="11"/>
      <c r="PT855" s="11"/>
    </row>
    <row r="856" spans="1:436" ht="15.75" x14ac:dyDescent="0.25">
      <c r="C856" s="20" t="s">
        <v>626</v>
      </c>
      <c r="D856" s="21" t="s">
        <v>93</v>
      </c>
      <c r="H856" s="11"/>
      <c r="AU856" s="11"/>
      <c r="CH856" s="11"/>
      <c r="CI856" s="16"/>
      <c r="CJ856" s="16"/>
      <c r="CK856" s="16"/>
      <c r="CL856" s="16"/>
      <c r="CM856" s="16"/>
      <c r="CN856" s="16"/>
      <c r="CO856" s="16"/>
      <c r="CP856" s="16"/>
      <c r="CQ856" s="16"/>
      <c r="CR856" s="16"/>
      <c r="CS856" s="16"/>
      <c r="CT856" s="16"/>
      <c r="CU856" s="16"/>
      <c r="CV856" s="16"/>
      <c r="CW856" s="16"/>
      <c r="CX856" s="16"/>
      <c r="CY856" s="16"/>
      <c r="CZ856" s="16"/>
      <c r="DA856" s="16"/>
      <c r="DB856" s="16"/>
      <c r="DC856" s="16"/>
      <c r="DD856" s="16"/>
      <c r="DE856" s="17"/>
      <c r="DF856" s="17"/>
      <c r="DG856" s="16"/>
      <c r="DH856" s="16"/>
      <c r="DI856" s="17"/>
      <c r="DJ856" s="17"/>
      <c r="DK856" s="16"/>
      <c r="DL856" s="16"/>
      <c r="DM856" s="17"/>
      <c r="DN856" s="17"/>
      <c r="DO856" s="16"/>
      <c r="DP856" s="16"/>
      <c r="DQ856" s="17"/>
      <c r="DR856" s="17"/>
      <c r="DS856" s="16"/>
      <c r="DT856" s="16"/>
      <c r="DU856" s="17"/>
      <c r="DV856" s="17"/>
      <c r="DW856" s="16"/>
      <c r="DX856" s="16"/>
      <c r="DY856" s="17"/>
      <c r="DZ856" s="17"/>
      <c r="EA856" s="16"/>
      <c r="EB856" s="16"/>
      <c r="EC856" s="17"/>
      <c r="ED856" s="17"/>
      <c r="EE856" s="16"/>
      <c r="EF856" s="16"/>
      <c r="EG856" s="17"/>
      <c r="EH856" s="17"/>
      <c r="EI856" s="16"/>
      <c r="EJ856" s="16"/>
      <c r="EK856" s="17"/>
      <c r="EL856" s="17"/>
      <c r="EM856" s="16"/>
      <c r="EN856" s="16"/>
      <c r="EO856" s="17"/>
      <c r="EP856" s="17"/>
      <c r="EQ856" s="16"/>
      <c r="ER856" s="16"/>
      <c r="ES856" s="17"/>
      <c r="ET856" s="17"/>
      <c r="EU856" s="16"/>
      <c r="EV856" s="16"/>
      <c r="EW856" s="18">
        <v>2</v>
      </c>
      <c r="EX856" s="18">
        <v>4</v>
      </c>
      <c r="EY856" s="16"/>
      <c r="EZ856" s="16"/>
      <c r="FA856" s="17"/>
      <c r="FB856" s="17"/>
      <c r="FC856" s="16"/>
      <c r="FD856" s="16"/>
      <c r="FE856" s="17"/>
      <c r="FF856" s="17"/>
      <c r="FG856" s="11"/>
      <c r="GT856" s="11"/>
      <c r="IG856" s="11"/>
      <c r="JT856" s="11"/>
      <c r="LG856" s="11"/>
      <c r="MT856" s="11"/>
      <c r="OG856" s="11"/>
      <c r="PT856" s="11"/>
    </row>
    <row r="857" spans="1:436" ht="15.75" x14ac:dyDescent="0.25">
      <c r="C857" s="20" t="s">
        <v>627</v>
      </c>
      <c r="D857" s="21" t="s">
        <v>93</v>
      </c>
      <c r="H857" s="11"/>
      <c r="AU857" s="11"/>
      <c r="CH857" s="11"/>
      <c r="CI857" s="16"/>
      <c r="CJ857" s="16"/>
      <c r="CK857" s="16"/>
      <c r="CL857" s="16"/>
      <c r="CM857" s="16"/>
      <c r="CN857" s="16"/>
      <c r="CO857" s="16"/>
      <c r="CP857" s="16"/>
      <c r="CQ857" s="16"/>
      <c r="CR857" s="16"/>
      <c r="CS857" s="16"/>
      <c r="CT857" s="16"/>
      <c r="CU857" s="16"/>
      <c r="CV857" s="16"/>
      <c r="CW857" s="16"/>
      <c r="CX857" s="16"/>
      <c r="CY857" s="16"/>
      <c r="CZ857" s="16"/>
      <c r="DA857" s="16"/>
      <c r="DB857" s="16"/>
      <c r="DC857" s="16"/>
      <c r="DD857" s="16"/>
      <c r="DE857" s="17"/>
      <c r="DF857" s="17"/>
      <c r="DG857" s="16"/>
      <c r="DH857" s="16"/>
      <c r="DI857" s="17"/>
      <c r="DJ857" s="17"/>
      <c r="DK857" s="16"/>
      <c r="DL857" s="16"/>
      <c r="DM857" s="17"/>
      <c r="DN857" s="17"/>
      <c r="DO857" s="16"/>
      <c r="DP857" s="16"/>
      <c r="DQ857" s="17"/>
      <c r="DR857" s="17"/>
      <c r="DS857" s="16"/>
      <c r="DT857" s="16"/>
      <c r="DU857" s="17"/>
      <c r="DV857" s="17"/>
      <c r="DW857" s="16"/>
      <c r="DX857" s="16"/>
      <c r="DY857" s="17"/>
      <c r="DZ857" s="17"/>
      <c r="EA857" s="16"/>
      <c r="EB857" s="16"/>
      <c r="EC857" s="17"/>
      <c r="ED857" s="17"/>
      <c r="EE857" s="16"/>
      <c r="EF857" s="16"/>
      <c r="EG857" s="17"/>
      <c r="EH857" s="17"/>
      <c r="EI857" s="16"/>
      <c r="EJ857" s="16"/>
      <c r="EK857" s="17"/>
      <c r="EL857" s="17"/>
      <c r="EM857" s="16"/>
      <c r="EN857" s="16"/>
      <c r="EO857" s="17"/>
      <c r="EP857" s="17"/>
      <c r="EQ857" s="16"/>
      <c r="ER857" s="16"/>
      <c r="ES857" s="17"/>
      <c r="ET857" s="17"/>
      <c r="EU857" s="16"/>
      <c r="EV857" s="16"/>
      <c r="EW857" s="18">
        <v>1</v>
      </c>
      <c r="EX857" s="18">
        <v>2</v>
      </c>
      <c r="EY857" s="16"/>
      <c r="EZ857" s="16"/>
      <c r="FA857" s="17"/>
      <c r="FB857" s="17"/>
      <c r="FC857" s="16"/>
      <c r="FD857" s="16"/>
      <c r="FE857" s="17"/>
      <c r="FF857" s="17"/>
      <c r="FG857" s="11"/>
      <c r="GT857" s="11"/>
      <c r="IG857" s="11"/>
      <c r="JT857" s="11"/>
      <c r="LG857" s="11"/>
      <c r="MT857" s="11"/>
      <c r="OG857" s="11"/>
      <c r="PT857" s="11"/>
    </row>
    <row r="858" spans="1:436" ht="25.5" x14ac:dyDescent="0.25">
      <c r="C858" s="20" t="s">
        <v>628</v>
      </c>
      <c r="D858" s="21" t="s">
        <v>93</v>
      </c>
      <c r="H858" s="11"/>
      <c r="AU858" s="11"/>
      <c r="CH858" s="11"/>
      <c r="CI858" s="16"/>
      <c r="CJ858" s="16"/>
      <c r="CK858" s="16"/>
      <c r="CL858" s="16"/>
      <c r="CM858" s="16"/>
      <c r="CN858" s="16"/>
      <c r="CO858" s="16"/>
      <c r="CP858" s="16"/>
      <c r="CQ858" s="16"/>
      <c r="CR858" s="16"/>
      <c r="CS858" s="16"/>
      <c r="CT858" s="16"/>
      <c r="CU858" s="16"/>
      <c r="CV858" s="16"/>
      <c r="CW858" s="16"/>
      <c r="CX858" s="16"/>
      <c r="CY858" s="16"/>
      <c r="CZ858" s="16"/>
      <c r="DA858" s="16"/>
      <c r="DB858" s="16"/>
      <c r="DC858" s="16"/>
      <c r="DD858" s="16"/>
      <c r="DE858" s="17"/>
      <c r="DF858" s="17"/>
      <c r="DG858" s="16"/>
      <c r="DH858" s="16"/>
      <c r="DI858" s="17"/>
      <c r="DJ858" s="17"/>
      <c r="DK858" s="16"/>
      <c r="DL858" s="16"/>
      <c r="DM858" s="17"/>
      <c r="DN858" s="17"/>
      <c r="DO858" s="16"/>
      <c r="DP858" s="16"/>
      <c r="DQ858" s="17"/>
      <c r="DR858" s="17"/>
      <c r="DS858" s="16"/>
      <c r="DT858" s="16"/>
      <c r="DU858" s="17"/>
      <c r="DV858" s="17"/>
      <c r="DW858" s="16"/>
      <c r="DX858" s="16"/>
      <c r="DY858" s="17"/>
      <c r="DZ858" s="17"/>
      <c r="EA858" s="16"/>
      <c r="EB858" s="16"/>
      <c r="EC858" s="17"/>
      <c r="ED858" s="17"/>
      <c r="EE858" s="16"/>
      <c r="EF858" s="16"/>
      <c r="EG858" s="17"/>
      <c r="EH858" s="17"/>
      <c r="EI858" s="16"/>
      <c r="EJ858" s="16"/>
      <c r="EK858" s="17"/>
      <c r="EL858" s="17"/>
      <c r="EM858" s="16"/>
      <c r="EN858" s="16"/>
      <c r="EO858" s="17"/>
      <c r="EP858" s="17"/>
      <c r="EQ858" s="16"/>
      <c r="ER858" s="16"/>
      <c r="ES858" s="17"/>
      <c r="ET858" s="17"/>
      <c r="EU858" s="16"/>
      <c r="EV858" s="16"/>
      <c r="EW858" s="18">
        <v>1</v>
      </c>
      <c r="EX858" s="18">
        <v>2</v>
      </c>
      <c r="EY858" s="16"/>
      <c r="EZ858" s="16"/>
      <c r="FA858" s="17"/>
      <c r="FB858" s="17"/>
      <c r="FC858" s="16"/>
      <c r="FD858" s="16"/>
      <c r="FE858" s="17"/>
      <c r="FF858" s="17"/>
      <c r="FG858" s="11"/>
      <c r="GT858" s="11"/>
      <c r="IG858" s="11"/>
      <c r="JT858" s="11"/>
      <c r="LG858" s="11"/>
      <c r="MT858" s="11"/>
      <c r="OG858" s="11"/>
      <c r="PT858" s="11"/>
    </row>
    <row r="859" spans="1:436" ht="15.75" x14ac:dyDescent="0.25">
      <c r="C859" s="20" t="s">
        <v>629</v>
      </c>
      <c r="D859" s="21" t="s">
        <v>93</v>
      </c>
      <c r="H859" s="11"/>
      <c r="AU859" s="11"/>
      <c r="CH859" s="11"/>
      <c r="CI859" s="16"/>
      <c r="CJ859" s="16"/>
      <c r="CK859" s="16"/>
      <c r="CL859" s="16"/>
      <c r="CM859" s="16"/>
      <c r="CN859" s="16"/>
      <c r="CO859" s="16"/>
      <c r="CP859" s="16"/>
      <c r="CQ859" s="16"/>
      <c r="CR859" s="16"/>
      <c r="CS859" s="16"/>
      <c r="CT859" s="16"/>
      <c r="CU859" s="16"/>
      <c r="CV859" s="16"/>
      <c r="CW859" s="16"/>
      <c r="CX859" s="16"/>
      <c r="CY859" s="16"/>
      <c r="CZ859" s="16"/>
      <c r="DA859" s="16"/>
      <c r="DB859" s="16"/>
      <c r="DC859" s="16"/>
      <c r="DD859" s="16"/>
      <c r="DE859" s="17"/>
      <c r="DF859" s="17"/>
      <c r="DG859" s="16"/>
      <c r="DH859" s="16"/>
      <c r="DI859" s="17"/>
      <c r="DJ859" s="17"/>
      <c r="DK859" s="16"/>
      <c r="DL859" s="16"/>
      <c r="DM859" s="17"/>
      <c r="DN859" s="17"/>
      <c r="DO859" s="16"/>
      <c r="DP859" s="16"/>
      <c r="DQ859" s="17"/>
      <c r="DR859" s="17"/>
      <c r="DS859" s="16"/>
      <c r="DT859" s="16"/>
      <c r="DU859" s="17"/>
      <c r="DV859" s="17"/>
      <c r="DW859" s="16"/>
      <c r="DX859" s="16"/>
      <c r="DY859" s="17"/>
      <c r="DZ859" s="17"/>
      <c r="EA859" s="16"/>
      <c r="EB859" s="16"/>
      <c r="EC859" s="17"/>
      <c r="ED859" s="17"/>
      <c r="EE859" s="16"/>
      <c r="EF859" s="16"/>
      <c r="EG859" s="17"/>
      <c r="EH859" s="17"/>
      <c r="EI859" s="16"/>
      <c r="EJ859" s="16"/>
      <c r="EK859" s="17"/>
      <c r="EL859" s="17"/>
      <c r="EM859" s="16"/>
      <c r="EN859" s="16"/>
      <c r="EO859" s="17"/>
      <c r="EP859" s="17"/>
      <c r="EQ859" s="16"/>
      <c r="ER859" s="16"/>
      <c r="ES859" s="17"/>
      <c r="ET859" s="17"/>
      <c r="EU859" s="16"/>
      <c r="EV859" s="16"/>
      <c r="EW859" s="18">
        <v>2</v>
      </c>
      <c r="EX859" s="18">
        <v>3</v>
      </c>
      <c r="EY859" s="16"/>
      <c r="EZ859" s="16"/>
      <c r="FA859" s="17"/>
      <c r="FB859" s="17"/>
      <c r="FC859" s="16"/>
      <c r="FD859" s="16"/>
      <c r="FE859" s="17"/>
      <c r="FF859" s="17"/>
      <c r="FG859" s="11"/>
      <c r="GT859" s="11"/>
      <c r="IG859" s="11"/>
      <c r="JT859" s="11"/>
      <c r="LG859" s="11"/>
      <c r="MT859" s="11"/>
      <c r="OG859" s="11"/>
      <c r="PT859" s="11"/>
    </row>
    <row r="860" spans="1:436" ht="15.75" x14ac:dyDescent="0.25">
      <c r="C860" s="20" t="s">
        <v>630</v>
      </c>
      <c r="D860" s="21" t="s">
        <v>93</v>
      </c>
      <c r="H860" s="11"/>
      <c r="AU860" s="11"/>
      <c r="CH860" s="11"/>
      <c r="CI860" s="16"/>
      <c r="CJ860" s="16"/>
      <c r="CK860" s="16"/>
      <c r="CL860" s="16"/>
      <c r="CM860" s="16"/>
      <c r="CN860" s="16"/>
      <c r="CO860" s="16"/>
      <c r="CP860" s="16"/>
      <c r="CQ860" s="16"/>
      <c r="CR860" s="16"/>
      <c r="CS860" s="16"/>
      <c r="CT860" s="16"/>
      <c r="CU860" s="16"/>
      <c r="CV860" s="16"/>
      <c r="CW860" s="16"/>
      <c r="CX860" s="16"/>
      <c r="CY860" s="16"/>
      <c r="CZ860" s="16"/>
      <c r="DA860" s="16"/>
      <c r="DB860" s="16"/>
      <c r="DC860" s="16"/>
      <c r="DD860" s="16"/>
      <c r="DE860" s="17"/>
      <c r="DF860" s="17"/>
      <c r="DG860" s="16"/>
      <c r="DH860" s="16"/>
      <c r="DI860" s="17"/>
      <c r="DJ860" s="17"/>
      <c r="DK860" s="16"/>
      <c r="DL860" s="16"/>
      <c r="DM860" s="17"/>
      <c r="DN860" s="17"/>
      <c r="DO860" s="16"/>
      <c r="DP860" s="16"/>
      <c r="DQ860" s="17"/>
      <c r="DR860" s="17"/>
      <c r="DS860" s="16"/>
      <c r="DT860" s="16"/>
      <c r="DU860" s="17"/>
      <c r="DV860" s="17"/>
      <c r="DW860" s="16"/>
      <c r="DX860" s="16"/>
      <c r="DY860" s="17"/>
      <c r="DZ860" s="17"/>
      <c r="EA860" s="16"/>
      <c r="EB860" s="16"/>
      <c r="EC860" s="17"/>
      <c r="ED860" s="17"/>
      <c r="EE860" s="16"/>
      <c r="EF860" s="16"/>
      <c r="EG860" s="17"/>
      <c r="EH860" s="17"/>
      <c r="EI860" s="16"/>
      <c r="EJ860" s="16"/>
      <c r="EK860" s="17"/>
      <c r="EL860" s="17"/>
      <c r="EM860" s="16"/>
      <c r="EN860" s="16"/>
      <c r="EO860" s="17"/>
      <c r="EP860" s="17"/>
      <c r="EQ860" s="16"/>
      <c r="ER860" s="16"/>
      <c r="ES860" s="17"/>
      <c r="ET860" s="17"/>
      <c r="EU860" s="16"/>
      <c r="EV860" s="16"/>
      <c r="EW860" s="18">
        <v>1</v>
      </c>
      <c r="EX860" s="18">
        <v>2</v>
      </c>
      <c r="EY860" s="16"/>
      <c r="EZ860" s="16"/>
      <c r="FA860" s="17"/>
      <c r="FB860" s="17"/>
      <c r="FC860" s="16"/>
      <c r="FD860" s="16"/>
      <c r="FE860" s="17"/>
      <c r="FF860" s="17"/>
      <c r="FG860" s="11"/>
      <c r="GT860" s="11"/>
      <c r="IG860" s="11"/>
      <c r="JT860" s="11"/>
      <c r="LG860" s="11"/>
      <c r="MT860" s="11"/>
      <c r="OG860" s="11"/>
      <c r="PT860" s="11"/>
    </row>
    <row r="861" spans="1:436" ht="15.75" x14ac:dyDescent="0.25">
      <c r="C861" s="20" t="s">
        <v>631</v>
      </c>
      <c r="D861" s="21" t="s">
        <v>93</v>
      </c>
      <c r="H861" s="11"/>
      <c r="AU861" s="11"/>
      <c r="CH861" s="11"/>
      <c r="CI861" s="16"/>
      <c r="CJ861" s="16"/>
      <c r="CK861" s="16"/>
      <c r="CL861" s="16"/>
      <c r="CM861" s="16"/>
      <c r="CN861" s="16"/>
      <c r="CO861" s="16"/>
      <c r="CP861" s="16"/>
      <c r="CQ861" s="16"/>
      <c r="CR861" s="16"/>
      <c r="CS861" s="16"/>
      <c r="CT861" s="16"/>
      <c r="CU861" s="16"/>
      <c r="CV861" s="16"/>
      <c r="CW861" s="16"/>
      <c r="CX861" s="16"/>
      <c r="CY861" s="16"/>
      <c r="CZ861" s="16"/>
      <c r="DA861" s="16"/>
      <c r="DB861" s="16"/>
      <c r="DC861" s="16"/>
      <c r="DD861" s="16"/>
      <c r="DE861" s="17"/>
      <c r="DF861" s="17"/>
      <c r="DG861" s="16"/>
      <c r="DH861" s="16"/>
      <c r="DI861" s="17"/>
      <c r="DJ861" s="17"/>
      <c r="DK861" s="16"/>
      <c r="DL861" s="16"/>
      <c r="DM861" s="17"/>
      <c r="DN861" s="17"/>
      <c r="DO861" s="16"/>
      <c r="DP861" s="16"/>
      <c r="DQ861" s="17"/>
      <c r="DR861" s="17"/>
      <c r="DS861" s="16"/>
      <c r="DT861" s="16"/>
      <c r="DU861" s="17"/>
      <c r="DV861" s="17"/>
      <c r="DW861" s="16"/>
      <c r="DX861" s="16"/>
      <c r="DY861" s="17"/>
      <c r="DZ861" s="17"/>
      <c r="EA861" s="16"/>
      <c r="EB861" s="16"/>
      <c r="EC861" s="17"/>
      <c r="ED861" s="17"/>
      <c r="EE861" s="16"/>
      <c r="EF861" s="16"/>
      <c r="EG861" s="17"/>
      <c r="EH861" s="17"/>
      <c r="EI861" s="16"/>
      <c r="EJ861" s="16"/>
      <c r="EK861" s="17"/>
      <c r="EL861" s="17"/>
      <c r="EM861" s="16"/>
      <c r="EN861" s="16"/>
      <c r="EO861" s="17"/>
      <c r="EP861" s="17"/>
      <c r="EQ861" s="16"/>
      <c r="ER861" s="16"/>
      <c r="ES861" s="17"/>
      <c r="ET861" s="17"/>
      <c r="EU861" s="16"/>
      <c r="EV861" s="16"/>
      <c r="EW861" s="18">
        <v>2</v>
      </c>
      <c r="EX861" s="18">
        <v>3</v>
      </c>
      <c r="EY861" s="16"/>
      <c r="EZ861" s="16"/>
      <c r="FA861" s="17"/>
      <c r="FB861" s="17"/>
      <c r="FC861" s="16"/>
      <c r="FD861" s="16"/>
      <c r="FE861" s="17"/>
      <c r="FF861" s="17"/>
      <c r="FG861" s="11"/>
      <c r="GT861" s="11"/>
      <c r="IG861" s="11"/>
      <c r="JT861" s="11"/>
      <c r="LG861" s="11"/>
      <c r="MT861" s="11"/>
      <c r="OG861" s="11"/>
      <c r="PT861" s="11"/>
    </row>
    <row r="862" spans="1:436" ht="15.75" x14ac:dyDescent="0.25">
      <c r="C862" s="20" t="s">
        <v>632</v>
      </c>
      <c r="D862" s="21" t="s">
        <v>93</v>
      </c>
      <c r="H862" s="11"/>
      <c r="AU862" s="11"/>
      <c r="CH862" s="11"/>
      <c r="CI862" s="16"/>
      <c r="CJ862" s="16"/>
      <c r="CK862" s="16"/>
      <c r="CL862" s="16"/>
      <c r="CM862" s="16"/>
      <c r="CN862" s="16"/>
      <c r="CO862" s="16"/>
      <c r="CP862" s="16"/>
      <c r="CQ862" s="16"/>
      <c r="CR862" s="16"/>
      <c r="CS862" s="16"/>
      <c r="CT862" s="16"/>
      <c r="CU862" s="16"/>
      <c r="CV862" s="16"/>
      <c r="CW862" s="16"/>
      <c r="CX862" s="16"/>
      <c r="CY862" s="16"/>
      <c r="CZ862" s="16"/>
      <c r="DA862" s="16"/>
      <c r="DB862" s="16"/>
      <c r="DC862" s="16"/>
      <c r="DD862" s="16"/>
      <c r="DE862" s="17"/>
      <c r="DF862" s="17"/>
      <c r="DG862" s="16"/>
      <c r="DH862" s="16"/>
      <c r="DI862" s="17"/>
      <c r="DJ862" s="17"/>
      <c r="DK862" s="16"/>
      <c r="DL862" s="16"/>
      <c r="DM862" s="17"/>
      <c r="DN862" s="17"/>
      <c r="DO862" s="16"/>
      <c r="DP862" s="16"/>
      <c r="DQ862" s="17"/>
      <c r="DR862" s="17"/>
      <c r="DS862" s="16"/>
      <c r="DT862" s="16"/>
      <c r="DU862" s="17"/>
      <c r="DV862" s="17"/>
      <c r="DW862" s="16"/>
      <c r="DX862" s="16"/>
      <c r="DY862" s="17"/>
      <c r="DZ862" s="17"/>
      <c r="EA862" s="16"/>
      <c r="EB862" s="16"/>
      <c r="EC862" s="17"/>
      <c r="ED862" s="17"/>
      <c r="EE862" s="16"/>
      <c r="EF862" s="16"/>
      <c r="EG862" s="17"/>
      <c r="EH862" s="17"/>
      <c r="EI862" s="16"/>
      <c r="EJ862" s="16"/>
      <c r="EK862" s="17"/>
      <c r="EL862" s="17"/>
      <c r="EM862" s="16"/>
      <c r="EN862" s="16"/>
      <c r="EO862" s="17"/>
      <c r="EP862" s="17"/>
      <c r="EQ862" s="16"/>
      <c r="ER862" s="16"/>
      <c r="ES862" s="17"/>
      <c r="ET862" s="17"/>
      <c r="EU862" s="16"/>
      <c r="EV862" s="16"/>
      <c r="EW862" s="18">
        <v>1</v>
      </c>
      <c r="EX862" s="18">
        <v>2</v>
      </c>
      <c r="EY862" s="16"/>
      <c r="EZ862" s="16"/>
      <c r="FA862" s="17"/>
      <c r="FB862" s="17"/>
      <c r="FC862" s="16"/>
      <c r="FD862" s="16"/>
      <c r="FE862" s="17"/>
      <c r="FF862" s="17"/>
      <c r="FG862" s="11"/>
      <c r="GT862" s="11"/>
      <c r="IG862" s="11"/>
      <c r="JT862" s="11"/>
      <c r="LG862" s="11"/>
      <c r="MT862" s="11"/>
      <c r="OG862" s="11"/>
      <c r="PT862" s="11"/>
    </row>
    <row r="863" spans="1:436" ht="15.75" x14ac:dyDescent="0.25">
      <c r="C863" s="20" t="s">
        <v>633</v>
      </c>
      <c r="D863" s="21" t="s">
        <v>82</v>
      </c>
      <c r="H863" s="11"/>
      <c r="AU863" s="11"/>
      <c r="CH863" s="11"/>
      <c r="CI863" s="16"/>
      <c r="CJ863" s="16"/>
      <c r="CK863" s="16"/>
      <c r="CL863" s="16"/>
      <c r="CM863" s="16"/>
      <c r="CN863" s="16"/>
      <c r="CO863" s="16"/>
      <c r="CP863" s="16"/>
      <c r="CQ863" s="16"/>
      <c r="CR863" s="16"/>
      <c r="CS863" s="16"/>
      <c r="CT863" s="16"/>
      <c r="CU863" s="16"/>
      <c r="CV863" s="16"/>
      <c r="CW863" s="16"/>
      <c r="CX863" s="16"/>
      <c r="CY863" s="16"/>
      <c r="CZ863" s="16"/>
      <c r="DA863" s="16"/>
      <c r="DB863" s="16"/>
      <c r="DC863" s="16"/>
      <c r="DD863" s="16"/>
      <c r="DE863" s="17"/>
      <c r="DF863" s="17"/>
      <c r="DG863" s="16"/>
      <c r="DH863" s="16"/>
      <c r="DI863" s="17"/>
      <c r="DJ863" s="17"/>
      <c r="DK863" s="16"/>
      <c r="DL863" s="16"/>
      <c r="DM863" s="17"/>
      <c r="DN863" s="17"/>
      <c r="DO863" s="16"/>
      <c r="DP863" s="16"/>
      <c r="DQ863" s="17"/>
      <c r="DR863" s="17"/>
      <c r="DS863" s="16"/>
      <c r="DT863" s="16"/>
      <c r="DU863" s="17"/>
      <c r="DV863" s="17"/>
      <c r="DW863" s="16"/>
      <c r="DX863" s="16"/>
      <c r="DY863" s="17"/>
      <c r="DZ863" s="17"/>
      <c r="EA863" s="16"/>
      <c r="EB863" s="16"/>
      <c r="EC863" s="17"/>
      <c r="ED863" s="17"/>
      <c r="EE863" s="16"/>
      <c r="EF863" s="16"/>
      <c r="EG863" s="17"/>
      <c r="EH863" s="17"/>
      <c r="EI863" s="16"/>
      <c r="EJ863" s="16"/>
      <c r="EK863" s="17"/>
      <c r="EL863" s="17"/>
      <c r="EM863" s="16"/>
      <c r="EN863" s="16"/>
      <c r="EO863" s="17"/>
      <c r="EP863" s="17"/>
      <c r="EQ863" s="16"/>
      <c r="ER863" s="16"/>
      <c r="ES863" s="18">
        <v>1</v>
      </c>
      <c r="ET863" s="18">
        <v>2</v>
      </c>
      <c r="EU863" s="16"/>
      <c r="EV863" s="16"/>
      <c r="EW863" s="17"/>
      <c r="EX863" s="17"/>
      <c r="EY863" s="16"/>
      <c r="EZ863" s="16"/>
      <c r="FA863" s="17"/>
      <c r="FB863" s="17"/>
      <c r="FC863" s="16"/>
      <c r="FD863" s="16"/>
      <c r="FE863" s="17"/>
      <c r="FF863" s="17"/>
      <c r="FG863" s="11"/>
      <c r="GT863" s="11"/>
      <c r="IG863" s="11"/>
      <c r="JT863" s="11"/>
      <c r="LG863" s="11"/>
      <c r="MT863" s="11"/>
      <c r="OG863" s="11"/>
      <c r="PT863" s="11"/>
    </row>
    <row r="864" spans="1:436" ht="15.75" x14ac:dyDescent="0.25">
      <c r="C864" s="20" t="s">
        <v>634</v>
      </c>
      <c r="D864" s="21" t="s">
        <v>82</v>
      </c>
      <c r="H864" s="11"/>
      <c r="AU864" s="11"/>
      <c r="CH864" s="11"/>
      <c r="CI864" s="16"/>
      <c r="CJ864" s="16"/>
      <c r="CK864" s="16"/>
      <c r="CL864" s="16"/>
      <c r="CM864" s="16"/>
      <c r="CN864" s="16"/>
      <c r="CO864" s="16"/>
      <c r="CP864" s="16"/>
      <c r="CQ864" s="16"/>
      <c r="CR864" s="16"/>
      <c r="CS864" s="16"/>
      <c r="CT864" s="16"/>
      <c r="CU864" s="16"/>
      <c r="CV864" s="16"/>
      <c r="CW864" s="16"/>
      <c r="CX864" s="16"/>
      <c r="CY864" s="16"/>
      <c r="CZ864" s="16"/>
      <c r="DA864" s="16"/>
      <c r="DB864" s="16"/>
      <c r="DC864" s="16"/>
      <c r="DD864" s="16"/>
      <c r="DE864" s="17"/>
      <c r="DF864" s="17"/>
      <c r="DG864" s="16"/>
      <c r="DH864" s="16"/>
      <c r="DI864" s="17"/>
      <c r="DJ864" s="17"/>
      <c r="DK864" s="16"/>
      <c r="DL864" s="16"/>
      <c r="DM864" s="17"/>
      <c r="DN864" s="17"/>
      <c r="DO864" s="16"/>
      <c r="DP864" s="16"/>
      <c r="DQ864" s="17"/>
      <c r="DR864" s="17"/>
      <c r="DS864" s="16"/>
      <c r="DT864" s="16"/>
      <c r="DU864" s="17"/>
      <c r="DV864" s="17"/>
      <c r="DW864" s="16"/>
      <c r="DX864" s="16"/>
      <c r="DY864" s="17"/>
      <c r="DZ864" s="17"/>
      <c r="EA864" s="16"/>
      <c r="EB864" s="16"/>
      <c r="EC864" s="17"/>
      <c r="ED864" s="17"/>
      <c r="EE864" s="16"/>
      <c r="EF864" s="16"/>
      <c r="EG864" s="17"/>
      <c r="EH864" s="17"/>
      <c r="EI864" s="16"/>
      <c r="EJ864" s="16"/>
      <c r="EK864" s="17"/>
      <c r="EL864" s="17"/>
      <c r="EM864" s="16"/>
      <c r="EN864" s="16"/>
      <c r="EO864" s="17"/>
      <c r="EP864" s="17"/>
      <c r="EQ864" s="16"/>
      <c r="ER864" s="16"/>
      <c r="ES864" s="18">
        <v>1</v>
      </c>
      <c r="ET864" s="18">
        <v>2</v>
      </c>
      <c r="EU864" s="16"/>
      <c r="EV864" s="16"/>
      <c r="EW864" s="17"/>
      <c r="EX864" s="17"/>
      <c r="EY864" s="16"/>
      <c r="EZ864" s="16"/>
      <c r="FA864" s="17"/>
      <c r="FB864" s="17"/>
      <c r="FC864" s="16"/>
      <c r="FD864" s="16"/>
      <c r="FE864" s="17"/>
      <c r="FF864" s="17"/>
      <c r="FG864" s="11"/>
      <c r="GT864" s="11"/>
      <c r="IG864" s="11"/>
      <c r="JT864" s="11"/>
      <c r="LG864" s="11"/>
      <c r="MT864" s="11"/>
      <c r="OG864" s="11"/>
      <c r="PT864" s="11"/>
    </row>
    <row r="865" spans="1:436" ht="15.75" x14ac:dyDescent="0.25">
      <c r="A865" s="13"/>
      <c r="B865" s="14" t="s">
        <v>635</v>
      </c>
      <c r="C865" s="13"/>
      <c r="D865" s="13"/>
      <c r="E865" s="15" t="s">
        <v>76</v>
      </c>
      <c r="F865" s="15" t="s">
        <v>77</v>
      </c>
      <c r="G865" s="13"/>
      <c r="H865" s="11"/>
      <c r="AU865" s="11"/>
      <c r="CH865" s="11"/>
      <c r="CI865" s="16"/>
      <c r="CJ865" s="16"/>
      <c r="CK865" s="16"/>
      <c r="CL865" s="16"/>
      <c r="CM865" s="16"/>
      <c r="CN865" s="16"/>
      <c r="CO865" s="16"/>
      <c r="CP865" s="16"/>
      <c r="CQ865" s="16"/>
      <c r="CR865" s="16"/>
      <c r="CS865" s="16"/>
      <c r="CT865" s="16"/>
      <c r="CU865" s="16"/>
      <c r="CV865" s="16"/>
      <c r="CW865" s="16"/>
      <c r="CX865" s="16"/>
      <c r="CY865" s="16"/>
      <c r="CZ865" s="16"/>
      <c r="DA865" s="16"/>
      <c r="DB865" s="16"/>
      <c r="DC865" s="16"/>
      <c r="DD865" s="16"/>
      <c r="DE865" s="17"/>
      <c r="DF865" s="17"/>
      <c r="DG865" s="16"/>
      <c r="DH865" s="16"/>
      <c r="DI865" s="17"/>
      <c r="DJ865" s="18">
        <v>20</v>
      </c>
      <c r="DK865" s="16"/>
      <c r="DL865" s="16"/>
      <c r="DM865" s="17"/>
      <c r="DN865" s="17"/>
      <c r="DO865" s="16"/>
      <c r="DP865" s="16"/>
      <c r="DQ865" s="17"/>
      <c r="DR865" s="17"/>
      <c r="DS865" s="16"/>
      <c r="DT865" s="16"/>
      <c r="DU865" s="17"/>
      <c r="DV865" s="18">
        <v>2</v>
      </c>
      <c r="DW865" s="16"/>
      <c r="DX865" s="19">
        <v>10</v>
      </c>
      <c r="DY865" s="17"/>
      <c r="DZ865" s="17"/>
      <c r="EA865" s="16"/>
      <c r="EB865" s="16"/>
      <c r="EC865" s="17"/>
      <c r="ED865" s="17"/>
      <c r="EE865" s="16"/>
      <c r="EF865" s="16"/>
      <c r="EG865" s="17"/>
      <c r="EH865" s="18">
        <v>25</v>
      </c>
      <c r="EI865" s="16"/>
      <c r="EJ865" s="19">
        <v>10</v>
      </c>
      <c r="EK865" s="17"/>
      <c r="EL865" s="18">
        <v>20</v>
      </c>
      <c r="EM865" s="16"/>
      <c r="EN865" s="16"/>
      <c r="EO865" s="17"/>
      <c r="EP865" s="17"/>
      <c r="EQ865" s="16"/>
      <c r="ER865" s="16"/>
      <c r="ES865" s="17"/>
      <c r="ET865" s="18">
        <v>30</v>
      </c>
      <c r="EU865" s="16"/>
      <c r="EV865" s="16"/>
      <c r="EW865" s="17"/>
      <c r="EX865" s="17"/>
      <c r="EY865" s="16"/>
      <c r="EZ865" s="16"/>
      <c r="FA865" s="17"/>
      <c r="FB865" s="17"/>
      <c r="FC865" s="16"/>
      <c r="FD865" s="19">
        <v>20</v>
      </c>
      <c r="FE865" s="17"/>
      <c r="FF865" s="17"/>
      <c r="FG865" s="11"/>
      <c r="GT865" s="11"/>
      <c r="IG865" s="11"/>
      <c r="JT865" s="11"/>
      <c r="LG865" s="11"/>
      <c r="MT865" s="11"/>
      <c r="OG865" s="11"/>
      <c r="PT865" s="11"/>
    </row>
    <row r="866" spans="1:436" ht="15.75" x14ac:dyDescent="0.25">
      <c r="C866" s="20" t="s">
        <v>636</v>
      </c>
      <c r="D866" s="21" t="s">
        <v>79</v>
      </c>
      <c r="H866" s="11"/>
      <c r="AU866" s="11"/>
      <c r="CH866" s="11"/>
      <c r="CI866" s="16"/>
      <c r="CJ866" s="16"/>
      <c r="CK866" s="16"/>
      <c r="CL866" s="16"/>
      <c r="CM866" s="16"/>
      <c r="CN866" s="16"/>
      <c r="CO866" s="16"/>
      <c r="CP866" s="16"/>
      <c r="CQ866" s="16"/>
      <c r="CR866" s="16"/>
      <c r="CS866" s="16"/>
      <c r="CT866" s="16"/>
      <c r="CU866" s="16"/>
      <c r="CV866" s="16"/>
      <c r="CW866" s="16"/>
      <c r="CX866" s="16"/>
      <c r="CY866" s="16"/>
      <c r="CZ866" s="16"/>
      <c r="DA866" s="16"/>
      <c r="DB866" s="16"/>
      <c r="DC866" s="16"/>
      <c r="DD866" s="16"/>
      <c r="DE866" s="17"/>
      <c r="DF866" s="17"/>
      <c r="DG866" s="16"/>
      <c r="DH866" s="16"/>
      <c r="DI866" s="18">
        <v>8</v>
      </c>
      <c r="DJ866" s="18">
        <v>9</v>
      </c>
      <c r="DK866" s="16"/>
      <c r="DL866" s="16"/>
      <c r="DM866" s="17"/>
      <c r="DN866" s="17"/>
      <c r="DO866" s="16"/>
      <c r="DP866" s="16"/>
      <c r="DQ866" s="17"/>
      <c r="DR866" s="17"/>
      <c r="DS866" s="16"/>
      <c r="DT866" s="16"/>
      <c r="DU866" s="17"/>
      <c r="DV866" s="17"/>
      <c r="DW866" s="16"/>
      <c r="DX866" s="16"/>
      <c r="DY866" s="17"/>
      <c r="DZ866" s="17"/>
      <c r="EA866" s="16"/>
      <c r="EB866" s="16"/>
      <c r="EC866" s="17"/>
      <c r="ED866" s="17"/>
      <c r="EE866" s="16"/>
      <c r="EF866" s="16"/>
      <c r="EG866" s="17"/>
      <c r="EH866" s="17"/>
      <c r="EI866" s="16"/>
      <c r="EJ866" s="16"/>
      <c r="EK866" s="17"/>
      <c r="EL866" s="17"/>
      <c r="EM866" s="16"/>
      <c r="EN866" s="16"/>
      <c r="EO866" s="17"/>
      <c r="EP866" s="17"/>
      <c r="EQ866" s="16"/>
      <c r="ER866" s="16"/>
      <c r="ES866" s="17"/>
      <c r="ET866" s="17"/>
      <c r="EU866" s="16"/>
      <c r="EV866" s="16"/>
      <c r="EW866" s="17"/>
      <c r="EX866" s="17"/>
      <c r="EY866" s="16"/>
      <c r="EZ866" s="16"/>
      <c r="FA866" s="17"/>
      <c r="FB866" s="17"/>
      <c r="FC866" s="16"/>
      <c r="FD866" s="16"/>
      <c r="FE866" s="17"/>
      <c r="FF866" s="17"/>
      <c r="FG866" s="11"/>
      <c r="GT866" s="11"/>
      <c r="IG866" s="11"/>
      <c r="JT866" s="11"/>
      <c r="LG866" s="11"/>
      <c r="MT866" s="11"/>
      <c r="OG866" s="11"/>
      <c r="PT866" s="11"/>
    </row>
    <row r="867" spans="1:436" ht="15.75" x14ac:dyDescent="0.25">
      <c r="C867" s="20" t="s">
        <v>637</v>
      </c>
      <c r="D867" s="21" t="s">
        <v>79</v>
      </c>
      <c r="H867" s="11"/>
      <c r="AU867" s="11"/>
      <c r="CH867" s="11"/>
      <c r="CI867" s="16"/>
      <c r="CJ867" s="16"/>
      <c r="CK867" s="16"/>
      <c r="CL867" s="16"/>
      <c r="CM867" s="16"/>
      <c r="CN867" s="16"/>
      <c r="CO867" s="16"/>
      <c r="CP867" s="16"/>
      <c r="CQ867" s="16"/>
      <c r="CR867" s="16"/>
      <c r="CS867" s="16"/>
      <c r="CT867" s="16"/>
      <c r="CU867" s="16"/>
      <c r="CV867" s="16"/>
      <c r="CW867" s="16"/>
      <c r="CX867" s="16"/>
      <c r="CY867" s="16"/>
      <c r="CZ867" s="16"/>
      <c r="DA867" s="16"/>
      <c r="DB867" s="16"/>
      <c r="DC867" s="16"/>
      <c r="DD867" s="16"/>
      <c r="DE867" s="17"/>
      <c r="DF867" s="17"/>
      <c r="DG867" s="16"/>
      <c r="DH867" s="16"/>
      <c r="DI867" s="18">
        <v>5</v>
      </c>
      <c r="DJ867" s="18">
        <v>20</v>
      </c>
      <c r="DK867" s="16"/>
      <c r="DL867" s="16"/>
      <c r="DM867" s="17"/>
      <c r="DN867" s="17"/>
      <c r="DO867" s="16"/>
      <c r="DP867" s="16"/>
      <c r="DQ867" s="17"/>
      <c r="DR867" s="17"/>
      <c r="DS867" s="16"/>
      <c r="DT867" s="16"/>
      <c r="DU867" s="17"/>
      <c r="DV867" s="17"/>
      <c r="DW867" s="16"/>
      <c r="DX867" s="16"/>
      <c r="DY867" s="17"/>
      <c r="DZ867" s="17"/>
      <c r="EA867" s="16"/>
      <c r="EB867" s="16"/>
      <c r="EC867" s="17"/>
      <c r="ED867" s="17"/>
      <c r="EE867" s="16"/>
      <c r="EF867" s="16"/>
      <c r="EG867" s="17"/>
      <c r="EH867" s="17"/>
      <c r="EI867" s="16"/>
      <c r="EJ867" s="16"/>
      <c r="EK867" s="17"/>
      <c r="EL867" s="17"/>
      <c r="EM867" s="16"/>
      <c r="EN867" s="16"/>
      <c r="EO867" s="17"/>
      <c r="EP867" s="17"/>
      <c r="EQ867" s="16"/>
      <c r="ER867" s="16"/>
      <c r="ES867" s="17"/>
      <c r="ET867" s="17"/>
      <c r="EU867" s="16"/>
      <c r="EV867" s="16"/>
      <c r="EW867" s="17"/>
      <c r="EX867" s="17"/>
      <c r="EY867" s="16"/>
      <c r="EZ867" s="16"/>
      <c r="FA867" s="17"/>
      <c r="FB867" s="17"/>
      <c r="FC867" s="16"/>
      <c r="FD867" s="16"/>
      <c r="FE867" s="17"/>
      <c r="FF867" s="17"/>
      <c r="FG867" s="11"/>
      <c r="GT867" s="11"/>
      <c r="IG867" s="11"/>
      <c r="JT867" s="11"/>
      <c r="LG867" s="11"/>
      <c r="MT867" s="11"/>
      <c r="OG867" s="11"/>
      <c r="PT867" s="11"/>
    </row>
    <row r="868" spans="1:436" ht="15.75" x14ac:dyDescent="0.25">
      <c r="C868" s="20" t="s">
        <v>638</v>
      </c>
      <c r="D868" s="21" t="s">
        <v>79</v>
      </c>
      <c r="H868" s="11"/>
      <c r="AU868" s="11"/>
      <c r="CH868" s="11"/>
      <c r="CI868" s="16"/>
      <c r="CJ868" s="16"/>
      <c r="CK868" s="16"/>
      <c r="CL868" s="16"/>
      <c r="CM868" s="16"/>
      <c r="CN868" s="16"/>
      <c r="CO868" s="16"/>
      <c r="CP868" s="16"/>
      <c r="CQ868" s="16"/>
      <c r="CR868" s="16"/>
      <c r="CS868" s="16"/>
      <c r="CT868" s="16"/>
      <c r="CU868" s="16"/>
      <c r="CV868" s="16"/>
      <c r="CW868" s="16"/>
      <c r="CX868" s="16"/>
      <c r="CY868" s="16"/>
      <c r="CZ868" s="16"/>
      <c r="DA868" s="16"/>
      <c r="DB868" s="16"/>
      <c r="DC868" s="16"/>
      <c r="DD868" s="16"/>
      <c r="DE868" s="17"/>
      <c r="DF868" s="17"/>
      <c r="DG868" s="16"/>
      <c r="DH868" s="16"/>
      <c r="DI868" s="18">
        <v>3</v>
      </c>
      <c r="DJ868" s="18">
        <v>5</v>
      </c>
      <c r="DK868" s="16"/>
      <c r="DL868" s="16"/>
      <c r="DM868" s="17"/>
      <c r="DN868" s="17"/>
      <c r="DO868" s="16"/>
      <c r="DP868" s="16"/>
      <c r="DQ868" s="17"/>
      <c r="DR868" s="17"/>
      <c r="DS868" s="16"/>
      <c r="DT868" s="16"/>
      <c r="DU868" s="17"/>
      <c r="DV868" s="17"/>
      <c r="DW868" s="16"/>
      <c r="DX868" s="16"/>
      <c r="DY868" s="17"/>
      <c r="DZ868" s="17"/>
      <c r="EA868" s="16"/>
      <c r="EB868" s="16"/>
      <c r="EC868" s="17"/>
      <c r="ED868" s="17"/>
      <c r="EE868" s="16"/>
      <c r="EF868" s="16"/>
      <c r="EG868" s="17"/>
      <c r="EH868" s="17"/>
      <c r="EI868" s="16"/>
      <c r="EJ868" s="16"/>
      <c r="EK868" s="17"/>
      <c r="EL868" s="17"/>
      <c r="EM868" s="16"/>
      <c r="EN868" s="16"/>
      <c r="EO868" s="17"/>
      <c r="EP868" s="17"/>
      <c r="EQ868" s="16"/>
      <c r="ER868" s="16"/>
      <c r="ES868" s="17"/>
      <c r="ET868" s="17"/>
      <c r="EU868" s="16"/>
      <c r="EV868" s="16"/>
      <c r="EW868" s="17"/>
      <c r="EX868" s="17"/>
      <c r="EY868" s="16"/>
      <c r="EZ868" s="16"/>
      <c r="FA868" s="17"/>
      <c r="FB868" s="17"/>
      <c r="FC868" s="16"/>
      <c r="FD868" s="16"/>
      <c r="FE868" s="17"/>
      <c r="FF868" s="17"/>
      <c r="FG868" s="11"/>
      <c r="GT868" s="11"/>
      <c r="IG868" s="11"/>
      <c r="JT868" s="11"/>
      <c r="LG868" s="11"/>
      <c r="MT868" s="11"/>
      <c r="OG868" s="11"/>
      <c r="PT868" s="11"/>
    </row>
    <row r="869" spans="1:436" ht="15.75" x14ac:dyDescent="0.25">
      <c r="C869" s="20" t="s">
        <v>639</v>
      </c>
      <c r="D869" s="21" t="s">
        <v>84</v>
      </c>
      <c r="H869" s="11"/>
      <c r="AU869" s="11"/>
      <c r="CH869" s="11"/>
      <c r="CI869" s="16"/>
      <c r="CJ869" s="16"/>
      <c r="CK869" s="16"/>
      <c r="CL869" s="16"/>
      <c r="CM869" s="16"/>
      <c r="CN869" s="16"/>
      <c r="CO869" s="16"/>
      <c r="CP869" s="16"/>
      <c r="CQ869" s="16"/>
      <c r="CR869" s="16"/>
      <c r="CS869" s="16"/>
      <c r="CT869" s="16"/>
      <c r="CU869" s="16"/>
      <c r="CV869" s="16"/>
      <c r="CW869" s="16"/>
      <c r="CX869" s="16"/>
      <c r="CY869" s="16"/>
      <c r="CZ869" s="16"/>
      <c r="DA869" s="16"/>
      <c r="DB869" s="16"/>
      <c r="DC869" s="16"/>
      <c r="DD869" s="16"/>
      <c r="DE869" s="17"/>
      <c r="DF869" s="17"/>
      <c r="DG869" s="16"/>
      <c r="DH869" s="16"/>
      <c r="DI869" s="17"/>
      <c r="DJ869" s="17"/>
      <c r="DK869" s="16"/>
      <c r="DL869" s="16"/>
      <c r="DM869" s="17"/>
      <c r="DN869" s="17"/>
      <c r="DO869" s="16"/>
      <c r="DP869" s="16"/>
      <c r="DQ869" s="17"/>
      <c r="DR869" s="17"/>
      <c r="DS869" s="16"/>
      <c r="DT869" s="16"/>
      <c r="DU869" s="17"/>
      <c r="DV869" s="17"/>
      <c r="DW869" s="19">
        <v>8</v>
      </c>
      <c r="DX869" s="19">
        <v>15</v>
      </c>
      <c r="DY869" s="17"/>
      <c r="DZ869" s="17"/>
      <c r="EA869" s="16"/>
      <c r="EB869" s="16"/>
      <c r="EC869" s="17"/>
      <c r="ED869" s="17"/>
      <c r="EE869" s="16"/>
      <c r="EF869" s="16"/>
      <c r="EG869" s="17"/>
      <c r="EH869" s="17"/>
      <c r="EI869" s="16"/>
      <c r="EJ869" s="16"/>
      <c r="EK869" s="17"/>
      <c r="EL869" s="17"/>
      <c r="EM869" s="16"/>
      <c r="EN869" s="16"/>
      <c r="EO869" s="17"/>
      <c r="EP869" s="17"/>
      <c r="EQ869" s="16"/>
      <c r="ER869" s="16"/>
      <c r="ES869" s="17"/>
      <c r="ET869" s="17"/>
      <c r="EU869" s="16"/>
      <c r="EV869" s="16"/>
      <c r="EW869" s="17"/>
      <c r="EX869" s="17"/>
      <c r="EY869" s="16"/>
      <c r="EZ869" s="16"/>
      <c r="FA869" s="17"/>
      <c r="FB869" s="17"/>
      <c r="FC869" s="16"/>
      <c r="FD869" s="16"/>
      <c r="FE869" s="17"/>
      <c r="FF869" s="17"/>
      <c r="FG869" s="11"/>
      <c r="GT869" s="11"/>
      <c r="IG869" s="11"/>
      <c r="JT869" s="11"/>
      <c r="LG869" s="11"/>
      <c r="MT869" s="11"/>
      <c r="OG869" s="11"/>
      <c r="PT869" s="11"/>
    </row>
    <row r="870" spans="1:436" ht="15.75" x14ac:dyDescent="0.25">
      <c r="C870" s="20" t="s">
        <v>640</v>
      </c>
      <c r="D870" s="21" t="s">
        <v>84</v>
      </c>
      <c r="H870" s="11"/>
      <c r="AU870" s="11"/>
      <c r="CH870" s="11"/>
      <c r="CI870" s="16"/>
      <c r="CJ870" s="16"/>
      <c r="CK870" s="16"/>
      <c r="CL870" s="16"/>
      <c r="CM870" s="16"/>
      <c r="CN870" s="16"/>
      <c r="CO870" s="16"/>
      <c r="CP870" s="16"/>
      <c r="CQ870" s="16"/>
      <c r="CR870" s="16"/>
      <c r="CS870" s="16"/>
      <c r="CT870" s="16"/>
      <c r="CU870" s="16"/>
      <c r="CV870" s="16"/>
      <c r="CW870" s="16"/>
      <c r="CX870" s="16"/>
      <c r="CY870" s="16"/>
      <c r="CZ870" s="16"/>
      <c r="DA870" s="16"/>
      <c r="DB870" s="16"/>
      <c r="DC870" s="16"/>
      <c r="DD870" s="16"/>
      <c r="DE870" s="17"/>
      <c r="DF870" s="17"/>
      <c r="DG870" s="16"/>
      <c r="DH870" s="16"/>
      <c r="DI870" s="17"/>
      <c r="DJ870" s="17"/>
      <c r="DK870" s="16"/>
      <c r="DL870" s="16"/>
      <c r="DM870" s="17"/>
      <c r="DN870" s="17"/>
      <c r="DO870" s="16"/>
      <c r="DP870" s="16"/>
      <c r="DQ870" s="17"/>
      <c r="DR870" s="17"/>
      <c r="DS870" s="16"/>
      <c r="DT870" s="16"/>
      <c r="DU870" s="17"/>
      <c r="DV870" s="17"/>
      <c r="DW870" s="19">
        <v>8</v>
      </c>
      <c r="DX870" s="19">
        <v>5</v>
      </c>
      <c r="DY870" s="17"/>
      <c r="DZ870" s="17"/>
      <c r="EA870" s="16"/>
      <c r="EB870" s="16"/>
      <c r="EC870" s="17"/>
      <c r="ED870" s="17"/>
      <c r="EE870" s="16"/>
      <c r="EF870" s="16"/>
      <c r="EG870" s="17"/>
      <c r="EH870" s="17"/>
      <c r="EI870" s="16"/>
      <c r="EJ870" s="16"/>
      <c r="EK870" s="17"/>
      <c r="EL870" s="17"/>
      <c r="EM870" s="16"/>
      <c r="EN870" s="16"/>
      <c r="EO870" s="17"/>
      <c r="EP870" s="17"/>
      <c r="EQ870" s="16"/>
      <c r="ER870" s="16"/>
      <c r="ES870" s="17"/>
      <c r="ET870" s="17"/>
      <c r="EU870" s="16"/>
      <c r="EV870" s="16"/>
      <c r="EW870" s="17"/>
      <c r="EX870" s="17"/>
      <c r="EY870" s="16"/>
      <c r="EZ870" s="16"/>
      <c r="FA870" s="17"/>
      <c r="FB870" s="17"/>
      <c r="FC870" s="16"/>
      <c r="FD870" s="16"/>
      <c r="FE870" s="17"/>
      <c r="FF870" s="17"/>
      <c r="FG870" s="11"/>
      <c r="GT870" s="11"/>
      <c r="IG870" s="11"/>
      <c r="JT870" s="11"/>
      <c r="LG870" s="11"/>
      <c r="MT870" s="11"/>
      <c r="OG870" s="11"/>
      <c r="PT870" s="11"/>
    </row>
    <row r="871" spans="1:436" ht="15.75" x14ac:dyDescent="0.25">
      <c r="C871" s="20" t="s">
        <v>641</v>
      </c>
      <c r="D871" s="21" t="s">
        <v>84</v>
      </c>
      <c r="H871" s="11"/>
      <c r="AU871" s="11"/>
      <c r="CH871" s="11"/>
      <c r="CI871" s="16"/>
      <c r="CJ871" s="16"/>
      <c r="CK871" s="16"/>
      <c r="CL871" s="16"/>
      <c r="CM871" s="16"/>
      <c r="CN871" s="16"/>
      <c r="CO871" s="16"/>
      <c r="CP871" s="16"/>
      <c r="CQ871" s="16"/>
      <c r="CR871" s="16"/>
      <c r="CS871" s="16"/>
      <c r="CT871" s="16"/>
      <c r="CU871" s="16"/>
      <c r="CV871" s="16"/>
      <c r="CW871" s="16"/>
      <c r="CX871" s="16"/>
      <c r="CY871" s="16"/>
      <c r="CZ871" s="16"/>
      <c r="DA871" s="16"/>
      <c r="DB871" s="16"/>
      <c r="DC871" s="16"/>
      <c r="DD871" s="16"/>
      <c r="DE871" s="17"/>
      <c r="DF871" s="17"/>
      <c r="DG871" s="16"/>
      <c r="DH871" s="16"/>
      <c r="DI871" s="17"/>
      <c r="DJ871" s="17"/>
      <c r="DK871" s="16"/>
      <c r="DL871" s="16"/>
      <c r="DM871" s="17"/>
      <c r="DN871" s="17"/>
      <c r="DO871" s="16"/>
      <c r="DP871" s="16"/>
      <c r="DQ871" s="17"/>
      <c r="DR871" s="17"/>
      <c r="DS871" s="16"/>
      <c r="DT871" s="16"/>
      <c r="DU871" s="17"/>
      <c r="DV871" s="17"/>
      <c r="DW871" s="19">
        <v>5</v>
      </c>
      <c r="DX871" s="19">
        <v>7</v>
      </c>
      <c r="DY871" s="17"/>
      <c r="DZ871" s="17"/>
      <c r="EA871" s="16"/>
      <c r="EB871" s="16"/>
      <c r="EC871" s="17"/>
      <c r="ED871" s="17"/>
      <c r="EE871" s="16"/>
      <c r="EF871" s="16"/>
      <c r="EG871" s="17"/>
      <c r="EH871" s="17"/>
      <c r="EI871" s="16"/>
      <c r="EJ871" s="16"/>
      <c r="EK871" s="17"/>
      <c r="EL871" s="17"/>
      <c r="EM871" s="16"/>
      <c r="EN871" s="16"/>
      <c r="EO871" s="17"/>
      <c r="EP871" s="17"/>
      <c r="EQ871" s="16"/>
      <c r="ER871" s="16"/>
      <c r="ES871" s="17"/>
      <c r="ET871" s="17"/>
      <c r="EU871" s="16"/>
      <c r="EV871" s="16"/>
      <c r="EW871" s="17"/>
      <c r="EX871" s="17"/>
      <c r="EY871" s="16"/>
      <c r="EZ871" s="16"/>
      <c r="FA871" s="17"/>
      <c r="FB871" s="17"/>
      <c r="FC871" s="16"/>
      <c r="FD871" s="16"/>
      <c r="FE871" s="17"/>
      <c r="FF871" s="17"/>
      <c r="FG871" s="11"/>
      <c r="GT871" s="11"/>
      <c r="IG871" s="11"/>
      <c r="JT871" s="11"/>
      <c r="LG871" s="11"/>
      <c r="MT871" s="11"/>
      <c r="OG871" s="11"/>
      <c r="PT871" s="11"/>
    </row>
    <row r="872" spans="1:436" ht="15.75" x14ac:dyDescent="0.25">
      <c r="C872" s="20" t="s">
        <v>642</v>
      </c>
      <c r="D872" s="21" t="s">
        <v>82</v>
      </c>
      <c r="H872" s="11"/>
      <c r="AU872" s="11"/>
      <c r="CH872" s="11"/>
      <c r="CI872" s="16"/>
      <c r="CJ872" s="16"/>
      <c r="CK872" s="16"/>
      <c r="CL872" s="16"/>
      <c r="CM872" s="16"/>
      <c r="CN872" s="16"/>
      <c r="CO872" s="16"/>
      <c r="CP872" s="16"/>
      <c r="CQ872" s="16"/>
      <c r="CR872" s="16"/>
      <c r="CS872" s="16"/>
      <c r="CT872" s="16"/>
      <c r="CU872" s="16"/>
      <c r="CV872" s="16"/>
      <c r="CW872" s="16"/>
      <c r="CX872" s="16"/>
      <c r="CY872" s="16"/>
      <c r="CZ872" s="16"/>
      <c r="DA872" s="16"/>
      <c r="DB872" s="16"/>
      <c r="DC872" s="16"/>
      <c r="DD872" s="16"/>
      <c r="DE872" s="17"/>
      <c r="DF872" s="17"/>
      <c r="DG872" s="16"/>
      <c r="DH872" s="16"/>
      <c r="DI872" s="17"/>
      <c r="DJ872" s="17"/>
      <c r="DK872" s="16"/>
      <c r="DL872" s="16"/>
      <c r="DM872" s="17"/>
      <c r="DN872" s="17"/>
      <c r="DO872" s="16"/>
      <c r="DP872" s="16"/>
      <c r="DQ872" s="17"/>
      <c r="DR872" s="17"/>
      <c r="DS872" s="16"/>
      <c r="DT872" s="16"/>
      <c r="DU872" s="17"/>
      <c r="DV872" s="17"/>
      <c r="DW872" s="16"/>
      <c r="DX872" s="16"/>
      <c r="DY872" s="17"/>
      <c r="DZ872" s="17"/>
      <c r="EA872" s="16"/>
      <c r="EB872" s="16"/>
      <c r="EC872" s="17"/>
      <c r="ED872" s="17"/>
      <c r="EE872" s="16"/>
      <c r="EF872" s="16"/>
      <c r="EG872" s="17"/>
      <c r="EH872" s="17"/>
      <c r="EI872" s="16"/>
      <c r="EJ872" s="16"/>
      <c r="EK872" s="17"/>
      <c r="EL872" s="17"/>
      <c r="EM872" s="16"/>
      <c r="EN872" s="16"/>
      <c r="EO872" s="17"/>
      <c r="EP872" s="17"/>
      <c r="EQ872" s="16"/>
      <c r="ER872" s="16"/>
      <c r="ES872" s="17"/>
      <c r="ET872" s="17"/>
      <c r="EU872" s="16"/>
      <c r="EV872" s="16"/>
      <c r="EW872" s="17"/>
      <c r="EX872" s="17"/>
      <c r="EY872" s="16"/>
      <c r="EZ872" s="16"/>
      <c r="FA872" s="17"/>
      <c r="FB872" s="17"/>
      <c r="FC872" s="16"/>
      <c r="FD872" s="16"/>
      <c r="FE872" s="17"/>
      <c r="FF872" s="17"/>
      <c r="FG872" s="11"/>
      <c r="GT872" s="11"/>
      <c r="IG872" s="11"/>
      <c r="JT872" s="11"/>
      <c r="LG872" s="11"/>
      <c r="MT872" s="11"/>
      <c r="OG872" s="11"/>
      <c r="PT872" s="11"/>
    </row>
    <row r="873" spans="1:436" ht="15.75" x14ac:dyDescent="0.25">
      <c r="C873" s="20" t="s">
        <v>643</v>
      </c>
      <c r="D873" s="21" t="s">
        <v>203</v>
      </c>
      <c r="H873" s="11"/>
      <c r="AU873" s="11"/>
      <c r="CH873" s="11"/>
      <c r="CI873" s="16"/>
      <c r="CJ873" s="16"/>
      <c r="CK873" s="16"/>
      <c r="CL873" s="16"/>
      <c r="CM873" s="16"/>
      <c r="CN873" s="16"/>
      <c r="CO873" s="16"/>
      <c r="CP873" s="16"/>
      <c r="CQ873" s="16"/>
      <c r="CR873" s="16"/>
      <c r="CS873" s="16"/>
      <c r="CT873" s="16"/>
      <c r="CU873" s="16"/>
      <c r="CV873" s="16"/>
      <c r="CW873" s="16"/>
      <c r="CX873" s="16"/>
      <c r="CY873" s="16"/>
      <c r="CZ873" s="16"/>
      <c r="DA873" s="16"/>
      <c r="DB873" s="16"/>
      <c r="DC873" s="16"/>
      <c r="DD873" s="16"/>
      <c r="DE873" s="17"/>
      <c r="DF873" s="17"/>
      <c r="DG873" s="16"/>
      <c r="DH873" s="16"/>
      <c r="DI873" s="17"/>
      <c r="DJ873" s="17"/>
      <c r="DK873" s="16"/>
      <c r="DL873" s="16"/>
      <c r="DM873" s="17"/>
      <c r="DN873" s="17"/>
      <c r="DO873" s="16"/>
      <c r="DP873" s="16"/>
      <c r="DQ873" s="17"/>
      <c r="DR873" s="17"/>
      <c r="DS873" s="16"/>
      <c r="DT873" s="16"/>
      <c r="DU873" s="17"/>
      <c r="DV873" s="17"/>
      <c r="DW873" s="16"/>
      <c r="DX873" s="16"/>
      <c r="DY873" s="17"/>
      <c r="DZ873" s="17"/>
      <c r="EA873" s="16"/>
      <c r="EB873" s="16"/>
      <c r="EC873" s="17"/>
      <c r="ED873" s="17"/>
      <c r="EE873" s="16"/>
      <c r="EF873" s="16"/>
      <c r="EG873" s="17"/>
      <c r="EH873" s="17"/>
      <c r="EI873" s="16"/>
      <c r="EJ873" s="16"/>
      <c r="EK873" s="17"/>
      <c r="EL873" s="17"/>
      <c r="EM873" s="16"/>
      <c r="EN873" s="16"/>
      <c r="EO873" s="17"/>
      <c r="EP873" s="17"/>
      <c r="EQ873" s="16"/>
      <c r="ER873" s="16"/>
      <c r="ES873" s="17"/>
      <c r="ET873" s="17"/>
      <c r="EU873" s="16"/>
      <c r="EV873" s="16"/>
      <c r="EW873" s="17"/>
      <c r="EX873" s="17"/>
      <c r="EY873" s="16"/>
      <c r="EZ873" s="16"/>
      <c r="FA873" s="17"/>
      <c r="FB873" s="17"/>
      <c r="FC873" s="16"/>
      <c r="FD873" s="16"/>
      <c r="FE873" s="17"/>
      <c r="FF873" s="17"/>
      <c r="FG873" s="11"/>
      <c r="GT873" s="11"/>
      <c r="IG873" s="11"/>
      <c r="JT873" s="11"/>
      <c r="LG873" s="11"/>
      <c r="MT873" s="11"/>
      <c r="OG873" s="11"/>
      <c r="PT873" s="11"/>
    </row>
    <row r="874" spans="1:436" ht="15.75" x14ac:dyDescent="0.25">
      <c r="C874" s="20" t="s">
        <v>644</v>
      </c>
      <c r="D874" s="21" t="s">
        <v>90</v>
      </c>
      <c r="H874" s="11"/>
      <c r="AU874" s="11"/>
      <c r="CH874" s="11"/>
      <c r="CI874" s="16"/>
      <c r="CJ874" s="16"/>
      <c r="CK874" s="16"/>
      <c r="CL874" s="16"/>
      <c r="CM874" s="16"/>
      <c r="CN874" s="16"/>
      <c r="CO874" s="16"/>
      <c r="CP874" s="16"/>
      <c r="CQ874" s="16"/>
      <c r="CR874" s="16"/>
      <c r="CS874" s="16"/>
      <c r="CT874" s="16"/>
      <c r="CU874" s="16"/>
      <c r="CV874" s="16"/>
      <c r="CW874" s="16"/>
      <c r="CX874" s="16"/>
      <c r="CY874" s="16"/>
      <c r="CZ874" s="16"/>
      <c r="DA874" s="16"/>
      <c r="DB874" s="16"/>
      <c r="DC874" s="16"/>
      <c r="DD874" s="16"/>
      <c r="DE874" s="17"/>
      <c r="DF874" s="17"/>
      <c r="DG874" s="16"/>
      <c r="DH874" s="16"/>
      <c r="DI874" s="17"/>
      <c r="DJ874" s="17"/>
      <c r="DK874" s="16"/>
      <c r="DL874" s="16"/>
      <c r="DM874" s="17"/>
      <c r="DN874" s="17"/>
      <c r="DO874" s="16"/>
      <c r="DP874" s="16"/>
      <c r="DQ874" s="17"/>
      <c r="DR874" s="17"/>
      <c r="DS874" s="16"/>
      <c r="DT874" s="16"/>
      <c r="DU874" s="17"/>
      <c r="DV874" s="17"/>
      <c r="DW874" s="16"/>
      <c r="DX874" s="16"/>
      <c r="DY874" s="17"/>
      <c r="DZ874" s="17"/>
      <c r="EA874" s="16"/>
      <c r="EB874" s="16"/>
      <c r="EC874" s="17"/>
      <c r="ED874" s="17"/>
      <c r="EE874" s="16"/>
      <c r="EF874" s="16"/>
      <c r="EG874" s="17"/>
      <c r="EH874" s="17"/>
      <c r="EI874" s="16"/>
      <c r="EJ874" s="16"/>
      <c r="EK874" s="17"/>
      <c r="EL874" s="17"/>
      <c r="EM874" s="16"/>
      <c r="EN874" s="16"/>
      <c r="EO874" s="17"/>
      <c r="EP874" s="17"/>
      <c r="EQ874" s="16"/>
      <c r="ER874" s="16"/>
      <c r="ES874" s="17"/>
      <c r="ET874" s="17"/>
      <c r="EU874" s="16"/>
      <c r="EV874" s="16"/>
      <c r="EW874" s="17"/>
      <c r="EX874" s="17"/>
      <c r="EY874" s="16"/>
      <c r="EZ874" s="16"/>
      <c r="FA874" s="17"/>
      <c r="FB874" s="17"/>
      <c r="FC874" s="16"/>
      <c r="FD874" s="16"/>
      <c r="FE874" s="17"/>
      <c r="FF874" s="17"/>
      <c r="FG874" s="11"/>
      <c r="GT874" s="11"/>
      <c r="IG874" s="11"/>
      <c r="JT874" s="11"/>
      <c r="LG874" s="11"/>
      <c r="MT874" s="11"/>
      <c r="OG874" s="11"/>
      <c r="PT874" s="11"/>
    </row>
    <row r="875" spans="1:436" ht="15.75" x14ac:dyDescent="0.25">
      <c r="C875" s="20" t="s">
        <v>645</v>
      </c>
      <c r="D875" s="21" t="s">
        <v>104</v>
      </c>
      <c r="H875" s="11"/>
      <c r="AU875" s="11"/>
      <c r="CH875" s="11"/>
      <c r="CI875" s="16"/>
      <c r="CJ875" s="16"/>
      <c r="CK875" s="16"/>
      <c r="CL875" s="16"/>
      <c r="CM875" s="16"/>
      <c r="CN875" s="16"/>
      <c r="CO875" s="16"/>
      <c r="CP875" s="16"/>
      <c r="CQ875" s="16"/>
      <c r="CR875" s="16"/>
      <c r="CS875" s="16"/>
      <c r="CT875" s="16"/>
      <c r="CU875" s="16"/>
      <c r="CV875" s="16"/>
      <c r="CW875" s="16"/>
      <c r="CX875" s="16"/>
      <c r="CY875" s="16"/>
      <c r="CZ875" s="16"/>
      <c r="DA875" s="16"/>
      <c r="DB875" s="16"/>
      <c r="DC875" s="16"/>
      <c r="DD875" s="16"/>
      <c r="DE875" s="17"/>
      <c r="DF875" s="17"/>
      <c r="DG875" s="16"/>
      <c r="DH875" s="16"/>
      <c r="DI875" s="17"/>
      <c r="DJ875" s="17"/>
      <c r="DK875" s="16"/>
      <c r="DL875" s="16"/>
      <c r="DM875" s="17"/>
      <c r="DN875" s="17"/>
      <c r="DO875" s="16"/>
      <c r="DP875" s="16"/>
      <c r="DQ875" s="17"/>
      <c r="DR875" s="17"/>
      <c r="DS875" s="16"/>
      <c r="DT875" s="16"/>
      <c r="DU875" s="17"/>
      <c r="DV875" s="17"/>
      <c r="DW875" s="16"/>
      <c r="DX875" s="16"/>
      <c r="DY875" s="17"/>
      <c r="DZ875" s="17"/>
      <c r="EA875" s="16"/>
      <c r="EB875" s="16"/>
      <c r="EC875" s="17"/>
      <c r="ED875" s="17"/>
      <c r="EE875" s="16"/>
      <c r="EF875" s="16"/>
      <c r="EG875" s="17"/>
      <c r="EH875" s="17"/>
      <c r="EI875" s="16"/>
      <c r="EJ875" s="16"/>
      <c r="EK875" s="17"/>
      <c r="EL875" s="17"/>
      <c r="EM875" s="16"/>
      <c r="EN875" s="16"/>
      <c r="EO875" s="17"/>
      <c r="EP875" s="17"/>
      <c r="EQ875" s="16"/>
      <c r="ER875" s="16"/>
      <c r="ES875" s="17"/>
      <c r="ET875" s="17"/>
      <c r="EU875" s="16"/>
      <c r="EV875" s="16"/>
      <c r="EW875" s="17"/>
      <c r="EX875" s="17"/>
      <c r="EY875" s="16"/>
      <c r="EZ875" s="16"/>
      <c r="FA875" s="17"/>
      <c r="FB875" s="17"/>
      <c r="FC875" s="19">
        <v>7</v>
      </c>
      <c r="FD875" s="19">
        <v>7</v>
      </c>
      <c r="FE875" s="17"/>
      <c r="FF875" s="17"/>
      <c r="FG875" s="11"/>
      <c r="GT875" s="11"/>
      <c r="IG875" s="11"/>
      <c r="JT875" s="11"/>
      <c r="LG875" s="11"/>
      <c r="MT875" s="11"/>
      <c r="OG875" s="11"/>
      <c r="PT875" s="11"/>
    </row>
    <row r="876" spans="1:436" ht="15.75" x14ac:dyDescent="0.25">
      <c r="C876" s="20" t="s">
        <v>636</v>
      </c>
      <c r="D876" s="21" t="s">
        <v>79</v>
      </c>
      <c r="H876" s="11"/>
      <c r="AU876" s="11"/>
      <c r="CH876" s="11"/>
      <c r="CI876" s="16"/>
      <c r="CJ876" s="16"/>
      <c r="CK876" s="16"/>
      <c r="CL876" s="16"/>
      <c r="CM876" s="16"/>
      <c r="CN876" s="16"/>
      <c r="CO876" s="16"/>
      <c r="CP876" s="16"/>
      <c r="CQ876" s="16"/>
      <c r="CR876" s="16"/>
      <c r="CS876" s="16"/>
      <c r="CT876" s="16"/>
      <c r="CU876" s="16"/>
      <c r="CV876" s="16"/>
      <c r="CW876" s="16"/>
      <c r="CX876" s="16"/>
      <c r="CY876" s="16"/>
      <c r="CZ876" s="16"/>
      <c r="DA876" s="16"/>
      <c r="DB876" s="16"/>
      <c r="DC876" s="16"/>
      <c r="DD876" s="16"/>
      <c r="DE876" s="17"/>
      <c r="DF876" s="17"/>
      <c r="DG876" s="16"/>
      <c r="DH876" s="16"/>
      <c r="DI876" s="17"/>
      <c r="DJ876" s="17"/>
      <c r="DK876" s="16"/>
      <c r="DL876" s="16"/>
      <c r="DM876" s="17"/>
      <c r="DN876" s="17"/>
      <c r="DO876" s="16"/>
      <c r="DP876" s="16"/>
      <c r="DQ876" s="17"/>
      <c r="DR876" s="17"/>
      <c r="DS876" s="16"/>
      <c r="DT876" s="16"/>
      <c r="DU876" s="17"/>
      <c r="DV876" s="17"/>
      <c r="DW876" s="16"/>
      <c r="DX876" s="16"/>
      <c r="DY876" s="17"/>
      <c r="DZ876" s="17"/>
      <c r="EA876" s="16"/>
      <c r="EB876" s="16"/>
      <c r="EC876" s="17"/>
      <c r="ED876" s="17"/>
      <c r="EE876" s="16"/>
      <c r="EF876" s="16"/>
      <c r="EG876" s="17"/>
      <c r="EH876" s="17"/>
      <c r="EI876" s="16"/>
      <c r="EJ876" s="16"/>
      <c r="EK876" s="17"/>
      <c r="EL876" s="17"/>
      <c r="EM876" s="16"/>
      <c r="EN876" s="16"/>
      <c r="EO876" s="17"/>
      <c r="EP876" s="17"/>
      <c r="EQ876" s="16"/>
      <c r="ER876" s="16"/>
      <c r="ES876" s="17"/>
      <c r="ET876" s="17"/>
      <c r="EU876" s="16"/>
      <c r="EV876" s="16"/>
      <c r="EW876" s="17"/>
      <c r="EX876" s="17"/>
      <c r="EY876" s="16"/>
      <c r="EZ876" s="16"/>
      <c r="FA876" s="17"/>
      <c r="FB876" s="17"/>
      <c r="FC876" s="16"/>
      <c r="FD876" s="16"/>
      <c r="FE876" s="17"/>
      <c r="FF876" s="17"/>
      <c r="FG876" s="11"/>
      <c r="GT876" s="11"/>
      <c r="IG876" s="11"/>
      <c r="JT876" s="11"/>
      <c r="LG876" s="11"/>
      <c r="MT876" s="11"/>
      <c r="OG876" s="11"/>
      <c r="PT876" s="11"/>
    </row>
    <row r="877" spans="1:436" ht="15.75" x14ac:dyDescent="0.25">
      <c r="C877" s="20" t="s">
        <v>639</v>
      </c>
      <c r="D877" s="21" t="s">
        <v>84</v>
      </c>
      <c r="H877" s="11"/>
      <c r="AU877" s="11"/>
      <c r="CH877" s="11"/>
      <c r="CI877" s="16"/>
      <c r="CJ877" s="16"/>
      <c r="CK877" s="16"/>
      <c r="CL877" s="16"/>
      <c r="CM877" s="16"/>
      <c r="CN877" s="16"/>
      <c r="CO877" s="16"/>
      <c r="CP877" s="16"/>
      <c r="CQ877" s="16"/>
      <c r="CR877" s="16"/>
      <c r="CS877" s="16"/>
      <c r="CT877" s="16"/>
      <c r="CU877" s="16"/>
      <c r="CV877" s="16"/>
      <c r="CW877" s="16"/>
      <c r="CX877" s="16"/>
      <c r="CY877" s="16"/>
      <c r="CZ877" s="16"/>
      <c r="DA877" s="16"/>
      <c r="DB877" s="16"/>
      <c r="DC877" s="16"/>
      <c r="DD877" s="16"/>
      <c r="DE877" s="17"/>
      <c r="DF877" s="17"/>
      <c r="DG877" s="16"/>
      <c r="DH877" s="16"/>
      <c r="DI877" s="17"/>
      <c r="DJ877" s="17"/>
      <c r="DK877" s="16"/>
      <c r="DL877" s="16"/>
      <c r="DM877" s="17"/>
      <c r="DN877" s="17"/>
      <c r="DO877" s="16"/>
      <c r="DP877" s="16"/>
      <c r="DQ877" s="17"/>
      <c r="DR877" s="17"/>
      <c r="DS877" s="16"/>
      <c r="DT877" s="16"/>
      <c r="DU877" s="17"/>
      <c r="DV877" s="17"/>
      <c r="DW877" s="16"/>
      <c r="DX877" s="16"/>
      <c r="DY877" s="17"/>
      <c r="DZ877" s="17"/>
      <c r="EA877" s="16"/>
      <c r="EB877" s="16"/>
      <c r="EC877" s="17"/>
      <c r="ED877" s="17"/>
      <c r="EE877" s="16"/>
      <c r="EF877" s="16"/>
      <c r="EG877" s="17"/>
      <c r="EH877" s="17"/>
      <c r="EI877" s="16"/>
      <c r="EJ877" s="16"/>
      <c r="EK877" s="17"/>
      <c r="EL877" s="17"/>
      <c r="EM877" s="16"/>
      <c r="EN877" s="16"/>
      <c r="EO877" s="17"/>
      <c r="EP877" s="17"/>
      <c r="EQ877" s="16"/>
      <c r="ER877" s="16"/>
      <c r="ES877" s="17"/>
      <c r="ET877" s="17"/>
      <c r="EU877" s="16"/>
      <c r="EV877" s="16"/>
      <c r="EW877" s="17"/>
      <c r="EX877" s="17"/>
      <c r="EY877" s="16"/>
      <c r="EZ877" s="16"/>
      <c r="FA877" s="17"/>
      <c r="FB877" s="17"/>
      <c r="FC877" s="16"/>
      <c r="FD877" s="16"/>
      <c r="FE877" s="17"/>
      <c r="FF877" s="17"/>
      <c r="FG877" s="11"/>
      <c r="GT877" s="11"/>
      <c r="IG877" s="11"/>
      <c r="JT877" s="11"/>
      <c r="LG877" s="11"/>
      <c r="MT877" s="11"/>
      <c r="OG877" s="11"/>
      <c r="PT877" s="11"/>
    </row>
    <row r="878" spans="1:436" ht="15.75" x14ac:dyDescent="0.25">
      <c r="C878" s="20" t="s">
        <v>646</v>
      </c>
      <c r="D878" s="21" t="s">
        <v>82</v>
      </c>
      <c r="H878" s="11"/>
      <c r="AU878" s="11"/>
      <c r="CH878" s="11"/>
      <c r="CI878" s="16"/>
      <c r="CJ878" s="16"/>
      <c r="CK878" s="16"/>
      <c r="CL878" s="16"/>
      <c r="CM878" s="16"/>
      <c r="CN878" s="16"/>
      <c r="CO878" s="16"/>
      <c r="CP878" s="16"/>
      <c r="CQ878" s="16"/>
      <c r="CR878" s="16"/>
      <c r="CS878" s="16"/>
      <c r="CT878" s="16"/>
      <c r="CU878" s="16"/>
      <c r="CV878" s="16"/>
      <c r="CW878" s="16"/>
      <c r="CX878" s="16"/>
      <c r="CY878" s="16"/>
      <c r="CZ878" s="16"/>
      <c r="DA878" s="16"/>
      <c r="DB878" s="16"/>
      <c r="DC878" s="16"/>
      <c r="DD878" s="16"/>
      <c r="DE878" s="17"/>
      <c r="DF878" s="17"/>
      <c r="DG878" s="16"/>
      <c r="DH878" s="16"/>
      <c r="DI878" s="17"/>
      <c r="DJ878" s="17"/>
      <c r="DK878" s="16"/>
      <c r="DL878" s="16"/>
      <c r="DM878" s="17"/>
      <c r="DN878" s="17"/>
      <c r="DO878" s="16"/>
      <c r="DP878" s="16"/>
      <c r="DQ878" s="17"/>
      <c r="DR878" s="17"/>
      <c r="DS878" s="16"/>
      <c r="DT878" s="16"/>
      <c r="DU878" s="17"/>
      <c r="DV878" s="17"/>
      <c r="DW878" s="16"/>
      <c r="DX878" s="16"/>
      <c r="DY878" s="17"/>
      <c r="DZ878" s="17"/>
      <c r="EA878" s="16"/>
      <c r="EB878" s="16"/>
      <c r="EC878" s="17"/>
      <c r="ED878" s="17"/>
      <c r="EE878" s="16"/>
      <c r="EF878" s="16"/>
      <c r="EG878" s="17"/>
      <c r="EH878" s="17"/>
      <c r="EI878" s="16"/>
      <c r="EJ878" s="16"/>
      <c r="EK878" s="17"/>
      <c r="EL878" s="17"/>
      <c r="EM878" s="16"/>
      <c r="EN878" s="16"/>
      <c r="EO878" s="17"/>
      <c r="EP878" s="17"/>
      <c r="EQ878" s="16"/>
      <c r="ER878" s="16"/>
      <c r="ES878" s="18">
        <v>2</v>
      </c>
      <c r="ET878" s="18">
        <v>3</v>
      </c>
      <c r="EU878" s="16"/>
      <c r="EV878" s="16"/>
      <c r="EW878" s="17"/>
      <c r="EX878" s="17"/>
      <c r="EY878" s="16"/>
      <c r="EZ878" s="16"/>
      <c r="FA878" s="17"/>
      <c r="FB878" s="17"/>
      <c r="FC878" s="16"/>
      <c r="FD878" s="16"/>
      <c r="FE878" s="17"/>
      <c r="FF878" s="17"/>
      <c r="FG878" s="11"/>
      <c r="GT878" s="11"/>
      <c r="IG878" s="11"/>
      <c r="JT878" s="11"/>
      <c r="LG878" s="11"/>
      <c r="MT878" s="11"/>
      <c r="OG878" s="11"/>
      <c r="PT878" s="11"/>
    </row>
    <row r="879" spans="1:436" ht="15.75" x14ac:dyDescent="0.25">
      <c r="C879" s="20" t="s">
        <v>647</v>
      </c>
      <c r="D879" s="21" t="s">
        <v>82</v>
      </c>
      <c r="H879" s="11"/>
      <c r="AU879" s="11"/>
      <c r="CH879" s="11"/>
      <c r="CI879" s="16"/>
      <c r="CJ879" s="16"/>
      <c r="CK879" s="16"/>
      <c r="CL879" s="16"/>
      <c r="CM879" s="16"/>
      <c r="CN879" s="16"/>
      <c r="CO879" s="16"/>
      <c r="CP879" s="16"/>
      <c r="CQ879" s="16"/>
      <c r="CR879" s="16"/>
      <c r="CS879" s="16"/>
      <c r="CT879" s="16"/>
      <c r="CU879" s="16"/>
      <c r="CV879" s="16"/>
      <c r="CW879" s="16"/>
      <c r="CX879" s="16"/>
      <c r="CY879" s="16"/>
      <c r="CZ879" s="16"/>
      <c r="DA879" s="16"/>
      <c r="DB879" s="16"/>
      <c r="DC879" s="16"/>
      <c r="DD879" s="16"/>
      <c r="DE879" s="17"/>
      <c r="DF879" s="17"/>
      <c r="DG879" s="16"/>
      <c r="DH879" s="16"/>
      <c r="DI879" s="17"/>
      <c r="DJ879" s="17"/>
      <c r="DK879" s="16"/>
      <c r="DL879" s="16"/>
      <c r="DM879" s="17"/>
      <c r="DN879" s="17"/>
      <c r="DO879" s="16"/>
      <c r="DP879" s="16"/>
      <c r="DQ879" s="17"/>
      <c r="DR879" s="17"/>
      <c r="DS879" s="16"/>
      <c r="DT879" s="16"/>
      <c r="DU879" s="17"/>
      <c r="DV879" s="17"/>
      <c r="DW879" s="16"/>
      <c r="DX879" s="16"/>
      <c r="DY879" s="17"/>
      <c r="DZ879" s="17"/>
      <c r="EA879" s="16"/>
      <c r="EB879" s="16"/>
      <c r="EC879" s="17"/>
      <c r="ED879" s="17"/>
      <c r="EE879" s="16"/>
      <c r="EF879" s="16"/>
      <c r="EG879" s="17"/>
      <c r="EH879" s="17"/>
      <c r="EI879" s="16"/>
      <c r="EJ879" s="16"/>
      <c r="EK879" s="17"/>
      <c r="EL879" s="17"/>
      <c r="EM879" s="16"/>
      <c r="EN879" s="16"/>
      <c r="EO879" s="17"/>
      <c r="EP879" s="17"/>
      <c r="EQ879" s="16"/>
      <c r="ER879" s="16"/>
      <c r="ES879" s="18">
        <v>10</v>
      </c>
      <c r="ET879" s="18">
        <v>12</v>
      </c>
      <c r="EU879" s="16"/>
      <c r="EV879" s="16"/>
      <c r="EW879" s="17"/>
      <c r="EX879" s="17"/>
      <c r="EY879" s="16"/>
      <c r="EZ879" s="16"/>
      <c r="FA879" s="17"/>
      <c r="FB879" s="17"/>
      <c r="FC879" s="16"/>
      <c r="FD879" s="16"/>
      <c r="FE879" s="17"/>
      <c r="FF879" s="17"/>
      <c r="FG879" s="11"/>
      <c r="GT879" s="11"/>
      <c r="IG879" s="11"/>
      <c r="JT879" s="11"/>
      <c r="LG879" s="11"/>
      <c r="MT879" s="11"/>
      <c r="OG879" s="11"/>
      <c r="PT879" s="11"/>
    </row>
    <row r="880" spans="1:436" ht="15.75" x14ac:dyDescent="0.25">
      <c r="C880" s="20" t="s">
        <v>643</v>
      </c>
      <c r="D880" s="21" t="s">
        <v>203</v>
      </c>
      <c r="H880" s="11"/>
      <c r="AU880" s="11"/>
      <c r="CH880" s="11"/>
      <c r="CI880" s="16"/>
      <c r="CJ880" s="16"/>
      <c r="CK880" s="16"/>
      <c r="CL880" s="16"/>
      <c r="CM880" s="16"/>
      <c r="CN880" s="16"/>
      <c r="CO880" s="16"/>
      <c r="CP880" s="16"/>
      <c r="CQ880" s="16"/>
      <c r="CR880" s="16"/>
      <c r="CS880" s="16"/>
      <c r="CT880" s="16"/>
      <c r="CU880" s="16"/>
      <c r="CV880" s="16"/>
      <c r="CW880" s="16"/>
      <c r="CX880" s="16"/>
      <c r="CY880" s="16"/>
      <c r="CZ880" s="16"/>
      <c r="DA880" s="16"/>
      <c r="DB880" s="16"/>
      <c r="DC880" s="16"/>
      <c r="DD880" s="16"/>
      <c r="DE880" s="17"/>
      <c r="DF880" s="17"/>
      <c r="DG880" s="16"/>
      <c r="DH880" s="16"/>
      <c r="DI880" s="17"/>
      <c r="DJ880" s="17"/>
      <c r="DK880" s="16"/>
      <c r="DL880" s="16"/>
      <c r="DM880" s="17"/>
      <c r="DN880" s="17"/>
      <c r="DO880" s="16"/>
      <c r="DP880" s="16"/>
      <c r="DQ880" s="17"/>
      <c r="DR880" s="17"/>
      <c r="DS880" s="16"/>
      <c r="DT880" s="16"/>
      <c r="DU880" s="17"/>
      <c r="DV880" s="17"/>
      <c r="DW880" s="16"/>
      <c r="DX880" s="16"/>
      <c r="DY880" s="17"/>
      <c r="DZ880" s="17"/>
      <c r="EA880" s="16"/>
      <c r="EB880" s="16"/>
      <c r="EC880" s="17"/>
      <c r="ED880" s="17"/>
      <c r="EE880" s="16"/>
      <c r="EF880" s="16"/>
      <c r="EG880" s="18">
        <v>3</v>
      </c>
      <c r="EH880" s="18">
        <v>5</v>
      </c>
      <c r="EI880" s="16"/>
      <c r="EJ880" s="16"/>
      <c r="EK880" s="17"/>
      <c r="EL880" s="17"/>
      <c r="EM880" s="16"/>
      <c r="EN880" s="16"/>
      <c r="EO880" s="17"/>
      <c r="EP880" s="17"/>
      <c r="EQ880" s="16"/>
      <c r="ER880" s="16"/>
      <c r="ES880" s="17"/>
      <c r="ET880" s="17"/>
      <c r="EU880" s="16"/>
      <c r="EV880" s="16"/>
      <c r="EW880" s="17"/>
      <c r="EX880" s="17"/>
      <c r="EY880" s="16"/>
      <c r="EZ880" s="16"/>
      <c r="FA880" s="17"/>
      <c r="FB880" s="17"/>
      <c r="FC880" s="16"/>
      <c r="FD880" s="16"/>
      <c r="FE880" s="17"/>
      <c r="FF880" s="17"/>
      <c r="FG880" s="11"/>
      <c r="GT880" s="11"/>
      <c r="IG880" s="11"/>
      <c r="JT880" s="11"/>
      <c r="LG880" s="11"/>
      <c r="MT880" s="11"/>
      <c r="OG880" s="11"/>
      <c r="PT880" s="11"/>
    </row>
    <row r="881" spans="1:436" ht="15.75" x14ac:dyDescent="0.25">
      <c r="C881" s="20" t="s">
        <v>644</v>
      </c>
      <c r="D881" s="21" t="s">
        <v>90</v>
      </c>
      <c r="H881" s="11"/>
      <c r="AU881" s="11"/>
      <c r="CH881" s="11"/>
      <c r="CI881" s="16"/>
      <c r="CJ881" s="16"/>
      <c r="CK881" s="16"/>
      <c r="CL881" s="16"/>
      <c r="CM881" s="16"/>
      <c r="CN881" s="16"/>
      <c r="CO881" s="16"/>
      <c r="CP881" s="16"/>
      <c r="CQ881" s="16"/>
      <c r="CR881" s="16"/>
      <c r="CS881" s="16"/>
      <c r="CT881" s="16"/>
      <c r="CU881" s="16"/>
      <c r="CV881" s="16"/>
      <c r="CW881" s="16"/>
      <c r="CX881" s="16"/>
      <c r="CY881" s="16"/>
      <c r="CZ881" s="16"/>
      <c r="DA881" s="16"/>
      <c r="DB881" s="16"/>
      <c r="DC881" s="16"/>
      <c r="DD881" s="16"/>
      <c r="DE881" s="17"/>
      <c r="DF881" s="17"/>
      <c r="DG881" s="16"/>
      <c r="DH881" s="16"/>
      <c r="DI881" s="17"/>
      <c r="DJ881" s="17"/>
      <c r="DK881" s="16"/>
      <c r="DL881" s="16"/>
      <c r="DM881" s="17"/>
      <c r="DN881" s="17"/>
      <c r="DO881" s="16"/>
      <c r="DP881" s="16"/>
      <c r="DQ881" s="17"/>
      <c r="DR881" s="17"/>
      <c r="DS881" s="16"/>
      <c r="DT881" s="16"/>
      <c r="DU881" s="17"/>
      <c r="DV881" s="17"/>
      <c r="DW881" s="16"/>
      <c r="DX881" s="16"/>
      <c r="DY881" s="17"/>
      <c r="DZ881" s="17"/>
      <c r="EA881" s="16"/>
      <c r="EB881" s="16"/>
      <c r="EC881" s="17"/>
      <c r="ED881" s="17"/>
      <c r="EE881" s="16"/>
      <c r="EF881" s="16"/>
      <c r="EG881" s="17"/>
      <c r="EH881" s="17"/>
      <c r="EI881" s="16"/>
      <c r="EJ881" s="16"/>
      <c r="EK881" s="17"/>
      <c r="EL881" s="17"/>
      <c r="EM881" s="16"/>
      <c r="EN881" s="16"/>
      <c r="EO881" s="17"/>
      <c r="EP881" s="17"/>
      <c r="EQ881" s="16"/>
      <c r="ER881" s="16"/>
      <c r="ES881" s="17"/>
      <c r="ET881" s="17"/>
      <c r="EU881" s="16"/>
      <c r="EV881" s="16"/>
      <c r="EW881" s="17"/>
      <c r="EX881" s="17"/>
      <c r="EY881" s="16"/>
      <c r="EZ881" s="16"/>
      <c r="FA881" s="17"/>
      <c r="FB881" s="17"/>
      <c r="FC881" s="16"/>
      <c r="FD881" s="16"/>
      <c r="FE881" s="17"/>
      <c r="FF881" s="17"/>
      <c r="FG881" s="11"/>
      <c r="GT881" s="11"/>
      <c r="IG881" s="11"/>
      <c r="JT881" s="11"/>
      <c r="LG881" s="11"/>
      <c r="MT881" s="11"/>
      <c r="OG881" s="11"/>
      <c r="PT881" s="11"/>
    </row>
    <row r="882" spans="1:436" ht="15.75" x14ac:dyDescent="0.25">
      <c r="C882" s="20" t="s">
        <v>648</v>
      </c>
      <c r="D882" s="21" t="s">
        <v>104</v>
      </c>
      <c r="H882" s="11"/>
      <c r="AU882" s="11"/>
      <c r="CH882" s="11"/>
      <c r="CI882" s="16"/>
      <c r="CJ882" s="16"/>
      <c r="CK882" s="16"/>
      <c r="CL882" s="16"/>
      <c r="CM882" s="16"/>
      <c r="CN882" s="16"/>
      <c r="CO882" s="16"/>
      <c r="CP882" s="16"/>
      <c r="CQ882" s="16"/>
      <c r="CR882" s="16"/>
      <c r="CS882" s="16"/>
      <c r="CT882" s="16"/>
      <c r="CU882" s="16"/>
      <c r="CV882" s="16"/>
      <c r="CW882" s="16"/>
      <c r="CX882" s="16"/>
      <c r="CY882" s="16"/>
      <c r="CZ882" s="16"/>
      <c r="DA882" s="16"/>
      <c r="DB882" s="16"/>
      <c r="DC882" s="16"/>
      <c r="DD882" s="16"/>
      <c r="DE882" s="17"/>
      <c r="DF882" s="17"/>
      <c r="DG882" s="16"/>
      <c r="DH882" s="16"/>
      <c r="DI882" s="17"/>
      <c r="DJ882" s="17"/>
      <c r="DK882" s="16"/>
      <c r="DL882" s="16"/>
      <c r="DM882" s="17"/>
      <c r="DN882" s="17"/>
      <c r="DO882" s="16"/>
      <c r="DP882" s="16"/>
      <c r="DQ882" s="17"/>
      <c r="DR882" s="17"/>
      <c r="DS882" s="16"/>
      <c r="DT882" s="16"/>
      <c r="DU882" s="17"/>
      <c r="DV882" s="17"/>
      <c r="DW882" s="16"/>
      <c r="DX882" s="16"/>
      <c r="DY882" s="17"/>
      <c r="DZ882" s="17"/>
      <c r="EA882" s="16"/>
      <c r="EB882" s="16"/>
      <c r="EC882" s="17"/>
      <c r="ED882" s="17"/>
      <c r="EE882" s="16"/>
      <c r="EF882" s="16"/>
      <c r="EG882" s="17"/>
      <c r="EH882" s="17"/>
      <c r="EI882" s="16"/>
      <c r="EJ882" s="16"/>
      <c r="EK882" s="17"/>
      <c r="EL882" s="17"/>
      <c r="EM882" s="16"/>
      <c r="EN882" s="16"/>
      <c r="EO882" s="17"/>
      <c r="EP882" s="17"/>
      <c r="EQ882" s="16"/>
      <c r="ER882" s="16"/>
      <c r="ES882" s="17"/>
      <c r="ET882" s="17"/>
      <c r="EU882" s="16"/>
      <c r="EV882" s="16"/>
      <c r="EW882" s="17"/>
      <c r="EX882" s="17"/>
      <c r="EY882" s="16"/>
      <c r="EZ882" s="16"/>
      <c r="FA882" s="17"/>
      <c r="FB882" s="17"/>
      <c r="FC882" s="16"/>
      <c r="FD882" s="16"/>
      <c r="FE882" s="17"/>
      <c r="FF882" s="17"/>
      <c r="FG882" s="11"/>
      <c r="GT882" s="11"/>
      <c r="IG882" s="11"/>
      <c r="JT882" s="11"/>
      <c r="LG882" s="11"/>
      <c r="MT882" s="11"/>
      <c r="OG882" s="11"/>
      <c r="PT882" s="11"/>
    </row>
    <row r="883" spans="1:436" ht="15.75" x14ac:dyDescent="0.25">
      <c r="A883" s="13"/>
      <c r="B883" s="14" t="s">
        <v>649</v>
      </c>
      <c r="C883" s="13"/>
      <c r="D883" s="13"/>
      <c r="E883" s="15" t="s">
        <v>76</v>
      </c>
      <c r="F883" s="15" t="s">
        <v>177</v>
      </c>
      <c r="G883" s="13"/>
      <c r="H883" s="11"/>
      <c r="AU883" s="11"/>
      <c r="CH883" s="11"/>
      <c r="CI883" s="16"/>
      <c r="CJ883" s="16"/>
      <c r="CK883" s="16"/>
      <c r="CL883" s="16"/>
      <c r="CM883" s="16"/>
      <c r="CN883" s="16"/>
      <c r="CO883" s="16"/>
      <c r="CP883" s="16"/>
      <c r="CQ883" s="16"/>
      <c r="CR883" s="16"/>
      <c r="CS883" s="16"/>
      <c r="CT883" s="16"/>
      <c r="CU883" s="16"/>
      <c r="CV883" s="16"/>
      <c r="CW883" s="16"/>
      <c r="CX883" s="16"/>
      <c r="CY883" s="16"/>
      <c r="CZ883" s="16"/>
      <c r="DA883" s="16"/>
      <c r="DB883" s="16"/>
      <c r="DC883" s="16"/>
      <c r="DD883" s="19">
        <v>5</v>
      </c>
      <c r="DE883" s="17"/>
      <c r="DF883" s="17"/>
      <c r="DG883" s="16"/>
      <c r="DH883" s="16"/>
      <c r="DI883" s="17"/>
      <c r="DJ883" s="18">
        <v>30</v>
      </c>
      <c r="DK883" s="16"/>
      <c r="DL883" s="19">
        <v>5</v>
      </c>
      <c r="DM883" s="17"/>
      <c r="DN883" s="17"/>
      <c r="DO883" s="16"/>
      <c r="DP883" s="16"/>
      <c r="DQ883" s="17"/>
      <c r="DR883" s="17"/>
      <c r="DS883" s="16"/>
      <c r="DT883" s="16"/>
      <c r="DU883" s="17"/>
      <c r="DV883" s="17"/>
      <c r="DW883" s="16"/>
      <c r="DX883" s="19">
        <v>10</v>
      </c>
      <c r="DY883" s="17"/>
      <c r="DZ883" s="17"/>
      <c r="EA883" s="16"/>
      <c r="EB883" s="16"/>
      <c r="EC883" s="17"/>
      <c r="ED883" s="17"/>
      <c r="EE883" s="16"/>
      <c r="EF883" s="16"/>
      <c r="EG883" s="17"/>
      <c r="EH883" s="18">
        <v>30</v>
      </c>
      <c r="EI883" s="16"/>
      <c r="EJ883" s="19">
        <v>10</v>
      </c>
      <c r="EK883" s="17"/>
      <c r="EL883" s="18">
        <v>20</v>
      </c>
      <c r="EM883" s="16"/>
      <c r="EN883" s="16"/>
      <c r="EO883" s="17"/>
      <c r="EP883" s="17"/>
      <c r="EQ883" s="16"/>
      <c r="ER883" s="16"/>
      <c r="ES883" s="17"/>
      <c r="ET883" s="18">
        <v>30</v>
      </c>
      <c r="EU883" s="16"/>
      <c r="EV883" s="16"/>
      <c r="EW883" s="17"/>
      <c r="EX883" s="17"/>
      <c r="EY883" s="16"/>
      <c r="EZ883" s="16"/>
      <c r="FA883" s="17"/>
      <c r="FB883" s="17"/>
      <c r="FC883" s="16"/>
      <c r="FD883" s="16"/>
      <c r="FE883" s="17"/>
      <c r="FF883" s="17"/>
      <c r="FG883" s="11"/>
      <c r="GT883" s="11"/>
      <c r="IG883" s="11"/>
      <c r="JT883" s="11"/>
      <c r="LG883" s="11"/>
      <c r="MT883" s="11"/>
      <c r="OG883" s="11"/>
      <c r="PT883" s="11"/>
    </row>
    <row r="884" spans="1:436" ht="15.75" x14ac:dyDescent="0.25">
      <c r="C884" s="20" t="s">
        <v>650</v>
      </c>
      <c r="D884" s="21" t="s">
        <v>79</v>
      </c>
      <c r="H884" s="11"/>
      <c r="AU884" s="11"/>
      <c r="CH884" s="11"/>
      <c r="CI884" s="16"/>
      <c r="CJ884" s="16"/>
      <c r="CK884" s="16"/>
      <c r="CL884" s="16"/>
      <c r="CM884" s="16"/>
      <c r="CN884" s="16"/>
      <c r="CO884" s="16"/>
      <c r="CP884" s="16"/>
      <c r="CQ884" s="16"/>
      <c r="CR884" s="16"/>
      <c r="CS884" s="16"/>
      <c r="CT884" s="16"/>
      <c r="CU884" s="16"/>
      <c r="CV884" s="16"/>
      <c r="CW884" s="16"/>
      <c r="CX884" s="16"/>
      <c r="CY884" s="16"/>
      <c r="CZ884" s="16"/>
      <c r="DA884" s="16"/>
      <c r="DB884" s="16"/>
      <c r="DC884" s="16"/>
      <c r="DD884" s="16"/>
      <c r="DE884" s="17"/>
      <c r="DF884" s="17"/>
      <c r="DG884" s="16"/>
      <c r="DH884" s="16"/>
      <c r="DI884" s="18">
        <v>3</v>
      </c>
      <c r="DJ884" s="18">
        <v>5</v>
      </c>
      <c r="DK884" s="16"/>
      <c r="DL884" s="16"/>
      <c r="DM884" s="17"/>
      <c r="DN884" s="17"/>
      <c r="DO884" s="16"/>
      <c r="DP884" s="16"/>
      <c r="DQ884" s="17"/>
      <c r="DR884" s="17"/>
      <c r="DS884" s="16"/>
      <c r="DT884" s="16"/>
      <c r="DU884" s="17"/>
      <c r="DV884" s="17"/>
      <c r="DW884" s="16"/>
      <c r="DX884" s="16"/>
      <c r="DY884" s="17"/>
      <c r="DZ884" s="17"/>
      <c r="EA884" s="16"/>
      <c r="EB884" s="16"/>
      <c r="EC884" s="17"/>
      <c r="ED884" s="17"/>
      <c r="EE884" s="16"/>
      <c r="EF884" s="16"/>
      <c r="EG884" s="17"/>
      <c r="EH884" s="17"/>
      <c r="EI884" s="16"/>
      <c r="EJ884" s="16"/>
      <c r="EK884" s="17"/>
      <c r="EL884" s="17"/>
      <c r="EM884" s="16"/>
      <c r="EN884" s="16"/>
      <c r="EO884" s="17"/>
      <c r="EP884" s="17"/>
      <c r="EQ884" s="16"/>
      <c r="ER884" s="16"/>
      <c r="ES884" s="17"/>
      <c r="ET884" s="17"/>
      <c r="EU884" s="16"/>
      <c r="EV884" s="16"/>
      <c r="EW884" s="17"/>
      <c r="EX884" s="17"/>
      <c r="EY884" s="16"/>
      <c r="EZ884" s="16"/>
      <c r="FA884" s="17"/>
      <c r="FB884" s="17"/>
      <c r="FC884" s="16"/>
      <c r="FD884" s="16"/>
      <c r="FE884" s="17"/>
      <c r="FF884" s="17"/>
      <c r="FG884" s="11"/>
      <c r="GT884" s="11"/>
      <c r="IG884" s="11"/>
      <c r="JT884" s="11"/>
      <c r="LG884" s="11"/>
      <c r="MT884" s="11"/>
      <c r="OG884" s="11"/>
      <c r="PT884" s="11"/>
    </row>
    <row r="885" spans="1:436" ht="15.75" x14ac:dyDescent="0.25">
      <c r="C885" s="20" t="s">
        <v>651</v>
      </c>
      <c r="D885" s="21" t="s">
        <v>136</v>
      </c>
      <c r="H885" s="11"/>
      <c r="AU885" s="11"/>
      <c r="CH885" s="11"/>
      <c r="CI885" s="16"/>
      <c r="CJ885" s="16"/>
      <c r="CK885" s="16"/>
      <c r="CL885" s="16"/>
      <c r="CM885" s="16"/>
      <c r="CN885" s="16"/>
      <c r="CO885" s="16"/>
      <c r="CP885" s="16"/>
      <c r="CQ885" s="16"/>
      <c r="CR885" s="16"/>
      <c r="CS885" s="16"/>
      <c r="CT885" s="16"/>
      <c r="CU885" s="16"/>
      <c r="CV885" s="16"/>
      <c r="CW885" s="16"/>
      <c r="CX885" s="16"/>
      <c r="CY885" s="16"/>
      <c r="CZ885" s="16"/>
      <c r="DA885" s="16"/>
      <c r="DB885" s="16"/>
      <c r="DC885" s="16"/>
      <c r="DD885" s="16"/>
      <c r="DE885" s="17"/>
      <c r="DF885" s="17"/>
      <c r="DG885" s="16"/>
      <c r="DH885" s="16"/>
      <c r="DI885" s="17"/>
      <c r="DJ885" s="17"/>
      <c r="DK885" s="16"/>
      <c r="DL885" s="16"/>
      <c r="DM885" s="17"/>
      <c r="DN885" s="17"/>
      <c r="DO885" s="16"/>
      <c r="DP885" s="16"/>
      <c r="DQ885" s="17"/>
      <c r="DR885" s="17"/>
      <c r="DS885" s="16"/>
      <c r="DT885" s="16"/>
      <c r="DU885" s="17"/>
      <c r="DV885" s="17"/>
      <c r="DW885" s="16"/>
      <c r="DX885" s="16"/>
      <c r="DY885" s="17"/>
      <c r="DZ885" s="17"/>
      <c r="EA885" s="16"/>
      <c r="EB885" s="16"/>
      <c r="EC885" s="17"/>
      <c r="ED885" s="17"/>
      <c r="EE885" s="16"/>
      <c r="EF885" s="16"/>
      <c r="EG885" s="17"/>
      <c r="EH885" s="17"/>
      <c r="EI885" s="16"/>
      <c r="EJ885" s="16"/>
      <c r="EK885" s="17"/>
      <c r="EL885" s="17"/>
      <c r="EM885" s="16"/>
      <c r="EN885" s="16"/>
      <c r="EO885" s="17"/>
      <c r="EP885" s="17"/>
      <c r="EQ885" s="16"/>
      <c r="ER885" s="16"/>
      <c r="ES885" s="17"/>
      <c r="ET885" s="17"/>
      <c r="EU885" s="16"/>
      <c r="EV885" s="16"/>
      <c r="EW885" s="17"/>
      <c r="EX885" s="17"/>
      <c r="EY885" s="16"/>
      <c r="EZ885" s="16"/>
      <c r="FA885" s="17"/>
      <c r="FB885" s="17"/>
      <c r="FC885" s="16"/>
      <c r="FD885" s="16"/>
      <c r="FE885" s="17"/>
      <c r="FF885" s="17"/>
      <c r="FG885" s="11"/>
      <c r="GT885" s="11"/>
      <c r="IG885" s="11"/>
      <c r="JT885" s="11"/>
      <c r="LG885" s="11"/>
      <c r="MT885" s="11"/>
      <c r="OG885" s="11"/>
      <c r="PT885" s="11"/>
    </row>
    <row r="886" spans="1:436" ht="15.75" x14ac:dyDescent="0.25">
      <c r="C886" s="20" t="s">
        <v>652</v>
      </c>
      <c r="D886" s="21" t="s">
        <v>79</v>
      </c>
      <c r="H886" s="11"/>
      <c r="AU886" s="11"/>
      <c r="CH886" s="11"/>
      <c r="CI886" s="16"/>
      <c r="CJ886" s="16"/>
      <c r="CK886" s="16"/>
      <c r="CL886" s="16"/>
      <c r="CM886" s="16"/>
      <c r="CN886" s="16"/>
      <c r="CO886" s="16"/>
      <c r="CP886" s="16"/>
      <c r="CQ886" s="16"/>
      <c r="CR886" s="16"/>
      <c r="CS886" s="16"/>
      <c r="CT886" s="16"/>
      <c r="CU886" s="16"/>
      <c r="CV886" s="16"/>
      <c r="CW886" s="16"/>
      <c r="CX886" s="16"/>
      <c r="CY886" s="16"/>
      <c r="CZ886" s="16"/>
      <c r="DA886" s="16"/>
      <c r="DB886" s="16"/>
      <c r="DC886" s="16"/>
      <c r="DD886" s="16"/>
      <c r="DE886" s="17"/>
      <c r="DF886" s="17"/>
      <c r="DG886" s="16"/>
      <c r="DH886" s="16"/>
      <c r="DI886" s="18">
        <v>5</v>
      </c>
      <c r="DJ886" s="18">
        <v>10</v>
      </c>
      <c r="DK886" s="16"/>
      <c r="DL886" s="16"/>
      <c r="DM886" s="17"/>
      <c r="DN886" s="17"/>
      <c r="DO886" s="16"/>
      <c r="DP886" s="16"/>
      <c r="DQ886" s="17"/>
      <c r="DR886" s="17"/>
      <c r="DS886" s="16"/>
      <c r="DT886" s="16"/>
      <c r="DU886" s="17"/>
      <c r="DV886" s="17"/>
      <c r="DW886" s="16"/>
      <c r="DX886" s="16"/>
      <c r="DY886" s="17"/>
      <c r="DZ886" s="17"/>
      <c r="EA886" s="16"/>
      <c r="EB886" s="16"/>
      <c r="EC886" s="17"/>
      <c r="ED886" s="17"/>
      <c r="EE886" s="16"/>
      <c r="EF886" s="16"/>
      <c r="EG886" s="17"/>
      <c r="EH886" s="17"/>
      <c r="EI886" s="16"/>
      <c r="EJ886" s="16"/>
      <c r="EK886" s="17"/>
      <c r="EL886" s="17"/>
      <c r="EM886" s="16"/>
      <c r="EN886" s="16"/>
      <c r="EO886" s="17"/>
      <c r="EP886" s="17"/>
      <c r="EQ886" s="16"/>
      <c r="ER886" s="16"/>
      <c r="ES886" s="17"/>
      <c r="ET886" s="17"/>
      <c r="EU886" s="16"/>
      <c r="EV886" s="16"/>
      <c r="EW886" s="17"/>
      <c r="EX886" s="17"/>
      <c r="EY886" s="16"/>
      <c r="EZ886" s="16"/>
      <c r="FA886" s="17"/>
      <c r="FB886" s="17"/>
      <c r="FC886" s="16"/>
      <c r="FD886" s="16"/>
      <c r="FE886" s="17"/>
      <c r="FF886" s="17"/>
      <c r="FG886" s="11"/>
      <c r="GT886" s="11"/>
      <c r="IG886" s="11"/>
      <c r="JT886" s="11"/>
      <c r="LG886" s="11"/>
      <c r="MT886" s="11"/>
      <c r="OG886" s="11"/>
      <c r="PT886" s="11"/>
    </row>
    <row r="887" spans="1:436" ht="15.75" x14ac:dyDescent="0.25">
      <c r="C887" s="20" t="s">
        <v>653</v>
      </c>
      <c r="D887" s="21" t="s">
        <v>82</v>
      </c>
      <c r="H887" s="11"/>
      <c r="AU887" s="11"/>
      <c r="CH887" s="11"/>
      <c r="CI887" s="16"/>
      <c r="CJ887" s="16"/>
      <c r="CK887" s="16"/>
      <c r="CL887" s="16"/>
      <c r="CM887" s="16"/>
      <c r="CN887" s="16"/>
      <c r="CO887" s="16"/>
      <c r="CP887" s="16"/>
      <c r="CQ887" s="16"/>
      <c r="CR887" s="16"/>
      <c r="CS887" s="16"/>
      <c r="CT887" s="16"/>
      <c r="CU887" s="16"/>
      <c r="CV887" s="16"/>
      <c r="CW887" s="16"/>
      <c r="CX887" s="16"/>
      <c r="CY887" s="16"/>
      <c r="CZ887" s="16"/>
      <c r="DA887" s="16"/>
      <c r="DB887" s="16"/>
      <c r="DC887" s="16"/>
      <c r="DD887" s="16"/>
      <c r="DE887" s="17"/>
      <c r="DF887" s="17"/>
      <c r="DG887" s="16"/>
      <c r="DH887" s="16"/>
      <c r="DI887" s="17"/>
      <c r="DJ887" s="17"/>
      <c r="DK887" s="16"/>
      <c r="DL887" s="16"/>
      <c r="DM887" s="17"/>
      <c r="DN887" s="17"/>
      <c r="DO887" s="16"/>
      <c r="DP887" s="16"/>
      <c r="DQ887" s="17"/>
      <c r="DR887" s="17"/>
      <c r="DS887" s="16"/>
      <c r="DT887" s="16"/>
      <c r="DU887" s="17"/>
      <c r="DV887" s="17"/>
      <c r="DW887" s="16"/>
      <c r="DX887" s="16"/>
      <c r="DY887" s="17"/>
      <c r="DZ887" s="17"/>
      <c r="EA887" s="16"/>
      <c r="EB887" s="16"/>
      <c r="EC887" s="17"/>
      <c r="ED887" s="17"/>
      <c r="EE887" s="16"/>
      <c r="EF887" s="16"/>
      <c r="EG887" s="17"/>
      <c r="EH887" s="17"/>
      <c r="EI887" s="16"/>
      <c r="EJ887" s="16"/>
      <c r="EK887" s="17"/>
      <c r="EL887" s="17"/>
      <c r="EM887" s="16"/>
      <c r="EN887" s="16"/>
      <c r="EO887" s="17"/>
      <c r="EP887" s="17"/>
      <c r="EQ887" s="16"/>
      <c r="ER887" s="16"/>
      <c r="ES887" s="17"/>
      <c r="ET887" s="17"/>
      <c r="EU887" s="16"/>
      <c r="EV887" s="16"/>
      <c r="EW887" s="17"/>
      <c r="EX887" s="17"/>
      <c r="EY887" s="16"/>
      <c r="EZ887" s="16"/>
      <c r="FA887" s="17"/>
      <c r="FB887" s="17"/>
      <c r="FC887" s="16"/>
      <c r="FD887" s="16"/>
      <c r="FE887" s="17"/>
      <c r="FF887" s="17"/>
      <c r="FG887" s="11"/>
      <c r="GT887" s="11"/>
      <c r="IG887" s="11"/>
      <c r="JT887" s="11"/>
      <c r="LG887" s="11"/>
      <c r="MT887" s="11"/>
      <c r="OG887" s="11"/>
      <c r="PT887" s="11"/>
    </row>
    <row r="888" spans="1:436" ht="15.75" x14ac:dyDescent="0.25">
      <c r="C888" s="20" t="s">
        <v>654</v>
      </c>
      <c r="D888" s="21" t="s">
        <v>84</v>
      </c>
      <c r="H888" s="11"/>
      <c r="AU888" s="11"/>
      <c r="CH888" s="11"/>
      <c r="CI888" s="16"/>
      <c r="CJ888" s="16"/>
      <c r="CK888" s="16"/>
      <c r="CL888" s="16"/>
      <c r="CM888" s="16"/>
      <c r="CN888" s="16"/>
      <c r="CO888" s="16"/>
      <c r="CP888" s="16"/>
      <c r="CQ888" s="16"/>
      <c r="CR888" s="16"/>
      <c r="CS888" s="16"/>
      <c r="CT888" s="16"/>
      <c r="CU888" s="16"/>
      <c r="CV888" s="16"/>
      <c r="CW888" s="16"/>
      <c r="CX888" s="16"/>
      <c r="CY888" s="16"/>
      <c r="CZ888" s="16"/>
      <c r="DA888" s="16"/>
      <c r="DB888" s="16"/>
      <c r="DC888" s="16"/>
      <c r="DD888" s="16"/>
      <c r="DE888" s="17"/>
      <c r="DF888" s="17"/>
      <c r="DG888" s="16"/>
      <c r="DH888" s="16"/>
      <c r="DI888" s="17"/>
      <c r="DJ888" s="17"/>
      <c r="DK888" s="16"/>
      <c r="DL888" s="16"/>
      <c r="DM888" s="17"/>
      <c r="DN888" s="17"/>
      <c r="DO888" s="16"/>
      <c r="DP888" s="16"/>
      <c r="DQ888" s="17"/>
      <c r="DR888" s="17"/>
      <c r="DS888" s="16"/>
      <c r="DT888" s="16"/>
      <c r="DU888" s="17"/>
      <c r="DV888" s="17"/>
      <c r="DW888" s="19">
        <v>5</v>
      </c>
      <c r="DX888" s="19">
        <v>7</v>
      </c>
      <c r="DY888" s="17"/>
      <c r="DZ888" s="17"/>
      <c r="EA888" s="16"/>
      <c r="EB888" s="16"/>
      <c r="EC888" s="17"/>
      <c r="ED888" s="17"/>
      <c r="EE888" s="16"/>
      <c r="EF888" s="16"/>
      <c r="EG888" s="17"/>
      <c r="EH888" s="17"/>
      <c r="EI888" s="16"/>
      <c r="EJ888" s="16"/>
      <c r="EK888" s="17"/>
      <c r="EL888" s="17"/>
      <c r="EM888" s="16"/>
      <c r="EN888" s="16"/>
      <c r="EO888" s="17"/>
      <c r="EP888" s="17"/>
      <c r="EQ888" s="16"/>
      <c r="ER888" s="16"/>
      <c r="ES888" s="17"/>
      <c r="ET888" s="17"/>
      <c r="EU888" s="16"/>
      <c r="EV888" s="16"/>
      <c r="EW888" s="17"/>
      <c r="EX888" s="17"/>
      <c r="EY888" s="16"/>
      <c r="EZ888" s="16"/>
      <c r="FA888" s="17"/>
      <c r="FB888" s="17"/>
      <c r="FC888" s="16"/>
      <c r="FD888" s="16"/>
      <c r="FE888" s="17"/>
      <c r="FF888" s="17"/>
      <c r="FG888" s="11"/>
      <c r="GT888" s="11"/>
      <c r="IG888" s="11"/>
      <c r="JT888" s="11"/>
      <c r="LG888" s="11"/>
      <c r="MT888" s="11"/>
      <c r="OG888" s="11"/>
      <c r="PT888" s="11"/>
    </row>
    <row r="889" spans="1:436" ht="15.75" x14ac:dyDescent="0.25">
      <c r="C889" s="20" t="s">
        <v>655</v>
      </c>
      <c r="D889" s="21" t="s">
        <v>203</v>
      </c>
      <c r="H889" s="11"/>
      <c r="AU889" s="11"/>
      <c r="CH889" s="11"/>
      <c r="CI889" s="16"/>
      <c r="CJ889" s="16"/>
      <c r="CK889" s="16"/>
      <c r="CL889" s="16"/>
      <c r="CM889" s="16"/>
      <c r="CN889" s="16"/>
      <c r="CO889" s="16"/>
      <c r="CP889" s="16"/>
      <c r="CQ889" s="16"/>
      <c r="CR889" s="16"/>
      <c r="CS889" s="16"/>
      <c r="CT889" s="16"/>
      <c r="CU889" s="16"/>
      <c r="CV889" s="16"/>
      <c r="CW889" s="16"/>
      <c r="CX889" s="16"/>
      <c r="CY889" s="16"/>
      <c r="CZ889" s="16"/>
      <c r="DA889" s="16"/>
      <c r="DB889" s="16"/>
      <c r="DC889" s="16"/>
      <c r="DD889" s="16"/>
      <c r="DE889" s="17"/>
      <c r="DF889" s="17"/>
      <c r="DG889" s="16"/>
      <c r="DH889" s="16"/>
      <c r="DI889" s="17"/>
      <c r="DJ889" s="17"/>
      <c r="DK889" s="16"/>
      <c r="DL889" s="16"/>
      <c r="DM889" s="17"/>
      <c r="DN889" s="17"/>
      <c r="DO889" s="16"/>
      <c r="DP889" s="16"/>
      <c r="DQ889" s="17"/>
      <c r="DR889" s="17"/>
      <c r="DS889" s="16"/>
      <c r="DT889" s="16"/>
      <c r="DU889" s="17"/>
      <c r="DV889" s="17"/>
      <c r="DW889" s="16"/>
      <c r="DX889" s="16"/>
      <c r="DY889" s="17"/>
      <c r="DZ889" s="17"/>
      <c r="EA889" s="16"/>
      <c r="EB889" s="16"/>
      <c r="EC889" s="17"/>
      <c r="ED889" s="17"/>
      <c r="EE889" s="16"/>
      <c r="EF889" s="16"/>
      <c r="EG889" s="17"/>
      <c r="EH889" s="17"/>
      <c r="EI889" s="16"/>
      <c r="EJ889" s="16"/>
      <c r="EK889" s="17"/>
      <c r="EL889" s="17"/>
      <c r="EM889" s="16"/>
      <c r="EN889" s="16"/>
      <c r="EO889" s="17"/>
      <c r="EP889" s="17"/>
      <c r="EQ889" s="16"/>
      <c r="ER889" s="16"/>
      <c r="ES889" s="17"/>
      <c r="ET889" s="17"/>
      <c r="EU889" s="16"/>
      <c r="EV889" s="16"/>
      <c r="EW889" s="17"/>
      <c r="EX889" s="17"/>
      <c r="EY889" s="16"/>
      <c r="EZ889" s="16"/>
      <c r="FA889" s="17"/>
      <c r="FB889" s="17"/>
      <c r="FC889" s="16"/>
      <c r="FD889" s="16"/>
      <c r="FE889" s="17"/>
      <c r="FF889" s="17"/>
      <c r="FG889" s="11"/>
      <c r="GT889" s="11"/>
      <c r="IG889" s="11"/>
      <c r="JT889" s="11"/>
      <c r="LG889" s="11"/>
      <c r="MT889" s="11"/>
      <c r="OG889" s="11"/>
      <c r="PT889" s="11"/>
    </row>
    <row r="890" spans="1:436" ht="15.75" x14ac:dyDescent="0.25">
      <c r="C890" s="20" t="s">
        <v>656</v>
      </c>
      <c r="D890" s="21" t="s">
        <v>104</v>
      </c>
      <c r="H890" s="11"/>
      <c r="AU890" s="11"/>
      <c r="CH890" s="11"/>
      <c r="CI890" s="16"/>
      <c r="CJ890" s="16"/>
      <c r="CK890" s="16"/>
      <c r="CL890" s="16"/>
      <c r="CM890" s="16"/>
      <c r="CN890" s="16"/>
      <c r="CO890" s="16"/>
      <c r="CP890" s="16"/>
      <c r="CQ890" s="16"/>
      <c r="CR890" s="16"/>
      <c r="CS890" s="16"/>
      <c r="CT890" s="16"/>
      <c r="CU890" s="16"/>
      <c r="CV890" s="16"/>
      <c r="CW890" s="16"/>
      <c r="CX890" s="16"/>
      <c r="CY890" s="16"/>
      <c r="CZ890" s="16"/>
      <c r="DA890" s="16"/>
      <c r="DB890" s="16"/>
      <c r="DC890" s="16"/>
      <c r="DD890" s="16"/>
      <c r="DE890" s="17"/>
      <c r="DF890" s="17"/>
      <c r="DG890" s="16"/>
      <c r="DH890" s="16"/>
      <c r="DI890" s="17"/>
      <c r="DJ890" s="17"/>
      <c r="DK890" s="16"/>
      <c r="DL890" s="16"/>
      <c r="DM890" s="17"/>
      <c r="DN890" s="17"/>
      <c r="DO890" s="16"/>
      <c r="DP890" s="16"/>
      <c r="DQ890" s="17"/>
      <c r="DR890" s="17"/>
      <c r="DS890" s="16"/>
      <c r="DT890" s="16"/>
      <c r="DU890" s="17"/>
      <c r="DV890" s="17"/>
      <c r="DW890" s="16"/>
      <c r="DX890" s="16"/>
      <c r="DY890" s="17"/>
      <c r="DZ890" s="17"/>
      <c r="EA890" s="16"/>
      <c r="EB890" s="16"/>
      <c r="EC890" s="17"/>
      <c r="ED890" s="17"/>
      <c r="EE890" s="16"/>
      <c r="EF890" s="16"/>
      <c r="EG890" s="17"/>
      <c r="EH890" s="17"/>
      <c r="EI890" s="16"/>
      <c r="EJ890" s="16"/>
      <c r="EK890" s="17"/>
      <c r="EL890" s="17"/>
      <c r="EM890" s="16"/>
      <c r="EN890" s="16"/>
      <c r="EO890" s="17"/>
      <c r="EP890" s="17"/>
      <c r="EQ890" s="16"/>
      <c r="ER890" s="16"/>
      <c r="ES890" s="17"/>
      <c r="ET890" s="17"/>
      <c r="EU890" s="16"/>
      <c r="EV890" s="16"/>
      <c r="EW890" s="17"/>
      <c r="EX890" s="17"/>
      <c r="EY890" s="16"/>
      <c r="EZ890" s="16"/>
      <c r="FA890" s="17"/>
      <c r="FB890" s="17"/>
      <c r="FC890" s="19">
        <v>7</v>
      </c>
      <c r="FD890" s="19">
        <v>5</v>
      </c>
      <c r="FE890" s="17"/>
      <c r="FF890" s="17"/>
      <c r="FG890" s="11"/>
      <c r="GT890" s="11"/>
      <c r="IG890" s="11"/>
      <c r="JT890" s="11"/>
      <c r="LG890" s="11"/>
      <c r="MT890" s="11"/>
      <c r="OG890" s="11"/>
      <c r="PT890" s="11"/>
    </row>
    <row r="891" spans="1:436" ht="15.75" x14ac:dyDescent="0.25">
      <c r="C891" s="20" t="s">
        <v>657</v>
      </c>
      <c r="D891" s="21" t="s">
        <v>142</v>
      </c>
      <c r="H891" s="11"/>
      <c r="AU891" s="11"/>
      <c r="CH891" s="11"/>
      <c r="CI891" s="16"/>
      <c r="CJ891" s="16"/>
      <c r="CK891" s="16"/>
      <c r="CL891" s="16"/>
      <c r="CM891" s="16"/>
      <c r="CN891" s="16"/>
      <c r="CO891" s="16"/>
      <c r="CP891" s="16"/>
      <c r="CQ891" s="16"/>
      <c r="CR891" s="16"/>
      <c r="CS891" s="16"/>
      <c r="CT891" s="16"/>
      <c r="CU891" s="16"/>
      <c r="CV891" s="16"/>
      <c r="CW891" s="16"/>
      <c r="CX891" s="16"/>
      <c r="CY891" s="16"/>
      <c r="CZ891" s="16"/>
      <c r="DA891" s="16"/>
      <c r="DB891" s="16"/>
      <c r="DC891" s="16"/>
      <c r="DD891" s="16"/>
      <c r="DE891" s="17"/>
      <c r="DF891" s="17"/>
      <c r="DG891" s="16"/>
      <c r="DH891" s="16"/>
      <c r="DI891" s="17"/>
      <c r="DJ891" s="17"/>
      <c r="DK891" s="16"/>
      <c r="DL891" s="16"/>
      <c r="DM891" s="17"/>
      <c r="DN891" s="17"/>
      <c r="DO891" s="16"/>
      <c r="DP891" s="16"/>
      <c r="DQ891" s="17"/>
      <c r="DR891" s="17"/>
      <c r="DS891" s="16"/>
      <c r="DT891" s="16"/>
      <c r="DU891" s="17"/>
      <c r="DV891" s="17"/>
      <c r="DW891" s="16"/>
      <c r="DX891" s="16"/>
      <c r="DY891" s="17"/>
      <c r="DZ891" s="17"/>
      <c r="EA891" s="16"/>
      <c r="EB891" s="16"/>
      <c r="EC891" s="17"/>
      <c r="ED891" s="17"/>
      <c r="EE891" s="16"/>
      <c r="EF891" s="16"/>
      <c r="EG891" s="17"/>
      <c r="EH891" s="17"/>
      <c r="EI891" s="16"/>
      <c r="EJ891" s="16"/>
      <c r="EK891" s="17"/>
      <c r="EL891" s="17"/>
      <c r="EM891" s="16"/>
      <c r="EN891" s="16"/>
      <c r="EO891" s="17"/>
      <c r="EP891" s="17"/>
      <c r="EQ891" s="16"/>
      <c r="ER891" s="16"/>
      <c r="ES891" s="17"/>
      <c r="ET891" s="17"/>
      <c r="EU891" s="16"/>
      <c r="EV891" s="16"/>
      <c r="EW891" s="17"/>
      <c r="EX891" s="17"/>
      <c r="EY891" s="16"/>
      <c r="EZ891" s="16"/>
      <c r="FA891" s="17"/>
      <c r="FB891" s="17"/>
      <c r="FC891" s="16"/>
      <c r="FD891" s="16"/>
      <c r="FE891" s="17"/>
      <c r="FF891" s="17"/>
      <c r="FG891" s="11"/>
      <c r="GT891" s="11"/>
      <c r="IG891" s="11"/>
      <c r="JT891" s="11"/>
      <c r="LG891" s="11"/>
      <c r="MT891" s="11"/>
      <c r="OG891" s="11"/>
      <c r="PT891" s="11"/>
    </row>
    <row r="892" spans="1:436" ht="15.75" x14ac:dyDescent="0.25">
      <c r="C892" s="20" t="s">
        <v>658</v>
      </c>
      <c r="D892" s="21" t="s">
        <v>90</v>
      </c>
      <c r="H892" s="11"/>
      <c r="AU892" s="11"/>
      <c r="CH892" s="11"/>
      <c r="CI892" s="16"/>
      <c r="CJ892" s="16"/>
      <c r="CK892" s="16"/>
      <c r="CL892" s="16"/>
      <c r="CM892" s="16"/>
      <c r="CN892" s="16"/>
      <c r="CO892" s="16"/>
      <c r="CP892" s="16"/>
      <c r="CQ892" s="16"/>
      <c r="CR892" s="16"/>
      <c r="CS892" s="16"/>
      <c r="CT892" s="16"/>
      <c r="CU892" s="16"/>
      <c r="CV892" s="16"/>
      <c r="CW892" s="16"/>
      <c r="CX892" s="16"/>
      <c r="CY892" s="16"/>
      <c r="CZ892" s="16"/>
      <c r="DA892" s="16"/>
      <c r="DB892" s="16"/>
      <c r="DC892" s="16"/>
      <c r="DD892" s="16"/>
      <c r="DE892" s="17"/>
      <c r="DF892" s="17"/>
      <c r="DG892" s="16"/>
      <c r="DH892" s="16"/>
      <c r="DI892" s="17"/>
      <c r="DJ892" s="17"/>
      <c r="DK892" s="16"/>
      <c r="DL892" s="16"/>
      <c r="DM892" s="17"/>
      <c r="DN892" s="17"/>
      <c r="DO892" s="16"/>
      <c r="DP892" s="16"/>
      <c r="DQ892" s="17"/>
      <c r="DR892" s="17"/>
      <c r="DS892" s="16"/>
      <c r="DT892" s="16"/>
      <c r="DU892" s="17"/>
      <c r="DV892" s="17"/>
      <c r="DW892" s="16"/>
      <c r="DX892" s="16"/>
      <c r="DY892" s="17"/>
      <c r="DZ892" s="17"/>
      <c r="EA892" s="16"/>
      <c r="EB892" s="16"/>
      <c r="EC892" s="17"/>
      <c r="ED892" s="17"/>
      <c r="EE892" s="16"/>
      <c r="EF892" s="16"/>
      <c r="EG892" s="17"/>
      <c r="EH892" s="17"/>
      <c r="EI892" s="16"/>
      <c r="EJ892" s="16"/>
      <c r="EK892" s="17"/>
      <c r="EL892" s="17"/>
      <c r="EM892" s="16"/>
      <c r="EN892" s="16"/>
      <c r="EO892" s="17"/>
      <c r="EP892" s="17"/>
      <c r="EQ892" s="16"/>
      <c r="ER892" s="16"/>
      <c r="ES892" s="17"/>
      <c r="ET892" s="17"/>
      <c r="EU892" s="16"/>
      <c r="EV892" s="16"/>
      <c r="EW892" s="17"/>
      <c r="EX892" s="17"/>
      <c r="EY892" s="16"/>
      <c r="EZ892" s="16"/>
      <c r="FA892" s="17"/>
      <c r="FB892" s="17"/>
      <c r="FC892" s="16"/>
      <c r="FD892" s="16"/>
      <c r="FE892" s="17"/>
      <c r="FF892" s="17"/>
      <c r="FG892" s="11"/>
      <c r="GT892" s="11"/>
      <c r="IG892" s="11"/>
      <c r="JT892" s="11"/>
      <c r="LG892" s="11"/>
      <c r="MT892" s="11"/>
      <c r="OG892" s="11"/>
      <c r="PT892" s="11"/>
    </row>
    <row r="893" spans="1:436" ht="15.75" x14ac:dyDescent="0.25">
      <c r="C893" s="20" t="s">
        <v>659</v>
      </c>
      <c r="D893" s="21" t="s">
        <v>79</v>
      </c>
      <c r="H893" s="11"/>
      <c r="AU893" s="11"/>
      <c r="CH893" s="11"/>
      <c r="CI893" s="16"/>
      <c r="CJ893" s="16"/>
      <c r="CK893" s="16"/>
      <c r="CL893" s="16"/>
      <c r="CM893" s="16"/>
      <c r="CN893" s="16"/>
      <c r="CO893" s="16"/>
      <c r="CP893" s="16"/>
      <c r="CQ893" s="16"/>
      <c r="CR893" s="16"/>
      <c r="CS893" s="16"/>
      <c r="CT893" s="16"/>
      <c r="CU893" s="16"/>
      <c r="CV893" s="16"/>
      <c r="CW893" s="16"/>
      <c r="CX893" s="16"/>
      <c r="CY893" s="16"/>
      <c r="CZ893" s="16"/>
      <c r="DA893" s="16"/>
      <c r="DB893" s="16"/>
      <c r="DC893" s="16"/>
      <c r="DD893" s="16"/>
      <c r="DE893" s="17"/>
      <c r="DF893" s="17"/>
      <c r="DG893" s="16"/>
      <c r="DH893" s="16"/>
      <c r="DI893" s="17"/>
      <c r="DJ893" s="17"/>
      <c r="DK893" s="16"/>
      <c r="DL893" s="16"/>
      <c r="DM893" s="17"/>
      <c r="DN893" s="17"/>
      <c r="DO893" s="16"/>
      <c r="DP893" s="16"/>
      <c r="DQ893" s="17"/>
      <c r="DR893" s="17"/>
      <c r="DS893" s="16"/>
      <c r="DT893" s="16"/>
      <c r="DU893" s="17"/>
      <c r="DV893" s="17"/>
      <c r="DW893" s="16"/>
      <c r="DX893" s="16"/>
      <c r="DY893" s="17"/>
      <c r="DZ893" s="17"/>
      <c r="EA893" s="16"/>
      <c r="EB893" s="16"/>
      <c r="EC893" s="17"/>
      <c r="ED893" s="17"/>
      <c r="EE893" s="16"/>
      <c r="EF893" s="16"/>
      <c r="EG893" s="17"/>
      <c r="EH893" s="17"/>
      <c r="EI893" s="16"/>
      <c r="EJ893" s="16"/>
      <c r="EK893" s="17"/>
      <c r="EL893" s="17"/>
      <c r="EM893" s="16"/>
      <c r="EN893" s="16"/>
      <c r="EO893" s="17"/>
      <c r="EP893" s="17"/>
      <c r="EQ893" s="16"/>
      <c r="ER893" s="16"/>
      <c r="ES893" s="17"/>
      <c r="ET893" s="17"/>
      <c r="EU893" s="16"/>
      <c r="EV893" s="16"/>
      <c r="EW893" s="17"/>
      <c r="EX893" s="17"/>
      <c r="EY893" s="16"/>
      <c r="EZ893" s="16"/>
      <c r="FA893" s="17"/>
      <c r="FB893" s="17"/>
      <c r="FC893" s="16"/>
      <c r="FD893" s="16"/>
      <c r="FE893" s="17"/>
      <c r="FF893" s="17"/>
      <c r="FG893" s="11"/>
      <c r="GT893" s="11"/>
      <c r="IG893" s="11"/>
      <c r="JT893" s="11"/>
      <c r="LG893" s="11"/>
      <c r="MT893" s="11"/>
      <c r="OG893" s="11"/>
      <c r="PT893" s="11"/>
    </row>
    <row r="894" spans="1:436" ht="15.75" x14ac:dyDescent="0.25">
      <c r="C894" s="20" t="s">
        <v>660</v>
      </c>
      <c r="D894" s="21" t="s">
        <v>82</v>
      </c>
      <c r="H894" s="11"/>
      <c r="AU894" s="11"/>
      <c r="CH894" s="11"/>
      <c r="CI894" s="16"/>
      <c r="CJ894" s="16"/>
      <c r="CK894" s="16"/>
      <c r="CL894" s="16"/>
      <c r="CM894" s="16"/>
      <c r="CN894" s="16"/>
      <c r="CO894" s="16"/>
      <c r="CP894" s="16"/>
      <c r="CQ894" s="16"/>
      <c r="CR894" s="16"/>
      <c r="CS894" s="16"/>
      <c r="CT894" s="16"/>
      <c r="CU894" s="16"/>
      <c r="CV894" s="16"/>
      <c r="CW894" s="16"/>
      <c r="CX894" s="16"/>
      <c r="CY894" s="16"/>
      <c r="CZ894" s="16"/>
      <c r="DA894" s="16"/>
      <c r="DB894" s="16"/>
      <c r="DC894" s="16"/>
      <c r="DD894" s="16"/>
      <c r="DE894" s="17"/>
      <c r="DF894" s="17"/>
      <c r="DG894" s="16"/>
      <c r="DH894" s="16"/>
      <c r="DI894" s="17"/>
      <c r="DJ894" s="17"/>
      <c r="DK894" s="16"/>
      <c r="DL894" s="16"/>
      <c r="DM894" s="17"/>
      <c r="DN894" s="17"/>
      <c r="DO894" s="16"/>
      <c r="DP894" s="16"/>
      <c r="DQ894" s="17"/>
      <c r="DR894" s="17"/>
      <c r="DS894" s="16"/>
      <c r="DT894" s="16"/>
      <c r="DU894" s="17"/>
      <c r="DV894" s="17"/>
      <c r="DW894" s="16"/>
      <c r="DX894" s="16"/>
      <c r="DY894" s="17"/>
      <c r="DZ894" s="17"/>
      <c r="EA894" s="16"/>
      <c r="EB894" s="16"/>
      <c r="EC894" s="17"/>
      <c r="ED894" s="17"/>
      <c r="EE894" s="16"/>
      <c r="EF894" s="16"/>
      <c r="EG894" s="17"/>
      <c r="EH894" s="17"/>
      <c r="EI894" s="16"/>
      <c r="EJ894" s="16"/>
      <c r="EK894" s="17"/>
      <c r="EL894" s="17"/>
      <c r="EM894" s="16"/>
      <c r="EN894" s="16"/>
      <c r="EO894" s="17"/>
      <c r="EP894" s="17"/>
      <c r="EQ894" s="16"/>
      <c r="ER894" s="16"/>
      <c r="ES894" s="18">
        <v>10</v>
      </c>
      <c r="ET894" s="18">
        <v>15</v>
      </c>
      <c r="EU894" s="16"/>
      <c r="EV894" s="16"/>
      <c r="EW894" s="17"/>
      <c r="EX894" s="17"/>
      <c r="EY894" s="16"/>
      <c r="EZ894" s="16"/>
      <c r="FA894" s="17"/>
      <c r="FB894" s="17"/>
      <c r="FC894" s="16"/>
      <c r="FD894" s="16"/>
      <c r="FE894" s="17"/>
      <c r="FF894" s="17"/>
      <c r="FG894" s="11"/>
      <c r="GT894" s="11"/>
      <c r="IG894" s="11"/>
      <c r="JT894" s="11"/>
      <c r="LG894" s="11"/>
      <c r="MT894" s="11"/>
      <c r="OG894" s="11"/>
      <c r="PT894" s="11"/>
    </row>
    <row r="895" spans="1:436" ht="15.75" x14ac:dyDescent="0.25">
      <c r="C895" s="20" t="s">
        <v>661</v>
      </c>
      <c r="D895" s="21" t="s">
        <v>82</v>
      </c>
      <c r="H895" s="11"/>
      <c r="AU895" s="11"/>
      <c r="CH895" s="11"/>
      <c r="CI895" s="16"/>
      <c r="CJ895" s="16"/>
      <c r="CK895" s="16"/>
      <c r="CL895" s="16"/>
      <c r="CM895" s="16"/>
      <c r="CN895" s="16"/>
      <c r="CO895" s="16"/>
      <c r="CP895" s="16"/>
      <c r="CQ895" s="16"/>
      <c r="CR895" s="16"/>
      <c r="CS895" s="16"/>
      <c r="CT895" s="16"/>
      <c r="CU895" s="16"/>
      <c r="CV895" s="16"/>
      <c r="CW895" s="16"/>
      <c r="CX895" s="16"/>
      <c r="CY895" s="16"/>
      <c r="CZ895" s="16"/>
      <c r="DA895" s="16"/>
      <c r="DB895" s="16"/>
      <c r="DC895" s="16"/>
      <c r="DD895" s="16"/>
      <c r="DE895" s="17"/>
      <c r="DF895" s="17"/>
      <c r="DG895" s="16"/>
      <c r="DH895" s="16"/>
      <c r="DI895" s="17"/>
      <c r="DJ895" s="17"/>
      <c r="DK895" s="16"/>
      <c r="DL895" s="16"/>
      <c r="DM895" s="17"/>
      <c r="DN895" s="17"/>
      <c r="DO895" s="16"/>
      <c r="DP895" s="16"/>
      <c r="DQ895" s="17"/>
      <c r="DR895" s="17"/>
      <c r="DS895" s="16"/>
      <c r="DT895" s="16"/>
      <c r="DU895" s="17"/>
      <c r="DV895" s="17"/>
      <c r="DW895" s="16"/>
      <c r="DX895" s="16"/>
      <c r="DY895" s="17"/>
      <c r="DZ895" s="17"/>
      <c r="EA895" s="16"/>
      <c r="EB895" s="16"/>
      <c r="EC895" s="17"/>
      <c r="ED895" s="17"/>
      <c r="EE895" s="16"/>
      <c r="EF895" s="16"/>
      <c r="EG895" s="17"/>
      <c r="EH895" s="17"/>
      <c r="EI895" s="16"/>
      <c r="EJ895" s="16"/>
      <c r="EK895" s="17"/>
      <c r="EL895" s="17"/>
      <c r="EM895" s="16"/>
      <c r="EN895" s="16"/>
      <c r="EO895" s="17"/>
      <c r="EP895" s="17"/>
      <c r="EQ895" s="16"/>
      <c r="ER895" s="16"/>
      <c r="ES895" s="18">
        <v>2</v>
      </c>
      <c r="ET895" s="18">
        <v>3</v>
      </c>
      <c r="EU895" s="16"/>
      <c r="EV895" s="16"/>
      <c r="EW895" s="17"/>
      <c r="EX895" s="17"/>
      <c r="EY895" s="16"/>
      <c r="EZ895" s="16"/>
      <c r="FA895" s="17"/>
      <c r="FB895" s="17"/>
      <c r="FC895" s="16"/>
      <c r="FD895" s="16"/>
      <c r="FE895" s="17"/>
      <c r="FF895" s="17"/>
      <c r="FG895" s="11"/>
      <c r="GT895" s="11"/>
      <c r="IG895" s="11"/>
      <c r="JT895" s="11"/>
      <c r="LG895" s="11"/>
      <c r="MT895" s="11"/>
      <c r="OG895" s="11"/>
      <c r="PT895" s="11"/>
    </row>
    <row r="896" spans="1:436" ht="15.75" x14ac:dyDescent="0.25">
      <c r="C896" s="20" t="s">
        <v>662</v>
      </c>
      <c r="D896" s="21" t="s">
        <v>82</v>
      </c>
      <c r="H896" s="11"/>
      <c r="AU896" s="11"/>
      <c r="CH896" s="11"/>
      <c r="CI896" s="16"/>
      <c r="CJ896" s="16"/>
      <c r="CK896" s="16"/>
      <c r="CL896" s="16"/>
      <c r="CM896" s="16"/>
      <c r="CN896" s="16"/>
      <c r="CO896" s="16"/>
      <c r="CP896" s="16"/>
      <c r="CQ896" s="16"/>
      <c r="CR896" s="16"/>
      <c r="CS896" s="16"/>
      <c r="CT896" s="16"/>
      <c r="CU896" s="16"/>
      <c r="CV896" s="16"/>
      <c r="CW896" s="16"/>
      <c r="CX896" s="16"/>
      <c r="CY896" s="16"/>
      <c r="CZ896" s="16"/>
      <c r="DA896" s="16"/>
      <c r="DB896" s="16"/>
      <c r="DC896" s="16"/>
      <c r="DD896" s="16"/>
      <c r="DE896" s="17"/>
      <c r="DF896" s="17"/>
      <c r="DG896" s="16"/>
      <c r="DH896" s="16"/>
      <c r="DI896" s="17"/>
      <c r="DJ896" s="17"/>
      <c r="DK896" s="16"/>
      <c r="DL896" s="16"/>
      <c r="DM896" s="17"/>
      <c r="DN896" s="17"/>
      <c r="DO896" s="16"/>
      <c r="DP896" s="16"/>
      <c r="DQ896" s="17"/>
      <c r="DR896" s="17"/>
      <c r="DS896" s="16"/>
      <c r="DT896" s="16"/>
      <c r="DU896" s="17"/>
      <c r="DV896" s="17"/>
      <c r="DW896" s="16"/>
      <c r="DX896" s="16"/>
      <c r="DY896" s="17"/>
      <c r="DZ896" s="17"/>
      <c r="EA896" s="16"/>
      <c r="EB896" s="16"/>
      <c r="EC896" s="17"/>
      <c r="ED896" s="17"/>
      <c r="EE896" s="16"/>
      <c r="EF896" s="16"/>
      <c r="EG896" s="17"/>
      <c r="EH896" s="17"/>
      <c r="EI896" s="16"/>
      <c r="EJ896" s="16"/>
      <c r="EK896" s="17"/>
      <c r="EL896" s="17"/>
      <c r="EM896" s="16"/>
      <c r="EN896" s="16"/>
      <c r="EO896" s="17"/>
      <c r="EP896" s="17"/>
      <c r="EQ896" s="16"/>
      <c r="ER896" s="16"/>
      <c r="ES896" s="18">
        <v>1</v>
      </c>
      <c r="ET896" s="18">
        <v>1</v>
      </c>
      <c r="EU896" s="16"/>
      <c r="EV896" s="16"/>
      <c r="EW896" s="17"/>
      <c r="EX896" s="17"/>
      <c r="EY896" s="16"/>
      <c r="EZ896" s="16"/>
      <c r="FA896" s="17"/>
      <c r="FB896" s="17"/>
      <c r="FC896" s="16"/>
      <c r="FD896" s="16"/>
      <c r="FE896" s="17"/>
      <c r="FF896" s="17"/>
      <c r="FG896" s="11"/>
      <c r="GT896" s="11"/>
      <c r="IG896" s="11"/>
      <c r="JT896" s="11"/>
      <c r="LG896" s="11"/>
      <c r="MT896" s="11"/>
      <c r="OG896" s="11"/>
      <c r="PT896" s="11"/>
    </row>
    <row r="897" spans="1:436" ht="15.75" x14ac:dyDescent="0.25">
      <c r="C897" s="20" t="s">
        <v>663</v>
      </c>
      <c r="D897" s="21" t="s">
        <v>82</v>
      </c>
      <c r="H897" s="11"/>
      <c r="AU897" s="11"/>
      <c r="CH897" s="11"/>
      <c r="CI897" s="16"/>
      <c r="CJ897" s="16"/>
      <c r="CK897" s="16"/>
      <c r="CL897" s="16"/>
      <c r="CM897" s="16"/>
      <c r="CN897" s="16"/>
      <c r="CO897" s="16"/>
      <c r="CP897" s="16"/>
      <c r="CQ897" s="16"/>
      <c r="CR897" s="16"/>
      <c r="CS897" s="16"/>
      <c r="CT897" s="16"/>
      <c r="CU897" s="16"/>
      <c r="CV897" s="16"/>
      <c r="CW897" s="16"/>
      <c r="CX897" s="16"/>
      <c r="CY897" s="16"/>
      <c r="CZ897" s="16"/>
      <c r="DA897" s="16"/>
      <c r="DB897" s="16"/>
      <c r="DC897" s="16"/>
      <c r="DD897" s="16"/>
      <c r="DE897" s="17"/>
      <c r="DF897" s="17"/>
      <c r="DG897" s="16"/>
      <c r="DH897" s="16"/>
      <c r="DI897" s="17"/>
      <c r="DJ897" s="17"/>
      <c r="DK897" s="16"/>
      <c r="DL897" s="16"/>
      <c r="DM897" s="17"/>
      <c r="DN897" s="17"/>
      <c r="DO897" s="16"/>
      <c r="DP897" s="16"/>
      <c r="DQ897" s="17"/>
      <c r="DR897" s="17"/>
      <c r="DS897" s="16"/>
      <c r="DT897" s="16"/>
      <c r="DU897" s="17"/>
      <c r="DV897" s="17"/>
      <c r="DW897" s="16"/>
      <c r="DX897" s="16"/>
      <c r="DY897" s="17"/>
      <c r="DZ897" s="17"/>
      <c r="EA897" s="16"/>
      <c r="EB897" s="16"/>
      <c r="EC897" s="17"/>
      <c r="ED897" s="17"/>
      <c r="EE897" s="16"/>
      <c r="EF897" s="16"/>
      <c r="EG897" s="17"/>
      <c r="EH897" s="17"/>
      <c r="EI897" s="16"/>
      <c r="EJ897" s="16"/>
      <c r="EK897" s="17"/>
      <c r="EL897" s="17"/>
      <c r="EM897" s="16"/>
      <c r="EN897" s="16"/>
      <c r="EO897" s="17"/>
      <c r="EP897" s="17"/>
      <c r="EQ897" s="16"/>
      <c r="ER897" s="16"/>
      <c r="ES897" s="18">
        <v>1</v>
      </c>
      <c r="ET897" s="18">
        <v>1</v>
      </c>
      <c r="EU897" s="16"/>
      <c r="EV897" s="16"/>
      <c r="EW897" s="17"/>
      <c r="EX897" s="17"/>
      <c r="EY897" s="16"/>
      <c r="EZ897" s="16"/>
      <c r="FA897" s="17"/>
      <c r="FB897" s="17"/>
      <c r="FC897" s="16"/>
      <c r="FD897" s="16"/>
      <c r="FE897" s="17"/>
      <c r="FF897" s="17"/>
      <c r="FG897" s="11"/>
      <c r="GT897" s="11"/>
      <c r="IG897" s="11"/>
      <c r="JT897" s="11"/>
      <c r="LG897" s="11"/>
      <c r="MT897" s="11"/>
      <c r="OG897" s="11"/>
      <c r="PT897" s="11"/>
    </row>
    <row r="898" spans="1:436" ht="15.75" x14ac:dyDescent="0.25">
      <c r="C898" s="20" t="s">
        <v>654</v>
      </c>
      <c r="D898" s="21" t="s">
        <v>84</v>
      </c>
      <c r="H898" s="11"/>
      <c r="AU898" s="11"/>
      <c r="CH898" s="11"/>
      <c r="CI898" s="16"/>
      <c r="CJ898" s="16"/>
      <c r="CK898" s="16"/>
      <c r="CL898" s="16"/>
      <c r="CM898" s="16"/>
      <c r="CN898" s="16"/>
      <c r="CO898" s="16"/>
      <c r="CP898" s="16"/>
      <c r="CQ898" s="16"/>
      <c r="CR898" s="16"/>
      <c r="CS898" s="16"/>
      <c r="CT898" s="16"/>
      <c r="CU898" s="16"/>
      <c r="CV898" s="16"/>
      <c r="CW898" s="16"/>
      <c r="CX898" s="16"/>
      <c r="CY898" s="16"/>
      <c r="CZ898" s="16"/>
      <c r="DA898" s="16"/>
      <c r="DB898" s="16"/>
      <c r="DC898" s="16"/>
      <c r="DD898" s="16"/>
      <c r="DE898" s="17"/>
      <c r="DF898" s="17"/>
      <c r="DG898" s="16"/>
      <c r="DH898" s="16"/>
      <c r="DI898" s="17"/>
      <c r="DJ898" s="17"/>
      <c r="DK898" s="16"/>
      <c r="DL898" s="16"/>
      <c r="DM898" s="17"/>
      <c r="DN898" s="17"/>
      <c r="DO898" s="16"/>
      <c r="DP898" s="16"/>
      <c r="DQ898" s="17"/>
      <c r="DR898" s="17"/>
      <c r="DS898" s="16"/>
      <c r="DT898" s="16"/>
      <c r="DU898" s="17"/>
      <c r="DV898" s="17"/>
      <c r="DW898" s="16"/>
      <c r="DX898" s="16"/>
      <c r="DY898" s="17"/>
      <c r="DZ898" s="17"/>
      <c r="EA898" s="16"/>
      <c r="EB898" s="16"/>
      <c r="EC898" s="17"/>
      <c r="ED898" s="17"/>
      <c r="EE898" s="16"/>
      <c r="EF898" s="16"/>
      <c r="EG898" s="17"/>
      <c r="EH898" s="17"/>
      <c r="EI898" s="16"/>
      <c r="EJ898" s="16"/>
      <c r="EK898" s="17"/>
      <c r="EL898" s="17"/>
      <c r="EM898" s="16"/>
      <c r="EN898" s="16"/>
      <c r="EO898" s="17"/>
      <c r="EP898" s="17"/>
      <c r="EQ898" s="16"/>
      <c r="ER898" s="16"/>
      <c r="ES898" s="17"/>
      <c r="ET898" s="17"/>
      <c r="EU898" s="16"/>
      <c r="EV898" s="16"/>
      <c r="EW898" s="17"/>
      <c r="EX898" s="17"/>
      <c r="EY898" s="16"/>
      <c r="EZ898" s="16"/>
      <c r="FA898" s="17"/>
      <c r="FB898" s="17"/>
      <c r="FC898" s="16"/>
      <c r="FD898" s="16"/>
      <c r="FE898" s="17"/>
      <c r="FF898" s="17"/>
      <c r="FG898" s="11"/>
      <c r="GT898" s="11"/>
      <c r="IG898" s="11"/>
      <c r="JT898" s="11"/>
      <c r="LG898" s="11"/>
      <c r="MT898" s="11"/>
      <c r="OG898" s="11"/>
      <c r="PT898" s="11"/>
    </row>
    <row r="899" spans="1:436" ht="15.75" x14ac:dyDescent="0.25">
      <c r="C899" s="20" t="s">
        <v>655</v>
      </c>
      <c r="D899" s="21" t="s">
        <v>203</v>
      </c>
      <c r="H899" s="11"/>
      <c r="AU899" s="11"/>
      <c r="CH899" s="11"/>
      <c r="CI899" s="16"/>
      <c r="CJ899" s="16"/>
      <c r="CK899" s="16"/>
      <c r="CL899" s="16"/>
      <c r="CM899" s="16"/>
      <c r="CN899" s="16"/>
      <c r="CO899" s="16"/>
      <c r="CP899" s="16"/>
      <c r="CQ899" s="16"/>
      <c r="CR899" s="16"/>
      <c r="CS899" s="16"/>
      <c r="CT899" s="16"/>
      <c r="CU899" s="16"/>
      <c r="CV899" s="16"/>
      <c r="CW899" s="16"/>
      <c r="CX899" s="16"/>
      <c r="CY899" s="16"/>
      <c r="CZ899" s="16"/>
      <c r="DA899" s="16"/>
      <c r="DB899" s="16"/>
      <c r="DC899" s="16"/>
      <c r="DD899" s="16"/>
      <c r="DE899" s="17"/>
      <c r="DF899" s="17"/>
      <c r="DG899" s="16"/>
      <c r="DH899" s="16"/>
      <c r="DI899" s="17"/>
      <c r="DJ899" s="17"/>
      <c r="DK899" s="16"/>
      <c r="DL899" s="16"/>
      <c r="DM899" s="17"/>
      <c r="DN899" s="17"/>
      <c r="DO899" s="16"/>
      <c r="DP899" s="16"/>
      <c r="DQ899" s="17"/>
      <c r="DR899" s="17"/>
      <c r="DS899" s="16"/>
      <c r="DT899" s="16"/>
      <c r="DU899" s="17"/>
      <c r="DV899" s="17"/>
      <c r="DW899" s="16"/>
      <c r="DX899" s="16"/>
      <c r="DY899" s="17"/>
      <c r="DZ899" s="17"/>
      <c r="EA899" s="16"/>
      <c r="EB899" s="16"/>
      <c r="EC899" s="17"/>
      <c r="ED899" s="17"/>
      <c r="EE899" s="16"/>
      <c r="EF899" s="16"/>
      <c r="EG899" s="17"/>
      <c r="EH899" s="17"/>
      <c r="EI899" s="16"/>
      <c r="EJ899" s="16"/>
      <c r="EK899" s="17"/>
      <c r="EL899" s="17"/>
      <c r="EM899" s="16"/>
      <c r="EN899" s="16"/>
      <c r="EO899" s="17"/>
      <c r="EP899" s="17"/>
      <c r="EQ899" s="16"/>
      <c r="ER899" s="16"/>
      <c r="ES899" s="17"/>
      <c r="ET899" s="17"/>
      <c r="EU899" s="16"/>
      <c r="EV899" s="16"/>
      <c r="EW899" s="17"/>
      <c r="EX899" s="17"/>
      <c r="EY899" s="16"/>
      <c r="EZ899" s="16"/>
      <c r="FA899" s="17"/>
      <c r="FB899" s="17"/>
      <c r="FC899" s="16"/>
      <c r="FD899" s="16"/>
      <c r="FE899" s="17"/>
      <c r="FF899" s="17"/>
      <c r="FG899" s="11"/>
      <c r="GT899" s="11"/>
      <c r="IG899" s="11"/>
      <c r="JT899" s="11"/>
      <c r="LG899" s="11"/>
      <c r="MT899" s="11"/>
      <c r="OG899" s="11"/>
      <c r="PT899" s="11"/>
    </row>
    <row r="900" spans="1:436" ht="15.75" x14ac:dyDescent="0.25">
      <c r="C900" s="20" t="s">
        <v>656</v>
      </c>
      <c r="D900" s="21" t="s">
        <v>104</v>
      </c>
      <c r="H900" s="11"/>
      <c r="AU900" s="11"/>
      <c r="CH900" s="11"/>
      <c r="CI900" s="16"/>
      <c r="CJ900" s="16"/>
      <c r="CK900" s="16"/>
      <c r="CL900" s="16"/>
      <c r="CM900" s="16"/>
      <c r="CN900" s="16"/>
      <c r="CO900" s="16"/>
      <c r="CP900" s="16"/>
      <c r="CQ900" s="16"/>
      <c r="CR900" s="16"/>
      <c r="CS900" s="16"/>
      <c r="CT900" s="16"/>
      <c r="CU900" s="16"/>
      <c r="CV900" s="16"/>
      <c r="CW900" s="16"/>
      <c r="CX900" s="16"/>
      <c r="CY900" s="16"/>
      <c r="CZ900" s="16"/>
      <c r="DA900" s="16"/>
      <c r="DB900" s="16"/>
      <c r="DC900" s="16"/>
      <c r="DD900" s="16"/>
      <c r="DE900" s="17"/>
      <c r="DF900" s="17"/>
      <c r="DG900" s="16"/>
      <c r="DH900" s="16"/>
      <c r="DI900" s="17"/>
      <c r="DJ900" s="17"/>
      <c r="DK900" s="16"/>
      <c r="DL900" s="16"/>
      <c r="DM900" s="17"/>
      <c r="DN900" s="17"/>
      <c r="DO900" s="16"/>
      <c r="DP900" s="16"/>
      <c r="DQ900" s="17"/>
      <c r="DR900" s="17"/>
      <c r="DS900" s="16"/>
      <c r="DT900" s="16"/>
      <c r="DU900" s="17"/>
      <c r="DV900" s="17"/>
      <c r="DW900" s="16"/>
      <c r="DX900" s="16"/>
      <c r="DY900" s="17"/>
      <c r="DZ900" s="17"/>
      <c r="EA900" s="16"/>
      <c r="EB900" s="16"/>
      <c r="EC900" s="17"/>
      <c r="ED900" s="17"/>
      <c r="EE900" s="16"/>
      <c r="EF900" s="16"/>
      <c r="EG900" s="17"/>
      <c r="EH900" s="17"/>
      <c r="EI900" s="16"/>
      <c r="EJ900" s="16"/>
      <c r="EK900" s="17"/>
      <c r="EL900" s="17"/>
      <c r="EM900" s="16"/>
      <c r="EN900" s="16"/>
      <c r="EO900" s="17"/>
      <c r="EP900" s="17"/>
      <c r="EQ900" s="16"/>
      <c r="ER900" s="16"/>
      <c r="ES900" s="17"/>
      <c r="ET900" s="17"/>
      <c r="EU900" s="16"/>
      <c r="EV900" s="16"/>
      <c r="EW900" s="17"/>
      <c r="EX900" s="17"/>
      <c r="EY900" s="16"/>
      <c r="EZ900" s="16"/>
      <c r="FA900" s="17"/>
      <c r="FB900" s="17"/>
      <c r="FC900" s="16"/>
      <c r="FD900" s="16"/>
      <c r="FE900" s="17"/>
      <c r="FF900" s="17"/>
      <c r="FG900" s="11"/>
      <c r="GT900" s="11"/>
      <c r="IG900" s="11"/>
      <c r="JT900" s="11"/>
      <c r="LG900" s="11"/>
      <c r="MT900" s="11"/>
      <c r="OG900" s="11"/>
      <c r="PT900" s="11"/>
    </row>
    <row r="901" spans="1:436" ht="15.75" x14ac:dyDescent="0.25">
      <c r="C901" s="20" t="s">
        <v>657</v>
      </c>
      <c r="D901" s="21" t="s">
        <v>142</v>
      </c>
      <c r="H901" s="11"/>
      <c r="AU901" s="11"/>
      <c r="CH901" s="11"/>
      <c r="CI901" s="16"/>
      <c r="CJ901" s="16"/>
      <c r="CK901" s="16"/>
      <c r="CL901" s="16"/>
      <c r="CM901" s="16"/>
      <c r="CN901" s="16"/>
      <c r="CO901" s="16"/>
      <c r="CP901" s="16"/>
      <c r="CQ901" s="16"/>
      <c r="CR901" s="16"/>
      <c r="CS901" s="16"/>
      <c r="CT901" s="16"/>
      <c r="CU901" s="16"/>
      <c r="CV901" s="16"/>
      <c r="CW901" s="16"/>
      <c r="CX901" s="16"/>
      <c r="CY901" s="16"/>
      <c r="CZ901" s="16"/>
      <c r="DA901" s="16"/>
      <c r="DB901" s="16"/>
      <c r="DC901" s="16"/>
      <c r="DD901" s="16"/>
      <c r="DE901" s="17"/>
      <c r="DF901" s="17"/>
      <c r="DG901" s="16"/>
      <c r="DH901" s="16"/>
      <c r="DI901" s="17"/>
      <c r="DJ901" s="17"/>
      <c r="DK901" s="16"/>
      <c r="DL901" s="16"/>
      <c r="DM901" s="17"/>
      <c r="DN901" s="17"/>
      <c r="DO901" s="16"/>
      <c r="DP901" s="16"/>
      <c r="DQ901" s="17"/>
      <c r="DR901" s="17"/>
      <c r="DS901" s="16"/>
      <c r="DT901" s="16"/>
      <c r="DU901" s="17"/>
      <c r="DV901" s="17"/>
      <c r="DW901" s="16"/>
      <c r="DX901" s="16"/>
      <c r="DY901" s="17"/>
      <c r="DZ901" s="17"/>
      <c r="EA901" s="16"/>
      <c r="EB901" s="16"/>
      <c r="EC901" s="17"/>
      <c r="ED901" s="17"/>
      <c r="EE901" s="16"/>
      <c r="EF901" s="16"/>
      <c r="EG901" s="17"/>
      <c r="EH901" s="17"/>
      <c r="EI901" s="16"/>
      <c r="EJ901" s="16"/>
      <c r="EK901" s="17"/>
      <c r="EL901" s="17"/>
      <c r="EM901" s="16"/>
      <c r="EN901" s="16"/>
      <c r="EO901" s="17"/>
      <c r="EP901" s="17"/>
      <c r="EQ901" s="16"/>
      <c r="ER901" s="16"/>
      <c r="ES901" s="17"/>
      <c r="ET901" s="17"/>
      <c r="EU901" s="16"/>
      <c r="EV901" s="16"/>
      <c r="EW901" s="17"/>
      <c r="EX901" s="17"/>
      <c r="EY901" s="16"/>
      <c r="EZ901" s="16"/>
      <c r="FA901" s="17"/>
      <c r="FB901" s="17"/>
      <c r="FC901" s="16"/>
      <c r="FD901" s="16"/>
      <c r="FE901" s="17"/>
      <c r="FF901" s="17"/>
      <c r="FG901" s="11"/>
      <c r="GT901" s="11"/>
      <c r="IG901" s="11"/>
      <c r="JT901" s="11"/>
      <c r="LG901" s="11"/>
      <c r="MT901" s="11"/>
      <c r="OG901" s="11"/>
      <c r="PT901" s="11"/>
    </row>
    <row r="902" spans="1:436" ht="15.75" x14ac:dyDescent="0.25">
      <c r="C902" s="20" t="s">
        <v>658</v>
      </c>
      <c r="D902" s="21" t="s">
        <v>90</v>
      </c>
      <c r="H902" s="11"/>
      <c r="AU902" s="11"/>
      <c r="CH902" s="11"/>
      <c r="CI902" s="16"/>
      <c r="CJ902" s="16"/>
      <c r="CK902" s="16"/>
      <c r="CL902" s="16"/>
      <c r="CM902" s="16"/>
      <c r="CN902" s="16"/>
      <c r="CO902" s="16"/>
      <c r="CP902" s="16"/>
      <c r="CQ902" s="16"/>
      <c r="CR902" s="16"/>
      <c r="CS902" s="16"/>
      <c r="CT902" s="16"/>
      <c r="CU902" s="16"/>
      <c r="CV902" s="16"/>
      <c r="CW902" s="16"/>
      <c r="CX902" s="16"/>
      <c r="CY902" s="16"/>
      <c r="CZ902" s="16"/>
      <c r="DA902" s="16"/>
      <c r="DB902" s="16"/>
      <c r="DC902" s="16"/>
      <c r="DD902" s="16"/>
      <c r="DE902" s="17"/>
      <c r="DF902" s="17"/>
      <c r="DG902" s="16"/>
      <c r="DH902" s="16"/>
      <c r="DI902" s="17"/>
      <c r="DJ902" s="17"/>
      <c r="DK902" s="16"/>
      <c r="DL902" s="16"/>
      <c r="DM902" s="17"/>
      <c r="DN902" s="17"/>
      <c r="DO902" s="16"/>
      <c r="DP902" s="16"/>
      <c r="DQ902" s="17"/>
      <c r="DR902" s="17"/>
      <c r="DS902" s="16"/>
      <c r="DT902" s="16"/>
      <c r="DU902" s="17"/>
      <c r="DV902" s="17"/>
      <c r="DW902" s="16"/>
      <c r="DX902" s="16"/>
      <c r="DY902" s="17"/>
      <c r="DZ902" s="17"/>
      <c r="EA902" s="16"/>
      <c r="EB902" s="16"/>
      <c r="EC902" s="17"/>
      <c r="ED902" s="17"/>
      <c r="EE902" s="16"/>
      <c r="EF902" s="16"/>
      <c r="EG902" s="17"/>
      <c r="EH902" s="17"/>
      <c r="EI902" s="16"/>
      <c r="EJ902" s="16"/>
      <c r="EK902" s="17"/>
      <c r="EL902" s="17"/>
      <c r="EM902" s="16"/>
      <c r="EN902" s="16"/>
      <c r="EO902" s="17"/>
      <c r="EP902" s="17"/>
      <c r="EQ902" s="16"/>
      <c r="ER902" s="16"/>
      <c r="ES902" s="17"/>
      <c r="ET902" s="17"/>
      <c r="EU902" s="16"/>
      <c r="EV902" s="16"/>
      <c r="EW902" s="17"/>
      <c r="EX902" s="17"/>
      <c r="EY902" s="16"/>
      <c r="EZ902" s="16"/>
      <c r="FA902" s="17"/>
      <c r="FB902" s="17"/>
      <c r="FC902" s="16"/>
      <c r="FD902" s="16"/>
      <c r="FE902" s="17"/>
      <c r="FF902" s="17"/>
      <c r="FG902" s="11"/>
      <c r="GT902" s="11"/>
      <c r="IG902" s="11"/>
      <c r="JT902" s="11"/>
      <c r="LG902" s="11"/>
      <c r="MT902" s="11"/>
      <c r="OG902" s="11"/>
      <c r="PT902" s="11"/>
    </row>
    <row r="903" spans="1:436" ht="15.75" x14ac:dyDescent="0.25">
      <c r="A903" s="13"/>
      <c r="B903" s="14" t="s">
        <v>664</v>
      </c>
      <c r="C903" s="13"/>
      <c r="D903" s="13"/>
      <c r="E903" s="15" t="s">
        <v>127</v>
      </c>
      <c r="F903" s="15" t="s">
        <v>77</v>
      </c>
      <c r="G903" s="13"/>
      <c r="H903" s="11"/>
      <c r="AU903" s="11"/>
      <c r="CH903" s="11"/>
      <c r="CI903" s="16"/>
      <c r="CJ903" s="16"/>
      <c r="CK903" s="16"/>
      <c r="CL903" s="16"/>
      <c r="CM903" s="16"/>
      <c r="CN903" s="16"/>
      <c r="CO903" s="16"/>
      <c r="CP903" s="16"/>
      <c r="CQ903" s="16"/>
      <c r="CR903" s="16"/>
      <c r="CS903" s="16"/>
      <c r="CT903" s="16"/>
      <c r="CU903" s="16"/>
      <c r="CV903" s="16"/>
      <c r="CW903" s="16"/>
      <c r="CX903" s="16"/>
      <c r="CY903" s="16"/>
      <c r="CZ903" s="16"/>
      <c r="DA903" s="16"/>
      <c r="DB903" s="16"/>
      <c r="DC903" s="16"/>
      <c r="DD903" s="16"/>
      <c r="DE903" s="17"/>
      <c r="DF903" s="17"/>
      <c r="DG903" s="16"/>
      <c r="DH903" s="16"/>
      <c r="DI903" s="17"/>
      <c r="DJ903" s="17"/>
      <c r="DK903" s="16"/>
      <c r="DL903" s="16"/>
      <c r="DM903" s="17"/>
      <c r="DN903" s="17"/>
      <c r="DO903" s="16"/>
      <c r="DP903" s="16"/>
      <c r="DQ903" s="17"/>
      <c r="DR903" s="17"/>
      <c r="DS903" s="16"/>
      <c r="DT903" s="16"/>
      <c r="DU903" s="17"/>
      <c r="DV903" s="17"/>
      <c r="DW903" s="16"/>
      <c r="DX903" s="16"/>
      <c r="DY903" s="17"/>
      <c r="DZ903" s="17"/>
      <c r="EA903" s="16"/>
      <c r="EB903" s="16"/>
      <c r="EC903" s="17"/>
      <c r="ED903" s="17"/>
      <c r="EE903" s="16"/>
      <c r="EF903" s="16"/>
      <c r="EG903" s="17"/>
      <c r="EH903" s="17"/>
      <c r="EI903" s="16"/>
      <c r="EJ903" s="16"/>
      <c r="EK903" s="17"/>
      <c r="EL903" s="17"/>
      <c r="EM903" s="16"/>
      <c r="EN903" s="16"/>
      <c r="EO903" s="17"/>
      <c r="EP903" s="17"/>
      <c r="EQ903" s="16"/>
      <c r="ER903" s="16"/>
      <c r="ES903" s="17"/>
      <c r="ET903" s="17"/>
      <c r="EU903" s="16"/>
      <c r="EV903" s="16"/>
      <c r="EW903" s="17"/>
      <c r="EX903" s="17"/>
      <c r="EY903" s="16"/>
      <c r="EZ903" s="16"/>
      <c r="FA903" s="17"/>
      <c r="FB903" s="17"/>
      <c r="FC903" s="16"/>
      <c r="FD903" s="16"/>
      <c r="FE903" s="17"/>
      <c r="FF903" s="17"/>
      <c r="FG903" s="11"/>
      <c r="GT903" s="11"/>
      <c r="IG903" s="11"/>
      <c r="JT903" s="11"/>
      <c r="LG903" s="11"/>
      <c r="MT903" s="11"/>
      <c r="OG903" s="11"/>
      <c r="PT903" s="11"/>
    </row>
    <row r="904" spans="1:436" ht="15.75" x14ac:dyDescent="0.25">
      <c r="C904" s="20" t="s">
        <v>665</v>
      </c>
      <c r="D904" s="21" t="s">
        <v>93</v>
      </c>
      <c r="H904" s="11"/>
      <c r="AU904" s="11"/>
      <c r="CH904" s="11"/>
      <c r="CI904" s="16"/>
      <c r="CJ904" s="16"/>
      <c r="CK904" s="16"/>
      <c r="CL904" s="16"/>
      <c r="CM904" s="16"/>
      <c r="CN904" s="16"/>
      <c r="CO904" s="16"/>
      <c r="CP904" s="16"/>
      <c r="CQ904" s="16"/>
      <c r="CR904" s="16"/>
      <c r="CS904" s="16"/>
      <c r="CT904" s="16"/>
      <c r="CU904" s="16"/>
      <c r="CV904" s="16"/>
      <c r="CW904" s="16"/>
      <c r="CX904" s="16"/>
      <c r="CY904" s="16"/>
      <c r="CZ904" s="16"/>
      <c r="DA904" s="16"/>
      <c r="DB904" s="16"/>
      <c r="DC904" s="16"/>
      <c r="DD904" s="16"/>
      <c r="DE904" s="17"/>
      <c r="DF904" s="17"/>
      <c r="DG904" s="16"/>
      <c r="DH904" s="16"/>
      <c r="DI904" s="17"/>
      <c r="DJ904" s="17"/>
      <c r="DK904" s="16"/>
      <c r="DL904" s="16"/>
      <c r="DM904" s="17"/>
      <c r="DN904" s="17"/>
      <c r="DO904" s="16"/>
      <c r="DP904" s="16"/>
      <c r="DQ904" s="17"/>
      <c r="DR904" s="17"/>
      <c r="DS904" s="16"/>
      <c r="DT904" s="16"/>
      <c r="DU904" s="17"/>
      <c r="DV904" s="17"/>
      <c r="DW904" s="16"/>
      <c r="DX904" s="16"/>
      <c r="DY904" s="17"/>
      <c r="DZ904" s="17"/>
      <c r="EA904" s="16"/>
      <c r="EB904" s="16"/>
      <c r="EC904" s="17"/>
      <c r="ED904" s="17"/>
      <c r="EE904" s="16"/>
      <c r="EF904" s="16"/>
      <c r="EG904" s="17"/>
      <c r="EH904" s="17"/>
      <c r="EI904" s="16"/>
      <c r="EJ904" s="16"/>
      <c r="EK904" s="17"/>
      <c r="EL904" s="17"/>
      <c r="EM904" s="16"/>
      <c r="EN904" s="16"/>
      <c r="EO904" s="17"/>
      <c r="EP904" s="17"/>
      <c r="EQ904" s="16"/>
      <c r="ER904" s="16"/>
      <c r="ES904" s="17"/>
      <c r="ET904" s="17"/>
      <c r="EU904" s="16"/>
      <c r="EV904" s="16"/>
      <c r="EW904" s="17"/>
      <c r="EX904" s="17"/>
      <c r="EY904" s="16"/>
      <c r="EZ904" s="16"/>
      <c r="FA904" s="17"/>
      <c r="FB904" s="17"/>
      <c r="FC904" s="16"/>
      <c r="FD904" s="16"/>
      <c r="FE904" s="17"/>
      <c r="FF904" s="17"/>
      <c r="FG904" s="11"/>
      <c r="GT904" s="11"/>
      <c r="IG904" s="11"/>
      <c r="JT904" s="11"/>
      <c r="LG904" s="11"/>
      <c r="MT904" s="11"/>
      <c r="OG904" s="11"/>
      <c r="PT904" s="11"/>
    </row>
    <row r="905" spans="1:436" ht="15.75" x14ac:dyDescent="0.25">
      <c r="C905" s="20" t="s">
        <v>666</v>
      </c>
      <c r="D905" s="21" t="s">
        <v>93</v>
      </c>
      <c r="H905" s="11"/>
      <c r="AU905" s="11"/>
      <c r="CH905" s="11"/>
      <c r="CI905" s="16"/>
      <c r="CJ905" s="16"/>
      <c r="CK905" s="16"/>
      <c r="CL905" s="16"/>
      <c r="CM905" s="16"/>
      <c r="CN905" s="16"/>
      <c r="CO905" s="16"/>
      <c r="CP905" s="16"/>
      <c r="CQ905" s="16"/>
      <c r="CR905" s="16"/>
      <c r="CS905" s="16"/>
      <c r="CT905" s="16"/>
      <c r="CU905" s="16"/>
      <c r="CV905" s="16"/>
      <c r="CW905" s="16"/>
      <c r="CX905" s="16"/>
      <c r="CY905" s="16"/>
      <c r="CZ905" s="16"/>
      <c r="DA905" s="16"/>
      <c r="DB905" s="16"/>
      <c r="DC905" s="16"/>
      <c r="DD905" s="16"/>
      <c r="DE905" s="17"/>
      <c r="DF905" s="17"/>
      <c r="DG905" s="16"/>
      <c r="DH905" s="16"/>
      <c r="DI905" s="17"/>
      <c r="DJ905" s="17"/>
      <c r="DK905" s="16"/>
      <c r="DL905" s="16"/>
      <c r="DM905" s="17"/>
      <c r="DN905" s="17"/>
      <c r="DO905" s="16"/>
      <c r="DP905" s="16"/>
      <c r="DQ905" s="17"/>
      <c r="DR905" s="17"/>
      <c r="DS905" s="16"/>
      <c r="DT905" s="16"/>
      <c r="DU905" s="17"/>
      <c r="DV905" s="17"/>
      <c r="DW905" s="16"/>
      <c r="DX905" s="16"/>
      <c r="DY905" s="17"/>
      <c r="DZ905" s="17"/>
      <c r="EA905" s="16"/>
      <c r="EB905" s="16"/>
      <c r="EC905" s="17"/>
      <c r="ED905" s="17"/>
      <c r="EE905" s="16"/>
      <c r="EF905" s="16"/>
      <c r="EG905" s="17"/>
      <c r="EH905" s="17"/>
      <c r="EI905" s="16"/>
      <c r="EJ905" s="16"/>
      <c r="EK905" s="17"/>
      <c r="EL905" s="17"/>
      <c r="EM905" s="16"/>
      <c r="EN905" s="16"/>
      <c r="EO905" s="17"/>
      <c r="EP905" s="17"/>
      <c r="EQ905" s="16"/>
      <c r="ER905" s="16"/>
      <c r="ES905" s="17"/>
      <c r="ET905" s="17"/>
      <c r="EU905" s="16"/>
      <c r="EV905" s="16"/>
      <c r="EW905" s="17"/>
      <c r="EX905" s="17"/>
      <c r="EY905" s="16"/>
      <c r="EZ905" s="16"/>
      <c r="FA905" s="17"/>
      <c r="FB905" s="17"/>
      <c r="FC905" s="16"/>
      <c r="FD905" s="16"/>
      <c r="FE905" s="17"/>
      <c r="FF905" s="17"/>
      <c r="FG905" s="11"/>
      <c r="GT905" s="11"/>
      <c r="IG905" s="11"/>
      <c r="JT905" s="11"/>
      <c r="LG905" s="11"/>
      <c r="MT905" s="11"/>
      <c r="OG905" s="11"/>
      <c r="PT905" s="11"/>
    </row>
    <row r="906" spans="1:436" ht="15.75" x14ac:dyDescent="0.25">
      <c r="C906" s="20" t="s">
        <v>667</v>
      </c>
      <c r="D906" s="21" t="s">
        <v>93</v>
      </c>
      <c r="H906" s="11"/>
      <c r="AU906" s="11"/>
      <c r="CH906" s="11"/>
      <c r="CI906" s="16"/>
      <c r="CJ906" s="16"/>
      <c r="CK906" s="16"/>
      <c r="CL906" s="16"/>
      <c r="CM906" s="16"/>
      <c r="CN906" s="16"/>
      <c r="CO906" s="16"/>
      <c r="CP906" s="16"/>
      <c r="CQ906" s="16"/>
      <c r="CR906" s="16"/>
      <c r="CS906" s="16"/>
      <c r="CT906" s="16"/>
      <c r="CU906" s="16"/>
      <c r="CV906" s="16"/>
      <c r="CW906" s="16"/>
      <c r="CX906" s="16"/>
      <c r="CY906" s="16"/>
      <c r="CZ906" s="16"/>
      <c r="DA906" s="16"/>
      <c r="DB906" s="16"/>
      <c r="DC906" s="16"/>
      <c r="DD906" s="16"/>
      <c r="DE906" s="17"/>
      <c r="DF906" s="17"/>
      <c r="DG906" s="16"/>
      <c r="DH906" s="16"/>
      <c r="DI906" s="17"/>
      <c r="DJ906" s="17"/>
      <c r="DK906" s="16"/>
      <c r="DL906" s="16"/>
      <c r="DM906" s="17"/>
      <c r="DN906" s="17"/>
      <c r="DO906" s="16"/>
      <c r="DP906" s="16"/>
      <c r="DQ906" s="17"/>
      <c r="DR906" s="17"/>
      <c r="DS906" s="16"/>
      <c r="DT906" s="16"/>
      <c r="DU906" s="17"/>
      <c r="DV906" s="17"/>
      <c r="DW906" s="16"/>
      <c r="DX906" s="16"/>
      <c r="DY906" s="17"/>
      <c r="DZ906" s="17"/>
      <c r="EA906" s="16"/>
      <c r="EB906" s="16"/>
      <c r="EC906" s="17"/>
      <c r="ED906" s="17"/>
      <c r="EE906" s="16"/>
      <c r="EF906" s="16"/>
      <c r="EG906" s="17"/>
      <c r="EH906" s="17"/>
      <c r="EI906" s="16"/>
      <c r="EJ906" s="16"/>
      <c r="EK906" s="17"/>
      <c r="EL906" s="17"/>
      <c r="EM906" s="16"/>
      <c r="EN906" s="16"/>
      <c r="EO906" s="17"/>
      <c r="EP906" s="17"/>
      <c r="EQ906" s="16"/>
      <c r="ER906" s="16"/>
      <c r="ES906" s="17"/>
      <c r="ET906" s="17"/>
      <c r="EU906" s="16"/>
      <c r="EV906" s="16"/>
      <c r="EW906" s="17"/>
      <c r="EX906" s="17"/>
      <c r="EY906" s="16"/>
      <c r="EZ906" s="16"/>
      <c r="FA906" s="17"/>
      <c r="FB906" s="17"/>
      <c r="FC906" s="16"/>
      <c r="FD906" s="16"/>
      <c r="FE906" s="17"/>
      <c r="FF906" s="17"/>
      <c r="FG906" s="11"/>
      <c r="GT906" s="11"/>
      <c r="IG906" s="11"/>
      <c r="JT906" s="11"/>
      <c r="LG906" s="11"/>
      <c r="MT906" s="11"/>
      <c r="OG906" s="11"/>
      <c r="PT906" s="11"/>
    </row>
    <row r="907" spans="1:436" ht="15.75" x14ac:dyDescent="0.25">
      <c r="C907" s="20" t="s">
        <v>668</v>
      </c>
      <c r="D907" s="21" t="s">
        <v>93</v>
      </c>
      <c r="H907" s="11"/>
      <c r="AU907" s="11"/>
      <c r="CH907" s="11"/>
      <c r="CI907" s="16"/>
      <c r="CJ907" s="16"/>
      <c r="CK907" s="16"/>
      <c r="CL907" s="16"/>
      <c r="CM907" s="16"/>
      <c r="CN907" s="16"/>
      <c r="CO907" s="16"/>
      <c r="CP907" s="16"/>
      <c r="CQ907" s="16"/>
      <c r="CR907" s="16"/>
      <c r="CS907" s="16"/>
      <c r="CT907" s="16"/>
      <c r="CU907" s="16"/>
      <c r="CV907" s="16"/>
      <c r="CW907" s="16"/>
      <c r="CX907" s="16"/>
      <c r="CY907" s="16"/>
      <c r="CZ907" s="16"/>
      <c r="DA907" s="16"/>
      <c r="DB907" s="16"/>
      <c r="DC907" s="16"/>
      <c r="DD907" s="16"/>
      <c r="DE907" s="17"/>
      <c r="DF907" s="17"/>
      <c r="DG907" s="16"/>
      <c r="DH907" s="16"/>
      <c r="DI907" s="17"/>
      <c r="DJ907" s="17"/>
      <c r="DK907" s="16"/>
      <c r="DL907" s="16"/>
      <c r="DM907" s="17"/>
      <c r="DN907" s="17"/>
      <c r="DO907" s="16"/>
      <c r="DP907" s="16"/>
      <c r="DQ907" s="17"/>
      <c r="DR907" s="17"/>
      <c r="DS907" s="16"/>
      <c r="DT907" s="16"/>
      <c r="DU907" s="17"/>
      <c r="DV907" s="17"/>
      <c r="DW907" s="16"/>
      <c r="DX907" s="16"/>
      <c r="DY907" s="17"/>
      <c r="DZ907" s="17"/>
      <c r="EA907" s="16"/>
      <c r="EB907" s="16"/>
      <c r="EC907" s="17"/>
      <c r="ED907" s="17"/>
      <c r="EE907" s="16"/>
      <c r="EF907" s="16"/>
      <c r="EG907" s="17"/>
      <c r="EH907" s="17"/>
      <c r="EI907" s="16"/>
      <c r="EJ907" s="16"/>
      <c r="EK907" s="17"/>
      <c r="EL907" s="17"/>
      <c r="EM907" s="16"/>
      <c r="EN907" s="16"/>
      <c r="EO907" s="17"/>
      <c r="EP907" s="17"/>
      <c r="EQ907" s="16"/>
      <c r="ER907" s="16"/>
      <c r="ES907" s="17"/>
      <c r="ET907" s="17"/>
      <c r="EU907" s="16"/>
      <c r="EV907" s="16"/>
      <c r="EW907" s="17"/>
      <c r="EX907" s="17"/>
      <c r="EY907" s="16"/>
      <c r="EZ907" s="16"/>
      <c r="FA907" s="17"/>
      <c r="FB907" s="17"/>
      <c r="FC907" s="16"/>
      <c r="FD907" s="16"/>
      <c r="FE907" s="17"/>
      <c r="FF907" s="17"/>
      <c r="FG907" s="11"/>
      <c r="GT907" s="11"/>
      <c r="IG907" s="11"/>
      <c r="JT907" s="11"/>
      <c r="LG907" s="11"/>
      <c r="MT907" s="11"/>
      <c r="OG907" s="11"/>
      <c r="PT907" s="11"/>
    </row>
    <row r="908" spans="1:436" ht="15.75" x14ac:dyDescent="0.25">
      <c r="C908" s="20" t="s">
        <v>669</v>
      </c>
      <c r="D908" s="21" t="s">
        <v>136</v>
      </c>
      <c r="H908" s="11"/>
      <c r="AU908" s="11"/>
      <c r="CH908" s="11"/>
      <c r="CI908" s="16"/>
      <c r="CJ908" s="16"/>
      <c r="CK908" s="16"/>
      <c r="CL908" s="16"/>
      <c r="CM908" s="16"/>
      <c r="CN908" s="16"/>
      <c r="CO908" s="16"/>
      <c r="CP908" s="16"/>
      <c r="CQ908" s="16"/>
      <c r="CR908" s="16"/>
      <c r="CS908" s="16"/>
      <c r="CT908" s="16"/>
      <c r="CU908" s="16"/>
      <c r="CV908" s="16"/>
      <c r="CW908" s="16"/>
      <c r="CX908" s="16"/>
      <c r="CY908" s="16"/>
      <c r="CZ908" s="16"/>
      <c r="DA908" s="16"/>
      <c r="DB908" s="16"/>
      <c r="DC908" s="16"/>
      <c r="DD908" s="16"/>
      <c r="DE908" s="17"/>
      <c r="DF908" s="17"/>
      <c r="DG908" s="16"/>
      <c r="DH908" s="16"/>
      <c r="DI908" s="17"/>
      <c r="DJ908" s="17"/>
      <c r="DK908" s="16"/>
      <c r="DL908" s="16"/>
      <c r="DM908" s="17"/>
      <c r="DN908" s="17"/>
      <c r="DO908" s="16"/>
      <c r="DP908" s="16"/>
      <c r="DQ908" s="17"/>
      <c r="DR908" s="17"/>
      <c r="DS908" s="16"/>
      <c r="DT908" s="16"/>
      <c r="DU908" s="17"/>
      <c r="DV908" s="17"/>
      <c r="DW908" s="16"/>
      <c r="DX908" s="16"/>
      <c r="DY908" s="17"/>
      <c r="DZ908" s="17"/>
      <c r="EA908" s="16"/>
      <c r="EB908" s="16"/>
      <c r="EC908" s="17"/>
      <c r="ED908" s="17"/>
      <c r="EE908" s="16"/>
      <c r="EF908" s="16"/>
      <c r="EG908" s="17"/>
      <c r="EH908" s="17"/>
      <c r="EI908" s="16"/>
      <c r="EJ908" s="16"/>
      <c r="EK908" s="17"/>
      <c r="EL908" s="17"/>
      <c r="EM908" s="16"/>
      <c r="EN908" s="16"/>
      <c r="EO908" s="17"/>
      <c r="EP908" s="17"/>
      <c r="EQ908" s="16"/>
      <c r="ER908" s="16"/>
      <c r="ES908" s="17"/>
      <c r="ET908" s="17"/>
      <c r="EU908" s="16"/>
      <c r="EV908" s="16"/>
      <c r="EW908" s="17"/>
      <c r="EX908" s="17"/>
      <c r="EY908" s="16"/>
      <c r="EZ908" s="16"/>
      <c r="FA908" s="17"/>
      <c r="FB908" s="17"/>
      <c r="FC908" s="16"/>
      <c r="FD908" s="16"/>
      <c r="FE908" s="17"/>
      <c r="FF908" s="17"/>
      <c r="FG908" s="11"/>
      <c r="GT908" s="11"/>
      <c r="IG908" s="11"/>
      <c r="JT908" s="11"/>
      <c r="LG908" s="11"/>
      <c r="MT908" s="11"/>
      <c r="OG908" s="11"/>
      <c r="PT908" s="11"/>
    </row>
    <row r="909" spans="1:436" ht="15.75" x14ac:dyDescent="0.25">
      <c r="C909" s="20" t="s">
        <v>670</v>
      </c>
      <c r="D909" s="21" t="s">
        <v>93</v>
      </c>
      <c r="H909" s="11"/>
      <c r="AU909" s="11"/>
      <c r="CH909" s="11"/>
      <c r="CI909" s="16"/>
      <c r="CJ909" s="16"/>
      <c r="CK909" s="16"/>
      <c r="CL909" s="16"/>
      <c r="CM909" s="16"/>
      <c r="CN909" s="16"/>
      <c r="CO909" s="16"/>
      <c r="CP909" s="16"/>
      <c r="CQ909" s="16"/>
      <c r="CR909" s="16"/>
      <c r="CS909" s="16"/>
      <c r="CT909" s="16"/>
      <c r="CU909" s="16"/>
      <c r="CV909" s="16"/>
      <c r="CW909" s="16"/>
      <c r="CX909" s="16"/>
      <c r="CY909" s="16"/>
      <c r="CZ909" s="16"/>
      <c r="DA909" s="16"/>
      <c r="DB909" s="16"/>
      <c r="DC909" s="16"/>
      <c r="DD909" s="16"/>
      <c r="DE909" s="17"/>
      <c r="DF909" s="17"/>
      <c r="DG909" s="16"/>
      <c r="DH909" s="16"/>
      <c r="DI909" s="17"/>
      <c r="DJ909" s="17"/>
      <c r="DK909" s="16"/>
      <c r="DL909" s="16"/>
      <c r="DM909" s="17"/>
      <c r="DN909" s="17"/>
      <c r="DO909" s="16"/>
      <c r="DP909" s="16"/>
      <c r="DQ909" s="17"/>
      <c r="DR909" s="17"/>
      <c r="DS909" s="16"/>
      <c r="DT909" s="16"/>
      <c r="DU909" s="17"/>
      <c r="DV909" s="17"/>
      <c r="DW909" s="16"/>
      <c r="DX909" s="16"/>
      <c r="DY909" s="17"/>
      <c r="DZ909" s="17"/>
      <c r="EA909" s="16"/>
      <c r="EB909" s="16"/>
      <c r="EC909" s="17"/>
      <c r="ED909" s="17"/>
      <c r="EE909" s="16"/>
      <c r="EF909" s="16"/>
      <c r="EG909" s="17"/>
      <c r="EH909" s="17"/>
      <c r="EI909" s="16"/>
      <c r="EJ909" s="16"/>
      <c r="EK909" s="17"/>
      <c r="EL909" s="17"/>
      <c r="EM909" s="16"/>
      <c r="EN909" s="16"/>
      <c r="EO909" s="17"/>
      <c r="EP909" s="17"/>
      <c r="EQ909" s="16"/>
      <c r="ER909" s="16"/>
      <c r="ES909" s="17"/>
      <c r="ET909" s="17"/>
      <c r="EU909" s="16"/>
      <c r="EV909" s="16"/>
      <c r="EW909" s="17"/>
      <c r="EX909" s="17"/>
      <c r="EY909" s="16"/>
      <c r="EZ909" s="16"/>
      <c r="FA909" s="17"/>
      <c r="FB909" s="17"/>
      <c r="FC909" s="16"/>
      <c r="FD909" s="16"/>
      <c r="FE909" s="17"/>
      <c r="FF909" s="17"/>
      <c r="FG909" s="11"/>
      <c r="GT909" s="11"/>
      <c r="IG909" s="11"/>
      <c r="JT909" s="11"/>
      <c r="LG909" s="11"/>
      <c r="MT909" s="11"/>
      <c r="OG909" s="11"/>
      <c r="PT909" s="11"/>
    </row>
    <row r="910" spans="1:436" ht="15.75" x14ac:dyDescent="0.25">
      <c r="C910" s="20" t="s">
        <v>671</v>
      </c>
      <c r="D910" s="21" t="s">
        <v>90</v>
      </c>
      <c r="H910" s="11"/>
      <c r="AU910" s="11"/>
      <c r="CH910" s="11"/>
      <c r="CI910" s="16"/>
      <c r="CJ910" s="16"/>
      <c r="CK910" s="16"/>
      <c r="CL910" s="16"/>
      <c r="CM910" s="16"/>
      <c r="CN910" s="16"/>
      <c r="CO910" s="16"/>
      <c r="CP910" s="16"/>
      <c r="CQ910" s="16"/>
      <c r="CR910" s="16"/>
      <c r="CS910" s="16"/>
      <c r="CT910" s="16"/>
      <c r="CU910" s="16"/>
      <c r="CV910" s="16"/>
      <c r="CW910" s="16"/>
      <c r="CX910" s="16"/>
      <c r="CY910" s="16"/>
      <c r="CZ910" s="16"/>
      <c r="DA910" s="16"/>
      <c r="DB910" s="16"/>
      <c r="DC910" s="16"/>
      <c r="DD910" s="16"/>
      <c r="DE910" s="17"/>
      <c r="DF910" s="17"/>
      <c r="DG910" s="16"/>
      <c r="DH910" s="16"/>
      <c r="DI910" s="17"/>
      <c r="DJ910" s="17"/>
      <c r="DK910" s="16"/>
      <c r="DL910" s="16"/>
      <c r="DM910" s="17"/>
      <c r="DN910" s="17"/>
      <c r="DO910" s="16"/>
      <c r="DP910" s="16"/>
      <c r="DQ910" s="17"/>
      <c r="DR910" s="17"/>
      <c r="DS910" s="16"/>
      <c r="DT910" s="16"/>
      <c r="DU910" s="17"/>
      <c r="DV910" s="17"/>
      <c r="DW910" s="16"/>
      <c r="DX910" s="16"/>
      <c r="DY910" s="17"/>
      <c r="DZ910" s="17"/>
      <c r="EA910" s="16"/>
      <c r="EB910" s="16"/>
      <c r="EC910" s="17"/>
      <c r="ED910" s="17"/>
      <c r="EE910" s="16"/>
      <c r="EF910" s="16"/>
      <c r="EG910" s="17"/>
      <c r="EH910" s="17"/>
      <c r="EI910" s="16"/>
      <c r="EJ910" s="16"/>
      <c r="EK910" s="17"/>
      <c r="EL910" s="17"/>
      <c r="EM910" s="16"/>
      <c r="EN910" s="16"/>
      <c r="EO910" s="17"/>
      <c r="EP910" s="17"/>
      <c r="EQ910" s="16"/>
      <c r="ER910" s="16"/>
      <c r="ES910" s="17"/>
      <c r="ET910" s="17"/>
      <c r="EU910" s="16"/>
      <c r="EV910" s="16"/>
      <c r="EW910" s="17"/>
      <c r="EX910" s="17"/>
      <c r="EY910" s="16"/>
      <c r="EZ910" s="16"/>
      <c r="FA910" s="17"/>
      <c r="FB910" s="17"/>
      <c r="FC910" s="16"/>
      <c r="FD910" s="16"/>
      <c r="FE910" s="17"/>
      <c r="FF910" s="17"/>
      <c r="FG910" s="11"/>
      <c r="GT910" s="11"/>
      <c r="IG910" s="11"/>
      <c r="JT910" s="11"/>
      <c r="LG910" s="11"/>
      <c r="MT910" s="11"/>
      <c r="OG910" s="11"/>
      <c r="PT910" s="11"/>
    </row>
    <row r="911" spans="1:436" ht="15.75" x14ac:dyDescent="0.25">
      <c r="C911" s="20" t="s">
        <v>672</v>
      </c>
      <c r="D911" s="21" t="s">
        <v>93</v>
      </c>
      <c r="H911" s="11"/>
      <c r="AU911" s="11"/>
      <c r="CH911" s="11"/>
      <c r="CI911" s="16"/>
      <c r="CJ911" s="16"/>
      <c r="CK911" s="16"/>
      <c r="CL911" s="16"/>
      <c r="CM911" s="16"/>
      <c r="CN911" s="16"/>
      <c r="CO911" s="16"/>
      <c r="CP911" s="16"/>
      <c r="CQ911" s="16"/>
      <c r="CR911" s="16"/>
      <c r="CS911" s="16"/>
      <c r="CT911" s="16"/>
      <c r="CU911" s="16"/>
      <c r="CV911" s="16"/>
      <c r="CW911" s="16"/>
      <c r="CX911" s="16"/>
      <c r="CY911" s="16"/>
      <c r="CZ911" s="16"/>
      <c r="DA911" s="16"/>
      <c r="DB911" s="16"/>
      <c r="DC911" s="16"/>
      <c r="DD911" s="16"/>
      <c r="DE911" s="17"/>
      <c r="DF911" s="17"/>
      <c r="DG911" s="16"/>
      <c r="DH911" s="16"/>
      <c r="DI911" s="17"/>
      <c r="DJ911" s="17"/>
      <c r="DK911" s="16"/>
      <c r="DL911" s="16"/>
      <c r="DM911" s="17"/>
      <c r="DN911" s="17"/>
      <c r="DO911" s="16"/>
      <c r="DP911" s="16"/>
      <c r="DQ911" s="17"/>
      <c r="DR911" s="17"/>
      <c r="DS911" s="16"/>
      <c r="DT911" s="16"/>
      <c r="DU911" s="17"/>
      <c r="DV911" s="17"/>
      <c r="DW911" s="16"/>
      <c r="DX911" s="16"/>
      <c r="DY911" s="17"/>
      <c r="DZ911" s="17"/>
      <c r="EA911" s="16"/>
      <c r="EB911" s="16"/>
      <c r="EC911" s="17"/>
      <c r="ED911" s="17"/>
      <c r="EE911" s="16"/>
      <c r="EF911" s="16"/>
      <c r="EG911" s="17"/>
      <c r="EH911" s="17"/>
      <c r="EI911" s="16"/>
      <c r="EJ911" s="16"/>
      <c r="EK911" s="17"/>
      <c r="EL911" s="17"/>
      <c r="EM911" s="16"/>
      <c r="EN911" s="16"/>
      <c r="EO911" s="17"/>
      <c r="EP911" s="17"/>
      <c r="EQ911" s="16"/>
      <c r="ER911" s="16"/>
      <c r="ES911" s="17"/>
      <c r="ET911" s="17"/>
      <c r="EU911" s="16"/>
      <c r="EV911" s="16"/>
      <c r="EW911" s="17"/>
      <c r="EX911" s="17"/>
      <c r="EY911" s="16"/>
      <c r="EZ911" s="16"/>
      <c r="FA911" s="17"/>
      <c r="FB911" s="17"/>
      <c r="FC911" s="16"/>
      <c r="FD911" s="16"/>
      <c r="FE911" s="17"/>
      <c r="FF911" s="17"/>
      <c r="FG911" s="11"/>
      <c r="GT911" s="11"/>
      <c r="IG911" s="11"/>
      <c r="JT911" s="11"/>
      <c r="LG911" s="11"/>
      <c r="MT911" s="11"/>
      <c r="OG911" s="11"/>
      <c r="PT911" s="11"/>
    </row>
    <row r="912" spans="1:436" ht="15.75" x14ac:dyDescent="0.25">
      <c r="C912" s="20" t="s">
        <v>673</v>
      </c>
      <c r="D912" s="21" t="s">
        <v>146</v>
      </c>
      <c r="H912" s="11"/>
      <c r="AU912" s="11"/>
      <c r="CH912" s="11"/>
      <c r="CI912" s="16"/>
      <c r="CJ912" s="16"/>
      <c r="CK912" s="16"/>
      <c r="CL912" s="16"/>
      <c r="CM912" s="16"/>
      <c r="CN912" s="16"/>
      <c r="CO912" s="16"/>
      <c r="CP912" s="16"/>
      <c r="CQ912" s="16"/>
      <c r="CR912" s="16"/>
      <c r="CS912" s="16"/>
      <c r="CT912" s="16"/>
      <c r="CU912" s="16"/>
      <c r="CV912" s="16"/>
      <c r="CW912" s="16"/>
      <c r="CX912" s="16"/>
      <c r="CY912" s="16"/>
      <c r="CZ912" s="16"/>
      <c r="DA912" s="16"/>
      <c r="DB912" s="16"/>
      <c r="DC912" s="16"/>
      <c r="DD912" s="16"/>
      <c r="DE912" s="17"/>
      <c r="DF912" s="17"/>
      <c r="DG912" s="16"/>
      <c r="DH912" s="16"/>
      <c r="DI912" s="17"/>
      <c r="DJ912" s="17"/>
      <c r="DK912" s="16"/>
      <c r="DL912" s="16"/>
      <c r="DM912" s="17"/>
      <c r="DN912" s="17"/>
      <c r="DO912" s="16"/>
      <c r="DP912" s="16"/>
      <c r="DQ912" s="18">
        <v>1</v>
      </c>
      <c r="DR912" s="18">
        <v>1</v>
      </c>
      <c r="DS912" s="16"/>
      <c r="DT912" s="16"/>
      <c r="DU912" s="17"/>
      <c r="DV912" s="17"/>
      <c r="DW912" s="16"/>
      <c r="DX912" s="16"/>
      <c r="DY912" s="17"/>
      <c r="DZ912" s="17"/>
      <c r="EA912" s="16"/>
      <c r="EB912" s="16"/>
      <c r="EC912" s="17"/>
      <c r="ED912" s="17"/>
      <c r="EE912" s="16"/>
      <c r="EF912" s="16"/>
      <c r="EG912" s="17"/>
      <c r="EH912" s="17"/>
      <c r="EI912" s="16"/>
      <c r="EJ912" s="16"/>
      <c r="EK912" s="17"/>
      <c r="EL912" s="17"/>
      <c r="EM912" s="16"/>
      <c r="EN912" s="16"/>
      <c r="EO912" s="17"/>
      <c r="EP912" s="17"/>
      <c r="EQ912" s="16"/>
      <c r="ER912" s="16"/>
      <c r="ES912" s="17"/>
      <c r="ET912" s="17"/>
      <c r="EU912" s="16"/>
      <c r="EV912" s="16"/>
      <c r="EW912" s="17"/>
      <c r="EX912" s="17"/>
      <c r="EY912" s="16"/>
      <c r="EZ912" s="16"/>
      <c r="FA912" s="17"/>
      <c r="FB912" s="17"/>
      <c r="FC912" s="16"/>
      <c r="FD912" s="16"/>
      <c r="FE912" s="17"/>
      <c r="FF912" s="17"/>
      <c r="FG912" s="11"/>
      <c r="GT912" s="11"/>
      <c r="IG912" s="11"/>
      <c r="JT912" s="11"/>
      <c r="LG912" s="11"/>
      <c r="MT912" s="11"/>
      <c r="OG912" s="11"/>
      <c r="PT912" s="11"/>
    </row>
    <row r="913" spans="3:436" ht="15.75" x14ac:dyDescent="0.25">
      <c r="C913" s="20" t="s">
        <v>674</v>
      </c>
      <c r="D913" s="21" t="s">
        <v>93</v>
      </c>
      <c r="H913" s="11"/>
      <c r="AU913" s="11"/>
      <c r="CH913" s="11"/>
      <c r="CI913" s="16"/>
      <c r="CJ913" s="16"/>
      <c r="CK913" s="16"/>
      <c r="CL913" s="16"/>
      <c r="CM913" s="16"/>
      <c r="CN913" s="16"/>
      <c r="CO913" s="16"/>
      <c r="CP913" s="16"/>
      <c r="CQ913" s="16"/>
      <c r="CR913" s="16"/>
      <c r="CS913" s="16"/>
      <c r="CT913" s="16"/>
      <c r="CU913" s="16"/>
      <c r="CV913" s="16"/>
      <c r="CW913" s="16"/>
      <c r="CX913" s="16"/>
      <c r="CY913" s="16"/>
      <c r="CZ913" s="16"/>
      <c r="DA913" s="16"/>
      <c r="DB913" s="16"/>
      <c r="DC913" s="16"/>
      <c r="DD913" s="16"/>
      <c r="DE913" s="17"/>
      <c r="DF913" s="17"/>
      <c r="DG913" s="16"/>
      <c r="DH913" s="16"/>
      <c r="DI913" s="17"/>
      <c r="DJ913" s="17"/>
      <c r="DK913" s="16"/>
      <c r="DL913" s="16"/>
      <c r="DM913" s="17"/>
      <c r="DN913" s="17"/>
      <c r="DO913" s="16"/>
      <c r="DP913" s="16"/>
      <c r="DQ913" s="17"/>
      <c r="DR913" s="17"/>
      <c r="DS913" s="16"/>
      <c r="DT913" s="16"/>
      <c r="DU913" s="17"/>
      <c r="DV913" s="17"/>
      <c r="DW913" s="16"/>
      <c r="DX913" s="16"/>
      <c r="DY913" s="17"/>
      <c r="DZ913" s="17"/>
      <c r="EA913" s="16"/>
      <c r="EB913" s="16"/>
      <c r="EC913" s="17"/>
      <c r="ED913" s="17"/>
      <c r="EE913" s="16"/>
      <c r="EF913" s="16"/>
      <c r="EG913" s="17"/>
      <c r="EH913" s="17"/>
      <c r="EI913" s="16"/>
      <c r="EJ913" s="16"/>
      <c r="EK913" s="17"/>
      <c r="EL913" s="17"/>
      <c r="EM913" s="16"/>
      <c r="EN913" s="16"/>
      <c r="EO913" s="17"/>
      <c r="EP913" s="17"/>
      <c r="EQ913" s="16"/>
      <c r="ER913" s="16"/>
      <c r="ES913" s="17"/>
      <c r="ET913" s="17"/>
      <c r="EU913" s="16"/>
      <c r="EV913" s="16"/>
      <c r="EW913" s="17"/>
      <c r="EX913" s="17"/>
      <c r="EY913" s="16"/>
      <c r="EZ913" s="16"/>
      <c r="FA913" s="17"/>
      <c r="FB913" s="17"/>
      <c r="FC913" s="16"/>
      <c r="FD913" s="16"/>
      <c r="FE913" s="17"/>
      <c r="FF913" s="17"/>
      <c r="FG913" s="11"/>
      <c r="GT913" s="11"/>
      <c r="IG913" s="11"/>
      <c r="JT913" s="11"/>
      <c r="LG913" s="11"/>
      <c r="MT913" s="11"/>
      <c r="OG913" s="11"/>
      <c r="PT913" s="11"/>
    </row>
    <row r="914" spans="3:436" ht="15.75" x14ac:dyDescent="0.25">
      <c r="C914" s="20" t="s">
        <v>675</v>
      </c>
      <c r="D914" s="21" t="s">
        <v>93</v>
      </c>
      <c r="H914" s="11"/>
      <c r="AU914" s="11"/>
      <c r="CH914" s="11"/>
      <c r="CI914" s="16"/>
      <c r="CJ914" s="16"/>
      <c r="CK914" s="16"/>
      <c r="CL914" s="16"/>
      <c r="CM914" s="16"/>
      <c r="CN914" s="16"/>
      <c r="CO914" s="16"/>
      <c r="CP914" s="16"/>
      <c r="CQ914" s="16"/>
      <c r="CR914" s="16"/>
      <c r="CS914" s="16"/>
      <c r="CT914" s="16"/>
      <c r="CU914" s="16"/>
      <c r="CV914" s="16"/>
      <c r="CW914" s="16"/>
      <c r="CX914" s="16"/>
      <c r="CY914" s="16"/>
      <c r="CZ914" s="16"/>
      <c r="DA914" s="16"/>
      <c r="DB914" s="16"/>
      <c r="DC914" s="16"/>
      <c r="DD914" s="16"/>
      <c r="DE914" s="17"/>
      <c r="DF914" s="17"/>
      <c r="DG914" s="16"/>
      <c r="DH914" s="16"/>
      <c r="DI914" s="17"/>
      <c r="DJ914" s="17"/>
      <c r="DK914" s="16"/>
      <c r="DL914" s="16"/>
      <c r="DM914" s="17"/>
      <c r="DN914" s="17"/>
      <c r="DO914" s="16"/>
      <c r="DP914" s="16"/>
      <c r="DQ914" s="17"/>
      <c r="DR914" s="17"/>
      <c r="DS914" s="16"/>
      <c r="DT914" s="16"/>
      <c r="DU914" s="17"/>
      <c r="DV914" s="17"/>
      <c r="DW914" s="16"/>
      <c r="DX914" s="16"/>
      <c r="DY914" s="17"/>
      <c r="DZ914" s="17"/>
      <c r="EA914" s="16"/>
      <c r="EB914" s="16"/>
      <c r="EC914" s="17"/>
      <c r="ED914" s="17"/>
      <c r="EE914" s="16"/>
      <c r="EF914" s="16"/>
      <c r="EG914" s="17"/>
      <c r="EH914" s="17"/>
      <c r="EI914" s="16"/>
      <c r="EJ914" s="16"/>
      <c r="EK914" s="17"/>
      <c r="EL914" s="17"/>
      <c r="EM914" s="16"/>
      <c r="EN914" s="16"/>
      <c r="EO914" s="17"/>
      <c r="EP914" s="17"/>
      <c r="EQ914" s="16"/>
      <c r="ER914" s="16"/>
      <c r="ES914" s="17"/>
      <c r="ET914" s="17"/>
      <c r="EU914" s="16"/>
      <c r="EV914" s="16"/>
      <c r="EW914" s="17"/>
      <c r="EX914" s="17"/>
      <c r="EY914" s="16"/>
      <c r="EZ914" s="16"/>
      <c r="FA914" s="17"/>
      <c r="FB914" s="17"/>
      <c r="FC914" s="16"/>
      <c r="FD914" s="16"/>
      <c r="FE914" s="17"/>
      <c r="FF914" s="17"/>
      <c r="FG914" s="11"/>
      <c r="GT914" s="11"/>
      <c r="IG914" s="11"/>
      <c r="JT914" s="11"/>
      <c r="LG914" s="11"/>
      <c r="MT914" s="11"/>
      <c r="OG914" s="11"/>
      <c r="PT914" s="11"/>
    </row>
    <row r="915" spans="3:436" ht="15.75" x14ac:dyDescent="0.25">
      <c r="C915" s="20" t="s">
        <v>676</v>
      </c>
      <c r="D915" s="21" t="s">
        <v>93</v>
      </c>
      <c r="H915" s="11"/>
      <c r="AU915" s="11"/>
      <c r="CH915" s="11"/>
      <c r="CI915" s="16"/>
      <c r="CJ915" s="16"/>
      <c r="CK915" s="16"/>
      <c r="CL915" s="16"/>
      <c r="CM915" s="16"/>
      <c r="CN915" s="16"/>
      <c r="CO915" s="16"/>
      <c r="CP915" s="16"/>
      <c r="CQ915" s="16"/>
      <c r="CR915" s="16"/>
      <c r="CS915" s="16"/>
      <c r="CT915" s="16"/>
      <c r="CU915" s="16"/>
      <c r="CV915" s="16"/>
      <c r="CW915" s="16"/>
      <c r="CX915" s="16"/>
      <c r="CY915" s="16"/>
      <c r="CZ915" s="16"/>
      <c r="DA915" s="16"/>
      <c r="DB915" s="16"/>
      <c r="DC915" s="16"/>
      <c r="DD915" s="16"/>
      <c r="DE915" s="17"/>
      <c r="DF915" s="17"/>
      <c r="DG915" s="16"/>
      <c r="DH915" s="16"/>
      <c r="DI915" s="17"/>
      <c r="DJ915" s="17"/>
      <c r="DK915" s="16"/>
      <c r="DL915" s="16"/>
      <c r="DM915" s="17"/>
      <c r="DN915" s="17"/>
      <c r="DO915" s="16"/>
      <c r="DP915" s="16"/>
      <c r="DQ915" s="17"/>
      <c r="DR915" s="17"/>
      <c r="DS915" s="16"/>
      <c r="DT915" s="16"/>
      <c r="DU915" s="17"/>
      <c r="DV915" s="17"/>
      <c r="DW915" s="16"/>
      <c r="DX915" s="16"/>
      <c r="DY915" s="17"/>
      <c r="DZ915" s="17"/>
      <c r="EA915" s="16"/>
      <c r="EB915" s="16"/>
      <c r="EC915" s="17"/>
      <c r="ED915" s="17"/>
      <c r="EE915" s="16"/>
      <c r="EF915" s="16"/>
      <c r="EG915" s="17"/>
      <c r="EH915" s="17"/>
      <c r="EI915" s="16"/>
      <c r="EJ915" s="16"/>
      <c r="EK915" s="17"/>
      <c r="EL915" s="17"/>
      <c r="EM915" s="16"/>
      <c r="EN915" s="16"/>
      <c r="EO915" s="17"/>
      <c r="EP915" s="17"/>
      <c r="EQ915" s="16"/>
      <c r="ER915" s="16"/>
      <c r="ES915" s="17"/>
      <c r="ET915" s="17"/>
      <c r="EU915" s="16"/>
      <c r="EV915" s="16"/>
      <c r="EW915" s="17"/>
      <c r="EX915" s="17"/>
      <c r="EY915" s="16"/>
      <c r="EZ915" s="16"/>
      <c r="FA915" s="17"/>
      <c r="FB915" s="17"/>
      <c r="FC915" s="16"/>
      <c r="FD915" s="16"/>
      <c r="FE915" s="17"/>
      <c r="FF915" s="17"/>
      <c r="FG915" s="11"/>
      <c r="GT915" s="11"/>
      <c r="IG915" s="11"/>
      <c r="JT915" s="11"/>
      <c r="LG915" s="11"/>
      <c r="MT915" s="11"/>
      <c r="OG915" s="11"/>
      <c r="PT915" s="11"/>
    </row>
    <row r="916" spans="3:436" ht="15.75" x14ac:dyDescent="0.25">
      <c r="C916" s="20" t="s">
        <v>677</v>
      </c>
      <c r="D916" s="21" t="s">
        <v>93</v>
      </c>
      <c r="H916" s="11"/>
      <c r="AU916" s="11"/>
      <c r="CH916" s="11"/>
      <c r="CI916" s="16"/>
      <c r="CJ916" s="16"/>
      <c r="CK916" s="16"/>
      <c r="CL916" s="16"/>
      <c r="CM916" s="16"/>
      <c r="CN916" s="16"/>
      <c r="CO916" s="16"/>
      <c r="CP916" s="16"/>
      <c r="CQ916" s="16"/>
      <c r="CR916" s="16"/>
      <c r="CS916" s="16"/>
      <c r="CT916" s="16"/>
      <c r="CU916" s="16"/>
      <c r="CV916" s="16"/>
      <c r="CW916" s="16"/>
      <c r="CX916" s="16"/>
      <c r="CY916" s="16"/>
      <c r="CZ916" s="16"/>
      <c r="DA916" s="16"/>
      <c r="DB916" s="16"/>
      <c r="DC916" s="16"/>
      <c r="DD916" s="16"/>
      <c r="DE916" s="17"/>
      <c r="DF916" s="17"/>
      <c r="DG916" s="16"/>
      <c r="DH916" s="16"/>
      <c r="DI916" s="17"/>
      <c r="DJ916" s="17"/>
      <c r="DK916" s="16"/>
      <c r="DL916" s="16"/>
      <c r="DM916" s="17"/>
      <c r="DN916" s="17"/>
      <c r="DO916" s="16"/>
      <c r="DP916" s="16"/>
      <c r="DQ916" s="17"/>
      <c r="DR916" s="17"/>
      <c r="DS916" s="16"/>
      <c r="DT916" s="16"/>
      <c r="DU916" s="17"/>
      <c r="DV916" s="17"/>
      <c r="DW916" s="16"/>
      <c r="DX916" s="16"/>
      <c r="DY916" s="17"/>
      <c r="DZ916" s="17"/>
      <c r="EA916" s="16"/>
      <c r="EB916" s="16"/>
      <c r="EC916" s="17"/>
      <c r="ED916" s="17"/>
      <c r="EE916" s="16"/>
      <c r="EF916" s="16"/>
      <c r="EG916" s="17"/>
      <c r="EH916" s="17"/>
      <c r="EI916" s="16"/>
      <c r="EJ916" s="16"/>
      <c r="EK916" s="17"/>
      <c r="EL916" s="17"/>
      <c r="EM916" s="16"/>
      <c r="EN916" s="16"/>
      <c r="EO916" s="17"/>
      <c r="EP916" s="17"/>
      <c r="EQ916" s="16"/>
      <c r="ER916" s="16"/>
      <c r="ES916" s="17"/>
      <c r="ET916" s="17"/>
      <c r="EU916" s="16"/>
      <c r="EV916" s="16"/>
      <c r="EW916" s="17"/>
      <c r="EX916" s="17"/>
      <c r="EY916" s="16"/>
      <c r="EZ916" s="16"/>
      <c r="FA916" s="17"/>
      <c r="FB916" s="17"/>
      <c r="FC916" s="16"/>
      <c r="FD916" s="16"/>
      <c r="FE916" s="17"/>
      <c r="FF916" s="17"/>
      <c r="FG916" s="11"/>
      <c r="GT916" s="11"/>
      <c r="IG916" s="11"/>
      <c r="JT916" s="11"/>
      <c r="LG916" s="11"/>
      <c r="MT916" s="11"/>
      <c r="OG916" s="11"/>
      <c r="PT916" s="11"/>
    </row>
    <row r="917" spans="3:436" ht="15.75" x14ac:dyDescent="0.25">
      <c r="C917" s="20" t="s">
        <v>678</v>
      </c>
      <c r="D917" s="21" t="s">
        <v>93</v>
      </c>
      <c r="H917" s="11"/>
      <c r="AU917" s="11"/>
      <c r="CH917" s="11"/>
      <c r="CI917" s="16"/>
      <c r="CJ917" s="16"/>
      <c r="CK917" s="16"/>
      <c r="CL917" s="16"/>
      <c r="CM917" s="16"/>
      <c r="CN917" s="16"/>
      <c r="CO917" s="16"/>
      <c r="CP917" s="16"/>
      <c r="CQ917" s="16"/>
      <c r="CR917" s="16"/>
      <c r="CS917" s="16"/>
      <c r="CT917" s="16"/>
      <c r="CU917" s="16"/>
      <c r="CV917" s="16"/>
      <c r="CW917" s="16"/>
      <c r="CX917" s="16"/>
      <c r="CY917" s="16"/>
      <c r="CZ917" s="16"/>
      <c r="DA917" s="16"/>
      <c r="DB917" s="16"/>
      <c r="DC917" s="16"/>
      <c r="DD917" s="16"/>
      <c r="DE917" s="17"/>
      <c r="DF917" s="17"/>
      <c r="DG917" s="16"/>
      <c r="DH917" s="16"/>
      <c r="DI917" s="17"/>
      <c r="DJ917" s="17"/>
      <c r="DK917" s="16"/>
      <c r="DL917" s="16"/>
      <c r="DM917" s="17"/>
      <c r="DN917" s="17"/>
      <c r="DO917" s="16"/>
      <c r="DP917" s="16"/>
      <c r="DQ917" s="17"/>
      <c r="DR917" s="17"/>
      <c r="DS917" s="16"/>
      <c r="DT917" s="16"/>
      <c r="DU917" s="17"/>
      <c r="DV917" s="17"/>
      <c r="DW917" s="16"/>
      <c r="DX917" s="16"/>
      <c r="DY917" s="17"/>
      <c r="DZ917" s="17"/>
      <c r="EA917" s="16"/>
      <c r="EB917" s="16"/>
      <c r="EC917" s="17"/>
      <c r="ED917" s="17"/>
      <c r="EE917" s="16"/>
      <c r="EF917" s="16"/>
      <c r="EG917" s="17"/>
      <c r="EH917" s="17"/>
      <c r="EI917" s="16"/>
      <c r="EJ917" s="16"/>
      <c r="EK917" s="17"/>
      <c r="EL917" s="17"/>
      <c r="EM917" s="16"/>
      <c r="EN917" s="16"/>
      <c r="EO917" s="17"/>
      <c r="EP917" s="17"/>
      <c r="EQ917" s="16"/>
      <c r="ER917" s="16"/>
      <c r="ES917" s="17"/>
      <c r="ET917" s="17"/>
      <c r="EU917" s="16"/>
      <c r="EV917" s="16"/>
      <c r="EW917" s="17"/>
      <c r="EX917" s="17"/>
      <c r="EY917" s="16"/>
      <c r="EZ917" s="16"/>
      <c r="FA917" s="17"/>
      <c r="FB917" s="17"/>
      <c r="FC917" s="16"/>
      <c r="FD917" s="16"/>
      <c r="FE917" s="17"/>
      <c r="FF917" s="17"/>
      <c r="FG917" s="11"/>
      <c r="GT917" s="11"/>
      <c r="IG917" s="11"/>
      <c r="JT917" s="11"/>
      <c r="LG917" s="11"/>
      <c r="MT917" s="11"/>
      <c r="OG917" s="11"/>
      <c r="PT917" s="11"/>
    </row>
    <row r="918" spans="3:436" ht="15.75" x14ac:dyDescent="0.25">
      <c r="C918" s="20" t="s">
        <v>679</v>
      </c>
      <c r="D918" s="21" t="s">
        <v>93</v>
      </c>
      <c r="H918" s="11"/>
      <c r="AU918" s="11"/>
      <c r="CH918" s="11"/>
      <c r="CI918" s="16"/>
      <c r="CJ918" s="16"/>
      <c r="CK918" s="16"/>
      <c r="CL918" s="16"/>
      <c r="CM918" s="16"/>
      <c r="CN918" s="16"/>
      <c r="CO918" s="16"/>
      <c r="CP918" s="16"/>
      <c r="CQ918" s="16"/>
      <c r="CR918" s="16"/>
      <c r="CS918" s="16"/>
      <c r="CT918" s="16"/>
      <c r="CU918" s="16"/>
      <c r="CV918" s="16"/>
      <c r="CW918" s="16"/>
      <c r="CX918" s="16"/>
      <c r="CY918" s="16"/>
      <c r="CZ918" s="16"/>
      <c r="DA918" s="16"/>
      <c r="DB918" s="16"/>
      <c r="DC918" s="16"/>
      <c r="DD918" s="16"/>
      <c r="DE918" s="17"/>
      <c r="DF918" s="17"/>
      <c r="DG918" s="16"/>
      <c r="DH918" s="16"/>
      <c r="DI918" s="17"/>
      <c r="DJ918" s="17"/>
      <c r="DK918" s="16"/>
      <c r="DL918" s="16"/>
      <c r="DM918" s="17"/>
      <c r="DN918" s="17"/>
      <c r="DO918" s="16"/>
      <c r="DP918" s="16"/>
      <c r="DQ918" s="17"/>
      <c r="DR918" s="17"/>
      <c r="DS918" s="16"/>
      <c r="DT918" s="16"/>
      <c r="DU918" s="17"/>
      <c r="DV918" s="17"/>
      <c r="DW918" s="16"/>
      <c r="DX918" s="16"/>
      <c r="DY918" s="17"/>
      <c r="DZ918" s="17"/>
      <c r="EA918" s="16"/>
      <c r="EB918" s="16"/>
      <c r="EC918" s="17"/>
      <c r="ED918" s="17"/>
      <c r="EE918" s="16"/>
      <c r="EF918" s="16"/>
      <c r="EG918" s="17"/>
      <c r="EH918" s="17"/>
      <c r="EI918" s="16"/>
      <c r="EJ918" s="16"/>
      <c r="EK918" s="17"/>
      <c r="EL918" s="17"/>
      <c r="EM918" s="16"/>
      <c r="EN918" s="16"/>
      <c r="EO918" s="17"/>
      <c r="EP918" s="17"/>
      <c r="EQ918" s="16"/>
      <c r="ER918" s="16"/>
      <c r="ES918" s="17"/>
      <c r="ET918" s="17"/>
      <c r="EU918" s="16"/>
      <c r="EV918" s="16"/>
      <c r="EW918" s="17"/>
      <c r="EX918" s="17"/>
      <c r="EY918" s="16"/>
      <c r="EZ918" s="16"/>
      <c r="FA918" s="17"/>
      <c r="FB918" s="17"/>
      <c r="FC918" s="16"/>
      <c r="FD918" s="16"/>
      <c r="FE918" s="17"/>
      <c r="FF918" s="17"/>
      <c r="FG918" s="11"/>
      <c r="GT918" s="11"/>
      <c r="IG918" s="11"/>
      <c r="JT918" s="11"/>
      <c r="LG918" s="11"/>
      <c r="MT918" s="11"/>
      <c r="OG918" s="11"/>
      <c r="PT918" s="11"/>
    </row>
    <row r="919" spans="3:436" ht="15.75" x14ac:dyDescent="0.25">
      <c r="C919" s="20" t="s">
        <v>680</v>
      </c>
      <c r="D919" s="21" t="s">
        <v>93</v>
      </c>
      <c r="H919" s="11"/>
      <c r="AU919" s="11"/>
      <c r="CH919" s="11"/>
      <c r="CI919" s="16"/>
      <c r="CJ919" s="16"/>
      <c r="CK919" s="16"/>
      <c r="CL919" s="16"/>
      <c r="CM919" s="16"/>
      <c r="CN919" s="16"/>
      <c r="CO919" s="16"/>
      <c r="CP919" s="16"/>
      <c r="CQ919" s="16"/>
      <c r="CR919" s="16"/>
      <c r="CS919" s="16"/>
      <c r="CT919" s="16"/>
      <c r="CU919" s="16"/>
      <c r="CV919" s="16"/>
      <c r="CW919" s="16"/>
      <c r="CX919" s="16"/>
      <c r="CY919" s="16"/>
      <c r="CZ919" s="16"/>
      <c r="DA919" s="16"/>
      <c r="DB919" s="16"/>
      <c r="DC919" s="16"/>
      <c r="DD919" s="16"/>
      <c r="DE919" s="17"/>
      <c r="DF919" s="17"/>
      <c r="DG919" s="16"/>
      <c r="DH919" s="16"/>
      <c r="DI919" s="17"/>
      <c r="DJ919" s="17"/>
      <c r="DK919" s="16"/>
      <c r="DL919" s="16"/>
      <c r="DM919" s="17"/>
      <c r="DN919" s="17"/>
      <c r="DO919" s="16"/>
      <c r="DP919" s="16"/>
      <c r="DQ919" s="17"/>
      <c r="DR919" s="17"/>
      <c r="DS919" s="16"/>
      <c r="DT919" s="16"/>
      <c r="DU919" s="17"/>
      <c r="DV919" s="17"/>
      <c r="DW919" s="16"/>
      <c r="DX919" s="16"/>
      <c r="DY919" s="17"/>
      <c r="DZ919" s="17"/>
      <c r="EA919" s="16"/>
      <c r="EB919" s="16"/>
      <c r="EC919" s="17"/>
      <c r="ED919" s="17"/>
      <c r="EE919" s="16"/>
      <c r="EF919" s="16"/>
      <c r="EG919" s="17"/>
      <c r="EH919" s="17"/>
      <c r="EI919" s="16"/>
      <c r="EJ919" s="16"/>
      <c r="EK919" s="17"/>
      <c r="EL919" s="17"/>
      <c r="EM919" s="16"/>
      <c r="EN919" s="16"/>
      <c r="EO919" s="17"/>
      <c r="EP919" s="17"/>
      <c r="EQ919" s="16"/>
      <c r="ER919" s="16"/>
      <c r="ES919" s="17"/>
      <c r="ET919" s="17"/>
      <c r="EU919" s="16"/>
      <c r="EV919" s="16"/>
      <c r="EW919" s="17"/>
      <c r="EX919" s="17"/>
      <c r="EY919" s="16"/>
      <c r="EZ919" s="16"/>
      <c r="FA919" s="17"/>
      <c r="FB919" s="17"/>
      <c r="FC919" s="16"/>
      <c r="FD919" s="16"/>
      <c r="FE919" s="17"/>
      <c r="FF919" s="17"/>
      <c r="FG919" s="11"/>
      <c r="GT919" s="11"/>
      <c r="IG919" s="11"/>
      <c r="JT919" s="11"/>
      <c r="LG919" s="11"/>
      <c r="MT919" s="11"/>
      <c r="OG919" s="11"/>
      <c r="PT919" s="11"/>
    </row>
    <row r="920" spans="3:436" ht="15.75" x14ac:dyDescent="0.25">
      <c r="C920" s="20" t="s">
        <v>681</v>
      </c>
      <c r="D920" s="21" t="s">
        <v>129</v>
      </c>
      <c r="H920" s="11"/>
      <c r="AU920" s="11"/>
      <c r="CH920" s="11"/>
      <c r="CI920" s="16"/>
      <c r="CJ920" s="16"/>
      <c r="CK920" s="16"/>
      <c r="CL920" s="16"/>
      <c r="CM920" s="16"/>
      <c r="CN920" s="16"/>
      <c r="CO920" s="16"/>
      <c r="CP920" s="16"/>
      <c r="CQ920" s="16"/>
      <c r="CR920" s="16"/>
      <c r="CS920" s="16"/>
      <c r="CT920" s="16"/>
      <c r="CU920" s="16"/>
      <c r="CV920" s="16"/>
      <c r="CW920" s="16"/>
      <c r="CX920" s="16"/>
      <c r="CY920" s="16"/>
      <c r="CZ920" s="16"/>
      <c r="DA920" s="16"/>
      <c r="DB920" s="16"/>
      <c r="DC920" s="16"/>
      <c r="DD920" s="16"/>
      <c r="DE920" s="17"/>
      <c r="DF920" s="17"/>
      <c r="DG920" s="16"/>
      <c r="DH920" s="16"/>
      <c r="DI920" s="17"/>
      <c r="DJ920" s="17"/>
      <c r="DK920" s="16"/>
      <c r="DL920" s="16"/>
      <c r="DM920" s="17"/>
      <c r="DN920" s="17"/>
      <c r="DO920" s="16"/>
      <c r="DP920" s="16"/>
      <c r="DQ920" s="17"/>
      <c r="DR920" s="17"/>
      <c r="DS920" s="16"/>
      <c r="DT920" s="16"/>
      <c r="DU920" s="17"/>
      <c r="DV920" s="17"/>
      <c r="DW920" s="16"/>
      <c r="DX920" s="16"/>
      <c r="DY920" s="17"/>
      <c r="DZ920" s="17"/>
      <c r="EA920" s="16"/>
      <c r="EB920" s="16"/>
      <c r="EC920" s="17"/>
      <c r="ED920" s="17"/>
      <c r="EE920" s="16"/>
      <c r="EF920" s="16"/>
      <c r="EG920" s="17"/>
      <c r="EH920" s="17"/>
      <c r="EI920" s="16"/>
      <c r="EJ920" s="16"/>
      <c r="EK920" s="17"/>
      <c r="EL920" s="17"/>
      <c r="EM920" s="16"/>
      <c r="EN920" s="16"/>
      <c r="EO920" s="17"/>
      <c r="EP920" s="17"/>
      <c r="EQ920" s="16"/>
      <c r="ER920" s="16"/>
      <c r="ES920" s="17"/>
      <c r="ET920" s="17"/>
      <c r="EU920" s="16"/>
      <c r="EV920" s="16"/>
      <c r="EW920" s="17"/>
      <c r="EX920" s="17"/>
      <c r="EY920" s="16"/>
      <c r="EZ920" s="16"/>
      <c r="FA920" s="17"/>
      <c r="FB920" s="17"/>
      <c r="FC920" s="16"/>
      <c r="FD920" s="16"/>
      <c r="FE920" s="17"/>
      <c r="FF920" s="17"/>
      <c r="FG920" s="11"/>
      <c r="GT920" s="11"/>
      <c r="IG920" s="11"/>
      <c r="JT920" s="11"/>
      <c r="LG920" s="11"/>
      <c r="MT920" s="11"/>
      <c r="OG920" s="11"/>
      <c r="PT920" s="11"/>
    </row>
    <row r="921" spans="3:436" ht="15.75" x14ac:dyDescent="0.25">
      <c r="C921" s="20" t="s">
        <v>682</v>
      </c>
      <c r="D921" s="21" t="s">
        <v>104</v>
      </c>
      <c r="H921" s="11"/>
      <c r="AU921" s="11"/>
      <c r="CH921" s="11"/>
      <c r="CI921" s="16"/>
      <c r="CJ921" s="16"/>
      <c r="CK921" s="16"/>
      <c r="CL921" s="16"/>
      <c r="CM921" s="16"/>
      <c r="CN921" s="16"/>
      <c r="CO921" s="16"/>
      <c r="CP921" s="16"/>
      <c r="CQ921" s="16"/>
      <c r="CR921" s="16"/>
      <c r="CS921" s="16"/>
      <c r="CT921" s="16"/>
      <c r="CU921" s="16"/>
      <c r="CV921" s="16"/>
      <c r="CW921" s="16"/>
      <c r="CX921" s="16"/>
      <c r="CY921" s="16"/>
      <c r="CZ921" s="16"/>
      <c r="DA921" s="16"/>
      <c r="DB921" s="16"/>
      <c r="DC921" s="16"/>
      <c r="DD921" s="16"/>
      <c r="DE921" s="17"/>
      <c r="DF921" s="17"/>
      <c r="DG921" s="16"/>
      <c r="DH921" s="16"/>
      <c r="DI921" s="17"/>
      <c r="DJ921" s="17"/>
      <c r="DK921" s="16"/>
      <c r="DL921" s="16"/>
      <c r="DM921" s="17"/>
      <c r="DN921" s="17"/>
      <c r="DO921" s="16"/>
      <c r="DP921" s="16"/>
      <c r="DQ921" s="17"/>
      <c r="DR921" s="17"/>
      <c r="DS921" s="16"/>
      <c r="DT921" s="16"/>
      <c r="DU921" s="17"/>
      <c r="DV921" s="17"/>
      <c r="DW921" s="16"/>
      <c r="DX921" s="16"/>
      <c r="DY921" s="17"/>
      <c r="DZ921" s="17"/>
      <c r="EA921" s="16"/>
      <c r="EB921" s="16"/>
      <c r="EC921" s="17"/>
      <c r="ED921" s="17"/>
      <c r="EE921" s="16"/>
      <c r="EF921" s="16"/>
      <c r="EG921" s="17"/>
      <c r="EH921" s="17"/>
      <c r="EI921" s="16"/>
      <c r="EJ921" s="16"/>
      <c r="EK921" s="17"/>
      <c r="EL921" s="17"/>
      <c r="EM921" s="16"/>
      <c r="EN921" s="16"/>
      <c r="EO921" s="17"/>
      <c r="EP921" s="17"/>
      <c r="EQ921" s="16"/>
      <c r="ER921" s="16"/>
      <c r="ES921" s="17"/>
      <c r="ET921" s="17"/>
      <c r="EU921" s="16"/>
      <c r="EV921" s="16"/>
      <c r="EW921" s="17"/>
      <c r="EX921" s="17"/>
      <c r="EY921" s="16"/>
      <c r="EZ921" s="16"/>
      <c r="FA921" s="17"/>
      <c r="FB921" s="17"/>
      <c r="FC921" s="19">
        <v>6</v>
      </c>
      <c r="FD921" s="19">
        <v>3</v>
      </c>
      <c r="FE921" s="17"/>
      <c r="FF921" s="17"/>
      <c r="FG921" s="11"/>
      <c r="GT921" s="11"/>
      <c r="IG921" s="11"/>
      <c r="JT921" s="11"/>
      <c r="LG921" s="11"/>
      <c r="MT921" s="11"/>
      <c r="OG921" s="11"/>
      <c r="PT921" s="11"/>
    </row>
    <row r="922" spans="3:436" ht="15.75" x14ac:dyDescent="0.25">
      <c r="C922" s="20" t="s">
        <v>683</v>
      </c>
      <c r="D922" s="21" t="s">
        <v>79</v>
      </c>
      <c r="H922" s="11"/>
      <c r="AU922" s="11"/>
      <c r="CH922" s="11"/>
      <c r="CI922" s="16"/>
      <c r="CJ922" s="16"/>
      <c r="CK922" s="16"/>
      <c r="CL922" s="16"/>
      <c r="CM922" s="16"/>
      <c r="CN922" s="16"/>
      <c r="CO922" s="16"/>
      <c r="CP922" s="16"/>
      <c r="CQ922" s="16"/>
      <c r="CR922" s="16"/>
      <c r="CS922" s="16"/>
      <c r="CT922" s="16"/>
      <c r="CU922" s="16"/>
      <c r="CV922" s="16"/>
      <c r="CW922" s="16"/>
      <c r="CX922" s="16"/>
      <c r="CY922" s="16"/>
      <c r="CZ922" s="16"/>
      <c r="DA922" s="16"/>
      <c r="DB922" s="16"/>
      <c r="DC922" s="16"/>
      <c r="DD922" s="16"/>
      <c r="DE922" s="17"/>
      <c r="DF922" s="17"/>
      <c r="DG922" s="16"/>
      <c r="DH922" s="16"/>
      <c r="DI922" s="18">
        <v>0.5</v>
      </c>
      <c r="DJ922" s="18">
        <v>1</v>
      </c>
      <c r="DK922" s="16"/>
      <c r="DL922" s="16"/>
      <c r="DM922" s="17"/>
      <c r="DN922" s="17"/>
      <c r="DO922" s="16"/>
      <c r="DP922" s="16"/>
      <c r="DQ922" s="17"/>
      <c r="DR922" s="17"/>
      <c r="DS922" s="16"/>
      <c r="DT922" s="16"/>
      <c r="DU922" s="17"/>
      <c r="DV922" s="17"/>
      <c r="DW922" s="16"/>
      <c r="DX922" s="16"/>
      <c r="DY922" s="17"/>
      <c r="DZ922" s="17"/>
      <c r="EA922" s="16"/>
      <c r="EB922" s="16"/>
      <c r="EC922" s="17"/>
      <c r="ED922" s="17"/>
      <c r="EE922" s="16"/>
      <c r="EF922" s="16"/>
      <c r="EG922" s="17"/>
      <c r="EH922" s="17"/>
      <c r="EI922" s="16"/>
      <c r="EJ922" s="16"/>
      <c r="EK922" s="17"/>
      <c r="EL922" s="17"/>
      <c r="EM922" s="16"/>
      <c r="EN922" s="16"/>
      <c r="EO922" s="17"/>
      <c r="EP922" s="17"/>
      <c r="EQ922" s="16"/>
      <c r="ER922" s="16"/>
      <c r="ES922" s="17"/>
      <c r="ET922" s="17"/>
      <c r="EU922" s="16"/>
      <c r="EV922" s="16"/>
      <c r="EW922" s="17"/>
      <c r="EX922" s="17"/>
      <c r="EY922" s="16"/>
      <c r="EZ922" s="16"/>
      <c r="FA922" s="17"/>
      <c r="FB922" s="17"/>
      <c r="FC922" s="16"/>
      <c r="FD922" s="16"/>
      <c r="FE922" s="17"/>
      <c r="FF922" s="17"/>
      <c r="FG922" s="11"/>
      <c r="GT922" s="11"/>
      <c r="IG922" s="11"/>
      <c r="JT922" s="11"/>
      <c r="LG922" s="11"/>
      <c r="MT922" s="11"/>
      <c r="OG922" s="11"/>
      <c r="PT922" s="11"/>
    </row>
    <row r="923" spans="3:436" ht="15.75" x14ac:dyDescent="0.25">
      <c r="C923" s="20" t="s">
        <v>684</v>
      </c>
      <c r="D923" s="21" t="s">
        <v>93</v>
      </c>
      <c r="H923" s="11"/>
      <c r="AU923" s="11"/>
      <c r="CH923" s="11"/>
      <c r="CI923" s="16"/>
      <c r="CJ923" s="16"/>
      <c r="CK923" s="16"/>
      <c r="CL923" s="16"/>
      <c r="CM923" s="16"/>
      <c r="CN923" s="16"/>
      <c r="CO923" s="16"/>
      <c r="CP923" s="16"/>
      <c r="CQ923" s="16"/>
      <c r="CR923" s="16"/>
      <c r="CS923" s="16"/>
      <c r="CT923" s="16"/>
      <c r="CU923" s="16"/>
      <c r="CV923" s="16"/>
      <c r="CW923" s="16"/>
      <c r="CX923" s="16"/>
      <c r="CY923" s="16"/>
      <c r="CZ923" s="16"/>
      <c r="DA923" s="16"/>
      <c r="DB923" s="16"/>
      <c r="DC923" s="16"/>
      <c r="DD923" s="16"/>
      <c r="DE923" s="17"/>
      <c r="DF923" s="17"/>
      <c r="DG923" s="16"/>
      <c r="DH923" s="16"/>
      <c r="DI923" s="17"/>
      <c r="DJ923" s="17"/>
      <c r="DK923" s="16"/>
      <c r="DL923" s="16"/>
      <c r="DM923" s="17"/>
      <c r="DN923" s="17"/>
      <c r="DO923" s="16"/>
      <c r="DP923" s="16"/>
      <c r="DQ923" s="17"/>
      <c r="DR923" s="17"/>
      <c r="DS923" s="16"/>
      <c r="DT923" s="16"/>
      <c r="DU923" s="17"/>
      <c r="DV923" s="17"/>
      <c r="DW923" s="16"/>
      <c r="DX923" s="16"/>
      <c r="DY923" s="17"/>
      <c r="DZ923" s="17"/>
      <c r="EA923" s="16"/>
      <c r="EB923" s="16"/>
      <c r="EC923" s="17"/>
      <c r="ED923" s="17"/>
      <c r="EE923" s="16"/>
      <c r="EF923" s="16"/>
      <c r="EG923" s="17"/>
      <c r="EH923" s="17"/>
      <c r="EI923" s="16"/>
      <c r="EJ923" s="16"/>
      <c r="EK923" s="17"/>
      <c r="EL923" s="17"/>
      <c r="EM923" s="16"/>
      <c r="EN923" s="16"/>
      <c r="EO923" s="17"/>
      <c r="EP923" s="17"/>
      <c r="EQ923" s="16"/>
      <c r="ER923" s="16"/>
      <c r="ES923" s="17"/>
      <c r="ET923" s="17"/>
      <c r="EU923" s="16"/>
      <c r="EV923" s="16"/>
      <c r="EW923" s="17"/>
      <c r="EX923" s="17"/>
      <c r="EY923" s="16"/>
      <c r="EZ923" s="16"/>
      <c r="FA923" s="17"/>
      <c r="FB923" s="17"/>
      <c r="FC923" s="16"/>
      <c r="FD923" s="16"/>
      <c r="FE923" s="17"/>
      <c r="FF923" s="17"/>
      <c r="FG923" s="11"/>
      <c r="GT923" s="11"/>
      <c r="IG923" s="11"/>
      <c r="JT923" s="11"/>
      <c r="LG923" s="11"/>
      <c r="MT923" s="11"/>
      <c r="OG923" s="11"/>
      <c r="PT923" s="11"/>
    </row>
    <row r="924" spans="3:436" ht="15.75" x14ac:dyDescent="0.25">
      <c r="C924" s="20" t="s">
        <v>685</v>
      </c>
      <c r="D924" s="21" t="s">
        <v>90</v>
      </c>
      <c r="H924" s="11"/>
      <c r="AU924" s="11"/>
      <c r="CH924" s="11"/>
      <c r="CI924" s="16"/>
      <c r="CJ924" s="16"/>
      <c r="CK924" s="16"/>
      <c r="CL924" s="16"/>
      <c r="CM924" s="16"/>
      <c r="CN924" s="16"/>
      <c r="CO924" s="16"/>
      <c r="CP924" s="16"/>
      <c r="CQ924" s="16"/>
      <c r="CR924" s="16"/>
      <c r="CS924" s="16"/>
      <c r="CT924" s="16"/>
      <c r="CU924" s="16"/>
      <c r="CV924" s="16"/>
      <c r="CW924" s="16"/>
      <c r="CX924" s="16"/>
      <c r="CY924" s="16"/>
      <c r="CZ924" s="16"/>
      <c r="DA924" s="16"/>
      <c r="DB924" s="16"/>
      <c r="DC924" s="16"/>
      <c r="DD924" s="16"/>
      <c r="DE924" s="17"/>
      <c r="DF924" s="17"/>
      <c r="DG924" s="16"/>
      <c r="DH924" s="16"/>
      <c r="DI924" s="17"/>
      <c r="DJ924" s="17"/>
      <c r="DK924" s="16"/>
      <c r="DL924" s="16"/>
      <c r="DM924" s="17"/>
      <c r="DN924" s="17"/>
      <c r="DO924" s="16"/>
      <c r="DP924" s="16"/>
      <c r="DQ924" s="17"/>
      <c r="DR924" s="17"/>
      <c r="DS924" s="16"/>
      <c r="DT924" s="16"/>
      <c r="DU924" s="17"/>
      <c r="DV924" s="17"/>
      <c r="DW924" s="16"/>
      <c r="DX924" s="16"/>
      <c r="DY924" s="17"/>
      <c r="DZ924" s="17"/>
      <c r="EA924" s="16"/>
      <c r="EB924" s="16"/>
      <c r="EC924" s="17"/>
      <c r="ED924" s="17"/>
      <c r="EE924" s="16"/>
      <c r="EF924" s="16"/>
      <c r="EG924" s="17"/>
      <c r="EH924" s="17"/>
      <c r="EI924" s="16"/>
      <c r="EJ924" s="16"/>
      <c r="EK924" s="17"/>
      <c r="EL924" s="17"/>
      <c r="EM924" s="16"/>
      <c r="EN924" s="16"/>
      <c r="EO924" s="17"/>
      <c r="EP924" s="17"/>
      <c r="EQ924" s="16"/>
      <c r="ER924" s="16"/>
      <c r="ES924" s="17"/>
      <c r="ET924" s="17"/>
      <c r="EU924" s="16"/>
      <c r="EV924" s="16"/>
      <c r="EW924" s="17"/>
      <c r="EX924" s="17"/>
      <c r="EY924" s="16"/>
      <c r="EZ924" s="16"/>
      <c r="FA924" s="17"/>
      <c r="FB924" s="17"/>
      <c r="FC924" s="16"/>
      <c r="FD924" s="16"/>
      <c r="FE924" s="17"/>
      <c r="FF924" s="17"/>
      <c r="FG924" s="11"/>
      <c r="GT924" s="11"/>
      <c r="IG924" s="11"/>
      <c r="JT924" s="11"/>
      <c r="LG924" s="11"/>
      <c r="MT924" s="11"/>
      <c r="OG924" s="11"/>
      <c r="PT924" s="11"/>
    </row>
    <row r="925" spans="3:436" ht="15.75" x14ac:dyDescent="0.25">
      <c r="C925" s="20" t="s">
        <v>665</v>
      </c>
      <c r="D925" s="21" t="s">
        <v>82</v>
      </c>
      <c r="H925" s="11"/>
      <c r="AU925" s="11"/>
      <c r="CH925" s="11"/>
      <c r="CI925" s="16"/>
      <c r="CJ925" s="16"/>
      <c r="CK925" s="16"/>
      <c r="CL925" s="16"/>
      <c r="CM925" s="16"/>
      <c r="CN925" s="16"/>
      <c r="CO925" s="16"/>
      <c r="CP925" s="16"/>
      <c r="CQ925" s="16"/>
      <c r="CR925" s="16"/>
      <c r="CS925" s="16"/>
      <c r="CT925" s="16"/>
      <c r="CU925" s="16"/>
      <c r="CV925" s="16"/>
      <c r="CW925" s="16"/>
      <c r="CX925" s="16"/>
      <c r="CY925" s="16"/>
      <c r="CZ925" s="16"/>
      <c r="DA925" s="16"/>
      <c r="DB925" s="16"/>
      <c r="DC925" s="16"/>
      <c r="DD925" s="16"/>
      <c r="DE925" s="17"/>
      <c r="DF925" s="17"/>
      <c r="DG925" s="16"/>
      <c r="DH925" s="16"/>
      <c r="DI925" s="17"/>
      <c r="DJ925" s="17"/>
      <c r="DK925" s="16"/>
      <c r="DL925" s="16"/>
      <c r="DM925" s="17"/>
      <c r="DN925" s="17"/>
      <c r="DO925" s="16"/>
      <c r="DP925" s="16"/>
      <c r="DQ925" s="17"/>
      <c r="DR925" s="17"/>
      <c r="DS925" s="16"/>
      <c r="DT925" s="16"/>
      <c r="DU925" s="17"/>
      <c r="DV925" s="17"/>
      <c r="DW925" s="16"/>
      <c r="DX925" s="16"/>
      <c r="DY925" s="17"/>
      <c r="DZ925" s="17"/>
      <c r="EA925" s="16"/>
      <c r="EB925" s="16"/>
      <c r="EC925" s="17"/>
      <c r="ED925" s="17"/>
      <c r="EE925" s="16"/>
      <c r="EF925" s="16"/>
      <c r="EG925" s="17"/>
      <c r="EH925" s="17"/>
      <c r="EI925" s="16"/>
      <c r="EJ925" s="16"/>
      <c r="EK925" s="17"/>
      <c r="EL925" s="17"/>
      <c r="EM925" s="16"/>
      <c r="EN925" s="16"/>
      <c r="EO925" s="17"/>
      <c r="EP925" s="17"/>
      <c r="EQ925" s="16"/>
      <c r="ER925" s="16"/>
      <c r="ES925" s="17"/>
      <c r="ET925" s="17"/>
      <c r="EU925" s="16"/>
      <c r="EV925" s="16"/>
      <c r="EW925" s="17"/>
      <c r="EX925" s="17"/>
      <c r="EY925" s="16"/>
      <c r="EZ925" s="16"/>
      <c r="FA925" s="17"/>
      <c r="FB925" s="17"/>
      <c r="FC925" s="16"/>
      <c r="FD925" s="16"/>
      <c r="FE925" s="17"/>
      <c r="FF925" s="17"/>
      <c r="FG925" s="11"/>
      <c r="GT925" s="11"/>
      <c r="IG925" s="11"/>
      <c r="JT925" s="11"/>
      <c r="LG925" s="11"/>
      <c r="MT925" s="11"/>
      <c r="OG925" s="11"/>
      <c r="PT925" s="11"/>
    </row>
    <row r="926" spans="3:436" ht="25.5" x14ac:dyDescent="0.25">
      <c r="C926" s="20" t="s">
        <v>686</v>
      </c>
      <c r="D926" s="21" t="s">
        <v>82</v>
      </c>
      <c r="H926" s="11"/>
      <c r="AU926" s="11"/>
      <c r="CH926" s="11"/>
      <c r="CI926" s="16"/>
      <c r="CJ926" s="16"/>
      <c r="CK926" s="16"/>
      <c r="CL926" s="16"/>
      <c r="CM926" s="16"/>
      <c r="CN926" s="16"/>
      <c r="CO926" s="16"/>
      <c r="CP926" s="16"/>
      <c r="CQ926" s="16"/>
      <c r="CR926" s="16"/>
      <c r="CS926" s="16"/>
      <c r="CT926" s="16"/>
      <c r="CU926" s="16"/>
      <c r="CV926" s="16"/>
      <c r="CW926" s="16"/>
      <c r="CX926" s="16"/>
      <c r="CY926" s="16"/>
      <c r="CZ926" s="16"/>
      <c r="DA926" s="16"/>
      <c r="DB926" s="16"/>
      <c r="DC926" s="16"/>
      <c r="DD926" s="16"/>
      <c r="DE926" s="17"/>
      <c r="DF926" s="17"/>
      <c r="DG926" s="16"/>
      <c r="DH926" s="16"/>
      <c r="DI926" s="17"/>
      <c r="DJ926" s="17"/>
      <c r="DK926" s="16"/>
      <c r="DL926" s="16"/>
      <c r="DM926" s="17"/>
      <c r="DN926" s="17"/>
      <c r="DO926" s="16"/>
      <c r="DP926" s="16"/>
      <c r="DQ926" s="17"/>
      <c r="DR926" s="17"/>
      <c r="DS926" s="16"/>
      <c r="DT926" s="16"/>
      <c r="DU926" s="17"/>
      <c r="DV926" s="17"/>
      <c r="DW926" s="16"/>
      <c r="DX926" s="16"/>
      <c r="DY926" s="17"/>
      <c r="DZ926" s="17"/>
      <c r="EA926" s="16"/>
      <c r="EB926" s="16"/>
      <c r="EC926" s="17"/>
      <c r="ED926" s="17"/>
      <c r="EE926" s="16"/>
      <c r="EF926" s="16"/>
      <c r="EG926" s="17"/>
      <c r="EH926" s="17"/>
      <c r="EI926" s="16"/>
      <c r="EJ926" s="16"/>
      <c r="EK926" s="17"/>
      <c r="EL926" s="17"/>
      <c r="EM926" s="16"/>
      <c r="EN926" s="16"/>
      <c r="EO926" s="17"/>
      <c r="EP926" s="17"/>
      <c r="EQ926" s="16"/>
      <c r="ER926" s="16"/>
      <c r="ES926" s="18">
        <v>2</v>
      </c>
      <c r="ET926" s="18">
        <v>4</v>
      </c>
      <c r="EU926" s="16"/>
      <c r="EV926" s="16"/>
      <c r="EW926" s="17"/>
      <c r="EX926" s="17"/>
      <c r="EY926" s="16"/>
      <c r="EZ926" s="16"/>
      <c r="FA926" s="17"/>
      <c r="FB926" s="17"/>
      <c r="FC926" s="16"/>
      <c r="FD926" s="16"/>
      <c r="FE926" s="17"/>
      <c r="FF926" s="17"/>
      <c r="FG926" s="11"/>
      <c r="GT926" s="11"/>
      <c r="IG926" s="11"/>
      <c r="JT926" s="11"/>
      <c r="LG926" s="11"/>
      <c r="MT926" s="11"/>
      <c r="OG926" s="11"/>
      <c r="PT926" s="11"/>
    </row>
    <row r="927" spans="3:436" ht="25.5" x14ac:dyDescent="0.25">
      <c r="C927" s="20" t="s">
        <v>687</v>
      </c>
      <c r="D927" s="21" t="s">
        <v>82</v>
      </c>
      <c r="H927" s="11"/>
      <c r="AU927" s="11"/>
      <c r="CH927" s="11"/>
      <c r="CI927" s="16"/>
      <c r="CJ927" s="16"/>
      <c r="CK927" s="16"/>
      <c r="CL927" s="16"/>
      <c r="CM927" s="16"/>
      <c r="CN927" s="16"/>
      <c r="CO927" s="16"/>
      <c r="CP927" s="16"/>
      <c r="CQ927" s="16"/>
      <c r="CR927" s="16"/>
      <c r="CS927" s="16"/>
      <c r="CT927" s="16"/>
      <c r="CU927" s="16"/>
      <c r="CV927" s="16"/>
      <c r="CW927" s="16"/>
      <c r="CX927" s="16"/>
      <c r="CY927" s="16"/>
      <c r="CZ927" s="16"/>
      <c r="DA927" s="16"/>
      <c r="DB927" s="16"/>
      <c r="DC927" s="16"/>
      <c r="DD927" s="16"/>
      <c r="DE927" s="17"/>
      <c r="DF927" s="17"/>
      <c r="DG927" s="16"/>
      <c r="DH927" s="16"/>
      <c r="DI927" s="17"/>
      <c r="DJ927" s="17"/>
      <c r="DK927" s="16"/>
      <c r="DL927" s="16"/>
      <c r="DM927" s="17"/>
      <c r="DN927" s="17"/>
      <c r="DO927" s="16"/>
      <c r="DP927" s="16"/>
      <c r="DQ927" s="17"/>
      <c r="DR927" s="17"/>
      <c r="DS927" s="16"/>
      <c r="DT927" s="16"/>
      <c r="DU927" s="17"/>
      <c r="DV927" s="17"/>
      <c r="DW927" s="16"/>
      <c r="DX927" s="16"/>
      <c r="DY927" s="17"/>
      <c r="DZ927" s="17"/>
      <c r="EA927" s="16"/>
      <c r="EB927" s="16"/>
      <c r="EC927" s="17"/>
      <c r="ED927" s="17"/>
      <c r="EE927" s="16"/>
      <c r="EF927" s="16"/>
      <c r="EG927" s="17"/>
      <c r="EH927" s="17"/>
      <c r="EI927" s="16"/>
      <c r="EJ927" s="16"/>
      <c r="EK927" s="17"/>
      <c r="EL927" s="17"/>
      <c r="EM927" s="16"/>
      <c r="EN927" s="16"/>
      <c r="EO927" s="17"/>
      <c r="EP927" s="17"/>
      <c r="EQ927" s="16"/>
      <c r="ER927" s="16"/>
      <c r="ES927" s="18">
        <v>0.5</v>
      </c>
      <c r="ET927" s="18">
        <v>1</v>
      </c>
      <c r="EU927" s="16"/>
      <c r="EV927" s="16"/>
      <c r="EW927" s="17"/>
      <c r="EX927" s="17"/>
      <c r="EY927" s="16"/>
      <c r="EZ927" s="16"/>
      <c r="FA927" s="17"/>
      <c r="FB927" s="17"/>
      <c r="FC927" s="16"/>
      <c r="FD927" s="16"/>
      <c r="FE927" s="17"/>
      <c r="FF927" s="17"/>
      <c r="FG927" s="11"/>
      <c r="GT927" s="11"/>
      <c r="IG927" s="11"/>
      <c r="JT927" s="11"/>
      <c r="LG927" s="11"/>
      <c r="MT927" s="11"/>
      <c r="OG927" s="11"/>
      <c r="PT927" s="11"/>
    </row>
    <row r="928" spans="3:436" ht="15.75" x14ac:dyDescent="0.25">
      <c r="C928" s="20" t="s">
        <v>667</v>
      </c>
      <c r="D928" s="21" t="s">
        <v>82</v>
      </c>
      <c r="H928" s="11"/>
      <c r="AU928" s="11"/>
      <c r="CH928" s="11"/>
      <c r="CI928" s="16"/>
      <c r="CJ928" s="16"/>
      <c r="CK928" s="16"/>
      <c r="CL928" s="16"/>
      <c r="CM928" s="16"/>
      <c r="CN928" s="16"/>
      <c r="CO928" s="16"/>
      <c r="CP928" s="16"/>
      <c r="CQ928" s="16"/>
      <c r="CR928" s="16"/>
      <c r="CS928" s="16"/>
      <c r="CT928" s="16"/>
      <c r="CU928" s="16"/>
      <c r="CV928" s="16"/>
      <c r="CW928" s="16"/>
      <c r="CX928" s="16"/>
      <c r="CY928" s="16"/>
      <c r="CZ928" s="16"/>
      <c r="DA928" s="16"/>
      <c r="DB928" s="16"/>
      <c r="DC928" s="16"/>
      <c r="DD928" s="16"/>
      <c r="DE928" s="17"/>
      <c r="DF928" s="17"/>
      <c r="DG928" s="16"/>
      <c r="DH928" s="16"/>
      <c r="DI928" s="17"/>
      <c r="DJ928" s="17"/>
      <c r="DK928" s="16"/>
      <c r="DL928" s="16"/>
      <c r="DM928" s="17"/>
      <c r="DN928" s="17"/>
      <c r="DO928" s="16"/>
      <c r="DP928" s="16"/>
      <c r="DQ928" s="17"/>
      <c r="DR928" s="17"/>
      <c r="DS928" s="16"/>
      <c r="DT928" s="16"/>
      <c r="DU928" s="17"/>
      <c r="DV928" s="17"/>
      <c r="DW928" s="16"/>
      <c r="DX928" s="16"/>
      <c r="DY928" s="17"/>
      <c r="DZ928" s="17"/>
      <c r="EA928" s="16"/>
      <c r="EB928" s="16"/>
      <c r="EC928" s="17"/>
      <c r="ED928" s="17"/>
      <c r="EE928" s="16"/>
      <c r="EF928" s="16"/>
      <c r="EG928" s="17"/>
      <c r="EH928" s="17"/>
      <c r="EI928" s="16"/>
      <c r="EJ928" s="16"/>
      <c r="EK928" s="17"/>
      <c r="EL928" s="17"/>
      <c r="EM928" s="16"/>
      <c r="EN928" s="16"/>
      <c r="EO928" s="17"/>
      <c r="EP928" s="17"/>
      <c r="EQ928" s="16"/>
      <c r="ER928" s="16"/>
      <c r="ES928" s="18">
        <v>1</v>
      </c>
      <c r="ET928" s="18">
        <v>2</v>
      </c>
      <c r="EU928" s="16"/>
      <c r="EV928" s="16"/>
      <c r="EW928" s="17"/>
      <c r="EX928" s="17"/>
      <c r="EY928" s="16"/>
      <c r="EZ928" s="16"/>
      <c r="FA928" s="17"/>
      <c r="FB928" s="17"/>
      <c r="FC928" s="16"/>
      <c r="FD928" s="16"/>
      <c r="FE928" s="17"/>
      <c r="FF928" s="17"/>
      <c r="FG928" s="11"/>
      <c r="GT928" s="11"/>
      <c r="IG928" s="11"/>
      <c r="JT928" s="11"/>
      <c r="LG928" s="11"/>
      <c r="MT928" s="11"/>
      <c r="OG928" s="11"/>
      <c r="PT928" s="11"/>
    </row>
    <row r="929" spans="3:436" ht="15.75" x14ac:dyDescent="0.25">
      <c r="C929" s="20" t="s">
        <v>688</v>
      </c>
      <c r="D929" s="21" t="s">
        <v>82</v>
      </c>
      <c r="H929" s="11"/>
      <c r="AU929" s="11"/>
      <c r="CH929" s="11"/>
      <c r="CI929" s="16"/>
      <c r="CJ929" s="16"/>
      <c r="CK929" s="16"/>
      <c r="CL929" s="16"/>
      <c r="CM929" s="16"/>
      <c r="CN929" s="16"/>
      <c r="CO929" s="16"/>
      <c r="CP929" s="16"/>
      <c r="CQ929" s="16"/>
      <c r="CR929" s="16"/>
      <c r="CS929" s="16"/>
      <c r="CT929" s="16"/>
      <c r="CU929" s="16"/>
      <c r="CV929" s="16"/>
      <c r="CW929" s="16"/>
      <c r="CX929" s="16"/>
      <c r="CY929" s="16"/>
      <c r="CZ929" s="16"/>
      <c r="DA929" s="16"/>
      <c r="DB929" s="16"/>
      <c r="DC929" s="16"/>
      <c r="DD929" s="16"/>
      <c r="DE929" s="17"/>
      <c r="DF929" s="17"/>
      <c r="DG929" s="16"/>
      <c r="DH929" s="16"/>
      <c r="DI929" s="17"/>
      <c r="DJ929" s="17"/>
      <c r="DK929" s="16"/>
      <c r="DL929" s="16"/>
      <c r="DM929" s="17"/>
      <c r="DN929" s="17"/>
      <c r="DO929" s="16"/>
      <c r="DP929" s="16"/>
      <c r="DQ929" s="17"/>
      <c r="DR929" s="17"/>
      <c r="DS929" s="16"/>
      <c r="DT929" s="16"/>
      <c r="DU929" s="17"/>
      <c r="DV929" s="17"/>
      <c r="DW929" s="16"/>
      <c r="DX929" s="16"/>
      <c r="DY929" s="17"/>
      <c r="DZ929" s="17"/>
      <c r="EA929" s="16"/>
      <c r="EB929" s="16"/>
      <c r="EC929" s="17"/>
      <c r="ED929" s="17"/>
      <c r="EE929" s="16"/>
      <c r="EF929" s="16"/>
      <c r="EG929" s="17"/>
      <c r="EH929" s="17"/>
      <c r="EI929" s="16"/>
      <c r="EJ929" s="16"/>
      <c r="EK929" s="17"/>
      <c r="EL929" s="17"/>
      <c r="EM929" s="16"/>
      <c r="EN929" s="16"/>
      <c r="EO929" s="17"/>
      <c r="EP929" s="17"/>
      <c r="EQ929" s="16"/>
      <c r="ER929" s="16"/>
      <c r="ES929" s="18">
        <v>1</v>
      </c>
      <c r="ET929" s="18">
        <v>2</v>
      </c>
      <c r="EU929" s="16"/>
      <c r="EV929" s="16"/>
      <c r="EW929" s="17"/>
      <c r="EX929" s="17"/>
      <c r="EY929" s="16"/>
      <c r="EZ929" s="16"/>
      <c r="FA929" s="17"/>
      <c r="FB929" s="17"/>
      <c r="FC929" s="16"/>
      <c r="FD929" s="16"/>
      <c r="FE929" s="17"/>
      <c r="FF929" s="17"/>
      <c r="FG929" s="11"/>
      <c r="GT929" s="11"/>
      <c r="IG929" s="11"/>
      <c r="JT929" s="11"/>
      <c r="LG929" s="11"/>
      <c r="MT929" s="11"/>
      <c r="OG929" s="11"/>
      <c r="PT929" s="11"/>
    </row>
    <row r="930" spans="3:436" ht="15.75" x14ac:dyDescent="0.25">
      <c r="C930" s="20" t="s">
        <v>669</v>
      </c>
      <c r="D930" s="21" t="s">
        <v>136</v>
      </c>
      <c r="H930" s="11"/>
      <c r="AU930" s="11"/>
      <c r="CH930" s="11"/>
      <c r="CI930" s="16"/>
      <c r="CJ930" s="16"/>
      <c r="CK930" s="16"/>
      <c r="CL930" s="16"/>
      <c r="CM930" s="16"/>
      <c r="CN930" s="16"/>
      <c r="CO930" s="16"/>
      <c r="CP930" s="16"/>
      <c r="CQ930" s="16"/>
      <c r="CR930" s="16"/>
      <c r="CS930" s="16"/>
      <c r="CT930" s="16"/>
      <c r="CU930" s="16"/>
      <c r="CV930" s="16"/>
      <c r="CW930" s="16"/>
      <c r="CX930" s="16"/>
      <c r="CY930" s="16"/>
      <c r="CZ930" s="16"/>
      <c r="DA930" s="16"/>
      <c r="DB930" s="16"/>
      <c r="DC930" s="16"/>
      <c r="DD930" s="16"/>
      <c r="DE930" s="17"/>
      <c r="DF930" s="17"/>
      <c r="DG930" s="16"/>
      <c r="DH930" s="16"/>
      <c r="DI930" s="17"/>
      <c r="DJ930" s="17"/>
      <c r="DK930" s="16"/>
      <c r="DL930" s="16"/>
      <c r="DM930" s="17"/>
      <c r="DN930" s="17"/>
      <c r="DO930" s="16"/>
      <c r="DP930" s="16"/>
      <c r="DQ930" s="17"/>
      <c r="DR930" s="17"/>
      <c r="DS930" s="16"/>
      <c r="DT930" s="16"/>
      <c r="DU930" s="17"/>
      <c r="DV930" s="17"/>
      <c r="DW930" s="16"/>
      <c r="DX930" s="16"/>
      <c r="DY930" s="17"/>
      <c r="DZ930" s="17"/>
      <c r="EA930" s="16"/>
      <c r="EB930" s="16"/>
      <c r="EC930" s="17"/>
      <c r="ED930" s="17"/>
      <c r="EE930" s="16"/>
      <c r="EF930" s="16"/>
      <c r="EG930" s="17"/>
      <c r="EH930" s="17"/>
      <c r="EI930" s="16"/>
      <c r="EJ930" s="16"/>
      <c r="EK930" s="17"/>
      <c r="EL930" s="17"/>
      <c r="EM930" s="16"/>
      <c r="EN930" s="16"/>
      <c r="EO930" s="17"/>
      <c r="EP930" s="17"/>
      <c r="EQ930" s="16"/>
      <c r="ER930" s="16"/>
      <c r="ES930" s="17"/>
      <c r="ET930" s="17"/>
      <c r="EU930" s="16"/>
      <c r="EV930" s="16"/>
      <c r="EW930" s="17"/>
      <c r="EX930" s="17"/>
      <c r="EY930" s="16"/>
      <c r="EZ930" s="16"/>
      <c r="FA930" s="17"/>
      <c r="FB930" s="17"/>
      <c r="FC930" s="16"/>
      <c r="FD930" s="16"/>
      <c r="FE930" s="17"/>
      <c r="FF930" s="17"/>
      <c r="FG930" s="11"/>
      <c r="GT930" s="11"/>
      <c r="IG930" s="11"/>
      <c r="JT930" s="11"/>
      <c r="LG930" s="11"/>
      <c r="MT930" s="11"/>
      <c r="OG930" s="11"/>
      <c r="PT930" s="11"/>
    </row>
    <row r="931" spans="3:436" ht="15.75" x14ac:dyDescent="0.25">
      <c r="C931" s="20" t="s">
        <v>670</v>
      </c>
      <c r="D931" s="21" t="s">
        <v>82</v>
      </c>
      <c r="H931" s="11"/>
      <c r="AU931" s="11"/>
      <c r="CH931" s="11"/>
      <c r="CI931" s="16"/>
      <c r="CJ931" s="16"/>
      <c r="CK931" s="16"/>
      <c r="CL931" s="16"/>
      <c r="CM931" s="16"/>
      <c r="CN931" s="16"/>
      <c r="CO931" s="16"/>
      <c r="CP931" s="16"/>
      <c r="CQ931" s="16"/>
      <c r="CR931" s="16"/>
      <c r="CS931" s="16"/>
      <c r="CT931" s="16"/>
      <c r="CU931" s="16"/>
      <c r="CV931" s="16"/>
      <c r="CW931" s="16"/>
      <c r="CX931" s="16"/>
      <c r="CY931" s="16"/>
      <c r="CZ931" s="16"/>
      <c r="DA931" s="16"/>
      <c r="DB931" s="16"/>
      <c r="DC931" s="16"/>
      <c r="DD931" s="16"/>
      <c r="DE931" s="17"/>
      <c r="DF931" s="17"/>
      <c r="DG931" s="16"/>
      <c r="DH931" s="16"/>
      <c r="DI931" s="17"/>
      <c r="DJ931" s="17"/>
      <c r="DK931" s="16"/>
      <c r="DL931" s="16"/>
      <c r="DM931" s="17"/>
      <c r="DN931" s="17"/>
      <c r="DO931" s="16"/>
      <c r="DP931" s="16"/>
      <c r="DQ931" s="17"/>
      <c r="DR931" s="17"/>
      <c r="DS931" s="16"/>
      <c r="DT931" s="16"/>
      <c r="DU931" s="17"/>
      <c r="DV931" s="17"/>
      <c r="DW931" s="16"/>
      <c r="DX931" s="16"/>
      <c r="DY931" s="17"/>
      <c r="DZ931" s="17"/>
      <c r="EA931" s="16"/>
      <c r="EB931" s="16"/>
      <c r="EC931" s="17"/>
      <c r="ED931" s="17"/>
      <c r="EE931" s="16"/>
      <c r="EF931" s="16"/>
      <c r="EG931" s="17"/>
      <c r="EH931" s="17"/>
      <c r="EI931" s="16"/>
      <c r="EJ931" s="16"/>
      <c r="EK931" s="17"/>
      <c r="EL931" s="17"/>
      <c r="EM931" s="16"/>
      <c r="EN931" s="16"/>
      <c r="EO931" s="17"/>
      <c r="EP931" s="17"/>
      <c r="EQ931" s="16"/>
      <c r="ER931" s="16"/>
      <c r="ES931" s="17"/>
      <c r="ET931" s="17"/>
      <c r="EU931" s="16"/>
      <c r="EV931" s="16"/>
      <c r="EW931" s="17"/>
      <c r="EX931" s="17"/>
      <c r="EY931" s="16"/>
      <c r="EZ931" s="16"/>
      <c r="FA931" s="17"/>
      <c r="FB931" s="17"/>
      <c r="FC931" s="16"/>
      <c r="FD931" s="16"/>
      <c r="FE931" s="17"/>
      <c r="FF931" s="17"/>
      <c r="FG931" s="11"/>
      <c r="GT931" s="11"/>
      <c r="IG931" s="11"/>
      <c r="JT931" s="11"/>
      <c r="LG931" s="11"/>
      <c r="MT931" s="11"/>
      <c r="OG931" s="11"/>
      <c r="PT931" s="11"/>
    </row>
    <row r="932" spans="3:436" ht="15.75" x14ac:dyDescent="0.25">
      <c r="C932" s="20" t="s">
        <v>671</v>
      </c>
      <c r="D932" s="21" t="s">
        <v>90</v>
      </c>
      <c r="H932" s="11"/>
      <c r="AU932" s="11"/>
      <c r="CH932" s="11"/>
      <c r="CI932" s="16"/>
      <c r="CJ932" s="16"/>
      <c r="CK932" s="16"/>
      <c r="CL932" s="16"/>
      <c r="CM932" s="16"/>
      <c r="CN932" s="16"/>
      <c r="CO932" s="16"/>
      <c r="CP932" s="16"/>
      <c r="CQ932" s="16"/>
      <c r="CR932" s="16"/>
      <c r="CS932" s="16"/>
      <c r="CT932" s="16"/>
      <c r="CU932" s="16"/>
      <c r="CV932" s="16"/>
      <c r="CW932" s="16"/>
      <c r="CX932" s="16"/>
      <c r="CY932" s="16"/>
      <c r="CZ932" s="16"/>
      <c r="DA932" s="16"/>
      <c r="DB932" s="16"/>
      <c r="DC932" s="16"/>
      <c r="DD932" s="16"/>
      <c r="DE932" s="17"/>
      <c r="DF932" s="17"/>
      <c r="DG932" s="16"/>
      <c r="DH932" s="16"/>
      <c r="DI932" s="17"/>
      <c r="DJ932" s="17"/>
      <c r="DK932" s="16"/>
      <c r="DL932" s="16"/>
      <c r="DM932" s="17"/>
      <c r="DN932" s="17"/>
      <c r="DO932" s="16"/>
      <c r="DP932" s="16"/>
      <c r="DQ932" s="17"/>
      <c r="DR932" s="17"/>
      <c r="DS932" s="16"/>
      <c r="DT932" s="16"/>
      <c r="DU932" s="17"/>
      <c r="DV932" s="17"/>
      <c r="DW932" s="16"/>
      <c r="DX932" s="16"/>
      <c r="DY932" s="17"/>
      <c r="DZ932" s="17"/>
      <c r="EA932" s="16"/>
      <c r="EB932" s="16"/>
      <c r="EC932" s="17"/>
      <c r="ED932" s="17"/>
      <c r="EE932" s="16"/>
      <c r="EF932" s="16"/>
      <c r="EG932" s="17"/>
      <c r="EH932" s="17"/>
      <c r="EI932" s="16"/>
      <c r="EJ932" s="16"/>
      <c r="EK932" s="17"/>
      <c r="EL932" s="17"/>
      <c r="EM932" s="16"/>
      <c r="EN932" s="16"/>
      <c r="EO932" s="17"/>
      <c r="EP932" s="17"/>
      <c r="EQ932" s="16"/>
      <c r="ER932" s="16"/>
      <c r="ES932" s="17"/>
      <c r="ET932" s="17"/>
      <c r="EU932" s="16"/>
      <c r="EV932" s="16"/>
      <c r="EW932" s="17"/>
      <c r="EX932" s="17"/>
      <c r="EY932" s="16"/>
      <c r="EZ932" s="16"/>
      <c r="FA932" s="17"/>
      <c r="FB932" s="17"/>
      <c r="FC932" s="16"/>
      <c r="FD932" s="16"/>
      <c r="FE932" s="17"/>
      <c r="FF932" s="17"/>
      <c r="FG932" s="11"/>
      <c r="GT932" s="11"/>
      <c r="IG932" s="11"/>
      <c r="JT932" s="11"/>
      <c r="LG932" s="11"/>
      <c r="MT932" s="11"/>
      <c r="OG932" s="11"/>
      <c r="PT932" s="11"/>
    </row>
    <row r="933" spans="3:436" ht="15.75" x14ac:dyDescent="0.25">
      <c r="C933" s="20" t="s">
        <v>674</v>
      </c>
      <c r="D933" s="21" t="s">
        <v>82</v>
      </c>
      <c r="H933" s="11"/>
      <c r="AU933" s="11"/>
      <c r="CH933" s="11"/>
      <c r="CI933" s="16"/>
      <c r="CJ933" s="16"/>
      <c r="CK933" s="16"/>
      <c r="CL933" s="16"/>
      <c r="CM933" s="16"/>
      <c r="CN933" s="16"/>
      <c r="CO933" s="16"/>
      <c r="CP933" s="16"/>
      <c r="CQ933" s="16"/>
      <c r="CR933" s="16"/>
      <c r="CS933" s="16"/>
      <c r="CT933" s="16"/>
      <c r="CU933" s="16"/>
      <c r="CV933" s="16"/>
      <c r="CW933" s="16"/>
      <c r="CX933" s="16"/>
      <c r="CY933" s="16"/>
      <c r="CZ933" s="16"/>
      <c r="DA933" s="16"/>
      <c r="DB933" s="16"/>
      <c r="DC933" s="16"/>
      <c r="DD933" s="16"/>
      <c r="DE933" s="17"/>
      <c r="DF933" s="17"/>
      <c r="DG933" s="16"/>
      <c r="DH933" s="16"/>
      <c r="DI933" s="17"/>
      <c r="DJ933" s="17"/>
      <c r="DK933" s="16"/>
      <c r="DL933" s="16"/>
      <c r="DM933" s="17"/>
      <c r="DN933" s="17"/>
      <c r="DO933" s="16"/>
      <c r="DP933" s="16"/>
      <c r="DQ933" s="17"/>
      <c r="DR933" s="17"/>
      <c r="DS933" s="16"/>
      <c r="DT933" s="16"/>
      <c r="DU933" s="17"/>
      <c r="DV933" s="17"/>
      <c r="DW933" s="16"/>
      <c r="DX933" s="16"/>
      <c r="DY933" s="17"/>
      <c r="DZ933" s="17"/>
      <c r="EA933" s="16"/>
      <c r="EB933" s="16"/>
      <c r="EC933" s="17"/>
      <c r="ED933" s="17"/>
      <c r="EE933" s="16"/>
      <c r="EF933" s="16"/>
      <c r="EG933" s="17"/>
      <c r="EH933" s="17"/>
      <c r="EI933" s="16"/>
      <c r="EJ933" s="16"/>
      <c r="EK933" s="17"/>
      <c r="EL933" s="17"/>
      <c r="EM933" s="16"/>
      <c r="EN933" s="16"/>
      <c r="EO933" s="17"/>
      <c r="EP933" s="17"/>
      <c r="EQ933" s="16"/>
      <c r="ER933" s="16"/>
      <c r="ES933" s="17"/>
      <c r="ET933" s="17"/>
      <c r="EU933" s="16"/>
      <c r="EV933" s="16"/>
      <c r="EW933" s="17"/>
      <c r="EX933" s="17"/>
      <c r="EY933" s="16"/>
      <c r="EZ933" s="16"/>
      <c r="FA933" s="17"/>
      <c r="FB933" s="17"/>
      <c r="FC933" s="16"/>
      <c r="FD933" s="16"/>
      <c r="FE933" s="17"/>
      <c r="FF933" s="17"/>
      <c r="FG933" s="11"/>
      <c r="GT933" s="11"/>
      <c r="IG933" s="11"/>
      <c r="JT933" s="11"/>
      <c r="LG933" s="11"/>
      <c r="MT933" s="11"/>
      <c r="OG933" s="11"/>
      <c r="PT933" s="11"/>
    </row>
    <row r="934" spans="3:436" ht="15.75" x14ac:dyDescent="0.25">
      <c r="C934" s="20" t="s">
        <v>675</v>
      </c>
      <c r="D934" s="21" t="s">
        <v>82</v>
      </c>
      <c r="H934" s="11"/>
      <c r="AU934" s="11"/>
      <c r="CH934" s="11"/>
      <c r="CI934" s="16"/>
      <c r="CJ934" s="16"/>
      <c r="CK934" s="16"/>
      <c r="CL934" s="16"/>
      <c r="CM934" s="16"/>
      <c r="CN934" s="16"/>
      <c r="CO934" s="16"/>
      <c r="CP934" s="16"/>
      <c r="CQ934" s="16"/>
      <c r="CR934" s="16"/>
      <c r="CS934" s="16"/>
      <c r="CT934" s="16"/>
      <c r="CU934" s="16"/>
      <c r="CV934" s="16"/>
      <c r="CW934" s="16"/>
      <c r="CX934" s="16"/>
      <c r="CY934" s="16"/>
      <c r="CZ934" s="16"/>
      <c r="DA934" s="16"/>
      <c r="DB934" s="16"/>
      <c r="DC934" s="16"/>
      <c r="DD934" s="16"/>
      <c r="DE934" s="17"/>
      <c r="DF934" s="17"/>
      <c r="DG934" s="16"/>
      <c r="DH934" s="16"/>
      <c r="DI934" s="17"/>
      <c r="DJ934" s="17"/>
      <c r="DK934" s="16"/>
      <c r="DL934" s="16"/>
      <c r="DM934" s="17"/>
      <c r="DN934" s="17"/>
      <c r="DO934" s="16"/>
      <c r="DP934" s="16"/>
      <c r="DQ934" s="17"/>
      <c r="DR934" s="17"/>
      <c r="DS934" s="16"/>
      <c r="DT934" s="16"/>
      <c r="DU934" s="17"/>
      <c r="DV934" s="17"/>
      <c r="DW934" s="16"/>
      <c r="DX934" s="16"/>
      <c r="DY934" s="17"/>
      <c r="DZ934" s="17"/>
      <c r="EA934" s="16"/>
      <c r="EB934" s="16"/>
      <c r="EC934" s="17"/>
      <c r="ED934" s="17"/>
      <c r="EE934" s="16"/>
      <c r="EF934" s="16"/>
      <c r="EG934" s="17"/>
      <c r="EH934" s="17"/>
      <c r="EI934" s="16"/>
      <c r="EJ934" s="16"/>
      <c r="EK934" s="17"/>
      <c r="EL934" s="17"/>
      <c r="EM934" s="16"/>
      <c r="EN934" s="16"/>
      <c r="EO934" s="17"/>
      <c r="EP934" s="17"/>
      <c r="EQ934" s="16"/>
      <c r="ER934" s="16"/>
      <c r="ES934" s="17"/>
      <c r="ET934" s="17"/>
      <c r="EU934" s="16"/>
      <c r="EV934" s="16"/>
      <c r="EW934" s="17"/>
      <c r="EX934" s="17"/>
      <c r="EY934" s="16"/>
      <c r="EZ934" s="16"/>
      <c r="FA934" s="17"/>
      <c r="FB934" s="17"/>
      <c r="FC934" s="16"/>
      <c r="FD934" s="16"/>
      <c r="FE934" s="17"/>
      <c r="FF934" s="17"/>
      <c r="FG934" s="11"/>
      <c r="GT934" s="11"/>
      <c r="IG934" s="11"/>
      <c r="JT934" s="11"/>
      <c r="LG934" s="11"/>
      <c r="MT934" s="11"/>
      <c r="OG934" s="11"/>
      <c r="PT934" s="11"/>
    </row>
    <row r="935" spans="3:436" ht="25.5" x14ac:dyDescent="0.25">
      <c r="C935" s="20" t="s">
        <v>687</v>
      </c>
      <c r="D935" s="21" t="s">
        <v>82</v>
      </c>
      <c r="H935" s="11"/>
      <c r="AU935" s="11"/>
      <c r="CH935" s="11"/>
      <c r="CI935" s="16"/>
      <c r="CJ935" s="16"/>
      <c r="CK935" s="16"/>
      <c r="CL935" s="16"/>
      <c r="CM935" s="16"/>
      <c r="CN935" s="16"/>
      <c r="CO935" s="16"/>
      <c r="CP935" s="16"/>
      <c r="CQ935" s="16"/>
      <c r="CR935" s="16"/>
      <c r="CS935" s="16"/>
      <c r="CT935" s="16"/>
      <c r="CU935" s="16"/>
      <c r="CV935" s="16"/>
      <c r="CW935" s="16"/>
      <c r="CX935" s="16"/>
      <c r="CY935" s="16"/>
      <c r="CZ935" s="16"/>
      <c r="DA935" s="16"/>
      <c r="DB935" s="16"/>
      <c r="DC935" s="16"/>
      <c r="DD935" s="16"/>
      <c r="DE935" s="17"/>
      <c r="DF935" s="17"/>
      <c r="DG935" s="16"/>
      <c r="DH935" s="16"/>
      <c r="DI935" s="17"/>
      <c r="DJ935" s="17"/>
      <c r="DK935" s="16"/>
      <c r="DL935" s="16"/>
      <c r="DM935" s="17"/>
      <c r="DN935" s="17"/>
      <c r="DO935" s="16"/>
      <c r="DP935" s="16"/>
      <c r="DQ935" s="17"/>
      <c r="DR935" s="17"/>
      <c r="DS935" s="16"/>
      <c r="DT935" s="16"/>
      <c r="DU935" s="17"/>
      <c r="DV935" s="17"/>
      <c r="DW935" s="16"/>
      <c r="DX935" s="16"/>
      <c r="DY935" s="17"/>
      <c r="DZ935" s="17"/>
      <c r="EA935" s="16"/>
      <c r="EB935" s="16"/>
      <c r="EC935" s="17"/>
      <c r="ED935" s="17"/>
      <c r="EE935" s="16"/>
      <c r="EF935" s="16"/>
      <c r="EG935" s="17"/>
      <c r="EH935" s="17"/>
      <c r="EI935" s="16"/>
      <c r="EJ935" s="16"/>
      <c r="EK935" s="17"/>
      <c r="EL935" s="17"/>
      <c r="EM935" s="16"/>
      <c r="EN935" s="16"/>
      <c r="EO935" s="17"/>
      <c r="EP935" s="17"/>
      <c r="EQ935" s="16"/>
      <c r="ER935" s="16"/>
      <c r="ES935" s="18">
        <v>0.5</v>
      </c>
      <c r="ET935" s="18">
        <v>1</v>
      </c>
      <c r="EU935" s="16"/>
      <c r="EV935" s="16"/>
      <c r="EW935" s="17"/>
      <c r="EX935" s="17"/>
      <c r="EY935" s="16"/>
      <c r="EZ935" s="16"/>
      <c r="FA935" s="17"/>
      <c r="FB935" s="17"/>
      <c r="FC935" s="16"/>
      <c r="FD935" s="16"/>
      <c r="FE935" s="17"/>
      <c r="FF935" s="17"/>
      <c r="FG935" s="11"/>
      <c r="GT935" s="11"/>
      <c r="IG935" s="11"/>
      <c r="JT935" s="11"/>
      <c r="LG935" s="11"/>
      <c r="MT935" s="11"/>
      <c r="OG935" s="11"/>
      <c r="PT935" s="11"/>
    </row>
    <row r="936" spans="3:436" ht="15.75" x14ac:dyDescent="0.25">
      <c r="C936" s="20" t="s">
        <v>689</v>
      </c>
      <c r="D936" s="21" t="s">
        <v>82</v>
      </c>
      <c r="H936" s="11"/>
      <c r="AU936" s="11"/>
      <c r="CH936" s="11"/>
      <c r="CI936" s="16"/>
      <c r="CJ936" s="16"/>
      <c r="CK936" s="16"/>
      <c r="CL936" s="16"/>
      <c r="CM936" s="16"/>
      <c r="CN936" s="16"/>
      <c r="CO936" s="16"/>
      <c r="CP936" s="16"/>
      <c r="CQ936" s="16"/>
      <c r="CR936" s="16"/>
      <c r="CS936" s="16"/>
      <c r="CT936" s="16"/>
      <c r="CU936" s="16"/>
      <c r="CV936" s="16"/>
      <c r="CW936" s="16"/>
      <c r="CX936" s="16"/>
      <c r="CY936" s="16"/>
      <c r="CZ936" s="16"/>
      <c r="DA936" s="16"/>
      <c r="DB936" s="16"/>
      <c r="DC936" s="16"/>
      <c r="DD936" s="16"/>
      <c r="DE936" s="17"/>
      <c r="DF936" s="17"/>
      <c r="DG936" s="16"/>
      <c r="DH936" s="16"/>
      <c r="DI936" s="17"/>
      <c r="DJ936" s="17"/>
      <c r="DK936" s="16"/>
      <c r="DL936" s="16"/>
      <c r="DM936" s="17"/>
      <c r="DN936" s="17"/>
      <c r="DO936" s="16"/>
      <c r="DP936" s="16"/>
      <c r="DQ936" s="17"/>
      <c r="DR936" s="17"/>
      <c r="DS936" s="16"/>
      <c r="DT936" s="16"/>
      <c r="DU936" s="17"/>
      <c r="DV936" s="17"/>
      <c r="DW936" s="16"/>
      <c r="DX936" s="16"/>
      <c r="DY936" s="17"/>
      <c r="DZ936" s="17"/>
      <c r="EA936" s="16"/>
      <c r="EB936" s="16"/>
      <c r="EC936" s="17"/>
      <c r="ED936" s="17"/>
      <c r="EE936" s="16"/>
      <c r="EF936" s="16"/>
      <c r="EG936" s="17"/>
      <c r="EH936" s="17"/>
      <c r="EI936" s="16"/>
      <c r="EJ936" s="16"/>
      <c r="EK936" s="17"/>
      <c r="EL936" s="17"/>
      <c r="EM936" s="16"/>
      <c r="EN936" s="16"/>
      <c r="EO936" s="17"/>
      <c r="EP936" s="17"/>
      <c r="EQ936" s="16"/>
      <c r="ER936" s="16"/>
      <c r="ES936" s="18">
        <v>2</v>
      </c>
      <c r="ET936" s="18">
        <v>3</v>
      </c>
      <c r="EU936" s="16"/>
      <c r="EV936" s="16"/>
      <c r="EW936" s="17"/>
      <c r="EX936" s="17"/>
      <c r="EY936" s="16"/>
      <c r="EZ936" s="16"/>
      <c r="FA936" s="17"/>
      <c r="FB936" s="17"/>
      <c r="FC936" s="16"/>
      <c r="FD936" s="16"/>
      <c r="FE936" s="17"/>
      <c r="FF936" s="17"/>
      <c r="FG936" s="11"/>
      <c r="GT936" s="11"/>
      <c r="IG936" s="11"/>
      <c r="JT936" s="11"/>
      <c r="LG936" s="11"/>
      <c r="MT936" s="11"/>
      <c r="OG936" s="11"/>
      <c r="PT936" s="11"/>
    </row>
    <row r="937" spans="3:436" ht="15.75" x14ac:dyDescent="0.25">
      <c r="C937" s="20" t="s">
        <v>676</v>
      </c>
      <c r="D937" s="21" t="s">
        <v>82</v>
      </c>
      <c r="H937" s="11"/>
      <c r="AU937" s="11"/>
      <c r="CH937" s="11"/>
      <c r="CI937" s="16"/>
      <c r="CJ937" s="16"/>
      <c r="CK937" s="16"/>
      <c r="CL937" s="16"/>
      <c r="CM937" s="16"/>
      <c r="CN937" s="16"/>
      <c r="CO937" s="16"/>
      <c r="CP937" s="16"/>
      <c r="CQ937" s="16"/>
      <c r="CR937" s="16"/>
      <c r="CS937" s="16"/>
      <c r="CT937" s="16"/>
      <c r="CU937" s="16"/>
      <c r="CV937" s="16"/>
      <c r="CW937" s="16"/>
      <c r="CX937" s="16"/>
      <c r="CY937" s="16"/>
      <c r="CZ937" s="16"/>
      <c r="DA937" s="16"/>
      <c r="DB937" s="16"/>
      <c r="DC937" s="16"/>
      <c r="DD937" s="16"/>
      <c r="DE937" s="17"/>
      <c r="DF937" s="17"/>
      <c r="DG937" s="16"/>
      <c r="DH937" s="16"/>
      <c r="DI937" s="17"/>
      <c r="DJ937" s="17"/>
      <c r="DK937" s="16"/>
      <c r="DL937" s="16"/>
      <c r="DM937" s="17"/>
      <c r="DN937" s="17"/>
      <c r="DO937" s="16"/>
      <c r="DP937" s="16"/>
      <c r="DQ937" s="17"/>
      <c r="DR937" s="17"/>
      <c r="DS937" s="16"/>
      <c r="DT937" s="16"/>
      <c r="DU937" s="17"/>
      <c r="DV937" s="17"/>
      <c r="DW937" s="16"/>
      <c r="DX937" s="16"/>
      <c r="DY937" s="17"/>
      <c r="DZ937" s="17"/>
      <c r="EA937" s="16"/>
      <c r="EB937" s="16"/>
      <c r="EC937" s="17"/>
      <c r="ED937" s="17"/>
      <c r="EE937" s="16"/>
      <c r="EF937" s="16"/>
      <c r="EG937" s="17"/>
      <c r="EH937" s="17"/>
      <c r="EI937" s="16"/>
      <c r="EJ937" s="16"/>
      <c r="EK937" s="17"/>
      <c r="EL937" s="17"/>
      <c r="EM937" s="16"/>
      <c r="EN937" s="16"/>
      <c r="EO937" s="17"/>
      <c r="EP937" s="17"/>
      <c r="EQ937" s="16"/>
      <c r="ER937" s="16"/>
      <c r="ES937" s="18">
        <v>3</v>
      </c>
      <c r="ET937" s="18">
        <v>5</v>
      </c>
      <c r="EU937" s="16"/>
      <c r="EV937" s="16"/>
      <c r="EW937" s="17"/>
      <c r="EX937" s="17"/>
      <c r="EY937" s="16"/>
      <c r="EZ937" s="16"/>
      <c r="FA937" s="17"/>
      <c r="FB937" s="17"/>
      <c r="FC937" s="16"/>
      <c r="FD937" s="16"/>
      <c r="FE937" s="17"/>
      <c r="FF937" s="17"/>
      <c r="FG937" s="11"/>
      <c r="GT937" s="11"/>
      <c r="IG937" s="11"/>
      <c r="JT937" s="11"/>
      <c r="LG937" s="11"/>
      <c r="MT937" s="11"/>
      <c r="OG937" s="11"/>
      <c r="PT937" s="11"/>
    </row>
    <row r="938" spans="3:436" ht="15.75" x14ac:dyDescent="0.25">
      <c r="C938" s="20" t="s">
        <v>690</v>
      </c>
      <c r="D938" s="21" t="s">
        <v>82</v>
      </c>
      <c r="H938" s="11"/>
      <c r="AU938" s="11"/>
      <c r="CH938" s="11"/>
      <c r="CI938" s="16"/>
      <c r="CJ938" s="16"/>
      <c r="CK938" s="16"/>
      <c r="CL938" s="16"/>
      <c r="CM938" s="16"/>
      <c r="CN938" s="16"/>
      <c r="CO938" s="16"/>
      <c r="CP938" s="16"/>
      <c r="CQ938" s="16"/>
      <c r="CR938" s="16"/>
      <c r="CS938" s="16"/>
      <c r="CT938" s="16"/>
      <c r="CU938" s="16"/>
      <c r="CV938" s="16"/>
      <c r="CW938" s="16"/>
      <c r="CX938" s="16"/>
      <c r="CY938" s="16"/>
      <c r="CZ938" s="16"/>
      <c r="DA938" s="16"/>
      <c r="DB938" s="16"/>
      <c r="DC938" s="16"/>
      <c r="DD938" s="16"/>
      <c r="DE938" s="17"/>
      <c r="DF938" s="17"/>
      <c r="DG938" s="16"/>
      <c r="DH938" s="16"/>
      <c r="DI938" s="17"/>
      <c r="DJ938" s="17"/>
      <c r="DK938" s="16"/>
      <c r="DL938" s="16"/>
      <c r="DM938" s="17"/>
      <c r="DN938" s="17"/>
      <c r="DO938" s="16"/>
      <c r="DP938" s="16"/>
      <c r="DQ938" s="17"/>
      <c r="DR938" s="17"/>
      <c r="DS938" s="16"/>
      <c r="DT938" s="16"/>
      <c r="DU938" s="17"/>
      <c r="DV938" s="17"/>
      <c r="DW938" s="16"/>
      <c r="DX938" s="16"/>
      <c r="DY938" s="17"/>
      <c r="DZ938" s="17"/>
      <c r="EA938" s="16"/>
      <c r="EB938" s="16"/>
      <c r="EC938" s="17"/>
      <c r="ED938" s="17"/>
      <c r="EE938" s="16"/>
      <c r="EF938" s="16"/>
      <c r="EG938" s="17"/>
      <c r="EH938" s="17"/>
      <c r="EI938" s="16"/>
      <c r="EJ938" s="16"/>
      <c r="EK938" s="17"/>
      <c r="EL938" s="17"/>
      <c r="EM938" s="16"/>
      <c r="EN938" s="16"/>
      <c r="EO938" s="17"/>
      <c r="EP938" s="17"/>
      <c r="EQ938" s="16"/>
      <c r="ER938" s="16"/>
      <c r="ES938" s="18">
        <v>5</v>
      </c>
      <c r="ET938" s="18">
        <v>10</v>
      </c>
      <c r="EU938" s="16"/>
      <c r="EV938" s="16"/>
      <c r="EW938" s="17"/>
      <c r="EX938" s="17"/>
      <c r="EY938" s="16"/>
      <c r="EZ938" s="16"/>
      <c r="FA938" s="17"/>
      <c r="FB938" s="17"/>
      <c r="FC938" s="16"/>
      <c r="FD938" s="16"/>
      <c r="FE938" s="17"/>
      <c r="FF938" s="17"/>
      <c r="FG938" s="11"/>
      <c r="GT938" s="11"/>
      <c r="IG938" s="11"/>
      <c r="JT938" s="11"/>
      <c r="LG938" s="11"/>
      <c r="MT938" s="11"/>
      <c r="OG938" s="11"/>
      <c r="PT938" s="11"/>
    </row>
    <row r="939" spans="3:436" ht="15.75" x14ac:dyDescent="0.25">
      <c r="C939" s="20" t="s">
        <v>691</v>
      </c>
      <c r="D939" s="21" t="s">
        <v>84</v>
      </c>
      <c r="H939" s="11"/>
      <c r="AU939" s="11"/>
      <c r="CH939" s="11"/>
      <c r="CI939" s="16"/>
      <c r="CJ939" s="16"/>
      <c r="CK939" s="16"/>
      <c r="CL939" s="16"/>
      <c r="CM939" s="16"/>
      <c r="CN939" s="16"/>
      <c r="CO939" s="16"/>
      <c r="CP939" s="16"/>
      <c r="CQ939" s="16"/>
      <c r="CR939" s="16"/>
      <c r="CS939" s="16"/>
      <c r="CT939" s="16"/>
      <c r="CU939" s="16"/>
      <c r="CV939" s="16"/>
      <c r="CW939" s="16"/>
      <c r="CX939" s="16"/>
      <c r="CY939" s="16"/>
      <c r="CZ939" s="16"/>
      <c r="DA939" s="16"/>
      <c r="DB939" s="16"/>
      <c r="DC939" s="16"/>
      <c r="DD939" s="16"/>
      <c r="DE939" s="17"/>
      <c r="DF939" s="17"/>
      <c r="DG939" s="16"/>
      <c r="DH939" s="16"/>
      <c r="DI939" s="17"/>
      <c r="DJ939" s="17"/>
      <c r="DK939" s="16"/>
      <c r="DL939" s="16"/>
      <c r="DM939" s="17"/>
      <c r="DN939" s="17"/>
      <c r="DO939" s="16"/>
      <c r="DP939" s="16"/>
      <c r="DQ939" s="17"/>
      <c r="DR939" s="17"/>
      <c r="DS939" s="16"/>
      <c r="DT939" s="16"/>
      <c r="DU939" s="17"/>
      <c r="DV939" s="17"/>
      <c r="DW939" s="16"/>
      <c r="DX939" s="16"/>
      <c r="DY939" s="17"/>
      <c r="DZ939" s="17"/>
      <c r="EA939" s="16"/>
      <c r="EB939" s="16"/>
      <c r="EC939" s="17"/>
      <c r="ED939" s="17"/>
      <c r="EE939" s="16"/>
      <c r="EF939" s="16"/>
      <c r="EG939" s="17"/>
      <c r="EH939" s="17"/>
      <c r="EI939" s="16"/>
      <c r="EJ939" s="16"/>
      <c r="EK939" s="17"/>
      <c r="EL939" s="17"/>
      <c r="EM939" s="16"/>
      <c r="EN939" s="16"/>
      <c r="EO939" s="17"/>
      <c r="EP939" s="17"/>
      <c r="EQ939" s="16"/>
      <c r="ER939" s="16"/>
      <c r="ES939" s="17"/>
      <c r="ET939" s="17"/>
      <c r="EU939" s="16"/>
      <c r="EV939" s="16"/>
      <c r="EW939" s="17"/>
      <c r="EX939" s="17"/>
      <c r="EY939" s="16"/>
      <c r="EZ939" s="16"/>
      <c r="FA939" s="17"/>
      <c r="FB939" s="17"/>
      <c r="FC939" s="16"/>
      <c r="FD939" s="16"/>
      <c r="FE939" s="17"/>
      <c r="FF939" s="17"/>
      <c r="FG939" s="11"/>
      <c r="GT939" s="11"/>
      <c r="IG939" s="11"/>
      <c r="JT939" s="11"/>
      <c r="LG939" s="11"/>
      <c r="MT939" s="11"/>
      <c r="OG939" s="11"/>
      <c r="PT939" s="11"/>
    </row>
    <row r="940" spans="3:436" ht="15.75" x14ac:dyDescent="0.25">
      <c r="C940" s="20" t="s">
        <v>677</v>
      </c>
      <c r="D940" s="21" t="s">
        <v>82</v>
      </c>
      <c r="H940" s="11"/>
      <c r="AU940" s="11"/>
      <c r="CH940" s="11"/>
      <c r="CI940" s="16"/>
      <c r="CJ940" s="16"/>
      <c r="CK940" s="16"/>
      <c r="CL940" s="16"/>
      <c r="CM940" s="16"/>
      <c r="CN940" s="16"/>
      <c r="CO940" s="16"/>
      <c r="CP940" s="16"/>
      <c r="CQ940" s="16"/>
      <c r="CR940" s="16"/>
      <c r="CS940" s="16"/>
      <c r="CT940" s="16"/>
      <c r="CU940" s="16"/>
      <c r="CV940" s="16"/>
      <c r="CW940" s="16"/>
      <c r="CX940" s="16"/>
      <c r="CY940" s="16"/>
      <c r="CZ940" s="16"/>
      <c r="DA940" s="16"/>
      <c r="DB940" s="16"/>
      <c r="DC940" s="16"/>
      <c r="DD940" s="16"/>
      <c r="DE940" s="17"/>
      <c r="DF940" s="17"/>
      <c r="DG940" s="16"/>
      <c r="DH940" s="16"/>
      <c r="DI940" s="17"/>
      <c r="DJ940" s="17"/>
      <c r="DK940" s="16"/>
      <c r="DL940" s="16"/>
      <c r="DM940" s="17"/>
      <c r="DN940" s="17"/>
      <c r="DO940" s="16"/>
      <c r="DP940" s="16"/>
      <c r="DQ940" s="17"/>
      <c r="DR940" s="17"/>
      <c r="DS940" s="16"/>
      <c r="DT940" s="16"/>
      <c r="DU940" s="17"/>
      <c r="DV940" s="17"/>
      <c r="DW940" s="16"/>
      <c r="DX940" s="16"/>
      <c r="DY940" s="17"/>
      <c r="DZ940" s="17"/>
      <c r="EA940" s="16"/>
      <c r="EB940" s="16"/>
      <c r="EC940" s="17"/>
      <c r="ED940" s="17"/>
      <c r="EE940" s="16"/>
      <c r="EF940" s="16"/>
      <c r="EG940" s="17"/>
      <c r="EH940" s="17"/>
      <c r="EI940" s="16"/>
      <c r="EJ940" s="16"/>
      <c r="EK940" s="17"/>
      <c r="EL940" s="17"/>
      <c r="EM940" s="16"/>
      <c r="EN940" s="16"/>
      <c r="EO940" s="17"/>
      <c r="EP940" s="17"/>
      <c r="EQ940" s="16"/>
      <c r="ER940" s="16"/>
      <c r="ES940" s="18">
        <v>1</v>
      </c>
      <c r="ET940" s="18">
        <v>2</v>
      </c>
      <c r="EU940" s="16"/>
      <c r="EV940" s="16"/>
      <c r="EW940" s="17"/>
      <c r="EX940" s="17"/>
      <c r="EY940" s="16"/>
      <c r="EZ940" s="16"/>
      <c r="FA940" s="17"/>
      <c r="FB940" s="17"/>
      <c r="FC940" s="16"/>
      <c r="FD940" s="16"/>
      <c r="FE940" s="17"/>
      <c r="FF940" s="17"/>
      <c r="FG940" s="11"/>
      <c r="GT940" s="11"/>
      <c r="IG940" s="11"/>
      <c r="JT940" s="11"/>
      <c r="LG940" s="11"/>
      <c r="MT940" s="11"/>
      <c r="OG940" s="11"/>
      <c r="PT940" s="11"/>
    </row>
    <row r="941" spans="3:436" ht="15.75" x14ac:dyDescent="0.25">
      <c r="C941" s="20" t="s">
        <v>678</v>
      </c>
      <c r="D941" s="21" t="s">
        <v>82</v>
      </c>
      <c r="H941" s="11"/>
      <c r="AU941" s="11"/>
      <c r="CH941" s="11"/>
      <c r="CI941" s="16"/>
      <c r="CJ941" s="16"/>
      <c r="CK941" s="16"/>
      <c r="CL941" s="16"/>
      <c r="CM941" s="16"/>
      <c r="CN941" s="16"/>
      <c r="CO941" s="16"/>
      <c r="CP941" s="16"/>
      <c r="CQ941" s="16"/>
      <c r="CR941" s="16"/>
      <c r="CS941" s="16"/>
      <c r="CT941" s="16"/>
      <c r="CU941" s="16"/>
      <c r="CV941" s="16"/>
      <c r="CW941" s="16"/>
      <c r="CX941" s="16"/>
      <c r="CY941" s="16"/>
      <c r="CZ941" s="16"/>
      <c r="DA941" s="16"/>
      <c r="DB941" s="16"/>
      <c r="DC941" s="16"/>
      <c r="DD941" s="16"/>
      <c r="DE941" s="17"/>
      <c r="DF941" s="17"/>
      <c r="DG941" s="16"/>
      <c r="DH941" s="16"/>
      <c r="DI941" s="17"/>
      <c r="DJ941" s="17"/>
      <c r="DK941" s="16"/>
      <c r="DL941" s="16"/>
      <c r="DM941" s="17"/>
      <c r="DN941" s="17"/>
      <c r="DO941" s="16"/>
      <c r="DP941" s="16"/>
      <c r="DQ941" s="17"/>
      <c r="DR941" s="17"/>
      <c r="DS941" s="16"/>
      <c r="DT941" s="16"/>
      <c r="DU941" s="17"/>
      <c r="DV941" s="17"/>
      <c r="DW941" s="16"/>
      <c r="DX941" s="16"/>
      <c r="DY941" s="17"/>
      <c r="DZ941" s="17"/>
      <c r="EA941" s="16"/>
      <c r="EB941" s="16"/>
      <c r="EC941" s="17"/>
      <c r="ED941" s="17"/>
      <c r="EE941" s="16"/>
      <c r="EF941" s="16"/>
      <c r="EG941" s="17"/>
      <c r="EH941" s="17"/>
      <c r="EI941" s="16"/>
      <c r="EJ941" s="16"/>
      <c r="EK941" s="17"/>
      <c r="EL941" s="17"/>
      <c r="EM941" s="16"/>
      <c r="EN941" s="16"/>
      <c r="EO941" s="17"/>
      <c r="EP941" s="17"/>
      <c r="EQ941" s="16"/>
      <c r="ER941" s="16"/>
      <c r="ES941" s="18">
        <v>2</v>
      </c>
      <c r="ET941" s="18">
        <v>3</v>
      </c>
      <c r="EU941" s="16"/>
      <c r="EV941" s="16"/>
      <c r="EW941" s="17"/>
      <c r="EX941" s="17"/>
      <c r="EY941" s="16"/>
      <c r="EZ941" s="16"/>
      <c r="FA941" s="17"/>
      <c r="FB941" s="17"/>
      <c r="FC941" s="16"/>
      <c r="FD941" s="16"/>
      <c r="FE941" s="17"/>
      <c r="FF941" s="17"/>
      <c r="FG941" s="11"/>
      <c r="GT941" s="11"/>
      <c r="IG941" s="11"/>
      <c r="JT941" s="11"/>
      <c r="LG941" s="11"/>
      <c r="MT941" s="11"/>
      <c r="OG941" s="11"/>
      <c r="PT941" s="11"/>
    </row>
    <row r="942" spans="3:436" ht="15.75" x14ac:dyDescent="0.25">
      <c r="C942" s="20" t="s">
        <v>679</v>
      </c>
      <c r="D942" s="21" t="s">
        <v>82</v>
      </c>
      <c r="H942" s="11"/>
      <c r="AU942" s="11"/>
      <c r="CH942" s="11"/>
      <c r="CI942" s="16"/>
      <c r="CJ942" s="16"/>
      <c r="CK942" s="16"/>
      <c r="CL942" s="16"/>
      <c r="CM942" s="16"/>
      <c r="CN942" s="16"/>
      <c r="CO942" s="16"/>
      <c r="CP942" s="16"/>
      <c r="CQ942" s="16"/>
      <c r="CR942" s="16"/>
      <c r="CS942" s="16"/>
      <c r="CT942" s="16"/>
      <c r="CU942" s="16"/>
      <c r="CV942" s="16"/>
      <c r="CW942" s="16"/>
      <c r="CX942" s="16"/>
      <c r="CY942" s="16"/>
      <c r="CZ942" s="16"/>
      <c r="DA942" s="16"/>
      <c r="DB942" s="16"/>
      <c r="DC942" s="16"/>
      <c r="DD942" s="16"/>
      <c r="DE942" s="17"/>
      <c r="DF942" s="17"/>
      <c r="DG942" s="16"/>
      <c r="DH942" s="16"/>
      <c r="DI942" s="17"/>
      <c r="DJ942" s="17"/>
      <c r="DK942" s="16"/>
      <c r="DL942" s="16"/>
      <c r="DM942" s="17"/>
      <c r="DN942" s="17"/>
      <c r="DO942" s="16"/>
      <c r="DP942" s="16"/>
      <c r="DQ942" s="17"/>
      <c r="DR942" s="17"/>
      <c r="DS942" s="16"/>
      <c r="DT942" s="16"/>
      <c r="DU942" s="17"/>
      <c r="DV942" s="17"/>
      <c r="DW942" s="16"/>
      <c r="DX942" s="16"/>
      <c r="DY942" s="17"/>
      <c r="DZ942" s="17"/>
      <c r="EA942" s="16"/>
      <c r="EB942" s="16"/>
      <c r="EC942" s="17"/>
      <c r="ED942" s="17"/>
      <c r="EE942" s="16"/>
      <c r="EF942" s="16"/>
      <c r="EG942" s="17"/>
      <c r="EH942" s="17"/>
      <c r="EI942" s="16"/>
      <c r="EJ942" s="16"/>
      <c r="EK942" s="17"/>
      <c r="EL942" s="17"/>
      <c r="EM942" s="16"/>
      <c r="EN942" s="16"/>
      <c r="EO942" s="17"/>
      <c r="EP942" s="17"/>
      <c r="EQ942" s="16"/>
      <c r="ER942" s="16"/>
      <c r="ES942" s="18">
        <v>1</v>
      </c>
      <c r="ET942" s="18">
        <v>2</v>
      </c>
      <c r="EU942" s="16"/>
      <c r="EV942" s="16"/>
      <c r="EW942" s="17"/>
      <c r="EX942" s="17"/>
      <c r="EY942" s="16"/>
      <c r="EZ942" s="16"/>
      <c r="FA942" s="17"/>
      <c r="FB942" s="17"/>
      <c r="FC942" s="16"/>
      <c r="FD942" s="16"/>
      <c r="FE942" s="17"/>
      <c r="FF942" s="17"/>
      <c r="FG942" s="11"/>
      <c r="GT942" s="11"/>
      <c r="IG942" s="11"/>
      <c r="JT942" s="11"/>
      <c r="LG942" s="11"/>
      <c r="MT942" s="11"/>
      <c r="OG942" s="11"/>
      <c r="PT942" s="11"/>
    </row>
    <row r="943" spans="3:436" ht="15.75" x14ac:dyDescent="0.25">
      <c r="C943" s="20" t="s">
        <v>680</v>
      </c>
      <c r="D943" s="21" t="s">
        <v>82</v>
      </c>
      <c r="H943" s="11"/>
      <c r="AU943" s="11"/>
      <c r="CH943" s="11"/>
      <c r="CI943" s="16"/>
      <c r="CJ943" s="16"/>
      <c r="CK943" s="16"/>
      <c r="CL943" s="16"/>
      <c r="CM943" s="16"/>
      <c r="CN943" s="16"/>
      <c r="CO943" s="16"/>
      <c r="CP943" s="16"/>
      <c r="CQ943" s="16"/>
      <c r="CR943" s="16"/>
      <c r="CS943" s="16"/>
      <c r="CT943" s="16"/>
      <c r="CU943" s="16"/>
      <c r="CV943" s="16"/>
      <c r="CW943" s="16"/>
      <c r="CX943" s="16"/>
      <c r="CY943" s="16"/>
      <c r="CZ943" s="16"/>
      <c r="DA943" s="16"/>
      <c r="DB943" s="16"/>
      <c r="DC943" s="16"/>
      <c r="DD943" s="16"/>
      <c r="DE943" s="17"/>
      <c r="DF943" s="17"/>
      <c r="DG943" s="16"/>
      <c r="DH943" s="16"/>
      <c r="DI943" s="17"/>
      <c r="DJ943" s="17"/>
      <c r="DK943" s="16"/>
      <c r="DL943" s="16"/>
      <c r="DM943" s="17"/>
      <c r="DN943" s="17"/>
      <c r="DO943" s="16"/>
      <c r="DP943" s="16"/>
      <c r="DQ943" s="17"/>
      <c r="DR943" s="17"/>
      <c r="DS943" s="16"/>
      <c r="DT943" s="16"/>
      <c r="DU943" s="17"/>
      <c r="DV943" s="17"/>
      <c r="DW943" s="16"/>
      <c r="DX943" s="16"/>
      <c r="DY943" s="17"/>
      <c r="DZ943" s="17"/>
      <c r="EA943" s="16"/>
      <c r="EB943" s="16"/>
      <c r="EC943" s="17"/>
      <c r="ED943" s="17"/>
      <c r="EE943" s="16"/>
      <c r="EF943" s="16"/>
      <c r="EG943" s="17"/>
      <c r="EH943" s="17"/>
      <c r="EI943" s="16"/>
      <c r="EJ943" s="16"/>
      <c r="EK943" s="17"/>
      <c r="EL943" s="17"/>
      <c r="EM943" s="16"/>
      <c r="EN943" s="16"/>
      <c r="EO943" s="17"/>
      <c r="EP943" s="17"/>
      <c r="EQ943" s="16"/>
      <c r="ER943" s="16"/>
      <c r="ES943" s="18">
        <v>1</v>
      </c>
      <c r="ET943" s="18">
        <v>2</v>
      </c>
      <c r="EU943" s="16"/>
      <c r="EV943" s="16"/>
      <c r="EW943" s="17"/>
      <c r="EX943" s="17"/>
      <c r="EY943" s="16"/>
      <c r="EZ943" s="16"/>
      <c r="FA943" s="17"/>
      <c r="FB943" s="17"/>
      <c r="FC943" s="16"/>
      <c r="FD943" s="16"/>
      <c r="FE943" s="17"/>
      <c r="FF943" s="17"/>
      <c r="FG943" s="11"/>
      <c r="GT943" s="11"/>
      <c r="IG943" s="11"/>
      <c r="JT943" s="11"/>
      <c r="LG943" s="11"/>
      <c r="MT943" s="11"/>
      <c r="OG943" s="11"/>
      <c r="PT943" s="11"/>
    </row>
    <row r="944" spans="3:436" ht="15.75" x14ac:dyDescent="0.25">
      <c r="C944" s="20" t="s">
        <v>681</v>
      </c>
      <c r="D944" s="21" t="s">
        <v>129</v>
      </c>
      <c r="H944" s="11"/>
      <c r="AU944" s="11"/>
      <c r="CH944" s="11"/>
      <c r="CI944" s="16"/>
      <c r="CJ944" s="16"/>
      <c r="CK944" s="16"/>
      <c r="CL944" s="16"/>
      <c r="CM944" s="16"/>
      <c r="CN944" s="16"/>
      <c r="CO944" s="16"/>
      <c r="CP944" s="16"/>
      <c r="CQ944" s="16"/>
      <c r="CR944" s="16"/>
      <c r="CS944" s="16"/>
      <c r="CT944" s="16"/>
      <c r="CU944" s="16"/>
      <c r="CV944" s="16"/>
      <c r="CW944" s="16"/>
      <c r="CX944" s="16"/>
      <c r="CY944" s="16"/>
      <c r="CZ944" s="16"/>
      <c r="DA944" s="16"/>
      <c r="DB944" s="16"/>
      <c r="DC944" s="16"/>
      <c r="DD944" s="16"/>
      <c r="DE944" s="17"/>
      <c r="DF944" s="17"/>
      <c r="DG944" s="16"/>
      <c r="DH944" s="16"/>
      <c r="DI944" s="17"/>
      <c r="DJ944" s="17"/>
      <c r="DK944" s="16"/>
      <c r="DL944" s="16"/>
      <c r="DM944" s="17"/>
      <c r="DN944" s="17"/>
      <c r="DO944" s="16"/>
      <c r="DP944" s="16"/>
      <c r="DQ944" s="17"/>
      <c r="DR944" s="17"/>
      <c r="DS944" s="16"/>
      <c r="DT944" s="16"/>
      <c r="DU944" s="17"/>
      <c r="DV944" s="17"/>
      <c r="DW944" s="16"/>
      <c r="DX944" s="16"/>
      <c r="DY944" s="17"/>
      <c r="DZ944" s="17"/>
      <c r="EA944" s="16"/>
      <c r="EB944" s="16"/>
      <c r="EC944" s="17"/>
      <c r="ED944" s="17"/>
      <c r="EE944" s="16"/>
      <c r="EF944" s="16"/>
      <c r="EG944" s="17"/>
      <c r="EH944" s="17"/>
      <c r="EI944" s="16"/>
      <c r="EJ944" s="16"/>
      <c r="EK944" s="17"/>
      <c r="EL944" s="17"/>
      <c r="EM944" s="16"/>
      <c r="EN944" s="16"/>
      <c r="EO944" s="17"/>
      <c r="EP944" s="17"/>
      <c r="EQ944" s="16"/>
      <c r="ER944" s="16"/>
      <c r="ES944" s="17"/>
      <c r="ET944" s="17"/>
      <c r="EU944" s="16"/>
      <c r="EV944" s="16"/>
      <c r="EW944" s="17"/>
      <c r="EX944" s="17"/>
      <c r="EY944" s="16"/>
      <c r="EZ944" s="16"/>
      <c r="FA944" s="17"/>
      <c r="FB944" s="17"/>
      <c r="FC944" s="16"/>
      <c r="FD944" s="16"/>
      <c r="FE944" s="17"/>
      <c r="FF944" s="17"/>
      <c r="FG944" s="11"/>
      <c r="GT944" s="11"/>
      <c r="IG944" s="11"/>
      <c r="JT944" s="11"/>
      <c r="LG944" s="11"/>
      <c r="MT944" s="11"/>
      <c r="OG944" s="11"/>
      <c r="PT944" s="11"/>
    </row>
    <row r="945" spans="1:474" ht="15.75" x14ac:dyDescent="0.25">
      <c r="C945" s="20" t="s">
        <v>682</v>
      </c>
      <c r="D945" s="21" t="s">
        <v>79</v>
      </c>
      <c r="H945" s="11"/>
      <c r="AU945" s="11"/>
      <c r="CH945" s="11"/>
      <c r="CI945" s="16"/>
      <c r="CJ945" s="16"/>
      <c r="CK945" s="16"/>
      <c r="CL945" s="16"/>
      <c r="CM945" s="16"/>
      <c r="CN945" s="16"/>
      <c r="CO945" s="16"/>
      <c r="CP945" s="16"/>
      <c r="CQ945" s="16"/>
      <c r="CR945" s="16"/>
      <c r="CS945" s="16"/>
      <c r="CT945" s="16"/>
      <c r="CU945" s="16"/>
      <c r="CV945" s="16"/>
      <c r="CW945" s="16"/>
      <c r="CX945" s="16"/>
      <c r="CY945" s="16"/>
      <c r="CZ945" s="16"/>
      <c r="DA945" s="16"/>
      <c r="DB945" s="16"/>
      <c r="DC945" s="16"/>
      <c r="DD945" s="16"/>
      <c r="DE945" s="17"/>
      <c r="DF945" s="17"/>
      <c r="DG945" s="16"/>
      <c r="DH945" s="16"/>
      <c r="DI945" s="17"/>
      <c r="DJ945" s="17"/>
      <c r="DK945" s="16"/>
      <c r="DL945" s="16"/>
      <c r="DM945" s="17"/>
      <c r="DN945" s="17"/>
      <c r="DO945" s="16"/>
      <c r="DP945" s="16"/>
      <c r="DQ945" s="17"/>
      <c r="DR945" s="17"/>
      <c r="DS945" s="16"/>
      <c r="DT945" s="16"/>
      <c r="DU945" s="17"/>
      <c r="DV945" s="17"/>
      <c r="DW945" s="16"/>
      <c r="DX945" s="16"/>
      <c r="DY945" s="17"/>
      <c r="DZ945" s="17"/>
      <c r="EA945" s="16"/>
      <c r="EB945" s="16"/>
      <c r="EC945" s="17"/>
      <c r="ED945" s="17"/>
      <c r="EE945" s="16"/>
      <c r="EF945" s="16"/>
      <c r="EG945" s="17"/>
      <c r="EH945" s="17"/>
      <c r="EI945" s="16"/>
      <c r="EJ945" s="16"/>
      <c r="EK945" s="17"/>
      <c r="EL945" s="17"/>
      <c r="EM945" s="16"/>
      <c r="EN945" s="16"/>
      <c r="EO945" s="17"/>
      <c r="EP945" s="17"/>
      <c r="EQ945" s="16"/>
      <c r="ER945" s="16"/>
      <c r="ES945" s="17"/>
      <c r="ET945" s="17"/>
      <c r="EU945" s="16"/>
      <c r="EV945" s="16"/>
      <c r="EW945" s="17"/>
      <c r="EX945" s="17"/>
      <c r="EY945" s="16"/>
      <c r="EZ945" s="16"/>
      <c r="FA945" s="17"/>
      <c r="FB945" s="17"/>
      <c r="FC945" s="16"/>
      <c r="FD945" s="16"/>
      <c r="FE945" s="17"/>
      <c r="FF945" s="17"/>
      <c r="FG945" s="11"/>
      <c r="GT945" s="11"/>
      <c r="IG945" s="11"/>
      <c r="JT945" s="11"/>
      <c r="LG945" s="11"/>
      <c r="MT945" s="11"/>
      <c r="OG945" s="11"/>
      <c r="PT945" s="11"/>
    </row>
    <row r="946" spans="1:474" ht="15.75" x14ac:dyDescent="0.25">
      <c r="C946" s="20" t="s">
        <v>683</v>
      </c>
      <c r="D946" s="21" t="s">
        <v>79</v>
      </c>
      <c r="H946" s="11"/>
      <c r="AU946" s="11"/>
      <c r="CH946" s="11"/>
      <c r="CI946" s="16"/>
      <c r="CJ946" s="16"/>
      <c r="CK946" s="16"/>
      <c r="CL946" s="16"/>
      <c r="CM946" s="16"/>
      <c r="CN946" s="16"/>
      <c r="CO946" s="16"/>
      <c r="CP946" s="16"/>
      <c r="CQ946" s="16"/>
      <c r="CR946" s="16"/>
      <c r="CS946" s="16"/>
      <c r="CT946" s="16"/>
      <c r="CU946" s="16"/>
      <c r="CV946" s="16"/>
      <c r="CW946" s="16"/>
      <c r="CX946" s="16"/>
      <c r="CY946" s="16"/>
      <c r="CZ946" s="16"/>
      <c r="DA946" s="16"/>
      <c r="DB946" s="16"/>
      <c r="DC946" s="16"/>
      <c r="DD946" s="16"/>
      <c r="DE946" s="17"/>
      <c r="DF946" s="17"/>
      <c r="DG946" s="16"/>
      <c r="DH946" s="16"/>
      <c r="DI946" s="17"/>
      <c r="DJ946" s="17"/>
      <c r="DK946" s="16"/>
      <c r="DL946" s="16"/>
      <c r="DM946" s="17"/>
      <c r="DN946" s="17"/>
      <c r="DO946" s="16"/>
      <c r="DP946" s="16"/>
      <c r="DQ946" s="17"/>
      <c r="DR946" s="17"/>
      <c r="DS946" s="16"/>
      <c r="DT946" s="16"/>
      <c r="DU946" s="17"/>
      <c r="DV946" s="17"/>
      <c r="DW946" s="16"/>
      <c r="DX946" s="16"/>
      <c r="DY946" s="17"/>
      <c r="DZ946" s="17"/>
      <c r="EA946" s="16"/>
      <c r="EB946" s="16"/>
      <c r="EC946" s="17"/>
      <c r="ED946" s="17"/>
      <c r="EE946" s="16"/>
      <c r="EF946" s="16"/>
      <c r="EG946" s="17"/>
      <c r="EH946" s="17"/>
      <c r="EI946" s="16"/>
      <c r="EJ946" s="16"/>
      <c r="EK946" s="17"/>
      <c r="EL946" s="17"/>
      <c r="EM946" s="16"/>
      <c r="EN946" s="16"/>
      <c r="EO946" s="17"/>
      <c r="EP946" s="17"/>
      <c r="EQ946" s="16"/>
      <c r="ER946" s="16"/>
      <c r="ES946" s="17"/>
      <c r="ET946" s="17"/>
      <c r="EU946" s="16"/>
      <c r="EV946" s="16"/>
      <c r="EW946" s="17"/>
      <c r="EX946" s="17"/>
      <c r="EY946" s="16"/>
      <c r="EZ946" s="16"/>
      <c r="FA946" s="17"/>
      <c r="FB946" s="17"/>
      <c r="FC946" s="16"/>
      <c r="FD946" s="16"/>
      <c r="FE946" s="17"/>
      <c r="FF946" s="17"/>
      <c r="FG946" s="11"/>
      <c r="GT946" s="11"/>
      <c r="IG946" s="11"/>
      <c r="JT946" s="11"/>
      <c r="LG946" s="11"/>
      <c r="MT946" s="11"/>
      <c r="OG946" s="11"/>
      <c r="PT946" s="11"/>
    </row>
    <row r="947" spans="1:474" ht="15.75" x14ac:dyDescent="0.25">
      <c r="C947" s="20" t="s">
        <v>684</v>
      </c>
      <c r="D947" s="21" t="s">
        <v>79</v>
      </c>
      <c r="H947" s="11"/>
      <c r="AU947" s="11"/>
      <c r="CH947" s="11"/>
      <c r="CI947" s="16"/>
      <c r="CJ947" s="16"/>
      <c r="CK947" s="16"/>
      <c r="CL947" s="16"/>
      <c r="CM947" s="16"/>
      <c r="CN947" s="16"/>
      <c r="CO947" s="16"/>
      <c r="CP947" s="16"/>
      <c r="CQ947" s="16"/>
      <c r="CR947" s="16"/>
      <c r="CS947" s="16"/>
      <c r="CT947" s="16"/>
      <c r="CU947" s="16"/>
      <c r="CV947" s="16"/>
      <c r="CW947" s="16"/>
      <c r="CX947" s="16"/>
      <c r="CY947" s="16"/>
      <c r="CZ947" s="16"/>
      <c r="DA947" s="16"/>
      <c r="DB947" s="16"/>
      <c r="DC947" s="16"/>
      <c r="DD947" s="16"/>
      <c r="DE947" s="17"/>
      <c r="DF947" s="17"/>
      <c r="DG947" s="16"/>
      <c r="DH947" s="16"/>
      <c r="DI947" s="17"/>
      <c r="DJ947" s="17"/>
      <c r="DK947" s="16"/>
      <c r="DL947" s="16"/>
      <c r="DM947" s="17"/>
      <c r="DN947" s="17"/>
      <c r="DO947" s="16"/>
      <c r="DP947" s="16"/>
      <c r="DQ947" s="17"/>
      <c r="DR947" s="17"/>
      <c r="DS947" s="16"/>
      <c r="DT947" s="16"/>
      <c r="DU947" s="17"/>
      <c r="DV947" s="17"/>
      <c r="DW947" s="16"/>
      <c r="DX947" s="16"/>
      <c r="DY947" s="17"/>
      <c r="DZ947" s="17"/>
      <c r="EA947" s="16"/>
      <c r="EB947" s="16"/>
      <c r="EC947" s="17"/>
      <c r="ED947" s="17"/>
      <c r="EE947" s="16"/>
      <c r="EF947" s="16"/>
      <c r="EG947" s="17"/>
      <c r="EH947" s="17"/>
      <c r="EI947" s="16"/>
      <c r="EJ947" s="16"/>
      <c r="EK947" s="17"/>
      <c r="EL947" s="17"/>
      <c r="EM947" s="16"/>
      <c r="EN947" s="16"/>
      <c r="EO947" s="17"/>
      <c r="EP947" s="17"/>
      <c r="EQ947" s="16"/>
      <c r="ER947" s="16"/>
      <c r="ES947" s="17"/>
      <c r="ET947" s="17"/>
      <c r="EU947" s="16"/>
      <c r="EV947" s="16"/>
      <c r="EW947" s="17"/>
      <c r="EX947" s="17"/>
      <c r="EY947" s="16"/>
      <c r="EZ947" s="16"/>
      <c r="FA947" s="17"/>
      <c r="FB947" s="17"/>
      <c r="FC947" s="16"/>
      <c r="FD947" s="16"/>
      <c r="FE947" s="17"/>
      <c r="FF947" s="17"/>
      <c r="FG947" s="11"/>
      <c r="GT947" s="11"/>
      <c r="IG947" s="11"/>
      <c r="JT947" s="11"/>
      <c r="LG947" s="11"/>
      <c r="MT947" s="11"/>
      <c r="OG947" s="11"/>
      <c r="PT947" s="11"/>
    </row>
    <row r="948" spans="1:474" ht="15.75" x14ac:dyDescent="0.25">
      <c r="C948" s="20" t="s">
        <v>685</v>
      </c>
      <c r="D948" s="21" t="s">
        <v>90</v>
      </c>
      <c r="H948" s="11"/>
      <c r="AU948" s="11"/>
      <c r="CH948" s="11"/>
      <c r="CI948" s="16"/>
      <c r="CJ948" s="16"/>
      <c r="CK948" s="16"/>
      <c r="CL948" s="16"/>
      <c r="CM948" s="16"/>
      <c r="CN948" s="16"/>
      <c r="CO948" s="16"/>
      <c r="CP948" s="16"/>
      <c r="CQ948" s="16"/>
      <c r="CR948" s="16"/>
      <c r="CS948" s="16"/>
      <c r="CT948" s="16"/>
      <c r="CU948" s="16"/>
      <c r="CV948" s="16"/>
      <c r="CW948" s="16"/>
      <c r="CX948" s="16"/>
      <c r="CY948" s="16"/>
      <c r="CZ948" s="16"/>
      <c r="DA948" s="16"/>
      <c r="DB948" s="16"/>
      <c r="DC948" s="16"/>
      <c r="DD948" s="16"/>
      <c r="DE948" s="17"/>
      <c r="DF948" s="17"/>
      <c r="DG948" s="16"/>
      <c r="DH948" s="16"/>
      <c r="DI948" s="17"/>
      <c r="DJ948" s="17"/>
      <c r="DK948" s="16"/>
      <c r="DL948" s="16"/>
      <c r="DM948" s="17"/>
      <c r="DN948" s="17"/>
      <c r="DO948" s="16"/>
      <c r="DP948" s="16"/>
      <c r="DQ948" s="17"/>
      <c r="DR948" s="17"/>
      <c r="DS948" s="16"/>
      <c r="DT948" s="16"/>
      <c r="DU948" s="17"/>
      <c r="DV948" s="17"/>
      <c r="DW948" s="16"/>
      <c r="DX948" s="16"/>
      <c r="DY948" s="17"/>
      <c r="DZ948" s="17"/>
      <c r="EA948" s="16"/>
      <c r="EB948" s="16"/>
      <c r="EC948" s="17"/>
      <c r="ED948" s="17"/>
      <c r="EE948" s="16"/>
      <c r="EF948" s="16"/>
      <c r="EG948" s="17"/>
      <c r="EH948" s="17"/>
      <c r="EI948" s="16"/>
      <c r="EJ948" s="16"/>
      <c r="EK948" s="17"/>
      <c r="EL948" s="17"/>
      <c r="EM948" s="16"/>
      <c r="EN948" s="16"/>
      <c r="EO948" s="17"/>
      <c r="EP948" s="17"/>
      <c r="EQ948" s="16"/>
      <c r="ER948" s="16"/>
      <c r="ES948" s="17"/>
      <c r="ET948" s="17"/>
      <c r="EU948" s="16"/>
      <c r="EV948" s="16"/>
      <c r="EW948" s="17"/>
      <c r="EX948" s="17"/>
      <c r="EY948" s="16"/>
      <c r="EZ948" s="16"/>
      <c r="FA948" s="17"/>
      <c r="FB948" s="17"/>
      <c r="FC948" s="16"/>
      <c r="FD948" s="16"/>
      <c r="FE948" s="17"/>
      <c r="FF948" s="17"/>
      <c r="FG948" s="11"/>
      <c r="GT948" s="11"/>
      <c r="IG948" s="11"/>
      <c r="JT948" s="11"/>
      <c r="LG948" s="11"/>
      <c r="MT948" s="11"/>
      <c r="OG948" s="11"/>
      <c r="PT948" s="11"/>
    </row>
    <row r="949" spans="1:474" x14ac:dyDescent="0.25">
      <c r="A949" s="57" t="s">
        <v>692</v>
      </c>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c r="AF949" s="57"/>
      <c r="AG949" s="57"/>
      <c r="AH949" s="57"/>
      <c r="AI949" s="57"/>
      <c r="AJ949" s="57"/>
      <c r="AK949" s="57"/>
      <c r="AL949" s="57"/>
      <c r="AM949" s="57"/>
      <c r="AN949" s="57"/>
      <c r="AO949" s="57"/>
      <c r="AP949" s="57"/>
      <c r="AQ949" s="57"/>
      <c r="AR949" s="57"/>
      <c r="AS949" s="57"/>
      <c r="AT949" s="57"/>
      <c r="AU949" s="57"/>
      <c r="AV949" s="57"/>
      <c r="AW949" s="57"/>
      <c r="AX949" s="57"/>
      <c r="AY949" s="57"/>
      <c r="AZ949" s="57"/>
      <c r="BA949" s="57"/>
      <c r="BB949" s="57"/>
      <c r="BC949" s="57"/>
      <c r="BD949" s="57"/>
      <c r="BE949" s="57"/>
      <c r="BF949" s="57"/>
      <c r="BG949" s="57"/>
      <c r="BH949" s="57"/>
      <c r="BI949" s="57"/>
      <c r="BJ949" s="57"/>
      <c r="BK949" s="57"/>
      <c r="BL949" s="57"/>
      <c r="BM949" s="57"/>
      <c r="BN949" s="57"/>
      <c r="BO949" s="57"/>
      <c r="BP949" s="57"/>
      <c r="BQ949" s="57"/>
      <c r="BR949" s="57"/>
      <c r="BS949" s="57"/>
      <c r="BT949" s="57"/>
      <c r="BU949" s="57"/>
      <c r="BV949" s="57"/>
      <c r="BW949" s="57"/>
      <c r="BX949" s="57"/>
      <c r="BY949" s="57"/>
      <c r="BZ949" s="57"/>
      <c r="CA949" s="57"/>
      <c r="CB949" s="57"/>
      <c r="CC949" s="57"/>
      <c r="CD949" s="57"/>
      <c r="CE949" s="57"/>
      <c r="CF949" s="57"/>
      <c r="CG949" s="57"/>
      <c r="CH949" s="57"/>
      <c r="CI949" s="57"/>
      <c r="CJ949" s="57"/>
      <c r="CK949" s="57"/>
      <c r="CL949" s="57"/>
      <c r="CM949" s="57"/>
      <c r="CN949" s="57"/>
      <c r="CO949" s="57"/>
      <c r="CP949" s="57"/>
      <c r="CQ949" s="57"/>
      <c r="CR949" s="57"/>
      <c r="CS949" s="57"/>
      <c r="CT949" s="57"/>
      <c r="CU949" s="57"/>
      <c r="CV949" s="57"/>
      <c r="CW949" s="57"/>
      <c r="CX949" s="57"/>
      <c r="CY949" s="57"/>
      <c r="CZ949" s="57"/>
      <c r="DA949" s="57"/>
      <c r="DB949" s="57"/>
      <c r="DC949" s="57"/>
      <c r="DD949" s="57"/>
      <c r="DE949" s="57"/>
      <c r="DF949" s="57"/>
      <c r="DG949" s="57"/>
      <c r="DH949" s="57"/>
      <c r="DI949" s="57"/>
      <c r="DJ949" s="57"/>
      <c r="DK949" s="57"/>
      <c r="DL949" s="57"/>
      <c r="DM949" s="57"/>
      <c r="DN949" s="57"/>
      <c r="DO949" s="57"/>
      <c r="DP949" s="57"/>
      <c r="DQ949" s="57"/>
      <c r="DR949" s="57"/>
      <c r="DS949" s="57"/>
      <c r="DT949" s="57"/>
      <c r="DU949" s="57"/>
      <c r="DV949" s="57"/>
      <c r="DW949" s="57"/>
      <c r="DX949" s="57"/>
      <c r="DY949" s="57"/>
      <c r="DZ949" s="57"/>
      <c r="EA949" s="57"/>
      <c r="EB949" s="57"/>
      <c r="EC949" s="57"/>
      <c r="ED949" s="57"/>
      <c r="EE949" s="57"/>
      <c r="EF949" s="57"/>
      <c r="EG949" s="57"/>
      <c r="EH949" s="57"/>
      <c r="EI949" s="57"/>
      <c r="EJ949" s="57"/>
      <c r="EK949" s="57"/>
      <c r="EL949" s="57"/>
      <c r="EM949" s="57"/>
      <c r="EN949" s="57"/>
      <c r="EO949" s="57"/>
      <c r="EP949" s="57"/>
      <c r="EQ949" s="57"/>
      <c r="ER949" s="57"/>
      <c r="ES949" s="57"/>
      <c r="ET949" s="57"/>
      <c r="EU949" s="57"/>
      <c r="EV949" s="57"/>
      <c r="EW949" s="57"/>
      <c r="EX949" s="57"/>
      <c r="EY949" s="57"/>
      <c r="EZ949" s="57"/>
      <c r="FA949" s="57"/>
      <c r="FB949" s="57"/>
      <c r="FC949" s="57"/>
      <c r="FD949" s="57"/>
      <c r="FE949" s="57"/>
      <c r="FF949" s="57"/>
      <c r="FG949" s="57"/>
      <c r="FH949" s="57"/>
      <c r="FI949" s="57"/>
      <c r="FJ949" s="57"/>
      <c r="FK949" s="57"/>
      <c r="FL949" s="57"/>
      <c r="FM949" s="57"/>
      <c r="FN949" s="57"/>
      <c r="FO949" s="57"/>
      <c r="FP949" s="57"/>
      <c r="FQ949" s="57"/>
      <c r="FR949" s="57"/>
      <c r="FS949" s="57"/>
      <c r="FT949" s="57"/>
      <c r="FU949" s="57"/>
      <c r="FV949" s="57"/>
      <c r="FW949" s="57"/>
      <c r="FX949" s="57"/>
      <c r="FY949" s="57"/>
      <c r="FZ949" s="57"/>
      <c r="GA949" s="57"/>
      <c r="GB949" s="57"/>
      <c r="GC949" s="57"/>
      <c r="GD949" s="57"/>
      <c r="GE949" s="57"/>
      <c r="GF949" s="57"/>
      <c r="GG949" s="57"/>
      <c r="GH949" s="57"/>
      <c r="GI949" s="57"/>
      <c r="GJ949" s="57"/>
      <c r="GK949" s="57"/>
      <c r="GL949" s="57"/>
      <c r="GM949" s="57"/>
      <c r="GN949" s="57"/>
      <c r="GO949" s="57"/>
      <c r="GP949" s="57"/>
      <c r="GQ949" s="57"/>
      <c r="GR949" s="57"/>
      <c r="GS949" s="57"/>
      <c r="GT949" s="57"/>
      <c r="GU949" s="57"/>
      <c r="GV949" s="57"/>
      <c r="GW949" s="57"/>
      <c r="GX949" s="57"/>
      <c r="GY949" s="57"/>
      <c r="GZ949" s="57"/>
      <c r="HA949" s="57"/>
      <c r="HB949" s="57"/>
      <c r="HC949" s="57"/>
      <c r="HD949" s="57"/>
      <c r="HE949" s="57"/>
      <c r="HF949" s="57"/>
      <c r="HG949" s="57"/>
      <c r="HH949" s="57"/>
      <c r="HI949" s="57"/>
      <c r="HJ949" s="57"/>
      <c r="HK949" s="57"/>
      <c r="HL949" s="57"/>
      <c r="HM949" s="57"/>
      <c r="HN949" s="57"/>
      <c r="HO949" s="57"/>
      <c r="HP949" s="57"/>
      <c r="HQ949" s="57"/>
      <c r="HR949" s="57"/>
      <c r="HS949" s="57"/>
      <c r="HT949" s="57"/>
      <c r="HU949" s="57"/>
      <c r="HV949" s="57"/>
      <c r="HW949" s="57"/>
      <c r="HX949" s="57"/>
      <c r="HY949" s="57"/>
      <c r="HZ949" s="57"/>
      <c r="IA949" s="57"/>
      <c r="IB949" s="57"/>
      <c r="IC949" s="57"/>
      <c r="ID949" s="57"/>
      <c r="IE949" s="57"/>
      <c r="IF949" s="57"/>
      <c r="IG949" s="57"/>
      <c r="IH949" s="57"/>
      <c r="II949" s="57"/>
      <c r="IJ949" s="57"/>
      <c r="IK949" s="57"/>
      <c r="IL949" s="57"/>
      <c r="IM949" s="57"/>
      <c r="IN949" s="57"/>
      <c r="IO949" s="57"/>
      <c r="IP949" s="57"/>
      <c r="IQ949" s="57"/>
      <c r="IR949" s="57"/>
      <c r="IS949" s="57"/>
      <c r="IT949" s="57"/>
      <c r="IU949" s="57"/>
      <c r="IV949" s="57"/>
      <c r="IW949" s="57"/>
      <c r="IX949" s="57"/>
      <c r="IY949" s="57"/>
      <c r="IZ949" s="57"/>
      <c r="JA949" s="57"/>
      <c r="JB949" s="57"/>
      <c r="JC949" s="57"/>
      <c r="JD949" s="57"/>
      <c r="JE949" s="57"/>
      <c r="JF949" s="57"/>
      <c r="JG949" s="57"/>
      <c r="JH949" s="57"/>
      <c r="JI949" s="57"/>
      <c r="JJ949" s="57"/>
      <c r="JK949" s="57"/>
      <c r="JL949" s="57"/>
      <c r="JM949" s="57"/>
      <c r="JN949" s="57"/>
      <c r="JO949" s="57"/>
      <c r="JP949" s="57"/>
      <c r="JQ949" s="57"/>
      <c r="JR949" s="57"/>
      <c r="JS949" s="57"/>
      <c r="JT949" s="57"/>
      <c r="JU949" s="57"/>
      <c r="JV949" s="57"/>
      <c r="JW949" s="57"/>
      <c r="JX949" s="57"/>
      <c r="JY949" s="57"/>
      <c r="JZ949" s="57"/>
      <c r="KA949" s="57"/>
      <c r="KB949" s="57"/>
      <c r="KC949" s="57"/>
      <c r="KD949" s="57"/>
      <c r="KE949" s="57"/>
      <c r="KF949" s="57"/>
      <c r="KG949" s="57"/>
      <c r="KH949" s="57"/>
      <c r="KI949" s="57"/>
      <c r="KJ949" s="57"/>
      <c r="KK949" s="57"/>
      <c r="KL949" s="57"/>
      <c r="KM949" s="57"/>
      <c r="KN949" s="57"/>
      <c r="KO949" s="57"/>
      <c r="KP949" s="57"/>
      <c r="KQ949" s="57"/>
      <c r="KR949" s="57"/>
      <c r="KS949" s="57"/>
      <c r="KT949" s="57"/>
      <c r="KU949" s="57"/>
      <c r="KV949" s="57"/>
      <c r="KW949" s="57"/>
      <c r="KX949" s="57"/>
      <c r="KY949" s="57"/>
      <c r="KZ949" s="57"/>
      <c r="LA949" s="57"/>
      <c r="LB949" s="57"/>
      <c r="LC949" s="57"/>
      <c r="LD949" s="57"/>
      <c r="LE949" s="57"/>
      <c r="LF949" s="57"/>
      <c r="LG949" s="57"/>
      <c r="LH949" s="57"/>
      <c r="LI949" s="57"/>
      <c r="LJ949" s="57"/>
      <c r="LK949" s="57"/>
      <c r="LL949" s="57"/>
      <c r="LM949" s="57"/>
      <c r="LN949" s="57"/>
      <c r="LO949" s="57"/>
      <c r="LP949" s="57"/>
      <c r="LQ949" s="57"/>
      <c r="LR949" s="57"/>
      <c r="LS949" s="57"/>
      <c r="LT949" s="57"/>
      <c r="LU949" s="57"/>
      <c r="LV949" s="57"/>
      <c r="LW949" s="57"/>
      <c r="LX949" s="57"/>
      <c r="LY949" s="57"/>
      <c r="LZ949" s="57"/>
      <c r="MA949" s="57"/>
      <c r="MB949" s="57"/>
      <c r="MC949" s="57"/>
      <c r="MD949" s="57"/>
      <c r="ME949" s="57"/>
      <c r="MF949" s="57"/>
      <c r="MG949" s="57"/>
      <c r="MH949" s="57"/>
      <c r="MI949" s="57"/>
      <c r="MJ949" s="57"/>
      <c r="MK949" s="57"/>
      <c r="ML949" s="57"/>
      <c r="MM949" s="57"/>
      <c r="MN949" s="57"/>
      <c r="MO949" s="57"/>
      <c r="MP949" s="57"/>
      <c r="MQ949" s="57"/>
      <c r="MR949" s="57"/>
      <c r="MS949" s="57"/>
      <c r="MT949" s="57"/>
      <c r="MU949" s="57"/>
      <c r="MV949" s="57"/>
      <c r="MW949" s="57"/>
      <c r="MX949" s="57"/>
      <c r="MY949" s="57"/>
      <c r="MZ949" s="57"/>
      <c r="NA949" s="57"/>
      <c r="NB949" s="57"/>
      <c r="NC949" s="57"/>
      <c r="ND949" s="57"/>
      <c r="NE949" s="57"/>
      <c r="NF949" s="57"/>
      <c r="NG949" s="57"/>
      <c r="NH949" s="57"/>
      <c r="NI949" s="57"/>
      <c r="NJ949" s="57"/>
      <c r="NK949" s="57"/>
      <c r="NL949" s="57"/>
      <c r="NM949" s="57"/>
      <c r="NN949" s="57"/>
      <c r="NO949" s="57"/>
      <c r="NP949" s="57"/>
      <c r="NQ949" s="57"/>
      <c r="NR949" s="57"/>
      <c r="NS949" s="57"/>
      <c r="NT949" s="57"/>
      <c r="NU949" s="57"/>
      <c r="NV949" s="57"/>
      <c r="NW949" s="57"/>
      <c r="NX949" s="57"/>
      <c r="NY949" s="57"/>
      <c r="NZ949" s="57"/>
      <c r="OA949" s="57"/>
      <c r="OB949" s="57"/>
      <c r="OC949" s="57"/>
      <c r="OD949" s="57"/>
      <c r="OE949" s="57"/>
      <c r="OF949" s="57"/>
      <c r="OG949" s="57"/>
      <c r="OH949" s="57"/>
      <c r="OI949" s="57"/>
      <c r="OJ949" s="57"/>
      <c r="OK949" s="57"/>
      <c r="OL949" s="57"/>
      <c r="OM949" s="57"/>
      <c r="ON949" s="57"/>
      <c r="OO949" s="57"/>
      <c r="OP949" s="57"/>
      <c r="OQ949" s="57"/>
      <c r="OR949" s="57"/>
      <c r="OS949" s="57"/>
      <c r="OT949" s="57"/>
      <c r="OU949" s="57"/>
      <c r="OV949" s="57"/>
      <c r="OW949" s="57"/>
      <c r="OX949" s="57"/>
      <c r="OY949" s="57"/>
      <c r="OZ949" s="57"/>
      <c r="PA949" s="57"/>
      <c r="PB949" s="57"/>
      <c r="PC949" s="57"/>
      <c r="PD949" s="57"/>
      <c r="PE949" s="57"/>
      <c r="PF949" s="57"/>
      <c r="PG949" s="57"/>
      <c r="PH949" s="57"/>
      <c r="PI949" s="57"/>
      <c r="PJ949" s="57"/>
      <c r="PK949" s="57"/>
      <c r="PL949" s="57"/>
      <c r="PM949" s="57"/>
      <c r="PN949" s="57"/>
      <c r="PO949" s="57"/>
      <c r="PP949" s="57"/>
      <c r="PQ949" s="57"/>
      <c r="PR949" s="57"/>
      <c r="PS949" s="57"/>
      <c r="PT949" s="57"/>
      <c r="PU949" s="57"/>
      <c r="PV949" s="57"/>
      <c r="PW949" s="57"/>
      <c r="PX949" s="57"/>
      <c r="PY949" s="57"/>
      <c r="PZ949" s="57"/>
      <c r="QA949" s="57"/>
      <c r="QB949" s="57"/>
      <c r="QC949" s="57"/>
      <c r="QD949" s="57"/>
      <c r="QE949" s="57"/>
      <c r="QF949" s="57"/>
      <c r="QG949" s="57"/>
      <c r="QH949" s="57"/>
      <c r="QI949" s="57"/>
      <c r="QJ949" s="57"/>
      <c r="QK949" s="57"/>
      <c r="QL949" s="57"/>
      <c r="QM949" s="57"/>
      <c r="QN949" s="57"/>
      <c r="QO949" s="57"/>
      <c r="QP949" s="57"/>
      <c r="QQ949" s="57"/>
      <c r="QR949" s="57"/>
      <c r="QS949" s="57"/>
      <c r="QT949" s="57"/>
      <c r="QU949" s="57"/>
      <c r="QV949" s="57"/>
      <c r="QW949" s="57"/>
      <c r="QX949" s="57"/>
      <c r="QY949" s="57"/>
      <c r="QZ949" s="57"/>
      <c r="RA949" s="57"/>
      <c r="RB949" s="57"/>
      <c r="RC949" s="57"/>
      <c r="RD949" s="57"/>
      <c r="RE949" s="57"/>
      <c r="RF949" s="57"/>
    </row>
    <row r="950" spans="1:474" x14ac:dyDescent="0.25">
      <c r="H950" s="11"/>
      <c r="AU950" s="11"/>
      <c r="CH950" s="11"/>
      <c r="CI950" s="12" t="s">
        <v>73</v>
      </c>
      <c r="CJ950" s="12" t="s">
        <v>74</v>
      </c>
      <c r="CK950" s="12" t="s">
        <v>73</v>
      </c>
      <c r="CL950" s="12" t="s">
        <v>74</v>
      </c>
      <c r="CM950" s="12" t="s">
        <v>73</v>
      </c>
      <c r="CN950" s="12" t="s">
        <v>74</v>
      </c>
      <c r="CO950" s="12" t="s">
        <v>73</v>
      </c>
      <c r="CP950" s="12" t="s">
        <v>74</v>
      </c>
      <c r="CQ950" s="12" t="s">
        <v>73</v>
      </c>
      <c r="CR950" s="12" t="s">
        <v>74</v>
      </c>
      <c r="CS950" s="12" t="s">
        <v>73</v>
      </c>
      <c r="CT950" s="12" t="s">
        <v>74</v>
      </c>
      <c r="CU950" s="12" t="s">
        <v>73</v>
      </c>
      <c r="CV950" s="12" t="s">
        <v>74</v>
      </c>
      <c r="CW950" s="12" t="s">
        <v>73</v>
      </c>
      <c r="CX950" s="12" t="s">
        <v>74</v>
      </c>
      <c r="CY950" s="12" t="s">
        <v>73</v>
      </c>
      <c r="CZ950" s="12" t="s">
        <v>74</v>
      </c>
      <c r="DA950" s="12" t="s">
        <v>73</v>
      </c>
      <c r="DB950" s="12" t="s">
        <v>74</v>
      </c>
      <c r="DC950" s="12" t="s">
        <v>73</v>
      </c>
      <c r="DD950" s="12" t="s">
        <v>74</v>
      </c>
      <c r="DE950" s="12" t="s">
        <v>73</v>
      </c>
      <c r="DF950" s="12" t="s">
        <v>74</v>
      </c>
      <c r="DG950" s="12" t="s">
        <v>73</v>
      </c>
      <c r="DH950" s="12" t="s">
        <v>74</v>
      </c>
      <c r="DI950" s="12" t="s">
        <v>73</v>
      </c>
      <c r="DJ950" s="12" t="s">
        <v>74</v>
      </c>
      <c r="DK950" s="12" t="s">
        <v>73</v>
      </c>
      <c r="DL950" s="12" t="s">
        <v>74</v>
      </c>
      <c r="DM950" s="12" t="s">
        <v>73</v>
      </c>
      <c r="DN950" s="12" t="s">
        <v>74</v>
      </c>
      <c r="DO950" s="12" t="s">
        <v>73</v>
      </c>
      <c r="DP950" s="12" t="s">
        <v>74</v>
      </c>
      <c r="DQ950" s="12" t="s">
        <v>73</v>
      </c>
      <c r="DR950" s="12" t="s">
        <v>74</v>
      </c>
      <c r="DS950" s="12" t="s">
        <v>73</v>
      </c>
      <c r="DT950" s="12" t="s">
        <v>74</v>
      </c>
      <c r="DU950" s="12" t="s">
        <v>73</v>
      </c>
      <c r="DV950" s="12" t="s">
        <v>74</v>
      </c>
      <c r="DW950" s="12" t="s">
        <v>73</v>
      </c>
      <c r="DX950" s="12" t="s">
        <v>74</v>
      </c>
      <c r="DY950" s="12" t="s">
        <v>73</v>
      </c>
      <c r="DZ950" s="12" t="s">
        <v>74</v>
      </c>
      <c r="EA950" s="12" t="s">
        <v>73</v>
      </c>
      <c r="EB950" s="12" t="s">
        <v>74</v>
      </c>
      <c r="EC950" s="12" t="s">
        <v>73</v>
      </c>
      <c r="ED950" s="12" t="s">
        <v>74</v>
      </c>
      <c r="EE950" s="12" t="s">
        <v>73</v>
      </c>
      <c r="EF950" s="12" t="s">
        <v>74</v>
      </c>
      <c r="EG950" s="12" t="s">
        <v>73</v>
      </c>
      <c r="EH950" s="12" t="s">
        <v>74</v>
      </c>
      <c r="EI950" s="12" t="s">
        <v>73</v>
      </c>
      <c r="EJ950" s="12" t="s">
        <v>74</v>
      </c>
      <c r="EK950" s="12" t="s">
        <v>73</v>
      </c>
      <c r="EL950" s="12" t="s">
        <v>74</v>
      </c>
      <c r="EM950" s="12" t="s">
        <v>73</v>
      </c>
      <c r="EN950" s="12" t="s">
        <v>74</v>
      </c>
      <c r="EO950" s="12" t="s">
        <v>73</v>
      </c>
      <c r="EP950" s="12" t="s">
        <v>74</v>
      </c>
      <c r="EQ950" s="12" t="s">
        <v>73</v>
      </c>
      <c r="ER950" s="12" t="s">
        <v>74</v>
      </c>
      <c r="ES950" s="12" t="s">
        <v>73</v>
      </c>
      <c r="ET950" s="12" t="s">
        <v>74</v>
      </c>
      <c r="EU950" s="12" t="s">
        <v>73</v>
      </c>
      <c r="EV950" s="12" t="s">
        <v>74</v>
      </c>
      <c r="EW950" s="12" t="s">
        <v>73</v>
      </c>
      <c r="EX950" s="12" t="s">
        <v>74</v>
      </c>
      <c r="EY950" s="12" t="s">
        <v>73</v>
      </c>
      <c r="EZ950" s="12" t="s">
        <v>74</v>
      </c>
      <c r="FA950" s="12" t="s">
        <v>73</v>
      </c>
      <c r="FB950" s="12" t="s">
        <v>74</v>
      </c>
      <c r="FC950" s="12" t="s">
        <v>73</v>
      </c>
      <c r="FD950" s="12" t="s">
        <v>74</v>
      </c>
      <c r="FE950" s="12" t="s">
        <v>73</v>
      </c>
      <c r="FF950" s="12" t="s">
        <v>74</v>
      </c>
      <c r="FG950" s="11"/>
      <c r="GT950" s="11"/>
      <c r="IG950" s="11"/>
      <c r="JT950" s="11"/>
      <c r="LG950" s="11"/>
      <c r="MT950" s="11"/>
      <c r="OG950" s="11"/>
      <c r="PT950" s="11"/>
    </row>
    <row r="951" spans="1:474" ht="15.75" x14ac:dyDescent="0.25">
      <c r="A951" s="13"/>
      <c r="B951" s="14" t="s">
        <v>693</v>
      </c>
      <c r="C951" s="13"/>
      <c r="D951" s="13"/>
      <c r="E951" s="15" t="s">
        <v>76</v>
      </c>
      <c r="F951" s="15" t="s">
        <v>132</v>
      </c>
      <c r="G951" s="13"/>
      <c r="H951" s="11"/>
      <c r="AU951" s="11"/>
      <c r="CH951" s="11"/>
      <c r="CI951" s="16"/>
      <c r="CJ951" s="16"/>
      <c r="CK951" s="16"/>
      <c r="CL951" s="16"/>
      <c r="CM951" s="16"/>
      <c r="CN951" s="16"/>
      <c r="CO951" s="16"/>
      <c r="CP951" s="16"/>
      <c r="CQ951" s="16"/>
      <c r="CR951" s="16"/>
      <c r="CS951" s="16"/>
      <c r="CT951" s="16"/>
      <c r="CU951" s="16"/>
      <c r="CV951" s="16"/>
      <c r="CW951" s="16"/>
      <c r="CX951" s="16"/>
      <c r="CY951" s="16"/>
      <c r="CZ951" s="16"/>
      <c r="DA951" s="16"/>
      <c r="DB951" s="16"/>
      <c r="DC951" s="16"/>
      <c r="DD951" s="16"/>
      <c r="DE951" s="17"/>
      <c r="DF951" s="17"/>
      <c r="DG951" s="16"/>
      <c r="DH951" s="16"/>
      <c r="DI951" s="17"/>
      <c r="DJ951" s="17"/>
      <c r="DK951" s="16"/>
      <c r="DL951" s="16"/>
      <c r="DM951" s="17"/>
      <c r="DN951" s="17"/>
      <c r="DO951" s="16"/>
      <c r="DP951" s="16"/>
      <c r="DQ951" s="17"/>
      <c r="DR951" s="17"/>
      <c r="DS951" s="16"/>
      <c r="DT951" s="16"/>
      <c r="DU951" s="17"/>
      <c r="DV951" s="17"/>
      <c r="DW951" s="16"/>
      <c r="DX951" s="16"/>
      <c r="DY951" s="17"/>
      <c r="DZ951" s="17"/>
      <c r="EA951" s="16"/>
      <c r="EB951" s="16"/>
      <c r="EC951" s="18">
        <v>139.4</v>
      </c>
      <c r="ED951" s="18">
        <v>139.4</v>
      </c>
      <c r="EE951" s="16"/>
      <c r="EF951" s="16"/>
      <c r="EG951" s="17"/>
      <c r="EH951" s="17"/>
      <c r="EI951" s="16"/>
      <c r="EJ951" s="16"/>
      <c r="EK951" s="17"/>
      <c r="EL951" s="17"/>
      <c r="EM951" s="16"/>
      <c r="EN951" s="16"/>
      <c r="EO951" s="17"/>
      <c r="EP951" s="17"/>
      <c r="EQ951" s="16"/>
      <c r="ER951" s="16"/>
      <c r="ES951" s="17"/>
      <c r="ET951" s="18">
        <v>60</v>
      </c>
      <c r="EU951" s="16"/>
      <c r="EV951" s="16"/>
      <c r="EW951" s="17"/>
      <c r="EX951" s="17"/>
      <c r="EY951" s="16"/>
      <c r="EZ951" s="16"/>
      <c r="FA951" s="17"/>
      <c r="FB951" s="17"/>
      <c r="FC951" s="16"/>
      <c r="FD951" s="16"/>
      <c r="FE951" s="17"/>
      <c r="FF951" s="17"/>
      <c r="FG951" s="11"/>
      <c r="GT951" s="11"/>
      <c r="IG951" s="11"/>
      <c r="JT951" s="11"/>
      <c r="LG951" s="11"/>
      <c r="MT951" s="11"/>
      <c r="OG951" s="11"/>
      <c r="PT951" s="11"/>
    </row>
    <row r="952" spans="1:474" ht="15.75" x14ac:dyDescent="0.25">
      <c r="C952" s="20" t="s">
        <v>694</v>
      </c>
      <c r="D952" s="21" t="s">
        <v>79</v>
      </c>
      <c r="H952" s="11"/>
      <c r="AU952" s="11"/>
      <c r="CH952" s="11"/>
      <c r="CI952" s="16"/>
      <c r="CJ952" s="16"/>
      <c r="CK952" s="16"/>
      <c r="CL952" s="16"/>
      <c r="CM952" s="16"/>
      <c r="CN952" s="16"/>
      <c r="CO952" s="16"/>
      <c r="CP952" s="16"/>
      <c r="CQ952" s="16"/>
      <c r="CR952" s="16"/>
      <c r="CS952" s="16"/>
      <c r="CT952" s="16"/>
      <c r="CU952" s="16"/>
      <c r="CV952" s="16"/>
      <c r="CW952" s="16"/>
      <c r="CX952" s="16"/>
      <c r="CY952" s="16"/>
      <c r="CZ952" s="16"/>
      <c r="DA952" s="16"/>
      <c r="DB952" s="16"/>
      <c r="DC952" s="16"/>
      <c r="DD952" s="16"/>
      <c r="DE952" s="17"/>
      <c r="DF952" s="17"/>
      <c r="DG952" s="16"/>
      <c r="DH952" s="16"/>
      <c r="DI952" s="18">
        <v>3</v>
      </c>
      <c r="DJ952" s="18">
        <v>5</v>
      </c>
      <c r="DK952" s="16"/>
      <c r="DL952" s="16"/>
      <c r="DM952" s="17"/>
      <c r="DN952" s="17"/>
      <c r="DO952" s="16"/>
      <c r="DP952" s="16"/>
      <c r="DQ952" s="17"/>
      <c r="DR952" s="17"/>
      <c r="DS952" s="16"/>
      <c r="DT952" s="16"/>
      <c r="DU952" s="17"/>
      <c r="DV952" s="17"/>
      <c r="DW952" s="16"/>
      <c r="DX952" s="16"/>
      <c r="DY952" s="17"/>
      <c r="DZ952" s="17"/>
      <c r="EA952" s="16"/>
      <c r="EB952" s="16"/>
      <c r="EC952" s="17"/>
      <c r="ED952" s="17"/>
      <c r="EE952" s="16"/>
      <c r="EF952" s="16"/>
      <c r="EG952" s="17"/>
      <c r="EH952" s="17"/>
      <c r="EI952" s="16"/>
      <c r="EJ952" s="16"/>
      <c r="EK952" s="17"/>
      <c r="EL952" s="17"/>
      <c r="EM952" s="16"/>
      <c r="EN952" s="16"/>
      <c r="EO952" s="17"/>
      <c r="EP952" s="17"/>
      <c r="EQ952" s="16"/>
      <c r="ER952" s="16"/>
      <c r="ES952" s="17"/>
      <c r="ET952" s="17"/>
      <c r="EU952" s="16"/>
      <c r="EV952" s="16"/>
      <c r="EW952" s="17"/>
      <c r="EX952" s="17"/>
      <c r="EY952" s="16"/>
      <c r="EZ952" s="16"/>
      <c r="FA952" s="17"/>
      <c r="FB952" s="17"/>
      <c r="FC952" s="16"/>
      <c r="FD952" s="16"/>
      <c r="FE952" s="17"/>
      <c r="FF952" s="17"/>
      <c r="FG952" s="11"/>
      <c r="GT952" s="11"/>
      <c r="IG952" s="11"/>
      <c r="JT952" s="11"/>
      <c r="LG952" s="11"/>
      <c r="MT952" s="11"/>
      <c r="OG952" s="11"/>
      <c r="PT952" s="11"/>
    </row>
    <row r="953" spans="1:474" ht="15.75" x14ac:dyDescent="0.25">
      <c r="C953" s="20" t="s">
        <v>695</v>
      </c>
      <c r="D953" s="21" t="s">
        <v>84</v>
      </c>
      <c r="H953" s="11"/>
      <c r="AU953" s="11"/>
      <c r="CH953" s="11"/>
      <c r="CI953" s="16"/>
      <c r="CJ953" s="16"/>
      <c r="CK953" s="16"/>
      <c r="CL953" s="16"/>
      <c r="CM953" s="16"/>
      <c r="CN953" s="16"/>
      <c r="CO953" s="16"/>
      <c r="CP953" s="16"/>
      <c r="CQ953" s="16"/>
      <c r="CR953" s="16"/>
      <c r="CS953" s="16"/>
      <c r="CT953" s="16"/>
      <c r="CU953" s="16"/>
      <c r="CV953" s="16"/>
      <c r="CW953" s="16"/>
      <c r="CX953" s="16"/>
      <c r="CY953" s="16"/>
      <c r="CZ953" s="16"/>
      <c r="DA953" s="16"/>
      <c r="DB953" s="16"/>
      <c r="DC953" s="16"/>
      <c r="DD953" s="16"/>
      <c r="DE953" s="17"/>
      <c r="DF953" s="17"/>
      <c r="DG953" s="16"/>
      <c r="DH953" s="16"/>
      <c r="DI953" s="17"/>
      <c r="DJ953" s="17"/>
      <c r="DK953" s="16"/>
      <c r="DL953" s="16"/>
      <c r="DM953" s="17"/>
      <c r="DN953" s="17"/>
      <c r="DO953" s="16"/>
      <c r="DP953" s="16"/>
      <c r="DQ953" s="17"/>
      <c r="DR953" s="17"/>
      <c r="DS953" s="16"/>
      <c r="DT953" s="16"/>
      <c r="DU953" s="17"/>
      <c r="DV953" s="17"/>
      <c r="DW953" s="16"/>
      <c r="DX953" s="19">
        <v>5</v>
      </c>
      <c r="DY953" s="17"/>
      <c r="DZ953" s="17"/>
      <c r="EA953" s="16"/>
      <c r="EB953" s="16"/>
      <c r="EC953" s="17"/>
      <c r="ED953" s="17"/>
      <c r="EE953" s="16"/>
      <c r="EF953" s="16"/>
      <c r="EG953" s="17"/>
      <c r="EH953" s="17"/>
      <c r="EI953" s="16"/>
      <c r="EJ953" s="16"/>
      <c r="EK953" s="17"/>
      <c r="EL953" s="17"/>
      <c r="EM953" s="16"/>
      <c r="EN953" s="16"/>
      <c r="EO953" s="17"/>
      <c r="EP953" s="17"/>
      <c r="EQ953" s="16"/>
      <c r="ER953" s="16"/>
      <c r="ES953" s="17"/>
      <c r="ET953" s="17"/>
      <c r="EU953" s="16"/>
      <c r="EV953" s="16"/>
      <c r="EW953" s="17"/>
      <c r="EX953" s="17"/>
      <c r="EY953" s="16"/>
      <c r="EZ953" s="16"/>
      <c r="FA953" s="17"/>
      <c r="FB953" s="17"/>
      <c r="FC953" s="16"/>
      <c r="FD953" s="16"/>
      <c r="FE953" s="17"/>
      <c r="FF953" s="17"/>
      <c r="FG953" s="11"/>
      <c r="GT953" s="11"/>
      <c r="IG953" s="11"/>
      <c r="JT953" s="11"/>
      <c r="LG953" s="11"/>
      <c r="MT953" s="11"/>
      <c r="OG953" s="11"/>
      <c r="PT953" s="11"/>
    </row>
    <row r="954" spans="1:474" ht="15.75" x14ac:dyDescent="0.25">
      <c r="C954" s="20" t="s">
        <v>696</v>
      </c>
      <c r="D954" s="21" t="s">
        <v>104</v>
      </c>
      <c r="H954" s="11"/>
      <c r="AU954" s="11"/>
      <c r="CH954" s="11"/>
      <c r="CI954" s="16"/>
      <c r="CJ954" s="16"/>
      <c r="CK954" s="16"/>
      <c r="CL954" s="16"/>
      <c r="CM954" s="16"/>
      <c r="CN954" s="16"/>
      <c r="CO954" s="16"/>
      <c r="CP954" s="16"/>
      <c r="CQ954" s="16"/>
      <c r="CR954" s="16"/>
      <c r="CS954" s="16"/>
      <c r="CT954" s="16"/>
      <c r="CU954" s="16"/>
      <c r="CV954" s="16"/>
      <c r="CW954" s="16"/>
      <c r="CX954" s="16"/>
      <c r="CY954" s="16"/>
      <c r="CZ954" s="16"/>
      <c r="DA954" s="16"/>
      <c r="DB954" s="16"/>
      <c r="DC954" s="16"/>
      <c r="DD954" s="16"/>
      <c r="DE954" s="17"/>
      <c r="DF954" s="17"/>
      <c r="DG954" s="16"/>
      <c r="DH954" s="16"/>
      <c r="DI954" s="17"/>
      <c r="DJ954" s="17"/>
      <c r="DK954" s="16"/>
      <c r="DL954" s="16"/>
      <c r="DM954" s="17"/>
      <c r="DN954" s="17"/>
      <c r="DO954" s="16"/>
      <c r="DP954" s="16"/>
      <c r="DQ954" s="17"/>
      <c r="DR954" s="17"/>
      <c r="DS954" s="16"/>
      <c r="DT954" s="16"/>
      <c r="DU954" s="17"/>
      <c r="DV954" s="17"/>
      <c r="DW954" s="16"/>
      <c r="DX954" s="16"/>
      <c r="DY954" s="17"/>
      <c r="DZ954" s="17"/>
      <c r="EA954" s="16"/>
      <c r="EB954" s="16"/>
      <c r="EC954" s="17"/>
      <c r="ED954" s="17"/>
      <c r="EE954" s="16"/>
      <c r="EF954" s="16"/>
      <c r="EG954" s="17"/>
      <c r="EH954" s="17"/>
      <c r="EI954" s="16"/>
      <c r="EJ954" s="16"/>
      <c r="EK954" s="17"/>
      <c r="EL954" s="17"/>
      <c r="EM954" s="16"/>
      <c r="EN954" s="16"/>
      <c r="EO954" s="17"/>
      <c r="EP954" s="17"/>
      <c r="EQ954" s="16"/>
      <c r="ER954" s="16"/>
      <c r="ES954" s="17"/>
      <c r="ET954" s="17"/>
      <c r="EU954" s="16"/>
      <c r="EV954" s="16"/>
      <c r="EW954" s="17"/>
      <c r="EX954" s="17"/>
      <c r="EY954" s="16"/>
      <c r="EZ954" s="16"/>
      <c r="FA954" s="17"/>
      <c r="FB954" s="17"/>
      <c r="FC954" s="19">
        <v>2</v>
      </c>
      <c r="FD954" s="19">
        <v>2</v>
      </c>
      <c r="FE954" s="17"/>
      <c r="FF954" s="17"/>
      <c r="FG954" s="11"/>
      <c r="GT954" s="11"/>
      <c r="IG954" s="11"/>
      <c r="JT954" s="11"/>
      <c r="LG954" s="11"/>
      <c r="MT954" s="11"/>
      <c r="OG954" s="11"/>
      <c r="PT954" s="11"/>
    </row>
    <row r="955" spans="1:474" ht="15.75" x14ac:dyDescent="0.25">
      <c r="C955" s="20" t="s">
        <v>697</v>
      </c>
      <c r="D955" s="21" t="s">
        <v>79</v>
      </c>
      <c r="H955" s="11"/>
      <c r="AU955" s="11"/>
      <c r="CH955" s="11"/>
      <c r="CI955" s="16"/>
      <c r="CJ955" s="16"/>
      <c r="CK955" s="16"/>
      <c r="CL955" s="16"/>
      <c r="CM955" s="16"/>
      <c r="CN955" s="16"/>
      <c r="CO955" s="16"/>
      <c r="CP955" s="16"/>
      <c r="CQ955" s="16"/>
      <c r="CR955" s="16"/>
      <c r="CS955" s="16"/>
      <c r="CT955" s="16"/>
      <c r="CU955" s="16"/>
      <c r="CV955" s="16"/>
      <c r="CW955" s="16"/>
      <c r="CX955" s="16"/>
      <c r="CY955" s="16"/>
      <c r="CZ955" s="16"/>
      <c r="DA955" s="16"/>
      <c r="DB955" s="16"/>
      <c r="DC955" s="16"/>
      <c r="DD955" s="16"/>
      <c r="DE955" s="17"/>
      <c r="DF955" s="17"/>
      <c r="DG955" s="16"/>
      <c r="DH955" s="16"/>
      <c r="DI955" s="18">
        <v>2</v>
      </c>
      <c r="DJ955" s="18">
        <v>4</v>
      </c>
      <c r="DK955" s="16"/>
      <c r="DL955" s="16"/>
      <c r="DM955" s="17"/>
      <c r="DN955" s="17"/>
      <c r="DO955" s="16"/>
      <c r="DP955" s="16"/>
      <c r="DQ955" s="17"/>
      <c r="DR955" s="17"/>
      <c r="DS955" s="16"/>
      <c r="DT955" s="16"/>
      <c r="DU955" s="17"/>
      <c r="DV955" s="17"/>
      <c r="DW955" s="16"/>
      <c r="DX955" s="16"/>
      <c r="DY955" s="17"/>
      <c r="DZ955" s="17"/>
      <c r="EA955" s="16"/>
      <c r="EB955" s="16"/>
      <c r="EC955" s="17"/>
      <c r="ED955" s="17"/>
      <c r="EE955" s="16"/>
      <c r="EF955" s="16"/>
      <c r="EG955" s="17"/>
      <c r="EH955" s="17"/>
      <c r="EI955" s="16"/>
      <c r="EJ955" s="16"/>
      <c r="EK955" s="17"/>
      <c r="EL955" s="17"/>
      <c r="EM955" s="16"/>
      <c r="EN955" s="16"/>
      <c r="EO955" s="17"/>
      <c r="EP955" s="17"/>
      <c r="EQ955" s="16"/>
      <c r="ER955" s="16"/>
      <c r="ES955" s="17"/>
      <c r="ET955" s="17"/>
      <c r="EU955" s="16"/>
      <c r="EV955" s="16"/>
      <c r="EW955" s="17"/>
      <c r="EX955" s="17"/>
      <c r="EY955" s="16"/>
      <c r="EZ955" s="16"/>
      <c r="FA955" s="17"/>
      <c r="FB955" s="17"/>
      <c r="FC955" s="16"/>
      <c r="FD955" s="16"/>
      <c r="FE955" s="17"/>
      <c r="FF955" s="17"/>
      <c r="FG955" s="11"/>
      <c r="GT955" s="11"/>
      <c r="IG955" s="11"/>
      <c r="JT955" s="11"/>
      <c r="LG955" s="11"/>
      <c r="MT955" s="11"/>
      <c r="OG955" s="11"/>
      <c r="PT955" s="11"/>
    </row>
    <row r="956" spans="1:474" ht="15.75" x14ac:dyDescent="0.25">
      <c r="C956" s="20" t="s">
        <v>698</v>
      </c>
      <c r="D956" s="21" t="s">
        <v>84</v>
      </c>
      <c r="H956" s="11"/>
      <c r="AU956" s="11"/>
      <c r="CH956" s="11"/>
      <c r="CI956" s="16"/>
      <c r="CJ956" s="16"/>
      <c r="CK956" s="16"/>
      <c r="CL956" s="16"/>
      <c r="CM956" s="16"/>
      <c r="CN956" s="16"/>
      <c r="CO956" s="16"/>
      <c r="CP956" s="16"/>
      <c r="CQ956" s="16"/>
      <c r="CR956" s="16"/>
      <c r="CS956" s="16"/>
      <c r="CT956" s="16"/>
      <c r="CU956" s="16"/>
      <c r="CV956" s="16"/>
      <c r="CW956" s="16"/>
      <c r="CX956" s="16"/>
      <c r="CY956" s="16"/>
      <c r="CZ956" s="16"/>
      <c r="DA956" s="16"/>
      <c r="DB956" s="16"/>
      <c r="DC956" s="16"/>
      <c r="DD956" s="16"/>
      <c r="DE956" s="17"/>
      <c r="DF956" s="17"/>
      <c r="DG956" s="16"/>
      <c r="DH956" s="16"/>
      <c r="DI956" s="17"/>
      <c r="DJ956" s="17"/>
      <c r="DK956" s="16"/>
      <c r="DL956" s="16"/>
      <c r="DM956" s="17"/>
      <c r="DN956" s="17"/>
      <c r="DO956" s="16"/>
      <c r="DP956" s="16"/>
      <c r="DQ956" s="17"/>
      <c r="DR956" s="17"/>
      <c r="DS956" s="16"/>
      <c r="DT956" s="16"/>
      <c r="DU956" s="17"/>
      <c r="DV956" s="17"/>
      <c r="DW956" s="16"/>
      <c r="DX956" s="19">
        <v>5</v>
      </c>
      <c r="DY956" s="17"/>
      <c r="DZ956" s="17"/>
      <c r="EA956" s="16"/>
      <c r="EB956" s="16"/>
      <c r="EC956" s="17"/>
      <c r="ED956" s="17"/>
      <c r="EE956" s="16"/>
      <c r="EF956" s="16"/>
      <c r="EG956" s="17"/>
      <c r="EH956" s="17"/>
      <c r="EI956" s="16"/>
      <c r="EJ956" s="16"/>
      <c r="EK956" s="17"/>
      <c r="EL956" s="17"/>
      <c r="EM956" s="16"/>
      <c r="EN956" s="16"/>
      <c r="EO956" s="17"/>
      <c r="EP956" s="17"/>
      <c r="EQ956" s="16"/>
      <c r="ER956" s="16"/>
      <c r="ES956" s="17"/>
      <c r="ET956" s="17"/>
      <c r="EU956" s="16"/>
      <c r="EV956" s="16"/>
      <c r="EW956" s="17"/>
      <c r="EX956" s="17"/>
      <c r="EY956" s="16"/>
      <c r="EZ956" s="16"/>
      <c r="FA956" s="17"/>
      <c r="FB956" s="17"/>
      <c r="FC956" s="16"/>
      <c r="FD956" s="16"/>
      <c r="FE956" s="17"/>
      <c r="FF956" s="17"/>
      <c r="FG956" s="11"/>
      <c r="GT956" s="11"/>
      <c r="IG956" s="11"/>
      <c r="JT956" s="11"/>
      <c r="LG956" s="11"/>
      <c r="MT956" s="11"/>
      <c r="OG956" s="11"/>
      <c r="PT956" s="11"/>
    </row>
    <row r="957" spans="1:474" ht="15.75" x14ac:dyDescent="0.25">
      <c r="C957" s="20" t="s">
        <v>699</v>
      </c>
      <c r="D957" s="21" t="s">
        <v>79</v>
      </c>
      <c r="H957" s="11"/>
      <c r="AU957" s="11"/>
      <c r="CH957" s="11"/>
      <c r="CI957" s="16"/>
      <c r="CJ957" s="16"/>
      <c r="CK957" s="16"/>
      <c r="CL957" s="16"/>
      <c r="CM957" s="16"/>
      <c r="CN957" s="16"/>
      <c r="CO957" s="16"/>
      <c r="CP957" s="16"/>
      <c r="CQ957" s="16"/>
      <c r="CR957" s="16"/>
      <c r="CS957" s="16"/>
      <c r="CT957" s="16"/>
      <c r="CU957" s="16"/>
      <c r="CV957" s="16"/>
      <c r="CW957" s="16"/>
      <c r="CX957" s="16"/>
      <c r="CY957" s="16"/>
      <c r="CZ957" s="16"/>
      <c r="DA957" s="16"/>
      <c r="DB957" s="16"/>
      <c r="DC957" s="16"/>
      <c r="DD957" s="16"/>
      <c r="DE957" s="17"/>
      <c r="DF957" s="17"/>
      <c r="DG957" s="16"/>
      <c r="DH957" s="16"/>
      <c r="DI957" s="17"/>
      <c r="DJ957" s="18">
        <v>1</v>
      </c>
      <c r="DK957" s="16"/>
      <c r="DL957" s="16"/>
      <c r="DM957" s="17"/>
      <c r="DN957" s="17"/>
      <c r="DO957" s="16"/>
      <c r="DP957" s="16"/>
      <c r="DQ957" s="17"/>
      <c r="DR957" s="17"/>
      <c r="DS957" s="16"/>
      <c r="DT957" s="16"/>
      <c r="DU957" s="17"/>
      <c r="DV957" s="17"/>
      <c r="DW957" s="16"/>
      <c r="DX957" s="16"/>
      <c r="DY957" s="17"/>
      <c r="DZ957" s="17"/>
      <c r="EA957" s="16"/>
      <c r="EB957" s="16"/>
      <c r="EC957" s="17"/>
      <c r="ED957" s="17"/>
      <c r="EE957" s="16"/>
      <c r="EF957" s="16"/>
      <c r="EG957" s="17"/>
      <c r="EH957" s="17"/>
      <c r="EI957" s="16"/>
      <c r="EJ957" s="16"/>
      <c r="EK957" s="17"/>
      <c r="EL957" s="17"/>
      <c r="EM957" s="16"/>
      <c r="EN957" s="16"/>
      <c r="EO957" s="17"/>
      <c r="EP957" s="17"/>
      <c r="EQ957" s="16"/>
      <c r="ER957" s="16"/>
      <c r="ES957" s="17"/>
      <c r="ET957" s="17"/>
      <c r="EU957" s="16"/>
      <c r="EV957" s="16"/>
      <c r="EW957" s="17"/>
      <c r="EX957" s="17"/>
      <c r="EY957" s="16"/>
      <c r="EZ957" s="16"/>
      <c r="FA957" s="17"/>
      <c r="FB957" s="17"/>
      <c r="FC957" s="16"/>
      <c r="FD957" s="16"/>
      <c r="FE957" s="17"/>
      <c r="FF957" s="17"/>
      <c r="FG957" s="11"/>
      <c r="GT957" s="11"/>
      <c r="IG957" s="11"/>
      <c r="JT957" s="11"/>
      <c r="LG957" s="11"/>
      <c r="MT957" s="11"/>
      <c r="OG957" s="11"/>
      <c r="PT957" s="11"/>
    </row>
    <row r="958" spans="1:474" ht="15.75" x14ac:dyDescent="0.25">
      <c r="C958" s="20" t="s">
        <v>700</v>
      </c>
      <c r="D958" s="21" t="s">
        <v>84</v>
      </c>
      <c r="H958" s="11"/>
      <c r="AU958" s="11"/>
      <c r="CH958" s="11"/>
      <c r="CI958" s="16"/>
      <c r="CJ958" s="16"/>
      <c r="CK958" s="16"/>
      <c r="CL958" s="16"/>
      <c r="CM958" s="16"/>
      <c r="CN958" s="16"/>
      <c r="CO958" s="16"/>
      <c r="CP958" s="16"/>
      <c r="CQ958" s="16"/>
      <c r="CR958" s="16"/>
      <c r="CS958" s="16"/>
      <c r="CT958" s="16"/>
      <c r="CU958" s="16"/>
      <c r="CV958" s="16"/>
      <c r="CW958" s="16"/>
      <c r="CX958" s="16"/>
      <c r="CY958" s="16"/>
      <c r="CZ958" s="16"/>
      <c r="DA958" s="16"/>
      <c r="DB958" s="16"/>
      <c r="DC958" s="16"/>
      <c r="DD958" s="16"/>
      <c r="DE958" s="17"/>
      <c r="DF958" s="17"/>
      <c r="DG958" s="16"/>
      <c r="DH958" s="16"/>
      <c r="DI958" s="17"/>
      <c r="DJ958" s="17"/>
      <c r="DK958" s="16"/>
      <c r="DL958" s="16"/>
      <c r="DM958" s="17"/>
      <c r="DN958" s="17"/>
      <c r="DO958" s="16"/>
      <c r="DP958" s="16"/>
      <c r="DQ958" s="17"/>
      <c r="DR958" s="17"/>
      <c r="DS958" s="16"/>
      <c r="DT958" s="16"/>
      <c r="DU958" s="17"/>
      <c r="DV958" s="17"/>
      <c r="DW958" s="16"/>
      <c r="DX958" s="19">
        <v>4</v>
      </c>
      <c r="DY958" s="17"/>
      <c r="DZ958" s="17"/>
      <c r="EA958" s="16"/>
      <c r="EB958" s="16"/>
      <c r="EC958" s="17"/>
      <c r="ED958" s="17"/>
      <c r="EE958" s="16"/>
      <c r="EF958" s="16"/>
      <c r="EG958" s="17"/>
      <c r="EH958" s="17"/>
      <c r="EI958" s="16"/>
      <c r="EJ958" s="16"/>
      <c r="EK958" s="17"/>
      <c r="EL958" s="17"/>
      <c r="EM958" s="16"/>
      <c r="EN958" s="16"/>
      <c r="EO958" s="17"/>
      <c r="EP958" s="17"/>
      <c r="EQ958" s="16"/>
      <c r="ER958" s="16"/>
      <c r="ES958" s="17"/>
      <c r="ET958" s="17"/>
      <c r="EU958" s="16"/>
      <c r="EV958" s="16"/>
      <c r="EW958" s="17"/>
      <c r="EX958" s="17"/>
      <c r="EY958" s="16"/>
      <c r="EZ958" s="16"/>
      <c r="FA958" s="17"/>
      <c r="FB958" s="17"/>
      <c r="FC958" s="16"/>
      <c r="FD958" s="16"/>
      <c r="FE958" s="17"/>
      <c r="FF958" s="17"/>
      <c r="FG958" s="11"/>
      <c r="GT958" s="11"/>
      <c r="IG958" s="11"/>
      <c r="JT958" s="11"/>
      <c r="LG958" s="11"/>
      <c r="MT958" s="11"/>
      <c r="OG958" s="11"/>
      <c r="PT958" s="11"/>
    </row>
    <row r="959" spans="1:474" ht="15.75" x14ac:dyDescent="0.25">
      <c r="C959" s="20" t="s">
        <v>701</v>
      </c>
      <c r="D959" s="21" t="s">
        <v>93</v>
      </c>
      <c r="H959" s="11"/>
      <c r="AU959" s="11"/>
      <c r="CH959" s="11"/>
      <c r="CI959" s="16"/>
      <c r="CJ959" s="16"/>
      <c r="CK959" s="16"/>
      <c r="CL959" s="16"/>
      <c r="CM959" s="16"/>
      <c r="CN959" s="16"/>
      <c r="CO959" s="16"/>
      <c r="CP959" s="16"/>
      <c r="CQ959" s="16"/>
      <c r="CR959" s="16"/>
      <c r="CS959" s="16"/>
      <c r="CT959" s="16"/>
      <c r="CU959" s="16"/>
      <c r="CV959" s="16"/>
      <c r="CW959" s="16"/>
      <c r="CX959" s="16"/>
      <c r="CY959" s="16"/>
      <c r="CZ959" s="16"/>
      <c r="DA959" s="16"/>
      <c r="DB959" s="16"/>
      <c r="DC959" s="16"/>
      <c r="DD959" s="16"/>
      <c r="DE959" s="17"/>
      <c r="DF959" s="17"/>
      <c r="DG959" s="16"/>
      <c r="DH959" s="16"/>
      <c r="DI959" s="17"/>
      <c r="DJ959" s="17"/>
      <c r="DK959" s="16"/>
      <c r="DL959" s="16"/>
      <c r="DM959" s="17"/>
      <c r="DN959" s="17"/>
      <c r="DO959" s="16"/>
      <c r="DP959" s="16"/>
      <c r="DQ959" s="17"/>
      <c r="DR959" s="17"/>
      <c r="DS959" s="16"/>
      <c r="DT959" s="16"/>
      <c r="DU959" s="17"/>
      <c r="DV959" s="17"/>
      <c r="DW959" s="16"/>
      <c r="DX959" s="16"/>
      <c r="DY959" s="17"/>
      <c r="DZ959" s="17"/>
      <c r="EA959" s="16"/>
      <c r="EB959" s="16"/>
      <c r="EC959" s="17"/>
      <c r="ED959" s="17"/>
      <c r="EE959" s="16"/>
      <c r="EF959" s="16"/>
      <c r="EG959" s="17"/>
      <c r="EH959" s="17"/>
      <c r="EI959" s="16"/>
      <c r="EJ959" s="16"/>
      <c r="EK959" s="17"/>
      <c r="EL959" s="17"/>
      <c r="EM959" s="16"/>
      <c r="EN959" s="16"/>
      <c r="EO959" s="17"/>
      <c r="EP959" s="17"/>
      <c r="EQ959" s="16"/>
      <c r="ER959" s="16"/>
      <c r="ES959" s="17"/>
      <c r="ET959" s="17"/>
      <c r="EU959" s="16"/>
      <c r="EV959" s="16"/>
      <c r="EW959" s="17"/>
      <c r="EX959" s="17"/>
      <c r="EY959" s="16"/>
      <c r="EZ959" s="16"/>
      <c r="FA959" s="17"/>
      <c r="FB959" s="17"/>
      <c r="FC959" s="16"/>
      <c r="FD959" s="16"/>
      <c r="FE959" s="17"/>
      <c r="FF959" s="17"/>
      <c r="FG959" s="11"/>
      <c r="GT959" s="11"/>
      <c r="IG959" s="11"/>
      <c r="JT959" s="11"/>
      <c r="LG959" s="11"/>
      <c r="MT959" s="11"/>
      <c r="OG959" s="11"/>
      <c r="PT959" s="11"/>
    </row>
    <row r="960" spans="1:474" ht="15.75" x14ac:dyDescent="0.25">
      <c r="C960" s="20" t="s">
        <v>702</v>
      </c>
      <c r="D960" s="21" t="s">
        <v>82</v>
      </c>
      <c r="H960" s="11"/>
      <c r="AU960" s="11"/>
      <c r="CH960" s="11"/>
      <c r="CI960" s="16"/>
      <c r="CJ960" s="16"/>
      <c r="CK960" s="16"/>
      <c r="CL960" s="16"/>
      <c r="CM960" s="16"/>
      <c r="CN960" s="16"/>
      <c r="CO960" s="16"/>
      <c r="CP960" s="16"/>
      <c r="CQ960" s="16"/>
      <c r="CR960" s="16"/>
      <c r="CS960" s="16"/>
      <c r="CT960" s="16"/>
      <c r="CU960" s="16"/>
      <c r="CV960" s="16"/>
      <c r="CW960" s="16"/>
      <c r="CX960" s="16"/>
      <c r="CY960" s="16"/>
      <c r="CZ960" s="16"/>
      <c r="DA960" s="16"/>
      <c r="DB960" s="16"/>
      <c r="DC960" s="16"/>
      <c r="DD960" s="16"/>
      <c r="DE960" s="17"/>
      <c r="DF960" s="17"/>
      <c r="DG960" s="16"/>
      <c r="DH960" s="16"/>
      <c r="DI960" s="17"/>
      <c r="DJ960" s="17"/>
      <c r="DK960" s="16"/>
      <c r="DL960" s="16"/>
      <c r="DM960" s="17"/>
      <c r="DN960" s="17"/>
      <c r="DO960" s="16"/>
      <c r="DP960" s="16"/>
      <c r="DQ960" s="17"/>
      <c r="DR960" s="17"/>
      <c r="DS960" s="16"/>
      <c r="DT960" s="16"/>
      <c r="DU960" s="17"/>
      <c r="DV960" s="17"/>
      <c r="DW960" s="16"/>
      <c r="DX960" s="16"/>
      <c r="DY960" s="17"/>
      <c r="DZ960" s="17"/>
      <c r="EA960" s="16"/>
      <c r="EB960" s="16"/>
      <c r="EC960" s="17"/>
      <c r="ED960" s="17"/>
      <c r="EE960" s="16"/>
      <c r="EF960" s="16"/>
      <c r="EG960" s="17"/>
      <c r="EH960" s="17"/>
      <c r="EI960" s="16"/>
      <c r="EJ960" s="16"/>
      <c r="EK960" s="17"/>
      <c r="EL960" s="17"/>
      <c r="EM960" s="16"/>
      <c r="EN960" s="16"/>
      <c r="EO960" s="17"/>
      <c r="EP960" s="17"/>
      <c r="EQ960" s="16"/>
      <c r="ER960" s="16"/>
      <c r="ES960" s="17"/>
      <c r="ET960" s="17"/>
      <c r="EU960" s="16"/>
      <c r="EV960" s="16"/>
      <c r="EW960" s="17"/>
      <c r="EX960" s="17"/>
      <c r="EY960" s="16"/>
      <c r="EZ960" s="16"/>
      <c r="FA960" s="17"/>
      <c r="FB960" s="17"/>
      <c r="FC960" s="16"/>
      <c r="FD960" s="16"/>
      <c r="FE960" s="17"/>
      <c r="FF960" s="17"/>
      <c r="FG960" s="11"/>
      <c r="GT960" s="11"/>
      <c r="IG960" s="11"/>
      <c r="JT960" s="11"/>
      <c r="LG960" s="11"/>
      <c r="MT960" s="11"/>
      <c r="OG960" s="11"/>
      <c r="PT960" s="11"/>
    </row>
    <row r="961" spans="3:436" ht="15.75" x14ac:dyDescent="0.25">
      <c r="C961" s="20" t="s">
        <v>703</v>
      </c>
      <c r="D961" s="21" t="s">
        <v>104</v>
      </c>
      <c r="H961" s="11"/>
      <c r="AU961" s="11"/>
      <c r="CH961" s="11"/>
      <c r="CI961" s="16"/>
      <c r="CJ961" s="16"/>
      <c r="CK961" s="16"/>
      <c r="CL961" s="16"/>
      <c r="CM961" s="16"/>
      <c r="CN961" s="16"/>
      <c r="CO961" s="16"/>
      <c r="CP961" s="16"/>
      <c r="CQ961" s="16"/>
      <c r="CR961" s="16"/>
      <c r="CS961" s="16"/>
      <c r="CT961" s="16"/>
      <c r="CU961" s="16"/>
      <c r="CV961" s="16"/>
      <c r="CW961" s="16"/>
      <c r="CX961" s="16"/>
      <c r="CY961" s="16"/>
      <c r="CZ961" s="16"/>
      <c r="DA961" s="16"/>
      <c r="DB961" s="16"/>
      <c r="DC961" s="16"/>
      <c r="DD961" s="16"/>
      <c r="DE961" s="17"/>
      <c r="DF961" s="17"/>
      <c r="DG961" s="16"/>
      <c r="DH961" s="16"/>
      <c r="DI961" s="17"/>
      <c r="DJ961" s="17"/>
      <c r="DK961" s="16"/>
      <c r="DL961" s="16"/>
      <c r="DM961" s="17"/>
      <c r="DN961" s="17"/>
      <c r="DO961" s="16"/>
      <c r="DP961" s="16"/>
      <c r="DQ961" s="17"/>
      <c r="DR961" s="17"/>
      <c r="DS961" s="16"/>
      <c r="DT961" s="16"/>
      <c r="DU961" s="17"/>
      <c r="DV961" s="17"/>
      <c r="DW961" s="16"/>
      <c r="DX961" s="16"/>
      <c r="DY961" s="17"/>
      <c r="DZ961" s="17"/>
      <c r="EA961" s="16"/>
      <c r="EB961" s="16"/>
      <c r="EC961" s="17"/>
      <c r="ED961" s="17"/>
      <c r="EE961" s="16"/>
      <c r="EF961" s="16"/>
      <c r="EG961" s="17"/>
      <c r="EH961" s="17"/>
      <c r="EI961" s="16"/>
      <c r="EJ961" s="16"/>
      <c r="EK961" s="17"/>
      <c r="EL961" s="17"/>
      <c r="EM961" s="16"/>
      <c r="EN961" s="16"/>
      <c r="EO961" s="17"/>
      <c r="EP961" s="17"/>
      <c r="EQ961" s="16"/>
      <c r="ER961" s="16"/>
      <c r="ES961" s="17"/>
      <c r="ET961" s="17"/>
      <c r="EU961" s="16"/>
      <c r="EV961" s="16"/>
      <c r="EW961" s="17"/>
      <c r="EX961" s="17"/>
      <c r="EY961" s="16"/>
      <c r="EZ961" s="16"/>
      <c r="FA961" s="17"/>
      <c r="FB961" s="17"/>
      <c r="FC961" s="19">
        <v>1</v>
      </c>
      <c r="FD961" s="19">
        <v>1</v>
      </c>
      <c r="FE961" s="17"/>
      <c r="FF961" s="17"/>
      <c r="FG961" s="11"/>
      <c r="GT961" s="11"/>
      <c r="IG961" s="11"/>
      <c r="JT961" s="11"/>
      <c r="LG961" s="11"/>
      <c r="MT961" s="11"/>
      <c r="OG961" s="11"/>
      <c r="PT961" s="11"/>
    </row>
    <row r="962" spans="3:436" ht="15.75" x14ac:dyDescent="0.25">
      <c r="C962" s="20" t="s">
        <v>704</v>
      </c>
      <c r="D962" s="21" t="s">
        <v>104</v>
      </c>
      <c r="H962" s="11"/>
      <c r="AU962" s="11"/>
      <c r="CH962" s="11"/>
      <c r="CI962" s="16"/>
      <c r="CJ962" s="16"/>
      <c r="CK962" s="16"/>
      <c r="CL962" s="16"/>
      <c r="CM962" s="16"/>
      <c r="CN962" s="16"/>
      <c r="CO962" s="16"/>
      <c r="CP962" s="16"/>
      <c r="CQ962" s="16"/>
      <c r="CR962" s="16"/>
      <c r="CS962" s="16"/>
      <c r="CT962" s="16"/>
      <c r="CU962" s="16"/>
      <c r="CV962" s="16"/>
      <c r="CW962" s="16"/>
      <c r="CX962" s="16"/>
      <c r="CY962" s="16"/>
      <c r="CZ962" s="16"/>
      <c r="DA962" s="16"/>
      <c r="DB962" s="16"/>
      <c r="DC962" s="16"/>
      <c r="DD962" s="16"/>
      <c r="DE962" s="17"/>
      <c r="DF962" s="17"/>
      <c r="DG962" s="16"/>
      <c r="DH962" s="16"/>
      <c r="DI962" s="17"/>
      <c r="DJ962" s="17"/>
      <c r="DK962" s="16"/>
      <c r="DL962" s="16"/>
      <c r="DM962" s="17"/>
      <c r="DN962" s="17"/>
      <c r="DO962" s="16"/>
      <c r="DP962" s="16"/>
      <c r="DQ962" s="17"/>
      <c r="DR962" s="17"/>
      <c r="DS962" s="16"/>
      <c r="DT962" s="16"/>
      <c r="DU962" s="17"/>
      <c r="DV962" s="17"/>
      <c r="DW962" s="16"/>
      <c r="DX962" s="16"/>
      <c r="DY962" s="17"/>
      <c r="DZ962" s="17"/>
      <c r="EA962" s="16"/>
      <c r="EB962" s="16"/>
      <c r="EC962" s="17"/>
      <c r="ED962" s="17"/>
      <c r="EE962" s="16"/>
      <c r="EF962" s="16"/>
      <c r="EG962" s="17"/>
      <c r="EH962" s="17"/>
      <c r="EI962" s="16"/>
      <c r="EJ962" s="16"/>
      <c r="EK962" s="17"/>
      <c r="EL962" s="17"/>
      <c r="EM962" s="16"/>
      <c r="EN962" s="16"/>
      <c r="EO962" s="17"/>
      <c r="EP962" s="17"/>
      <c r="EQ962" s="16"/>
      <c r="ER962" s="16"/>
      <c r="ES962" s="17"/>
      <c r="ET962" s="17"/>
      <c r="EU962" s="16"/>
      <c r="EV962" s="16"/>
      <c r="EW962" s="17"/>
      <c r="EX962" s="17"/>
      <c r="EY962" s="16"/>
      <c r="EZ962" s="16"/>
      <c r="FA962" s="17"/>
      <c r="FB962" s="17"/>
      <c r="FC962" s="19">
        <v>0.5</v>
      </c>
      <c r="FD962" s="19">
        <v>1</v>
      </c>
      <c r="FE962" s="17"/>
      <c r="FF962" s="17"/>
      <c r="FG962" s="11"/>
      <c r="GT962" s="11"/>
      <c r="IG962" s="11"/>
      <c r="JT962" s="11"/>
      <c r="LG962" s="11"/>
      <c r="MT962" s="11"/>
      <c r="OG962" s="11"/>
      <c r="PT962" s="11"/>
    </row>
    <row r="963" spans="3:436" ht="15.75" x14ac:dyDescent="0.25">
      <c r="C963" s="20" t="s">
        <v>705</v>
      </c>
      <c r="D963" s="21" t="s">
        <v>104</v>
      </c>
      <c r="H963" s="11"/>
      <c r="AU963" s="11"/>
      <c r="CH963" s="11"/>
      <c r="CI963" s="16"/>
      <c r="CJ963" s="16"/>
      <c r="CK963" s="16"/>
      <c r="CL963" s="16"/>
      <c r="CM963" s="16"/>
      <c r="CN963" s="16"/>
      <c r="CO963" s="16"/>
      <c r="CP963" s="16"/>
      <c r="CQ963" s="16"/>
      <c r="CR963" s="16"/>
      <c r="CS963" s="16"/>
      <c r="CT963" s="16"/>
      <c r="CU963" s="16"/>
      <c r="CV963" s="16"/>
      <c r="CW963" s="16"/>
      <c r="CX963" s="16"/>
      <c r="CY963" s="16"/>
      <c r="CZ963" s="16"/>
      <c r="DA963" s="16"/>
      <c r="DB963" s="16"/>
      <c r="DC963" s="16"/>
      <c r="DD963" s="16"/>
      <c r="DE963" s="17"/>
      <c r="DF963" s="17"/>
      <c r="DG963" s="16"/>
      <c r="DH963" s="16"/>
      <c r="DI963" s="17"/>
      <c r="DJ963" s="17"/>
      <c r="DK963" s="16"/>
      <c r="DL963" s="16"/>
      <c r="DM963" s="17"/>
      <c r="DN963" s="17"/>
      <c r="DO963" s="16"/>
      <c r="DP963" s="16"/>
      <c r="DQ963" s="17"/>
      <c r="DR963" s="17"/>
      <c r="DS963" s="16"/>
      <c r="DT963" s="16"/>
      <c r="DU963" s="17"/>
      <c r="DV963" s="17"/>
      <c r="DW963" s="16"/>
      <c r="DX963" s="16"/>
      <c r="DY963" s="17"/>
      <c r="DZ963" s="17"/>
      <c r="EA963" s="16"/>
      <c r="EB963" s="16"/>
      <c r="EC963" s="17"/>
      <c r="ED963" s="17"/>
      <c r="EE963" s="16"/>
      <c r="EF963" s="16"/>
      <c r="EG963" s="17"/>
      <c r="EH963" s="17"/>
      <c r="EI963" s="16"/>
      <c r="EJ963" s="16"/>
      <c r="EK963" s="17"/>
      <c r="EL963" s="17"/>
      <c r="EM963" s="16"/>
      <c r="EN963" s="16"/>
      <c r="EO963" s="17"/>
      <c r="EP963" s="17"/>
      <c r="EQ963" s="16"/>
      <c r="ER963" s="16"/>
      <c r="ES963" s="17"/>
      <c r="ET963" s="17"/>
      <c r="EU963" s="16"/>
      <c r="EV963" s="16"/>
      <c r="EW963" s="17"/>
      <c r="EX963" s="17"/>
      <c r="EY963" s="16"/>
      <c r="EZ963" s="16"/>
      <c r="FA963" s="17"/>
      <c r="FB963" s="17"/>
      <c r="FC963" s="19">
        <v>1</v>
      </c>
      <c r="FD963" s="19">
        <v>1</v>
      </c>
      <c r="FE963" s="17"/>
      <c r="FF963" s="17"/>
      <c r="FG963" s="11"/>
      <c r="GT963" s="11"/>
      <c r="IG963" s="11"/>
      <c r="JT963" s="11"/>
      <c r="LG963" s="11"/>
      <c r="MT963" s="11"/>
      <c r="OG963" s="11"/>
      <c r="PT963" s="11"/>
    </row>
    <row r="964" spans="3:436" ht="15.75" x14ac:dyDescent="0.25">
      <c r="C964" s="20" t="s">
        <v>706</v>
      </c>
      <c r="D964" s="21" t="s">
        <v>142</v>
      </c>
      <c r="H964" s="11"/>
      <c r="AU964" s="11"/>
      <c r="CH964" s="11"/>
      <c r="CI964" s="16"/>
      <c r="CJ964" s="16"/>
      <c r="CK964" s="16"/>
      <c r="CL964" s="16"/>
      <c r="CM964" s="16"/>
      <c r="CN964" s="16"/>
      <c r="CO964" s="16"/>
      <c r="CP964" s="16"/>
      <c r="CQ964" s="16"/>
      <c r="CR964" s="16"/>
      <c r="CS964" s="16"/>
      <c r="CT964" s="16"/>
      <c r="CU964" s="16"/>
      <c r="CV964" s="16"/>
      <c r="CW964" s="16"/>
      <c r="CX964" s="16"/>
      <c r="CY964" s="16"/>
      <c r="CZ964" s="16"/>
      <c r="DA964" s="16"/>
      <c r="DB964" s="16"/>
      <c r="DC964" s="16"/>
      <c r="DD964" s="16"/>
      <c r="DE964" s="17"/>
      <c r="DF964" s="17"/>
      <c r="DG964" s="16"/>
      <c r="DH964" s="16"/>
      <c r="DI964" s="17"/>
      <c r="DJ964" s="17"/>
      <c r="DK964" s="16"/>
      <c r="DL964" s="16"/>
      <c r="DM964" s="17"/>
      <c r="DN964" s="17"/>
      <c r="DO964" s="16"/>
      <c r="DP964" s="16"/>
      <c r="DQ964" s="17"/>
      <c r="DR964" s="17"/>
      <c r="DS964" s="16"/>
      <c r="DT964" s="16"/>
      <c r="DU964" s="17"/>
      <c r="DV964" s="17"/>
      <c r="DW964" s="16"/>
      <c r="DX964" s="16"/>
      <c r="DY964" s="17"/>
      <c r="DZ964" s="17"/>
      <c r="EA964" s="16"/>
      <c r="EB964" s="16"/>
      <c r="EC964" s="17"/>
      <c r="ED964" s="17"/>
      <c r="EE964" s="16"/>
      <c r="EF964" s="16"/>
      <c r="EG964" s="17"/>
      <c r="EH964" s="17"/>
      <c r="EI964" s="16"/>
      <c r="EJ964" s="16"/>
      <c r="EK964" s="17"/>
      <c r="EL964" s="17"/>
      <c r="EM964" s="16"/>
      <c r="EN964" s="16"/>
      <c r="EO964" s="17"/>
      <c r="EP964" s="17"/>
      <c r="EQ964" s="16"/>
      <c r="ER964" s="16"/>
      <c r="ES964" s="17"/>
      <c r="ET964" s="17"/>
      <c r="EU964" s="16"/>
      <c r="EV964" s="16"/>
      <c r="EW964" s="17"/>
      <c r="EX964" s="17"/>
      <c r="EY964" s="16"/>
      <c r="EZ964" s="16"/>
      <c r="FA964" s="17"/>
      <c r="FB964" s="17"/>
      <c r="FC964" s="16"/>
      <c r="FD964" s="16"/>
      <c r="FE964" s="17"/>
      <c r="FF964" s="17"/>
      <c r="FG964" s="11"/>
      <c r="GT964" s="11"/>
      <c r="IG964" s="11"/>
      <c r="JT964" s="11"/>
      <c r="LG964" s="11"/>
      <c r="MT964" s="11"/>
      <c r="OG964" s="11"/>
      <c r="PT964" s="11"/>
    </row>
    <row r="965" spans="3:436" ht="15.75" x14ac:dyDescent="0.25">
      <c r="C965" s="20" t="s">
        <v>707</v>
      </c>
      <c r="D965" s="21" t="s">
        <v>90</v>
      </c>
      <c r="H965" s="11"/>
      <c r="AU965" s="11"/>
      <c r="CH965" s="11"/>
      <c r="CI965" s="16"/>
      <c r="CJ965" s="16"/>
      <c r="CK965" s="16"/>
      <c r="CL965" s="16"/>
      <c r="CM965" s="16"/>
      <c r="CN965" s="16"/>
      <c r="CO965" s="16"/>
      <c r="CP965" s="16"/>
      <c r="CQ965" s="16"/>
      <c r="CR965" s="16"/>
      <c r="CS965" s="16"/>
      <c r="CT965" s="16"/>
      <c r="CU965" s="16"/>
      <c r="CV965" s="16"/>
      <c r="CW965" s="16"/>
      <c r="CX965" s="16"/>
      <c r="CY965" s="16"/>
      <c r="CZ965" s="16"/>
      <c r="DA965" s="16"/>
      <c r="DB965" s="16"/>
      <c r="DC965" s="16"/>
      <c r="DD965" s="16"/>
      <c r="DE965" s="17"/>
      <c r="DF965" s="17"/>
      <c r="DG965" s="16"/>
      <c r="DH965" s="16"/>
      <c r="DI965" s="17"/>
      <c r="DJ965" s="17"/>
      <c r="DK965" s="16"/>
      <c r="DL965" s="16"/>
      <c r="DM965" s="17"/>
      <c r="DN965" s="17"/>
      <c r="DO965" s="16"/>
      <c r="DP965" s="16"/>
      <c r="DQ965" s="17"/>
      <c r="DR965" s="17"/>
      <c r="DS965" s="16"/>
      <c r="DT965" s="16"/>
      <c r="DU965" s="17"/>
      <c r="DV965" s="17"/>
      <c r="DW965" s="16"/>
      <c r="DX965" s="16"/>
      <c r="DY965" s="17"/>
      <c r="DZ965" s="17"/>
      <c r="EA965" s="16"/>
      <c r="EB965" s="16"/>
      <c r="EC965" s="17"/>
      <c r="ED965" s="17"/>
      <c r="EE965" s="16"/>
      <c r="EF965" s="16"/>
      <c r="EG965" s="17"/>
      <c r="EH965" s="17"/>
      <c r="EI965" s="16"/>
      <c r="EJ965" s="16"/>
      <c r="EK965" s="17"/>
      <c r="EL965" s="17"/>
      <c r="EM965" s="16"/>
      <c r="EN965" s="16"/>
      <c r="EO965" s="17"/>
      <c r="EP965" s="17"/>
      <c r="EQ965" s="16"/>
      <c r="ER965" s="16"/>
      <c r="ES965" s="17"/>
      <c r="ET965" s="17"/>
      <c r="EU965" s="16"/>
      <c r="EV965" s="16"/>
      <c r="EW965" s="17"/>
      <c r="EX965" s="17"/>
      <c r="EY965" s="16"/>
      <c r="EZ965" s="16"/>
      <c r="FA965" s="17"/>
      <c r="FB965" s="17"/>
      <c r="FC965" s="16"/>
      <c r="FD965" s="16"/>
      <c r="FE965" s="17"/>
      <c r="FF965" s="17"/>
      <c r="FG965" s="11"/>
      <c r="GT965" s="11"/>
      <c r="IG965" s="11"/>
      <c r="JT965" s="11"/>
      <c r="LG965" s="11"/>
      <c r="MT965" s="11"/>
      <c r="OG965" s="11"/>
      <c r="PT965" s="11"/>
    </row>
    <row r="966" spans="3:436" ht="15.75" x14ac:dyDescent="0.25">
      <c r="C966" s="20" t="s">
        <v>708</v>
      </c>
      <c r="D966" s="21" t="s">
        <v>79</v>
      </c>
      <c r="H966" s="11"/>
      <c r="AU966" s="11"/>
      <c r="CH966" s="11"/>
      <c r="CI966" s="16"/>
      <c r="CJ966" s="16"/>
      <c r="CK966" s="16"/>
      <c r="CL966" s="16"/>
      <c r="CM966" s="16"/>
      <c r="CN966" s="16"/>
      <c r="CO966" s="16"/>
      <c r="CP966" s="16"/>
      <c r="CQ966" s="16"/>
      <c r="CR966" s="16"/>
      <c r="CS966" s="16"/>
      <c r="CT966" s="16"/>
      <c r="CU966" s="16"/>
      <c r="CV966" s="16"/>
      <c r="CW966" s="16"/>
      <c r="CX966" s="16"/>
      <c r="CY966" s="16"/>
      <c r="CZ966" s="16"/>
      <c r="DA966" s="16"/>
      <c r="DB966" s="16"/>
      <c r="DC966" s="16"/>
      <c r="DD966" s="16"/>
      <c r="DE966" s="17"/>
      <c r="DF966" s="17"/>
      <c r="DG966" s="16"/>
      <c r="DH966" s="16"/>
      <c r="DI966" s="17"/>
      <c r="DJ966" s="18">
        <v>1</v>
      </c>
      <c r="DK966" s="16"/>
      <c r="DL966" s="16"/>
      <c r="DM966" s="17"/>
      <c r="DN966" s="17"/>
      <c r="DO966" s="16"/>
      <c r="DP966" s="16"/>
      <c r="DQ966" s="17"/>
      <c r="DR966" s="17"/>
      <c r="DS966" s="16"/>
      <c r="DT966" s="16"/>
      <c r="DU966" s="17"/>
      <c r="DV966" s="17"/>
      <c r="DW966" s="16"/>
      <c r="DX966" s="16"/>
      <c r="DY966" s="17"/>
      <c r="DZ966" s="17"/>
      <c r="EA966" s="16"/>
      <c r="EB966" s="16"/>
      <c r="EC966" s="17"/>
      <c r="ED966" s="17"/>
      <c r="EE966" s="16"/>
      <c r="EF966" s="16"/>
      <c r="EG966" s="17"/>
      <c r="EH966" s="17"/>
      <c r="EI966" s="16"/>
      <c r="EJ966" s="16"/>
      <c r="EK966" s="17"/>
      <c r="EL966" s="17"/>
      <c r="EM966" s="16"/>
      <c r="EN966" s="16"/>
      <c r="EO966" s="17"/>
      <c r="EP966" s="17"/>
      <c r="EQ966" s="16"/>
      <c r="ER966" s="16"/>
      <c r="ES966" s="17"/>
      <c r="ET966" s="17"/>
      <c r="EU966" s="16"/>
      <c r="EV966" s="16"/>
      <c r="EW966" s="17"/>
      <c r="EX966" s="17"/>
      <c r="EY966" s="16"/>
      <c r="EZ966" s="16"/>
      <c r="FA966" s="17"/>
      <c r="FB966" s="17"/>
      <c r="FC966" s="16"/>
      <c r="FD966" s="16"/>
      <c r="FE966" s="17"/>
      <c r="FF966" s="17"/>
      <c r="FG966" s="11"/>
      <c r="GT966" s="11"/>
      <c r="IG966" s="11"/>
      <c r="JT966" s="11"/>
      <c r="LG966" s="11"/>
      <c r="MT966" s="11"/>
      <c r="OG966" s="11"/>
      <c r="PT966" s="11"/>
    </row>
    <row r="967" spans="3:436" ht="15.75" x14ac:dyDescent="0.25">
      <c r="C967" s="20" t="s">
        <v>709</v>
      </c>
      <c r="D967" s="21" t="s">
        <v>129</v>
      </c>
      <c r="H967" s="11"/>
      <c r="AU967" s="11"/>
      <c r="CH967" s="11"/>
      <c r="CI967" s="16"/>
      <c r="CJ967" s="16"/>
      <c r="CK967" s="16"/>
      <c r="CL967" s="16"/>
      <c r="CM967" s="16"/>
      <c r="CN967" s="16"/>
      <c r="CO967" s="16"/>
      <c r="CP967" s="16"/>
      <c r="CQ967" s="16"/>
      <c r="CR967" s="16"/>
      <c r="CS967" s="16"/>
      <c r="CT967" s="16"/>
      <c r="CU967" s="16"/>
      <c r="CV967" s="16"/>
      <c r="CW967" s="16"/>
      <c r="CX967" s="16"/>
      <c r="CY967" s="16"/>
      <c r="CZ967" s="16"/>
      <c r="DA967" s="16"/>
      <c r="DB967" s="16"/>
      <c r="DC967" s="16"/>
      <c r="DD967" s="16"/>
      <c r="DE967" s="17"/>
      <c r="DF967" s="17"/>
      <c r="DG967" s="16"/>
      <c r="DH967" s="16"/>
      <c r="DI967" s="17"/>
      <c r="DJ967" s="17"/>
      <c r="DK967" s="16"/>
      <c r="DL967" s="16"/>
      <c r="DM967" s="17"/>
      <c r="DN967" s="17"/>
      <c r="DO967" s="16"/>
      <c r="DP967" s="16"/>
      <c r="DQ967" s="17"/>
      <c r="DR967" s="17"/>
      <c r="DS967" s="16"/>
      <c r="DT967" s="16"/>
      <c r="DU967" s="17"/>
      <c r="DV967" s="17"/>
      <c r="DW967" s="16"/>
      <c r="DX967" s="16"/>
      <c r="DY967" s="17"/>
      <c r="DZ967" s="17"/>
      <c r="EA967" s="16"/>
      <c r="EB967" s="16"/>
      <c r="EC967" s="17"/>
      <c r="ED967" s="17"/>
      <c r="EE967" s="16"/>
      <c r="EF967" s="16"/>
      <c r="EG967" s="17"/>
      <c r="EH967" s="17"/>
      <c r="EI967" s="16"/>
      <c r="EJ967" s="16"/>
      <c r="EK967" s="17"/>
      <c r="EL967" s="17"/>
      <c r="EM967" s="16"/>
      <c r="EN967" s="16"/>
      <c r="EO967" s="17"/>
      <c r="EP967" s="17"/>
      <c r="EQ967" s="16"/>
      <c r="ER967" s="16"/>
      <c r="ES967" s="17"/>
      <c r="ET967" s="17"/>
      <c r="EU967" s="16"/>
      <c r="EV967" s="16"/>
      <c r="EW967" s="17"/>
      <c r="EX967" s="17"/>
      <c r="EY967" s="16"/>
      <c r="EZ967" s="16"/>
      <c r="FA967" s="17"/>
      <c r="FB967" s="17"/>
      <c r="FC967" s="16"/>
      <c r="FD967" s="16"/>
      <c r="FE967" s="17"/>
      <c r="FF967" s="17"/>
      <c r="FG967" s="11"/>
      <c r="GT967" s="11"/>
      <c r="IG967" s="11"/>
      <c r="JT967" s="11"/>
      <c r="LG967" s="11"/>
      <c r="MT967" s="11"/>
      <c r="OG967" s="11"/>
      <c r="PT967" s="11"/>
    </row>
    <row r="968" spans="3:436" ht="15.75" x14ac:dyDescent="0.25">
      <c r="C968" s="20" t="s">
        <v>710</v>
      </c>
      <c r="D968" s="21" t="s">
        <v>134</v>
      </c>
      <c r="H968" s="11"/>
      <c r="AU968" s="11"/>
      <c r="CH968" s="11"/>
      <c r="CI968" s="16"/>
      <c r="CJ968" s="16"/>
      <c r="CK968" s="16"/>
      <c r="CL968" s="16"/>
      <c r="CM968" s="16"/>
      <c r="CN968" s="16"/>
      <c r="CO968" s="16"/>
      <c r="CP968" s="16"/>
      <c r="CQ968" s="16"/>
      <c r="CR968" s="16"/>
      <c r="CS968" s="16"/>
      <c r="CT968" s="16"/>
      <c r="CU968" s="16"/>
      <c r="CV968" s="16"/>
      <c r="CW968" s="16"/>
      <c r="CX968" s="16"/>
      <c r="CY968" s="16"/>
      <c r="CZ968" s="16"/>
      <c r="DA968" s="16"/>
      <c r="DB968" s="16"/>
      <c r="DC968" s="16"/>
      <c r="DD968" s="16"/>
      <c r="DE968" s="17"/>
      <c r="DF968" s="17"/>
      <c r="DG968" s="16"/>
      <c r="DH968" s="16"/>
      <c r="DI968" s="17"/>
      <c r="DJ968" s="17"/>
      <c r="DK968" s="16"/>
      <c r="DL968" s="16"/>
      <c r="DM968" s="18">
        <v>5</v>
      </c>
      <c r="DN968" s="18">
        <v>7</v>
      </c>
      <c r="DO968" s="16"/>
      <c r="DP968" s="16"/>
      <c r="DQ968" s="17"/>
      <c r="DR968" s="17"/>
      <c r="DS968" s="16"/>
      <c r="DT968" s="16"/>
      <c r="DU968" s="17"/>
      <c r="DV968" s="17"/>
      <c r="DW968" s="16"/>
      <c r="DX968" s="16"/>
      <c r="DY968" s="17"/>
      <c r="DZ968" s="17"/>
      <c r="EA968" s="16"/>
      <c r="EB968" s="16"/>
      <c r="EC968" s="17"/>
      <c r="ED968" s="17"/>
      <c r="EE968" s="16"/>
      <c r="EF968" s="16"/>
      <c r="EG968" s="17"/>
      <c r="EH968" s="17"/>
      <c r="EI968" s="16"/>
      <c r="EJ968" s="16"/>
      <c r="EK968" s="17"/>
      <c r="EL968" s="17"/>
      <c r="EM968" s="16"/>
      <c r="EN968" s="16"/>
      <c r="EO968" s="17"/>
      <c r="EP968" s="17"/>
      <c r="EQ968" s="16"/>
      <c r="ER968" s="16"/>
      <c r="ES968" s="17"/>
      <c r="ET968" s="17"/>
      <c r="EU968" s="16"/>
      <c r="EV968" s="16"/>
      <c r="EW968" s="17"/>
      <c r="EX968" s="17"/>
      <c r="EY968" s="16"/>
      <c r="EZ968" s="16"/>
      <c r="FA968" s="17"/>
      <c r="FB968" s="17"/>
      <c r="FC968" s="16"/>
      <c r="FD968" s="16"/>
      <c r="FE968" s="17"/>
      <c r="FF968" s="17"/>
      <c r="FG968" s="11"/>
      <c r="GT968" s="11"/>
      <c r="IG968" s="11"/>
      <c r="JT968" s="11"/>
      <c r="LG968" s="11"/>
      <c r="MT968" s="11"/>
      <c r="OG968" s="11"/>
      <c r="PT968" s="11"/>
    </row>
    <row r="969" spans="3:436" ht="15.75" x14ac:dyDescent="0.25">
      <c r="C969" s="20" t="s">
        <v>711</v>
      </c>
      <c r="D969" s="21" t="s">
        <v>136</v>
      </c>
      <c r="H969" s="11"/>
      <c r="AU969" s="11"/>
      <c r="CH969" s="11"/>
      <c r="CI969" s="16"/>
      <c r="CJ969" s="16"/>
      <c r="CK969" s="16"/>
      <c r="CL969" s="16"/>
      <c r="CM969" s="16"/>
      <c r="CN969" s="16"/>
      <c r="CO969" s="16"/>
      <c r="CP969" s="16"/>
      <c r="CQ969" s="16"/>
      <c r="CR969" s="16"/>
      <c r="CS969" s="16"/>
      <c r="CT969" s="16"/>
      <c r="CU969" s="16"/>
      <c r="CV969" s="16"/>
      <c r="CW969" s="16"/>
      <c r="CX969" s="16"/>
      <c r="CY969" s="16"/>
      <c r="CZ969" s="16"/>
      <c r="DA969" s="16"/>
      <c r="DB969" s="16"/>
      <c r="DC969" s="16"/>
      <c r="DD969" s="16"/>
      <c r="DE969" s="17"/>
      <c r="DF969" s="17"/>
      <c r="DG969" s="16"/>
      <c r="DH969" s="16"/>
      <c r="DI969" s="17"/>
      <c r="DJ969" s="17"/>
      <c r="DK969" s="16"/>
      <c r="DL969" s="16"/>
      <c r="DM969" s="17"/>
      <c r="DN969" s="17"/>
      <c r="DO969" s="16"/>
      <c r="DP969" s="16"/>
      <c r="DQ969" s="17"/>
      <c r="DR969" s="17"/>
      <c r="DS969" s="16"/>
      <c r="DT969" s="16"/>
      <c r="DU969" s="17"/>
      <c r="DV969" s="17"/>
      <c r="DW969" s="16"/>
      <c r="DX969" s="16"/>
      <c r="DY969" s="17"/>
      <c r="DZ969" s="17"/>
      <c r="EA969" s="16"/>
      <c r="EB969" s="16"/>
      <c r="EC969" s="17"/>
      <c r="ED969" s="17"/>
      <c r="EE969" s="16"/>
      <c r="EF969" s="16"/>
      <c r="EG969" s="17"/>
      <c r="EH969" s="17"/>
      <c r="EI969" s="16"/>
      <c r="EJ969" s="16"/>
      <c r="EK969" s="17"/>
      <c r="EL969" s="17"/>
      <c r="EM969" s="16"/>
      <c r="EN969" s="16"/>
      <c r="EO969" s="17"/>
      <c r="EP969" s="17"/>
      <c r="EQ969" s="16"/>
      <c r="ER969" s="16"/>
      <c r="ES969" s="17"/>
      <c r="ET969" s="17"/>
      <c r="EU969" s="16"/>
      <c r="EV969" s="16"/>
      <c r="EW969" s="17"/>
      <c r="EX969" s="17"/>
      <c r="EY969" s="16"/>
      <c r="EZ969" s="16"/>
      <c r="FA969" s="17"/>
      <c r="FB969" s="17"/>
      <c r="FC969" s="16"/>
      <c r="FD969" s="16"/>
      <c r="FE969" s="17"/>
      <c r="FF969" s="17"/>
      <c r="FG969" s="11"/>
      <c r="GT969" s="11"/>
      <c r="IG969" s="11"/>
      <c r="JT969" s="11"/>
      <c r="LG969" s="11"/>
      <c r="MT969" s="11"/>
      <c r="OG969" s="11"/>
      <c r="PT969" s="11"/>
    </row>
    <row r="970" spans="3:436" ht="15.75" x14ac:dyDescent="0.25">
      <c r="C970" s="20" t="s">
        <v>712</v>
      </c>
      <c r="D970" s="21" t="s">
        <v>136</v>
      </c>
      <c r="H970" s="11"/>
      <c r="AU970" s="11"/>
      <c r="CH970" s="11"/>
      <c r="CI970" s="16"/>
      <c r="CJ970" s="16"/>
      <c r="CK970" s="16"/>
      <c r="CL970" s="16"/>
      <c r="CM970" s="16"/>
      <c r="CN970" s="16"/>
      <c r="CO970" s="16"/>
      <c r="CP970" s="16"/>
      <c r="CQ970" s="16"/>
      <c r="CR970" s="16"/>
      <c r="CS970" s="16"/>
      <c r="CT970" s="16"/>
      <c r="CU970" s="16"/>
      <c r="CV970" s="16"/>
      <c r="CW970" s="16"/>
      <c r="CX970" s="16"/>
      <c r="CY970" s="16"/>
      <c r="CZ970" s="16"/>
      <c r="DA970" s="16"/>
      <c r="DB970" s="16"/>
      <c r="DC970" s="16"/>
      <c r="DD970" s="16"/>
      <c r="DE970" s="17"/>
      <c r="DF970" s="17"/>
      <c r="DG970" s="16"/>
      <c r="DH970" s="16"/>
      <c r="DI970" s="17"/>
      <c r="DJ970" s="17"/>
      <c r="DK970" s="16"/>
      <c r="DL970" s="16"/>
      <c r="DM970" s="17"/>
      <c r="DN970" s="17"/>
      <c r="DO970" s="16"/>
      <c r="DP970" s="16"/>
      <c r="DQ970" s="17"/>
      <c r="DR970" s="17"/>
      <c r="DS970" s="16"/>
      <c r="DT970" s="16"/>
      <c r="DU970" s="17"/>
      <c r="DV970" s="17"/>
      <c r="DW970" s="16"/>
      <c r="DX970" s="16"/>
      <c r="DY970" s="17"/>
      <c r="DZ970" s="17"/>
      <c r="EA970" s="16"/>
      <c r="EB970" s="16"/>
      <c r="EC970" s="17"/>
      <c r="ED970" s="17"/>
      <c r="EE970" s="16"/>
      <c r="EF970" s="16"/>
      <c r="EG970" s="17"/>
      <c r="EH970" s="17"/>
      <c r="EI970" s="16"/>
      <c r="EJ970" s="16"/>
      <c r="EK970" s="17"/>
      <c r="EL970" s="17"/>
      <c r="EM970" s="16"/>
      <c r="EN970" s="16"/>
      <c r="EO970" s="17"/>
      <c r="EP970" s="17"/>
      <c r="EQ970" s="16"/>
      <c r="ER970" s="16"/>
      <c r="ES970" s="17"/>
      <c r="ET970" s="17"/>
      <c r="EU970" s="16"/>
      <c r="EV970" s="16"/>
      <c r="EW970" s="17"/>
      <c r="EX970" s="17"/>
      <c r="EY970" s="16"/>
      <c r="EZ970" s="16"/>
      <c r="FA970" s="17"/>
      <c r="FB970" s="17"/>
      <c r="FC970" s="16"/>
      <c r="FD970" s="16"/>
      <c r="FE970" s="17"/>
      <c r="FF970" s="17"/>
      <c r="FG970" s="11"/>
      <c r="GT970" s="11"/>
      <c r="IG970" s="11"/>
      <c r="JT970" s="11"/>
      <c r="LG970" s="11"/>
      <c r="MT970" s="11"/>
      <c r="OG970" s="11"/>
      <c r="PT970" s="11"/>
    </row>
    <row r="971" spans="3:436" ht="15.75" x14ac:dyDescent="0.25">
      <c r="C971" s="20" t="s">
        <v>713</v>
      </c>
      <c r="D971" s="21" t="s">
        <v>136</v>
      </c>
      <c r="H971" s="11"/>
      <c r="AU971" s="11"/>
      <c r="CH971" s="11"/>
      <c r="CI971" s="16"/>
      <c r="CJ971" s="16"/>
      <c r="CK971" s="16"/>
      <c r="CL971" s="16"/>
      <c r="CM971" s="16"/>
      <c r="CN971" s="16"/>
      <c r="CO971" s="16"/>
      <c r="CP971" s="16"/>
      <c r="CQ971" s="16"/>
      <c r="CR971" s="16"/>
      <c r="CS971" s="16"/>
      <c r="CT971" s="16"/>
      <c r="CU971" s="16"/>
      <c r="CV971" s="16"/>
      <c r="CW971" s="16"/>
      <c r="CX971" s="16"/>
      <c r="CY971" s="16"/>
      <c r="CZ971" s="16"/>
      <c r="DA971" s="16"/>
      <c r="DB971" s="16"/>
      <c r="DC971" s="16"/>
      <c r="DD971" s="16"/>
      <c r="DE971" s="17"/>
      <c r="DF971" s="17"/>
      <c r="DG971" s="16"/>
      <c r="DH971" s="16"/>
      <c r="DI971" s="17"/>
      <c r="DJ971" s="17"/>
      <c r="DK971" s="16"/>
      <c r="DL971" s="16"/>
      <c r="DM971" s="17"/>
      <c r="DN971" s="17"/>
      <c r="DO971" s="16"/>
      <c r="DP971" s="16"/>
      <c r="DQ971" s="17"/>
      <c r="DR971" s="17"/>
      <c r="DS971" s="16"/>
      <c r="DT971" s="16"/>
      <c r="DU971" s="17"/>
      <c r="DV971" s="17"/>
      <c r="DW971" s="16"/>
      <c r="DX971" s="16"/>
      <c r="DY971" s="17"/>
      <c r="DZ971" s="17"/>
      <c r="EA971" s="16"/>
      <c r="EB971" s="16"/>
      <c r="EC971" s="17"/>
      <c r="ED971" s="17"/>
      <c r="EE971" s="16"/>
      <c r="EF971" s="16"/>
      <c r="EG971" s="17"/>
      <c r="EH971" s="17"/>
      <c r="EI971" s="16"/>
      <c r="EJ971" s="16"/>
      <c r="EK971" s="17"/>
      <c r="EL971" s="17"/>
      <c r="EM971" s="16"/>
      <c r="EN971" s="16"/>
      <c r="EO971" s="17"/>
      <c r="EP971" s="17"/>
      <c r="EQ971" s="16"/>
      <c r="ER971" s="16"/>
      <c r="ES971" s="17"/>
      <c r="ET971" s="17"/>
      <c r="EU971" s="16"/>
      <c r="EV971" s="16"/>
      <c r="EW971" s="17"/>
      <c r="EX971" s="17"/>
      <c r="EY971" s="16"/>
      <c r="EZ971" s="16"/>
      <c r="FA971" s="17"/>
      <c r="FB971" s="17"/>
      <c r="FC971" s="16"/>
      <c r="FD971" s="16"/>
      <c r="FE971" s="17"/>
      <c r="FF971" s="17"/>
      <c r="FG971" s="11"/>
      <c r="GT971" s="11"/>
      <c r="IG971" s="11"/>
      <c r="JT971" s="11"/>
      <c r="LG971" s="11"/>
      <c r="MT971" s="11"/>
      <c r="OG971" s="11"/>
      <c r="PT971" s="11"/>
    </row>
    <row r="972" spans="3:436" ht="15.75" x14ac:dyDescent="0.25">
      <c r="C972" s="20" t="s">
        <v>714</v>
      </c>
      <c r="D972" s="21" t="s">
        <v>90</v>
      </c>
      <c r="H972" s="11"/>
      <c r="AU972" s="11"/>
      <c r="CH972" s="11"/>
      <c r="CI972" s="16"/>
      <c r="CJ972" s="16"/>
      <c r="CK972" s="16"/>
      <c r="CL972" s="16"/>
      <c r="CM972" s="16"/>
      <c r="CN972" s="16"/>
      <c r="CO972" s="16"/>
      <c r="CP972" s="16"/>
      <c r="CQ972" s="16"/>
      <c r="CR972" s="16"/>
      <c r="CS972" s="16"/>
      <c r="CT972" s="16"/>
      <c r="CU972" s="16"/>
      <c r="CV972" s="16"/>
      <c r="CW972" s="16"/>
      <c r="CX972" s="16"/>
      <c r="CY972" s="16"/>
      <c r="CZ972" s="16"/>
      <c r="DA972" s="16"/>
      <c r="DB972" s="16"/>
      <c r="DC972" s="16"/>
      <c r="DD972" s="16"/>
      <c r="DE972" s="17"/>
      <c r="DF972" s="17"/>
      <c r="DG972" s="16"/>
      <c r="DH972" s="16"/>
      <c r="DI972" s="17"/>
      <c r="DJ972" s="17"/>
      <c r="DK972" s="16"/>
      <c r="DL972" s="16"/>
      <c r="DM972" s="17"/>
      <c r="DN972" s="17"/>
      <c r="DO972" s="16"/>
      <c r="DP972" s="16"/>
      <c r="DQ972" s="17"/>
      <c r="DR972" s="17"/>
      <c r="DS972" s="16"/>
      <c r="DT972" s="16"/>
      <c r="DU972" s="17"/>
      <c r="DV972" s="17"/>
      <c r="DW972" s="16"/>
      <c r="DX972" s="16"/>
      <c r="DY972" s="17"/>
      <c r="DZ972" s="17"/>
      <c r="EA972" s="16"/>
      <c r="EB972" s="16"/>
      <c r="EC972" s="17"/>
      <c r="ED972" s="17"/>
      <c r="EE972" s="16"/>
      <c r="EF972" s="16"/>
      <c r="EG972" s="17"/>
      <c r="EH972" s="17"/>
      <c r="EI972" s="16"/>
      <c r="EJ972" s="16"/>
      <c r="EK972" s="17"/>
      <c r="EL972" s="17"/>
      <c r="EM972" s="16"/>
      <c r="EN972" s="16"/>
      <c r="EO972" s="17"/>
      <c r="EP972" s="17"/>
      <c r="EQ972" s="16"/>
      <c r="ER972" s="16"/>
      <c r="ES972" s="17"/>
      <c r="ET972" s="17"/>
      <c r="EU972" s="16"/>
      <c r="EV972" s="16"/>
      <c r="EW972" s="17"/>
      <c r="EX972" s="17"/>
      <c r="EY972" s="16"/>
      <c r="EZ972" s="16"/>
      <c r="FA972" s="17"/>
      <c r="FB972" s="17"/>
      <c r="FC972" s="16"/>
      <c r="FD972" s="16"/>
      <c r="FE972" s="17"/>
      <c r="FF972" s="17"/>
      <c r="FG972" s="11"/>
      <c r="GT972" s="11"/>
      <c r="IG972" s="11"/>
      <c r="JT972" s="11"/>
      <c r="LG972" s="11"/>
      <c r="MT972" s="11"/>
      <c r="OG972" s="11"/>
      <c r="PT972" s="11"/>
    </row>
    <row r="973" spans="3:436" ht="15.75" x14ac:dyDescent="0.25">
      <c r="C973" s="20" t="s">
        <v>701</v>
      </c>
      <c r="D973" s="21" t="s">
        <v>93</v>
      </c>
      <c r="H973" s="11"/>
      <c r="AU973" s="11"/>
      <c r="CH973" s="11"/>
      <c r="CI973" s="16"/>
      <c r="CJ973" s="16"/>
      <c r="CK973" s="16"/>
      <c r="CL973" s="16"/>
      <c r="CM973" s="16"/>
      <c r="CN973" s="16"/>
      <c r="CO973" s="16"/>
      <c r="CP973" s="16"/>
      <c r="CQ973" s="16"/>
      <c r="CR973" s="16"/>
      <c r="CS973" s="16"/>
      <c r="CT973" s="16"/>
      <c r="CU973" s="16"/>
      <c r="CV973" s="16"/>
      <c r="CW973" s="16"/>
      <c r="CX973" s="16"/>
      <c r="CY973" s="16"/>
      <c r="CZ973" s="16"/>
      <c r="DA973" s="16"/>
      <c r="DB973" s="16"/>
      <c r="DC973" s="16"/>
      <c r="DD973" s="16"/>
      <c r="DE973" s="17"/>
      <c r="DF973" s="17"/>
      <c r="DG973" s="16"/>
      <c r="DH973" s="16"/>
      <c r="DI973" s="17"/>
      <c r="DJ973" s="17"/>
      <c r="DK973" s="16"/>
      <c r="DL973" s="16"/>
      <c r="DM973" s="17"/>
      <c r="DN973" s="17"/>
      <c r="DO973" s="16"/>
      <c r="DP973" s="16"/>
      <c r="DQ973" s="17"/>
      <c r="DR973" s="17"/>
      <c r="DS973" s="16"/>
      <c r="DT973" s="16"/>
      <c r="DU973" s="17"/>
      <c r="DV973" s="17"/>
      <c r="DW973" s="16"/>
      <c r="DX973" s="16"/>
      <c r="DY973" s="17"/>
      <c r="DZ973" s="17"/>
      <c r="EA973" s="16"/>
      <c r="EB973" s="16"/>
      <c r="EC973" s="17"/>
      <c r="ED973" s="17"/>
      <c r="EE973" s="16"/>
      <c r="EF973" s="16"/>
      <c r="EG973" s="17"/>
      <c r="EH973" s="17"/>
      <c r="EI973" s="16"/>
      <c r="EJ973" s="16"/>
      <c r="EK973" s="17"/>
      <c r="EL973" s="17"/>
      <c r="EM973" s="16"/>
      <c r="EN973" s="16"/>
      <c r="EO973" s="17"/>
      <c r="EP973" s="17"/>
      <c r="EQ973" s="16"/>
      <c r="ER973" s="16"/>
      <c r="ES973" s="17"/>
      <c r="ET973" s="17"/>
      <c r="EU973" s="16"/>
      <c r="EV973" s="16"/>
      <c r="EW973" s="17"/>
      <c r="EX973" s="17"/>
      <c r="EY973" s="16"/>
      <c r="EZ973" s="16"/>
      <c r="FA973" s="17"/>
      <c r="FB973" s="17"/>
      <c r="FC973" s="16"/>
      <c r="FD973" s="16"/>
      <c r="FE973" s="17"/>
      <c r="FF973" s="17"/>
      <c r="FG973" s="11"/>
      <c r="GT973" s="11"/>
      <c r="IG973" s="11"/>
      <c r="JT973" s="11"/>
      <c r="LG973" s="11"/>
      <c r="MT973" s="11"/>
      <c r="OG973" s="11"/>
      <c r="PT973" s="11"/>
    </row>
    <row r="974" spans="3:436" ht="15.75" x14ac:dyDescent="0.25">
      <c r="C974" s="20" t="s">
        <v>715</v>
      </c>
      <c r="D974" s="21" t="s">
        <v>93</v>
      </c>
      <c r="H974" s="11"/>
      <c r="AU974" s="11"/>
      <c r="CH974" s="11"/>
      <c r="CI974" s="16"/>
      <c r="CJ974" s="16"/>
      <c r="CK974" s="16"/>
      <c r="CL974" s="16"/>
      <c r="CM974" s="16"/>
      <c r="CN974" s="16"/>
      <c r="CO974" s="16"/>
      <c r="CP974" s="16"/>
      <c r="CQ974" s="16"/>
      <c r="CR974" s="16"/>
      <c r="CS974" s="16"/>
      <c r="CT974" s="16"/>
      <c r="CU974" s="16"/>
      <c r="CV974" s="16"/>
      <c r="CW974" s="16"/>
      <c r="CX974" s="16"/>
      <c r="CY974" s="16"/>
      <c r="CZ974" s="16"/>
      <c r="DA974" s="16"/>
      <c r="DB974" s="16"/>
      <c r="DC974" s="16"/>
      <c r="DD974" s="16"/>
      <c r="DE974" s="17"/>
      <c r="DF974" s="17"/>
      <c r="DG974" s="16"/>
      <c r="DH974" s="16"/>
      <c r="DI974" s="17"/>
      <c r="DJ974" s="17"/>
      <c r="DK974" s="16"/>
      <c r="DL974" s="16"/>
      <c r="DM974" s="17"/>
      <c r="DN974" s="17"/>
      <c r="DO974" s="16"/>
      <c r="DP974" s="16"/>
      <c r="DQ974" s="17"/>
      <c r="DR974" s="17"/>
      <c r="DS974" s="16"/>
      <c r="DT974" s="16"/>
      <c r="DU974" s="17"/>
      <c r="DV974" s="17"/>
      <c r="DW974" s="16"/>
      <c r="DX974" s="16"/>
      <c r="DY974" s="17"/>
      <c r="DZ974" s="17"/>
      <c r="EA974" s="16"/>
      <c r="EB974" s="16"/>
      <c r="EC974" s="17"/>
      <c r="ED974" s="17"/>
      <c r="EE974" s="16"/>
      <c r="EF974" s="16"/>
      <c r="EG974" s="17"/>
      <c r="EH974" s="17"/>
      <c r="EI974" s="16"/>
      <c r="EJ974" s="16"/>
      <c r="EK974" s="17"/>
      <c r="EL974" s="17"/>
      <c r="EM974" s="16"/>
      <c r="EN974" s="16"/>
      <c r="EO974" s="17"/>
      <c r="EP974" s="17"/>
      <c r="EQ974" s="16"/>
      <c r="ER974" s="16"/>
      <c r="ES974" s="17"/>
      <c r="ET974" s="17"/>
      <c r="EU974" s="16"/>
      <c r="EV974" s="16"/>
      <c r="EW974" s="18">
        <v>2</v>
      </c>
      <c r="EX974" s="18">
        <v>3</v>
      </c>
      <c r="EY974" s="16"/>
      <c r="EZ974" s="16"/>
      <c r="FA974" s="17"/>
      <c r="FB974" s="17"/>
      <c r="FC974" s="16"/>
      <c r="FD974" s="16"/>
      <c r="FE974" s="17"/>
      <c r="FF974" s="17"/>
      <c r="FG974" s="11"/>
      <c r="GT974" s="11"/>
      <c r="IG974" s="11"/>
      <c r="JT974" s="11"/>
      <c r="LG974" s="11"/>
      <c r="MT974" s="11"/>
      <c r="OG974" s="11"/>
      <c r="PT974" s="11"/>
    </row>
    <row r="975" spans="3:436" ht="15.75" x14ac:dyDescent="0.25">
      <c r="C975" s="20" t="s">
        <v>716</v>
      </c>
      <c r="D975" s="21" t="s">
        <v>93</v>
      </c>
      <c r="H975" s="11"/>
      <c r="AU975" s="11"/>
      <c r="CH975" s="11"/>
      <c r="CI975" s="16"/>
      <c r="CJ975" s="16"/>
      <c r="CK975" s="16"/>
      <c r="CL975" s="16"/>
      <c r="CM975" s="16"/>
      <c r="CN975" s="16"/>
      <c r="CO975" s="16"/>
      <c r="CP975" s="16"/>
      <c r="CQ975" s="16"/>
      <c r="CR975" s="16"/>
      <c r="CS975" s="16"/>
      <c r="CT975" s="16"/>
      <c r="CU975" s="16"/>
      <c r="CV975" s="16"/>
      <c r="CW975" s="16"/>
      <c r="CX975" s="16"/>
      <c r="CY975" s="16"/>
      <c r="CZ975" s="16"/>
      <c r="DA975" s="16"/>
      <c r="DB975" s="16"/>
      <c r="DC975" s="16"/>
      <c r="DD975" s="16"/>
      <c r="DE975" s="17"/>
      <c r="DF975" s="17"/>
      <c r="DG975" s="16"/>
      <c r="DH975" s="16"/>
      <c r="DI975" s="17"/>
      <c r="DJ975" s="17"/>
      <c r="DK975" s="16"/>
      <c r="DL975" s="16"/>
      <c r="DM975" s="17"/>
      <c r="DN975" s="17"/>
      <c r="DO975" s="16"/>
      <c r="DP975" s="16"/>
      <c r="DQ975" s="17"/>
      <c r="DR975" s="17"/>
      <c r="DS975" s="16"/>
      <c r="DT975" s="16"/>
      <c r="DU975" s="17"/>
      <c r="DV975" s="17"/>
      <c r="DW975" s="16"/>
      <c r="DX975" s="16"/>
      <c r="DY975" s="17"/>
      <c r="DZ975" s="17"/>
      <c r="EA975" s="16"/>
      <c r="EB975" s="16"/>
      <c r="EC975" s="17"/>
      <c r="ED975" s="17"/>
      <c r="EE975" s="16"/>
      <c r="EF975" s="16"/>
      <c r="EG975" s="17"/>
      <c r="EH975" s="17"/>
      <c r="EI975" s="16"/>
      <c r="EJ975" s="16"/>
      <c r="EK975" s="17"/>
      <c r="EL975" s="17"/>
      <c r="EM975" s="16"/>
      <c r="EN975" s="16"/>
      <c r="EO975" s="17"/>
      <c r="EP975" s="17"/>
      <c r="EQ975" s="16"/>
      <c r="ER975" s="16"/>
      <c r="ES975" s="17"/>
      <c r="ET975" s="17"/>
      <c r="EU975" s="16"/>
      <c r="EV975" s="16"/>
      <c r="EW975" s="18">
        <v>5</v>
      </c>
      <c r="EX975" s="18">
        <v>6</v>
      </c>
      <c r="EY975" s="16"/>
      <c r="EZ975" s="16"/>
      <c r="FA975" s="17"/>
      <c r="FB975" s="17"/>
      <c r="FC975" s="16"/>
      <c r="FD975" s="16"/>
      <c r="FE975" s="17"/>
      <c r="FF975" s="17"/>
      <c r="FG975" s="11"/>
      <c r="GT975" s="11"/>
      <c r="IG975" s="11"/>
      <c r="JT975" s="11"/>
      <c r="LG975" s="11"/>
      <c r="MT975" s="11"/>
      <c r="OG975" s="11"/>
      <c r="PT975" s="11"/>
    </row>
    <row r="976" spans="3:436" ht="25.5" x14ac:dyDescent="0.25">
      <c r="C976" s="20" t="s">
        <v>717</v>
      </c>
      <c r="D976" s="21" t="s">
        <v>82</v>
      </c>
      <c r="H976" s="11"/>
      <c r="AU976" s="11"/>
      <c r="CH976" s="11"/>
      <c r="CI976" s="16"/>
      <c r="CJ976" s="16"/>
      <c r="CK976" s="16"/>
      <c r="CL976" s="16"/>
      <c r="CM976" s="16"/>
      <c r="CN976" s="16"/>
      <c r="CO976" s="16"/>
      <c r="CP976" s="16"/>
      <c r="CQ976" s="16"/>
      <c r="CR976" s="16"/>
      <c r="CS976" s="16"/>
      <c r="CT976" s="16"/>
      <c r="CU976" s="16"/>
      <c r="CV976" s="16"/>
      <c r="CW976" s="16"/>
      <c r="CX976" s="16"/>
      <c r="CY976" s="16"/>
      <c r="CZ976" s="16"/>
      <c r="DA976" s="16"/>
      <c r="DB976" s="16"/>
      <c r="DC976" s="16"/>
      <c r="DD976" s="16"/>
      <c r="DE976" s="17"/>
      <c r="DF976" s="17"/>
      <c r="DG976" s="16"/>
      <c r="DH976" s="16"/>
      <c r="DI976" s="17"/>
      <c r="DJ976" s="17"/>
      <c r="DK976" s="16"/>
      <c r="DL976" s="16"/>
      <c r="DM976" s="17"/>
      <c r="DN976" s="17"/>
      <c r="DO976" s="16"/>
      <c r="DP976" s="16"/>
      <c r="DQ976" s="17"/>
      <c r="DR976" s="17"/>
      <c r="DS976" s="16"/>
      <c r="DT976" s="16"/>
      <c r="DU976" s="17"/>
      <c r="DV976" s="17"/>
      <c r="DW976" s="16"/>
      <c r="DX976" s="16"/>
      <c r="DY976" s="17"/>
      <c r="DZ976" s="17"/>
      <c r="EA976" s="16"/>
      <c r="EB976" s="16"/>
      <c r="EC976" s="17"/>
      <c r="ED976" s="17"/>
      <c r="EE976" s="16"/>
      <c r="EF976" s="16"/>
      <c r="EG976" s="17"/>
      <c r="EH976" s="17"/>
      <c r="EI976" s="16"/>
      <c r="EJ976" s="16"/>
      <c r="EK976" s="17"/>
      <c r="EL976" s="17"/>
      <c r="EM976" s="16"/>
      <c r="EN976" s="16"/>
      <c r="EO976" s="17"/>
      <c r="EP976" s="17"/>
      <c r="EQ976" s="16"/>
      <c r="ER976" s="16"/>
      <c r="ES976" s="18">
        <v>10</v>
      </c>
      <c r="ET976" s="18">
        <v>20</v>
      </c>
      <c r="EU976" s="16"/>
      <c r="EV976" s="16"/>
      <c r="EW976" s="17"/>
      <c r="EX976" s="17"/>
      <c r="EY976" s="16"/>
      <c r="EZ976" s="16"/>
      <c r="FA976" s="17"/>
      <c r="FB976" s="17"/>
      <c r="FC976" s="16"/>
      <c r="FD976" s="16"/>
      <c r="FE976" s="17"/>
      <c r="FF976" s="17"/>
      <c r="FG976" s="11"/>
      <c r="GT976" s="11"/>
      <c r="IG976" s="11"/>
      <c r="JT976" s="11"/>
      <c r="LG976" s="11"/>
      <c r="MT976" s="11"/>
      <c r="OG976" s="11"/>
      <c r="PT976" s="11"/>
    </row>
    <row r="977" spans="3:436" ht="15.75" x14ac:dyDescent="0.25">
      <c r="C977" s="20" t="s">
        <v>718</v>
      </c>
      <c r="D977" s="21" t="s">
        <v>93</v>
      </c>
      <c r="H977" s="11"/>
      <c r="AU977" s="11"/>
      <c r="CH977" s="11"/>
      <c r="CI977" s="16"/>
      <c r="CJ977" s="16"/>
      <c r="CK977" s="16"/>
      <c r="CL977" s="16"/>
      <c r="CM977" s="16"/>
      <c r="CN977" s="16"/>
      <c r="CO977" s="16"/>
      <c r="CP977" s="16"/>
      <c r="CQ977" s="16"/>
      <c r="CR977" s="16"/>
      <c r="CS977" s="16"/>
      <c r="CT977" s="16"/>
      <c r="CU977" s="16"/>
      <c r="CV977" s="16"/>
      <c r="CW977" s="16"/>
      <c r="CX977" s="16"/>
      <c r="CY977" s="16"/>
      <c r="CZ977" s="16"/>
      <c r="DA977" s="16"/>
      <c r="DB977" s="16"/>
      <c r="DC977" s="16"/>
      <c r="DD977" s="16"/>
      <c r="DE977" s="17"/>
      <c r="DF977" s="17"/>
      <c r="DG977" s="16"/>
      <c r="DH977" s="16"/>
      <c r="DI977" s="17"/>
      <c r="DJ977" s="17"/>
      <c r="DK977" s="16"/>
      <c r="DL977" s="16"/>
      <c r="DM977" s="17"/>
      <c r="DN977" s="17"/>
      <c r="DO977" s="16"/>
      <c r="DP977" s="16"/>
      <c r="DQ977" s="17"/>
      <c r="DR977" s="17"/>
      <c r="DS977" s="16"/>
      <c r="DT977" s="16"/>
      <c r="DU977" s="17"/>
      <c r="DV977" s="17"/>
      <c r="DW977" s="16"/>
      <c r="DX977" s="16"/>
      <c r="DY977" s="17"/>
      <c r="DZ977" s="17"/>
      <c r="EA977" s="16"/>
      <c r="EB977" s="16"/>
      <c r="EC977" s="17"/>
      <c r="ED977" s="17"/>
      <c r="EE977" s="16"/>
      <c r="EF977" s="16"/>
      <c r="EG977" s="17"/>
      <c r="EH977" s="17"/>
      <c r="EI977" s="16"/>
      <c r="EJ977" s="16"/>
      <c r="EK977" s="17"/>
      <c r="EL977" s="17"/>
      <c r="EM977" s="16"/>
      <c r="EN977" s="16"/>
      <c r="EO977" s="17"/>
      <c r="EP977" s="17"/>
      <c r="EQ977" s="16"/>
      <c r="ER977" s="16"/>
      <c r="ES977" s="17"/>
      <c r="ET977" s="17"/>
      <c r="EU977" s="16"/>
      <c r="EV977" s="16"/>
      <c r="EW977" s="18">
        <v>3</v>
      </c>
      <c r="EX977" s="18">
        <v>4</v>
      </c>
      <c r="EY977" s="16"/>
      <c r="EZ977" s="16"/>
      <c r="FA977" s="17"/>
      <c r="FB977" s="17"/>
      <c r="FC977" s="16"/>
      <c r="FD977" s="16"/>
      <c r="FE977" s="17"/>
      <c r="FF977" s="17"/>
      <c r="FG977" s="11"/>
      <c r="GT977" s="11"/>
      <c r="IG977" s="11"/>
      <c r="JT977" s="11"/>
      <c r="LG977" s="11"/>
      <c r="MT977" s="11"/>
      <c r="OG977" s="11"/>
      <c r="PT977" s="11"/>
    </row>
    <row r="978" spans="3:436" ht="15.75" x14ac:dyDescent="0.25">
      <c r="C978" s="20" t="s">
        <v>719</v>
      </c>
      <c r="D978" s="21" t="s">
        <v>82</v>
      </c>
      <c r="H978" s="11"/>
      <c r="AU978" s="11"/>
      <c r="CH978" s="11"/>
      <c r="CI978" s="16"/>
      <c r="CJ978" s="16"/>
      <c r="CK978" s="16"/>
      <c r="CL978" s="16"/>
      <c r="CM978" s="16"/>
      <c r="CN978" s="16"/>
      <c r="CO978" s="16"/>
      <c r="CP978" s="16"/>
      <c r="CQ978" s="16"/>
      <c r="CR978" s="16"/>
      <c r="CS978" s="16"/>
      <c r="CT978" s="16"/>
      <c r="CU978" s="16"/>
      <c r="CV978" s="16"/>
      <c r="CW978" s="16"/>
      <c r="CX978" s="16"/>
      <c r="CY978" s="16"/>
      <c r="CZ978" s="16"/>
      <c r="DA978" s="16"/>
      <c r="DB978" s="16"/>
      <c r="DC978" s="16"/>
      <c r="DD978" s="16"/>
      <c r="DE978" s="17"/>
      <c r="DF978" s="17"/>
      <c r="DG978" s="16"/>
      <c r="DH978" s="16"/>
      <c r="DI978" s="17"/>
      <c r="DJ978" s="17"/>
      <c r="DK978" s="16"/>
      <c r="DL978" s="16"/>
      <c r="DM978" s="17"/>
      <c r="DN978" s="17"/>
      <c r="DO978" s="16"/>
      <c r="DP978" s="16"/>
      <c r="DQ978" s="17"/>
      <c r="DR978" s="17"/>
      <c r="DS978" s="16"/>
      <c r="DT978" s="16"/>
      <c r="DU978" s="17"/>
      <c r="DV978" s="17"/>
      <c r="DW978" s="16"/>
      <c r="DX978" s="16"/>
      <c r="DY978" s="17"/>
      <c r="DZ978" s="17"/>
      <c r="EA978" s="16"/>
      <c r="EB978" s="16"/>
      <c r="EC978" s="17"/>
      <c r="ED978" s="17"/>
      <c r="EE978" s="16"/>
      <c r="EF978" s="16"/>
      <c r="EG978" s="17"/>
      <c r="EH978" s="17"/>
      <c r="EI978" s="16"/>
      <c r="EJ978" s="16"/>
      <c r="EK978" s="17"/>
      <c r="EL978" s="17"/>
      <c r="EM978" s="16"/>
      <c r="EN978" s="16"/>
      <c r="EO978" s="17"/>
      <c r="EP978" s="17"/>
      <c r="EQ978" s="16"/>
      <c r="ER978" s="16"/>
      <c r="ES978" s="18">
        <v>5</v>
      </c>
      <c r="ET978" s="18">
        <v>10</v>
      </c>
      <c r="EU978" s="16"/>
      <c r="EV978" s="16"/>
      <c r="EW978" s="17"/>
      <c r="EX978" s="17"/>
      <c r="EY978" s="16"/>
      <c r="EZ978" s="16"/>
      <c r="FA978" s="17"/>
      <c r="FB978" s="17"/>
      <c r="FC978" s="16"/>
      <c r="FD978" s="16"/>
      <c r="FE978" s="17"/>
      <c r="FF978" s="17"/>
      <c r="FG978" s="11"/>
      <c r="GT978" s="11"/>
      <c r="IG978" s="11"/>
      <c r="JT978" s="11"/>
      <c r="LG978" s="11"/>
      <c r="MT978" s="11"/>
      <c r="OG978" s="11"/>
      <c r="PT978" s="11"/>
    </row>
    <row r="979" spans="3:436" ht="15.75" x14ac:dyDescent="0.25">
      <c r="C979" s="20" t="s">
        <v>720</v>
      </c>
      <c r="D979" s="21" t="s">
        <v>82</v>
      </c>
      <c r="H979" s="11"/>
      <c r="AU979" s="11"/>
      <c r="CH979" s="11"/>
      <c r="CI979" s="16"/>
      <c r="CJ979" s="16"/>
      <c r="CK979" s="16"/>
      <c r="CL979" s="16"/>
      <c r="CM979" s="16"/>
      <c r="CN979" s="16"/>
      <c r="CO979" s="16"/>
      <c r="CP979" s="16"/>
      <c r="CQ979" s="16"/>
      <c r="CR979" s="16"/>
      <c r="CS979" s="16"/>
      <c r="CT979" s="16"/>
      <c r="CU979" s="16"/>
      <c r="CV979" s="16"/>
      <c r="CW979" s="16"/>
      <c r="CX979" s="16"/>
      <c r="CY979" s="16"/>
      <c r="CZ979" s="16"/>
      <c r="DA979" s="16"/>
      <c r="DB979" s="16"/>
      <c r="DC979" s="16"/>
      <c r="DD979" s="16"/>
      <c r="DE979" s="17"/>
      <c r="DF979" s="17"/>
      <c r="DG979" s="16"/>
      <c r="DH979" s="16"/>
      <c r="DI979" s="17"/>
      <c r="DJ979" s="17"/>
      <c r="DK979" s="16"/>
      <c r="DL979" s="16"/>
      <c r="DM979" s="17"/>
      <c r="DN979" s="17"/>
      <c r="DO979" s="16"/>
      <c r="DP979" s="16"/>
      <c r="DQ979" s="17"/>
      <c r="DR979" s="17"/>
      <c r="DS979" s="16"/>
      <c r="DT979" s="16"/>
      <c r="DU979" s="17"/>
      <c r="DV979" s="17"/>
      <c r="DW979" s="16"/>
      <c r="DX979" s="16"/>
      <c r="DY979" s="17"/>
      <c r="DZ979" s="17"/>
      <c r="EA979" s="16"/>
      <c r="EB979" s="16"/>
      <c r="EC979" s="17"/>
      <c r="ED979" s="17"/>
      <c r="EE979" s="16"/>
      <c r="EF979" s="16"/>
      <c r="EG979" s="17"/>
      <c r="EH979" s="17"/>
      <c r="EI979" s="16"/>
      <c r="EJ979" s="16"/>
      <c r="EK979" s="17"/>
      <c r="EL979" s="17"/>
      <c r="EM979" s="16"/>
      <c r="EN979" s="16"/>
      <c r="EO979" s="17"/>
      <c r="EP979" s="17"/>
      <c r="EQ979" s="16"/>
      <c r="ER979" s="16"/>
      <c r="ES979" s="18">
        <v>5</v>
      </c>
      <c r="ET979" s="18">
        <v>10</v>
      </c>
      <c r="EU979" s="16"/>
      <c r="EV979" s="16"/>
      <c r="EW979" s="17"/>
      <c r="EX979" s="17"/>
      <c r="EY979" s="16"/>
      <c r="EZ979" s="16"/>
      <c r="FA979" s="17"/>
      <c r="FB979" s="17"/>
      <c r="FC979" s="16"/>
      <c r="FD979" s="16"/>
      <c r="FE979" s="17"/>
      <c r="FF979" s="17"/>
      <c r="FG979" s="11"/>
      <c r="GT979" s="11"/>
      <c r="IG979" s="11"/>
      <c r="JT979" s="11"/>
      <c r="LG979" s="11"/>
      <c r="MT979" s="11"/>
      <c r="OG979" s="11"/>
      <c r="PT979" s="11"/>
    </row>
    <row r="980" spans="3:436" ht="15.75" x14ac:dyDescent="0.25">
      <c r="C980" s="20" t="s">
        <v>721</v>
      </c>
      <c r="D980" s="21" t="s">
        <v>93</v>
      </c>
      <c r="H980" s="11"/>
      <c r="AU980" s="11"/>
      <c r="CH980" s="11"/>
      <c r="CI980" s="16"/>
      <c r="CJ980" s="16"/>
      <c r="CK980" s="16"/>
      <c r="CL980" s="16"/>
      <c r="CM980" s="16"/>
      <c r="CN980" s="16"/>
      <c r="CO980" s="16"/>
      <c r="CP980" s="16"/>
      <c r="CQ980" s="16"/>
      <c r="CR980" s="16"/>
      <c r="CS980" s="16"/>
      <c r="CT980" s="16"/>
      <c r="CU980" s="16"/>
      <c r="CV980" s="16"/>
      <c r="CW980" s="16"/>
      <c r="CX980" s="16"/>
      <c r="CY980" s="16"/>
      <c r="CZ980" s="16"/>
      <c r="DA980" s="16"/>
      <c r="DB980" s="16"/>
      <c r="DC980" s="16"/>
      <c r="DD980" s="16"/>
      <c r="DE980" s="17"/>
      <c r="DF980" s="17"/>
      <c r="DG980" s="16"/>
      <c r="DH980" s="16"/>
      <c r="DI980" s="17"/>
      <c r="DJ980" s="17"/>
      <c r="DK980" s="16"/>
      <c r="DL980" s="16"/>
      <c r="DM980" s="17"/>
      <c r="DN980" s="17"/>
      <c r="DO980" s="16"/>
      <c r="DP980" s="16"/>
      <c r="DQ980" s="17"/>
      <c r="DR980" s="17"/>
      <c r="DS980" s="16"/>
      <c r="DT980" s="16"/>
      <c r="DU980" s="17"/>
      <c r="DV980" s="17"/>
      <c r="DW980" s="16"/>
      <c r="DX980" s="16"/>
      <c r="DY980" s="17"/>
      <c r="DZ980" s="17"/>
      <c r="EA980" s="16"/>
      <c r="EB980" s="16"/>
      <c r="EC980" s="17"/>
      <c r="ED980" s="17"/>
      <c r="EE980" s="16"/>
      <c r="EF980" s="16"/>
      <c r="EG980" s="17"/>
      <c r="EH980" s="17"/>
      <c r="EI980" s="16"/>
      <c r="EJ980" s="16"/>
      <c r="EK980" s="17"/>
      <c r="EL980" s="17"/>
      <c r="EM980" s="16"/>
      <c r="EN980" s="16"/>
      <c r="EO980" s="17"/>
      <c r="EP980" s="17"/>
      <c r="EQ980" s="16"/>
      <c r="ER980" s="16"/>
      <c r="ES980" s="17"/>
      <c r="ET980" s="17"/>
      <c r="EU980" s="16"/>
      <c r="EV980" s="16"/>
      <c r="EW980" s="18">
        <v>3</v>
      </c>
      <c r="EX980" s="18">
        <v>4</v>
      </c>
      <c r="EY980" s="16"/>
      <c r="EZ980" s="16"/>
      <c r="FA980" s="17"/>
      <c r="FB980" s="17"/>
      <c r="FC980" s="16"/>
      <c r="FD980" s="16"/>
      <c r="FE980" s="17"/>
      <c r="FF980" s="17"/>
      <c r="FG980" s="11"/>
      <c r="GT980" s="11"/>
      <c r="IG980" s="11"/>
      <c r="JT980" s="11"/>
      <c r="LG980" s="11"/>
      <c r="MT980" s="11"/>
      <c r="OG980" s="11"/>
      <c r="PT980" s="11"/>
    </row>
    <row r="981" spans="3:436" ht="15.75" x14ac:dyDescent="0.25">
      <c r="C981" s="20" t="s">
        <v>722</v>
      </c>
      <c r="D981" s="21" t="s">
        <v>82</v>
      </c>
      <c r="H981" s="11"/>
      <c r="AU981" s="11"/>
      <c r="CH981" s="11"/>
      <c r="CI981" s="16"/>
      <c r="CJ981" s="16"/>
      <c r="CK981" s="16"/>
      <c r="CL981" s="16"/>
      <c r="CM981" s="16"/>
      <c r="CN981" s="16"/>
      <c r="CO981" s="16"/>
      <c r="CP981" s="16"/>
      <c r="CQ981" s="16"/>
      <c r="CR981" s="16"/>
      <c r="CS981" s="16"/>
      <c r="CT981" s="16"/>
      <c r="CU981" s="16"/>
      <c r="CV981" s="16"/>
      <c r="CW981" s="16"/>
      <c r="CX981" s="16"/>
      <c r="CY981" s="16"/>
      <c r="CZ981" s="16"/>
      <c r="DA981" s="16"/>
      <c r="DB981" s="16"/>
      <c r="DC981" s="16"/>
      <c r="DD981" s="16"/>
      <c r="DE981" s="17"/>
      <c r="DF981" s="17"/>
      <c r="DG981" s="16"/>
      <c r="DH981" s="16"/>
      <c r="DI981" s="17"/>
      <c r="DJ981" s="17"/>
      <c r="DK981" s="16"/>
      <c r="DL981" s="16"/>
      <c r="DM981" s="17"/>
      <c r="DN981" s="17"/>
      <c r="DO981" s="16"/>
      <c r="DP981" s="16"/>
      <c r="DQ981" s="17"/>
      <c r="DR981" s="17"/>
      <c r="DS981" s="16"/>
      <c r="DT981" s="16"/>
      <c r="DU981" s="17"/>
      <c r="DV981" s="17"/>
      <c r="DW981" s="16"/>
      <c r="DX981" s="16"/>
      <c r="DY981" s="17"/>
      <c r="DZ981" s="17"/>
      <c r="EA981" s="16"/>
      <c r="EB981" s="16"/>
      <c r="EC981" s="17"/>
      <c r="ED981" s="17"/>
      <c r="EE981" s="16"/>
      <c r="EF981" s="16"/>
      <c r="EG981" s="17"/>
      <c r="EH981" s="17"/>
      <c r="EI981" s="16"/>
      <c r="EJ981" s="16"/>
      <c r="EK981" s="17"/>
      <c r="EL981" s="17"/>
      <c r="EM981" s="16"/>
      <c r="EN981" s="16"/>
      <c r="EO981" s="17"/>
      <c r="EP981" s="17"/>
      <c r="EQ981" s="16"/>
      <c r="ER981" s="16"/>
      <c r="ES981" s="18">
        <v>1</v>
      </c>
      <c r="ET981" s="18">
        <v>2</v>
      </c>
      <c r="EU981" s="16"/>
      <c r="EV981" s="16"/>
      <c r="EW981" s="17"/>
      <c r="EX981" s="17"/>
      <c r="EY981" s="16"/>
      <c r="EZ981" s="16"/>
      <c r="FA981" s="17"/>
      <c r="FB981" s="17"/>
      <c r="FC981" s="16"/>
      <c r="FD981" s="16"/>
      <c r="FE981" s="17"/>
      <c r="FF981" s="17"/>
      <c r="FG981" s="11"/>
      <c r="GT981" s="11"/>
      <c r="IG981" s="11"/>
      <c r="JT981" s="11"/>
      <c r="LG981" s="11"/>
      <c r="MT981" s="11"/>
      <c r="OG981" s="11"/>
      <c r="PT981" s="11"/>
    </row>
    <row r="982" spans="3:436" ht="15.75" x14ac:dyDescent="0.25">
      <c r="C982" s="20" t="s">
        <v>723</v>
      </c>
      <c r="D982" s="21" t="s">
        <v>82</v>
      </c>
      <c r="H982" s="11"/>
      <c r="AU982" s="11"/>
      <c r="CH982" s="11"/>
      <c r="CI982" s="16"/>
      <c r="CJ982" s="16"/>
      <c r="CK982" s="16"/>
      <c r="CL982" s="16"/>
      <c r="CM982" s="16"/>
      <c r="CN982" s="16"/>
      <c r="CO982" s="16"/>
      <c r="CP982" s="16"/>
      <c r="CQ982" s="16"/>
      <c r="CR982" s="16"/>
      <c r="CS982" s="16"/>
      <c r="CT982" s="16"/>
      <c r="CU982" s="16"/>
      <c r="CV982" s="16"/>
      <c r="CW982" s="16"/>
      <c r="CX982" s="16"/>
      <c r="CY982" s="16"/>
      <c r="CZ982" s="16"/>
      <c r="DA982" s="16"/>
      <c r="DB982" s="16"/>
      <c r="DC982" s="16"/>
      <c r="DD982" s="16"/>
      <c r="DE982" s="17"/>
      <c r="DF982" s="17"/>
      <c r="DG982" s="16"/>
      <c r="DH982" s="16"/>
      <c r="DI982" s="17"/>
      <c r="DJ982" s="17"/>
      <c r="DK982" s="16"/>
      <c r="DL982" s="16"/>
      <c r="DM982" s="17"/>
      <c r="DN982" s="17"/>
      <c r="DO982" s="16"/>
      <c r="DP982" s="16"/>
      <c r="DQ982" s="17"/>
      <c r="DR982" s="17"/>
      <c r="DS982" s="16"/>
      <c r="DT982" s="16"/>
      <c r="DU982" s="17"/>
      <c r="DV982" s="17"/>
      <c r="DW982" s="16"/>
      <c r="DX982" s="16"/>
      <c r="DY982" s="17"/>
      <c r="DZ982" s="17"/>
      <c r="EA982" s="16"/>
      <c r="EB982" s="16"/>
      <c r="EC982" s="17"/>
      <c r="ED982" s="17"/>
      <c r="EE982" s="16"/>
      <c r="EF982" s="16"/>
      <c r="EG982" s="17"/>
      <c r="EH982" s="17"/>
      <c r="EI982" s="16"/>
      <c r="EJ982" s="16"/>
      <c r="EK982" s="17"/>
      <c r="EL982" s="17"/>
      <c r="EM982" s="16"/>
      <c r="EN982" s="16"/>
      <c r="EO982" s="17"/>
      <c r="EP982" s="17"/>
      <c r="EQ982" s="16"/>
      <c r="ER982" s="16"/>
      <c r="ES982" s="18">
        <v>4</v>
      </c>
      <c r="ET982" s="18">
        <v>5</v>
      </c>
      <c r="EU982" s="16"/>
      <c r="EV982" s="16"/>
      <c r="EW982" s="17"/>
      <c r="EX982" s="17"/>
      <c r="EY982" s="16"/>
      <c r="EZ982" s="16"/>
      <c r="FA982" s="17"/>
      <c r="FB982" s="17"/>
      <c r="FC982" s="16"/>
      <c r="FD982" s="16"/>
      <c r="FE982" s="17"/>
      <c r="FF982" s="17"/>
      <c r="FG982" s="11"/>
      <c r="GT982" s="11"/>
      <c r="IG982" s="11"/>
      <c r="JT982" s="11"/>
      <c r="LG982" s="11"/>
      <c r="MT982" s="11"/>
      <c r="OG982" s="11"/>
      <c r="PT982" s="11"/>
    </row>
    <row r="983" spans="3:436" ht="15.75" x14ac:dyDescent="0.25">
      <c r="C983" s="20" t="s">
        <v>724</v>
      </c>
      <c r="D983" s="21" t="s">
        <v>82</v>
      </c>
      <c r="H983" s="11"/>
      <c r="AU983" s="11"/>
      <c r="CH983" s="11"/>
      <c r="CI983" s="16"/>
      <c r="CJ983" s="16"/>
      <c r="CK983" s="16"/>
      <c r="CL983" s="16"/>
      <c r="CM983" s="16"/>
      <c r="CN983" s="16"/>
      <c r="CO983" s="16"/>
      <c r="CP983" s="16"/>
      <c r="CQ983" s="16"/>
      <c r="CR983" s="16"/>
      <c r="CS983" s="16"/>
      <c r="CT983" s="16"/>
      <c r="CU983" s="16"/>
      <c r="CV983" s="16"/>
      <c r="CW983" s="16"/>
      <c r="CX983" s="16"/>
      <c r="CY983" s="16"/>
      <c r="CZ983" s="16"/>
      <c r="DA983" s="16"/>
      <c r="DB983" s="16"/>
      <c r="DC983" s="16"/>
      <c r="DD983" s="16"/>
      <c r="DE983" s="17"/>
      <c r="DF983" s="17"/>
      <c r="DG983" s="16"/>
      <c r="DH983" s="16"/>
      <c r="DI983" s="17"/>
      <c r="DJ983" s="17"/>
      <c r="DK983" s="16"/>
      <c r="DL983" s="16"/>
      <c r="DM983" s="17"/>
      <c r="DN983" s="17"/>
      <c r="DO983" s="16"/>
      <c r="DP983" s="16"/>
      <c r="DQ983" s="17"/>
      <c r="DR983" s="17"/>
      <c r="DS983" s="16"/>
      <c r="DT983" s="16"/>
      <c r="DU983" s="17"/>
      <c r="DV983" s="17"/>
      <c r="DW983" s="16"/>
      <c r="DX983" s="16"/>
      <c r="DY983" s="17"/>
      <c r="DZ983" s="17"/>
      <c r="EA983" s="16"/>
      <c r="EB983" s="16"/>
      <c r="EC983" s="17"/>
      <c r="ED983" s="17"/>
      <c r="EE983" s="16"/>
      <c r="EF983" s="16"/>
      <c r="EG983" s="17"/>
      <c r="EH983" s="17"/>
      <c r="EI983" s="16"/>
      <c r="EJ983" s="16"/>
      <c r="EK983" s="17"/>
      <c r="EL983" s="17"/>
      <c r="EM983" s="16"/>
      <c r="EN983" s="16"/>
      <c r="EO983" s="17"/>
      <c r="EP983" s="17"/>
      <c r="EQ983" s="16"/>
      <c r="ER983" s="16"/>
      <c r="ES983" s="18">
        <v>5</v>
      </c>
      <c r="ET983" s="18">
        <v>10</v>
      </c>
      <c r="EU983" s="16"/>
      <c r="EV983" s="16"/>
      <c r="EW983" s="17"/>
      <c r="EX983" s="17"/>
      <c r="EY983" s="16"/>
      <c r="EZ983" s="16"/>
      <c r="FA983" s="17"/>
      <c r="FB983" s="17"/>
      <c r="FC983" s="16"/>
      <c r="FD983" s="16"/>
      <c r="FE983" s="17"/>
      <c r="FF983" s="17"/>
      <c r="FG983" s="11"/>
      <c r="GT983" s="11"/>
      <c r="IG983" s="11"/>
      <c r="JT983" s="11"/>
      <c r="LG983" s="11"/>
      <c r="MT983" s="11"/>
      <c r="OG983" s="11"/>
      <c r="PT983" s="11"/>
    </row>
    <row r="984" spans="3:436" ht="15.75" x14ac:dyDescent="0.25">
      <c r="C984" s="20" t="s">
        <v>725</v>
      </c>
      <c r="D984" s="21" t="s">
        <v>82</v>
      </c>
      <c r="H984" s="11"/>
      <c r="AU984" s="11"/>
      <c r="CH984" s="11"/>
      <c r="CI984" s="16"/>
      <c r="CJ984" s="16"/>
      <c r="CK984" s="16"/>
      <c r="CL984" s="16"/>
      <c r="CM984" s="16"/>
      <c r="CN984" s="16"/>
      <c r="CO984" s="16"/>
      <c r="CP984" s="16"/>
      <c r="CQ984" s="16"/>
      <c r="CR984" s="16"/>
      <c r="CS984" s="16"/>
      <c r="CT984" s="16"/>
      <c r="CU984" s="16"/>
      <c r="CV984" s="16"/>
      <c r="CW984" s="16"/>
      <c r="CX984" s="16"/>
      <c r="CY984" s="16"/>
      <c r="CZ984" s="16"/>
      <c r="DA984" s="16"/>
      <c r="DB984" s="16"/>
      <c r="DC984" s="16"/>
      <c r="DD984" s="16"/>
      <c r="DE984" s="17"/>
      <c r="DF984" s="17"/>
      <c r="DG984" s="16"/>
      <c r="DH984" s="16"/>
      <c r="DI984" s="17"/>
      <c r="DJ984" s="17"/>
      <c r="DK984" s="16"/>
      <c r="DL984" s="16"/>
      <c r="DM984" s="17"/>
      <c r="DN984" s="17"/>
      <c r="DO984" s="16"/>
      <c r="DP984" s="16"/>
      <c r="DQ984" s="17"/>
      <c r="DR984" s="17"/>
      <c r="DS984" s="16"/>
      <c r="DT984" s="16"/>
      <c r="DU984" s="17"/>
      <c r="DV984" s="17"/>
      <c r="DW984" s="16"/>
      <c r="DX984" s="16"/>
      <c r="DY984" s="17"/>
      <c r="DZ984" s="17"/>
      <c r="EA984" s="16"/>
      <c r="EB984" s="16"/>
      <c r="EC984" s="17"/>
      <c r="ED984" s="17"/>
      <c r="EE984" s="16"/>
      <c r="EF984" s="16"/>
      <c r="EG984" s="17"/>
      <c r="EH984" s="17"/>
      <c r="EI984" s="16"/>
      <c r="EJ984" s="16"/>
      <c r="EK984" s="17"/>
      <c r="EL984" s="17"/>
      <c r="EM984" s="16"/>
      <c r="EN984" s="16"/>
      <c r="EO984" s="17"/>
      <c r="EP984" s="17"/>
      <c r="EQ984" s="16"/>
      <c r="ER984" s="16"/>
      <c r="ES984" s="18">
        <v>2</v>
      </c>
      <c r="ET984" s="18">
        <v>3</v>
      </c>
      <c r="EU984" s="16"/>
      <c r="EV984" s="16"/>
      <c r="EW984" s="17"/>
      <c r="EX984" s="17"/>
      <c r="EY984" s="16"/>
      <c r="EZ984" s="16"/>
      <c r="FA984" s="17"/>
      <c r="FB984" s="17"/>
      <c r="FC984" s="16"/>
      <c r="FD984" s="16"/>
      <c r="FE984" s="17"/>
      <c r="FF984" s="17"/>
      <c r="FG984" s="11"/>
      <c r="GT984" s="11"/>
      <c r="IG984" s="11"/>
      <c r="JT984" s="11"/>
      <c r="LG984" s="11"/>
      <c r="MT984" s="11"/>
      <c r="OG984" s="11"/>
      <c r="PT984" s="11"/>
    </row>
    <row r="985" spans="3:436" ht="15.75" x14ac:dyDescent="0.25">
      <c r="C985" s="20" t="s">
        <v>726</v>
      </c>
      <c r="D985" s="21" t="s">
        <v>82</v>
      </c>
      <c r="H985" s="11"/>
      <c r="AU985" s="11"/>
      <c r="CH985" s="11"/>
      <c r="CI985" s="16"/>
      <c r="CJ985" s="16"/>
      <c r="CK985" s="16"/>
      <c r="CL985" s="16"/>
      <c r="CM985" s="16"/>
      <c r="CN985" s="16"/>
      <c r="CO985" s="16"/>
      <c r="CP985" s="16"/>
      <c r="CQ985" s="16"/>
      <c r="CR985" s="16"/>
      <c r="CS985" s="16"/>
      <c r="CT985" s="16"/>
      <c r="CU985" s="16"/>
      <c r="CV985" s="16"/>
      <c r="CW985" s="16"/>
      <c r="CX985" s="16"/>
      <c r="CY985" s="16"/>
      <c r="CZ985" s="16"/>
      <c r="DA985" s="16"/>
      <c r="DB985" s="16"/>
      <c r="DC985" s="16"/>
      <c r="DD985" s="16"/>
      <c r="DE985" s="17"/>
      <c r="DF985" s="17"/>
      <c r="DG985" s="16"/>
      <c r="DH985" s="16"/>
      <c r="DI985" s="17"/>
      <c r="DJ985" s="17"/>
      <c r="DK985" s="16"/>
      <c r="DL985" s="16"/>
      <c r="DM985" s="17"/>
      <c r="DN985" s="17"/>
      <c r="DO985" s="16"/>
      <c r="DP985" s="16"/>
      <c r="DQ985" s="17"/>
      <c r="DR985" s="17"/>
      <c r="DS985" s="16"/>
      <c r="DT985" s="16"/>
      <c r="DU985" s="17"/>
      <c r="DV985" s="17"/>
      <c r="DW985" s="16"/>
      <c r="DX985" s="16"/>
      <c r="DY985" s="17"/>
      <c r="DZ985" s="17"/>
      <c r="EA985" s="16"/>
      <c r="EB985" s="16"/>
      <c r="EC985" s="17"/>
      <c r="ED985" s="17"/>
      <c r="EE985" s="16"/>
      <c r="EF985" s="16"/>
      <c r="EG985" s="17"/>
      <c r="EH985" s="17"/>
      <c r="EI985" s="16"/>
      <c r="EJ985" s="16"/>
      <c r="EK985" s="17"/>
      <c r="EL985" s="17"/>
      <c r="EM985" s="16"/>
      <c r="EN985" s="16"/>
      <c r="EO985" s="17"/>
      <c r="EP985" s="17"/>
      <c r="EQ985" s="16"/>
      <c r="ER985" s="16"/>
      <c r="ES985" s="18">
        <v>5</v>
      </c>
      <c r="ET985" s="18">
        <v>7</v>
      </c>
      <c r="EU985" s="16"/>
      <c r="EV985" s="16"/>
      <c r="EW985" s="17"/>
      <c r="EX985" s="17"/>
      <c r="EY985" s="16"/>
      <c r="EZ985" s="16"/>
      <c r="FA985" s="17"/>
      <c r="FB985" s="17"/>
      <c r="FC985" s="16"/>
      <c r="FD985" s="16"/>
      <c r="FE985" s="17"/>
      <c r="FF985" s="17"/>
      <c r="FG985" s="11"/>
      <c r="GT985" s="11"/>
      <c r="IG985" s="11"/>
      <c r="JT985" s="11"/>
      <c r="LG985" s="11"/>
      <c r="MT985" s="11"/>
      <c r="OG985" s="11"/>
      <c r="PT985" s="11"/>
    </row>
    <row r="986" spans="3:436" ht="15.75" x14ac:dyDescent="0.25">
      <c r="C986" s="20" t="s">
        <v>702</v>
      </c>
      <c r="D986" s="21" t="s">
        <v>82</v>
      </c>
      <c r="H986" s="11"/>
      <c r="AU986" s="11"/>
      <c r="CH986" s="11"/>
      <c r="CI986" s="16"/>
      <c r="CJ986" s="16"/>
      <c r="CK986" s="16"/>
      <c r="CL986" s="16"/>
      <c r="CM986" s="16"/>
      <c r="CN986" s="16"/>
      <c r="CO986" s="16"/>
      <c r="CP986" s="16"/>
      <c r="CQ986" s="16"/>
      <c r="CR986" s="16"/>
      <c r="CS986" s="16"/>
      <c r="CT986" s="16"/>
      <c r="CU986" s="16"/>
      <c r="CV986" s="16"/>
      <c r="CW986" s="16"/>
      <c r="CX986" s="16"/>
      <c r="CY986" s="16"/>
      <c r="CZ986" s="16"/>
      <c r="DA986" s="16"/>
      <c r="DB986" s="16"/>
      <c r="DC986" s="16"/>
      <c r="DD986" s="16"/>
      <c r="DE986" s="17"/>
      <c r="DF986" s="17"/>
      <c r="DG986" s="16"/>
      <c r="DH986" s="16"/>
      <c r="DI986" s="17"/>
      <c r="DJ986" s="17"/>
      <c r="DK986" s="16"/>
      <c r="DL986" s="16"/>
      <c r="DM986" s="17"/>
      <c r="DN986" s="17"/>
      <c r="DO986" s="16"/>
      <c r="DP986" s="16"/>
      <c r="DQ986" s="17"/>
      <c r="DR986" s="17"/>
      <c r="DS986" s="16"/>
      <c r="DT986" s="16"/>
      <c r="DU986" s="17"/>
      <c r="DV986" s="17"/>
      <c r="DW986" s="16"/>
      <c r="DX986" s="16"/>
      <c r="DY986" s="17"/>
      <c r="DZ986" s="17"/>
      <c r="EA986" s="16"/>
      <c r="EB986" s="16"/>
      <c r="EC986" s="17"/>
      <c r="ED986" s="17"/>
      <c r="EE986" s="16"/>
      <c r="EF986" s="16"/>
      <c r="EG986" s="17"/>
      <c r="EH986" s="17"/>
      <c r="EI986" s="16"/>
      <c r="EJ986" s="16"/>
      <c r="EK986" s="17"/>
      <c r="EL986" s="17"/>
      <c r="EM986" s="16"/>
      <c r="EN986" s="16"/>
      <c r="EO986" s="17"/>
      <c r="EP986" s="17"/>
      <c r="EQ986" s="16"/>
      <c r="ER986" s="16"/>
      <c r="ES986" s="17"/>
      <c r="ET986" s="17"/>
      <c r="EU986" s="16"/>
      <c r="EV986" s="16"/>
      <c r="EW986" s="17"/>
      <c r="EX986" s="17"/>
      <c r="EY986" s="16"/>
      <c r="EZ986" s="16"/>
      <c r="FA986" s="17"/>
      <c r="FB986" s="17"/>
      <c r="FC986" s="16"/>
      <c r="FD986" s="16"/>
      <c r="FE986" s="17"/>
      <c r="FF986" s="17"/>
      <c r="FG986" s="11"/>
      <c r="GT986" s="11"/>
      <c r="IG986" s="11"/>
      <c r="JT986" s="11"/>
      <c r="LG986" s="11"/>
      <c r="MT986" s="11"/>
      <c r="OG986" s="11"/>
      <c r="PT986" s="11"/>
    </row>
    <row r="987" spans="3:436" ht="15.75" x14ac:dyDescent="0.25">
      <c r="C987" s="20" t="s">
        <v>727</v>
      </c>
      <c r="D987" s="21" t="s">
        <v>203</v>
      </c>
      <c r="H987" s="11"/>
      <c r="AU987" s="11"/>
      <c r="CH987" s="11"/>
      <c r="CI987" s="16"/>
      <c r="CJ987" s="16"/>
      <c r="CK987" s="16"/>
      <c r="CL987" s="16"/>
      <c r="CM987" s="16"/>
      <c r="CN987" s="16"/>
      <c r="CO987" s="16"/>
      <c r="CP987" s="16"/>
      <c r="CQ987" s="16"/>
      <c r="CR987" s="16"/>
      <c r="CS987" s="16"/>
      <c r="CT987" s="16"/>
      <c r="CU987" s="16"/>
      <c r="CV987" s="16"/>
      <c r="CW987" s="16"/>
      <c r="CX987" s="16"/>
      <c r="CY987" s="16"/>
      <c r="CZ987" s="16"/>
      <c r="DA987" s="16"/>
      <c r="DB987" s="16"/>
      <c r="DC987" s="16"/>
      <c r="DD987" s="16"/>
      <c r="DE987" s="17"/>
      <c r="DF987" s="17"/>
      <c r="DG987" s="16"/>
      <c r="DH987" s="16"/>
      <c r="DI987" s="17"/>
      <c r="DJ987" s="17"/>
      <c r="DK987" s="16"/>
      <c r="DL987" s="16"/>
      <c r="DM987" s="17"/>
      <c r="DN987" s="17"/>
      <c r="DO987" s="16"/>
      <c r="DP987" s="16"/>
      <c r="DQ987" s="17"/>
      <c r="DR987" s="17"/>
      <c r="DS987" s="16"/>
      <c r="DT987" s="16"/>
      <c r="DU987" s="17"/>
      <c r="DV987" s="17"/>
      <c r="DW987" s="16"/>
      <c r="DX987" s="16"/>
      <c r="DY987" s="17"/>
      <c r="DZ987" s="17"/>
      <c r="EA987" s="16"/>
      <c r="EB987" s="16"/>
      <c r="EC987" s="17"/>
      <c r="ED987" s="17"/>
      <c r="EE987" s="16"/>
      <c r="EF987" s="16"/>
      <c r="EG987" s="18">
        <v>1</v>
      </c>
      <c r="EH987" s="18">
        <v>1</v>
      </c>
      <c r="EI987" s="16"/>
      <c r="EJ987" s="16"/>
      <c r="EK987" s="17"/>
      <c r="EL987" s="17"/>
      <c r="EM987" s="16"/>
      <c r="EN987" s="16"/>
      <c r="EO987" s="17"/>
      <c r="EP987" s="17"/>
      <c r="EQ987" s="16"/>
      <c r="ER987" s="16"/>
      <c r="ES987" s="17"/>
      <c r="ET987" s="17"/>
      <c r="EU987" s="16"/>
      <c r="EV987" s="16"/>
      <c r="EW987" s="17"/>
      <c r="EX987" s="17"/>
      <c r="EY987" s="16"/>
      <c r="EZ987" s="16"/>
      <c r="FA987" s="17"/>
      <c r="FB987" s="17"/>
      <c r="FC987" s="16"/>
      <c r="FD987" s="16"/>
      <c r="FE987" s="17"/>
      <c r="FF987" s="17"/>
      <c r="FG987" s="11"/>
      <c r="GT987" s="11"/>
      <c r="IG987" s="11"/>
      <c r="JT987" s="11"/>
      <c r="LG987" s="11"/>
      <c r="MT987" s="11"/>
      <c r="OG987" s="11"/>
      <c r="PT987" s="11"/>
    </row>
    <row r="988" spans="3:436" ht="25.5" x14ac:dyDescent="0.25">
      <c r="C988" s="20" t="s">
        <v>728</v>
      </c>
      <c r="D988" s="21" t="s">
        <v>203</v>
      </c>
      <c r="H988" s="11"/>
      <c r="AU988" s="11"/>
      <c r="CH988" s="11"/>
      <c r="CI988" s="16"/>
      <c r="CJ988" s="16"/>
      <c r="CK988" s="16"/>
      <c r="CL988" s="16"/>
      <c r="CM988" s="16"/>
      <c r="CN988" s="16"/>
      <c r="CO988" s="16"/>
      <c r="CP988" s="16"/>
      <c r="CQ988" s="16"/>
      <c r="CR988" s="16"/>
      <c r="CS988" s="16"/>
      <c r="CT988" s="16"/>
      <c r="CU988" s="16"/>
      <c r="CV988" s="16"/>
      <c r="CW988" s="16"/>
      <c r="CX988" s="16"/>
      <c r="CY988" s="16"/>
      <c r="CZ988" s="16"/>
      <c r="DA988" s="16"/>
      <c r="DB988" s="16"/>
      <c r="DC988" s="16"/>
      <c r="DD988" s="16"/>
      <c r="DE988" s="17"/>
      <c r="DF988" s="17"/>
      <c r="DG988" s="16"/>
      <c r="DH988" s="16"/>
      <c r="DI988" s="17"/>
      <c r="DJ988" s="17"/>
      <c r="DK988" s="16"/>
      <c r="DL988" s="16"/>
      <c r="DM988" s="17"/>
      <c r="DN988" s="17"/>
      <c r="DO988" s="16"/>
      <c r="DP988" s="16"/>
      <c r="DQ988" s="17"/>
      <c r="DR988" s="17"/>
      <c r="DS988" s="16"/>
      <c r="DT988" s="16"/>
      <c r="DU988" s="17"/>
      <c r="DV988" s="17"/>
      <c r="DW988" s="16"/>
      <c r="DX988" s="16"/>
      <c r="DY988" s="17"/>
      <c r="DZ988" s="17"/>
      <c r="EA988" s="16"/>
      <c r="EB988" s="16"/>
      <c r="EC988" s="17"/>
      <c r="ED988" s="17"/>
      <c r="EE988" s="16"/>
      <c r="EF988" s="16"/>
      <c r="EG988" s="18">
        <v>1</v>
      </c>
      <c r="EH988" s="18">
        <v>5</v>
      </c>
      <c r="EI988" s="16"/>
      <c r="EJ988" s="16"/>
      <c r="EK988" s="17"/>
      <c r="EL988" s="17"/>
      <c r="EM988" s="16"/>
      <c r="EN988" s="16"/>
      <c r="EO988" s="17"/>
      <c r="EP988" s="17"/>
      <c r="EQ988" s="16"/>
      <c r="ER988" s="16"/>
      <c r="ES988" s="17"/>
      <c r="ET988" s="17"/>
      <c r="EU988" s="16"/>
      <c r="EV988" s="16"/>
      <c r="EW988" s="17"/>
      <c r="EX988" s="17"/>
      <c r="EY988" s="16"/>
      <c r="EZ988" s="16"/>
      <c r="FA988" s="17"/>
      <c r="FB988" s="17"/>
      <c r="FC988" s="16"/>
      <c r="FD988" s="16"/>
      <c r="FE988" s="17"/>
      <c r="FF988" s="17"/>
      <c r="FG988" s="11"/>
      <c r="GT988" s="11"/>
      <c r="IG988" s="11"/>
      <c r="JT988" s="11"/>
      <c r="LG988" s="11"/>
      <c r="MT988" s="11"/>
      <c r="OG988" s="11"/>
      <c r="PT988" s="11"/>
    </row>
    <row r="989" spans="3:436" ht="15.75" x14ac:dyDescent="0.25">
      <c r="C989" s="20" t="s">
        <v>703</v>
      </c>
      <c r="D989" s="21" t="s">
        <v>104</v>
      </c>
      <c r="H989" s="11"/>
      <c r="AU989" s="11"/>
      <c r="CH989" s="11"/>
      <c r="CI989" s="16"/>
      <c r="CJ989" s="16"/>
      <c r="CK989" s="16"/>
      <c r="CL989" s="16"/>
      <c r="CM989" s="16"/>
      <c r="CN989" s="16"/>
      <c r="CO989" s="16"/>
      <c r="CP989" s="16"/>
      <c r="CQ989" s="16"/>
      <c r="CR989" s="16"/>
      <c r="CS989" s="16"/>
      <c r="CT989" s="16"/>
      <c r="CU989" s="16"/>
      <c r="CV989" s="16"/>
      <c r="CW989" s="16"/>
      <c r="CX989" s="16"/>
      <c r="CY989" s="16"/>
      <c r="CZ989" s="16"/>
      <c r="DA989" s="16"/>
      <c r="DB989" s="16"/>
      <c r="DC989" s="16"/>
      <c r="DD989" s="16"/>
      <c r="DE989" s="17"/>
      <c r="DF989" s="17"/>
      <c r="DG989" s="16"/>
      <c r="DH989" s="16"/>
      <c r="DI989" s="17"/>
      <c r="DJ989" s="17"/>
      <c r="DK989" s="16"/>
      <c r="DL989" s="16"/>
      <c r="DM989" s="17"/>
      <c r="DN989" s="17"/>
      <c r="DO989" s="16"/>
      <c r="DP989" s="16"/>
      <c r="DQ989" s="17"/>
      <c r="DR989" s="17"/>
      <c r="DS989" s="16"/>
      <c r="DT989" s="16"/>
      <c r="DU989" s="17"/>
      <c r="DV989" s="17"/>
      <c r="DW989" s="16"/>
      <c r="DX989" s="16"/>
      <c r="DY989" s="17"/>
      <c r="DZ989" s="17"/>
      <c r="EA989" s="16"/>
      <c r="EB989" s="16"/>
      <c r="EC989" s="17"/>
      <c r="ED989" s="17"/>
      <c r="EE989" s="16"/>
      <c r="EF989" s="16"/>
      <c r="EG989" s="17"/>
      <c r="EH989" s="17"/>
      <c r="EI989" s="16"/>
      <c r="EJ989" s="16"/>
      <c r="EK989" s="17"/>
      <c r="EL989" s="17"/>
      <c r="EM989" s="16"/>
      <c r="EN989" s="16"/>
      <c r="EO989" s="17"/>
      <c r="EP989" s="17"/>
      <c r="EQ989" s="16"/>
      <c r="ER989" s="16"/>
      <c r="ES989" s="17"/>
      <c r="ET989" s="17"/>
      <c r="EU989" s="16"/>
      <c r="EV989" s="16"/>
      <c r="EW989" s="17"/>
      <c r="EX989" s="17"/>
      <c r="EY989" s="16"/>
      <c r="EZ989" s="16"/>
      <c r="FA989" s="17"/>
      <c r="FB989" s="17"/>
      <c r="FC989" s="16"/>
      <c r="FD989" s="16"/>
      <c r="FE989" s="17"/>
      <c r="FF989" s="17"/>
      <c r="FG989" s="11"/>
      <c r="GT989" s="11"/>
      <c r="IG989" s="11"/>
      <c r="JT989" s="11"/>
      <c r="LG989" s="11"/>
      <c r="MT989" s="11"/>
      <c r="OG989" s="11"/>
      <c r="PT989" s="11"/>
    </row>
    <row r="990" spans="3:436" ht="15.75" x14ac:dyDescent="0.25">
      <c r="C990" s="20" t="s">
        <v>706</v>
      </c>
      <c r="D990" s="21" t="s">
        <v>142</v>
      </c>
      <c r="H990" s="11"/>
      <c r="AU990" s="11"/>
      <c r="CH990" s="11"/>
      <c r="CI990" s="16"/>
      <c r="CJ990" s="16"/>
      <c r="CK990" s="16"/>
      <c r="CL990" s="16"/>
      <c r="CM990" s="16"/>
      <c r="CN990" s="16"/>
      <c r="CO990" s="16"/>
      <c r="CP990" s="16"/>
      <c r="CQ990" s="16"/>
      <c r="CR990" s="16"/>
      <c r="CS990" s="16"/>
      <c r="CT990" s="16"/>
      <c r="CU990" s="16"/>
      <c r="CV990" s="16"/>
      <c r="CW990" s="16"/>
      <c r="CX990" s="16"/>
      <c r="CY990" s="16"/>
      <c r="CZ990" s="16"/>
      <c r="DA990" s="16"/>
      <c r="DB990" s="16"/>
      <c r="DC990" s="16"/>
      <c r="DD990" s="16"/>
      <c r="DE990" s="17"/>
      <c r="DF990" s="17"/>
      <c r="DG990" s="16"/>
      <c r="DH990" s="16"/>
      <c r="DI990" s="17"/>
      <c r="DJ990" s="17"/>
      <c r="DK990" s="16"/>
      <c r="DL990" s="16"/>
      <c r="DM990" s="17"/>
      <c r="DN990" s="17"/>
      <c r="DO990" s="16"/>
      <c r="DP990" s="16"/>
      <c r="DQ990" s="17"/>
      <c r="DR990" s="17"/>
      <c r="DS990" s="16"/>
      <c r="DT990" s="16"/>
      <c r="DU990" s="17"/>
      <c r="DV990" s="17"/>
      <c r="DW990" s="16"/>
      <c r="DX990" s="16"/>
      <c r="DY990" s="17"/>
      <c r="DZ990" s="17"/>
      <c r="EA990" s="16"/>
      <c r="EB990" s="16"/>
      <c r="EC990" s="17"/>
      <c r="ED990" s="17"/>
      <c r="EE990" s="16"/>
      <c r="EF990" s="16"/>
      <c r="EG990" s="17"/>
      <c r="EH990" s="17"/>
      <c r="EI990" s="16"/>
      <c r="EJ990" s="16"/>
      <c r="EK990" s="17"/>
      <c r="EL990" s="17"/>
      <c r="EM990" s="16"/>
      <c r="EN990" s="16"/>
      <c r="EO990" s="17"/>
      <c r="EP990" s="17"/>
      <c r="EQ990" s="16"/>
      <c r="ER990" s="16"/>
      <c r="ES990" s="17"/>
      <c r="ET990" s="17"/>
      <c r="EU990" s="16"/>
      <c r="EV990" s="16"/>
      <c r="EW990" s="17"/>
      <c r="EX990" s="17"/>
      <c r="EY990" s="16"/>
      <c r="EZ990" s="16"/>
      <c r="FA990" s="17"/>
      <c r="FB990" s="17"/>
      <c r="FC990" s="16"/>
      <c r="FD990" s="16"/>
      <c r="FE990" s="17"/>
      <c r="FF990" s="17"/>
      <c r="FG990" s="11"/>
      <c r="GT990" s="11"/>
      <c r="IG990" s="11"/>
      <c r="JT990" s="11"/>
      <c r="LG990" s="11"/>
      <c r="MT990" s="11"/>
      <c r="OG990" s="11"/>
      <c r="PT990" s="11"/>
    </row>
    <row r="991" spans="3:436" ht="15.75" x14ac:dyDescent="0.25">
      <c r="C991" s="20" t="s">
        <v>707</v>
      </c>
      <c r="D991" s="21" t="s">
        <v>90</v>
      </c>
      <c r="H991" s="11"/>
      <c r="AU991" s="11"/>
      <c r="CH991" s="11"/>
      <c r="CI991" s="16"/>
      <c r="CJ991" s="16"/>
      <c r="CK991" s="16"/>
      <c r="CL991" s="16"/>
      <c r="CM991" s="16"/>
      <c r="CN991" s="16"/>
      <c r="CO991" s="16"/>
      <c r="CP991" s="16"/>
      <c r="CQ991" s="16"/>
      <c r="CR991" s="16"/>
      <c r="CS991" s="16"/>
      <c r="CT991" s="16"/>
      <c r="CU991" s="16"/>
      <c r="CV991" s="16"/>
      <c r="CW991" s="16"/>
      <c r="CX991" s="16"/>
      <c r="CY991" s="16"/>
      <c r="CZ991" s="16"/>
      <c r="DA991" s="16"/>
      <c r="DB991" s="16"/>
      <c r="DC991" s="16"/>
      <c r="DD991" s="16"/>
      <c r="DE991" s="17"/>
      <c r="DF991" s="17"/>
      <c r="DG991" s="16"/>
      <c r="DH991" s="16"/>
      <c r="DI991" s="17"/>
      <c r="DJ991" s="17"/>
      <c r="DK991" s="16"/>
      <c r="DL991" s="16"/>
      <c r="DM991" s="17"/>
      <c r="DN991" s="17"/>
      <c r="DO991" s="16"/>
      <c r="DP991" s="16"/>
      <c r="DQ991" s="17"/>
      <c r="DR991" s="17"/>
      <c r="DS991" s="16"/>
      <c r="DT991" s="16"/>
      <c r="DU991" s="17"/>
      <c r="DV991" s="17"/>
      <c r="DW991" s="16"/>
      <c r="DX991" s="16"/>
      <c r="DY991" s="17"/>
      <c r="DZ991" s="17"/>
      <c r="EA991" s="16"/>
      <c r="EB991" s="16"/>
      <c r="EC991" s="17"/>
      <c r="ED991" s="17"/>
      <c r="EE991" s="16"/>
      <c r="EF991" s="16"/>
      <c r="EG991" s="17"/>
      <c r="EH991" s="17"/>
      <c r="EI991" s="16"/>
      <c r="EJ991" s="16"/>
      <c r="EK991" s="17"/>
      <c r="EL991" s="17"/>
      <c r="EM991" s="16"/>
      <c r="EN991" s="16"/>
      <c r="EO991" s="17"/>
      <c r="EP991" s="17"/>
      <c r="EQ991" s="16"/>
      <c r="ER991" s="16"/>
      <c r="ES991" s="17"/>
      <c r="ET991" s="17"/>
      <c r="EU991" s="16"/>
      <c r="EV991" s="16"/>
      <c r="EW991" s="17"/>
      <c r="EX991" s="17"/>
      <c r="EY991" s="16"/>
      <c r="EZ991" s="16"/>
      <c r="FA991" s="17"/>
      <c r="FB991" s="17"/>
      <c r="FC991" s="16"/>
      <c r="FD991" s="16"/>
      <c r="FE991" s="17"/>
      <c r="FF991" s="17"/>
      <c r="FG991" s="11"/>
      <c r="GT991" s="11"/>
      <c r="IG991" s="11"/>
      <c r="JT991" s="11"/>
      <c r="LG991" s="11"/>
      <c r="MT991" s="11"/>
      <c r="OG991" s="11"/>
      <c r="PT991" s="11"/>
    </row>
    <row r="992" spans="3:436" ht="15.75" x14ac:dyDescent="0.25">
      <c r="C992" s="20" t="s">
        <v>709</v>
      </c>
      <c r="D992" s="21" t="s">
        <v>129</v>
      </c>
      <c r="H992" s="11"/>
      <c r="AU992" s="11"/>
      <c r="CH992" s="11"/>
      <c r="CI992" s="16"/>
      <c r="CJ992" s="16"/>
      <c r="CK992" s="16"/>
      <c r="CL992" s="16"/>
      <c r="CM992" s="16"/>
      <c r="CN992" s="16"/>
      <c r="CO992" s="16"/>
      <c r="CP992" s="16"/>
      <c r="CQ992" s="16"/>
      <c r="CR992" s="16"/>
      <c r="CS992" s="16"/>
      <c r="CT992" s="16"/>
      <c r="CU992" s="16"/>
      <c r="CV992" s="16"/>
      <c r="CW992" s="16"/>
      <c r="CX992" s="16"/>
      <c r="CY992" s="16"/>
      <c r="CZ992" s="16"/>
      <c r="DA992" s="16"/>
      <c r="DB992" s="16"/>
      <c r="DC992" s="16"/>
      <c r="DD992" s="16"/>
      <c r="DE992" s="17"/>
      <c r="DF992" s="17"/>
      <c r="DG992" s="16"/>
      <c r="DH992" s="16"/>
      <c r="DI992" s="17"/>
      <c r="DJ992" s="17"/>
      <c r="DK992" s="16"/>
      <c r="DL992" s="16"/>
      <c r="DM992" s="17"/>
      <c r="DN992" s="17"/>
      <c r="DO992" s="16"/>
      <c r="DP992" s="16"/>
      <c r="DQ992" s="17"/>
      <c r="DR992" s="17"/>
      <c r="DS992" s="16"/>
      <c r="DT992" s="16"/>
      <c r="DU992" s="17"/>
      <c r="DV992" s="17"/>
      <c r="DW992" s="16"/>
      <c r="DX992" s="16"/>
      <c r="DY992" s="17"/>
      <c r="DZ992" s="17"/>
      <c r="EA992" s="16"/>
      <c r="EB992" s="16"/>
      <c r="EC992" s="17"/>
      <c r="ED992" s="17"/>
      <c r="EE992" s="16"/>
      <c r="EF992" s="16"/>
      <c r="EG992" s="17"/>
      <c r="EH992" s="17"/>
      <c r="EI992" s="16"/>
      <c r="EJ992" s="16"/>
      <c r="EK992" s="17"/>
      <c r="EL992" s="17"/>
      <c r="EM992" s="16"/>
      <c r="EN992" s="16"/>
      <c r="EO992" s="17"/>
      <c r="EP992" s="17"/>
      <c r="EQ992" s="16"/>
      <c r="ER992" s="16"/>
      <c r="ES992" s="17"/>
      <c r="ET992" s="17"/>
      <c r="EU992" s="16"/>
      <c r="EV992" s="16"/>
      <c r="EW992" s="17"/>
      <c r="EX992" s="17"/>
      <c r="EY992" s="16"/>
      <c r="EZ992" s="16"/>
      <c r="FA992" s="17"/>
      <c r="FB992" s="17"/>
      <c r="FC992" s="16"/>
      <c r="FD992" s="16"/>
      <c r="FE992" s="17"/>
      <c r="FF992" s="17"/>
      <c r="FG992" s="11"/>
      <c r="GT992" s="11"/>
      <c r="IG992" s="11"/>
      <c r="JT992" s="11"/>
      <c r="LG992" s="11"/>
      <c r="MT992" s="11"/>
      <c r="OG992" s="11"/>
      <c r="PT992" s="11"/>
    </row>
    <row r="993" spans="1:436" ht="15.75" x14ac:dyDescent="0.25">
      <c r="C993" s="20" t="s">
        <v>710</v>
      </c>
      <c r="D993" s="21" t="s">
        <v>134</v>
      </c>
      <c r="H993" s="11"/>
      <c r="AU993" s="11"/>
      <c r="CH993" s="11"/>
      <c r="CI993" s="16"/>
      <c r="CJ993" s="16"/>
      <c r="CK993" s="16"/>
      <c r="CL993" s="16"/>
      <c r="CM993" s="16"/>
      <c r="CN993" s="16"/>
      <c r="CO993" s="16"/>
      <c r="CP993" s="16"/>
      <c r="CQ993" s="16"/>
      <c r="CR993" s="16"/>
      <c r="CS993" s="16"/>
      <c r="CT993" s="16"/>
      <c r="CU993" s="16"/>
      <c r="CV993" s="16"/>
      <c r="CW993" s="16"/>
      <c r="CX993" s="16"/>
      <c r="CY993" s="16"/>
      <c r="CZ993" s="16"/>
      <c r="DA993" s="16"/>
      <c r="DB993" s="16"/>
      <c r="DC993" s="16"/>
      <c r="DD993" s="16"/>
      <c r="DE993" s="17"/>
      <c r="DF993" s="17"/>
      <c r="DG993" s="16"/>
      <c r="DH993" s="16"/>
      <c r="DI993" s="17"/>
      <c r="DJ993" s="17"/>
      <c r="DK993" s="16"/>
      <c r="DL993" s="16"/>
      <c r="DM993" s="17"/>
      <c r="DN993" s="17"/>
      <c r="DO993" s="16"/>
      <c r="DP993" s="16"/>
      <c r="DQ993" s="17"/>
      <c r="DR993" s="17"/>
      <c r="DS993" s="16"/>
      <c r="DT993" s="16"/>
      <c r="DU993" s="17"/>
      <c r="DV993" s="17"/>
      <c r="DW993" s="16"/>
      <c r="DX993" s="16"/>
      <c r="DY993" s="17"/>
      <c r="DZ993" s="17"/>
      <c r="EA993" s="16"/>
      <c r="EB993" s="16"/>
      <c r="EC993" s="17"/>
      <c r="ED993" s="17"/>
      <c r="EE993" s="16"/>
      <c r="EF993" s="16"/>
      <c r="EG993" s="17"/>
      <c r="EH993" s="17"/>
      <c r="EI993" s="16"/>
      <c r="EJ993" s="16"/>
      <c r="EK993" s="17"/>
      <c r="EL993" s="17"/>
      <c r="EM993" s="16"/>
      <c r="EN993" s="16"/>
      <c r="EO993" s="17"/>
      <c r="EP993" s="17"/>
      <c r="EQ993" s="16"/>
      <c r="ER993" s="16"/>
      <c r="ES993" s="17"/>
      <c r="ET993" s="17"/>
      <c r="EU993" s="16"/>
      <c r="EV993" s="16"/>
      <c r="EW993" s="17"/>
      <c r="EX993" s="17"/>
      <c r="EY993" s="16"/>
      <c r="EZ993" s="16"/>
      <c r="FA993" s="17"/>
      <c r="FB993" s="17"/>
      <c r="FC993" s="16"/>
      <c r="FD993" s="16"/>
      <c r="FE993" s="17"/>
      <c r="FF993" s="17"/>
      <c r="FG993" s="11"/>
      <c r="GT993" s="11"/>
      <c r="IG993" s="11"/>
      <c r="JT993" s="11"/>
      <c r="LG993" s="11"/>
      <c r="MT993" s="11"/>
      <c r="OG993" s="11"/>
      <c r="PT993" s="11"/>
    </row>
    <row r="994" spans="1:436" ht="15.75" x14ac:dyDescent="0.25">
      <c r="C994" s="20" t="s">
        <v>711</v>
      </c>
      <c r="D994" s="21" t="s">
        <v>136</v>
      </c>
      <c r="H994" s="11"/>
      <c r="AU994" s="11"/>
      <c r="CH994" s="11"/>
      <c r="CI994" s="16"/>
      <c r="CJ994" s="16"/>
      <c r="CK994" s="16"/>
      <c r="CL994" s="16"/>
      <c r="CM994" s="16"/>
      <c r="CN994" s="16"/>
      <c r="CO994" s="16"/>
      <c r="CP994" s="16"/>
      <c r="CQ994" s="16"/>
      <c r="CR994" s="16"/>
      <c r="CS994" s="16"/>
      <c r="CT994" s="16"/>
      <c r="CU994" s="16"/>
      <c r="CV994" s="16"/>
      <c r="CW994" s="16"/>
      <c r="CX994" s="16"/>
      <c r="CY994" s="16"/>
      <c r="CZ994" s="16"/>
      <c r="DA994" s="16"/>
      <c r="DB994" s="16"/>
      <c r="DC994" s="16"/>
      <c r="DD994" s="16"/>
      <c r="DE994" s="17"/>
      <c r="DF994" s="17"/>
      <c r="DG994" s="16"/>
      <c r="DH994" s="16"/>
      <c r="DI994" s="17"/>
      <c r="DJ994" s="17"/>
      <c r="DK994" s="16"/>
      <c r="DL994" s="16"/>
      <c r="DM994" s="17"/>
      <c r="DN994" s="17"/>
      <c r="DO994" s="16"/>
      <c r="DP994" s="16"/>
      <c r="DQ994" s="17"/>
      <c r="DR994" s="17"/>
      <c r="DS994" s="16"/>
      <c r="DT994" s="16"/>
      <c r="DU994" s="17"/>
      <c r="DV994" s="17"/>
      <c r="DW994" s="16"/>
      <c r="DX994" s="16"/>
      <c r="DY994" s="17"/>
      <c r="DZ994" s="17"/>
      <c r="EA994" s="16"/>
      <c r="EB994" s="16"/>
      <c r="EC994" s="17"/>
      <c r="ED994" s="17"/>
      <c r="EE994" s="16"/>
      <c r="EF994" s="16"/>
      <c r="EG994" s="17"/>
      <c r="EH994" s="17"/>
      <c r="EI994" s="16"/>
      <c r="EJ994" s="16"/>
      <c r="EK994" s="17"/>
      <c r="EL994" s="17"/>
      <c r="EM994" s="16"/>
      <c r="EN994" s="16"/>
      <c r="EO994" s="17"/>
      <c r="EP994" s="17"/>
      <c r="EQ994" s="16"/>
      <c r="ER994" s="16"/>
      <c r="ES994" s="17"/>
      <c r="ET994" s="17"/>
      <c r="EU994" s="16"/>
      <c r="EV994" s="16"/>
      <c r="EW994" s="17"/>
      <c r="EX994" s="17"/>
      <c r="EY994" s="16"/>
      <c r="EZ994" s="16"/>
      <c r="FA994" s="17"/>
      <c r="FB994" s="17"/>
      <c r="FC994" s="16"/>
      <c r="FD994" s="16"/>
      <c r="FE994" s="17"/>
      <c r="FF994" s="17"/>
      <c r="FG994" s="11"/>
      <c r="GT994" s="11"/>
      <c r="IG994" s="11"/>
      <c r="JT994" s="11"/>
      <c r="LG994" s="11"/>
      <c r="MT994" s="11"/>
      <c r="OG994" s="11"/>
      <c r="PT994" s="11"/>
    </row>
    <row r="995" spans="1:436" ht="15.75" x14ac:dyDescent="0.25">
      <c r="C995" s="20" t="s">
        <v>712</v>
      </c>
      <c r="D995" s="21" t="s">
        <v>136</v>
      </c>
      <c r="H995" s="11"/>
      <c r="AU995" s="11"/>
      <c r="CH995" s="11"/>
      <c r="CI995" s="16"/>
      <c r="CJ995" s="16"/>
      <c r="CK995" s="16"/>
      <c r="CL995" s="16"/>
      <c r="CM995" s="16"/>
      <c r="CN995" s="16"/>
      <c r="CO995" s="16"/>
      <c r="CP995" s="16"/>
      <c r="CQ995" s="16"/>
      <c r="CR995" s="16"/>
      <c r="CS995" s="16"/>
      <c r="CT995" s="16"/>
      <c r="CU995" s="16"/>
      <c r="CV995" s="16"/>
      <c r="CW995" s="16"/>
      <c r="CX995" s="16"/>
      <c r="CY995" s="16"/>
      <c r="CZ995" s="16"/>
      <c r="DA995" s="16"/>
      <c r="DB995" s="16"/>
      <c r="DC995" s="16"/>
      <c r="DD995" s="16"/>
      <c r="DE995" s="17"/>
      <c r="DF995" s="17"/>
      <c r="DG995" s="16"/>
      <c r="DH995" s="16"/>
      <c r="DI995" s="17"/>
      <c r="DJ995" s="17"/>
      <c r="DK995" s="16"/>
      <c r="DL995" s="16"/>
      <c r="DM995" s="17"/>
      <c r="DN995" s="17"/>
      <c r="DO995" s="16"/>
      <c r="DP995" s="16"/>
      <c r="DQ995" s="17"/>
      <c r="DR995" s="17"/>
      <c r="DS995" s="16"/>
      <c r="DT995" s="16"/>
      <c r="DU995" s="17"/>
      <c r="DV995" s="17"/>
      <c r="DW995" s="16"/>
      <c r="DX995" s="16"/>
      <c r="DY995" s="17"/>
      <c r="DZ995" s="17"/>
      <c r="EA995" s="16"/>
      <c r="EB995" s="16"/>
      <c r="EC995" s="17"/>
      <c r="ED995" s="17"/>
      <c r="EE995" s="16"/>
      <c r="EF995" s="16"/>
      <c r="EG995" s="17"/>
      <c r="EH995" s="17"/>
      <c r="EI995" s="16"/>
      <c r="EJ995" s="16"/>
      <c r="EK995" s="17"/>
      <c r="EL995" s="17"/>
      <c r="EM995" s="16"/>
      <c r="EN995" s="16"/>
      <c r="EO995" s="17"/>
      <c r="EP995" s="17"/>
      <c r="EQ995" s="16"/>
      <c r="ER995" s="16"/>
      <c r="ES995" s="17"/>
      <c r="ET995" s="17"/>
      <c r="EU995" s="16"/>
      <c r="EV995" s="16"/>
      <c r="EW995" s="17"/>
      <c r="EX995" s="17"/>
      <c r="EY995" s="16"/>
      <c r="EZ995" s="16"/>
      <c r="FA995" s="17"/>
      <c r="FB995" s="17"/>
      <c r="FC995" s="16"/>
      <c r="FD995" s="16"/>
      <c r="FE995" s="17"/>
      <c r="FF995" s="17"/>
      <c r="FG995" s="11"/>
      <c r="GT995" s="11"/>
      <c r="IG995" s="11"/>
      <c r="JT995" s="11"/>
      <c r="LG995" s="11"/>
      <c r="MT995" s="11"/>
      <c r="OG995" s="11"/>
      <c r="PT995" s="11"/>
    </row>
    <row r="996" spans="1:436" ht="15.75" x14ac:dyDescent="0.25">
      <c r="C996" s="20" t="s">
        <v>713</v>
      </c>
      <c r="D996" s="21" t="s">
        <v>136</v>
      </c>
      <c r="H996" s="11"/>
      <c r="AU996" s="11"/>
      <c r="CH996" s="11"/>
      <c r="CI996" s="16"/>
      <c r="CJ996" s="16"/>
      <c r="CK996" s="16"/>
      <c r="CL996" s="16"/>
      <c r="CM996" s="16"/>
      <c r="CN996" s="16"/>
      <c r="CO996" s="16"/>
      <c r="CP996" s="16"/>
      <c r="CQ996" s="16"/>
      <c r="CR996" s="16"/>
      <c r="CS996" s="16"/>
      <c r="CT996" s="16"/>
      <c r="CU996" s="16"/>
      <c r="CV996" s="16"/>
      <c r="CW996" s="16"/>
      <c r="CX996" s="16"/>
      <c r="CY996" s="16"/>
      <c r="CZ996" s="16"/>
      <c r="DA996" s="16"/>
      <c r="DB996" s="16"/>
      <c r="DC996" s="16"/>
      <c r="DD996" s="16"/>
      <c r="DE996" s="17"/>
      <c r="DF996" s="17"/>
      <c r="DG996" s="16"/>
      <c r="DH996" s="16"/>
      <c r="DI996" s="17"/>
      <c r="DJ996" s="17"/>
      <c r="DK996" s="16"/>
      <c r="DL996" s="16"/>
      <c r="DM996" s="17"/>
      <c r="DN996" s="17"/>
      <c r="DO996" s="16"/>
      <c r="DP996" s="16"/>
      <c r="DQ996" s="17"/>
      <c r="DR996" s="17"/>
      <c r="DS996" s="16"/>
      <c r="DT996" s="16"/>
      <c r="DU996" s="17"/>
      <c r="DV996" s="17"/>
      <c r="DW996" s="16"/>
      <c r="DX996" s="16"/>
      <c r="DY996" s="17"/>
      <c r="DZ996" s="17"/>
      <c r="EA996" s="16"/>
      <c r="EB996" s="16"/>
      <c r="EC996" s="17"/>
      <c r="ED996" s="17"/>
      <c r="EE996" s="16"/>
      <c r="EF996" s="16"/>
      <c r="EG996" s="17"/>
      <c r="EH996" s="17"/>
      <c r="EI996" s="16"/>
      <c r="EJ996" s="16"/>
      <c r="EK996" s="17"/>
      <c r="EL996" s="17"/>
      <c r="EM996" s="16"/>
      <c r="EN996" s="16"/>
      <c r="EO996" s="17"/>
      <c r="EP996" s="17"/>
      <c r="EQ996" s="16"/>
      <c r="ER996" s="16"/>
      <c r="ES996" s="17"/>
      <c r="ET996" s="17"/>
      <c r="EU996" s="16"/>
      <c r="EV996" s="16"/>
      <c r="EW996" s="17"/>
      <c r="EX996" s="17"/>
      <c r="EY996" s="16"/>
      <c r="EZ996" s="16"/>
      <c r="FA996" s="17"/>
      <c r="FB996" s="17"/>
      <c r="FC996" s="16"/>
      <c r="FD996" s="16"/>
      <c r="FE996" s="17"/>
      <c r="FF996" s="17"/>
      <c r="FG996" s="11"/>
      <c r="GT996" s="11"/>
      <c r="IG996" s="11"/>
      <c r="JT996" s="11"/>
      <c r="LG996" s="11"/>
      <c r="MT996" s="11"/>
      <c r="OG996" s="11"/>
      <c r="PT996" s="11"/>
    </row>
    <row r="997" spans="1:436" ht="15.75" x14ac:dyDescent="0.25">
      <c r="C997" s="20" t="s">
        <v>714</v>
      </c>
      <c r="D997" s="21" t="s">
        <v>90</v>
      </c>
      <c r="H997" s="11"/>
      <c r="AU997" s="11"/>
      <c r="CH997" s="11"/>
      <c r="CI997" s="16"/>
      <c r="CJ997" s="16"/>
      <c r="CK997" s="16"/>
      <c r="CL997" s="16"/>
      <c r="CM997" s="16"/>
      <c r="CN997" s="16"/>
      <c r="CO997" s="16"/>
      <c r="CP997" s="16"/>
      <c r="CQ997" s="16"/>
      <c r="CR997" s="16"/>
      <c r="CS997" s="16"/>
      <c r="CT997" s="16"/>
      <c r="CU997" s="16"/>
      <c r="CV997" s="16"/>
      <c r="CW997" s="16"/>
      <c r="CX997" s="16"/>
      <c r="CY997" s="16"/>
      <c r="CZ997" s="16"/>
      <c r="DA997" s="16"/>
      <c r="DB997" s="16"/>
      <c r="DC997" s="16"/>
      <c r="DD997" s="16"/>
      <c r="DE997" s="17"/>
      <c r="DF997" s="17"/>
      <c r="DG997" s="16"/>
      <c r="DH997" s="16"/>
      <c r="DI997" s="17"/>
      <c r="DJ997" s="17"/>
      <c r="DK997" s="16"/>
      <c r="DL997" s="16"/>
      <c r="DM997" s="17"/>
      <c r="DN997" s="17"/>
      <c r="DO997" s="16"/>
      <c r="DP997" s="16"/>
      <c r="DQ997" s="17"/>
      <c r="DR997" s="17"/>
      <c r="DS997" s="16"/>
      <c r="DT997" s="16"/>
      <c r="DU997" s="17"/>
      <c r="DV997" s="17"/>
      <c r="DW997" s="16"/>
      <c r="DX997" s="16"/>
      <c r="DY997" s="17"/>
      <c r="DZ997" s="17"/>
      <c r="EA997" s="16"/>
      <c r="EB997" s="16"/>
      <c r="EC997" s="17"/>
      <c r="ED997" s="17"/>
      <c r="EE997" s="16"/>
      <c r="EF997" s="16"/>
      <c r="EG997" s="17"/>
      <c r="EH997" s="17"/>
      <c r="EI997" s="16"/>
      <c r="EJ997" s="16"/>
      <c r="EK997" s="17"/>
      <c r="EL997" s="17"/>
      <c r="EM997" s="16"/>
      <c r="EN997" s="16"/>
      <c r="EO997" s="17"/>
      <c r="EP997" s="17"/>
      <c r="EQ997" s="16"/>
      <c r="ER997" s="16"/>
      <c r="ES997" s="17"/>
      <c r="ET997" s="17"/>
      <c r="EU997" s="16"/>
      <c r="EV997" s="16"/>
      <c r="EW997" s="17"/>
      <c r="EX997" s="17"/>
      <c r="EY997" s="16"/>
      <c r="EZ997" s="16"/>
      <c r="FA997" s="17"/>
      <c r="FB997" s="17"/>
      <c r="FC997" s="16"/>
      <c r="FD997" s="16"/>
      <c r="FE997" s="17"/>
      <c r="FF997" s="17"/>
      <c r="FG997" s="11"/>
      <c r="GT997" s="11"/>
      <c r="IG997" s="11"/>
      <c r="JT997" s="11"/>
      <c r="LG997" s="11"/>
      <c r="MT997" s="11"/>
      <c r="OG997" s="11"/>
      <c r="PT997" s="11"/>
    </row>
    <row r="998" spans="1:436" ht="15.75" x14ac:dyDescent="0.25">
      <c r="C998" s="20" t="s">
        <v>729</v>
      </c>
      <c r="D998" s="21" t="s">
        <v>136</v>
      </c>
      <c r="H998" s="11"/>
      <c r="AU998" s="11"/>
      <c r="CH998" s="11"/>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7"/>
      <c r="DF998" s="17"/>
      <c r="DG998" s="16"/>
      <c r="DH998" s="16"/>
      <c r="DI998" s="17"/>
      <c r="DJ998" s="17"/>
      <c r="DK998" s="16"/>
      <c r="DL998" s="16"/>
      <c r="DM998" s="17"/>
      <c r="DN998" s="17"/>
      <c r="DO998" s="16"/>
      <c r="DP998" s="16"/>
      <c r="DQ998" s="17"/>
      <c r="DR998" s="17"/>
      <c r="DS998" s="16"/>
      <c r="DT998" s="16"/>
      <c r="DU998" s="17"/>
      <c r="DV998" s="17"/>
      <c r="DW998" s="16"/>
      <c r="DX998" s="16"/>
      <c r="DY998" s="17"/>
      <c r="DZ998" s="17"/>
      <c r="EA998" s="16"/>
      <c r="EB998" s="16"/>
      <c r="EC998" s="18">
        <v>69.7</v>
      </c>
      <c r="ED998" s="18">
        <v>69.7</v>
      </c>
      <c r="EE998" s="16"/>
      <c r="EF998" s="16"/>
      <c r="EG998" s="17"/>
      <c r="EH998" s="17"/>
      <c r="EI998" s="16"/>
      <c r="EJ998" s="16"/>
      <c r="EK998" s="17"/>
      <c r="EL998" s="17"/>
      <c r="EM998" s="16"/>
      <c r="EN998" s="16"/>
      <c r="EO998" s="17"/>
      <c r="EP998" s="17"/>
      <c r="EQ998" s="16"/>
      <c r="ER998" s="16"/>
      <c r="ES998" s="17"/>
      <c r="ET998" s="17"/>
      <c r="EU998" s="16"/>
      <c r="EV998" s="16"/>
      <c r="EW998" s="17"/>
      <c r="EX998" s="17"/>
      <c r="EY998" s="16"/>
      <c r="EZ998" s="16"/>
      <c r="FA998" s="17"/>
      <c r="FB998" s="17"/>
      <c r="FC998" s="16"/>
      <c r="FD998" s="16"/>
      <c r="FE998" s="17"/>
      <c r="FF998" s="17"/>
      <c r="FG998" s="11"/>
      <c r="GT998" s="11"/>
      <c r="IG998" s="11"/>
      <c r="JT998" s="11"/>
      <c r="LG998" s="11"/>
      <c r="MT998" s="11"/>
      <c r="OG998" s="11"/>
      <c r="PT998" s="11"/>
    </row>
    <row r="999" spans="1:436" ht="15.75" x14ac:dyDescent="0.25">
      <c r="C999" s="20" t="s">
        <v>730</v>
      </c>
      <c r="D999" s="21" t="s">
        <v>136</v>
      </c>
      <c r="H999" s="11"/>
      <c r="AU999" s="11"/>
      <c r="CH999" s="11"/>
      <c r="CI999" s="16"/>
      <c r="CJ999" s="16"/>
      <c r="CK999" s="16"/>
      <c r="CL999" s="16"/>
      <c r="CM999" s="16"/>
      <c r="CN999" s="16"/>
      <c r="CO999" s="16"/>
      <c r="CP999" s="16"/>
      <c r="CQ999" s="16"/>
      <c r="CR999" s="16"/>
      <c r="CS999" s="16"/>
      <c r="CT999" s="16"/>
      <c r="CU999" s="16"/>
      <c r="CV999" s="16"/>
      <c r="CW999" s="16"/>
      <c r="CX999" s="16"/>
      <c r="CY999" s="16"/>
      <c r="CZ999" s="16"/>
      <c r="DA999" s="16"/>
      <c r="DB999" s="16"/>
      <c r="DC999" s="16"/>
      <c r="DD999" s="16"/>
      <c r="DE999" s="17"/>
      <c r="DF999" s="17"/>
      <c r="DG999" s="16"/>
      <c r="DH999" s="16"/>
      <c r="DI999" s="17"/>
      <c r="DJ999" s="17"/>
      <c r="DK999" s="16"/>
      <c r="DL999" s="16"/>
      <c r="DM999" s="17"/>
      <c r="DN999" s="17"/>
      <c r="DO999" s="16"/>
      <c r="DP999" s="16"/>
      <c r="DQ999" s="17"/>
      <c r="DR999" s="17"/>
      <c r="DS999" s="16"/>
      <c r="DT999" s="16"/>
      <c r="DU999" s="17"/>
      <c r="DV999" s="17"/>
      <c r="DW999" s="16"/>
      <c r="DX999" s="16"/>
      <c r="DY999" s="17"/>
      <c r="DZ999" s="17"/>
      <c r="EA999" s="16"/>
      <c r="EB999" s="16"/>
      <c r="EC999" s="18">
        <v>69.7</v>
      </c>
      <c r="ED999" s="18">
        <v>69.7</v>
      </c>
      <c r="EE999" s="16"/>
      <c r="EF999" s="16"/>
      <c r="EG999" s="17"/>
      <c r="EH999" s="17"/>
      <c r="EI999" s="16"/>
      <c r="EJ999" s="16"/>
      <c r="EK999" s="17"/>
      <c r="EL999" s="17"/>
      <c r="EM999" s="16"/>
      <c r="EN999" s="16"/>
      <c r="EO999" s="17"/>
      <c r="EP999" s="17"/>
      <c r="EQ999" s="16"/>
      <c r="ER999" s="16"/>
      <c r="ES999" s="17"/>
      <c r="ET999" s="17"/>
      <c r="EU999" s="16"/>
      <c r="EV999" s="16"/>
      <c r="EW999" s="17"/>
      <c r="EX999" s="17"/>
      <c r="EY999" s="16"/>
      <c r="EZ999" s="16"/>
      <c r="FA999" s="17"/>
      <c r="FB999" s="17"/>
      <c r="FC999" s="16"/>
      <c r="FD999" s="16"/>
      <c r="FE999" s="17"/>
      <c r="FF999" s="17"/>
      <c r="FG999" s="11"/>
      <c r="GT999" s="11"/>
      <c r="IG999" s="11"/>
      <c r="JT999" s="11"/>
      <c r="LG999" s="11"/>
      <c r="MT999" s="11"/>
      <c r="OG999" s="11"/>
      <c r="PT999" s="11"/>
    </row>
    <row r="1000" spans="1:436" ht="15.75" x14ac:dyDescent="0.25">
      <c r="C1000" s="20" t="s">
        <v>731</v>
      </c>
      <c r="D1000" s="21" t="s">
        <v>136</v>
      </c>
      <c r="H1000" s="11"/>
      <c r="AU1000" s="11"/>
      <c r="CH1000" s="11"/>
      <c r="CI1000" s="16"/>
      <c r="CJ1000" s="16"/>
      <c r="CK1000" s="16"/>
      <c r="CL1000" s="16"/>
      <c r="CM1000" s="16"/>
      <c r="CN1000" s="16"/>
      <c r="CO1000" s="16"/>
      <c r="CP1000" s="16"/>
      <c r="CQ1000" s="16"/>
      <c r="CR1000" s="16"/>
      <c r="CS1000" s="16"/>
      <c r="CT1000" s="16"/>
      <c r="CU1000" s="16"/>
      <c r="CV1000" s="16"/>
      <c r="CW1000" s="16"/>
      <c r="CX1000" s="16"/>
      <c r="CY1000" s="16"/>
      <c r="CZ1000" s="16"/>
      <c r="DA1000" s="16"/>
      <c r="DB1000" s="16"/>
      <c r="DC1000" s="16"/>
      <c r="DD1000" s="16"/>
      <c r="DE1000" s="17"/>
      <c r="DF1000" s="17"/>
      <c r="DG1000" s="16"/>
      <c r="DH1000" s="16"/>
      <c r="DI1000" s="17"/>
      <c r="DJ1000" s="17"/>
      <c r="DK1000" s="16"/>
      <c r="DL1000" s="16"/>
      <c r="DM1000" s="17"/>
      <c r="DN1000" s="17"/>
      <c r="DO1000" s="16"/>
      <c r="DP1000" s="16"/>
      <c r="DQ1000" s="17"/>
      <c r="DR1000" s="17"/>
      <c r="DS1000" s="16"/>
      <c r="DT1000" s="16"/>
      <c r="DU1000" s="17"/>
      <c r="DV1000" s="17"/>
      <c r="DW1000" s="16"/>
      <c r="DX1000" s="16"/>
      <c r="DY1000" s="17"/>
      <c r="DZ1000" s="17"/>
      <c r="EA1000" s="16"/>
      <c r="EB1000" s="16"/>
      <c r="EC1000" s="17"/>
      <c r="ED1000" s="17"/>
      <c r="EE1000" s="16"/>
      <c r="EF1000" s="16"/>
      <c r="EG1000" s="17"/>
      <c r="EH1000" s="17"/>
      <c r="EI1000" s="16"/>
      <c r="EJ1000" s="16"/>
      <c r="EK1000" s="17"/>
      <c r="EL1000" s="17"/>
      <c r="EM1000" s="16"/>
      <c r="EN1000" s="16"/>
      <c r="EO1000" s="17"/>
      <c r="EP1000" s="17"/>
      <c r="EQ1000" s="16"/>
      <c r="ER1000" s="16"/>
      <c r="ES1000" s="17"/>
      <c r="ET1000" s="17"/>
      <c r="EU1000" s="16"/>
      <c r="EV1000" s="16"/>
      <c r="EW1000" s="17"/>
      <c r="EX1000" s="17"/>
      <c r="EY1000" s="16"/>
      <c r="EZ1000" s="16"/>
      <c r="FA1000" s="17"/>
      <c r="FB1000" s="17"/>
      <c r="FC1000" s="16"/>
      <c r="FD1000" s="16"/>
      <c r="FE1000" s="17"/>
      <c r="FF1000" s="17"/>
      <c r="FG1000" s="11"/>
      <c r="GT1000" s="11"/>
      <c r="IG1000" s="11"/>
      <c r="JT1000" s="11"/>
      <c r="LG1000" s="11"/>
      <c r="MT1000" s="11"/>
      <c r="OG1000" s="11"/>
      <c r="PT1000" s="11"/>
    </row>
    <row r="1001" spans="1:436" ht="15.75" x14ac:dyDescent="0.25">
      <c r="A1001" s="13"/>
      <c r="B1001" s="14" t="s">
        <v>732</v>
      </c>
      <c r="C1001" s="13"/>
      <c r="D1001" s="13"/>
      <c r="E1001" s="15" t="s">
        <v>127</v>
      </c>
      <c r="F1001" s="15" t="s">
        <v>177</v>
      </c>
      <c r="G1001" s="13"/>
      <c r="H1001" s="11"/>
      <c r="AU1001" s="11"/>
      <c r="CH1001" s="11"/>
      <c r="CI1001" s="16"/>
      <c r="CJ1001" s="16"/>
      <c r="CK1001" s="16"/>
      <c r="CL1001" s="16"/>
      <c r="CM1001" s="16"/>
      <c r="CN1001" s="16"/>
      <c r="CO1001" s="16"/>
      <c r="CP1001" s="16"/>
      <c r="CQ1001" s="16"/>
      <c r="CR1001" s="16"/>
      <c r="CS1001" s="16"/>
      <c r="CT1001" s="16"/>
      <c r="CU1001" s="16"/>
      <c r="CV1001" s="16"/>
      <c r="CW1001" s="16"/>
      <c r="CX1001" s="16"/>
      <c r="CY1001" s="16"/>
      <c r="CZ1001" s="16"/>
      <c r="DA1001" s="16"/>
      <c r="DB1001" s="16"/>
      <c r="DC1001" s="16"/>
      <c r="DD1001" s="16"/>
      <c r="DE1001" s="17"/>
      <c r="DF1001" s="17"/>
      <c r="DG1001" s="16"/>
      <c r="DH1001" s="16"/>
      <c r="DI1001" s="17"/>
      <c r="DJ1001" s="18">
        <v>14</v>
      </c>
      <c r="DK1001" s="16"/>
      <c r="DL1001" s="16"/>
      <c r="DM1001" s="17"/>
      <c r="DN1001" s="17"/>
      <c r="DO1001" s="16"/>
      <c r="DP1001" s="16"/>
      <c r="DQ1001" s="17"/>
      <c r="DR1001" s="17"/>
      <c r="DS1001" s="16"/>
      <c r="DT1001" s="16"/>
      <c r="DU1001" s="17"/>
      <c r="DV1001" s="18">
        <v>20</v>
      </c>
      <c r="DW1001" s="16"/>
      <c r="DX1001" s="16"/>
      <c r="DY1001" s="17"/>
      <c r="DZ1001" s="17"/>
      <c r="EA1001" s="16"/>
      <c r="EB1001" s="16"/>
      <c r="EC1001" s="17"/>
      <c r="ED1001" s="17"/>
      <c r="EE1001" s="19">
        <v>51.4</v>
      </c>
      <c r="EF1001" s="19">
        <v>66.400000000000006</v>
      </c>
      <c r="EG1001" s="17"/>
      <c r="EH1001" s="17"/>
      <c r="EI1001" s="16"/>
      <c r="EJ1001" s="16"/>
      <c r="EK1001" s="17"/>
      <c r="EL1001" s="17"/>
      <c r="EM1001" s="16"/>
      <c r="EN1001" s="16"/>
      <c r="EO1001" s="17"/>
      <c r="EP1001" s="17"/>
      <c r="EQ1001" s="16"/>
      <c r="ER1001" s="16"/>
      <c r="ES1001" s="17"/>
      <c r="ET1001" s="18">
        <v>30</v>
      </c>
      <c r="EU1001" s="16"/>
      <c r="EV1001" s="16"/>
      <c r="EW1001" s="17"/>
      <c r="EX1001" s="17"/>
      <c r="EY1001" s="16"/>
      <c r="EZ1001" s="16"/>
      <c r="FA1001" s="17"/>
      <c r="FB1001" s="17"/>
      <c r="FC1001" s="16"/>
      <c r="FD1001" s="19">
        <v>2</v>
      </c>
      <c r="FE1001" s="17"/>
      <c r="FF1001" s="17"/>
      <c r="FG1001" s="11"/>
      <c r="GT1001" s="11"/>
      <c r="IG1001" s="11"/>
      <c r="JT1001" s="11"/>
      <c r="LG1001" s="11"/>
      <c r="MT1001" s="11"/>
      <c r="OG1001" s="11"/>
      <c r="PT1001" s="11"/>
    </row>
    <row r="1002" spans="1:436" ht="15.75" x14ac:dyDescent="0.25">
      <c r="C1002" s="20" t="s">
        <v>733</v>
      </c>
      <c r="D1002" s="21" t="s">
        <v>129</v>
      </c>
      <c r="H1002" s="11"/>
      <c r="AU1002" s="11"/>
      <c r="CH1002" s="11"/>
      <c r="CI1002" s="16"/>
      <c r="CJ1002" s="16"/>
      <c r="CK1002" s="16"/>
      <c r="CL1002" s="16"/>
      <c r="CM1002" s="16"/>
      <c r="CN1002" s="16"/>
      <c r="CO1002" s="16"/>
      <c r="CP1002" s="16"/>
      <c r="CQ1002" s="16"/>
      <c r="CR1002" s="16"/>
      <c r="CS1002" s="16"/>
      <c r="CT1002" s="16"/>
      <c r="CU1002" s="16"/>
      <c r="CV1002" s="16"/>
      <c r="CW1002" s="16"/>
      <c r="CX1002" s="16"/>
      <c r="CY1002" s="16"/>
      <c r="CZ1002" s="16"/>
      <c r="DA1002" s="16"/>
      <c r="DB1002" s="16"/>
      <c r="DC1002" s="16"/>
      <c r="DD1002" s="16"/>
      <c r="DE1002" s="17"/>
      <c r="DF1002" s="17"/>
      <c r="DG1002" s="16"/>
      <c r="DH1002" s="16"/>
      <c r="DI1002" s="17"/>
      <c r="DJ1002" s="17"/>
      <c r="DK1002" s="16"/>
      <c r="DL1002" s="16"/>
      <c r="DM1002" s="17"/>
      <c r="DN1002" s="17"/>
      <c r="DO1002" s="16"/>
      <c r="DP1002" s="16"/>
      <c r="DQ1002" s="17"/>
      <c r="DR1002" s="17"/>
      <c r="DS1002" s="16"/>
      <c r="DT1002" s="16"/>
      <c r="DU1002" s="17"/>
      <c r="DV1002" s="17"/>
      <c r="DW1002" s="16"/>
      <c r="DX1002" s="16"/>
      <c r="DY1002" s="17"/>
      <c r="DZ1002" s="17"/>
      <c r="EA1002" s="16"/>
      <c r="EB1002" s="16"/>
      <c r="EC1002" s="17"/>
      <c r="ED1002" s="17"/>
      <c r="EE1002" s="16"/>
      <c r="EF1002" s="16"/>
      <c r="EG1002" s="17"/>
      <c r="EH1002" s="17"/>
      <c r="EI1002" s="16"/>
      <c r="EJ1002" s="16"/>
      <c r="EK1002" s="17"/>
      <c r="EL1002" s="17"/>
      <c r="EM1002" s="16"/>
      <c r="EN1002" s="16"/>
      <c r="EO1002" s="17"/>
      <c r="EP1002" s="17"/>
      <c r="EQ1002" s="16"/>
      <c r="ER1002" s="16"/>
      <c r="ES1002" s="17"/>
      <c r="ET1002" s="17"/>
      <c r="EU1002" s="16"/>
      <c r="EV1002" s="16"/>
      <c r="EW1002" s="17"/>
      <c r="EX1002" s="17"/>
      <c r="EY1002" s="16"/>
      <c r="EZ1002" s="16"/>
      <c r="FA1002" s="17"/>
      <c r="FB1002" s="17"/>
      <c r="FC1002" s="16"/>
      <c r="FD1002" s="16"/>
      <c r="FE1002" s="17"/>
      <c r="FF1002" s="17"/>
      <c r="FG1002" s="11"/>
      <c r="GT1002" s="11"/>
      <c r="IG1002" s="11"/>
      <c r="JT1002" s="11"/>
      <c r="LG1002" s="11"/>
      <c r="MT1002" s="11"/>
      <c r="OG1002" s="11"/>
      <c r="PT1002" s="11"/>
    </row>
    <row r="1003" spans="1:436" ht="15.75" x14ac:dyDescent="0.25">
      <c r="C1003" s="20" t="s">
        <v>734</v>
      </c>
      <c r="D1003" s="21" t="s">
        <v>136</v>
      </c>
      <c r="H1003" s="11"/>
      <c r="AU1003" s="11"/>
      <c r="CH1003" s="11"/>
      <c r="CI1003" s="16"/>
      <c r="CJ1003" s="16"/>
      <c r="CK1003" s="16"/>
      <c r="CL1003" s="16"/>
      <c r="CM1003" s="16"/>
      <c r="CN1003" s="16"/>
      <c r="CO1003" s="16"/>
      <c r="CP1003" s="16"/>
      <c r="CQ1003" s="16"/>
      <c r="CR1003" s="16"/>
      <c r="CS1003" s="16"/>
      <c r="CT1003" s="16"/>
      <c r="CU1003" s="16"/>
      <c r="CV1003" s="16"/>
      <c r="CW1003" s="16"/>
      <c r="CX1003" s="16"/>
      <c r="CY1003" s="16"/>
      <c r="CZ1003" s="16"/>
      <c r="DA1003" s="16"/>
      <c r="DB1003" s="16"/>
      <c r="DC1003" s="16"/>
      <c r="DD1003" s="16"/>
      <c r="DE1003" s="17"/>
      <c r="DF1003" s="17"/>
      <c r="DG1003" s="16"/>
      <c r="DH1003" s="16"/>
      <c r="DI1003" s="17"/>
      <c r="DJ1003" s="17"/>
      <c r="DK1003" s="16"/>
      <c r="DL1003" s="16"/>
      <c r="DM1003" s="17"/>
      <c r="DN1003" s="17"/>
      <c r="DO1003" s="16"/>
      <c r="DP1003" s="16"/>
      <c r="DQ1003" s="17"/>
      <c r="DR1003" s="17"/>
      <c r="DS1003" s="16"/>
      <c r="DT1003" s="16"/>
      <c r="DU1003" s="17"/>
      <c r="DV1003" s="17"/>
      <c r="DW1003" s="16"/>
      <c r="DX1003" s="16"/>
      <c r="DY1003" s="17"/>
      <c r="DZ1003" s="17"/>
      <c r="EA1003" s="16"/>
      <c r="EB1003" s="16"/>
      <c r="EC1003" s="17"/>
      <c r="ED1003" s="17"/>
      <c r="EE1003" s="16"/>
      <c r="EF1003" s="16"/>
      <c r="EG1003" s="17"/>
      <c r="EH1003" s="17"/>
      <c r="EI1003" s="16"/>
      <c r="EJ1003" s="16"/>
      <c r="EK1003" s="17"/>
      <c r="EL1003" s="17"/>
      <c r="EM1003" s="16"/>
      <c r="EN1003" s="16"/>
      <c r="EO1003" s="17"/>
      <c r="EP1003" s="17"/>
      <c r="EQ1003" s="16"/>
      <c r="ER1003" s="16"/>
      <c r="ES1003" s="17"/>
      <c r="ET1003" s="17"/>
      <c r="EU1003" s="16"/>
      <c r="EV1003" s="16"/>
      <c r="EW1003" s="17"/>
      <c r="EX1003" s="17"/>
      <c r="EY1003" s="16"/>
      <c r="EZ1003" s="16"/>
      <c r="FA1003" s="17"/>
      <c r="FB1003" s="17"/>
      <c r="FC1003" s="16"/>
      <c r="FD1003" s="16"/>
      <c r="FE1003" s="17"/>
      <c r="FF1003" s="17"/>
      <c r="FG1003" s="11"/>
      <c r="GT1003" s="11"/>
      <c r="IG1003" s="11"/>
      <c r="JT1003" s="11"/>
      <c r="LG1003" s="11"/>
      <c r="MT1003" s="11"/>
      <c r="OG1003" s="11"/>
      <c r="PT1003" s="11"/>
    </row>
    <row r="1004" spans="1:436" ht="15.75" x14ac:dyDescent="0.25">
      <c r="C1004" s="20" t="s">
        <v>735</v>
      </c>
      <c r="D1004" s="21" t="s">
        <v>136</v>
      </c>
      <c r="H1004" s="11"/>
      <c r="AU1004" s="11"/>
      <c r="CH1004" s="11"/>
      <c r="CI1004" s="16"/>
      <c r="CJ1004" s="16"/>
      <c r="CK1004" s="16"/>
      <c r="CL1004" s="16"/>
      <c r="CM1004" s="16"/>
      <c r="CN1004" s="16"/>
      <c r="CO1004" s="16"/>
      <c r="CP1004" s="16"/>
      <c r="CQ1004" s="16"/>
      <c r="CR1004" s="16"/>
      <c r="CS1004" s="16"/>
      <c r="CT1004" s="16"/>
      <c r="CU1004" s="16"/>
      <c r="CV1004" s="16"/>
      <c r="CW1004" s="16"/>
      <c r="CX1004" s="16"/>
      <c r="CY1004" s="16"/>
      <c r="CZ1004" s="16"/>
      <c r="DA1004" s="16"/>
      <c r="DB1004" s="16"/>
      <c r="DC1004" s="16"/>
      <c r="DD1004" s="16"/>
      <c r="DE1004" s="17"/>
      <c r="DF1004" s="17"/>
      <c r="DG1004" s="16"/>
      <c r="DH1004" s="16"/>
      <c r="DI1004" s="17"/>
      <c r="DJ1004" s="17"/>
      <c r="DK1004" s="16"/>
      <c r="DL1004" s="16"/>
      <c r="DM1004" s="17"/>
      <c r="DN1004" s="17"/>
      <c r="DO1004" s="16"/>
      <c r="DP1004" s="16"/>
      <c r="DQ1004" s="17"/>
      <c r="DR1004" s="17"/>
      <c r="DS1004" s="16"/>
      <c r="DT1004" s="16"/>
      <c r="DU1004" s="17"/>
      <c r="DV1004" s="17"/>
      <c r="DW1004" s="16"/>
      <c r="DX1004" s="16"/>
      <c r="DY1004" s="17"/>
      <c r="DZ1004" s="17"/>
      <c r="EA1004" s="16"/>
      <c r="EB1004" s="16"/>
      <c r="EC1004" s="17"/>
      <c r="ED1004" s="17"/>
      <c r="EE1004" s="16"/>
      <c r="EF1004" s="16"/>
      <c r="EG1004" s="17"/>
      <c r="EH1004" s="17"/>
      <c r="EI1004" s="16"/>
      <c r="EJ1004" s="16"/>
      <c r="EK1004" s="17"/>
      <c r="EL1004" s="17"/>
      <c r="EM1004" s="16"/>
      <c r="EN1004" s="16"/>
      <c r="EO1004" s="17"/>
      <c r="EP1004" s="17"/>
      <c r="EQ1004" s="16"/>
      <c r="ER1004" s="16"/>
      <c r="ES1004" s="17"/>
      <c r="ET1004" s="17"/>
      <c r="EU1004" s="16"/>
      <c r="EV1004" s="16"/>
      <c r="EW1004" s="17"/>
      <c r="EX1004" s="17"/>
      <c r="EY1004" s="16"/>
      <c r="EZ1004" s="16"/>
      <c r="FA1004" s="17"/>
      <c r="FB1004" s="17"/>
      <c r="FC1004" s="16"/>
      <c r="FD1004" s="16"/>
      <c r="FE1004" s="17"/>
      <c r="FF1004" s="17"/>
      <c r="FG1004" s="11"/>
      <c r="GT1004" s="11"/>
      <c r="IG1004" s="11"/>
      <c r="JT1004" s="11"/>
      <c r="LG1004" s="11"/>
      <c r="MT1004" s="11"/>
      <c r="OG1004" s="11"/>
      <c r="PT1004" s="11"/>
    </row>
    <row r="1005" spans="1:436" ht="15.75" x14ac:dyDescent="0.25">
      <c r="C1005" s="20" t="s">
        <v>733</v>
      </c>
      <c r="D1005" s="21" t="s">
        <v>129</v>
      </c>
      <c r="H1005" s="11"/>
      <c r="AU1005" s="11"/>
      <c r="CH1005" s="11"/>
      <c r="CI1005" s="16"/>
      <c r="CJ1005" s="16"/>
      <c r="CK1005" s="16"/>
      <c r="CL1005" s="16"/>
      <c r="CM1005" s="16"/>
      <c r="CN1005" s="16"/>
      <c r="CO1005" s="16"/>
      <c r="CP1005" s="16"/>
      <c r="CQ1005" s="16"/>
      <c r="CR1005" s="16"/>
      <c r="CS1005" s="16"/>
      <c r="CT1005" s="16"/>
      <c r="CU1005" s="16"/>
      <c r="CV1005" s="16"/>
      <c r="CW1005" s="16"/>
      <c r="CX1005" s="16"/>
      <c r="CY1005" s="16"/>
      <c r="CZ1005" s="16"/>
      <c r="DA1005" s="16"/>
      <c r="DB1005" s="16"/>
      <c r="DC1005" s="16"/>
      <c r="DD1005" s="16"/>
      <c r="DE1005" s="17"/>
      <c r="DF1005" s="17"/>
      <c r="DG1005" s="16"/>
      <c r="DH1005" s="16"/>
      <c r="DI1005" s="17"/>
      <c r="DJ1005" s="17"/>
      <c r="DK1005" s="16"/>
      <c r="DL1005" s="16"/>
      <c r="DM1005" s="17"/>
      <c r="DN1005" s="17"/>
      <c r="DO1005" s="16"/>
      <c r="DP1005" s="16"/>
      <c r="DQ1005" s="17"/>
      <c r="DR1005" s="17"/>
      <c r="DS1005" s="16"/>
      <c r="DT1005" s="16"/>
      <c r="DU1005" s="17"/>
      <c r="DV1005" s="17"/>
      <c r="DW1005" s="16"/>
      <c r="DX1005" s="16"/>
      <c r="DY1005" s="17"/>
      <c r="DZ1005" s="17"/>
      <c r="EA1005" s="16"/>
      <c r="EB1005" s="16"/>
      <c r="EC1005" s="17"/>
      <c r="ED1005" s="17"/>
      <c r="EE1005" s="16"/>
      <c r="EF1005" s="16"/>
      <c r="EG1005" s="17"/>
      <c r="EH1005" s="17"/>
      <c r="EI1005" s="16"/>
      <c r="EJ1005" s="16"/>
      <c r="EK1005" s="17"/>
      <c r="EL1005" s="17"/>
      <c r="EM1005" s="16"/>
      <c r="EN1005" s="16"/>
      <c r="EO1005" s="17"/>
      <c r="EP1005" s="17"/>
      <c r="EQ1005" s="16"/>
      <c r="ER1005" s="16"/>
      <c r="ES1005" s="17"/>
      <c r="ET1005" s="17"/>
      <c r="EU1005" s="16"/>
      <c r="EV1005" s="16"/>
      <c r="EW1005" s="17"/>
      <c r="EX1005" s="17"/>
      <c r="EY1005" s="16"/>
      <c r="EZ1005" s="16"/>
      <c r="FA1005" s="17"/>
      <c r="FB1005" s="17"/>
      <c r="FC1005" s="16"/>
      <c r="FD1005" s="16"/>
      <c r="FE1005" s="17"/>
      <c r="FF1005" s="17"/>
      <c r="FG1005" s="11"/>
      <c r="GT1005" s="11"/>
      <c r="IG1005" s="11"/>
      <c r="JT1005" s="11"/>
      <c r="LG1005" s="11"/>
      <c r="MT1005" s="11"/>
      <c r="OG1005" s="11"/>
      <c r="PT1005" s="11"/>
    </row>
    <row r="1006" spans="1:436" ht="15.75" x14ac:dyDescent="0.25">
      <c r="C1006" s="20" t="s">
        <v>734</v>
      </c>
      <c r="D1006" s="21" t="s">
        <v>136</v>
      </c>
      <c r="H1006" s="11"/>
      <c r="AU1006" s="11"/>
      <c r="CH1006" s="11"/>
      <c r="CI1006" s="16"/>
      <c r="CJ1006" s="16"/>
      <c r="CK1006" s="16"/>
      <c r="CL1006" s="16"/>
      <c r="CM1006" s="16"/>
      <c r="CN1006" s="16"/>
      <c r="CO1006" s="16"/>
      <c r="CP1006" s="16"/>
      <c r="CQ1006" s="16"/>
      <c r="CR1006" s="16"/>
      <c r="CS1006" s="16"/>
      <c r="CT1006" s="16"/>
      <c r="CU1006" s="16"/>
      <c r="CV1006" s="16"/>
      <c r="CW1006" s="16"/>
      <c r="CX1006" s="16"/>
      <c r="CY1006" s="16"/>
      <c r="CZ1006" s="16"/>
      <c r="DA1006" s="16"/>
      <c r="DB1006" s="16"/>
      <c r="DC1006" s="16"/>
      <c r="DD1006" s="16"/>
      <c r="DE1006" s="17"/>
      <c r="DF1006" s="17"/>
      <c r="DG1006" s="16"/>
      <c r="DH1006" s="16"/>
      <c r="DI1006" s="17"/>
      <c r="DJ1006" s="17"/>
      <c r="DK1006" s="16"/>
      <c r="DL1006" s="16"/>
      <c r="DM1006" s="17"/>
      <c r="DN1006" s="17"/>
      <c r="DO1006" s="16"/>
      <c r="DP1006" s="16"/>
      <c r="DQ1006" s="17"/>
      <c r="DR1006" s="17"/>
      <c r="DS1006" s="16"/>
      <c r="DT1006" s="16"/>
      <c r="DU1006" s="17"/>
      <c r="DV1006" s="17"/>
      <c r="DW1006" s="16"/>
      <c r="DX1006" s="16"/>
      <c r="DY1006" s="17"/>
      <c r="DZ1006" s="17"/>
      <c r="EA1006" s="16"/>
      <c r="EB1006" s="16"/>
      <c r="EC1006" s="17"/>
      <c r="ED1006" s="17"/>
      <c r="EE1006" s="16"/>
      <c r="EF1006" s="16"/>
      <c r="EG1006" s="17"/>
      <c r="EH1006" s="17"/>
      <c r="EI1006" s="16"/>
      <c r="EJ1006" s="16"/>
      <c r="EK1006" s="17"/>
      <c r="EL1006" s="17"/>
      <c r="EM1006" s="16"/>
      <c r="EN1006" s="16"/>
      <c r="EO1006" s="17"/>
      <c r="EP1006" s="17"/>
      <c r="EQ1006" s="16"/>
      <c r="ER1006" s="16"/>
      <c r="ES1006" s="17"/>
      <c r="ET1006" s="17"/>
      <c r="EU1006" s="16"/>
      <c r="EV1006" s="16"/>
      <c r="EW1006" s="17"/>
      <c r="EX1006" s="17"/>
      <c r="EY1006" s="16"/>
      <c r="EZ1006" s="16"/>
      <c r="FA1006" s="17"/>
      <c r="FB1006" s="17"/>
      <c r="FC1006" s="16"/>
      <c r="FD1006" s="16"/>
      <c r="FE1006" s="17"/>
      <c r="FF1006" s="17"/>
      <c r="FG1006" s="11"/>
      <c r="GT1006" s="11"/>
      <c r="IG1006" s="11"/>
      <c r="JT1006" s="11"/>
      <c r="LG1006" s="11"/>
      <c r="MT1006" s="11"/>
      <c r="OG1006" s="11"/>
      <c r="PT1006" s="11"/>
    </row>
    <row r="1007" spans="1:436" ht="15.75" x14ac:dyDescent="0.25">
      <c r="C1007" s="20" t="s">
        <v>735</v>
      </c>
      <c r="D1007" s="21" t="s">
        <v>136</v>
      </c>
      <c r="H1007" s="11"/>
      <c r="AU1007" s="11"/>
      <c r="CH1007" s="11"/>
      <c r="CI1007" s="16"/>
      <c r="CJ1007" s="16"/>
      <c r="CK1007" s="16"/>
      <c r="CL1007" s="16"/>
      <c r="CM1007" s="16"/>
      <c r="CN1007" s="16"/>
      <c r="CO1007" s="16"/>
      <c r="CP1007" s="16"/>
      <c r="CQ1007" s="16"/>
      <c r="CR1007" s="16"/>
      <c r="CS1007" s="16"/>
      <c r="CT1007" s="16"/>
      <c r="CU1007" s="16"/>
      <c r="CV1007" s="16"/>
      <c r="CW1007" s="16"/>
      <c r="CX1007" s="16"/>
      <c r="CY1007" s="16"/>
      <c r="CZ1007" s="16"/>
      <c r="DA1007" s="16"/>
      <c r="DB1007" s="16"/>
      <c r="DC1007" s="16"/>
      <c r="DD1007" s="16"/>
      <c r="DE1007" s="17"/>
      <c r="DF1007" s="17"/>
      <c r="DG1007" s="16"/>
      <c r="DH1007" s="16"/>
      <c r="DI1007" s="17"/>
      <c r="DJ1007" s="17"/>
      <c r="DK1007" s="16"/>
      <c r="DL1007" s="16"/>
      <c r="DM1007" s="17"/>
      <c r="DN1007" s="17"/>
      <c r="DO1007" s="16"/>
      <c r="DP1007" s="16"/>
      <c r="DQ1007" s="17"/>
      <c r="DR1007" s="17"/>
      <c r="DS1007" s="16"/>
      <c r="DT1007" s="16"/>
      <c r="DU1007" s="17"/>
      <c r="DV1007" s="17"/>
      <c r="DW1007" s="16"/>
      <c r="DX1007" s="16"/>
      <c r="DY1007" s="17"/>
      <c r="DZ1007" s="17"/>
      <c r="EA1007" s="16"/>
      <c r="EB1007" s="16"/>
      <c r="EC1007" s="17"/>
      <c r="ED1007" s="17"/>
      <c r="EE1007" s="16"/>
      <c r="EF1007" s="16"/>
      <c r="EG1007" s="17"/>
      <c r="EH1007" s="17"/>
      <c r="EI1007" s="16"/>
      <c r="EJ1007" s="16"/>
      <c r="EK1007" s="17"/>
      <c r="EL1007" s="17"/>
      <c r="EM1007" s="16"/>
      <c r="EN1007" s="16"/>
      <c r="EO1007" s="17"/>
      <c r="EP1007" s="17"/>
      <c r="EQ1007" s="16"/>
      <c r="ER1007" s="16"/>
      <c r="ES1007" s="17"/>
      <c r="ET1007" s="17"/>
      <c r="EU1007" s="16"/>
      <c r="EV1007" s="16"/>
      <c r="EW1007" s="17"/>
      <c r="EX1007" s="17"/>
      <c r="EY1007" s="16"/>
      <c r="EZ1007" s="16"/>
      <c r="FA1007" s="17"/>
      <c r="FB1007" s="17"/>
      <c r="FC1007" s="16"/>
      <c r="FD1007" s="16"/>
      <c r="FE1007" s="17"/>
      <c r="FF1007" s="17"/>
      <c r="FG1007" s="11"/>
      <c r="GT1007" s="11"/>
      <c r="IG1007" s="11"/>
      <c r="JT1007" s="11"/>
      <c r="LG1007" s="11"/>
      <c r="MT1007" s="11"/>
      <c r="OG1007" s="11"/>
      <c r="PT1007" s="11"/>
    </row>
    <row r="1008" spans="1:436" ht="15.75" x14ac:dyDescent="0.25">
      <c r="C1008" s="20" t="s">
        <v>736</v>
      </c>
      <c r="D1008" s="21" t="s">
        <v>136</v>
      </c>
      <c r="H1008" s="11"/>
      <c r="AU1008" s="11"/>
      <c r="CH1008" s="11"/>
      <c r="CI1008" s="16"/>
      <c r="CJ1008" s="16"/>
      <c r="CK1008" s="16"/>
      <c r="CL1008" s="16"/>
      <c r="CM1008" s="16"/>
      <c r="CN1008" s="16"/>
      <c r="CO1008" s="16"/>
      <c r="CP1008" s="16"/>
      <c r="CQ1008" s="16"/>
      <c r="CR1008" s="16"/>
      <c r="CS1008" s="16"/>
      <c r="CT1008" s="16"/>
      <c r="CU1008" s="16"/>
      <c r="CV1008" s="16"/>
      <c r="CW1008" s="16"/>
      <c r="CX1008" s="16"/>
      <c r="CY1008" s="16"/>
      <c r="CZ1008" s="16"/>
      <c r="DA1008" s="16"/>
      <c r="DB1008" s="16"/>
      <c r="DC1008" s="16"/>
      <c r="DD1008" s="16"/>
      <c r="DE1008" s="17"/>
      <c r="DF1008" s="17"/>
      <c r="DG1008" s="16"/>
      <c r="DH1008" s="16"/>
      <c r="DI1008" s="17"/>
      <c r="DJ1008" s="17"/>
      <c r="DK1008" s="16"/>
      <c r="DL1008" s="16"/>
      <c r="DM1008" s="17"/>
      <c r="DN1008" s="17"/>
      <c r="DO1008" s="16"/>
      <c r="DP1008" s="16"/>
      <c r="DQ1008" s="17"/>
      <c r="DR1008" s="17"/>
      <c r="DS1008" s="16"/>
      <c r="DT1008" s="16"/>
      <c r="DU1008" s="17"/>
      <c r="DV1008" s="17"/>
      <c r="DW1008" s="16"/>
      <c r="DX1008" s="16"/>
      <c r="DY1008" s="17"/>
      <c r="DZ1008" s="17"/>
      <c r="EA1008" s="16"/>
      <c r="EB1008" s="16"/>
      <c r="EC1008" s="18">
        <v>5.7</v>
      </c>
      <c r="ED1008" s="18">
        <v>5.7</v>
      </c>
      <c r="EE1008" s="16"/>
      <c r="EF1008" s="16"/>
      <c r="EG1008" s="17"/>
      <c r="EH1008" s="17"/>
      <c r="EI1008" s="16"/>
      <c r="EJ1008" s="16"/>
      <c r="EK1008" s="17"/>
      <c r="EL1008" s="17"/>
      <c r="EM1008" s="16"/>
      <c r="EN1008" s="16"/>
      <c r="EO1008" s="17"/>
      <c r="EP1008" s="17"/>
      <c r="EQ1008" s="16"/>
      <c r="ER1008" s="16"/>
      <c r="ES1008" s="17"/>
      <c r="ET1008" s="17"/>
      <c r="EU1008" s="16"/>
      <c r="EV1008" s="16"/>
      <c r="EW1008" s="17"/>
      <c r="EX1008" s="17"/>
      <c r="EY1008" s="16"/>
      <c r="EZ1008" s="16"/>
      <c r="FA1008" s="17"/>
      <c r="FB1008" s="17"/>
      <c r="FC1008" s="16"/>
      <c r="FD1008" s="16"/>
      <c r="FE1008" s="17"/>
      <c r="FF1008" s="17"/>
      <c r="FG1008" s="11"/>
      <c r="GT1008" s="11"/>
      <c r="IG1008" s="11"/>
      <c r="JT1008" s="11"/>
      <c r="LG1008" s="11"/>
      <c r="MT1008" s="11"/>
      <c r="OG1008" s="11"/>
      <c r="PT1008" s="11"/>
    </row>
    <row r="1009" spans="1:436" ht="15.75" x14ac:dyDescent="0.25">
      <c r="C1009" s="20" t="s">
        <v>737</v>
      </c>
      <c r="D1009" s="21" t="s">
        <v>136</v>
      </c>
      <c r="H1009" s="11"/>
      <c r="AU1009" s="11"/>
      <c r="CH1009" s="11"/>
      <c r="CI1009" s="16"/>
      <c r="CJ1009" s="16"/>
      <c r="CK1009" s="16"/>
      <c r="CL1009" s="16"/>
      <c r="CM1009" s="16"/>
      <c r="CN1009" s="16"/>
      <c r="CO1009" s="16"/>
      <c r="CP1009" s="16"/>
      <c r="CQ1009" s="16"/>
      <c r="CR1009" s="16"/>
      <c r="CS1009" s="16"/>
      <c r="CT1009" s="16"/>
      <c r="CU1009" s="16"/>
      <c r="CV1009" s="16"/>
      <c r="CW1009" s="16"/>
      <c r="CX1009" s="16"/>
      <c r="CY1009" s="16"/>
      <c r="CZ1009" s="16"/>
      <c r="DA1009" s="16"/>
      <c r="DB1009" s="16"/>
      <c r="DC1009" s="16"/>
      <c r="DD1009" s="16"/>
      <c r="DE1009" s="17"/>
      <c r="DF1009" s="17"/>
      <c r="DG1009" s="16"/>
      <c r="DH1009" s="16"/>
      <c r="DI1009" s="17"/>
      <c r="DJ1009" s="17"/>
      <c r="DK1009" s="16"/>
      <c r="DL1009" s="16"/>
      <c r="DM1009" s="17"/>
      <c r="DN1009" s="17"/>
      <c r="DO1009" s="16"/>
      <c r="DP1009" s="16"/>
      <c r="DQ1009" s="17"/>
      <c r="DR1009" s="17"/>
      <c r="DS1009" s="16"/>
      <c r="DT1009" s="16"/>
      <c r="DU1009" s="17"/>
      <c r="DV1009" s="17"/>
      <c r="DW1009" s="16"/>
      <c r="DX1009" s="16"/>
      <c r="DY1009" s="17"/>
      <c r="DZ1009" s="17"/>
      <c r="EA1009" s="16"/>
      <c r="EB1009" s="16"/>
      <c r="EC1009" s="18">
        <v>45.7</v>
      </c>
      <c r="ED1009" s="18">
        <v>45.7</v>
      </c>
      <c r="EE1009" s="16"/>
      <c r="EF1009" s="16"/>
      <c r="EG1009" s="17"/>
      <c r="EH1009" s="17"/>
      <c r="EI1009" s="16"/>
      <c r="EJ1009" s="16"/>
      <c r="EK1009" s="17"/>
      <c r="EL1009" s="17"/>
      <c r="EM1009" s="16"/>
      <c r="EN1009" s="16"/>
      <c r="EO1009" s="17"/>
      <c r="EP1009" s="17"/>
      <c r="EQ1009" s="16"/>
      <c r="ER1009" s="16"/>
      <c r="ES1009" s="17"/>
      <c r="ET1009" s="17"/>
      <c r="EU1009" s="16"/>
      <c r="EV1009" s="16"/>
      <c r="EW1009" s="17"/>
      <c r="EX1009" s="17"/>
      <c r="EY1009" s="16"/>
      <c r="EZ1009" s="16"/>
      <c r="FA1009" s="17"/>
      <c r="FB1009" s="17"/>
      <c r="FC1009" s="16"/>
      <c r="FD1009" s="16"/>
      <c r="FE1009" s="17"/>
      <c r="FF1009" s="17"/>
      <c r="FG1009" s="11"/>
      <c r="GT1009" s="11"/>
      <c r="IG1009" s="11"/>
      <c r="JT1009" s="11"/>
      <c r="LG1009" s="11"/>
      <c r="MT1009" s="11"/>
      <c r="OG1009" s="11"/>
      <c r="PT1009" s="11"/>
    </row>
    <row r="1010" spans="1:436" ht="15.75" x14ac:dyDescent="0.25">
      <c r="C1010" s="20" t="s">
        <v>738</v>
      </c>
      <c r="D1010" s="21" t="s">
        <v>82</v>
      </c>
      <c r="H1010" s="11"/>
      <c r="AU1010" s="11"/>
      <c r="CH1010" s="11"/>
      <c r="CI1010" s="16"/>
      <c r="CJ1010" s="16"/>
      <c r="CK1010" s="16"/>
      <c r="CL1010" s="16"/>
      <c r="CM1010" s="16"/>
      <c r="CN1010" s="16"/>
      <c r="CO1010" s="16"/>
      <c r="CP1010" s="16"/>
      <c r="CQ1010" s="16"/>
      <c r="CR1010" s="16"/>
      <c r="CS1010" s="16"/>
      <c r="CT1010" s="16"/>
      <c r="CU1010" s="16"/>
      <c r="CV1010" s="16"/>
      <c r="CW1010" s="16"/>
      <c r="CX1010" s="16"/>
      <c r="CY1010" s="16"/>
      <c r="CZ1010" s="16"/>
      <c r="DA1010" s="16"/>
      <c r="DB1010" s="16"/>
      <c r="DC1010" s="16"/>
      <c r="DD1010" s="16"/>
      <c r="DE1010" s="17"/>
      <c r="DF1010" s="17"/>
      <c r="DG1010" s="16"/>
      <c r="DH1010" s="16"/>
      <c r="DI1010" s="17"/>
      <c r="DJ1010" s="17"/>
      <c r="DK1010" s="16"/>
      <c r="DL1010" s="16"/>
      <c r="DM1010" s="17"/>
      <c r="DN1010" s="17"/>
      <c r="DO1010" s="16"/>
      <c r="DP1010" s="16"/>
      <c r="DQ1010" s="17"/>
      <c r="DR1010" s="17"/>
      <c r="DS1010" s="16"/>
      <c r="DT1010" s="16"/>
      <c r="DU1010" s="17"/>
      <c r="DV1010" s="17"/>
      <c r="DW1010" s="16"/>
      <c r="DX1010" s="16"/>
      <c r="DY1010" s="17"/>
      <c r="DZ1010" s="17"/>
      <c r="EA1010" s="16"/>
      <c r="EB1010" s="16"/>
      <c r="EC1010" s="17"/>
      <c r="ED1010" s="17"/>
      <c r="EE1010" s="16"/>
      <c r="EF1010" s="16"/>
      <c r="EG1010" s="17"/>
      <c r="EH1010" s="17"/>
      <c r="EI1010" s="16"/>
      <c r="EJ1010" s="16"/>
      <c r="EK1010" s="17"/>
      <c r="EL1010" s="17"/>
      <c r="EM1010" s="16"/>
      <c r="EN1010" s="16"/>
      <c r="EO1010" s="17"/>
      <c r="EP1010" s="17"/>
      <c r="EQ1010" s="16"/>
      <c r="ER1010" s="16"/>
      <c r="ES1010" s="17"/>
      <c r="ET1010" s="17"/>
      <c r="EU1010" s="16"/>
      <c r="EV1010" s="16"/>
      <c r="EW1010" s="17"/>
      <c r="EX1010" s="17"/>
      <c r="EY1010" s="16"/>
      <c r="EZ1010" s="16"/>
      <c r="FA1010" s="17"/>
      <c r="FB1010" s="17"/>
      <c r="FC1010" s="16"/>
      <c r="FD1010" s="16"/>
      <c r="FE1010" s="17"/>
      <c r="FF1010" s="17"/>
      <c r="FG1010" s="11"/>
      <c r="GT1010" s="11"/>
      <c r="IG1010" s="11"/>
      <c r="JT1010" s="11"/>
      <c r="LG1010" s="11"/>
      <c r="MT1010" s="11"/>
      <c r="OG1010" s="11"/>
      <c r="PT1010" s="11"/>
    </row>
    <row r="1011" spans="1:436" ht="15.75" x14ac:dyDescent="0.25">
      <c r="C1011" s="20" t="s">
        <v>739</v>
      </c>
      <c r="D1011" s="21" t="s">
        <v>136</v>
      </c>
      <c r="H1011" s="11"/>
      <c r="AU1011" s="11"/>
      <c r="CH1011" s="11"/>
      <c r="CI1011" s="16"/>
      <c r="CJ1011" s="16"/>
      <c r="CK1011" s="16"/>
      <c r="CL1011" s="16"/>
      <c r="CM1011" s="16"/>
      <c r="CN1011" s="16"/>
      <c r="CO1011" s="16"/>
      <c r="CP1011" s="16"/>
      <c r="CQ1011" s="16"/>
      <c r="CR1011" s="16"/>
      <c r="CS1011" s="16"/>
      <c r="CT1011" s="16"/>
      <c r="CU1011" s="16"/>
      <c r="CV1011" s="16"/>
      <c r="CW1011" s="16"/>
      <c r="CX1011" s="16"/>
      <c r="CY1011" s="16"/>
      <c r="CZ1011" s="16"/>
      <c r="DA1011" s="16"/>
      <c r="DB1011" s="16"/>
      <c r="DC1011" s="16"/>
      <c r="DD1011" s="16"/>
      <c r="DE1011" s="17"/>
      <c r="DF1011" s="17"/>
      <c r="DG1011" s="16"/>
      <c r="DH1011" s="16"/>
      <c r="DI1011" s="17"/>
      <c r="DJ1011" s="17"/>
      <c r="DK1011" s="16"/>
      <c r="DL1011" s="16"/>
      <c r="DM1011" s="17"/>
      <c r="DN1011" s="17"/>
      <c r="DO1011" s="16"/>
      <c r="DP1011" s="16"/>
      <c r="DQ1011" s="17"/>
      <c r="DR1011" s="17"/>
      <c r="DS1011" s="16"/>
      <c r="DT1011" s="16"/>
      <c r="DU1011" s="17"/>
      <c r="DV1011" s="17"/>
      <c r="DW1011" s="16"/>
      <c r="DX1011" s="16"/>
      <c r="DY1011" s="17"/>
      <c r="DZ1011" s="17"/>
      <c r="EA1011" s="16"/>
      <c r="EB1011" s="16"/>
      <c r="EC1011" s="17"/>
      <c r="ED1011" s="17"/>
      <c r="EE1011" s="16"/>
      <c r="EF1011" s="16"/>
      <c r="EG1011" s="17"/>
      <c r="EH1011" s="17"/>
      <c r="EI1011" s="16"/>
      <c r="EJ1011" s="16"/>
      <c r="EK1011" s="17"/>
      <c r="EL1011" s="17"/>
      <c r="EM1011" s="16"/>
      <c r="EN1011" s="16"/>
      <c r="EO1011" s="17"/>
      <c r="EP1011" s="17"/>
      <c r="EQ1011" s="16"/>
      <c r="ER1011" s="16"/>
      <c r="ES1011" s="17"/>
      <c r="ET1011" s="17"/>
      <c r="EU1011" s="16"/>
      <c r="EV1011" s="16"/>
      <c r="EW1011" s="17"/>
      <c r="EX1011" s="17"/>
      <c r="EY1011" s="16"/>
      <c r="EZ1011" s="16"/>
      <c r="FA1011" s="17"/>
      <c r="FB1011" s="17"/>
      <c r="FC1011" s="16"/>
      <c r="FD1011" s="16"/>
      <c r="FE1011" s="17"/>
      <c r="FF1011" s="17"/>
      <c r="FG1011" s="11"/>
      <c r="GT1011" s="11"/>
      <c r="IG1011" s="11"/>
      <c r="JT1011" s="11"/>
      <c r="LG1011" s="11"/>
      <c r="MT1011" s="11"/>
      <c r="OG1011" s="11"/>
      <c r="PT1011" s="11"/>
    </row>
    <row r="1012" spans="1:436" ht="15.75" x14ac:dyDescent="0.25">
      <c r="C1012" s="20" t="s">
        <v>740</v>
      </c>
      <c r="D1012" s="21" t="s">
        <v>136</v>
      </c>
      <c r="H1012" s="11"/>
      <c r="AU1012" s="11"/>
      <c r="CH1012" s="11"/>
      <c r="CI1012" s="16"/>
      <c r="CJ1012" s="16"/>
      <c r="CK1012" s="16"/>
      <c r="CL1012" s="16"/>
      <c r="CM1012" s="16"/>
      <c r="CN1012" s="16"/>
      <c r="CO1012" s="16"/>
      <c r="CP1012" s="16"/>
      <c r="CQ1012" s="16"/>
      <c r="CR1012" s="16"/>
      <c r="CS1012" s="16"/>
      <c r="CT1012" s="16"/>
      <c r="CU1012" s="16"/>
      <c r="CV1012" s="16"/>
      <c r="CW1012" s="16"/>
      <c r="CX1012" s="16"/>
      <c r="CY1012" s="16"/>
      <c r="CZ1012" s="16"/>
      <c r="DA1012" s="16"/>
      <c r="DB1012" s="16"/>
      <c r="DC1012" s="16"/>
      <c r="DD1012" s="16"/>
      <c r="DE1012" s="17"/>
      <c r="DF1012" s="17"/>
      <c r="DG1012" s="16"/>
      <c r="DH1012" s="16"/>
      <c r="DI1012" s="17"/>
      <c r="DJ1012" s="17"/>
      <c r="DK1012" s="16"/>
      <c r="DL1012" s="16"/>
      <c r="DM1012" s="17"/>
      <c r="DN1012" s="17"/>
      <c r="DO1012" s="16"/>
      <c r="DP1012" s="16"/>
      <c r="DQ1012" s="17"/>
      <c r="DR1012" s="17"/>
      <c r="DS1012" s="16"/>
      <c r="DT1012" s="16"/>
      <c r="DU1012" s="17"/>
      <c r="DV1012" s="17"/>
      <c r="DW1012" s="16"/>
      <c r="DX1012" s="16"/>
      <c r="DY1012" s="17"/>
      <c r="DZ1012" s="17"/>
      <c r="EA1012" s="16"/>
      <c r="EB1012" s="16"/>
      <c r="EC1012" s="17"/>
      <c r="ED1012" s="17"/>
      <c r="EE1012" s="16"/>
      <c r="EF1012" s="16"/>
      <c r="EG1012" s="17"/>
      <c r="EH1012" s="17"/>
      <c r="EI1012" s="16"/>
      <c r="EJ1012" s="16"/>
      <c r="EK1012" s="17"/>
      <c r="EL1012" s="17"/>
      <c r="EM1012" s="16"/>
      <c r="EN1012" s="16"/>
      <c r="EO1012" s="17"/>
      <c r="EP1012" s="17"/>
      <c r="EQ1012" s="16"/>
      <c r="ER1012" s="16"/>
      <c r="ES1012" s="17"/>
      <c r="ET1012" s="17"/>
      <c r="EU1012" s="16"/>
      <c r="EV1012" s="16"/>
      <c r="EW1012" s="17"/>
      <c r="EX1012" s="17"/>
      <c r="EY1012" s="16"/>
      <c r="EZ1012" s="16"/>
      <c r="FA1012" s="17"/>
      <c r="FB1012" s="17"/>
      <c r="FC1012" s="16"/>
      <c r="FD1012" s="16"/>
      <c r="FE1012" s="17"/>
      <c r="FF1012" s="17"/>
      <c r="FG1012" s="11"/>
      <c r="GT1012" s="11"/>
      <c r="IG1012" s="11"/>
      <c r="JT1012" s="11"/>
      <c r="LG1012" s="11"/>
      <c r="MT1012" s="11"/>
      <c r="OG1012" s="11"/>
      <c r="PT1012" s="11"/>
    </row>
    <row r="1013" spans="1:436" ht="15.75" x14ac:dyDescent="0.25">
      <c r="A1013" s="13"/>
      <c r="B1013" s="14" t="s">
        <v>741</v>
      </c>
      <c r="C1013" s="13"/>
      <c r="D1013" s="13"/>
      <c r="E1013" s="15" t="s">
        <v>127</v>
      </c>
      <c r="F1013" s="15" t="s">
        <v>132</v>
      </c>
      <c r="G1013" s="13"/>
      <c r="H1013" s="11"/>
      <c r="AU1013" s="11"/>
      <c r="CH1013" s="11"/>
      <c r="CI1013" s="16"/>
      <c r="CJ1013" s="16"/>
      <c r="CK1013" s="16"/>
      <c r="CL1013" s="16"/>
      <c r="CM1013" s="16"/>
      <c r="CN1013" s="16"/>
      <c r="CO1013" s="16"/>
      <c r="CP1013" s="16"/>
      <c r="CQ1013" s="16"/>
      <c r="CR1013" s="16"/>
      <c r="CS1013" s="16"/>
      <c r="CT1013" s="16"/>
      <c r="CU1013" s="16"/>
      <c r="CV1013" s="16"/>
      <c r="CW1013" s="16"/>
      <c r="CX1013" s="16"/>
      <c r="CY1013" s="16"/>
      <c r="CZ1013" s="16"/>
      <c r="DA1013" s="16"/>
      <c r="DB1013" s="16"/>
      <c r="DC1013" s="16"/>
      <c r="DD1013" s="16"/>
      <c r="DE1013" s="17"/>
      <c r="DF1013" s="17"/>
      <c r="DG1013" s="16"/>
      <c r="DH1013" s="16"/>
      <c r="DI1013" s="17"/>
      <c r="DJ1013" s="18">
        <v>1</v>
      </c>
      <c r="DK1013" s="16"/>
      <c r="DL1013" s="16"/>
      <c r="DM1013" s="17"/>
      <c r="DN1013" s="17"/>
      <c r="DO1013" s="16"/>
      <c r="DP1013" s="16"/>
      <c r="DQ1013" s="17"/>
      <c r="DR1013" s="17"/>
      <c r="DS1013" s="16"/>
      <c r="DT1013" s="16"/>
      <c r="DU1013" s="17"/>
      <c r="DV1013" s="17"/>
      <c r="DW1013" s="16"/>
      <c r="DX1013" s="16"/>
      <c r="DY1013" s="17"/>
      <c r="DZ1013" s="17"/>
      <c r="EA1013" s="16"/>
      <c r="EB1013" s="16"/>
      <c r="EC1013" s="17"/>
      <c r="ED1013" s="17"/>
      <c r="EE1013" s="16"/>
      <c r="EF1013" s="16"/>
      <c r="EG1013" s="17"/>
      <c r="EH1013" s="17"/>
      <c r="EI1013" s="16"/>
      <c r="EJ1013" s="16"/>
      <c r="EK1013" s="17"/>
      <c r="EL1013" s="17"/>
      <c r="EM1013" s="16"/>
      <c r="EN1013" s="16"/>
      <c r="EO1013" s="17"/>
      <c r="EP1013" s="17"/>
      <c r="EQ1013" s="16"/>
      <c r="ER1013" s="16"/>
      <c r="ES1013" s="17"/>
      <c r="ET1013" s="18">
        <v>30</v>
      </c>
      <c r="EU1013" s="16"/>
      <c r="EV1013" s="16"/>
      <c r="EW1013" s="17"/>
      <c r="EX1013" s="17"/>
      <c r="EY1013" s="16"/>
      <c r="EZ1013" s="16"/>
      <c r="FA1013" s="17"/>
      <c r="FB1013" s="17"/>
      <c r="FC1013" s="16"/>
      <c r="FD1013" s="16"/>
      <c r="FE1013" s="17"/>
      <c r="FF1013" s="17"/>
      <c r="FG1013" s="11"/>
      <c r="GT1013" s="11"/>
      <c r="IG1013" s="11"/>
      <c r="JT1013" s="11"/>
      <c r="LG1013" s="11"/>
      <c r="MT1013" s="11"/>
      <c r="OG1013" s="11"/>
      <c r="PT1013" s="11"/>
    </row>
    <row r="1014" spans="1:436" ht="15.75" x14ac:dyDescent="0.25">
      <c r="A1014" s="13"/>
      <c r="B1014" s="14" t="s">
        <v>742</v>
      </c>
      <c r="C1014" s="13"/>
      <c r="D1014" s="13"/>
      <c r="E1014" s="15" t="s">
        <v>76</v>
      </c>
      <c r="F1014" s="15" t="s">
        <v>77</v>
      </c>
      <c r="G1014" s="13"/>
      <c r="H1014" s="11"/>
      <c r="AU1014" s="11"/>
      <c r="CH1014" s="11"/>
      <c r="CI1014" s="16"/>
      <c r="CJ1014" s="16"/>
      <c r="CK1014" s="16"/>
      <c r="CL1014" s="16"/>
      <c r="CM1014" s="16"/>
      <c r="CN1014" s="16"/>
      <c r="CO1014" s="16"/>
      <c r="CP1014" s="16"/>
      <c r="CQ1014" s="16"/>
      <c r="CR1014" s="16"/>
      <c r="CS1014" s="16"/>
      <c r="CT1014" s="16"/>
      <c r="CU1014" s="16"/>
      <c r="CV1014" s="16"/>
      <c r="CW1014" s="16"/>
      <c r="CX1014" s="16"/>
      <c r="CY1014" s="16"/>
      <c r="CZ1014" s="16"/>
      <c r="DA1014" s="16"/>
      <c r="DB1014" s="16"/>
      <c r="DC1014" s="16"/>
      <c r="DD1014" s="16"/>
      <c r="DE1014" s="17"/>
      <c r="DF1014" s="17"/>
      <c r="DG1014" s="16"/>
      <c r="DH1014" s="16"/>
      <c r="DI1014" s="17"/>
      <c r="DJ1014" s="17"/>
      <c r="DK1014" s="16"/>
      <c r="DL1014" s="16"/>
      <c r="DM1014" s="17"/>
      <c r="DN1014" s="17"/>
      <c r="DO1014" s="16"/>
      <c r="DP1014" s="16"/>
      <c r="DQ1014" s="17"/>
      <c r="DR1014" s="17"/>
      <c r="DS1014" s="16"/>
      <c r="DT1014" s="16"/>
      <c r="DU1014" s="17"/>
      <c r="DV1014" s="17"/>
      <c r="DW1014" s="16"/>
      <c r="DX1014" s="19">
        <v>3</v>
      </c>
      <c r="DY1014" s="17"/>
      <c r="DZ1014" s="17"/>
      <c r="EA1014" s="16"/>
      <c r="EB1014" s="16"/>
      <c r="EC1014" s="18">
        <v>134.30000000000001</v>
      </c>
      <c r="ED1014" s="18">
        <v>182.9</v>
      </c>
      <c r="EE1014" s="16"/>
      <c r="EF1014" s="16"/>
      <c r="EG1014" s="17"/>
      <c r="EH1014" s="17"/>
      <c r="EI1014" s="16"/>
      <c r="EJ1014" s="16"/>
      <c r="EK1014" s="17"/>
      <c r="EL1014" s="17"/>
      <c r="EM1014" s="16"/>
      <c r="EN1014" s="16"/>
      <c r="EO1014" s="17"/>
      <c r="EP1014" s="17"/>
      <c r="EQ1014" s="16"/>
      <c r="ER1014" s="16"/>
      <c r="ES1014" s="17"/>
      <c r="ET1014" s="18">
        <v>60</v>
      </c>
      <c r="EU1014" s="16"/>
      <c r="EV1014" s="16"/>
      <c r="EW1014" s="17"/>
      <c r="EX1014" s="17"/>
      <c r="EY1014" s="16"/>
      <c r="EZ1014" s="16"/>
      <c r="FA1014" s="17"/>
      <c r="FB1014" s="17"/>
      <c r="FC1014" s="16"/>
      <c r="FD1014" s="19">
        <v>2</v>
      </c>
      <c r="FE1014" s="17"/>
      <c r="FF1014" s="17"/>
      <c r="FG1014" s="11"/>
      <c r="GT1014" s="11"/>
      <c r="IG1014" s="11"/>
      <c r="JT1014" s="11"/>
      <c r="LG1014" s="11"/>
      <c r="MT1014" s="11"/>
      <c r="OG1014" s="11"/>
      <c r="PT1014" s="11"/>
    </row>
    <row r="1015" spans="1:436" ht="15.75" x14ac:dyDescent="0.25">
      <c r="C1015" s="20" t="s">
        <v>743</v>
      </c>
      <c r="D1015" s="21" t="s">
        <v>136</v>
      </c>
      <c r="H1015" s="11"/>
      <c r="AU1015" s="11"/>
      <c r="CH1015" s="11"/>
      <c r="CI1015" s="16"/>
      <c r="CJ1015" s="16"/>
      <c r="CK1015" s="16"/>
      <c r="CL1015" s="16"/>
      <c r="CM1015" s="16"/>
      <c r="CN1015" s="16"/>
      <c r="CO1015" s="16"/>
      <c r="CP1015" s="16"/>
      <c r="CQ1015" s="16"/>
      <c r="CR1015" s="16"/>
      <c r="CS1015" s="16"/>
      <c r="CT1015" s="16"/>
      <c r="CU1015" s="16"/>
      <c r="CV1015" s="16"/>
      <c r="CW1015" s="16"/>
      <c r="CX1015" s="16"/>
      <c r="CY1015" s="16"/>
      <c r="CZ1015" s="16"/>
      <c r="DA1015" s="16"/>
      <c r="DB1015" s="16"/>
      <c r="DC1015" s="16"/>
      <c r="DD1015" s="16"/>
      <c r="DE1015" s="17"/>
      <c r="DF1015" s="17"/>
      <c r="DG1015" s="16"/>
      <c r="DH1015" s="16"/>
      <c r="DI1015" s="17"/>
      <c r="DJ1015" s="17"/>
      <c r="DK1015" s="16"/>
      <c r="DL1015" s="16"/>
      <c r="DM1015" s="17"/>
      <c r="DN1015" s="17"/>
      <c r="DO1015" s="16"/>
      <c r="DP1015" s="16"/>
      <c r="DQ1015" s="17"/>
      <c r="DR1015" s="17"/>
      <c r="DS1015" s="16"/>
      <c r="DT1015" s="16"/>
      <c r="DU1015" s="17"/>
      <c r="DV1015" s="17"/>
      <c r="DW1015" s="16"/>
      <c r="DX1015" s="16"/>
      <c r="DY1015" s="17"/>
      <c r="DZ1015" s="17"/>
      <c r="EA1015" s="16"/>
      <c r="EB1015" s="16"/>
      <c r="EC1015" s="18">
        <v>65.7</v>
      </c>
      <c r="ED1015" s="18">
        <v>114.3</v>
      </c>
      <c r="EE1015" s="16"/>
      <c r="EF1015" s="16"/>
      <c r="EG1015" s="17"/>
      <c r="EH1015" s="17"/>
      <c r="EI1015" s="16"/>
      <c r="EJ1015" s="16"/>
      <c r="EK1015" s="17"/>
      <c r="EL1015" s="17"/>
      <c r="EM1015" s="16"/>
      <c r="EN1015" s="16"/>
      <c r="EO1015" s="17"/>
      <c r="EP1015" s="17"/>
      <c r="EQ1015" s="16"/>
      <c r="ER1015" s="16"/>
      <c r="ES1015" s="17"/>
      <c r="ET1015" s="17"/>
      <c r="EU1015" s="16"/>
      <c r="EV1015" s="16"/>
      <c r="EW1015" s="17"/>
      <c r="EX1015" s="17"/>
      <c r="EY1015" s="16"/>
      <c r="EZ1015" s="16"/>
      <c r="FA1015" s="17"/>
      <c r="FB1015" s="17"/>
      <c r="FC1015" s="16"/>
      <c r="FD1015" s="16"/>
      <c r="FE1015" s="17"/>
      <c r="FF1015" s="17"/>
      <c r="FG1015" s="11"/>
      <c r="GT1015" s="11"/>
      <c r="IG1015" s="11"/>
      <c r="JT1015" s="11"/>
      <c r="LG1015" s="11"/>
      <c r="MT1015" s="11"/>
      <c r="OG1015" s="11"/>
      <c r="PT1015" s="11"/>
    </row>
    <row r="1016" spans="1:436" ht="15.75" x14ac:dyDescent="0.25">
      <c r="C1016" s="20" t="s">
        <v>744</v>
      </c>
      <c r="D1016" s="21" t="s">
        <v>136</v>
      </c>
      <c r="H1016" s="11"/>
      <c r="AU1016" s="11"/>
      <c r="CH1016" s="11"/>
      <c r="CI1016" s="16"/>
      <c r="CJ1016" s="16"/>
      <c r="CK1016" s="16"/>
      <c r="CL1016" s="16"/>
      <c r="CM1016" s="16"/>
      <c r="CN1016" s="16"/>
      <c r="CO1016" s="16"/>
      <c r="CP1016" s="16"/>
      <c r="CQ1016" s="16"/>
      <c r="CR1016" s="16"/>
      <c r="CS1016" s="16"/>
      <c r="CT1016" s="16"/>
      <c r="CU1016" s="16"/>
      <c r="CV1016" s="16"/>
      <c r="CW1016" s="16"/>
      <c r="CX1016" s="16"/>
      <c r="CY1016" s="16"/>
      <c r="CZ1016" s="16"/>
      <c r="DA1016" s="16"/>
      <c r="DB1016" s="16"/>
      <c r="DC1016" s="16"/>
      <c r="DD1016" s="16"/>
      <c r="DE1016" s="17"/>
      <c r="DF1016" s="17"/>
      <c r="DG1016" s="16"/>
      <c r="DH1016" s="16"/>
      <c r="DI1016" s="17"/>
      <c r="DJ1016" s="17"/>
      <c r="DK1016" s="16"/>
      <c r="DL1016" s="16"/>
      <c r="DM1016" s="17"/>
      <c r="DN1016" s="17"/>
      <c r="DO1016" s="16"/>
      <c r="DP1016" s="16"/>
      <c r="DQ1016" s="17"/>
      <c r="DR1016" s="17"/>
      <c r="DS1016" s="16"/>
      <c r="DT1016" s="16"/>
      <c r="DU1016" s="17"/>
      <c r="DV1016" s="17"/>
      <c r="DW1016" s="16"/>
      <c r="DX1016" s="16"/>
      <c r="DY1016" s="17"/>
      <c r="DZ1016" s="17"/>
      <c r="EA1016" s="16"/>
      <c r="EB1016" s="16"/>
      <c r="EC1016" s="18">
        <v>68.599999999999994</v>
      </c>
      <c r="ED1016" s="18">
        <v>68.599999999999994</v>
      </c>
      <c r="EE1016" s="16"/>
      <c r="EF1016" s="16"/>
      <c r="EG1016" s="17"/>
      <c r="EH1016" s="17"/>
      <c r="EI1016" s="16"/>
      <c r="EJ1016" s="16"/>
      <c r="EK1016" s="17"/>
      <c r="EL1016" s="17"/>
      <c r="EM1016" s="16"/>
      <c r="EN1016" s="16"/>
      <c r="EO1016" s="17"/>
      <c r="EP1016" s="17"/>
      <c r="EQ1016" s="16"/>
      <c r="ER1016" s="16"/>
      <c r="ES1016" s="17"/>
      <c r="ET1016" s="17"/>
      <c r="EU1016" s="16"/>
      <c r="EV1016" s="16"/>
      <c r="EW1016" s="17"/>
      <c r="EX1016" s="17"/>
      <c r="EY1016" s="16"/>
      <c r="EZ1016" s="16"/>
      <c r="FA1016" s="17"/>
      <c r="FB1016" s="17"/>
      <c r="FC1016" s="16"/>
      <c r="FD1016" s="16"/>
      <c r="FE1016" s="17"/>
      <c r="FF1016" s="17"/>
      <c r="FG1016" s="11"/>
      <c r="GT1016" s="11"/>
      <c r="IG1016" s="11"/>
      <c r="JT1016" s="11"/>
      <c r="LG1016" s="11"/>
      <c r="MT1016" s="11"/>
      <c r="OG1016" s="11"/>
      <c r="PT1016" s="11"/>
    </row>
    <row r="1017" spans="1:436" ht="15.75" x14ac:dyDescent="0.25">
      <c r="C1017" s="20" t="s">
        <v>745</v>
      </c>
      <c r="D1017" s="21" t="s">
        <v>136</v>
      </c>
      <c r="H1017" s="11"/>
      <c r="AU1017" s="11"/>
      <c r="CH1017" s="11"/>
      <c r="CI1017" s="16"/>
      <c r="CJ1017" s="16"/>
      <c r="CK1017" s="16"/>
      <c r="CL1017" s="16"/>
      <c r="CM1017" s="16"/>
      <c r="CN1017" s="16"/>
      <c r="CO1017" s="16"/>
      <c r="CP1017" s="16"/>
      <c r="CQ1017" s="16"/>
      <c r="CR1017" s="16"/>
      <c r="CS1017" s="16"/>
      <c r="CT1017" s="16"/>
      <c r="CU1017" s="16"/>
      <c r="CV1017" s="16"/>
      <c r="CW1017" s="16"/>
      <c r="CX1017" s="16"/>
      <c r="CY1017" s="16"/>
      <c r="CZ1017" s="16"/>
      <c r="DA1017" s="16"/>
      <c r="DB1017" s="16"/>
      <c r="DC1017" s="16"/>
      <c r="DD1017" s="16"/>
      <c r="DE1017" s="17"/>
      <c r="DF1017" s="17"/>
      <c r="DG1017" s="16"/>
      <c r="DH1017" s="16"/>
      <c r="DI1017" s="17"/>
      <c r="DJ1017" s="17"/>
      <c r="DK1017" s="16"/>
      <c r="DL1017" s="16"/>
      <c r="DM1017" s="17"/>
      <c r="DN1017" s="17"/>
      <c r="DO1017" s="16"/>
      <c r="DP1017" s="16"/>
      <c r="DQ1017" s="17"/>
      <c r="DR1017" s="17"/>
      <c r="DS1017" s="16"/>
      <c r="DT1017" s="16"/>
      <c r="DU1017" s="17"/>
      <c r="DV1017" s="17"/>
      <c r="DW1017" s="16"/>
      <c r="DX1017" s="16"/>
      <c r="DY1017" s="17"/>
      <c r="DZ1017" s="17"/>
      <c r="EA1017" s="16"/>
      <c r="EB1017" s="16"/>
      <c r="EC1017" s="17"/>
      <c r="ED1017" s="17"/>
      <c r="EE1017" s="16"/>
      <c r="EF1017" s="16"/>
      <c r="EG1017" s="17"/>
      <c r="EH1017" s="17"/>
      <c r="EI1017" s="16"/>
      <c r="EJ1017" s="16"/>
      <c r="EK1017" s="17"/>
      <c r="EL1017" s="17"/>
      <c r="EM1017" s="16"/>
      <c r="EN1017" s="16"/>
      <c r="EO1017" s="17"/>
      <c r="EP1017" s="17"/>
      <c r="EQ1017" s="16"/>
      <c r="ER1017" s="16"/>
      <c r="ES1017" s="17"/>
      <c r="ET1017" s="17"/>
      <c r="EU1017" s="16"/>
      <c r="EV1017" s="16"/>
      <c r="EW1017" s="17"/>
      <c r="EX1017" s="17"/>
      <c r="EY1017" s="16"/>
      <c r="EZ1017" s="16"/>
      <c r="FA1017" s="17"/>
      <c r="FB1017" s="17"/>
      <c r="FC1017" s="16"/>
      <c r="FD1017" s="16"/>
      <c r="FE1017" s="17"/>
      <c r="FF1017" s="17"/>
      <c r="FG1017" s="11"/>
      <c r="GT1017" s="11"/>
      <c r="IG1017" s="11"/>
      <c r="JT1017" s="11"/>
      <c r="LG1017" s="11"/>
      <c r="MT1017" s="11"/>
      <c r="OG1017" s="11"/>
      <c r="PT1017" s="11"/>
    </row>
    <row r="1018" spans="1:436" ht="15.75" x14ac:dyDescent="0.25">
      <c r="A1018" s="13"/>
      <c r="B1018" s="14" t="s">
        <v>746</v>
      </c>
      <c r="C1018" s="13"/>
      <c r="D1018" s="13"/>
      <c r="E1018" s="15" t="s">
        <v>127</v>
      </c>
      <c r="F1018" s="15" t="s">
        <v>177</v>
      </c>
      <c r="G1018" s="13"/>
      <c r="H1018" s="11"/>
      <c r="AU1018" s="11"/>
      <c r="CH1018" s="11"/>
      <c r="CI1018" s="16"/>
      <c r="CJ1018" s="16"/>
      <c r="CK1018" s="16"/>
      <c r="CL1018" s="16"/>
      <c r="CM1018" s="16"/>
      <c r="CN1018" s="16"/>
      <c r="CO1018" s="16"/>
      <c r="CP1018" s="16"/>
      <c r="CQ1018" s="16"/>
      <c r="CR1018" s="16"/>
      <c r="CS1018" s="16"/>
      <c r="CT1018" s="16"/>
      <c r="CU1018" s="16"/>
      <c r="CV1018" s="16"/>
      <c r="CW1018" s="16"/>
      <c r="CX1018" s="16"/>
      <c r="CY1018" s="16"/>
      <c r="CZ1018" s="16"/>
      <c r="DA1018" s="16"/>
      <c r="DB1018" s="16"/>
      <c r="DC1018" s="16"/>
      <c r="DD1018" s="16"/>
      <c r="DE1018" s="17"/>
      <c r="DF1018" s="17"/>
      <c r="DG1018" s="16"/>
      <c r="DH1018" s="16"/>
      <c r="DI1018" s="17"/>
      <c r="DJ1018" s="17"/>
      <c r="DK1018" s="16"/>
      <c r="DL1018" s="16"/>
      <c r="DM1018" s="17"/>
      <c r="DN1018" s="17"/>
      <c r="DO1018" s="16"/>
      <c r="DP1018" s="16"/>
      <c r="DQ1018" s="17"/>
      <c r="DR1018" s="17"/>
      <c r="DS1018" s="16"/>
      <c r="DT1018" s="16"/>
      <c r="DU1018" s="17"/>
      <c r="DV1018" s="17"/>
      <c r="DW1018" s="16"/>
      <c r="DX1018" s="16"/>
      <c r="DY1018" s="17"/>
      <c r="DZ1018" s="17"/>
      <c r="EA1018" s="16"/>
      <c r="EB1018" s="16"/>
      <c r="EC1018" s="17"/>
      <c r="ED1018" s="17"/>
      <c r="EE1018" s="16"/>
      <c r="EF1018" s="16"/>
      <c r="EG1018" s="17"/>
      <c r="EH1018" s="17"/>
      <c r="EI1018" s="16"/>
      <c r="EJ1018" s="16"/>
      <c r="EK1018" s="17"/>
      <c r="EL1018" s="17"/>
      <c r="EM1018" s="16"/>
      <c r="EN1018" s="16"/>
      <c r="EO1018" s="17"/>
      <c r="EP1018" s="17"/>
      <c r="EQ1018" s="16"/>
      <c r="ER1018" s="16"/>
      <c r="ES1018" s="17"/>
      <c r="ET1018" s="18">
        <v>30</v>
      </c>
      <c r="EU1018" s="16"/>
      <c r="EV1018" s="16"/>
      <c r="EW1018" s="17"/>
      <c r="EX1018" s="17"/>
      <c r="EY1018" s="16"/>
      <c r="EZ1018" s="16"/>
      <c r="FA1018" s="17"/>
      <c r="FB1018" s="17"/>
      <c r="FC1018" s="16"/>
      <c r="FD1018" s="16"/>
      <c r="FE1018" s="17"/>
      <c r="FF1018" s="17"/>
      <c r="FG1018" s="11"/>
      <c r="GT1018" s="11"/>
      <c r="IG1018" s="11"/>
      <c r="JT1018" s="11"/>
      <c r="LG1018" s="11"/>
      <c r="MT1018" s="11"/>
      <c r="OG1018" s="11"/>
      <c r="PT1018" s="11"/>
    </row>
    <row r="1019" spans="1:436" ht="15.75" x14ac:dyDescent="0.25">
      <c r="A1019" s="13"/>
      <c r="B1019" s="14" t="s">
        <v>747</v>
      </c>
      <c r="C1019" s="13"/>
      <c r="D1019" s="13"/>
      <c r="E1019" s="15" t="s">
        <v>127</v>
      </c>
      <c r="F1019" s="15" t="s">
        <v>177</v>
      </c>
      <c r="G1019" s="13"/>
      <c r="H1019" s="11"/>
      <c r="AU1019" s="11"/>
      <c r="CH1019" s="11"/>
      <c r="CI1019" s="16"/>
      <c r="CJ1019" s="16"/>
      <c r="CK1019" s="16"/>
      <c r="CL1019" s="16"/>
      <c r="CM1019" s="16"/>
      <c r="CN1019" s="16"/>
      <c r="CO1019" s="16"/>
      <c r="CP1019" s="16"/>
      <c r="CQ1019" s="16"/>
      <c r="CR1019" s="16"/>
      <c r="CS1019" s="16"/>
      <c r="CT1019" s="16"/>
      <c r="CU1019" s="16"/>
      <c r="CV1019" s="16"/>
      <c r="CW1019" s="16"/>
      <c r="CX1019" s="16"/>
      <c r="CY1019" s="16"/>
      <c r="CZ1019" s="16"/>
      <c r="DA1019" s="16"/>
      <c r="DB1019" s="16"/>
      <c r="DC1019" s="16"/>
      <c r="DD1019" s="16"/>
      <c r="DE1019" s="17"/>
      <c r="DF1019" s="17"/>
      <c r="DG1019" s="16"/>
      <c r="DH1019" s="16"/>
      <c r="DI1019" s="17"/>
      <c r="DJ1019" s="17"/>
      <c r="DK1019" s="16"/>
      <c r="DL1019" s="16"/>
      <c r="DM1019" s="17"/>
      <c r="DN1019" s="17"/>
      <c r="DO1019" s="16"/>
      <c r="DP1019" s="16"/>
      <c r="DQ1019" s="17"/>
      <c r="DR1019" s="17"/>
      <c r="DS1019" s="16"/>
      <c r="DT1019" s="16"/>
      <c r="DU1019" s="17"/>
      <c r="DV1019" s="17"/>
      <c r="DW1019" s="16"/>
      <c r="DX1019" s="16"/>
      <c r="DY1019" s="17"/>
      <c r="DZ1019" s="17"/>
      <c r="EA1019" s="16"/>
      <c r="EB1019" s="16"/>
      <c r="EC1019" s="17"/>
      <c r="ED1019" s="17"/>
      <c r="EE1019" s="16"/>
      <c r="EF1019" s="16"/>
      <c r="EG1019" s="17"/>
      <c r="EH1019" s="17"/>
      <c r="EI1019" s="16"/>
      <c r="EJ1019" s="16"/>
      <c r="EK1019" s="17"/>
      <c r="EL1019" s="17"/>
      <c r="EM1019" s="16"/>
      <c r="EN1019" s="16"/>
      <c r="EO1019" s="17"/>
      <c r="EP1019" s="17"/>
      <c r="EQ1019" s="16"/>
      <c r="ER1019" s="16"/>
      <c r="ES1019" s="17"/>
      <c r="ET1019" s="17"/>
      <c r="EU1019" s="16"/>
      <c r="EV1019" s="16"/>
      <c r="EW1019" s="17"/>
      <c r="EX1019" s="17"/>
      <c r="EY1019" s="16"/>
      <c r="EZ1019" s="16"/>
      <c r="FA1019" s="17"/>
      <c r="FB1019" s="17"/>
      <c r="FC1019" s="16"/>
      <c r="FD1019" s="16"/>
      <c r="FE1019" s="17"/>
      <c r="FF1019" s="17"/>
      <c r="FG1019" s="11"/>
      <c r="GT1019" s="11"/>
      <c r="IG1019" s="11"/>
      <c r="JT1019" s="11"/>
      <c r="LG1019" s="11"/>
      <c r="MT1019" s="11"/>
      <c r="OG1019" s="11"/>
      <c r="PT1019" s="11"/>
    </row>
    <row r="1020" spans="1:436" ht="15.75" x14ac:dyDescent="0.25">
      <c r="A1020" s="13"/>
      <c r="B1020" s="14" t="s">
        <v>748</v>
      </c>
      <c r="C1020" s="13"/>
      <c r="D1020" s="13"/>
      <c r="E1020" s="15" t="s">
        <v>127</v>
      </c>
      <c r="F1020" s="15" t="s">
        <v>77</v>
      </c>
      <c r="G1020" s="13"/>
      <c r="H1020" s="11"/>
      <c r="AU1020" s="11"/>
      <c r="CH1020" s="11"/>
      <c r="CI1020" s="16"/>
      <c r="CJ1020" s="16"/>
      <c r="CK1020" s="16"/>
      <c r="CL1020" s="16"/>
      <c r="CM1020" s="16"/>
      <c r="CN1020" s="16"/>
      <c r="CO1020" s="16"/>
      <c r="CP1020" s="16"/>
      <c r="CQ1020" s="16"/>
      <c r="CR1020" s="16"/>
      <c r="CS1020" s="16"/>
      <c r="CT1020" s="16"/>
      <c r="CU1020" s="16"/>
      <c r="CV1020" s="16"/>
      <c r="CW1020" s="16"/>
      <c r="CX1020" s="16"/>
      <c r="CY1020" s="16"/>
      <c r="CZ1020" s="16"/>
      <c r="DA1020" s="16"/>
      <c r="DB1020" s="16"/>
      <c r="DC1020" s="16"/>
      <c r="DD1020" s="16"/>
      <c r="DE1020" s="17"/>
      <c r="DF1020" s="17"/>
      <c r="DG1020" s="16"/>
      <c r="DH1020" s="16"/>
      <c r="DI1020" s="17"/>
      <c r="DJ1020" s="17"/>
      <c r="DK1020" s="16"/>
      <c r="DL1020" s="16"/>
      <c r="DM1020" s="17"/>
      <c r="DN1020" s="17"/>
      <c r="DO1020" s="16"/>
      <c r="DP1020" s="16"/>
      <c r="DQ1020" s="17"/>
      <c r="DR1020" s="17"/>
      <c r="DS1020" s="16"/>
      <c r="DT1020" s="16"/>
      <c r="DU1020" s="17"/>
      <c r="DV1020" s="17"/>
      <c r="DW1020" s="16"/>
      <c r="DX1020" s="16"/>
      <c r="DY1020" s="17"/>
      <c r="DZ1020" s="17"/>
      <c r="EA1020" s="16"/>
      <c r="EB1020" s="16"/>
      <c r="EC1020" s="17"/>
      <c r="ED1020" s="17"/>
      <c r="EE1020" s="16"/>
      <c r="EF1020" s="16"/>
      <c r="EG1020" s="17"/>
      <c r="EH1020" s="17"/>
      <c r="EI1020" s="16"/>
      <c r="EJ1020" s="16"/>
      <c r="EK1020" s="17"/>
      <c r="EL1020" s="17"/>
      <c r="EM1020" s="16"/>
      <c r="EN1020" s="16"/>
      <c r="EO1020" s="17"/>
      <c r="EP1020" s="17"/>
      <c r="EQ1020" s="16"/>
      <c r="ER1020" s="16"/>
      <c r="ES1020" s="17"/>
      <c r="ET1020" s="17"/>
      <c r="EU1020" s="16"/>
      <c r="EV1020" s="16"/>
      <c r="EW1020" s="17"/>
      <c r="EX1020" s="17"/>
      <c r="EY1020" s="16"/>
      <c r="EZ1020" s="16"/>
      <c r="FA1020" s="17"/>
      <c r="FB1020" s="17"/>
      <c r="FC1020" s="16"/>
      <c r="FD1020" s="16"/>
      <c r="FE1020" s="17"/>
      <c r="FF1020" s="17"/>
      <c r="FG1020" s="11"/>
      <c r="GT1020" s="11"/>
      <c r="IG1020" s="11"/>
      <c r="JT1020" s="11"/>
      <c r="LG1020" s="11"/>
      <c r="MT1020" s="11"/>
      <c r="OG1020" s="11"/>
      <c r="PT1020" s="11"/>
    </row>
    <row r="1021" spans="1:436" ht="15.75" x14ac:dyDescent="0.25">
      <c r="A1021" s="13"/>
      <c r="B1021" s="14" t="s">
        <v>749</v>
      </c>
      <c r="C1021" s="13"/>
      <c r="D1021" s="13"/>
      <c r="E1021" s="15" t="s">
        <v>217</v>
      </c>
      <c r="F1021" s="15" t="s">
        <v>177</v>
      </c>
      <c r="G1021" s="13"/>
      <c r="H1021" s="11"/>
      <c r="AU1021" s="11"/>
      <c r="CH1021" s="11"/>
      <c r="CI1021" s="16"/>
      <c r="CJ1021" s="16"/>
      <c r="CK1021" s="16"/>
      <c r="CL1021" s="16"/>
      <c r="CM1021" s="16"/>
      <c r="CN1021" s="16"/>
      <c r="CO1021" s="16"/>
      <c r="CP1021" s="16"/>
      <c r="CQ1021" s="16"/>
      <c r="CR1021" s="16"/>
      <c r="CS1021" s="16"/>
      <c r="CT1021" s="16"/>
      <c r="CU1021" s="16"/>
      <c r="CV1021" s="16"/>
      <c r="CW1021" s="16"/>
      <c r="CX1021" s="16"/>
      <c r="CY1021" s="16"/>
      <c r="CZ1021" s="16"/>
      <c r="DA1021" s="16"/>
      <c r="DB1021" s="16"/>
      <c r="DC1021" s="16"/>
      <c r="DD1021" s="16"/>
      <c r="DE1021" s="17"/>
      <c r="DF1021" s="17"/>
      <c r="DG1021" s="16"/>
      <c r="DH1021" s="16"/>
      <c r="DI1021" s="17"/>
      <c r="DJ1021" s="17"/>
      <c r="DK1021" s="16"/>
      <c r="DL1021" s="16"/>
      <c r="DM1021" s="17"/>
      <c r="DN1021" s="17"/>
      <c r="DO1021" s="16"/>
      <c r="DP1021" s="16"/>
      <c r="DQ1021" s="17"/>
      <c r="DR1021" s="17"/>
      <c r="DS1021" s="16"/>
      <c r="DT1021" s="16"/>
      <c r="DU1021" s="17"/>
      <c r="DV1021" s="18">
        <v>5</v>
      </c>
      <c r="DW1021" s="16"/>
      <c r="DX1021" s="16"/>
      <c r="DY1021" s="17"/>
      <c r="DZ1021" s="17"/>
      <c r="EA1021" s="16"/>
      <c r="EB1021" s="16"/>
      <c r="EC1021" s="17"/>
      <c r="ED1021" s="17"/>
      <c r="EE1021" s="16"/>
      <c r="EF1021" s="16"/>
      <c r="EG1021" s="17"/>
      <c r="EH1021" s="17"/>
      <c r="EI1021" s="16"/>
      <c r="EJ1021" s="16"/>
      <c r="EK1021" s="17"/>
      <c r="EL1021" s="18">
        <v>15</v>
      </c>
      <c r="EM1021" s="16"/>
      <c r="EN1021" s="16"/>
      <c r="EO1021" s="17"/>
      <c r="EP1021" s="17"/>
      <c r="EQ1021" s="16"/>
      <c r="ER1021" s="16"/>
      <c r="ES1021" s="17"/>
      <c r="ET1021" s="18">
        <v>5</v>
      </c>
      <c r="EU1021" s="16"/>
      <c r="EV1021" s="16"/>
      <c r="EW1021" s="17"/>
      <c r="EX1021" s="17"/>
      <c r="EY1021" s="16"/>
      <c r="EZ1021" s="16"/>
      <c r="FA1021" s="17"/>
      <c r="FB1021" s="17"/>
      <c r="FC1021" s="16"/>
      <c r="FD1021" s="16"/>
      <c r="FE1021" s="17"/>
      <c r="FF1021" s="17"/>
      <c r="FG1021" s="11"/>
      <c r="GT1021" s="11"/>
      <c r="IG1021" s="11"/>
      <c r="JT1021" s="11"/>
      <c r="LG1021" s="11"/>
      <c r="MT1021" s="11"/>
      <c r="OG1021" s="11"/>
      <c r="PT1021" s="11"/>
    </row>
    <row r="1022" spans="1:436" ht="15.75" x14ac:dyDescent="0.25">
      <c r="C1022" s="20" t="s">
        <v>750</v>
      </c>
      <c r="D1022" s="21" t="s">
        <v>82</v>
      </c>
      <c r="H1022" s="11"/>
      <c r="AU1022" s="11"/>
      <c r="CH1022" s="11"/>
      <c r="CI1022" s="16"/>
      <c r="CJ1022" s="16"/>
      <c r="CK1022" s="16"/>
      <c r="CL1022" s="16"/>
      <c r="CM1022" s="16"/>
      <c r="CN1022" s="16"/>
      <c r="CO1022" s="16"/>
      <c r="CP1022" s="16"/>
      <c r="CQ1022" s="16"/>
      <c r="CR1022" s="16"/>
      <c r="CS1022" s="16"/>
      <c r="CT1022" s="16"/>
      <c r="CU1022" s="16"/>
      <c r="CV1022" s="16"/>
      <c r="CW1022" s="16"/>
      <c r="CX1022" s="16"/>
      <c r="CY1022" s="16"/>
      <c r="CZ1022" s="16"/>
      <c r="DA1022" s="16"/>
      <c r="DB1022" s="16"/>
      <c r="DC1022" s="16"/>
      <c r="DD1022" s="16"/>
      <c r="DE1022" s="17"/>
      <c r="DF1022" s="17"/>
      <c r="DG1022" s="16"/>
      <c r="DH1022" s="16"/>
      <c r="DI1022" s="17"/>
      <c r="DJ1022" s="17"/>
      <c r="DK1022" s="16"/>
      <c r="DL1022" s="16"/>
      <c r="DM1022" s="17"/>
      <c r="DN1022" s="17"/>
      <c r="DO1022" s="16"/>
      <c r="DP1022" s="16"/>
      <c r="DQ1022" s="17"/>
      <c r="DR1022" s="17"/>
      <c r="DS1022" s="16"/>
      <c r="DT1022" s="16"/>
      <c r="DU1022" s="17"/>
      <c r="DV1022" s="17"/>
      <c r="DW1022" s="16"/>
      <c r="DX1022" s="16"/>
      <c r="DY1022" s="17"/>
      <c r="DZ1022" s="17"/>
      <c r="EA1022" s="16"/>
      <c r="EB1022" s="16"/>
      <c r="EC1022" s="17"/>
      <c r="ED1022" s="17"/>
      <c r="EE1022" s="16"/>
      <c r="EF1022" s="16"/>
      <c r="EG1022" s="17"/>
      <c r="EH1022" s="17"/>
      <c r="EI1022" s="16"/>
      <c r="EJ1022" s="16"/>
      <c r="EK1022" s="17"/>
      <c r="EL1022" s="17"/>
      <c r="EM1022" s="16"/>
      <c r="EN1022" s="16"/>
      <c r="EO1022" s="17"/>
      <c r="EP1022" s="17"/>
      <c r="EQ1022" s="16"/>
      <c r="ER1022" s="16"/>
      <c r="ES1022" s="17"/>
      <c r="ET1022" s="17"/>
      <c r="EU1022" s="16"/>
      <c r="EV1022" s="16"/>
      <c r="EW1022" s="17"/>
      <c r="EX1022" s="17"/>
      <c r="EY1022" s="16"/>
      <c r="EZ1022" s="16"/>
      <c r="FA1022" s="17"/>
      <c r="FB1022" s="17"/>
      <c r="FC1022" s="16"/>
      <c r="FD1022" s="16"/>
      <c r="FE1022" s="17"/>
      <c r="FF1022" s="17"/>
      <c r="FG1022" s="11"/>
      <c r="GT1022" s="11"/>
      <c r="IG1022" s="11"/>
      <c r="JT1022" s="11"/>
      <c r="LG1022" s="11"/>
      <c r="MT1022" s="11"/>
      <c r="OG1022" s="11"/>
      <c r="PT1022" s="11"/>
    </row>
    <row r="1023" spans="1:436" ht="15.75" x14ac:dyDescent="0.25">
      <c r="C1023" s="20" t="s">
        <v>751</v>
      </c>
      <c r="D1023" s="21" t="s">
        <v>90</v>
      </c>
      <c r="H1023" s="11"/>
      <c r="AU1023" s="11"/>
      <c r="CH1023" s="11"/>
      <c r="CI1023" s="16"/>
      <c r="CJ1023" s="16"/>
      <c r="CK1023" s="16"/>
      <c r="CL1023" s="16"/>
      <c r="CM1023" s="16"/>
      <c r="CN1023" s="16"/>
      <c r="CO1023" s="16"/>
      <c r="CP1023" s="16"/>
      <c r="CQ1023" s="16"/>
      <c r="CR1023" s="16"/>
      <c r="CS1023" s="16"/>
      <c r="CT1023" s="16"/>
      <c r="CU1023" s="16"/>
      <c r="CV1023" s="16"/>
      <c r="CW1023" s="16"/>
      <c r="CX1023" s="16"/>
      <c r="CY1023" s="16"/>
      <c r="CZ1023" s="16"/>
      <c r="DA1023" s="16"/>
      <c r="DB1023" s="16"/>
      <c r="DC1023" s="16"/>
      <c r="DD1023" s="16"/>
      <c r="DE1023" s="17"/>
      <c r="DF1023" s="17"/>
      <c r="DG1023" s="16"/>
      <c r="DH1023" s="16"/>
      <c r="DI1023" s="17"/>
      <c r="DJ1023" s="17"/>
      <c r="DK1023" s="16"/>
      <c r="DL1023" s="16"/>
      <c r="DM1023" s="17"/>
      <c r="DN1023" s="17"/>
      <c r="DO1023" s="16"/>
      <c r="DP1023" s="16"/>
      <c r="DQ1023" s="17"/>
      <c r="DR1023" s="17"/>
      <c r="DS1023" s="16"/>
      <c r="DT1023" s="16"/>
      <c r="DU1023" s="17"/>
      <c r="DV1023" s="17"/>
      <c r="DW1023" s="16"/>
      <c r="DX1023" s="16"/>
      <c r="DY1023" s="17"/>
      <c r="DZ1023" s="17"/>
      <c r="EA1023" s="16"/>
      <c r="EB1023" s="16"/>
      <c r="EC1023" s="17"/>
      <c r="ED1023" s="17"/>
      <c r="EE1023" s="16"/>
      <c r="EF1023" s="16"/>
      <c r="EG1023" s="17"/>
      <c r="EH1023" s="17"/>
      <c r="EI1023" s="16"/>
      <c r="EJ1023" s="16"/>
      <c r="EK1023" s="17"/>
      <c r="EL1023" s="17"/>
      <c r="EM1023" s="16"/>
      <c r="EN1023" s="16"/>
      <c r="EO1023" s="17"/>
      <c r="EP1023" s="17"/>
      <c r="EQ1023" s="16"/>
      <c r="ER1023" s="16"/>
      <c r="ES1023" s="17"/>
      <c r="ET1023" s="17"/>
      <c r="EU1023" s="16"/>
      <c r="EV1023" s="16"/>
      <c r="EW1023" s="17"/>
      <c r="EX1023" s="17"/>
      <c r="EY1023" s="16"/>
      <c r="EZ1023" s="16"/>
      <c r="FA1023" s="17"/>
      <c r="FB1023" s="17"/>
      <c r="FC1023" s="16"/>
      <c r="FD1023" s="16"/>
      <c r="FE1023" s="17"/>
      <c r="FF1023" s="17"/>
      <c r="FG1023" s="11"/>
      <c r="GT1023" s="11"/>
      <c r="IG1023" s="11"/>
      <c r="JT1023" s="11"/>
      <c r="LG1023" s="11"/>
      <c r="MT1023" s="11"/>
      <c r="OG1023" s="11"/>
      <c r="PT1023" s="11"/>
    </row>
    <row r="1024" spans="1:436" ht="15.75" x14ac:dyDescent="0.25">
      <c r="C1024" s="20" t="s">
        <v>750</v>
      </c>
      <c r="D1024" s="21" t="s">
        <v>82</v>
      </c>
      <c r="H1024" s="11"/>
      <c r="AU1024" s="11"/>
      <c r="CH1024" s="11"/>
      <c r="CI1024" s="16"/>
      <c r="CJ1024" s="16"/>
      <c r="CK1024" s="16"/>
      <c r="CL1024" s="16"/>
      <c r="CM1024" s="16"/>
      <c r="CN1024" s="16"/>
      <c r="CO1024" s="16"/>
      <c r="CP1024" s="16"/>
      <c r="CQ1024" s="16"/>
      <c r="CR1024" s="16"/>
      <c r="CS1024" s="16"/>
      <c r="CT1024" s="16"/>
      <c r="CU1024" s="16"/>
      <c r="CV1024" s="16"/>
      <c r="CW1024" s="16"/>
      <c r="CX1024" s="16"/>
      <c r="CY1024" s="16"/>
      <c r="CZ1024" s="16"/>
      <c r="DA1024" s="16"/>
      <c r="DB1024" s="16"/>
      <c r="DC1024" s="16"/>
      <c r="DD1024" s="16"/>
      <c r="DE1024" s="17"/>
      <c r="DF1024" s="17"/>
      <c r="DG1024" s="16"/>
      <c r="DH1024" s="16"/>
      <c r="DI1024" s="17"/>
      <c r="DJ1024" s="17"/>
      <c r="DK1024" s="16"/>
      <c r="DL1024" s="16"/>
      <c r="DM1024" s="17"/>
      <c r="DN1024" s="17"/>
      <c r="DO1024" s="16"/>
      <c r="DP1024" s="16"/>
      <c r="DQ1024" s="17"/>
      <c r="DR1024" s="17"/>
      <c r="DS1024" s="16"/>
      <c r="DT1024" s="16"/>
      <c r="DU1024" s="17"/>
      <c r="DV1024" s="17"/>
      <c r="DW1024" s="16"/>
      <c r="DX1024" s="16"/>
      <c r="DY1024" s="17"/>
      <c r="DZ1024" s="17"/>
      <c r="EA1024" s="16"/>
      <c r="EB1024" s="16"/>
      <c r="EC1024" s="17"/>
      <c r="ED1024" s="17"/>
      <c r="EE1024" s="16"/>
      <c r="EF1024" s="16"/>
      <c r="EG1024" s="17"/>
      <c r="EH1024" s="17"/>
      <c r="EI1024" s="16"/>
      <c r="EJ1024" s="16"/>
      <c r="EK1024" s="17"/>
      <c r="EL1024" s="17"/>
      <c r="EM1024" s="16"/>
      <c r="EN1024" s="16"/>
      <c r="EO1024" s="17"/>
      <c r="EP1024" s="17"/>
      <c r="EQ1024" s="16"/>
      <c r="ER1024" s="16"/>
      <c r="ES1024" s="18">
        <v>2</v>
      </c>
      <c r="ET1024" s="18">
        <v>3</v>
      </c>
      <c r="EU1024" s="16"/>
      <c r="EV1024" s="16"/>
      <c r="EW1024" s="17"/>
      <c r="EX1024" s="17"/>
      <c r="EY1024" s="16"/>
      <c r="EZ1024" s="16"/>
      <c r="FA1024" s="17"/>
      <c r="FB1024" s="17"/>
      <c r="FC1024" s="16"/>
      <c r="FD1024" s="16"/>
      <c r="FE1024" s="17"/>
      <c r="FF1024" s="17"/>
      <c r="FG1024" s="11"/>
      <c r="GT1024" s="11"/>
      <c r="IG1024" s="11"/>
      <c r="JT1024" s="11"/>
      <c r="LG1024" s="11"/>
      <c r="MT1024" s="11"/>
      <c r="OG1024" s="11"/>
      <c r="PT1024" s="11"/>
    </row>
    <row r="1025" spans="1:474" ht="38.25" x14ac:dyDescent="0.25">
      <c r="C1025" s="20" t="s">
        <v>752</v>
      </c>
      <c r="D1025" s="21" t="s">
        <v>93</v>
      </c>
      <c r="H1025" s="11"/>
      <c r="AU1025" s="11"/>
      <c r="CH1025" s="11"/>
      <c r="CI1025" s="16"/>
      <c r="CJ1025" s="16"/>
      <c r="CK1025" s="16"/>
      <c r="CL1025" s="16"/>
      <c r="CM1025" s="16"/>
      <c r="CN1025" s="16"/>
      <c r="CO1025" s="16"/>
      <c r="CP1025" s="16"/>
      <c r="CQ1025" s="16"/>
      <c r="CR1025" s="16"/>
      <c r="CS1025" s="16"/>
      <c r="CT1025" s="16"/>
      <c r="CU1025" s="16"/>
      <c r="CV1025" s="16"/>
      <c r="CW1025" s="16"/>
      <c r="CX1025" s="16"/>
      <c r="CY1025" s="16"/>
      <c r="CZ1025" s="16"/>
      <c r="DA1025" s="16"/>
      <c r="DB1025" s="16"/>
      <c r="DC1025" s="16"/>
      <c r="DD1025" s="16"/>
      <c r="DE1025" s="17"/>
      <c r="DF1025" s="17"/>
      <c r="DG1025" s="16"/>
      <c r="DH1025" s="16"/>
      <c r="DI1025" s="17"/>
      <c r="DJ1025" s="17"/>
      <c r="DK1025" s="16"/>
      <c r="DL1025" s="16"/>
      <c r="DM1025" s="17"/>
      <c r="DN1025" s="17"/>
      <c r="DO1025" s="16"/>
      <c r="DP1025" s="16"/>
      <c r="DQ1025" s="17"/>
      <c r="DR1025" s="17"/>
      <c r="DS1025" s="16"/>
      <c r="DT1025" s="16"/>
      <c r="DU1025" s="17"/>
      <c r="DV1025" s="17"/>
      <c r="DW1025" s="16"/>
      <c r="DX1025" s="16"/>
      <c r="DY1025" s="17"/>
      <c r="DZ1025" s="17"/>
      <c r="EA1025" s="16"/>
      <c r="EB1025" s="16"/>
      <c r="EC1025" s="17"/>
      <c r="ED1025" s="17"/>
      <c r="EE1025" s="16"/>
      <c r="EF1025" s="16"/>
      <c r="EG1025" s="17"/>
      <c r="EH1025" s="17"/>
      <c r="EI1025" s="16"/>
      <c r="EJ1025" s="16"/>
      <c r="EK1025" s="17"/>
      <c r="EL1025" s="17"/>
      <c r="EM1025" s="16"/>
      <c r="EN1025" s="16"/>
      <c r="EO1025" s="17"/>
      <c r="EP1025" s="17"/>
      <c r="EQ1025" s="16"/>
      <c r="ER1025" s="16"/>
      <c r="ES1025" s="17"/>
      <c r="ET1025" s="17"/>
      <c r="EU1025" s="16"/>
      <c r="EV1025" s="16"/>
      <c r="EW1025" s="18">
        <v>1</v>
      </c>
      <c r="EX1025" s="18">
        <v>2</v>
      </c>
      <c r="EY1025" s="16"/>
      <c r="EZ1025" s="16"/>
      <c r="FA1025" s="17"/>
      <c r="FB1025" s="17"/>
      <c r="FC1025" s="16"/>
      <c r="FD1025" s="16"/>
      <c r="FE1025" s="17"/>
      <c r="FF1025" s="17"/>
      <c r="FG1025" s="11"/>
      <c r="GT1025" s="11"/>
      <c r="IG1025" s="11"/>
      <c r="JT1025" s="11"/>
      <c r="LG1025" s="11"/>
      <c r="MT1025" s="11"/>
      <c r="OG1025" s="11"/>
      <c r="PT1025" s="11"/>
    </row>
    <row r="1026" spans="1:474" ht="15.75" x14ac:dyDescent="0.25">
      <c r="C1026" s="20" t="s">
        <v>753</v>
      </c>
      <c r="D1026" s="21" t="s">
        <v>93</v>
      </c>
      <c r="H1026" s="11"/>
      <c r="AU1026" s="11"/>
      <c r="CH1026" s="11"/>
      <c r="CI1026" s="16"/>
      <c r="CJ1026" s="16"/>
      <c r="CK1026" s="16"/>
      <c r="CL1026" s="16"/>
      <c r="CM1026" s="16"/>
      <c r="CN1026" s="16"/>
      <c r="CO1026" s="16"/>
      <c r="CP1026" s="16"/>
      <c r="CQ1026" s="16"/>
      <c r="CR1026" s="16"/>
      <c r="CS1026" s="16"/>
      <c r="CT1026" s="16"/>
      <c r="CU1026" s="16"/>
      <c r="CV1026" s="16"/>
      <c r="CW1026" s="16"/>
      <c r="CX1026" s="16"/>
      <c r="CY1026" s="16"/>
      <c r="CZ1026" s="16"/>
      <c r="DA1026" s="16"/>
      <c r="DB1026" s="16"/>
      <c r="DC1026" s="16"/>
      <c r="DD1026" s="16"/>
      <c r="DE1026" s="17"/>
      <c r="DF1026" s="17"/>
      <c r="DG1026" s="16"/>
      <c r="DH1026" s="16"/>
      <c r="DI1026" s="17"/>
      <c r="DJ1026" s="17"/>
      <c r="DK1026" s="16"/>
      <c r="DL1026" s="16"/>
      <c r="DM1026" s="17"/>
      <c r="DN1026" s="17"/>
      <c r="DO1026" s="16"/>
      <c r="DP1026" s="16"/>
      <c r="DQ1026" s="17"/>
      <c r="DR1026" s="17"/>
      <c r="DS1026" s="16"/>
      <c r="DT1026" s="16"/>
      <c r="DU1026" s="17"/>
      <c r="DV1026" s="17"/>
      <c r="DW1026" s="16"/>
      <c r="DX1026" s="16"/>
      <c r="DY1026" s="17"/>
      <c r="DZ1026" s="17"/>
      <c r="EA1026" s="16"/>
      <c r="EB1026" s="16"/>
      <c r="EC1026" s="17"/>
      <c r="ED1026" s="17"/>
      <c r="EE1026" s="16"/>
      <c r="EF1026" s="16"/>
      <c r="EG1026" s="17"/>
      <c r="EH1026" s="17"/>
      <c r="EI1026" s="16"/>
      <c r="EJ1026" s="16"/>
      <c r="EK1026" s="17"/>
      <c r="EL1026" s="17"/>
      <c r="EM1026" s="16"/>
      <c r="EN1026" s="16"/>
      <c r="EO1026" s="17"/>
      <c r="EP1026" s="17"/>
      <c r="EQ1026" s="16"/>
      <c r="ER1026" s="16"/>
      <c r="ES1026" s="17"/>
      <c r="ET1026" s="17"/>
      <c r="EU1026" s="16"/>
      <c r="EV1026" s="16"/>
      <c r="EW1026" s="18">
        <v>1</v>
      </c>
      <c r="EX1026" s="18">
        <v>2</v>
      </c>
      <c r="EY1026" s="16"/>
      <c r="EZ1026" s="16"/>
      <c r="FA1026" s="17"/>
      <c r="FB1026" s="17"/>
      <c r="FC1026" s="16"/>
      <c r="FD1026" s="16"/>
      <c r="FE1026" s="17"/>
      <c r="FF1026" s="17"/>
      <c r="FG1026" s="11"/>
      <c r="GT1026" s="11"/>
      <c r="IG1026" s="11"/>
      <c r="JT1026" s="11"/>
      <c r="LG1026" s="11"/>
      <c r="MT1026" s="11"/>
      <c r="OG1026" s="11"/>
      <c r="PT1026" s="11"/>
    </row>
    <row r="1027" spans="1:474" ht="25.5" x14ac:dyDescent="0.25">
      <c r="C1027" s="20" t="s">
        <v>754</v>
      </c>
      <c r="D1027" s="21" t="s">
        <v>82</v>
      </c>
      <c r="H1027" s="11"/>
      <c r="AU1027" s="11"/>
      <c r="CH1027" s="11"/>
      <c r="CI1027" s="16"/>
      <c r="CJ1027" s="16"/>
      <c r="CK1027" s="16"/>
      <c r="CL1027" s="16"/>
      <c r="CM1027" s="16"/>
      <c r="CN1027" s="16"/>
      <c r="CO1027" s="16"/>
      <c r="CP1027" s="16"/>
      <c r="CQ1027" s="16"/>
      <c r="CR1027" s="16"/>
      <c r="CS1027" s="16"/>
      <c r="CT1027" s="16"/>
      <c r="CU1027" s="16"/>
      <c r="CV1027" s="16"/>
      <c r="CW1027" s="16"/>
      <c r="CX1027" s="16"/>
      <c r="CY1027" s="16"/>
      <c r="CZ1027" s="16"/>
      <c r="DA1027" s="16"/>
      <c r="DB1027" s="16"/>
      <c r="DC1027" s="16"/>
      <c r="DD1027" s="16"/>
      <c r="DE1027" s="17"/>
      <c r="DF1027" s="17"/>
      <c r="DG1027" s="16"/>
      <c r="DH1027" s="16"/>
      <c r="DI1027" s="17"/>
      <c r="DJ1027" s="17"/>
      <c r="DK1027" s="16"/>
      <c r="DL1027" s="16"/>
      <c r="DM1027" s="17"/>
      <c r="DN1027" s="17"/>
      <c r="DO1027" s="16"/>
      <c r="DP1027" s="16"/>
      <c r="DQ1027" s="17"/>
      <c r="DR1027" s="17"/>
      <c r="DS1027" s="16"/>
      <c r="DT1027" s="16"/>
      <c r="DU1027" s="17"/>
      <c r="DV1027" s="17"/>
      <c r="DW1027" s="16"/>
      <c r="DX1027" s="16"/>
      <c r="DY1027" s="17"/>
      <c r="DZ1027" s="17"/>
      <c r="EA1027" s="16"/>
      <c r="EB1027" s="16"/>
      <c r="EC1027" s="17"/>
      <c r="ED1027" s="17"/>
      <c r="EE1027" s="16"/>
      <c r="EF1027" s="16"/>
      <c r="EG1027" s="17"/>
      <c r="EH1027" s="17"/>
      <c r="EI1027" s="16"/>
      <c r="EJ1027" s="16"/>
      <c r="EK1027" s="17"/>
      <c r="EL1027" s="17"/>
      <c r="EM1027" s="16"/>
      <c r="EN1027" s="16"/>
      <c r="EO1027" s="17"/>
      <c r="EP1027" s="17"/>
      <c r="EQ1027" s="16"/>
      <c r="ER1027" s="16"/>
      <c r="ES1027" s="18">
        <v>1</v>
      </c>
      <c r="ET1027" s="18">
        <v>2</v>
      </c>
      <c r="EU1027" s="16"/>
      <c r="EV1027" s="16"/>
      <c r="EW1027" s="17"/>
      <c r="EX1027" s="17"/>
      <c r="EY1027" s="16"/>
      <c r="EZ1027" s="16"/>
      <c r="FA1027" s="17"/>
      <c r="FB1027" s="17"/>
      <c r="FC1027" s="16"/>
      <c r="FD1027" s="16"/>
      <c r="FE1027" s="17"/>
      <c r="FF1027" s="17"/>
      <c r="FG1027" s="11"/>
      <c r="GT1027" s="11"/>
      <c r="IG1027" s="11"/>
      <c r="JT1027" s="11"/>
      <c r="LG1027" s="11"/>
      <c r="MT1027" s="11"/>
      <c r="OG1027" s="11"/>
      <c r="PT1027" s="11"/>
    </row>
    <row r="1028" spans="1:474" ht="15.75" x14ac:dyDescent="0.25">
      <c r="C1028" s="20" t="s">
        <v>755</v>
      </c>
      <c r="D1028" s="21" t="s">
        <v>82</v>
      </c>
      <c r="H1028" s="11"/>
      <c r="AU1028" s="11"/>
      <c r="CH1028" s="11"/>
      <c r="CI1028" s="16"/>
      <c r="CJ1028" s="16"/>
      <c r="CK1028" s="16"/>
      <c r="CL1028" s="16"/>
      <c r="CM1028" s="16"/>
      <c r="CN1028" s="16"/>
      <c r="CO1028" s="16"/>
      <c r="CP1028" s="16"/>
      <c r="CQ1028" s="16"/>
      <c r="CR1028" s="16"/>
      <c r="CS1028" s="16"/>
      <c r="CT1028" s="16"/>
      <c r="CU1028" s="16"/>
      <c r="CV1028" s="16"/>
      <c r="CW1028" s="16"/>
      <c r="CX1028" s="16"/>
      <c r="CY1028" s="16"/>
      <c r="CZ1028" s="16"/>
      <c r="DA1028" s="16"/>
      <c r="DB1028" s="16"/>
      <c r="DC1028" s="16"/>
      <c r="DD1028" s="16"/>
      <c r="DE1028" s="17"/>
      <c r="DF1028" s="17"/>
      <c r="DG1028" s="16"/>
      <c r="DH1028" s="16"/>
      <c r="DI1028" s="17"/>
      <c r="DJ1028" s="17"/>
      <c r="DK1028" s="16"/>
      <c r="DL1028" s="16"/>
      <c r="DM1028" s="17"/>
      <c r="DN1028" s="17"/>
      <c r="DO1028" s="16"/>
      <c r="DP1028" s="16"/>
      <c r="DQ1028" s="17"/>
      <c r="DR1028" s="17"/>
      <c r="DS1028" s="16"/>
      <c r="DT1028" s="16"/>
      <c r="DU1028" s="17"/>
      <c r="DV1028" s="17"/>
      <c r="DW1028" s="16"/>
      <c r="DX1028" s="16"/>
      <c r="DY1028" s="17"/>
      <c r="DZ1028" s="17"/>
      <c r="EA1028" s="16"/>
      <c r="EB1028" s="16"/>
      <c r="EC1028" s="17"/>
      <c r="ED1028" s="17"/>
      <c r="EE1028" s="16"/>
      <c r="EF1028" s="16"/>
      <c r="EG1028" s="17"/>
      <c r="EH1028" s="17"/>
      <c r="EI1028" s="16"/>
      <c r="EJ1028" s="16"/>
      <c r="EK1028" s="17"/>
      <c r="EL1028" s="17"/>
      <c r="EM1028" s="16"/>
      <c r="EN1028" s="16"/>
      <c r="EO1028" s="17"/>
      <c r="EP1028" s="17"/>
      <c r="EQ1028" s="16"/>
      <c r="ER1028" s="16"/>
      <c r="ES1028" s="18">
        <v>1</v>
      </c>
      <c r="ET1028" s="18">
        <v>2</v>
      </c>
      <c r="EU1028" s="16"/>
      <c r="EV1028" s="16"/>
      <c r="EW1028" s="17"/>
      <c r="EX1028" s="17"/>
      <c r="EY1028" s="16"/>
      <c r="EZ1028" s="16"/>
      <c r="FA1028" s="17"/>
      <c r="FB1028" s="17"/>
      <c r="FC1028" s="16"/>
      <c r="FD1028" s="16"/>
      <c r="FE1028" s="17"/>
      <c r="FF1028" s="17"/>
      <c r="FG1028" s="11"/>
      <c r="GT1028" s="11"/>
      <c r="IG1028" s="11"/>
      <c r="JT1028" s="11"/>
      <c r="LG1028" s="11"/>
      <c r="MT1028" s="11"/>
      <c r="OG1028" s="11"/>
      <c r="PT1028" s="11"/>
    </row>
    <row r="1029" spans="1:474" ht="15.75" x14ac:dyDescent="0.25">
      <c r="C1029" s="20" t="s">
        <v>756</v>
      </c>
      <c r="D1029" s="21" t="s">
        <v>93</v>
      </c>
      <c r="H1029" s="11"/>
      <c r="AU1029" s="11"/>
      <c r="CH1029" s="11"/>
      <c r="CI1029" s="16"/>
      <c r="CJ1029" s="16"/>
      <c r="CK1029" s="16"/>
      <c r="CL1029" s="16"/>
      <c r="CM1029" s="16"/>
      <c r="CN1029" s="16"/>
      <c r="CO1029" s="16"/>
      <c r="CP1029" s="16"/>
      <c r="CQ1029" s="16"/>
      <c r="CR1029" s="16"/>
      <c r="CS1029" s="16"/>
      <c r="CT1029" s="16"/>
      <c r="CU1029" s="16"/>
      <c r="CV1029" s="16"/>
      <c r="CW1029" s="16"/>
      <c r="CX1029" s="16"/>
      <c r="CY1029" s="16"/>
      <c r="CZ1029" s="16"/>
      <c r="DA1029" s="16"/>
      <c r="DB1029" s="16"/>
      <c r="DC1029" s="16"/>
      <c r="DD1029" s="16"/>
      <c r="DE1029" s="17"/>
      <c r="DF1029" s="17"/>
      <c r="DG1029" s="16"/>
      <c r="DH1029" s="16"/>
      <c r="DI1029" s="17"/>
      <c r="DJ1029" s="17"/>
      <c r="DK1029" s="16"/>
      <c r="DL1029" s="16"/>
      <c r="DM1029" s="17"/>
      <c r="DN1029" s="17"/>
      <c r="DO1029" s="16"/>
      <c r="DP1029" s="16"/>
      <c r="DQ1029" s="17"/>
      <c r="DR1029" s="17"/>
      <c r="DS1029" s="16"/>
      <c r="DT1029" s="16"/>
      <c r="DU1029" s="17"/>
      <c r="DV1029" s="17"/>
      <c r="DW1029" s="16"/>
      <c r="DX1029" s="16"/>
      <c r="DY1029" s="17"/>
      <c r="DZ1029" s="17"/>
      <c r="EA1029" s="16"/>
      <c r="EB1029" s="16"/>
      <c r="EC1029" s="17"/>
      <c r="ED1029" s="17"/>
      <c r="EE1029" s="16"/>
      <c r="EF1029" s="16"/>
      <c r="EG1029" s="17"/>
      <c r="EH1029" s="17"/>
      <c r="EI1029" s="16"/>
      <c r="EJ1029" s="16"/>
      <c r="EK1029" s="17"/>
      <c r="EL1029" s="17"/>
      <c r="EM1029" s="16"/>
      <c r="EN1029" s="16"/>
      <c r="EO1029" s="17"/>
      <c r="EP1029" s="17"/>
      <c r="EQ1029" s="16"/>
      <c r="ER1029" s="16"/>
      <c r="ES1029" s="17"/>
      <c r="ET1029" s="17"/>
      <c r="EU1029" s="16"/>
      <c r="EV1029" s="16"/>
      <c r="EW1029" s="18">
        <v>1</v>
      </c>
      <c r="EX1029" s="18">
        <v>2</v>
      </c>
      <c r="EY1029" s="16"/>
      <c r="EZ1029" s="16"/>
      <c r="FA1029" s="17"/>
      <c r="FB1029" s="17"/>
      <c r="FC1029" s="16"/>
      <c r="FD1029" s="16"/>
      <c r="FE1029" s="17"/>
      <c r="FF1029" s="17"/>
      <c r="FG1029" s="11"/>
      <c r="GT1029" s="11"/>
      <c r="IG1029" s="11"/>
      <c r="JT1029" s="11"/>
      <c r="LG1029" s="11"/>
      <c r="MT1029" s="11"/>
      <c r="OG1029" s="11"/>
      <c r="PT1029" s="11"/>
    </row>
    <row r="1030" spans="1:474" ht="15.75" x14ac:dyDescent="0.25">
      <c r="C1030" s="20" t="s">
        <v>757</v>
      </c>
      <c r="D1030" s="21" t="s">
        <v>82</v>
      </c>
      <c r="H1030" s="11"/>
      <c r="AU1030" s="11"/>
      <c r="CH1030" s="11"/>
      <c r="CI1030" s="16"/>
      <c r="CJ1030" s="16"/>
      <c r="CK1030" s="16"/>
      <c r="CL1030" s="16"/>
      <c r="CM1030" s="16"/>
      <c r="CN1030" s="16"/>
      <c r="CO1030" s="16"/>
      <c r="CP1030" s="16"/>
      <c r="CQ1030" s="16"/>
      <c r="CR1030" s="16"/>
      <c r="CS1030" s="16"/>
      <c r="CT1030" s="16"/>
      <c r="CU1030" s="16"/>
      <c r="CV1030" s="16"/>
      <c r="CW1030" s="16"/>
      <c r="CX1030" s="16"/>
      <c r="CY1030" s="16"/>
      <c r="CZ1030" s="16"/>
      <c r="DA1030" s="16"/>
      <c r="DB1030" s="16"/>
      <c r="DC1030" s="16"/>
      <c r="DD1030" s="16"/>
      <c r="DE1030" s="17"/>
      <c r="DF1030" s="17"/>
      <c r="DG1030" s="16"/>
      <c r="DH1030" s="16"/>
      <c r="DI1030" s="17"/>
      <c r="DJ1030" s="17"/>
      <c r="DK1030" s="16"/>
      <c r="DL1030" s="16"/>
      <c r="DM1030" s="17"/>
      <c r="DN1030" s="17"/>
      <c r="DO1030" s="16"/>
      <c r="DP1030" s="16"/>
      <c r="DQ1030" s="17"/>
      <c r="DR1030" s="17"/>
      <c r="DS1030" s="16"/>
      <c r="DT1030" s="16"/>
      <c r="DU1030" s="17"/>
      <c r="DV1030" s="17"/>
      <c r="DW1030" s="16"/>
      <c r="DX1030" s="16"/>
      <c r="DY1030" s="17"/>
      <c r="DZ1030" s="17"/>
      <c r="EA1030" s="16"/>
      <c r="EB1030" s="16"/>
      <c r="EC1030" s="17"/>
      <c r="ED1030" s="17"/>
      <c r="EE1030" s="16"/>
      <c r="EF1030" s="16"/>
      <c r="EG1030" s="17"/>
      <c r="EH1030" s="17"/>
      <c r="EI1030" s="16"/>
      <c r="EJ1030" s="16"/>
      <c r="EK1030" s="17"/>
      <c r="EL1030" s="17"/>
      <c r="EM1030" s="16"/>
      <c r="EN1030" s="16"/>
      <c r="EO1030" s="17"/>
      <c r="EP1030" s="17"/>
      <c r="EQ1030" s="16"/>
      <c r="ER1030" s="16"/>
      <c r="ES1030" s="18">
        <v>2</v>
      </c>
      <c r="ET1030" s="18">
        <v>3</v>
      </c>
      <c r="EU1030" s="16"/>
      <c r="EV1030" s="16"/>
      <c r="EW1030" s="17"/>
      <c r="EX1030" s="17"/>
      <c r="EY1030" s="16"/>
      <c r="EZ1030" s="16"/>
      <c r="FA1030" s="17"/>
      <c r="FB1030" s="17"/>
      <c r="FC1030" s="16"/>
      <c r="FD1030" s="16"/>
      <c r="FE1030" s="17"/>
      <c r="FF1030" s="17"/>
      <c r="FG1030" s="11"/>
      <c r="GT1030" s="11"/>
      <c r="IG1030" s="11"/>
      <c r="JT1030" s="11"/>
      <c r="LG1030" s="11"/>
      <c r="MT1030" s="11"/>
      <c r="OG1030" s="11"/>
      <c r="PT1030" s="11"/>
    </row>
    <row r="1031" spans="1:474" ht="25.5" x14ac:dyDescent="0.25">
      <c r="C1031" s="20" t="s">
        <v>758</v>
      </c>
      <c r="D1031" s="21" t="s">
        <v>82</v>
      </c>
      <c r="H1031" s="11"/>
      <c r="AU1031" s="11"/>
      <c r="CH1031" s="11"/>
      <c r="CI1031" s="16"/>
      <c r="CJ1031" s="16"/>
      <c r="CK1031" s="16"/>
      <c r="CL1031" s="16"/>
      <c r="CM1031" s="16"/>
      <c r="CN1031" s="16"/>
      <c r="CO1031" s="16"/>
      <c r="CP1031" s="16"/>
      <c r="CQ1031" s="16"/>
      <c r="CR1031" s="16"/>
      <c r="CS1031" s="16"/>
      <c r="CT1031" s="16"/>
      <c r="CU1031" s="16"/>
      <c r="CV1031" s="16"/>
      <c r="CW1031" s="16"/>
      <c r="CX1031" s="16"/>
      <c r="CY1031" s="16"/>
      <c r="CZ1031" s="16"/>
      <c r="DA1031" s="16"/>
      <c r="DB1031" s="16"/>
      <c r="DC1031" s="16"/>
      <c r="DD1031" s="16"/>
      <c r="DE1031" s="17"/>
      <c r="DF1031" s="17"/>
      <c r="DG1031" s="16"/>
      <c r="DH1031" s="16"/>
      <c r="DI1031" s="17"/>
      <c r="DJ1031" s="17"/>
      <c r="DK1031" s="16"/>
      <c r="DL1031" s="16"/>
      <c r="DM1031" s="17"/>
      <c r="DN1031" s="17"/>
      <c r="DO1031" s="16"/>
      <c r="DP1031" s="16"/>
      <c r="DQ1031" s="17"/>
      <c r="DR1031" s="17"/>
      <c r="DS1031" s="16"/>
      <c r="DT1031" s="16"/>
      <c r="DU1031" s="17"/>
      <c r="DV1031" s="17"/>
      <c r="DW1031" s="16"/>
      <c r="DX1031" s="16"/>
      <c r="DY1031" s="17"/>
      <c r="DZ1031" s="17"/>
      <c r="EA1031" s="16"/>
      <c r="EB1031" s="16"/>
      <c r="EC1031" s="17"/>
      <c r="ED1031" s="17"/>
      <c r="EE1031" s="16"/>
      <c r="EF1031" s="16"/>
      <c r="EG1031" s="17"/>
      <c r="EH1031" s="17"/>
      <c r="EI1031" s="16"/>
      <c r="EJ1031" s="16"/>
      <c r="EK1031" s="17"/>
      <c r="EL1031" s="17"/>
      <c r="EM1031" s="16"/>
      <c r="EN1031" s="16"/>
      <c r="EO1031" s="17"/>
      <c r="EP1031" s="17"/>
      <c r="EQ1031" s="16"/>
      <c r="ER1031" s="16"/>
      <c r="ES1031" s="18">
        <v>1</v>
      </c>
      <c r="ET1031" s="18">
        <v>2</v>
      </c>
      <c r="EU1031" s="16"/>
      <c r="EV1031" s="16"/>
      <c r="EW1031" s="17"/>
      <c r="EX1031" s="17"/>
      <c r="EY1031" s="16"/>
      <c r="EZ1031" s="16"/>
      <c r="FA1031" s="17"/>
      <c r="FB1031" s="17"/>
      <c r="FC1031" s="16"/>
      <c r="FD1031" s="16"/>
      <c r="FE1031" s="17"/>
      <c r="FF1031" s="17"/>
      <c r="FG1031" s="11"/>
      <c r="GT1031" s="11"/>
      <c r="IG1031" s="11"/>
      <c r="JT1031" s="11"/>
      <c r="LG1031" s="11"/>
      <c r="MT1031" s="11"/>
      <c r="OG1031" s="11"/>
      <c r="PT1031" s="11"/>
    </row>
    <row r="1032" spans="1:474" ht="15.75" x14ac:dyDescent="0.25">
      <c r="C1032" s="20" t="s">
        <v>759</v>
      </c>
      <c r="D1032" s="21" t="s">
        <v>82</v>
      </c>
      <c r="H1032" s="11"/>
      <c r="AU1032" s="11"/>
      <c r="CH1032" s="11"/>
      <c r="CI1032" s="16"/>
      <c r="CJ1032" s="16"/>
      <c r="CK1032" s="16"/>
      <c r="CL1032" s="16"/>
      <c r="CM1032" s="16"/>
      <c r="CN1032" s="16"/>
      <c r="CO1032" s="16"/>
      <c r="CP1032" s="16"/>
      <c r="CQ1032" s="16"/>
      <c r="CR1032" s="16"/>
      <c r="CS1032" s="16"/>
      <c r="CT1032" s="16"/>
      <c r="CU1032" s="16"/>
      <c r="CV1032" s="16"/>
      <c r="CW1032" s="16"/>
      <c r="CX1032" s="16"/>
      <c r="CY1032" s="16"/>
      <c r="CZ1032" s="16"/>
      <c r="DA1032" s="16"/>
      <c r="DB1032" s="16"/>
      <c r="DC1032" s="16"/>
      <c r="DD1032" s="16"/>
      <c r="DE1032" s="17"/>
      <c r="DF1032" s="17"/>
      <c r="DG1032" s="16"/>
      <c r="DH1032" s="16"/>
      <c r="DI1032" s="17"/>
      <c r="DJ1032" s="17"/>
      <c r="DK1032" s="16"/>
      <c r="DL1032" s="16"/>
      <c r="DM1032" s="17"/>
      <c r="DN1032" s="17"/>
      <c r="DO1032" s="16"/>
      <c r="DP1032" s="16"/>
      <c r="DQ1032" s="17"/>
      <c r="DR1032" s="17"/>
      <c r="DS1032" s="16"/>
      <c r="DT1032" s="16"/>
      <c r="DU1032" s="17"/>
      <c r="DV1032" s="17"/>
      <c r="DW1032" s="16"/>
      <c r="DX1032" s="16"/>
      <c r="DY1032" s="17"/>
      <c r="DZ1032" s="17"/>
      <c r="EA1032" s="16"/>
      <c r="EB1032" s="16"/>
      <c r="EC1032" s="17"/>
      <c r="ED1032" s="17"/>
      <c r="EE1032" s="16"/>
      <c r="EF1032" s="16"/>
      <c r="EG1032" s="17"/>
      <c r="EH1032" s="17"/>
      <c r="EI1032" s="16"/>
      <c r="EJ1032" s="16"/>
      <c r="EK1032" s="17"/>
      <c r="EL1032" s="17"/>
      <c r="EM1032" s="16"/>
      <c r="EN1032" s="16"/>
      <c r="EO1032" s="17"/>
      <c r="EP1032" s="17"/>
      <c r="EQ1032" s="16"/>
      <c r="ER1032" s="16"/>
      <c r="ES1032" s="18">
        <v>1</v>
      </c>
      <c r="ET1032" s="18">
        <v>2</v>
      </c>
      <c r="EU1032" s="16"/>
      <c r="EV1032" s="16"/>
      <c r="EW1032" s="17"/>
      <c r="EX1032" s="17"/>
      <c r="EY1032" s="16"/>
      <c r="EZ1032" s="16"/>
      <c r="FA1032" s="17"/>
      <c r="FB1032" s="17"/>
      <c r="FC1032" s="16"/>
      <c r="FD1032" s="16"/>
      <c r="FE1032" s="17"/>
      <c r="FF1032" s="17"/>
      <c r="FG1032" s="11"/>
      <c r="GT1032" s="11"/>
      <c r="IG1032" s="11"/>
      <c r="JT1032" s="11"/>
      <c r="LG1032" s="11"/>
      <c r="MT1032" s="11"/>
      <c r="OG1032" s="11"/>
      <c r="PT1032" s="11"/>
    </row>
    <row r="1033" spans="1:474" ht="15.75" x14ac:dyDescent="0.25">
      <c r="C1033" s="20" t="s">
        <v>760</v>
      </c>
      <c r="D1033" s="21" t="s">
        <v>82</v>
      </c>
      <c r="H1033" s="11"/>
      <c r="AU1033" s="11"/>
      <c r="CH1033" s="11"/>
      <c r="CI1033" s="16"/>
      <c r="CJ1033" s="16"/>
      <c r="CK1033" s="16"/>
      <c r="CL1033" s="16"/>
      <c r="CM1033" s="16"/>
      <c r="CN1033" s="16"/>
      <c r="CO1033" s="16"/>
      <c r="CP1033" s="16"/>
      <c r="CQ1033" s="16"/>
      <c r="CR1033" s="16"/>
      <c r="CS1033" s="16"/>
      <c r="CT1033" s="16"/>
      <c r="CU1033" s="16"/>
      <c r="CV1033" s="16"/>
      <c r="CW1033" s="16"/>
      <c r="CX1033" s="16"/>
      <c r="CY1033" s="16"/>
      <c r="CZ1033" s="16"/>
      <c r="DA1033" s="16"/>
      <c r="DB1033" s="16"/>
      <c r="DC1033" s="16"/>
      <c r="DD1033" s="16"/>
      <c r="DE1033" s="17"/>
      <c r="DF1033" s="17"/>
      <c r="DG1033" s="16"/>
      <c r="DH1033" s="16"/>
      <c r="DI1033" s="17"/>
      <c r="DJ1033" s="17"/>
      <c r="DK1033" s="16"/>
      <c r="DL1033" s="16"/>
      <c r="DM1033" s="17"/>
      <c r="DN1033" s="17"/>
      <c r="DO1033" s="16"/>
      <c r="DP1033" s="16"/>
      <c r="DQ1033" s="17"/>
      <c r="DR1033" s="17"/>
      <c r="DS1033" s="16"/>
      <c r="DT1033" s="16"/>
      <c r="DU1033" s="17"/>
      <c r="DV1033" s="17"/>
      <c r="DW1033" s="16"/>
      <c r="DX1033" s="16"/>
      <c r="DY1033" s="17"/>
      <c r="DZ1033" s="17"/>
      <c r="EA1033" s="16"/>
      <c r="EB1033" s="16"/>
      <c r="EC1033" s="17"/>
      <c r="ED1033" s="17"/>
      <c r="EE1033" s="16"/>
      <c r="EF1033" s="16"/>
      <c r="EG1033" s="17"/>
      <c r="EH1033" s="17"/>
      <c r="EI1033" s="16"/>
      <c r="EJ1033" s="16"/>
      <c r="EK1033" s="17"/>
      <c r="EL1033" s="17"/>
      <c r="EM1033" s="16"/>
      <c r="EN1033" s="16"/>
      <c r="EO1033" s="17"/>
      <c r="EP1033" s="17"/>
      <c r="EQ1033" s="16"/>
      <c r="ER1033" s="16"/>
      <c r="ES1033" s="18">
        <v>1</v>
      </c>
      <c r="ET1033" s="18">
        <v>2</v>
      </c>
      <c r="EU1033" s="16"/>
      <c r="EV1033" s="16"/>
      <c r="EW1033" s="17"/>
      <c r="EX1033" s="17"/>
      <c r="EY1033" s="16"/>
      <c r="EZ1033" s="16"/>
      <c r="FA1033" s="17"/>
      <c r="FB1033" s="17"/>
      <c r="FC1033" s="16"/>
      <c r="FD1033" s="16"/>
      <c r="FE1033" s="17"/>
      <c r="FF1033" s="17"/>
      <c r="FG1033" s="11"/>
      <c r="GT1033" s="11"/>
      <c r="IG1033" s="11"/>
      <c r="JT1033" s="11"/>
      <c r="LG1033" s="11"/>
      <c r="MT1033" s="11"/>
      <c r="OG1033" s="11"/>
      <c r="PT1033" s="11"/>
    </row>
    <row r="1034" spans="1:474" ht="15.75" x14ac:dyDescent="0.25">
      <c r="C1034" s="20" t="s">
        <v>761</v>
      </c>
      <c r="D1034" s="21" t="s">
        <v>82</v>
      </c>
      <c r="H1034" s="11"/>
      <c r="AU1034" s="11"/>
      <c r="CH1034" s="11"/>
      <c r="CI1034" s="16"/>
      <c r="CJ1034" s="16"/>
      <c r="CK1034" s="16"/>
      <c r="CL1034" s="16"/>
      <c r="CM1034" s="16"/>
      <c r="CN1034" s="16"/>
      <c r="CO1034" s="16"/>
      <c r="CP1034" s="16"/>
      <c r="CQ1034" s="16"/>
      <c r="CR1034" s="16"/>
      <c r="CS1034" s="16"/>
      <c r="CT1034" s="16"/>
      <c r="CU1034" s="16"/>
      <c r="CV1034" s="16"/>
      <c r="CW1034" s="16"/>
      <c r="CX1034" s="16"/>
      <c r="CY1034" s="16"/>
      <c r="CZ1034" s="16"/>
      <c r="DA1034" s="16"/>
      <c r="DB1034" s="16"/>
      <c r="DC1034" s="16"/>
      <c r="DD1034" s="16"/>
      <c r="DE1034" s="17"/>
      <c r="DF1034" s="17"/>
      <c r="DG1034" s="16"/>
      <c r="DH1034" s="16"/>
      <c r="DI1034" s="17"/>
      <c r="DJ1034" s="17"/>
      <c r="DK1034" s="16"/>
      <c r="DL1034" s="16"/>
      <c r="DM1034" s="17"/>
      <c r="DN1034" s="17"/>
      <c r="DO1034" s="16"/>
      <c r="DP1034" s="16"/>
      <c r="DQ1034" s="17"/>
      <c r="DR1034" s="17"/>
      <c r="DS1034" s="16"/>
      <c r="DT1034" s="16"/>
      <c r="DU1034" s="17"/>
      <c r="DV1034" s="17"/>
      <c r="DW1034" s="16"/>
      <c r="DX1034" s="16"/>
      <c r="DY1034" s="17"/>
      <c r="DZ1034" s="17"/>
      <c r="EA1034" s="16"/>
      <c r="EB1034" s="16"/>
      <c r="EC1034" s="17"/>
      <c r="ED1034" s="17"/>
      <c r="EE1034" s="16"/>
      <c r="EF1034" s="16"/>
      <c r="EG1034" s="17"/>
      <c r="EH1034" s="17"/>
      <c r="EI1034" s="16"/>
      <c r="EJ1034" s="16"/>
      <c r="EK1034" s="17"/>
      <c r="EL1034" s="17"/>
      <c r="EM1034" s="16"/>
      <c r="EN1034" s="16"/>
      <c r="EO1034" s="17"/>
      <c r="EP1034" s="17"/>
      <c r="EQ1034" s="16"/>
      <c r="ER1034" s="16"/>
      <c r="ES1034" s="18">
        <v>3</v>
      </c>
      <c r="ET1034" s="18">
        <v>4</v>
      </c>
      <c r="EU1034" s="16"/>
      <c r="EV1034" s="16"/>
      <c r="EW1034" s="17"/>
      <c r="EX1034" s="17"/>
      <c r="EY1034" s="16"/>
      <c r="EZ1034" s="16"/>
      <c r="FA1034" s="17"/>
      <c r="FB1034" s="17"/>
      <c r="FC1034" s="16"/>
      <c r="FD1034" s="16"/>
      <c r="FE1034" s="17"/>
      <c r="FF1034" s="17"/>
      <c r="FG1034" s="11"/>
      <c r="GT1034" s="11"/>
      <c r="IG1034" s="11"/>
      <c r="JT1034" s="11"/>
      <c r="LG1034" s="11"/>
      <c r="MT1034" s="11"/>
      <c r="OG1034" s="11"/>
      <c r="PT1034" s="11"/>
    </row>
    <row r="1035" spans="1:474" ht="15.75" x14ac:dyDescent="0.25">
      <c r="C1035" s="20" t="s">
        <v>762</v>
      </c>
      <c r="D1035" s="21" t="s">
        <v>82</v>
      </c>
      <c r="H1035" s="11"/>
      <c r="AU1035" s="11"/>
      <c r="CH1035" s="11"/>
      <c r="CI1035" s="16"/>
      <c r="CJ1035" s="16"/>
      <c r="CK1035" s="16"/>
      <c r="CL1035" s="16"/>
      <c r="CM1035" s="16"/>
      <c r="CN1035" s="16"/>
      <c r="CO1035" s="16"/>
      <c r="CP1035" s="16"/>
      <c r="CQ1035" s="16"/>
      <c r="CR1035" s="16"/>
      <c r="CS1035" s="16"/>
      <c r="CT1035" s="16"/>
      <c r="CU1035" s="16"/>
      <c r="CV1035" s="16"/>
      <c r="CW1035" s="16"/>
      <c r="CX1035" s="16"/>
      <c r="CY1035" s="16"/>
      <c r="CZ1035" s="16"/>
      <c r="DA1035" s="16"/>
      <c r="DB1035" s="16"/>
      <c r="DC1035" s="16"/>
      <c r="DD1035" s="16"/>
      <c r="DE1035" s="17"/>
      <c r="DF1035" s="17"/>
      <c r="DG1035" s="16"/>
      <c r="DH1035" s="16"/>
      <c r="DI1035" s="17"/>
      <c r="DJ1035" s="17"/>
      <c r="DK1035" s="16"/>
      <c r="DL1035" s="16"/>
      <c r="DM1035" s="17"/>
      <c r="DN1035" s="17"/>
      <c r="DO1035" s="16"/>
      <c r="DP1035" s="16"/>
      <c r="DQ1035" s="17"/>
      <c r="DR1035" s="17"/>
      <c r="DS1035" s="16"/>
      <c r="DT1035" s="16"/>
      <c r="DU1035" s="17"/>
      <c r="DV1035" s="17"/>
      <c r="DW1035" s="16"/>
      <c r="DX1035" s="16"/>
      <c r="DY1035" s="17"/>
      <c r="DZ1035" s="17"/>
      <c r="EA1035" s="16"/>
      <c r="EB1035" s="16"/>
      <c r="EC1035" s="17"/>
      <c r="ED1035" s="17"/>
      <c r="EE1035" s="16"/>
      <c r="EF1035" s="16"/>
      <c r="EG1035" s="17"/>
      <c r="EH1035" s="17"/>
      <c r="EI1035" s="16"/>
      <c r="EJ1035" s="16"/>
      <c r="EK1035" s="17"/>
      <c r="EL1035" s="17"/>
      <c r="EM1035" s="16"/>
      <c r="EN1035" s="16"/>
      <c r="EO1035" s="17"/>
      <c r="EP1035" s="17"/>
      <c r="EQ1035" s="16"/>
      <c r="ER1035" s="16"/>
      <c r="ES1035" s="18">
        <v>1</v>
      </c>
      <c r="ET1035" s="18">
        <v>2</v>
      </c>
      <c r="EU1035" s="16"/>
      <c r="EV1035" s="16"/>
      <c r="EW1035" s="17"/>
      <c r="EX1035" s="17"/>
      <c r="EY1035" s="16"/>
      <c r="EZ1035" s="16"/>
      <c r="FA1035" s="17"/>
      <c r="FB1035" s="17"/>
      <c r="FC1035" s="16"/>
      <c r="FD1035" s="16"/>
      <c r="FE1035" s="17"/>
      <c r="FF1035" s="17"/>
      <c r="FG1035" s="11"/>
      <c r="GT1035" s="11"/>
      <c r="IG1035" s="11"/>
      <c r="JT1035" s="11"/>
      <c r="LG1035" s="11"/>
      <c r="MT1035" s="11"/>
      <c r="OG1035" s="11"/>
      <c r="PT1035" s="11"/>
    </row>
    <row r="1036" spans="1:474" ht="15.75" x14ac:dyDescent="0.25">
      <c r="C1036" s="20" t="s">
        <v>763</v>
      </c>
      <c r="D1036" s="21" t="s">
        <v>82</v>
      </c>
      <c r="H1036" s="11"/>
      <c r="AU1036" s="11"/>
      <c r="CH1036" s="11"/>
      <c r="CI1036" s="16"/>
      <c r="CJ1036" s="16"/>
      <c r="CK1036" s="16"/>
      <c r="CL1036" s="16"/>
      <c r="CM1036" s="16"/>
      <c r="CN1036" s="16"/>
      <c r="CO1036" s="16"/>
      <c r="CP1036" s="16"/>
      <c r="CQ1036" s="16"/>
      <c r="CR1036" s="16"/>
      <c r="CS1036" s="16"/>
      <c r="CT1036" s="16"/>
      <c r="CU1036" s="16"/>
      <c r="CV1036" s="16"/>
      <c r="CW1036" s="16"/>
      <c r="CX1036" s="16"/>
      <c r="CY1036" s="16"/>
      <c r="CZ1036" s="16"/>
      <c r="DA1036" s="16"/>
      <c r="DB1036" s="16"/>
      <c r="DC1036" s="16"/>
      <c r="DD1036" s="16"/>
      <c r="DE1036" s="17"/>
      <c r="DF1036" s="17"/>
      <c r="DG1036" s="16"/>
      <c r="DH1036" s="16"/>
      <c r="DI1036" s="17"/>
      <c r="DJ1036" s="17"/>
      <c r="DK1036" s="16"/>
      <c r="DL1036" s="16"/>
      <c r="DM1036" s="17"/>
      <c r="DN1036" s="17"/>
      <c r="DO1036" s="16"/>
      <c r="DP1036" s="16"/>
      <c r="DQ1036" s="17"/>
      <c r="DR1036" s="17"/>
      <c r="DS1036" s="16"/>
      <c r="DT1036" s="16"/>
      <c r="DU1036" s="17"/>
      <c r="DV1036" s="17"/>
      <c r="DW1036" s="16"/>
      <c r="DX1036" s="16"/>
      <c r="DY1036" s="17"/>
      <c r="DZ1036" s="17"/>
      <c r="EA1036" s="16"/>
      <c r="EB1036" s="16"/>
      <c r="EC1036" s="17"/>
      <c r="ED1036" s="17"/>
      <c r="EE1036" s="16"/>
      <c r="EF1036" s="16"/>
      <c r="EG1036" s="17"/>
      <c r="EH1036" s="17"/>
      <c r="EI1036" s="16"/>
      <c r="EJ1036" s="16"/>
      <c r="EK1036" s="17"/>
      <c r="EL1036" s="17"/>
      <c r="EM1036" s="16"/>
      <c r="EN1036" s="16"/>
      <c r="EO1036" s="17"/>
      <c r="EP1036" s="17"/>
      <c r="EQ1036" s="16"/>
      <c r="ER1036" s="16"/>
      <c r="ES1036" s="18">
        <v>1</v>
      </c>
      <c r="ET1036" s="18">
        <v>2</v>
      </c>
      <c r="EU1036" s="16"/>
      <c r="EV1036" s="16"/>
      <c r="EW1036" s="17"/>
      <c r="EX1036" s="17"/>
      <c r="EY1036" s="16"/>
      <c r="EZ1036" s="16"/>
      <c r="FA1036" s="17"/>
      <c r="FB1036" s="17"/>
      <c r="FC1036" s="16"/>
      <c r="FD1036" s="16"/>
      <c r="FE1036" s="17"/>
      <c r="FF1036" s="17"/>
      <c r="FG1036" s="11"/>
      <c r="GT1036" s="11"/>
      <c r="IG1036" s="11"/>
      <c r="JT1036" s="11"/>
      <c r="LG1036" s="11"/>
      <c r="MT1036" s="11"/>
      <c r="OG1036" s="11"/>
      <c r="PT1036" s="11"/>
    </row>
    <row r="1037" spans="1:474" ht="25.5" x14ac:dyDescent="0.25">
      <c r="C1037" s="20" t="s">
        <v>764</v>
      </c>
      <c r="D1037" s="21" t="s">
        <v>82</v>
      </c>
      <c r="H1037" s="11"/>
      <c r="AU1037" s="11"/>
      <c r="CH1037" s="11"/>
      <c r="CI1037" s="16"/>
      <c r="CJ1037" s="16"/>
      <c r="CK1037" s="16"/>
      <c r="CL1037" s="16"/>
      <c r="CM1037" s="16"/>
      <c r="CN1037" s="16"/>
      <c r="CO1037" s="16"/>
      <c r="CP1037" s="16"/>
      <c r="CQ1037" s="16"/>
      <c r="CR1037" s="16"/>
      <c r="CS1037" s="16"/>
      <c r="CT1037" s="16"/>
      <c r="CU1037" s="16"/>
      <c r="CV1037" s="16"/>
      <c r="CW1037" s="16"/>
      <c r="CX1037" s="16"/>
      <c r="CY1037" s="16"/>
      <c r="CZ1037" s="16"/>
      <c r="DA1037" s="16"/>
      <c r="DB1037" s="16"/>
      <c r="DC1037" s="16"/>
      <c r="DD1037" s="16"/>
      <c r="DE1037" s="17"/>
      <c r="DF1037" s="17"/>
      <c r="DG1037" s="16"/>
      <c r="DH1037" s="16"/>
      <c r="DI1037" s="17"/>
      <c r="DJ1037" s="17"/>
      <c r="DK1037" s="16"/>
      <c r="DL1037" s="16"/>
      <c r="DM1037" s="17"/>
      <c r="DN1037" s="17"/>
      <c r="DO1037" s="16"/>
      <c r="DP1037" s="16"/>
      <c r="DQ1037" s="17"/>
      <c r="DR1037" s="17"/>
      <c r="DS1037" s="16"/>
      <c r="DT1037" s="16"/>
      <c r="DU1037" s="17"/>
      <c r="DV1037" s="17"/>
      <c r="DW1037" s="16"/>
      <c r="DX1037" s="16"/>
      <c r="DY1037" s="17"/>
      <c r="DZ1037" s="17"/>
      <c r="EA1037" s="16"/>
      <c r="EB1037" s="16"/>
      <c r="EC1037" s="17"/>
      <c r="ED1037" s="17"/>
      <c r="EE1037" s="16"/>
      <c r="EF1037" s="16"/>
      <c r="EG1037" s="17"/>
      <c r="EH1037" s="17"/>
      <c r="EI1037" s="16"/>
      <c r="EJ1037" s="16"/>
      <c r="EK1037" s="17"/>
      <c r="EL1037" s="17"/>
      <c r="EM1037" s="16"/>
      <c r="EN1037" s="16"/>
      <c r="EO1037" s="17"/>
      <c r="EP1037" s="17"/>
      <c r="EQ1037" s="16"/>
      <c r="ER1037" s="16"/>
      <c r="ES1037" s="18">
        <v>1</v>
      </c>
      <c r="ET1037" s="18">
        <v>2</v>
      </c>
      <c r="EU1037" s="16"/>
      <c r="EV1037" s="16"/>
      <c r="EW1037" s="17"/>
      <c r="EX1037" s="17"/>
      <c r="EY1037" s="16"/>
      <c r="EZ1037" s="16"/>
      <c r="FA1037" s="17"/>
      <c r="FB1037" s="17"/>
      <c r="FC1037" s="16"/>
      <c r="FD1037" s="16"/>
      <c r="FE1037" s="17"/>
      <c r="FF1037" s="17"/>
      <c r="FG1037" s="11"/>
      <c r="GT1037" s="11"/>
      <c r="IG1037" s="11"/>
      <c r="JT1037" s="11"/>
      <c r="LG1037" s="11"/>
      <c r="MT1037" s="11"/>
      <c r="OG1037" s="11"/>
      <c r="PT1037" s="11"/>
    </row>
    <row r="1038" spans="1:474" ht="15.75" x14ac:dyDescent="0.25">
      <c r="C1038" s="20" t="s">
        <v>765</v>
      </c>
      <c r="D1038" s="21" t="s">
        <v>82</v>
      </c>
      <c r="H1038" s="11"/>
      <c r="AU1038" s="11"/>
      <c r="CH1038" s="11"/>
      <c r="CI1038" s="16"/>
      <c r="CJ1038" s="16"/>
      <c r="CK1038" s="16"/>
      <c r="CL1038" s="16"/>
      <c r="CM1038" s="16"/>
      <c r="CN1038" s="16"/>
      <c r="CO1038" s="16"/>
      <c r="CP1038" s="16"/>
      <c r="CQ1038" s="16"/>
      <c r="CR1038" s="16"/>
      <c r="CS1038" s="16"/>
      <c r="CT1038" s="16"/>
      <c r="CU1038" s="16"/>
      <c r="CV1038" s="16"/>
      <c r="CW1038" s="16"/>
      <c r="CX1038" s="16"/>
      <c r="CY1038" s="16"/>
      <c r="CZ1038" s="16"/>
      <c r="DA1038" s="16"/>
      <c r="DB1038" s="16"/>
      <c r="DC1038" s="16"/>
      <c r="DD1038" s="16"/>
      <c r="DE1038" s="17"/>
      <c r="DF1038" s="17"/>
      <c r="DG1038" s="16"/>
      <c r="DH1038" s="16"/>
      <c r="DI1038" s="17"/>
      <c r="DJ1038" s="17"/>
      <c r="DK1038" s="16"/>
      <c r="DL1038" s="16"/>
      <c r="DM1038" s="17"/>
      <c r="DN1038" s="17"/>
      <c r="DO1038" s="16"/>
      <c r="DP1038" s="16"/>
      <c r="DQ1038" s="17"/>
      <c r="DR1038" s="17"/>
      <c r="DS1038" s="16"/>
      <c r="DT1038" s="16"/>
      <c r="DU1038" s="17"/>
      <c r="DV1038" s="17"/>
      <c r="DW1038" s="16"/>
      <c r="DX1038" s="16"/>
      <c r="DY1038" s="17"/>
      <c r="DZ1038" s="17"/>
      <c r="EA1038" s="16"/>
      <c r="EB1038" s="16"/>
      <c r="EC1038" s="17"/>
      <c r="ED1038" s="17"/>
      <c r="EE1038" s="16"/>
      <c r="EF1038" s="16"/>
      <c r="EG1038" s="17"/>
      <c r="EH1038" s="17"/>
      <c r="EI1038" s="16"/>
      <c r="EJ1038" s="16"/>
      <c r="EK1038" s="17"/>
      <c r="EL1038" s="17"/>
      <c r="EM1038" s="16"/>
      <c r="EN1038" s="16"/>
      <c r="EO1038" s="17"/>
      <c r="EP1038" s="17"/>
      <c r="EQ1038" s="16"/>
      <c r="ER1038" s="16"/>
      <c r="ES1038" s="18">
        <v>1</v>
      </c>
      <c r="ET1038" s="18">
        <v>2</v>
      </c>
      <c r="EU1038" s="16"/>
      <c r="EV1038" s="16"/>
      <c r="EW1038" s="17"/>
      <c r="EX1038" s="17"/>
      <c r="EY1038" s="16"/>
      <c r="EZ1038" s="16"/>
      <c r="FA1038" s="17"/>
      <c r="FB1038" s="17"/>
      <c r="FC1038" s="16"/>
      <c r="FD1038" s="16"/>
      <c r="FE1038" s="17"/>
      <c r="FF1038" s="17"/>
      <c r="FG1038" s="11"/>
      <c r="GT1038" s="11"/>
      <c r="IG1038" s="11"/>
      <c r="JT1038" s="11"/>
      <c r="LG1038" s="11"/>
      <c r="MT1038" s="11"/>
      <c r="OG1038" s="11"/>
      <c r="PT1038" s="11"/>
    </row>
    <row r="1039" spans="1:474" ht="15.75" x14ac:dyDescent="0.25">
      <c r="C1039" s="20" t="s">
        <v>751</v>
      </c>
      <c r="D1039" s="21" t="s">
        <v>90</v>
      </c>
      <c r="H1039" s="11"/>
      <c r="AU1039" s="11"/>
      <c r="CH1039" s="11"/>
      <c r="CI1039" s="16"/>
      <c r="CJ1039" s="16"/>
      <c r="CK1039" s="16"/>
      <c r="CL1039" s="16"/>
      <c r="CM1039" s="16"/>
      <c r="CN1039" s="16"/>
      <c r="CO1039" s="16"/>
      <c r="CP1039" s="16"/>
      <c r="CQ1039" s="16"/>
      <c r="CR1039" s="16"/>
      <c r="CS1039" s="16"/>
      <c r="CT1039" s="16"/>
      <c r="CU1039" s="16"/>
      <c r="CV1039" s="16"/>
      <c r="CW1039" s="16"/>
      <c r="CX1039" s="16"/>
      <c r="CY1039" s="16"/>
      <c r="CZ1039" s="16"/>
      <c r="DA1039" s="16"/>
      <c r="DB1039" s="16"/>
      <c r="DC1039" s="16"/>
      <c r="DD1039" s="16"/>
      <c r="DE1039" s="17"/>
      <c r="DF1039" s="17"/>
      <c r="DG1039" s="16"/>
      <c r="DH1039" s="16"/>
      <c r="DI1039" s="17"/>
      <c r="DJ1039" s="17"/>
      <c r="DK1039" s="16"/>
      <c r="DL1039" s="16"/>
      <c r="DM1039" s="17"/>
      <c r="DN1039" s="17"/>
      <c r="DO1039" s="16"/>
      <c r="DP1039" s="16"/>
      <c r="DQ1039" s="17"/>
      <c r="DR1039" s="17"/>
      <c r="DS1039" s="16"/>
      <c r="DT1039" s="16"/>
      <c r="DU1039" s="17"/>
      <c r="DV1039" s="17"/>
      <c r="DW1039" s="16"/>
      <c r="DX1039" s="16"/>
      <c r="DY1039" s="17"/>
      <c r="DZ1039" s="17"/>
      <c r="EA1039" s="16"/>
      <c r="EB1039" s="16"/>
      <c r="EC1039" s="17"/>
      <c r="ED1039" s="17"/>
      <c r="EE1039" s="16"/>
      <c r="EF1039" s="16"/>
      <c r="EG1039" s="17"/>
      <c r="EH1039" s="17"/>
      <c r="EI1039" s="16"/>
      <c r="EJ1039" s="16"/>
      <c r="EK1039" s="17"/>
      <c r="EL1039" s="17"/>
      <c r="EM1039" s="16"/>
      <c r="EN1039" s="16"/>
      <c r="EO1039" s="17"/>
      <c r="EP1039" s="17"/>
      <c r="EQ1039" s="16"/>
      <c r="ER1039" s="16"/>
      <c r="ES1039" s="17"/>
      <c r="ET1039" s="17"/>
      <c r="EU1039" s="16"/>
      <c r="EV1039" s="16"/>
      <c r="EW1039" s="17"/>
      <c r="EX1039" s="17"/>
      <c r="EY1039" s="16"/>
      <c r="EZ1039" s="16"/>
      <c r="FA1039" s="17"/>
      <c r="FB1039" s="17"/>
      <c r="FC1039" s="16"/>
      <c r="FD1039" s="16"/>
      <c r="FE1039" s="17"/>
      <c r="FF1039" s="17"/>
      <c r="FG1039" s="11"/>
      <c r="GT1039" s="11"/>
      <c r="IG1039" s="11"/>
      <c r="JT1039" s="11"/>
      <c r="LG1039" s="11"/>
      <c r="MT1039" s="11"/>
      <c r="OG1039" s="11"/>
      <c r="PT1039" s="11"/>
    </row>
    <row r="1040" spans="1:474" x14ac:dyDescent="0.25">
      <c r="A1040" s="57" t="s">
        <v>766</v>
      </c>
      <c r="B1040" s="57"/>
      <c r="C1040" s="57"/>
      <c r="D1040" s="57"/>
      <c r="E1040" s="57"/>
      <c r="F1040" s="57"/>
      <c r="G1040" s="57"/>
      <c r="H1040" s="57"/>
      <c r="I1040" s="57"/>
      <c r="J1040" s="57"/>
      <c r="K1040" s="57"/>
      <c r="L1040" s="57"/>
      <c r="M1040" s="57"/>
      <c r="N1040" s="57"/>
      <c r="O1040" s="57"/>
      <c r="P1040" s="57"/>
      <c r="Q1040" s="57"/>
      <c r="R1040" s="57"/>
      <c r="S1040" s="57"/>
      <c r="T1040" s="57"/>
      <c r="U1040" s="57"/>
      <c r="V1040" s="57"/>
      <c r="W1040" s="57"/>
      <c r="X1040" s="57"/>
      <c r="Y1040" s="57"/>
      <c r="Z1040" s="57"/>
      <c r="AA1040" s="57"/>
      <c r="AB1040" s="57"/>
      <c r="AC1040" s="57"/>
      <c r="AD1040" s="57"/>
      <c r="AE1040" s="57"/>
      <c r="AF1040" s="57"/>
      <c r="AG1040" s="57"/>
      <c r="AH1040" s="57"/>
      <c r="AI1040" s="57"/>
      <c r="AJ1040" s="57"/>
      <c r="AK1040" s="57"/>
      <c r="AL1040" s="57"/>
      <c r="AM1040" s="57"/>
      <c r="AN1040" s="57"/>
      <c r="AO1040" s="57"/>
      <c r="AP1040" s="57"/>
      <c r="AQ1040" s="57"/>
      <c r="AR1040" s="57"/>
      <c r="AS1040" s="57"/>
      <c r="AT1040" s="57"/>
      <c r="AU1040" s="57"/>
      <c r="AV1040" s="57"/>
      <c r="AW1040" s="57"/>
      <c r="AX1040" s="57"/>
      <c r="AY1040" s="57"/>
      <c r="AZ1040" s="57"/>
      <c r="BA1040" s="57"/>
      <c r="BB1040" s="57"/>
      <c r="BC1040" s="57"/>
      <c r="BD1040" s="57"/>
      <c r="BE1040" s="57"/>
      <c r="BF1040" s="57"/>
      <c r="BG1040" s="57"/>
      <c r="BH1040" s="57"/>
      <c r="BI1040" s="57"/>
      <c r="BJ1040" s="57"/>
      <c r="BK1040" s="57"/>
      <c r="BL1040" s="57"/>
      <c r="BM1040" s="57"/>
      <c r="BN1040" s="57"/>
      <c r="BO1040" s="57"/>
      <c r="BP1040" s="57"/>
      <c r="BQ1040" s="57"/>
      <c r="BR1040" s="57"/>
      <c r="BS1040" s="57"/>
      <c r="BT1040" s="57"/>
      <c r="BU1040" s="57"/>
      <c r="BV1040" s="57"/>
      <c r="BW1040" s="57"/>
      <c r="BX1040" s="57"/>
      <c r="BY1040" s="57"/>
      <c r="BZ1040" s="57"/>
      <c r="CA1040" s="57"/>
      <c r="CB1040" s="57"/>
      <c r="CC1040" s="57"/>
      <c r="CD1040" s="57"/>
      <c r="CE1040" s="57"/>
      <c r="CF1040" s="57"/>
      <c r="CG1040" s="57"/>
      <c r="CH1040" s="57"/>
      <c r="CI1040" s="57"/>
      <c r="CJ1040" s="57"/>
      <c r="CK1040" s="57"/>
      <c r="CL1040" s="57"/>
      <c r="CM1040" s="57"/>
      <c r="CN1040" s="57"/>
      <c r="CO1040" s="57"/>
      <c r="CP1040" s="57"/>
      <c r="CQ1040" s="57"/>
      <c r="CR1040" s="57"/>
      <c r="CS1040" s="57"/>
      <c r="CT1040" s="57"/>
      <c r="CU1040" s="57"/>
      <c r="CV1040" s="57"/>
      <c r="CW1040" s="57"/>
      <c r="CX1040" s="57"/>
      <c r="CY1040" s="57"/>
      <c r="CZ1040" s="57"/>
      <c r="DA1040" s="57"/>
      <c r="DB1040" s="57"/>
      <c r="DC1040" s="57"/>
      <c r="DD1040" s="57"/>
      <c r="DE1040" s="57"/>
      <c r="DF1040" s="57"/>
      <c r="DG1040" s="57"/>
      <c r="DH1040" s="57"/>
      <c r="DI1040" s="57"/>
      <c r="DJ1040" s="57"/>
      <c r="DK1040" s="57"/>
      <c r="DL1040" s="57"/>
      <c r="DM1040" s="57"/>
      <c r="DN1040" s="57"/>
      <c r="DO1040" s="57"/>
      <c r="DP1040" s="57"/>
      <c r="DQ1040" s="57"/>
      <c r="DR1040" s="57"/>
      <c r="DS1040" s="57"/>
      <c r="DT1040" s="57"/>
      <c r="DU1040" s="57"/>
      <c r="DV1040" s="57"/>
      <c r="DW1040" s="57"/>
      <c r="DX1040" s="57"/>
      <c r="DY1040" s="57"/>
      <c r="DZ1040" s="57"/>
      <c r="EA1040" s="57"/>
      <c r="EB1040" s="57"/>
      <c r="EC1040" s="57"/>
      <c r="ED1040" s="57"/>
      <c r="EE1040" s="57"/>
      <c r="EF1040" s="57"/>
      <c r="EG1040" s="57"/>
      <c r="EH1040" s="57"/>
      <c r="EI1040" s="57"/>
      <c r="EJ1040" s="57"/>
      <c r="EK1040" s="57"/>
      <c r="EL1040" s="57"/>
      <c r="EM1040" s="57"/>
      <c r="EN1040" s="57"/>
      <c r="EO1040" s="57"/>
      <c r="EP1040" s="57"/>
      <c r="EQ1040" s="57"/>
      <c r="ER1040" s="57"/>
      <c r="ES1040" s="57"/>
      <c r="ET1040" s="57"/>
      <c r="EU1040" s="57"/>
      <c r="EV1040" s="57"/>
      <c r="EW1040" s="57"/>
      <c r="EX1040" s="57"/>
      <c r="EY1040" s="57"/>
      <c r="EZ1040" s="57"/>
      <c r="FA1040" s="57"/>
      <c r="FB1040" s="57"/>
      <c r="FC1040" s="57"/>
      <c r="FD1040" s="57"/>
      <c r="FE1040" s="57"/>
      <c r="FF1040" s="57"/>
      <c r="FG1040" s="57"/>
      <c r="FH1040" s="57"/>
      <c r="FI1040" s="57"/>
      <c r="FJ1040" s="57"/>
      <c r="FK1040" s="57"/>
      <c r="FL1040" s="57"/>
      <c r="FM1040" s="57"/>
      <c r="FN1040" s="57"/>
      <c r="FO1040" s="57"/>
      <c r="FP1040" s="57"/>
      <c r="FQ1040" s="57"/>
      <c r="FR1040" s="57"/>
      <c r="FS1040" s="57"/>
      <c r="FT1040" s="57"/>
      <c r="FU1040" s="57"/>
      <c r="FV1040" s="57"/>
      <c r="FW1040" s="57"/>
      <c r="FX1040" s="57"/>
      <c r="FY1040" s="57"/>
      <c r="FZ1040" s="57"/>
      <c r="GA1040" s="57"/>
      <c r="GB1040" s="57"/>
      <c r="GC1040" s="57"/>
      <c r="GD1040" s="57"/>
      <c r="GE1040" s="57"/>
      <c r="GF1040" s="57"/>
      <c r="GG1040" s="57"/>
      <c r="GH1040" s="57"/>
      <c r="GI1040" s="57"/>
      <c r="GJ1040" s="57"/>
      <c r="GK1040" s="57"/>
      <c r="GL1040" s="57"/>
      <c r="GM1040" s="57"/>
      <c r="GN1040" s="57"/>
      <c r="GO1040" s="57"/>
      <c r="GP1040" s="57"/>
      <c r="GQ1040" s="57"/>
      <c r="GR1040" s="57"/>
      <c r="GS1040" s="57"/>
      <c r="GT1040" s="57"/>
      <c r="GU1040" s="57"/>
      <c r="GV1040" s="57"/>
      <c r="GW1040" s="57"/>
      <c r="GX1040" s="57"/>
      <c r="GY1040" s="57"/>
      <c r="GZ1040" s="57"/>
      <c r="HA1040" s="57"/>
      <c r="HB1040" s="57"/>
      <c r="HC1040" s="57"/>
      <c r="HD1040" s="57"/>
      <c r="HE1040" s="57"/>
      <c r="HF1040" s="57"/>
      <c r="HG1040" s="57"/>
      <c r="HH1040" s="57"/>
      <c r="HI1040" s="57"/>
      <c r="HJ1040" s="57"/>
      <c r="HK1040" s="57"/>
      <c r="HL1040" s="57"/>
      <c r="HM1040" s="57"/>
      <c r="HN1040" s="57"/>
      <c r="HO1040" s="57"/>
      <c r="HP1040" s="57"/>
      <c r="HQ1040" s="57"/>
      <c r="HR1040" s="57"/>
      <c r="HS1040" s="57"/>
      <c r="HT1040" s="57"/>
      <c r="HU1040" s="57"/>
      <c r="HV1040" s="57"/>
      <c r="HW1040" s="57"/>
      <c r="HX1040" s="57"/>
      <c r="HY1040" s="57"/>
      <c r="HZ1040" s="57"/>
      <c r="IA1040" s="57"/>
      <c r="IB1040" s="57"/>
      <c r="IC1040" s="57"/>
      <c r="ID1040" s="57"/>
      <c r="IE1040" s="57"/>
      <c r="IF1040" s="57"/>
      <c r="IG1040" s="57"/>
      <c r="IH1040" s="57"/>
      <c r="II1040" s="57"/>
      <c r="IJ1040" s="57"/>
      <c r="IK1040" s="57"/>
      <c r="IL1040" s="57"/>
      <c r="IM1040" s="57"/>
      <c r="IN1040" s="57"/>
      <c r="IO1040" s="57"/>
      <c r="IP1040" s="57"/>
      <c r="IQ1040" s="57"/>
      <c r="IR1040" s="57"/>
      <c r="IS1040" s="57"/>
      <c r="IT1040" s="57"/>
      <c r="IU1040" s="57"/>
      <c r="IV1040" s="57"/>
      <c r="IW1040" s="57"/>
      <c r="IX1040" s="57"/>
      <c r="IY1040" s="57"/>
      <c r="IZ1040" s="57"/>
      <c r="JA1040" s="57"/>
      <c r="JB1040" s="57"/>
      <c r="JC1040" s="57"/>
      <c r="JD1040" s="57"/>
      <c r="JE1040" s="57"/>
      <c r="JF1040" s="57"/>
      <c r="JG1040" s="57"/>
      <c r="JH1040" s="57"/>
      <c r="JI1040" s="57"/>
      <c r="JJ1040" s="57"/>
      <c r="JK1040" s="57"/>
      <c r="JL1040" s="57"/>
      <c r="JM1040" s="57"/>
      <c r="JN1040" s="57"/>
      <c r="JO1040" s="57"/>
      <c r="JP1040" s="57"/>
      <c r="JQ1040" s="57"/>
      <c r="JR1040" s="57"/>
      <c r="JS1040" s="57"/>
      <c r="JT1040" s="57"/>
      <c r="JU1040" s="57"/>
      <c r="JV1040" s="57"/>
      <c r="JW1040" s="57"/>
      <c r="JX1040" s="57"/>
      <c r="JY1040" s="57"/>
      <c r="JZ1040" s="57"/>
      <c r="KA1040" s="57"/>
      <c r="KB1040" s="57"/>
      <c r="KC1040" s="57"/>
      <c r="KD1040" s="57"/>
      <c r="KE1040" s="57"/>
      <c r="KF1040" s="57"/>
      <c r="KG1040" s="57"/>
      <c r="KH1040" s="57"/>
      <c r="KI1040" s="57"/>
      <c r="KJ1040" s="57"/>
      <c r="KK1040" s="57"/>
      <c r="KL1040" s="57"/>
      <c r="KM1040" s="57"/>
      <c r="KN1040" s="57"/>
      <c r="KO1040" s="57"/>
      <c r="KP1040" s="57"/>
      <c r="KQ1040" s="57"/>
      <c r="KR1040" s="57"/>
      <c r="KS1040" s="57"/>
      <c r="KT1040" s="57"/>
      <c r="KU1040" s="57"/>
      <c r="KV1040" s="57"/>
      <c r="KW1040" s="57"/>
      <c r="KX1040" s="57"/>
      <c r="KY1040" s="57"/>
      <c r="KZ1040" s="57"/>
      <c r="LA1040" s="57"/>
      <c r="LB1040" s="57"/>
      <c r="LC1040" s="57"/>
      <c r="LD1040" s="57"/>
      <c r="LE1040" s="57"/>
      <c r="LF1040" s="57"/>
      <c r="LG1040" s="57"/>
      <c r="LH1040" s="57"/>
      <c r="LI1040" s="57"/>
      <c r="LJ1040" s="57"/>
      <c r="LK1040" s="57"/>
      <c r="LL1040" s="57"/>
      <c r="LM1040" s="57"/>
      <c r="LN1040" s="57"/>
      <c r="LO1040" s="57"/>
      <c r="LP1040" s="57"/>
      <c r="LQ1040" s="57"/>
      <c r="LR1040" s="57"/>
      <c r="LS1040" s="57"/>
      <c r="LT1040" s="57"/>
      <c r="LU1040" s="57"/>
      <c r="LV1040" s="57"/>
      <c r="LW1040" s="57"/>
      <c r="LX1040" s="57"/>
      <c r="LY1040" s="57"/>
      <c r="LZ1040" s="57"/>
      <c r="MA1040" s="57"/>
      <c r="MB1040" s="57"/>
      <c r="MC1040" s="57"/>
      <c r="MD1040" s="57"/>
      <c r="ME1040" s="57"/>
      <c r="MF1040" s="57"/>
      <c r="MG1040" s="57"/>
      <c r="MH1040" s="57"/>
      <c r="MI1040" s="57"/>
      <c r="MJ1040" s="57"/>
      <c r="MK1040" s="57"/>
      <c r="ML1040" s="57"/>
      <c r="MM1040" s="57"/>
      <c r="MN1040" s="57"/>
      <c r="MO1040" s="57"/>
      <c r="MP1040" s="57"/>
      <c r="MQ1040" s="57"/>
      <c r="MR1040" s="57"/>
      <c r="MS1040" s="57"/>
      <c r="MT1040" s="57"/>
      <c r="MU1040" s="57"/>
      <c r="MV1040" s="57"/>
      <c r="MW1040" s="57"/>
      <c r="MX1040" s="57"/>
      <c r="MY1040" s="57"/>
      <c r="MZ1040" s="57"/>
      <c r="NA1040" s="57"/>
      <c r="NB1040" s="57"/>
      <c r="NC1040" s="57"/>
      <c r="ND1040" s="57"/>
      <c r="NE1040" s="57"/>
      <c r="NF1040" s="57"/>
      <c r="NG1040" s="57"/>
      <c r="NH1040" s="57"/>
      <c r="NI1040" s="57"/>
      <c r="NJ1040" s="57"/>
      <c r="NK1040" s="57"/>
      <c r="NL1040" s="57"/>
      <c r="NM1040" s="57"/>
      <c r="NN1040" s="57"/>
      <c r="NO1040" s="57"/>
      <c r="NP1040" s="57"/>
      <c r="NQ1040" s="57"/>
      <c r="NR1040" s="57"/>
      <c r="NS1040" s="57"/>
      <c r="NT1040" s="57"/>
      <c r="NU1040" s="57"/>
      <c r="NV1040" s="57"/>
      <c r="NW1040" s="57"/>
      <c r="NX1040" s="57"/>
      <c r="NY1040" s="57"/>
      <c r="NZ1040" s="57"/>
      <c r="OA1040" s="57"/>
      <c r="OB1040" s="57"/>
      <c r="OC1040" s="57"/>
      <c r="OD1040" s="57"/>
      <c r="OE1040" s="57"/>
      <c r="OF1040" s="57"/>
      <c r="OG1040" s="57"/>
      <c r="OH1040" s="57"/>
      <c r="OI1040" s="57"/>
      <c r="OJ1040" s="57"/>
      <c r="OK1040" s="57"/>
      <c r="OL1040" s="57"/>
      <c r="OM1040" s="57"/>
      <c r="ON1040" s="57"/>
      <c r="OO1040" s="57"/>
      <c r="OP1040" s="57"/>
      <c r="OQ1040" s="57"/>
      <c r="OR1040" s="57"/>
      <c r="OS1040" s="57"/>
      <c r="OT1040" s="57"/>
      <c r="OU1040" s="57"/>
      <c r="OV1040" s="57"/>
      <c r="OW1040" s="57"/>
      <c r="OX1040" s="57"/>
      <c r="OY1040" s="57"/>
      <c r="OZ1040" s="57"/>
      <c r="PA1040" s="57"/>
      <c r="PB1040" s="57"/>
      <c r="PC1040" s="57"/>
      <c r="PD1040" s="57"/>
      <c r="PE1040" s="57"/>
      <c r="PF1040" s="57"/>
      <c r="PG1040" s="57"/>
      <c r="PH1040" s="57"/>
      <c r="PI1040" s="57"/>
      <c r="PJ1040" s="57"/>
      <c r="PK1040" s="57"/>
      <c r="PL1040" s="57"/>
      <c r="PM1040" s="57"/>
      <c r="PN1040" s="57"/>
      <c r="PO1040" s="57"/>
      <c r="PP1040" s="57"/>
      <c r="PQ1040" s="57"/>
      <c r="PR1040" s="57"/>
      <c r="PS1040" s="57"/>
      <c r="PT1040" s="57"/>
      <c r="PU1040" s="57"/>
      <c r="PV1040" s="57"/>
      <c r="PW1040" s="57"/>
      <c r="PX1040" s="57"/>
      <c r="PY1040" s="57"/>
      <c r="PZ1040" s="57"/>
      <c r="QA1040" s="57"/>
      <c r="QB1040" s="57"/>
      <c r="QC1040" s="57"/>
      <c r="QD1040" s="57"/>
      <c r="QE1040" s="57"/>
      <c r="QF1040" s="57"/>
      <c r="QG1040" s="57"/>
      <c r="QH1040" s="57"/>
      <c r="QI1040" s="57"/>
      <c r="QJ1040" s="57"/>
      <c r="QK1040" s="57"/>
      <c r="QL1040" s="57"/>
      <c r="QM1040" s="57"/>
      <c r="QN1040" s="57"/>
      <c r="QO1040" s="57"/>
      <c r="QP1040" s="57"/>
      <c r="QQ1040" s="57"/>
      <c r="QR1040" s="57"/>
      <c r="QS1040" s="57"/>
      <c r="QT1040" s="57"/>
      <c r="QU1040" s="57"/>
      <c r="QV1040" s="57"/>
      <c r="QW1040" s="57"/>
      <c r="QX1040" s="57"/>
      <c r="QY1040" s="57"/>
      <c r="QZ1040" s="57"/>
      <c r="RA1040" s="57"/>
      <c r="RB1040" s="57"/>
      <c r="RC1040" s="57"/>
      <c r="RD1040" s="57"/>
      <c r="RE1040" s="57"/>
      <c r="RF1040" s="57"/>
    </row>
    <row r="1041" spans="1:436" x14ac:dyDescent="0.25">
      <c r="H1041" s="11"/>
      <c r="AU1041" s="11"/>
      <c r="CH1041" s="11"/>
      <c r="CI1041" s="12" t="s">
        <v>73</v>
      </c>
      <c r="CJ1041" s="12" t="s">
        <v>74</v>
      </c>
      <c r="CK1041" s="12" t="s">
        <v>73</v>
      </c>
      <c r="CL1041" s="12" t="s">
        <v>74</v>
      </c>
      <c r="CM1041" s="12" t="s">
        <v>73</v>
      </c>
      <c r="CN1041" s="12" t="s">
        <v>74</v>
      </c>
      <c r="CO1041" s="12" t="s">
        <v>73</v>
      </c>
      <c r="CP1041" s="12" t="s">
        <v>74</v>
      </c>
      <c r="CQ1041" s="12" t="s">
        <v>73</v>
      </c>
      <c r="CR1041" s="12" t="s">
        <v>74</v>
      </c>
      <c r="CS1041" s="12" t="s">
        <v>73</v>
      </c>
      <c r="CT1041" s="12" t="s">
        <v>74</v>
      </c>
      <c r="CU1041" s="12" t="s">
        <v>73</v>
      </c>
      <c r="CV1041" s="12" t="s">
        <v>74</v>
      </c>
      <c r="CW1041" s="12" t="s">
        <v>73</v>
      </c>
      <c r="CX1041" s="12" t="s">
        <v>74</v>
      </c>
      <c r="CY1041" s="12" t="s">
        <v>73</v>
      </c>
      <c r="CZ1041" s="12" t="s">
        <v>74</v>
      </c>
      <c r="DA1041" s="12" t="s">
        <v>73</v>
      </c>
      <c r="DB1041" s="12" t="s">
        <v>74</v>
      </c>
      <c r="DC1041" s="12" t="s">
        <v>73</v>
      </c>
      <c r="DD1041" s="12" t="s">
        <v>74</v>
      </c>
      <c r="DE1041" s="12" t="s">
        <v>73</v>
      </c>
      <c r="DF1041" s="12" t="s">
        <v>74</v>
      </c>
      <c r="DG1041" s="12" t="s">
        <v>73</v>
      </c>
      <c r="DH1041" s="12" t="s">
        <v>74</v>
      </c>
      <c r="DI1041" s="12" t="s">
        <v>73</v>
      </c>
      <c r="DJ1041" s="12" t="s">
        <v>74</v>
      </c>
      <c r="DK1041" s="12" t="s">
        <v>73</v>
      </c>
      <c r="DL1041" s="12" t="s">
        <v>74</v>
      </c>
      <c r="DM1041" s="12" t="s">
        <v>73</v>
      </c>
      <c r="DN1041" s="12" t="s">
        <v>74</v>
      </c>
      <c r="DO1041" s="12" t="s">
        <v>73</v>
      </c>
      <c r="DP1041" s="12" t="s">
        <v>74</v>
      </c>
      <c r="DQ1041" s="12" t="s">
        <v>73</v>
      </c>
      <c r="DR1041" s="12" t="s">
        <v>74</v>
      </c>
      <c r="DS1041" s="12" t="s">
        <v>73</v>
      </c>
      <c r="DT1041" s="12" t="s">
        <v>74</v>
      </c>
      <c r="DU1041" s="12" t="s">
        <v>73</v>
      </c>
      <c r="DV1041" s="12" t="s">
        <v>74</v>
      </c>
      <c r="DW1041" s="12" t="s">
        <v>73</v>
      </c>
      <c r="DX1041" s="12" t="s">
        <v>74</v>
      </c>
      <c r="DY1041" s="12" t="s">
        <v>73</v>
      </c>
      <c r="DZ1041" s="12" t="s">
        <v>74</v>
      </c>
      <c r="EA1041" s="12" t="s">
        <v>73</v>
      </c>
      <c r="EB1041" s="12" t="s">
        <v>74</v>
      </c>
      <c r="EC1041" s="12" t="s">
        <v>73</v>
      </c>
      <c r="ED1041" s="12" t="s">
        <v>74</v>
      </c>
      <c r="EE1041" s="12" t="s">
        <v>73</v>
      </c>
      <c r="EF1041" s="12" t="s">
        <v>74</v>
      </c>
      <c r="EG1041" s="12" t="s">
        <v>73</v>
      </c>
      <c r="EH1041" s="12" t="s">
        <v>74</v>
      </c>
      <c r="EI1041" s="12" t="s">
        <v>73</v>
      </c>
      <c r="EJ1041" s="12" t="s">
        <v>74</v>
      </c>
      <c r="EK1041" s="12" t="s">
        <v>73</v>
      </c>
      <c r="EL1041" s="12" t="s">
        <v>74</v>
      </c>
      <c r="EM1041" s="12" t="s">
        <v>73</v>
      </c>
      <c r="EN1041" s="12" t="s">
        <v>74</v>
      </c>
      <c r="EO1041" s="12" t="s">
        <v>73</v>
      </c>
      <c r="EP1041" s="12" t="s">
        <v>74</v>
      </c>
      <c r="EQ1041" s="12" t="s">
        <v>73</v>
      </c>
      <c r="ER1041" s="12" t="s">
        <v>74</v>
      </c>
      <c r="ES1041" s="12" t="s">
        <v>73</v>
      </c>
      <c r="ET1041" s="12" t="s">
        <v>74</v>
      </c>
      <c r="EU1041" s="12" t="s">
        <v>73</v>
      </c>
      <c r="EV1041" s="12" t="s">
        <v>74</v>
      </c>
      <c r="EW1041" s="12" t="s">
        <v>73</v>
      </c>
      <c r="EX1041" s="12" t="s">
        <v>74</v>
      </c>
      <c r="EY1041" s="12" t="s">
        <v>73</v>
      </c>
      <c r="EZ1041" s="12" t="s">
        <v>74</v>
      </c>
      <c r="FA1041" s="12" t="s">
        <v>73</v>
      </c>
      <c r="FB1041" s="12" t="s">
        <v>74</v>
      </c>
      <c r="FC1041" s="12" t="s">
        <v>73</v>
      </c>
      <c r="FD1041" s="12" t="s">
        <v>74</v>
      </c>
      <c r="FE1041" s="12" t="s">
        <v>73</v>
      </c>
      <c r="FF1041" s="12" t="s">
        <v>74</v>
      </c>
      <c r="FG1041" s="11"/>
      <c r="GT1041" s="11"/>
      <c r="IG1041" s="11"/>
      <c r="JT1041" s="11"/>
      <c r="LG1041" s="11"/>
      <c r="MT1041" s="11"/>
      <c r="OG1041" s="11"/>
      <c r="PT1041" s="11"/>
    </row>
    <row r="1042" spans="1:436" ht="15.75" x14ac:dyDescent="0.25">
      <c r="A1042" s="13"/>
      <c r="B1042" s="14" t="s">
        <v>767</v>
      </c>
      <c r="C1042" s="13"/>
      <c r="D1042" s="13"/>
      <c r="E1042" s="15" t="s">
        <v>76</v>
      </c>
      <c r="F1042" s="15" t="s">
        <v>132</v>
      </c>
      <c r="G1042" s="13"/>
      <c r="H1042" s="11"/>
      <c r="AU1042" s="11"/>
      <c r="CH1042" s="11"/>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7"/>
      <c r="DF1042" s="17"/>
      <c r="DG1042" s="16"/>
      <c r="DH1042" s="16"/>
      <c r="DI1042" s="17"/>
      <c r="DJ1042" s="18">
        <v>3</v>
      </c>
      <c r="DK1042" s="16"/>
      <c r="DL1042" s="16"/>
      <c r="DM1042" s="17"/>
      <c r="DN1042" s="17"/>
      <c r="DO1042" s="16"/>
      <c r="DP1042" s="16"/>
      <c r="DQ1042" s="17"/>
      <c r="DR1042" s="17"/>
      <c r="DS1042" s="16"/>
      <c r="DT1042" s="16"/>
      <c r="DU1042" s="17"/>
      <c r="DV1042" s="18">
        <v>3</v>
      </c>
      <c r="DW1042" s="16"/>
      <c r="DX1042" s="19">
        <v>4</v>
      </c>
      <c r="DY1042" s="17"/>
      <c r="DZ1042" s="17"/>
      <c r="EA1042" s="16"/>
      <c r="EB1042" s="16"/>
      <c r="EC1042" s="17"/>
      <c r="ED1042" s="17"/>
      <c r="EE1042" s="16"/>
      <c r="EF1042" s="19">
        <v>3</v>
      </c>
      <c r="EG1042" s="17"/>
      <c r="EH1042" s="17"/>
      <c r="EI1042" s="16"/>
      <c r="EJ1042" s="16"/>
      <c r="EK1042" s="17"/>
      <c r="EL1042" s="17"/>
      <c r="EM1042" s="16"/>
      <c r="EN1042" s="19">
        <v>2</v>
      </c>
      <c r="EO1042" s="17"/>
      <c r="EP1042" s="17"/>
      <c r="EQ1042" s="16"/>
      <c r="ER1042" s="16"/>
      <c r="ES1042" s="17"/>
      <c r="ET1042" s="18">
        <v>30</v>
      </c>
      <c r="EU1042" s="16"/>
      <c r="EV1042" s="16"/>
      <c r="EW1042" s="17"/>
      <c r="EX1042" s="17"/>
      <c r="EY1042" s="16"/>
      <c r="EZ1042" s="16"/>
      <c r="FA1042" s="17"/>
      <c r="FB1042" s="17"/>
      <c r="FC1042" s="16"/>
      <c r="FD1042" s="19">
        <v>2</v>
      </c>
      <c r="FE1042" s="17"/>
      <c r="FF1042" s="17"/>
      <c r="FG1042" s="11"/>
      <c r="GT1042" s="11"/>
      <c r="IG1042" s="11"/>
      <c r="JT1042" s="11"/>
      <c r="LG1042" s="11"/>
      <c r="MT1042" s="11"/>
      <c r="OG1042" s="11"/>
      <c r="PT1042" s="11"/>
    </row>
    <row r="1043" spans="1:436" ht="15.75" x14ac:dyDescent="0.25">
      <c r="C1043" s="20" t="s">
        <v>768</v>
      </c>
      <c r="D1043" s="21" t="s">
        <v>79</v>
      </c>
      <c r="H1043" s="11"/>
      <c r="AU1043" s="11"/>
      <c r="CH1043" s="11"/>
      <c r="CI1043" s="16"/>
      <c r="CJ1043" s="16"/>
      <c r="CK1043" s="16"/>
      <c r="CL1043" s="16"/>
      <c r="CM1043" s="16"/>
      <c r="CN1043" s="16"/>
      <c r="CO1043" s="16"/>
      <c r="CP1043" s="16"/>
      <c r="CQ1043" s="16"/>
      <c r="CR1043" s="16"/>
      <c r="CS1043" s="16"/>
      <c r="CT1043" s="16"/>
      <c r="CU1043" s="16"/>
      <c r="CV1043" s="16"/>
      <c r="CW1043" s="16"/>
      <c r="CX1043" s="16"/>
      <c r="CY1043" s="16"/>
      <c r="CZ1043" s="16"/>
      <c r="DA1043" s="16"/>
      <c r="DB1043" s="16"/>
      <c r="DC1043" s="16"/>
      <c r="DD1043" s="16"/>
      <c r="DE1043" s="17"/>
      <c r="DF1043" s="17"/>
      <c r="DG1043" s="16"/>
      <c r="DH1043" s="16"/>
      <c r="DI1043" s="18">
        <v>0.5</v>
      </c>
      <c r="DJ1043" s="18">
        <v>5</v>
      </c>
      <c r="DK1043" s="16"/>
      <c r="DL1043" s="16"/>
      <c r="DM1043" s="17"/>
      <c r="DN1043" s="17"/>
      <c r="DO1043" s="16"/>
      <c r="DP1043" s="16"/>
      <c r="DQ1043" s="17"/>
      <c r="DR1043" s="17"/>
      <c r="DS1043" s="16"/>
      <c r="DT1043" s="16"/>
      <c r="DU1043" s="17"/>
      <c r="DV1043" s="17"/>
      <c r="DW1043" s="16"/>
      <c r="DX1043" s="16"/>
      <c r="DY1043" s="17"/>
      <c r="DZ1043" s="17"/>
      <c r="EA1043" s="16"/>
      <c r="EB1043" s="16"/>
      <c r="EC1043" s="17"/>
      <c r="ED1043" s="17"/>
      <c r="EE1043" s="16"/>
      <c r="EF1043" s="16"/>
      <c r="EG1043" s="17"/>
      <c r="EH1043" s="17"/>
      <c r="EI1043" s="16"/>
      <c r="EJ1043" s="16"/>
      <c r="EK1043" s="17"/>
      <c r="EL1043" s="17"/>
      <c r="EM1043" s="16"/>
      <c r="EN1043" s="16"/>
      <c r="EO1043" s="17"/>
      <c r="EP1043" s="17"/>
      <c r="EQ1043" s="16"/>
      <c r="ER1043" s="16"/>
      <c r="ES1043" s="17"/>
      <c r="ET1043" s="17"/>
      <c r="EU1043" s="16"/>
      <c r="EV1043" s="16"/>
      <c r="EW1043" s="17"/>
      <c r="EX1043" s="17"/>
      <c r="EY1043" s="16"/>
      <c r="EZ1043" s="16"/>
      <c r="FA1043" s="17"/>
      <c r="FB1043" s="17"/>
      <c r="FC1043" s="16"/>
      <c r="FD1043" s="16"/>
      <c r="FE1043" s="17"/>
      <c r="FF1043" s="17"/>
      <c r="FG1043" s="11"/>
      <c r="GT1043" s="11"/>
      <c r="IG1043" s="11"/>
      <c r="JT1043" s="11"/>
      <c r="LG1043" s="11"/>
      <c r="MT1043" s="11"/>
      <c r="OG1043" s="11"/>
      <c r="PT1043" s="11"/>
    </row>
    <row r="1044" spans="1:436" ht="15.75" x14ac:dyDescent="0.25">
      <c r="C1044" s="20" t="s">
        <v>769</v>
      </c>
      <c r="D1044" s="21" t="s">
        <v>129</v>
      </c>
      <c r="H1044" s="11"/>
      <c r="AU1044" s="11"/>
      <c r="CH1044" s="11"/>
      <c r="CI1044" s="16"/>
      <c r="CJ1044" s="16"/>
      <c r="CK1044" s="16"/>
      <c r="CL1044" s="16"/>
      <c r="CM1044" s="16"/>
      <c r="CN1044" s="16"/>
      <c r="CO1044" s="16"/>
      <c r="CP1044" s="16"/>
      <c r="CQ1044" s="16"/>
      <c r="CR1044" s="16"/>
      <c r="CS1044" s="16"/>
      <c r="CT1044" s="16"/>
      <c r="CU1044" s="16"/>
      <c r="CV1044" s="16"/>
      <c r="CW1044" s="16"/>
      <c r="CX1044" s="16"/>
      <c r="CY1044" s="16"/>
      <c r="CZ1044" s="16"/>
      <c r="DA1044" s="16"/>
      <c r="DB1044" s="16"/>
      <c r="DC1044" s="16"/>
      <c r="DD1044" s="16"/>
      <c r="DE1044" s="17"/>
      <c r="DF1044" s="17"/>
      <c r="DG1044" s="16"/>
      <c r="DH1044" s="16"/>
      <c r="DI1044" s="17"/>
      <c r="DJ1044" s="17"/>
      <c r="DK1044" s="16"/>
      <c r="DL1044" s="16"/>
      <c r="DM1044" s="17"/>
      <c r="DN1044" s="17"/>
      <c r="DO1044" s="16"/>
      <c r="DP1044" s="16"/>
      <c r="DQ1044" s="17"/>
      <c r="DR1044" s="17"/>
      <c r="DS1044" s="16"/>
      <c r="DT1044" s="16"/>
      <c r="DU1044" s="17"/>
      <c r="DV1044" s="17"/>
      <c r="DW1044" s="16"/>
      <c r="DX1044" s="16"/>
      <c r="DY1044" s="17"/>
      <c r="DZ1044" s="17"/>
      <c r="EA1044" s="16"/>
      <c r="EB1044" s="16"/>
      <c r="EC1044" s="17"/>
      <c r="ED1044" s="17"/>
      <c r="EE1044" s="16"/>
      <c r="EF1044" s="16"/>
      <c r="EG1044" s="17"/>
      <c r="EH1044" s="17"/>
      <c r="EI1044" s="16"/>
      <c r="EJ1044" s="16"/>
      <c r="EK1044" s="17"/>
      <c r="EL1044" s="17"/>
      <c r="EM1044" s="16"/>
      <c r="EN1044" s="16"/>
      <c r="EO1044" s="17"/>
      <c r="EP1044" s="17"/>
      <c r="EQ1044" s="16"/>
      <c r="ER1044" s="16"/>
      <c r="ES1044" s="17"/>
      <c r="ET1044" s="17"/>
      <c r="EU1044" s="16"/>
      <c r="EV1044" s="16"/>
      <c r="EW1044" s="17"/>
      <c r="EX1044" s="17"/>
      <c r="EY1044" s="16"/>
      <c r="EZ1044" s="16"/>
      <c r="FA1044" s="17"/>
      <c r="FB1044" s="17"/>
      <c r="FC1044" s="16"/>
      <c r="FD1044" s="16"/>
      <c r="FE1044" s="17"/>
      <c r="FF1044" s="17"/>
      <c r="FG1044" s="11"/>
      <c r="GT1044" s="11"/>
      <c r="IG1044" s="11"/>
      <c r="JT1044" s="11"/>
      <c r="LG1044" s="11"/>
      <c r="MT1044" s="11"/>
      <c r="OG1044" s="11"/>
      <c r="PT1044" s="11"/>
    </row>
    <row r="1045" spans="1:436" ht="15.75" x14ac:dyDescent="0.25">
      <c r="C1045" s="20" t="s">
        <v>770</v>
      </c>
      <c r="D1045" s="21" t="s">
        <v>136</v>
      </c>
      <c r="H1045" s="11"/>
      <c r="AU1045" s="11"/>
      <c r="CH1045" s="11"/>
      <c r="CI1045" s="16"/>
      <c r="CJ1045" s="16"/>
      <c r="CK1045" s="16"/>
      <c r="CL1045" s="16"/>
      <c r="CM1045" s="16"/>
      <c r="CN1045" s="16"/>
      <c r="CO1045" s="16"/>
      <c r="CP1045" s="16"/>
      <c r="CQ1045" s="16"/>
      <c r="CR1045" s="16"/>
      <c r="CS1045" s="16"/>
      <c r="CT1045" s="16"/>
      <c r="CU1045" s="16"/>
      <c r="CV1045" s="16"/>
      <c r="CW1045" s="16"/>
      <c r="CX1045" s="16"/>
      <c r="CY1045" s="16"/>
      <c r="CZ1045" s="16"/>
      <c r="DA1045" s="16"/>
      <c r="DB1045" s="16"/>
      <c r="DC1045" s="16"/>
      <c r="DD1045" s="16"/>
      <c r="DE1045" s="17"/>
      <c r="DF1045" s="17"/>
      <c r="DG1045" s="16"/>
      <c r="DH1045" s="16"/>
      <c r="DI1045" s="17"/>
      <c r="DJ1045" s="17"/>
      <c r="DK1045" s="16"/>
      <c r="DL1045" s="16"/>
      <c r="DM1045" s="17"/>
      <c r="DN1045" s="17"/>
      <c r="DO1045" s="16"/>
      <c r="DP1045" s="16"/>
      <c r="DQ1045" s="17"/>
      <c r="DR1045" s="17"/>
      <c r="DS1045" s="16"/>
      <c r="DT1045" s="16"/>
      <c r="DU1045" s="17"/>
      <c r="DV1045" s="17"/>
      <c r="DW1045" s="16"/>
      <c r="DX1045" s="16"/>
      <c r="DY1045" s="17"/>
      <c r="DZ1045" s="17"/>
      <c r="EA1045" s="16"/>
      <c r="EB1045" s="16"/>
      <c r="EC1045" s="17"/>
      <c r="ED1045" s="17"/>
      <c r="EE1045" s="16"/>
      <c r="EF1045" s="16"/>
      <c r="EG1045" s="17"/>
      <c r="EH1045" s="17"/>
      <c r="EI1045" s="16"/>
      <c r="EJ1045" s="16"/>
      <c r="EK1045" s="17"/>
      <c r="EL1045" s="17"/>
      <c r="EM1045" s="16"/>
      <c r="EN1045" s="16"/>
      <c r="EO1045" s="17"/>
      <c r="EP1045" s="17"/>
      <c r="EQ1045" s="16"/>
      <c r="ER1045" s="16"/>
      <c r="ES1045" s="17"/>
      <c r="ET1045" s="17"/>
      <c r="EU1045" s="16"/>
      <c r="EV1045" s="16"/>
      <c r="EW1045" s="17"/>
      <c r="EX1045" s="17"/>
      <c r="EY1045" s="16"/>
      <c r="EZ1045" s="16"/>
      <c r="FA1045" s="17"/>
      <c r="FB1045" s="17"/>
      <c r="FC1045" s="16"/>
      <c r="FD1045" s="16"/>
      <c r="FE1045" s="17"/>
      <c r="FF1045" s="17"/>
      <c r="FG1045" s="11"/>
      <c r="GT1045" s="11"/>
      <c r="IG1045" s="11"/>
      <c r="JT1045" s="11"/>
      <c r="LG1045" s="11"/>
      <c r="MT1045" s="11"/>
      <c r="OG1045" s="11"/>
      <c r="PT1045" s="11"/>
    </row>
    <row r="1046" spans="1:436" ht="15.75" x14ac:dyDescent="0.25">
      <c r="C1046" s="20" t="s">
        <v>771</v>
      </c>
      <c r="D1046" s="21" t="s">
        <v>203</v>
      </c>
      <c r="H1046" s="11"/>
      <c r="AU1046" s="11"/>
      <c r="CH1046" s="11"/>
      <c r="CI1046" s="16"/>
      <c r="CJ1046" s="16"/>
      <c r="CK1046" s="16"/>
      <c r="CL1046" s="16"/>
      <c r="CM1046" s="16"/>
      <c r="CN1046" s="16"/>
      <c r="CO1046" s="16"/>
      <c r="CP1046" s="16"/>
      <c r="CQ1046" s="16"/>
      <c r="CR1046" s="16"/>
      <c r="CS1046" s="16"/>
      <c r="CT1046" s="16"/>
      <c r="CU1046" s="16"/>
      <c r="CV1046" s="16"/>
      <c r="CW1046" s="16"/>
      <c r="CX1046" s="16"/>
      <c r="CY1046" s="16"/>
      <c r="CZ1046" s="16"/>
      <c r="DA1046" s="16"/>
      <c r="DB1046" s="16"/>
      <c r="DC1046" s="16"/>
      <c r="DD1046" s="16"/>
      <c r="DE1046" s="17"/>
      <c r="DF1046" s="17"/>
      <c r="DG1046" s="16"/>
      <c r="DH1046" s="16"/>
      <c r="DI1046" s="17"/>
      <c r="DJ1046" s="17"/>
      <c r="DK1046" s="16"/>
      <c r="DL1046" s="16"/>
      <c r="DM1046" s="17"/>
      <c r="DN1046" s="17"/>
      <c r="DO1046" s="16"/>
      <c r="DP1046" s="16"/>
      <c r="DQ1046" s="17"/>
      <c r="DR1046" s="17"/>
      <c r="DS1046" s="16"/>
      <c r="DT1046" s="16"/>
      <c r="DU1046" s="17"/>
      <c r="DV1046" s="17"/>
      <c r="DW1046" s="16"/>
      <c r="DX1046" s="16"/>
      <c r="DY1046" s="17"/>
      <c r="DZ1046" s="17"/>
      <c r="EA1046" s="16"/>
      <c r="EB1046" s="16"/>
      <c r="EC1046" s="17"/>
      <c r="ED1046" s="17"/>
      <c r="EE1046" s="16"/>
      <c r="EF1046" s="16"/>
      <c r="EG1046" s="17"/>
      <c r="EH1046" s="17"/>
      <c r="EI1046" s="16"/>
      <c r="EJ1046" s="16"/>
      <c r="EK1046" s="17"/>
      <c r="EL1046" s="17"/>
      <c r="EM1046" s="16"/>
      <c r="EN1046" s="16"/>
      <c r="EO1046" s="17"/>
      <c r="EP1046" s="17"/>
      <c r="EQ1046" s="16"/>
      <c r="ER1046" s="16"/>
      <c r="ES1046" s="17"/>
      <c r="ET1046" s="17"/>
      <c r="EU1046" s="16"/>
      <c r="EV1046" s="16"/>
      <c r="EW1046" s="17"/>
      <c r="EX1046" s="17"/>
      <c r="EY1046" s="16"/>
      <c r="EZ1046" s="16"/>
      <c r="FA1046" s="17"/>
      <c r="FB1046" s="17"/>
      <c r="FC1046" s="16"/>
      <c r="FD1046" s="16"/>
      <c r="FE1046" s="17"/>
      <c r="FF1046" s="17"/>
      <c r="FG1046" s="11"/>
      <c r="GT1046" s="11"/>
      <c r="IG1046" s="11"/>
      <c r="JT1046" s="11"/>
      <c r="LG1046" s="11"/>
      <c r="MT1046" s="11"/>
      <c r="OG1046" s="11"/>
      <c r="PT1046" s="11"/>
    </row>
    <row r="1047" spans="1:436" ht="15.75" x14ac:dyDescent="0.25">
      <c r="C1047" s="20" t="s">
        <v>772</v>
      </c>
      <c r="D1047" s="21" t="s">
        <v>142</v>
      </c>
      <c r="H1047" s="11"/>
      <c r="AU1047" s="11"/>
      <c r="CH1047" s="11"/>
      <c r="CI1047" s="16"/>
      <c r="CJ1047" s="16"/>
      <c r="CK1047" s="16"/>
      <c r="CL1047" s="16"/>
      <c r="CM1047" s="16"/>
      <c r="CN1047" s="16"/>
      <c r="CO1047" s="16"/>
      <c r="CP1047" s="16"/>
      <c r="CQ1047" s="16"/>
      <c r="CR1047" s="16"/>
      <c r="CS1047" s="16"/>
      <c r="CT1047" s="16"/>
      <c r="CU1047" s="16"/>
      <c r="CV1047" s="16"/>
      <c r="CW1047" s="16"/>
      <c r="CX1047" s="16"/>
      <c r="CY1047" s="16"/>
      <c r="CZ1047" s="16"/>
      <c r="DA1047" s="16"/>
      <c r="DB1047" s="16"/>
      <c r="DC1047" s="16"/>
      <c r="DD1047" s="16"/>
      <c r="DE1047" s="17"/>
      <c r="DF1047" s="17"/>
      <c r="DG1047" s="16"/>
      <c r="DH1047" s="16"/>
      <c r="DI1047" s="17"/>
      <c r="DJ1047" s="17"/>
      <c r="DK1047" s="16"/>
      <c r="DL1047" s="16"/>
      <c r="DM1047" s="17"/>
      <c r="DN1047" s="17"/>
      <c r="DO1047" s="16"/>
      <c r="DP1047" s="16"/>
      <c r="DQ1047" s="17"/>
      <c r="DR1047" s="17"/>
      <c r="DS1047" s="16"/>
      <c r="DT1047" s="16"/>
      <c r="DU1047" s="17"/>
      <c r="DV1047" s="17"/>
      <c r="DW1047" s="16"/>
      <c r="DX1047" s="16"/>
      <c r="DY1047" s="17"/>
      <c r="DZ1047" s="17"/>
      <c r="EA1047" s="16"/>
      <c r="EB1047" s="16"/>
      <c r="EC1047" s="17"/>
      <c r="ED1047" s="17"/>
      <c r="EE1047" s="16"/>
      <c r="EF1047" s="16"/>
      <c r="EG1047" s="17"/>
      <c r="EH1047" s="17"/>
      <c r="EI1047" s="16"/>
      <c r="EJ1047" s="16"/>
      <c r="EK1047" s="17"/>
      <c r="EL1047" s="17"/>
      <c r="EM1047" s="16"/>
      <c r="EN1047" s="16"/>
      <c r="EO1047" s="17"/>
      <c r="EP1047" s="17"/>
      <c r="EQ1047" s="16"/>
      <c r="ER1047" s="16"/>
      <c r="ES1047" s="17"/>
      <c r="ET1047" s="17"/>
      <c r="EU1047" s="16"/>
      <c r="EV1047" s="16"/>
      <c r="EW1047" s="17"/>
      <c r="EX1047" s="17"/>
      <c r="EY1047" s="16"/>
      <c r="EZ1047" s="16"/>
      <c r="FA1047" s="17"/>
      <c r="FB1047" s="17"/>
      <c r="FC1047" s="16"/>
      <c r="FD1047" s="16"/>
      <c r="FE1047" s="17"/>
      <c r="FF1047" s="17"/>
      <c r="FG1047" s="11"/>
      <c r="GT1047" s="11"/>
      <c r="IG1047" s="11"/>
      <c r="JT1047" s="11"/>
      <c r="LG1047" s="11"/>
      <c r="MT1047" s="11"/>
      <c r="OG1047" s="11"/>
      <c r="PT1047" s="11"/>
    </row>
    <row r="1048" spans="1:436" ht="15.75" x14ac:dyDescent="0.25">
      <c r="C1048" s="20" t="s">
        <v>773</v>
      </c>
      <c r="D1048" s="21" t="s">
        <v>90</v>
      </c>
      <c r="H1048" s="11"/>
      <c r="AU1048" s="11"/>
      <c r="CH1048" s="11"/>
      <c r="CI1048" s="16"/>
      <c r="CJ1048" s="16"/>
      <c r="CK1048" s="16"/>
      <c r="CL1048" s="16"/>
      <c r="CM1048" s="16"/>
      <c r="CN1048" s="16"/>
      <c r="CO1048" s="16"/>
      <c r="CP1048" s="16"/>
      <c r="CQ1048" s="16"/>
      <c r="CR1048" s="16"/>
      <c r="CS1048" s="16"/>
      <c r="CT1048" s="16"/>
      <c r="CU1048" s="16"/>
      <c r="CV1048" s="16"/>
      <c r="CW1048" s="16"/>
      <c r="CX1048" s="16"/>
      <c r="CY1048" s="16"/>
      <c r="CZ1048" s="16"/>
      <c r="DA1048" s="16"/>
      <c r="DB1048" s="16"/>
      <c r="DC1048" s="16"/>
      <c r="DD1048" s="16"/>
      <c r="DE1048" s="17"/>
      <c r="DF1048" s="17"/>
      <c r="DG1048" s="16"/>
      <c r="DH1048" s="16"/>
      <c r="DI1048" s="17"/>
      <c r="DJ1048" s="17"/>
      <c r="DK1048" s="16"/>
      <c r="DL1048" s="16"/>
      <c r="DM1048" s="17"/>
      <c r="DN1048" s="17"/>
      <c r="DO1048" s="16"/>
      <c r="DP1048" s="16"/>
      <c r="DQ1048" s="17"/>
      <c r="DR1048" s="17"/>
      <c r="DS1048" s="16"/>
      <c r="DT1048" s="16"/>
      <c r="DU1048" s="17"/>
      <c r="DV1048" s="17"/>
      <c r="DW1048" s="16"/>
      <c r="DX1048" s="16"/>
      <c r="DY1048" s="17"/>
      <c r="DZ1048" s="17"/>
      <c r="EA1048" s="16"/>
      <c r="EB1048" s="16"/>
      <c r="EC1048" s="17"/>
      <c r="ED1048" s="17"/>
      <c r="EE1048" s="16"/>
      <c r="EF1048" s="16"/>
      <c r="EG1048" s="17"/>
      <c r="EH1048" s="17"/>
      <c r="EI1048" s="16"/>
      <c r="EJ1048" s="16"/>
      <c r="EK1048" s="17"/>
      <c r="EL1048" s="17"/>
      <c r="EM1048" s="16"/>
      <c r="EN1048" s="16"/>
      <c r="EO1048" s="17"/>
      <c r="EP1048" s="17"/>
      <c r="EQ1048" s="16"/>
      <c r="ER1048" s="16"/>
      <c r="ES1048" s="17"/>
      <c r="ET1048" s="17"/>
      <c r="EU1048" s="16"/>
      <c r="EV1048" s="16"/>
      <c r="EW1048" s="17"/>
      <c r="EX1048" s="17"/>
      <c r="EY1048" s="16"/>
      <c r="EZ1048" s="16"/>
      <c r="FA1048" s="17"/>
      <c r="FB1048" s="17"/>
      <c r="FC1048" s="16"/>
      <c r="FD1048" s="16"/>
      <c r="FE1048" s="17"/>
      <c r="FF1048" s="17"/>
      <c r="FG1048" s="11"/>
      <c r="GT1048" s="11"/>
      <c r="IG1048" s="11"/>
      <c r="JT1048" s="11"/>
      <c r="LG1048" s="11"/>
      <c r="MT1048" s="11"/>
      <c r="OG1048" s="11"/>
      <c r="PT1048" s="11"/>
    </row>
    <row r="1049" spans="1:436" ht="15.75" x14ac:dyDescent="0.25">
      <c r="C1049" s="20" t="s">
        <v>774</v>
      </c>
      <c r="D1049" s="21" t="s">
        <v>79</v>
      </c>
      <c r="H1049" s="11"/>
      <c r="AU1049" s="11"/>
      <c r="CH1049" s="11"/>
      <c r="CI1049" s="16"/>
      <c r="CJ1049" s="16"/>
      <c r="CK1049" s="16"/>
      <c r="CL1049" s="16"/>
      <c r="CM1049" s="16"/>
      <c r="CN1049" s="16"/>
      <c r="CO1049" s="16"/>
      <c r="CP1049" s="16"/>
      <c r="CQ1049" s="16"/>
      <c r="CR1049" s="16"/>
      <c r="CS1049" s="16"/>
      <c r="CT1049" s="16"/>
      <c r="CU1049" s="16"/>
      <c r="CV1049" s="16"/>
      <c r="CW1049" s="16"/>
      <c r="CX1049" s="16"/>
      <c r="CY1049" s="16"/>
      <c r="CZ1049" s="16"/>
      <c r="DA1049" s="16"/>
      <c r="DB1049" s="16"/>
      <c r="DC1049" s="16"/>
      <c r="DD1049" s="16"/>
      <c r="DE1049" s="17"/>
      <c r="DF1049" s="17"/>
      <c r="DG1049" s="16"/>
      <c r="DH1049" s="16"/>
      <c r="DI1049" s="18">
        <v>2</v>
      </c>
      <c r="DJ1049" s="18">
        <v>4</v>
      </c>
      <c r="DK1049" s="16"/>
      <c r="DL1049" s="16"/>
      <c r="DM1049" s="17"/>
      <c r="DN1049" s="17"/>
      <c r="DO1049" s="16"/>
      <c r="DP1049" s="16"/>
      <c r="DQ1049" s="17"/>
      <c r="DR1049" s="17"/>
      <c r="DS1049" s="16"/>
      <c r="DT1049" s="16"/>
      <c r="DU1049" s="17"/>
      <c r="DV1049" s="17"/>
      <c r="DW1049" s="16"/>
      <c r="DX1049" s="16"/>
      <c r="DY1049" s="17"/>
      <c r="DZ1049" s="17"/>
      <c r="EA1049" s="16"/>
      <c r="EB1049" s="16"/>
      <c r="EC1049" s="17"/>
      <c r="ED1049" s="17"/>
      <c r="EE1049" s="16"/>
      <c r="EF1049" s="16"/>
      <c r="EG1049" s="17"/>
      <c r="EH1049" s="17"/>
      <c r="EI1049" s="16"/>
      <c r="EJ1049" s="16"/>
      <c r="EK1049" s="17"/>
      <c r="EL1049" s="17"/>
      <c r="EM1049" s="16"/>
      <c r="EN1049" s="16"/>
      <c r="EO1049" s="17"/>
      <c r="EP1049" s="17"/>
      <c r="EQ1049" s="16"/>
      <c r="ER1049" s="16"/>
      <c r="ES1049" s="17"/>
      <c r="ET1049" s="17"/>
      <c r="EU1049" s="16"/>
      <c r="EV1049" s="16"/>
      <c r="EW1049" s="17"/>
      <c r="EX1049" s="17"/>
      <c r="EY1049" s="16"/>
      <c r="EZ1049" s="16"/>
      <c r="FA1049" s="17"/>
      <c r="FB1049" s="17"/>
      <c r="FC1049" s="16"/>
      <c r="FD1049" s="16"/>
      <c r="FE1049" s="17"/>
      <c r="FF1049" s="17"/>
      <c r="FG1049" s="11"/>
      <c r="GT1049" s="11"/>
      <c r="IG1049" s="11"/>
      <c r="JT1049" s="11"/>
      <c r="LG1049" s="11"/>
      <c r="MT1049" s="11"/>
      <c r="OG1049" s="11"/>
      <c r="PT1049" s="11"/>
    </row>
    <row r="1050" spans="1:436" ht="15.75" x14ac:dyDescent="0.25">
      <c r="C1050" s="20" t="s">
        <v>775</v>
      </c>
      <c r="D1050" s="21" t="s">
        <v>203</v>
      </c>
      <c r="H1050" s="11"/>
      <c r="AU1050" s="11"/>
      <c r="CH1050" s="11"/>
      <c r="CI1050" s="16"/>
      <c r="CJ1050" s="16"/>
      <c r="CK1050" s="16"/>
      <c r="CL1050" s="16"/>
      <c r="CM1050" s="16"/>
      <c r="CN1050" s="16"/>
      <c r="CO1050" s="16"/>
      <c r="CP1050" s="16"/>
      <c r="CQ1050" s="16"/>
      <c r="CR1050" s="16"/>
      <c r="CS1050" s="16"/>
      <c r="CT1050" s="16"/>
      <c r="CU1050" s="16"/>
      <c r="CV1050" s="16"/>
      <c r="CW1050" s="16"/>
      <c r="CX1050" s="16"/>
      <c r="CY1050" s="16"/>
      <c r="CZ1050" s="16"/>
      <c r="DA1050" s="16"/>
      <c r="DB1050" s="16"/>
      <c r="DC1050" s="16"/>
      <c r="DD1050" s="16"/>
      <c r="DE1050" s="17"/>
      <c r="DF1050" s="17"/>
      <c r="DG1050" s="16"/>
      <c r="DH1050" s="16"/>
      <c r="DI1050" s="17"/>
      <c r="DJ1050" s="17"/>
      <c r="DK1050" s="16"/>
      <c r="DL1050" s="16"/>
      <c r="DM1050" s="17"/>
      <c r="DN1050" s="17"/>
      <c r="DO1050" s="16"/>
      <c r="DP1050" s="16"/>
      <c r="DQ1050" s="17"/>
      <c r="DR1050" s="17"/>
      <c r="DS1050" s="16"/>
      <c r="DT1050" s="16"/>
      <c r="DU1050" s="17"/>
      <c r="DV1050" s="17"/>
      <c r="DW1050" s="16"/>
      <c r="DX1050" s="16"/>
      <c r="DY1050" s="17"/>
      <c r="DZ1050" s="17"/>
      <c r="EA1050" s="16"/>
      <c r="EB1050" s="16"/>
      <c r="EC1050" s="17"/>
      <c r="ED1050" s="17"/>
      <c r="EE1050" s="16"/>
      <c r="EF1050" s="16"/>
      <c r="EG1050" s="17"/>
      <c r="EH1050" s="17"/>
      <c r="EI1050" s="16"/>
      <c r="EJ1050" s="16"/>
      <c r="EK1050" s="17"/>
      <c r="EL1050" s="17"/>
      <c r="EM1050" s="16"/>
      <c r="EN1050" s="16"/>
      <c r="EO1050" s="17"/>
      <c r="EP1050" s="17"/>
      <c r="EQ1050" s="16"/>
      <c r="ER1050" s="16"/>
      <c r="ES1050" s="17"/>
      <c r="ET1050" s="17"/>
      <c r="EU1050" s="16"/>
      <c r="EV1050" s="16"/>
      <c r="EW1050" s="17"/>
      <c r="EX1050" s="17"/>
      <c r="EY1050" s="16"/>
      <c r="EZ1050" s="16"/>
      <c r="FA1050" s="17"/>
      <c r="FB1050" s="17"/>
      <c r="FC1050" s="16"/>
      <c r="FD1050" s="16"/>
      <c r="FE1050" s="17"/>
      <c r="FF1050" s="17"/>
      <c r="FG1050" s="11"/>
      <c r="GT1050" s="11"/>
      <c r="IG1050" s="11"/>
      <c r="JT1050" s="11"/>
      <c r="LG1050" s="11"/>
      <c r="MT1050" s="11"/>
      <c r="OG1050" s="11"/>
      <c r="PT1050" s="11"/>
    </row>
    <row r="1051" spans="1:436" ht="15.75" x14ac:dyDescent="0.25">
      <c r="C1051" s="20" t="s">
        <v>776</v>
      </c>
      <c r="D1051" s="21" t="s">
        <v>136</v>
      </c>
      <c r="H1051" s="11"/>
      <c r="AU1051" s="11"/>
      <c r="CH1051" s="11"/>
      <c r="CI1051" s="16"/>
      <c r="CJ1051" s="16"/>
      <c r="CK1051" s="16"/>
      <c r="CL1051" s="16"/>
      <c r="CM1051" s="16"/>
      <c r="CN1051" s="16"/>
      <c r="CO1051" s="16"/>
      <c r="CP1051" s="16"/>
      <c r="CQ1051" s="16"/>
      <c r="CR1051" s="16"/>
      <c r="CS1051" s="16"/>
      <c r="CT1051" s="16"/>
      <c r="CU1051" s="16"/>
      <c r="CV1051" s="16"/>
      <c r="CW1051" s="16"/>
      <c r="CX1051" s="16"/>
      <c r="CY1051" s="16"/>
      <c r="CZ1051" s="16"/>
      <c r="DA1051" s="16"/>
      <c r="DB1051" s="16"/>
      <c r="DC1051" s="16"/>
      <c r="DD1051" s="16"/>
      <c r="DE1051" s="17"/>
      <c r="DF1051" s="17"/>
      <c r="DG1051" s="16"/>
      <c r="DH1051" s="16"/>
      <c r="DI1051" s="17"/>
      <c r="DJ1051" s="17"/>
      <c r="DK1051" s="16"/>
      <c r="DL1051" s="16"/>
      <c r="DM1051" s="17"/>
      <c r="DN1051" s="17"/>
      <c r="DO1051" s="16"/>
      <c r="DP1051" s="16"/>
      <c r="DQ1051" s="17"/>
      <c r="DR1051" s="17"/>
      <c r="DS1051" s="16"/>
      <c r="DT1051" s="16"/>
      <c r="DU1051" s="17"/>
      <c r="DV1051" s="17"/>
      <c r="DW1051" s="16"/>
      <c r="DX1051" s="16"/>
      <c r="DY1051" s="17"/>
      <c r="DZ1051" s="17"/>
      <c r="EA1051" s="16"/>
      <c r="EB1051" s="16"/>
      <c r="EC1051" s="17"/>
      <c r="ED1051" s="17"/>
      <c r="EE1051" s="16"/>
      <c r="EF1051" s="16"/>
      <c r="EG1051" s="17"/>
      <c r="EH1051" s="17"/>
      <c r="EI1051" s="16"/>
      <c r="EJ1051" s="16"/>
      <c r="EK1051" s="17"/>
      <c r="EL1051" s="17"/>
      <c r="EM1051" s="16"/>
      <c r="EN1051" s="16"/>
      <c r="EO1051" s="17"/>
      <c r="EP1051" s="17"/>
      <c r="EQ1051" s="16"/>
      <c r="ER1051" s="16"/>
      <c r="ES1051" s="17"/>
      <c r="ET1051" s="17"/>
      <c r="EU1051" s="16"/>
      <c r="EV1051" s="16"/>
      <c r="EW1051" s="17"/>
      <c r="EX1051" s="17"/>
      <c r="EY1051" s="16"/>
      <c r="EZ1051" s="16"/>
      <c r="FA1051" s="17"/>
      <c r="FB1051" s="17"/>
      <c r="FC1051" s="16"/>
      <c r="FD1051" s="16"/>
      <c r="FE1051" s="17"/>
      <c r="FF1051" s="17"/>
      <c r="FG1051" s="11"/>
      <c r="GT1051" s="11"/>
      <c r="IG1051" s="11"/>
      <c r="JT1051" s="11"/>
      <c r="LG1051" s="11"/>
      <c r="MT1051" s="11"/>
      <c r="OG1051" s="11"/>
      <c r="PT1051" s="11"/>
    </row>
    <row r="1052" spans="1:436" ht="15.75" x14ac:dyDescent="0.25">
      <c r="C1052" s="20" t="s">
        <v>777</v>
      </c>
      <c r="D1052" s="21" t="s">
        <v>79</v>
      </c>
      <c r="H1052" s="11"/>
      <c r="AU1052" s="11"/>
      <c r="CH1052" s="11"/>
      <c r="CI1052" s="16"/>
      <c r="CJ1052" s="16"/>
      <c r="CK1052" s="16"/>
      <c r="CL1052" s="16"/>
      <c r="CM1052" s="16"/>
      <c r="CN1052" s="16"/>
      <c r="CO1052" s="16"/>
      <c r="CP1052" s="16"/>
      <c r="CQ1052" s="16"/>
      <c r="CR1052" s="16"/>
      <c r="CS1052" s="16"/>
      <c r="CT1052" s="16"/>
      <c r="CU1052" s="16"/>
      <c r="CV1052" s="16"/>
      <c r="CW1052" s="16"/>
      <c r="CX1052" s="16"/>
      <c r="CY1052" s="16"/>
      <c r="CZ1052" s="16"/>
      <c r="DA1052" s="16"/>
      <c r="DB1052" s="16"/>
      <c r="DC1052" s="16"/>
      <c r="DD1052" s="16"/>
      <c r="DE1052" s="17"/>
      <c r="DF1052" s="17"/>
      <c r="DG1052" s="16"/>
      <c r="DH1052" s="16"/>
      <c r="DI1052" s="18">
        <v>0.5</v>
      </c>
      <c r="DJ1052" s="18">
        <v>4</v>
      </c>
      <c r="DK1052" s="16"/>
      <c r="DL1052" s="16"/>
      <c r="DM1052" s="17"/>
      <c r="DN1052" s="17"/>
      <c r="DO1052" s="16"/>
      <c r="DP1052" s="16"/>
      <c r="DQ1052" s="17"/>
      <c r="DR1052" s="17"/>
      <c r="DS1052" s="16"/>
      <c r="DT1052" s="16"/>
      <c r="DU1052" s="17"/>
      <c r="DV1052" s="17"/>
      <c r="DW1052" s="16"/>
      <c r="DX1052" s="16"/>
      <c r="DY1052" s="17"/>
      <c r="DZ1052" s="17"/>
      <c r="EA1052" s="16"/>
      <c r="EB1052" s="16"/>
      <c r="EC1052" s="17"/>
      <c r="ED1052" s="17"/>
      <c r="EE1052" s="16"/>
      <c r="EF1052" s="16"/>
      <c r="EG1052" s="17"/>
      <c r="EH1052" s="17"/>
      <c r="EI1052" s="16"/>
      <c r="EJ1052" s="16"/>
      <c r="EK1052" s="17"/>
      <c r="EL1052" s="17"/>
      <c r="EM1052" s="16"/>
      <c r="EN1052" s="16"/>
      <c r="EO1052" s="17"/>
      <c r="EP1052" s="17"/>
      <c r="EQ1052" s="16"/>
      <c r="ER1052" s="16"/>
      <c r="ES1052" s="17"/>
      <c r="ET1052" s="17"/>
      <c r="EU1052" s="16"/>
      <c r="EV1052" s="16"/>
      <c r="EW1052" s="17"/>
      <c r="EX1052" s="17"/>
      <c r="EY1052" s="16"/>
      <c r="EZ1052" s="16"/>
      <c r="FA1052" s="17"/>
      <c r="FB1052" s="17"/>
      <c r="FC1052" s="16"/>
      <c r="FD1052" s="16"/>
      <c r="FE1052" s="17"/>
      <c r="FF1052" s="17"/>
      <c r="FG1052" s="11"/>
      <c r="GT1052" s="11"/>
      <c r="IG1052" s="11"/>
      <c r="JT1052" s="11"/>
      <c r="LG1052" s="11"/>
      <c r="MT1052" s="11"/>
      <c r="OG1052" s="11"/>
      <c r="PT1052" s="11"/>
    </row>
    <row r="1053" spans="1:436" ht="15.75" x14ac:dyDescent="0.25">
      <c r="C1053" s="20" t="s">
        <v>778</v>
      </c>
      <c r="D1053" s="21" t="s">
        <v>129</v>
      </c>
      <c r="H1053" s="11"/>
      <c r="AU1053" s="11"/>
      <c r="CH1053" s="11"/>
      <c r="CI1053" s="16"/>
      <c r="CJ1053" s="16"/>
      <c r="CK1053" s="16"/>
      <c r="CL1053" s="16"/>
      <c r="CM1053" s="16"/>
      <c r="CN1053" s="16"/>
      <c r="CO1053" s="16"/>
      <c r="CP1053" s="16"/>
      <c r="CQ1053" s="16"/>
      <c r="CR1053" s="16"/>
      <c r="CS1053" s="16"/>
      <c r="CT1053" s="16"/>
      <c r="CU1053" s="16"/>
      <c r="CV1053" s="16"/>
      <c r="CW1053" s="16"/>
      <c r="CX1053" s="16"/>
      <c r="CY1053" s="16"/>
      <c r="CZ1053" s="16"/>
      <c r="DA1053" s="16"/>
      <c r="DB1053" s="16"/>
      <c r="DC1053" s="16"/>
      <c r="DD1053" s="16"/>
      <c r="DE1053" s="17"/>
      <c r="DF1053" s="17"/>
      <c r="DG1053" s="16"/>
      <c r="DH1053" s="16"/>
      <c r="DI1053" s="17"/>
      <c r="DJ1053" s="17"/>
      <c r="DK1053" s="16"/>
      <c r="DL1053" s="16"/>
      <c r="DM1053" s="17"/>
      <c r="DN1053" s="17"/>
      <c r="DO1053" s="16"/>
      <c r="DP1053" s="16"/>
      <c r="DQ1053" s="17"/>
      <c r="DR1053" s="17"/>
      <c r="DS1053" s="16"/>
      <c r="DT1053" s="16"/>
      <c r="DU1053" s="17"/>
      <c r="DV1053" s="17"/>
      <c r="DW1053" s="16"/>
      <c r="DX1053" s="16"/>
      <c r="DY1053" s="17"/>
      <c r="DZ1053" s="17"/>
      <c r="EA1053" s="16"/>
      <c r="EB1053" s="16"/>
      <c r="EC1053" s="17"/>
      <c r="ED1053" s="17"/>
      <c r="EE1053" s="16"/>
      <c r="EF1053" s="16"/>
      <c r="EG1053" s="17"/>
      <c r="EH1053" s="17"/>
      <c r="EI1053" s="16"/>
      <c r="EJ1053" s="16"/>
      <c r="EK1053" s="17"/>
      <c r="EL1053" s="17"/>
      <c r="EM1053" s="16"/>
      <c r="EN1053" s="16"/>
      <c r="EO1053" s="17"/>
      <c r="EP1053" s="17"/>
      <c r="EQ1053" s="16"/>
      <c r="ER1053" s="16"/>
      <c r="ES1053" s="17"/>
      <c r="ET1053" s="17"/>
      <c r="EU1053" s="16"/>
      <c r="EV1053" s="16"/>
      <c r="EW1053" s="17"/>
      <c r="EX1053" s="17"/>
      <c r="EY1053" s="16"/>
      <c r="EZ1053" s="16"/>
      <c r="FA1053" s="17"/>
      <c r="FB1053" s="17"/>
      <c r="FC1053" s="16"/>
      <c r="FD1053" s="16"/>
      <c r="FE1053" s="17"/>
      <c r="FF1053" s="17"/>
      <c r="FG1053" s="11"/>
      <c r="GT1053" s="11"/>
      <c r="IG1053" s="11"/>
      <c r="JT1053" s="11"/>
      <c r="LG1053" s="11"/>
      <c r="MT1053" s="11"/>
      <c r="OG1053" s="11"/>
      <c r="PT1053" s="11"/>
    </row>
    <row r="1054" spans="1:436" ht="15.75" x14ac:dyDescent="0.25">
      <c r="C1054" s="20" t="s">
        <v>779</v>
      </c>
      <c r="D1054" s="21" t="s">
        <v>162</v>
      </c>
      <c r="H1054" s="11"/>
      <c r="AU1054" s="11"/>
      <c r="CH1054" s="11"/>
      <c r="CI1054" s="16"/>
      <c r="CJ1054" s="16"/>
      <c r="CK1054" s="16"/>
      <c r="CL1054" s="16"/>
      <c r="CM1054" s="16"/>
      <c r="CN1054" s="16"/>
      <c r="CO1054" s="16"/>
      <c r="CP1054" s="16"/>
      <c r="CQ1054" s="16"/>
      <c r="CR1054" s="16"/>
      <c r="CS1054" s="16"/>
      <c r="CT1054" s="16"/>
      <c r="CU1054" s="16"/>
      <c r="CV1054" s="16"/>
      <c r="CW1054" s="16"/>
      <c r="CX1054" s="16"/>
      <c r="CY1054" s="16"/>
      <c r="CZ1054" s="16"/>
      <c r="DA1054" s="16"/>
      <c r="DB1054" s="16"/>
      <c r="DC1054" s="16"/>
      <c r="DD1054" s="16"/>
      <c r="DE1054" s="17"/>
      <c r="DF1054" s="17"/>
      <c r="DG1054" s="16"/>
      <c r="DH1054" s="16"/>
      <c r="DI1054" s="17"/>
      <c r="DJ1054" s="17"/>
      <c r="DK1054" s="16"/>
      <c r="DL1054" s="16"/>
      <c r="DM1054" s="17"/>
      <c r="DN1054" s="17"/>
      <c r="DO1054" s="16"/>
      <c r="DP1054" s="16"/>
      <c r="DQ1054" s="17"/>
      <c r="DR1054" s="17"/>
      <c r="DS1054" s="16"/>
      <c r="DT1054" s="16"/>
      <c r="DU1054" s="17"/>
      <c r="DV1054" s="17"/>
      <c r="DW1054" s="16"/>
      <c r="DX1054" s="16"/>
      <c r="DY1054" s="17"/>
      <c r="DZ1054" s="17"/>
      <c r="EA1054" s="16"/>
      <c r="EB1054" s="16"/>
      <c r="EC1054" s="17"/>
      <c r="ED1054" s="17"/>
      <c r="EE1054" s="16"/>
      <c r="EF1054" s="16"/>
      <c r="EG1054" s="17"/>
      <c r="EH1054" s="17"/>
      <c r="EI1054" s="16"/>
      <c r="EJ1054" s="16"/>
      <c r="EK1054" s="17"/>
      <c r="EL1054" s="17"/>
      <c r="EM1054" s="16"/>
      <c r="EN1054" s="16"/>
      <c r="EO1054" s="17"/>
      <c r="EP1054" s="17"/>
      <c r="EQ1054" s="16"/>
      <c r="ER1054" s="16"/>
      <c r="ES1054" s="17"/>
      <c r="ET1054" s="17"/>
      <c r="EU1054" s="16"/>
      <c r="EV1054" s="16"/>
      <c r="EW1054" s="17"/>
      <c r="EX1054" s="17"/>
      <c r="EY1054" s="16"/>
      <c r="EZ1054" s="16"/>
      <c r="FA1054" s="17"/>
      <c r="FB1054" s="17"/>
      <c r="FC1054" s="16"/>
      <c r="FD1054" s="16"/>
      <c r="FE1054" s="17"/>
      <c r="FF1054" s="17"/>
      <c r="FG1054" s="11"/>
      <c r="GT1054" s="11"/>
      <c r="IG1054" s="11"/>
      <c r="JT1054" s="11"/>
      <c r="LG1054" s="11"/>
      <c r="MT1054" s="11"/>
      <c r="OG1054" s="11"/>
      <c r="PT1054" s="11"/>
    </row>
    <row r="1055" spans="1:436" ht="15.75" x14ac:dyDescent="0.25">
      <c r="C1055" s="20" t="s">
        <v>780</v>
      </c>
      <c r="D1055" s="21" t="s">
        <v>203</v>
      </c>
      <c r="H1055" s="11"/>
      <c r="AU1055" s="11"/>
      <c r="CH1055" s="11"/>
      <c r="CI1055" s="16"/>
      <c r="CJ1055" s="16"/>
      <c r="CK1055" s="16"/>
      <c r="CL1055" s="16"/>
      <c r="CM1055" s="16"/>
      <c r="CN1055" s="16"/>
      <c r="CO1055" s="16"/>
      <c r="CP1055" s="16"/>
      <c r="CQ1055" s="16"/>
      <c r="CR1055" s="16"/>
      <c r="CS1055" s="16"/>
      <c r="CT1055" s="16"/>
      <c r="CU1055" s="16"/>
      <c r="CV1055" s="16"/>
      <c r="CW1055" s="16"/>
      <c r="CX1055" s="16"/>
      <c r="CY1055" s="16"/>
      <c r="CZ1055" s="16"/>
      <c r="DA1055" s="16"/>
      <c r="DB1055" s="16"/>
      <c r="DC1055" s="16"/>
      <c r="DD1055" s="16"/>
      <c r="DE1055" s="17"/>
      <c r="DF1055" s="17"/>
      <c r="DG1055" s="16"/>
      <c r="DH1055" s="16"/>
      <c r="DI1055" s="17"/>
      <c r="DJ1055" s="17"/>
      <c r="DK1055" s="16"/>
      <c r="DL1055" s="16"/>
      <c r="DM1055" s="17"/>
      <c r="DN1055" s="17"/>
      <c r="DO1055" s="16"/>
      <c r="DP1055" s="16"/>
      <c r="DQ1055" s="17"/>
      <c r="DR1055" s="17"/>
      <c r="DS1055" s="16"/>
      <c r="DT1055" s="16"/>
      <c r="DU1055" s="17"/>
      <c r="DV1055" s="17"/>
      <c r="DW1055" s="16"/>
      <c r="DX1055" s="16"/>
      <c r="DY1055" s="17"/>
      <c r="DZ1055" s="17"/>
      <c r="EA1055" s="16"/>
      <c r="EB1055" s="16"/>
      <c r="EC1055" s="17"/>
      <c r="ED1055" s="17"/>
      <c r="EE1055" s="16"/>
      <c r="EF1055" s="16"/>
      <c r="EG1055" s="17"/>
      <c r="EH1055" s="17"/>
      <c r="EI1055" s="16"/>
      <c r="EJ1055" s="16"/>
      <c r="EK1055" s="17"/>
      <c r="EL1055" s="17"/>
      <c r="EM1055" s="16"/>
      <c r="EN1055" s="16"/>
      <c r="EO1055" s="17"/>
      <c r="EP1055" s="17"/>
      <c r="EQ1055" s="16"/>
      <c r="ER1055" s="16"/>
      <c r="ES1055" s="17"/>
      <c r="ET1055" s="17"/>
      <c r="EU1055" s="16"/>
      <c r="EV1055" s="16"/>
      <c r="EW1055" s="17"/>
      <c r="EX1055" s="17"/>
      <c r="EY1055" s="16"/>
      <c r="EZ1055" s="16"/>
      <c r="FA1055" s="17"/>
      <c r="FB1055" s="17"/>
      <c r="FC1055" s="16"/>
      <c r="FD1055" s="16"/>
      <c r="FE1055" s="17"/>
      <c r="FF1055" s="17"/>
      <c r="FG1055" s="11"/>
      <c r="GT1055" s="11"/>
      <c r="IG1055" s="11"/>
      <c r="JT1055" s="11"/>
      <c r="LG1055" s="11"/>
      <c r="MT1055" s="11"/>
      <c r="OG1055" s="11"/>
      <c r="PT1055" s="11"/>
    </row>
    <row r="1056" spans="1:436" ht="15.75" x14ac:dyDescent="0.25">
      <c r="C1056" s="20" t="s">
        <v>781</v>
      </c>
      <c r="D1056" s="21" t="s">
        <v>142</v>
      </c>
      <c r="H1056" s="11"/>
      <c r="AU1056" s="11"/>
      <c r="CH1056" s="11"/>
      <c r="CI1056" s="16"/>
      <c r="CJ1056" s="16"/>
      <c r="CK1056" s="16"/>
      <c r="CL1056" s="16"/>
      <c r="CM1056" s="16"/>
      <c r="CN1056" s="16"/>
      <c r="CO1056" s="16"/>
      <c r="CP1056" s="16"/>
      <c r="CQ1056" s="16"/>
      <c r="CR1056" s="16"/>
      <c r="CS1056" s="16"/>
      <c r="CT1056" s="16"/>
      <c r="CU1056" s="16"/>
      <c r="CV1056" s="16"/>
      <c r="CW1056" s="16"/>
      <c r="CX1056" s="16"/>
      <c r="CY1056" s="16"/>
      <c r="CZ1056" s="16"/>
      <c r="DA1056" s="16"/>
      <c r="DB1056" s="16"/>
      <c r="DC1056" s="16"/>
      <c r="DD1056" s="16"/>
      <c r="DE1056" s="17"/>
      <c r="DF1056" s="17"/>
      <c r="DG1056" s="16"/>
      <c r="DH1056" s="16"/>
      <c r="DI1056" s="17"/>
      <c r="DJ1056" s="17"/>
      <c r="DK1056" s="16"/>
      <c r="DL1056" s="16"/>
      <c r="DM1056" s="17"/>
      <c r="DN1056" s="17"/>
      <c r="DO1056" s="16"/>
      <c r="DP1056" s="16"/>
      <c r="DQ1056" s="17"/>
      <c r="DR1056" s="17"/>
      <c r="DS1056" s="16"/>
      <c r="DT1056" s="16"/>
      <c r="DU1056" s="17"/>
      <c r="DV1056" s="17"/>
      <c r="DW1056" s="16"/>
      <c r="DX1056" s="16"/>
      <c r="DY1056" s="17"/>
      <c r="DZ1056" s="17"/>
      <c r="EA1056" s="16"/>
      <c r="EB1056" s="16"/>
      <c r="EC1056" s="17"/>
      <c r="ED1056" s="17"/>
      <c r="EE1056" s="16"/>
      <c r="EF1056" s="16"/>
      <c r="EG1056" s="17"/>
      <c r="EH1056" s="17"/>
      <c r="EI1056" s="16"/>
      <c r="EJ1056" s="16"/>
      <c r="EK1056" s="17"/>
      <c r="EL1056" s="17"/>
      <c r="EM1056" s="16"/>
      <c r="EN1056" s="16"/>
      <c r="EO1056" s="17"/>
      <c r="EP1056" s="17"/>
      <c r="EQ1056" s="16"/>
      <c r="ER1056" s="16"/>
      <c r="ES1056" s="17"/>
      <c r="ET1056" s="17"/>
      <c r="EU1056" s="16"/>
      <c r="EV1056" s="16"/>
      <c r="EW1056" s="17"/>
      <c r="EX1056" s="17"/>
      <c r="EY1056" s="16"/>
      <c r="EZ1056" s="16"/>
      <c r="FA1056" s="17"/>
      <c r="FB1056" s="17"/>
      <c r="FC1056" s="16"/>
      <c r="FD1056" s="16"/>
      <c r="FE1056" s="17"/>
      <c r="FF1056" s="17"/>
      <c r="FG1056" s="11"/>
      <c r="GT1056" s="11"/>
      <c r="IG1056" s="11"/>
      <c r="JT1056" s="11"/>
      <c r="LG1056" s="11"/>
      <c r="MT1056" s="11"/>
      <c r="OG1056" s="11"/>
      <c r="PT1056" s="11"/>
    </row>
    <row r="1057" spans="3:436" ht="15.75" x14ac:dyDescent="0.25">
      <c r="C1057" s="20" t="s">
        <v>196</v>
      </c>
      <c r="D1057" s="21" t="s">
        <v>79</v>
      </c>
      <c r="H1057" s="11"/>
      <c r="AU1057" s="11"/>
      <c r="CH1057" s="11"/>
      <c r="CI1057" s="16"/>
      <c r="CJ1057" s="16"/>
      <c r="CK1057" s="16"/>
      <c r="CL1057" s="16"/>
      <c r="CM1057" s="16"/>
      <c r="CN1057" s="16"/>
      <c r="CO1057" s="16"/>
      <c r="CP1057" s="16"/>
      <c r="CQ1057" s="16"/>
      <c r="CR1057" s="16"/>
      <c r="CS1057" s="16"/>
      <c r="CT1057" s="16"/>
      <c r="CU1057" s="16"/>
      <c r="CV1057" s="16"/>
      <c r="CW1057" s="16"/>
      <c r="CX1057" s="16"/>
      <c r="CY1057" s="16"/>
      <c r="CZ1057" s="16"/>
      <c r="DA1057" s="16"/>
      <c r="DB1057" s="16"/>
      <c r="DC1057" s="16"/>
      <c r="DD1057" s="16"/>
      <c r="DE1057" s="17"/>
      <c r="DF1057" s="17"/>
      <c r="DG1057" s="16"/>
      <c r="DH1057" s="16"/>
      <c r="DI1057" s="18">
        <v>5</v>
      </c>
      <c r="DJ1057" s="18">
        <v>5</v>
      </c>
      <c r="DK1057" s="16"/>
      <c r="DL1057" s="16"/>
      <c r="DM1057" s="17"/>
      <c r="DN1057" s="17"/>
      <c r="DO1057" s="16"/>
      <c r="DP1057" s="16"/>
      <c r="DQ1057" s="17"/>
      <c r="DR1057" s="17"/>
      <c r="DS1057" s="16"/>
      <c r="DT1057" s="16"/>
      <c r="DU1057" s="17"/>
      <c r="DV1057" s="17"/>
      <c r="DW1057" s="16"/>
      <c r="DX1057" s="16"/>
      <c r="DY1057" s="17"/>
      <c r="DZ1057" s="17"/>
      <c r="EA1057" s="16"/>
      <c r="EB1057" s="16"/>
      <c r="EC1057" s="17"/>
      <c r="ED1057" s="17"/>
      <c r="EE1057" s="16"/>
      <c r="EF1057" s="16"/>
      <c r="EG1057" s="17"/>
      <c r="EH1057" s="17"/>
      <c r="EI1057" s="16"/>
      <c r="EJ1057" s="16"/>
      <c r="EK1057" s="17"/>
      <c r="EL1057" s="17"/>
      <c r="EM1057" s="16"/>
      <c r="EN1057" s="16"/>
      <c r="EO1057" s="17"/>
      <c r="EP1057" s="17"/>
      <c r="EQ1057" s="16"/>
      <c r="ER1057" s="16"/>
      <c r="ES1057" s="17"/>
      <c r="ET1057" s="17"/>
      <c r="EU1057" s="16"/>
      <c r="EV1057" s="16"/>
      <c r="EW1057" s="17"/>
      <c r="EX1057" s="17"/>
      <c r="EY1057" s="16"/>
      <c r="EZ1057" s="16"/>
      <c r="FA1057" s="17"/>
      <c r="FB1057" s="17"/>
      <c r="FC1057" s="16"/>
      <c r="FD1057" s="16"/>
      <c r="FE1057" s="17"/>
      <c r="FF1057" s="17"/>
      <c r="FG1057" s="11"/>
      <c r="GT1057" s="11"/>
      <c r="IG1057" s="11"/>
      <c r="JT1057" s="11"/>
      <c r="LG1057" s="11"/>
      <c r="MT1057" s="11"/>
      <c r="OG1057" s="11"/>
      <c r="PT1057" s="11"/>
    </row>
    <row r="1058" spans="3:436" ht="15.75" x14ac:dyDescent="0.25">
      <c r="C1058" s="20" t="s">
        <v>196</v>
      </c>
      <c r="D1058" s="21" t="s">
        <v>82</v>
      </c>
      <c r="H1058" s="11"/>
      <c r="AU1058" s="11"/>
      <c r="CH1058" s="11"/>
      <c r="CI1058" s="16"/>
      <c r="CJ1058" s="16"/>
      <c r="CK1058" s="16"/>
      <c r="CL1058" s="16"/>
      <c r="CM1058" s="16"/>
      <c r="CN1058" s="16"/>
      <c r="CO1058" s="16"/>
      <c r="CP1058" s="16"/>
      <c r="CQ1058" s="16"/>
      <c r="CR1058" s="16"/>
      <c r="CS1058" s="16"/>
      <c r="CT1058" s="16"/>
      <c r="CU1058" s="16"/>
      <c r="CV1058" s="16"/>
      <c r="CW1058" s="16"/>
      <c r="CX1058" s="16"/>
      <c r="CY1058" s="16"/>
      <c r="CZ1058" s="16"/>
      <c r="DA1058" s="16"/>
      <c r="DB1058" s="16"/>
      <c r="DC1058" s="16"/>
      <c r="DD1058" s="16"/>
      <c r="DE1058" s="17"/>
      <c r="DF1058" s="17"/>
      <c r="DG1058" s="16"/>
      <c r="DH1058" s="16"/>
      <c r="DI1058" s="17"/>
      <c r="DJ1058" s="17"/>
      <c r="DK1058" s="16"/>
      <c r="DL1058" s="16"/>
      <c r="DM1058" s="17"/>
      <c r="DN1058" s="17"/>
      <c r="DO1058" s="16"/>
      <c r="DP1058" s="16"/>
      <c r="DQ1058" s="17"/>
      <c r="DR1058" s="17"/>
      <c r="DS1058" s="16"/>
      <c r="DT1058" s="16"/>
      <c r="DU1058" s="17"/>
      <c r="DV1058" s="17"/>
      <c r="DW1058" s="16"/>
      <c r="DX1058" s="16"/>
      <c r="DY1058" s="17"/>
      <c r="DZ1058" s="17"/>
      <c r="EA1058" s="16"/>
      <c r="EB1058" s="16"/>
      <c r="EC1058" s="17"/>
      <c r="ED1058" s="17"/>
      <c r="EE1058" s="16"/>
      <c r="EF1058" s="16"/>
      <c r="EG1058" s="17"/>
      <c r="EH1058" s="17"/>
      <c r="EI1058" s="16"/>
      <c r="EJ1058" s="16"/>
      <c r="EK1058" s="17"/>
      <c r="EL1058" s="17"/>
      <c r="EM1058" s="16"/>
      <c r="EN1058" s="16"/>
      <c r="EO1058" s="17"/>
      <c r="EP1058" s="17"/>
      <c r="EQ1058" s="16"/>
      <c r="ER1058" s="16"/>
      <c r="ES1058" s="17"/>
      <c r="ET1058" s="17"/>
      <c r="EU1058" s="16"/>
      <c r="EV1058" s="16"/>
      <c r="EW1058" s="17"/>
      <c r="EX1058" s="17"/>
      <c r="EY1058" s="16"/>
      <c r="EZ1058" s="16"/>
      <c r="FA1058" s="17"/>
      <c r="FB1058" s="17"/>
      <c r="FC1058" s="16"/>
      <c r="FD1058" s="16"/>
      <c r="FE1058" s="17"/>
      <c r="FF1058" s="17"/>
      <c r="FG1058" s="11"/>
      <c r="GT1058" s="11"/>
      <c r="IG1058" s="11"/>
      <c r="JT1058" s="11"/>
      <c r="LG1058" s="11"/>
      <c r="MT1058" s="11"/>
      <c r="OG1058" s="11"/>
      <c r="PT1058" s="11"/>
    </row>
    <row r="1059" spans="3:436" ht="15.75" x14ac:dyDescent="0.25">
      <c r="C1059" s="20" t="s">
        <v>773</v>
      </c>
      <c r="D1059" s="21" t="s">
        <v>90</v>
      </c>
      <c r="H1059" s="11"/>
      <c r="AU1059" s="11"/>
      <c r="CH1059" s="11"/>
      <c r="CI1059" s="16"/>
      <c r="CJ1059" s="16"/>
      <c r="CK1059" s="16"/>
      <c r="CL1059" s="16"/>
      <c r="CM1059" s="16"/>
      <c r="CN1059" s="16"/>
      <c r="CO1059" s="16"/>
      <c r="CP1059" s="16"/>
      <c r="CQ1059" s="16"/>
      <c r="CR1059" s="16"/>
      <c r="CS1059" s="16"/>
      <c r="CT1059" s="16"/>
      <c r="CU1059" s="16"/>
      <c r="CV1059" s="16"/>
      <c r="CW1059" s="16"/>
      <c r="CX1059" s="16"/>
      <c r="CY1059" s="16"/>
      <c r="CZ1059" s="16"/>
      <c r="DA1059" s="16"/>
      <c r="DB1059" s="16"/>
      <c r="DC1059" s="16"/>
      <c r="DD1059" s="16"/>
      <c r="DE1059" s="17"/>
      <c r="DF1059" s="17"/>
      <c r="DG1059" s="16"/>
      <c r="DH1059" s="16"/>
      <c r="DI1059" s="17"/>
      <c r="DJ1059" s="17"/>
      <c r="DK1059" s="16"/>
      <c r="DL1059" s="16"/>
      <c r="DM1059" s="17"/>
      <c r="DN1059" s="17"/>
      <c r="DO1059" s="16"/>
      <c r="DP1059" s="16"/>
      <c r="DQ1059" s="17"/>
      <c r="DR1059" s="17"/>
      <c r="DS1059" s="16"/>
      <c r="DT1059" s="16"/>
      <c r="DU1059" s="17"/>
      <c r="DV1059" s="17"/>
      <c r="DW1059" s="16"/>
      <c r="DX1059" s="16"/>
      <c r="DY1059" s="17"/>
      <c r="DZ1059" s="17"/>
      <c r="EA1059" s="16"/>
      <c r="EB1059" s="16"/>
      <c r="EC1059" s="17"/>
      <c r="ED1059" s="17"/>
      <c r="EE1059" s="16"/>
      <c r="EF1059" s="16"/>
      <c r="EG1059" s="17"/>
      <c r="EH1059" s="17"/>
      <c r="EI1059" s="16"/>
      <c r="EJ1059" s="16"/>
      <c r="EK1059" s="17"/>
      <c r="EL1059" s="17"/>
      <c r="EM1059" s="16"/>
      <c r="EN1059" s="16"/>
      <c r="EO1059" s="17"/>
      <c r="EP1059" s="17"/>
      <c r="EQ1059" s="16"/>
      <c r="ER1059" s="16"/>
      <c r="ES1059" s="17"/>
      <c r="ET1059" s="17"/>
      <c r="EU1059" s="16"/>
      <c r="EV1059" s="16"/>
      <c r="EW1059" s="17"/>
      <c r="EX1059" s="17"/>
      <c r="EY1059" s="16"/>
      <c r="EZ1059" s="16"/>
      <c r="FA1059" s="17"/>
      <c r="FB1059" s="17"/>
      <c r="FC1059" s="16"/>
      <c r="FD1059" s="16"/>
      <c r="FE1059" s="17"/>
      <c r="FF1059" s="17"/>
      <c r="FG1059" s="11"/>
      <c r="GT1059" s="11"/>
      <c r="IG1059" s="11"/>
      <c r="JT1059" s="11"/>
      <c r="LG1059" s="11"/>
      <c r="MT1059" s="11"/>
      <c r="OG1059" s="11"/>
      <c r="PT1059" s="11"/>
    </row>
    <row r="1060" spans="3:436" ht="15.75" x14ac:dyDescent="0.25">
      <c r="C1060" s="20" t="s">
        <v>768</v>
      </c>
      <c r="D1060" s="21" t="s">
        <v>79</v>
      </c>
      <c r="H1060" s="11"/>
      <c r="AU1060" s="11"/>
      <c r="CH1060" s="11"/>
      <c r="CI1060" s="16"/>
      <c r="CJ1060" s="16"/>
      <c r="CK1060" s="16"/>
      <c r="CL1060" s="16"/>
      <c r="CM1060" s="16"/>
      <c r="CN1060" s="16"/>
      <c r="CO1060" s="16"/>
      <c r="CP1060" s="16"/>
      <c r="CQ1060" s="16"/>
      <c r="CR1060" s="16"/>
      <c r="CS1060" s="16"/>
      <c r="CT1060" s="16"/>
      <c r="CU1060" s="16"/>
      <c r="CV1060" s="16"/>
      <c r="CW1060" s="16"/>
      <c r="CX1060" s="16"/>
      <c r="CY1060" s="16"/>
      <c r="CZ1060" s="16"/>
      <c r="DA1060" s="16"/>
      <c r="DB1060" s="16"/>
      <c r="DC1060" s="16"/>
      <c r="DD1060" s="16"/>
      <c r="DE1060" s="17"/>
      <c r="DF1060" s="17"/>
      <c r="DG1060" s="16"/>
      <c r="DH1060" s="16"/>
      <c r="DI1060" s="17"/>
      <c r="DJ1060" s="17"/>
      <c r="DK1060" s="16"/>
      <c r="DL1060" s="16"/>
      <c r="DM1060" s="17"/>
      <c r="DN1060" s="17"/>
      <c r="DO1060" s="16"/>
      <c r="DP1060" s="16"/>
      <c r="DQ1060" s="17"/>
      <c r="DR1060" s="17"/>
      <c r="DS1060" s="16"/>
      <c r="DT1060" s="16"/>
      <c r="DU1060" s="17"/>
      <c r="DV1060" s="17"/>
      <c r="DW1060" s="16"/>
      <c r="DX1060" s="16"/>
      <c r="DY1060" s="17"/>
      <c r="DZ1060" s="17"/>
      <c r="EA1060" s="16"/>
      <c r="EB1060" s="16"/>
      <c r="EC1060" s="17"/>
      <c r="ED1060" s="17"/>
      <c r="EE1060" s="16"/>
      <c r="EF1060" s="16"/>
      <c r="EG1060" s="17"/>
      <c r="EH1060" s="17"/>
      <c r="EI1060" s="16"/>
      <c r="EJ1060" s="16"/>
      <c r="EK1060" s="17"/>
      <c r="EL1060" s="17"/>
      <c r="EM1060" s="16"/>
      <c r="EN1060" s="16"/>
      <c r="EO1060" s="17"/>
      <c r="EP1060" s="17"/>
      <c r="EQ1060" s="16"/>
      <c r="ER1060" s="16"/>
      <c r="ES1060" s="17"/>
      <c r="ET1060" s="17"/>
      <c r="EU1060" s="16"/>
      <c r="EV1060" s="16"/>
      <c r="EW1060" s="17"/>
      <c r="EX1060" s="17"/>
      <c r="EY1060" s="16"/>
      <c r="EZ1060" s="16"/>
      <c r="FA1060" s="17"/>
      <c r="FB1060" s="17"/>
      <c r="FC1060" s="16"/>
      <c r="FD1060" s="16"/>
      <c r="FE1060" s="17"/>
      <c r="FF1060" s="17"/>
      <c r="FG1060" s="11"/>
      <c r="GT1060" s="11"/>
      <c r="IG1060" s="11"/>
      <c r="JT1060" s="11"/>
      <c r="LG1060" s="11"/>
      <c r="MT1060" s="11"/>
      <c r="OG1060" s="11"/>
      <c r="PT1060" s="11"/>
    </row>
    <row r="1061" spans="3:436" ht="15.75" x14ac:dyDescent="0.25">
      <c r="C1061" s="20" t="s">
        <v>769</v>
      </c>
      <c r="D1061" s="21" t="s">
        <v>129</v>
      </c>
      <c r="H1061" s="11"/>
      <c r="AU1061" s="11"/>
      <c r="CH1061" s="11"/>
      <c r="CI1061" s="16"/>
      <c r="CJ1061" s="16"/>
      <c r="CK1061" s="16"/>
      <c r="CL1061" s="16"/>
      <c r="CM1061" s="16"/>
      <c r="CN1061" s="16"/>
      <c r="CO1061" s="16"/>
      <c r="CP1061" s="16"/>
      <c r="CQ1061" s="16"/>
      <c r="CR1061" s="16"/>
      <c r="CS1061" s="16"/>
      <c r="CT1061" s="16"/>
      <c r="CU1061" s="16"/>
      <c r="CV1061" s="16"/>
      <c r="CW1061" s="16"/>
      <c r="CX1061" s="16"/>
      <c r="CY1061" s="16"/>
      <c r="CZ1061" s="16"/>
      <c r="DA1061" s="16"/>
      <c r="DB1061" s="16"/>
      <c r="DC1061" s="16"/>
      <c r="DD1061" s="16"/>
      <c r="DE1061" s="17"/>
      <c r="DF1061" s="17"/>
      <c r="DG1061" s="16"/>
      <c r="DH1061" s="16"/>
      <c r="DI1061" s="17"/>
      <c r="DJ1061" s="17"/>
      <c r="DK1061" s="16"/>
      <c r="DL1061" s="16"/>
      <c r="DM1061" s="17"/>
      <c r="DN1061" s="17"/>
      <c r="DO1061" s="16"/>
      <c r="DP1061" s="16"/>
      <c r="DQ1061" s="17"/>
      <c r="DR1061" s="17"/>
      <c r="DS1061" s="16"/>
      <c r="DT1061" s="16"/>
      <c r="DU1061" s="17"/>
      <c r="DV1061" s="17"/>
      <c r="DW1061" s="16"/>
      <c r="DX1061" s="16"/>
      <c r="DY1061" s="17"/>
      <c r="DZ1061" s="17"/>
      <c r="EA1061" s="16"/>
      <c r="EB1061" s="16"/>
      <c r="EC1061" s="17"/>
      <c r="ED1061" s="17"/>
      <c r="EE1061" s="16"/>
      <c r="EF1061" s="16"/>
      <c r="EG1061" s="17"/>
      <c r="EH1061" s="17"/>
      <c r="EI1061" s="16"/>
      <c r="EJ1061" s="16"/>
      <c r="EK1061" s="17"/>
      <c r="EL1061" s="17"/>
      <c r="EM1061" s="16"/>
      <c r="EN1061" s="16"/>
      <c r="EO1061" s="17"/>
      <c r="EP1061" s="17"/>
      <c r="EQ1061" s="16"/>
      <c r="ER1061" s="16"/>
      <c r="ES1061" s="17"/>
      <c r="ET1061" s="17"/>
      <c r="EU1061" s="16"/>
      <c r="EV1061" s="16"/>
      <c r="EW1061" s="17"/>
      <c r="EX1061" s="17"/>
      <c r="EY1061" s="16"/>
      <c r="EZ1061" s="16"/>
      <c r="FA1061" s="17"/>
      <c r="FB1061" s="17"/>
      <c r="FC1061" s="16"/>
      <c r="FD1061" s="16"/>
      <c r="FE1061" s="17"/>
      <c r="FF1061" s="17"/>
      <c r="FG1061" s="11"/>
      <c r="GT1061" s="11"/>
      <c r="IG1061" s="11"/>
      <c r="JT1061" s="11"/>
      <c r="LG1061" s="11"/>
      <c r="MT1061" s="11"/>
      <c r="OG1061" s="11"/>
      <c r="PT1061" s="11"/>
    </row>
    <row r="1062" spans="3:436" ht="15.75" x14ac:dyDescent="0.25">
      <c r="C1062" s="20" t="s">
        <v>770</v>
      </c>
      <c r="D1062" s="21" t="s">
        <v>136</v>
      </c>
      <c r="H1062" s="11"/>
      <c r="AU1062" s="11"/>
      <c r="CH1062" s="11"/>
      <c r="CI1062" s="16"/>
      <c r="CJ1062" s="16"/>
      <c r="CK1062" s="16"/>
      <c r="CL1062" s="16"/>
      <c r="CM1062" s="16"/>
      <c r="CN1062" s="16"/>
      <c r="CO1062" s="16"/>
      <c r="CP1062" s="16"/>
      <c r="CQ1062" s="16"/>
      <c r="CR1062" s="16"/>
      <c r="CS1062" s="16"/>
      <c r="CT1062" s="16"/>
      <c r="CU1062" s="16"/>
      <c r="CV1062" s="16"/>
      <c r="CW1062" s="16"/>
      <c r="CX1062" s="16"/>
      <c r="CY1062" s="16"/>
      <c r="CZ1062" s="16"/>
      <c r="DA1062" s="16"/>
      <c r="DB1062" s="16"/>
      <c r="DC1062" s="16"/>
      <c r="DD1062" s="16"/>
      <c r="DE1062" s="17"/>
      <c r="DF1062" s="17"/>
      <c r="DG1062" s="16"/>
      <c r="DH1062" s="16"/>
      <c r="DI1062" s="17"/>
      <c r="DJ1062" s="17"/>
      <c r="DK1062" s="16"/>
      <c r="DL1062" s="16"/>
      <c r="DM1062" s="17"/>
      <c r="DN1062" s="17"/>
      <c r="DO1062" s="16"/>
      <c r="DP1062" s="16"/>
      <c r="DQ1062" s="17"/>
      <c r="DR1062" s="17"/>
      <c r="DS1062" s="16"/>
      <c r="DT1062" s="16"/>
      <c r="DU1062" s="17"/>
      <c r="DV1062" s="17"/>
      <c r="DW1062" s="16"/>
      <c r="DX1062" s="16"/>
      <c r="DY1062" s="17"/>
      <c r="DZ1062" s="17"/>
      <c r="EA1062" s="16"/>
      <c r="EB1062" s="16"/>
      <c r="EC1062" s="17"/>
      <c r="ED1062" s="17"/>
      <c r="EE1062" s="16"/>
      <c r="EF1062" s="16"/>
      <c r="EG1062" s="17"/>
      <c r="EH1062" s="17"/>
      <c r="EI1062" s="16"/>
      <c r="EJ1062" s="16"/>
      <c r="EK1062" s="17"/>
      <c r="EL1062" s="17"/>
      <c r="EM1062" s="16"/>
      <c r="EN1062" s="16"/>
      <c r="EO1062" s="17"/>
      <c r="EP1062" s="17"/>
      <c r="EQ1062" s="16"/>
      <c r="ER1062" s="16"/>
      <c r="ES1062" s="17"/>
      <c r="ET1062" s="17"/>
      <c r="EU1062" s="16"/>
      <c r="EV1062" s="16"/>
      <c r="EW1062" s="17"/>
      <c r="EX1062" s="17"/>
      <c r="EY1062" s="16"/>
      <c r="EZ1062" s="16"/>
      <c r="FA1062" s="17"/>
      <c r="FB1062" s="17"/>
      <c r="FC1062" s="16"/>
      <c r="FD1062" s="16"/>
      <c r="FE1062" s="17"/>
      <c r="FF1062" s="17"/>
      <c r="FG1062" s="11"/>
      <c r="GT1062" s="11"/>
      <c r="IG1062" s="11"/>
      <c r="JT1062" s="11"/>
      <c r="LG1062" s="11"/>
      <c r="MT1062" s="11"/>
      <c r="OG1062" s="11"/>
      <c r="PT1062" s="11"/>
    </row>
    <row r="1063" spans="3:436" ht="15.75" x14ac:dyDescent="0.25">
      <c r="C1063" s="20" t="s">
        <v>771</v>
      </c>
      <c r="D1063" s="21" t="s">
        <v>203</v>
      </c>
      <c r="H1063" s="11"/>
      <c r="AU1063" s="11"/>
      <c r="CH1063" s="11"/>
      <c r="CI1063" s="16"/>
      <c r="CJ1063" s="16"/>
      <c r="CK1063" s="16"/>
      <c r="CL1063" s="16"/>
      <c r="CM1063" s="16"/>
      <c r="CN1063" s="16"/>
      <c r="CO1063" s="16"/>
      <c r="CP1063" s="16"/>
      <c r="CQ1063" s="16"/>
      <c r="CR1063" s="16"/>
      <c r="CS1063" s="16"/>
      <c r="CT1063" s="16"/>
      <c r="CU1063" s="16"/>
      <c r="CV1063" s="16"/>
      <c r="CW1063" s="16"/>
      <c r="CX1063" s="16"/>
      <c r="CY1063" s="16"/>
      <c r="CZ1063" s="16"/>
      <c r="DA1063" s="16"/>
      <c r="DB1063" s="16"/>
      <c r="DC1063" s="16"/>
      <c r="DD1063" s="16"/>
      <c r="DE1063" s="17"/>
      <c r="DF1063" s="17"/>
      <c r="DG1063" s="16"/>
      <c r="DH1063" s="16"/>
      <c r="DI1063" s="17"/>
      <c r="DJ1063" s="17"/>
      <c r="DK1063" s="16"/>
      <c r="DL1063" s="16"/>
      <c r="DM1063" s="17"/>
      <c r="DN1063" s="17"/>
      <c r="DO1063" s="16"/>
      <c r="DP1063" s="16"/>
      <c r="DQ1063" s="17"/>
      <c r="DR1063" s="17"/>
      <c r="DS1063" s="16"/>
      <c r="DT1063" s="16"/>
      <c r="DU1063" s="17"/>
      <c r="DV1063" s="17"/>
      <c r="DW1063" s="16"/>
      <c r="DX1063" s="16"/>
      <c r="DY1063" s="17"/>
      <c r="DZ1063" s="17"/>
      <c r="EA1063" s="16"/>
      <c r="EB1063" s="16"/>
      <c r="EC1063" s="17"/>
      <c r="ED1063" s="17"/>
      <c r="EE1063" s="16"/>
      <c r="EF1063" s="16"/>
      <c r="EG1063" s="18">
        <v>1</v>
      </c>
      <c r="EH1063" s="18">
        <v>1</v>
      </c>
      <c r="EI1063" s="16"/>
      <c r="EJ1063" s="16"/>
      <c r="EK1063" s="17"/>
      <c r="EL1063" s="17"/>
      <c r="EM1063" s="16"/>
      <c r="EN1063" s="16"/>
      <c r="EO1063" s="17"/>
      <c r="EP1063" s="17"/>
      <c r="EQ1063" s="16"/>
      <c r="ER1063" s="16"/>
      <c r="ES1063" s="17"/>
      <c r="ET1063" s="17"/>
      <c r="EU1063" s="16"/>
      <c r="EV1063" s="16"/>
      <c r="EW1063" s="17"/>
      <c r="EX1063" s="17"/>
      <c r="EY1063" s="16"/>
      <c r="EZ1063" s="16"/>
      <c r="FA1063" s="17"/>
      <c r="FB1063" s="17"/>
      <c r="FC1063" s="16"/>
      <c r="FD1063" s="16"/>
      <c r="FE1063" s="17"/>
      <c r="FF1063" s="17"/>
      <c r="FG1063" s="11"/>
      <c r="GT1063" s="11"/>
      <c r="IG1063" s="11"/>
      <c r="JT1063" s="11"/>
      <c r="LG1063" s="11"/>
      <c r="MT1063" s="11"/>
      <c r="OG1063" s="11"/>
      <c r="PT1063" s="11"/>
    </row>
    <row r="1064" spans="3:436" ht="15.75" x14ac:dyDescent="0.25">
      <c r="C1064" s="20" t="s">
        <v>772</v>
      </c>
      <c r="D1064" s="21" t="s">
        <v>142</v>
      </c>
      <c r="H1064" s="11"/>
      <c r="AU1064" s="11"/>
      <c r="CH1064" s="11"/>
      <c r="CI1064" s="16"/>
      <c r="CJ1064" s="16"/>
      <c r="CK1064" s="16"/>
      <c r="CL1064" s="16"/>
      <c r="CM1064" s="16"/>
      <c r="CN1064" s="16"/>
      <c r="CO1064" s="16"/>
      <c r="CP1064" s="16"/>
      <c r="CQ1064" s="16"/>
      <c r="CR1064" s="16"/>
      <c r="CS1064" s="16"/>
      <c r="CT1064" s="16"/>
      <c r="CU1064" s="16"/>
      <c r="CV1064" s="16"/>
      <c r="CW1064" s="16"/>
      <c r="CX1064" s="16"/>
      <c r="CY1064" s="16"/>
      <c r="CZ1064" s="16"/>
      <c r="DA1064" s="16"/>
      <c r="DB1064" s="16"/>
      <c r="DC1064" s="16"/>
      <c r="DD1064" s="16"/>
      <c r="DE1064" s="17"/>
      <c r="DF1064" s="17"/>
      <c r="DG1064" s="16"/>
      <c r="DH1064" s="16"/>
      <c r="DI1064" s="17"/>
      <c r="DJ1064" s="17"/>
      <c r="DK1064" s="16"/>
      <c r="DL1064" s="16"/>
      <c r="DM1064" s="17"/>
      <c r="DN1064" s="17"/>
      <c r="DO1064" s="16"/>
      <c r="DP1064" s="16"/>
      <c r="DQ1064" s="17"/>
      <c r="DR1064" s="17"/>
      <c r="DS1064" s="16"/>
      <c r="DT1064" s="16"/>
      <c r="DU1064" s="17"/>
      <c r="DV1064" s="17"/>
      <c r="DW1064" s="16"/>
      <c r="DX1064" s="16"/>
      <c r="DY1064" s="17"/>
      <c r="DZ1064" s="17"/>
      <c r="EA1064" s="16"/>
      <c r="EB1064" s="16"/>
      <c r="EC1064" s="17"/>
      <c r="ED1064" s="17"/>
      <c r="EE1064" s="16"/>
      <c r="EF1064" s="16"/>
      <c r="EG1064" s="17"/>
      <c r="EH1064" s="17"/>
      <c r="EI1064" s="16"/>
      <c r="EJ1064" s="16"/>
      <c r="EK1064" s="17"/>
      <c r="EL1064" s="17"/>
      <c r="EM1064" s="16"/>
      <c r="EN1064" s="16"/>
      <c r="EO1064" s="17"/>
      <c r="EP1064" s="17"/>
      <c r="EQ1064" s="16"/>
      <c r="ER1064" s="16"/>
      <c r="ES1064" s="17"/>
      <c r="ET1064" s="17"/>
      <c r="EU1064" s="16"/>
      <c r="EV1064" s="16"/>
      <c r="EW1064" s="17"/>
      <c r="EX1064" s="17"/>
      <c r="EY1064" s="16"/>
      <c r="EZ1064" s="16"/>
      <c r="FA1064" s="17"/>
      <c r="FB1064" s="17"/>
      <c r="FC1064" s="16"/>
      <c r="FD1064" s="16"/>
      <c r="FE1064" s="17"/>
      <c r="FF1064" s="17"/>
      <c r="FG1064" s="11"/>
      <c r="GT1064" s="11"/>
      <c r="IG1064" s="11"/>
      <c r="JT1064" s="11"/>
      <c r="LG1064" s="11"/>
      <c r="MT1064" s="11"/>
      <c r="OG1064" s="11"/>
      <c r="PT1064" s="11"/>
    </row>
    <row r="1065" spans="3:436" ht="15.75" x14ac:dyDescent="0.25">
      <c r="C1065" s="20" t="s">
        <v>773</v>
      </c>
      <c r="D1065" s="21" t="s">
        <v>90</v>
      </c>
      <c r="H1065" s="11"/>
      <c r="AU1065" s="11"/>
      <c r="CH1065" s="11"/>
      <c r="CI1065" s="16"/>
      <c r="CJ1065" s="16"/>
      <c r="CK1065" s="16"/>
      <c r="CL1065" s="16"/>
      <c r="CM1065" s="16"/>
      <c r="CN1065" s="16"/>
      <c r="CO1065" s="16"/>
      <c r="CP1065" s="16"/>
      <c r="CQ1065" s="16"/>
      <c r="CR1065" s="16"/>
      <c r="CS1065" s="16"/>
      <c r="CT1065" s="16"/>
      <c r="CU1065" s="16"/>
      <c r="CV1065" s="16"/>
      <c r="CW1065" s="16"/>
      <c r="CX1065" s="16"/>
      <c r="CY1065" s="16"/>
      <c r="CZ1065" s="16"/>
      <c r="DA1065" s="16"/>
      <c r="DB1065" s="16"/>
      <c r="DC1065" s="16"/>
      <c r="DD1065" s="16"/>
      <c r="DE1065" s="17"/>
      <c r="DF1065" s="17"/>
      <c r="DG1065" s="16"/>
      <c r="DH1065" s="16"/>
      <c r="DI1065" s="17"/>
      <c r="DJ1065" s="17"/>
      <c r="DK1065" s="16"/>
      <c r="DL1065" s="16"/>
      <c r="DM1065" s="17"/>
      <c r="DN1065" s="17"/>
      <c r="DO1065" s="16"/>
      <c r="DP1065" s="16"/>
      <c r="DQ1065" s="17"/>
      <c r="DR1065" s="17"/>
      <c r="DS1065" s="16"/>
      <c r="DT1065" s="16"/>
      <c r="DU1065" s="17"/>
      <c r="DV1065" s="17"/>
      <c r="DW1065" s="16"/>
      <c r="DX1065" s="16"/>
      <c r="DY1065" s="17"/>
      <c r="DZ1065" s="17"/>
      <c r="EA1065" s="16"/>
      <c r="EB1065" s="16"/>
      <c r="EC1065" s="17"/>
      <c r="ED1065" s="17"/>
      <c r="EE1065" s="16"/>
      <c r="EF1065" s="16"/>
      <c r="EG1065" s="17"/>
      <c r="EH1065" s="17"/>
      <c r="EI1065" s="16"/>
      <c r="EJ1065" s="16"/>
      <c r="EK1065" s="17"/>
      <c r="EL1065" s="17"/>
      <c r="EM1065" s="16"/>
      <c r="EN1065" s="16"/>
      <c r="EO1065" s="17"/>
      <c r="EP1065" s="17"/>
      <c r="EQ1065" s="16"/>
      <c r="ER1065" s="16"/>
      <c r="ES1065" s="17"/>
      <c r="ET1065" s="17"/>
      <c r="EU1065" s="16"/>
      <c r="EV1065" s="16"/>
      <c r="EW1065" s="17"/>
      <c r="EX1065" s="17"/>
      <c r="EY1065" s="16"/>
      <c r="EZ1065" s="16"/>
      <c r="FA1065" s="17"/>
      <c r="FB1065" s="17"/>
      <c r="FC1065" s="16"/>
      <c r="FD1065" s="16"/>
      <c r="FE1065" s="17"/>
      <c r="FF1065" s="17"/>
      <c r="FG1065" s="11"/>
      <c r="GT1065" s="11"/>
      <c r="IG1065" s="11"/>
      <c r="JT1065" s="11"/>
      <c r="LG1065" s="11"/>
      <c r="MT1065" s="11"/>
      <c r="OG1065" s="11"/>
      <c r="PT1065" s="11"/>
    </row>
    <row r="1066" spans="3:436" ht="15.75" x14ac:dyDescent="0.25">
      <c r="C1066" s="20" t="s">
        <v>777</v>
      </c>
      <c r="D1066" s="21" t="s">
        <v>79</v>
      </c>
      <c r="H1066" s="11"/>
      <c r="AU1066" s="11"/>
      <c r="CH1066" s="11"/>
      <c r="CI1066" s="16"/>
      <c r="CJ1066" s="16"/>
      <c r="CK1066" s="16"/>
      <c r="CL1066" s="16"/>
      <c r="CM1066" s="16"/>
      <c r="CN1066" s="16"/>
      <c r="CO1066" s="16"/>
      <c r="CP1066" s="16"/>
      <c r="CQ1066" s="16"/>
      <c r="CR1066" s="16"/>
      <c r="CS1066" s="16"/>
      <c r="CT1066" s="16"/>
      <c r="CU1066" s="16"/>
      <c r="CV1066" s="16"/>
      <c r="CW1066" s="16"/>
      <c r="CX1066" s="16"/>
      <c r="CY1066" s="16"/>
      <c r="CZ1066" s="16"/>
      <c r="DA1066" s="16"/>
      <c r="DB1066" s="16"/>
      <c r="DC1066" s="16"/>
      <c r="DD1066" s="16"/>
      <c r="DE1066" s="17"/>
      <c r="DF1066" s="17"/>
      <c r="DG1066" s="16"/>
      <c r="DH1066" s="16"/>
      <c r="DI1066" s="17"/>
      <c r="DJ1066" s="17"/>
      <c r="DK1066" s="16"/>
      <c r="DL1066" s="16"/>
      <c r="DM1066" s="17"/>
      <c r="DN1066" s="17"/>
      <c r="DO1066" s="16"/>
      <c r="DP1066" s="16"/>
      <c r="DQ1066" s="17"/>
      <c r="DR1066" s="17"/>
      <c r="DS1066" s="16"/>
      <c r="DT1066" s="16"/>
      <c r="DU1066" s="17"/>
      <c r="DV1066" s="17"/>
      <c r="DW1066" s="16"/>
      <c r="DX1066" s="16"/>
      <c r="DY1066" s="17"/>
      <c r="DZ1066" s="17"/>
      <c r="EA1066" s="16"/>
      <c r="EB1066" s="16"/>
      <c r="EC1066" s="17"/>
      <c r="ED1066" s="17"/>
      <c r="EE1066" s="16"/>
      <c r="EF1066" s="16"/>
      <c r="EG1066" s="17"/>
      <c r="EH1066" s="17"/>
      <c r="EI1066" s="16"/>
      <c r="EJ1066" s="16"/>
      <c r="EK1066" s="17"/>
      <c r="EL1066" s="17"/>
      <c r="EM1066" s="16"/>
      <c r="EN1066" s="16"/>
      <c r="EO1066" s="17"/>
      <c r="EP1066" s="17"/>
      <c r="EQ1066" s="16"/>
      <c r="ER1066" s="16"/>
      <c r="ES1066" s="17"/>
      <c r="ET1066" s="17"/>
      <c r="EU1066" s="16"/>
      <c r="EV1066" s="16"/>
      <c r="EW1066" s="17"/>
      <c r="EX1066" s="17"/>
      <c r="EY1066" s="16"/>
      <c r="EZ1066" s="16"/>
      <c r="FA1066" s="17"/>
      <c r="FB1066" s="17"/>
      <c r="FC1066" s="16"/>
      <c r="FD1066" s="16"/>
      <c r="FE1066" s="17"/>
      <c r="FF1066" s="17"/>
      <c r="FG1066" s="11"/>
      <c r="GT1066" s="11"/>
      <c r="IG1066" s="11"/>
      <c r="JT1066" s="11"/>
      <c r="LG1066" s="11"/>
      <c r="MT1066" s="11"/>
      <c r="OG1066" s="11"/>
      <c r="PT1066" s="11"/>
    </row>
    <row r="1067" spans="3:436" ht="15.75" x14ac:dyDescent="0.25">
      <c r="C1067" s="20" t="s">
        <v>778</v>
      </c>
      <c r="D1067" s="21" t="s">
        <v>129</v>
      </c>
      <c r="H1067" s="11"/>
      <c r="AU1067" s="11"/>
      <c r="CH1067" s="11"/>
      <c r="CI1067" s="16"/>
      <c r="CJ1067" s="16"/>
      <c r="CK1067" s="16"/>
      <c r="CL1067" s="16"/>
      <c r="CM1067" s="16"/>
      <c r="CN1067" s="16"/>
      <c r="CO1067" s="16"/>
      <c r="CP1067" s="16"/>
      <c r="CQ1067" s="16"/>
      <c r="CR1067" s="16"/>
      <c r="CS1067" s="16"/>
      <c r="CT1067" s="16"/>
      <c r="CU1067" s="16"/>
      <c r="CV1067" s="16"/>
      <c r="CW1067" s="16"/>
      <c r="CX1067" s="16"/>
      <c r="CY1067" s="16"/>
      <c r="CZ1067" s="16"/>
      <c r="DA1067" s="16"/>
      <c r="DB1067" s="16"/>
      <c r="DC1067" s="16"/>
      <c r="DD1067" s="16"/>
      <c r="DE1067" s="17"/>
      <c r="DF1067" s="17"/>
      <c r="DG1067" s="16"/>
      <c r="DH1067" s="16"/>
      <c r="DI1067" s="17"/>
      <c r="DJ1067" s="17"/>
      <c r="DK1067" s="16"/>
      <c r="DL1067" s="16"/>
      <c r="DM1067" s="17"/>
      <c r="DN1067" s="17"/>
      <c r="DO1067" s="16"/>
      <c r="DP1067" s="16"/>
      <c r="DQ1067" s="17"/>
      <c r="DR1067" s="17"/>
      <c r="DS1067" s="16"/>
      <c r="DT1067" s="16"/>
      <c r="DU1067" s="17"/>
      <c r="DV1067" s="17"/>
      <c r="DW1067" s="16"/>
      <c r="DX1067" s="16"/>
      <c r="DY1067" s="17"/>
      <c r="DZ1067" s="17"/>
      <c r="EA1067" s="16"/>
      <c r="EB1067" s="16"/>
      <c r="EC1067" s="17"/>
      <c r="ED1067" s="17"/>
      <c r="EE1067" s="16"/>
      <c r="EF1067" s="16"/>
      <c r="EG1067" s="17"/>
      <c r="EH1067" s="17"/>
      <c r="EI1067" s="16"/>
      <c r="EJ1067" s="16"/>
      <c r="EK1067" s="17"/>
      <c r="EL1067" s="17"/>
      <c r="EM1067" s="16"/>
      <c r="EN1067" s="16"/>
      <c r="EO1067" s="17"/>
      <c r="EP1067" s="17"/>
      <c r="EQ1067" s="16"/>
      <c r="ER1067" s="16"/>
      <c r="ES1067" s="17"/>
      <c r="ET1067" s="17"/>
      <c r="EU1067" s="16"/>
      <c r="EV1067" s="16"/>
      <c r="EW1067" s="17"/>
      <c r="EX1067" s="17"/>
      <c r="EY1067" s="16"/>
      <c r="EZ1067" s="16"/>
      <c r="FA1067" s="17"/>
      <c r="FB1067" s="17"/>
      <c r="FC1067" s="16"/>
      <c r="FD1067" s="16"/>
      <c r="FE1067" s="17"/>
      <c r="FF1067" s="17"/>
      <c r="FG1067" s="11"/>
      <c r="GT1067" s="11"/>
      <c r="IG1067" s="11"/>
      <c r="JT1067" s="11"/>
      <c r="LG1067" s="11"/>
      <c r="MT1067" s="11"/>
      <c r="OG1067" s="11"/>
      <c r="PT1067" s="11"/>
    </row>
    <row r="1068" spans="3:436" ht="15.75" x14ac:dyDescent="0.25">
      <c r="C1068" s="20" t="s">
        <v>779</v>
      </c>
      <c r="D1068" s="21" t="s">
        <v>162</v>
      </c>
      <c r="H1068" s="11"/>
      <c r="AU1068" s="11"/>
      <c r="CH1068" s="11"/>
      <c r="CI1068" s="16"/>
      <c r="CJ1068" s="16"/>
      <c r="CK1068" s="16"/>
      <c r="CL1068" s="16"/>
      <c r="CM1068" s="16"/>
      <c r="CN1068" s="16"/>
      <c r="CO1068" s="16"/>
      <c r="CP1068" s="16"/>
      <c r="CQ1068" s="16"/>
      <c r="CR1068" s="16"/>
      <c r="CS1068" s="16"/>
      <c r="CT1068" s="16"/>
      <c r="CU1068" s="16"/>
      <c r="CV1068" s="16"/>
      <c r="CW1068" s="16"/>
      <c r="CX1068" s="16"/>
      <c r="CY1068" s="16"/>
      <c r="CZ1068" s="16"/>
      <c r="DA1068" s="16"/>
      <c r="DB1068" s="16"/>
      <c r="DC1068" s="16"/>
      <c r="DD1068" s="16"/>
      <c r="DE1068" s="17"/>
      <c r="DF1068" s="17"/>
      <c r="DG1068" s="16"/>
      <c r="DH1068" s="16"/>
      <c r="DI1068" s="17"/>
      <c r="DJ1068" s="17"/>
      <c r="DK1068" s="16"/>
      <c r="DL1068" s="16"/>
      <c r="DM1068" s="17"/>
      <c r="DN1068" s="17"/>
      <c r="DO1068" s="16"/>
      <c r="DP1068" s="16"/>
      <c r="DQ1068" s="17"/>
      <c r="DR1068" s="17"/>
      <c r="DS1068" s="16"/>
      <c r="DT1068" s="16"/>
      <c r="DU1068" s="17"/>
      <c r="DV1068" s="17"/>
      <c r="DW1068" s="16"/>
      <c r="DX1068" s="16"/>
      <c r="DY1068" s="17"/>
      <c r="DZ1068" s="17"/>
      <c r="EA1068" s="16"/>
      <c r="EB1068" s="16"/>
      <c r="EC1068" s="17"/>
      <c r="ED1068" s="17"/>
      <c r="EE1068" s="16"/>
      <c r="EF1068" s="16"/>
      <c r="EG1068" s="17"/>
      <c r="EH1068" s="17"/>
      <c r="EI1068" s="16"/>
      <c r="EJ1068" s="16"/>
      <c r="EK1068" s="17"/>
      <c r="EL1068" s="17"/>
      <c r="EM1068" s="16"/>
      <c r="EN1068" s="16"/>
      <c r="EO1068" s="17"/>
      <c r="EP1068" s="17"/>
      <c r="EQ1068" s="16"/>
      <c r="ER1068" s="16"/>
      <c r="ES1068" s="17"/>
      <c r="ET1068" s="17"/>
      <c r="EU1068" s="16"/>
      <c r="EV1068" s="16"/>
      <c r="EW1068" s="17"/>
      <c r="EX1068" s="17"/>
      <c r="EY1068" s="16"/>
      <c r="EZ1068" s="16"/>
      <c r="FA1068" s="17"/>
      <c r="FB1068" s="17"/>
      <c r="FC1068" s="16"/>
      <c r="FD1068" s="16"/>
      <c r="FE1068" s="17"/>
      <c r="FF1068" s="17"/>
      <c r="FG1068" s="11"/>
      <c r="GT1068" s="11"/>
      <c r="IG1068" s="11"/>
      <c r="JT1068" s="11"/>
      <c r="LG1068" s="11"/>
      <c r="MT1068" s="11"/>
      <c r="OG1068" s="11"/>
      <c r="PT1068" s="11"/>
    </row>
    <row r="1069" spans="3:436" ht="15.75" x14ac:dyDescent="0.25">
      <c r="C1069" s="20" t="s">
        <v>780</v>
      </c>
      <c r="D1069" s="21" t="s">
        <v>203</v>
      </c>
      <c r="H1069" s="11"/>
      <c r="AU1069" s="11"/>
      <c r="CH1069" s="11"/>
      <c r="CI1069" s="16"/>
      <c r="CJ1069" s="16"/>
      <c r="CK1069" s="16"/>
      <c r="CL1069" s="16"/>
      <c r="CM1069" s="16"/>
      <c r="CN1069" s="16"/>
      <c r="CO1069" s="16"/>
      <c r="CP1069" s="16"/>
      <c r="CQ1069" s="16"/>
      <c r="CR1069" s="16"/>
      <c r="CS1069" s="16"/>
      <c r="CT1069" s="16"/>
      <c r="CU1069" s="16"/>
      <c r="CV1069" s="16"/>
      <c r="CW1069" s="16"/>
      <c r="CX1069" s="16"/>
      <c r="CY1069" s="16"/>
      <c r="CZ1069" s="16"/>
      <c r="DA1069" s="16"/>
      <c r="DB1069" s="16"/>
      <c r="DC1069" s="16"/>
      <c r="DD1069" s="16"/>
      <c r="DE1069" s="17"/>
      <c r="DF1069" s="17"/>
      <c r="DG1069" s="16"/>
      <c r="DH1069" s="16"/>
      <c r="DI1069" s="17"/>
      <c r="DJ1069" s="17"/>
      <c r="DK1069" s="16"/>
      <c r="DL1069" s="16"/>
      <c r="DM1069" s="17"/>
      <c r="DN1069" s="17"/>
      <c r="DO1069" s="16"/>
      <c r="DP1069" s="16"/>
      <c r="DQ1069" s="17"/>
      <c r="DR1069" s="17"/>
      <c r="DS1069" s="16"/>
      <c r="DT1069" s="16"/>
      <c r="DU1069" s="17"/>
      <c r="DV1069" s="17"/>
      <c r="DW1069" s="16"/>
      <c r="DX1069" s="16"/>
      <c r="DY1069" s="17"/>
      <c r="DZ1069" s="17"/>
      <c r="EA1069" s="16"/>
      <c r="EB1069" s="16"/>
      <c r="EC1069" s="17"/>
      <c r="ED1069" s="17"/>
      <c r="EE1069" s="16"/>
      <c r="EF1069" s="16"/>
      <c r="EG1069" s="18">
        <v>5</v>
      </c>
      <c r="EH1069" s="18">
        <v>10</v>
      </c>
      <c r="EI1069" s="16"/>
      <c r="EJ1069" s="16"/>
      <c r="EK1069" s="17"/>
      <c r="EL1069" s="17"/>
      <c r="EM1069" s="16"/>
      <c r="EN1069" s="16"/>
      <c r="EO1069" s="17"/>
      <c r="EP1069" s="17"/>
      <c r="EQ1069" s="16"/>
      <c r="ER1069" s="16"/>
      <c r="ES1069" s="17"/>
      <c r="ET1069" s="17"/>
      <c r="EU1069" s="16"/>
      <c r="EV1069" s="16"/>
      <c r="EW1069" s="17"/>
      <c r="EX1069" s="17"/>
      <c r="EY1069" s="16"/>
      <c r="EZ1069" s="16"/>
      <c r="FA1069" s="17"/>
      <c r="FB1069" s="17"/>
      <c r="FC1069" s="16"/>
      <c r="FD1069" s="16"/>
      <c r="FE1069" s="17"/>
      <c r="FF1069" s="17"/>
      <c r="FG1069" s="11"/>
      <c r="GT1069" s="11"/>
      <c r="IG1069" s="11"/>
      <c r="JT1069" s="11"/>
      <c r="LG1069" s="11"/>
      <c r="MT1069" s="11"/>
      <c r="OG1069" s="11"/>
      <c r="PT1069" s="11"/>
    </row>
    <row r="1070" spans="3:436" ht="15.75" x14ac:dyDescent="0.25">
      <c r="C1070" s="20" t="s">
        <v>781</v>
      </c>
      <c r="D1070" s="21" t="s">
        <v>142</v>
      </c>
      <c r="H1070" s="11"/>
      <c r="AU1070" s="11"/>
      <c r="CH1070" s="11"/>
      <c r="CI1070" s="16"/>
      <c r="CJ1070" s="16"/>
      <c r="CK1070" s="16"/>
      <c r="CL1070" s="16"/>
      <c r="CM1070" s="16"/>
      <c r="CN1070" s="16"/>
      <c r="CO1070" s="16"/>
      <c r="CP1070" s="16"/>
      <c r="CQ1070" s="16"/>
      <c r="CR1070" s="16"/>
      <c r="CS1070" s="16"/>
      <c r="CT1070" s="16"/>
      <c r="CU1070" s="16"/>
      <c r="CV1070" s="16"/>
      <c r="CW1070" s="16"/>
      <c r="CX1070" s="16"/>
      <c r="CY1070" s="16"/>
      <c r="CZ1070" s="16"/>
      <c r="DA1070" s="16"/>
      <c r="DB1070" s="16"/>
      <c r="DC1070" s="16"/>
      <c r="DD1070" s="16"/>
      <c r="DE1070" s="17"/>
      <c r="DF1070" s="17"/>
      <c r="DG1070" s="16"/>
      <c r="DH1070" s="16"/>
      <c r="DI1070" s="17"/>
      <c r="DJ1070" s="17"/>
      <c r="DK1070" s="16"/>
      <c r="DL1070" s="16"/>
      <c r="DM1070" s="17"/>
      <c r="DN1070" s="17"/>
      <c r="DO1070" s="16"/>
      <c r="DP1070" s="16"/>
      <c r="DQ1070" s="17"/>
      <c r="DR1070" s="17"/>
      <c r="DS1070" s="16"/>
      <c r="DT1070" s="16"/>
      <c r="DU1070" s="17"/>
      <c r="DV1070" s="17"/>
      <c r="DW1070" s="16"/>
      <c r="DX1070" s="16"/>
      <c r="DY1070" s="17"/>
      <c r="DZ1070" s="17"/>
      <c r="EA1070" s="16"/>
      <c r="EB1070" s="16"/>
      <c r="EC1070" s="17"/>
      <c r="ED1070" s="17"/>
      <c r="EE1070" s="16"/>
      <c r="EF1070" s="16"/>
      <c r="EG1070" s="17"/>
      <c r="EH1070" s="17"/>
      <c r="EI1070" s="16"/>
      <c r="EJ1070" s="16"/>
      <c r="EK1070" s="17"/>
      <c r="EL1070" s="17"/>
      <c r="EM1070" s="16"/>
      <c r="EN1070" s="16"/>
      <c r="EO1070" s="17"/>
      <c r="EP1070" s="17"/>
      <c r="EQ1070" s="16"/>
      <c r="ER1070" s="16"/>
      <c r="ES1070" s="17"/>
      <c r="ET1070" s="17"/>
      <c r="EU1070" s="16"/>
      <c r="EV1070" s="16"/>
      <c r="EW1070" s="17"/>
      <c r="EX1070" s="17"/>
      <c r="EY1070" s="16"/>
      <c r="EZ1070" s="16"/>
      <c r="FA1070" s="17"/>
      <c r="FB1070" s="17"/>
      <c r="FC1070" s="16"/>
      <c r="FD1070" s="16"/>
      <c r="FE1070" s="17"/>
      <c r="FF1070" s="17"/>
      <c r="FG1070" s="11"/>
      <c r="GT1070" s="11"/>
      <c r="IG1070" s="11"/>
      <c r="JT1070" s="11"/>
      <c r="LG1070" s="11"/>
      <c r="MT1070" s="11"/>
      <c r="OG1070" s="11"/>
      <c r="PT1070" s="11"/>
    </row>
    <row r="1071" spans="3:436" ht="15.75" x14ac:dyDescent="0.25">
      <c r="C1071" s="20" t="s">
        <v>196</v>
      </c>
      <c r="D1071" s="21" t="s">
        <v>82</v>
      </c>
      <c r="H1071" s="11"/>
      <c r="AU1071" s="11"/>
      <c r="CH1071" s="11"/>
      <c r="CI1071" s="16"/>
      <c r="CJ1071" s="16"/>
      <c r="CK1071" s="16"/>
      <c r="CL1071" s="16"/>
      <c r="CM1071" s="16"/>
      <c r="CN1071" s="16"/>
      <c r="CO1071" s="16"/>
      <c r="CP1071" s="16"/>
      <c r="CQ1071" s="16"/>
      <c r="CR1071" s="16"/>
      <c r="CS1071" s="16"/>
      <c r="CT1071" s="16"/>
      <c r="CU1071" s="16"/>
      <c r="CV1071" s="16"/>
      <c r="CW1071" s="16"/>
      <c r="CX1071" s="16"/>
      <c r="CY1071" s="16"/>
      <c r="CZ1071" s="16"/>
      <c r="DA1071" s="16"/>
      <c r="DB1071" s="16"/>
      <c r="DC1071" s="16"/>
      <c r="DD1071" s="16"/>
      <c r="DE1071" s="17"/>
      <c r="DF1071" s="17"/>
      <c r="DG1071" s="16"/>
      <c r="DH1071" s="16"/>
      <c r="DI1071" s="17"/>
      <c r="DJ1071" s="17"/>
      <c r="DK1071" s="16"/>
      <c r="DL1071" s="16"/>
      <c r="DM1071" s="17"/>
      <c r="DN1071" s="17"/>
      <c r="DO1071" s="16"/>
      <c r="DP1071" s="16"/>
      <c r="DQ1071" s="17"/>
      <c r="DR1071" s="17"/>
      <c r="DS1071" s="16"/>
      <c r="DT1071" s="16"/>
      <c r="DU1071" s="17"/>
      <c r="DV1071" s="17"/>
      <c r="DW1071" s="16"/>
      <c r="DX1071" s="16"/>
      <c r="DY1071" s="17"/>
      <c r="DZ1071" s="17"/>
      <c r="EA1071" s="16"/>
      <c r="EB1071" s="16"/>
      <c r="EC1071" s="17"/>
      <c r="ED1071" s="17"/>
      <c r="EE1071" s="16"/>
      <c r="EF1071" s="16"/>
      <c r="EG1071" s="17"/>
      <c r="EH1071" s="17"/>
      <c r="EI1071" s="16"/>
      <c r="EJ1071" s="16"/>
      <c r="EK1071" s="17"/>
      <c r="EL1071" s="17"/>
      <c r="EM1071" s="16"/>
      <c r="EN1071" s="16"/>
      <c r="EO1071" s="17"/>
      <c r="EP1071" s="17"/>
      <c r="EQ1071" s="16"/>
      <c r="ER1071" s="16"/>
      <c r="ES1071" s="17"/>
      <c r="ET1071" s="17"/>
      <c r="EU1071" s="16"/>
      <c r="EV1071" s="16"/>
      <c r="EW1071" s="17"/>
      <c r="EX1071" s="17"/>
      <c r="EY1071" s="16"/>
      <c r="EZ1071" s="16"/>
      <c r="FA1071" s="17"/>
      <c r="FB1071" s="17"/>
      <c r="FC1071" s="16"/>
      <c r="FD1071" s="16"/>
      <c r="FE1071" s="17"/>
      <c r="FF1071" s="17"/>
      <c r="FG1071" s="11"/>
      <c r="GT1071" s="11"/>
      <c r="IG1071" s="11"/>
      <c r="JT1071" s="11"/>
      <c r="LG1071" s="11"/>
      <c r="MT1071" s="11"/>
      <c r="OG1071" s="11"/>
      <c r="PT1071" s="11"/>
    </row>
    <row r="1072" spans="3:436" ht="15.75" x14ac:dyDescent="0.25">
      <c r="C1072" s="20" t="s">
        <v>773</v>
      </c>
      <c r="D1072" s="21" t="s">
        <v>90</v>
      </c>
      <c r="H1072" s="11"/>
      <c r="AU1072" s="11"/>
      <c r="CH1072" s="11"/>
      <c r="CI1072" s="16"/>
      <c r="CJ1072" s="16"/>
      <c r="CK1072" s="16"/>
      <c r="CL1072" s="16"/>
      <c r="CM1072" s="16"/>
      <c r="CN1072" s="16"/>
      <c r="CO1072" s="16"/>
      <c r="CP1072" s="16"/>
      <c r="CQ1072" s="16"/>
      <c r="CR1072" s="16"/>
      <c r="CS1072" s="16"/>
      <c r="CT1072" s="16"/>
      <c r="CU1072" s="16"/>
      <c r="CV1072" s="16"/>
      <c r="CW1072" s="16"/>
      <c r="CX1072" s="16"/>
      <c r="CY1072" s="16"/>
      <c r="CZ1072" s="16"/>
      <c r="DA1072" s="16"/>
      <c r="DB1072" s="16"/>
      <c r="DC1072" s="16"/>
      <c r="DD1072" s="16"/>
      <c r="DE1072" s="17"/>
      <c r="DF1072" s="17"/>
      <c r="DG1072" s="16"/>
      <c r="DH1072" s="16"/>
      <c r="DI1072" s="17"/>
      <c r="DJ1072" s="17"/>
      <c r="DK1072" s="16"/>
      <c r="DL1072" s="16"/>
      <c r="DM1072" s="17"/>
      <c r="DN1072" s="17"/>
      <c r="DO1072" s="16"/>
      <c r="DP1072" s="16"/>
      <c r="DQ1072" s="17"/>
      <c r="DR1072" s="17"/>
      <c r="DS1072" s="16"/>
      <c r="DT1072" s="16"/>
      <c r="DU1072" s="17"/>
      <c r="DV1072" s="17"/>
      <c r="DW1072" s="16"/>
      <c r="DX1072" s="16"/>
      <c r="DY1072" s="17"/>
      <c r="DZ1072" s="17"/>
      <c r="EA1072" s="16"/>
      <c r="EB1072" s="16"/>
      <c r="EC1072" s="17"/>
      <c r="ED1072" s="17"/>
      <c r="EE1072" s="16"/>
      <c r="EF1072" s="16"/>
      <c r="EG1072" s="17"/>
      <c r="EH1072" s="17"/>
      <c r="EI1072" s="16"/>
      <c r="EJ1072" s="16"/>
      <c r="EK1072" s="17"/>
      <c r="EL1072" s="17"/>
      <c r="EM1072" s="16"/>
      <c r="EN1072" s="16"/>
      <c r="EO1072" s="17"/>
      <c r="EP1072" s="17"/>
      <c r="EQ1072" s="16"/>
      <c r="ER1072" s="16"/>
      <c r="ES1072" s="17"/>
      <c r="ET1072" s="17"/>
      <c r="EU1072" s="16"/>
      <c r="EV1072" s="16"/>
      <c r="EW1072" s="17"/>
      <c r="EX1072" s="17"/>
      <c r="EY1072" s="16"/>
      <c r="EZ1072" s="16"/>
      <c r="FA1072" s="17"/>
      <c r="FB1072" s="17"/>
      <c r="FC1072" s="16"/>
      <c r="FD1072" s="16"/>
      <c r="FE1072" s="17"/>
      <c r="FF1072" s="17"/>
      <c r="FG1072" s="11"/>
      <c r="GT1072" s="11"/>
      <c r="IG1072" s="11"/>
      <c r="JT1072" s="11"/>
      <c r="LG1072" s="11"/>
      <c r="MT1072" s="11"/>
      <c r="OG1072" s="11"/>
      <c r="PT1072" s="11"/>
    </row>
    <row r="1073" spans="1:436" ht="15.75" x14ac:dyDescent="0.25">
      <c r="A1073" s="13"/>
      <c r="B1073" s="14" t="s">
        <v>782</v>
      </c>
      <c r="C1073" s="13"/>
      <c r="D1073" s="13"/>
      <c r="E1073" s="15" t="s">
        <v>127</v>
      </c>
      <c r="F1073" s="15" t="s">
        <v>132</v>
      </c>
      <c r="G1073" s="13"/>
      <c r="H1073" s="11"/>
      <c r="AU1073" s="11"/>
      <c r="CH1073" s="11"/>
      <c r="CI1073" s="16"/>
      <c r="CJ1073" s="16"/>
      <c r="CK1073" s="16"/>
      <c r="CL1073" s="16"/>
      <c r="CM1073" s="16"/>
      <c r="CN1073" s="16"/>
      <c r="CO1073" s="16"/>
      <c r="CP1073" s="16"/>
      <c r="CQ1073" s="16"/>
      <c r="CR1073" s="16"/>
      <c r="CS1073" s="16"/>
      <c r="CT1073" s="16"/>
      <c r="CU1073" s="16"/>
      <c r="CV1073" s="16"/>
      <c r="CW1073" s="16"/>
      <c r="CX1073" s="16"/>
      <c r="CY1073" s="16"/>
      <c r="CZ1073" s="16"/>
      <c r="DA1073" s="16"/>
      <c r="DB1073" s="16"/>
      <c r="DC1073" s="16"/>
      <c r="DD1073" s="16"/>
      <c r="DE1073" s="17"/>
      <c r="DF1073" s="17"/>
      <c r="DG1073" s="16"/>
      <c r="DH1073" s="16"/>
      <c r="DI1073" s="17"/>
      <c r="DJ1073" s="17"/>
      <c r="DK1073" s="16"/>
      <c r="DL1073" s="16"/>
      <c r="DM1073" s="17"/>
      <c r="DN1073" s="17"/>
      <c r="DO1073" s="16"/>
      <c r="DP1073" s="16"/>
      <c r="DQ1073" s="17"/>
      <c r="DR1073" s="17"/>
      <c r="DS1073" s="16"/>
      <c r="DT1073" s="16"/>
      <c r="DU1073" s="17"/>
      <c r="DV1073" s="18">
        <v>10</v>
      </c>
      <c r="DW1073" s="16"/>
      <c r="DX1073" s="19">
        <v>30</v>
      </c>
      <c r="DY1073" s="17"/>
      <c r="DZ1073" s="17"/>
      <c r="EA1073" s="16"/>
      <c r="EB1073" s="16"/>
      <c r="EC1073" s="17"/>
      <c r="ED1073" s="17"/>
      <c r="EE1073" s="16"/>
      <c r="EF1073" s="16"/>
      <c r="EG1073" s="17"/>
      <c r="EH1073" s="17"/>
      <c r="EI1073" s="16"/>
      <c r="EJ1073" s="16"/>
      <c r="EK1073" s="17"/>
      <c r="EL1073" s="18">
        <v>20</v>
      </c>
      <c r="EM1073" s="16"/>
      <c r="EN1073" s="16"/>
      <c r="EO1073" s="17"/>
      <c r="EP1073" s="17"/>
      <c r="EQ1073" s="16"/>
      <c r="ER1073" s="16"/>
      <c r="ES1073" s="17"/>
      <c r="ET1073" s="18">
        <v>20</v>
      </c>
      <c r="EU1073" s="16"/>
      <c r="EV1073" s="16"/>
      <c r="EW1073" s="17"/>
      <c r="EX1073" s="17"/>
      <c r="EY1073" s="16"/>
      <c r="EZ1073" s="16"/>
      <c r="FA1073" s="17"/>
      <c r="FB1073" s="17"/>
      <c r="FC1073" s="16"/>
      <c r="FD1073" s="19">
        <v>2</v>
      </c>
      <c r="FE1073" s="17"/>
      <c r="FF1073" s="17"/>
      <c r="FG1073" s="11"/>
      <c r="GT1073" s="11"/>
      <c r="IG1073" s="11"/>
      <c r="JT1073" s="11"/>
      <c r="LG1073" s="11"/>
      <c r="MT1073" s="11"/>
      <c r="OG1073" s="11"/>
      <c r="PT1073" s="11"/>
    </row>
    <row r="1074" spans="1:436" ht="15.75" x14ac:dyDescent="0.25">
      <c r="A1074" s="13"/>
      <c r="B1074" s="14" t="s">
        <v>783</v>
      </c>
      <c r="C1074" s="13"/>
      <c r="D1074" s="13"/>
      <c r="E1074" s="15" t="s">
        <v>127</v>
      </c>
      <c r="F1074" s="15" t="s">
        <v>177</v>
      </c>
      <c r="G1074" s="13"/>
      <c r="H1074" s="11"/>
      <c r="AU1074" s="11"/>
      <c r="CH1074" s="11"/>
      <c r="CI1074" s="16"/>
      <c r="CJ1074" s="16"/>
      <c r="CK1074" s="16"/>
      <c r="CL1074" s="16"/>
      <c r="CM1074" s="16"/>
      <c r="CN1074" s="16"/>
      <c r="CO1074" s="16"/>
      <c r="CP1074" s="16"/>
      <c r="CQ1074" s="16"/>
      <c r="CR1074" s="16"/>
      <c r="CS1074" s="16"/>
      <c r="CT1074" s="16"/>
      <c r="CU1074" s="16"/>
      <c r="CV1074" s="16"/>
      <c r="CW1074" s="16"/>
      <c r="CX1074" s="16"/>
      <c r="CY1074" s="16"/>
      <c r="CZ1074" s="16"/>
      <c r="DA1074" s="16"/>
      <c r="DB1074" s="16"/>
      <c r="DC1074" s="16"/>
      <c r="DD1074" s="16"/>
      <c r="DE1074" s="17"/>
      <c r="DF1074" s="17"/>
      <c r="DG1074" s="16"/>
      <c r="DH1074" s="16"/>
      <c r="DI1074" s="17"/>
      <c r="DJ1074" s="18">
        <v>10</v>
      </c>
      <c r="DK1074" s="16"/>
      <c r="DL1074" s="16"/>
      <c r="DM1074" s="17"/>
      <c r="DN1074" s="17"/>
      <c r="DO1074" s="16"/>
      <c r="DP1074" s="16"/>
      <c r="DQ1074" s="17"/>
      <c r="DR1074" s="17"/>
      <c r="DS1074" s="16"/>
      <c r="DT1074" s="16"/>
      <c r="DU1074" s="17"/>
      <c r="DV1074" s="18">
        <v>10</v>
      </c>
      <c r="DW1074" s="16"/>
      <c r="DX1074" s="19">
        <v>40</v>
      </c>
      <c r="DY1074" s="17"/>
      <c r="DZ1074" s="17"/>
      <c r="EA1074" s="16"/>
      <c r="EB1074" s="16"/>
      <c r="EC1074" s="17"/>
      <c r="ED1074" s="17"/>
      <c r="EE1074" s="16"/>
      <c r="EF1074" s="16"/>
      <c r="EG1074" s="17"/>
      <c r="EH1074" s="17"/>
      <c r="EI1074" s="16"/>
      <c r="EJ1074" s="16"/>
      <c r="EK1074" s="17"/>
      <c r="EL1074" s="17"/>
      <c r="EM1074" s="16"/>
      <c r="EN1074" s="19">
        <v>10</v>
      </c>
      <c r="EO1074" s="17"/>
      <c r="EP1074" s="17"/>
      <c r="EQ1074" s="16"/>
      <c r="ER1074" s="16"/>
      <c r="ES1074" s="17"/>
      <c r="ET1074" s="18">
        <v>20</v>
      </c>
      <c r="EU1074" s="16"/>
      <c r="EV1074" s="16"/>
      <c r="EW1074" s="17"/>
      <c r="EX1074" s="17"/>
      <c r="EY1074" s="16"/>
      <c r="EZ1074" s="16"/>
      <c r="FA1074" s="17"/>
      <c r="FB1074" s="17"/>
      <c r="FC1074" s="16"/>
      <c r="FD1074" s="16"/>
      <c r="FE1074" s="17"/>
      <c r="FF1074" s="17"/>
      <c r="FG1074" s="11"/>
      <c r="GT1074" s="11"/>
      <c r="IG1074" s="11"/>
      <c r="JT1074" s="11"/>
      <c r="LG1074" s="11"/>
      <c r="MT1074" s="11"/>
      <c r="OG1074" s="11"/>
      <c r="PT1074" s="11"/>
    </row>
    <row r="1075" spans="1:436" ht="25.5" x14ac:dyDescent="0.25">
      <c r="C1075" s="20" t="s">
        <v>784</v>
      </c>
      <c r="D1075" s="21" t="s">
        <v>93</v>
      </c>
      <c r="H1075" s="11"/>
      <c r="AU1075" s="11"/>
      <c r="CH1075" s="11"/>
      <c r="CI1075" s="16"/>
      <c r="CJ1075" s="16"/>
      <c r="CK1075" s="16"/>
      <c r="CL1075" s="16"/>
      <c r="CM1075" s="16"/>
      <c r="CN1075" s="16"/>
      <c r="CO1075" s="16"/>
      <c r="CP1075" s="16"/>
      <c r="CQ1075" s="16"/>
      <c r="CR1075" s="16"/>
      <c r="CS1075" s="16"/>
      <c r="CT1075" s="16"/>
      <c r="CU1075" s="16"/>
      <c r="CV1075" s="16"/>
      <c r="CW1075" s="16"/>
      <c r="CX1075" s="16"/>
      <c r="CY1075" s="16"/>
      <c r="CZ1075" s="16"/>
      <c r="DA1075" s="16"/>
      <c r="DB1075" s="16"/>
      <c r="DC1075" s="16"/>
      <c r="DD1075" s="16"/>
      <c r="DE1075" s="17"/>
      <c r="DF1075" s="17"/>
      <c r="DG1075" s="16"/>
      <c r="DH1075" s="16"/>
      <c r="DI1075" s="17"/>
      <c r="DJ1075" s="17"/>
      <c r="DK1075" s="16"/>
      <c r="DL1075" s="16"/>
      <c r="DM1075" s="17"/>
      <c r="DN1075" s="17"/>
      <c r="DO1075" s="16"/>
      <c r="DP1075" s="16"/>
      <c r="DQ1075" s="17"/>
      <c r="DR1075" s="17"/>
      <c r="DS1075" s="16"/>
      <c r="DT1075" s="16"/>
      <c r="DU1075" s="17"/>
      <c r="DV1075" s="17"/>
      <c r="DW1075" s="16"/>
      <c r="DX1075" s="16"/>
      <c r="DY1075" s="17"/>
      <c r="DZ1075" s="17"/>
      <c r="EA1075" s="16"/>
      <c r="EB1075" s="16"/>
      <c r="EC1075" s="17"/>
      <c r="ED1075" s="17"/>
      <c r="EE1075" s="16"/>
      <c r="EF1075" s="16"/>
      <c r="EG1075" s="17"/>
      <c r="EH1075" s="17"/>
      <c r="EI1075" s="16"/>
      <c r="EJ1075" s="16"/>
      <c r="EK1075" s="17"/>
      <c r="EL1075" s="17"/>
      <c r="EM1075" s="16"/>
      <c r="EN1075" s="16"/>
      <c r="EO1075" s="17"/>
      <c r="EP1075" s="17"/>
      <c r="EQ1075" s="16"/>
      <c r="ER1075" s="16"/>
      <c r="ES1075" s="17"/>
      <c r="ET1075" s="17"/>
      <c r="EU1075" s="16"/>
      <c r="EV1075" s="16"/>
      <c r="EW1075" s="18">
        <v>2</v>
      </c>
      <c r="EX1075" s="18">
        <v>3</v>
      </c>
      <c r="EY1075" s="16"/>
      <c r="EZ1075" s="16"/>
      <c r="FA1075" s="17"/>
      <c r="FB1075" s="17"/>
      <c r="FC1075" s="16"/>
      <c r="FD1075" s="16"/>
      <c r="FE1075" s="17"/>
      <c r="FF1075" s="17"/>
      <c r="FG1075" s="11"/>
      <c r="GT1075" s="11"/>
      <c r="IG1075" s="11"/>
      <c r="JT1075" s="11"/>
      <c r="LG1075" s="11"/>
      <c r="MT1075" s="11"/>
      <c r="OG1075" s="11"/>
      <c r="PT1075" s="11"/>
    </row>
    <row r="1076" spans="1:436" ht="15.75" x14ac:dyDescent="0.25">
      <c r="C1076" s="20" t="s">
        <v>785</v>
      </c>
      <c r="D1076" s="21" t="s">
        <v>93</v>
      </c>
      <c r="H1076" s="11"/>
      <c r="AU1076" s="11"/>
      <c r="CH1076" s="11"/>
      <c r="CI1076" s="16"/>
      <c r="CJ1076" s="16"/>
      <c r="CK1076" s="16"/>
      <c r="CL1076" s="16"/>
      <c r="CM1076" s="16"/>
      <c r="CN1076" s="16"/>
      <c r="CO1076" s="16"/>
      <c r="CP1076" s="16"/>
      <c r="CQ1076" s="16"/>
      <c r="CR1076" s="16"/>
      <c r="CS1076" s="16"/>
      <c r="CT1076" s="16"/>
      <c r="CU1076" s="16"/>
      <c r="CV1076" s="16"/>
      <c r="CW1076" s="16"/>
      <c r="CX1076" s="16"/>
      <c r="CY1076" s="16"/>
      <c r="CZ1076" s="16"/>
      <c r="DA1076" s="16"/>
      <c r="DB1076" s="16"/>
      <c r="DC1076" s="16"/>
      <c r="DD1076" s="16"/>
      <c r="DE1076" s="17"/>
      <c r="DF1076" s="17"/>
      <c r="DG1076" s="16"/>
      <c r="DH1076" s="16"/>
      <c r="DI1076" s="17"/>
      <c r="DJ1076" s="17"/>
      <c r="DK1076" s="16"/>
      <c r="DL1076" s="16"/>
      <c r="DM1076" s="17"/>
      <c r="DN1076" s="17"/>
      <c r="DO1076" s="16"/>
      <c r="DP1076" s="16"/>
      <c r="DQ1076" s="17"/>
      <c r="DR1076" s="17"/>
      <c r="DS1076" s="16"/>
      <c r="DT1076" s="16"/>
      <c r="DU1076" s="17"/>
      <c r="DV1076" s="17"/>
      <c r="DW1076" s="16"/>
      <c r="DX1076" s="16"/>
      <c r="DY1076" s="17"/>
      <c r="DZ1076" s="17"/>
      <c r="EA1076" s="16"/>
      <c r="EB1076" s="16"/>
      <c r="EC1076" s="17"/>
      <c r="ED1076" s="17"/>
      <c r="EE1076" s="16"/>
      <c r="EF1076" s="16"/>
      <c r="EG1076" s="17"/>
      <c r="EH1076" s="17"/>
      <c r="EI1076" s="16"/>
      <c r="EJ1076" s="16"/>
      <c r="EK1076" s="17"/>
      <c r="EL1076" s="17"/>
      <c r="EM1076" s="16"/>
      <c r="EN1076" s="16"/>
      <c r="EO1076" s="17"/>
      <c r="EP1076" s="17"/>
      <c r="EQ1076" s="16"/>
      <c r="ER1076" s="16"/>
      <c r="ES1076" s="17"/>
      <c r="ET1076" s="17"/>
      <c r="EU1076" s="16"/>
      <c r="EV1076" s="16"/>
      <c r="EW1076" s="18">
        <v>1</v>
      </c>
      <c r="EX1076" s="18">
        <v>2</v>
      </c>
      <c r="EY1076" s="16"/>
      <c r="EZ1076" s="16"/>
      <c r="FA1076" s="17"/>
      <c r="FB1076" s="17"/>
      <c r="FC1076" s="16"/>
      <c r="FD1076" s="16"/>
      <c r="FE1076" s="17"/>
      <c r="FF1076" s="17"/>
      <c r="FG1076" s="11"/>
      <c r="GT1076" s="11"/>
      <c r="IG1076" s="11"/>
      <c r="JT1076" s="11"/>
      <c r="LG1076" s="11"/>
      <c r="MT1076" s="11"/>
      <c r="OG1076" s="11"/>
      <c r="PT1076" s="11"/>
    </row>
    <row r="1077" spans="1:436" ht="15.75" x14ac:dyDescent="0.25">
      <c r="C1077" s="20" t="s">
        <v>786</v>
      </c>
      <c r="D1077" s="21" t="s">
        <v>93</v>
      </c>
      <c r="H1077" s="11"/>
      <c r="AU1077" s="11"/>
      <c r="CH1077" s="11"/>
      <c r="CI1077" s="16"/>
      <c r="CJ1077" s="16"/>
      <c r="CK1077" s="16"/>
      <c r="CL1077" s="16"/>
      <c r="CM1077" s="16"/>
      <c r="CN1077" s="16"/>
      <c r="CO1077" s="16"/>
      <c r="CP1077" s="16"/>
      <c r="CQ1077" s="16"/>
      <c r="CR1077" s="16"/>
      <c r="CS1077" s="16"/>
      <c r="CT1077" s="16"/>
      <c r="CU1077" s="16"/>
      <c r="CV1077" s="16"/>
      <c r="CW1077" s="16"/>
      <c r="CX1077" s="16"/>
      <c r="CY1077" s="16"/>
      <c r="CZ1077" s="16"/>
      <c r="DA1077" s="16"/>
      <c r="DB1077" s="16"/>
      <c r="DC1077" s="16"/>
      <c r="DD1077" s="16"/>
      <c r="DE1077" s="17"/>
      <c r="DF1077" s="17"/>
      <c r="DG1077" s="16"/>
      <c r="DH1077" s="16"/>
      <c r="DI1077" s="17"/>
      <c r="DJ1077" s="17"/>
      <c r="DK1077" s="16"/>
      <c r="DL1077" s="16"/>
      <c r="DM1077" s="17"/>
      <c r="DN1077" s="17"/>
      <c r="DO1077" s="16"/>
      <c r="DP1077" s="16"/>
      <c r="DQ1077" s="17"/>
      <c r="DR1077" s="17"/>
      <c r="DS1077" s="16"/>
      <c r="DT1077" s="16"/>
      <c r="DU1077" s="17"/>
      <c r="DV1077" s="17"/>
      <c r="DW1077" s="16"/>
      <c r="DX1077" s="16"/>
      <c r="DY1077" s="17"/>
      <c r="DZ1077" s="17"/>
      <c r="EA1077" s="16"/>
      <c r="EB1077" s="16"/>
      <c r="EC1077" s="17"/>
      <c r="ED1077" s="17"/>
      <c r="EE1077" s="16"/>
      <c r="EF1077" s="16"/>
      <c r="EG1077" s="17"/>
      <c r="EH1077" s="17"/>
      <c r="EI1077" s="16"/>
      <c r="EJ1077" s="16"/>
      <c r="EK1077" s="17"/>
      <c r="EL1077" s="17"/>
      <c r="EM1077" s="16"/>
      <c r="EN1077" s="16"/>
      <c r="EO1077" s="17"/>
      <c r="EP1077" s="17"/>
      <c r="EQ1077" s="16"/>
      <c r="ER1077" s="16"/>
      <c r="ES1077" s="17"/>
      <c r="ET1077" s="17"/>
      <c r="EU1077" s="16"/>
      <c r="EV1077" s="16"/>
      <c r="EW1077" s="18">
        <v>1</v>
      </c>
      <c r="EX1077" s="18">
        <v>2</v>
      </c>
      <c r="EY1077" s="16"/>
      <c r="EZ1077" s="16"/>
      <c r="FA1077" s="17"/>
      <c r="FB1077" s="17"/>
      <c r="FC1077" s="16"/>
      <c r="FD1077" s="16"/>
      <c r="FE1077" s="17"/>
      <c r="FF1077" s="17"/>
      <c r="FG1077" s="11"/>
      <c r="GT1077" s="11"/>
      <c r="IG1077" s="11"/>
      <c r="JT1077" s="11"/>
      <c r="LG1077" s="11"/>
      <c r="MT1077" s="11"/>
      <c r="OG1077" s="11"/>
      <c r="PT1077" s="11"/>
    </row>
    <row r="1078" spans="1:436" ht="15.75" x14ac:dyDescent="0.25">
      <c r="C1078" s="20" t="s">
        <v>787</v>
      </c>
      <c r="D1078" s="21" t="s">
        <v>93</v>
      </c>
      <c r="H1078" s="11"/>
      <c r="AU1078" s="11"/>
      <c r="CH1078" s="11"/>
      <c r="CI1078" s="16"/>
      <c r="CJ1078" s="16"/>
      <c r="CK1078" s="16"/>
      <c r="CL1078" s="16"/>
      <c r="CM1078" s="16"/>
      <c r="CN1078" s="16"/>
      <c r="CO1078" s="16"/>
      <c r="CP1078" s="16"/>
      <c r="CQ1078" s="16"/>
      <c r="CR1078" s="16"/>
      <c r="CS1078" s="16"/>
      <c r="CT1078" s="16"/>
      <c r="CU1078" s="16"/>
      <c r="CV1078" s="16"/>
      <c r="CW1078" s="16"/>
      <c r="CX1078" s="16"/>
      <c r="CY1078" s="16"/>
      <c r="CZ1078" s="16"/>
      <c r="DA1078" s="16"/>
      <c r="DB1078" s="16"/>
      <c r="DC1078" s="16"/>
      <c r="DD1078" s="16"/>
      <c r="DE1078" s="17"/>
      <c r="DF1078" s="17"/>
      <c r="DG1078" s="16"/>
      <c r="DH1078" s="16"/>
      <c r="DI1078" s="17"/>
      <c r="DJ1078" s="17"/>
      <c r="DK1078" s="16"/>
      <c r="DL1078" s="16"/>
      <c r="DM1078" s="17"/>
      <c r="DN1078" s="17"/>
      <c r="DO1078" s="16"/>
      <c r="DP1078" s="16"/>
      <c r="DQ1078" s="17"/>
      <c r="DR1078" s="17"/>
      <c r="DS1078" s="16"/>
      <c r="DT1078" s="16"/>
      <c r="DU1078" s="17"/>
      <c r="DV1078" s="17"/>
      <c r="DW1078" s="16"/>
      <c r="DX1078" s="16"/>
      <c r="DY1078" s="17"/>
      <c r="DZ1078" s="17"/>
      <c r="EA1078" s="16"/>
      <c r="EB1078" s="16"/>
      <c r="EC1078" s="17"/>
      <c r="ED1078" s="17"/>
      <c r="EE1078" s="16"/>
      <c r="EF1078" s="16"/>
      <c r="EG1078" s="17"/>
      <c r="EH1078" s="17"/>
      <c r="EI1078" s="16"/>
      <c r="EJ1078" s="16"/>
      <c r="EK1078" s="17"/>
      <c r="EL1078" s="17"/>
      <c r="EM1078" s="16"/>
      <c r="EN1078" s="16"/>
      <c r="EO1078" s="17"/>
      <c r="EP1078" s="17"/>
      <c r="EQ1078" s="16"/>
      <c r="ER1078" s="16"/>
      <c r="ES1078" s="17"/>
      <c r="ET1078" s="17"/>
      <c r="EU1078" s="16"/>
      <c r="EV1078" s="16"/>
      <c r="EW1078" s="18">
        <v>1</v>
      </c>
      <c r="EX1078" s="18">
        <v>2</v>
      </c>
      <c r="EY1078" s="16"/>
      <c r="EZ1078" s="16"/>
      <c r="FA1078" s="17"/>
      <c r="FB1078" s="17"/>
      <c r="FC1078" s="16"/>
      <c r="FD1078" s="16"/>
      <c r="FE1078" s="17"/>
      <c r="FF1078" s="17"/>
      <c r="FG1078" s="11"/>
      <c r="GT1078" s="11"/>
      <c r="IG1078" s="11"/>
      <c r="JT1078" s="11"/>
      <c r="LG1078" s="11"/>
      <c r="MT1078" s="11"/>
      <c r="OG1078" s="11"/>
      <c r="PT1078" s="11"/>
    </row>
    <row r="1079" spans="1:436" ht="15.75" x14ac:dyDescent="0.25">
      <c r="C1079" s="20" t="s">
        <v>788</v>
      </c>
      <c r="D1079" s="21" t="s">
        <v>93</v>
      </c>
      <c r="H1079" s="11"/>
      <c r="AU1079" s="11"/>
      <c r="CH1079" s="11"/>
      <c r="CI1079" s="16"/>
      <c r="CJ1079" s="16"/>
      <c r="CK1079" s="16"/>
      <c r="CL1079" s="16"/>
      <c r="CM1079" s="16"/>
      <c r="CN1079" s="16"/>
      <c r="CO1079" s="16"/>
      <c r="CP1079" s="16"/>
      <c r="CQ1079" s="16"/>
      <c r="CR1079" s="16"/>
      <c r="CS1079" s="16"/>
      <c r="CT1079" s="16"/>
      <c r="CU1079" s="16"/>
      <c r="CV1079" s="16"/>
      <c r="CW1079" s="16"/>
      <c r="CX1079" s="16"/>
      <c r="CY1079" s="16"/>
      <c r="CZ1079" s="16"/>
      <c r="DA1079" s="16"/>
      <c r="DB1079" s="16"/>
      <c r="DC1079" s="16"/>
      <c r="DD1079" s="16"/>
      <c r="DE1079" s="17"/>
      <c r="DF1079" s="17"/>
      <c r="DG1079" s="16"/>
      <c r="DH1079" s="16"/>
      <c r="DI1079" s="17"/>
      <c r="DJ1079" s="17"/>
      <c r="DK1079" s="16"/>
      <c r="DL1079" s="16"/>
      <c r="DM1079" s="17"/>
      <c r="DN1079" s="17"/>
      <c r="DO1079" s="16"/>
      <c r="DP1079" s="16"/>
      <c r="DQ1079" s="17"/>
      <c r="DR1079" s="17"/>
      <c r="DS1079" s="16"/>
      <c r="DT1079" s="16"/>
      <c r="DU1079" s="17"/>
      <c r="DV1079" s="17"/>
      <c r="DW1079" s="16"/>
      <c r="DX1079" s="16"/>
      <c r="DY1079" s="17"/>
      <c r="DZ1079" s="17"/>
      <c r="EA1079" s="16"/>
      <c r="EB1079" s="16"/>
      <c r="EC1079" s="17"/>
      <c r="ED1079" s="17"/>
      <c r="EE1079" s="16"/>
      <c r="EF1079" s="16"/>
      <c r="EG1079" s="17"/>
      <c r="EH1079" s="17"/>
      <c r="EI1079" s="16"/>
      <c r="EJ1079" s="16"/>
      <c r="EK1079" s="17"/>
      <c r="EL1079" s="17"/>
      <c r="EM1079" s="16"/>
      <c r="EN1079" s="16"/>
      <c r="EO1079" s="17"/>
      <c r="EP1079" s="17"/>
      <c r="EQ1079" s="16"/>
      <c r="ER1079" s="16"/>
      <c r="ES1079" s="17"/>
      <c r="ET1079" s="17"/>
      <c r="EU1079" s="16"/>
      <c r="EV1079" s="16"/>
      <c r="EW1079" s="18">
        <v>1</v>
      </c>
      <c r="EX1079" s="18">
        <v>2</v>
      </c>
      <c r="EY1079" s="16"/>
      <c r="EZ1079" s="16"/>
      <c r="FA1079" s="17"/>
      <c r="FB1079" s="17"/>
      <c r="FC1079" s="16"/>
      <c r="FD1079" s="16"/>
      <c r="FE1079" s="17"/>
      <c r="FF1079" s="17"/>
      <c r="FG1079" s="11"/>
      <c r="GT1079" s="11"/>
      <c r="IG1079" s="11"/>
      <c r="JT1079" s="11"/>
      <c r="LG1079" s="11"/>
      <c r="MT1079" s="11"/>
      <c r="OG1079" s="11"/>
      <c r="PT1079" s="11"/>
    </row>
    <row r="1080" spans="1:436" ht="15.75" x14ac:dyDescent="0.25">
      <c r="C1080" s="20" t="s">
        <v>789</v>
      </c>
      <c r="D1080" s="21" t="s">
        <v>93</v>
      </c>
      <c r="H1080" s="11"/>
      <c r="AU1080" s="11"/>
      <c r="CH1080" s="11"/>
      <c r="CI1080" s="16"/>
      <c r="CJ1080" s="16"/>
      <c r="CK1080" s="16"/>
      <c r="CL1080" s="16"/>
      <c r="CM1080" s="16"/>
      <c r="CN1080" s="16"/>
      <c r="CO1080" s="16"/>
      <c r="CP1080" s="16"/>
      <c r="CQ1080" s="16"/>
      <c r="CR1080" s="16"/>
      <c r="CS1080" s="16"/>
      <c r="CT1080" s="16"/>
      <c r="CU1080" s="16"/>
      <c r="CV1080" s="16"/>
      <c r="CW1080" s="16"/>
      <c r="CX1080" s="16"/>
      <c r="CY1080" s="16"/>
      <c r="CZ1080" s="16"/>
      <c r="DA1080" s="16"/>
      <c r="DB1080" s="16"/>
      <c r="DC1080" s="16"/>
      <c r="DD1080" s="16"/>
      <c r="DE1080" s="17"/>
      <c r="DF1080" s="17"/>
      <c r="DG1080" s="16"/>
      <c r="DH1080" s="16"/>
      <c r="DI1080" s="17"/>
      <c r="DJ1080" s="17"/>
      <c r="DK1080" s="16"/>
      <c r="DL1080" s="16"/>
      <c r="DM1080" s="17"/>
      <c r="DN1080" s="17"/>
      <c r="DO1080" s="16"/>
      <c r="DP1080" s="16"/>
      <c r="DQ1080" s="17"/>
      <c r="DR1080" s="17"/>
      <c r="DS1080" s="16"/>
      <c r="DT1080" s="16"/>
      <c r="DU1080" s="17"/>
      <c r="DV1080" s="17"/>
      <c r="DW1080" s="16"/>
      <c r="DX1080" s="16"/>
      <c r="DY1080" s="17"/>
      <c r="DZ1080" s="17"/>
      <c r="EA1080" s="16"/>
      <c r="EB1080" s="16"/>
      <c r="EC1080" s="17"/>
      <c r="ED1080" s="17"/>
      <c r="EE1080" s="16"/>
      <c r="EF1080" s="16"/>
      <c r="EG1080" s="17"/>
      <c r="EH1080" s="17"/>
      <c r="EI1080" s="16"/>
      <c r="EJ1080" s="16"/>
      <c r="EK1080" s="17"/>
      <c r="EL1080" s="17"/>
      <c r="EM1080" s="16"/>
      <c r="EN1080" s="16"/>
      <c r="EO1080" s="17"/>
      <c r="EP1080" s="17"/>
      <c r="EQ1080" s="16"/>
      <c r="ER1080" s="16"/>
      <c r="ES1080" s="17"/>
      <c r="ET1080" s="17"/>
      <c r="EU1080" s="16"/>
      <c r="EV1080" s="16"/>
      <c r="EW1080" s="18">
        <v>2</v>
      </c>
      <c r="EX1080" s="18">
        <v>3</v>
      </c>
      <c r="EY1080" s="16"/>
      <c r="EZ1080" s="16"/>
      <c r="FA1080" s="17"/>
      <c r="FB1080" s="17"/>
      <c r="FC1080" s="16"/>
      <c r="FD1080" s="16"/>
      <c r="FE1080" s="17"/>
      <c r="FF1080" s="17"/>
      <c r="FG1080" s="11"/>
      <c r="GT1080" s="11"/>
      <c r="IG1080" s="11"/>
      <c r="JT1080" s="11"/>
      <c r="LG1080" s="11"/>
      <c r="MT1080" s="11"/>
      <c r="OG1080" s="11"/>
      <c r="PT1080" s="11"/>
    </row>
    <row r="1081" spans="1:436" ht="25.5" x14ac:dyDescent="0.25">
      <c r="C1081" s="20" t="s">
        <v>790</v>
      </c>
      <c r="D1081" s="21" t="s">
        <v>93</v>
      </c>
      <c r="H1081" s="11"/>
      <c r="AU1081" s="11"/>
      <c r="CH1081" s="11"/>
      <c r="CI1081" s="16"/>
      <c r="CJ1081" s="16"/>
      <c r="CK1081" s="16"/>
      <c r="CL1081" s="16"/>
      <c r="CM1081" s="16"/>
      <c r="CN1081" s="16"/>
      <c r="CO1081" s="16"/>
      <c r="CP1081" s="16"/>
      <c r="CQ1081" s="16"/>
      <c r="CR1081" s="16"/>
      <c r="CS1081" s="16"/>
      <c r="CT1081" s="16"/>
      <c r="CU1081" s="16"/>
      <c r="CV1081" s="16"/>
      <c r="CW1081" s="16"/>
      <c r="CX1081" s="16"/>
      <c r="CY1081" s="16"/>
      <c r="CZ1081" s="16"/>
      <c r="DA1081" s="16"/>
      <c r="DB1081" s="16"/>
      <c r="DC1081" s="16"/>
      <c r="DD1081" s="16"/>
      <c r="DE1081" s="17"/>
      <c r="DF1081" s="17"/>
      <c r="DG1081" s="16"/>
      <c r="DH1081" s="16"/>
      <c r="DI1081" s="17"/>
      <c r="DJ1081" s="17"/>
      <c r="DK1081" s="16"/>
      <c r="DL1081" s="16"/>
      <c r="DM1081" s="17"/>
      <c r="DN1081" s="17"/>
      <c r="DO1081" s="16"/>
      <c r="DP1081" s="16"/>
      <c r="DQ1081" s="17"/>
      <c r="DR1081" s="17"/>
      <c r="DS1081" s="16"/>
      <c r="DT1081" s="16"/>
      <c r="DU1081" s="17"/>
      <c r="DV1081" s="17"/>
      <c r="DW1081" s="16"/>
      <c r="DX1081" s="16"/>
      <c r="DY1081" s="17"/>
      <c r="DZ1081" s="17"/>
      <c r="EA1081" s="16"/>
      <c r="EB1081" s="16"/>
      <c r="EC1081" s="17"/>
      <c r="ED1081" s="17"/>
      <c r="EE1081" s="16"/>
      <c r="EF1081" s="16"/>
      <c r="EG1081" s="17"/>
      <c r="EH1081" s="17"/>
      <c r="EI1081" s="16"/>
      <c r="EJ1081" s="16"/>
      <c r="EK1081" s="17"/>
      <c r="EL1081" s="17"/>
      <c r="EM1081" s="16"/>
      <c r="EN1081" s="16"/>
      <c r="EO1081" s="17"/>
      <c r="EP1081" s="17"/>
      <c r="EQ1081" s="16"/>
      <c r="ER1081" s="16"/>
      <c r="ES1081" s="17"/>
      <c r="ET1081" s="17"/>
      <c r="EU1081" s="16"/>
      <c r="EV1081" s="16"/>
      <c r="EW1081" s="18">
        <v>2</v>
      </c>
      <c r="EX1081" s="18">
        <v>3</v>
      </c>
      <c r="EY1081" s="16"/>
      <c r="EZ1081" s="16"/>
      <c r="FA1081" s="17"/>
      <c r="FB1081" s="17"/>
      <c r="FC1081" s="16"/>
      <c r="FD1081" s="16"/>
      <c r="FE1081" s="17"/>
      <c r="FF1081" s="17"/>
      <c r="FG1081" s="11"/>
      <c r="GT1081" s="11"/>
      <c r="IG1081" s="11"/>
      <c r="JT1081" s="11"/>
      <c r="LG1081" s="11"/>
      <c r="MT1081" s="11"/>
      <c r="OG1081" s="11"/>
      <c r="PT1081" s="11"/>
    </row>
    <row r="1082" spans="1:436" ht="15.75" x14ac:dyDescent="0.25">
      <c r="C1082" s="20" t="s">
        <v>791</v>
      </c>
      <c r="D1082" s="21" t="s">
        <v>93</v>
      </c>
      <c r="H1082" s="11"/>
      <c r="AU1082" s="11"/>
      <c r="CH1082" s="11"/>
      <c r="CI1082" s="16"/>
      <c r="CJ1082" s="16"/>
      <c r="CK1082" s="16"/>
      <c r="CL1082" s="16"/>
      <c r="CM1082" s="16"/>
      <c r="CN1082" s="16"/>
      <c r="CO1082" s="16"/>
      <c r="CP1082" s="16"/>
      <c r="CQ1082" s="16"/>
      <c r="CR1082" s="16"/>
      <c r="CS1082" s="16"/>
      <c r="CT1082" s="16"/>
      <c r="CU1082" s="16"/>
      <c r="CV1082" s="16"/>
      <c r="CW1082" s="16"/>
      <c r="CX1082" s="16"/>
      <c r="CY1082" s="16"/>
      <c r="CZ1082" s="16"/>
      <c r="DA1082" s="16"/>
      <c r="DB1082" s="16"/>
      <c r="DC1082" s="16"/>
      <c r="DD1082" s="16"/>
      <c r="DE1082" s="17"/>
      <c r="DF1082" s="17"/>
      <c r="DG1082" s="16"/>
      <c r="DH1082" s="16"/>
      <c r="DI1082" s="17"/>
      <c r="DJ1082" s="17"/>
      <c r="DK1082" s="16"/>
      <c r="DL1082" s="16"/>
      <c r="DM1082" s="17"/>
      <c r="DN1082" s="17"/>
      <c r="DO1082" s="16"/>
      <c r="DP1082" s="16"/>
      <c r="DQ1082" s="17"/>
      <c r="DR1082" s="17"/>
      <c r="DS1082" s="16"/>
      <c r="DT1082" s="16"/>
      <c r="DU1082" s="17"/>
      <c r="DV1082" s="17"/>
      <c r="DW1082" s="16"/>
      <c r="DX1082" s="16"/>
      <c r="DY1082" s="17"/>
      <c r="DZ1082" s="17"/>
      <c r="EA1082" s="16"/>
      <c r="EB1082" s="16"/>
      <c r="EC1082" s="17"/>
      <c r="ED1082" s="17"/>
      <c r="EE1082" s="16"/>
      <c r="EF1082" s="16"/>
      <c r="EG1082" s="17"/>
      <c r="EH1082" s="17"/>
      <c r="EI1082" s="16"/>
      <c r="EJ1082" s="16"/>
      <c r="EK1082" s="17"/>
      <c r="EL1082" s="17"/>
      <c r="EM1082" s="16"/>
      <c r="EN1082" s="16"/>
      <c r="EO1082" s="17"/>
      <c r="EP1082" s="17"/>
      <c r="EQ1082" s="16"/>
      <c r="ER1082" s="16"/>
      <c r="ES1082" s="17"/>
      <c r="ET1082" s="17"/>
      <c r="EU1082" s="16"/>
      <c r="EV1082" s="16"/>
      <c r="EW1082" s="18">
        <v>1</v>
      </c>
      <c r="EX1082" s="18">
        <v>2</v>
      </c>
      <c r="EY1082" s="16"/>
      <c r="EZ1082" s="16"/>
      <c r="FA1082" s="17"/>
      <c r="FB1082" s="17"/>
      <c r="FC1082" s="16"/>
      <c r="FD1082" s="16"/>
      <c r="FE1082" s="17"/>
      <c r="FF1082" s="17"/>
      <c r="FG1082" s="11"/>
      <c r="GT1082" s="11"/>
      <c r="IG1082" s="11"/>
      <c r="JT1082" s="11"/>
      <c r="LG1082" s="11"/>
      <c r="MT1082" s="11"/>
      <c r="OG1082" s="11"/>
      <c r="PT1082" s="11"/>
    </row>
    <row r="1083" spans="1:436" ht="15.75" x14ac:dyDescent="0.25">
      <c r="C1083" s="20" t="s">
        <v>792</v>
      </c>
      <c r="D1083" s="21" t="s">
        <v>93</v>
      </c>
      <c r="H1083" s="11"/>
      <c r="AU1083" s="11"/>
      <c r="CH1083" s="11"/>
      <c r="CI1083" s="16"/>
      <c r="CJ1083" s="16"/>
      <c r="CK1083" s="16"/>
      <c r="CL1083" s="16"/>
      <c r="CM1083" s="16"/>
      <c r="CN1083" s="16"/>
      <c r="CO1083" s="16"/>
      <c r="CP1083" s="16"/>
      <c r="CQ1083" s="16"/>
      <c r="CR1083" s="16"/>
      <c r="CS1083" s="16"/>
      <c r="CT1083" s="16"/>
      <c r="CU1083" s="16"/>
      <c r="CV1083" s="16"/>
      <c r="CW1083" s="16"/>
      <c r="CX1083" s="16"/>
      <c r="CY1083" s="16"/>
      <c r="CZ1083" s="16"/>
      <c r="DA1083" s="16"/>
      <c r="DB1083" s="16"/>
      <c r="DC1083" s="16"/>
      <c r="DD1083" s="16"/>
      <c r="DE1083" s="17"/>
      <c r="DF1083" s="17"/>
      <c r="DG1083" s="16"/>
      <c r="DH1083" s="16"/>
      <c r="DI1083" s="17"/>
      <c r="DJ1083" s="17"/>
      <c r="DK1083" s="16"/>
      <c r="DL1083" s="16"/>
      <c r="DM1083" s="17"/>
      <c r="DN1083" s="17"/>
      <c r="DO1083" s="16"/>
      <c r="DP1083" s="16"/>
      <c r="DQ1083" s="17"/>
      <c r="DR1083" s="17"/>
      <c r="DS1083" s="16"/>
      <c r="DT1083" s="16"/>
      <c r="DU1083" s="17"/>
      <c r="DV1083" s="17"/>
      <c r="DW1083" s="16"/>
      <c r="DX1083" s="16"/>
      <c r="DY1083" s="17"/>
      <c r="DZ1083" s="17"/>
      <c r="EA1083" s="16"/>
      <c r="EB1083" s="16"/>
      <c r="EC1083" s="17"/>
      <c r="ED1083" s="17"/>
      <c r="EE1083" s="16"/>
      <c r="EF1083" s="16"/>
      <c r="EG1083" s="17"/>
      <c r="EH1083" s="17"/>
      <c r="EI1083" s="16"/>
      <c r="EJ1083" s="16"/>
      <c r="EK1083" s="17"/>
      <c r="EL1083" s="17"/>
      <c r="EM1083" s="16"/>
      <c r="EN1083" s="16"/>
      <c r="EO1083" s="17"/>
      <c r="EP1083" s="17"/>
      <c r="EQ1083" s="16"/>
      <c r="ER1083" s="16"/>
      <c r="ES1083" s="17"/>
      <c r="ET1083" s="17"/>
      <c r="EU1083" s="16"/>
      <c r="EV1083" s="16"/>
      <c r="EW1083" s="18">
        <v>1</v>
      </c>
      <c r="EX1083" s="18">
        <v>2</v>
      </c>
      <c r="EY1083" s="16"/>
      <c r="EZ1083" s="16"/>
      <c r="FA1083" s="17"/>
      <c r="FB1083" s="17"/>
      <c r="FC1083" s="16"/>
      <c r="FD1083" s="16"/>
      <c r="FE1083" s="17"/>
      <c r="FF1083" s="17"/>
      <c r="FG1083" s="11"/>
      <c r="GT1083" s="11"/>
      <c r="IG1083" s="11"/>
      <c r="JT1083" s="11"/>
      <c r="LG1083" s="11"/>
      <c r="MT1083" s="11"/>
      <c r="OG1083" s="11"/>
      <c r="PT1083" s="11"/>
    </row>
    <row r="1084" spans="1:436" ht="25.5" x14ac:dyDescent="0.25">
      <c r="C1084" s="20" t="s">
        <v>793</v>
      </c>
      <c r="D1084" s="21" t="s">
        <v>82</v>
      </c>
      <c r="H1084" s="11"/>
      <c r="AU1084" s="11"/>
      <c r="CH1084" s="11"/>
      <c r="CI1084" s="16"/>
      <c r="CJ1084" s="16"/>
      <c r="CK1084" s="16"/>
      <c r="CL1084" s="16"/>
      <c r="CM1084" s="16"/>
      <c r="CN1084" s="16"/>
      <c r="CO1084" s="16"/>
      <c r="CP1084" s="16"/>
      <c r="CQ1084" s="16"/>
      <c r="CR1084" s="16"/>
      <c r="CS1084" s="16"/>
      <c r="CT1084" s="16"/>
      <c r="CU1084" s="16"/>
      <c r="CV1084" s="16"/>
      <c r="CW1084" s="16"/>
      <c r="CX1084" s="16"/>
      <c r="CY1084" s="16"/>
      <c r="CZ1084" s="16"/>
      <c r="DA1084" s="16"/>
      <c r="DB1084" s="16"/>
      <c r="DC1084" s="16"/>
      <c r="DD1084" s="16"/>
      <c r="DE1084" s="17"/>
      <c r="DF1084" s="17"/>
      <c r="DG1084" s="16"/>
      <c r="DH1084" s="16"/>
      <c r="DI1084" s="17"/>
      <c r="DJ1084" s="17"/>
      <c r="DK1084" s="16"/>
      <c r="DL1084" s="16"/>
      <c r="DM1084" s="17"/>
      <c r="DN1084" s="17"/>
      <c r="DO1084" s="16"/>
      <c r="DP1084" s="16"/>
      <c r="DQ1084" s="17"/>
      <c r="DR1084" s="17"/>
      <c r="DS1084" s="16"/>
      <c r="DT1084" s="16"/>
      <c r="DU1084" s="17"/>
      <c r="DV1084" s="17"/>
      <c r="DW1084" s="16"/>
      <c r="DX1084" s="16"/>
      <c r="DY1084" s="17"/>
      <c r="DZ1084" s="17"/>
      <c r="EA1084" s="16"/>
      <c r="EB1084" s="16"/>
      <c r="EC1084" s="17"/>
      <c r="ED1084" s="17"/>
      <c r="EE1084" s="16"/>
      <c r="EF1084" s="16"/>
      <c r="EG1084" s="17"/>
      <c r="EH1084" s="17"/>
      <c r="EI1084" s="16"/>
      <c r="EJ1084" s="16"/>
      <c r="EK1084" s="17"/>
      <c r="EL1084" s="17"/>
      <c r="EM1084" s="16"/>
      <c r="EN1084" s="16"/>
      <c r="EO1084" s="17"/>
      <c r="EP1084" s="17"/>
      <c r="EQ1084" s="16"/>
      <c r="ER1084" s="16"/>
      <c r="ES1084" s="18">
        <v>2</v>
      </c>
      <c r="ET1084" s="18">
        <v>3</v>
      </c>
      <c r="EU1084" s="16"/>
      <c r="EV1084" s="16"/>
      <c r="EW1084" s="17"/>
      <c r="EX1084" s="17"/>
      <c r="EY1084" s="16"/>
      <c r="EZ1084" s="16"/>
      <c r="FA1084" s="17"/>
      <c r="FB1084" s="17"/>
      <c r="FC1084" s="16"/>
      <c r="FD1084" s="16"/>
      <c r="FE1084" s="17"/>
      <c r="FF1084" s="17"/>
      <c r="FG1084" s="11"/>
      <c r="GT1084" s="11"/>
      <c r="IG1084" s="11"/>
      <c r="JT1084" s="11"/>
      <c r="LG1084" s="11"/>
      <c r="MT1084" s="11"/>
      <c r="OG1084" s="11"/>
      <c r="PT1084" s="11"/>
    </row>
    <row r="1085" spans="1:436" ht="15.75" x14ac:dyDescent="0.25">
      <c r="C1085" s="20" t="s">
        <v>794</v>
      </c>
      <c r="D1085" s="21" t="s">
        <v>82</v>
      </c>
      <c r="H1085" s="11"/>
      <c r="AU1085" s="11"/>
      <c r="CH1085" s="11"/>
      <c r="CI1085" s="16"/>
      <c r="CJ1085" s="16"/>
      <c r="CK1085" s="16"/>
      <c r="CL1085" s="16"/>
      <c r="CM1085" s="16"/>
      <c r="CN1085" s="16"/>
      <c r="CO1085" s="16"/>
      <c r="CP1085" s="16"/>
      <c r="CQ1085" s="16"/>
      <c r="CR1085" s="16"/>
      <c r="CS1085" s="16"/>
      <c r="CT1085" s="16"/>
      <c r="CU1085" s="16"/>
      <c r="CV1085" s="16"/>
      <c r="CW1085" s="16"/>
      <c r="CX1085" s="16"/>
      <c r="CY1085" s="16"/>
      <c r="CZ1085" s="16"/>
      <c r="DA1085" s="16"/>
      <c r="DB1085" s="16"/>
      <c r="DC1085" s="16"/>
      <c r="DD1085" s="16"/>
      <c r="DE1085" s="17"/>
      <c r="DF1085" s="17"/>
      <c r="DG1085" s="16"/>
      <c r="DH1085" s="16"/>
      <c r="DI1085" s="17"/>
      <c r="DJ1085" s="17"/>
      <c r="DK1085" s="16"/>
      <c r="DL1085" s="16"/>
      <c r="DM1085" s="17"/>
      <c r="DN1085" s="17"/>
      <c r="DO1085" s="16"/>
      <c r="DP1085" s="16"/>
      <c r="DQ1085" s="17"/>
      <c r="DR1085" s="17"/>
      <c r="DS1085" s="16"/>
      <c r="DT1085" s="16"/>
      <c r="DU1085" s="17"/>
      <c r="DV1085" s="17"/>
      <c r="DW1085" s="16"/>
      <c r="DX1085" s="16"/>
      <c r="DY1085" s="17"/>
      <c r="DZ1085" s="17"/>
      <c r="EA1085" s="16"/>
      <c r="EB1085" s="16"/>
      <c r="EC1085" s="17"/>
      <c r="ED1085" s="17"/>
      <c r="EE1085" s="16"/>
      <c r="EF1085" s="16"/>
      <c r="EG1085" s="17"/>
      <c r="EH1085" s="17"/>
      <c r="EI1085" s="16"/>
      <c r="EJ1085" s="16"/>
      <c r="EK1085" s="17"/>
      <c r="EL1085" s="17"/>
      <c r="EM1085" s="16"/>
      <c r="EN1085" s="16"/>
      <c r="EO1085" s="17"/>
      <c r="EP1085" s="17"/>
      <c r="EQ1085" s="16"/>
      <c r="ER1085" s="16"/>
      <c r="ES1085" s="18">
        <v>1</v>
      </c>
      <c r="ET1085" s="18">
        <v>3</v>
      </c>
      <c r="EU1085" s="16"/>
      <c r="EV1085" s="16"/>
      <c r="EW1085" s="17"/>
      <c r="EX1085" s="17"/>
      <c r="EY1085" s="16"/>
      <c r="EZ1085" s="16"/>
      <c r="FA1085" s="17"/>
      <c r="FB1085" s="17"/>
      <c r="FC1085" s="16"/>
      <c r="FD1085" s="16"/>
      <c r="FE1085" s="17"/>
      <c r="FF1085" s="17"/>
      <c r="FG1085" s="11"/>
      <c r="GT1085" s="11"/>
      <c r="IG1085" s="11"/>
      <c r="JT1085" s="11"/>
      <c r="LG1085" s="11"/>
      <c r="MT1085" s="11"/>
      <c r="OG1085" s="11"/>
      <c r="PT1085" s="11"/>
    </row>
    <row r="1086" spans="1:436" ht="15.75" x14ac:dyDescent="0.25">
      <c r="C1086" s="20" t="s">
        <v>795</v>
      </c>
      <c r="D1086" s="21" t="s">
        <v>82</v>
      </c>
      <c r="H1086" s="11"/>
      <c r="AU1086" s="11"/>
      <c r="CH1086" s="11"/>
      <c r="CI1086" s="16"/>
      <c r="CJ1086" s="16"/>
      <c r="CK1086" s="16"/>
      <c r="CL1086" s="16"/>
      <c r="CM1086" s="16"/>
      <c r="CN1086" s="16"/>
      <c r="CO1086" s="16"/>
      <c r="CP1086" s="16"/>
      <c r="CQ1086" s="16"/>
      <c r="CR1086" s="16"/>
      <c r="CS1086" s="16"/>
      <c r="CT1086" s="16"/>
      <c r="CU1086" s="16"/>
      <c r="CV1086" s="16"/>
      <c r="CW1086" s="16"/>
      <c r="CX1086" s="16"/>
      <c r="CY1086" s="16"/>
      <c r="CZ1086" s="16"/>
      <c r="DA1086" s="16"/>
      <c r="DB1086" s="16"/>
      <c r="DC1086" s="16"/>
      <c r="DD1086" s="16"/>
      <c r="DE1086" s="17"/>
      <c r="DF1086" s="17"/>
      <c r="DG1086" s="16"/>
      <c r="DH1086" s="16"/>
      <c r="DI1086" s="17"/>
      <c r="DJ1086" s="17"/>
      <c r="DK1086" s="16"/>
      <c r="DL1086" s="16"/>
      <c r="DM1086" s="17"/>
      <c r="DN1086" s="17"/>
      <c r="DO1086" s="16"/>
      <c r="DP1086" s="16"/>
      <c r="DQ1086" s="17"/>
      <c r="DR1086" s="17"/>
      <c r="DS1086" s="16"/>
      <c r="DT1086" s="16"/>
      <c r="DU1086" s="17"/>
      <c r="DV1086" s="17"/>
      <c r="DW1086" s="16"/>
      <c r="DX1086" s="16"/>
      <c r="DY1086" s="17"/>
      <c r="DZ1086" s="17"/>
      <c r="EA1086" s="16"/>
      <c r="EB1086" s="16"/>
      <c r="EC1086" s="17"/>
      <c r="ED1086" s="17"/>
      <c r="EE1086" s="16"/>
      <c r="EF1086" s="16"/>
      <c r="EG1086" s="17"/>
      <c r="EH1086" s="17"/>
      <c r="EI1086" s="16"/>
      <c r="EJ1086" s="16"/>
      <c r="EK1086" s="17"/>
      <c r="EL1086" s="17"/>
      <c r="EM1086" s="16"/>
      <c r="EN1086" s="16"/>
      <c r="EO1086" s="17"/>
      <c r="EP1086" s="17"/>
      <c r="EQ1086" s="16"/>
      <c r="ER1086" s="16"/>
      <c r="ES1086" s="18">
        <v>2</v>
      </c>
      <c r="ET1086" s="18">
        <v>3</v>
      </c>
      <c r="EU1086" s="16"/>
      <c r="EV1086" s="16"/>
      <c r="EW1086" s="17"/>
      <c r="EX1086" s="17"/>
      <c r="EY1086" s="16"/>
      <c r="EZ1086" s="16"/>
      <c r="FA1086" s="17"/>
      <c r="FB1086" s="17"/>
      <c r="FC1086" s="16"/>
      <c r="FD1086" s="16"/>
      <c r="FE1086" s="17"/>
      <c r="FF1086" s="17"/>
      <c r="FG1086" s="11"/>
      <c r="GT1086" s="11"/>
      <c r="IG1086" s="11"/>
      <c r="JT1086" s="11"/>
      <c r="LG1086" s="11"/>
      <c r="MT1086" s="11"/>
      <c r="OG1086" s="11"/>
      <c r="PT1086" s="11"/>
    </row>
    <row r="1087" spans="1:436" ht="15.75" x14ac:dyDescent="0.25">
      <c r="A1087" s="13"/>
      <c r="B1087" s="14" t="s">
        <v>796</v>
      </c>
      <c r="C1087" s="13"/>
      <c r="D1087" s="13"/>
      <c r="E1087" s="15" t="s">
        <v>127</v>
      </c>
      <c r="F1087" s="15" t="s">
        <v>132</v>
      </c>
      <c r="G1087" s="13"/>
      <c r="H1087" s="11"/>
      <c r="AU1087" s="11"/>
      <c r="CH1087" s="11"/>
      <c r="CI1087" s="16"/>
      <c r="CJ1087" s="16"/>
      <c r="CK1087" s="16"/>
      <c r="CL1087" s="16"/>
      <c r="CM1087" s="16"/>
      <c r="CN1087" s="16"/>
      <c r="CO1087" s="16"/>
      <c r="CP1087" s="16"/>
      <c r="CQ1087" s="16"/>
      <c r="CR1087" s="16"/>
      <c r="CS1087" s="16"/>
      <c r="CT1087" s="16"/>
      <c r="CU1087" s="16"/>
      <c r="CV1087" s="16"/>
      <c r="CW1087" s="16"/>
      <c r="CX1087" s="16"/>
      <c r="CY1087" s="16"/>
      <c r="CZ1087" s="16"/>
      <c r="DA1087" s="16"/>
      <c r="DB1087" s="16"/>
      <c r="DC1087" s="16"/>
      <c r="DD1087" s="16"/>
      <c r="DE1087" s="17"/>
      <c r="DF1087" s="17"/>
      <c r="DG1087" s="16"/>
      <c r="DH1087" s="16"/>
      <c r="DI1087" s="17"/>
      <c r="DJ1087" s="18">
        <v>3</v>
      </c>
      <c r="DK1087" s="16"/>
      <c r="DL1087" s="16"/>
      <c r="DM1087" s="17"/>
      <c r="DN1087" s="17"/>
      <c r="DO1087" s="16"/>
      <c r="DP1087" s="16"/>
      <c r="DQ1087" s="17"/>
      <c r="DR1087" s="17"/>
      <c r="DS1087" s="16"/>
      <c r="DT1087" s="16"/>
      <c r="DU1087" s="17"/>
      <c r="DV1087" s="17"/>
      <c r="DW1087" s="16"/>
      <c r="DX1087" s="19">
        <v>10</v>
      </c>
      <c r="DY1087" s="17"/>
      <c r="DZ1087" s="17"/>
      <c r="EA1087" s="16"/>
      <c r="EB1087" s="16"/>
      <c r="EC1087" s="17"/>
      <c r="ED1087" s="17"/>
      <c r="EE1087" s="16"/>
      <c r="EF1087" s="16"/>
      <c r="EG1087" s="17"/>
      <c r="EH1087" s="17"/>
      <c r="EI1087" s="16"/>
      <c r="EJ1087" s="16"/>
      <c r="EK1087" s="17"/>
      <c r="EL1087" s="18">
        <v>30</v>
      </c>
      <c r="EM1087" s="16"/>
      <c r="EN1087" s="16"/>
      <c r="EO1087" s="17"/>
      <c r="EP1087" s="17"/>
      <c r="EQ1087" s="16"/>
      <c r="ER1087" s="16"/>
      <c r="ES1087" s="17"/>
      <c r="ET1087" s="18">
        <v>30</v>
      </c>
      <c r="EU1087" s="16"/>
      <c r="EV1087" s="16"/>
      <c r="EW1087" s="17"/>
      <c r="EX1087" s="17"/>
      <c r="EY1087" s="16"/>
      <c r="EZ1087" s="16"/>
      <c r="FA1087" s="17"/>
      <c r="FB1087" s="17"/>
      <c r="FC1087" s="16"/>
      <c r="FD1087" s="16"/>
      <c r="FE1087" s="17"/>
      <c r="FF1087" s="17"/>
      <c r="FG1087" s="11"/>
      <c r="GT1087" s="11"/>
      <c r="IG1087" s="11"/>
      <c r="JT1087" s="11"/>
      <c r="LG1087" s="11"/>
      <c r="MT1087" s="11"/>
      <c r="OG1087" s="11"/>
      <c r="PT1087" s="11"/>
    </row>
    <row r="1088" spans="1:436" ht="15.75" x14ac:dyDescent="0.25">
      <c r="C1088" s="20" t="s">
        <v>797</v>
      </c>
      <c r="D1088" s="21" t="s">
        <v>79</v>
      </c>
      <c r="H1088" s="11"/>
      <c r="AU1088" s="11"/>
      <c r="CH1088" s="11"/>
      <c r="CI1088" s="16"/>
      <c r="CJ1088" s="16"/>
      <c r="CK1088" s="16"/>
      <c r="CL1088" s="16"/>
      <c r="CM1088" s="16"/>
      <c r="CN1088" s="16"/>
      <c r="CO1088" s="16"/>
      <c r="CP1088" s="16"/>
      <c r="CQ1088" s="16"/>
      <c r="CR1088" s="16"/>
      <c r="CS1088" s="16"/>
      <c r="CT1088" s="16"/>
      <c r="CU1088" s="16"/>
      <c r="CV1088" s="16"/>
      <c r="CW1088" s="16"/>
      <c r="CX1088" s="16"/>
      <c r="CY1088" s="16"/>
      <c r="CZ1088" s="16"/>
      <c r="DA1088" s="16"/>
      <c r="DB1088" s="16"/>
      <c r="DC1088" s="16"/>
      <c r="DD1088" s="16"/>
      <c r="DE1088" s="17"/>
      <c r="DF1088" s="17"/>
      <c r="DG1088" s="16"/>
      <c r="DH1088" s="16"/>
      <c r="DI1088" s="17"/>
      <c r="DJ1088" s="18">
        <v>3</v>
      </c>
      <c r="DK1088" s="16"/>
      <c r="DL1088" s="16"/>
      <c r="DM1088" s="17"/>
      <c r="DN1088" s="17"/>
      <c r="DO1088" s="16"/>
      <c r="DP1088" s="16"/>
      <c r="DQ1088" s="17"/>
      <c r="DR1088" s="17"/>
      <c r="DS1088" s="16"/>
      <c r="DT1088" s="16"/>
      <c r="DU1088" s="17"/>
      <c r="DV1088" s="17"/>
      <c r="DW1088" s="16"/>
      <c r="DX1088" s="16"/>
      <c r="DY1088" s="17"/>
      <c r="DZ1088" s="17"/>
      <c r="EA1088" s="16"/>
      <c r="EB1088" s="16"/>
      <c r="EC1088" s="17"/>
      <c r="ED1088" s="17"/>
      <c r="EE1088" s="16"/>
      <c r="EF1088" s="16"/>
      <c r="EG1088" s="17"/>
      <c r="EH1088" s="17"/>
      <c r="EI1088" s="16"/>
      <c r="EJ1088" s="16"/>
      <c r="EK1088" s="17"/>
      <c r="EL1088" s="17"/>
      <c r="EM1088" s="16"/>
      <c r="EN1088" s="16"/>
      <c r="EO1088" s="17"/>
      <c r="EP1088" s="17"/>
      <c r="EQ1088" s="16"/>
      <c r="ER1088" s="16"/>
      <c r="ES1088" s="17"/>
      <c r="ET1088" s="17"/>
      <c r="EU1088" s="16"/>
      <c r="EV1088" s="16"/>
      <c r="EW1088" s="17"/>
      <c r="EX1088" s="17"/>
      <c r="EY1088" s="16"/>
      <c r="EZ1088" s="16"/>
      <c r="FA1088" s="17"/>
      <c r="FB1088" s="17"/>
      <c r="FC1088" s="16"/>
      <c r="FD1088" s="16"/>
      <c r="FE1088" s="17"/>
      <c r="FF1088" s="17"/>
      <c r="FG1088" s="11"/>
      <c r="GT1088" s="11"/>
      <c r="IG1088" s="11"/>
      <c r="JT1088" s="11"/>
      <c r="LG1088" s="11"/>
      <c r="MT1088" s="11"/>
      <c r="OG1088" s="11"/>
      <c r="PT1088" s="11"/>
    </row>
    <row r="1089" spans="3:436" ht="15.75" x14ac:dyDescent="0.25">
      <c r="C1089" s="20" t="s">
        <v>798</v>
      </c>
      <c r="D1089" s="21" t="s">
        <v>82</v>
      </c>
      <c r="H1089" s="11"/>
      <c r="AU1089" s="11"/>
      <c r="CH1089" s="11"/>
      <c r="CI1089" s="16"/>
      <c r="CJ1089" s="16"/>
      <c r="CK1089" s="16"/>
      <c r="CL1089" s="16"/>
      <c r="CM1089" s="16"/>
      <c r="CN1089" s="16"/>
      <c r="CO1089" s="16"/>
      <c r="CP1089" s="16"/>
      <c r="CQ1089" s="16"/>
      <c r="CR1089" s="16"/>
      <c r="CS1089" s="16"/>
      <c r="CT1089" s="16"/>
      <c r="CU1089" s="16"/>
      <c r="CV1089" s="16"/>
      <c r="CW1089" s="16"/>
      <c r="CX1089" s="16"/>
      <c r="CY1089" s="16"/>
      <c r="CZ1089" s="16"/>
      <c r="DA1089" s="16"/>
      <c r="DB1089" s="16"/>
      <c r="DC1089" s="16"/>
      <c r="DD1089" s="16"/>
      <c r="DE1089" s="17"/>
      <c r="DF1089" s="17"/>
      <c r="DG1089" s="16"/>
      <c r="DH1089" s="16"/>
      <c r="DI1089" s="17"/>
      <c r="DJ1089" s="17"/>
      <c r="DK1089" s="16"/>
      <c r="DL1089" s="16"/>
      <c r="DM1089" s="17"/>
      <c r="DN1089" s="17"/>
      <c r="DO1089" s="16"/>
      <c r="DP1089" s="16"/>
      <c r="DQ1089" s="17"/>
      <c r="DR1089" s="17"/>
      <c r="DS1089" s="16"/>
      <c r="DT1089" s="16"/>
      <c r="DU1089" s="17"/>
      <c r="DV1089" s="17"/>
      <c r="DW1089" s="16"/>
      <c r="DX1089" s="16"/>
      <c r="DY1089" s="17"/>
      <c r="DZ1089" s="17"/>
      <c r="EA1089" s="16"/>
      <c r="EB1089" s="16"/>
      <c r="EC1089" s="17"/>
      <c r="ED1089" s="17"/>
      <c r="EE1089" s="16"/>
      <c r="EF1089" s="16"/>
      <c r="EG1089" s="17"/>
      <c r="EH1089" s="17"/>
      <c r="EI1089" s="16"/>
      <c r="EJ1089" s="16"/>
      <c r="EK1089" s="17"/>
      <c r="EL1089" s="17"/>
      <c r="EM1089" s="16"/>
      <c r="EN1089" s="16"/>
      <c r="EO1089" s="17"/>
      <c r="EP1089" s="17"/>
      <c r="EQ1089" s="16"/>
      <c r="ER1089" s="16"/>
      <c r="ES1089" s="17"/>
      <c r="ET1089" s="17"/>
      <c r="EU1089" s="16"/>
      <c r="EV1089" s="16"/>
      <c r="EW1089" s="17"/>
      <c r="EX1089" s="17"/>
      <c r="EY1089" s="16"/>
      <c r="EZ1089" s="16"/>
      <c r="FA1089" s="17"/>
      <c r="FB1089" s="17"/>
      <c r="FC1089" s="16"/>
      <c r="FD1089" s="16"/>
      <c r="FE1089" s="17"/>
      <c r="FF1089" s="17"/>
      <c r="FG1089" s="11"/>
      <c r="GT1089" s="11"/>
      <c r="IG1089" s="11"/>
      <c r="JT1089" s="11"/>
      <c r="LG1089" s="11"/>
      <c r="MT1089" s="11"/>
      <c r="OG1089" s="11"/>
      <c r="PT1089" s="11"/>
    </row>
    <row r="1090" spans="3:436" ht="15.75" x14ac:dyDescent="0.25">
      <c r="C1090" s="20" t="s">
        <v>799</v>
      </c>
      <c r="D1090" s="21" t="s">
        <v>90</v>
      </c>
      <c r="H1090" s="11"/>
      <c r="AU1090" s="11"/>
      <c r="CH1090" s="11"/>
      <c r="CI1090" s="16"/>
      <c r="CJ1090" s="16"/>
      <c r="CK1090" s="16"/>
      <c r="CL1090" s="16"/>
      <c r="CM1090" s="16"/>
      <c r="CN1090" s="16"/>
      <c r="CO1090" s="16"/>
      <c r="CP1090" s="16"/>
      <c r="CQ1090" s="16"/>
      <c r="CR1090" s="16"/>
      <c r="CS1090" s="16"/>
      <c r="CT1090" s="16"/>
      <c r="CU1090" s="16"/>
      <c r="CV1090" s="16"/>
      <c r="CW1090" s="16"/>
      <c r="CX1090" s="16"/>
      <c r="CY1090" s="16"/>
      <c r="CZ1090" s="16"/>
      <c r="DA1090" s="16"/>
      <c r="DB1090" s="16"/>
      <c r="DC1090" s="16"/>
      <c r="DD1090" s="16"/>
      <c r="DE1090" s="17"/>
      <c r="DF1090" s="17"/>
      <c r="DG1090" s="16"/>
      <c r="DH1090" s="16"/>
      <c r="DI1090" s="17"/>
      <c r="DJ1090" s="17"/>
      <c r="DK1090" s="16"/>
      <c r="DL1090" s="16"/>
      <c r="DM1090" s="17"/>
      <c r="DN1090" s="17"/>
      <c r="DO1090" s="16"/>
      <c r="DP1090" s="16"/>
      <c r="DQ1090" s="17"/>
      <c r="DR1090" s="17"/>
      <c r="DS1090" s="16"/>
      <c r="DT1090" s="16"/>
      <c r="DU1090" s="17"/>
      <c r="DV1090" s="17"/>
      <c r="DW1090" s="16"/>
      <c r="DX1090" s="16"/>
      <c r="DY1090" s="17"/>
      <c r="DZ1090" s="17"/>
      <c r="EA1090" s="16"/>
      <c r="EB1090" s="16"/>
      <c r="EC1090" s="17"/>
      <c r="ED1090" s="17"/>
      <c r="EE1090" s="16"/>
      <c r="EF1090" s="16"/>
      <c r="EG1090" s="17"/>
      <c r="EH1090" s="17"/>
      <c r="EI1090" s="16"/>
      <c r="EJ1090" s="16"/>
      <c r="EK1090" s="17"/>
      <c r="EL1090" s="17"/>
      <c r="EM1090" s="16"/>
      <c r="EN1090" s="16"/>
      <c r="EO1090" s="17"/>
      <c r="EP1090" s="17"/>
      <c r="EQ1090" s="16"/>
      <c r="ER1090" s="16"/>
      <c r="ES1090" s="17"/>
      <c r="ET1090" s="17"/>
      <c r="EU1090" s="16"/>
      <c r="EV1090" s="16"/>
      <c r="EW1090" s="17"/>
      <c r="EX1090" s="17"/>
      <c r="EY1090" s="16"/>
      <c r="EZ1090" s="16"/>
      <c r="FA1090" s="17"/>
      <c r="FB1090" s="17"/>
      <c r="FC1090" s="16"/>
      <c r="FD1090" s="16"/>
      <c r="FE1090" s="17"/>
      <c r="FF1090" s="17"/>
      <c r="FG1090" s="11"/>
      <c r="GT1090" s="11"/>
      <c r="IG1090" s="11"/>
      <c r="JT1090" s="11"/>
      <c r="LG1090" s="11"/>
      <c r="MT1090" s="11"/>
      <c r="OG1090" s="11"/>
      <c r="PT1090" s="11"/>
    </row>
    <row r="1091" spans="3:436" ht="15.75" x14ac:dyDescent="0.25">
      <c r="C1091" s="20" t="s">
        <v>798</v>
      </c>
      <c r="D1091" s="21" t="s">
        <v>82</v>
      </c>
      <c r="H1091" s="11"/>
      <c r="AU1091" s="11"/>
      <c r="CH1091" s="11"/>
      <c r="CI1091" s="16"/>
      <c r="CJ1091" s="16"/>
      <c r="CK1091" s="16"/>
      <c r="CL1091" s="16"/>
      <c r="CM1091" s="16"/>
      <c r="CN1091" s="16"/>
      <c r="CO1091" s="16"/>
      <c r="CP1091" s="16"/>
      <c r="CQ1091" s="16"/>
      <c r="CR1091" s="16"/>
      <c r="CS1091" s="16"/>
      <c r="CT1091" s="16"/>
      <c r="CU1091" s="16"/>
      <c r="CV1091" s="16"/>
      <c r="CW1091" s="16"/>
      <c r="CX1091" s="16"/>
      <c r="CY1091" s="16"/>
      <c r="CZ1091" s="16"/>
      <c r="DA1091" s="16"/>
      <c r="DB1091" s="16"/>
      <c r="DC1091" s="16"/>
      <c r="DD1091" s="16"/>
      <c r="DE1091" s="17"/>
      <c r="DF1091" s="17"/>
      <c r="DG1091" s="16"/>
      <c r="DH1091" s="16"/>
      <c r="DI1091" s="17"/>
      <c r="DJ1091" s="17"/>
      <c r="DK1091" s="16"/>
      <c r="DL1091" s="16"/>
      <c r="DM1091" s="17"/>
      <c r="DN1091" s="17"/>
      <c r="DO1091" s="16"/>
      <c r="DP1091" s="16"/>
      <c r="DQ1091" s="17"/>
      <c r="DR1091" s="17"/>
      <c r="DS1091" s="16"/>
      <c r="DT1091" s="16"/>
      <c r="DU1091" s="17"/>
      <c r="DV1091" s="17"/>
      <c r="DW1091" s="16"/>
      <c r="DX1091" s="16"/>
      <c r="DY1091" s="17"/>
      <c r="DZ1091" s="17"/>
      <c r="EA1091" s="16"/>
      <c r="EB1091" s="16"/>
      <c r="EC1091" s="17"/>
      <c r="ED1091" s="17"/>
      <c r="EE1091" s="16"/>
      <c r="EF1091" s="16"/>
      <c r="EG1091" s="17"/>
      <c r="EH1091" s="17"/>
      <c r="EI1091" s="16"/>
      <c r="EJ1091" s="16"/>
      <c r="EK1091" s="17"/>
      <c r="EL1091" s="17"/>
      <c r="EM1091" s="16"/>
      <c r="EN1091" s="16"/>
      <c r="EO1091" s="17"/>
      <c r="EP1091" s="17"/>
      <c r="EQ1091" s="16"/>
      <c r="ER1091" s="16"/>
      <c r="ES1091" s="17"/>
      <c r="ET1091" s="17"/>
      <c r="EU1091" s="16"/>
      <c r="EV1091" s="16"/>
      <c r="EW1091" s="17"/>
      <c r="EX1091" s="17"/>
      <c r="EY1091" s="16"/>
      <c r="EZ1091" s="16"/>
      <c r="FA1091" s="17"/>
      <c r="FB1091" s="17"/>
      <c r="FC1091" s="16"/>
      <c r="FD1091" s="16"/>
      <c r="FE1091" s="17"/>
      <c r="FF1091" s="17"/>
      <c r="FG1091" s="11"/>
      <c r="GT1091" s="11"/>
      <c r="IG1091" s="11"/>
      <c r="JT1091" s="11"/>
      <c r="LG1091" s="11"/>
      <c r="MT1091" s="11"/>
      <c r="OG1091" s="11"/>
      <c r="PT1091" s="11"/>
    </row>
    <row r="1092" spans="3:436" ht="25.5" x14ac:dyDescent="0.25">
      <c r="C1092" s="20" t="s">
        <v>800</v>
      </c>
      <c r="D1092" s="21" t="s">
        <v>93</v>
      </c>
      <c r="H1092" s="11"/>
      <c r="AU1092" s="11"/>
      <c r="CH1092" s="11"/>
      <c r="CI1092" s="16"/>
      <c r="CJ1092" s="16"/>
      <c r="CK1092" s="16"/>
      <c r="CL1092" s="16"/>
      <c r="CM1092" s="16"/>
      <c r="CN1092" s="16"/>
      <c r="CO1092" s="16"/>
      <c r="CP1092" s="16"/>
      <c r="CQ1092" s="16"/>
      <c r="CR1092" s="16"/>
      <c r="CS1092" s="16"/>
      <c r="CT1092" s="16"/>
      <c r="CU1092" s="16"/>
      <c r="CV1092" s="16"/>
      <c r="CW1092" s="16"/>
      <c r="CX1092" s="16"/>
      <c r="CY1092" s="16"/>
      <c r="CZ1092" s="16"/>
      <c r="DA1092" s="16"/>
      <c r="DB1092" s="16"/>
      <c r="DC1092" s="16"/>
      <c r="DD1092" s="16"/>
      <c r="DE1092" s="17"/>
      <c r="DF1092" s="17"/>
      <c r="DG1092" s="16"/>
      <c r="DH1092" s="16"/>
      <c r="DI1092" s="17"/>
      <c r="DJ1092" s="17"/>
      <c r="DK1092" s="16"/>
      <c r="DL1092" s="16"/>
      <c r="DM1092" s="17"/>
      <c r="DN1092" s="17"/>
      <c r="DO1092" s="16"/>
      <c r="DP1092" s="16"/>
      <c r="DQ1092" s="17"/>
      <c r="DR1092" s="17"/>
      <c r="DS1092" s="16"/>
      <c r="DT1092" s="16"/>
      <c r="DU1092" s="17"/>
      <c r="DV1092" s="17"/>
      <c r="DW1092" s="16"/>
      <c r="DX1092" s="16"/>
      <c r="DY1092" s="17"/>
      <c r="DZ1092" s="17"/>
      <c r="EA1092" s="16"/>
      <c r="EB1092" s="16"/>
      <c r="EC1092" s="17"/>
      <c r="ED1092" s="17"/>
      <c r="EE1092" s="16"/>
      <c r="EF1092" s="16"/>
      <c r="EG1092" s="17"/>
      <c r="EH1092" s="17"/>
      <c r="EI1092" s="16"/>
      <c r="EJ1092" s="16"/>
      <c r="EK1092" s="17"/>
      <c r="EL1092" s="17"/>
      <c r="EM1092" s="16"/>
      <c r="EN1092" s="16"/>
      <c r="EO1092" s="17"/>
      <c r="EP1092" s="17"/>
      <c r="EQ1092" s="16"/>
      <c r="ER1092" s="16"/>
      <c r="ES1092" s="17"/>
      <c r="ET1092" s="17"/>
      <c r="EU1092" s="16"/>
      <c r="EV1092" s="16"/>
      <c r="EW1092" s="18">
        <v>2</v>
      </c>
      <c r="EX1092" s="18">
        <v>3</v>
      </c>
      <c r="EY1092" s="16"/>
      <c r="EZ1092" s="16"/>
      <c r="FA1092" s="17"/>
      <c r="FB1092" s="17"/>
      <c r="FC1092" s="16"/>
      <c r="FD1092" s="16"/>
      <c r="FE1092" s="17"/>
      <c r="FF1092" s="17"/>
      <c r="FG1092" s="11"/>
      <c r="GT1092" s="11"/>
      <c r="IG1092" s="11"/>
      <c r="JT1092" s="11"/>
      <c r="LG1092" s="11"/>
      <c r="MT1092" s="11"/>
      <c r="OG1092" s="11"/>
      <c r="PT1092" s="11"/>
    </row>
    <row r="1093" spans="3:436" ht="25.5" x14ac:dyDescent="0.25">
      <c r="C1093" s="20" t="s">
        <v>801</v>
      </c>
      <c r="D1093" s="21" t="s">
        <v>93</v>
      </c>
      <c r="H1093" s="11"/>
      <c r="AU1093" s="11"/>
      <c r="CH1093" s="11"/>
      <c r="CI1093" s="16"/>
      <c r="CJ1093" s="16"/>
      <c r="CK1093" s="16"/>
      <c r="CL1093" s="16"/>
      <c r="CM1093" s="16"/>
      <c r="CN1093" s="16"/>
      <c r="CO1093" s="16"/>
      <c r="CP1093" s="16"/>
      <c r="CQ1093" s="16"/>
      <c r="CR1093" s="16"/>
      <c r="CS1093" s="16"/>
      <c r="CT1093" s="16"/>
      <c r="CU1093" s="16"/>
      <c r="CV1093" s="16"/>
      <c r="CW1093" s="16"/>
      <c r="CX1093" s="16"/>
      <c r="CY1093" s="16"/>
      <c r="CZ1093" s="16"/>
      <c r="DA1093" s="16"/>
      <c r="DB1093" s="16"/>
      <c r="DC1093" s="16"/>
      <c r="DD1093" s="16"/>
      <c r="DE1093" s="17"/>
      <c r="DF1093" s="17"/>
      <c r="DG1093" s="16"/>
      <c r="DH1093" s="16"/>
      <c r="DI1093" s="17"/>
      <c r="DJ1093" s="17"/>
      <c r="DK1093" s="16"/>
      <c r="DL1093" s="16"/>
      <c r="DM1093" s="17"/>
      <c r="DN1093" s="17"/>
      <c r="DO1093" s="16"/>
      <c r="DP1093" s="16"/>
      <c r="DQ1093" s="17"/>
      <c r="DR1093" s="17"/>
      <c r="DS1093" s="16"/>
      <c r="DT1093" s="16"/>
      <c r="DU1093" s="17"/>
      <c r="DV1093" s="17"/>
      <c r="DW1093" s="16"/>
      <c r="DX1093" s="16"/>
      <c r="DY1093" s="17"/>
      <c r="DZ1093" s="17"/>
      <c r="EA1093" s="16"/>
      <c r="EB1093" s="16"/>
      <c r="EC1093" s="17"/>
      <c r="ED1093" s="17"/>
      <c r="EE1093" s="16"/>
      <c r="EF1093" s="16"/>
      <c r="EG1093" s="17"/>
      <c r="EH1093" s="17"/>
      <c r="EI1093" s="16"/>
      <c r="EJ1093" s="16"/>
      <c r="EK1093" s="17"/>
      <c r="EL1093" s="17"/>
      <c r="EM1093" s="16"/>
      <c r="EN1093" s="16"/>
      <c r="EO1093" s="17"/>
      <c r="EP1093" s="17"/>
      <c r="EQ1093" s="16"/>
      <c r="ER1093" s="16"/>
      <c r="ES1093" s="17"/>
      <c r="ET1093" s="17"/>
      <c r="EU1093" s="16"/>
      <c r="EV1093" s="16"/>
      <c r="EW1093" s="18">
        <v>2</v>
      </c>
      <c r="EX1093" s="18">
        <v>3</v>
      </c>
      <c r="EY1093" s="16"/>
      <c r="EZ1093" s="16"/>
      <c r="FA1093" s="17"/>
      <c r="FB1093" s="17"/>
      <c r="FC1093" s="16"/>
      <c r="FD1093" s="16"/>
      <c r="FE1093" s="17"/>
      <c r="FF1093" s="17"/>
      <c r="FG1093" s="11"/>
      <c r="GT1093" s="11"/>
      <c r="IG1093" s="11"/>
      <c r="JT1093" s="11"/>
      <c r="LG1093" s="11"/>
      <c r="MT1093" s="11"/>
      <c r="OG1093" s="11"/>
      <c r="PT1093" s="11"/>
    </row>
    <row r="1094" spans="3:436" ht="25.5" x14ac:dyDescent="0.25">
      <c r="C1094" s="20" t="s">
        <v>802</v>
      </c>
      <c r="D1094" s="21" t="s">
        <v>93</v>
      </c>
      <c r="H1094" s="11"/>
      <c r="AU1094" s="11"/>
      <c r="CH1094" s="11"/>
      <c r="CI1094" s="16"/>
      <c r="CJ1094" s="16"/>
      <c r="CK1094" s="16"/>
      <c r="CL1094" s="16"/>
      <c r="CM1094" s="16"/>
      <c r="CN1094" s="16"/>
      <c r="CO1094" s="16"/>
      <c r="CP1094" s="16"/>
      <c r="CQ1094" s="16"/>
      <c r="CR1094" s="16"/>
      <c r="CS1094" s="16"/>
      <c r="CT1094" s="16"/>
      <c r="CU1094" s="16"/>
      <c r="CV1094" s="16"/>
      <c r="CW1094" s="16"/>
      <c r="CX1094" s="16"/>
      <c r="CY1094" s="16"/>
      <c r="CZ1094" s="16"/>
      <c r="DA1094" s="16"/>
      <c r="DB1094" s="16"/>
      <c r="DC1094" s="16"/>
      <c r="DD1094" s="16"/>
      <c r="DE1094" s="17"/>
      <c r="DF1094" s="17"/>
      <c r="DG1094" s="16"/>
      <c r="DH1094" s="16"/>
      <c r="DI1094" s="17"/>
      <c r="DJ1094" s="17"/>
      <c r="DK1094" s="16"/>
      <c r="DL1094" s="16"/>
      <c r="DM1094" s="17"/>
      <c r="DN1094" s="17"/>
      <c r="DO1094" s="16"/>
      <c r="DP1094" s="16"/>
      <c r="DQ1094" s="17"/>
      <c r="DR1094" s="17"/>
      <c r="DS1094" s="16"/>
      <c r="DT1094" s="16"/>
      <c r="DU1094" s="17"/>
      <c r="DV1094" s="17"/>
      <c r="DW1094" s="16"/>
      <c r="DX1094" s="16"/>
      <c r="DY1094" s="17"/>
      <c r="DZ1094" s="17"/>
      <c r="EA1094" s="16"/>
      <c r="EB1094" s="16"/>
      <c r="EC1094" s="17"/>
      <c r="ED1094" s="17"/>
      <c r="EE1094" s="16"/>
      <c r="EF1094" s="16"/>
      <c r="EG1094" s="17"/>
      <c r="EH1094" s="17"/>
      <c r="EI1094" s="16"/>
      <c r="EJ1094" s="16"/>
      <c r="EK1094" s="17"/>
      <c r="EL1094" s="17"/>
      <c r="EM1094" s="16"/>
      <c r="EN1094" s="16"/>
      <c r="EO1094" s="17"/>
      <c r="EP1094" s="17"/>
      <c r="EQ1094" s="16"/>
      <c r="ER1094" s="16"/>
      <c r="ES1094" s="17"/>
      <c r="ET1094" s="17"/>
      <c r="EU1094" s="16"/>
      <c r="EV1094" s="16"/>
      <c r="EW1094" s="18">
        <v>2</v>
      </c>
      <c r="EX1094" s="18">
        <v>3</v>
      </c>
      <c r="EY1094" s="16"/>
      <c r="EZ1094" s="16"/>
      <c r="FA1094" s="17"/>
      <c r="FB1094" s="17"/>
      <c r="FC1094" s="16"/>
      <c r="FD1094" s="16"/>
      <c r="FE1094" s="17"/>
      <c r="FF1094" s="17"/>
      <c r="FG1094" s="11"/>
      <c r="GT1094" s="11"/>
      <c r="IG1094" s="11"/>
      <c r="JT1094" s="11"/>
      <c r="LG1094" s="11"/>
      <c r="MT1094" s="11"/>
      <c r="OG1094" s="11"/>
      <c r="PT1094" s="11"/>
    </row>
    <row r="1095" spans="3:436" ht="25.5" x14ac:dyDescent="0.25">
      <c r="C1095" s="20" t="s">
        <v>803</v>
      </c>
      <c r="D1095" s="21" t="s">
        <v>93</v>
      </c>
      <c r="H1095" s="11"/>
      <c r="AU1095" s="11"/>
      <c r="CH1095" s="11"/>
      <c r="CI1095" s="16"/>
      <c r="CJ1095" s="16"/>
      <c r="CK1095" s="16"/>
      <c r="CL1095" s="16"/>
      <c r="CM1095" s="16"/>
      <c r="CN1095" s="16"/>
      <c r="CO1095" s="16"/>
      <c r="CP1095" s="16"/>
      <c r="CQ1095" s="16"/>
      <c r="CR1095" s="16"/>
      <c r="CS1095" s="16"/>
      <c r="CT1095" s="16"/>
      <c r="CU1095" s="16"/>
      <c r="CV1095" s="16"/>
      <c r="CW1095" s="16"/>
      <c r="CX1095" s="16"/>
      <c r="CY1095" s="16"/>
      <c r="CZ1095" s="16"/>
      <c r="DA1095" s="16"/>
      <c r="DB1095" s="16"/>
      <c r="DC1095" s="16"/>
      <c r="DD1095" s="16"/>
      <c r="DE1095" s="17"/>
      <c r="DF1095" s="17"/>
      <c r="DG1095" s="16"/>
      <c r="DH1095" s="16"/>
      <c r="DI1095" s="17"/>
      <c r="DJ1095" s="17"/>
      <c r="DK1095" s="16"/>
      <c r="DL1095" s="16"/>
      <c r="DM1095" s="17"/>
      <c r="DN1095" s="17"/>
      <c r="DO1095" s="16"/>
      <c r="DP1095" s="16"/>
      <c r="DQ1095" s="17"/>
      <c r="DR1095" s="17"/>
      <c r="DS1095" s="16"/>
      <c r="DT1095" s="16"/>
      <c r="DU1095" s="17"/>
      <c r="DV1095" s="17"/>
      <c r="DW1095" s="16"/>
      <c r="DX1095" s="16"/>
      <c r="DY1095" s="17"/>
      <c r="DZ1095" s="17"/>
      <c r="EA1095" s="16"/>
      <c r="EB1095" s="16"/>
      <c r="EC1095" s="17"/>
      <c r="ED1095" s="17"/>
      <c r="EE1095" s="16"/>
      <c r="EF1095" s="16"/>
      <c r="EG1095" s="17"/>
      <c r="EH1095" s="17"/>
      <c r="EI1095" s="16"/>
      <c r="EJ1095" s="16"/>
      <c r="EK1095" s="17"/>
      <c r="EL1095" s="17"/>
      <c r="EM1095" s="16"/>
      <c r="EN1095" s="16"/>
      <c r="EO1095" s="17"/>
      <c r="EP1095" s="17"/>
      <c r="EQ1095" s="16"/>
      <c r="ER1095" s="16"/>
      <c r="ES1095" s="17"/>
      <c r="ET1095" s="17"/>
      <c r="EU1095" s="16"/>
      <c r="EV1095" s="16"/>
      <c r="EW1095" s="18">
        <v>3</v>
      </c>
      <c r="EX1095" s="18">
        <v>4</v>
      </c>
      <c r="EY1095" s="16"/>
      <c r="EZ1095" s="16"/>
      <c r="FA1095" s="17"/>
      <c r="FB1095" s="17"/>
      <c r="FC1095" s="16"/>
      <c r="FD1095" s="16"/>
      <c r="FE1095" s="17"/>
      <c r="FF1095" s="17"/>
      <c r="FG1095" s="11"/>
      <c r="GT1095" s="11"/>
      <c r="IG1095" s="11"/>
      <c r="JT1095" s="11"/>
      <c r="LG1095" s="11"/>
      <c r="MT1095" s="11"/>
      <c r="OG1095" s="11"/>
      <c r="PT1095" s="11"/>
    </row>
    <row r="1096" spans="3:436" ht="15.75" x14ac:dyDescent="0.25">
      <c r="C1096" s="20" t="s">
        <v>804</v>
      </c>
      <c r="D1096" s="21" t="s">
        <v>82</v>
      </c>
      <c r="H1096" s="11"/>
      <c r="AU1096" s="11"/>
      <c r="CH1096" s="11"/>
      <c r="CI1096" s="16"/>
      <c r="CJ1096" s="16"/>
      <c r="CK1096" s="16"/>
      <c r="CL1096" s="16"/>
      <c r="CM1096" s="16"/>
      <c r="CN1096" s="16"/>
      <c r="CO1096" s="16"/>
      <c r="CP1096" s="16"/>
      <c r="CQ1096" s="16"/>
      <c r="CR1096" s="16"/>
      <c r="CS1096" s="16"/>
      <c r="CT1096" s="16"/>
      <c r="CU1096" s="16"/>
      <c r="CV1096" s="16"/>
      <c r="CW1096" s="16"/>
      <c r="CX1096" s="16"/>
      <c r="CY1096" s="16"/>
      <c r="CZ1096" s="16"/>
      <c r="DA1096" s="16"/>
      <c r="DB1096" s="16"/>
      <c r="DC1096" s="16"/>
      <c r="DD1096" s="16"/>
      <c r="DE1096" s="17"/>
      <c r="DF1096" s="17"/>
      <c r="DG1096" s="16"/>
      <c r="DH1096" s="16"/>
      <c r="DI1096" s="17"/>
      <c r="DJ1096" s="17"/>
      <c r="DK1096" s="16"/>
      <c r="DL1096" s="16"/>
      <c r="DM1096" s="17"/>
      <c r="DN1096" s="17"/>
      <c r="DO1096" s="16"/>
      <c r="DP1096" s="16"/>
      <c r="DQ1096" s="17"/>
      <c r="DR1096" s="17"/>
      <c r="DS1096" s="16"/>
      <c r="DT1096" s="16"/>
      <c r="DU1096" s="17"/>
      <c r="DV1096" s="17"/>
      <c r="DW1096" s="16"/>
      <c r="DX1096" s="16"/>
      <c r="DY1096" s="17"/>
      <c r="DZ1096" s="17"/>
      <c r="EA1096" s="16"/>
      <c r="EB1096" s="16"/>
      <c r="EC1096" s="17"/>
      <c r="ED1096" s="17"/>
      <c r="EE1096" s="16"/>
      <c r="EF1096" s="16"/>
      <c r="EG1096" s="17"/>
      <c r="EH1096" s="17"/>
      <c r="EI1096" s="16"/>
      <c r="EJ1096" s="16"/>
      <c r="EK1096" s="17"/>
      <c r="EL1096" s="17"/>
      <c r="EM1096" s="16"/>
      <c r="EN1096" s="16"/>
      <c r="EO1096" s="17"/>
      <c r="EP1096" s="17"/>
      <c r="EQ1096" s="16"/>
      <c r="ER1096" s="16"/>
      <c r="ES1096" s="18">
        <v>1</v>
      </c>
      <c r="ET1096" s="18">
        <v>2</v>
      </c>
      <c r="EU1096" s="16"/>
      <c r="EV1096" s="16"/>
      <c r="EW1096" s="17"/>
      <c r="EX1096" s="17"/>
      <c r="EY1096" s="16"/>
      <c r="EZ1096" s="16"/>
      <c r="FA1096" s="17"/>
      <c r="FB1096" s="17"/>
      <c r="FC1096" s="16"/>
      <c r="FD1096" s="16"/>
      <c r="FE1096" s="17"/>
      <c r="FF1096" s="17"/>
      <c r="FG1096" s="11"/>
      <c r="GT1096" s="11"/>
      <c r="IG1096" s="11"/>
      <c r="JT1096" s="11"/>
      <c r="LG1096" s="11"/>
      <c r="MT1096" s="11"/>
      <c r="OG1096" s="11"/>
      <c r="PT1096" s="11"/>
    </row>
    <row r="1097" spans="3:436" ht="15.75" x14ac:dyDescent="0.25">
      <c r="C1097" s="20" t="s">
        <v>805</v>
      </c>
      <c r="D1097" s="21" t="s">
        <v>82</v>
      </c>
      <c r="H1097" s="11"/>
      <c r="AU1097" s="11"/>
      <c r="CH1097" s="11"/>
      <c r="CI1097" s="16"/>
      <c r="CJ1097" s="16"/>
      <c r="CK1097" s="16"/>
      <c r="CL1097" s="16"/>
      <c r="CM1097" s="16"/>
      <c r="CN1097" s="16"/>
      <c r="CO1097" s="16"/>
      <c r="CP1097" s="16"/>
      <c r="CQ1097" s="16"/>
      <c r="CR1097" s="16"/>
      <c r="CS1097" s="16"/>
      <c r="CT1097" s="16"/>
      <c r="CU1097" s="16"/>
      <c r="CV1097" s="16"/>
      <c r="CW1097" s="16"/>
      <c r="CX1097" s="16"/>
      <c r="CY1097" s="16"/>
      <c r="CZ1097" s="16"/>
      <c r="DA1097" s="16"/>
      <c r="DB1097" s="16"/>
      <c r="DC1097" s="16"/>
      <c r="DD1097" s="16"/>
      <c r="DE1097" s="17"/>
      <c r="DF1097" s="17"/>
      <c r="DG1097" s="16"/>
      <c r="DH1097" s="16"/>
      <c r="DI1097" s="17"/>
      <c r="DJ1097" s="17"/>
      <c r="DK1097" s="16"/>
      <c r="DL1097" s="16"/>
      <c r="DM1097" s="17"/>
      <c r="DN1097" s="17"/>
      <c r="DO1097" s="16"/>
      <c r="DP1097" s="16"/>
      <c r="DQ1097" s="17"/>
      <c r="DR1097" s="17"/>
      <c r="DS1097" s="16"/>
      <c r="DT1097" s="16"/>
      <c r="DU1097" s="17"/>
      <c r="DV1097" s="17"/>
      <c r="DW1097" s="16"/>
      <c r="DX1097" s="16"/>
      <c r="DY1097" s="17"/>
      <c r="DZ1097" s="17"/>
      <c r="EA1097" s="16"/>
      <c r="EB1097" s="16"/>
      <c r="EC1097" s="17"/>
      <c r="ED1097" s="17"/>
      <c r="EE1097" s="16"/>
      <c r="EF1097" s="16"/>
      <c r="EG1097" s="17"/>
      <c r="EH1097" s="17"/>
      <c r="EI1097" s="16"/>
      <c r="EJ1097" s="16"/>
      <c r="EK1097" s="17"/>
      <c r="EL1097" s="17"/>
      <c r="EM1097" s="16"/>
      <c r="EN1097" s="16"/>
      <c r="EO1097" s="17"/>
      <c r="EP1097" s="17"/>
      <c r="EQ1097" s="16"/>
      <c r="ER1097" s="16"/>
      <c r="ES1097" s="18">
        <v>2</v>
      </c>
      <c r="ET1097" s="18">
        <v>3</v>
      </c>
      <c r="EU1097" s="16"/>
      <c r="EV1097" s="16"/>
      <c r="EW1097" s="17"/>
      <c r="EX1097" s="17"/>
      <c r="EY1097" s="16"/>
      <c r="EZ1097" s="16"/>
      <c r="FA1097" s="17"/>
      <c r="FB1097" s="17"/>
      <c r="FC1097" s="16"/>
      <c r="FD1097" s="16"/>
      <c r="FE1097" s="17"/>
      <c r="FF1097" s="17"/>
      <c r="FG1097" s="11"/>
      <c r="GT1097" s="11"/>
      <c r="IG1097" s="11"/>
      <c r="JT1097" s="11"/>
      <c r="LG1097" s="11"/>
      <c r="MT1097" s="11"/>
      <c r="OG1097" s="11"/>
      <c r="PT1097" s="11"/>
    </row>
    <row r="1098" spans="3:436" ht="15.75" x14ac:dyDescent="0.25">
      <c r="C1098" s="20" t="s">
        <v>806</v>
      </c>
      <c r="D1098" s="21" t="s">
        <v>82</v>
      </c>
      <c r="H1098" s="11"/>
      <c r="AU1098" s="11"/>
      <c r="CH1098" s="11"/>
      <c r="CI1098" s="16"/>
      <c r="CJ1098" s="16"/>
      <c r="CK1098" s="16"/>
      <c r="CL1098" s="16"/>
      <c r="CM1098" s="16"/>
      <c r="CN1098" s="16"/>
      <c r="CO1098" s="16"/>
      <c r="CP1098" s="16"/>
      <c r="CQ1098" s="16"/>
      <c r="CR1098" s="16"/>
      <c r="CS1098" s="16"/>
      <c r="CT1098" s="16"/>
      <c r="CU1098" s="16"/>
      <c r="CV1098" s="16"/>
      <c r="CW1098" s="16"/>
      <c r="CX1098" s="16"/>
      <c r="CY1098" s="16"/>
      <c r="CZ1098" s="16"/>
      <c r="DA1098" s="16"/>
      <c r="DB1098" s="16"/>
      <c r="DC1098" s="16"/>
      <c r="DD1098" s="16"/>
      <c r="DE1098" s="17"/>
      <c r="DF1098" s="17"/>
      <c r="DG1098" s="16"/>
      <c r="DH1098" s="16"/>
      <c r="DI1098" s="17"/>
      <c r="DJ1098" s="17"/>
      <c r="DK1098" s="16"/>
      <c r="DL1098" s="16"/>
      <c r="DM1098" s="17"/>
      <c r="DN1098" s="17"/>
      <c r="DO1098" s="16"/>
      <c r="DP1098" s="16"/>
      <c r="DQ1098" s="17"/>
      <c r="DR1098" s="17"/>
      <c r="DS1098" s="16"/>
      <c r="DT1098" s="16"/>
      <c r="DU1098" s="17"/>
      <c r="DV1098" s="17"/>
      <c r="DW1098" s="16"/>
      <c r="DX1098" s="16"/>
      <c r="DY1098" s="17"/>
      <c r="DZ1098" s="17"/>
      <c r="EA1098" s="16"/>
      <c r="EB1098" s="16"/>
      <c r="EC1098" s="17"/>
      <c r="ED1098" s="17"/>
      <c r="EE1098" s="16"/>
      <c r="EF1098" s="16"/>
      <c r="EG1098" s="17"/>
      <c r="EH1098" s="17"/>
      <c r="EI1098" s="16"/>
      <c r="EJ1098" s="16"/>
      <c r="EK1098" s="17"/>
      <c r="EL1098" s="17"/>
      <c r="EM1098" s="16"/>
      <c r="EN1098" s="16"/>
      <c r="EO1098" s="17"/>
      <c r="EP1098" s="17"/>
      <c r="EQ1098" s="16"/>
      <c r="ER1098" s="16"/>
      <c r="ES1098" s="18">
        <v>1</v>
      </c>
      <c r="ET1098" s="18">
        <v>2</v>
      </c>
      <c r="EU1098" s="16"/>
      <c r="EV1098" s="16"/>
      <c r="EW1098" s="17"/>
      <c r="EX1098" s="17"/>
      <c r="EY1098" s="16"/>
      <c r="EZ1098" s="16"/>
      <c r="FA1098" s="17"/>
      <c r="FB1098" s="17"/>
      <c r="FC1098" s="16"/>
      <c r="FD1098" s="16"/>
      <c r="FE1098" s="17"/>
      <c r="FF1098" s="17"/>
      <c r="FG1098" s="11"/>
      <c r="GT1098" s="11"/>
      <c r="IG1098" s="11"/>
      <c r="JT1098" s="11"/>
      <c r="LG1098" s="11"/>
      <c r="MT1098" s="11"/>
      <c r="OG1098" s="11"/>
      <c r="PT1098" s="11"/>
    </row>
    <row r="1099" spans="3:436" ht="15.75" x14ac:dyDescent="0.25">
      <c r="C1099" s="20" t="s">
        <v>807</v>
      </c>
      <c r="D1099" s="21" t="s">
        <v>82</v>
      </c>
      <c r="H1099" s="11"/>
      <c r="AU1099" s="11"/>
      <c r="CH1099" s="11"/>
      <c r="CI1099" s="16"/>
      <c r="CJ1099" s="16"/>
      <c r="CK1099" s="16"/>
      <c r="CL1099" s="16"/>
      <c r="CM1099" s="16"/>
      <c r="CN1099" s="16"/>
      <c r="CO1099" s="16"/>
      <c r="CP1099" s="16"/>
      <c r="CQ1099" s="16"/>
      <c r="CR1099" s="16"/>
      <c r="CS1099" s="16"/>
      <c r="CT1099" s="16"/>
      <c r="CU1099" s="16"/>
      <c r="CV1099" s="16"/>
      <c r="CW1099" s="16"/>
      <c r="CX1099" s="16"/>
      <c r="CY1099" s="16"/>
      <c r="CZ1099" s="16"/>
      <c r="DA1099" s="16"/>
      <c r="DB1099" s="16"/>
      <c r="DC1099" s="16"/>
      <c r="DD1099" s="16"/>
      <c r="DE1099" s="17"/>
      <c r="DF1099" s="17"/>
      <c r="DG1099" s="16"/>
      <c r="DH1099" s="16"/>
      <c r="DI1099" s="17"/>
      <c r="DJ1099" s="17"/>
      <c r="DK1099" s="16"/>
      <c r="DL1099" s="16"/>
      <c r="DM1099" s="17"/>
      <c r="DN1099" s="17"/>
      <c r="DO1099" s="16"/>
      <c r="DP1099" s="16"/>
      <c r="DQ1099" s="17"/>
      <c r="DR1099" s="17"/>
      <c r="DS1099" s="16"/>
      <c r="DT1099" s="16"/>
      <c r="DU1099" s="17"/>
      <c r="DV1099" s="17"/>
      <c r="DW1099" s="16"/>
      <c r="DX1099" s="16"/>
      <c r="DY1099" s="17"/>
      <c r="DZ1099" s="17"/>
      <c r="EA1099" s="16"/>
      <c r="EB1099" s="16"/>
      <c r="EC1099" s="17"/>
      <c r="ED1099" s="17"/>
      <c r="EE1099" s="16"/>
      <c r="EF1099" s="16"/>
      <c r="EG1099" s="17"/>
      <c r="EH1099" s="17"/>
      <c r="EI1099" s="16"/>
      <c r="EJ1099" s="16"/>
      <c r="EK1099" s="17"/>
      <c r="EL1099" s="17"/>
      <c r="EM1099" s="16"/>
      <c r="EN1099" s="16"/>
      <c r="EO1099" s="17"/>
      <c r="EP1099" s="17"/>
      <c r="EQ1099" s="16"/>
      <c r="ER1099" s="16"/>
      <c r="ES1099" s="18">
        <v>2</v>
      </c>
      <c r="ET1099" s="18">
        <v>3</v>
      </c>
      <c r="EU1099" s="16"/>
      <c r="EV1099" s="16"/>
      <c r="EW1099" s="17"/>
      <c r="EX1099" s="17"/>
      <c r="EY1099" s="16"/>
      <c r="EZ1099" s="16"/>
      <c r="FA1099" s="17"/>
      <c r="FB1099" s="17"/>
      <c r="FC1099" s="16"/>
      <c r="FD1099" s="16"/>
      <c r="FE1099" s="17"/>
      <c r="FF1099" s="17"/>
      <c r="FG1099" s="11"/>
      <c r="GT1099" s="11"/>
      <c r="IG1099" s="11"/>
      <c r="JT1099" s="11"/>
      <c r="LG1099" s="11"/>
      <c r="MT1099" s="11"/>
      <c r="OG1099" s="11"/>
      <c r="PT1099" s="11"/>
    </row>
    <row r="1100" spans="3:436" ht="15.75" x14ac:dyDescent="0.25">
      <c r="C1100" s="20" t="s">
        <v>808</v>
      </c>
      <c r="D1100" s="21" t="s">
        <v>82</v>
      </c>
      <c r="H1100" s="11"/>
      <c r="AU1100" s="11"/>
      <c r="CH1100" s="11"/>
      <c r="CI1100" s="16"/>
      <c r="CJ1100" s="16"/>
      <c r="CK1100" s="16"/>
      <c r="CL1100" s="16"/>
      <c r="CM1100" s="16"/>
      <c r="CN1100" s="16"/>
      <c r="CO1100" s="16"/>
      <c r="CP1100" s="16"/>
      <c r="CQ1100" s="16"/>
      <c r="CR1100" s="16"/>
      <c r="CS1100" s="16"/>
      <c r="CT1100" s="16"/>
      <c r="CU1100" s="16"/>
      <c r="CV1100" s="16"/>
      <c r="CW1100" s="16"/>
      <c r="CX1100" s="16"/>
      <c r="CY1100" s="16"/>
      <c r="CZ1100" s="16"/>
      <c r="DA1100" s="16"/>
      <c r="DB1100" s="16"/>
      <c r="DC1100" s="16"/>
      <c r="DD1100" s="16"/>
      <c r="DE1100" s="17"/>
      <c r="DF1100" s="17"/>
      <c r="DG1100" s="16"/>
      <c r="DH1100" s="16"/>
      <c r="DI1100" s="17"/>
      <c r="DJ1100" s="17"/>
      <c r="DK1100" s="16"/>
      <c r="DL1100" s="16"/>
      <c r="DM1100" s="17"/>
      <c r="DN1100" s="17"/>
      <c r="DO1100" s="16"/>
      <c r="DP1100" s="16"/>
      <c r="DQ1100" s="17"/>
      <c r="DR1100" s="17"/>
      <c r="DS1100" s="16"/>
      <c r="DT1100" s="16"/>
      <c r="DU1100" s="17"/>
      <c r="DV1100" s="17"/>
      <c r="DW1100" s="16"/>
      <c r="DX1100" s="16"/>
      <c r="DY1100" s="17"/>
      <c r="DZ1100" s="17"/>
      <c r="EA1100" s="16"/>
      <c r="EB1100" s="16"/>
      <c r="EC1100" s="17"/>
      <c r="ED1100" s="17"/>
      <c r="EE1100" s="16"/>
      <c r="EF1100" s="16"/>
      <c r="EG1100" s="17"/>
      <c r="EH1100" s="17"/>
      <c r="EI1100" s="16"/>
      <c r="EJ1100" s="16"/>
      <c r="EK1100" s="17"/>
      <c r="EL1100" s="17"/>
      <c r="EM1100" s="16"/>
      <c r="EN1100" s="16"/>
      <c r="EO1100" s="17"/>
      <c r="EP1100" s="17"/>
      <c r="EQ1100" s="16"/>
      <c r="ER1100" s="16"/>
      <c r="ES1100" s="18">
        <v>2</v>
      </c>
      <c r="ET1100" s="18">
        <v>3</v>
      </c>
      <c r="EU1100" s="16"/>
      <c r="EV1100" s="16"/>
      <c r="EW1100" s="17"/>
      <c r="EX1100" s="17"/>
      <c r="EY1100" s="16"/>
      <c r="EZ1100" s="16"/>
      <c r="FA1100" s="17"/>
      <c r="FB1100" s="17"/>
      <c r="FC1100" s="16"/>
      <c r="FD1100" s="16"/>
      <c r="FE1100" s="17"/>
      <c r="FF1100" s="17"/>
      <c r="FG1100" s="11"/>
      <c r="GT1100" s="11"/>
      <c r="IG1100" s="11"/>
      <c r="JT1100" s="11"/>
      <c r="LG1100" s="11"/>
      <c r="MT1100" s="11"/>
      <c r="OG1100" s="11"/>
      <c r="PT1100" s="11"/>
    </row>
    <row r="1101" spans="3:436" ht="15.75" x14ac:dyDescent="0.25">
      <c r="C1101" s="20" t="s">
        <v>809</v>
      </c>
      <c r="D1101" s="21" t="s">
        <v>82</v>
      </c>
      <c r="H1101" s="11"/>
      <c r="AU1101" s="11"/>
      <c r="CH1101" s="11"/>
      <c r="CI1101" s="16"/>
      <c r="CJ1101" s="16"/>
      <c r="CK1101" s="16"/>
      <c r="CL1101" s="16"/>
      <c r="CM1101" s="16"/>
      <c r="CN1101" s="16"/>
      <c r="CO1101" s="16"/>
      <c r="CP1101" s="16"/>
      <c r="CQ1101" s="16"/>
      <c r="CR1101" s="16"/>
      <c r="CS1101" s="16"/>
      <c r="CT1101" s="16"/>
      <c r="CU1101" s="16"/>
      <c r="CV1101" s="16"/>
      <c r="CW1101" s="16"/>
      <c r="CX1101" s="16"/>
      <c r="CY1101" s="16"/>
      <c r="CZ1101" s="16"/>
      <c r="DA1101" s="16"/>
      <c r="DB1101" s="16"/>
      <c r="DC1101" s="16"/>
      <c r="DD1101" s="16"/>
      <c r="DE1101" s="17"/>
      <c r="DF1101" s="17"/>
      <c r="DG1101" s="16"/>
      <c r="DH1101" s="16"/>
      <c r="DI1101" s="17"/>
      <c r="DJ1101" s="17"/>
      <c r="DK1101" s="16"/>
      <c r="DL1101" s="16"/>
      <c r="DM1101" s="17"/>
      <c r="DN1101" s="17"/>
      <c r="DO1101" s="16"/>
      <c r="DP1101" s="16"/>
      <c r="DQ1101" s="17"/>
      <c r="DR1101" s="17"/>
      <c r="DS1101" s="16"/>
      <c r="DT1101" s="16"/>
      <c r="DU1101" s="17"/>
      <c r="DV1101" s="17"/>
      <c r="DW1101" s="16"/>
      <c r="DX1101" s="16"/>
      <c r="DY1101" s="17"/>
      <c r="DZ1101" s="17"/>
      <c r="EA1101" s="16"/>
      <c r="EB1101" s="16"/>
      <c r="EC1101" s="17"/>
      <c r="ED1101" s="17"/>
      <c r="EE1101" s="16"/>
      <c r="EF1101" s="16"/>
      <c r="EG1101" s="17"/>
      <c r="EH1101" s="17"/>
      <c r="EI1101" s="16"/>
      <c r="EJ1101" s="16"/>
      <c r="EK1101" s="17"/>
      <c r="EL1101" s="17"/>
      <c r="EM1101" s="16"/>
      <c r="EN1101" s="16"/>
      <c r="EO1101" s="17"/>
      <c r="EP1101" s="17"/>
      <c r="EQ1101" s="16"/>
      <c r="ER1101" s="16"/>
      <c r="ES1101" s="18">
        <v>2</v>
      </c>
      <c r="ET1101" s="18">
        <v>3</v>
      </c>
      <c r="EU1101" s="16"/>
      <c r="EV1101" s="16"/>
      <c r="EW1101" s="17"/>
      <c r="EX1101" s="17"/>
      <c r="EY1101" s="16"/>
      <c r="EZ1101" s="16"/>
      <c r="FA1101" s="17"/>
      <c r="FB1101" s="17"/>
      <c r="FC1101" s="16"/>
      <c r="FD1101" s="16"/>
      <c r="FE1101" s="17"/>
      <c r="FF1101" s="17"/>
      <c r="FG1101" s="11"/>
      <c r="GT1101" s="11"/>
      <c r="IG1101" s="11"/>
      <c r="JT1101" s="11"/>
      <c r="LG1101" s="11"/>
      <c r="MT1101" s="11"/>
      <c r="OG1101" s="11"/>
      <c r="PT1101" s="11"/>
    </row>
    <row r="1102" spans="3:436" ht="15.75" x14ac:dyDescent="0.25">
      <c r="C1102" s="20" t="s">
        <v>810</v>
      </c>
      <c r="D1102" s="21" t="s">
        <v>82</v>
      </c>
      <c r="H1102" s="11"/>
      <c r="AU1102" s="11"/>
      <c r="CH1102" s="11"/>
      <c r="CI1102" s="16"/>
      <c r="CJ1102" s="16"/>
      <c r="CK1102" s="16"/>
      <c r="CL1102" s="16"/>
      <c r="CM1102" s="16"/>
      <c r="CN1102" s="16"/>
      <c r="CO1102" s="16"/>
      <c r="CP1102" s="16"/>
      <c r="CQ1102" s="16"/>
      <c r="CR1102" s="16"/>
      <c r="CS1102" s="16"/>
      <c r="CT1102" s="16"/>
      <c r="CU1102" s="16"/>
      <c r="CV1102" s="16"/>
      <c r="CW1102" s="16"/>
      <c r="CX1102" s="16"/>
      <c r="CY1102" s="16"/>
      <c r="CZ1102" s="16"/>
      <c r="DA1102" s="16"/>
      <c r="DB1102" s="16"/>
      <c r="DC1102" s="16"/>
      <c r="DD1102" s="16"/>
      <c r="DE1102" s="17"/>
      <c r="DF1102" s="17"/>
      <c r="DG1102" s="16"/>
      <c r="DH1102" s="16"/>
      <c r="DI1102" s="17"/>
      <c r="DJ1102" s="17"/>
      <c r="DK1102" s="16"/>
      <c r="DL1102" s="16"/>
      <c r="DM1102" s="17"/>
      <c r="DN1102" s="17"/>
      <c r="DO1102" s="16"/>
      <c r="DP1102" s="16"/>
      <c r="DQ1102" s="17"/>
      <c r="DR1102" s="17"/>
      <c r="DS1102" s="16"/>
      <c r="DT1102" s="16"/>
      <c r="DU1102" s="17"/>
      <c r="DV1102" s="17"/>
      <c r="DW1102" s="16"/>
      <c r="DX1102" s="16"/>
      <c r="DY1102" s="17"/>
      <c r="DZ1102" s="17"/>
      <c r="EA1102" s="16"/>
      <c r="EB1102" s="16"/>
      <c r="EC1102" s="17"/>
      <c r="ED1102" s="17"/>
      <c r="EE1102" s="16"/>
      <c r="EF1102" s="16"/>
      <c r="EG1102" s="17"/>
      <c r="EH1102" s="17"/>
      <c r="EI1102" s="16"/>
      <c r="EJ1102" s="16"/>
      <c r="EK1102" s="17"/>
      <c r="EL1102" s="17"/>
      <c r="EM1102" s="16"/>
      <c r="EN1102" s="16"/>
      <c r="EO1102" s="17"/>
      <c r="EP1102" s="17"/>
      <c r="EQ1102" s="16"/>
      <c r="ER1102" s="16"/>
      <c r="ES1102" s="18">
        <v>2</v>
      </c>
      <c r="ET1102" s="18">
        <v>3</v>
      </c>
      <c r="EU1102" s="16"/>
      <c r="EV1102" s="16"/>
      <c r="EW1102" s="17"/>
      <c r="EX1102" s="17"/>
      <c r="EY1102" s="16"/>
      <c r="EZ1102" s="16"/>
      <c r="FA1102" s="17"/>
      <c r="FB1102" s="17"/>
      <c r="FC1102" s="16"/>
      <c r="FD1102" s="16"/>
      <c r="FE1102" s="17"/>
      <c r="FF1102" s="17"/>
      <c r="FG1102" s="11"/>
      <c r="GT1102" s="11"/>
      <c r="IG1102" s="11"/>
      <c r="JT1102" s="11"/>
      <c r="LG1102" s="11"/>
      <c r="MT1102" s="11"/>
      <c r="OG1102" s="11"/>
      <c r="PT1102" s="11"/>
    </row>
    <row r="1103" spans="3:436" ht="15.75" x14ac:dyDescent="0.25">
      <c r="C1103" s="20" t="s">
        <v>811</v>
      </c>
      <c r="D1103" s="21" t="s">
        <v>82</v>
      </c>
      <c r="H1103" s="11"/>
      <c r="AU1103" s="11"/>
      <c r="CH1103" s="11"/>
      <c r="CI1103" s="16"/>
      <c r="CJ1103" s="16"/>
      <c r="CK1103" s="16"/>
      <c r="CL1103" s="16"/>
      <c r="CM1103" s="16"/>
      <c r="CN1103" s="16"/>
      <c r="CO1103" s="16"/>
      <c r="CP1103" s="16"/>
      <c r="CQ1103" s="16"/>
      <c r="CR1103" s="16"/>
      <c r="CS1103" s="16"/>
      <c r="CT1103" s="16"/>
      <c r="CU1103" s="16"/>
      <c r="CV1103" s="16"/>
      <c r="CW1103" s="16"/>
      <c r="CX1103" s="16"/>
      <c r="CY1103" s="16"/>
      <c r="CZ1103" s="16"/>
      <c r="DA1103" s="16"/>
      <c r="DB1103" s="16"/>
      <c r="DC1103" s="16"/>
      <c r="DD1103" s="16"/>
      <c r="DE1103" s="17"/>
      <c r="DF1103" s="17"/>
      <c r="DG1103" s="16"/>
      <c r="DH1103" s="16"/>
      <c r="DI1103" s="17"/>
      <c r="DJ1103" s="17"/>
      <c r="DK1103" s="16"/>
      <c r="DL1103" s="16"/>
      <c r="DM1103" s="17"/>
      <c r="DN1103" s="17"/>
      <c r="DO1103" s="16"/>
      <c r="DP1103" s="16"/>
      <c r="DQ1103" s="17"/>
      <c r="DR1103" s="17"/>
      <c r="DS1103" s="16"/>
      <c r="DT1103" s="16"/>
      <c r="DU1103" s="17"/>
      <c r="DV1103" s="17"/>
      <c r="DW1103" s="16"/>
      <c r="DX1103" s="16"/>
      <c r="DY1103" s="17"/>
      <c r="DZ1103" s="17"/>
      <c r="EA1103" s="16"/>
      <c r="EB1103" s="16"/>
      <c r="EC1103" s="17"/>
      <c r="ED1103" s="17"/>
      <c r="EE1103" s="16"/>
      <c r="EF1103" s="16"/>
      <c r="EG1103" s="17"/>
      <c r="EH1103" s="17"/>
      <c r="EI1103" s="16"/>
      <c r="EJ1103" s="16"/>
      <c r="EK1103" s="17"/>
      <c r="EL1103" s="17"/>
      <c r="EM1103" s="16"/>
      <c r="EN1103" s="16"/>
      <c r="EO1103" s="17"/>
      <c r="EP1103" s="17"/>
      <c r="EQ1103" s="16"/>
      <c r="ER1103" s="16"/>
      <c r="ES1103" s="18">
        <v>1</v>
      </c>
      <c r="ET1103" s="18">
        <v>2</v>
      </c>
      <c r="EU1103" s="16"/>
      <c r="EV1103" s="16"/>
      <c r="EW1103" s="17"/>
      <c r="EX1103" s="17"/>
      <c r="EY1103" s="16"/>
      <c r="EZ1103" s="16"/>
      <c r="FA1103" s="17"/>
      <c r="FB1103" s="17"/>
      <c r="FC1103" s="16"/>
      <c r="FD1103" s="16"/>
      <c r="FE1103" s="17"/>
      <c r="FF1103" s="17"/>
      <c r="FG1103" s="11"/>
      <c r="GT1103" s="11"/>
      <c r="IG1103" s="11"/>
      <c r="JT1103" s="11"/>
      <c r="LG1103" s="11"/>
      <c r="MT1103" s="11"/>
      <c r="OG1103" s="11"/>
      <c r="PT1103" s="11"/>
    </row>
    <row r="1104" spans="3:436" ht="15.75" x14ac:dyDescent="0.25">
      <c r="C1104" s="20" t="s">
        <v>812</v>
      </c>
      <c r="D1104" s="21" t="s">
        <v>82</v>
      </c>
      <c r="H1104" s="11"/>
      <c r="AU1104" s="11"/>
      <c r="CH1104" s="11"/>
      <c r="CI1104" s="16"/>
      <c r="CJ1104" s="16"/>
      <c r="CK1104" s="16"/>
      <c r="CL1104" s="16"/>
      <c r="CM1104" s="16"/>
      <c r="CN1104" s="16"/>
      <c r="CO1104" s="16"/>
      <c r="CP1104" s="16"/>
      <c r="CQ1104" s="16"/>
      <c r="CR1104" s="16"/>
      <c r="CS1104" s="16"/>
      <c r="CT1104" s="16"/>
      <c r="CU1104" s="16"/>
      <c r="CV1104" s="16"/>
      <c r="CW1104" s="16"/>
      <c r="CX1104" s="16"/>
      <c r="CY1104" s="16"/>
      <c r="CZ1104" s="16"/>
      <c r="DA1104" s="16"/>
      <c r="DB1104" s="16"/>
      <c r="DC1104" s="16"/>
      <c r="DD1104" s="16"/>
      <c r="DE1104" s="17"/>
      <c r="DF1104" s="17"/>
      <c r="DG1104" s="16"/>
      <c r="DH1104" s="16"/>
      <c r="DI1104" s="17"/>
      <c r="DJ1104" s="17"/>
      <c r="DK1104" s="16"/>
      <c r="DL1104" s="16"/>
      <c r="DM1104" s="17"/>
      <c r="DN1104" s="17"/>
      <c r="DO1104" s="16"/>
      <c r="DP1104" s="16"/>
      <c r="DQ1104" s="17"/>
      <c r="DR1104" s="17"/>
      <c r="DS1104" s="16"/>
      <c r="DT1104" s="16"/>
      <c r="DU1104" s="17"/>
      <c r="DV1104" s="17"/>
      <c r="DW1104" s="16"/>
      <c r="DX1104" s="16"/>
      <c r="DY1104" s="17"/>
      <c r="DZ1104" s="17"/>
      <c r="EA1104" s="16"/>
      <c r="EB1104" s="16"/>
      <c r="EC1104" s="17"/>
      <c r="ED1104" s="17"/>
      <c r="EE1104" s="16"/>
      <c r="EF1104" s="16"/>
      <c r="EG1104" s="17"/>
      <c r="EH1104" s="17"/>
      <c r="EI1104" s="16"/>
      <c r="EJ1104" s="16"/>
      <c r="EK1104" s="17"/>
      <c r="EL1104" s="17"/>
      <c r="EM1104" s="16"/>
      <c r="EN1104" s="16"/>
      <c r="EO1104" s="17"/>
      <c r="EP1104" s="17"/>
      <c r="EQ1104" s="16"/>
      <c r="ER1104" s="16"/>
      <c r="ES1104" s="18">
        <v>1</v>
      </c>
      <c r="ET1104" s="18">
        <v>2</v>
      </c>
      <c r="EU1104" s="16"/>
      <c r="EV1104" s="16"/>
      <c r="EW1104" s="17"/>
      <c r="EX1104" s="17"/>
      <c r="EY1104" s="16"/>
      <c r="EZ1104" s="16"/>
      <c r="FA1104" s="17"/>
      <c r="FB1104" s="17"/>
      <c r="FC1104" s="16"/>
      <c r="FD1104" s="16"/>
      <c r="FE1104" s="17"/>
      <c r="FF1104" s="17"/>
      <c r="FG1104" s="11"/>
      <c r="GT1104" s="11"/>
      <c r="IG1104" s="11"/>
      <c r="JT1104" s="11"/>
      <c r="LG1104" s="11"/>
      <c r="MT1104" s="11"/>
      <c r="OG1104" s="11"/>
      <c r="PT1104" s="11"/>
    </row>
    <row r="1105" spans="1:436" ht="15.75" x14ac:dyDescent="0.25">
      <c r="C1105" s="20" t="s">
        <v>813</v>
      </c>
      <c r="D1105" s="21" t="s">
        <v>82</v>
      </c>
      <c r="H1105" s="11"/>
      <c r="AU1105" s="11"/>
      <c r="CH1105" s="11"/>
      <c r="CI1105" s="16"/>
      <c r="CJ1105" s="16"/>
      <c r="CK1105" s="16"/>
      <c r="CL1105" s="16"/>
      <c r="CM1105" s="16"/>
      <c r="CN1105" s="16"/>
      <c r="CO1105" s="16"/>
      <c r="CP1105" s="16"/>
      <c r="CQ1105" s="16"/>
      <c r="CR1105" s="16"/>
      <c r="CS1105" s="16"/>
      <c r="CT1105" s="16"/>
      <c r="CU1105" s="16"/>
      <c r="CV1105" s="16"/>
      <c r="CW1105" s="16"/>
      <c r="CX1105" s="16"/>
      <c r="CY1105" s="16"/>
      <c r="CZ1105" s="16"/>
      <c r="DA1105" s="16"/>
      <c r="DB1105" s="16"/>
      <c r="DC1105" s="16"/>
      <c r="DD1105" s="16"/>
      <c r="DE1105" s="17"/>
      <c r="DF1105" s="17"/>
      <c r="DG1105" s="16"/>
      <c r="DH1105" s="16"/>
      <c r="DI1105" s="17"/>
      <c r="DJ1105" s="17"/>
      <c r="DK1105" s="16"/>
      <c r="DL1105" s="16"/>
      <c r="DM1105" s="17"/>
      <c r="DN1105" s="17"/>
      <c r="DO1105" s="16"/>
      <c r="DP1105" s="16"/>
      <c r="DQ1105" s="17"/>
      <c r="DR1105" s="17"/>
      <c r="DS1105" s="16"/>
      <c r="DT1105" s="16"/>
      <c r="DU1105" s="17"/>
      <c r="DV1105" s="17"/>
      <c r="DW1105" s="16"/>
      <c r="DX1105" s="16"/>
      <c r="DY1105" s="17"/>
      <c r="DZ1105" s="17"/>
      <c r="EA1105" s="16"/>
      <c r="EB1105" s="16"/>
      <c r="EC1105" s="17"/>
      <c r="ED1105" s="17"/>
      <c r="EE1105" s="16"/>
      <c r="EF1105" s="16"/>
      <c r="EG1105" s="17"/>
      <c r="EH1105" s="17"/>
      <c r="EI1105" s="16"/>
      <c r="EJ1105" s="16"/>
      <c r="EK1105" s="17"/>
      <c r="EL1105" s="17"/>
      <c r="EM1105" s="16"/>
      <c r="EN1105" s="16"/>
      <c r="EO1105" s="17"/>
      <c r="EP1105" s="17"/>
      <c r="EQ1105" s="16"/>
      <c r="ER1105" s="16"/>
      <c r="ES1105" s="18">
        <v>3</v>
      </c>
      <c r="ET1105" s="18">
        <v>5</v>
      </c>
      <c r="EU1105" s="16"/>
      <c r="EV1105" s="16"/>
      <c r="EW1105" s="17"/>
      <c r="EX1105" s="17"/>
      <c r="EY1105" s="16"/>
      <c r="EZ1105" s="16"/>
      <c r="FA1105" s="17"/>
      <c r="FB1105" s="17"/>
      <c r="FC1105" s="16"/>
      <c r="FD1105" s="16"/>
      <c r="FE1105" s="17"/>
      <c r="FF1105" s="17"/>
      <c r="FG1105" s="11"/>
      <c r="GT1105" s="11"/>
      <c r="IG1105" s="11"/>
      <c r="JT1105" s="11"/>
      <c r="LG1105" s="11"/>
      <c r="MT1105" s="11"/>
      <c r="OG1105" s="11"/>
      <c r="PT1105" s="11"/>
    </row>
    <row r="1106" spans="1:436" ht="15.75" x14ac:dyDescent="0.25">
      <c r="C1106" s="20" t="s">
        <v>799</v>
      </c>
      <c r="D1106" s="21" t="s">
        <v>90</v>
      </c>
      <c r="H1106" s="11"/>
      <c r="AU1106" s="11"/>
      <c r="CH1106" s="11"/>
      <c r="CI1106" s="16"/>
      <c r="CJ1106" s="16"/>
      <c r="CK1106" s="16"/>
      <c r="CL1106" s="16"/>
      <c r="CM1106" s="16"/>
      <c r="CN1106" s="16"/>
      <c r="CO1106" s="16"/>
      <c r="CP1106" s="16"/>
      <c r="CQ1106" s="16"/>
      <c r="CR1106" s="16"/>
      <c r="CS1106" s="16"/>
      <c r="CT1106" s="16"/>
      <c r="CU1106" s="16"/>
      <c r="CV1106" s="16"/>
      <c r="CW1106" s="16"/>
      <c r="CX1106" s="16"/>
      <c r="CY1106" s="16"/>
      <c r="CZ1106" s="16"/>
      <c r="DA1106" s="16"/>
      <c r="DB1106" s="16"/>
      <c r="DC1106" s="16"/>
      <c r="DD1106" s="16"/>
      <c r="DE1106" s="17"/>
      <c r="DF1106" s="17"/>
      <c r="DG1106" s="16"/>
      <c r="DH1106" s="16"/>
      <c r="DI1106" s="17"/>
      <c r="DJ1106" s="17"/>
      <c r="DK1106" s="16"/>
      <c r="DL1106" s="16"/>
      <c r="DM1106" s="17"/>
      <c r="DN1106" s="17"/>
      <c r="DO1106" s="16"/>
      <c r="DP1106" s="16"/>
      <c r="DQ1106" s="17"/>
      <c r="DR1106" s="17"/>
      <c r="DS1106" s="16"/>
      <c r="DT1106" s="16"/>
      <c r="DU1106" s="17"/>
      <c r="DV1106" s="17"/>
      <c r="DW1106" s="16"/>
      <c r="DX1106" s="16"/>
      <c r="DY1106" s="17"/>
      <c r="DZ1106" s="17"/>
      <c r="EA1106" s="16"/>
      <c r="EB1106" s="16"/>
      <c r="EC1106" s="17"/>
      <c r="ED1106" s="17"/>
      <c r="EE1106" s="16"/>
      <c r="EF1106" s="16"/>
      <c r="EG1106" s="17"/>
      <c r="EH1106" s="17"/>
      <c r="EI1106" s="16"/>
      <c r="EJ1106" s="16"/>
      <c r="EK1106" s="17"/>
      <c r="EL1106" s="17"/>
      <c r="EM1106" s="16"/>
      <c r="EN1106" s="16"/>
      <c r="EO1106" s="17"/>
      <c r="EP1106" s="17"/>
      <c r="EQ1106" s="16"/>
      <c r="ER1106" s="16"/>
      <c r="ES1106" s="17"/>
      <c r="ET1106" s="17"/>
      <c r="EU1106" s="16"/>
      <c r="EV1106" s="16"/>
      <c r="EW1106" s="17"/>
      <c r="EX1106" s="17"/>
      <c r="EY1106" s="16"/>
      <c r="EZ1106" s="16"/>
      <c r="FA1106" s="17"/>
      <c r="FB1106" s="17"/>
      <c r="FC1106" s="16"/>
      <c r="FD1106" s="16"/>
      <c r="FE1106" s="17"/>
      <c r="FF1106" s="17"/>
      <c r="FG1106" s="11"/>
      <c r="GT1106" s="11"/>
      <c r="IG1106" s="11"/>
      <c r="JT1106" s="11"/>
      <c r="LG1106" s="11"/>
      <c r="MT1106" s="11"/>
      <c r="OG1106" s="11"/>
      <c r="PT1106" s="11"/>
    </row>
    <row r="1107" spans="1:436" ht="15.75" x14ac:dyDescent="0.25">
      <c r="A1107" s="13"/>
      <c r="B1107" s="14" t="s">
        <v>814</v>
      </c>
      <c r="C1107" s="13"/>
      <c r="D1107" s="13"/>
      <c r="E1107" s="15" t="s">
        <v>76</v>
      </c>
      <c r="F1107" s="15" t="s">
        <v>77</v>
      </c>
      <c r="G1107" s="13"/>
      <c r="H1107" s="11"/>
      <c r="AU1107" s="11"/>
      <c r="CH1107" s="11"/>
      <c r="CI1107" s="16"/>
      <c r="CJ1107" s="16"/>
      <c r="CK1107" s="16"/>
      <c r="CL1107" s="16"/>
      <c r="CM1107" s="16"/>
      <c r="CN1107" s="16"/>
      <c r="CO1107" s="16"/>
      <c r="CP1107" s="16"/>
      <c r="CQ1107" s="16"/>
      <c r="CR1107" s="16"/>
      <c r="CS1107" s="16"/>
      <c r="CT1107" s="16"/>
      <c r="CU1107" s="16"/>
      <c r="CV1107" s="16"/>
      <c r="CW1107" s="16"/>
      <c r="CX1107" s="16"/>
      <c r="CY1107" s="16"/>
      <c r="CZ1107" s="16"/>
      <c r="DA1107" s="16"/>
      <c r="DB1107" s="16"/>
      <c r="DC1107" s="16"/>
      <c r="DD1107" s="16"/>
      <c r="DE1107" s="17"/>
      <c r="DF1107" s="17"/>
      <c r="DG1107" s="16"/>
      <c r="DH1107" s="16"/>
      <c r="DI1107" s="17"/>
      <c r="DJ1107" s="18">
        <v>5</v>
      </c>
      <c r="DK1107" s="16"/>
      <c r="DL1107" s="19">
        <v>2</v>
      </c>
      <c r="DM1107" s="17"/>
      <c r="DN1107" s="17"/>
      <c r="DO1107" s="16"/>
      <c r="DP1107" s="16"/>
      <c r="DQ1107" s="17"/>
      <c r="DR1107" s="17"/>
      <c r="DS1107" s="16"/>
      <c r="DT1107" s="16"/>
      <c r="DU1107" s="17"/>
      <c r="DV1107" s="17"/>
      <c r="DW1107" s="16"/>
      <c r="DX1107" s="16"/>
      <c r="DY1107" s="17"/>
      <c r="DZ1107" s="17"/>
      <c r="EA1107" s="16"/>
      <c r="EB1107" s="16"/>
      <c r="EC1107" s="17"/>
      <c r="ED1107" s="17"/>
      <c r="EE1107" s="16"/>
      <c r="EF1107" s="16"/>
      <c r="EG1107" s="17"/>
      <c r="EH1107" s="18">
        <v>13</v>
      </c>
      <c r="EI1107" s="16"/>
      <c r="EJ1107" s="19">
        <v>3</v>
      </c>
      <c r="EK1107" s="17"/>
      <c r="EL1107" s="18">
        <v>5</v>
      </c>
      <c r="EM1107" s="16"/>
      <c r="EN1107" s="19">
        <v>2</v>
      </c>
      <c r="EO1107" s="17"/>
      <c r="EP1107" s="17"/>
      <c r="EQ1107" s="16"/>
      <c r="ER1107" s="16"/>
      <c r="ES1107" s="17"/>
      <c r="ET1107" s="18">
        <v>20</v>
      </c>
      <c r="EU1107" s="16"/>
      <c r="EV1107" s="16"/>
      <c r="EW1107" s="17"/>
      <c r="EX1107" s="17"/>
      <c r="EY1107" s="16"/>
      <c r="EZ1107" s="16"/>
      <c r="FA1107" s="17"/>
      <c r="FB1107" s="17"/>
      <c r="FC1107" s="16"/>
      <c r="FD1107" s="16"/>
      <c r="FE1107" s="17"/>
      <c r="FF1107" s="17"/>
      <c r="FG1107" s="11"/>
      <c r="GT1107" s="11"/>
      <c r="IG1107" s="11"/>
      <c r="JT1107" s="11"/>
      <c r="LG1107" s="11"/>
      <c r="MT1107" s="11"/>
      <c r="OG1107" s="11"/>
      <c r="PT1107" s="11"/>
    </row>
    <row r="1108" spans="1:436" ht="15.75" x14ac:dyDescent="0.25">
      <c r="C1108" s="20" t="s">
        <v>815</v>
      </c>
      <c r="D1108" s="21" t="s">
        <v>79</v>
      </c>
      <c r="H1108" s="11"/>
      <c r="AU1108" s="11"/>
      <c r="CH1108" s="11"/>
      <c r="CI1108" s="16"/>
      <c r="CJ1108" s="16"/>
      <c r="CK1108" s="16"/>
      <c r="CL1108" s="16"/>
      <c r="CM1108" s="16"/>
      <c r="CN1108" s="16"/>
      <c r="CO1108" s="16"/>
      <c r="CP1108" s="16"/>
      <c r="CQ1108" s="16"/>
      <c r="CR1108" s="16"/>
      <c r="CS1108" s="16"/>
      <c r="CT1108" s="16"/>
      <c r="CU1108" s="16"/>
      <c r="CV1108" s="16"/>
      <c r="CW1108" s="16"/>
      <c r="CX1108" s="16"/>
      <c r="CY1108" s="16"/>
      <c r="CZ1108" s="16"/>
      <c r="DA1108" s="16"/>
      <c r="DB1108" s="16"/>
      <c r="DC1108" s="16"/>
      <c r="DD1108" s="16"/>
      <c r="DE1108" s="17"/>
      <c r="DF1108" s="17"/>
      <c r="DG1108" s="16"/>
      <c r="DH1108" s="16"/>
      <c r="DI1108" s="17"/>
      <c r="DJ1108" s="18">
        <v>4</v>
      </c>
      <c r="DK1108" s="16"/>
      <c r="DL1108" s="16"/>
      <c r="DM1108" s="17"/>
      <c r="DN1108" s="17"/>
      <c r="DO1108" s="16"/>
      <c r="DP1108" s="16"/>
      <c r="DQ1108" s="17"/>
      <c r="DR1108" s="17"/>
      <c r="DS1108" s="16"/>
      <c r="DT1108" s="16"/>
      <c r="DU1108" s="17"/>
      <c r="DV1108" s="17"/>
      <c r="DW1108" s="16"/>
      <c r="DX1108" s="16"/>
      <c r="DY1108" s="17"/>
      <c r="DZ1108" s="17"/>
      <c r="EA1108" s="16"/>
      <c r="EB1108" s="16"/>
      <c r="EC1108" s="17"/>
      <c r="ED1108" s="17"/>
      <c r="EE1108" s="16"/>
      <c r="EF1108" s="16"/>
      <c r="EG1108" s="17"/>
      <c r="EH1108" s="17"/>
      <c r="EI1108" s="16"/>
      <c r="EJ1108" s="16"/>
      <c r="EK1108" s="17"/>
      <c r="EL1108" s="17"/>
      <c r="EM1108" s="16"/>
      <c r="EN1108" s="16"/>
      <c r="EO1108" s="17"/>
      <c r="EP1108" s="17"/>
      <c r="EQ1108" s="16"/>
      <c r="ER1108" s="16"/>
      <c r="ES1108" s="17"/>
      <c r="ET1108" s="17"/>
      <c r="EU1108" s="16"/>
      <c r="EV1108" s="16"/>
      <c r="EW1108" s="17"/>
      <c r="EX1108" s="17"/>
      <c r="EY1108" s="16"/>
      <c r="EZ1108" s="16"/>
      <c r="FA1108" s="17"/>
      <c r="FB1108" s="17"/>
      <c r="FC1108" s="16"/>
      <c r="FD1108" s="16"/>
      <c r="FE1108" s="17"/>
      <c r="FF1108" s="17"/>
      <c r="FG1108" s="11"/>
      <c r="GT1108" s="11"/>
      <c r="IG1108" s="11"/>
      <c r="JT1108" s="11"/>
      <c r="LG1108" s="11"/>
      <c r="MT1108" s="11"/>
      <c r="OG1108" s="11"/>
      <c r="PT1108" s="11"/>
    </row>
    <row r="1109" spans="1:436" ht="15.75" x14ac:dyDescent="0.25">
      <c r="C1109" s="20" t="s">
        <v>816</v>
      </c>
      <c r="D1109" s="21" t="s">
        <v>129</v>
      </c>
      <c r="H1109" s="11"/>
      <c r="AU1109" s="11"/>
      <c r="CH1109" s="11"/>
      <c r="CI1109" s="16"/>
      <c r="CJ1109" s="16"/>
      <c r="CK1109" s="16"/>
      <c r="CL1109" s="16"/>
      <c r="CM1109" s="16"/>
      <c r="CN1109" s="16"/>
      <c r="CO1109" s="16"/>
      <c r="CP1109" s="16"/>
      <c r="CQ1109" s="16"/>
      <c r="CR1109" s="16"/>
      <c r="CS1109" s="16"/>
      <c r="CT1109" s="16"/>
      <c r="CU1109" s="16"/>
      <c r="CV1109" s="16"/>
      <c r="CW1109" s="16"/>
      <c r="CX1109" s="16"/>
      <c r="CY1109" s="16"/>
      <c r="CZ1109" s="16"/>
      <c r="DA1109" s="16"/>
      <c r="DB1109" s="16"/>
      <c r="DC1109" s="16"/>
      <c r="DD1109" s="16"/>
      <c r="DE1109" s="17"/>
      <c r="DF1109" s="17"/>
      <c r="DG1109" s="16"/>
      <c r="DH1109" s="16"/>
      <c r="DI1109" s="17"/>
      <c r="DJ1109" s="17"/>
      <c r="DK1109" s="16"/>
      <c r="DL1109" s="16"/>
      <c r="DM1109" s="17"/>
      <c r="DN1109" s="17"/>
      <c r="DO1109" s="16"/>
      <c r="DP1109" s="16"/>
      <c r="DQ1109" s="17"/>
      <c r="DR1109" s="17"/>
      <c r="DS1109" s="16"/>
      <c r="DT1109" s="16"/>
      <c r="DU1109" s="17"/>
      <c r="DV1109" s="17"/>
      <c r="DW1109" s="16"/>
      <c r="DX1109" s="16"/>
      <c r="DY1109" s="17"/>
      <c r="DZ1109" s="17"/>
      <c r="EA1109" s="16"/>
      <c r="EB1109" s="16"/>
      <c r="EC1109" s="17"/>
      <c r="ED1109" s="17"/>
      <c r="EE1109" s="16"/>
      <c r="EF1109" s="16"/>
      <c r="EG1109" s="17"/>
      <c r="EH1109" s="17"/>
      <c r="EI1109" s="16"/>
      <c r="EJ1109" s="16"/>
      <c r="EK1109" s="17"/>
      <c r="EL1109" s="17"/>
      <c r="EM1109" s="16"/>
      <c r="EN1109" s="16"/>
      <c r="EO1109" s="17"/>
      <c r="EP1109" s="17"/>
      <c r="EQ1109" s="16"/>
      <c r="ER1109" s="16"/>
      <c r="ES1109" s="17"/>
      <c r="ET1109" s="17"/>
      <c r="EU1109" s="16"/>
      <c r="EV1109" s="16"/>
      <c r="EW1109" s="17"/>
      <c r="EX1109" s="17"/>
      <c r="EY1109" s="16"/>
      <c r="EZ1109" s="16"/>
      <c r="FA1109" s="17"/>
      <c r="FB1109" s="17"/>
      <c r="FC1109" s="16"/>
      <c r="FD1109" s="16"/>
      <c r="FE1109" s="17"/>
      <c r="FF1109" s="17"/>
      <c r="FG1109" s="11"/>
      <c r="GT1109" s="11"/>
      <c r="IG1109" s="11"/>
      <c r="JT1109" s="11"/>
      <c r="LG1109" s="11"/>
      <c r="MT1109" s="11"/>
      <c r="OG1109" s="11"/>
      <c r="PT1109" s="11"/>
    </row>
    <row r="1110" spans="1:436" ht="15.75" x14ac:dyDescent="0.25">
      <c r="C1110" s="20" t="s">
        <v>817</v>
      </c>
      <c r="D1110" s="21" t="s">
        <v>162</v>
      </c>
      <c r="H1110" s="11"/>
      <c r="AU1110" s="11"/>
      <c r="CH1110" s="11"/>
      <c r="CI1110" s="16"/>
      <c r="CJ1110" s="16"/>
      <c r="CK1110" s="16"/>
      <c r="CL1110" s="16"/>
      <c r="CM1110" s="16"/>
      <c r="CN1110" s="16"/>
      <c r="CO1110" s="16"/>
      <c r="CP1110" s="16"/>
      <c r="CQ1110" s="16"/>
      <c r="CR1110" s="16"/>
      <c r="CS1110" s="16"/>
      <c r="CT1110" s="16"/>
      <c r="CU1110" s="16"/>
      <c r="CV1110" s="16"/>
      <c r="CW1110" s="16"/>
      <c r="CX1110" s="16"/>
      <c r="CY1110" s="16"/>
      <c r="CZ1110" s="16"/>
      <c r="DA1110" s="16"/>
      <c r="DB1110" s="16"/>
      <c r="DC1110" s="16"/>
      <c r="DD1110" s="16"/>
      <c r="DE1110" s="17"/>
      <c r="DF1110" s="17"/>
      <c r="DG1110" s="16"/>
      <c r="DH1110" s="16"/>
      <c r="DI1110" s="17"/>
      <c r="DJ1110" s="17"/>
      <c r="DK1110" s="16"/>
      <c r="DL1110" s="16"/>
      <c r="DM1110" s="17"/>
      <c r="DN1110" s="17"/>
      <c r="DO1110" s="16"/>
      <c r="DP1110" s="16"/>
      <c r="DQ1110" s="17"/>
      <c r="DR1110" s="17"/>
      <c r="DS1110" s="16"/>
      <c r="DT1110" s="16"/>
      <c r="DU1110" s="17"/>
      <c r="DV1110" s="17"/>
      <c r="DW1110" s="16"/>
      <c r="DX1110" s="16"/>
      <c r="DY1110" s="17"/>
      <c r="DZ1110" s="17"/>
      <c r="EA1110" s="16"/>
      <c r="EB1110" s="16"/>
      <c r="EC1110" s="17"/>
      <c r="ED1110" s="17"/>
      <c r="EE1110" s="16"/>
      <c r="EF1110" s="16"/>
      <c r="EG1110" s="17"/>
      <c r="EH1110" s="17"/>
      <c r="EI1110" s="16"/>
      <c r="EJ1110" s="16"/>
      <c r="EK1110" s="17"/>
      <c r="EL1110" s="17"/>
      <c r="EM1110" s="16"/>
      <c r="EN1110" s="16"/>
      <c r="EO1110" s="17"/>
      <c r="EP1110" s="17"/>
      <c r="EQ1110" s="16"/>
      <c r="ER1110" s="16"/>
      <c r="ES1110" s="17"/>
      <c r="ET1110" s="17"/>
      <c r="EU1110" s="16"/>
      <c r="EV1110" s="16"/>
      <c r="EW1110" s="17"/>
      <c r="EX1110" s="17"/>
      <c r="EY1110" s="16"/>
      <c r="EZ1110" s="16"/>
      <c r="FA1110" s="17"/>
      <c r="FB1110" s="17"/>
      <c r="FC1110" s="16"/>
      <c r="FD1110" s="16"/>
      <c r="FE1110" s="17"/>
      <c r="FF1110" s="17"/>
      <c r="FG1110" s="11"/>
      <c r="GT1110" s="11"/>
      <c r="IG1110" s="11"/>
      <c r="JT1110" s="11"/>
      <c r="LG1110" s="11"/>
      <c r="MT1110" s="11"/>
      <c r="OG1110" s="11"/>
      <c r="PT1110" s="11"/>
    </row>
    <row r="1111" spans="1:436" ht="15.75" x14ac:dyDescent="0.25">
      <c r="C1111" s="20" t="s">
        <v>818</v>
      </c>
      <c r="D1111" s="21" t="s">
        <v>203</v>
      </c>
      <c r="H1111" s="11"/>
      <c r="AU1111" s="11"/>
      <c r="CH1111" s="11"/>
      <c r="CI1111" s="16"/>
      <c r="CJ1111" s="16"/>
      <c r="CK1111" s="16"/>
      <c r="CL1111" s="16"/>
      <c r="CM1111" s="16"/>
      <c r="CN1111" s="16"/>
      <c r="CO1111" s="16"/>
      <c r="CP1111" s="16"/>
      <c r="CQ1111" s="16"/>
      <c r="CR1111" s="16"/>
      <c r="CS1111" s="16"/>
      <c r="CT1111" s="16"/>
      <c r="CU1111" s="16"/>
      <c r="CV1111" s="16"/>
      <c r="CW1111" s="16"/>
      <c r="CX1111" s="16"/>
      <c r="CY1111" s="16"/>
      <c r="CZ1111" s="16"/>
      <c r="DA1111" s="16"/>
      <c r="DB1111" s="16"/>
      <c r="DC1111" s="16"/>
      <c r="DD1111" s="16"/>
      <c r="DE1111" s="17"/>
      <c r="DF1111" s="17"/>
      <c r="DG1111" s="16"/>
      <c r="DH1111" s="16"/>
      <c r="DI1111" s="17"/>
      <c r="DJ1111" s="17"/>
      <c r="DK1111" s="16"/>
      <c r="DL1111" s="16"/>
      <c r="DM1111" s="17"/>
      <c r="DN1111" s="17"/>
      <c r="DO1111" s="16"/>
      <c r="DP1111" s="16"/>
      <c r="DQ1111" s="17"/>
      <c r="DR1111" s="17"/>
      <c r="DS1111" s="16"/>
      <c r="DT1111" s="16"/>
      <c r="DU1111" s="17"/>
      <c r="DV1111" s="17"/>
      <c r="DW1111" s="16"/>
      <c r="DX1111" s="16"/>
      <c r="DY1111" s="17"/>
      <c r="DZ1111" s="17"/>
      <c r="EA1111" s="16"/>
      <c r="EB1111" s="16"/>
      <c r="EC1111" s="17"/>
      <c r="ED1111" s="17"/>
      <c r="EE1111" s="16"/>
      <c r="EF1111" s="16"/>
      <c r="EG1111" s="17"/>
      <c r="EH1111" s="17"/>
      <c r="EI1111" s="16"/>
      <c r="EJ1111" s="16"/>
      <c r="EK1111" s="17"/>
      <c r="EL1111" s="17"/>
      <c r="EM1111" s="16"/>
      <c r="EN1111" s="16"/>
      <c r="EO1111" s="17"/>
      <c r="EP1111" s="17"/>
      <c r="EQ1111" s="16"/>
      <c r="ER1111" s="16"/>
      <c r="ES1111" s="17"/>
      <c r="ET1111" s="17"/>
      <c r="EU1111" s="16"/>
      <c r="EV1111" s="16"/>
      <c r="EW1111" s="17"/>
      <c r="EX1111" s="17"/>
      <c r="EY1111" s="16"/>
      <c r="EZ1111" s="16"/>
      <c r="FA1111" s="17"/>
      <c r="FB1111" s="17"/>
      <c r="FC1111" s="16"/>
      <c r="FD1111" s="16"/>
      <c r="FE1111" s="17"/>
      <c r="FF1111" s="17"/>
      <c r="FG1111" s="11"/>
      <c r="GT1111" s="11"/>
      <c r="IG1111" s="11"/>
      <c r="JT1111" s="11"/>
      <c r="LG1111" s="11"/>
      <c r="MT1111" s="11"/>
      <c r="OG1111" s="11"/>
      <c r="PT1111" s="11"/>
    </row>
    <row r="1112" spans="1:436" ht="15.75" x14ac:dyDescent="0.25">
      <c r="C1112" s="20" t="s">
        <v>819</v>
      </c>
      <c r="D1112" s="21" t="s">
        <v>142</v>
      </c>
      <c r="H1112" s="11"/>
      <c r="AU1112" s="11"/>
      <c r="CH1112" s="11"/>
      <c r="CI1112" s="16"/>
      <c r="CJ1112" s="16"/>
      <c r="CK1112" s="16"/>
      <c r="CL1112" s="16"/>
      <c r="CM1112" s="16"/>
      <c r="CN1112" s="16"/>
      <c r="CO1112" s="16"/>
      <c r="CP1112" s="16"/>
      <c r="CQ1112" s="16"/>
      <c r="CR1112" s="16"/>
      <c r="CS1112" s="16"/>
      <c r="CT1112" s="16"/>
      <c r="CU1112" s="16"/>
      <c r="CV1112" s="16"/>
      <c r="CW1112" s="16"/>
      <c r="CX1112" s="16"/>
      <c r="CY1112" s="16"/>
      <c r="CZ1112" s="16"/>
      <c r="DA1112" s="16"/>
      <c r="DB1112" s="16"/>
      <c r="DC1112" s="16"/>
      <c r="DD1112" s="16"/>
      <c r="DE1112" s="17"/>
      <c r="DF1112" s="17"/>
      <c r="DG1112" s="16"/>
      <c r="DH1112" s="16"/>
      <c r="DI1112" s="17"/>
      <c r="DJ1112" s="17"/>
      <c r="DK1112" s="16"/>
      <c r="DL1112" s="16"/>
      <c r="DM1112" s="17"/>
      <c r="DN1112" s="17"/>
      <c r="DO1112" s="16"/>
      <c r="DP1112" s="16"/>
      <c r="DQ1112" s="17"/>
      <c r="DR1112" s="17"/>
      <c r="DS1112" s="16"/>
      <c r="DT1112" s="16"/>
      <c r="DU1112" s="17"/>
      <c r="DV1112" s="17"/>
      <c r="DW1112" s="16"/>
      <c r="DX1112" s="16"/>
      <c r="DY1112" s="17"/>
      <c r="DZ1112" s="17"/>
      <c r="EA1112" s="16"/>
      <c r="EB1112" s="16"/>
      <c r="EC1112" s="17"/>
      <c r="ED1112" s="17"/>
      <c r="EE1112" s="16"/>
      <c r="EF1112" s="16"/>
      <c r="EG1112" s="17"/>
      <c r="EH1112" s="17"/>
      <c r="EI1112" s="16"/>
      <c r="EJ1112" s="16"/>
      <c r="EK1112" s="17"/>
      <c r="EL1112" s="17"/>
      <c r="EM1112" s="16"/>
      <c r="EN1112" s="16"/>
      <c r="EO1112" s="17"/>
      <c r="EP1112" s="17"/>
      <c r="EQ1112" s="16"/>
      <c r="ER1112" s="16"/>
      <c r="ES1112" s="17"/>
      <c r="ET1112" s="17"/>
      <c r="EU1112" s="16"/>
      <c r="EV1112" s="16"/>
      <c r="EW1112" s="17"/>
      <c r="EX1112" s="17"/>
      <c r="EY1112" s="16"/>
      <c r="EZ1112" s="16"/>
      <c r="FA1112" s="17"/>
      <c r="FB1112" s="17"/>
      <c r="FC1112" s="16"/>
      <c r="FD1112" s="16"/>
      <c r="FE1112" s="17"/>
      <c r="FF1112" s="17"/>
      <c r="FG1112" s="11"/>
      <c r="GT1112" s="11"/>
      <c r="IG1112" s="11"/>
      <c r="JT1112" s="11"/>
      <c r="LG1112" s="11"/>
      <c r="MT1112" s="11"/>
      <c r="OG1112" s="11"/>
      <c r="PT1112" s="11"/>
    </row>
    <row r="1113" spans="1:436" ht="15.75" x14ac:dyDescent="0.25">
      <c r="C1113" s="20" t="s">
        <v>820</v>
      </c>
      <c r="D1113" s="21" t="s">
        <v>82</v>
      </c>
      <c r="H1113" s="11"/>
      <c r="AU1113" s="11"/>
      <c r="CH1113" s="11"/>
      <c r="CI1113" s="16"/>
      <c r="CJ1113" s="16"/>
      <c r="CK1113" s="16"/>
      <c r="CL1113" s="16"/>
      <c r="CM1113" s="16"/>
      <c r="CN1113" s="16"/>
      <c r="CO1113" s="16"/>
      <c r="CP1113" s="16"/>
      <c r="CQ1113" s="16"/>
      <c r="CR1113" s="16"/>
      <c r="CS1113" s="16"/>
      <c r="CT1113" s="16"/>
      <c r="CU1113" s="16"/>
      <c r="CV1113" s="16"/>
      <c r="CW1113" s="16"/>
      <c r="CX1113" s="16"/>
      <c r="CY1113" s="16"/>
      <c r="CZ1113" s="16"/>
      <c r="DA1113" s="16"/>
      <c r="DB1113" s="16"/>
      <c r="DC1113" s="16"/>
      <c r="DD1113" s="16"/>
      <c r="DE1113" s="17"/>
      <c r="DF1113" s="17"/>
      <c r="DG1113" s="16"/>
      <c r="DH1113" s="16"/>
      <c r="DI1113" s="17"/>
      <c r="DJ1113" s="17"/>
      <c r="DK1113" s="16"/>
      <c r="DL1113" s="16"/>
      <c r="DM1113" s="17"/>
      <c r="DN1113" s="17"/>
      <c r="DO1113" s="16"/>
      <c r="DP1113" s="16"/>
      <c r="DQ1113" s="17"/>
      <c r="DR1113" s="17"/>
      <c r="DS1113" s="16"/>
      <c r="DT1113" s="16"/>
      <c r="DU1113" s="17"/>
      <c r="DV1113" s="17"/>
      <c r="DW1113" s="16"/>
      <c r="DX1113" s="16"/>
      <c r="DY1113" s="17"/>
      <c r="DZ1113" s="17"/>
      <c r="EA1113" s="16"/>
      <c r="EB1113" s="16"/>
      <c r="EC1113" s="17"/>
      <c r="ED1113" s="17"/>
      <c r="EE1113" s="16"/>
      <c r="EF1113" s="16"/>
      <c r="EG1113" s="17"/>
      <c r="EH1113" s="17"/>
      <c r="EI1113" s="16"/>
      <c r="EJ1113" s="16"/>
      <c r="EK1113" s="17"/>
      <c r="EL1113" s="17"/>
      <c r="EM1113" s="16"/>
      <c r="EN1113" s="16"/>
      <c r="EO1113" s="17"/>
      <c r="EP1113" s="17"/>
      <c r="EQ1113" s="16"/>
      <c r="ER1113" s="16"/>
      <c r="ES1113" s="17"/>
      <c r="ET1113" s="17"/>
      <c r="EU1113" s="16"/>
      <c r="EV1113" s="16"/>
      <c r="EW1113" s="17"/>
      <c r="EX1113" s="17"/>
      <c r="EY1113" s="16"/>
      <c r="EZ1113" s="16"/>
      <c r="FA1113" s="17"/>
      <c r="FB1113" s="17"/>
      <c r="FC1113" s="16"/>
      <c r="FD1113" s="16"/>
      <c r="FE1113" s="17"/>
      <c r="FF1113" s="17"/>
      <c r="FG1113" s="11"/>
      <c r="GT1113" s="11"/>
      <c r="IG1113" s="11"/>
      <c r="JT1113" s="11"/>
      <c r="LG1113" s="11"/>
      <c r="MT1113" s="11"/>
      <c r="OG1113" s="11"/>
      <c r="PT1113" s="11"/>
    </row>
    <row r="1114" spans="1:436" ht="15.75" x14ac:dyDescent="0.25">
      <c r="C1114" s="20" t="s">
        <v>821</v>
      </c>
      <c r="D1114" s="21" t="s">
        <v>82</v>
      </c>
      <c r="H1114" s="11"/>
      <c r="AU1114" s="11"/>
      <c r="CH1114" s="11"/>
      <c r="CI1114" s="16"/>
      <c r="CJ1114" s="16"/>
      <c r="CK1114" s="16"/>
      <c r="CL1114" s="16"/>
      <c r="CM1114" s="16"/>
      <c r="CN1114" s="16"/>
      <c r="CO1114" s="16"/>
      <c r="CP1114" s="16"/>
      <c r="CQ1114" s="16"/>
      <c r="CR1114" s="16"/>
      <c r="CS1114" s="16"/>
      <c r="CT1114" s="16"/>
      <c r="CU1114" s="16"/>
      <c r="CV1114" s="16"/>
      <c r="CW1114" s="16"/>
      <c r="CX1114" s="16"/>
      <c r="CY1114" s="16"/>
      <c r="CZ1114" s="16"/>
      <c r="DA1114" s="16"/>
      <c r="DB1114" s="16"/>
      <c r="DC1114" s="16"/>
      <c r="DD1114" s="16"/>
      <c r="DE1114" s="17"/>
      <c r="DF1114" s="17"/>
      <c r="DG1114" s="16"/>
      <c r="DH1114" s="16"/>
      <c r="DI1114" s="17"/>
      <c r="DJ1114" s="17"/>
      <c r="DK1114" s="16"/>
      <c r="DL1114" s="16"/>
      <c r="DM1114" s="17"/>
      <c r="DN1114" s="17"/>
      <c r="DO1114" s="16"/>
      <c r="DP1114" s="16"/>
      <c r="DQ1114" s="17"/>
      <c r="DR1114" s="17"/>
      <c r="DS1114" s="16"/>
      <c r="DT1114" s="16"/>
      <c r="DU1114" s="17"/>
      <c r="DV1114" s="17"/>
      <c r="DW1114" s="16"/>
      <c r="DX1114" s="16"/>
      <c r="DY1114" s="17"/>
      <c r="DZ1114" s="17"/>
      <c r="EA1114" s="16"/>
      <c r="EB1114" s="16"/>
      <c r="EC1114" s="17"/>
      <c r="ED1114" s="17"/>
      <c r="EE1114" s="16"/>
      <c r="EF1114" s="16"/>
      <c r="EG1114" s="17"/>
      <c r="EH1114" s="17"/>
      <c r="EI1114" s="16"/>
      <c r="EJ1114" s="16"/>
      <c r="EK1114" s="17"/>
      <c r="EL1114" s="17"/>
      <c r="EM1114" s="16"/>
      <c r="EN1114" s="16"/>
      <c r="EO1114" s="17"/>
      <c r="EP1114" s="17"/>
      <c r="EQ1114" s="16"/>
      <c r="ER1114" s="16"/>
      <c r="ES1114" s="17"/>
      <c r="ET1114" s="17"/>
      <c r="EU1114" s="16"/>
      <c r="EV1114" s="16"/>
      <c r="EW1114" s="17"/>
      <c r="EX1114" s="17"/>
      <c r="EY1114" s="16"/>
      <c r="EZ1114" s="16"/>
      <c r="FA1114" s="17"/>
      <c r="FB1114" s="17"/>
      <c r="FC1114" s="16"/>
      <c r="FD1114" s="16"/>
      <c r="FE1114" s="17"/>
      <c r="FF1114" s="17"/>
      <c r="FG1114" s="11"/>
      <c r="GT1114" s="11"/>
      <c r="IG1114" s="11"/>
      <c r="JT1114" s="11"/>
      <c r="LG1114" s="11"/>
      <c r="MT1114" s="11"/>
      <c r="OG1114" s="11"/>
      <c r="PT1114" s="11"/>
    </row>
    <row r="1115" spans="1:436" ht="15.75" x14ac:dyDescent="0.25">
      <c r="C1115" s="20" t="s">
        <v>822</v>
      </c>
      <c r="D1115" s="21" t="s">
        <v>90</v>
      </c>
      <c r="H1115" s="11"/>
      <c r="AU1115" s="11"/>
      <c r="CH1115" s="11"/>
      <c r="CI1115" s="16"/>
      <c r="CJ1115" s="16"/>
      <c r="CK1115" s="16"/>
      <c r="CL1115" s="16"/>
      <c r="CM1115" s="16"/>
      <c r="CN1115" s="16"/>
      <c r="CO1115" s="16"/>
      <c r="CP1115" s="16"/>
      <c r="CQ1115" s="16"/>
      <c r="CR1115" s="16"/>
      <c r="CS1115" s="16"/>
      <c r="CT1115" s="16"/>
      <c r="CU1115" s="16"/>
      <c r="CV1115" s="16"/>
      <c r="CW1115" s="16"/>
      <c r="CX1115" s="16"/>
      <c r="CY1115" s="16"/>
      <c r="CZ1115" s="16"/>
      <c r="DA1115" s="16"/>
      <c r="DB1115" s="16"/>
      <c r="DC1115" s="16"/>
      <c r="DD1115" s="16"/>
      <c r="DE1115" s="17"/>
      <c r="DF1115" s="17"/>
      <c r="DG1115" s="16"/>
      <c r="DH1115" s="16"/>
      <c r="DI1115" s="17"/>
      <c r="DJ1115" s="17"/>
      <c r="DK1115" s="16"/>
      <c r="DL1115" s="16"/>
      <c r="DM1115" s="17"/>
      <c r="DN1115" s="17"/>
      <c r="DO1115" s="16"/>
      <c r="DP1115" s="16"/>
      <c r="DQ1115" s="17"/>
      <c r="DR1115" s="17"/>
      <c r="DS1115" s="16"/>
      <c r="DT1115" s="16"/>
      <c r="DU1115" s="17"/>
      <c r="DV1115" s="17"/>
      <c r="DW1115" s="16"/>
      <c r="DX1115" s="16"/>
      <c r="DY1115" s="17"/>
      <c r="DZ1115" s="17"/>
      <c r="EA1115" s="16"/>
      <c r="EB1115" s="16"/>
      <c r="EC1115" s="17"/>
      <c r="ED1115" s="17"/>
      <c r="EE1115" s="16"/>
      <c r="EF1115" s="16"/>
      <c r="EG1115" s="17"/>
      <c r="EH1115" s="17"/>
      <c r="EI1115" s="16"/>
      <c r="EJ1115" s="16"/>
      <c r="EK1115" s="17"/>
      <c r="EL1115" s="17"/>
      <c r="EM1115" s="16"/>
      <c r="EN1115" s="16"/>
      <c r="EO1115" s="17"/>
      <c r="EP1115" s="17"/>
      <c r="EQ1115" s="16"/>
      <c r="ER1115" s="16"/>
      <c r="ES1115" s="17"/>
      <c r="ET1115" s="17"/>
      <c r="EU1115" s="16"/>
      <c r="EV1115" s="16"/>
      <c r="EW1115" s="17"/>
      <c r="EX1115" s="17"/>
      <c r="EY1115" s="16"/>
      <c r="EZ1115" s="16"/>
      <c r="FA1115" s="17"/>
      <c r="FB1115" s="17"/>
      <c r="FC1115" s="16"/>
      <c r="FD1115" s="16"/>
      <c r="FE1115" s="17"/>
      <c r="FF1115" s="17"/>
      <c r="FG1115" s="11"/>
      <c r="GT1115" s="11"/>
      <c r="IG1115" s="11"/>
      <c r="JT1115" s="11"/>
      <c r="LG1115" s="11"/>
      <c r="MT1115" s="11"/>
      <c r="OG1115" s="11"/>
      <c r="PT1115" s="11"/>
    </row>
    <row r="1116" spans="1:436" ht="15.75" x14ac:dyDescent="0.25">
      <c r="C1116" s="20" t="s">
        <v>823</v>
      </c>
      <c r="D1116" s="21" t="s">
        <v>82</v>
      </c>
      <c r="H1116" s="11"/>
      <c r="AU1116" s="11"/>
      <c r="CH1116" s="11"/>
      <c r="CI1116" s="16"/>
      <c r="CJ1116" s="16"/>
      <c r="CK1116" s="16"/>
      <c r="CL1116" s="16"/>
      <c r="CM1116" s="16"/>
      <c r="CN1116" s="16"/>
      <c r="CO1116" s="16"/>
      <c r="CP1116" s="16"/>
      <c r="CQ1116" s="16"/>
      <c r="CR1116" s="16"/>
      <c r="CS1116" s="16"/>
      <c r="CT1116" s="16"/>
      <c r="CU1116" s="16"/>
      <c r="CV1116" s="16"/>
      <c r="CW1116" s="16"/>
      <c r="CX1116" s="16"/>
      <c r="CY1116" s="16"/>
      <c r="CZ1116" s="16"/>
      <c r="DA1116" s="16"/>
      <c r="DB1116" s="16"/>
      <c r="DC1116" s="16"/>
      <c r="DD1116" s="16"/>
      <c r="DE1116" s="17"/>
      <c r="DF1116" s="17"/>
      <c r="DG1116" s="16"/>
      <c r="DH1116" s="16"/>
      <c r="DI1116" s="17"/>
      <c r="DJ1116" s="17"/>
      <c r="DK1116" s="16"/>
      <c r="DL1116" s="16"/>
      <c r="DM1116" s="17"/>
      <c r="DN1116" s="17"/>
      <c r="DO1116" s="16"/>
      <c r="DP1116" s="16"/>
      <c r="DQ1116" s="17"/>
      <c r="DR1116" s="17"/>
      <c r="DS1116" s="16"/>
      <c r="DT1116" s="16"/>
      <c r="DU1116" s="17"/>
      <c r="DV1116" s="17"/>
      <c r="DW1116" s="16"/>
      <c r="DX1116" s="16"/>
      <c r="DY1116" s="17"/>
      <c r="DZ1116" s="17"/>
      <c r="EA1116" s="16"/>
      <c r="EB1116" s="16"/>
      <c r="EC1116" s="17"/>
      <c r="ED1116" s="17"/>
      <c r="EE1116" s="16"/>
      <c r="EF1116" s="16"/>
      <c r="EG1116" s="17"/>
      <c r="EH1116" s="17"/>
      <c r="EI1116" s="16"/>
      <c r="EJ1116" s="16"/>
      <c r="EK1116" s="17"/>
      <c r="EL1116" s="17"/>
      <c r="EM1116" s="16"/>
      <c r="EN1116" s="16"/>
      <c r="EO1116" s="17"/>
      <c r="EP1116" s="17"/>
      <c r="EQ1116" s="16"/>
      <c r="ER1116" s="16"/>
      <c r="ES1116" s="18">
        <v>1</v>
      </c>
      <c r="ET1116" s="18">
        <v>2</v>
      </c>
      <c r="EU1116" s="16"/>
      <c r="EV1116" s="16"/>
      <c r="EW1116" s="17"/>
      <c r="EX1116" s="17"/>
      <c r="EY1116" s="16"/>
      <c r="EZ1116" s="16"/>
      <c r="FA1116" s="17"/>
      <c r="FB1116" s="17"/>
      <c r="FC1116" s="16"/>
      <c r="FD1116" s="16"/>
      <c r="FE1116" s="17"/>
      <c r="FF1116" s="17"/>
      <c r="FG1116" s="11"/>
      <c r="GT1116" s="11"/>
      <c r="IG1116" s="11"/>
      <c r="JT1116" s="11"/>
      <c r="LG1116" s="11"/>
      <c r="MT1116" s="11"/>
      <c r="OG1116" s="11"/>
      <c r="PT1116" s="11"/>
    </row>
    <row r="1117" spans="1:436" ht="15.75" x14ac:dyDescent="0.25">
      <c r="C1117" s="20" t="s">
        <v>824</v>
      </c>
      <c r="D1117" s="21" t="s">
        <v>82</v>
      </c>
      <c r="H1117" s="11"/>
      <c r="AU1117" s="11"/>
      <c r="CH1117" s="11"/>
      <c r="CI1117" s="16"/>
      <c r="CJ1117" s="16"/>
      <c r="CK1117" s="16"/>
      <c r="CL1117" s="16"/>
      <c r="CM1117" s="16"/>
      <c r="CN1117" s="16"/>
      <c r="CO1117" s="16"/>
      <c r="CP1117" s="16"/>
      <c r="CQ1117" s="16"/>
      <c r="CR1117" s="16"/>
      <c r="CS1117" s="16"/>
      <c r="CT1117" s="16"/>
      <c r="CU1117" s="16"/>
      <c r="CV1117" s="16"/>
      <c r="CW1117" s="16"/>
      <c r="CX1117" s="16"/>
      <c r="CY1117" s="16"/>
      <c r="CZ1117" s="16"/>
      <c r="DA1117" s="16"/>
      <c r="DB1117" s="16"/>
      <c r="DC1117" s="16"/>
      <c r="DD1117" s="16"/>
      <c r="DE1117" s="17"/>
      <c r="DF1117" s="17"/>
      <c r="DG1117" s="16"/>
      <c r="DH1117" s="16"/>
      <c r="DI1117" s="17"/>
      <c r="DJ1117" s="17"/>
      <c r="DK1117" s="16"/>
      <c r="DL1117" s="16"/>
      <c r="DM1117" s="17"/>
      <c r="DN1117" s="17"/>
      <c r="DO1117" s="16"/>
      <c r="DP1117" s="16"/>
      <c r="DQ1117" s="17"/>
      <c r="DR1117" s="17"/>
      <c r="DS1117" s="16"/>
      <c r="DT1117" s="16"/>
      <c r="DU1117" s="17"/>
      <c r="DV1117" s="17"/>
      <c r="DW1117" s="16"/>
      <c r="DX1117" s="16"/>
      <c r="DY1117" s="17"/>
      <c r="DZ1117" s="17"/>
      <c r="EA1117" s="16"/>
      <c r="EB1117" s="16"/>
      <c r="EC1117" s="17"/>
      <c r="ED1117" s="17"/>
      <c r="EE1117" s="16"/>
      <c r="EF1117" s="16"/>
      <c r="EG1117" s="17"/>
      <c r="EH1117" s="17"/>
      <c r="EI1117" s="16"/>
      <c r="EJ1117" s="16"/>
      <c r="EK1117" s="17"/>
      <c r="EL1117" s="17"/>
      <c r="EM1117" s="16"/>
      <c r="EN1117" s="16"/>
      <c r="EO1117" s="17"/>
      <c r="EP1117" s="17"/>
      <c r="EQ1117" s="16"/>
      <c r="ER1117" s="16"/>
      <c r="ES1117" s="18">
        <v>1</v>
      </c>
      <c r="ET1117" s="18">
        <v>2</v>
      </c>
      <c r="EU1117" s="16"/>
      <c r="EV1117" s="16"/>
      <c r="EW1117" s="17"/>
      <c r="EX1117" s="17"/>
      <c r="EY1117" s="16"/>
      <c r="EZ1117" s="16"/>
      <c r="FA1117" s="17"/>
      <c r="FB1117" s="17"/>
      <c r="FC1117" s="16"/>
      <c r="FD1117" s="16"/>
      <c r="FE1117" s="17"/>
      <c r="FF1117" s="17"/>
      <c r="FG1117" s="11"/>
      <c r="GT1117" s="11"/>
      <c r="IG1117" s="11"/>
      <c r="JT1117" s="11"/>
      <c r="LG1117" s="11"/>
      <c r="MT1117" s="11"/>
      <c r="OG1117" s="11"/>
      <c r="PT1117" s="11"/>
    </row>
    <row r="1118" spans="1:436" ht="15.75" x14ac:dyDescent="0.25">
      <c r="C1118" s="20" t="s">
        <v>816</v>
      </c>
      <c r="D1118" s="21" t="s">
        <v>129</v>
      </c>
      <c r="H1118" s="11"/>
      <c r="AU1118" s="11"/>
      <c r="CH1118" s="11"/>
      <c r="CI1118" s="16"/>
      <c r="CJ1118" s="16"/>
      <c r="CK1118" s="16"/>
      <c r="CL1118" s="16"/>
      <c r="CM1118" s="16"/>
      <c r="CN1118" s="16"/>
      <c r="CO1118" s="16"/>
      <c r="CP1118" s="16"/>
      <c r="CQ1118" s="16"/>
      <c r="CR1118" s="16"/>
      <c r="CS1118" s="16"/>
      <c r="CT1118" s="16"/>
      <c r="CU1118" s="16"/>
      <c r="CV1118" s="16"/>
      <c r="CW1118" s="16"/>
      <c r="CX1118" s="16"/>
      <c r="CY1118" s="16"/>
      <c r="CZ1118" s="16"/>
      <c r="DA1118" s="16"/>
      <c r="DB1118" s="16"/>
      <c r="DC1118" s="16"/>
      <c r="DD1118" s="16"/>
      <c r="DE1118" s="17"/>
      <c r="DF1118" s="17"/>
      <c r="DG1118" s="16"/>
      <c r="DH1118" s="16"/>
      <c r="DI1118" s="17"/>
      <c r="DJ1118" s="17"/>
      <c r="DK1118" s="16"/>
      <c r="DL1118" s="16"/>
      <c r="DM1118" s="17"/>
      <c r="DN1118" s="17"/>
      <c r="DO1118" s="16"/>
      <c r="DP1118" s="16"/>
      <c r="DQ1118" s="17"/>
      <c r="DR1118" s="17"/>
      <c r="DS1118" s="16"/>
      <c r="DT1118" s="16"/>
      <c r="DU1118" s="17"/>
      <c r="DV1118" s="17"/>
      <c r="DW1118" s="16"/>
      <c r="DX1118" s="16"/>
      <c r="DY1118" s="17"/>
      <c r="DZ1118" s="17"/>
      <c r="EA1118" s="16"/>
      <c r="EB1118" s="16"/>
      <c r="EC1118" s="17"/>
      <c r="ED1118" s="17"/>
      <c r="EE1118" s="16"/>
      <c r="EF1118" s="16"/>
      <c r="EG1118" s="17"/>
      <c r="EH1118" s="17"/>
      <c r="EI1118" s="16"/>
      <c r="EJ1118" s="16"/>
      <c r="EK1118" s="17"/>
      <c r="EL1118" s="17"/>
      <c r="EM1118" s="16"/>
      <c r="EN1118" s="16"/>
      <c r="EO1118" s="17"/>
      <c r="EP1118" s="17"/>
      <c r="EQ1118" s="16"/>
      <c r="ER1118" s="16"/>
      <c r="ES1118" s="17"/>
      <c r="ET1118" s="17"/>
      <c r="EU1118" s="16"/>
      <c r="EV1118" s="16"/>
      <c r="EW1118" s="17"/>
      <c r="EX1118" s="17"/>
      <c r="EY1118" s="16"/>
      <c r="EZ1118" s="16"/>
      <c r="FA1118" s="17"/>
      <c r="FB1118" s="17"/>
      <c r="FC1118" s="16"/>
      <c r="FD1118" s="16"/>
      <c r="FE1118" s="17"/>
      <c r="FF1118" s="17"/>
      <c r="FG1118" s="11"/>
      <c r="GT1118" s="11"/>
      <c r="IG1118" s="11"/>
      <c r="JT1118" s="11"/>
      <c r="LG1118" s="11"/>
      <c r="MT1118" s="11"/>
      <c r="OG1118" s="11"/>
      <c r="PT1118" s="11"/>
    </row>
    <row r="1119" spans="1:436" ht="15.75" x14ac:dyDescent="0.25">
      <c r="C1119" s="20" t="s">
        <v>817</v>
      </c>
      <c r="D1119" s="21" t="s">
        <v>162</v>
      </c>
      <c r="H1119" s="11"/>
      <c r="AU1119" s="11"/>
      <c r="CH1119" s="11"/>
      <c r="CI1119" s="16"/>
      <c r="CJ1119" s="16"/>
      <c r="CK1119" s="16"/>
      <c r="CL1119" s="16"/>
      <c r="CM1119" s="16"/>
      <c r="CN1119" s="16"/>
      <c r="CO1119" s="16"/>
      <c r="CP1119" s="16"/>
      <c r="CQ1119" s="16"/>
      <c r="CR1119" s="16"/>
      <c r="CS1119" s="16"/>
      <c r="CT1119" s="16"/>
      <c r="CU1119" s="16"/>
      <c r="CV1119" s="16"/>
      <c r="CW1119" s="16"/>
      <c r="CX1119" s="16"/>
      <c r="CY1119" s="16"/>
      <c r="CZ1119" s="16"/>
      <c r="DA1119" s="16"/>
      <c r="DB1119" s="16"/>
      <c r="DC1119" s="16"/>
      <c r="DD1119" s="16"/>
      <c r="DE1119" s="17"/>
      <c r="DF1119" s="17"/>
      <c r="DG1119" s="16"/>
      <c r="DH1119" s="16"/>
      <c r="DI1119" s="17"/>
      <c r="DJ1119" s="17"/>
      <c r="DK1119" s="16"/>
      <c r="DL1119" s="16"/>
      <c r="DM1119" s="17"/>
      <c r="DN1119" s="17"/>
      <c r="DO1119" s="16"/>
      <c r="DP1119" s="16"/>
      <c r="DQ1119" s="17"/>
      <c r="DR1119" s="17"/>
      <c r="DS1119" s="16"/>
      <c r="DT1119" s="16"/>
      <c r="DU1119" s="17"/>
      <c r="DV1119" s="17"/>
      <c r="DW1119" s="16"/>
      <c r="DX1119" s="16"/>
      <c r="DY1119" s="17"/>
      <c r="DZ1119" s="17"/>
      <c r="EA1119" s="16"/>
      <c r="EB1119" s="16"/>
      <c r="EC1119" s="17"/>
      <c r="ED1119" s="17"/>
      <c r="EE1119" s="16"/>
      <c r="EF1119" s="16"/>
      <c r="EG1119" s="17"/>
      <c r="EH1119" s="17"/>
      <c r="EI1119" s="16"/>
      <c r="EJ1119" s="16"/>
      <c r="EK1119" s="17"/>
      <c r="EL1119" s="17"/>
      <c r="EM1119" s="16"/>
      <c r="EN1119" s="16"/>
      <c r="EO1119" s="17"/>
      <c r="EP1119" s="17"/>
      <c r="EQ1119" s="16"/>
      <c r="ER1119" s="16"/>
      <c r="ES1119" s="17"/>
      <c r="ET1119" s="17"/>
      <c r="EU1119" s="16"/>
      <c r="EV1119" s="16"/>
      <c r="EW1119" s="17"/>
      <c r="EX1119" s="17"/>
      <c r="EY1119" s="16"/>
      <c r="EZ1119" s="16"/>
      <c r="FA1119" s="17"/>
      <c r="FB1119" s="17"/>
      <c r="FC1119" s="16"/>
      <c r="FD1119" s="16"/>
      <c r="FE1119" s="17"/>
      <c r="FF1119" s="17"/>
      <c r="FG1119" s="11"/>
      <c r="GT1119" s="11"/>
      <c r="IG1119" s="11"/>
      <c r="JT1119" s="11"/>
      <c r="LG1119" s="11"/>
      <c r="MT1119" s="11"/>
      <c r="OG1119" s="11"/>
      <c r="PT1119" s="11"/>
    </row>
    <row r="1120" spans="1:436" ht="15.75" x14ac:dyDescent="0.25">
      <c r="C1120" s="20" t="s">
        <v>818</v>
      </c>
      <c r="D1120" s="21" t="s">
        <v>203</v>
      </c>
      <c r="H1120" s="11"/>
      <c r="AU1120" s="11"/>
      <c r="CH1120" s="11"/>
      <c r="CI1120" s="16"/>
      <c r="CJ1120" s="16"/>
      <c r="CK1120" s="16"/>
      <c r="CL1120" s="16"/>
      <c r="CM1120" s="16"/>
      <c r="CN1120" s="16"/>
      <c r="CO1120" s="16"/>
      <c r="CP1120" s="16"/>
      <c r="CQ1120" s="16"/>
      <c r="CR1120" s="16"/>
      <c r="CS1120" s="16"/>
      <c r="CT1120" s="16"/>
      <c r="CU1120" s="16"/>
      <c r="CV1120" s="16"/>
      <c r="CW1120" s="16"/>
      <c r="CX1120" s="16"/>
      <c r="CY1120" s="16"/>
      <c r="CZ1120" s="16"/>
      <c r="DA1120" s="16"/>
      <c r="DB1120" s="16"/>
      <c r="DC1120" s="16"/>
      <c r="DD1120" s="16"/>
      <c r="DE1120" s="17"/>
      <c r="DF1120" s="17"/>
      <c r="DG1120" s="16"/>
      <c r="DH1120" s="16"/>
      <c r="DI1120" s="17"/>
      <c r="DJ1120" s="17"/>
      <c r="DK1120" s="16"/>
      <c r="DL1120" s="16"/>
      <c r="DM1120" s="17"/>
      <c r="DN1120" s="17"/>
      <c r="DO1120" s="16"/>
      <c r="DP1120" s="16"/>
      <c r="DQ1120" s="17"/>
      <c r="DR1120" s="17"/>
      <c r="DS1120" s="16"/>
      <c r="DT1120" s="16"/>
      <c r="DU1120" s="17"/>
      <c r="DV1120" s="17"/>
      <c r="DW1120" s="16"/>
      <c r="DX1120" s="16"/>
      <c r="DY1120" s="17"/>
      <c r="DZ1120" s="17"/>
      <c r="EA1120" s="16"/>
      <c r="EB1120" s="16"/>
      <c r="EC1120" s="17"/>
      <c r="ED1120" s="17"/>
      <c r="EE1120" s="16"/>
      <c r="EF1120" s="16"/>
      <c r="EG1120" s="17"/>
      <c r="EH1120" s="17"/>
      <c r="EI1120" s="16"/>
      <c r="EJ1120" s="16"/>
      <c r="EK1120" s="17"/>
      <c r="EL1120" s="17"/>
      <c r="EM1120" s="16"/>
      <c r="EN1120" s="16"/>
      <c r="EO1120" s="17"/>
      <c r="EP1120" s="17"/>
      <c r="EQ1120" s="16"/>
      <c r="ER1120" s="16"/>
      <c r="ES1120" s="17"/>
      <c r="ET1120" s="17"/>
      <c r="EU1120" s="16"/>
      <c r="EV1120" s="16"/>
      <c r="EW1120" s="17"/>
      <c r="EX1120" s="17"/>
      <c r="EY1120" s="16"/>
      <c r="EZ1120" s="16"/>
      <c r="FA1120" s="17"/>
      <c r="FB1120" s="17"/>
      <c r="FC1120" s="16"/>
      <c r="FD1120" s="16"/>
      <c r="FE1120" s="17"/>
      <c r="FF1120" s="17"/>
      <c r="FG1120" s="11"/>
      <c r="GT1120" s="11"/>
      <c r="IG1120" s="11"/>
      <c r="JT1120" s="11"/>
      <c r="LG1120" s="11"/>
      <c r="MT1120" s="11"/>
      <c r="OG1120" s="11"/>
      <c r="PT1120" s="11"/>
    </row>
    <row r="1121" spans="1:474" ht="15.75" x14ac:dyDescent="0.25">
      <c r="C1121" s="20" t="s">
        <v>819</v>
      </c>
      <c r="D1121" s="21" t="s">
        <v>142</v>
      </c>
      <c r="H1121" s="11"/>
      <c r="AU1121" s="11"/>
      <c r="CH1121" s="11"/>
      <c r="CI1121" s="16"/>
      <c r="CJ1121" s="16"/>
      <c r="CK1121" s="16"/>
      <c r="CL1121" s="16"/>
      <c r="CM1121" s="16"/>
      <c r="CN1121" s="16"/>
      <c r="CO1121" s="16"/>
      <c r="CP1121" s="16"/>
      <c r="CQ1121" s="16"/>
      <c r="CR1121" s="16"/>
      <c r="CS1121" s="16"/>
      <c r="CT1121" s="16"/>
      <c r="CU1121" s="16"/>
      <c r="CV1121" s="16"/>
      <c r="CW1121" s="16"/>
      <c r="CX1121" s="16"/>
      <c r="CY1121" s="16"/>
      <c r="CZ1121" s="16"/>
      <c r="DA1121" s="16"/>
      <c r="DB1121" s="16"/>
      <c r="DC1121" s="16"/>
      <c r="DD1121" s="16"/>
      <c r="DE1121" s="17"/>
      <c r="DF1121" s="17"/>
      <c r="DG1121" s="16"/>
      <c r="DH1121" s="16"/>
      <c r="DI1121" s="17"/>
      <c r="DJ1121" s="17"/>
      <c r="DK1121" s="16"/>
      <c r="DL1121" s="16"/>
      <c r="DM1121" s="17"/>
      <c r="DN1121" s="17"/>
      <c r="DO1121" s="16"/>
      <c r="DP1121" s="16"/>
      <c r="DQ1121" s="17"/>
      <c r="DR1121" s="17"/>
      <c r="DS1121" s="16"/>
      <c r="DT1121" s="16"/>
      <c r="DU1121" s="17"/>
      <c r="DV1121" s="17"/>
      <c r="DW1121" s="16"/>
      <c r="DX1121" s="16"/>
      <c r="DY1121" s="17"/>
      <c r="DZ1121" s="17"/>
      <c r="EA1121" s="16"/>
      <c r="EB1121" s="16"/>
      <c r="EC1121" s="17"/>
      <c r="ED1121" s="17"/>
      <c r="EE1121" s="16"/>
      <c r="EF1121" s="16"/>
      <c r="EG1121" s="17"/>
      <c r="EH1121" s="17"/>
      <c r="EI1121" s="16"/>
      <c r="EJ1121" s="16"/>
      <c r="EK1121" s="17"/>
      <c r="EL1121" s="17"/>
      <c r="EM1121" s="16"/>
      <c r="EN1121" s="16"/>
      <c r="EO1121" s="17"/>
      <c r="EP1121" s="17"/>
      <c r="EQ1121" s="16"/>
      <c r="ER1121" s="16"/>
      <c r="ES1121" s="17"/>
      <c r="ET1121" s="17"/>
      <c r="EU1121" s="16"/>
      <c r="EV1121" s="16"/>
      <c r="EW1121" s="17"/>
      <c r="EX1121" s="17"/>
      <c r="EY1121" s="16"/>
      <c r="EZ1121" s="16"/>
      <c r="FA1121" s="17"/>
      <c r="FB1121" s="17"/>
      <c r="FC1121" s="16"/>
      <c r="FD1121" s="16"/>
      <c r="FE1121" s="17"/>
      <c r="FF1121" s="17"/>
      <c r="FG1121" s="11"/>
      <c r="GT1121" s="11"/>
      <c r="IG1121" s="11"/>
      <c r="JT1121" s="11"/>
      <c r="LG1121" s="11"/>
      <c r="MT1121" s="11"/>
      <c r="OG1121" s="11"/>
      <c r="PT1121" s="11"/>
    </row>
    <row r="1122" spans="1:474" ht="15.75" x14ac:dyDescent="0.25">
      <c r="C1122" s="20" t="s">
        <v>825</v>
      </c>
      <c r="D1122" s="21" t="s">
        <v>203</v>
      </c>
      <c r="H1122" s="11"/>
      <c r="AU1122" s="11"/>
      <c r="CH1122" s="11"/>
      <c r="CI1122" s="16"/>
      <c r="CJ1122" s="16"/>
      <c r="CK1122" s="16"/>
      <c r="CL1122" s="16"/>
      <c r="CM1122" s="16"/>
      <c r="CN1122" s="16"/>
      <c r="CO1122" s="16"/>
      <c r="CP1122" s="16"/>
      <c r="CQ1122" s="16"/>
      <c r="CR1122" s="16"/>
      <c r="CS1122" s="16"/>
      <c r="CT1122" s="16"/>
      <c r="CU1122" s="16"/>
      <c r="CV1122" s="16"/>
      <c r="CW1122" s="16"/>
      <c r="CX1122" s="16"/>
      <c r="CY1122" s="16"/>
      <c r="CZ1122" s="16"/>
      <c r="DA1122" s="16"/>
      <c r="DB1122" s="16"/>
      <c r="DC1122" s="16"/>
      <c r="DD1122" s="16"/>
      <c r="DE1122" s="17"/>
      <c r="DF1122" s="17"/>
      <c r="DG1122" s="16"/>
      <c r="DH1122" s="16"/>
      <c r="DI1122" s="17"/>
      <c r="DJ1122" s="17"/>
      <c r="DK1122" s="16"/>
      <c r="DL1122" s="16"/>
      <c r="DM1122" s="17"/>
      <c r="DN1122" s="17"/>
      <c r="DO1122" s="16"/>
      <c r="DP1122" s="16"/>
      <c r="DQ1122" s="17"/>
      <c r="DR1122" s="17"/>
      <c r="DS1122" s="16"/>
      <c r="DT1122" s="16"/>
      <c r="DU1122" s="17"/>
      <c r="DV1122" s="17"/>
      <c r="DW1122" s="16"/>
      <c r="DX1122" s="16"/>
      <c r="DY1122" s="17"/>
      <c r="DZ1122" s="17"/>
      <c r="EA1122" s="16"/>
      <c r="EB1122" s="16"/>
      <c r="EC1122" s="17"/>
      <c r="ED1122" s="17"/>
      <c r="EE1122" s="16"/>
      <c r="EF1122" s="16"/>
      <c r="EG1122" s="18">
        <v>2</v>
      </c>
      <c r="EH1122" s="18">
        <v>2</v>
      </c>
      <c r="EI1122" s="16"/>
      <c r="EJ1122" s="16"/>
      <c r="EK1122" s="17"/>
      <c r="EL1122" s="17"/>
      <c r="EM1122" s="16"/>
      <c r="EN1122" s="16"/>
      <c r="EO1122" s="17"/>
      <c r="EP1122" s="17"/>
      <c r="EQ1122" s="16"/>
      <c r="ER1122" s="16"/>
      <c r="ES1122" s="17"/>
      <c r="ET1122" s="17"/>
      <c r="EU1122" s="16"/>
      <c r="EV1122" s="16"/>
      <c r="EW1122" s="17"/>
      <c r="EX1122" s="17"/>
      <c r="EY1122" s="16"/>
      <c r="EZ1122" s="16"/>
      <c r="FA1122" s="17"/>
      <c r="FB1122" s="17"/>
      <c r="FC1122" s="16"/>
      <c r="FD1122" s="16"/>
      <c r="FE1122" s="17"/>
      <c r="FF1122" s="17"/>
      <c r="FG1122" s="11"/>
      <c r="GT1122" s="11"/>
      <c r="IG1122" s="11"/>
      <c r="JT1122" s="11"/>
      <c r="LG1122" s="11"/>
      <c r="MT1122" s="11"/>
      <c r="OG1122" s="11"/>
      <c r="PT1122" s="11"/>
    </row>
    <row r="1123" spans="1:474" ht="15.75" x14ac:dyDescent="0.25">
      <c r="C1123" s="20" t="s">
        <v>826</v>
      </c>
      <c r="D1123" s="21" t="s">
        <v>203</v>
      </c>
      <c r="H1123" s="11"/>
      <c r="AU1123" s="11"/>
      <c r="CH1123" s="11"/>
      <c r="CI1123" s="16"/>
      <c r="CJ1123" s="16"/>
      <c r="CK1123" s="16"/>
      <c r="CL1123" s="16"/>
      <c r="CM1123" s="16"/>
      <c r="CN1123" s="16"/>
      <c r="CO1123" s="16"/>
      <c r="CP1123" s="16"/>
      <c r="CQ1123" s="16"/>
      <c r="CR1123" s="16"/>
      <c r="CS1123" s="16"/>
      <c r="CT1123" s="16"/>
      <c r="CU1123" s="16"/>
      <c r="CV1123" s="16"/>
      <c r="CW1123" s="16"/>
      <c r="CX1123" s="16"/>
      <c r="CY1123" s="16"/>
      <c r="CZ1123" s="16"/>
      <c r="DA1123" s="16"/>
      <c r="DB1123" s="16"/>
      <c r="DC1123" s="16"/>
      <c r="DD1123" s="16"/>
      <c r="DE1123" s="17"/>
      <c r="DF1123" s="17"/>
      <c r="DG1123" s="16"/>
      <c r="DH1123" s="16"/>
      <c r="DI1123" s="17"/>
      <c r="DJ1123" s="17"/>
      <c r="DK1123" s="16"/>
      <c r="DL1123" s="16"/>
      <c r="DM1123" s="17"/>
      <c r="DN1123" s="17"/>
      <c r="DO1123" s="16"/>
      <c r="DP1123" s="16"/>
      <c r="DQ1123" s="17"/>
      <c r="DR1123" s="17"/>
      <c r="DS1123" s="16"/>
      <c r="DT1123" s="16"/>
      <c r="DU1123" s="17"/>
      <c r="DV1123" s="17"/>
      <c r="DW1123" s="16"/>
      <c r="DX1123" s="16"/>
      <c r="DY1123" s="17"/>
      <c r="DZ1123" s="17"/>
      <c r="EA1123" s="16"/>
      <c r="EB1123" s="16"/>
      <c r="EC1123" s="17"/>
      <c r="ED1123" s="17"/>
      <c r="EE1123" s="16"/>
      <c r="EF1123" s="16"/>
      <c r="EG1123" s="18">
        <v>2</v>
      </c>
      <c r="EH1123" s="18">
        <v>2</v>
      </c>
      <c r="EI1123" s="16"/>
      <c r="EJ1123" s="16"/>
      <c r="EK1123" s="17"/>
      <c r="EL1123" s="17"/>
      <c r="EM1123" s="16"/>
      <c r="EN1123" s="16"/>
      <c r="EO1123" s="17"/>
      <c r="EP1123" s="17"/>
      <c r="EQ1123" s="16"/>
      <c r="ER1123" s="16"/>
      <c r="ES1123" s="17"/>
      <c r="ET1123" s="17"/>
      <c r="EU1123" s="16"/>
      <c r="EV1123" s="16"/>
      <c r="EW1123" s="17"/>
      <c r="EX1123" s="17"/>
      <c r="EY1123" s="16"/>
      <c r="EZ1123" s="16"/>
      <c r="FA1123" s="17"/>
      <c r="FB1123" s="17"/>
      <c r="FC1123" s="16"/>
      <c r="FD1123" s="16"/>
      <c r="FE1123" s="17"/>
      <c r="FF1123" s="17"/>
      <c r="FG1123" s="11"/>
      <c r="GT1123" s="11"/>
      <c r="IG1123" s="11"/>
      <c r="JT1123" s="11"/>
      <c r="LG1123" s="11"/>
      <c r="MT1123" s="11"/>
      <c r="OG1123" s="11"/>
      <c r="PT1123" s="11"/>
    </row>
    <row r="1124" spans="1:474" ht="15.75" x14ac:dyDescent="0.25">
      <c r="C1124" s="20" t="s">
        <v>822</v>
      </c>
      <c r="D1124" s="21" t="s">
        <v>90</v>
      </c>
      <c r="H1124" s="11"/>
      <c r="AU1124" s="11"/>
      <c r="CH1124" s="11"/>
      <c r="CI1124" s="16"/>
      <c r="CJ1124" s="16"/>
      <c r="CK1124" s="16"/>
      <c r="CL1124" s="16"/>
      <c r="CM1124" s="16"/>
      <c r="CN1124" s="16"/>
      <c r="CO1124" s="16"/>
      <c r="CP1124" s="16"/>
      <c r="CQ1124" s="16"/>
      <c r="CR1124" s="16"/>
      <c r="CS1124" s="16"/>
      <c r="CT1124" s="16"/>
      <c r="CU1124" s="16"/>
      <c r="CV1124" s="16"/>
      <c r="CW1124" s="16"/>
      <c r="CX1124" s="16"/>
      <c r="CY1124" s="16"/>
      <c r="CZ1124" s="16"/>
      <c r="DA1124" s="16"/>
      <c r="DB1124" s="16"/>
      <c r="DC1124" s="16"/>
      <c r="DD1124" s="16"/>
      <c r="DE1124" s="17"/>
      <c r="DF1124" s="17"/>
      <c r="DG1124" s="16"/>
      <c r="DH1124" s="16"/>
      <c r="DI1124" s="17"/>
      <c r="DJ1124" s="17"/>
      <c r="DK1124" s="16"/>
      <c r="DL1124" s="16"/>
      <c r="DM1124" s="17"/>
      <c r="DN1124" s="17"/>
      <c r="DO1124" s="16"/>
      <c r="DP1124" s="16"/>
      <c r="DQ1124" s="17"/>
      <c r="DR1124" s="17"/>
      <c r="DS1124" s="16"/>
      <c r="DT1124" s="16"/>
      <c r="DU1124" s="17"/>
      <c r="DV1124" s="17"/>
      <c r="DW1124" s="16"/>
      <c r="DX1124" s="16"/>
      <c r="DY1124" s="17"/>
      <c r="DZ1124" s="17"/>
      <c r="EA1124" s="16"/>
      <c r="EB1124" s="16"/>
      <c r="EC1124" s="17"/>
      <c r="ED1124" s="17"/>
      <c r="EE1124" s="16"/>
      <c r="EF1124" s="16"/>
      <c r="EG1124" s="17"/>
      <c r="EH1124" s="17"/>
      <c r="EI1124" s="16"/>
      <c r="EJ1124" s="16"/>
      <c r="EK1124" s="17"/>
      <c r="EL1124" s="17"/>
      <c r="EM1124" s="16"/>
      <c r="EN1124" s="16"/>
      <c r="EO1124" s="17"/>
      <c r="EP1124" s="17"/>
      <c r="EQ1124" s="16"/>
      <c r="ER1124" s="16"/>
      <c r="ES1124" s="17"/>
      <c r="ET1124" s="17"/>
      <c r="EU1124" s="16"/>
      <c r="EV1124" s="16"/>
      <c r="EW1124" s="17"/>
      <c r="EX1124" s="17"/>
      <c r="EY1124" s="16"/>
      <c r="EZ1124" s="16"/>
      <c r="FA1124" s="17"/>
      <c r="FB1124" s="17"/>
      <c r="FC1124" s="16"/>
      <c r="FD1124" s="16"/>
      <c r="FE1124" s="17"/>
      <c r="FF1124" s="17"/>
      <c r="FG1124" s="11"/>
      <c r="GT1124" s="11"/>
      <c r="IG1124" s="11"/>
      <c r="JT1124" s="11"/>
      <c r="LG1124" s="11"/>
      <c r="MT1124" s="11"/>
      <c r="OG1124" s="11"/>
      <c r="PT1124" s="11"/>
    </row>
    <row r="1125" spans="1:474" ht="15.75" x14ac:dyDescent="0.25">
      <c r="C1125" s="20" t="s">
        <v>827</v>
      </c>
      <c r="D1125" s="21" t="s">
        <v>162</v>
      </c>
      <c r="H1125" s="11"/>
      <c r="AU1125" s="11"/>
      <c r="CH1125" s="11"/>
      <c r="CI1125" s="16"/>
      <c r="CJ1125" s="16"/>
      <c r="CK1125" s="16"/>
      <c r="CL1125" s="16"/>
      <c r="CM1125" s="16"/>
      <c r="CN1125" s="16"/>
      <c r="CO1125" s="16"/>
      <c r="CP1125" s="16"/>
      <c r="CQ1125" s="16"/>
      <c r="CR1125" s="16"/>
      <c r="CS1125" s="16"/>
      <c r="CT1125" s="16"/>
      <c r="CU1125" s="16"/>
      <c r="CV1125" s="16"/>
      <c r="CW1125" s="16"/>
      <c r="CX1125" s="16"/>
      <c r="CY1125" s="16"/>
      <c r="CZ1125" s="16"/>
      <c r="DA1125" s="16"/>
      <c r="DB1125" s="16"/>
      <c r="DC1125" s="16"/>
      <c r="DD1125" s="16"/>
      <c r="DE1125" s="17"/>
      <c r="DF1125" s="17"/>
      <c r="DG1125" s="16"/>
      <c r="DH1125" s="16"/>
      <c r="DI1125" s="17"/>
      <c r="DJ1125" s="17"/>
      <c r="DK1125" s="16"/>
      <c r="DL1125" s="16"/>
      <c r="DM1125" s="17"/>
      <c r="DN1125" s="17"/>
      <c r="DO1125" s="16"/>
      <c r="DP1125" s="16"/>
      <c r="DQ1125" s="17"/>
      <c r="DR1125" s="17"/>
      <c r="DS1125" s="16"/>
      <c r="DT1125" s="16"/>
      <c r="DU1125" s="17"/>
      <c r="DV1125" s="17"/>
      <c r="DW1125" s="16"/>
      <c r="DX1125" s="16"/>
      <c r="DY1125" s="17"/>
      <c r="DZ1125" s="17"/>
      <c r="EA1125" s="16"/>
      <c r="EB1125" s="16"/>
      <c r="EC1125" s="17"/>
      <c r="ED1125" s="17"/>
      <c r="EE1125" s="16"/>
      <c r="EF1125" s="16"/>
      <c r="EG1125" s="17"/>
      <c r="EH1125" s="17"/>
      <c r="EI1125" s="16"/>
      <c r="EJ1125" s="16"/>
      <c r="EK1125" s="17"/>
      <c r="EL1125" s="17"/>
      <c r="EM1125" s="16"/>
      <c r="EN1125" s="16"/>
      <c r="EO1125" s="17"/>
      <c r="EP1125" s="17"/>
      <c r="EQ1125" s="16"/>
      <c r="ER1125" s="16"/>
      <c r="ES1125" s="17"/>
      <c r="ET1125" s="17"/>
      <c r="EU1125" s="16"/>
      <c r="EV1125" s="16"/>
      <c r="EW1125" s="17"/>
      <c r="EX1125" s="17"/>
      <c r="EY1125" s="16"/>
      <c r="EZ1125" s="16"/>
      <c r="FA1125" s="17"/>
      <c r="FB1125" s="17"/>
      <c r="FC1125" s="16"/>
      <c r="FD1125" s="16"/>
      <c r="FE1125" s="17"/>
      <c r="FF1125" s="17"/>
      <c r="FG1125" s="11"/>
      <c r="GT1125" s="11"/>
      <c r="IG1125" s="11"/>
      <c r="JT1125" s="11"/>
      <c r="LG1125" s="11"/>
      <c r="MT1125" s="11"/>
      <c r="OG1125" s="11"/>
      <c r="PT1125" s="11"/>
    </row>
    <row r="1126" spans="1:474" ht="15.75" x14ac:dyDescent="0.25">
      <c r="A1126" s="13"/>
      <c r="B1126" s="14" t="s">
        <v>828</v>
      </c>
      <c r="C1126" s="13"/>
      <c r="D1126" s="13"/>
      <c r="E1126" s="15" t="s">
        <v>127</v>
      </c>
      <c r="F1126" s="15" t="s">
        <v>177</v>
      </c>
      <c r="G1126" s="13"/>
      <c r="H1126" s="11"/>
      <c r="AU1126" s="11"/>
      <c r="CH1126" s="11"/>
      <c r="CI1126" s="16"/>
      <c r="CJ1126" s="16"/>
      <c r="CK1126" s="16"/>
      <c r="CL1126" s="16"/>
      <c r="CM1126" s="16"/>
      <c r="CN1126" s="16"/>
      <c r="CO1126" s="16"/>
      <c r="CP1126" s="16"/>
      <c r="CQ1126" s="16"/>
      <c r="CR1126" s="16"/>
      <c r="CS1126" s="16"/>
      <c r="CT1126" s="16"/>
      <c r="CU1126" s="16"/>
      <c r="CV1126" s="16"/>
      <c r="CW1126" s="16"/>
      <c r="CX1126" s="16"/>
      <c r="CY1126" s="16"/>
      <c r="CZ1126" s="16"/>
      <c r="DA1126" s="16"/>
      <c r="DB1126" s="16"/>
      <c r="DC1126" s="16"/>
      <c r="DD1126" s="16"/>
      <c r="DE1126" s="17"/>
      <c r="DF1126" s="17"/>
      <c r="DG1126" s="16"/>
      <c r="DH1126" s="16"/>
      <c r="DI1126" s="17"/>
      <c r="DJ1126" s="18">
        <v>1</v>
      </c>
      <c r="DK1126" s="16"/>
      <c r="DL1126" s="16"/>
      <c r="DM1126" s="17"/>
      <c r="DN1126" s="17"/>
      <c r="DO1126" s="16"/>
      <c r="DP1126" s="16"/>
      <c r="DQ1126" s="17"/>
      <c r="DR1126" s="17"/>
      <c r="DS1126" s="16"/>
      <c r="DT1126" s="16"/>
      <c r="DU1126" s="17"/>
      <c r="DV1126" s="18">
        <v>5</v>
      </c>
      <c r="DW1126" s="16"/>
      <c r="DX1126" s="16"/>
      <c r="DY1126" s="17"/>
      <c r="DZ1126" s="17"/>
      <c r="EA1126" s="16"/>
      <c r="EB1126" s="16"/>
      <c r="EC1126" s="17"/>
      <c r="ED1126" s="17"/>
      <c r="EE1126" s="16"/>
      <c r="EF1126" s="16"/>
      <c r="EG1126" s="17"/>
      <c r="EH1126" s="17"/>
      <c r="EI1126" s="16"/>
      <c r="EJ1126" s="16"/>
      <c r="EK1126" s="17"/>
      <c r="EL1126" s="17"/>
      <c r="EM1126" s="16"/>
      <c r="EN1126" s="16"/>
      <c r="EO1126" s="17"/>
      <c r="EP1126" s="17"/>
      <c r="EQ1126" s="16"/>
      <c r="ER1126" s="16"/>
      <c r="ES1126" s="17"/>
      <c r="ET1126" s="18">
        <v>20</v>
      </c>
      <c r="EU1126" s="16"/>
      <c r="EV1126" s="16"/>
      <c r="EW1126" s="17"/>
      <c r="EX1126" s="17"/>
      <c r="EY1126" s="16"/>
      <c r="EZ1126" s="16"/>
      <c r="FA1126" s="17"/>
      <c r="FB1126" s="17"/>
      <c r="FC1126" s="16"/>
      <c r="FD1126" s="19">
        <v>1</v>
      </c>
      <c r="FE1126" s="17"/>
      <c r="FF1126" s="17"/>
      <c r="FG1126" s="11"/>
      <c r="GT1126" s="11"/>
      <c r="IG1126" s="11"/>
      <c r="JT1126" s="11"/>
      <c r="LG1126" s="11"/>
      <c r="MT1126" s="11"/>
      <c r="OG1126" s="11"/>
      <c r="PT1126" s="11"/>
    </row>
    <row r="1127" spans="1:474" ht="15.75" x14ac:dyDescent="0.25">
      <c r="A1127" s="13"/>
      <c r="B1127" s="14" t="s">
        <v>829</v>
      </c>
      <c r="C1127" s="13"/>
      <c r="D1127" s="13"/>
      <c r="E1127" s="15" t="s">
        <v>127</v>
      </c>
      <c r="F1127" s="15" t="s">
        <v>177</v>
      </c>
      <c r="G1127" s="13"/>
      <c r="H1127" s="11"/>
      <c r="AU1127" s="11"/>
      <c r="CH1127" s="11"/>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c r="DD1127" s="16"/>
      <c r="DE1127" s="17"/>
      <c r="DF1127" s="17"/>
      <c r="DG1127" s="16"/>
      <c r="DH1127" s="16"/>
      <c r="DI1127" s="17"/>
      <c r="DJ1127" s="17"/>
      <c r="DK1127" s="16"/>
      <c r="DL1127" s="16"/>
      <c r="DM1127" s="17"/>
      <c r="DN1127" s="17"/>
      <c r="DO1127" s="16"/>
      <c r="DP1127" s="16"/>
      <c r="DQ1127" s="17"/>
      <c r="DR1127" s="17"/>
      <c r="DS1127" s="16"/>
      <c r="DT1127" s="16"/>
      <c r="DU1127" s="17"/>
      <c r="DV1127" s="17"/>
      <c r="DW1127" s="16"/>
      <c r="DX1127" s="16"/>
      <c r="DY1127" s="17"/>
      <c r="DZ1127" s="17"/>
      <c r="EA1127" s="16"/>
      <c r="EB1127" s="16"/>
      <c r="EC1127" s="17"/>
      <c r="ED1127" s="17"/>
      <c r="EE1127" s="16"/>
      <c r="EF1127" s="16"/>
      <c r="EG1127" s="17"/>
      <c r="EH1127" s="17"/>
      <c r="EI1127" s="16"/>
      <c r="EJ1127" s="16"/>
      <c r="EK1127" s="17"/>
      <c r="EL1127" s="17"/>
      <c r="EM1127" s="16"/>
      <c r="EN1127" s="16"/>
      <c r="EO1127" s="17"/>
      <c r="EP1127" s="17"/>
      <c r="EQ1127" s="16"/>
      <c r="ER1127" s="16"/>
      <c r="ES1127" s="17"/>
      <c r="ET1127" s="18">
        <v>30</v>
      </c>
      <c r="EU1127" s="16"/>
      <c r="EV1127" s="16"/>
      <c r="EW1127" s="17"/>
      <c r="EX1127" s="17"/>
      <c r="EY1127" s="16"/>
      <c r="EZ1127" s="16"/>
      <c r="FA1127" s="17"/>
      <c r="FB1127" s="17"/>
      <c r="FC1127" s="16"/>
      <c r="FD1127" s="16"/>
      <c r="FE1127" s="17"/>
      <c r="FF1127" s="17"/>
      <c r="FG1127" s="11"/>
      <c r="GT1127" s="11"/>
      <c r="IG1127" s="11"/>
      <c r="JT1127" s="11"/>
      <c r="LG1127" s="11"/>
      <c r="MT1127" s="11"/>
      <c r="OG1127" s="11"/>
      <c r="PT1127" s="11"/>
    </row>
    <row r="1128" spans="1:474" ht="15.75" x14ac:dyDescent="0.25">
      <c r="A1128" s="13"/>
      <c r="B1128" s="14" t="s">
        <v>830</v>
      </c>
      <c r="C1128" s="13"/>
      <c r="D1128" s="13"/>
      <c r="E1128" s="15" t="s">
        <v>217</v>
      </c>
      <c r="F1128" s="15" t="s">
        <v>132</v>
      </c>
      <c r="G1128" s="13"/>
      <c r="H1128" s="11"/>
      <c r="AU1128" s="11"/>
      <c r="CH1128" s="11"/>
      <c r="CI1128" s="16"/>
      <c r="CJ1128" s="16"/>
      <c r="CK1128" s="16"/>
      <c r="CL1128" s="16"/>
      <c r="CM1128" s="16"/>
      <c r="CN1128" s="16"/>
      <c r="CO1128" s="16"/>
      <c r="CP1128" s="16"/>
      <c r="CQ1128" s="16"/>
      <c r="CR1128" s="16"/>
      <c r="CS1128" s="16"/>
      <c r="CT1128" s="16"/>
      <c r="CU1128" s="16"/>
      <c r="CV1128" s="16"/>
      <c r="CW1128" s="16"/>
      <c r="CX1128" s="16"/>
      <c r="CY1128" s="16"/>
      <c r="CZ1128" s="16"/>
      <c r="DA1128" s="16"/>
      <c r="DB1128" s="16"/>
      <c r="DC1128" s="16"/>
      <c r="DD1128" s="16"/>
      <c r="DE1128" s="17"/>
      <c r="DF1128" s="17"/>
      <c r="DG1128" s="16"/>
      <c r="DH1128" s="16"/>
      <c r="DI1128" s="17"/>
      <c r="DJ1128" s="17"/>
      <c r="DK1128" s="16"/>
      <c r="DL1128" s="16"/>
      <c r="DM1128" s="17"/>
      <c r="DN1128" s="17"/>
      <c r="DO1128" s="16"/>
      <c r="DP1128" s="16"/>
      <c r="DQ1128" s="17"/>
      <c r="DR1128" s="17"/>
      <c r="DS1128" s="16"/>
      <c r="DT1128" s="16"/>
      <c r="DU1128" s="17"/>
      <c r="DV1128" s="17"/>
      <c r="DW1128" s="16"/>
      <c r="DX1128" s="19">
        <v>2</v>
      </c>
      <c r="DY1128" s="17"/>
      <c r="DZ1128" s="17"/>
      <c r="EA1128" s="16"/>
      <c r="EB1128" s="16"/>
      <c r="EC1128" s="17"/>
      <c r="ED1128" s="17"/>
      <c r="EE1128" s="16"/>
      <c r="EF1128" s="16"/>
      <c r="EG1128" s="17"/>
      <c r="EH1128" s="18">
        <v>5</v>
      </c>
      <c r="EI1128" s="16"/>
      <c r="EJ1128" s="16"/>
      <c r="EK1128" s="17"/>
      <c r="EL1128" s="17"/>
      <c r="EM1128" s="16"/>
      <c r="EN1128" s="16"/>
      <c r="EO1128" s="17"/>
      <c r="EP1128" s="17"/>
      <c r="EQ1128" s="16"/>
      <c r="ER1128" s="16"/>
      <c r="ES1128" s="17"/>
      <c r="ET1128" s="17"/>
      <c r="EU1128" s="16"/>
      <c r="EV1128" s="16"/>
      <c r="EW1128" s="17"/>
      <c r="EX1128" s="17"/>
      <c r="EY1128" s="16"/>
      <c r="EZ1128" s="16"/>
      <c r="FA1128" s="17"/>
      <c r="FB1128" s="17"/>
      <c r="FC1128" s="16"/>
      <c r="FD1128" s="19">
        <v>2</v>
      </c>
      <c r="FE1128" s="17"/>
      <c r="FF1128" s="17"/>
      <c r="FG1128" s="11"/>
      <c r="GT1128" s="11"/>
      <c r="IG1128" s="11"/>
      <c r="JT1128" s="11"/>
      <c r="LG1128" s="11"/>
      <c r="MT1128" s="11"/>
      <c r="OG1128" s="11"/>
      <c r="PT1128" s="11"/>
    </row>
    <row r="1129" spans="1:474" ht="15.75" x14ac:dyDescent="0.25">
      <c r="C1129" s="20" t="s">
        <v>831</v>
      </c>
      <c r="D1129" s="21" t="s">
        <v>90</v>
      </c>
      <c r="H1129" s="11"/>
      <c r="AU1129" s="11"/>
      <c r="CH1129" s="11"/>
      <c r="CI1129" s="16"/>
      <c r="CJ1129" s="16"/>
      <c r="CK1129" s="16"/>
      <c r="CL1129" s="16"/>
      <c r="CM1129" s="16"/>
      <c r="CN1129" s="16"/>
      <c r="CO1129" s="16"/>
      <c r="CP1129" s="16"/>
      <c r="CQ1129" s="16"/>
      <c r="CR1129" s="16"/>
      <c r="CS1129" s="16"/>
      <c r="CT1129" s="16"/>
      <c r="CU1129" s="16"/>
      <c r="CV1129" s="16"/>
      <c r="CW1129" s="16"/>
      <c r="CX1129" s="16"/>
      <c r="CY1129" s="16"/>
      <c r="CZ1129" s="16"/>
      <c r="DA1129" s="16"/>
      <c r="DB1129" s="16"/>
      <c r="DC1129" s="16"/>
      <c r="DD1129" s="16"/>
      <c r="DE1129" s="17"/>
      <c r="DF1129" s="17"/>
      <c r="DG1129" s="16"/>
      <c r="DH1129" s="16"/>
      <c r="DI1129" s="17"/>
      <c r="DJ1129" s="17"/>
      <c r="DK1129" s="16"/>
      <c r="DL1129" s="16"/>
      <c r="DM1129" s="17"/>
      <c r="DN1129" s="17"/>
      <c r="DO1129" s="16"/>
      <c r="DP1129" s="16"/>
      <c r="DQ1129" s="17"/>
      <c r="DR1129" s="17"/>
      <c r="DS1129" s="16"/>
      <c r="DT1129" s="16"/>
      <c r="DU1129" s="17"/>
      <c r="DV1129" s="17"/>
      <c r="DW1129" s="16"/>
      <c r="DX1129" s="16"/>
      <c r="DY1129" s="17"/>
      <c r="DZ1129" s="17"/>
      <c r="EA1129" s="16"/>
      <c r="EB1129" s="16"/>
      <c r="EC1129" s="17"/>
      <c r="ED1129" s="17"/>
      <c r="EE1129" s="16"/>
      <c r="EF1129" s="16"/>
      <c r="EG1129" s="17"/>
      <c r="EH1129" s="17"/>
      <c r="EI1129" s="16"/>
      <c r="EJ1129" s="16"/>
      <c r="EK1129" s="17"/>
      <c r="EL1129" s="17"/>
      <c r="EM1129" s="16"/>
      <c r="EN1129" s="16"/>
      <c r="EO1129" s="17"/>
      <c r="EP1129" s="17"/>
      <c r="EQ1129" s="16"/>
      <c r="ER1129" s="16"/>
      <c r="ES1129" s="17"/>
      <c r="ET1129" s="17"/>
      <c r="EU1129" s="16"/>
      <c r="EV1129" s="16"/>
      <c r="EW1129" s="17"/>
      <c r="EX1129" s="17"/>
      <c r="EY1129" s="16"/>
      <c r="EZ1129" s="16"/>
      <c r="FA1129" s="17"/>
      <c r="FB1129" s="17"/>
      <c r="FC1129" s="16"/>
      <c r="FD1129" s="16"/>
      <c r="FE1129" s="17"/>
      <c r="FF1129" s="17"/>
      <c r="FG1129" s="11"/>
      <c r="GT1129" s="11"/>
      <c r="IG1129" s="11"/>
      <c r="JT1129" s="11"/>
      <c r="LG1129" s="11"/>
      <c r="MT1129" s="11"/>
      <c r="OG1129" s="11"/>
      <c r="PT1129" s="11"/>
    </row>
    <row r="1130" spans="1:474" ht="15.75" x14ac:dyDescent="0.25">
      <c r="C1130" s="20" t="s">
        <v>832</v>
      </c>
      <c r="D1130" s="21" t="s">
        <v>203</v>
      </c>
      <c r="H1130" s="11"/>
      <c r="AU1130" s="11"/>
      <c r="CH1130" s="11"/>
      <c r="CI1130" s="16"/>
      <c r="CJ1130" s="16"/>
      <c r="CK1130" s="16"/>
      <c r="CL1130" s="16"/>
      <c r="CM1130" s="16"/>
      <c r="CN1130" s="16"/>
      <c r="CO1130" s="16"/>
      <c r="CP1130" s="16"/>
      <c r="CQ1130" s="16"/>
      <c r="CR1130" s="16"/>
      <c r="CS1130" s="16"/>
      <c r="CT1130" s="16"/>
      <c r="CU1130" s="16"/>
      <c r="CV1130" s="16"/>
      <c r="CW1130" s="16"/>
      <c r="CX1130" s="16"/>
      <c r="CY1130" s="16"/>
      <c r="CZ1130" s="16"/>
      <c r="DA1130" s="16"/>
      <c r="DB1130" s="16"/>
      <c r="DC1130" s="16"/>
      <c r="DD1130" s="16"/>
      <c r="DE1130" s="17"/>
      <c r="DF1130" s="17"/>
      <c r="DG1130" s="16"/>
      <c r="DH1130" s="16"/>
      <c r="DI1130" s="17"/>
      <c r="DJ1130" s="17"/>
      <c r="DK1130" s="16"/>
      <c r="DL1130" s="16"/>
      <c r="DM1130" s="17"/>
      <c r="DN1130" s="17"/>
      <c r="DO1130" s="16"/>
      <c r="DP1130" s="16"/>
      <c r="DQ1130" s="17"/>
      <c r="DR1130" s="17"/>
      <c r="DS1130" s="16"/>
      <c r="DT1130" s="16"/>
      <c r="DU1130" s="17"/>
      <c r="DV1130" s="17"/>
      <c r="DW1130" s="16"/>
      <c r="DX1130" s="16"/>
      <c r="DY1130" s="17"/>
      <c r="DZ1130" s="17"/>
      <c r="EA1130" s="16"/>
      <c r="EB1130" s="16"/>
      <c r="EC1130" s="17"/>
      <c r="ED1130" s="17"/>
      <c r="EE1130" s="16"/>
      <c r="EF1130" s="16"/>
      <c r="EG1130" s="18">
        <v>1</v>
      </c>
      <c r="EH1130" s="18">
        <v>1</v>
      </c>
      <c r="EI1130" s="16"/>
      <c r="EJ1130" s="16"/>
      <c r="EK1130" s="17"/>
      <c r="EL1130" s="17"/>
      <c r="EM1130" s="16"/>
      <c r="EN1130" s="16"/>
      <c r="EO1130" s="17"/>
      <c r="EP1130" s="17"/>
      <c r="EQ1130" s="16"/>
      <c r="ER1130" s="16"/>
      <c r="ES1130" s="17"/>
      <c r="ET1130" s="17"/>
      <c r="EU1130" s="16"/>
      <c r="EV1130" s="16"/>
      <c r="EW1130" s="17"/>
      <c r="EX1130" s="17"/>
      <c r="EY1130" s="16"/>
      <c r="EZ1130" s="16"/>
      <c r="FA1130" s="17"/>
      <c r="FB1130" s="17"/>
      <c r="FC1130" s="16"/>
      <c r="FD1130" s="16"/>
      <c r="FE1130" s="17"/>
      <c r="FF1130" s="17"/>
      <c r="FG1130" s="11"/>
      <c r="GT1130" s="11"/>
      <c r="IG1130" s="11"/>
      <c r="JT1130" s="11"/>
      <c r="LG1130" s="11"/>
      <c r="MT1130" s="11"/>
      <c r="OG1130" s="11"/>
      <c r="PT1130" s="11"/>
    </row>
    <row r="1131" spans="1:474" ht="15.75" x14ac:dyDescent="0.25">
      <c r="C1131" s="20" t="s">
        <v>831</v>
      </c>
      <c r="D1131" s="21" t="s">
        <v>90</v>
      </c>
      <c r="H1131" s="11"/>
      <c r="AU1131" s="11"/>
      <c r="CH1131" s="11"/>
      <c r="CI1131" s="16"/>
      <c r="CJ1131" s="16"/>
      <c r="CK1131" s="16"/>
      <c r="CL1131" s="16"/>
      <c r="CM1131" s="16"/>
      <c r="CN1131" s="16"/>
      <c r="CO1131" s="16"/>
      <c r="CP1131" s="16"/>
      <c r="CQ1131" s="16"/>
      <c r="CR1131" s="16"/>
      <c r="CS1131" s="16"/>
      <c r="CT1131" s="16"/>
      <c r="CU1131" s="16"/>
      <c r="CV1131" s="16"/>
      <c r="CW1131" s="16"/>
      <c r="CX1131" s="16"/>
      <c r="CY1131" s="16"/>
      <c r="CZ1131" s="16"/>
      <c r="DA1131" s="16"/>
      <c r="DB1131" s="16"/>
      <c r="DC1131" s="16"/>
      <c r="DD1131" s="16"/>
      <c r="DE1131" s="17"/>
      <c r="DF1131" s="17"/>
      <c r="DG1131" s="16"/>
      <c r="DH1131" s="16"/>
      <c r="DI1131" s="17"/>
      <c r="DJ1131" s="17"/>
      <c r="DK1131" s="16"/>
      <c r="DL1131" s="16"/>
      <c r="DM1131" s="17"/>
      <c r="DN1131" s="17"/>
      <c r="DO1131" s="16"/>
      <c r="DP1131" s="16"/>
      <c r="DQ1131" s="17"/>
      <c r="DR1131" s="17"/>
      <c r="DS1131" s="16"/>
      <c r="DT1131" s="16"/>
      <c r="DU1131" s="17"/>
      <c r="DV1131" s="17"/>
      <c r="DW1131" s="16"/>
      <c r="DX1131" s="16"/>
      <c r="DY1131" s="17"/>
      <c r="DZ1131" s="17"/>
      <c r="EA1131" s="16"/>
      <c r="EB1131" s="16"/>
      <c r="EC1131" s="17"/>
      <c r="ED1131" s="17"/>
      <c r="EE1131" s="16"/>
      <c r="EF1131" s="16"/>
      <c r="EG1131" s="17"/>
      <c r="EH1131" s="17"/>
      <c r="EI1131" s="16"/>
      <c r="EJ1131" s="16"/>
      <c r="EK1131" s="17"/>
      <c r="EL1131" s="17"/>
      <c r="EM1131" s="16"/>
      <c r="EN1131" s="16"/>
      <c r="EO1131" s="17"/>
      <c r="EP1131" s="17"/>
      <c r="EQ1131" s="16"/>
      <c r="ER1131" s="16"/>
      <c r="ES1131" s="17"/>
      <c r="ET1131" s="17"/>
      <c r="EU1131" s="16"/>
      <c r="EV1131" s="16"/>
      <c r="EW1131" s="17"/>
      <c r="EX1131" s="17"/>
      <c r="EY1131" s="16"/>
      <c r="EZ1131" s="16"/>
      <c r="FA1131" s="17"/>
      <c r="FB1131" s="17"/>
      <c r="FC1131" s="16"/>
      <c r="FD1131" s="16"/>
      <c r="FE1131" s="17"/>
      <c r="FF1131" s="17"/>
      <c r="FG1131" s="11"/>
      <c r="GT1131" s="11"/>
      <c r="IG1131" s="11"/>
      <c r="JT1131" s="11"/>
      <c r="LG1131" s="11"/>
      <c r="MT1131" s="11"/>
      <c r="OG1131" s="11"/>
      <c r="PT1131" s="11"/>
    </row>
    <row r="1132" spans="1:474" ht="15.75" x14ac:dyDescent="0.25">
      <c r="C1132" s="20" t="s">
        <v>833</v>
      </c>
      <c r="D1132" s="21" t="s">
        <v>129</v>
      </c>
      <c r="H1132" s="11"/>
      <c r="AU1132" s="11"/>
      <c r="CH1132" s="11"/>
      <c r="CI1132" s="16"/>
      <c r="CJ1132" s="16"/>
      <c r="CK1132" s="16"/>
      <c r="CL1132" s="16"/>
      <c r="CM1132" s="16"/>
      <c r="CN1132" s="16"/>
      <c r="CO1132" s="16"/>
      <c r="CP1132" s="16"/>
      <c r="CQ1132" s="16"/>
      <c r="CR1132" s="16"/>
      <c r="CS1132" s="16"/>
      <c r="CT1132" s="16"/>
      <c r="CU1132" s="16"/>
      <c r="CV1132" s="16"/>
      <c r="CW1132" s="16"/>
      <c r="CX1132" s="16"/>
      <c r="CY1132" s="16"/>
      <c r="CZ1132" s="16"/>
      <c r="DA1132" s="16"/>
      <c r="DB1132" s="16"/>
      <c r="DC1132" s="16"/>
      <c r="DD1132" s="16"/>
      <c r="DE1132" s="17"/>
      <c r="DF1132" s="17"/>
      <c r="DG1132" s="16"/>
      <c r="DH1132" s="16"/>
      <c r="DI1132" s="17"/>
      <c r="DJ1132" s="17"/>
      <c r="DK1132" s="16"/>
      <c r="DL1132" s="16"/>
      <c r="DM1132" s="17"/>
      <c r="DN1132" s="17"/>
      <c r="DO1132" s="16"/>
      <c r="DP1132" s="16"/>
      <c r="DQ1132" s="17"/>
      <c r="DR1132" s="17"/>
      <c r="DS1132" s="16"/>
      <c r="DT1132" s="16"/>
      <c r="DU1132" s="17"/>
      <c r="DV1132" s="17"/>
      <c r="DW1132" s="16"/>
      <c r="DX1132" s="16"/>
      <c r="DY1132" s="17"/>
      <c r="DZ1132" s="17"/>
      <c r="EA1132" s="16"/>
      <c r="EB1132" s="16"/>
      <c r="EC1132" s="17"/>
      <c r="ED1132" s="17"/>
      <c r="EE1132" s="16"/>
      <c r="EF1132" s="16"/>
      <c r="EG1132" s="17"/>
      <c r="EH1132" s="17"/>
      <c r="EI1132" s="16"/>
      <c r="EJ1132" s="16"/>
      <c r="EK1132" s="17"/>
      <c r="EL1132" s="17"/>
      <c r="EM1132" s="16"/>
      <c r="EN1132" s="16"/>
      <c r="EO1132" s="17"/>
      <c r="EP1132" s="17"/>
      <c r="EQ1132" s="16"/>
      <c r="ER1132" s="16"/>
      <c r="ES1132" s="17"/>
      <c r="ET1132" s="17"/>
      <c r="EU1132" s="16"/>
      <c r="EV1132" s="16"/>
      <c r="EW1132" s="17"/>
      <c r="EX1132" s="17"/>
      <c r="EY1132" s="16"/>
      <c r="EZ1132" s="16"/>
      <c r="FA1132" s="17"/>
      <c r="FB1132" s="17"/>
      <c r="FC1132" s="16"/>
      <c r="FD1132" s="16"/>
      <c r="FE1132" s="17"/>
      <c r="FF1132" s="17"/>
      <c r="FG1132" s="11"/>
      <c r="GT1132" s="11"/>
      <c r="IG1132" s="11"/>
      <c r="JT1132" s="11"/>
      <c r="LG1132" s="11"/>
      <c r="MT1132" s="11"/>
      <c r="OG1132" s="11"/>
      <c r="PT1132" s="11"/>
    </row>
    <row r="1133" spans="1:474" ht="15.75" x14ac:dyDescent="0.25">
      <c r="A1133" s="13"/>
      <c r="B1133" s="14" t="s">
        <v>834</v>
      </c>
      <c r="C1133" s="13"/>
      <c r="D1133" s="13"/>
      <c r="E1133" s="15" t="s">
        <v>217</v>
      </c>
      <c r="F1133" s="15" t="s">
        <v>177</v>
      </c>
      <c r="G1133" s="13"/>
      <c r="H1133" s="11"/>
      <c r="AU1133" s="11"/>
      <c r="CH1133" s="11"/>
      <c r="CI1133" s="16"/>
      <c r="CJ1133" s="16"/>
      <c r="CK1133" s="16"/>
      <c r="CL1133" s="16"/>
      <c r="CM1133" s="16"/>
      <c r="CN1133" s="16"/>
      <c r="CO1133" s="16"/>
      <c r="CP1133" s="16"/>
      <c r="CQ1133" s="16"/>
      <c r="CR1133" s="16"/>
      <c r="CS1133" s="16"/>
      <c r="CT1133" s="16"/>
      <c r="CU1133" s="16"/>
      <c r="CV1133" s="16"/>
      <c r="CW1133" s="16"/>
      <c r="CX1133" s="16"/>
      <c r="CY1133" s="16"/>
      <c r="CZ1133" s="16"/>
      <c r="DA1133" s="16"/>
      <c r="DB1133" s="16"/>
      <c r="DC1133" s="16"/>
      <c r="DD1133" s="16"/>
      <c r="DE1133" s="17"/>
      <c r="DF1133" s="17"/>
      <c r="DG1133" s="16"/>
      <c r="DH1133" s="16"/>
      <c r="DI1133" s="17"/>
      <c r="DJ1133" s="17"/>
      <c r="DK1133" s="16"/>
      <c r="DL1133" s="16"/>
      <c r="DM1133" s="17"/>
      <c r="DN1133" s="17"/>
      <c r="DO1133" s="16"/>
      <c r="DP1133" s="16"/>
      <c r="DQ1133" s="17"/>
      <c r="DR1133" s="17"/>
      <c r="DS1133" s="16"/>
      <c r="DT1133" s="16"/>
      <c r="DU1133" s="17"/>
      <c r="DV1133" s="17"/>
      <c r="DW1133" s="16"/>
      <c r="DX1133" s="16"/>
      <c r="DY1133" s="17"/>
      <c r="DZ1133" s="17"/>
      <c r="EA1133" s="16"/>
      <c r="EB1133" s="16"/>
      <c r="EC1133" s="17"/>
      <c r="ED1133" s="17"/>
      <c r="EE1133" s="16"/>
      <c r="EF1133" s="16"/>
      <c r="EG1133" s="17"/>
      <c r="EH1133" s="17"/>
      <c r="EI1133" s="16"/>
      <c r="EJ1133" s="16"/>
      <c r="EK1133" s="17"/>
      <c r="EL1133" s="17"/>
      <c r="EM1133" s="16"/>
      <c r="EN1133" s="16"/>
      <c r="EO1133" s="17"/>
      <c r="EP1133" s="17"/>
      <c r="EQ1133" s="16"/>
      <c r="ER1133" s="16"/>
      <c r="ES1133" s="17"/>
      <c r="ET1133" s="17"/>
      <c r="EU1133" s="16"/>
      <c r="EV1133" s="16"/>
      <c r="EW1133" s="17"/>
      <c r="EX1133" s="17"/>
      <c r="EY1133" s="16"/>
      <c r="EZ1133" s="16"/>
      <c r="FA1133" s="17"/>
      <c r="FB1133" s="17"/>
      <c r="FC1133" s="16"/>
      <c r="FD1133" s="16"/>
      <c r="FE1133" s="17"/>
      <c r="FF1133" s="17"/>
      <c r="FG1133" s="11"/>
      <c r="GT1133" s="11"/>
      <c r="IG1133" s="11"/>
      <c r="JT1133" s="11"/>
      <c r="LG1133" s="11"/>
      <c r="MT1133" s="11"/>
      <c r="OG1133" s="11"/>
      <c r="PT1133" s="11"/>
    </row>
    <row r="1134" spans="1:474" x14ac:dyDescent="0.25">
      <c r="A1134" s="57" t="s">
        <v>835</v>
      </c>
      <c r="B1134" s="57"/>
      <c r="C1134" s="57"/>
      <c r="D1134" s="57"/>
      <c r="E1134" s="57"/>
      <c r="F1134" s="57"/>
      <c r="G1134" s="57"/>
      <c r="H1134" s="57"/>
      <c r="I1134" s="57"/>
      <c r="J1134" s="57"/>
      <c r="K1134" s="57"/>
      <c r="L1134" s="57"/>
      <c r="M1134" s="57"/>
      <c r="N1134" s="57"/>
      <c r="O1134" s="57"/>
      <c r="P1134" s="57"/>
      <c r="Q1134" s="57"/>
      <c r="R1134" s="57"/>
      <c r="S1134" s="57"/>
      <c r="T1134" s="57"/>
      <c r="U1134" s="57"/>
      <c r="V1134" s="57"/>
      <c r="W1134" s="57"/>
      <c r="X1134" s="57"/>
      <c r="Y1134" s="57"/>
      <c r="Z1134" s="57"/>
      <c r="AA1134" s="57"/>
      <c r="AB1134" s="57"/>
      <c r="AC1134" s="57"/>
      <c r="AD1134" s="57"/>
      <c r="AE1134" s="57"/>
      <c r="AF1134" s="57"/>
      <c r="AG1134" s="57"/>
      <c r="AH1134" s="57"/>
      <c r="AI1134" s="57"/>
      <c r="AJ1134" s="57"/>
      <c r="AK1134" s="57"/>
      <c r="AL1134" s="57"/>
      <c r="AM1134" s="57"/>
      <c r="AN1134" s="57"/>
      <c r="AO1134" s="57"/>
      <c r="AP1134" s="57"/>
      <c r="AQ1134" s="57"/>
      <c r="AR1134" s="57"/>
      <c r="AS1134" s="57"/>
      <c r="AT1134" s="57"/>
      <c r="AU1134" s="57"/>
      <c r="AV1134" s="57"/>
      <c r="AW1134" s="57"/>
      <c r="AX1134" s="57"/>
      <c r="AY1134" s="57"/>
      <c r="AZ1134" s="57"/>
      <c r="BA1134" s="57"/>
      <c r="BB1134" s="57"/>
      <c r="BC1134" s="57"/>
      <c r="BD1134" s="57"/>
      <c r="BE1134" s="57"/>
      <c r="BF1134" s="57"/>
      <c r="BG1134" s="57"/>
      <c r="BH1134" s="57"/>
      <c r="BI1134" s="57"/>
      <c r="BJ1134" s="57"/>
      <c r="BK1134" s="57"/>
      <c r="BL1134" s="57"/>
      <c r="BM1134" s="57"/>
      <c r="BN1134" s="57"/>
      <c r="BO1134" s="57"/>
      <c r="BP1134" s="57"/>
      <c r="BQ1134" s="57"/>
      <c r="BR1134" s="57"/>
      <c r="BS1134" s="57"/>
      <c r="BT1134" s="57"/>
      <c r="BU1134" s="57"/>
      <c r="BV1134" s="57"/>
      <c r="BW1134" s="57"/>
      <c r="BX1134" s="57"/>
      <c r="BY1134" s="57"/>
      <c r="BZ1134" s="57"/>
      <c r="CA1134" s="57"/>
      <c r="CB1134" s="57"/>
      <c r="CC1134" s="57"/>
      <c r="CD1134" s="57"/>
      <c r="CE1134" s="57"/>
      <c r="CF1134" s="57"/>
      <c r="CG1134" s="57"/>
      <c r="CH1134" s="57"/>
      <c r="CI1134" s="57"/>
      <c r="CJ1134" s="57"/>
      <c r="CK1134" s="57"/>
      <c r="CL1134" s="57"/>
      <c r="CM1134" s="57"/>
      <c r="CN1134" s="57"/>
      <c r="CO1134" s="57"/>
      <c r="CP1134" s="57"/>
      <c r="CQ1134" s="57"/>
      <c r="CR1134" s="57"/>
      <c r="CS1134" s="57"/>
      <c r="CT1134" s="57"/>
      <c r="CU1134" s="57"/>
      <c r="CV1134" s="57"/>
      <c r="CW1134" s="57"/>
      <c r="CX1134" s="57"/>
      <c r="CY1134" s="57"/>
      <c r="CZ1134" s="57"/>
      <c r="DA1134" s="57"/>
      <c r="DB1134" s="57"/>
      <c r="DC1134" s="57"/>
      <c r="DD1134" s="57"/>
      <c r="DE1134" s="57"/>
      <c r="DF1134" s="57"/>
      <c r="DG1134" s="57"/>
      <c r="DH1134" s="57"/>
      <c r="DI1134" s="57"/>
      <c r="DJ1134" s="57"/>
      <c r="DK1134" s="57"/>
      <c r="DL1134" s="57"/>
      <c r="DM1134" s="57"/>
      <c r="DN1134" s="57"/>
      <c r="DO1134" s="57"/>
      <c r="DP1134" s="57"/>
      <c r="DQ1134" s="57"/>
      <c r="DR1134" s="57"/>
      <c r="DS1134" s="57"/>
      <c r="DT1134" s="57"/>
      <c r="DU1134" s="57"/>
      <c r="DV1134" s="57"/>
      <c r="DW1134" s="57"/>
      <c r="DX1134" s="57"/>
      <c r="DY1134" s="57"/>
      <c r="DZ1134" s="57"/>
      <c r="EA1134" s="57"/>
      <c r="EB1134" s="57"/>
      <c r="EC1134" s="57"/>
      <c r="ED1134" s="57"/>
      <c r="EE1134" s="57"/>
      <c r="EF1134" s="57"/>
      <c r="EG1134" s="57"/>
      <c r="EH1134" s="57"/>
      <c r="EI1134" s="57"/>
      <c r="EJ1134" s="57"/>
      <c r="EK1134" s="57"/>
      <c r="EL1134" s="57"/>
      <c r="EM1134" s="57"/>
      <c r="EN1134" s="57"/>
      <c r="EO1134" s="57"/>
      <c r="EP1134" s="57"/>
      <c r="EQ1134" s="57"/>
      <c r="ER1134" s="57"/>
      <c r="ES1134" s="57"/>
      <c r="ET1134" s="57"/>
      <c r="EU1134" s="57"/>
      <c r="EV1134" s="57"/>
      <c r="EW1134" s="57"/>
      <c r="EX1134" s="57"/>
      <c r="EY1134" s="57"/>
      <c r="EZ1134" s="57"/>
      <c r="FA1134" s="57"/>
      <c r="FB1134" s="57"/>
      <c r="FC1134" s="57"/>
      <c r="FD1134" s="57"/>
      <c r="FE1134" s="57"/>
      <c r="FF1134" s="57"/>
      <c r="FG1134" s="57"/>
      <c r="FH1134" s="57"/>
      <c r="FI1134" s="57"/>
      <c r="FJ1134" s="57"/>
      <c r="FK1134" s="57"/>
      <c r="FL1134" s="57"/>
      <c r="FM1134" s="57"/>
      <c r="FN1134" s="57"/>
      <c r="FO1134" s="57"/>
      <c r="FP1134" s="57"/>
      <c r="FQ1134" s="57"/>
      <c r="FR1134" s="57"/>
      <c r="FS1134" s="57"/>
      <c r="FT1134" s="57"/>
      <c r="FU1134" s="57"/>
      <c r="FV1134" s="57"/>
      <c r="FW1134" s="57"/>
      <c r="FX1134" s="57"/>
      <c r="FY1134" s="57"/>
      <c r="FZ1134" s="57"/>
      <c r="GA1134" s="57"/>
      <c r="GB1134" s="57"/>
      <c r="GC1134" s="57"/>
      <c r="GD1134" s="57"/>
      <c r="GE1134" s="57"/>
      <c r="GF1134" s="57"/>
      <c r="GG1134" s="57"/>
      <c r="GH1134" s="57"/>
      <c r="GI1134" s="57"/>
      <c r="GJ1134" s="57"/>
      <c r="GK1134" s="57"/>
      <c r="GL1134" s="57"/>
      <c r="GM1134" s="57"/>
      <c r="GN1134" s="57"/>
      <c r="GO1134" s="57"/>
      <c r="GP1134" s="57"/>
      <c r="GQ1134" s="57"/>
      <c r="GR1134" s="57"/>
      <c r="GS1134" s="57"/>
      <c r="GT1134" s="57"/>
      <c r="GU1134" s="57"/>
      <c r="GV1134" s="57"/>
      <c r="GW1134" s="57"/>
      <c r="GX1134" s="57"/>
      <c r="GY1134" s="57"/>
      <c r="GZ1134" s="57"/>
      <c r="HA1134" s="57"/>
      <c r="HB1134" s="57"/>
      <c r="HC1134" s="57"/>
      <c r="HD1134" s="57"/>
      <c r="HE1134" s="57"/>
      <c r="HF1134" s="57"/>
      <c r="HG1134" s="57"/>
      <c r="HH1134" s="57"/>
      <c r="HI1134" s="57"/>
      <c r="HJ1134" s="57"/>
      <c r="HK1134" s="57"/>
      <c r="HL1134" s="57"/>
      <c r="HM1134" s="57"/>
      <c r="HN1134" s="57"/>
      <c r="HO1134" s="57"/>
      <c r="HP1134" s="57"/>
      <c r="HQ1134" s="57"/>
      <c r="HR1134" s="57"/>
      <c r="HS1134" s="57"/>
      <c r="HT1134" s="57"/>
      <c r="HU1134" s="57"/>
      <c r="HV1134" s="57"/>
      <c r="HW1134" s="57"/>
      <c r="HX1134" s="57"/>
      <c r="HY1134" s="57"/>
      <c r="HZ1134" s="57"/>
      <c r="IA1134" s="57"/>
      <c r="IB1134" s="57"/>
      <c r="IC1134" s="57"/>
      <c r="ID1134" s="57"/>
      <c r="IE1134" s="57"/>
      <c r="IF1134" s="57"/>
      <c r="IG1134" s="57"/>
      <c r="IH1134" s="57"/>
      <c r="II1134" s="57"/>
      <c r="IJ1134" s="57"/>
      <c r="IK1134" s="57"/>
      <c r="IL1134" s="57"/>
      <c r="IM1134" s="57"/>
      <c r="IN1134" s="57"/>
      <c r="IO1134" s="57"/>
      <c r="IP1134" s="57"/>
      <c r="IQ1134" s="57"/>
      <c r="IR1134" s="57"/>
      <c r="IS1134" s="57"/>
      <c r="IT1134" s="57"/>
      <c r="IU1134" s="57"/>
      <c r="IV1134" s="57"/>
      <c r="IW1134" s="57"/>
      <c r="IX1134" s="57"/>
      <c r="IY1134" s="57"/>
      <c r="IZ1134" s="57"/>
      <c r="JA1134" s="57"/>
      <c r="JB1134" s="57"/>
      <c r="JC1134" s="57"/>
      <c r="JD1134" s="57"/>
      <c r="JE1134" s="57"/>
      <c r="JF1134" s="57"/>
      <c r="JG1134" s="57"/>
      <c r="JH1134" s="57"/>
      <c r="JI1134" s="57"/>
      <c r="JJ1134" s="57"/>
      <c r="JK1134" s="57"/>
      <c r="JL1134" s="57"/>
      <c r="JM1134" s="57"/>
      <c r="JN1134" s="57"/>
      <c r="JO1134" s="57"/>
      <c r="JP1134" s="57"/>
      <c r="JQ1134" s="57"/>
      <c r="JR1134" s="57"/>
      <c r="JS1134" s="57"/>
      <c r="JT1134" s="57"/>
      <c r="JU1134" s="57"/>
      <c r="JV1134" s="57"/>
      <c r="JW1134" s="57"/>
      <c r="JX1134" s="57"/>
      <c r="JY1134" s="57"/>
      <c r="JZ1134" s="57"/>
      <c r="KA1134" s="57"/>
      <c r="KB1134" s="57"/>
      <c r="KC1134" s="57"/>
      <c r="KD1134" s="57"/>
      <c r="KE1134" s="57"/>
      <c r="KF1134" s="57"/>
      <c r="KG1134" s="57"/>
      <c r="KH1134" s="57"/>
      <c r="KI1134" s="57"/>
      <c r="KJ1134" s="57"/>
      <c r="KK1134" s="57"/>
      <c r="KL1134" s="57"/>
      <c r="KM1134" s="57"/>
      <c r="KN1134" s="57"/>
      <c r="KO1134" s="57"/>
      <c r="KP1134" s="57"/>
      <c r="KQ1134" s="57"/>
      <c r="KR1134" s="57"/>
      <c r="KS1134" s="57"/>
      <c r="KT1134" s="57"/>
      <c r="KU1134" s="57"/>
      <c r="KV1134" s="57"/>
      <c r="KW1134" s="57"/>
      <c r="KX1134" s="57"/>
      <c r="KY1134" s="57"/>
      <c r="KZ1134" s="57"/>
      <c r="LA1134" s="57"/>
      <c r="LB1134" s="57"/>
      <c r="LC1134" s="57"/>
      <c r="LD1134" s="57"/>
      <c r="LE1134" s="57"/>
      <c r="LF1134" s="57"/>
      <c r="LG1134" s="57"/>
      <c r="LH1134" s="57"/>
      <c r="LI1134" s="57"/>
      <c r="LJ1134" s="57"/>
      <c r="LK1134" s="57"/>
      <c r="LL1134" s="57"/>
      <c r="LM1134" s="57"/>
      <c r="LN1134" s="57"/>
      <c r="LO1134" s="57"/>
      <c r="LP1134" s="57"/>
      <c r="LQ1134" s="57"/>
      <c r="LR1134" s="57"/>
      <c r="LS1134" s="57"/>
      <c r="LT1134" s="57"/>
      <c r="LU1134" s="57"/>
      <c r="LV1134" s="57"/>
      <c r="LW1134" s="57"/>
      <c r="LX1134" s="57"/>
      <c r="LY1134" s="57"/>
      <c r="LZ1134" s="57"/>
      <c r="MA1134" s="57"/>
      <c r="MB1134" s="57"/>
      <c r="MC1134" s="57"/>
      <c r="MD1134" s="57"/>
      <c r="ME1134" s="57"/>
      <c r="MF1134" s="57"/>
      <c r="MG1134" s="57"/>
      <c r="MH1134" s="57"/>
      <c r="MI1134" s="57"/>
      <c r="MJ1134" s="57"/>
      <c r="MK1134" s="57"/>
      <c r="ML1134" s="57"/>
      <c r="MM1134" s="57"/>
      <c r="MN1134" s="57"/>
      <c r="MO1134" s="57"/>
      <c r="MP1134" s="57"/>
      <c r="MQ1134" s="57"/>
      <c r="MR1134" s="57"/>
      <c r="MS1134" s="57"/>
      <c r="MT1134" s="57"/>
      <c r="MU1134" s="57"/>
      <c r="MV1134" s="57"/>
      <c r="MW1134" s="57"/>
      <c r="MX1134" s="57"/>
      <c r="MY1134" s="57"/>
      <c r="MZ1134" s="57"/>
      <c r="NA1134" s="57"/>
      <c r="NB1134" s="57"/>
      <c r="NC1134" s="57"/>
      <c r="ND1134" s="57"/>
      <c r="NE1134" s="57"/>
      <c r="NF1134" s="57"/>
      <c r="NG1134" s="57"/>
      <c r="NH1134" s="57"/>
      <c r="NI1134" s="57"/>
      <c r="NJ1134" s="57"/>
      <c r="NK1134" s="57"/>
      <c r="NL1134" s="57"/>
      <c r="NM1134" s="57"/>
      <c r="NN1134" s="57"/>
      <c r="NO1134" s="57"/>
      <c r="NP1134" s="57"/>
      <c r="NQ1134" s="57"/>
      <c r="NR1134" s="57"/>
      <c r="NS1134" s="57"/>
      <c r="NT1134" s="57"/>
      <c r="NU1134" s="57"/>
      <c r="NV1134" s="57"/>
      <c r="NW1134" s="57"/>
      <c r="NX1134" s="57"/>
      <c r="NY1134" s="57"/>
      <c r="NZ1134" s="57"/>
      <c r="OA1134" s="57"/>
      <c r="OB1134" s="57"/>
      <c r="OC1134" s="57"/>
      <c r="OD1134" s="57"/>
      <c r="OE1134" s="57"/>
      <c r="OF1134" s="57"/>
      <c r="OG1134" s="57"/>
      <c r="OH1134" s="57"/>
      <c r="OI1134" s="57"/>
      <c r="OJ1134" s="57"/>
      <c r="OK1134" s="57"/>
      <c r="OL1134" s="57"/>
      <c r="OM1134" s="57"/>
      <c r="ON1134" s="57"/>
      <c r="OO1134" s="57"/>
      <c r="OP1134" s="57"/>
      <c r="OQ1134" s="57"/>
      <c r="OR1134" s="57"/>
      <c r="OS1134" s="57"/>
      <c r="OT1134" s="57"/>
      <c r="OU1134" s="57"/>
      <c r="OV1134" s="57"/>
      <c r="OW1134" s="57"/>
      <c r="OX1134" s="57"/>
      <c r="OY1134" s="57"/>
      <c r="OZ1134" s="57"/>
      <c r="PA1134" s="57"/>
      <c r="PB1134" s="57"/>
      <c r="PC1134" s="57"/>
      <c r="PD1134" s="57"/>
      <c r="PE1134" s="57"/>
      <c r="PF1134" s="57"/>
      <c r="PG1134" s="57"/>
      <c r="PH1134" s="57"/>
      <c r="PI1134" s="57"/>
      <c r="PJ1134" s="57"/>
      <c r="PK1134" s="57"/>
      <c r="PL1134" s="57"/>
      <c r="PM1134" s="57"/>
      <c r="PN1134" s="57"/>
      <c r="PO1134" s="57"/>
      <c r="PP1134" s="57"/>
      <c r="PQ1134" s="57"/>
      <c r="PR1134" s="57"/>
      <c r="PS1134" s="57"/>
      <c r="PT1134" s="57"/>
      <c r="PU1134" s="57"/>
      <c r="PV1134" s="57"/>
      <c r="PW1134" s="57"/>
      <c r="PX1134" s="57"/>
      <c r="PY1134" s="57"/>
      <c r="PZ1134" s="57"/>
      <c r="QA1134" s="57"/>
      <c r="QB1134" s="57"/>
      <c r="QC1134" s="57"/>
      <c r="QD1134" s="57"/>
      <c r="QE1134" s="57"/>
      <c r="QF1134" s="57"/>
      <c r="QG1134" s="57"/>
      <c r="QH1134" s="57"/>
      <c r="QI1134" s="57"/>
      <c r="QJ1134" s="57"/>
      <c r="QK1134" s="57"/>
      <c r="QL1134" s="57"/>
      <c r="QM1134" s="57"/>
      <c r="QN1134" s="57"/>
      <c r="QO1134" s="57"/>
      <c r="QP1134" s="57"/>
      <c r="QQ1134" s="57"/>
      <c r="QR1134" s="57"/>
      <c r="QS1134" s="57"/>
      <c r="QT1134" s="57"/>
      <c r="QU1134" s="57"/>
      <c r="QV1134" s="57"/>
      <c r="QW1134" s="57"/>
      <c r="QX1134" s="57"/>
      <c r="QY1134" s="57"/>
      <c r="QZ1134" s="57"/>
      <c r="RA1134" s="57"/>
      <c r="RB1134" s="57"/>
      <c r="RC1134" s="57"/>
      <c r="RD1134" s="57"/>
      <c r="RE1134" s="57"/>
      <c r="RF1134" s="57"/>
    </row>
    <row r="1135" spans="1:474" x14ac:dyDescent="0.25">
      <c r="H1135" s="11"/>
      <c r="AU1135" s="11"/>
      <c r="CH1135" s="11"/>
      <c r="CI1135" s="12" t="s">
        <v>73</v>
      </c>
      <c r="CJ1135" s="12" t="s">
        <v>74</v>
      </c>
      <c r="CK1135" s="12" t="s">
        <v>73</v>
      </c>
      <c r="CL1135" s="12" t="s">
        <v>74</v>
      </c>
      <c r="CM1135" s="12" t="s">
        <v>73</v>
      </c>
      <c r="CN1135" s="12" t="s">
        <v>74</v>
      </c>
      <c r="CO1135" s="12" t="s">
        <v>73</v>
      </c>
      <c r="CP1135" s="12" t="s">
        <v>74</v>
      </c>
      <c r="CQ1135" s="12" t="s">
        <v>73</v>
      </c>
      <c r="CR1135" s="12" t="s">
        <v>74</v>
      </c>
      <c r="CS1135" s="12" t="s">
        <v>73</v>
      </c>
      <c r="CT1135" s="12" t="s">
        <v>74</v>
      </c>
      <c r="CU1135" s="12" t="s">
        <v>73</v>
      </c>
      <c r="CV1135" s="12" t="s">
        <v>74</v>
      </c>
      <c r="CW1135" s="12" t="s">
        <v>73</v>
      </c>
      <c r="CX1135" s="12" t="s">
        <v>74</v>
      </c>
      <c r="CY1135" s="12" t="s">
        <v>73</v>
      </c>
      <c r="CZ1135" s="12" t="s">
        <v>74</v>
      </c>
      <c r="DA1135" s="12" t="s">
        <v>73</v>
      </c>
      <c r="DB1135" s="12" t="s">
        <v>74</v>
      </c>
      <c r="DC1135" s="12" t="s">
        <v>73</v>
      </c>
      <c r="DD1135" s="12" t="s">
        <v>74</v>
      </c>
      <c r="DE1135" s="12" t="s">
        <v>73</v>
      </c>
      <c r="DF1135" s="12" t="s">
        <v>74</v>
      </c>
      <c r="DG1135" s="12" t="s">
        <v>73</v>
      </c>
      <c r="DH1135" s="12" t="s">
        <v>74</v>
      </c>
      <c r="DI1135" s="12" t="s">
        <v>73</v>
      </c>
      <c r="DJ1135" s="12" t="s">
        <v>74</v>
      </c>
      <c r="DK1135" s="12" t="s">
        <v>73</v>
      </c>
      <c r="DL1135" s="12" t="s">
        <v>74</v>
      </c>
      <c r="DM1135" s="12" t="s">
        <v>73</v>
      </c>
      <c r="DN1135" s="12" t="s">
        <v>74</v>
      </c>
      <c r="DO1135" s="12" t="s">
        <v>73</v>
      </c>
      <c r="DP1135" s="12" t="s">
        <v>74</v>
      </c>
      <c r="DQ1135" s="12" t="s">
        <v>73</v>
      </c>
      <c r="DR1135" s="12" t="s">
        <v>74</v>
      </c>
      <c r="DS1135" s="12" t="s">
        <v>73</v>
      </c>
      <c r="DT1135" s="12" t="s">
        <v>74</v>
      </c>
      <c r="DU1135" s="12" t="s">
        <v>73</v>
      </c>
      <c r="DV1135" s="12" t="s">
        <v>74</v>
      </c>
      <c r="DW1135" s="12" t="s">
        <v>73</v>
      </c>
      <c r="DX1135" s="12" t="s">
        <v>74</v>
      </c>
      <c r="DY1135" s="12" t="s">
        <v>73</v>
      </c>
      <c r="DZ1135" s="12" t="s">
        <v>74</v>
      </c>
      <c r="EA1135" s="12" t="s">
        <v>73</v>
      </c>
      <c r="EB1135" s="12" t="s">
        <v>74</v>
      </c>
      <c r="EC1135" s="12" t="s">
        <v>73</v>
      </c>
      <c r="ED1135" s="12" t="s">
        <v>74</v>
      </c>
      <c r="EE1135" s="12" t="s">
        <v>73</v>
      </c>
      <c r="EF1135" s="12" t="s">
        <v>74</v>
      </c>
      <c r="EG1135" s="12" t="s">
        <v>73</v>
      </c>
      <c r="EH1135" s="12" t="s">
        <v>74</v>
      </c>
      <c r="EI1135" s="12" t="s">
        <v>73</v>
      </c>
      <c r="EJ1135" s="12" t="s">
        <v>74</v>
      </c>
      <c r="EK1135" s="12" t="s">
        <v>73</v>
      </c>
      <c r="EL1135" s="12" t="s">
        <v>74</v>
      </c>
      <c r="EM1135" s="12" t="s">
        <v>73</v>
      </c>
      <c r="EN1135" s="12" t="s">
        <v>74</v>
      </c>
      <c r="EO1135" s="12" t="s">
        <v>73</v>
      </c>
      <c r="EP1135" s="12" t="s">
        <v>74</v>
      </c>
      <c r="EQ1135" s="12" t="s">
        <v>73</v>
      </c>
      <c r="ER1135" s="12" t="s">
        <v>74</v>
      </c>
      <c r="ES1135" s="12" t="s">
        <v>73</v>
      </c>
      <c r="ET1135" s="12" t="s">
        <v>74</v>
      </c>
      <c r="EU1135" s="12" t="s">
        <v>73</v>
      </c>
      <c r="EV1135" s="12" t="s">
        <v>74</v>
      </c>
      <c r="EW1135" s="12" t="s">
        <v>73</v>
      </c>
      <c r="EX1135" s="12" t="s">
        <v>74</v>
      </c>
      <c r="EY1135" s="12" t="s">
        <v>73</v>
      </c>
      <c r="EZ1135" s="12" t="s">
        <v>74</v>
      </c>
      <c r="FA1135" s="12" t="s">
        <v>73</v>
      </c>
      <c r="FB1135" s="12" t="s">
        <v>74</v>
      </c>
      <c r="FC1135" s="12" t="s">
        <v>73</v>
      </c>
      <c r="FD1135" s="12" t="s">
        <v>74</v>
      </c>
      <c r="FE1135" s="12" t="s">
        <v>73</v>
      </c>
      <c r="FF1135" s="12" t="s">
        <v>74</v>
      </c>
      <c r="FG1135" s="11"/>
      <c r="GT1135" s="11"/>
      <c r="IG1135" s="11"/>
      <c r="JT1135" s="11"/>
      <c r="LG1135" s="11"/>
      <c r="MT1135" s="11"/>
      <c r="OG1135" s="11"/>
      <c r="PT1135" s="11"/>
    </row>
    <row r="1136" spans="1:474" ht="15.75" x14ac:dyDescent="0.25">
      <c r="A1136" s="13"/>
      <c r="B1136" s="14" t="s">
        <v>836</v>
      </c>
      <c r="C1136" s="13"/>
      <c r="D1136" s="13"/>
      <c r="E1136" s="15" t="s">
        <v>76</v>
      </c>
      <c r="F1136" s="15" t="s">
        <v>177</v>
      </c>
      <c r="G1136" s="13"/>
      <c r="H1136" s="11"/>
      <c r="AU1136" s="11"/>
      <c r="CH1136" s="11"/>
      <c r="CI1136" s="16"/>
      <c r="CJ1136" s="16"/>
      <c r="CK1136" s="16"/>
      <c r="CL1136" s="16"/>
      <c r="CM1136" s="16"/>
      <c r="CN1136" s="16"/>
      <c r="CO1136" s="16"/>
      <c r="CP1136" s="16"/>
      <c r="CQ1136" s="16"/>
      <c r="CR1136" s="16"/>
      <c r="CS1136" s="16"/>
      <c r="CT1136" s="16"/>
      <c r="CU1136" s="16"/>
      <c r="CV1136" s="16"/>
      <c r="CW1136" s="16"/>
      <c r="CX1136" s="16"/>
      <c r="CY1136" s="16"/>
      <c r="CZ1136" s="16"/>
      <c r="DA1136" s="16"/>
      <c r="DB1136" s="16"/>
      <c r="DC1136" s="16"/>
      <c r="DD1136" s="16"/>
      <c r="DE1136" s="17"/>
      <c r="DF1136" s="17"/>
      <c r="DG1136" s="16"/>
      <c r="DH1136" s="16"/>
      <c r="DI1136" s="17"/>
      <c r="DJ1136" s="18">
        <v>10</v>
      </c>
      <c r="DK1136" s="16"/>
      <c r="DL1136" s="16"/>
      <c r="DM1136" s="17"/>
      <c r="DN1136" s="17"/>
      <c r="DO1136" s="16"/>
      <c r="DP1136" s="16"/>
      <c r="DQ1136" s="17"/>
      <c r="DR1136" s="17"/>
      <c r="DS1136" s="16"/>
      <c r="DT1136" s="16"/>
      <c r="DU1136" s="17"/>
      <c r="DV1136" s="17"/>
      <c r="DW1136" s="16"/>
      <c r="DX1136" s="19">
        <v>30</v>
      </c>
      <c r="DY1136" s="17"/>
      <c r="DZ1136" s="17"/>
      <c r="EA1136" s="16"/>
      <c r="EB1136" s="16"/>
      <c r="EC1136" s="17"/>
      <c r="ED1136" s="17"/>
      <c r="EE1136" s="16"/>
      <c r="EF1136" s="16"/>
      <c r="EG1136" s="17"/>
      <c r="EH1136" s="17"/>
      <c r="EI1136" s="16"/>
      <c r="EJ1136" s="16"/>
      <c r="EK1136" s="17"/>
      <c r="EL1136" s="17"/>
      <c r="EM1136" s="16"/>
      <c r="EN1136" s="16"/>
      <c r="EO1136" s="17"/>
      <c r="EP1136" s="17"/>
      <c r="EQ1136" s="16"/>
      <c r="ER1136" s="16"/>
      <c r="ES1136" s="17"/>
      <c r="ET1136" s="18">
        <v>40</v>
      </c>
      <c r="EU1136" s="16"/>
      <c r="EV1136" s="16"/>
      <c r="EW1136" s="17"/>
      <c r="EX1136" s="17"/>
      <c r="EY1136" s="16"/>
      <c r="EZ1136" s="16"/>
      <c r="FA1136" s="17"/>
      <c r="FB1136" s="17"/>
      <c r="FC1136" s="16"/>
      <c r="FD1136" s="19">
        <v>3</v>
      </c>
      <c r="FE1136" s="17"/>
      <c r="FF1136" s="17"/>
      <c r="FG1136" s="11"/>
      <c r="GT1136" s="11"/>
      <c r="IG1136" s="11"/>
      <c r="JT1136" s="11"/>
      <c r="LG1136" s="11"/>
      <c r="MT1136" s="11"/>
      <c r="OG1136" s="11"/>
      <c r="PT1136" s="11"/>
    </row>
    <row r="1137" spans="3:436" ht="15.75" x14ac:dyDescent="0.25">
      <c r="C1137" s="20" t="s">
        <v>837</v>
      </c>
      <c r="D1137" s="21" t="s">
        <v>79</v>
      </c>
      <c r="H1137" s="11"/>
      <c r="AU1137" s="11"/>
      <c r="CH1137" s="11"/>
      <c r="CI1137" s="16"/>
      <c r="CJ1137" s="16"/>
      <c r="CK1137" s="16"/>
      <c r="CL1137" s="16"/>
      <c r="CM1137" s="16"/>
      <c r="CN1137" s="16"/>
      <c r="CO1137" s="16"/>
      <c r="CP1137" s="16"/>
      <c r="CQ1137" s="16"/>
      <c r="CR1137" s="16"/>
      <c r="CS1137" s="16"/>
      <c r="CT1137" s="16"/>
      <c r="CU1137" s="16"/>
      <c r="CV1137" s="16"/>
      <c r="CW1137" s="16"/>
      <c r="CX1137" s="16"/>
      <c r="CY1137" s="16"/>
      <c r="CZ1137" s="16"/>
      <c r="DA1137" s="16"/>
      <c r="DB1137" s="16"/>
      <c r="DC1137" s="16"/>
      <c r="DD1137" s="16"/>
      <c r="DE1137" s="17"/>
      <c r="DF1137" s="17"/>
      <c r="DG1137" s="16"/>
      <c r="DH1137" s="16"/>
      <c r="DI1137" s="18">
        <v>5</v>
      </c>
      <c r="DJ1137" s="18">
        <v>1</v>
      </c>
      <c r="DK1137" s="16"/>
      <c r="DL1137" s="16"/>
      <c r="DM1137" s="17"/>
      <c r="DN1137" s="17"/>
      <c r="DO1137" s="16"/>
      <c r="DP1137" s="16"/>
      <c r="DQ1137" s="17"/>
      <c r="DR1137" s="17"/>
      <c r="DS1137" s="16"/>
      <c r="DT1137" s="16"/>
      <c r="DU1137" s="17"/>
      <c r="DV1137" s="17"/>
      <c r="DW1137" s="16"/>
      <c r="DX1137" s="16"/>
      <c r="DY1137" s="17"/>
      <c r="DZ1137" s="17"/>
      <c r="EA1137" s="16"/>
      <c r="EB1137" s="16"/>
      <c r="EC1137" s="17"/>
      <c r="ED1137" s="17"/>
      <c r="EE1137" s="16"/>
      <c r="EF1137" s="16"/>
      <c r="EG1137" s="17"/>
      <c r="EH1137" s="17"/>
      <c r="EI1137" s="16"/>
      <c r="EJ1137" s="16"/>
      <c r="EK1137" s="17"/>
      <c r="EL1137" s="17"/>
      <c r="EM1137" s="16"/>
      <c r="EN1137" s="16"/>
      <c r="EO1137" s="17"/>
      <c r="EP1137" s="17"/>
      <c r="EQ1137" s="16"/>
      <c r="ER1137" s="16"/>
      <c r="ES1137" s="17"/>
      <c r="ET1137" s="17"/>
      <c r="EU1137" s="16"/>
      <c r="EV1137" s="16"/>
      <c r="EW1137" s="17"/>
      <c r="EX1137" s="17"/>
      <c r="EY1137" s="16"/>
      <c r="EZ1137" s="16"/>
      <c r="FA1137" s="17"/>
      <c r="FB1137" s="17"/>
      <c r="FC1137" s="16"/>
      <c r="FD1137" s="16"/>
      <c r="FE1137" s="17"/>
      <c r="FF1137" s="17"/>
      <c r="FG1137" s="11"/>
      <c r="GT1137" s="11"/>
      <c r="IG1137" s="11"/>
      <c r="JT1137" s="11"/>
      <c r="LG1137" s="11"/>
      <c r="MT1137" s="11"/>
      <c r="OG1137" s="11"/>
      <c r="PT1137" s="11"/>
    </row>
    <row r="1138" spans="3:436" ht="15.75" x14ac:dyDescent="0.25">
      <c r="C1138" s="20" t="s">
        <v>838</v>
      </c>
      <c r="D1138" s="21" t="s">
        <v>79</v>
      </c>
      <c r="H1138" s="11"/>
      <c r="AU1138" s="11"/>
      <c r="CH1138" s="11"/>
      <c r="CI1138" s="16"/>
      <c r="CJ1138" s="16"/>
      <c r="CK1138" s="16"/>
      <c r="CL1138" s="16"/>
      <c r="CM1138" s="16"/>
      <c r="CN1138" s="16"/>
      <c r="CO1138" s="16"/>
      <c r="CP1138" s="16"/>
      <c r="CQ1138" s="16"/>
      <c r="CR1138" s="16"/>
      <c r="CS1138" s="16"/>
      <c r="CT1138" s="16"/>
      <c r="CU1138" s="16"/>
      <c r="CV1138" s="16"/>
      <c r="CW1138" s="16"/>
      <c r="CX1138" s="16"/>
      <c r="CY1138" s="16"/>
      <c r="CZ1138" s="16"/>
      <c r="DA1138" s="16"/>
      <c r="DB1138" s="16"/>
      <c r="DC1138" s="16"/>
      <c r="DD1138" s="16"/>
      <c r="DE1138" s="17"/>
      <c r="DF1138" s="17"/>
      <c r="DG1138" s="16"/>
      <c r="DH1138" s="16"/>
      <c r="DI1138" s="18">
        <v>2</v>
      </c>
      <c r="DJ1138" s="18">
        <v>3</v>
      </c>
      <c r="DK1138" s="16"/>
      <c r="DL1138" s="16"/>
      <c r="DM1138" s="17"/>
      <c r="DN1138" s="17"/>
      <c r="DO1138" s="16"/>
      <c r="DP1138" s="16"/>
      <c r="DQ1138" s="17"/>
      <c r="DR1138" s="17"/>
      <c r="DS1138" s="16"/>
      <c r="DT1138" s="16"/>
      <c r="DU1138" s="17"/>
      <c r="DV1138" s="17"/>
      <c r="DW1138" s="16"/>
      <c r="DX1138" s="16"/>
      <c r="DY1138" s="17"/>
      <c r="DZ1138" s="17"/>
      <c r="EA1138" s="16"/>
      <c r="EB1138" s="16"/>
      <c r="EC1138" s="17"/>
      <c r="ED1138" s="17"/>
      <c r="EE1138" s="16"/>
      <c r="EF1138" s="16"/>
      <c r="EG1138" s="17"/>
      <c r="EH1138" s="17"/>
      <c r="EI1138" s="16"/>
      <c r="EJ1138" s="16"/>
      <c r="EK1138" s="17"/>
      <c r="EL1138" s="17"/>
      <c r="EM1138" s="16"/>
      <c r="EN1138" s="16"/>
      <c r="EO1138" s="17"/>
      <c r="EP1138" s="17"/>
      <c r="EQ1138" s="16"/>
      <c r="ER1138" s="16"/>
      <c r="ES1138" s="17"/>
      <c r="ET1138" s="17"/>
      <c r="EU1138" s="16"/>
      <c r="EV1138" s="16"/>
      <c r="EW1138" s="17"/>
      <c r="EX1138" s="17"/>
      <c r="EY1138" s="16"/>
      <c r="EZ1138" s="16"/>
      <c r="FA1138" s="17"/>
      <c r="FB1138" s="17"/>
      <c r="FC1138" s="16"/>
      <c r="FD1138" s="16"/>
      <c r="FE1138" s="17"/>
      <c r="FF1138" s="17"/>
      <c r="FG1138" s="11"/>
      <c r="GT1138" s="11"/>
      <c r="IG1138" s="11"/>
      <c r="JT1138" s="11"/>
      <c r="LG1138" s="11"/>
      <c r="MT1138" s="11"/>
      <c r="OG1138" s="11"/>
      <c r="PT1138" s="11"/>
    </row>
    <row r="1139" spans="3:436" ht="15.75" x14ac:dyDescent="0.25">
      <c r="C1139" s="20" t="s">
        <v>839</v>
      </c>
      <c r="D1139" s="21" t="s">
        <v>129</v>
      </c>
      <c r="H1139" s="11"/>
      <c r="AU1139" s="11"/>
      <c r="CH1139" s="11"/>
      <c r="CI1139" s="16"/>
      <c r="CJ1139" s="16"/>
      <c r="CK1139" s="16"/>
      <c r="CL1139" s="16"/>
      <c r="CM1139" s="16"/>
      <c r="CN1139" s="16"/>
      <c r="CO1139" s="16"/>
      <c r="CP1139" s="16"/>
      <c r="CQ1139" s="16"/>
      <c r="CR1139" s="16"/>
      <c r="CS1139" s="16"/>
      <c r="CT1139" s="16"/>
      <c r="CU1139" s="16"/>
      <c r="CV1139" s="16"/>
      <c r="CW1139" s="16"/>
      <c r="CX1139" s="16"/>
      <c r="CY1139" s="16"/>
      <c r="CZ1139" s="16"/>
      <c r="DA1139" s="16"/>
      <c r="DB1139" s="16"/>
      <c r="DC1139" s="16"/>
      <c r="DD1139" s="16"/>
      <c r="DE1139" s="17"/>
      <c r="DF1139" s="17"/>
      <c r="DG1139" s="16"/>
      <c r="DH1139" s="16"/>
      <c r="DI1139" s="17"/>
      <c r="DJ1139" s="17"/>
      <c r="DK1139" s="16"/>
      <c r="DL1139" s="16"/>
      <c r="DM1139" s="17"/>
      <c r="DN1139" s="17"/>
      <c r="DO1139" s="16"/>
      <c r="DP1139" s="16"/>
      <c r="DQ1139" s="17"/>
      <c r="DR1139" s="17"/>
      <c r="DS1139" s="16"/>
      <c r="DT1139" s="16"/>
      <c r="DU1139" s="17"/>
      <c r="DV1139" s="17"/>
      <c r="DW1139" s="16"/>
      <c r="DX1139" s="16"/>
      <c r="DY1139" s="17"/>
      <c r="DZ1139" s="17"/>
      <c r="EA1139" s="16"/>
      <c r="EB1139" s="16"/>
      <c r="EC1139" s="17"/>
      <c r="ED1139" s="17"/>
      <c r="EE1139" s="16"/>
      <c r="EF1139" s="16"/>
      <c r="EG1139" s="17"/>
      <c r="EH1139" s="17"/>
      <c r="EI1139" s="16"/>
      <c r="EJ1139" s="16"/>
      <c r="EK1139" s="17"/>
      <c r="EL1139" s="17"/>
      <c r="EM1139" s="16"/>
      <c r="EN1139" s="16"/>
      <c r="EO1139" s="17"/>
      <c r="EP1139" s="17"/>
      <c r="EQ1139" s="16"/>
      <c r="ER1139" s="16"/>
      <c r="ES1139" s="17"/>
      <c r="ET1139" s="17"/>
      <c r="EU1139" s="16"/>
      <c r="EV1139" s="16"/>
      <c r="EW1139" s="17"/>
      <c r="EX1139" s="17"/>
      <c r="EY1139" s="16"/>
      <c r="EZ1139" s="16"/>
      <c r="FA1139" s="17"/>
      <c r="FB1139" s="17"/>
      <c r="FC1139" s="16"/>
      <c r="FD1139" s="16"/>
      <c r="FE1139" s="17"/>
      <c r="FF1139" s="17"/>
      <c r="FG1139" s="11"/>
      <c r="GT1139" s="11"/>
      <c r="IG1139" s="11"/>
      <c r="JT1139" s="11"/>
      <c r="LG1139" s="11"/>
      <c r="MT1139" s="11"/>
      <c r="OG1139" s="11"/>
      <c r="PT1139" s="11"/>
    </row>
    <row r="1140" spans="3:436" ht="15.75" x14ac:dyDescent="0.25">
      <c r="C1140" s="20" t="s">
        <v>840</v>
      </c>
      <c r="D1140" s="21" t="s">
        <v>136</v>
      </c>
      <c r="H1140" s="11"/>
      <c r="AU1140" s="11"/>
      <c r="CH1140" s="11"/>
      <c r="CI1140" s="16"/>
      <c r="CJ1140" s="16"/>
      <c r="CK1140" s="16"/>
      <c r="CL1140" s="16"/>
      <c r="CM1140" s="16"/>
      <c r="CN1140" s="16"/>
      <c r="CO1140" s="16"/>
      <c r="CP1140" s="16"/>
      <c r="CQ1140" s="16"/>
      <c r="CR1140" s="16"/>
      <c r="CS1140" s="16"/>
      <c r="CT1140" s="16"/>
      <c r="CU1140" s="16"/>
      <c r="CV1140" s="16"/>
      <c r="CW1140" s="16"/>
      <c r="CX1140" s="16"/>
      <c r="CY1140" s="16"/>
      <c r="CZ1140" s="16"/>
      <c r="DA1140" s="16"/>
      <c r="DB1140" s="16"/>
      <c r="DC1140" s="16"/>
      <c r="DD1140" s="16"/>
      <c r="DE1140" s="17"/>
      <c r="DF1140" s="17"/>
      <c r="DG1140" s="16"/>
      <c r="DH1140" s="16"/>
      <c r="DI1140" s="17"/>
      <c r="DJ1140" s="17"/>
      <c r="DK1140" s="16"/>
      <c r="DL1140" s="16"/>
      <c r="DM1140" s="17"/>
      <c r="DN1140" s="17"/>
      <c r="DO1140" s="16"/>
      <c r="DP1140" s="16"/>
      <c r="DQ1140" s="17"/>
      <c r="DR1140" s="17"/>
      <c r="DS1140" s="16"/>
      <c r="DT1140" s="16"/>
      <c r="DU1140" s="17"/>
      <c r="DV1140" s="17"/>
      <c r="DW1140" s="16"/>
      <c r="DX1140" s="16"/>
      <c r="DY1140" s="17"/>
      <c r="DZ1140" s="17"/>
      <c r="EA1140" s="16"/>
      <c r="EB1140" s="16"/>
      <c r="EC1140" s="17"/>
      <c r="ED1140" s="17"/>
      <c r="EE1140" s="16"/>
      <c r="EF1140" s="16"/>
      <c r="EG1140" s="17"/>
      <c r="EH1140" s="17"/>
      <c r="EI1140" s="16"/>
      <c r="EJ1140" s="16"/>
      <c r="EK1140" s="17"/>
      <c r="EL1140" s="17"/>
      <c r="EM1140" s="16"/>
      <c r="EN1140" s="16"/>
      <c r="EO1140" s="17"/>
      <c r="EP1140" s="17"/>
      <c r="EQ1140" s="16"/>
      <c r="ER1140" s="16"/>
      <c r="ES1140" s="17"/>
      <c r="ET1140" s="17"/>
      <c r="EU1140" s="16"/>
      <c r="EV1140" s="16"/>
      <c r="EW1140" s="17"/>
      <c r="EX1140" s="17"/>
      <c r="EY1140" s="16"/>
      <c r="EZ1140" s="16"/>
      <c r="FA1140" s="17"/>
      <c r="FB1140" s="17"/>
      <c r="FC1140" s="16"/>
      <c r="FD1140" s="16"/>
      <c r="FE1140" s="17"/>
      <c r="FF1140" s="17"/>
      <c r="FG1140" s="11"/>
      <c r="GT1140" s="11"/>
      <c r="IG1140" s="11"/>
      <c r="JT1140" s="11"/>
      <c r="LG1140" s="11"/>
      <c r="MT1140" s="11"/>
      <c r="OG1140" s="11"/>
      <c r="PT1140" s="11"/>
    </row>
    <row r="1141" spans="3:436" ht="15.75" x14ac:dyDescent="0.25">
      <c r="C1141" s="20" t="s">
        <v>841</v>
      </c>
      <c r="D1141" s="21" t="s">
        <v>136</v>
      </c>
      <c r="H1141" s="11"/>
      <c r="AU1141" s="11"/>
      <c r="CH1141" s="11"/>
      <c r="CI1141" s="16"/>
      <c r="CJ1141" s="16"/>
      <c r="CK1141" s="16"/>
      <c r="CL1141" s="16"/>
      <c r="CM1141" s="16"/>
      <c r="CN1141" s="16"/>
      <c r="CO1141" s="16"/>
      <c r="CP1141" s="16"/>
      <c r="CQ1141" s="16"/>
      <c r="CR1141" s="16"/>
      <c r="CS1141" s="16"/>
      <c r="CT1141" s="16"/>
      <c r="CU1141" s="16"/>
      <c r="CV1141" s="16"/>
      <c r="CW1141" s="16"/>
      <c r="CX1141" s="16"/>
      <c r="CY1141" s="16"/>
      <c r="CZ1141" s="16"/>
      <c r="DA1141" s="16"/>
      <c r="DB1141" s="16"/>
      <c r="DC1141" s="16"/>
      <c r="DD1141" s="16"/>
      <c r="DE1141" s="17"/>
      <c r="DF1141" s="17"/>
      <c r="DG1141" s="16"/>
      <c r="DH1141" s="16"/>
      <c r="DI1141" s="17"/>
      <c r="DJ1141" s="17"/>
      <c r="DK1141" s="16"/>
      <c r="DL1141" s="16"/>
      <c r="DM1141" s="17"/>
      <c r="DN1141" s="17"/>
      <c r="DO1141" s="16"/>
      <c r="DP1141" s="16"/>
      <c r="DQ1141" s="17"/>
      <c r="DR1141" s="17"/>
      <c r="DS1141" s="16"/>
      <c r="DT1141" s="16"/>
      <c r="DU1141" s="17"/>
      <c r="DV1141" s="17"/>
      <c r="DW1141" s="16"/>
      <c r="DX1141" s="16"/>
      <c r="DY1141" s="17"/>
      <c r="DZ1141" s="17"/>
      <c r="EA1141" s="16"/>
      <c r="EB1141" s="16"/>
      <c r="EC1141" s="17"/>
      <c r="ED1141" s="17"/>
      <c r="EE1141" s="16"/>
      <c r="EF1141" s="16"/>
      <c r="EG1141" s="17"/>
      <c r="EH1141" s="17"/>
      <c r="EI1141" s="16"/>
      <c r="EJ1141" s="16"/>
      <c r="EK1141" s="17"/>
      <c r="EL1141" s="17"/>
      <c r="EM1141" s="16"/>
      <c r="EN1141" s="16"/>
      <c r="EO1141" s="17"/>
      <c r="EP1141" s="17"/>
      <c r="EQ1141" s="16"/>
      <c r="ER1141" s="16"/>
      <c r="ES1141" s="17"/>
      <c r="ET1141" s="17"/>
      <c r="EU1141" s="16"/>
      <c r="EV1141" s="16"/>
      <c r="EW1141" s="17"/>
      <c r="EX1141" s="17"/>
      <c r="EY1141" s="16"/>
      <c r="EZ1141" s="16"/>
      <c r="FA1141" s="17"/>
      <c r="FB1141" s="17"/>
      <c r="FC1141" s="16"/>
      <c r="FD1141" s="16"/>
      <c r="FE1141" s="17"/>
      <c r="FF1141" s="17"/>
      <c r="FG1141" s="11"/>
      <c r="GT1141" s="11"/>
      <c r="IG1141" s="11"/>
      <c r="JT1141" s="11"/>
      <c r="LG1141" s="11"/>
      <c r="MT1141" s="11"/>
      <c r="OG1141" s="11"/>
      <c r="PT1141" s="11"/>
    </row>
    <row r="1142" spans="3:436" ht="15.75" x14ac:dyDescent="0.25">
      <c r="C1142" s="20" t="s">
        <v>842</v>
      </c>
      <c r="D1142" s="21" t="s">
        <v>129</v>
      </c>
      <c r="H1142" s="11"/>
      <c r="AU1142" s="11"/>
      <c r="CH1142" s="11"/>
      <c r="CI1142" s="16"/>
      <c r="CJ1142" s="16"/>
      <c r="CK1142" s="16"/>
      <c r="CL1142" s="16"/>
      <c r="CM1142" s="16"/>
      <c r="CN1142" s="16"/>
      <c r="CO1142" s="16"/>
      <c r="CP1142" s="16"/>
      <c r="CQ1142" s="16"/>
      <c r="CR1142" s="16"/>
      <c r="CS1142" s="16"/>
      <c r="CT1142" s="16"/>
      <c r="CU1142" s="16"/>
      <c r="CV1142" s="16"/>
      <c r="CW1142" s="16"/>
      <c r="CX1142" s="16"/>
      <c r="CY1142" s="16"/>
      <c r="CZ1142" s="16"/>
      <c r="DA1142" s="16"/>
      <c r="DB1142" s="16"/>
      <c r="DC1142" s="16"/>
      <c r="DD1142" s="16"/>
      <c r="DE1142" s="17"/>
      <c r="DF1142" s="17"/>
      <c r="DG1142" s="16"/>
      <c r="DH1142" s="16"/>
      <c r="DI1142" s="17"/>
      <c r="DJ1142" s="17"/>
      <c r="DK1142" s="16"/>
      <c r="DL1142" s="16"/>
      <c r="DM1142" s="17"/>
      <c r="DN1142" s="17"/>
      <c r="DO1142" s="16"/>
      <c r="DP1142" s="16"/>
      <c r="DQ1142" s="17"/>
      <c r="DR1142" s="17"/>
      <c r="DS1142" s="16"/>
      <c r="DT1142" s="16"/>
      <c r="DU1142" s="17"/>
      <c r="DV1142" s="17"/>
      <c r="DW1142" s="16"/>
      <c r="DX1142" s="16"/>
      <c r="DY1142" s="17"/>
      <c r="DZ1142" s="17"/>
      <c r="EA1142" s="16"/>
      <c r="EB1142" s="16"/>
      <c r="EC1142" s="17"/>
      <c r="ED1142" s="17"/>
      <c r="EE1142" s="16"/>
      <c r="EF1142" s="16"/>
      <c r="EG1142" s="17"/>
      <c r="EH1142" s="17"/>
      <c r="EI1142" s="16"/>
      <c r="EJ1142" s="16"/>
      <c r="EK1142" s="17"/>
      <c r="EL1142" s="17"/>
      <c r="EM1142" s="16"/>
      <c r="EN1142" s="16"/>
      <c r="EO1142" s="17"/>
      <c r="EP1142" s="17"/>
      <c r="EQ1142" s="16"/>
      <c r="ER1142" s="16"/>
      <c r="ES1142" s="17"/>
      <c r="ET1142" s="17"/>
      <c r="EU1142" s="16"/>
      <c r="EV1142" s="16"/>
      <c r="EW1142" s="17"/>
      <c r="EX1142" s="17"/>
      <c r="EY1142" s="16"/>
      <c r="EZ1142" s="16"/>
      <c r="FA1142" s="17"/>
      <c r="FB1142" s="17"/>
      <c r="FC1142" s="16"/>
      <c r="FD1142" s="16"/>
      <c r="FE1142" s="17"/>
      <c r="FF1142" s="17"/>
      <c r="FG1142" s="11"/>
      <c r="GT1142" s="11"/>
      <c r="IG1142" s="11"/>
      <c r="JT1142" s="11"/>
      <c r="LG1142" s="11"/>
      <c r="MT1142" s="11"/>
      <c r="OG1142" s="11"/>
      <c r="PT1142" s="11"/>
    </row>
    <row r="1143" spans="3:436" ht="15.75" x14ac:dyDescent="0.25">
      <c r="C1143" s="20" t="s">
        <v>843</v>
      </c>
      <c r="D1143" s="21" t="s">
        <v>162</v>
      </c>
      <c r="H1143" s="11"/>
      <c r="AU1143" s="11"/>
      <c r="CH1143" s="11"/>
      <c r="CI1143" s="16"/>
      <c r="CJ1143" s="16"/>
      <c r="CK1143" s="16"/>
      <c r="CL1143" s="16"/>
      <c r="CM1143" s="16"/>
      <c r="CN1143" s="16"/>
      <c r="CO1143" s="16"/>
      <c r="CP1143" s="16"/>
      <c r="CQ1143" s="16"/>
      <c r="CR1143" s="16"/>
      <c r="CS1143" s="16"/>
      <c r="CT1143" s="16"/>
      <c r="CU1143" s="16"/>
      <c r="CV1143" s="16"/>
      <c r="CW1143" s="16"/>
      <c r="CX1143" s="16"/>
      <c r="CY1143" s="16"/>
      <c r="CZ1143" s="16"/>
      <c r="DA1143" s="16"/>
      <c r="DB1143" s="16"/>
      <c r="DC1143" s="16"/>
      <c r="DD1143" s="16"/>
      <c r="DE1143" s="17"/>
      <c r="DF1143" s="17"/>
      <c r="DG1143" s="16"/>
      <c r="DH1143" s="16"/>
      <c r="DI1143" s="17"/>
      <c r="DJ1143" s="17"/>
      <c r="DK1143" s="16"/>
      <c r="DL1143" s="16"/>
      <c r="DM1143" s="17"/>
      <c r="DN1143" s="17"/>
      <c r="DO1143" s="16"/>
      <c r="DP1143" s="16"/>
      <c r="DQ1143" s="17"/>
      <c r="DR1143" s="17"/>
      <c r="DS1143" s="16"/>
      <c r="DT1143" s="16"/>
      <c r="DU1143" s="17"/>
      <c r="DV1143" s="17"/>
      <c r="DW1143" s="16"/>
      <c r="DX1143" s="16"/>
      <c r="DY1143" s="17"/>
      <c r="DZ1143" s="17"/>
      <c r="EA1143" s="16"/>
      <c r="EB1143" s="16"/>
      <c r="EC1143" s="17"/>
      <c r="ED1143" s="17"/>
      <c r="EE1143" s="16"/>
      <c r="EF1143" s="16"/>
      <c r="EG1143" s="17"/>
      <c r="EH1143" s="17"/>
      <c r="EI1143" s="16"/>
      <c r="EJ1143" s="16"/>
      <c r="EK1143" s="17"/>
      <c r="EL1143" s="17"/>
      <c r="EM1143" s="16"/>
      <c r="EN1143" s="16"/>
      <c r="EO1143" s="17"/>
      <c r="EP1143" s="17"/>
      <c r="EQ1143" s="16"/>
      <c r="ER1143" s="16"/>
      <c r="ES1143" s="17"/>
      <c r="ET1143" s="17"/>
      <c r="EU1143" s="16"/>
      <c r="EV1143" s="16"/>
      <c r="EW1143" s="17"/>
      <c r="EX1143" s="17"/>
      <c r="EY1143" s="16"/>
      <c r="EZ1143" s="16"/>
      <c r="FA1143" s="17"/>
      <c r="FB1143" s="17"/>
      <c r="FC1143" s="16"/>
      <c r="FD1143" s="16"/>
      <c r="FE1143" s="17"/>
      <c r="FF1143" s="17"/>
      <c r="FG1143" s="11"/>
      <c r="GT1143" s="11"/>
      <c r="IG1143" s="11"/>
      <c r="JT1143" s="11"/>
      <c r="LG1143" s="11"/>
      <c r="MT1143" s="11"/>
      <c r="OG1143" s="11"/>
      <c r="PT1143" s="11"/>
    </row>
    <row r="1144" spans="3:436" ht="15.75" x14ac:dyDescent="0.25">
      <c r="C1144" s="20" t="s">
        <v>844</v>
      </c>
      <c r="D1144" s="21" t="s">
        <v>203</v>
      </c>
      <c r="H1144" s="11"/>
      <c r="AU1144" s="11"/>
      <c r="CH1144" s="11"/>
      <c r="CI1144" s="16"/>
      <c r="CJ1144" s="16"/>
      <c r="CK1144" s="16"/>
      <c r="CL1144" s="16"/>
      <c r="CM1144" s="16"/>
      <c r="CN1144" s="16"/>
      <c r="CO1144" s="16"/>
      <c r="CP1144" s="16"/>
      <c r="CQ1144" s="16"/>
      <c r="CR1144" s="16"/>
      <c r="CS1144" s="16"/>
      <c r="CT1144" s="16"/>
      <c r="CU1144" s="16"/>
      <c r="CV1144" s="16"/>
      <c r="CW1144" s="16"/>
      <c r="CX1144" s="16"/>
      <c r="CY1144" s="16"/>
      <c r="CZ1144" s="16"/>
      <c r="DA1144" s="16"/>
      <c r="DB1144" s="16"/>
      <c r="DC1144" s="16"/>
      <c r="DD1144" s="16"/>
      <c r="DE1144" s="17"/>
      <c r="DF1144" s="17"/>
      <c r="DG1144" s="16"/>
      <c r="DH1144" s="16"/>
      <c r="DI1144" s="17"/>
      <c r="DJ1144" s="17"/>
      <c r="DK1144" s="16"/>
      <c r="DL1144" s="16"/>
      <c r="DM1144" s="17"/>
      <c r="DN1144" s="17"/>
      <c r="DO1144" s="16"/>
      <c r="DP1144" s="16"/>
      <c r="DQ1144" s="17"/>
      <c r="DR1144" s="17"/>
      <c r="DS1144" s="16"/>
      <c r="DT1144" s="16"/>
      <c r="DU1144" s="17"/>
      <c r="DV1144" s="17"/>
      <c r="DW1144" s="16"/>
      <c r="DX1144" s="16"/>
      <c r="DY1144" s="17"/>
      <c r="DZ1144" s="17"/>
      <c r="EA1144" s="16"/>
      <c r="EB1144" s="16"/>
      <c r="EC1144" s="17"/>
      <c r="ED1144" s="17"/>
      <c r="EE1144" s="16"/>
      <c r="EF1144" s="16"/>
      <c r="EG1144" s="17"/>
      <c r="EH1144" s="17"/>
      <c r="EI1144" s="16"/>
      <c r="EJ1144" s="16"/>
      <c r="EK1144" s="17"/>
      <c r="EL1144" s="17"/>
      <c r="EM1144" s="16"/>
      <c r="EN1144" s="16"/>
      <c r="EO1144" s="17"/>
      <c r="EP1144" s="17"/>
      <c r="EQ1144" s="16"/>
      <c r="ER1144" s="16"/>
      <c r="ES1144" s="17"/>
      <c r="ET1144" s="17"/>
      <c r="EU1144" s="16"/>
      <c r="EV1144" s="16"/>
      <c r="EW1144" s="17"/>
      <c r="EX1144" s="17"/>
      <c r="EY1144" s="16"/>
      <c r="EZ1144" s="16"/>
      <c r="FA1144" s="17"/>
      <c r="FB1144" s="17"/>
      <c r="FC1144" s="16"/>
      <c r="FD1144" s="16"/>
      <c r="FE1144" s="17"/>
      <c r="FF1144" s="17"/>
      <c r="FG1144" s="11"/>
      <c r="GT1144" s="11"/>
      <c r="IG1144" s="11"/>
      <c r="JT1144" s="11"/>
      <c r="LG1144" s="11"/>
      <c r="MT1144" s="11"/>
      <c r="OG1144" s="11"/>
      <c r="PT1144" s="11"/>
    </row>
    <row r="1145" spans="3:436" ht="15.75" x14ac:dyDescent="0.25">
      <c r="C1145" s="20" t="s">
        <v>845</v>
      </c>
      <c r="D1145" s="21" t="s">
        <v>84</v>
      </c>
      <c r="H1145" s="11"/>
      <c r="AU1145" s="11"/>
      <c r="CH1145" s="11"/>
      <c r="CI1145" s="16"/>
      <c r="CJ1145" s="16"/>
      <c r="CK1145" s="16"/>
      <c r="CL1145" s="16"/>
      <c r="CM1145" s="16"/>
      <c r="CN1145" s="16"/>
      <c r="CO1145" s="16"/>
      <c r="CP1145" s="16"/>
      <c r="CQ1145" s="16"/>
      <c r="CR1145" s="16"/>
      <c r="CS1145" s="16"/>
      <c r="CT1145" s="16"/>
      <c r="CU1145" s="16"/>
      <c r="CV1145" s="16"/>
      <c r="CW1145" s="16"/>
      <c r="CX1145" s="16"/>
      <c r="CY1145" s="16"/>
      <c r="CZ1145" s="16"/>
      <c r="DA1145" s="16"/>
      <c r="DB1145" s="16"/>
      <c r="DC1145" s="16"/>
      <c r="DD1145" s="16"/>
      <c r="DE1145" s="17"/>
      <c r="DF1145" s="17"/>
      <c r="DG1145" s="16"/>
      <c r="DH1145" s="16"/>
      <c r="DI1145" s="17"/>
      <c r="DJ1145" s="17"/>
      <c r="DK1145" s="16"/>
      <c r="DL1145" s="16"/>
      <c r="DM1145" s="17"/>
      <c r="DN1145" s="17"/>
      <c r="DO1145" s="16"/>
      <c r="DP1145" s="16"/>
      <c r="DQ1145" s="17"/>
      <c r="DR1145" s="17"/>
      <c r="DS1145" s="16"/>
      <c r="DT1145" s="16"/>
      <c r="DU1145" s="17"/>
      <c r="DV1145" s="17"/>
      <c r="DW1145" s="19">
        <v>15</v>
      </c>
      <c r="DX1145" s="19">
        <v>15</v>
      </c>
      <c r="DY1145" s="17"/>
      <c r="DZ1145" s="17"/>
      <c r="EA1145" s="16"/>
      <c r="EB1145" s="16"/>
      <c r="EC1145" s="17"/>
      <c r="ED1145" s="17"/>
      <c r="EE1145" s="16"/>
      <c r="EF1145" s="16"/>
      <c r="EG1145" s="17"/>
      <c r="EH1145" s="17"/>
      <c r="EI1145" s="16"/>
      <c r="EJ1145" s="16"/>
      <c r="EK1145" s="17"/>
      <c r="EL1145" s="17"/>
      <c r="EM1145" s="16"/>
      <c r="EN1145" s="16"/>
      <c r="EO1145" s="17"/>
      <c r="EP1145" s="17"/>
      <c r="EQ1145" s="16"/>
      <c r="ER1145" s="16"/>
      <c r="ES1145" s="17"/>
      <c r="ET1145" s="17"/>
      <c r="EU1145" s="16"/>
      <c r="EV1145" s="16"/>
      <c r="EW1145" s="17"/>
      <c r="EX1145" s="17"/>
      <c r="EY1145" s="16"/>
      <c r="EZ1145" s="16"/>
      <c r="FA1145" s="17"/>
      <c r="FB1145" s="17"/>
      <c r="FC1145" s="16"/>
      <c r="FD1145" s="16"/>
      <c r="FE1145" s="17"/>
      <c r="FF1145" s="17"/>
      <c r="FG1145" s="11"/>
      <c r="GT1145" s="11"/>
      <c r="IG1145" s="11"/>
      <c r="JT1145" s="11"/>
      <c r="LG1145" s="11"/>
      <c r="MT1145" s="11"/>
      <c r="OG1145" s="11"/>
      <c r="PT1145" s="11"/>
    </row>
    <row r="1146" spans="3:436" ht="15.75" x14ac:dyDescent="0.25">
      <c r="C1146" s="20" t="s">
        <v>846</v>
      </c>
      <c r="D1146" s="21" t="s">
        <v>82</v>
      </c>
      <c r="H1146" s="11"/>
      <c r="AU1146" s="11"/>
      <c r="CH1146" s="11"/>
      <c r="CI1146" s="16"/>
      <c r="CJ1146" s="16"/>
      <c r="CK1146" s="16"/>
      <c r="CL1146" s="16"/>
      <c r="CM1146" s="16"/>
      <c r="CN1146" s="16"/>
      <c r="CO1146" s="16"/>
      <c r="CP1146" s="16"/>
      <c r="CQ1146" s="16"/>
      <c r="CR1146" s="16"/>
      <c r="CS1146" s="16"/>
      <c r="CT1146" s="16"/>
      <c r="CU1146" s="16"/>
      <c r="CV1146" s="16"/>
      <c r="CW1146" s="16"/>
      <c r="CX1146" s="16"/>
      <c r="CY1146" s="16"/>
      <c r="CZ1146" s="16"/>
      <c r="DA1146" s="16"/>
      <c r="DB1146" s="16"/>
      <c r="DC1146" s="16"/>
      <c r="DD1146" s="16"/>
      <c r="DE1146" s="17"/>
      <c r="DF1146" s="17"/>
      <c r="DG1146" s="16"/>
      <c r="DH1146" s="16"/>
      <c r="DI1146" s="17"/>
      <c r="DJ1146" s="17"/>
      <c r="DK1146" s="16"/>
      <c r="DL1146" s="16"/>
      <c r="DM1146" s="17"/>
      <c r="DN1146" s="17"/>
      <c r="DO1146" s="16"/>
      <c r="DP1146" s="16"/>
      <c r="DQ1146" s="17"/>
      <c r="DR1146" s="17"/>
      <c r="DS1146" s="16"/>
      <c r="DT1146" s="16"/>
      <c r="DU1146" s="17"/>
      <c r="DV1146" s="17"/>
      <c r="DW1146" s="16"/>
      <c r="DX1146" s="16"/>
      <c r="DY1146" s="17"/>
      <c r="DZ1146" s="17"/>
      <c r="EA1146" s="16"/>
      <c r="EB1146" s="16"/>
      <c r="EC1146" s="17"/>
      <c r="ED1146" s="17"/>
      <c r="EE1146" s="16"/>
      <c r="EF1146" s="16"/>
      <c r="EG1146" s="17"/>
      <c r="EH1146" s="17"/>
      <c r="EI1146" s="16"/>
      <c r="EJ1146" s="16"/>
      <c r="EK1146" s="17"/>
      <c r="EL1146" s="17"/>
      <c r="EM1146" s="16"/>
      <c r="EN1146" s="16"/>
      <c r="EO1146" s="17"/>
      <c r="EP1146" s="17"/>
      <c r="EQ1146" s="16"/>
      <c r="ER1146" s="16"/>
      <c r="ES1146" s="17"/>
      <c r="ET1146" s="17"/>
      <c r="EU1146" s="16"/>
      <c r="EV1146" s="16"/>
      <c r="EW1146" s="17"/>
      <c r="EX1146" s="17"/>
      <c r="EY1146" s="16"/>
      <c r="EZ1146" s="16"/>
      <c r="FA1146" s="17"/>
      <c r="FB1146" s="17"/>
      <c r="FC1146" s="16"/>
      <c r="FD1146" s="16"/>
      <c r="FE1146" s="17"/>
      <c r="FF1146" s="17"/>
      <c r="FG1146" s="11"/>
      <c r="GT1146" s="11"/>
      <c r="IG1146" s="11"/>
      <c r="JT1146" s="11"/>
      <c r="LG1146" s="11"/>
      <c r="MT1146" s="11"/>
      <c r="OG1146" s="11"/>
      <c r="PT1146" s="11"/>
    </row>
    <row r="1147" spans="3:436" ht="15.75" x14ac:dyDescent="0.25">
      <c r="C1147" s="20" t="s">
        <v>847</v>
      </c>
      <c r="D1147" s="21" t="s">
        <v>129</v>
      </c>
      <c r="H1147" s="11"/>
      <c r="AU1147" s="11"/>
      <c r="CH1147" s="11"/>
      <c r="CI1147" s="16"/>
      <c r="CJ1147" s="16"/>
      <c r="CK1147" s="16"/>
      <c r="CL1147" s="16"/>
      <c r="CM1147" s="16"/>
      <c r="CN1147" s="16"/>
      <c r="CO1147" s="16"/>
      <c r="CP1147" s="16"/>
      <c r="CQ1147" s="16"/>
      <c r="CR1147" s="16"/>
      <c r="CS1147" s="16"/>
      <c r="CT1147" s="16"/>
      <c r="CU1147" s="16"/>
      <c r="CV1147" s="16"/>
      <c r="CW1147" s="16"/>
      <c r="CX1147" s="16"/>
      <c r="CY1147" s="16"/>
      <c r="CZ1147" s="16"/>
      <c r="DA1147" s="16"/>
      <c r="DB1147" s="16"/>
      <c r="DC1147" s="16"/>
      <c r="DD1147" s="16"/>
      <c r="DE1147" s="17"/>
      <c r="DF1147" s="17"/>
      <c r="DG1147" s="16"/>
      <c r="DH1147" s="16"/>
      <c r="DI1147" s="17"/>
      <c r="DJ1147" s="17"/>
      <c r="DK1147" s="16"/>
      <c r="DL1147" s="16"/>
      <c r="DM1147" s="17"/>
      <c r="DN1147" s="17"/>
      <c r="DO1147" s="16"/>
      <c r="DP1147" s="16"/>
      <c r="DQ1147" s="17"/>
      <c r="DR1147" s="17"/>
      <c r="DS1147" s="16"/>
      <c r="DT1147" s="16"/>
      <c r="DU1147" s="17"/>
      <c r="DV1147" s="17"/>
      <c r="DW1147" s="16"/>
      <c r="DX1147" s="16"/>
      <c r="DY1147" s="17"/>
      <c r="DZ1147" s="17"/>
      <c r="EA1147" s="16"/>
      <c r="EB1147" s="16"/>
      <c r="EC1147" s="17"/>
      <c r="ED1147" s="17"/>
      <c r="EE1147" s="16"/>
      <c r="EF1147" s="16"/>
      <c r="EG1147" s="17"/>
      <c r="EH1147" s="17"/>
      <c r="EI1147" s="16"/>
      <c r="EJ1147" s="16"/>
      <c r="EK1147" s="17"/>
      <c r="EL1147" s="17"/>
      <c r="EM1147" s="16"/>
      <c r="EN1147" s="16"/>
      <c r="EO1147" s="17"/>
      <c r="EP1147" s="17"/>
      <c r="EQ1147" s="16"/>
      <c r="ER1147" s="16"/>
      <c r="ES1147" s="17"/>
      <c r="ET1147" s="17"/>
      <c r="EU1147" s="16"/>
      <c r="EV1147" s="16"/>
      <c r="EW1147" s="17"/>
      <c r="EX1147" s="17"/>
      <c r="EY1147" s="16"/>
      <c r="EZ1147" s="16"/>
      <c r="FA1147" s="17"/>
      <c r="FB1147" s="17"/>
      <c r="FC1147" s="16"/>
      <c r="FD1147" s="16"/>
      <c r="FE1147" s="17"/>
      <c r="FF1147" s="17"/>
      <c r="FG1147" s="11"/>
      <c r="GT1147" s="11"/>
      <c r="IG1147" s="11"/>
      <c r="JT1147" s="11"/>
      <c r="LG1147" s="11"/>
      <c r="MT1147" s="11"/>
      <c r="OG1147" s="11"/>
      <c r="PT1147" s="11"/>
    </row>
    <row r="1148" spans="3:436" ht="15.75" x14ac:dyDescent="0.25">
      <c r="C1148" s="20" t="s">
        <v>848</v>
      </c>
      <c r="D1148" s="21" t="s">
        <v>129</v>
      </c>
      <c r="H1148" s="11"/>
      <c r="AU1148" s="11"/>
      <c r="CH1148" s="11"/>
      <c r="CI1148" s="16"/>
      <c r="CJ1148" s="16"/>
      <c r="CK1148" s="16"/>
      <c r="CL1148" s="16"/>
      <c r="CM1148" s="16"/>
      <c r="CN1148" s="16"/>
      <c r="CO1148" s="16"/>
      <c r="CP1148" s="16"/>
      <c r="CQ1148" s="16"/>
      <c r="CR1148" s="16"/>
      <c r="CS1148" s="16"/>
      <c r="CT1148" s="16"/>
      <c r="CU1148" s="16"/>
      <c r="CV1148" s="16"/>
      <c r="CW1148" s="16"/>
      <c r="CX1148" s="16"/>
      <c r="CY1148" s="16"/>
      <c r="CZ1148" s="16"/>
      <c r="DA1148" s="16"/>
      <c r="DB1148" s="16"/>
      <c r="DC1148" s="16"/>
      <c r="DD1148" s="16"/>
      <c r="DE1148" s="17"/>
      <c r="DF1148" s="17"/>
      <c r="DG1148" s="16"/>
      <c r="DH1148" s="16"/>
      <c r="DI1148" s="17"/>
      <c r="DJ1148" s="17"/>
      <c r="DK1148" s="16"/>
      <c r="DL1148" s="16"/>
      <c r="DM1148" s="17"/>
      <c r="DN1148" s="17"/>
      <c r="DO1148" s="16"/>
      <c r="DP1148" s="16"/>
      <c r="DQ1148" s="17"/>
      <c r="DR1148" s="17"/>
      <c r="DS1148" s="16"/>
      <c r="DT1148" s="16"/>
      <c r="DU1148" s="17"/>
      <c r="DV1148" s="17"/>
      <c r="DW1148" s="16"/>
      <c r="DX1148" s="16"/>
      <c r="DY1148" s="17"/>
      <c r="DZ1148" s="17"/>
      <c r="EA1148" s="16"/>
      <c r="EB1148" s="16"/>
      <c r="EC1148" s="17"/>
      <c r="ED1148" s="17"/>
      <c r="EE1148" s="16"/>
      <c r="EF1148" s="16"/>
      <c r="EG1148" s="17"/>
      <c r="EH1148" s="17"/>
      <c r="EI1148" s="16"/>
      <c r="EJ1148" s="16"/>
      <c r="EK1148" s="17"/>
      <c r="EL1148" s="17"/>
      <c r="EM1148" s="16"/>
      <c r="EN1148" s="16"/>
      <c r="EO1148" s="17"/>
      <c r="EP1148" s="17"/>
      <c r="EQ1148" s="16"/>
      <c r="ER1148" s="16"/>
      <c r="ES1148" s="17"/>
      <c r="ET1148" s="17"/>
      <c r="EU1148" s="16"/>
      <c r="EV1148" s="16"/>
      <c r="EW1148" s="17"/>
      <c r="EX1148" s="17"/>
      <c r="EY1148" s="16"/>
      <c r="EZ1148" s="16"/>
      <c r="FA1148" s="17"/>
      <c r="FB1148" s="17"/>
      <c r="FC1148" s="16"/>
      <c r="FD1148" s="16"/>
      <c r="FE1148" s="17"/>
      <c r="FF1148" s="17"/>
      <c r="FG1148" s="11"/>
      <c r="GT1148" s="11"/>
      <c r="IG1148" s="11"/>
      <c r="JT1148" s="11"/>
      <c r="LG1148" s="11"/>
      <c r="MT1148" s="11"/>
      <c r="OG1148" s="11"/>
      <c r="PT1148" s="11"/>
    </row>
    <row r="1149" spans="3:436" ht="15.75" x14ac:dyDescent="0.25">
      <c r="C1149" s="20" t="s">
        <v>839</v>
      </c>
      <c r="D1149" s="21" t="s">
        <v>129</v>
      </c>
      <c r="H1149" s="11"/>
      <c r="AU1149" s="11"/>
      <c r="CH1149" s="11"/>
      <c r="CI1149" s="16"/>
      <c r="CJ1149" s="16"/>
      <c r="CK1149" s="16"/>
      <c r="CL1149" s="16"/>
      <c r="CM1149" s="16"/>
      <c r="CN1149" s="16"/>
      <c r="CO1149" s="16"/>
      <c r="CP1149" s="16"/>
      <c r="CQ1149" s="16"/>
      <c r="CR1149" s="16"/>
      <c r="CS1149" s="16"/>
      <c r="CT1149" s="16"/>
      <c r="CU1149" s="16"/>
      <c r="CV1149" s="16"/>
      <c r="CW1149" s="16"/>
      <c r="CX1149" s="16"/>
      <c r="CY1149" s="16"/>
      <c r="CZ1149" s="16"/>
      <c r="DA1149" s="16"/>
      <c r="DB1149" s="16"/>
      <c r="DC1149" s="16"/>
      <c r="DD1149" s="16"/>
      <c r="DE1149" s="17"/>
      <c r="DF1149" s="17"/>
      <c r="DG1149" s="16"/>
      <c r="DH1149" s="16"/>
      <c r="DI1149" s="17"/>
      <c r="DJ1149" s="17"/>
      <c r="DK1149" s="16"/>
      <c r="DL1149" s="16"/>
      <c r="DM1149" s="17"/>
      <c r="DN1149" s="17"/>
      <c r="DO1149" s="16"/>
      <c r="DP1149" s="16"/>
      <c r="DQ1149" s="17"/>
      <c r="DR1149" s="17"/>
      <c r="DS1149" s="16"/>
      <c r="DT1149" s="16"/>
      <c r="DU1149" s="17"/>
      <c r="DV1149" s="17"/>
      <c r="DW1149" s="16"/>
      <c r="DX1149" s="16"/>
      <c r="DY1149" s="17"/>
      <c r="DZ1149" s="17"/>
      <c r="EA1149" s="16"/>
      <c r="EB1149" s="16"/>
      <c r="EC1149" s="17"/>
      <c r="ED1149" s="17"/>
      <c r="EE1149" s="16"/>
      <c r="EF1149" s="16"/>
      <c r="EG1149" s="17"/>
      <c r="EH1149" s="17"/>
      <c r="EI1149" s="16"/>
      <c r="EJ1149" s="16"/>
      <c r="EK1149" s="17"/>
      <c r="EL1149" s="17"/>
      <c r="EM1149" s="16"/>
      <c r="EN1149" s="16"/>
      <c r="EO1149" s="17"/>
      <c r="EP1149" s="17"/>
      <c r="EQ1149" s="16"/>
      <c r="ER1149" s="16"/>
      <c r="ES1149" s="17"/>
      <c r="ET1149" s="17"/>
      <c r="EU1149" s="16"/>
      <c r="EV1149" s="16"/>
      <c r="EW1149" s="17"/>
      <c r="EX1149" s="17"/>
      <c r="EY1149" s="16"/>
      <c r="EZ1149" s="16"/>
      <c r="FA1149" s="17"/>
      <c r="FB1149" s="17"/>
      <c r="FC1149" s="16"/>
      <c r="FD1149" s="16"/>
      <c r="FE1149" s="17"/>
      <c r="FF1149" s="17"/>
      <c r="FG1149" s="11"/>
      <c r="GT1149" s="11"/>
      <c r="IG1149" s="11"/>
      <c r="JT1149" s="11"/>
      <c r="LG1149" s="11"/>
      <c r="MT1149" s="11"/>
      <c r="OG1149" s="11"/>
      <c r="PT1149" s="11"/>
    </row>
    <row r="1150" spans="3:436" ht="15.75" x14ac:dyDescent="0.25">
      <c r="C1150" s="20" t="s">
        <v>840</v>
      </c>
      <c r="D1150" s="21" t="s">
        <v>136</v>
      </c>
      <c r="H1150" s="11"/>
      <c r="AU1150" s="11"/>
      <c r="CH1150" s="11"/>
      <c r="CI1150" s="16"/>
      <c r="CJ1150" s="16"/>
      <c r="CK1150" s="16"/>
      <c r="CL1150" s="16"/>
      <c r="CM1150" s="16"/>
      <c r="CN1150" s="16"/>
      <c r="CO1150" s="16"/>
      <c r="CP1150" s="16"/>
      <c r="CQ1150" s="16"/>
      <c r="CR1150" s="16"/>
      <c r="CS1150" s="16"/>
      <c r="CT1150" s="16"/>
      <c r="CU1150" s="16"/>
      <c r="CV1150" s="16"/>
      <c r="CW1150" s="16"/>
      <c r="CX1150" s="16"/>
      <c r="CY1150" s="16"/>
      <c r="CZ1150" s="16"/>
      <c r="DA1150" s="16"/>
      <c r="DB1150" s="16"/>
      <c r="DC1150" s="16"/>
      <c r="DD1150" s="16"/>
      <c r="DE1150" s="17"/>
      <c r="DF1150" s="17"/>
      <c r="DG1150" s="16"/>
      <c r="DH1150" s="16"/>
      <c r="DI1150" s="17"/>
      <c r="DJ1150" s="17"/>
      <c r="DK1150" s="16"/>
      <c r="DL1150" s="16"/>
      <c r="DM1150" s="17"/>
      <c r="DN1150" s="17"/>
      <c r="DO1150" s="16"/>
      <c r="DP1150" s="16"/>
      <c r="DQ1150" s="17"/>
      <c r="DR1150" s="17"/>
      <c r="DS1150" s="16"/>
      <c r="DT1150" s="16"/>
      <c r="DU1150" s="17"/>
      <c r="DV1150" s="17"/>
      <c r="DW1150" s="16"/>
      <c r="DX1150" s="16"/>
      <c r="DY1150" s="17"/>
      <c r="DZ1150" s="17"/>
      <c r="EA1150" s="16"/>
      <c r="EB1150" s="16"/>
      <c r="EC1150" s="17"/>
      <c r="ED1150" s="17"/>
      <c r="EE1150" s="16"/>
      <c r="EF1150" s="16"/>
      <c r="EG1150" s="17"/>
      <c r="EH1150" s="17"/>
      <c r="EI1150" s="16"/>
      <c r="EJ1150" s="16"/>
      <c r="EK1150" s="17"/>
      <c r="EL1150" s="17"/>
      <c r="EM1150" s="16"/>
      <c r="EN1150" s="16"/>
      <c r="EO1150" s="17"/>
      <c r="EP1150" s="17"/>
      <c r="EQ1150" s="16"/>
      <c r="ER1150" s="16"/>
      <c r="ES1150" s="17"/>
      <c r="ET1150" s="17"/>
      <c r="EU1150" s="16"/>
      <c r="EV1150" s="16"/>
      <c r="EW1150" s="17"/>
      <c r="EX1150" s="17"/>
      <c r="EY1150" s="16"/>
      <c r="EZ1150" s="16"/>
      <c r="FA1150" s="17"/>
      <c r="FB1150" s="17"/>
      <c r="FC1150" s="16"/>
      <c r="FD1150" s="16"/>
      <c r="FE1150" s="17"/>
      <c r="FF1150" s="17"/>
      <c r="FG1150" s="11"/>
      <c r="GT1150" s="11"/>
      <c r="IG1150" s="11"/>
      <c r="JT1150" s="11"/>
      <c r="LG1150" s="11"/>
      <c r="MT1150" s="11"/>
      <c r="OG1150" s="11"/>
      <c r="PT1150" s="11"/>
    </row>
    <row r="1151" spans="3:436" ht="15.75" x14ac:dyDescent="0.25">
      <c r="C1151" s="20" t="s">
        <v>841</v>
      </c>
      <c r="D1151" s="21" t="s">
        <v>136</v>
      </c>
      <c r="H1151" s="11"/>
      <c r="AU1151" s="11"/>
      <c r="CH1151" s="11"/>
      <c r="CI1151" s="16"/>
      <c r="CJ1151" s="16"/>
      <c r="CK1151" s="16"/>
      <c r="CL1151" s="16"/>
      <c r="CM1151" s="16"/>
      <c r="CN1151" s="16"/>
      <c r="CO1151" s="16"/>
      <c r="CP1151" s="16"/>
      <c r="CQ1151" s="16"/>
      <c r="CR1151" s="16"/>
      <c r="CS1151" s="16"/>
      <c r="CT1151" s="16"/>
      <c r="CU1151" s="16"/>
      <c r="CV1151" s="16"/>
      <c r="CW1151" s="16"/>
      <c r="CX1151" s="16"/>
      <c r="CY1151" s="16"/>
      <c r="CZ1151" s="16"/>
      <c r="DA1151" s="16"/>
      <c r="DB1151" s="16"/>
      <c r="DC1151" s="16"/>
      <c r="DD1151" s="16"/>
      <c r="DE1151" s="17"/>
      <c r="DF1151" s="17"/>
      <c r="DG1151" s="16"/>
      <c r="DH1151" s="16"/>
      <c r="DI1151" s="17"/>
      <c r="DJ1151" s="17"/>
      <c r="DK1151" s="16"/>
      <c r="DL1151" s="16"/>
      <c r="DM1151" s="17"/>
      <c r="DN1151" s="17"/>
      <c r="DO1151" s="16"/>
      <c r="DP1151" s="16"/>
      <c r="DQ1151" s="17"/>
      <c r="DR1151" s="17"/>
      <c r="DS1151" s="16"/>
      <c r="DT1151" s="16"/>
      <c r="DU1151" s="17"/>
      <c r="DV1151" s="17"/>
      <c r="DW1151" s="16"/>
      <c r="DX1151" s="16"/>
      <c r="DY1151" s="17"/>
      <c r="DZ1151" s="17"/>
      <c r="EA1151" s="16"/>
      <c r="EB1151" s="16"/>
      <c r="EC1151" s="17"/>
      <c r="ED1151" s="17"/>
      <c r="EE1151" s="16"/>
      <c r="EF1151" s="16"/>
      <c r="EG1151" s="17"/>
      <c r="EH1151" s="17"/>
      <c r="EI1151" s="16"/>
      <c r="EJ1151" s="16"/>
      <c r="EK1151" s="17"/>
      <c r="EL1151" s="17"/>
      <c r="EM1151" s="16"/>
      <c r="EN1151" s="16"/>
      <c r="EO1151" s="17"/>
      <c r="EP1151" s="17"/>
      <c r="EQ1151" s="16"/>
      <c r="ER1151" s="16"/>
      <c r="ES1151" s="17"/>
      <c r="ET1151" s="17"/>
      <c r="EU1151" s="16"/>
      <c r="EV1151" s="16"/>
      <c r="EW1151" s="17"/>
      <c r="EX1151" s="17"/>
      <c r="EY1151" s="16"/>
      <c r="EZ1151" s="16"/>
      <c r="FA1151" s="17"/>
      <c r="FB1151" s="17"/>
      <c r="FC1151" s="16"/>
      <c r="FD1151" s="16"/>
      <c r="FE1151" s="17"/>
      <c r="FF1151" s="17"/>
      <c r="FG1151" s="11"/>
      <c r="GT1151" s="11"/>
      <c r="IG1151" s="11"/>
      <c r="JT1151" s="11"/>
      <c r="LG1151" s="11"/>
      <c r="MT1151" s="11"/>
      <c r="OG1151" s="11"/>
      <c r="PT1151" s="11"/>
    </row>
    <row r="1152" spans="3:436" ht="15.75" x14ac:dyDescent="0.25">
      <c r="C1152" s="20" t="s">
        <v>842</v>
      </c>
      <c r="D1152" s="21" t="s">
        <v>129</v>
      </c>
      <c r="H1152" s="11"/>
      <c r="AU1152" s="11"/>
      <c r="CH1152" s="11"/>
      <c r="CI1152" s="16"/>
      <c r="CJ1152" s="16"/>
      <c r="CK1152" s="16"/>
      <c r="CL1152" s="16"/>
      <c r="CM1152" s="16"/>
      <c r="CN1152" s="16"/>
      <c r="CO1152" s="16"/>
      <c r="CP1152" s="16"/>
      <c r="CQ1152" s="16"/>
      <c r="CR1152" s="16"/>
      <c r="CS1152" s="16"/>
      <c r="CT1152" s="16"/>
      <c r="CU1152" s="16"/>
      <c r="CV1152" s="16"/>
      <c r="CW1152" s="16"/>
      <c r="CX1152" s="16"/>
      <c r="CY1152" s="16"/>
      <c r="CZ1152" s="16"/>
      <c r="DA1152" s="16"/>
      <c r="DB1152" s="16"/>
      <c r="DC1152" s="16"/>
      <c r="DD1152" s="16"/>
      <c r="DE1152" s="17"/>
      <c r="DF1152" s="17"/>
      <c r="DG1152" s="16"/>
      <c r="DH1152" s="16"/>
      <c r="DI1152" s="17"/>
      <c r="DJ1152" s="17"/>
      <c r="DK1152" s="16"/>
      <c r="DL1152" s="16"/>
      <c r="DM1152" s="17"/>
      <c r="DN1152" s="17"/>
      <c r="DO1152" s="16"/>
      <c r="DP1152" s="16"/>
      <c r="DQ1152" s="17"/>
      <c r="DR1152" s="17"/>
      <c r="DS1152" s="16"/>
      <c r="DT1152" s="16"/>
      <c r="DU1152" s="17"/>
      <c r="DV1152" s="17"/>
      <c r="DW1152" s="16"/>
      <c r="DX1152" s="16"/>
      <c r="DY1152" s="17"/>
      <c r="DZ1152" s="17"/>
      <c r="EA1152" s="16"/>
      <c r="EB1152" s="16"/>
      <c r="EC1152" s="17"/>
      <c r="ED1152" s="17"/>
      <c r="EE1152" s="16"/>
      <c r="EF1152" s="16"/>
      <c r="EG1152" s="17"/>
      <c r="EH1152" s="17"/>
      <c r="EI1152" s="16"/>
      <c r="EJ1152" s="16"/>
      <c r="EK1152" s="17"/>
      <c r="EL1152" s="17"/>
      <c r="EM1152" s="16"/>
      <c r="EN1152" s="16"/>
      <c r="EO1152" s="17"/>
      <c r="EP1152" s="17"/>
      <c r="EQ1152" s="16"/>
      <c r="ER1152" s="16"/>
      <c r="ES1152" s="17"/>
      <c r="ET1152" s="17"/>
      <c r="EU1152" s="16"/>
      <c r="EV1152" s="16"/>
      <c r="EW1152" s="17"/>
      <c r="EX1152" s="17"/>
      <c r="EY1152" s="16"/>
      <c r="EZ1152" s="16"/>
      <c r="FA1152" s="17"/>
      <c r="FB1152" s="17"/>
      <c r="FC1152" s="16"/>
      <c r="FD1152" s="16"/>
      <c r="FE1152" s="17"/>
      <c r="FF1152" s="17"/>
      <c r="FG1152" s="11"/>
      <c r="GT1152" s="11"/>
      <c r="IG1152" s="11"/>
      <c r="JT1152" s="11"/>
      <c r="LG1152" s="11"/>
      <c r="MT1152" s="11"/>
      <c r="OG1152" s="11"/>
      <c r="PT1152" s="11"/>
    </row>
    <row r="1153" spans="3:436" ht="15.75" x14ac:dyDescent="0.25">
      <c r="C1153" s="20" t="s">
        <v>843</v>
      </c>
      <c r="D1153" s="21" t="s">
        <v>162</v>
      </c>
      <c r="H1153" s="11"/>
      <c r="AU1153" s="11"/>
      <c r="CH1153" s="11"/>
      <c r="CI1153" s="16"/>
      <c r="CJ1153" s="16"/>
      <c r="CK1153" s="16"/>
      <c r="CL1153" s="16"/>
      <c r="CM1153" s="16"/>
      <c r="CN1153" s="16"/>
      <c r="CO1153" s="16"/>
      <c r="CP1153" s="16"/>
      <c r="CQ1153" s="16"/>
      <c r="CR1153" s="16"/>
      <c r="CS1153" s="16"/>
      <c r="CT1153" s="16"/>
      <c r="CU1153" s="16"/>
      <c r="CV1153" s="16"/>
      <c r="CW1153" s="16"/>
      <c r="CX1153" s="16"/>
      <c r="CY1153" s="16"/>
      <c r="CZ1153" s="16"/>
      <c r="DA1153" s="16"/>
      <c r="DB1153" s="16"/>
      <c r="DC1153" s="16"/>
      <c r="DD1153" s="16"/>
      <c r="DE1153" s="17"/>
      <c r="DF1153" s="17"/>
      <c r="DG1153" s="16"/>
      <c r="DH1153" s="16"/>
      <c r="DI1153" s="17"/>
      <c r="DJ1153" s="17"/>
      <c r="DK1153" s="16"/>
      <c r="DL1153" s="16"/>
      <c r="DM1153" s="17"/>
      <c r="DN1153" s="17"/>
      <c r="DO1153" s="16"/>
      <c r="DP1153" s="16"/>
      <c r="DQ1153" s="17"/>
      <c r="DR1153" s="17"/>
      <c r="DS1153" s="16"/>
      <c r="DT1153" s="16"/>
      <c r="DU1153" s="17"/>
      <c r="DV1153" s="17"/>
      <c r="DW1153" s="16"/>
      <c r="DX1153" s="16"/>
      <c r="DY1153" s="17"/>
      <c r="DZ1153" s="17"/>
      <c r="EA1153" s="16"/>
      <c r="EB1153" s="16"/>
      <c r="EC1153" s="17"/>
      <c r="ED1153" s="17"/>
      <c r="EE1153" s="16"/>
      <c r="EF1153" s="16"/>
      <c r="EG1153" s="17"/>
      <c r="EH1153" s="17"/>
      <c r="EI1153" s="16"/>
      <c r="EJ1153" s="16"/>
      <c r="EK1153" s="17"/>
      <c r="EL1153" s="17"/>
      <c r="EM1153" s="16"/>
      <c r="EN1153" s="16"/>
      <c r="EO1153" s="17"/>
      <c r="EP1153" s="17"/>
      <c r="EQ1153" s="16"/>
      <c r="ER1153" s="16"/>
      <c r="ES1153" s="17"/>
      <c r="ET1153" s="17"/>
      <c r="EU1153" s="16"/>
      <c r="EV1153" s="16"/>
      <c r="EW1153" s="17"/>
      <c r="EX1153" s="17"/>
      <c r="EY1153" s="16"/>
      <c r="EZ1153" s="16"/>
      <c r="FA1153" s="17"/>
      <c r="FB1153" s="17"/>
      <c r="FC1153" s="16"/>
      <c r="FD1153" s="16"/>
      <c r="FE1153" s="17"/>
      <c r="FF1153" s="17"/>
      <c r="FG1153" s="11"/>
      <c r="GT1153" s="11"/>
      <c r="IG1153" s="11"/>
      <c r="JT1153" s="11"/>
      <c r="LG1153" s="11"/>
      <c r="MT1153" s="11"/>
      <c r="OG1153" s="11"/>
      <c r="PT1153" s="11"/>
    </row>
    <row r="1154" spans="3:436" ht="15.75" x14ac:dyDescent="0.25">
      <c r="C1154" s="20" t="s">
        <v>844</v>
      </c>
      <c r="D1154" s="21" t="s">
        <v>203</v>
      </c>
      <c r="H1154" s="11"/>
      <c r="AU1154" s="11"/>
      <c r="CH1154" s="11"/>
      <c r="CI1154" s="16"/>
      <c r="CJ1154" s="16"/>
      <c r="CK1154" s="16"/>
      <c r="CL1154" s="16"/>
      <c r="CM1154" s="16"/>
      <c r="CN1154" s="16"/>
      <c r="CO1154" s="16"/>
      <c r="CP1154" s="16"/>
      <c r="CQ1154" s="16"/>
      <c r="CR1154" s="16"/>
      <c r="CS1154" s="16"/>
      <c r="CT1154" s="16"/>
      <c r="CU1154" s="16"/>
      <c r="CV1154" s="16"/>
      <c r="CW1154" s="16"/>
      <c r="CX1154" s="16"/>
      <c r="CY1154" s="16"/>
      <c r="CZ1154" s="16"/>
      <c r="DA1154" s="16"/>
      <c r="DB1154" s="16"/>
      <c r="DC1154" s="16"/>
      <c r="DD1154" s="16"/>
      <c r="DE1154" s="17"/>
      <c r="DF1154" s="17"/>
      <c r="DG1154" s="16"/>
      <c r="DH1154" s="16"/>
      <c r="DI1154" s="17"/>
      <c r="DJ1154" s="17"/>
      <c r="DK1154" s="16"/>
      <c r="DL1154" s="16"/>
      <c r="DM1154" s="17"/>
      <c r="DN1154" s="17"/>
      <c r="DO1154" s="16"/>
      <c r="DP1154" s="16"/>
      <c r="DQ1154" s="17"/>
      <c r="DR1154" s="17"/>
      <c r="DS1154" s="16"/>
      <c r="DT1154" s="16"/>
      <c r="DU1154" s="17"/>
      <c r="DV1154" s="17"/>
      <c r="DW1154" s="16"/>
      <c r="DX1154" s="16"/>
      <c r="DY1154" s="17"/>
      <c r="DZ1154" s="17"/>
      <c r="EA1154" s="16"/>
      <c r="EB1154" s="16"/>
      <c r="EC1154" s="17"/>
      <c r="ED1154" s="17"/>
      <c r="EE1154" s="16"/>
      <c r="EF1154" s="16"/>
      <c r="EG1154" s="18">
        <v>3</v>
      </c>
      <c r="EH1154" s="18">
        <v>5</v>
      </c>
      <c r="EI1154" s="16"/>
      <c r="EJ1154" s="16"/>
      <c r="EK1154" s="17"/>
      <c r="EL1154" s="17"/>
      <c r="EM1154" s="16"/>
      <c r="EN1154" s="16"/>
      <c r="EO1154" s="17"/>
      <c r="EP1154" s="17"/>
      <c r="EQ1154" s="16"/>
      <c r="ER1154" s="16"/>
      <c r="ES1154" s="17"/>
      <c r="ET1154" s="17"/>
      <c r="EU1154" s="16"/>
      <c r="EV1154" s="16"/>
      <c r="EW1154" s="17"/>
      <c r="EX1154" s="17"/>
      <c r="EY1154" s="16"/>
      <c r="EZ1154" s="16"/>
      <c r="FA1154" s="17"/>
      <c r="FB1154" s="17"/>
      <c r="FC1154" s="16"/>
      <c r="FD1154" s="16"/>
      <c r="FE1154" s="17"/>
      <c r="FF1154" s="17"/>
      <c r="FG1154" s="11"/>
      <c r="GT1154" s="11"/>
      <c r="IG1154" s="11"/>
      <c r="JT1154" s="11"/>
      <c r="LG1154" s="11"/>
      <c r="MT1154" s="11"/>
      <c r="OG1154" s="11"/>
      <c r="PT1154" s="11"/>
    </row>
    <row r="1155" spans="3:436" ht="15.75" x14ac:dyDescent="0.25">
      <c r="C1155" s="20" t="s">
        <v>845</v>
      </c>
      <c r="D1155" s="21" t="s">
        <v>84</v>
      </c>
      <c r="H1155" s="11"/>
      <c r="AU1155" s="11"/>
      <c r="CH1155" s="11"/>
      <c r="CI1155" s="16"/>
      <c r="CJ1155" s="16"/>
      <c r="CK1155" s="16"/>
      <c r="CL1155" s="16"/>
      <c r="CM1155" s="16"/>
      <c r="CN1155" s="16"/>
      <c r="CO1155" s="16"/>
      <c r="CP1155" s="16"/>
      <c r="CQ1155" s="16"/>
      <c r="CR1155" s="16"/>
      <c r="CS1155" s="16"/>
      <c r="CT1155" s="16"/>
      <c r="CU1155" s="16"/>
      <c r="CV1155" s="16"/>
      <c r="CW1155" s="16"/>
      <c r="CX1155" s="16"/>
      <c r="CY1155" s="16"/>
      <c r="CZ1155" s="16"/>
      <c r="DA1155" s="16"/>
      <c r="DB1155" s="16"/>
      <c r="DC1155" s="16"/>
      <c r="DD1155" s="16"/>
      <c r="DE1155" s="17"/>
      <c r="DF1155" s="17"/>
      <c r="DG1155" s="16"/>
      <c r="DH1155" s="16"/>
      <c r="DI1155" s="17"/>
      <c r="DJ1155" s="17"/>
      <c r="DK1155" s="16"/>
      <c r="DL1155" s="16"/>
      <c r="DM1155" s="17"/>
      <c r="DN1155" s="17"/>
      <c r="DO1155" s="16"/>
      <c r="DP1155" s="16"/>
      <c r="DQ1155" s="17"/>
      <c r="DR1155" s="17"/>
      <c r="DS1155" s="16"/>
      <c r="DT1155" s="16"/>
      <c r="DU1155" s="17"/>
      <c r="DV1155" s="17"/>
      <c r="DW1155" s="16"/>
      <c r="DX1155" s="16"/>
      <c r="DY1155" s="17"/>
      <c r="DZ1155" s="17"/>
      <c r="EA1155" s="16"/>
      <c r="EB1155" s="16"/>
      <c r="EC1155" s="17"/>
      <c r="ED1155" s="17"/>
      <c r="EE1155" s="16"/>
      <c r="EF1155" s="16"/>
      <c r="EG1155" s="17"/>
      <c r="EH1155" s="17"/>
      <c r="EI1155" s="16"/>
      <c r="EJ1155" s="16"/>
      <c r="EK1155" s="17"/>
      <c r="EL1155" s="17"/>
      <c r="EM1155" s="16"/>
      <c r="EN1155" s="16"/>
      <c r="EO1155" s="17"/>
      <c r="EP1155" s="17"/>
      <c r="EQ1155" s="16"/>
      <c r="ER1155" s="16"/>
      <c r="ES1155" s="17"/>
      <c r="ET1155" s="17"/>
      <c r="EU1155" s="16"/>
      <c r="EV1155" s="16"/>
      <c r="EW1155" s="17"/>
      <c r="EX1155" s="17"/>
      <c r="EY1155" s="16"/>
      <c r="EZ1155" s="16"/>
      <c r="FA1155" s="17"/>
      <c r="FB1155" s="17"/>
      <c r="FC1155" s="16"/>
      <c r="FD1155" s="16"/>
      <c r="FE1155" s="17"/>
      <c r="FF1155" s="17"/>
      <c r="FG1155" s="11"/>
      <c r="GT1155" s="11"/>
      <c r="IG1155" s="11"/>
      <c r="JT1155" s="11"/>
      <c r="LG1155" s="11"/>
      <c r="MT1155" s="11"/>
      <c r="OG1155" s="11"/>
      <c r="PT1155" s="11"/>
    </row>
    <row r="1156" spans="3:436" ht="15.75" x14ac:dyDescent="0.25">
      <c r="C1156" s="20" t="s">
        <v>846</v>
      </c>
      <c r="D1156" s="21" t="s">
        <v>82</v>
      </c>
      <c r="H1156" s="11"/>
      <c r="AU1156" s="11"/>
      <c r="CH1156" s="11"/>
      <c r="CI1156" s="16"/>
      <c r="CJ1156" s="16"/>
      <c r="CK1156" s="16"/>
      <c r="CL1156" s="16"/>
      <c r="CM1156" s="16"/>
      <c r="CN1156" s="16"/>
      <c r="CO1156" s="16"/>
      <c r="CP1156" s="16"/>
      <c r="CQ1156" s="16"/>
      <c r="CR1156" s="16"/>
      <c r="CS1156" s="16"/>
      <c r="CT1156" s="16"/>
      <c r="CU1156" s="16"/>
      <c r="CV1156" s="16"/>
      <c r="CW1156" s="16"/>
      <c r="CX1156" s="16"/>
      <c r="CY1156" s="16"/>
      <c r="CZ1156" s="16"/>
      <c r="DA1156" s="16"/>
      <c r="DB1156" s="16"/>
      <c r="DC1156" s="16"/>
      <c r="DD1156" s="16"/>
      <c r="DE1156" s="17"/>
      <c r="DF1156" s="17"/>
      <c r="DG1156" s="16"/>
      <c r="DH1156" s="16"/>
      <c r="DI1156" s="17"/>
      <c r="DJ1156" s="17"/>
      <c r="DK1156" s="16"/>
      <c r="DL1156" s="16"/>
      <c r="DM1156" s="17"/>
      <c r="DN1156" s="17"/>
      <c r="DO1156" s="16"/>
      <c r="DP1156" s="16"/>
      <c r="DQ1156" s="17"/>
      <c r="DR1156" s="17"/>
      <c r="DS1156" s="16"/>
      <c r="DT1156" s="16"/>
      <c r="DU1156" s="17"/>
      <c r="DV1156" s="17"/>
      <c r="DW1156" s="16"/>
      <c r="DX1156" s="16"/>
      <c r="DY1156" s="17"/>
      <c r="DZ1156" s="17"/>
      <c r="EA1156" s="16"/>
      <c r="EB1156" s="16"/>
      <c r="EC1156" s="17"/>
      <c r="ED1156" s="17"/>
      <c r="EE1156" s="16"/>
      <c r="EF1156" s="16"/>
      <c r="EG1156" s="17"/>
      <c r="EH1156" s="17"/>
      <c r="EI1156" s="16"/>
      <c r="EJ1156" s="16"/>
      <c r="EK1156" s="17"/>
      <c r="EL1156" s="17"/>
      <c r="EM1156" s="16"/>
      <c r="EN1156" s="16"/>
      <c r="EO1156" s="17"/>
      <c r="EP1156" s="17"/>
      <c r="EQ1156" s="16"/>
      <c r="ER1156" s="16"/>
      <c r="ES1156" s="18">
        <v>2</v>
      </c>
      <c r="ET1156" s="18">
        <v>3</v>
      </c>
      <c r="EU1156" s="16"/>
      <c r="EV1156" s="16"/>
      <c r="EW1156" s="17"/>
      <c r="EX1156" s="17"/>
      <c r="EY1156" s="16"/>
      <c r="EZ1156" s="16"/>
      <c r="FA1156" s="17"/>
      <c r="FB1156" s="17"/>
      <c r="FC1156" s="16"/>
      <c r="FD1156" s="16"/>
      <c r="FE1156" s="17"/>
      <c r="FF1156" s="17"/>
      <c r="FG1156" s="11"/>
      <c r="GT1156" s="11"/>
      <c r="IG1156" s="11"/>
      <c r="JT1156" s="11"/>
      <c r="LG1156" s="11"/>
      <c r="MT1156" s="11"/>
      <c r="OG1156" s="11"/>
      <c r="PT1156" s="11"/>
    </row>
    <row r="1157" spans="3:436" ht="15.75" x14ac:dyDescent="0.25">
      <c r="C1157" s="20" t="s">
        <v>847</v>
      </c>
      <c r="D1157" s="21" t="s">
        <v>129</v>
      </c>
      <c r="H1157" s="11"/>
      <c r="AU1157" s="11"/>
      <c r="CH1157" s="11"/>
      <c r="CI1157" s="16"/>
      <c r="CJ1157" s="16"/>
      <c r="CK1157" s="16"/>
      <c r="CL1157" s="16"/>
      <c r="CM1157" s="16"/>
      <c r="CN1157" s="16"/>
      <c r="CO1157" s="16"/>
      <c r="CP1157" s="16"/>
      <c r="CQ1157" s="16"/>
      <c r="CR1157" s="16"/>
      <c r="CS1157" s="16"/>
      <c r="CT1157" s="16"/>
      <c r="CU1157" s="16"/>
      <c r="CV1157" s="16"/>
      <c r="CW1157" s="16"/>
      <c r="CX1157" s="16"/>
      <c r="CY1157" s="16"/>
      <c r="CZ1157" s="16"/>
      <c r="DA1157" s="16"/>
      <c r="DB1157" s="16"/>
      <c r="DC1157" s="16"/>
      <c r="DD1157" s="16"/>
      <c r="DE1157" s="17"/>
      <c r="DF1157" s="17"/>
      <c r="DG1157" s="16"/>
      <c r="DH1157" s="16"/>
      <c r="DI1157" s="17"/>
      <c r="DJ1157" s="17"/>
      <c r="DK1157" s="16"/>
      <c r="DL1157" s="16"/>
      <c r="DM1157" s="17"/>
      <c r="DN1157" s="17"/>
      <c r="DO1157" s="16"/>
      <c r="DP1157" s="16"/>
      <c r="DQ1157" s="17"/>
      <c r="DR1157" s="17"/>
      <c r="DS1157" s="16"/>
      <c r="DT1157" s="16"/>
      <c r="DU1157" s="17"/>
      <c r="DV1157" s="17"/>
      <c r="DW1157" s="16"/>
      <c r="DX1157" s="16"/>
      <c r="DY1157" s="17"/>
      <c r="DZ1157" s="17"/>
      <c r="EA1157" s="16"/>
      <c r="EB1157" s="16"/>
      <c r="EC1157" s="17"/>
      <c r="ED1157" s="17"/>
      <c r="EE1157" s="16"/>
      <c r="EF1157" s="16"/>
      <c r="EG1157" s="17"/>
      <c r="EH1157" s="17"/>
      <c r="EI1157" s="16"/>
      <c r="EJ1157" s="16"/>
      <c r="EK1157" s="17"/>
      <c r="EL1157" s="17"/>
      <c r="EM1157" s="16"/>
      <c r="EN1157" s="16"/>
      <c r="EO1157" s="17"/>
      <c r="EP1157" s="17"/>
      <c r="EQ1157" s="16"/>
      <c r="ER1157" s="16"/>
      <c r="ES1157" s="17"/>
      <c r="ET1157" s="17"/>
      <c r="EU1157" s="16"/>
      <c r="EV1157" s="16"/>
      <c r="EW1157" s="17"/>
      <c r="EX1157" s="17"/>
      <c r="EY1157" s="16"/>
      <c r="EZ1157" s="16"/>
      <c r="FA1157" s="17"/>
      <c r="FB1157" s="17"/>
      <c r="FC1157" s="16"/>
      <c r="FD1157" s="16"/>
      <c r="FE1157" s="17"/>
      <c r="FF1157" s="17"/>
      <c r="FG1157" s="11"/>
      <c r="GT1157" s="11"/>
      <c r="IG1157" s="11"/>
      <c r="JT1157" s="11"/>
      <c r="LG1157" s="11"/>
      <c r="MT1157" s="11"/>
      <c r="OG1157" s="11"/>
      <c r="PT1157" s="11"/>
    </row>
    <row r="1158" spans="3:436" ht="15.75" x14ac:dyDescent="0.25">
      <c r="C1158" s="20" t="s">
        <v>848</v>
      </c>
      <c r="D1158" s="21" t="s">
        <v>129</v>
      </c>
      <c r="H1158" s="11"/>
      <c r="AU1158" s="11"/>
      <c r="CH1158" s="11"/>
      <c r="CI1158" s="16"/>
      <c r="CJ1158" s="16"/>
      <c r="CK1158" s="16"/>
      <c r="CL1158" s="16"/>
      <c r="CM1158" s="16"/>
      <c r="CN1158" s="16"/>
      <c r="CO1158" s="16"/>
      <c r="CP1158" s="16"/>
      <c r="CQ1158" s="16"/>
      <c r="CR1158" s="16"/>
      <c r="CS1158" s="16"/>
      <c r="CT1158" s="16"/>
      <c r="CU1158" s="16"/>
      <c r="CV1158" s="16"/>
      <c r="CW1158" s="16"/>
      <c r="CX1158" s="16"/>
      <c r="CY1158" s="16"/>
      <c r="CZ1158" s="16"/>
      <c r="DA1158" s="16"/>
      <c r="DB1158" s="16"/>
      <c r="DC1158" s="16"/>
      <c r="DD1158" s="16"/>
      <c r="DE1158" s="17"/>
      <c r="DF1158" s="17"/>
      <c r="DG1158" s="16"/>
      <c r="DH1158" s="16"/>
      <c r="DI1158" s="17"/>
      <c r="DJ1158" s="17"/>
      <c r="DK1158" s="16"/>
      <c r="DL1158" s="16"/>
      <c r="DM1158" s="17"/>
      <c r="DN1158" s="17"/>
      <c r="DO1158" s="16"/>
      <c r="DP1158" s="16"/>
      <c r="DQ1158" s="17"/>
      <c r="DR1158" s="17"/>
      <c r="DS1158" s="16"/>
      <c r="DT1158" s="16"/>
      <c r="DU1158" s="17"/>
      <c r="DV1158" s="17"/>
      <c r="DW1158" s="16"/>
      <c r="DX1158" s="16"/>
      <c r="DY1158" s="17"/>
      <c r="DZ1158" s="17"/>
      <c r="EA1158" s="16"/>
      <c r="EB1158" s="16"/>
      <c r="EC1158" s="17"/>
      <c r="ED1158" s="17"/>
      <c r="EE1158" s="16"/>
      <c r="EF1158" s="16"/>
      <c r="EG1158" s="17"/>
      <c r="EH1158" s="17"/>
      <c r="EI1158" s="16"/>
      <c r="EJ1158" s="16"/>
      <c r="EK1158" s="17"/>
      <c r="EL1158" s="17"/>
      <c r="EM1158" s="16"/>
      <c r="EN1158" s="16"/>
      <c r="EO1158" s="17"/>
      <c r="EP1158" s="17"/>
      <c r="EQ1158" s="16"/>
      <c r="ER1158" s="16"/>
      <c r="ES1158" s="17"/>
      <c r="ET1158" s="17"/>
      <c r="EU1158" s="16"/>
      <c r="EV1158" s="16"/>
      <c r="EW1158" s="17"/>
      <c r="EX1158" s="17"/>
      <c r="EY1158" s="16"/>
      <c r="EZ1158" s="16"/>
      <c r="FA1158" s="17"/>
      <c r="FB1158" s="17"/>
      <c r="FC1158" s="16"/>
      <c r="FD1158" s="16"/>
      <c r="FE1158" s="17"/>
      <c r="FF1158" s="17"/>
      <c r="FG1158" s="11"/>
      <c r="GT1158" s="11"/>
      <c r="IG1158" s="11"/>
      <c r="JT1158" s="11"/>
      <c r="LG1158" s="11"/>
      <c r="MT1158" s="11"/>
      <c r="OG1158" s="11"/>
      <c r="PT1158" s="11"/>
    </row>
    <row r="1159" spans="3:436" ht="15.75" x14ac:dyDescent="0.25">
      <c r="C1159" s="20" t="s">
        <v>849</v>
      </c>
      <c r="D1159" s="21" t="s">
        <v>93</v>
      </c>
      <c r="H1159" s="11"/>
      <c r="AU1159" s="11"/>
      <c r="CH1159" s="11"/>
      <c r="CI1159" s="16"/>
      <c r="CJ1159" s="16"/>
      <c r="CK1159" s="16"/>
      <c r="CL1159" s="16"/>
      <c r="CM1159" s="16"/>
      <c r="CN1159" s="16"/>
      <c r="CO1159" s="16"/>
      <c r="CP1159" s="16"/>
      <c r="CQ1159" s="16"/>
      <c r="CR1159" s="16"/>
      <c r="CS1159" s="16"/>
      <c r="CT1159" s="16"/>
      <c r="CU1159" s="16"/>
      <c r="CV1159" s="16"/>
      <c r="CW1159" s="16"/>
      <c r="CX1159" s="16"/>
      <c r="CY1159" s="16"/>
      <c r="CZ1159" s="16"/>
      <c r="DA1159" s="16"/>
      <c r="DB1159" s="16"/>
      <c r="DC1159" s="16"/>
      <c r="DD1159" s="16"/>
      <c r="DE1159" s="17"/>
      <c r="DF1159" s="17"/>
      <c r="DG1159" s="16"/>
      <c r="DH1159" s="16"/>
      <c r="DI1159" s="17"/>
      <c r="DJ1159" s="17"/>
      <c r="DK1159" s="16"/>
      <c r="DL1159" s="16"/>
      <c r="DM1159" s="17"/>
      <c r="DN1159" s="17"/>
      <c r="DO1159" s="16"/>
      <c r="DP1159" s="16"/>
      <c r="DQ1159" s="17"/>
      <c r="DR1159" s="17"/>
      <c r="DS1159" s="16"/>
      <c r="DT1159" s="16"/>
      <c r="DU1159" s="17"/>
      <c r="DV1159" s="17"/>
      <c r="DW1159" s="16"/>
      <c r="DX1159" s="16"/>
      <c r="DY1159" s="17"/>
      <c r="DZ1159" s="17"/>
      <c r="EA1159" s="16"/>
      <c r="EB1159" s="16"/>
      <c r="EC1159" s="17"/>
      <c r="ED1159" s="17"/>
      <c r="EE1159" s="16"/>
      <c r="EF1159" s="16"/>
      <c r="EG1159" s="17"/>
      <c r="EH1159" s="17"/>
      <c r="EI1159" s="16"/>
      <c r="EJ1159" s="16"/>
      <c r="EK1159" s="17"/>
      <c r="EL1159" s="17"/>
      <c r="EM1159" s="16"/>
      <c r="EN1159" s="16"/>
      <c r="EO1159" s="17"/>
      <c r="EP1159" s="17"/>
      <c r="EQ1159" s="16"/>
      <c r="ER1159" s="16"/>
      <c r="ES1159" s="17"/>
      <c r="ET1159" s="17"/>
      <c r="EU1159" s="16"/>
      <c r="EV1159" s="16"/>
      <c r="EW1159" s="18">
        <v>4</v>
      </c>
      <c r="EX1159" s="18">
        <v>40</v>
      </c>
      <c r="EY1159" s="16"/>
      <c r="EZ1159" s="16"/>
      <c r="FA1159" s="17"/>
      <c r="FB1159" s="17"/>
      <c r="FC1159" s="16"/>
      <c r="FD1159" s="16"/>
      <c r="FE1159" s="17"/>
      <c r="FF1159" s="17"/>
      <c r="FG1159" s="11"/>
      <c r="GT1159" s="11"/>
      <c r="IG1159" s="11"/>
      <c r="JT1159" s="11"/>
      <c r="LG1159" s="11"/>
      <c r="MT1159" s="11"/>
      <c r="OG1159" s="11"/>
      <c r="PT1159" s="11"/>
    </row>
    <row r="1160" spans="3:436" ht="15.75" x14ac:dyDescent="0.25">
      <c r="C1160" s="20" t="s">
        <v>850</v>
      </c>
      <c r="D1160" s="21" t="s">
        <v>90</v>
      </c>
      <c r="H1160" s="11"/>
      <c r="AU1160" s="11"/>
      <c r="CH1160" s="11"/>
      <c r="CI1160" s="16"/>
      <c r="CJ1160" s="16"/>
      <c r="CK1160" s="16"/>
      <c r="CL1160" s="16"/>
      <c r="CM1160" s="16"/>
      <c r="CN1160" s="16"/>
      <c r="CO1160" s="16"/>
      <c r="CP1160" s="16"/>
      <c r="CQ1160" s="16"/>
      <c r="CR1160" s="16"/>
      <c r="CS1160" s="16"/>
      <c r="CT1160" s="16"/>
      <c r="CU1160" s="16"/>
      <c r="CV1160" s="16"/>
      <c r="CW1160" s="16"/>
      <c r="CX1160" s="16"/>
      <c r="CY1160" s="16"/>
      <c r="CZ1160" s="16"/>
      <c r="DA1160" s="16"/>
      <c r="DB1160" s="16"/>
      <c r="DC1160" s="16"/>
      <c r="DD1160" s="16"/>
      <c r="DE1160" s="17"/>
      <c r="DF1160" s="17"/>
      <c r="DG1160" s="16"/>
      <c r="DH1160" s="16"/>
      <c r="DI1160" s="17"/>
      <c r="DJ1160" s="17"/>
      <c r="DK1160" s="16"/>
      <c r="DL1160" s="16"/>
      <c r="DM1160" s="17"/>
      <c r="DN1160" s="17"/>
      <c r="DO1160" s="16"/>
      <c r="DP1160" s="16"/>
      <c r="DQ1160" s="17"/>
      <c r="DR1160" s="17"/>
      <c r="DS1160" s="16"/>
      <c r="DT1160" s="16"/>
      <c r="DU1160" s="17"/>
      <c r="DV1160" s="17"/>
      <c r="DW1160" s="16"/>
      <c r="DX1160" s="16"/>
      <c r="DY1160" s="17"/>
      <c r="DZ1160" s="17"/>
      <c r="EA1160" s="16"/>
      <c r="EB1160" s="16"/>
      <c r="EC1160" s="17"/>
      <c r="ED1160" s="17"/>
      <c r="EE1160" s="16"/>
      <c r="EF1160" s="16"/>
      <c r="EG1160" s="17"/>
      <c r="EH1160" s="17"/>
      <c r="EI1160" s="16"/>
      <c r="EJ1160" s="16"/>
      <c r="EK1160" s="17"/>
      <c r="EL1160" s="17"/>
      <c r="EM1160" s="16"/>
      <c r="EN1160" s="16"/>
      <c r="EO1160" s="17"/>
      <c r="EP1160" s="17"/>
      <c r="EQ1160" s="16"/>
      <c r="ER1160" s="16"/>
      <c r="ES1160" s="17"/>
      <c r="ET1160" s="17"/>
      <c r="EU1160" s="16"/>
      <c r="EV1160" s="16"/>
      <c r="EW1160" s="17"/>
      <c r="EX1160" s="17"/>
      <c r="EY1160" s="16"/>
      <c r="EZ1160" s="16"/>
      <c r="FA1160" s="17"/>
      <c r="FB1160" s="17"/>
      <c r="FC1160" s="16"/>
      <c r="FD1160" s="16"/>
      <c r="FE1160" s="17"/>
      <c r="FF1160" s="17"/>
      <c r="FG1160" s="11"/>
      <c r="GT1160" s="11"/>
      <c r="IG1160" s="11"/>
      <c r="JT1160" s="11"/>
      <c r="LG1160" s="11"/>
      <c r="MT1160" s="11"/>
      <c r="OG1160" s="11"/>
      <c r="PT1160" s="11"/>
    </row>
    <row r="1161" spans="3:436" ht="25.5" x14ac:dyDescent="0.25">
      <c r="C1161" s="20" t="s">
        <v>851</v>
      </c>
      <c r="D1161" s="21" t="s">
        <v>93</v>
      </c>
      <c r="H1161" s="11"/>
      <c r="AU1161" s="11"/>
      <c r="CH1161" s="11"/>
      <c r="CI1161" s="16"/>
      <c r="CJ1161" s="16"/>
      <c r="CK1161" s="16"/>
      <c r="CL1161" s="16"/>
      <c r="CM1161" s="16"/>
      <c r="CN1161" s="16"/>
      <c r="CO1161" s="16"/>
      <c r="CP1161" s="16"/>
      <c r="CQ1161" s="16"/>
      <c r="CR1161" s="16"/>
      <c r="CS1161" s="16"/>
      <c r="CT1161" s="16"/>
      <c r="CU1161" s="16"/>
      <c r="CV1161" s="16"/>
      <c r="CW1161" s="16"/>
      <c r="CX1161" s="16"/>
      <c r="CY1161" s="16"/>
      <c r="CZ1161" s="16"/>
      <c r="DA1161" s="16"/>
      <c r="DB1161" s="16"/>
      <c r="DC1161" s="16"/>
      <c r="DD1161" s="16"/>
      <c r="DE1161" s="17"/>
      <c r="DF1161" s="17"/>
      <c r="DG1161" s="16"/>
      <c r="DH1161" s="16"/>
      <c r="DI1161" s="17"/>
      <c r="DJ1161" s="17"/>
      <c r="DK1161" s="16"/>
      <c r="DL1161" s="16"/>
      <c r="DM1161" s="17"/>
      <c r="DN1161" s="17"/>
      <c r="DO1161" s="16"/>
      <c r="DP1161" s="16"/>
      <c r="DQ1161" s="17"/>
      <c r="DR1161" s="17"/>
      <c r="DS1161" s="16"/>
      <c r="DT1161" s="16"/>
      <c r="DU1161" s="17"/>
      <c r="DV1161" s="17"/>
      <c r="DW1161" s="16"/>
      <c r="DX1161" s="16"/>
      <c r="DY1161" s="17"/>
      <c r="DZ1161" s="17"/>
      <c r="EA1161" s="16"/>
      <c r="EB1161" s="16"/>
      <c r="EC1161" s="17"/>
      <c r="ED1161" s="17"/>
      <c r="EE1161" s="16"/>
      <c r="EF1161" s="16"/>
      <c r="EG1161" s="17"/>
      <c r="EH1161" s="17"/>
      <c r="EI1161" s="16"/>
      <c r="EJ1161" s="16"/>
      <c r="EK1161" s="17"/>
      <c r="EL1161" s="17"/>
      <c r="EM1161" s="16"/>
      <c r="EN1161" s="16"/>
      <c r="EO1161" s="17"/>
      <c r="EP1161" s="17"/>
      <c r="EQ1161" s="16"/>
      <c r="ER1161" s="16"/>
      <c r="ES1161" s="17"/>
      <c r="ET1161" s="17"/>
      <c r="EU1161" s="16"/>
      <c r="EV1161" s="16"/>
      <c r="EW1161" s="18">
        <v>1</v>
      </c>
      <c r="EX1161" s="18">
        <v>2</v>
      </c>
      <c r="EY1161" s="16"/>
      <c r="EZ1161" s="16"/>
      <c r="FA1161" s="17"/>
      <c r="FB1161" s="17"/>
      <c r="FC1161" s="16"/>
      <c r="FD1161" s="16"/>
      <c r="FE1161" s="17"/>
      <c r="FF1161" s="17"/>
      <c r="FG1161" s="11"/>
      <c r="GT1161" s="11"/>
      <c r="IG1161" s="11"/>
      <c r="JT1161" s="11"/>
      <c r="LG1161" s="11"/>
      <c r="MT1161" s="11"/>
      <c r="OG1161" s="11"/>
      <c r="PT1161" s="11"/>
    </row>
    <row r="1162" spans="3:436" ht="25.5" x14ac:dyDescent="0.25">
      <c r="C1162" s="20" t="s">
        <v>852</v>
      </c>
      <c r="D1162" s="21" t="s">
        <v>93</v>
      </c>
      <c r="H1162" s="11"/>
      <c r="AU1162" s="11"/>
      <c r="CH1162" s="11"/>
      <c r="CI1162" s="16"/>
      <c r="CJ1162" s="16"/>
      <c r="CK1162" s="16"/>
      <c r="CL1162" s="16"/>
      <c r="CM1162" s="16"/>
      <c r="CN1162" s="16"/>
      <c r="CO1162" s="16"/>
      <c r="CP1162" s="16"/>
      <c r="CQ1162" s="16"/>
      <c r="CR1162" s="16"/>
      <c r="CS1162" s="16"/>
      <c r="CT1162" s="16"/>
      <c r="CU1162" s="16"/>
      <c r="CV1162" s="16"/>
      <c r="CW1162" s="16"/>
      <c r="CX1162" s="16"/>
      <c r="CY1162" s="16"/>
      <c r="CZ1162" s="16"/>
      <c r="DA1162" s="16"/>
      <c r="DB1162" s="16"/>
      <c r="DC1162" s="16"/>
      <c r="DD1162" s="16"/>
      <c r="DE1162" s="17"/>
      <c r="DF1162" s="17"/>
      <c r="DG1162" s="16"/>
      <c r="DH1162" s="16"/>
      <c r="DI1162" s="17"/>
      <c r="DJ1162" s="17"/>
      <c r="DK1162" s="16"/>
      <c r="DL1162" s="16"/>
      <c r="DM1162" s="17"/>
      <c r="DN1162" s="17"/>
      <c r="DO1162" s="16"/>
      <c r="DP1162" s="16"/>
      <c r="DQ1162" s="17"/>
      <c r="DR1162" s="17"/>
      <c r="DS1162" s="16"/>
      <c r="DT1162" s="16"/>
      <c r="DU1162" s="17"/>
      <c r="DV1162" s="17"/>
      <c r="DW1162" s="16"/>
      <c r="DX1162" s="16"/>
      <c r="DY1162" s="17"/>
      <c r="DZ1162" s="17"/>
      <c r="EA1162" s="16"/>
      <c r="EB1162" s="16"/>
      <c r="EC1162" s="17"/>
      <c r="ED1162" s="17"/>
      <c r="EE1162" s="16"/>
      <c r="EF1162" s="16"/>
      <c r="EG1162" s="17"/>
      <c r="EH1162" s="17"/>
      <c r="EI1162" s="16"/>
      <c r="EJ1162" s="16"/>
      <c r="EK1162" s="17"/>
      <c r="EL1162" s="17"/>
      <c r="EM1162" s="16"/>
      <c r="EN1162" s="16"/>
      <c r="EO1162" s="17"/>
      <c r="EP1162" s="17"/>
      <c r="EQ1162" s="16"/>
      <c r="ER1162" s="16"/>
      <c r="ES1162" s="17"/>
      <c r="ET1162" s="17"/>
      <c r="EU1162" s="16"/>
      <c r="EV1162" s="16"/>
      <c r="EW1162" s="18">
        <v>2</v>
      </c>
      <c r="EX1162" s="18">
        <v>3</v>
      </c>
      <c r="EY1162" s="16"/>
      <c r="EZ1162" s="16"/>
      <c r="FA1162" s="17"/>
      <c r="FB1162" s="17"/>
      <c r="FC1162" s="16"/>
      <c r="FD1162" s="16"/>
      <c r="FE1162" s="17"/>
      <c r="FF1162" s="17"/>
      <c r="FG1162" s="11"/>
      <c r="GT1162" s="11"/>
      <c r="IG1162" s="11"/>
      <c r="JT1162" s="11"/>
      <c r="LG1162" s="11"/>
      <c r="MT1162" s="11"/>
      <c r="OG1162" s="11"/>
      <c r="PT1162" s="11"/>
    </row>
    <row r="1163" spans="3:436" ht="25.5" x14ac:dyDescent="0.25">
      <c r="C1163" s="20" t="s">
        <v>853</v>
      </c>
      <c r="D1163" s="21" t="s">
        <v>93</v>
      </c>
      <c r="H1163" s="11"/>
      <c r="AU1163" s="11"/>
      <c r="CH1163" s="11"/>
      <c r="CI1163" s="16"/>
      <c r="CJ1163" s="16"/>
      <c r="CK1163" s="16"/>
      <c r="CL1163" s="16"/>
      <c r="CM1163" s="16"/>
      <c r="CN1163" s="16"/>
      <c r="CO1163" s="16"/>
      <c r="CP1163" s="16"/>
      <c r="CQ1163" s="16"/>
      <c r="CR1163" s="16"/>
      <c r="CS1163" s="16"/>
      <c r="CT1163" s="16"/>
      <c r="CU1163" s="16"/>
      <c r="CV1163" s="16"/>
      <c r="CW1163" s="16"/>
      <c r="CX1163" s="16"/>
      <c r="CY1163" s="16"/>
      <c r="CZ1163" s="16"/>
      <c r="DA1163" s="16"/>
      <c r="DB1163" s="16"/>
      <c r="DC1163" s="16"/>
      <c r="DD1163" s="16"/>
      <c r="DE1163" s="17"/>
      <c r="DF1163" s="17"/>
      <c r="DG1163" s="16"/>
      <c r="DH1163" s="16"/>
      <c r="DI1163" s="17"/>
      <c r="DJ1163" s="17"/>
      <c r="DK1163" s="16"/>
      <c r="DL1163" s="16"/>
      <c r="DM1163" s="17"/>
      <c r="DN1163" s="17"/>
      <c r="DO1163" s="16"/>
      <c r="DP1163" s="16"/>
      <c r="DQ1163" s="17"/>
      <c r="DR1163" s="17"/>
      <c r="DS1163" s="16"/>
      <c r="DT1163" s="16"/>
      <c r="DU1163" s="17"/>
      <c r="DV1163" s="17"/>
      <c r="DW1163" s="16"/>
      <c r="DX1163" s="16"/>
      <c r="DY1163" s="17"/>
      <c r="DZ1163" s="17"/>
      <c r="EA1163" s="16"/>
      <c r="EB1163" s="16"/>
      <c r="EC1163" s="17"/>
      <c r="ED1163" s="17"/>
      <c r="EE1163" s="16"/>
      <c r="EF1163" s="16"/>
      <c r="EG1163" s="17"/>
      <c r="EH1163" s="17"/>
      <c r="EI1163" s="16"/>
      <c r="EJ1163" s="16"/>
      <c r="EK1163" s="17"/>
      <c r="EL1163" s="17"/>
      <c r="EM1163" s="16"/>
      <c r="EN1163" s="16"/>
      <c r="EO1163" s="17"/>
      <c r="EP1163" s="17"/>
      <c r="EQ1163" s="16"/>
      <c r="ER1163" s="16"/>
      <c r="ES1163" s="17"/>
      <c r="ET1163" s="17"/>
      <c r="EU1163" s="16"/>
      <c r="EV1163" s="16"/>
      <c r="EW1163" s="18">
        <v>2</v>
      </c>
      <c r="EX1163" s="18">
        <v>3</v>
      </c>
      <c r="EY1163" s="16"/>
      <c r="EZ1163" s="16"/>
      <c r="FA1163" s="17"/>
      <c r="FB1163" s="17"/>
      <c r="FC1163" s="16"/>
      <c r="FD1163" s="16"/>
      <c r="FE1163" s="17"/>
      <c r="FF1163" s="17"/>
      <c r="FG1163" s="11"/>
      <c r="GT1163" s="11"/>
      <c r="IG1163" s="11"/>
      <c r="JT1163" s="11"/>
      <c r="LG1163" s="11"/>
      <c r="MT1163" s="11"/>
      <c r="OG1163" s="11"/>
      <c r="PT1163" s="11"/>
    </row>
    <row r="1164" spans="3:436" ht="25.5" x14ac:dyDescent="0.25">
      <c r="C1164" s="20" t="s">
        <v>854</v>
      </c>
      <c r="D1164" s="21" t="s">
        <v>93</v>
      </c>
      <c r="H1164" s="11"/>
      <c r="AU1164" s="11"/>
      <c r="CH1164" s="11"/>
      <c r="CI1164" s="16"/>
      <c r="CJ1164" s="16"/>
      <c r="CK1164" s="16"/>
      <c r="CL1164" s="16"/>
      <c r="CM1164" s="16"/>
      <c r="CN1164" s="16"/>
      <c r="CO1164" s="16"/>
      <c r="CP1164" s="16"/>
      <c r="CQ1164" s="16"/>
      <c r="CR1164" s="16"/>
      <c r="CS1164" s="16"/>
      <c r="CT1164" s="16"/>
      <c r="CU1164" s="16"/>
      <c r="CV1164" s="16"/>
      <c r="CW1164" s="16"/>
      <c r="CX1164" s="16"/>
      <c r="CY1164" s="16"/>
      <c r="CZ1164" s="16"/>
      <c r="DA1164" s="16"/>
      <c r="DB1164" s="16"/>
      <c r="DC1164" s="16"/>
      <c r="DD1164" s="16"/>
      <c r="DE1164" s="17"/>
      <c r="DF1164" s="17"/>
      <c r="DG1164" s="16"/>
      <c r="DH1164" s="16"/>
      <c r="DI1164" s="17"/>
      <c r="DJ1164" s="17"/>
      <c r="DK1164" s="16"/>
      <c r="DL1164" s="16"/>
      <c r="DM1164" s="17"/>
      <c r="DN1164" s="17"/>
      <c r="DO1164" s="16"/>
      <c r="DP1164" s="16"/>
      <c r="DQ1164" s="17"/>
      <c r="DR1164" s="17"/>
      <c r="DS1164" s="16"/>
      <c r="DT1164" s="16"/>
      <c r="DU1164" s="17"/>
      <c r="DV1164" s="17"/>
      <c r="DW1164" s="16"/>
      <c r="DX1164" s="16"/>
      <c r="DY1164" s="17"/>
      <c r="DZ1164" s="17"/>
      <c r="EA1164" s="16"/>
      <c r="EB1164" s="16"/>
      <c r="EC1164" s="17"/>
      <c r="ED1164" s="17"/>
      <c r="EE1164" s="16"/>
      <c r="EF1164" s="16"/>
      <c r="EG1164" s="17"/>
      <c r="EH1164" s="17"/>
      <c r="EI1164" s="16"/>
      <c r="EJ1164" s="16"/>
      <c r="EK1164" s="17"/>
      <c r="EL1164" s="17"/>
      <c r="EM1164" s="16"/>
      <c r="EN1164" s="16"/>
      <c r="EO1164" s="17"/>
      <c r="EP1164" s="17"/>
      <c r="EQ1164" s="16"/>
      <c r="ER1164" s="16"/>
      <c r="ES1164" s="17"/>
      <c r="ET1164" s="17"/>
      <c r="EU1164" s="16"/>
      <c r="EV1164" s="16"/>
      <c r="EW1164" s="18">
        <v>3</v>
      </c>
      <c r="EX1164" s="18">
        <v>4</v>
      </c>
      <c r="EY1164" s="16"/>
      <c r="EZ1164" s="16"/>
      <c r="FA1164" s="17"/>
      <c r="FB1164" s="17"/>
      <c r="FC1164" s="16"/>
      <c r="FD1164" s="16"/>
      <c r="FE1164" s="17"/>
      <c r="FF1164" s="17"/>
      <c r="FG1164" s="11"/>
      <c r="GT1164" s="11"/>
      <c r="IG1164" s="11"/>
      <c r="JT1164" s="11"/>
      <c r="LG1164" s="11"/>
      <c r="MT1164" s="11"/>
      <c r="OG1164" s="11"/>
      <c r="PT1164" s="11"/>
    </row>
    <row r="1165" spans="3:436" ht="25.5" x14ac:dyDescent="0.25">
      <c r="C1165" s="20" t="s">
        <v>855</v>
      </c>
      <c r="D1165" s="21" t="s">
        <v>93</v>
      </c>
      <c r="H1165" s="11"/>
      <c r="AU1165" s="11"/>
      <c r="CH1165" s="11"/>
      <c r="CI1165" s="16"/>
      <c r="CJ1165" s="16"/>
      <c r="CK1165" s="16"/>
      <c r="CL1165" s="16"/>
      <c r="CM1165" s="16"/>
      <c r="CN1165" s="16"/>
      <c r="CO1165" s="16"/>
      <c r="CP1165" s="16"/>
      <c r="CQ1165" s="16"/>
      <c r="CR1165" s="16"/>
      <c r="CS1165" s="16"/>
      <c r="CT1165" s="16"/>
      <c r="CU1165" s="16"/>
      <c r="CV1165" s="16"/>
      <c r="CW1165" s="16"/>
      <c r="CX1165" s="16"/>
      <c r="CY1165" s="16"/>
      <c r="CZ1165" s="16"/>
      <c r="DA1165" s="16"/>
      <c r="DB1165" s="16"/>
      <c r="DC1165" s="16"/>
      <c r="DD1165" s="16"/>
      <c r="DE1165" s="17"/>
      <c r="DF1165" s="17"/>
      <c r="DG1165" s="16"/>
      <c r="DH1165" s="16"/>
      <c r="DI1165" s="17"/>
      <c r="DJ1165" s="17"/>
      <c r="DK1165" s="16"/>
      <c r="DL1165" s="16"/>
      <c r="DM1165" s="17"/>
      <c r="DN1165" s="17"/>
      <c r="DO1165" s="16"/>
      <c r="DP1165" s="16"/>
      <c r="DQ1165" s="17"/>
      <c r="DR1165" s="17"/>
      <c r="DS1165" s="16"/>
      <c r="DT1165" s="16"/>
      <c r="DU1165" s="17"/>
      <c r="DV1165" s="17"/>
      <c r="DW1165" s="16"/>
      <c r="DX1165" s="16"/>
      <c r="DY1165" s="17"/>
      <c r="DZ1165" s="17"/>
      <c r="EA1165" s="16"/>
      <c r="EB1165" s="16"/>
      <c r="EC1165" s="17"/>
      <c r="ED1165" s="17"/>
      <c r="EE1165" s="16"/>
      <c r="EF1165" s="16"/>
      <c r="EG1165" s="17"/>
      <c r="EH1165" s="17"/>
      <c r="EI1165" s="16"/>
      <c r="EJ1165" s="16"/>
      <c r="EK1165" s="17"/>
      <c r="EL1165" s="17"/>
      <c r="EM1165" s="16"/>
      <c r="EN1165" s="16"/>
      <c r="EO1165" s="17"/>
      <c r="EP1165" s="17"/>
      <c r="EQ1165" s="16"/>
      <c r="ER1165" s="16"/>
      <c r="ES1165" s="17"/>
      <c r="ET1165" s="17"/>
      <c r="EU1165" s="16"/>
      <c r="EV1165" s="16"/>
      <c r="EW1165" s="18">
        <v>2</v>
      </c>
      <c r="EX1165" s="18">
        <v>3</v>
      </c>
      <c r="EY1165" s="16"/>
      <c r="EZ1165" s="16"/>
      <c r="FA1165" s="17"/>
      <c r="FB1165" s="17"/>
      <c r="FC1165" s="16"/>
      <c r="FD1165" s="16"/>
      <c r="FE1165" s="17"/>
      <c r="FF1165" s="17"/>
      <c r="FG1165" s="11"/>
      <c r="GT1165" s="11"/>
      <c r="IG1165" s="11"/>
      <c r="JT1165" s="11"/>
      <c r="LG1165" s="11"/>
      <c r="MT1165" s="11"/>
      <c r="OG1165" s="11"/>
      <c r="PT1165" s="11"/>
    </row>
    <row r="1166" spans="3:436" ht="15.75" x14ac:dyDescent="0.25">
      <c r="C1166" s="20" t="s">
        <v>856</v>
      </c>
      <c r="D1166" s="21" t="s">
        <v>82</v>
      </c>
      <c r="H1166" s="11"/>
      <c r="AU1166" s="11"/>
      <c r="CH1166" s="11"/>
      <c r="CI1166" s="16"/>
      <c r="CJ1166" s="16"/>
      <c r="CK1166" s="16"/>
      <c r="CL1166" s="16"/>
      <c r="CM1166" s="16"/>
      <c r="CN1166" s="16"/>
      <c r="CO1166" s="16"/>
      <c r="CP1166" s="16"/>
      <c r="CQ1166" s="16"/>
      <c r="CR1166" s="16"/>
      <c r="CS1166" s="16"/>
      <c r="CT1166" s="16"/>
      <c r="CU1166" s="16"/>
      <c r="CV1166" s="16"/>
      <c r="CW1166" s="16"/>
      <c r="CX1166" s="16"/>
      <c r="CY1166" s="16"/>
      <c r="CZ1166" s="16"/>
      <c r="DA1166" s="16"/>
      <c r="DB1166" s="16"/>
      <c r="DC1166" s="16"/>
      <c r="DD1166" s="16"/>
      <c r="DE1166" s="17"/>
      <c r="DF1166" s="17"/>
      <c r="DG1166" s="16"/>
      <c r="DH1166" s="16"/>
      <c r="DI1166" s="17"/>
      <c r="DJ1166" s="17"/>
      <c r="DK1166" s="16"/>
      <c r="DL1166" s="16"/>
      <c r="DM1166" s="17"/>
      <c r="DN1166" s="17"/>
      <c r="DO1166" s="16"/>
      <c r="DP1166" s="16"/>
      <c r="DQ1166" s="17"/>
      <c r="DR1166" s="17"/>
      <c r="DS1166" s="16"/>
      <c r="DT1166" s="16"/>
      <c r="DU1166" s="17"/>
      <c r="DV1166" s="17"/>
      <c r="DW1166" s="16"/>
      <c r="DX1166" s="16"/>
      <c r="DY1166" s="17"/>
      <c r="DZ1166" s="17"/>
      <c r="EA1166" s="16"/>
      <c r="EB1166" s="16"/>
      <c r="EC1166" s="17"/>
      <c r="ED1166" s="17"/>
      <c r="EE1166" s="16"/>
      <c r="EF1166" s="16"/>
      <c r="EG1166" s="17"/>
      <c r="EH1166" s="17"/>
      <c r="EI1166" s="16"/>
      <c r="EJ1166" s="16"/>
      <c r="EK1166" s="17"/>
      <c r="EL1166" s="17"/>
      <c r="EM1166" s="16"/>
      <c r="EN1166" s="16"/>
      <c r="EO1166" s="17"/>
      <c r="EP1166" s="17"/>
      <c r="EQ1166" s="16"/>
      <c r="ER1166" s="16"/>
      <c r="ES1166" s="18">
        <v>3</v>
      </c>
      <c r="ET1166" s="18">
        <v>4</v>
      </c>
      <c r="EU1166" s="16"/>
      <c r="EV1166" s="16"/>
      <c r="EW1166" s="17"/>
      <c r="EX1166" s="17"/>
      <c r="EY1166" s="16"/>
      <c r="EZ1166" s="16"/>
      <c r="FA1166" s="17"/>
      <c r="FB1166" s="17"/>
      <c r="FC1166" s="16"/>
      <c r="FD1166" s="16"/>
      <c r="FE1166" s="17"/>
      <c r="FF1166" s="17"/>
      <c r="FG1166" s="11"/>
      <c r="GT1166" s="11"/>
      <c r="IG1166" s="11"/>
      <c r="JT1166" s="11"/>
      <c r="LG1166" s="11"/>
      <c r="MT1166" s="11"/>
      <c r="OG1166" s="11"/>
      <c r="PT1166" s="11"/>
    </row>
    <row r="1167" spans="3:436" ht="15.75" x14ac:dyDescent="0.25">
      <c r="C1167" s="20" t="s">
        <v>857</v>
      </c>
      <c r="D1167" s="21" t="s">
        <v>93</v>
      </c>
      <c r="H1167" s="11"/>
      <c r="AU1167" s="11"/>
      <c r="CH1167" s="11"/>
      <c r="CI1167" s="16"/>
      <c r="CJ1167" s="16"/>
      <c r="CK1167" s="16"/>
      <c r="CL1167" s="16"/>
      <c r="CM1167" s="16"/>
      <c r="CN1167" s="16"/>
      <c r="CO1167" s="16"/>
      <c r="CP1167" s="16"/>
      <c r="CQ1167" s="16"/>
      <c r="CR1167" s="16"/>
      <c r="CS1167" s="16"/>
      <c r="CT1167" s="16"/>
      <c r="CU1167" s="16"/>
      <c r="CV1167" s="16"/>
      <c r="CW1167" s="16"/>
      <c r="CX1167" s="16"/>
      <c r="CY1167" s="16"/>
      <c r="CZ1167" s="16"/>
      <c r="DA1167" s="16"/>
      <c r="DB1167" s="16"/>
      <c r="DC1167" s="16"/>
      <c r="DD1167" s="16"/>
      <c r="DE1167" s="17"/>
      <c r="DF1167" s="17"/>
      <c r="DG1167" s="16"/>
      <c r="DH1167" s="16"/>
      <c r="DI1167" s="17"/>
      <c r="DJ1167" s="17"/>
      <c r="DK1167" s="16"/>
      <c r="DL1167" s="16"/>
      <c r="DM1167" s="17"/>
      <c r="DN1167" s="17"/>
      <c r="DO1167" s="16"/>
      <c r="DP1167" s="16"/>
      <c r="DQ1167" s="17"/>
      <c r="DR1167" s="17"/>
      <c r="DS1167" s="16"/>
      <c r="DT1167" s="16"/>
      <c r="DU1167" s="17"/>
      <c r="DV1167" s="17"/>
      <c r="DW1167" s="16"/>
      <c r="DX1167" s="16"/>
      <c r="DY1167" s="17"/>
      <c r="DZ1167" s="17"/>
      <c r="EA1167" s="16"/>
      <c r="EB1167" s="16"/>
      <c r="EC1167" s="17"/>
      <c r="ED1167" s="17"/>
      <c r="EE1167" s="16"/>
      <c r="EF1167" s="16"/>
      <c r="EG1167" s="17"/>
      <c r="EH1167" s="17"/>
      <c r="EI1167" s="16"/>
      <c r="EJ1167" s="16"/>
      <c r="EK1167" s="17"/>
      <c r="EL1167" s="17"/>
      <c r="EM1167" s="16"/>
      <c r="EN1167" s="16"/>
      <c r="EO1167" s="17"/>
      <c r="EP1167" s="17"/>
      <c r="EQ1167" s="16"/>
      <c r="ER1167" s="16"/>
      <c r="ES1167" s="17"/>
      <c r="ET1167" s="17"/>
      <c r="EU1167" s="16"/>
      <c r="EV1167" s="16"/>
      <c r="EW1167" s="18">
        <v>2</v>
      </c>
      <c r="EX1167" s="18">
        <v>3</v>
      </c>
      <c r="EY1167" s="16"/>
      <c r="EZ1167" s="16"/>
      <c r="FA1167" s="17"/>
      <c r="FB1167" s="17"/>
      <c r="FC1167" s="16"/>
      <c r="FD1167" s="16"/>
      <c r="FE1167" s="17"/>
      <c r="FF1167" s="17"/>
      <c r="FG1167" s="11"/>
      <c r="GT1167" s="11"/>
      <c r="IG1167" s="11"/>
      <c r="JT1167" s="11"/>
      <c r="LG1167" s="11"/>
      <c r="MT1167" s="11"/>
      <c r="OG1167" s="11"/>
      <c r="PT1167" s="11"/>
    </row>
    <row r="1168" spans="3:436" ht="25.5" x14ac:dyDescent="0.25">
      <c r="C1168" s="20" t="s">
        <v>858</v>
      </c>
      <c r="D1168" s="21" t="s">
        <v>82</v>
      </c>
      <c r="H1168" s="11"/>
      <c r="AU1168" s="11"/>
      <c r="CH1168" s="11"/>
      <c r="CI1168" s="16"/>
      <c r="CJ1168" s="16"/>
      <c r="CK1168" s="16"/>
      <c r="CL1168" s="16"/>
      <c r="CM1168" s="16"/>
      <c r="CN1168" s="16"/>
      <c r="CO1168" s="16"/>
      <c r="CP1168" s="16"/>
      <c r="CQ1168" s="16"/>
      <c r="CR1168" s="16"/>
      <c r="CS1168" s="16"/>
      <c r="CT1168" s="16"/>
      <c r="CU1168" s="16"/>
      <c r="CV1168" s="16"/>
      <c r="CW1168" s="16"/>
      <c r="CX1168" s="16"/>
      <c r="CY1168" s="16"/>
      <c r="CZ1168" s="16"/>
      <c r="DA1168" s="16"/>
      <c r="DB1168" s="16"/>
      <c r="DC1168" s="16"/>
      <c r="DD1168" s="16"/>
      <c r="DE1168" s="17"/>
      <c r="DF1168" s="17"/>
      <c r="DG1168" s="16"/>
      <c r="DH1168" s="16"/>
      <c r="DI1168" s="17"/>
      <c r="DJ1168" s="17"/>
      <c r="DK1168" s="16"/>
      <c r="DL1168" s="16"/>
      <c r="DM1168" s="17"/>
      <c r="DN1168" s="17"/>
      <c r="DO1168" s="16"/>
      <c r="DP1168" s="16"/>
      <c r="DQ1168" s="17"/>
      <c r="DR1168" s="17"/>
      <c r="DS1168" s="16"/>
      <c r="DT1168" s="16"/>
      <c r="DU1168" s="17"/>
      <c r="DV1168" s="17"/>
      <c r="DW1168" s="16"/>
      <c r="DX1168" s="16"/>
      <c r="DY1168" s="17"/>
      <c r="DZ1168" s="17"/>
      <c r="EA1168" s="16"/>
      <c r="EB1168" s="16"/>
      <c r="EC1168" s="17"/>
      <c r="ED1168" s="17"/>
      <c r="EE1168" s="16"/>
      <c r="EF1168" s="16"/>
      <c r="EG1168" s="17"/>
      <c r="EH1168" s="17"/>
      <c r="EI1168" s="16"/>
      <c r="EJ1168" s="16"/>
      <c r="EK1168" s="17"/>
      <c r="EL1168" s="17"/>
      <c r="EM1168" s="16"/>
      <c r="EN1168" s="16"/>
      <c r="EO1168" s="17"/>
      <c r="EP1168" s="17"/>
      <c r="EQ1168" s="16"/>
      <c r="ER1168" s="16"/>
      <c r="ES1168" s="18">
        <v>3</v>
      </c>
      <c r="ET1168" s="18">
        <v>4</v>
      </c>
      <c r="EU1168" s="16"/>
      <c r="EV1168" s="16"/>
      <c r="EW1168" s="17"/>
      <c r="EX1168" s="17"/>
      <c r="EY1168" s="16"/>
      <c r="EZ1168" s="16"/>
      <c r="FA1168" s="17"/>
      <c r="FB1168" s="17"/>
      <c r="FC1168" s="16"/>
      <c r="FD1168" s="16"/>
      <c r="FE1168" s="17"/>
      <c r="FF1168" s="17"/>
      <c r="FG1168" s="11"/>
      <c r="GT1168" s="11"/>
      <c r="IG1168" s="11"/>
      <c r="JT1168" s="11"/>
      <c r="LG1168" s="11"/>
      <c r="MT1168" s="11"/>
      <c r="OG1168" s="11"/>
      <c r="PT1168" s="11"/>
    </row>
    <row r="1169" spans="1:436" ht="25.5" x14ac:dyDescent="0.25">
      <c r="C1169" s="20" t="s">
        <v>859</v>
      </c>
      <c r="D1169" s="21" t="s">
        <v>93</v>
      </c>
      <c r="H1169" s="11"/>
      <c r="AU1169" s="11"/>
      <c r="CH1169" s="11"/>
      <c r="CI1169" s="16"/>
      <c r="CJ1169" s="16"/>
      <c r="CK1169" s="16"/>
      <c r="CL1169" s="16"/>
      <c r="CM1169" s="16"/>
      <c r="CN1169" s="16"/>
      <c r="CO1169" s="16"/>
      <c r="CP1169" s="16"/>
      <c r="CQ1169" s="16"/>
      <c r="CR1169" s="16"/>
      <c r="CS1169" s="16"/>
      <c r="CT1169" s="16"/>
      <c r="CU1169" s="16"/>
      <c r="CV1169" s="16"/>
      <c r="CW1169" s="16"/>
      <c r="CX1169" s="16"/>
      <c r="CY1169" s="16"/>
      <c r="CZ1169" s="16"/>
      <c r="DA1169" s="16"/>
      <c r="DB1169" s="16"/>
      <c r="DC1169" s="16"/>
      <c r="DD1169" s="16"/>
      <c r="DE1169" s="17"/>
      <c r="DF1169" s="17"/>
      <c r="DG1169" s="16"/>
      <c r="DH1169" s="16"/>
      <c r="DI1169" s="17"/>
      <c r="DJ1169" s="17"/>
      <c r="DK1169" s="16"/>
      <c r="DL1169" s="16"/>
      <c r="DM1169" s="17"/>
      <c r="DN1169" s="17"/>
      <c r="DO1169" s="16"/>
      <c r="DP1169" s="16"/>
      <c r="DQ1169" s="17"/>
      <c r="DR1169" s="17"/>
      <c r="DS1169" s="16"/>
      <c r="DT1169" s="16"/>
      <c r="DU1169" s="17"/>
      <c r="DV1169" s="17"/>
      <c r="DW1169" s="16"/>
      <c r="DX1169" s="16"/>
      <c r="DY1169" s="17"/>
      <c r="DZ1169" s="17"/>
      <c r="EA1169" s="16"/>
      <c r="EB1169" s="16"/>
      <c r="EC1169" s="17"/>
      <c r="ED1169" s="17"/>
      <c r="EE1169" s="16"/>
      <c r="EF1169" s="16"/>
      <c r="EG1169" s="17"/>
      <c r="EH1169" s="17"/>
      <c r="EI1169" s="16"/>
      <c r="EJ1169" s="16"/>
      <c r="EK1169" s="17"/>
      <c r="EL1169" s="17"/>
      <c r="EM1169" s="16"/>
      <c r="EN1169" s="16"/>
      <c r="EO1169" s="17"/>
      <c r="EP1169" s="17"/>
      <c r="EQ1169" s="16"/>
      <c r="ER1169" s="16"/>
      <c r="ES1169" s="17"/>
      <c r="ET1169" s="17"/>
      <c r="EU1169" s="16"/>
      <c r="EV1169" s="16"/>
      <c r="EW1169" s="18">
        <v>5</v>
      </c>
      <c r="EX1169" s="18">
        <v>7</v>
      </c>
      <c r="EY1169" s="16"/>
      <c r="EZ1169" s="16"/>
      <c r="FA1169" s="17"/>
      <c r="FB1169" s="17"/>
      <c r="FC1169" s="16"/>
      <c r="FD1169" s="16"/>
      <c r="FE1169" s="17"/>
      <c r="FF1169" s="17"/>
      <c r="FG1169" s="11"/>
      <c r="GT1169" s="11"/>
      <c r="IG1169" s="11"/>
      <c r="JT1169" s="11"/>
      <c r="LG1169" s="11"/>
      <c r="MT1169" s="11"/>
      <c r="OG1169" s="11"/>
      <c r="PT1169" s="11"/>
    </row>
    <row r="1170" spans="1:436" ht="15.75" x14ac:dyDescent="0.25">
      <c r="C1170" s="20" t="s">
        <v>860</v>
      </c>
      <c r="D1170" s="21" t="s">
        <v>82</v>
      </c>
      <c r="H1170" s="11"/>
      <c r="AU1170" s="11"/>
      <c r="CH1170" s="11"/>
      <c r="CI1170" s="16"/>
      <c r="CJ1170" s="16"/>
      <c r="CK1170" s="16"/>
      <c r="CL1170" s="16"/>
      <c r="CM1170" s="16"/>
      <c r="CN1170" s="16"/>
      <c r="CO1170" s="16"/>
      <c r="CP1170" s="16"/>
      <c r="CQ1170" s="16"/>
      <c r="CR1170" s="16"/>
      <c r="CS1170" s="16"/>
      <c r="CT1170" s="16"/>
      <c r="CU1170" s="16"/>
      <c r="CV1170" s="16"/>
      <c r="CW1170" s="16"/>
      <c r="CX1170" s="16"/>
      <c r="CY1170" s="16"/>
      <c r="CZ1170" s="16"/>
      <c r="DA1170" s="16"/>
      <c r="DB1170" s="16"/>
      <c r="DC1170" s="16"/>
      <c r="DD1170" s="16"/>
      <c r="DE1170" s="17"/>
      <c r="DF1170" s="17"/>
      <c r="DG1170" s="16"/>
      <c r="DH1170" s="16"/>
      <c r="DI1170" s="17"/>
      <c r="DJ1170" s="17"/>
      <c r="DK1170" s="16"/>
      <c r="DL1170" s="16"/>
      <c r="DM1170" s="17"/>
      <c r="DN1170" s="17"/>
      <c r="DO1170" s="16"/>
      <c r="DP1170" s="16"/>
      <c r="DQ1170" s="17"/>
      <c r="DR1170" s="17"/>
      <c r="DS1170" s="16"/>
      <c r="DT1170" s="16"/>
      <c r="DU1170" s="17"/>
      <c r="DV1170" s="17"/>
      <c r="DW1170" s="16"/>
      <c r="DX1170" s="16"/>
      <c r="DY1170" s="17"/>
      <c r="DZ1170" s="17"/>
      <c r="EA1170" s="16"/>
      <c r="EB1170" s="16"/>
      <c r="EC1170" s="17"/>
      <c r="ED1170" s="17"/>
      <c r="EE1170" s="16"/>
      <c r="EF1170" s="16"/>
      <c r="EG1170" s="17"/>
      <c r="EH1170" s="17"/>
      <c r="EI1170" s="16"/>
      <c r="EJ1170" s="16"/>
      <c r="EK1170" s="17"/>
      <c r="EL1170" s="17"/>
      <c r="EM1170" s="16"/>
      <c r="EN1170" s="16"/>
      <c r="EO1170" s="17"/>
      <c r="EP1170" s="17"/>
      <c r="EQ1170" s="16"/>
      <c r="ER1170" s="16"/>
      <c r="ES1170" s="18">
        <v>2</v>
      </c>
      <c r="ET1170" s="18">
        <v>3</v>
      </c>
      <c r="EU1170" s="16"/>
      <c r="EV1170" s="16"/>
      <c r="EW1170" s="17"/>
      <c r="EX1170" s="17"/>
      <c r="EY1170" s="16"/>
      <c r="EZ1170" s="16"/>
      <c r="FA1170" s="17"/>
      <c r="FB1170" s="17"/>
      <c r="FC1170" s="16"/>
      <c r="FD1170" s="16"/>
      <c r="FE1170" s="17"/>
      <c r="FF1170" s="17"/>
      <c r="FG1170" s="11"/>
      <c r="GT1170" s="11"/>
      <c r="IG1170" s="11"/>
      <c r="JT1170" s="11"/>
      <c r="LG1170" s="11"/>
      <c r="MT1170" s="11"/>
      <c r="OG1170" s="11"/>
      <c r="PT1170" s="11"/>
    </row>
    <row r="1171" spans="1:436" ht="15.75" x14ac:dyDescent="0.25">
      <c r="C1171" s="20" t="s">
        <v>861</v>
      </c>
      <c r="D1171" s="21" t="s">
        <v>93</v>
      </c>
      <c r="H1171" s="11"/>
      <c r="AU1171" s="11"/>
      <c r="CH1171" s="11"/>
      <c r="CI1171" s="16"/>
      <c r="CJ1171" s="16"/>
      <c r="CK1171" s="16"/>
      <c r="CL1171" s="16"/>
      <c r="CM1171" s="16"/>
      <c r="CN1171" s="16"/>
      <c r="CO1171" s="16"/>
      <c r="CP1171" s="16"/>
      <c r="CQ1171" s="16"/>
      <c r="CR1171" s="16"/>
      <c r="CS1171" s="16"/>
      <c r="CT1171" s="16"/>
      <c r="CU1171" s="16"/>
      <c r="CV1171" s="16"/>
      <c r="CW1171" s="16"/>
      <c r="CX1171" s="16"/>
      <c r="CY1171" s="16"/>
      <c r="CZ1171" s="16"/>
      <c r="DA1171" s="16"/>
      <c r="DB1171" s="16"/>
      <c r="DC1171" s="16"/>
      <c r="DD1171" s="16"/>
      <c r="DE1171" s="17"/>
      <c r="DF1171" s="17"/>
      <c r="DG1171" s="16"/>
      <c r="DH1171" s="16"/>
      <c r="DI1171" s="17"/>
      <c r="DJ1171" s="17"/>
      <c r="DK1171" s="16"/>
      <c r="DL1171" s="16"/>
      <c r="DM1171" s="17"/>
      <c r="DN1171" s="17"/>
      <c r="DO1171" s="16"/>
      <c r="DP1171" s="16"/>
      <c r="DQ1171" s="17"/>
      <c r="DR1171" s="17"/>
      <c r="DS1171" s="16"/>
      <c r="DT1171" s="16"/>
      <c r="DU1171" s="17"/>
      <c r="DV1171" s="17"/>
      <c r="DW1171" s="16"/>
      <c r="DX1171" s="16"/>
      <c r="DY1171" s="17"/>
      <c r="DZ1171" s="17"/>
      <c r="EA1171" s="16"/>
      <c r="EB1171" s="16"/>
      <c r="EC1171" s="17"/>
      <c r="ED1171" s="17"/>
      <c r="EE1171" s="16"/>
      <c r="EF1171" s="16"/>
      <c r="EG1171" s="17"/>
      <c r="EH1171" s="17"/>
      <c r="EI1171" s="16"/>
      <c r="EJ1171" s="16"/>
      <c r="EK1171" s="17"/>
      <c r="EL1171" s="17"/>
      <c r="EM1171" s="16"/>
      <c r="EN1171" s="16"/>
      <c r="EO1171" s="17"/>
      <c r="EP1171" s="17"/>
      <c r="EQ1171" s="16"/>
      <c r="ER1171" s="16"/>
      <c r="ES1171" s="17"/>
      <c r="ET1171" s="17"/>
      <c r="EU1171" s="16"/>
      <c r="EV1171" s="16"/>
      <c r="EW1171" s="18">
        <v>2</v>
      </c>
      <c r="EX1171" s="18">
        <v>3</v>
      </c>
      <c r="EY1171" s="16"/>
      <c r="EZ1171" s="16"/>
      <c r="FA1171" s="17"/>
      <c r="FB1171" s="17"/>
      <c r="FC1171" s="16"/>
      <c r="FD1171" s="16"/>
      <c r="FE1171" s="17"/>
      <c r="FF1171" s="17"/>
      <c r="FG1171" s="11"/>
      <c r="GT1171" s="11"/>
      <c r="IG1171" s="11"/>
      <c r="JT1171" s="11"/>
      <c r="LG1171" s="11"/>
      <c r="MT1171" s="11"/>
      <c r="OG1171" s="11"/>
      <c r="PT1171" s="11"/>
    </row>
    <row r="1172" spans="1:436" ht="15.75" x14ac:dyDescent="0.25">
      <c r="C1172" s="20" t="s">
        <v>862</v>
      </c>
      <c r="D1172" s="21" t="s">
        <v>93</v>
      </c>
      <c r="H1172" s="11"/>
      <c r="AU1172" s="11"/>
      <c r="CH1172" s="11"/>
      <c r="CI1172" s="16"/>
      <c r="CJ1172" s="16"/>
      <c r="CK1172" s="16"/>
      <c r="CL1172" s="16"/>
      <c r="CM1172" s="16"/>
      <c r="CN1172" s="16"/>
      <c r="CO1172" s="16"/>
      <c r="CP1172" s="16"/>
      <c r="CQ1172" s="16"/>
      <c r="CR1172" s="16"/>
      <c r="CS1172" s="16"/>
      <c r="CT1172" s="16"/>
      <c r="CU1172" s="16"/>
      <c r="CV1172" s="16"/>
      <c r="CW1172" s="16"/>
      <c r="CX1172" s="16"/>
      <c r="CY1172" s="16"/>
      <c r="CZ1172" s="16"/>
      <c r="DA1172" s="16"/>
      <c r="DB1172" s="16"/>
      <c r="DC1172" s="16"/>
      <c r="DD1172" s="16"/>
      <c r="DE1172" s="17"/>
      <c r="DF1172" s="17"/>
      <c r="DG1172" s="16"/>
      <c r="DH1172" s="16"/>
      <c r="DI1172" s="17"/>
      <c r="DJ1172" s="17"/>
      <c r="DK1172" s="16"/>
      <c r="DL1172" s="16"/>
      <c r="DM1172" s="17"/>
      <c r="DN1172" s="17"/>
      <c r="DO1172" s="16"/>
      <c r="DP1172" s="16"/>
      <c r="DQ1172" s="17"/>
      <c r="DR1172" s="17"/>
      <c r="DS1172" s="16"/>
      <c r="DT1172" s="16"/>
      <c r="DU1172" s="17"/>
      <c r="DV1172" s="17"/>
      <c r="DW1172" s="16"/>
      <c r="DX1172" s="16"/>
      <c r="DY1172" s="17"/>
      <c r="DZ1172" s="17"/>
      <c r="EA1172" s="16"/>
      <c r="EB1172" s="16"/>
      <c r="EC1172" s="17"/>
      <c r="ED1172" s="17"/>
      <c r="EE1172" s="16"/>
      <c r="EF1172" s="16"/>
      <c r="EG1172" s="17"/>
      <c r="EH1172" s="17"/>
      <c r="EI1172" s="16"/>
      <c r="EJ1172" s="16"/>
      <c r="EK1172" s="17"/>
      <c r="EL1172" s="17"/>
      <c r="EM1172" s="16"/>
      <c r="EN1172" s="16"/>
      <c r="EO1172" s="17"/>
      <c r="EP1172" s="17"/>
      <c r="EQ1172" s="16"/>
      <c r="ER1172" s="16"/>
      <c r="ES1172" s="17"/>
      <c r="ET1172" s="17"/>
      <c r="EU1172" s="16"/>
      <c r="EV1172" s="16"/>
      <c r="EW1172" s="18">
        <v>2</v>
      </c>
      <c r="EX1172" s="18">
        <v>3</v>
      </c>
      <c r="EY1172" s="16"/>
      <c r="EZ1172" s="16"/>
      <c r="FA1172" s="17"/>
      <c r="FB1172" s="17"/>
      <c r="FC1172" s="16"/>
      <c r="FD1172" s="16"/>
      <c r="FE1172" s="17"/>
      <c r="FF1172" s="17"/>
      <c r="FG1172" s="11"/>
      <c r="GT1172" s="11"/>
      <c r="IG1172" s="11"/>
      <c r="JT1172" s="11"/>
      <c r="LG1172" s="11"/>
      <c r="MT1172" s="11"/>
      <c r="OG1172" s="11"/>
      <c r="PT1172" s="11"/>
    </row>
    <row r="1173" spans="1:436" ht="15.75" x14ac:dyDescent="0.25">
      <c r="C1173" s="20" t="s">
        <v>863</v>
      </c>
      <c r="D1173" s="21" t="s">
        <v>82</v>
      </c>
      <c r="H1173" s="11"/>
      <c r="AU1173" s="11"/>
      <c r="CH1173" s="11"/>
      <c r="CI1173" s="16"/>
      <c r="CJ1173" s="16"/>
      <c r="CK1173" s="16"/>
      <c r="CL1173" s="16"/>
      <c r="CM1173" s="16"/>
      <c r="CN1173" s="16"/>
      <c r="CO1173" s="16"/>
      <c r="CP1173" s="16"/>
      <c r="CQ1173" s="16"/>
      <c r="CR1173" s="16"/>
      <c r="CS1173" s="16"/>
      <c r="CT1173" s="16"/>
      <c r="CU1173" s="16"/>
      <c r="CV1173" s="16"/>
      <c r="CW1173" s="16"/>
      <c r="CX1173" s="16"/>
      <c r="CY1173" s="16"/>
      <c r="CZ1173" s="16"/>
      <c r="DA1173" s="16"/>
      <c r="DB1173" s="16"/>
      <c r="DC1173" s="16"/>
      <c r="DD1173" s="16"/>
      <c r="DE1173" s="17"/>
      <c r="DF1173" s="17"/>
      <c r="DG1173" s="16"/>
      <c r="DH1173" s="16"/>
      <c r="DI1173" s="17"/>
      <c r="DJ1173" s="17"/>
      <c r="DK1173" s="16"/>
      <c r="DL1173" s="16"/>
      <c r="DM1173" s="17"/>
      <c r="DN1173" s="17"/>
      <c r="DO1173" s="16"/>
      <c r="DP1173" s="16"/>
      <c r="DQ1173" s="17"/>
      <c r="DR1173" s="17"/>
      <c r="DS1173" s="16"/>
      <c r="DT1173" s="16"/>
      <c r="DU1173" s="17"/>
      <c r="DV1173" s="17"/>
      <c r="DW1173" s="16"/>
      <c r="DX1173" s="16"/>
      <c r="DY1173" s="17"/>
      <c r="DZ1173" s="17"/>
      <c r="EA1173" s="16"/>
      <c r="EB1173" s="16"/>
      <c r="EC1173" s="17"/>
      <c r="ED1173" s="17"/>
      <c r="EE1173" s="16"/>
      <c r="EF1173" s="16"/>
      <c r="EG1173" s="17"/>
      <c r="EH1173" s="17"/>
      <c r="EI1173" s="16"/>
      <c r="EJ1173" s="16"/>
      <c r="EK1173" s="17"/>
      <c r="EL1173" s="17"/>
      <c r="EM1173" s="16"/>
      <c r="EN1173" s="16"/>
      <c r="EO1173" s="17"/>
      <c r="EP1173" s="17"/>
      <c r="EQ1173" s="16"/>
      <c r="ER1173" s="16"/>
      <c r="ES1173" s="18">
        <v>2</v>
      </c>
      <c r="ET1173" s="18">
        <v>3</v>
      </c>
      <c r="EU1173" s="16"/>
      <c r="EV1173" s="16"/>
      <c r="EW1173" s="17"/>
      <c r="EX1173" s="17"/>
      <c r="EY1173" s="16"/>
      <c r="EZ1173" s="16"/>
      <c r="FA1173" s="17"/>
      <c r="FB1173" s="17"/>
      <c r="FC1173" s="16"/>
      <c r="FD1173" s="16"/>
      <c r="FE1173" s="17"/>
      <c r="FF1173" s="17"/>
      <c r="FG1173" s="11"/>
      <c r="GT1173" s="11"/>
      <c r="IG1173" s="11"/>
      <c r="JT1173" s="11"/>
      <c r="LG1173" s="11"/>
      <c r="MT1173" s="11"/>
      <c r="OG1173" s="11"/>
      <c r="PT1173" s="11"/>
    </row>
    <row r="1174" spans="1:436" ht="15.75" x14ac:dyDescent="0.25">
      <c r="C1174" s="20" t="s">
        <v>864</v>
      </c>
      <c r="D1174" s="21" t="s">
        <v>82</v>
      </c>
      <c r="H1174" s="11"/>
      <c r="AU1174" s="11"/>
      <c r="CH1174" s="11"/>
      <c r="CI1174" s="16"/>
      <c r="CJ1174" s="16"/>
      <c r="CK1174" s="16"/>
      <c r="CL1174" s="16"/>
      <c r="CM1174" s="16"/>
      <c r="CN1174" s="16"/>
      <c r="CO1174" s="16"/>
      <c r="CP1174" s="16"/>
      <c r="CQ1174" s="16"/>
      <c r="CR1174" s="16"/>
      <c r="CS1174" s="16"/>
      <c r="CT1174" s="16"/>
      <c r="CU1174" s="16"/>
      <c r="CV1174" s="16"/>
      <c r="CW1174" s="16"/>
      <c r="CX1174" s="16"/>
      <c r="CY1174" s="16"/>
      <c r="CZ1174" s="16"/>
      <c r="DA1174" s="16"/>
      <c r="DB1174" s="16"/>
      <c r="DC1174" s="16"/>
      <c r="DD1174" s="16"/>
      <c r="DE1174" s="17"/>
      <c r="DF1174" s="17"/>
      <c r="DG1174" s="16"/>
      <c r="DH1174" s="16"/>
      <c r="DI1174" s="17"/>
      <c r="DJ1174" s="17"/>
      <c r="DK1174" s="16"/>
      <c r="DL1174" s="16"/>
      <c r="DM1174" s="17"/>
      <c r="DN1174" s="17"/>
      <c r="DO1174" s="16"/>
      <c r="DP1174" s="16"/>
      <c r="DQ1174" s="17"/>
      <c r="DR1174" s="17"/>
      <c r="DS1174" s="16"/>
      <c r="DT1174" s="16"/>
      <c r="DU1174" s="17"/>
      <c r="DV1174" s="17"/>
      <c r="DW1174" s="16"/>
      <c r="DX1174" s="16"/>
      <c r="DY1174" s="17"/>
      <c r="DZ1174" s="17"/>
      <c r="EA1174" s="16"/>
      <c r="EB1174" s="16"/>
      <c r="EC1174" s="17"/>
      <c r="ED1174" s="17"/>
      <c r="EE1174" s="16"/>
      <c r="EF1174" s="16"/>
      <c r="EG1174" s="17"/>
      <c r="EH1174" s="17"/>
      <c r="EI1174" s="16"/>
      <c r="EJ1174" s="16"/>
      <c r="EK1174" s="17"/>
      <c r="EL1174" s="17"/>
      <c r="EM1174" s="16"/>
      <c r="EN1174" s="16"/>
      <c r="EO1174" s="17"/>
      <c r="EP1174" s="17"/>
      <c r="EQ1174" s="16"/>
      <c r="ER1174" s="16"/>
      <c r="ES1174" s="18">
        <v>2</v>
      </c>
      <c r="ET1174" s="18">
        <v>3</v>
      </c>
      <c r="EU1174" s="16"/>
      <c r="EV1174" s="16"/>
      <c r="EW1174" s="17"/>
      <c r="EX1174" s="17"/>
      <c r="EY1174" s="16"/>
      <c r="EZ1174" s="16"/>
      <c r="FA1174" s="17"/>
      <c r="FB1174" s="17"/>
      <c r="FC1174" s="16"/>
      <c r="FD1174" s="16"/>
      <c r="FE1174" s="17"/>
      <c r="FF1174" s="17"/>
      <c r="FG1174" s="11"/>
      <c r="GT1174" s="11"/>
      <c r="IG1174" s="11"/>
      <c r="JT1174" s="11"/>
      <c r="LG1174" s="11"/>
      <c r="MT1174" s="11"/>
      <c r="OG1174" s="11"/>
      <c r="PT1174" s="11"/>
    </row>
    <row r="1175" spans="1:436" ht="15.75" x14ac:dyDescent="0.25">
      <c r="C1175" s="20" t="s">
        <v>865</v>
      </c>
      <c r="D1175" s="21" t="s">
        <v>82</v>
      </c>
      <c r="H1175" s="11"/>
      <c r="AU1175" s="11"/>
      <c r="CH1175" s="11"/>
      <c r="CI1175" s="16"/>
      <c r="CJ1175" s="16"/>
      <c r="CK1175" s="16"/>
      <c r="CL1175" s="16"/>
      <c r="CM1175" s="16"/>
      <c r="CN1175" s="16"/>
      <c r="CO1175" s="16"/>
      <c r="CP1175" s="16"/>
      <c r="CQ1175" s="16"/>
      <c r="CR1175" s="16"/>
      <c r="CS1175" s="16"/>
      <c r="CT1175" s="16"/>
      <c r="CU1175" s="16"/>
      <c r="CV1175" s="16"/>
      <c r="CW1175" s="16"/>
      <c r="CX1175" s="16"/>
      <c r="CY1175" s="16"/>
      <c r="CZ1175" s="16"/>
      <c r="DA1175" s="16"/>
      <c r="DB1175" s="16"/>
      <c r="DC1175" s="16"/>
      <c r="DD1175" s="16"/>
      <c r="DE1175" s="17"/>
      <c r="DF1175" s="17"/>
      <c r="DG1175" s="16"/>
      <c r="DH1175" s="16"/>
      <c r="DI1175" s="17"/>
      <c r="DJ1175" s="17"/>
      <c r="DK1175" s="16"/>
      <c r="DL1175" s="16"/>
      <c r="DM1175" s="17"/>
      <c r="DN1175" s="17"/>
      <c r="DO1175" s="16"/>
      <c r="DP1175" s="16"/>
      <c r="DQ1175" s="17"/>
      <c r="DR1175" s="17"/>
      <c r="DS1175" s="16"/>
      <c r="DT1175" s="16"/>
      <c r="DU1175" s="17"/>
      <c r="DV1175" s="17"/>
      <c r="DW1175" s="16"/>
      <c r="DX1175" s="16"/>
      <c r="DY1175" s="17"/>
      <c r="DZ1175" s="17"/>
      <c r="EA1175" s="16"/>
      <c r="EB1175" s="16"/>
      <c r="EC1175" s="17"/>
      <c r="ED1175" s="17"/>
      <c r="EE1175" s="16"/>
      <c r="EF1175" s="16"/>
      <c r="EG1175" s="17"/>
      <c r="EH1175" s="17"/>
      <c r="EI1175" s="16"/>
      <c r="EJ1175" s="16"/>
      <c r="EK1175" s="17"/>
      <c r="EL1175" s="17"/>
      <c r="EM1175" s="16"/>
      <c r="EN1175" s="16"/>
      <c r="EO1175" s="17"/>
      <c r="EP1175" s="17"/>
      <c r="EQ1175" s="16"/>
      <c r="ER1175" s="16"/>
      <c r="ES1175" s="18">
        <v>1</v>
      </c>
      <c r="ET1175" s="18">
        <v>2</v>
      </c>
      <c r="EU1175" s="16"/>
      <c r="EV1175" s="16"/>
      <c r="EW1175" s="17"/>
      <c r="EX1175" s="17"/>
      <c r="EY1175" s="16"/>
      <c r="EZ1175" s="16"/>
      <c r="FA1175" s="17"/>
      <c r="FB1175" s="17"/>
      <c r="FC1175" s="16"/>
      <c r="FD1175" s="16"/>
      <c r="FE1175" s="17"/>
      <c r="FF1175" s="17"/>
      <c r="FG1175" s="11"/>
      <c r="GT1175" s="11"/>
      <c r="IG1175" s="11"/>
      <c r="JT1175" s="11"/>
      <c r="LG1175" s="11"/>
      <c r="MT1175" s="11"/>
      <c r="OG1175" s="11"/>
      <c r="PT1175" s="11"/>
    </row>
    <row r="1176" spans="1:436" ht="15.75" x14ac:dyDescent="0.25">
      <c r="A1176" s="13"/>
      <c r="B1176" s="14" t="s">
        <v>866</v>
      </c>
      <c r="C1176" s="13"/>
      <c r="D1176" s="13"/>
      <c r="E1176" s="15" t="s">
        <v>127</v>
      </c>
      <c r="F1176" s="15" t="s">
        <v>177</v>
      </c>
      <c r="G1176" s="13"/>
      <c r="H1176" s="11"/>
      <c r="AU1176" s="11"/>
      <c r="CH1176" s="11"/>
      <c r="CI1176" s="16"/>
      <c r="CJ1176" s="16"/>
      <c r="CK1176" s="16"/>
      <c r="CL1176" s="16"/>
      <c r="CM1176" s="16"/>
      <c r="CN1176" s="16"/>
      <c r="CO1176" s="16"/>
      <c r="CP1176" s="16"/>
      <c r="CQ1176" s="16"/>
      <c r="CR1176" s="16"/>
      <c r="CS1176" s="16"/>
      <c r="CT1176" s="16"/>
      <c r="CU1176" s="16"/>
      <c r="CV1176" s="16"/>
      <c r="CW1176" s="16"/>
      <c r="CX1176" s="16"/>
      <c r="CY1176" s="16"/>
      <c r="CZ1176" s="16"/>
      <c r="DA1176" s="16"/>
      <c r="DB1176" s="16"/>
      <c r="DC1176" s="16"/>
      <c r="DD1176" s="16"/>
      <c r="DE1176" s="17"/>
      <c r="DF1176" s="17"/>
      <c r="DG1176" s="16"/>
      <c r="DH1176" s="16"/>
      <c r="DI1176" s="17"/>
      <c r="DJ1176" s="18">
        <v>10</v>
      </c>
      <c r="DK1176" s="16"/>
      <c r="DL1176" s="19">
        <v>2</v>
      </c>
      <c r="DM1176" s="17"/>
      <c r="DN1176" s="17"/>
      <c r="DO1176" s="16"/>
      <c r="DP1176" s="16"/>
      <c r="DQ1176" s="17"/>
      <c r="DR1176" s="17"/>
      <c r="DS1176" s="16"/>
      <c r="DT1176" s="16"/>
      <c r="DU1176" s="17"/>
      <c r="DV1176" s="18">
        <v>2</v>
      </c>
      <c r="DW1176" s="16"/>
      <c r="DX1176" s="19">
        <v>30</v>
      </c>
      <c r="DY1176" s="17"/>
      <c r="DZ1176" s="17"/>
      <c r="EA1176" s="16"/>
      <c r="EB1176" s="16"/>
      <c r="EC1176" s="17"/>
      <c r="ED1176" s="17"/>
      <c r="EE1176" s="16"/>
      <c r="EF1176" s="16"/>
      <c r="EG1176" s="17"/>
      <c r="EH1176" s="17"/>
      <c r="EI1176" s="16"/>
      <c r="EJ1176" s="16"/>
      <c r="EK1176" s="17"/>
      <c r="EL1176" s="17"/>
      <c r="EM1176" s="16"/>
      <c r="EN1176" s="16"/>
      <c r="EO1176" s="17"/>
      <c r="EP1176" s="17"/>
      <c r="EQ1176" s="16"/>
      <c r="ER1176" s="16"/>
      <c r="ES1176" s="17"/>
      <c r="ET1176" s="18">
        <v>20</v>
      </c>
      <c r="EU1176" s="16"/>
      <c r="EV1176" s="16"/>
      <c r="EW1176" s="17"/>
      <c r="EX1176" s="17"/>
      <c r="EY1176" s="16"/>
      <c r="EZ1176" s="16"/>
      <c r="FA1176" s="17"/>
      <c r="FB1176" s="17"/>
      <c r="FC1176" s="16"/>
      <c r="FD1176" s="16"/>
      <c r="FE1176" s="17"/>
      <c r="FF1176" s="17"/>
      <c r="FG1176" s="11"/>
      <c r="GT1176" s="11"/>
      <c r="IG1176" s="11"/>
      <c r="JT1176" s="11"/>
      <c r="LG1176" s="11"/>
      <c r="MT1176" s="11"/>
      <c r="OG1176" s="11"/>
      <c r="PT1176" s="11"/>
    </row>
    <row r="1177" spans="1:436" ht="15.75" x14ac:dyDescent="0.25">
      <c r="C1177" s="20" t="s">
        <v>867</v>
      </c>
      <c r="D1177" s="21" t="s">
        <v>129</v>
      </c>
      <c r="H1177" s="11"/>
      <c r="AU1177" s="11"/>
      <c r="CH1177" s="11"/>
      <c r="CI1177" s="16"/>
      <c r="CJ1177" s="16"/>
      <c r="CK1177" s="16"/>
      <c r="CL1177" s="16"/>
      <c r="CM1177" s="16"/>
      <c r="CN1177" s="16"/>
      <c r="CO1177" s="16"/>
      <c r="CP1177" s="16"/>
      <c r="CQ1177" s="16"/>
      <c r="CR1177" s="16"/>
      <c r="CS1177" s="16"/>
      <c r="CT1177" s="16"/>
      <c r="CU1177" s="16"/>
      <c r="CV1177" s="16"/>
      <c r="CW1177" s="16"/>
      <c r="CX1177" s="16"/>
      <c r="CY1177" s="16"/>
      <c r="CZ1177" s="16"/>
      <c r="DA1177" s="16"/>
      <c r="DB1177" s="16"/>
      <c r="DC1177" s="16"/>
      <c r="DD1177" s="16"/>
      <c r="DE1177" s="17"/>
      <c r="DF1177" s="17"/>
      <c r="DG1177" s="16"/>
      <c r="DH1177" s="16"/>
      <c r="DI1177" s="17"/>
      <c r="DJ1177" s="17"/>
      <c r="DK1177" s="16"/>
      <c r="DL1177" s="16"/>
      <c r="DM1177" s="17"/>
      <c r="DN1177" s="17"/>
      <c r="DO1177" s="16"/>
      <c r="DP1177" s="16"/>
      <c r="DQ1177" s="17"/>
      <c r="DR1177" s="17"/>
      <c r="DS1177" s="16"/>
      <c r="DT1177" s="16"/>
      <c r="DU1177" s="17"/>
      <c r="DV1177" s="17"/>
      <c r="DW1177" s="16"/>
      <c r="DX1177" s="16"/>
      <c r="DY1177" s="17"/>
      <c r="DZ1177" s="17"/>
      <c r="EA1177" s="16"/>
      <c r="EB1177" s="16"/>
      <c r="EC1177" s="17"/>
      <c r="ED1177" s="17"/>
      <c r="EE1177" s="16"/>
      <c r="EF1177" s="16"/>
      <c r="EG1177" s="17"/>
      <c r="EH1177" s="17"/>
      <c r="EI1177" s="16"/>
      <c r="EJ1177" s="16"/>
      <c r="EK1177" s="17"/>
      <c r="EL1177" s="17"/>
      <c r="EM1177" s="16"/>
      <c r="EN1177" s="16"/>
      <c r="EO1177" s="17"/>
      <c r="EP1177" s="17"/>
      <c r="EQ1177" s="16"/>
      <c r="ER1177" s="16"/>
      <c r="ES1177" s="17"/>
      <c r="ET1177" s="17"/>
      <c r="EU1177" s="16"/>
      <c r="EV1177" s="16"/>
      <c r="EW1177" s="17"/>
      <c r="EX1177" s="17"/>
      <c r="EY1177" s="16"/>
      <c r="EZ1177" s="16"/>
      <c r="FA1177" s="17"/>
      <c r="FB1177" s="17"/>
      <c r="FC1177" s="16"/>
      <c r="FD1177" s="16"/>
      <c r="FE1177" s="17"/>
      <c r="FF1177" s="17"/>
      <c r="FG1177" s="11"/>
      <c r="GT1177" s="11"/>
      <c r="IG1177" s="11"/>
      <c r="JT1177" s="11"/>
      <c r="LG1177" s="11"/>
      <c r="MT1177" s="11"/>
      <c r="OG1177" s="11"/>
      <c r="PT1177" s="11"/>
    </row>
    <row r="1178" spans="1:436" ht="15.75" x14ac:dyDescent="0.25">
      <c r="A1178" s="13"/>
      <c r="B1178" s="14" t="s">
        <v>868</v>
      </c>
      <c r="C1178" s="13"/>
      <c r="D1178" s="13"/>
      <c r="E1178" s="15" t="s">
        <v>76</v>
      </c>
      <c r="F1178" s="15" t="s">
        <v>177</v>
      </c>
      <c r="G1178" s="13"/>
      <c r="H1178" s="11"/>
      <c r="AU1178" s="11"/>
      <c r="CH1178" s="11"/>
      <c r="CI1178" s="16"/>
      <c r="CJ1178" s="16"/>
      <c r="CK1178" s="16"/>
      <c r="CL1178" s="16"/>
      <c r="CM1178" s="16"/>
      <c r="CN1178" s="16"/>
      <c r="CO1178" s="16"/>
      <c r="CP1178" s="16"/>
      <c r="CQ1178" s="16"/>
      <c r="CR1178" s="16"/>
      <c r="CS1178" s="16"/>
      <c r="CT1178" s="16"/>
      <c r="CU1178" s="16"/>
      <c r="CV1178" s="16"/>
      <c r="CW1178" s="16"/>
      <c r="CX1178" s="16"/>
      <c r="CY1178" s="16"/>
      <c r="CZ1178" s="16"/>
      <c r="DA1178" s="16"/>
      <c r="DB1178" s="16"/>
      <c r="DC1178" s="16"/>
      <c r="DD1178" s="16"/>
      <c r="DE1178" s="17"/>
      <c r="DF1178" s="17"/>
      <c r="DG1178" s="16"/>
      <c r="DH1178" s="16"/>
      <c r="DI1178" s="17"/>
      <c r="DJ1178" s="17"/>
      <c r="DK1178" s="16"/>
      <c r="DL1178" s="16"/>
      <c r="DM1178" s="17"/>
      <c r="DN1178" s="17"/>
      <c r="DO1178" s="16"/>
      <c r="DP1178" s="16"/>
      <c r="DQ1178" s="17"/>
      <c r="DR1178" s="17"/>
      <c r="DS1178" s="16"/>
      <c r="DT1178" s="16"/>
      <c r="DU1178" s="17"/>
      <c r="DV1178" s="17"/>
      <c r="DW1178" s="16"/>
      <c r="DX1178" s="16"/>
      <c r="DY1178" s="17"/>
      <c r="DZ1178" s="17"/>
      <c r="EA1178" s="16"/>
      <c r="EB1178" s="16"/>
      <c r="EC1178" s="17"/>
      <c r="ED1178" s="17"/>
      <c r="EE1178" s="16"/>
      <c r="EF1178" s="16"/>
      <c r="EG1178" s="17"/>
      <c r="EH1178" s="17"/>
      <c r="EI1178" s="16"/>
      <c r="EJ1178" s="16"/>
      <c r="EK1178" s="17"/>
      <c r="EL1178" s="17"/>
      <c r="EM1178" s="16"/>
      <c r="EN1178" s="16"/>
      <c r="EO1178" s="17"/>
      <c r="EP1178" s="17"/>
      <c r="EQ1178" s="16"/>
      <c r="ER1178" s="16"/>
      <c r="ES1178" s="17"/>
      <c r="ET1178" s="18">
        <v>120</v>
      </c>
      <c r="EU1178" s="16"/>
      <c r="EV1178" s="16"/>
      <c r="EW1178" s="17"/>
      <c r="EX1178" s="17"/>
      <c r="EY1178" s="16"/>
      <c r="EZ1178" s="16"/>
      <c r="FA1178" s="17"/>
      <c r="FB1178" s="17"/>
      <c r="FC1178" s="16"/>
      <c r="FD1178" s="16"/>
      <c r="FE1178" s="17"/>
      <c r="FF1178" s="17"/>
      <c r="FG1178" s="11"/>
      <c r="GT1178" s="11"/>
      <c r="IG1178" s="11"/>
      <c r="JT1178" s="11"/>
      <c r="LG1178" s="11"/>
      <c r="MT1178" s="11"/>
      <c r="OG1178" s="11"/>
      <c r="PT1178" s="11"/>
    </row>
    <row r="1179" spans="1:436" ht="15.75" x14ac:dyDescent="0.25">
      <c r="C1179" s="20" t="s">
        <v>849</v>
      </c>
      <c r="D1179" s="21" t="s">
        <v>93</v>
      </c>
      <c r="H1179" s="11"/>
      <c r="AU1179" s="11"/>
      <c r="CH1179" s="11"/>
      <c r="CI1179" s="16"/>
      <c r="CJ1179" s="16"/>
      <c r="CK1179" s="16"/>
      <c r="CL1179" s="16"/>
      <c r="CM1179" s="16"/>
      <c r="CN1179" s="16"/>
      <c r="CO1179" s="16"/>
      <c r="CP1179" s="16"/>
      <c r="CQ1179" s="16"/>
      <c r="CR1179" s="16"/>
      <c r="CS1179" s="16"/>
      <c r="CT1179" s="16"/>
      <c r="CU1179" s="16"/>
      <c r="CV1179" s="16"/>
      <c r="CW1179" s="16"/>
      <c r="CX1179" s="16"/>
      <c r="CY1179" s="16"/>
      <c r="CZ1179" s="16"/>
      <c r="DA1179" s="16"/>
      <c r="DB1179" s="16"/>
      <c r="DC1179" s="16"/>
      <c r="DD1179" s="16"/>
      <c r="DE1179" s="17"/>
      <c r="DF1179" s="17"/>
      <c r="DG1179" s="16"/>
      <c r="DH1179" s="16"/>
      <c r="DI1179" s="17"/>
      <c r="DJ1179" s="17"/>
      <c r="DK1179" s="16"/>
      <c r="DL1179" s="16"/>
      <c r="DM1179" s="17"/>
      <c r="DN1179" s="17"/>
      <c r="DO1179" s="16"/>
      <c r="DP1179" s="16"/>
      <c r="DQ1179" s="17"/>
      <c r="DR1179" s="17"/>
      <c r="DS1179" s="16"/>
      <c r="DT1179" s="16"/>
      <c r="DU1179" s="17"/>
      <c r="DV1179" s="17"/>
      <c r="DW1179" s="16"/>
      <c r="DX1179" s="16"/>
      <c r="DY1179" s="17"/>
      <c r="DZ1179" s="17"/>
      <c r="EA1179" s="16"/>
      <c r="EB1179" s="16"/>
      <c r="EC1179" s="17"/>
      <c r="ED1179" s="17"/>
      <c r="EE1179" s="16"/>
      <c r="EF1179" s="16"/>
      <c r="EG1179" s="17"/>
      <c r="EH1179" s="17"/>
      <c r="EI1179" s="16"/>
      <c r="EJ1179" s="16"/>
      <c r="EK1179" s="17"/>
      <c r="EL1179" s="17"/>
      <c r="EM1179" s="16"/>
      <c r="EN1179" s="16"/>
      <c r="EO1179" s="17"/>
      <c r="EP1179" s="17"/>
      <c r="EQ1179" s="16"/>
      <c r="ER1179" s="16"/>
      <c r="ES1179" s="17"/>
      <c r="ET1179" s="17"/>
      <c r="EU1179" s="16"/>
      <c r="EV1179" s="16"/>
      <c r="EW1179" s="17"/>
      <c r="EX1179" s="17"/>
      <c r="EY1179" s="16"/>
      <c r="EZ1179" s="16"/>
      <c r="FA1179" s="17"/>
      <c r="FB1179" s="17"/>
      <c r="FC1179" s="16"/>
      <c r="FD1179" s="16"/>
      <c r="FE1179" s="17"/>
      <c r="FF1179" s="17"/>
      <c r="FG1179" s="11"/>
      <c r="GT1179" s="11"/>
      <c r="IG1179" s="11"/>
      <c r="JT1179" s="11"/>
      <c r="LG1179" s="11"/>
      <c r="MT1179" s="11"/>
      <c r="OG1179" s="11"/>
      <c r="PT1179" s="11"/>
    </row>
    <row r="1180" spans="1:436" ht="15.75" x14ac:dyDescent="0.25">
      <c r="C1180" s="20" t="s">
        <v>850</v>
      </c>
      <c r="D1180" s="21" t="s">
        <v>90</v>
      </c>
      <c r="H1180" s="11"/>
      <c r="AU1180" s="11"/>
      <c r="CH1180" s="11"/>
      <c r="CI1180" s="16"/>
      <c r="CJ1180" s="16"/>
      <c r="CK1180" s="16"/>
      <c r="CL1180" s="16"/>
      <c r="CM1180" s="16"/>
      <c r="CN1180" s="16"/>
      <c r="CO1180" s="16"/>
      <c r="CP1180" s="16"/>
      <c r="CQ1180" s="16"/>
      <c r="CR1180" s="16"/>
      <c r="CS1180" s="16"/>
      <c r="CT1180" s="16"/>
      <c r="CU1180" s="16"/>
      <c r="CV1180" s="16"/>
      <c r="CW1180" s="16"/>
      <c r="CX1180" s="16"/>
      <c r="CY1180" s="16"/>
      <c r="CZ1180" s="16"/>
      <c r="DA1180" s="16"/>
      <c r="DB1180" s="16"/>
      <c r="DC1180" s="16"/>
      <c r="DD1180" s="16"/>
      <c r="DE1180" s="17"/>
      <c r="DF1180" s="17"/>
      <c r="DG1180" s="16"/>
      <c r="DH1180" s="16"/>
      <c r="DI1180" s="17"/>
      <c r="DJ1180" s="17"/>
      <c r="DK1180" s="16"/>
      <c r="DL1180" s="16"/>
      <c r="DM1180" s="17"/>
      <c r="DN1180" s="17"/>
      <c r="DO1180" s="16"/>
      <c r="DP1180" s="16"/>
      <c r="DQ1180" s="17"/>
      <c r="DR1180" s="17"/>
      <c r="DS1180" s="16"/>
      <c r="DT1180" s="16"/>
      <c r="DU1180" s="17"/>
      <c r="DV1180" s="17"/>
      <c r="DW1180" s="16"/>
      <c r="DX1180" s="16"/>
      <c r="DY1180" s="17"/>
      <c r="DZ1180" s="17"/>
      <c r="EA1180" s="16"/>
      <c r="EB1180" s="16"/>
      <c r="EC1180" s="17"/>
      <c r="ED1180" s="17"/>
      <c r="EE1180" s="16"/>
      <c r="EF1180" s="16"/>
      <c r="EG1180" s="17"/>
      <c r="EH1180" s="17"/>
      <c r="EI1180" s="16"/>
      <c r="EJ1180" s="16"/>
      <c r="EK1180" s="17"/>
      <c r="EL1180" s="17"/>
      <c r="EM1180" s="16"/>
      <c r="EN1180" s="16"/>
      <c r="EO1180" s="17"/>
      <c r="EP1180" s="17"/>
      <c r="EQ1180" s="16"/>
      <c r="ER1180" s="16"/>
      <c r="ES1180" s="17"/>
      <c r="ET1180" s="17"/>
      <c r="EU1180" s="16"/>
      <c r="EV1180" s="16"/>
      <c r="EW1180" s="17"/>
      <c r="EX1180" s="17"/>
      <c r="EY1180" s="16"/>
      <c r="EZ1180" s="16"/>
      <c r="FA1180" s="17"/>
      <c r="FB1180" s="17"/>
      <c r="FC1180" s="16"/>
      <c r="FD1180" s="16"/>
      <c r="FE1180" s="17"/>
      <c r="FF1180" s="17"/>
      <c r="FG1180" s="11"/>
      <c r="GT1180" s="11"/>
      <c r="IG1180" s="11"/>
      <c r="JT1180" s="11"/>
      <c r="LG1180" s="11"/>
      <c r="MT1180" s="11"/>
      <c r="OG1180" s="11"/>
      <c r="PT1180" s="11"/>
    </row>
    <row r="1181" spans="1:436" ht="15.75" x14ac:dyDescent="0.25">
      <c r="A1181" s="13"/>
      <c r="B1181" s="14" t="s">
        <v>869</v>
      </c>
      <c r="C1181" s="13"/>
      <c r="D1181" s="13"/>
      <c r="E1181" s="15" t="s">
        <v>127</v>
      </c>
      <c r="F1181" s="15" t="s">
        <v>177</v>
      </c>
      <c r="G1181" s="13"/>
      <c r="H1181" s="11"/>
      <c r="AU1181" s="11"/>
      <c r="CH1181" s="11"/>
      <c r="CI1181" s="16"/>
      <c r="CJ1181" s="16"/>
      <c r="CK1181" s="16"/>
      <c r="CL1181" s="16"/>
      <c r="CM1181" s="16"/>
      <c r="CN1181" s="16"/>
      <c r="CO1181" s="16"/>
      <c r="CP1181" s="16"/>
      <c r="CQ1181" s="16"/>
      <c r="CR1181" s="16"/>
      <c r="CS1181" s="16"/>
      <c r="CT1181" s="16"/>
      <c r="CU1181" s="16"/>
      <c r="CV1181" s="16"/>
      <c r="CW1181" s="16"/>
      <c r="CX1181" s="16"/>
      <c r="CY1181" s="16"/>
      <c r="CZ1181" s="16"/>
      <c r="DA1181" s="16"/>
      <c r="DB1181" s="16"/>
      <c r="DC1181" s="16"/>
      <c r="DD1181" s="16"/>
      <c r="DE1181" s="17"/>
      <c r="DF1181" s="17"/>
      <c r="DG1181" s="16"/>
      <c r="DH1181" s="16"/>
      <c r="DI1181" s="17"/>
      <c r="DJ1181" s="18">
        <v>8</v>
      </c>
      <c r="DK1181" s="16"/>
      <c r="DL1181" s="16"/>
      <c r="DM1181" s="17"/>
      <c r="DN1181" s="17"/>
      <c r="DO1181" s="16"/>
      <c r="DP1181" s="16"/>
      <c r="DQ1181" s="17"/>
      <c r="DR1181" s="17"/>
      <c r="DS1181" s="16"/>
      <c r="DT1181" s="16"/>
      <c r="DU1181" s="17"/>
      <c r="DV1181" s="18">
        <v>10</v>
      </c>
      <c r="DW1181" s="16"/>
      <c r="DX1181" s="16"/>
      <c r="DY1181" s="17"/>
      <c r="DZ1181" s="17"/>
      <c r="EA1181" s="16"/>
      <c r="EB1181" s="16"/>
      <c r="EC1181" s="17"/>
      <c r="ED1181" s="17"/>
      <c r="EE1181" s="16"/>
      <c r="EF1181" s="19">
        <v>88</v>
      </c>
      <c r="EG1181" s="17"/>
      <c r="EH1181" s="17"/>
      <c r="EI1181" s="16"/>
      <c r="EJ1181" s="16"/>
      <c r="EK1181" s="17"/>
      <c r="EL1181" s="17"/>
      <c r="EM1181" s="16"/>
      <c r="EN1181" s="16"/>
      <c r="EO1181" s="17"/>
      <c r="EP1181" s="17"/>
      <c r="EQ1181" s="16"/>
      <c r="ER1181" s="16"/>
      <c r="ES1181" s="17"/>
      <c r="ET1181" s="18">
        <v>60</v>
      </c>
      <c r="EU1181" s="16"/>
      <c r="EV1181" s="16"/>
      <c r="EW1181" s="17"/>
      <c r="EX1181" s="17"/>
      <c r="EY1181" s="16"/>
      <c r="EZ1181" s="16"/>
      <c r="FA1181" s="17"/>
      <c r="FB1181" s="17"/>
      <c r="FC1181" s="16"/>
      <c r="FD1181" s="16"/>
      <c r="FE1181" s="17"/>
      <c r="FF1181" s="17"/>
      <c r="FG1181" s="11"/>
      <c r="GT1181" s="11"/>
      <c r="IG1181" s="11"/>
      <c r="JT1181" s="11"/>
      <c r="LG1181" s="11"/>
      <c r="MT1181" s="11"/>
      <c r="OG1181" s="11"/>
      <c r="PT1181" s="11"/>
    </row>
    <row r="1182" spans="1:436" ht="15.75" x14ac:dyDescent="0.25">
      <c r="C1182" s="20" t="s">
        <v>870</v>
      </c>
      <c r="D1182" s="21" t="s">
        <v>79</v>
      </c>
      <c r="H1182" s="11"/>
      <c r="AU1182" s="11"/>
      <c r="CH1182" s="11"/>
      <c r="CI1182" s="16"/>
      <c r="CJ1182" s="16"/>
      <c r="CK1182" s="16"/>
      <c r="CL1182" s="16"/>
      <c r="CM1182" s="16"/>
      <c r="CN1182" s="16"/>
      <c r="CO1182" s="16"/>
      <c r="CP1182" s="16"/>
      <c r="CQ1182" s="16"/>
      <c r="CR1182" s="16"/>
      <c r="CS1182" s="16"/>
      <c r="CT1182" s="16"/>
      <c r="CU1182" s="16"/>
      <c r="CV1182" s="16"/>
      <c r="CW1182" s="16"/>
      <c r="CX1182" s="16"/>
      <c r="CY1182" s="16"/>
      <c r="CZ1182" s="16"/>
      <c r="DA1182" s="16"/>
      <c r="DB1182" s="16"/>
      <c r="DC1182" s="16"/>
      <c r="DD1182" s="16"/>
      <c r="DE1182" s="17"/>
      <c r="DF1182" s="17"/>
      <c r="DG1182" s="16"/>
      <c r="DH1182" s="16"/>
      <c r="DI1182" s="17"/>
      <c r="DJ1182" s="18">
        <v>2</v>
      </c>
      <c r="DK1182" s="16"/>
      <c r="DL1182" s="16"/>
      <c r="DM1182" s="17"/>
      <c r="DN1182" s="17"/>
      <c r="DO1182" s="16"/>
      <c r="DP1182" s="16"/>
      <c r="DQ1182" s="17"/>
      <c r="DR1182" s="17"/>
      <c r="DS1182" s="16"/>
      <c r="DT1182" s="16"/>
      <c r="DU1182" s="17"/>
      <c r="DV1182" s="17"/>
      <c r="DW1182" s="16"/>
      <c r="DX1182" s="16"/>
      <c r="DY1182" s="17"/>
      <c r="DZ1182" s="17"/>
      <c r="EA1182" s="16"/>
      <c r="EB1182" s="16"/>
      <c r="EC1182" s="17"/>
      <c r="ED1182" s="17"/>
      <c r="EE1182" s="16"/>
      <c r="EF1182" s="16"/>
      <c r="EG1182" s="17"/>
      <c r="EH1182" s="17"/>
      <c r="EI1182" s="16"/>
      <c r="EJ1182" s="16"/>
      <c r="EK1182" s="17"/>
      <c r="EL1182" s="17"/>
      <c r="EM1182" s="16"/>
      <c r="EN1182" s="16"/>
      <c r="EO1182" s="17"/>
      <c r="EP1182" s="17"/>
      <c r="EQ1182" s="16"/>
      <c r="ER1182" s="16"/>
      <c r="ES1182" s="17"/>
      <c r="ET1182" s="17"/>
      <c r="EU1182" s="16"/>
      <c r="EV1182" s="16"/>
      <c r="EW1182" s="17"/>
      <c r="EX1182" s="17"/>
      <c r="EY1182" s="16"/>
      <c r="EZ1182" s="16"/>
      <c r="FA1182" s="17"/>
      <c r="FB1182" s="17"/>
      <c r="FC1182" s="16"/>
      <c r="FD1182" s="16"/>
      <c r="FE1182" s="17"/>
      <c r="FF1182" s="17"/>
      <c r="FG1182" s="11"/>
      <c r="GT1182" s="11"/>
      <c r="IG1182" s="11"/>
      <c r="JT1182" s="11"/>
      <c r="LG1182" s="11"/>
      <c r="MT1182" s="11"/>
      <c r="OG1182" s="11"/>
      <c r="PT1182" s="11"/>
    </row>
    <row r="1183" spans="1:436" ht="15.75" x14ac:dyDescent="0.25">
      <c r="C1183" s="20" t="s">
        <v>871</v>
      </c>
      <c r="D1183" s="21" t="s">
        <v>84</v>
      </c>
      <c r="H1183" s="11"/>
      <c r="AU1183" s="11"/>
      <c r="CH1183" s="11"/>
      <c r="CI1183" s="16"/>
      <c r="CJ1183" s="16"/>
      <c r="CK1183" s="16"/>
      <c r="CL1183" s="16"/>
      <c r="CM1183" s="16"/>
      <c r="CN1183" s="16"/>
      <c r="CO1183" s="16"/>
      <c r="CP1183" s="16"/>
      <c r="CQ1183" s="16"/>
      <c r="CR1183" s="16"/>
      <c r="CS1183" s="16"/>
      <c r="CT1183" s="16"/>
      <c r="CU1183" s="16"/>
      <c r="CV1183" s="16"/>
      <c r="CW1183" s="16"/>
      <c r="CX1183" s="16"/>
      <c r="CY1183" s="16"/>
      <c r="CZ1183" s="16"/>
      <c r="DA1183" s="16"/>
      <c r="DB1183" s="16"/>
      <c r="DC1183" s="16"/>
      <c r="DD1183" s="16"/>
      <c r="DE1183" s="17"/>
      <c r="DF1183" s="17"/>
      <c r="DG1183" s="16"/>
      <c r="DH1183" s="16"/>
      <c r="DI1183" s="17"/>
      <c r="DJ1183" s="17"/>
      <c r="DK1183" s="16"/>
      <c r="DL1183" s="16"/>
      <c r="DM1183" s="17"/>
      <c r="DN1183" s="17"/>
      <c r="DO1183" s="16"/>
      <c r="DP1183" s="16"/>
      <c r="DQ1183" s="17"/>
      <c r="DR1183" s="17"/>
      <c r="DS1183" s="16"/>
      <c r="DT1183" s="16"/>
      <c r="DU1183" s="17"/>
      <c r="DV1183" s="17"/>
      <c r="DW1183" s="19">
        <v>8</v>
      </c>
      <c r="DX1183" s="19">
        <v>3</v>
      </c>
      <c r="DY1183" s="17"/>
      <c r="DZ1183" s="17"/>
      <c r="EA1183" s="16"/>
      <c r="EB1183" s="16"/>
      <c r="EC1183" s="17"/>
      <c r="ED1183" s="17"/>
      <c r="EE1183" s="16"/>
      <c r="EF1183" s="16"/>
      <c r="EG1183" s="17"/>
      <c r="EH1183" s="17"/>
      <c r="EI1183" s="16"/>
      <c r="EJ1183" s="16"/>
      <c r="EK1183" s="17"/>
      <c r="EL1183" s="17"/>
      <c r="EM1183" s="16"/>
      <c r="EN1183" s="16"/>
      <c r="EO1183" s="17"/>
      <c r="EP1183" s="17"/>
      <c r="EQ1183" s="16"/>
      <c r="ER1183" s="16"/>
      <c r="ES1183" s="17"/>
      <c r="ET1183" s="17"/>
      <c r="EU1183" s="16"/>
      <c r="EV1183" s="16"/>
      <c r="EW1183" s="17"/>
      <c r="EX1183" s="17"/>
      <c r="EY1183" s="16"/>
      <c r="EZ1183" s="16"/>
      <c r="FA1183" s="17"/>
      <c r="FB1183" s="17"/>
      <c r="FC1183" s="16"/>
      <c r="FD1183" s="16"/>
      <c r="FE1183" s="17"/>
      <c r="FF1183" s="17"/>
      <c r="FG1183" s="11"/>
      <c r="GT1183" s="11"/>
      <c r="IG1183" s="11"/>
      <c r="JT1183" s="11"/>
      <c r="LG1183" s="11"/>
      <c r="MT1183" s="11"/>
      <c r="OG1183" s="11"/>
      <c r="PT1183" s="11"/>
    </row>
    <row r="1184" spans="1:436" ht="15.75" x14ac:dyDescent="0.25">
      <c r="C1184" s="20" t="s">
        <v>872</v>
      </c>
      <c r="D1184" s="21" t="s">
        <v>84</v>
      </c>
      <c r="H1184" s="11"/>
      <c r="AU1184" s="11"/>
      <c r="CH1184" s="11"/>
      <c r="CI1184" s="16"/>
      <c r="CJ1184" s="16"/>
      <c r="CK1184" s="16"/>
      <c r="CL1184" s="16"/>
      <c r="CM1184" s="16"/>
      <c r="CN1184" s="16"/>
      <c r="CO1184" s="16"/>
      <c r="CP1184" s="16"/>
      <c r="CQ1184" s="16"/>
      <c r="CR1184" s="16"/>
      <c r="CS1184" s="16"/>
      <c r="CT1184" s="16"/>
      <c r="CU1184" s="16"/>
      <c r="CV1184" s="16"/>
      <c r="CW1184" s="16"/>
      <c r="CX1184" s="16"/>
      <c r="CY1184" s="16"/>
      <c r="CZ1184" s="16"/>
      <c r="DA1184" s="16"/>
      <c r="DB1184" s="16"/>
      <c r="DC1184" s="16"/>
      <c r="DD1184" s="16"/>
      <c r="DE1184" s="17"/>
      <c r="DF1184" s="17"/>
      <c r="DG1184" s="16"/>
      <c r="DH1184" s="16"/>
      <c r="DI1184" s="17"/>
      <c r="DJ1184" s="17"/>
      <c r="DK1184" s="16"/>
      <c r="DL1184" s="16"/>
      <c r="DM1184" s="17"/>
      <c r="DN1184" s="17"/>
      <c r="DO1184" s="16"/>
      <c r="DP1184" s="16"/>
      <c r="DQ1184" s="17"/>
      <c r="DR1184" s="17"/>
      <c r="DS1184" s="16"/>
      <c r="DT1184" s="16"/>
      <c r="DU1184" s="17"/>
      <c r="DV1184" s="17"/>
      <c r="DW1184" s="16"/>
      <c r="DX1184" s="19">
        <v>3</v>
      </c>
      <c r="DY1184" s="17"/>
      <c r="DZ1184" s="17"/>
      <c r="EA1184" s="16"/>
      <c r="EB1184" s="16"/>
      <c r="EC1184" s="17"/>
      <c r="ED1184" s="17"/>
      <c r="EE1184" s="16"/>
      <c r="EF1184" s="16"/>
      <c r="EG1184" s="17"/>
      <c r="EH1184" s="17"/>
      <c r="EI1184" s="16"/>
      <c r="EJ1184" s="16"/>
      <c r="EK1184" s="17"/>
      <c r="EL1184" s="17"/>
      <c r="EM1184" s="16"/>
      <c r="EN1184" s="16"/>
      <c r="EO1184" s="17"/>
      <c r="EP1184" s="17"/>
      <c r="EQ1184" s="16"/>
      <c r="ER1184" s="16"/>
      <c r="ES1184" s="17"/>
      <c r="ET1184" s="17"/>
      <c r="EU1184" s="16"/>
      <c r="EV1184" s="16"/>
      <c r="EW1184" s="17"/>
      <c r="EX1184" s="17"/>
      <c r="EY1184" s="16"/>
      <c r="EZ1184" s="16"/>
      <c r="FA1184" s="17"/>
      <c r="FB1184" s="17"/>
      <c r="FC1184" s="16"/>
      <c r="FD1184" s="16"/>
      <c r="FE1184" s="17"/>
      <c r="FF1184" s="17"/>
      <c r="FG1184" s="11"/>
      <c r="GT1184" s="11"/>
      <c r="IG1184" s="11"/>
      <c r="JT1184" s="11"/>
      <c r="LG1184" s="11"/>
      <c r="MT1184" s="11"/>
      <c r="OG1184" s="11"/>
      <c r="PT1184" s="11"/>
    </row>
    <row r="1185" spans="3:436" ht="15.75" x14ac:dyDescent="0.25">
      <c r="C1185" s="20" t="s">
        <v>873</v>
      </c>
      <c r="D1185" s="21" t="s">
        <v>84</v>
      </c>
      <c r="H1185" s="11"/>
      <c r="AU1185" s="11"/>
      <c r="CH1185" s="11"/>
      <c r="CI1185" s="16"/>
      <c r="CJ1185" s="16"/>
      <c r="CK1185" s="16"/>
      <c r="CL1185" s="16"/>
      <c r="CM1185" s="16"/>
      <c r="CN1185" s="16"/>
      <c r="CO1185" s="16"/>
      <c r="CP1185" s="16"/>
      <c r="CQ1185" s="16"/>
      <c r="CR1185" s="16"/>
      <c r="CS1185" s="16"/>
      <c r="CT1185" s="16"/>
      <c r="CU1185" s="16"/>
      <c r="CV1185" s="16"/>
      <c r="CW1185" s="16"/>
      <c r="CX1185" s="16"/>
      <c r="CY1185" s="16"/>
      <c r="CZ1185" s="16"/>
      <c r="DA1185" s="16"/>
      <c r="DB1185" s="16"/>
      <c r="DC1185" s="16"/>
      <c r="DD1185" s="16"/>
      <c r="DE1185" s="17"/>
      <c r="DF1185" s="17"/>
      <c r="DG1185" s="16"/>
      <c r="DH1185" s="16"/>
      <c r="DI1185" s="17"/>
      <c r="DJ1185" s="17"/>
      <c r="DK1185" s="16"/>
      <c r="DL1185" s="16"/>
      <c r="DM1185" s="17"/>
      <c r="DN1185" s="17"/>
      <c r="DO1185" s="16"/>
      <c r="DP1185" s="16"/>
      <c r="DQ1185" s="17"/>
      <c r="DR1185" s="17"/>
      <c r="DS1185" s="16"/>
      <c r="DT1185" s="16"/>
      <c r="DU1185" s="17"/>
      <c r="DV1185" s="17"/>
      <c r="DW1185" s="16"/>
      <c r="DX1185" s="19">
        <v>3</v>
      </c>
      <c r="DY1185" s="17"/>
      <c r="DZ1185" s="17"/>
      <c r="EA1185" s="16"/>
      <c r="EB1185" s="16"/>
      <c r="EC1185" s="17"/>
      <c r="ED1185" s="17"/>
      <c r="EE1185" s="16"/>
      <c r="EF1185" s="16"/>
      <c r="EG1185" s="17"/>
      <c r="EH1185" s="17"/>
      <c r="EI1185" s="16"/>
      <c r="EJ1185" s="16"/>
      <c r="EK1185" s="17"/>
      <c r="EL1185" s="17"/>
      <c r="EM1185" s="16"/>
      <c r="EN1185" s="16"/>
      <c r="EO1185" s="17"/>
      <c r="EP1185" s="17"/>
      <c r="EQ1185" s="16"/>
      <c r="ER1185" s="16"/>
      <c r="ES1185" s="17"/>
      <c r="ET1185" s="17"/>
      <c r="EU1185" s="16"/>
      <c r="EV1185" s="16"/>
      <c r="EW1185" s="17"/>
      <c r="EX1185" s="17"/>
      <c r="EY1185" s="16"/>
      <c r="EZ1185" s="16"/>
      <c r="FA1185" s="17"/>
      <c r="FB1185" s="17"/>
      <c r="FC1185" s="16"/>
      <c r="FD1185" s="16"/>
      <c r="FE1185" s="17"/>
      <c r="FF1185" s="17"/>
      <c r="FG1185" s="11"/>
      <c r="GT1185" s="11"/>
      <c r="IG1185" s="11"/>
      <c r="JT1185" s="11"/>
      <c r="LG1185" s="11"/>
      <c r="MT1185" s="11"/>
      <c r="OG1185" s="11"/>
      <c r="PT1185" s="11"/>
    </row>
    <row r="1186" spans="3:436" ht="15.75" x14ac:dyDescent="0.25">
      <c r="C1186" s="20" t="s">
        <v>874</v>
      </c>
      <c r="D1186" s="21" t="s">
        <v>93</v>
      </c>
      <c r="H1186" s="11"/>
      <c r="AU1186" s="11"/>
      <c r="CH1186" s="11"/>
      <c r="CI1186" s="16"/>
      <c r="CJ1186" s="16"/>
      <c r="CK1186" s="16"/>
      <c r="CL1186" s="16"/>
      <c r="CM1186" s="16"/>
      <c r="CN1186" s="16"/>
      <c r="CO1186" s="16"/>
      <c r="CP1186" s="16"/>
      <c r="CQ1186" s="16"/>
      <c r="CR1186" s="16"/>
      <c r="CS1186" s="16"/>
      <c r="CT1186" s="16"/>
      <c r="CU1186" s="16"/>
      <c r="CV1186" s="16"/>
      <c r="CW1186" s="16"/>
      <c r="CX1186" s="16"/>
      <c r="CY1186" s="16"/>
      <c r="CZ1186" s="16"/>
      <c r="DA1186" s="16"/>
      <c r="DB1186" s="16"/>
      <c r="DC1186" s="16"/>
      <c r="DD1186" s="16"/>
      <c r="DE1186" s="17"/>
      <c r="DF1186" s="17"/>
      <c r="DG1186" s="16"/>
      <c r="DH1186" s="16"/>
      <c r="DI1186" s="17"/>
      <c r="DJ1186" s="17"/>
      <c r="DK1186" s="16"/>
      <c r="DL1186" s="16"/>
      <c r="DM1186" s="17"/>
      <c r="DN1186" s="17"/>
      <c r="DO1186" s="16"/>
      <c r="DP1186" s="16"/>
      <c r="DQ1186" s="17"/>
      <c r="DR1186" s="17"/>
      <c r="DS1186" s="16"/>
      <c r="DT1186" s="16"/>
      <c r="DU1186" s="17"/>
      <c r="DV1186" s="17"/>
      <c r="DW1186" s="16"/>
      <c r="DX1186" s="16"/>
      <c r="DY1186" s="17"/>
      <c r="DZ1186" s="17"/>
      <c r="EA1186" s="16"/>
      <c r="EB1186" s="16"/>
      <c r="EC1186" s="17"/>
      <c r="ED1186" s="17"/>
      <c r="EE1186" s="16"/>
      <c r="EF1186" s="16"/>
      <c r="EG1186" s="17"/>
      <c r="EH1186" s="17"/>
      <c r="EI1186" s="16"/>
      <c r="EJ1186" s="16"/>
      <c r="EK1186" s="17"/>
      <c r="EL1186" s="17"/>
      <c r="EM1186" s="16"/>
      <c r="EN1186" s="16"/>
      <c r="EO1186" s="17"/>
      <c r="EP1186" s="17"/>
      <c r="EQ1186" s="16"/>
      <c r="ER1186" s="16"/>
      <c r="ES1186" s="17"/>
      <c r="ET1186" s="17"/>
      <c r="EU1186" s="16"/>
      <c r="EV1186" s="16"/>
      <c r="EW1186" s="17"/>
      <c r="EX1186" s="17"/>
      <c r="EY1186" s="16"/>
      <c r="EZ1186" s="16"/>
      <c r="FA1186" s="17"/>
      <c r="FB1186" s="17"/>
      <c r="FC1186" s="16"/>
      <c r="FD1186" s="16"/>
      <c r="FE1186" s="17"/>
      <c r="FF1186" s="17"/>
      <c r="FG1186" s="11"/>
      <c r="GT1186" s="11"/>
      <c r="IG1186" s="11"/>
      <c r="JT1186" s="11"/>
      <c r="LG1186" s="11"/>
      <c r="MT1186" s="11"/>
      <c r="OG1186" s="11"/>
      <c r="PT1186" s="11"/>
    </row>
    <row r="1187" spans="3:436" ht="15.75" x14ac:dyDescent="0.25">
      <c r="C1187" s="20" t="s">
        <v>875</v>
      </c>
      <c r="D1187" s="21" t="s">
        <v>104</v>
      </c>
      <c r="H1187" s="11"/>
      <c r="AU1187" s="11"/>
      <c r="CH1187" s="11"/>
      <c r="CI1187" s="16"/>
      <c r="CJ1187" s="16"/>
      <c r="CK1187" s="16"/>
      <c r="CL1187" s="16"/>
      <c r="CM1187" s="16"/>
      <c r="CN1187" s="16"/>
      <c r="CO1187" s="16"/>
      <c r="CP1187" s="16"/>
      <c r="CQ1187" s="16"/>
      <c r="CR1187" s="16"/>
      <c r="CS1187" s="16"/>
      <c r="CT1187" s="16"/>
      <c r="CU1187" s="16"/>
      <c r="CV1187" s="16"/>
      <c r="CW1187" s="16"/>
      <c r="CX1187" s="16"/>
      <c r="CY1187" s="16"/>
      <c r="CZ1187" s="16"/>
      <c r="DA1187" s="16"/>
      <c r="DB1187" s="16"/>
      <c r="DC1187" s="16"/>
      <c r="DD1187" s="16"/>
      <c r="DE1187" s="17"/>
      <c r="DF1187" s="17"/>
      <c r="DG1187" s="16"/>
      <c r="DH1187" s="16"/>
      <c r="DI1187" s="17"/>
      <c r="DJ1187" s="17"/>
      <c r="DK1187" s="16"/>
      <c r="DL1187" s="16"/>
      <c r="DM1187" s="17"/>
      <c r="DN1187" s="17"/>
      <c r="DO1187" s="16"/>
      <c r="DP1187" s="16"/>
      <c r="DQ1187" s="17"/>
      <c r="DR1187" s="17"/>
      <c r="DS1187" s="16"/>
      <c r="DT1187" s="16"/>
      <c r="DU1187" s="17"/>
      <c r="DV1187" s="17"/>
      <c r="DW1187" s="16"/>
      <c r="DX1187" s="16"/>
      <c r="DY1187" s="17"/>
      <c r="DZ1187" s="17"/>
      <c r="EA1187" s="16"/>
      <c r="EB1187" s="16"/>
      <c r="EC1187" s="17"/>
      <c r="ED1187" s="17"/>
      <c r="EE1187" s="16"/>
      <c r="EF1187" s="16"/>
      <c r="EG1187" s="17"/>
      <c r="EH1187" s="17"/>
      <c r="EI1187" s="16"/>
      <c r="EJ1187" s="16"/>
      <c r="EK1187" s="17"/>
      <c r="EL1187" s="17"/>
      <c r="EM1187" s="16"/>
      <c r="EN1187" s="16"/>
      <c r="EO1187" s="17"/>
      <c r="EP1187" s="17"/>
      <c r="EQ1187" s="16"/>
      <c r="ER1187" s="16"/>
      <c r="ES1187" s="17"/>
      <c r="ET1187" s="17"/>
      <c r="EU1187" s="16"/>
      <c r="EV1187" s="16"/>
      <c r="EW1187" s="17"/>
      <c r="EX1187" s="17"/>
      <c r="EY1187" s="16"/>
      <c r="EZ1187" s="16"/>
      <c r="FA1187" s="17"/>
      <c r="FB1187" s="17"/>
      <c r="FC1187" s="19">
        <v>7</v>
      </c>
      <c r="FD1187" s="19">
        <v>7</v>
      </c>
      <c r="FE1187" s="17"/>
      <c r="FF1187" s="17"/>
      <c r="FG1187" s="11"/>
      <c r="GT1187" s="11"/>
      <c r="IG1187" s="11"/>
      <c r="JT1187" s="11"/>
      <c r="LG1187" s="11"/>
      <c r="MT1187" s="11"/>
      <c r="OG1187" s="11"/>
      <c r="PT1187" s="11"/>
    </row>
    <row r="1188" spans="3:436" ht="15.75" x14ac:dyDescent="0.25">
      <c r="C1188" s="20" t="s">
        <v>876</v>
      </c>
      <c r="D1188" s="21" t="s">
        <v>90</v>
      </c>
      <c r="H1188" s="11"/>
      <c r="AU1188" s="11"/>
      <c r="CH1188" s="11"/>
      <c r="CI1188" s="16"/>
      <c r="CJ1188" s="16"/>
      <c r="CK1188" s="16"/>
      <c r="CL1188" s="16"/>
      <c r="CM1188" s="16"/>
      <c r="CN1188" s="16"/>
      <c r="CO1188" s="16"/>
      <c r="CP1188" s="16"/>
      <c r="CQ1188" s="16"/>
      <c r="CR1188" s="16"/>
      <c r="CS1188" s="16"/>
      <c r="CT1188" s="16"/>
      <c r="CU1188" s="16"/>
      <c r="CV1188" s="16"/>
      <c r="CW1188" s="16"/>
      <c r="CX1188" s="16"/>
      <c r="CY1188" s="16"/>
      <c r="CZ1188" s="16"/>
      <c r="DA1188" s="16"/>
      <c r="DB1188" s="16"/>
      <c r="DC1188" s="16"/>
      <c r="DD1188" s="16"/>
      <c r="DE1188" s="17"/>
      <c r="DF1188" s="17"/>
      <c r="DG1188" s="16"/>
      <c r="DH1188" s="16"/>
      <c r="DI1188" s="17"/>
      <c r="DJ1188" s="17"/>
      <c r="DK1188" s="16"/>
      <c r="DL1188" s="16"/>
      <c r="DM1188" s="17"/>
      <c r="DN1188" s="17"/>
      <c r="DO1188" s="16"/>
      <c r="DP1188" s="16"/>
      <c r="DQ1188" s="17"/>
      <c r="DR1188" s="17"/>
      <c r="DS1188" s="16"/>
      <c r="DT1188" s="16"/>
      <c r="DU1188" s="17"/>
      <c r="DV1188" s="17"/>
      <c r="DW1188" s="16"/>
      <c r="DX1188" s="16"/>
      <c r="DY1188" s="17"/>
      <c r="DZ1188" s="17"/>
      <c r="EA1188" s="16"/>
      <c r="EB1188" s="16"/>
      <c r="EC1188" s="17"/>
      <c r="ED1188" s="17"/>
      <c r="EE1188" s="16"/>
      <c r="EF1188" s="16"/>
      <c r="EG1188" s="17"/>
      <c r="EH1188" s="17"/>
      <c r="EI1188" s="16"/>
      <c r="EJ1188" s="16"/>
      <c r="EK1188" s="17"/>
      <c r="EL1188" s="17"/>
      <c r="EM1188" s="16"/>
      <c r="EN1188" s="16"/>
      <c r="EO1188" s="17"/>
      <c r="EP1188" s="17"/>
      <c r="EQ1188" s="16"/>
      <c r="ER1188" s="16"/>
      <c r="ES1188" s="17"/>
      <c r="ET1188" s="17"/>
      <c r="EU1188" s="16"/>
      <c r="EV1188" s="16"/>
      <c r="EW1188" s="17"/>
      <c r="EX1188" s="17"/>
      <c r="EY1188" s="16"/>
      <c r="EZ1188" s="16"/>
      <c r="FA1188" s="17"/>
      <c r="FB1188" s="17"/>
      <c r="FC1188" s="16"/>
      <c r="FD1188" s="16"/>
      <c r="FE1188" s="17"/>
      <c r="FF1188" s="17"/>
      <c r="FG1188" s="11"/>
      <c r="GT1188" s="11"/>
      <c r="IG1188" s="11"/>
      <c r="JT1188" s="11"/>
      <c r="LG1188" s="11"/>
      <c r="MT1188" s="11"/>
      <c r="OG1188" s="11"/>
      <c r="PT1188" s="11"/>
    </row>
    <row r="1189" spans="3:436" ht="15.75" x14ac:dyDescent="0.25">
      <c r="C1189" s="20" t="s">
        <v>877</v>
      </c>
      <c r="D1189" s="21" t="s">
        <v>79</v>
      </c>
      <c r="H1189" s="11"/>
      <c r="AU1189" s="11"/>
      <c r="CH1189" s="11"/>
      <c r="CI1189" s="16"/>
      <c r="CJ1189" s="16"/>
      <c r="CK1189" s="16"/>
      <c r="CL1189" s="16"/>
      <c r="CM1189" s="16"/>
      <c r="CN1189" s="16"/>
      <c r="CO1189" s="16"/>
      <c r="CP1189" s="16"/>
      <c r="CQ1189" s="16"/>
      <c r="CR1189" s="16"/>
      <c r="CS1189" s="16"/>
      <c r="CT1189" s="16"/>
      <c r="CU1189" s="16"/>
      <c r="CV1189" s="16"/>
      <c r="CW1189" s="16"/>
      <c r="CX1189" s="16"/>
      <c r="CY1189" s="16"/>
      <c r="CZ1189" s="16"/>
      <c r="DA1189" s="16"/>
      <c r="DB1189" s="16"/>
      <c r="DC1189" s="16"/>
      <c r="DD1189" s="16"/>
      <c r="DE1189" s="17"/>
      <c r="DF1189" s="17"/>
      <c r="DG1189" s="16"/>
      <c r="DH1189" s="16"/>
      <c r="DI1189" s="17"/>
      <c r="DJ1189" s="17"/>
      <c r="DK1189" s="16"/>
      <c r="DL1189" s="16"/>
      <c r="DM1189" s="17"/>
      <c r="DN1189" s="17"/>
      <c r="DO1189" s="16"/>
      <c r="DP1189" s="16"/>
      <c r="DQ1189" s="17"/>
      <c r="DR1189" s="17"/>
      <c r="DS1189" s="16"/>
      <c r="DT1189" s="16"/>
      <c r="DU1189" s="17"/>
      <c r="DV1189" s="17"/>
      <c r="DW1189" s="16"/>
      <c r="DX1189" s="16"/>
      <c r="DY1189" s="17"/>
      <c r="DZ1189" s="17"/>
      <c r="EA1189" s="16"/>
      <c r="EB1189" s="16"/>
      <c r="EC1189" s="17"/>
      <c r="ED1189" s="17"/>
      <c r="EE1189" s="16"/>
      <c r="EF1189" s="16"/>
      <c r="EG1189" s="17"/>
      <c r="EH1189" s="17"/>
      <c r="EI1189" s="16"/>
      <c r="EJ1189" s="16"/>
      <c r="EK1189" s="17"/>
      <c r="EL1189" s="17"/>
      <c r="EM1189" s="16"/>
      <c r="EN1189" s="16"/>
      <c r="EO1189" s="17"/>
      <c r="EP1189" s="17"/>
      <c r="EQ1189" s="16"/>
      <c r="ER1189" s="16"/>
      <c r="ES1189" s="17"/>
      <c r="ET1189" s="17"/>
      <c r="EU1189" s="16"/>
      <c r="EV1189" s="16"/>
      <c r="EW1189" s="17"/>
      <c r="EX1189" s="17"/>
      <c r="EY1189" s="16"/>
      <c r="EZ1189" s="16"/>
      <c r="FA1189" s="17"/>
      <c r="FB1189" s="17"/>
      <c r="FC1189" s="16"/>
      <c r="FD1189" s="16"/>
      <c r="FE1189" s="17"/>
      <c r="FF1189" s="17"/>
      <c r="FG1189" s="11"/>
      <c r="GT1189" s="11"/>
      <c r="IG1189" s="11"/>
      <c r="JT1189" s="11"/>
      <c r="LG1189" s="11"/>
      <c r="MT1189" s="11"/>
      <c r="OG1189" s="11"/>
      <c r="PT1189" s="11"/>
    </row>
    <row r="1190" spans="3:436" ht="15.75" x14ac:dyDescent="0.25">
      <c r="C1190" s="20" t="s">
        <v>878</v>
      </c>
      <c r="D1190" s="21" t="s">
        <v>82</v>
      </c>
      <c r="H1190" s="11"/>
      <c r="AU1190" s="11"/>
      <c r="CH1190" s="11"/>
      <c r="CI1190" s="16"/>
      <c r="CJ1190" s="16"/>
      <c r="CK1190" s="16"/>
      <c r="CL1190" s="16"/>
      <c r="CM1190" s="16"/>
      <c r="CN1190" s="16"/>
      <c r="CO1190" s="16"/>
      <c r="CP1190" s="16"/>
      <c r="CQ1190" s="16"/>
      <c r="CR1190" s="16"/>
      <c r="CS1190" s="16"/>
      <c r="CT1190" s="16"/>
      <c r="CU1190" s="16"/>
      <c r="CV1190" s="16"/>
      <c r="CW1190" s="16"/>
      <c r="CX1190" s="16"/>
      <c r="CY1190" s="16"/>
      <c r="CZ1190" s="16"/>
      <c r="DA1190" s="16"/>
      <c r="DB1190" s="16"/>
      <c r="DC1190" s="16"/>
      <c r="DD1190" s="16"/>
      <c r="DE1190" s="17"/>
      <c r="DF1190" s="17"/>
      <c r="DG1190" s="16"/>
      <c r="DH1190" s="16"/>
      <c r="DI1190" s="17"/>
      <c r="DJ1190" s="17"/>
      <c r="DK1190" s="16"/>
      <c r="DL1190" s="16"/>
      <c r="DM1190" s="17"/>
      <c r="DN1190" s="17"/>
      <c r="DO1190" s="16"/>
      <c r="DP1190" s="16"/>
      <c r="DQ1190" s="17"/>
      <c r="DR1190" s="17"/>
      <c r="DS1190" s="16"/>
      <c r="DT1190" s="16"/>
      <c r="DU1190" s="17"/>
      <c r="DV1190" s="17"/>
      <c r="DW1190" s="16"/>
      <c r="DX1190" s="16"/>
      <c r="DY1190" s="17"/>
      <c r="DZ1190" s="17"/>
      <c r="EA1190" s="16"/>
      <c r="EB1190" s="16"/>
      <c r="EC1190" s="17"/>
      <c r="ED1190" s="17"/>
      <c r="EE1190" s="16"/>
      <c r="EF1190" s="16"/>
      <c r="EG1190" s="17"/>
      <c r="EH1190" s="17"/>
      <c r="EI1190" s="16"/>
      <c r="EJ1190" s="16"/>
      <c r="EK1190" s="17"/>
      <c r="EL1190" s="17"/>
      <c r="EM1190" s="16"/>
      <c r="EN1190" s="16"/>
      <c r="EO1190" s="17"/>
      <c r="EP1190" s="17"/>
      <c r="EQ1190" s="16"/>
      <c r="ER1190" s="16"/>
      <c r="ES1190" s="18">
        <v>1</v>
      </c>
      <c r="ET1190" s="18">
        <v>2</v>
      </c>
      <c r="EU1190" s="16"/>
      <c r="EV1190" s="16"/>
      <c r="EW1190" s="17"/>
      <c r="EX1190" s="17"/>
      <c r="EY1190" s="16"/>
      <c r="EZ1190" s="16"/>
      <c r="FA1190" s="17"/>
      <c r="FB1190" s="17"/>
      <c r="FC1190" s="16"/>
      <c r="FD1190" s="16"/>
      <c r="FE1190" s="17"/>
      <c r="FF1190" s="17"/>
      <c r="FG1190" s="11"/>
      <c r="GT1190" s="11"/>
      <c r="IG1190" s="11"/>
      <c r="JT1190" s="11"/>
      <c r="LG1190" s="11"/>
      <c r="MT1190" s="11"/>
      <c r="OG1190" s="11"/>
      <c r="PT1190" s="11"/>
    </row>
    <row r="1191" spans="3:436" ht="25.5" x14ac:dyDescent="0.25">
      <c r="C1191" s="20" t="s">
        <v>879</v>
      </c>
      <c r="D1191" s="21" t="s">
        <v>93</v>
      </c>
      <c r="H1191" s="11"/>
      <c r="AU1191" s="11"/>
      <c r="CH1191" s="11"/>
      <c r="CI1191" s="16"/>
      <c r="CJ1191" s="16"/>
      <c r="CK1191" s="16"/>
      <c r="CL1191" s="16"/>
      <c r="CM1191" s="16"/>
      <c r="CN1191" s="16"/>
      <c r="CO1191" s="16"/>
      <c r="CP1191" s="16"/>
      <c r="CQ1191" s="16"/>
      <c r="CR1191" s="16"/>
      <c r="CS1191" s="16"/>
      <c r="CT1191" s="16"/>
      <c r="CU1191" s="16"/>
      <c r="CV1191" s="16"/>
      <c r="CW1191" s="16"/>
      <c r="CX1191" s="16"/>
      <c r="CY1191" s="16"/>
      <c r="CZ1191" s="16"/>
      <c r="DA1191" s="16"/>
      <c r="DB1191" s="16"/>
      <c r="DC1191" s="16"/>
      <c r="DD1191" s="16"/>
      <c r="DE1191" s="17"/>
      <c r="DF1191" s="17"/>
      <c r="DG1191" s="16"/>
      <c r="DH1191" s="16"/>
      <c r="DI1191" s="17"/>
      <c r="DJ1191" s="17"/>
      <c r="DK1191" s="16"/>
      <c r="DL1191" s="16"/>
      <c r="DM1191" s="17"/>
      <c r="DN1191" s="17"/>
      <c r="DO1191" s="16"/>
      <c r="DP1191" s="16"/>
      <c r="DQ1191" s="17"/>
      <c r="DR1191" s="17"/>
      <c r="DS1191" s="16"/>
      <c r="DT1191" s="16"/>
      <c r="DU1191" s="17"/>
      <c r="DV1191" s="17"/>
      <c r="DW1191" s="16"/>
      <c r="DX1191" s="16"/>
      <c r="DY1191" s="17"/>
      <c r="DZ1191" s="17"/>
      <c r="EA1191" s="16"/>
      <c r="EB1191" s="16"/>
      <c r="EC1191" s="17"/>
      <c r="ED1191" s="17"/>
      <c r="EE1191" s="16"/>
      <c r="EF1191" s="16"/>
      <c r="EG1191" s="17"/>
      <c r="EH1191" s="17"/>
      <c r="EI1191" s="16"/>
      <c r="EJ1191" s="16"/>
      <c r="EK1191" s="17"/>
      <c r="EL1191" s="17"/>
      <c r="EM1191" s="16"/>
      <c r="EN1191" s="16"/>
      <c r="EO1191" s="17"/>
      <c r="EP1191" s="17"/>
      <c r="EQ1191" s="16"/>
      <c r="ER1191" s="16"/>
      <c r="ES1191" s="17"/>
      <c r="ET1191" s="17"/>
      <c r="EU1191" s="16"/>
      <c r="EV1191" s="16"/>
      <c r="EW1191" s="18">
        <v>1</v>
      </c>
      <c r="EX1191" s="18">
        <v>2</v>
      </c>
      <c r="EY1191" s="16"/>
      <c r="EZ1191" s="16"/>
      <c r="FA1191" s="17"/>
      <c r="FB1191" s="17"/>
      <c r="FC1191" s="16"/>
      <c r="FD1191" s="16"/>
      <c r="FE1191" s="17"/>
      <c r="FF1191" s="17"/>
      <c r="FG1191" s="11"/>
      <c r="GT1191" s="11"/>
      <c r="IG1191" s="11"/>
      <c r="JT1191" s="11"/>
      <c r="LG1191" s="11"/>
      <c r="MT1191" s="11"/>
      <c r="OG1191" s="11"/>
      <c r="PT1191" s="11"/>
    </row>
    <row r="1192" spans="3:436" ht="15.75" x14ac:dyDescent="0.25">
      <c r="C1192" s="20" t="s">
        <v>880</v>
      </c>
      <c r="D1192" s="21" t="s">
        <v>82</v>
      </c>
      <c r="H1192" s="11"/>
      <c r="AU1192" s="11"/>
      <c r="CH1192" s="11"/>
      <c r="CI1192" s="16"/>
      <c r="CJ1192" s="16"/>
      <c r="CK1192" s="16"/>
      <c r="CL1192" s="16"/>
      <c r="CM1192" s="16"/>
      <c r="CN1192" s="16"/>
      <c r="CO1192" s="16"/>
      <c r="CP1192" s="16"/>
      <c r="CQ1192" s="16"/>
      <c r="CR1192" s="16"/>
      <c r="CS1192" s="16"/>
      <c r="CT1192" s="16"/>
      <c r="CU1192" s="16"/>
      <c r="CV1192" s="16"/>
      <c r="CW1192" s="16"/>
      <c r="CX1192" s="16"/>
      <c r="CY1192" s="16"/>
      <c r="CZ1192" s="16"/>
      <c r="DA1192" s="16"/>
      <c r="DB1192" s="16"/>
      <c r="DC1192" s="16"/>
      <c r="DD1192" s="16"/>
      <c r="DE1192" s="17"/>
      <c r="DF1192" s="17"/>
      <c r="DG1192" s="16"/>
      <c r="DH1192" s="16"/>
      <c r="DI1192" s="17"/>
      <c r="DJ1192" s="17"/>
      <c r="DK1192" s="16"/>
      <c r="DL1192" s="16"/>
      <c r="DM1192" s="17"/>
      <c r="DN1192" s="17"/>
      <c r="DO1192" s="16"/>
      <c r="DP1192" s="16"/>
      <c r="DQ1192" s="17"/>
      <c r="DR1192" s="17"/>
      <c r="DS1192" s="16"/>
      <c r="DT1192" s="16"/>
      <c r="DU1192" s="17"/>
      <c r="DV1192" s="17"/>
      <c r="DW1192" s="16"/>
      <c r="DX1192" s="16"/>
      <c r="DY1192" s="17"/>
      <c r="DZ1192" s="17"/>
      <c r="EA1192" s="16"/>
      <c r="EB1192" s="16"/>
      <c r="EC1192" s="17"/>
      <c r="ED1192" s="17"/>
      <c r="EE1192" s="16"/>
      <c r="EF1192" s="16"/>
      <c r="EG1192" s="17"/>
      <c r="EH1192" s="17"/>
      <c r="EI1192" s="16"/>
      <c r="EJ1192" s="16"/>
      <c r="EK1192" s="17"/>
      <c r="EL1192" s="17"/>
      <c r="EM1192" s="16"/>
      <c r="EN1192" s="16"/>
      <c r="EO1192" s="17"/>
      <c r="EP1192" s="17"/>
      <c r="EQ1192" s="16"/>
      <c r="ER1192" s="16"/>
      <c r="ES1192" s="18">
        <v>1</v>
      </c>
      <c r="ET1192" s="18">
        <v>2</v>
      </c>
      <c r="EU1192" s="16"/>
      <c r="EV1192" s="16"/>
      <c r="EW1192" s="17"/>
      <c r="EX1192" s="17"/>
      <c r="EY1192" s="16"/>
      <c r="EZ1192" s="16"/>
      <c r="FA1192" s="17"/>
      <c r="FB1192" s="17"/>
      <c r="FC1192" s="16"/>
      <c r="FD1192" s="16"/>
      <c r="FE1192" s="17"/>
      <c r="FF1192" s="17"/>
      <c r="FG1192" s="11"/>
      <c r="GT1192" s="11"/>
      <c r="IG1192" s="11"/>
      <c r="JT1192" s="11"/>
      <c r="LG1192" s="11"/>
      <c r="MT1192" s="11"/>
      <c r="OG1192" s="11"/>
      <c r="PT1192" s="11"/>
    </row>
    <row r="1193" spans="3:436" ht="25.5" x14ac:dyDescent="0.25">
      <c r="C1193" s="20" t="s">
        <v>881</v>
      </c>
      <c r="D1193" s="21" t="s">
        <v>93</v>
      </c>
      <c r="H1193" s="11"/>
      <c r="AU1193" s="11"/>
      <c r="CH1193" s="11"/>
      <c r="CI1193" s="16"/>
      <c r="CJ1193" s="16"/>
      <c r="CK1193" s="16"/>
      <c r="CL1193" s="16"/>
      <c r="CM1193" s="16"/>
      <c r="CN1193" s="16"/>
      <c r="CO1193" s="16"/>
      <c r="CP1193" s="16"/>
      <c r="CQ1193" s="16"/>
      <c r="CR1193" s="16"/>
      <c r="CS1193" s="16"/>
      <c r="CT1193" s="16"/>
      <c r="CU1193" s="16"/>
      <c r="CV1193" s="16"/>
      <c r="CW1193" s="16"/>
      <c r="CX1193" s="16"/>
      <c r="CY1193" s="16"/>
      <c r="CZ1193" s="16"/>
      <c r="DA1193" s="16"/>
      <c r="DB1193" s="16"/>
      <c r="DC1193" s="16"/>
      <c r="DD1193" s="16"/>
      <c r="DE1193" s="17"/>
      <c r="DF1193" s="17"/>
      <c r="DG1193" s="16"/>
      <c r="DH1193" s="16"/>
      <c r="DI1193" s="17"/>
      <c r="DJ1193" s="17"/>
      <c r="DK1193" s="16"/>
      <c r="DL1193" s="16"/>
      <c r="DM1193" s="17"/>
      <c r="DN1193" s="17"/>
      <c r="DO1193" s="16"/>
      <c r="DP1193" s="16"/>
      <c r="DQ1193" s="17"/>
      <c r="DR1193" s="17"/>
      <c r="DS1193" s="16"/>
      <c r="DT1193" s="16"/>
      <c r="DU1193" s="17"/>
      <c r="DV1193" s="17"/>
      <c r="DW1193" s="16"/>
      <c r="DX1193" s="16"/>
      <c r="DY1193" s="17"/>
      <c r="DZ1193" s="17"/>
      <c r="EA1193" s="16"/>
      <c r="EB1193" s="16"/>
      <c r="EC1193" s="17"/>
      <c r="ED1193" s="17"/>
      <c r="EE1193" s="16"/>
      <c r="EF1193" s="16"/>
      <c r="EG1193" s="17"/>
      <c r="EH1193" s="17"/>
      <c r="EI1193" s="16"/>
      <c r="EJ1193" s="16"/>
      <c r="EK1193" s="17"/>
      <c r="EL1193" s="17"/>
      <c r="EM1193" s="16"/>
      <c r="EN1193" s="16"/>
      <c r="EO1193" s="17"/>
      <c r="EP1193" s="17"/>
      <c r="EQ1193" s="16"/>
      <c r="ER1193" s="16"/>
      <c r="ES1193" s="17"/>
      <c r="ET1193" s="17"/>
      <c r="EU1193" s="16"/>
      <c r="EV1193" s="16"/>
      <c r="EW1193" s="18">
        <v>1</v>
      </c>
      <c r="EX1193" s="18">
        <v>2</v>
      </c>
      <c r="EY1193" s="16"/>
      <c r="EZ1193" s="16"/>
      <c r="FA1193" s="17"/>
      <c r="FB1193" s="17"/>
      <c r="FC1193" s="16"/>
      <c r="FD1193" s="16"/>
      <c r="FE1193" s="17"/>
      <c r="FF1193" s="17"/>
      <c r="FG1193" s="11"/>
      <c r="GT1193" s="11"/>
      <c r="IG1193" s="11"/>
      <c r="JT1193" s="11"/>
      <c r="LG1193" s="11"/>
      <c r="MT1193" s="11"/>
      <c r="OG1193" s="11"/>
      <c r="PT1193" s="11"/>
    </row>
    <row r="1194" spans="3:436" ht="25.5" x14ac:dyDescent="0.25">
      <c r="C1194" s="20" t="s">
        <v>882</v>
      </c>
      <c r="D1194" s="21" t="s">
        <v>93</v>
      </c>
      <c r="H1194" s="11"/>
      <c r="AU1194" s="11"/>
      <c r="CH1194" s="11"/>
      <c r="CI1194" s="16"/>
      <c r="CJ1194" s="16"/>
      <c r="CK1194" s="16"/>
      <c r="CL1194" s="16"/>
      <c r="CM1194" s="16"/>
      <c r="CN1194" s="16"/>
      <c r="CO1194" s="16"/>
      <c r="CP1194" s="16"/>
      <c r="CQ1194" s="16"/>
      <c r="CR1194" s="16"/>
      <c r="CS1194" s="16"/>
      <c r="CT1194" s="16"/>
      <c r="CU1194" s="16"/>
      <c r="CV1194" s="16"/>
      <c r="CW1194" s="16"/>
      <c r="CX1194" s="16"/>
      <c r="CY1194" s="16"/>
      <c r="CZ1194" s="16"/>
      <c r="DA1194" s="16"/>
      <c r="DB1194" s="16"/>
      <c r="DC1194" s="16"/>
      <c r="DD1194" s="16"/>
      <c r="DE1194" s="17"/>
      <c r="DF1194" s="17"/>
      <c r="DG1194" s="16"/>
      <c r="DH1194" s="16"/>
      <c r="DI1194" s="17"/>
      <c r="DJ1194" s="17"/>
      <c r="DK1194" s="16"/>
      <c r="DL1194" s="16"/>
      <c r="DM1194" s="17"/>
      <c r="DN1194" s="17"/>
      <c r="DO1194" s="16"/>
      <c r="DP1194" s="16"/>
      <c r="DQ1194" s="17"/>
      <c r="DR1194" s="17"/>
      <c r="DS1194" s="16"/>
      <c r="DT1194" s="16"/>
      <c r="DU1194" s="17"/>
      <c r="DV1194" s="17"/>
      <c r="DW1194" s="16"/>
      <c r="DX1194" s="16"/>
      <c r="DY1194" s="17"/>
      <c r="DZ1194" s="17"/>
      <c r="EA1194" s="16"/>
      <c r="EB1194" s="16"/>
      <c r="EC1194" s="17"/>
      <c r="ED1194" s="17"/>
      <c r="EE1194" s="16"/>
      <c r="EF1194" s="16"/>
      <c r="EG1194" s="17"/>
      <c r="EH1194" s="17"/>
      <c r="EI1194" s="16"/>
      <c r="EJ1194" s="16"/>
      <c r="EK1194" s="17"/>
      <c r="EL1194" s="17"/>
      <c r="EM1194" s="16"/>
      <c r="EN1194" s="16"/>
      <c r="EO1194" s="17"/>
      <c r="EP1194" s="17"/>
      <c r="EQ1194" s="16"/>
      <c r="ER1194" s="16"/>
      <c r="ES1194" s="17"/>
      <c r="ET1194" s="17"/>
      <c r="EU1194" s="16"/>
      <c r="EV1194" s="16"/>
      <c r="EW1194" s="18">
        <v>1</v>
      </c>
      <c r="EX1194" s="18">
        <v>2</v>
      </c>
      <c r="EY1194" s="16"/>
      <c r="EZ1194" s="16"/>
      <c r="FA1194" s="17"/>
      <c r="FB1194" s="17"/>
      <c r="FC1194" s="16"/>
      <c r="FD1194" s="16"/>
      <c r="FE1194" s="17"/>
      <c r="FF1194" s="17"/>
      <c r="FG1194" s="11"/>
      <c r="GT1194" s="11"/>
      <c r="IG1194" s="11"/>
      <c r="JT1194" s="11"/>
      <c r="LG1194" s="11"/>
      <c r="MT1194" s="11"/>
      <c r="OG1194" s="11"/>
      <c r="PT1194" s="11"/>
    </row>
    <row r="1195" spans="3:436" ht="15.75" x14ac:dyDescent="0.25">
      <c r="C1195" s="20" t="s">
        <v>883</v>
      </c>
      <c r="D1195" s="21" t="s">
        <v>82</v>
      </c>
      <c r="H1195" s="11"/>
      <c r="AU1195" s="11"/>
      <c r="CH1195" s="11"/>
      <c r="CI1195" s="16"/>
      <c r="CJ1195" s="16"/>
      <c r="CK1195" s="16"/>
      <c r="CL1195" s="16"/>
      <c r="CM1195" s="16"/>
      <c r="CN1195" s="16"/>
      <c r="CO1195" s="16"/>
      <c r="CP1195" s="16"/>
      <c r="CQ1195" s="16"/>
      <c r="CR1195" s="16"/>
      <c r="CS1195" s="16"/>
      <c r="CT1195" s="16"/>
      <c r="CU1195" s="16"/>
      <c r="CV1195" s="16"/>
      <c r="CW1195" s="16"/>
      <c r="CX1195" s="16"/>
      <c r="CY1195" s="16"/>
      <c r="CZ1195" s="16"/>
      <c r="DA1195" s="16"/>
      <c r="DB1195" s="16"/>
      <c r="DC1195" s="16"/>
      <c r="DD1195" s="16"/>
      <c r="DE1195" s="17"/>
      <c r="DF1195" s="17"/>
      <c r="DG1195" s="16"/>
      <c r="DH1195" s="16"/>
      <c r="DI1195" s="17"/>
      <c r="DJ1195" s="17"/>
      <c r="DK1195" s="16"/>
      <c r="DL1195" s="16"/>
      <c r="DM1195" s="17"/>
      <c r="DN1195" s="17"/>
      <c r="DO1195" s="16"/>
      <c r="DP1195" s="16"/>
      <c r="DQ1195" s="17"/>
      <c r="DR1195" s="17"/>
      <c r="DS1195" s="16"/>
      <c r="DT1195" s="16"/>
      <c r="DU1195" s="17"/>
      <c r="DV1195" s="17"/>
      <c r="DW1195" s="16"/>
      <c r="DX1195" s="16"/>
      <c r="DY1195" s="17"/>
      <c r="DZ1195" s="17"/>
      <c r="EA1195" s="16"/>
      <c r="EB1195" s="16"/>
      <c r="EC1195" s="17"/>
      <c r="ED1195" s="17"/>
      <c r="EE1195" s="16"/>
      <c r="EF1195" s="16"/>
      <c r="EG1195" s="17"/>
      <c r="EH1195" s="17"/>
      <c r="EI1195" s="16"/>
      <c r="EJ1195" s="16"/>
      <c r="EK1195" s="17"/>
      <c r="EL1195" s="17"/>
      <c r="EM1195" s="16"/>
      <c r="EN1195" s="16"/>
      <c r="EO1195" s="17"/>
      <c r="EP1195" s="17"/>
      <c r="EQ1195" s="16"/>
      <c r="ER1195" s="16"/>
      <c r="ES1195" s="18">
        <v>2</v>
      </c>
      <c r="ET1195" s="18">
        <v>3</v>
      </c>
      <c r="EU1195" s="16"/>
      <c r="EV1195" s="16"/>
      <c r="EW1195" s="17"/>
      <c r="EX1195" s="17"/>
      <c r="EY1195" s="16"/>
      <c r="EZ1195" s="16"/>
      <c r="FA1195" s="17"/>
      <c r="FB1195" s="17"/>
      <c r="FC1195" s="16"/>
      <c r="FD1195" s="16"/>
      <c r="FE1195" s="17"/>
      <c r="FF1195" s="17"/>
      <c r="FG1195" s="11"/>
      <c r="GT1195" s="11"/>
      <c r="IG1195" s="11"/>
      <c r="JT1195" s="11"/>
      <c r="LG1195" s="11"/>
      <c r="MT1195" s="11"/>
      <c r="OG1195" s="11"/>
      <c r="PT1195" s="11"/>
    </row>
    <row r="1196" spans="3:436" ht="15.75" x14ac:dyDescent="0.25">
      <c r="C1196" s="20" t="s">
        <v>884</v>
      </c>
      <c r="D1196" s="21" t="s">
        <v>93</v>
      </c>
      <c r="H1196" s="11"/>
      <c r="AU1196" s="11"/>
      <c r="CH1196" s="11"/>
      <c r="CI1196" s="16"/>
      <c r="CJ1196" s="16"/>
      <c r="CK1196" s="16"/>
      <c r="CL1196" s="16"/>
      <c r="CM1196" s="16"/>
      <c r="CN1196" s="16"/>
      <c r="CO1196" s="16"/>
      <c r="CP1196" s="16"/>
      <c r="CQ1196" s="16"/>
      <c r="CR1196" s="16"/>
      <c r="CS1196" s="16"/>
      <c r="CT1196" s="16"/>
      <c r="CU1196" s="16"/>
      <c r="CV1196" s="16"/>
      <c r="CW1196" s="16"/>
      <c r="CX1196" s="16"/>
      <c r="CY1196" s="16"/>
      <c r="CZ1196" s="16"/>
      <c r="DA1196" s="16"/>
      <c r="DB1196" s="16"/>
      <c r="DC1196" s="16"/>
      <c r="DD1196" s="16"/>
      <c r="DE1196" s="17"/>
      <c r="DF1196" s="17"/>
      <c r="DG1196" s="16"/>
      <c r="DH1196" s="16"/>
      <c r="DI1196" s="17"/>
      <c r="DJ1196" s="17"/>
      <c r="DK1196" s="16"/>
      <c r="DL1196" s="16"/>
      <c r="DM1196" s="17"/>
      <c r="DN1196" s="17"/>
      <c r="DO1196" s="16"/>
      <c r="DP1196" s="16"/>
      <c r="DQ1196" s="17"/>
      <c r="DR1196" s="17"/>
      <c r="DS1196" s="16"/>
      <c r="DT1196" s="16"/>
      <c r="DU1196" s="17"/>
      <c r="DV1196" s="17"/>
      <c r="DW1196" s="16"/>
      <c r="DX1196" s="16"/>
      <c r="DY1196" s="17"/>
      <c r="DZ1196" s="17"/>
      <c r="EA1196" s="16"/>
      <c r="EB1196" s="16"/>
      <c r="EC1196" s="17"/>
      <c r="ED1196" s="17"/>
      <c r="EE1196" s="16"/>
      <c r="EF1196" s="16"/>
      <c r="EG1196" s="17"/>
      <c r="EH1196" s="17"/>
      <c r="EI1196" s="16"/>
      <c r="EJ1196" s="16"/>
      <c r="EK1196" s="17"/>
      <c r="EL1196" s="17"/>
      <c r="EM1196" s="16"/>
      <c r="EN1196" s="16"/>
      <c r="EO1196" s="17"/>
      <c r="EP1196" s="17"/>
      <c r="EQ1196" s="16"/>
      <c r="ER1196" s="16"/>
      <c r="ES1196" s="17"/>
      <c r="ET1196" s="17"/>
      <c r="EU1196" s="16"/>
      <c r="EV1196" s="16"/>
      <c r="EW1196" s="18">
        <v>2</v>
      </c>
      <c r="EX1196" s="18">
        <v>3</v>
      </c>
      <c r="EY1196" s="16"/>
      <c r="EZ1196" s="16"/>
      <c r="FA1196" s="17"/>
      <c r="FB1196" s="17"/>
      <c r="FC1196" s="16"/>
      <c r="FD1196" s="16"/>
      <c r="FE1196" s="17"/>
      <c r="FF1196" s="17"/>
      <c r="FG1196" s="11"/>
      <c r="GT1196" s="11"/>
      <c r="IG1196" s="11"/>
      <c r="JT1196" s="11"/>
      <c r="LG1196" s="11"/>
      <c r="MT1196" s="11"/>
      <c r="OG1196" s="11"/>
      <c r="PT1196" s="11"/>
    </row>
    <row r="1197" spans="3:436" ht="25.5" x14ac:dyDescent="0.25">
      <c r="C1197" s="20" t="s">
        <v>885</v>
      </c>
      <c r="D1197" s="21" t="s">
        <v>82</v>
      </c>
      <c r="H1197" s="11"/>
      <c r="AU1197" s="11"/>
      <c r="CH1197" s="11"/>
      <c r="CI1197" s="16"/>
      <c r="CJ1197" s="16"/>
      <c r="CK1197" s="16"/>
      <c r="CL1197" s="16"/>
      <c r="CM1197" s="16"/>
      <c r="CN1197" s="16"/>
      <c r="CO1197" s="16"/>
      <c r="CP1197" s="16"/>
      <c r="CQ1197" s="16"/>
      <c r="CR1197" s="16"/>
      <c r="CS1197" s="16"/>
      <c r="CT1197" s="16"/>
      <c r="CU1197" s="16"/>
      <c r="CV1197" s="16"/>
      <c r="CW1197" s="16"/>
      <c r="CX1197" s="16"/>
      <c r="CY1197" s="16"/>
      <c r="CZ1197" s="16"/>
      <c r="DA1197" s="16"/>
      <c r="DB1197" s="16"/>
      <c r="DC1197" s="16"/>
      <c r="DD1197" s="16"/>
      <c r="DE1197" s="17"/>
      <c r="DF1197" s="17"/>
      <c r="DG1197" s="16"/>
      <c r="DH1197" s="16"/>
      <c r="DI1197" s="17"/>
      <c r="DJ1197" s="17"/>
      <c r="DK1197" s="16"/>
      <c r="DL1197" s="16"/>
      <c r="DM1197" s="17"/>
      <c r="DN1197" s="17"/>
      <c r="DO1197" s="16"/>
      <c r="DP1197" s="16"/>
      <c r="DQ1197" s="17"/>
      <c r="DR1197" s="17"/>
      <c r="DS1197" s="16"/>
      <c r="DT1197" s="16"/>
      <c r="DU1197" s="17"/>
      <c r="DV1197" s="17"/>
      <c r="DW1197" s="16"/>
      <c r="DX1197" s="16"/>
      <c r="DY1197" s="17"/>
      <c r="DZ1197" s="17"/>
      <c r="EA1197" s="16"/>
      <c r="EB1197" s="16"/>
      <c r="EC1197" s="17"/>
      <c r="ED1197" s="17"/>
      <c r="EE1197" s="16"/>
      <c r="EF1197" s="16"/>
      <c r="EG1197" s="17"/>
      <c r="EH1197" s="17"/>
      <c r="EI1197" s="16"/>
      <c r="EJ1197" s="16"/>
      <c r="EK1197" s="17"/>
      <c r="EL1197" s="17"/>
      <c r="EM1197" s="16"/>
      <c r="EN1197" s="16"/>
      <c r="EO1197" s="17"/>
      <c r="EP1197" s="17"/>
      <c r="EQ1197" s="16"/>
      <c r="ER1197" s="16"/>
      <c r="ES1197" s="18">
        <v>2</v>
      </c>
      <c r="ET1197" s="18">
        <v>3</v>
      </c>
      <c r="EU1197" s="16"/>
      <c r="EV1197" s="16"/>
      <c r="EW1197" s="17"/>
      <c r="EX1197" s="17"/>
      <c r="EY1197" s="16"/>
      <c r="EZ1197" s="16"/>
      <c r="FA1197" s="17"/>
      <c r="FB1197" s="17"/>
      <c r="FC1197" s="16"/>
      <c r="FD1197" s="16"/>
      <c r="FE1197" s="17"/>
      <c r="FF1197" s="17"/>
      <c r="FG1197" s="11"/>
      <c r="GT1197" s="11"/>
      <c r="IG1197" s="11"/>
      <c r="JT1197" s="11"/>
      <c r="LG1197" s="11"/>
      <c r="MT1197" s="11"/>
      <c r="OG1197" s="11"/>
      <c r="PT1197" s="11"/>
    </row>
    <row r="1198" spans="3:436" ht="25.5" x14ac:dyDescent="0.25">
      <c r="C1198" s="20" t="s">
        <v>886</v>
      </c>
      <c r="D1198" s="21" t="s">
        <v>93</v>
      </c>
      <c r="H1198" s="11"/>
      <c r="AU1198" s="11"/>
      <c r="CH1198" s="11"/>
      <c r="CI1198" s="16"/>
      <c r="CJ1198" s="16"/>
      <c r="CK1198" s="16"/>
      <c r="CL1198" s="16"/>
      <c r="CM1198" s="16"/>
      <c r="CN1198" s="16"/>
      <c r="CO1198" s="16"/>
      <c r="CP1198" s="16"/>
      <c r="CQ1198" s="16"/>
      <c r="CR1198" s="16"/>
      <c r="CS1198" s="16"/>
      <c r="CT1198" s="16"/>
      <c r="CU1198" s="16"/>
      <c r="CV1198" s="16"/>
      <c r="CW1198" s="16"/>
      <c r="CX1198" s="16"/>
      <c r="CY1198" s="16"/>
      <c r="CZ1198" s="16"/>
      <c r="DA1198" s="16"/>
      <c r="DB1198" s="16"/>
      <c r="DC1198" s="16"/>
      <c r="DD1198" s="16"/>
      <c r="DE1198" s="17"/>
      <c r="DF1198" s="17"/>
      <c r="DG1198" s="16"/>
      <c r="DH1198" s="16"/>
      <c r="DI1198" s="17"/>
      <c r="DJ1198" s="17"/>
      <c r="DK1198" s="16"/>
      <c r="DL1198" s="16"/>
      <c r="DM1198" s="17"/>
      <c r="DN1198" s="17"/>
      <c r="DO1198" s="16"/>
      <c r="DP1198" s="16"/>
      <c r="DQ1198" s="17"/>
      <c r="DR1198" s="17"/>
      <c r="DS1198" s="16"/>
      <c r="DT1198" s="16"/>
      <c r="DU1198" s="17"/>
      <c r="DV1198" s="17"/>
      <c r="DW1198" s="16"/>
      <c r="DX1198" s="16"/>
      <c r="DY1198" s="17"/>
      <c r="DZ1198" s="17"/>
      <c r="EA1198" s="16"/>
      <c r="EB1198" s="16"/>
      <c r="EC1198" s="17"/>
      <c r="ED1198" s="17"/>
      <c r="EE1198" s="16"/>
      <c r="EF1198" s="16"/>
      <c r="EG1198" s="17"/>
      <c r="EH1198" s="17"/>
      <c r="EI1198" s="16"/>
      <c r="EJ1198" s="16"/>
      <c r="EK1198" s="17"/>
      <c r="EL1198" s="17"/>
      <c r="EM1198" s="16"/>
      <c r="EN1198" s="16"/>
      <c r="EO1198" s="17"/>
      <c r="EP1198" s="17"/>
      <c r="EQ1198" s="16"/>
      <c r="ER1198" s="16"/>
      <c r="ES1198" s="17"/>
      <c r="ET1198" s="17"/>
      <c r="EU1198" s="16"/>
      <c r="EV1198" s="16"/>
      <c r="EW1198" s="18">
        <v>4</v>
      </c>
      <c r="EX1198" s="18">
        <v>5</v>
      </c>
      <c r="EY1198" s="16"/>
      <c r="EZ1198" s="16"/>
      <c r="FA1198" s="17"/>
      <c r="FB1198" s="17"/>
      <c r="FC1198" s="16"/>
      <c r="FD1198" s="16"/>
      <c r="FE1198" s="17"/>
      <c r="FF1198" s="17"/>
      <c r="FG1198" s="11"/>
      <c r="GT1198" s="11"/>
      <c r="IG1198" s="11"/>
      <c r="JT1198" s="11"/>
      <c r="LG1198" s="11"/>
      <c r="MT1198" s="11"/>
      <c r="OG1198" s="11"/>
      <c r="PT1198" s="11"/>
    </row>
    <row r="1199" spans="3:436" ht="25.5" x14ac:dyDescent="0.25">
      <c r="C1199" s="20" t="s">
        <v>887</v>
      </c>
      <c r="D1199" s="21" t="s">
        <v>93</v>
      </c>
      <c r="H1199" s="11"/>
      <c r="AU1199" s="11"/>
      <c r="CH1199" s="11"/>
      <c r="CI1199" s="16"/>
      <c r="CJ1199" s="16"/>
      <c r="CK1199" s="16"/>
      <c r="CL1199" s="16"/>
      <c r="CM1199" s="16"/>
      <c r="CN1199" s="16"/>
      <c r="CO1199" s="16"/>
      <c r="CP1199" s="16"/>
      <c r="CQ1199" s="16"/>
      <c r="CR1199" s="16"/>
      <c r="CS1199" s="16"/>
      <c r="CT1199" s="16"/>
      <c r="CU1199" s="16"/>
      <c r="CV1199" s="16"/>
      <c r="CW1199" s="16"/>
      <c r="CX1199" s="16"/>
      <c r="CY1199" s="16"/>
      <c r="CZ1199" s="16"/>
      <c r="DA1199" s="16"/>
      <c r="DB1199" s="16"/>
      <c r="DC1199" s="16"/>
      <c r="DD1199" s="16"/>
      <c r="DE1199" s="17"/>
      <c r="DF1199" s="17"/>
      <c r="DG1199" s="16"/>
      <c r="DH1199" s="16"/>
      <c r="DI1199" s="17"/>
      <c r="DJ1199" s="17"/>
      <c r="DK1199" s="16"/>
      <c r="DL1199" s="16"/>
      <c r="DM1199" s="17"/>
      <c r="DN1199" s="17"/>
      <c r="DO1199" s="16"/>
      <c r="DP1199" s="16"/>
      <c r="DQ1199" s="17"/>
      <c r="DR1199" s="17"/>
      <c r="DS1199" s="16"/>
      <c r="DT1199" s="16"/>
      <c r="DU1199" s="17"/>
      <c r="DV1199" s="17"/>
      <c r="DW1199" s="16"/>
      <c r="DX1199" s="16"/>
      <c r="DY1199" s="17"/>
      <c r="DZ1199" s="17"/>
      <c r="EA1199" s="16"/>
      <c r="EB1199" s="16"/>
      <c r="EC1199" s="17"/>
      <c r="ED1199" s="17"/>
      <c r="EE1199" s="16"/>
      <c r="EF1199" s="16"/>
      <c r="EG1199" s="17"/>
      <c r="EH1199" s="17"/>
      <c r="EI1199" s="16"/>
      <c r="EJ1199" s="16"/>
      <c r="EK1199" s="17"/>
      <c r="EL1199" s="17"/>
      <c r="EM1199" s="16"/>
      <c r="EN1199" s="16"/>
      <c r="EO1199" s="17"/>
      <c r="EP1199" s="17"/>
      <c r="EQ1199" s="16"/>
      <c r="ER1199" s="16"/>
      <c r="ES1199" s="17"/>
      <c r="ET1199" s="17"/>
      <c r="EU1199" s="16"/>
      <c r="EV1199" s="16"/>
      <c r="EW1199" s="18">
        <v>2</v>
      </c>
      <c r="EX1199" s="18">
        <v>3</v>
      </c>
      <c r="EY1199" s="16"/>
      <c r="EZ1199" s="16"/>
      <c r="FA1199" s="17"/>
      <c r="FB1199" s="17"/>
      <c r="FC1199" s="16"/>
      <c r="FD1199" s="16"/>
      <c r="FE1199" s="17"/>
      <c r="FF1199" s="17"/>
      <c r="FG1199" s="11"/>
      <c r="GT1199" s="11"/>
      <c r="IG1199" s="11"/>
      <c r="JT1199" s="11"/>
      <c r="LG1199" s="11"/>
      <c r="MT1199" s="11"/>
      <c r="OG1199" s="11"/>
      <c r="PT1199" s="11"/>
    </row>
    <row r="1200" spans="3:436" ht="25.5" x14ac:dyDescent="0.25">
      <c r="C1200" s="20" t="s">
        <v>888</v>
      </c>
      <c r="D1200" s="21" t="s">
        <v>93</v>
      </c>
      <c r="H1200" s="11"/>
      <c r="AU1200" s="11"/>
      <c r="CH1200" s="11"/>
      <c r="CI1200" s="16"/>
      <c r="CJ1200" s="16"/>
      <c r="CK1200" s="16"/>
      <c r="CL1200" s="16"/>
      <c r="CM1200" s="16"/>
      <c r="CN1200" s="16"/>
      <c r="CO1200" s="16"/>
      <c r="CP1200" s="16"/>
      <c r="CQ1200" s="16"/>
      <c r="CR1200" s="16"/>
      <c r="CS1200" s="16"/>
      <c r="CT1200" s="16"/>
      <c r="CU1200" s="16"/>
      <c r="CV1200" s="16"/>
      <c r="CW1200" s="16"/>
      <c r="CX1200" s="16"/>
      <c r="CY1200" s="16"/>
      <c r="CZ1200" s="16"/>
      <c r="DA1200" s="16"/>
      <c r="DB1200" s="16"/>
      <c r="DC1200" s="16"/>
      <c r="DD1200" s="16"/>
      <c r="DE1200" s="17"/>
      <c r="DF1200" s="17"/>
      <c r="DG1200" s="16"/>
      <c r="DH1200" s="16"/>
      <c r="DI1200" s="17"/>
      <c r="DJ1200" s="17"/>
      <c r="DK1200" s="16"/>
      <c r="DL1200" s="16"/>
      <c r="DM1200" s="17"/>
      <c r="DN1200" s="17"/>
      <c r="DO1200" s="16"/>
      <c r="DP1200" s="16"/>
      <c r="DQ1200" s="17"/>
      <c r="DR1200" s="17"/>
      <c r="DS1200" s="16"/>
      <c r="DT1200" s="16"/>
      <c r="DU1200" s="17"/>
      <c r="DV1200" s="17"/>
      <c r="DW1200" s="16"/>
      <c r="DX1200" s="16"/>
      <c r="DY1200" s="17"/>
      <c r="DZ1200" s="17"/>
      <c r="EA1200" s="16"/>
      <c r="EB1200" s="16"/>
      <c r="EC1200" s="17"/>
      <c r="ED1200" s="17"/>
      <c r="EE1200" s="16"/>
      <c r="EF1200" s="16"/>
      <c r="EG1200" s="17"/>
      <c r="EH1200" s="17"/>
      <c r="EI1200" s="16"/>
      <c r="EJ1200" s="16"/>
      <c r="EK1200" s="17"/>
      <c r="EL1200" s="17"/>
      <c r="EM1200" s="16"/>
      <c r="EN1200" s="16"/>
      <c r="EO1200" s="17"/>
      <c r="EP1200" s="17"/>
      <c r="EQ1200" s="16"/>
      <c r="ER1200" s="16"/>
      <c r="ES1200" s="17"/>
      <c r="ET1200" s="17"/>
      <c r="EU1200" s="16"/>
      <c r="EV1200" s="16"/>
      <c r="EW1200" s="18">
        <v>1</v>
      </c>
      <c r="EX1200" s="18">
        <v>2</v>
      </c>
      <c r="EY1200" s="16"/>
      <c r="EZ1200" s="16"/>
      <c r="FA1200" s="17"/>
      <c r="FB1200" s="17"/>
      <c r="FC1200" s="16"/>
      <c r="FD1200" s="16"/>
      <c r="FE1200" s="17"/>
      <c r="FF1200" s="17"/>
      <c r="FG1200" s="11"/>
      <c r="GT1200" s="11"/>
      <c r="IG1200" s="11"/>
      <c r="JT1200" s="11"/>
      <c r="LG1200" s="11"/>
      <c r="MT1200" s="11"/>
      <c r="OG1200" s="11"/>
      <c r="PT1200" s="11"/>
    </row>
    <row r="1201" spans="1:474" ht="25.5" x14ac:dyDescent="0.25">
      <c r="C1201" s="20" t="s">
        <v>889</v>
      </c>
      <c r="D1201" s="21" t="s">
        <v>93</v>
      </c>
      <c r="H1201" s="11"/>
      <c r="AU1201" s="11"/>
      <c r="CH1201" s="11"/>
      <c r="CI1201" s="16"/>
      <c r="CJ1201" s="16"/>
      <c r="CK1201" s="16"/>
      <c r="CL1201" s="16"/>
      <c r="CM1201" s="16"/>
      <c r="CN1201" s="16"/>
      <c r="CO1201" s="16"/>
      <c r="CP1201" s="16"/>
      <c r="CQ1201" s="16"/>
      <c r="CR1201" s="16"/>
      <c r="CS1201" s="16"/>
      <c r="CT1201" s="16"/>
      <c r="CU1201" s="16"/>
      <c r="CV1201" s="16"/>
      <c r="CW1201" s="16"/>
      <c r="CX1201" s="16"/>
      <c r="CY1201" s="16"/>
      <c r="CZ1201" s="16"/>
      <c r="DA1201" s="16"/>
      <c r="DB1201" s="16"/>
      <c r="DC1201" s="16"/>
      <c r="DD1201" s="16"/>
      <c r="DE1201" s="17"/>
      <c r="DF1201" s="17"/>
      <c r="DG1201" s="16"/>
      <c r="DH1201" s="16"/>
      <c r="DI1201" s="17"/>
      <c r="DJ1201" s="17"/>
      <c r="DK1201" s="16"/>
      <c r="DL1201" s="16"/>
      <c r="DM1201" s="17"/>
      <c r="DN1201" s="17"/>
      <c r="DO1201" s="16"/>
      <c r="DP1201" s="16"/>
      <c r="DQ1201" s="17"/>
      <c r="DR1201" s="17"/>
      <c r="DS1201" s="16"/>
      <c r="DT1201" s="16"/>
      <c r="DU1201" s="17"/>
      <c r="DV1201" s="17"/>
      <c r="DW1201" s="16"/>
      <c r="DX1201" s="16"/>
      <c r="DY1201" s="17"/>
      <c r="DZ1201" s="17"/>
      <c r="EA1201" s="16"/>
      <c r="EB1201" s="16"/>
      <c r="EC1201" s="17"/>
      <c r="ED1201" s="17"/>
      <c r="EE1201" s="16"/>
      <c r="EF1201" s="16"/>
      <c r="EG1201" s="17"/>
      <c r="EH1201" s="17"/>
      <c r="EI1201" s="16"/>
      <c r="EJ1201" s="16"/>
      <c r="EK1201" s="17"/>
      <c r="EL1201" s="17"/>
      <c r="EM1201" s="16"/>
      <c r="EN1201" s="16"/>
      <c r="EO1201" s="17"/>
      <c r="EP1201" s="17"/>
      <c r="EQ1201" s="16"/>
      <c r="ER1201" s="16"/>
      <c r="ES1201" s="17"/>
      <c r="ET1201" s="17"/>
      <c r="EU1201" s="16"/>
      <c r="EV1201" s="16"/>
      <c r="EW1201" s="18">
        <v>1</v>
      </c>
      <c r="EX1201" s="18">
        <v>2</v>
      </c>
      <c r="EY1201" s="16"/>
      <c r="EZ1201" s="16"/>
      <c r="FA1201" s="17"/>
      <c r="FB1201" s="17"/>
      <c r="FC1201" s="16"/>
      <c r="FD1201" s="16"/>
      <c r="FE1201" s="17"/>
      <c r="FF1201" s="17"/>
      <c r="FG1201" s="11"/>
      <c r="GT1201" s="11"/>
      <c r="IG1201" s="11"/>
      <c r="JT1201" s="11"/>
      <c r="LG1201" s="11"/>
      <c r="MT1201" s="11"/>
      <c r="OG1201" s="11"/>
      <c r="PT1201" s="11"/>
    </row>
    <row r="1202" spans="1:474" ht="25.5" x14ac:dyDescent="0.25">
      <c r="C1202" s="20" t="s">
        <v>890</v>
      </c>
      <c r="D1202" s="21" t="s">
        <v>82</v>
      </c>
      <c r="H1202" s="11"/>
      <c r="AU1202" s="11"/>
      <c r="CH1202" s="11"/>
      <c r="CI1202" s="16"/>
      <c r="CJ1202" s="16"/>
      <c r="CK1202" s="16"/>
      <c r="CL1202" s="16"/>
      <c r="CM1202" s="16"/>
      <c r="CN1202" s="16"/>
      <c r="CO1202" s="16"/>
      <c r="CP1202" s="16"/>
      <c r="CQ1202" s="16"/>
      <c r="CR1202" s="16"/>
      <c r="CS1202" s="16"/>
      <c r="CT1202" s="16"/>
      <c r="CU1202" s="16"/>
      <c r="CV1202" s="16"/>
      <c r="CW1202" s="16"/>
      <c r="CX1202" s="16"/>
      <c r="CY1202" s="16"/>
      <c r="CZ1202" s="16"/>
      <c r="DA1202" s="16"/>
      <c r="DB1202" s="16"/>
      <c r="DC1202" s="16"/>
      <c r="DD1202" s="16"/>
      <c r="DE1202" s="17"/>
      <c r="DF1202" s="17"/>
      <c r="DG1202" s="16"/>
      <c r="DH1202" s="16"/>
      <c r="DI1202" s="17"/>
      <c r="DJ1202" s="17"/>
      <c r="DK1202" s="16"/>
      <c r="DL1202" s="16"/>
      <c r="DM1202" s="17"/>
      <c r="DN1202" s="17"/>
      <c r="DO1202" s="16"/>
      <c r="DP1202" s="16"/>
      <c r="DQ1202" s="17"/>
      <c r="DR1202" s="17"/>
      <c r="DS1202" s="16"/>
      <c r="DT1202" s="16"/>
      <c r="DU1202" s="17"/>
      <c r="DV1202" s="17"/>
      <c r="DW1202" s="16"/>
      <c r="DX1202" s="16"/>
      <c r="DY1202" s="17"/>
      <c r="DZ1202" s="17"/>
      <c r="EA1202" s="16"/>
      <c r="EB1202" s="16"/>
      <c r="EC1202" s="17"/>
      <c r="ED1202" s="17"/>
      <c r="EE1202" s="16"/>
      <c r="EF1202" s="16"/>
      <c r="EG1202" s="17"/>
      <c r="EH1202" s="17"/>
      <c r="EI1202" s="16"/>
      <c r="EJ1202" s="16"/>
      <c r="EK1202" s="17"/>
      <c r="EL1202" s="17"/>
      <c r="EM1202" s="16"/>
      <c r="EN1202" s="16"/>
      <c r="EO1202" s="17"/>
      <c r="EP1202" s="17"/>
      <c r="EQ1202" s="16"/>
      <c r="ER1202" s="16"/>
      <c r="ES1202" s="18">
        <v>2</v>
      </c>
      <c r="ET1202" s="18">
        <v>3</v>
      </c>
      <c r="EU1202" s="16"/>
      <c r="EV1202" s="16"/>
      <c r="EW1202" s="17"/>
      <c r="EX1202" s="17"/>
      <c r="EY1202" s="16"/>
      <c r="EZ1202" s="16"/>
      <c r="FA1202" s="17"/>
      <c r="FB1202" s="17"/>
      <c r="FC1202" s="16"/>
      <c r="FD1202" s="16"/>
      <c r="FE1202" s="17"/>
      <c r="FF1202" s="17"/>
      <c r="FG1202" s="11"/>
      <c r="GT1202" s="11"/>
      <c r="IG1202" s="11"/>
      <c r="JT1202" s="11"/>
      <c r="LG1202" s="11"/>
      <c r="MT1202" s="11"/>
      <c r="OG1202" s="11"/>
      <c r="PT1202" s="11"/>
    </row>
    <row r="1203" spans="1:474" ht="25.5" x14ac:dyDescent="0.25">
      <c r="C1203" s="20" t="s">
        <v>891</v>
      </c>
      <c r="D1203" s="21" t="s">
        <v>93</v>
      </c>
      <c r="H1203" s="11"/>
      <c r="AU1203" s="11"/>
      <c r="CH1203" s="11"/>
      <c r="CI1203" s="16"/>
      <c r="CJ1203" s="16"/>
      <c r="CK1203" s="16"/>
      <c r="CL1203" s="16"/>
      <c r="CM1203" s="16"/>
      <c r="CN1203" s="16"/>
      <c r="CO1203" s="16"/>
      <c r="CP1203" s="16"/>
      <c r="CQ1203" s="16"/>
      <c r="CR1203" s="16"/>
      <c r="CS1203" s="16"/>
      <c r="CT1203" s="16"/>
      <c r="CU1203" s="16"/>
      <c r="CV1203" s="16"/>
      <c r="CW1203" s="16"/>
      <c r="CX1203" s="16"/>
      <c r="CY1203" s="16"/>
      <c r="CZ1203" s="16"/>
      <c r="DA1203" s="16"/>
      <c r="DB1203" s="16"/>
      <c r="DC1203" s="16"/>
      <c r="DD1203" s="16"/>
      <c r="DE1203" s="17"/>
      <c r="DF1203" s="17"/>
      <c r="DG1203" s="16"/>
      <c r="DH1203" s="16"/>
      <c r="DI1203" s="17"/>
      <c r="DJ1203" s="17"/>
      <c r="DK1203" s="16"/>
      <c r="DL1203" s="16"/>
      <c r="DM1203" s="17"/>
      <c r="DN1203" s="17"/>
      <c r="DO1203" s="16"/>
      <c r="DP1203" s="16"/>
      <c r="DQ1203" s="17"/>
      <c r="DR1203" s="17"/>
      <c r="DS1203" s="16"/>
      <c r="DT1203" s="16"/>
      <c r="DU1203" s="17"/>
      <c r="DV1203" s="17"/>
      <c r="DW1203" s="16"/>
      <c r="DX1203" s="16"/>
      <c r="DY1203" s="17"/>
      <c r="DZ1203" s="17"/>
      <c r="EA1203" s="16"/>
      <c r="EB1203" s="16"/>
      <c r="EC1203" s="17"/>
      <c r="ED1203" s="17"/>
      <c r="EE1203" s="16"/>
      <c r="EF1203" s="16"/>
      <c r="EG1203" s="17"/>
      <c r="EH1203" s="17"/>
      <c r="EI1203" s="16"/>
      <c r="EJ1203" s="16"/>
      <c r="EK1203" s="17"/>
      <c r="EL1203" s="17"/>
      <c r="EM1203" s="16"/>
      <c r="EN1203" s="16"/>
      <c r="EO1203" s="17"/>
      <c r="EP1203" s="17"/>
      <c r="EQ1203" s="16"/>
      <c r="ER1203" s="16"/>
      <c r="ES1203" s="17"/>
      <c r="ET1203" s="17"/>
      <c r="EU1203" s="16"/>
      <c r="EV1203" s="16"/>
      <c r="EW1203" s="18">
        <v>2</v>
      </c>
      <c r="EX1203" s="18">
        <v>3</v>
      </c>
      <c r="EY1203" s="16"/>
      <c r="EZ1203" s="16"/>
      <c r="FA1203" s="17"/>
      <c r="FB1203" s="17"/>
      <c r="FC1203" s="16"/>
      <c r="FD1203" s="16"/>
      <c r="FE1203" s="17"/>
      <c r="FF1203" s="17"/>
      <c r="FG1203" s="11"/>
      <c r="GT1203" s="11"/>
      <c r="IG1203" s="11"/>
      <c r="JT1203" s="11"/>
      <c r="LG1203" s="11"/>
      <c r="MT1203" s="11"/>
      <c r="OG1203" s="11"/>
      <c r="PT1203" s="11"/>
    </row>
    <row r="1204" spans="1:474" ht="15.75" x14ac:dyDescent="0.25">
      <c r="C1204" s="20" t="s">
        <v>892</v>
      </c>
      <c r="D1204" s="21" t="s">
        <v>82</v>
      </c>
      <c r="H1204" s="11"/>
      <c r="AU1204" s="11"/>
      <c r="CH1204" s="11"/>
      <c r="CI1204" s="16"/>
      <c r="CJ1204" s="16"/>
      <c r="CK1204" s="16"/>
      <c r="CL1204" s="16"/>
      <c r="CM1204" s="16"/>
      <c r="CN1204" s="16"/>
      <c r="CO1204" s="16"/>
      <c r="CP1204" s="16"/>
      <c r="CQ1204" s="16"/>
      <c r="CR1204" s="16"/>
      <c r="CS1204" s="16"/>
      <c r="CT1204" s="16"/>
      <c r="CU1204" s="16"/>
      <c r="CV1204" s="16"/>
      <c r="CW1204" s="16"/>
      <c r="CX1204" s="16"/>
      <c r="CY1204" s="16"/>
      <c r="CZ1204" s="16"/>
      <c r="DA1204" s="16"/>
      <c r="DB1204" s="16"/>
      <c r="DC1204" s="16"/>
      <c r="DD1204" s="16"/>
      <c r="DE1204" s="17"/>
      <c r="DF1204" s="17"/>
      <c r="DG1204" s="16"/>
      <c r="DH1204" s="16"/>
      <c r="DI1204" s="17"/>
      <c r="DJ1204" s="17"/>
      <c r="DK1204" s="16"/>
      <c r="DL1204" s="16"/>
      <c r="DM1204" s="17"/>
      <c r="DN1204" s="17"/>
      <c r="DO1204" s="16"/>
      <c r="DP1204" s="16"/>
      <c r="DQ1204" s="17"/>
      <c r="DR1204" s="17"/>
      <c r="DS1204" s="16"/>
      <c r="DT1204" s="16"/>
      <c r="DU1204" s="17"/>
      <c r="DV1204" s="17"/>
      <c r="DW1204" s="16"/>
      <c r="DX1204" s="16"/>
      <c r="DY1204" s="17"/>
      <c r="DZ1204" s="17"/>
      <c r="EA1204" s="16"/>
      <c r="EB1204" s="16"/>
      <c r="EC1204" s="17"/>
      <c r="ED1204" s="17"/>
      <c r="EE1204" s="16"/>
      <c r="EF1204" s="16"/>
      <c r="EG1204" s="17"/>
      <c r="EH1204" s="17"/>
      <c r="EI1204" s="16"/>
      <c r="EJ1204" s="16"/>
      <c r="EK1204" s="17"/>
      <c r="EL1204" s="17"/>
      <c r="EM1204" s="16"/>
      <c r="EN1204" s="16"/>
      <c r="EO1204" s="17"/>
      <c r="EP1204" s="17"/>
      <c r="EQ1204" s="16"/>
      <c r="ER1204" s="16"/>
      <c r="ES1204" s="18">
        <v>3</v>
      </c>
      <c r="ET1204" s="18">
        <v>4</v>
      </c>
      <c r="EU1204" s="16"/>
      <c r="EV1204" s="16"/>
      <c r="EW1204" s="17"/>
      <c r="EX1204" s="17"/>
      <c r="EY1204" s="16"/>
      <c r="EZ1204" s="16"/>
      <c r="FA1204" s="17"/>
      <c r="FB1204" s="17"/>
      <c r="FC1204" s="16"/>
      <c r="FD1204" s="16"/>
      <c r="FE1204" s="17"/>
      <c r="FF1204" s="17"/>
      <c r="FG1204" s="11"/>
      <c r="GT1204" s="11"/>
      <c r="IG1204" s="11"/>
      <c r="JT1204" s="11"/>
      <c r="LG1204" s="11"/>
      <c r="MT1204" s="11"/>
      <c r="OG1204" s="11"/>
      <c r="PT1204" s="11"/>
    </row>
    <row r="1205" spans="1:474" ht="15.75" x14ac:dyDescent="0.25">
      <c r="C1205" s="20" t="s">
        <v>893</v>
      </c>
      <c r="D1205" s="21" t="s">
        <v>84</v>
      </c>
      <c r="H1205" s="11"/>
      <c r="AU1205" s="11"/>
      <c r="CH1205" s="11"/>
      <c r="CI1205" s="16"/>
      <c r="CJ1205" s="16"/>
      <c r="CK1205" s="16"/>
      <c r="CL1205" s="16"/>
      <c r="CM1205" s="16"/>
      <c r="CN1205" s="16"/>
      <c r="CO1205" s="16"/>
      <c r="CP1205" s="16"/>
      <c r="CQ1205" s="16"/>
      <c r="CR1205" s="16"/>
      <c r="CS1205" s="16"/>
      <c r="CT1205" s="16"/>
      <c r="CU1205" s="16"/>
      <c r="CV1205" s="16"/>
      <c r="CW1205" s="16"/>
      <c r="CX1205" s="16"/>
      <c r="CY1205" s="16"/>
      <c r="CZ1205" s="16"/>
      <c r="DA1205" s="16"/>
      <c r="DB1205" s="16"/>
      <c r="DC1205" s="16"/>
      <c r="DD1205" s="16"/>
      <c r="DE1205" s="17"/>
      <c r="DF1205" s="17"/>
      <c r="DG1205" s="16"/>
      <c r="DH1205" s="16"/>
      <c r="DI1205" s="17"/>
      <c r="DJ1205" s="17"/>
      <c r="DK1205" s="16"/>
      <c r="DL1205" s="16"/>
      <c r="DM1205" s="17"/>
      <c r="DN1205" s="17"/>
      <c r="DO1205" s="16"/>
      <c r="DP1205" s="16"/>
      <c r="DQ1205" s="17"/>
      <c r="DR1205" s="17"/>
      <c r="DS1205" s="16"/>
      <c r="DT1205" s="16"/>
      <c r="DU1205" s="17"/>
      <c r="DV1205" s="17"/>
      <c r="DW1205" s="16"/>
      <c r="DX1205" s="16"/>
      <c r="DY1205" s="17"/>
      <c r="DZ1205" s="17"/>
      <c r="EA1205" s="16"/>
      <c r="EB1205" s="16"/>
      <c r="EC1205" s="17"/>
      <c r="ED1205" s="17"/>
      <c r="EE1205" s="16"/>
      <c r="EF1205" s="16"/>
      <c r="EG1205" s="17"/>
      <c r="EH1205" s="17"/>
      <c r="EI1205" s="16"/>
      <c r="EJ1205" s="16"/>
      <c r="EK1205" s="17"/>
      <c r="EL1205" s="17"/>
      <c r="EM1205" s="16"/>
      <c r="EN1205" s="16"/>
      <c r="EO1205" s="17"/>
      <c r="EP1205" s="17"/>
      <c r="EQ1205" s="16"/>
      <c r="ER1205" s="16"/>
      <c r="ES1205" s="17"/>
      <c r="ET1205" s="17"/>
      <c r="EU1205" s="16"/>
      <c r="EV1205" s="16"/>
      <c r="EW1205" s="17"/>
      <c r="EX1205" s="17"/>
      <c r="EY1205" s="16"/>
      <c r="EZ1205" s="16"/>
      <c r="FA1205" s="17"/>
      <c r="FB1205" s="17"/>
      <c r="FC1205" s="16"/>
      <c r="FD1205" s="16"/>
      <c r="FE1205" s="17"/>
      <c r="FF1205" s="17"/>
      <c r="FG1205" s="11"/>
      <c r="GT1205" s="11"/>
      <c r="IG1205" s="11"/>
      <c r="JT1205" s="11"/>
      <c r="LG1205" s="11"/>
      <c r="MT1205" s="11"/>
      <c r="OG1205" s="11"/>
      <c r="PT1205" s="11"/>
    </row>
    <row r="1206" spans="1:474" ht="15.75" x14ac:dyDescent="0.25">
      <c r="C1206" s="20" t="s">
        <v>894</v>
      </c>
      <c r="D1206" s="21" t="s">
        <v>79</v>
      </c>
      <c r="H1206" s="11"/>
      <c r="AU1206" s="11"/>
      <c r="CH1206" s="11"/>
      <c r="CI1206" s="16"/>
      <c r="CJ1206" s="16"/>
      <c r="CK1206" s="16"/>
      <c r="CL1206" s="16"/>
      <c r="CM1206" s="16"/>
      <c r="CN1206" s="16"/>
      <c r="CO1206" s="16"/>
      <c r="CP1206" s="16"/>
      <c r="CQ1206" s="16"/>
      <c r="CR1206" s="16"/>
      <c r="CS1206" s="16"/>
      <c r="CT1206" s="16"/>
      <c r="CU1206" s="16"/>
      <c r="CV1206" s="16"/>
      <c r="CW1206" s="16"/>
      <c r="CX1206" s="16"/>
      <c r="CY1206" s="16"/>
      <c r="CZ1206" s="16"/>
      <c r="DA1206" s="16"/>
      <c r="DB1206" s="16"/>
      <c r="DC1206" s="16"/>
      <c r="DD1206" s="16"/>
      <c r="DE1206" s="17"/>
      <c r="DF1206" s="17"/>
      <c r="DG1206" s="16"/>
      <c r="DH1206" s="16"/>
      <c r="DI1206" s="17"/>
      <c r="DJ1206" s="17"/>
      <c r="DK1206" s="16"/>
      <c r="DL1206" s="16"/>
      <c r="DM1206" s="17"/>
      <c r="DN1206" s="17"/>
      <c r="DO1206" s="16"/>
      <c r="DP1206" s="16"/>
      <c r="DQ1206" s="17"/>
      <c r="DR1206" s="17"/>
      <c r="DS1206" s="16"/>
      <c r="DT1206" s="16"/>
      <c r="DU1206" s="17"/>
      <c r="DV1206" s="17"/>
      <c r="DW1206" s="16"/>
      <c r="DX1206" s="16"/>
      <c r="DY1206" s="17"/>
      <c r="DZ1206" s="17"/>
      <c r="EA1206" s="16"/>
      <c r="EB1206" s="16"/>
      <c r="EC1206" s="17"/>
      <c r="ED1206" s="17"/>
      <c r="EE1206" s="16"/>
      <c r="EF1206" s="16"/>
      <c r="EG1206" s="17"/>
      <c r="EH1206" s="17"/>
      <c r="EI1206" s="16"/>
      <c r="EJ1206" s="16"/>
      <c r="EK1206" s="17"/>
      <c r="EL1206" s="17"/>
      <c r="EM1206" s="16"/>
      <c r="EN1206" s="16"/>
      <c r="EO1206" s="17"/>
      <c r="EP1206" s="17"/>
      <c r="EQ1206" s="16"/>
      <c r="ER1206" s="16"/>
      <c r="ES1206" s="17"/>
      <c r="ET1206" s="17"/>
      <c r="EU1206" s="16"/>
      <c r="EV1206" s="16"/>
      <c r="EW1206" s="17"/>
      <c r="EX1206" s="17"/>
      <c r="EY1206" s="16"/>
      <c r="EZ1206" s="16"/>
      <c r="FA1206" s="17"/>
      <c r="FB1206" s="17"/>
      <c r="FC1206" s="16"/>
      <c r="FD1206" s="16"/>
      <c r="FE1206" s="17"/>
      <c r="FF1206" s="17"/>
      <c r="FG1206" s="11"/>
      <c r="GT1206" s="11"/>
      <c r="IG1206" s="11"/>
      <c r="JT1206" s="11"/>
      <c r="LG1206" s="11"/>
      <c r="MT1206" s="11"/>
      <c r="OG1206" s="11"/>
      <c r="PT1206" s="11"/>
    </row>
    <row r="1207" spans="1:474" ht="15.75" x14ac:dyDescent="0.25">
      <c r="C1207" s="20" t="s">
        <v>875</v>
      </c>
      <c r="D1207" s="21" t="s">
        <v>104</v>
      </c>
      <c r="H1207" s="11"/>
      <c r="AU1207" s="11"/>
      <c r="CH1207" s="11"/>
      <c r="CI1207" s="16"/>
      <c r="CJ1207" s="16"/>
      <c r="CK1207" s="16"/>
      <c r="CL1207" s="16"/>
      <c r="CM1207" s="16"/>
      <c r="CN1207" s="16"/>
      <c r="CO1207" s="16"/>
      <c r="CP1207" s="16"/>
      <c r="CQ1207" s="16"/>
      <c r="CR1207" s="16"/>
      <c r="CS1207" s="16"/>
      <c r="CT1207" s="16"/>
      <c r="CU1207" s="16"/>
      <c r="CV1207" s="16"/>
      <c r="CW1207" s="16"/>
      <c r="CX1207" s="16"/>
      <c r="CY1207" s="16"/>
      <c r="CZ1207" s="16"/>
      <c r="DA1207" s="16"/>
      <c r="DB1207" s="16"/>
      <c r="DC1207" s="16"/>
      <c r="DD1207" s="16"/>
      <c r="DE1207" s="17"/>
      <c r="DF1207" s="17"/>
      <c r="DG1207" s="16"/>
      <c r="DH1207" s="16"/>
      <c r="DI1207" s="17"/>
      <c r="DJ1207" s="17"/>
      <c r="DK1207" s="16"/>
      <c r="DL1207" s="16"/>
      <c r="DM1207" s="17"/>
      <c r="DN1207" s="17"/>
      <c r="DO1207" s="16"/>
      <c r="DP1207" s="16"/>
      <c r="DQ1207" s="17"/>
      <c r="DR1207" s="17"/>
      <c r="DS1207" s="16"/>
      <c r="DT1207" s="16"/>
      <c r="DU1207" s="17"/>
      <c r="DV1207" s="17"/>
      <c r="DW1207" s="16"/>
      <c r="DX1207" s="16"/>
      <c r="DY1207" s="17"/>
      <c r="DZ1207" s="17"/>
      <c r="EA1207" s="16"/>
      <c r="EB1207" s="16"/>
      <c r="EC1207" s="17"/>
      <c r="ED1207" s="17"/>
      <c r="EE1207" s="16"/>
      <c r="EF1207" s="16"/>
      <c r="EG1207" s="17"/>
      <c r="EH1207" s="17"/>
      <c r="EI1207" s="16"/>
      <c r="EJ1207" s="16"/>
      <c r="EK1207" s="17"/>
      <c r="EL1207" s="17"/>
      <c r="EM1207" s="16"/>
      <c r="EN1207" s="16"/>
      <c r="EO1207" s="17"/>
      <c r="EP1207" s="17"/>
      <c r="EQ1207" s="16"/>
      <c r="ER1207" s="16"/>
      <c r="ES1207" s="17"/>
      <c r="ET1207" s="17"/>
      <c r="EU1207" s="16"/>
      <c r="EV1207" s="16"/>
      <c r="EW1207" s="17"/>
      <c r="EX1207" s="17"/>
      <c r="EY1207" s="16"/>
      <c r="EZ1207" s="16"/>
      <c r="FA1207" s="17"/>
      <c r="FB1207" s="17"/>
      <c r="FC1207" s="16"/>
      <c r="FD1207" s="16"/>
      <c r="FE1207" s="17"/>
      <c r="FF1207" s="17"/>
      <c r="FG1207" s="11"/>
      <c r="GT1207" s="11"/>
      <c r="IG1207" s="11"/>
      <c r="JT1207" s="11"/>
      <c r="LG1207" s="11"/>
      <c r="MT1207" s="11"/>
      <c r="OG1207" s="11"/>
      <c r="PT1207" s="11"/>
    </row>
    <row r="1208" spans="1:474" ht="15.75" x14ac:dyDescent="0.25">
      <c r="C1208" s="20" t="s">
        <v>876</v>
      </c>
      <c r="D1208" s="21" t="s">
        <v>90</v>
      </c>
      <c r="H1208" s="11"/>
      <c r="AU1208" s="11"/>
      <c r="CH1208" s="11"/>
      <c r="CI1208" s="16"/>
      <c r="CJ1208" s="16"/>
      <c r="CK1208" s="16"/>
      <c r="CL1208" s="16"/>
      <c r="CM1208" s="16"/>
      <c r="CN1208" s="16"/>
      <c r="CO1208" s="16"/>
      <c r="CP1208" s="16"/>
      <c r="CQ1208" s="16"/>
      <c r="CR1208" s="16"/>
      <c r="CS1208" s="16"/>
      <c r="CT1208" s="16"/>
      <c r="CU1208" s="16"/>
      <c r="CV1208" s="16"/>
      <c r="CW1208" s="16"/>
      <c r="CX1208" s="16"/>
      <c r="CY1208" s="16"/>
      <c r="CZ1208" s="16"/>
      <c r="DA1208" s="16"/>
      <c r="DB1208" s="16"/>
      <c r="DC1208" s="16"/>
      <c r="DD1208" s="16"/>
      <c r="DE1208" s="17"/>
      <c r="DF1208" s="17"/>
      <c r="DG1208" s="16"/>
      <c r="DH1208" s="16"/>
      <c r="DI1208" s="17"/>
      <c r="DJ1208" s="17"/>
      <c r="DK1208" s="16"/>
      <c r="DL1208" s="16"/>
      <c r="DM1208" s="17"/>
      <c r="DN1208" s="17"/>
      <c r="DO1208" s="16"/>
      <c r="DP1208" s="16"/>
      <c r="DQ1208" s="17"/>
      <c r="DR1208" s="17"/>
      <c r="DS1208" s="16"/>
      <c r="DT1208" s="16"/>
      <c r="DU1208" s="17"/>
      <c r="DV1208" s="17"/>
      <c r="DW1208" s="16"/>
      <c r="DX1208" s="16"/>
      <c r="DY1208" s="17"/>
      <c r="DZ1208" s="17"/>
      <c r="EA1208" s="16"/>
      <c r="EB1208" s="16"/>
      <c r="EC1208" s="17"/>
      <c r="ED1208" s="17"/>
      <c r="EE1208" s="16"/>
      <c r="EF1208" s="16"/>
      <c r="EG1208" s="17"/>
      <c r="EH1208" s="17"/>
      <c r="EI1208" s="16"/>
      <c r="EJ1208" s="16"/>
      <c r="EK1208" s="17"/>
      <c r="EL1208" s="17"/>
      <c r="EM1208" s="16"/>
      <c r="EN1208" s="16"/>
      <c r="EO1208" s="17"/>
      <c r="EP1208" s="17"/>
      <c r="EQ1208" s="16"/>
      <c r="ER1208" s="16"/>
      <c r="ES1208" s="17"/>
      <c r="ET1208" s="17"/>
      <c r="EU1208" s="16"/>
      <c r="EV1208" s="16"/>
      <c r="EW1208" s="17"/>
      <c r="EX1208" s="17"/>
      <c r="EY1208" s="16"/>
      <c r="EZ1208" s="16"/>
      <c r="FA1208" s="17"/>
      <c r="FB1208" s="17"/>
      <c r="FC1208" s="16"/>
      <c r="FD1208" s="16"/>
      <c r="FE1208" s="17"/>
      <c r="FF1208" s="17"/>
      <c r="FG1208" s="11"/>
      <c r="GT1208" s="11"/>
      <c r="IG1208" s="11"/>
      <c r="JT1208" s="11"/>
      <c r="LG1208" s="11"/>
      <c r="MT1208" s="11"/>
      <c r="OG1208" s="11"/>
      <c r="PT1208" s="11"/>
    </row>
    <row r="1209" spans="1:474" ht="15.75" x14ac:dyDescent="0.25">
      <c r="A1209" s="13"/>
      <c r="B1209" s="14" t="s">
        <v>895</v>
      </c>
      <c r="C1209" s="13"/>
      <c r="D1209" s="13"/>
      <c r="E1209" s="15" t="s">
        <v>76</v>
      </c>
      <c r="F1209" s="15" t="s">
        <v>177</v>
      </c>
      <c r="G1209" s="13"/>
      <c r="H1209" s="11"/>
      <c r="AU1209" s="11"/>
      <c r="CH1209" s="11"/>
      <c r="CI1209" s="16"/>
      <c r="CJ1209" s="16"/>
      <c r="CK1209" s="16"/>
      <c r="CL1209" s="16"/>
      <c r="CM1209" s="16"/>
      <c r="CN1209" s="16"/>
      <c r="CO1209" s="16"/>
      <c r="CP1209" s="16"/>
      <c r="CQ1209" s="16"/>
      <c r="CR1209" s="16"/>
      <c r="CS1209" s="16"/>
      <c r="CT1209" s="16"/>
      <c r="CU1209" s="16"/>
      <c r="CV1209" s="16"/>
      <c r="CW1209" s="16"/>
      <c r="CX1209" s="16"/>
      <c r="CY1209" s="16"/>
      <c r="CZ1209" s="16"/>
      <c r="DA1209" s="16"/>
      <c r="DB1209" s="16"/>
      <c r="DC1209" s="16"/>
      <c r="DD1209" s="16"/>
      <c r="DE1209" s="17"/>
      <c r="DF1209" s="17"/>
      <c r="DG1209" s="16"/>
      <c r="DH1209" s="16"/>
      <c r="DI1209" s="17"/>
      <c r="DJ1209" s="18">
        <v>90</v>
      </c>
      <c r="DK1209" s="16"/>
      <c r="DL1209" s="16"/>
      <c r="DM1209" s="17"/>
      <c r="DN1209" s="17"/>
      <c r="DO1209" s="16"/>
      <c r="DP1209" s="16"/>
      <c r="DQ1209" s="17"/>
      <c r="DR1209" s="17"/>
      <c r="DS1209" s="16"/>
      <c r="DT1209" s="16"/>
      <c r="DU1209" s="17"/>
      <c r="DV1209" s="17"/>
      <c r="DW1209" s="16"/>
      <c r="DX1209" s="19">
        <v>30</v>
      </c>
      <c r="DY1209" s="17"/>
      <c r="DZ1209" s="17"/>
      <c r="EA1209" s="16"/>
      <c r="EB1209" s="16"/>
      <c r="EC1209" s="17"/>
      <c r="ED1209" s="17"/>
      <c r="EE1209" s="16"/>
      <c r="EF1209" s="16"/>
      <c r="EG1209" s="17"/>
      <c r="EH1209" s="17"/>
      <c r="EI1209" s="16"/>
      <c r="EJ1209" s="16"/>
      <c r="EK1209" s="17"/>
      <c r="EL1209" s="17"/>
      <c r="EM1209" s="16"/>
      <c r="EN1209" s="16"/>
      <c r="EO1209" s="17"/>
      <c r="EP1209" s="17"/>
      <c r="EQ1209" s="16"/>
      <c r="ER1209" s="16"/>
      <c r="ES1209" s="17"/>
      <c r="ET1209" s="17"/>
      <c r="EU1209" s="16"/>
      <c r="EV1209" s="16"/>
      <c r="EW1209" s="17"/>
      <c r="EX1209" s="17"/>
      <c r="EY1209" s="16"/>
      <c r="EZ1209" s="16"/>
      <c r="FA1209" s="17"/>
      <c r="FB1209" s="17"/>
      <c r="FC1209" s="16"/>
      <c r="FD1209" s="16"/>
      <c r="FE1209" s="17"/>
      <c r="FF1209" s="17"/>
      <c r="FG1209" s="11"/>
      <c r="GT1209" s="11"/>
      <c r="IG1209" s="11"/>
      <c r="JT1209" s="11"/>
      <c r="LG1209" s="11"/>
      <c r="MT1209" s="11"/>
      <c r="OG1209" s="11"/>
      <c r="PT1209" s="11"/>
    </row>
    <row r="1210" spans="1:474" ht="15.75" x14ac:dyDescent="0.25">
      <c r="C1210" s="20" t="s">
        <v>896</v>
      </c>
      <c r="D1210" s="21" t="s">
        <v>79</v>
      </c>
      <c r="H1210" s="11"/>
      <c r="AU1210" s="11"/>
      <c r="CH1210" s="11"/>
      <c r="CI1210" s="16"/>
      <c r="CJ1210" s="16"/>
      <c r="CK1210" s="16"/>
      <c r="CL1210" s="16"/>
      <c r="CM1210" s="16"/>
      <c r="CN1210" s="16"/>
      <c r="CO1210" s="16"/>
      <c r="CP1210" s="16"/>
      <c r="CQ1210" s="16"/>
      <c r="CR1210" s="16"/>
      <c r="CS1210" s="16"/>
      <c r="CT1210" s="16"/>
      <c r="CU1210" s="16"/>
      <c r="CV1210" s="16"/>
      <c r="CW1210" s="16"/>
      <c r="CX1210" s="16"/>
      <c r="CY1210" s="16"/>
      <c r="CZ1210" s="16"/>
      <c r="DA1210" s="16"/>
      <c r="DB1210" s="16"/>
      <c r="DC1210" s="16"/>
      <c r="DD1210" s="16"/>
      <c r="DE1210" s="17"/>
      <c r="DF1210" s="17"/>
      <c r="DG1210" s="16"/>
      <c r="DH1210" s="16"/>
      <c r="DI1210" s="18">
        <v>10</v>
      </c>
      <c r="DJ1210" s="18">
        <v>5</v>
      </c>
      <c r="DK1210" s="16"/>
      <c r="DL1210" s="16"/>
      <c r="DM1210" s="17"/>
      <c r="DN1210" s="17"/>
      <c r="DO1210" s="16"/>
      <c r="DP1210" s="16"/>
      <c r="DQ1210" s="17"/>
      <c r="DR1210" s="17"/>
      <c r="DS1210" s="16"/>
      <c r="DT1210" s="16"/>
      <c r="DU1210" s="17"/>
      <c r="DV1210" s="17"/>
      <c r="DW1210" s="16"/>
      <c r="DX1210" s="16"/>
      <c r="DY1210" s="17"/>
      <c r="DZ1210" s="17"/>
      <c r="EA1210" s="16"/>
      <c r="EB1210" s="16"/>
      <c r="EC1210" s="17"/>
      <c r="ED1210" s="17"/>
      <c r="EE1210" s="16"/>
      <c r="EF1210" s="16"/>
      <c r="EG1210" s="17"/>
      <c r="EH1210" s="17"/>
      <c r="EI1210" s="16"/>
      <c r="EJ1210" s="16"/>
      <c r="EK1210" s="17"/>
      <c r="EL1210" s="17"/>
      <c r="EM1210" s="16"/>
      <c r="EN1210" s="16"/>
      <c r="EO1210" s="17"/>
      <c r="EP1210" s="17"/>
      <c r="EQ1210" s="16"/>
      <c r="ER1210" s="16"/>
      <c r="ES1210" s="17"/>
      <c r="ET1210" s="17"/>
      <c r="EU1210" s="16"/>
      <c r="EV1210" s="16"/>
      <c r="EW1210" s="17"/>
      <c r="EX1210" s="17"/>
      <c r="EY1210" s="16"/>
      <c r="EZ1210" s="16"/>
      <c r="FA1210" s="17"/>
      <c r="FB1210" s="17"/>
      <c r="FC1210" s="16"/>
      <c r="FD1210" s="16"/>
      <c r="FE1210" s="17"/>
      <c r="FF1210" s="17"/>
      <c r="FG1210" s="11"/>
      <c r="GT1210" s="11"/>
      <c r="IG1210" s="11"/>
      <c r="JT1210" s="11"/>
      <c r="LG1210" s="11"/>
      <c r="MT1210" s="11"/>
      <c r="OG1210" s="11"/>
      <c r="PT1210" s="11"/>
    </row>
    <row r="1211" spans="1:474" ht="15.75" x14ac:dyDescent="0.25">
      <c r="C1211" s="20" t="s">
        <v>897</v>
      </c>
      <c r="D1211" s="21" t="s">
        <v>90</v>
      </c>
      <c r="H1211" s="11"/>
      <c r="AU1211" s="11"/>
      <c r="CH1211" s="11"/>
      <c r="CI1211" s="16"/>
      <c r="CJ1211" s="16"/>
      <c r="CK1211" s="16"/>
      <c r="CL1211" s="16"/>
      <c r="CM1211" s="16"/>
      <c r="CN1211" s="16"/>
      <c r="CO1211" s="16"/>
      <c r="CP1211" s="16"/>
      <c r="CQ1211" s="16"/>
      <c r="CR1211" s="16"/>
      <c r="CS1211" s="16"/>
      <c r="CT1211" s="16"/>
      <c r="CU1211" s="16"/>
      <c r="CV1211" s="16"/>
      <c r="CW1211" s="16"/>
      <c r="CX1211" s="16"/>
      <c r="CY1211" s="16"/>
      <c r="CZ1211" s="16"/>
      <c r="DA1211" s="16"/>
      <c r="DB1211" s="16"/>
      <c r="DC1211" s="16"/>
      <c r="DD1211" s="16"/>
      <c r="DE1211" s="17"/>
      <c r="DF1211" s="17"/>
      <c r="DG1211" s="16"/>
      <c r="DH1211" s="16"/>
      <c r="DI1211" s="17"/>
      <c r="DJ1211" s="17"/>
      <c r="DK1211" s="16"/>
      <c r="DL1211" s="16"/>
      <c r="DM1211" s="17"/>
      <c r="DN1211" s="17"/>
      <c r="DO1211" s="16"/>
      <c r="DP1211" s="16"/>
      <c r="DQ1211" s="17"/>
      <c r="DR1211" s="17"/>
      <c r="DS1211" s="16"/>
      <c r="DT1211" s="16"/>
      <c r="DU1211" s="17"/>
      <c r="DV1211" s="17"/>
      <c r="DW1211" s="16"/>
      <c r="DX1211" s="16"/>
      <c r="DY1211" s="17"/>
      <c r="DZ1211" s="17"/>
      <c r="EA1211" s="16"/>
      <c r="EB1211" s="16"/>
      <c r="EC1211" s="17"/>
      <c r="ED1211" s="17"/>
      <c r="EE1211" s="16"/>
      <c r="EF1211" s="16"/>
      <c r="EG1211" s="17"/>
      <c r="EH1211" s="17"/>
      <c r="EI1211" s="16"/>
      <c r="EJ1211" s="16"/>
      <c r="EK1211" s="17"/>
      <c r="EL1211" s="17"/>
      <c r="EM1211" s="16"/>
      <c r="EN1211" s="16"/>
      <c r="EO1211" s="17"/>
      <c r="EP1211" s="17"/>
      <c r="EQ1211" s="16"/>
      <c r="ER1211" s="16"/>
      <c r="ES1211" s="17"/>
      <c r="ET1211" s="17"/>
      <c r="EU1211" s="16"/>
      <c r="EV1211" s="16"/>
      <c r="EW1211" s="17"/>
      <c r="EX1211" s="17"/>
      <c r="EY1211" s="16"/>
      <c r="EZ1211" s="16"/>
      <c r="FA1211" s="17"/>
      <c r="FB1211" s="17"/>
      <c r="FC1211" s="16"/>
      <c r="FD1211" s="16"/>
      <c r="FE1211" s="17"/>
      <c r="FF1211" s="17"/>
      <c r="FG1211" s="11"/>
      <c r="GT1211" s="11"/>
      <c r="IG1211" s="11"/>
      <c r="JT1211" s="11"/>
      <c r="LG1211" s="11"/>
      <c r="MT1211" s="11"/>
      <c r="OG1211" s="11"/>
      <c r="PT1211" s="11"/>
    </row>
    <row r="1212" spans="1:474" ht="15.75" x14ac:dyDescent="0.25">
      <c r="C1212" s="20" t="s">
        <v>896</v>
      </c>
      <c r="D1212" s="21" t="s">
        <v>79</v>
      </c>
      <c r="H1212" s="11"/>
      <c r="AU1212" s="11"/>
      <c r="CH1212" s="11"/>
      <c r="CI1212" s="16"/>
      <c r="CJ1212" s="16"/>
      <c r="CK1212" s="16"/>
      <c r="CL1212" s="16"/>
      <c r="CM1212" s="16"/>
      <c r="CN1212" s="16"/>
      <c r="CO1212" s="16"/>
      <c r="CP1212" s="16"/>
      <c r="CQ1212" s="16"/>
      <c r="CR1212" s="16"/>
      <c r="CS1212" s="16"/>
      <c r="CT1212" s="16"/>
      <c r="CU1212" s="16"/>
      <c r="CV1212" s="16"/>
      <c r="CW1212" s="16"/>
      <c r="CX1212" s="16"/>
      <c r="CY1212" s="16"/>
      <c r="CZ1212" s="16"/>
      <c r="DA1212" s="16"/>
      <c r="DB1212" s="16"/>
      <c r="DC1212" s="16"/>
      <c r="DD1212" s="16"/>
      <c r="DE1212" s="17"/>
      <c r="DF1212" s="17"/>
      <c r="DG1212" s="16"/>
      <c r="DH1212" s="16"/>
      <c r="DI1212" s="17"/>
      <c r="DJ1212" s="17"/>
      <c r="DK1212" s="16"/>
      <c r="DL1212" s="16"/>
      <c r="DM1212" s="17"/>
      <c r="DN1212" s="17"/>
      <c r="DO1212" s="16"/>
      <c r="DP1212" s="16"/>
      <c r="DQ1212" s="17"/>
      <c r="DR1212" s="17"/>
      <c r="DS1212" s="16"/>
      <c r="DT1212" s="16"/>
      <c r="DU1212" s="17"/>
      <c r="DV1212" s="17"/>
      <c r="DW1212" s="16"/>
      <c r="DX1212" s="16"/>
      <c r="DY1212" s="17"/>
      <c r="DZ1212" s="17"/>
      <c r="EA1212" s="16"/>
      <c r="EB1212" s="16"/>
      <c r="EC1212" s="17"/>
      <c r="ED1212" s="17"/>
      <c r="EE1212" s="16"/>
      <c r="EF1212" s="16"/>
      <c r="EG1212" s="17"/>
      <c r="EH1212" s="17"/>
      <c r="EI1212" s="16"/>
      <c r="EJ1212" s="16"/>
      <c r="EK1212" s="17"/>
      <c r="EL1212" s="17"/>
      <c r="EM1212" s="16"/>
      <c r="EN1212" s="16"/>
      <c r="EO1212" s="17"/>
      <c r="EP1212" s="17"/>
      <c r="EQ1212" s="16"/>
      <c r="ER1212" s="16"/>
      <c r="ES1212" s="17"/>
      <c r="ET1212" s="17"/>
      <c r="EU1212" s="16"/>
      <c r="EV1212" s="16"/>
      <c r="EW1212" s="17"/>
      <c r="EX1212" s="17"/>
      <c r="EY1212" s="16"/>
      <c r="EZ1212" s="16"/>
      <c r="FA1212" s="17"/>
      <c r="FB1212" s="17"/>
      <c r="FC1212" s="16"/>
      <c r="FD1212" s="16"/>
      <c r="FE1212" s="17"/>
      <c r="FF1212" s="17"/>
      <c r="FG1212" s="11"/>
      <c r="GT1212" s="11"/>
      <c r="IG1212" s="11"/>
      <c r="JT1212" s="11"/>
      <c r="LG1212" s="11"/>
      <c r="MT1212" s="11"/>
      <c r="OG1212" s="11"/>
      <c r="PT1212" s="11"/>
    </row>
    <row r="1213" spans="1:474" ht="15.75" x14ac:dyDescent="0.25">
      <c r="C1213" s="20" t="s">
        <v>897</v>
      </c>
      <c r="D1213" s="21" t="s">
        <v>90</v>
      </c>
      <c r="H1213" s="11"/>
      <c r="AU1213" s="11"/>
      <c r="CH1213" s="11"/>
      <c r="CI1213" s="16"/>
      <c r="CJ1213" s="16"/>
      <c r="CK1213" s="16"/>
      <c r="CL1213" s="16"/>
      <c r="CM1213" s="16"/>
      <c r="CN1213" s="16"/>
      <c r="CO1213" s="16"/>
      <c r="CP1213" s="16"/>
      <c r="CQ1213" s="16"/>
      <c r="CR1213" s="16"/>
      <c r="CS1213" s="16"/>
      <c r="CT1213" s="16"/>
      <c r="CU1213" s="16"/>
      <c r="CV1213" s="16"/>
      <c r="CW1213" s="16"/>
      <c r="CX1213" s="16"/>
      <c r="CY1213" s="16"/>
      <c r="CZ1213" s="16"/>
      <c r="DA1213" s="16"/>
      <c r="DB1213" s="16"/>
      <c r="DC1213" s="16"/>
      <c r="DD1213" s="16"/>
      <c r="DE1213" s="17"/>
      <c r="DF1213" s="17"/>
      <c r="DG1213" s="16"/>
      <c r="DH1213" s="16"/>
      <c r="DI1213" s="17"/>
      <c r="DJ1213" s="17"/>
      <c r="DK1213" s="16"/>
      <c r="DL1213" s="16"/>
      <c r="DM1213" s="17"/>
      <c r="DN1213" s="17"/>
      <c r="DO1213" s="16"/>
      <c r="DP1213" s="16"/>
      <c r="DQ1213" s="17"/>
      <c r="DR1213" s="17"/>
      <c r="DS1213" s="16"/>
      <c r="DT1213" s="16"/>
      <c r="DU1213" s="17"/>
      <c r="DV1213" s="17"/>
      <c r="DW1213" s="16"/>
      <c r="DX1213" s="16"/>
      <c r="DY1213" s="17"/>
      <c r="DZ1213" s="17"/>
      <c r="EA1213" s="16"/>
      <c r="EB1213" s="16"/>
      <c r="EC1213" s="17"/>
      <c r="ED1213" s="17"/>
      <c r="EE1213" s="16"/>
      <c r="EF1213" s="16"/>
      <c r="EG1213" s="17"/>
      <c r="EH1213" s="17"/>
      <c r="EI1213" s="16"/>
      <c r="EJ1213" s="16"/>
      <c r="EK1213" s="17"/>
      <c r="EL1213" s="17"/>
      <c r="EM1213" s="16"/>
      <c r="EN1213" s="16"/>
      <c r="EO1213" s="17"/>
      <c r="EP1213" s="17"/>
      <c r="EQ1213" s="16"/>
      <c r="ER1213" s="16"/>
      <c r="ES1213" s="17"/>
      <c r="ET1213" s="17"/>
      <c r="EU1213" s="16"/>
      <c r="EV1213" s="16"/>
      <c r="EW1213" s="17"/>
      <c r="EX1213" s="17"/>
      <c r="EY1213" s="16"/>
      <c r="EZ1213" s="16"/>
      <c r="FA1213" s="17"/>
      <c r="FB1213" s="17"/>
      <c r="FC1213" s="16"/>
      <c r="FD1213" s="16"/>
      <c r="FE1213" s="17"/>
      <c r="FF1213" s="17"/>
      <c r="FG1213" s="11"/>
      <c r="GT1213" s="11"/>
      <c r="IG1213" s="11"/>
      <c r="JT1213" s="11"/>
      <c r="LG1213" s="11"/>
      <c r="MT1213" s="11"/>
      <c r="OG1213" s="11"/>
      <c r="PT1213" s="11"/>
    </row>
    <row r="1214" spans="1:474" ht="15.75" x14ac:dyDescent="0.25">
      <c r="A1214" s="13"/>
      <c r="B1214" s="14" t="s">
        <v>898</v>
      </c>
      <c r="C1214" s="13"/>
      <c r="D1214" s="13"/>
      <c r="E1214" s="15" t="s">
        <v>76</v>
      </c>
      <c r="F1214" s="15" t="s">
        <v>177</v>
      </c>
      <c r="G1214" s="13"/>
      <c r="H1214" s="11"/>
      <c r="AU1214" s="11"/>
      <c r="CH1214" s="11"/>
      <c r="CI1214" s="16"/>
      <c r="CJ1214" s="16"/>
      <c r="CK1214" s="16"/>
      <c r="CL1214" s="16"/>
      <c r="CM1214" s="16"/>
      <c r="CN1214" s="16"/>
      <c r="CO1214" s="16"/>
      <c r="CP1214" s="16"/>
      <c r="CQ1214" s="16"/>
      <c r="CR1214" s="16"/>
      <c r="CS1214" s="16"/>
      <c r="CT1214" s="16"/>
      <c r="CU1214" s="16"/>
      <c r="CV1214" s="16"/>
      <c r="CW1214" s="16"/>
      <c r="CX1214" s="16"/>
      <c r="CY1214" s="16"/>
      <c r="CZ1214" s="16"/>
      <c r="DA1214" s="16"/>
      <c r="DB1214" s="16"/>
      <c r="DC1214" s="16"/>
      <c r="DD1214" s="16"/>
      <c r="DE1214" s="17"/>
      <c r="DF1214" s="17"/>
      <c r="DG1214" s="16"/>
      <c r="DH1214" s="16"/>
      <c r="DI1214" s="17"/>
      <c r="DJ1214" s="17"/>
      <c r="DK1214" s="16"/>
      <c r="DL1214" s="16"/>
      <c r="DM1214" s="17"/>
      <c r="DN1214" s="17"/>
      <c r="DO1214" s="16"/>
      <c r="DP1214" s="16"/>
      <c r="DQ1214" s="17"/>
      <c r="DR1214" s="17"/>
      <c r="DS1214" s="16"/>
      <c r="DT1214" s="16"/>
      <c r="DU1214" s="17"/>
      <c r="DV1214" s="17"/>
      <c r="DW1214" s="16"/>
      <c r="DX1214" s="16"/>
      <c r="DY1214" s="17"/>
      <c r="DZ1214" s="17"/>
      <c r="EA1214" s="16"/>
      <c r="EB1214" s="16"/>
      <c r="EC1214" s="17"/>
      <c r="ED1214" s="17"/>
      <c r="EE1214" s="16"/>
      <c r="EF1214" s="16"/>
      <c r="EG1214" s="17"/>
      <c r="EH1214" s="17"/>
      <c r="EI1214" s="16"/>
      <c r="EJ1214" s="16"/>
      <c r="EK1214" s="17"/>
      <c r="EL1214" s="17"/>
      <c r="EM1214" s="16"/>
      <c r="EN1214" s="16"/>
      <c r="EO1214" s="17"/>
      <c r="EP1214" s="17"/>
      <c r="EQ1214" s="16"/>
      <c r="ER1214" s="16"/>
      <c r="ES1214" s="17"/>
      <c r="ET1214" s="18">
        <v>60</v>
      </c>
      <c r="EU1214" s="16"/>
      <c r="EV1214" s="16"/>
      <c r="EW1214" s="17"/>
      <c r="EX1214" s="17"/>
      <c r="EY1214" s="16"/>
      <c r="EZ1214" s="16"/>
      <c r="FA1214" s="17"/>
      <c r="FB1214" s="17"/>
      <c r="FC1214" s="16"/>
      <c r="FD1214" s="16"/>
      <c r="FE1214" s="17"/>
      <c r="FF1214" s="17"/>
      <c r="FG1214" s="11"/>
      <c r="GT1214" s="11"/>
      <c r="IG1214" s="11"/>
      <c r="JT1214" s="11"/>
      <c r="LG1214" s="11"/>
      <c r="MT1214" s="11"/>
      <c r="OG1214" s="11"/>
      <c r="PT1214" s="11"/>
    </row>
    <row r="1215" spans="1:474" ht="15.75" x14ac:dyDescent="0.25">
      <c r="A1215" s="13"/>
      <c r="B1215" s="14" t="s">
        <v>899</v>
      </c>
      <c r="C1215" s="13"/>
      <c r="D1215" s="13"/>
      <c r="E1215" s="15" t="s">
        <v>127</v>
      </c>
      <c r="F1215" s="15" t="s">
        <v>177</v>
      </c>
      <c r="G1215" s="13"/>
      <c r="H1215" s="11"/>
      <c r="AU1215" s="11"/>
      <c r="CH1215" s="11"/>
      <c r="CI1215" s="16"/>
      <c r="CJ1215" s="16"/>
      <c r="CK1215" s="16"/>
      <c r="CL1215" s="16"/>
      <c r="CM1215" s="16"/>
      <c r="CN1215" s="16"/>
      <c r="CO1215" s="16"/>
      <c r="CP1215" s="16"/>
      <c r="CQ1215" s="16"/>
      <c r="CR1215" s="16"/>
      <c r="CS1215" s="16"/>
      <c r="CT1215" s="16"/>
      <c r="CU1215" s="16"/>
      <c r="CV1215" s="16"/>
      <c r="CW1215" s="16"/>
      <c r="CX1215" s="16"/>
      <c r="CY1215" s="16"/>
      <c r="CZ1215" s="16"/>
      <c r="DA1215" s="16"/>
      <c r="DB1215" s="16"/>
      <c r="DC1215" s="16"/>
      <c r="DD1215" s="16"/>
      <c r="DE1215" s="17"/>
      <c r="DF1215" s="17"/>
      <c r="DG1215" s="16"/>
      <c r="DH1215" s="16"/>
      <c r="DI1215" s="17"/>
      <c r="DJ1215" s="17"/>
      <c r="DK1215" s="16"/>
      <c r="DL1215" s="16"/>
      <c r="DM1215" s="17"/>
      <c r="DN1215" s="17"/>
      <c r="DO1215" s="16"/>
      <c r="DP1215" s="16"/>
      <c r="DQ1215" s="17"/>
      <c r="DR1215" s="17"/>
      <c r="DS1215" s="16"/>
      <c r="DT1215" s="16"/>
      <c r="DU1215" s="17"/>
      <c r="DV1215" s="17"/>
      <c r="DW1215" s="16"/>
      <c r="DX1215" s="16"/>
      <c r="DY1215" s="17"/>
      <c r="DZ1215" s="17"/>
      <c r="EA1215" s="16"/>
      <c r="EB1215" s="16"/>
      <c r="EC1215" s="17"/>
      <c r="ED1215" s="17"/>
      <c r="EE1215" s="16"/>
      <c r="EF1215" s="16"/>
      <c r="EG1215" s="17"/>
      <c r="EH1215" s="17"/>
      <c r="EI1215" s="16"/>
      <c r="EJ1215" s="16"/>
      <c r="EK1215" s="17"/>
      <c r="EL1215" s="17"/>
      <c r="EM1215" s="16"/>
      <c r="EN1215" s="16"/>
      <c r="EO1215" s="17"/>
      <c r="EP1215" s="17"/>
      <c r="EQ1215" s="16"/>
      <c r="ER1215" s="16"/>
      <c r="ES1215" s="17"/>
      <c r="ET1215" s="17"/>
      <c r="EU1215" s="16"/>
      <c r="EV1215" s="16"/>
      <c r="EW1215" s="17"/>
      <c r="EX1215" s="17"/>
      <c r="EY1215" s="16"/>
      <c r="EZ1215" s="16"/>
      <c r="FA1215" s="17"/>
      <c r="FB1215" s="17"/>
      <c r="FC1215" s="16"/>
      <c r="FD1215" s="16"/>
      <c r="FE1215" s="17"/>
      <c r="FF1215" s="17"/>
      <c r="FG1215" s="11"/>
      <c r="GT1215" s="11"/>
      <c r="IG1215" s="11"/>
      <c r="JT1215" s="11"/>
      <c r="LG1215" s="11"/>
      <c r="MT1215" s="11"/>
      <c r="OG1215" s="11"/>
      <c r="PT1215" s="11"/>
    </row>
    <row r="1216" spans="1:474" x14ac:dyDescent="0.25">
      <c r="A1216" s="57" t="s">
        <v>900</v>
      </c>
      <c r="B1216" s="57"/>
      <c r="C1216" s="57"/>
      <c r="D1216" s="57"/>
      <c r="E1216" s="57"/>
      <c r="F1216" s="57"/>
      <c r="G1216" s="57"/>
      <c r="H1216" s="57"/>
      <c r="I1216" s="57"/>
      <c r="J1216" s="57"/>
      <c r="K1216" s="57"/>
      <c r="L1216" s="57"/>
      <c r="M1216" s="57"/>
      <c r="N1216" s="57"/>
      <c r="O1216" s="57"/>
      <c r="P1216" s="57"/>
      <c r="Q1216" s="57"/>
      <c r="R1216" s="57"/>
      <c r="S1216" s="57"/>
      <c r="T1216" s="57"/>
      <c r="U1216" s="57"/>
      <c r="V1216" s="57"/>
      <c r="W1216" s="57"/>
      <c r="X1216" s="57"/>
      <c r="Y1216" s="57"/>
      <c r="Z1216" s="57"/>
      <c r="AA1216" s="57"/>
      <c r="AB1216" s="57"/>
      <c r="AC1216" s="57"/>
      <c r="AD1216" s="57"/>
      <c r="AE1216" s="57"/>
      <c r="AF1216" s="57"/>
      <c r="AG1216" s="57"/>
      <c r="AH1216" s="57"/>
      <c r="AI1216" s="57"/>
      <c r="AJ1216" s="57"/>
      <c r="AK1216" s="57"/>
      <c r="AL1216" s="57"/>
      <c r="AM1216" s="57"/>
      <c r="AN1216" s="57"/>
      <c r="AO1216" s="57"/>
      <c r="AP1216" s="57"/>
      <c r="AQ1216" s="57"/>
      <c r="AR1216" s="57"/>
      <c r="AS1216" s="57"/>
      <c r="AT1216" s="57"/>
      <c r="AU1216" s="57"/>
      <c r="AV1216" s="57"/>
      <c r="AW1216" s="57"/>
      <c r="AX1216" s="57"/>
      <c r="AY1216" s="57"/>
      <c r="AZ1216" s="57"/>
      <c r="BA1216" s="57"/>
      <c r="BB1216" s="57"/>
      <c r="BC1216" s="57"/>
      <c r="BD1216" s="57"/>
      <c r="BE1216" s="57"/>
      <c r="BF1216" s="57"/>
      <c r="BG1216" s="57"/>
      <c r="BH1216" s="57"/>
      <c r="BI1216" s="57"/>
      <c r="BJ1216" s="57"/>
      <c r="BK1216" s="57"/>
      <c r="BL1216" s="57"/>
      <c r="BM1216" s="57"/>
      <c r="BN1216" s="57"/>
      <c r="BO1216" s="57"/>
      <c r="BP1216" s="57"/>
      <c r="BQ1216" s="57"/>
      <c r="BR1216" s="57"/>
      <c r="BS1216" s="57"/>
      <c r="BT1216" s="57"/>
      <c r="BU1216" s="57"/>
      <c r="BV1216" s="57"/>
      <c r="BW1216" s="57"/>
      <c r="BX1216" s="57"/>
      <c r="BY1216" s="57"/>
      <c r="BZ1216" s="57"/>
      <c r="CA1216" s="57"/>
      <c r="CB1216" s="57"/>
      <c r="CC1216" s="57"/>
      <c r="CD1216" s="57"/>
      <c r="CE1216" s="57"/>
      <c r="CF1216" s="57"/>
      <c r="CG1216" s="57"/>
      <c r="CH1216" s="57"/>
      <c r="CI1216" s="57"/>
      <c r="CJ1216" s="57"/>
      <c r="CK1216" s="57"/>
      <c r="CL1216" s="57"/>
      <c r="CM1216" s="57"/>
      <c r="CN1216" s="57"/>
      <c r="CO1216" s="57"/>
      <c r="CP1216" s="57"/>
      <c r="CQ1216" s="57"/>
      <c r="CR1216" s="57"/>
      <c r="CS1216" s="57"/>
      <c r="CT1216" s="57"/>
      <c r="CU1216" s="57"/>
      <c r="CV1216" s="57"/>
      <c r="CW1216" s="57"/>
      <c r="CX1216" s="57"/>
      <c r="CY1216" s="57"/>
      <c r="CZ1216" s="57"/>
      <c r="DA1216" s="57"/>
      <c r="DB1216" s="57"/>
      <c r="DC1216" s="57"/>
      <c r="DD1216" s="57"/>
      <c r="DE1216" s="57"/>
      <c r="DF1216" s="57"/>
      <c r="DG1216" s="57"/>
      <c r="DH1216" s="57"/>
      <c r="DI1216" s="57"/>
      <c r="DJ1216" s="57"/>
      <c r="DK1216" s="57"/>
      <c r="DL1216" s="57"/>
      <c r="DM1216" s="57"/>
      <c r="DN1216" s="57"/>
      <c r="DO1216" s="57"/>
      <c r="DP1216" s="57"/>
      <c r="DQ1216" s="57"/>
      <c r="DR1216" s="57"/>
      <c r="DS1216" s="57"/>
      <c r="DT1216" s="57"/>
      <c r="DU1216" s="57"/>
      <c r="DV1216" s="57"/>
      <c r="DW1216" s="57"/>
      <c r="DX1216" s="57"/>
      <c r="DY1216" s="57"/>
      <c r="DZ1216" s="57"/>
      <c r="EA1216" s="57"/>
      <c r="EB1216" s="57"/>
      <c r="EC1216" s="57"/>
      <c r="ED1216" s="57"/>
      <c r="EE1216" s="57"/>
      <c r="EF1216" s="57"/>
      <c r="EG1216" s="57"/>
      <c r="EH1216" s="57"/>
      <c r="EI1216" s="57"/>
      <c r="EJ1216" s="57"/>
      <c r="EK1216" s="57"/>
      <c r="EL1216" s="57"/>
      <c r="EM1216" s="57"/>
      <c r="EN1216" s="57"/>
      <c r="EO1216" s="57"/>
      <c r="EP1216" s="57"/>
      <c r="EQ1216" s="57"/>
      <c r="ER1216" s="57"/>
      <c r="ES1216" s="57"/>
      <c r="ET1216" s="57"/>
      <c r="EU1216" s="57"/>
      <c r="EV1216" s="57"/>
      <c r="EW1216" s="57"/>
      <c r="EX1216" s="57"/>
      <c r="EY1216" s="57"/>
      <c r="EZ1216" s="57"/>
      <c r="FA1216" s="57"/>
      <c r="FB1216" s="57"/>
      <c r="FC1216" s="57"/>
      <c r="FD1216" s="57"/>
      <c r="FE1216" s="57"/>
      <c r="FF1216" s="57"/>
      <c r="FG1216" s="57"/>
      <c r="FH1216" s="57"/>
      <c r="FI1216" s="57"/>
      <c r="FJ1216" s="57"/>
      <c r="FK1216" s="57"/>
      <c r="FL1216" s="57"/>
      <c r="FM1216" s="57"/>
      <c r="FN1216" s="57"/>
      <c r="FO1216" s="57"/>
      <c r="FP1216" s="57"/>
      <c r="FQ1216" s="57"/>
      <c r="FR1216" s="57"/>
      <c r="FS1216" s="57"/>
      <c r="FT1216" s="57"/>
      <c r="FU1216" s="57"/>
      <c r="FV1216" s="57"/>
      <c r="FW1216" s="57"/>
      <c r="FX1216" s="57"/>
      <c r="FY1216" s="57"/>
      <c r="FZ1216" s="57"/>
      <c r="GA1216" s="57"/>
      <c r="GB1216" s="57"/>
      <c r="GC1216" s="57"/>
      <c r="GD1216" s="57"/>
      <c r="GE1216" s="57"/>
      <c r="GF1216" s="57"/>
      <c r="GG1216" s="57"/>
      <c r="GH1216" s="57"/>
      <c r="GI1216" s="57"/>
      <c r="GJ1216" s="57"/>
      <c r="GK1216" s="57"/>
      <c r="GL1216" s="57"/>
      <c r="GM1216" s="57"/>
      <c r="GN1216" s="57"/>
      <c r="GO1216" s="57"/>
      <c r="GP1216" s="57"/>
      <c r="GQ1216" s="57"/>
      <c r="GR1216" s="57"/>
      <c r="GS1216" s="57"/>
      <c r="GT1216" s="57"/>
      <c r="GU1216" s="57"/>
      <c r="GV1216" s="57"/>
      <c r="GW1216" s="57"/>
      <c r="GX1216" s="57"/>
      <c r="GY1216" s="57"/>
      <c r="GZ1216" s="57"/>
      <c r="HA1216" s="57"/>
      <c r="HB1216" s="57"/>
      <c r="HC1216" s="57"/>
      <c r="HD1216" s="57"/>
      <c r="HE1216" s="57"/>
      <c r="HF1216" s="57"/>
      <c r="HG1216" s="57"/>
      <c r="HH1216" s="57"/>
      <c r="HI1216" s="57"/>
      <c r="HJ1216" s="57"/>
      <c r="HK1216" s="57"/>
      <c r="HL1216" s="57"/>
      <c r="HM1216" s="57"/>
      <c r="HN1216" s="57"/>
      <c r="HO1216" s="57"/>
      <c r="HP1216" s="57"/>
      <c r="HQ1216" s="57"/>
      <c r="HR1216" s="57"/>
      <c r="HS1216" s="57"/>
      <c r="HT1216" s="57"/>
      <c r="HU1216" s="57"/>
      <c r="HV1216" s="57"/>
      <c r="HW1216" s="57"/>
      <c r="HX1216" s="57"/>
      <c r="HY1216" s="57"/>
      <c r="HZ1216" s="57"/>
      <c r="IA1216" s="57"/>
      <c r="IB1216" s="57"/>
      <c r="IC1216" s="57"/>
      <c r="ID1216" s="57"/>
      <c r="IE1216" s="57"/>
      <c r="IF1216" s="57"/>
      <c r="IG1216" s="57"/>
      <c r="IH1216" s="57"/>
      <c r="II1216" s="57"/>
      <c r="IJ1216" s="57"/>
      <c r="IK1216" s="57"/>
      <c r="IL1216" s="57"/>
      <c r="IM1216" s="57"/>
      <c r="IN1216" s="57"/>
      <c r="IO1216" s="57"/>
      <c r="IP1216" s="57"/>
      <c r="IQ1216" s="57"/>
      <c r="IR1216" s="57"/>
      <c r="IS1216" s="57"/>
      <c r="IT1216" s="57"/>
      <c r="IU1216" s="57"/>
      <c r="IV1216" s="57"/>
      <c r="IW1216" s="57"/>
      <c r="IX1216" s="57"/>
      <c r="IY1216" s="57"/>
      <c r="IZ1216" s="57"/>
      <c r="JA1216" s="57"/>
      <c r="JB1216" s="57"/>
      <c r="JC1216" s="57"/>
      <c r="JD1216" s="57"/>
      <c r="JE1216" s="57"/>
      <c r="JF1216" s="57"/>
      <c r="JG1216" s="57"/>
      <c r="JH1216" s="57"/>
      <c r="JI1216" s="57"/>
      <c r="JJ1216" s="57"/>
      <c r="JK1216" s="57"/>
      <c r="JL1216" s="57"/>
      <c r="JM1216" s="57"/>
      <c r="JN1216" s="57"/>
      <c r="JO1216" s="57"/>
      <c r="JP1216" s="57"/>
      <c r="JQ1216" s="57"/>
      <c r="JR1216" s="57"/>
      <c r="JS1216" s="57"/>
      <c r="JT1216" s="57"/>
      <c r="JU1216" s="57"/>
      <c r="JV1216" s="57"/>
      <c r="JW1216" s="57"/>
      <c r="JX1216" s="57"/>
      <c r="JY1216" s="57"/>
      <c r="JZ1216" s="57"/>
      <c r="KA1216" s="57"/>
      <c r="KB1216" s="57"/>
      <c r="KC1216" s="57"/>
      <c r="KD1216" s="57"/>
      <c r="KE1216" s="57"/>
      <c r="KF1216" s="57"/>
      <c r="KG1216" s="57"/>
      <c r="KH1216" s="57"/>
      <c r="KI1216" s="57"/>
      <c r="KJ1216" s="57"/>
      <c r="KK1216" s="57"/>
      <c r="KL1216" s="57"/>
      <c r="KM1216" s="57"/>
      <c r="KN1216" s="57"/>
      <c r="KO1216" s="57"/>
      <c r="KP1216" s="57"/>
      <c r="KQ1216" s="57"/>
      <c r="KR1216" s="57"/>
      <c r="KS1216" s="57"/>
      <c r="KT1216" s="57"/>
      <c r="KU1216" s="57"/>
      <c r="KV1216" s="57"/>
      <c r="KW1216" s="57"/>
      <c r="KX1216" s="57"/>
      <c r="KY1216" s="57"/>
      <c r="KZ1216" s="57"/>
      <c r="LA1216" s="57"/>
      <c r="LB1216" s="57"/>
      <c r="LC1216" s="57"/>
      <c r="LD1216" s="57"/>
      <c r="LE1216" s="57"/>
      <c r="LF1216" s="57"/>
      <c r="LG1216" s="57"/>
      <c r="LH1216" s="57"/>
      <c r="LI1216" s="57"/>
      <c r="LJ1216" s="57"/>
      <c r="LK1216" s="57"/>
      <c r="LL1216" s="57"/>
      <c r="LM1216" s="57"/>
      <c r="LN1216" s="57"/>
      <c r="LO1216" s="57"/>
      <c r="LP1216" s="57"/>
      <c r="LQ1216" s="57"/>
      <c r="LR1216" s="57"/>
      <c r="LS1216" s="57"/>
      <c r="LT1216" s="57"/>
      <c r="LU1216" s="57"/>
      <c r="LV1216" s="57"/>
      <c r="LW1216" s="57"/>
      <c r="LX1216" s="57"/>
      <c r="LY1216" s="57"/>
      <c r="LZ1216" s="57"/>
      <c r="MA1216" s="57"/>
      <c r="MB1216" s="57"/>
      <c r="MC1216" s="57"/>
      <c r="MD1216" s="57"/>
      <c r="ME1216" s="57"/>
      <c r="MF1216" s="57"/>
      <c r="MG1216" s="57"/>
      <c r="MH1216" s="57"/>
      <c r="MI1216" s="57"/>
      <c r="MJ1216" s="57"/>
      <c r="MK1216" s="57"/>
      <c r="ML1216" s="57"/>
      <c r="MM1216" s="57"/>
      <c r="MN1216" s="57"/>
      <c r="MO1216" s="57"/>
      <c r="MP1216" s="57"/>
      <c r="MQ1216" s="57"/>
      <c r="MR1216" s="57"/>
      <c r="MS1216" s="57"/>
      <c r="MT1216" s="57"/>
      <c r="MU1216" s="57"/>
      <c r="MV1216" s="57"/>
      <c r="MW1216" s="57"/>
      <c r="MX1216" s="57"/>
      <c r="MY1216" s="57"/>
      <c r="MZ1216" s="57"/>
      <c r="NA1216" s="57"/>
      <c r="NB1216" s="57"/>
      <c r="NC1216" s="57"/>
      <c r="ND1216" s="57"/>
      <c r="NE1216" s="57"/>
      <c r="NF1216" s="57"/>
      <c r="NG1216" s="57"/>
      <c r="NH1216" s="57"/>
      <c r="NI1216" s="57"/>
      <c r="NJ1216" s="57"/>
      <c r="NK1216" s="57"/>
      <c r="NL1216" s="57"/>
      <c r="NM1216" s="57"/>
      <c r="NN1216" s="57"/>
      <c r="NO1216" s="57"/>
      <c r="NP1216" s="57"/>
      <c r="NQ1216" s="57"/>
      <c r="NR1216" s="57"/>
      <c r="NS1216" s="57"/>
      <c r="NT1216" s="57"/>
      <c r="NU1216" s="57"/>
      <c r="NV1216" s="57"/>
      <c r="NW1216" s="57"/>
      <c r="NX1216" s="57"/>
      <c r="NY1216" s="57"/>
      <c r="NZ1216" s="57"/>
      <c r="OA1216" s="57"/>
      <c r="OB1216" s="57"/>
      <c r="OC1216" s="57"/>
      <c r="OD1216" s="57"/>
      <c r="OE1216" s="57"/>
      <c r="OF1216" s="57"/>
      <c r="OG1216" s="57"/>
      <c r="OH1216" s="57"/>
      <c r="OI1216" s="57"/>
      <c r="OJ1216" s="57"/>
      <c r="OK1216" s="57"/>
      <c r="OL1216" s="57"/>
      <c r="OM1216" s="57"/>
      <c r="ON1216" s="57"/>
      <c r="OO1216" s="57"/>
      <c r="OP1216" s="57"/>
      <c r="OQ1216" s="57"/>
      <c r="OR1216" s="57"/>
      <c r="OS1216" s="57"/>
      <c r="OT1216" s="57"/>
      <c r="OU1216" s="57"/>
      <c r="OV1216" s="57"/>
      <c r="OW1216" s="57"/>
      <c r="OX1216" s="57"/>
      <c r="OY1216" s="57"/>
      <c r="OZ1216" s="57"/>
      <c r="PA1216" s="57"/>
      <c r="PB1216" s="57"/>
      <c r="PC1216" s="57"/>
      <c r="PD1216" s="57"/>
      <c r="PE1216" s="57"/>
      <c r="PF1216" s="57"/>
      <c r="PG1216" s="57"/>
      <c r="PH1216" s="57"/>
      <c r="PI1216" s="57"/>
      <c r="PJ1216" s="57"/>
      <c r="PK1216" s="57"/>
      <c r="PL1216" s="57"/>
      <c r="PM1216" s="57"/>
      <c r="PN1216" s="57"/>
      <c r="PO1216" s="57"/>
      <c r="PP1216" s="57"/>
      <c r="PQ1216" s="57"/>
      <c r="PR1216" s="57"/>
      <c r="PS1216" s="57"/>
      <c r="PT1216" s="57"/>
      <c r="PU1216" s="57"/>
      <c r="PV1216" s="57"/>
      <c r="PW1216" s="57"/>
      <c r="PX1216" s="57"/>
      <c r="PY1216" s="57"/>
      <c r="PZ1216" s="57"/>
      <c r="QA1216" s="57"/>
      <c r="QB1216" s="57"/>
      <c r="QC1216" s="57"/>
      <c r="QD1216" s="57"/>
      <c r="QE1216" s="57"/>
      <c r="QF1216" s="57"/>
      <c r="QG1216" s="57"/>
      <c r="QH1216" s="57"/>
      <c r="QI1216" s="57"/>
      <c r="QJ1216" s="57"/>
      <c r="QK1216" s="57"/>
      <c r="QL1216" s="57"/>
      <c r="QM1216" s="57"/>
      <c r="QN1216" s="57"/>
      <c r="QO1216" s="57"/>
      <c r="QP1216" s="57"/>
      <c r="QQ1216" s="57"/>
      <c r="QR1216" s="57"/>
      <c r="QS1216" s="57"/>
      <c r="QT1216" s="57"/>
      <c r="QU1216" s="57"/>
      <c r="QV1216" s="57"/>
      <c r="QW1216" s="57"/>
      <c r="QX1216" s="57"/>
      <c r="QY1216" s="57"/>
      <c r="QZ1216" s="57"/>
      <c r="RA1216" s="57"/>
      <c r="RB1216" s="57"/>
      <c r="RC1216" s="57"/>
      <c r="RD1216" s="57"/>
      <c r="RE1216" s="57"/>
      <c r="RF1216" s="57"/>
    </row>
    <row r="1217" spans="1:436" x14ac:dyDescent="0.25">
      <c r="H1217" s="11"/>
      <c r="AU1217" s="11"/>
      <c r="CH1217" s="11"/>
      <c r="CI1217" s="12" t="s">
        <v>73</v>
      </c>
      <c r="CJ1217" s="12" t="s">
        <v>74</v>
      </c>
      <c r="CK1217" s="12" t="s">
        <v>73</v>
      </c>
      <c r="CL1217" s="12" t="s">
        <v>74</v>
      </c>
      <c r="CM1217" s="12" t="s">
        <v>73</v>
      </c>
      <c r="CN1217" s="12" t="s">
        <v>74</v>
      </c>
      <c r="CO1217" s="12" t="s">
        <v>73</v>
      </c>
      <c r="CP1217" s="12" t="s">
        <v>74</v>
      </c>
      <c r="CQ1217" s="12" t="s">
        <v>73</v>
      </c>
      <c r="CR1217" s="12" t="s">
        <v>74</v>
      </c>
      <c r="CS1217" s="12" t="s">
        <v>73</v>
      </c>
      <c r="CT1217" s="12" t="s">
        <v>74</v>
      </c>
      <c r="CU1217" s="12" t="s">
        <v>73</v>
      </c>
      <c r="CV1217" s="12" t="s">
        <v>74</v>
      </c>
      <c r="CW1217" s="12" t="s">
        <v>73</v>
      </c>
      <c r="CX1217" s="12" t="s">
        <v>74</v>
      </c>
      <c r="CY1217" s="12" t="s">
        <v>73</v>
      </c>
      <c r="CZ1217" s="12" t="s">
        <v>74</v>
      </c>
      <c r="DA1217" s="12" t="s">
        <v>73</v>
      </c>
      <c r="DB1217" s="12" t="s">
        <v>74</v>
      </c>
      <c r="DC1217" s="12" t="s">
        <v>73</v>
      </c>
      <c r="DD1217" s="12" t="s">
        <v>74</v>
      </c>
      <c r="DE1217" s="12" t="s">
        <v>73</v>
      </c>
      <c r="DF1217" s="12" t="s">
        <v>74</v>
      </c>
      <c r="DG1217" s="12" t="s">
        <v>73</v>
      </c>
      <c r="DH1217" s="12" t="s">
        <v>74</v>
      </c>
      <c r="DI1217" s="12" t="s">
        <v>73</v>
      </c>
      <c r="DJ1217" s="12" t="s">
        <v>74</v>
      </c>
      <c r="DK1217" s="12" t="s">
        <v>73</v>
      </c>
      <c r="DL1217" s="12" t="s">
        <v>74</v>
      </c>
      <c r="DM1217" s="12" t="s">
        <v>73</v>
      </c>
      <c r="DN1217" s="12" t="s">
        <v>74</v>
      </c>
      <c r="DO1217" s="12" t="s">
        <v>73</v>
      </c>
      <c r="DP1217" s="12" t="s">
        <v>74</v>
      </c>
      <c r="DQ1217" s="12" t="s">
        <v>73</v>
      </c>
      <c r="DR1217" s="12" t="s">
        <v>74</v>
      </c>
      <c r="DS1217" s="12" t="s">
        <v>73</v>
      </c>
      <c r="DT1217" s="12" t="s">
        <v>74</v>
      </c>
      <c r="DU1217" s="12" t="s">
        <v>73</v>
      </c>
      <c r="DV1217" s="12" t="s">
        <v>74</v>
      </c>
      <c r="DW1217" s="12" t="s">
        <v>73</v>
      </c>
      <c r="DX1217" s="12" t="s">
        <v>74</v>
      </c>
      <c r="DY1217" s="12" t="s">
        <v>73</v>
      </c>
      <c r="DZ1217" s="12" t="s">
        <v>74</v>
      </c>
      <c r="EA1217" s="12" t="s">
        <v>73</v>
      </c>
      <c r="EB1217" s="12" t="s">
        <v>74</v>
      </c>
      <c r="EC1217" s="12" t="s">
        <v>73</v>
      </c>
      <c r="ED1217" s="12" t="s">
        <v>74</v>
      </c>
      <c r="EE1217" s="12" t="s">
        <v>73</v>
      </c>
      <c r="EF1217" s="12" t="s">
        <v>74</v>
      </c>
      <c r="EG1217" s="12" t="s">
        <v>73</v>
      </c>
      <c r="EH1217" s="12" t="s">
        <v>74</v>
      </c>
      <c r="EI1217" s="12" t="s">
        <v>73</v>
      </c>
      <c r="EJ1217" s="12" t="s">
        <v>74</v>
      </c>
      <c r="EK1217" s="12" t="s">
        <v>73</v>
      </c>
      <c r="EL1217" s="12" t="s">
        <v>74</v>
      </c>
      <c r="EM1217" s="12" t="s">
        <v>73</v>
      </c>
      <c r="EN1217" s="12" t="s">
        <v>74</v>
      </c>
      <c r="EO1217" s="12" t="s">
        <v>73</v>
      </c>
      <c r="EP1217" s="12" t="s">
        <v>74</v>
      </c>
      <c r="EQ1217" s="12" t="s">
        <v>73</v>
      </c>
      <c r="ER1217" s="12" t="s">
        <v>74</v>
      </c>
      <c r="ES1217" s="12" t="s">
        <v>73</v>
      </c>
      <c r="ET1217" s="12" t="s">
        <v>74</v>
      </c>
      <c r="EU1217" s="12" t="s">
        <v>73</v>
      </c>
      <c r="EV1217" s="12" t="s">
        <v>74</v>
      </c>
      <c r="EW1217" s="12" t="s">
        <v>73</v>
      </c>
      <c r="EX1217" s="12" t="s">
        <v>74</v>
      </c>
      <c r="EY1217" s="12" t="s">
        <v>73</v>
      </c>
      <c r="EZ1217" s="12" t="s">
        <v>74</v>
      </c>
      <c r="FA1217" s="12" t="s">
        <v>73</v>
      </c>
      <c r="FB1217" s="12" t="s">
        <v>74</v>
      </c>
      <c r="FC1217" s="12" t="s">
        <v>73</v>
      </c>
      <c r="FD1217" s="12" t="s">
        <v>74</v>
      </c>
      <c r="FE1217" s="12" t="s">
        <v>73</v>
      </c>
      <c r="FF1217" s="12" t="s">
        <v>74</v>
      </c>
      <c r="FG1217" s="11"/>
      <c r="GT1217" s="11"/>
      <c r="IG1217" s="11"/>
      <c r="JT1217" s="11"/>
      <c r="LG1217" s="11"/>
      <c r="MT1217" s="11"/>
      <c r="OG1217" s="11"/>
      <c r="PT1217" s="11"/>
    </row>
    <row r="1218" spans="1:436" ht="15.75" x14ac:dyDescent="0.25">
      <c r="A1218" s="13"/>
      <c r="B1218" s="14" t="s">
        <v>901</v>
      </c>
      <c r="C1218" s="13"/>
      <c r="D1218" s="13"/>
      <c r="E1218" s="15" t="s">
        <v>76</v>
      </c>
      <c r="F1218" s="15" t="s">
        <v>132</v>
      </c>
      <c r="G1218" s="13"/>
      <c r="H1218" s="11"/>
      <c r="AU1218" s="11"/>
      <c r="CH1218" s="11"/>
      <c r="CI1218" s="16"/>
      <c r="CJ1218" s="16"/>
      <c r="CK1218" s="16"/>
      <c r="CL1218" s="16"/>
      <c r="CM1218" s="16"/>
      <c r="CN1218" s="16"/>
      <c r="CO1218" s="16"/>
      <c r="CP1218" s="16"/>
      <c r="CQ1218" s="16"/>
      <c r="CR1218" s="16"/>
      <c r="CS1218" s="16"/>
      <c r="CT1218" s="16"/>
      <c r="CU1218" s="16"/>
      <c r="CV1218" s="16"/>
      <c r="CW1218" s="16"/>
      <c r="CX1218" s="16"/>
      <c r="CY1218" s="16"/>
      <c r="CZ1218" s="16"/>
      <c r="DA1218" s="16"/>
      <c r="DB1218" s="16"/>
      <c r="DC1218" s="16"/>
      <c r="DD1218" s="16"/>
      <c r="DE1218" s="17"/>
      <c r="DF1218" s="17"/>
      <c r="DG1218" s="16"/>
      <c r="DH1218" s="16"/>
      <c r="DI1218" s="17"/>
      <c r="DJ1218" s="17"/>
      <c r="DK1218" s="16"/>
      <c r="DL1218" s="16"/>
      <c r="DM1218" s="17"/>
      <c r="DN1218" s="17"/>
      <c r="DO1218" s="16"/>
      <c r="DP1218" s="16"/>
      <c r="DQ1218" s="17"/>
      <c r="DR1218" s="17"/>
      <c r="DS1218" s="16"/>
      <c r="DT1218" s="16"/>
      <c r="DU1218" s="17"/>
      <c r="DV1218" s="17"/>
      <c r="DW1218" s="16"/>
      <c r="DX1218" s="16"/>
      <c r="DY1218" s="17"/>
      <c r="DZ1218" s="17"/>
      <c r="EA1218" s="16"/>
      <c r="EB1218" s="16"/>
      <c r="EC1218" s="17"/>
      <c r="ED1218" s="17"/>
      <c r="EE1218" s="16"/>
      <c r="EF1218" s="16"/>
      <c r="EG1218" s="17"/>
      <c r="EH1218" s="17"/>
      <c r="EI1218" s="16"/>
      <c r="EJ1218" s="16"/>
      <c r="EK1218" s="17"/>
      <c r="EL1218" s="17"/>
      <c r="EM1218" s="16"/>
      <c r="EN1218" s="16"/>
      <c r="EO1218" s="17"/>
      <c r="EP1218" s="17"/>
      <c r="EQ1218" s="16"/>
      <c r="ER1218" s="16"/>
      <c r="ES1218" s="17"/>
      <c r="ET1218" s="18">
        <v>60</v>
      </c>
      <c r="EU1218" s="16"/>
      <c r="EV1218" s="16"/>
      <c r="EW1218" s="17"/>
      <c r="EX1218" s="17"/>
      <c r="EY1218" s="16"/>
      <c r="EZ1218" s="16"/>
      <c r="FA1218" s="17"/>
      <c r="FB1218" s="17"/>
      <c r="FC1218" s="16"/>
      <c r="FD1218" s="16"/>
      <c r="FE1218" s="17"/>
      <c r="FF1218" s="17"/>
      <c r="FG1218" s="11"/>
      <c r="GT1218" s="11"/>
      <c r="IG1218" s="11"/>
      <c r="JT1218" s="11"/>
      <c r="LG1218" s="11"/>
      <c r="MT1218" s="11"/>
      <c r="OG1218" s="11"/>
      <c r="PT1218" s="11"/>
    </row>
    <row r="1219" spans="1:436" ht="15.75" x14ac:dyDescent="0.25">
      <c r="C1219" s="20" t="s">
        <v>902</v>
      </c>
      <c r="D1219" s="21" t="s">
        <v>79</v>
      </c>
      <c r="H1219" s="11"/>
      <c r="AU1219" s="11"/>
      <c r="CH1219" s="11"/>
      <c r="CI1219" s="16"/>
      <c r="CJ1219" s="16"/>
      <c r="CK1219" s="16"/>
      <c r="CL1219" s="16"/>
      <c r="CM1219" s="16"/>
      <c r="CN1219" s="16"/>
      <c r="CO1219" s="16"/>
      <c r="CP1219" s="16"/>
      <c r="CQ1219" s="16"/>
      <c r="CR1219" s="16"/>
      <c r="CS1219" s="16"/>
      <c r="CT1219" s="16"/>
      <c r="CU1219" s="16"/>
      <c r="CV1219" s="16"/>
      <c r="CW1219" s="16"/>
      <c r="CX1219" s="16"/>
      <c r="CY1219" s="16"/>
      <c r="CZ1219" s="16"/>
      <c r="DA1219" s="16"/>
      <c r="DB1219" s="16"/>
      <c r="DC1219" s="16"/>
      <c r="DD1219" s="16"/>
      <c r="DE1219" s="17"/>
      <c r="DF1219" s="17"/>
      <c r="DG1219" s="16"/>
      <c r="DH1219" s="16"/>
      <c r="DI1219" s="18">
        <v>7</v>
      </c>
      <c r="DJ1219" s="18">
        <v>10</v>
      </c>
      <c r="DK1219" s="16"/>
      <c r="DL1219" s="16"/>
      <c r="DM1219" s="17"/>
      <c r="DN1219" s="17"/>
      <c r="DO1219" s="16"/>
      <c r="DP1219" s="16"/>
      <c r="DQ1219" s="17"/>
      <c r="DR1219" s="17"/>
      <c r="DS1219" s="16"/>
      <c r="DT1219" s="16"/>
      <c r="DU1219" s="17"/>
      <c r="DV1219" s="17"/>
      <c r="DW1219" s="16"/>
      <c r="DX1219" s="16"/>
      <c r="DY1219" s="17"/>
      <c r="DZ1219" s="17"/>
      <c r="EA1219" s="16"/>
      <c r="EB1219" s="16"/>
      <c r="EC1219" s="17"/>
      <c r="ED1219" s="17"/>
      <c r="EE1219" s="16"/>
      <c r="EF1219" s="16"/>
      <c r="EG1219" s="17"/>
      <c r="EH1219" s="17"/>
      <c r="EI1219" s="16"/>
      <c r="EJ1219" s="16"/>
      <c r="EK1219" s="17"/>
      <c r="EL1219" s="17"/>
      <c r="EM1219" s="16"/>
      <c r="EN1219" s="16"/>
      <c r="EO1219" s="17"/>
      <c r="EP1219" s="17"/>
      <c r="EQ1219" s="16"/>
      <c r="ER1219" s="16"/>
      <c r="ES1219" s="17"/>
      <c r="ET1219" s="17"/>
      <c r="EU1219" s="16"/>
      <c r="EV1219" s="16"/>
      <c r="EW1219" s="17"/>
      <c r="EX1219" s="17"/>
      <c r="EY1219" s="16"/>
      <c r="EZ1219" s="16"/>
      <c r="FA1219" s="17"/>
      <c r="FB1219" s="17"/>
      <c r="FC1219" s="16"/>
      <c r="FD1219" s="16"/>
      <c r="FE1219" s="17"/>
      <c r="FF1219" s="17"/>
      <c r="FG1219" s="11"/>
      <c r="GT1219" s="11"/>
      <c r="IG1219" s="11"/>
      <c r="JT1219" s="11"/>
      <c r="LG1219" s="11"/>
      <c r="MT1219" s="11"/>
      <c r="OG1219" s="11"/>
      <c r="PT1219" s="11"/>
    </row>
    <row r="1220" spans="1:436" ht="15.75" x14ac:dyDescent="0.25">
      <c r="C1220" s="20" t="s">
        <v>773</v>
      </c>
      <c r="D1220" s="21" t="s">
        <v>90</v>
      </c>
      <c r="H1220" s="11"/>
      <c r="AU1220" s="11"/>
      <c r="CH1220" s="11"/>
      <c r="CI1220" s="16"/>
      <c r="CJ1220" s="16"/>
      <c r="CK1220" s="16"/>
      <c r="CL1220" s="16"/>
      <c r="CM1220" s="16"/>
      <c r="CN1220" s="16"/>
      <c r="CO1220" s="16"/>
      <c r="CP1220" s="16"/>
      <c r="CQ1220" s="16"/>
      <c r="CR1220" s="16"/>
      <c r="CS1220" s="16"/>
      <c r="CT1220" s="16"/>
      <c r="CU1220" s="16"/>
      <c r="CV1220" s="16"/>
      <c r="CW1220" s="16"/>
      <c r="CX1220" s="16"/>
      <c r="CY1220" s="16"/>
      <c r="CZ1220" s="16"/>
      <c r="DA1220" s="16"/>
      <c r="DB1220" s="16"/>
      <c r="DC1220" s="16"/>
      <c r="DD1220" s="16"/>
      <c r="DE1220" s="17"/>
      <c r="DF1220" s="17"/>
      <c r="DG1220" s="16"/>
      <c r="DH1220" s="16"/>
      <c r="DI1220" s="17"/>
      <c r="DJ1220" s="17"/>
      <c r="DK1220" s="16"/>
      <c r="DL1220" s="16"/>
      <c r="DM1220" s="17"/>
      <c r="DN1220" s="17"/>
      <c r="DO1220" s="16"/>
      <c r="DP1220" s="16"/>
      <c r="DQ1220" s="17"/>
      <c r="DR1220" s="17"/>
      <c r="DS1220" s="16"/>
      <c r="DT1220" s="16"/>
      <c r="DU1220" s="17"/>
      <c r="DV1220" s="17"/>
      <c r="DW1220" s="16"/>
      <c r="DX1220" s="16"/>
      <c r="DY1220" s="17"/>
      <c r="DZ1220" s="17"/>
      <c r="EA1220" s="16"/>
      <c r="EB1220" s="16"/>
      <c r="EC1220" s="17"/>
      <c r="ED1220" s="17"/>
      <c r="EE1220" s="16"/>
      <c r="EF1220" s="16"/>
      <c r="EG1220" s="17"/>
      <c r="EH1220" s="17"/>
      <c r="EI1220" s="16"/>
      <c r="EJ1220" s="16"/>
      <c r="EK1220" s="17"/>
      <c r="EL1220" s="17"/>
      <c r="EM1220" s="16"/>
      <c r="EN1220" s="16"/>
      <c r="EO1220" s="17"/>
      <c r="EP1220" s="17"/>
      <c r="EQ1220" s="16"/>
      <c r="ER1220" s="16"/>
      <c r="ES1220" s="17"/>
      <c r="ET1220" s="17"/>
      <c r="EU1220" s="16"/>
      <c r="EV1220" s="16"/>
      <c r="EW1220" s="17"/>
      <c r="EX1220" s="17"/>
      <c r="EY1220" s="16"/>
      <c r="EZ1220" s="16"/>
      <c r="FA1220" s="17"/>
      <c r="FB1220" s="17"/>
      <c r="FC1220" s="16"/>
      <c r="FD1220" s="16"/>
      <c r="FE1220" s="17"/>
      <c r="FF1220" s="17"/>
      <c r="FG1220" s="11"/>
      <c r="GT1220" s="11"/>
      <c r="IG1220" s="11"/>
      <c r="JT1220" s="11"/>
      <c r="LG1220" s="11"/>
      <c r="MT1220" s="11"/>
      <c r="OG1220" s="11"/>
      <c r="PT1220" s="11"/>
    </row>
    <row r="1221" spans="1:436" ht="15.75" x14ac:dyDescent="0.25">
      <c r="C1221" s="20" t="s">
        <v>903</v>
      </c>
      <c r="D1221" s="21" t="s">
        <v>129</v>
      </c>
      <c r="H1221" s="11"/>
      <c r="AU1221" s="11"/>
      <c r="CH1221" s="11"/>
      <c r="CI1221" s="16"/>
      <c r="CJ1221" s="16"/>
      <c r="CK1221" s="16"/>
      <c r="CL1221" s="16"/>
      <c r="CM1221" s="16"/>
      <c r="CN1221" s="16"/>
      <c r="CO1221" s="16"/>
      <c r="CP1221" s="16"/>
      <c r="CQ1221" s="16"/>
      <c r="CR1221" s="16"/>
      <c r="CS1221" s="16"/>
      <c r="CT1221" s="16"/>
      <c r="CU1221" s="16"/>
      <c r="CV1221" s="16"/>
      <c r="CW1221" s="16"/>
      <c r="CX1221" s="16"/>
      <c r="CY1221" s="16"/>
      <c r="CZ1221" s="16"/>
      <c r="DA1221" s="16"/>
      <c r="DB1221" s="16"/>
      <c r="DC1221" s="16"/>
      <c r="DD1221" s="16"/>
      <c r="DE1221" s="17"/>
      <c r="DF1221" s="17"/>
      <c r="DG1221" s="16"/>
      <c r="DH1221" s="16"/>
      <c r="DI1221" s="17"/>
      <c r="DJ1221" s="17"/>
      <c r="DK1221" s="16"/>
      <c r="DL1221" s="16"/>
      <c r="DM1221" s="17"/>
      <c r="DN1221" s="17"/>
      <c r="DO1221" s="16"/>
      <c r="DP1221" s="16"/>
      <c r="DQ1221" s="17"/>
      <c r="DR1221" s="17"/>
      <c r="DS1221" s="16"/>
      <c r="DT1221" s="16"/>
      <c r="DU1221" s="17"/>
      <c r="DV1221" s="17"/>
      <c r="DW1221" s="16"/>
      <c r="DX1221" s="16"/>
      <c r="DY1221" s="17"/>
      <c r="DZ1221" s="17"/>
      <c r="EA1221" s="16"/>
      <c r="EB1221" s="16"/>
      <c r="EC1221" s="17"/>
      <c r="ED1221" s="17"/>
      <c r="EE1221" s="16"/>
      <c r="EF1221" s="16"/>
      <c r="EG1221" s="17"/>
      <c r="EH1221" s="17"/>
      <c r="EI1221" s="16"/>
      <c r="EJ1221" s="16"/>
      <c r="EK1221" s="17"/>
      <c r="EL1221" s="17"/>
      <c r="EM1221" s="16"/>
      <c r="EN1221" s="16"/>
      <c r="EO1221" s="17"/>
      <c r="EP1221" s="17"/>
      <c r="EQ1221" s="16"/>
      <c r="ER1221" s="16"/>
      <c r="ES1221" s="17"/>
      <c r="ET1221" s="17"/>
      <c r="EU1221" s="16"/>
      <c r="EV1221" s="16"/>
      <c r="EW1221" s="17"/>
      <c r="EX1221" s="17"/>
      <c r="EY1221" s="16"/>
      <c r="EZ1221" s="16"/>
      <c r="FA1221" s="17"/>
      <c r="FB1221" s="17"/>
      <c r="FC1221" s="16"/>
      <c r="FD1221" s="16"/>
      <c r="FE1221" s="17"/>
      <c r="FF1221" s="17"/>
      <c r="FG1221" s="11"/>
      <c r="GT1221" s="11"/>
      <c r="IG1221" s="11"/>
      <c r="JT1221" s="11"/>
      <c r="LG1221" s="11"/>
      <c r="MT1221" s="11"/>
      <c r="OG1221" s="11"/>
      <c r="PT1221" s="11"/>
    </row>
    <row r="1222" spans="1:436" ht="15.75" x14ac:dyDescent="0.25">
      <c r="C1222" s="20" t="s">
        <v>904</v>
      </c>
      <c r="D1222" s="21" t="s">
        <v>162</v>
      </c>
      <c r="H1222" s="11"/>
      <c r="AU1222" s="11"/>
      <c r="CH1222" s="11"/>
      <c r="CI1222" s="16"/>
      <c r="CJ1222" s="16"/>
      <c r="CK1222" s="16"/>
      <c r="CL1222" s="16"/>
      <c r="CM1222" s="16"/>
      <c r="CN1222" s="16"/>
      <c r="CO1222" s="16"/>
      <c r="CP1222" s="16"/>
      <c r="CQ1222" s="16"/>
      <c r="CR1222" s="16"/>
      <c r="CS1222" s="16"/>
      <c r="CT1222" s="16"/>
      <c r="CU1222" s="16"/>
      <c r="CV1222" s="16"/>
      <c r="CW1222" s="16"/>
      <c r="CX1222" s="16"/>
      <c r="CY1222" s="16"/>
      <c r="CZ1222" s="16"/>
      <c r="DA1222" s="16"/>
      <c r="DB1222" s="16"/>
      <c r="DC1222" s="16"/>
      <c r="DD1222" s="16"/>
      <c r="DE1222" s="17"/>
      <c r="DF1222" s="17"/>
      <c r="DG1222" s="16"/>
      <c r="DH1222" s="16"/>
      <c r="DI1222" s="17"/>
      <c r="DJ1222" s="17"/>
      <c r="DK1222" s="16"/>
      <c r="DL1222" s="16"/>
      <c r="DM1222" s="17"/>
      <c r="DN1222" s="17"/>
      <c r="DO1222" s="16"/>
      <c r="DP1222" s="16"/>
      <c r="DQ1222" s="17"/>
      <c r="DR1222" s="17"/>
      <c r="DS1222" s="16"/>
      <c r="DT1222" s="16"/>
      <c r="DU1222" s="17"/>
      <c r="DV1222" s="17"/>
      <c r="DW1222" s="16"/>
      <c r="DX1222" s="16"/>
      <c r="DY1222" s="17"/>
      <c r="DZ1222" s="17"/>
      <c r="EA1222" s="16"/>
      <c r="EB1222" s="16"/>
      <c r="EC1222" s="17"/>
      <c r="ED1222" s="17"/>
      <c r="EE1222" s="16"/>
      <c r="EF1222" s="16"/>
      <c r="EG1222" s="17"/>
      <c r="EH1222" s="17"/>
      <c r="EI1222" s="16"/>
      <c r="EJ1222" s="16"/>
      <c r="EK1222" s="17"/>
      <c r="EL1222" s="17"/>
      <c r="EM1222" s="16"/>
      <c r="EN1222" s="16"/>
      <c r="EO1222" s="17"/>
      <c r="EP1222" s="17"/>
      <c r="EQ1222" s="16"/>
      <c r="ER1222" s="16"/>
      <c r="ES1222" s="17"/>
      <c r="ET1222" s="17"/>
      <c r="EU1222" s="16"/>
      <c r="EV1222" s="16"/>
      <c r="EW1222" s="17"/>
      <c r="EX1222" s="17"/>
      <c r="EY1222" s="16"/>
      <c r="EZ1222" s="16"/>
      <c r="FA1222" s="17"/>
      <c r="FB1222" s="17"/>
      <c r="FC1222" s="16"/>
      <c r="FD1222" s="16"/>
      <c r="FE1222" s="17"/>
      <c r="FF1222" s="17"/>
      <c r="FG1222" s="11"/>
      <c r="GT1222" s="11"/>
      <c r="IG1222" s="11"/>
      <c r="JT1222" s="11"/>
      <c r="LG1222" s="11"/>
      <c r="MT1222" s="11"/>
      <c r="OG1222" s="11"/>
      <c r="PT1222" s="11"/>
    </row>
    <row r="1223" spans="1:436" ht="15.75" x14ac:dyDescent="0.25">
      <c r="C1223" s="20" t="s">
        <v>905</v>
      </c>
      <c r="D1223" s="21" t="s">
        <v>203</v>
      </c>
      <c r="H1223" s="11"/>
      <c r="AU1223" s="11"/>
      <c r="CH1223" s="11"/>
      <c r="CI1223" s="16"/>
      <c r="CJ1223" s="16"/>
      <c r="CK1223" s="16"/>
      <c r="CL1223" s="16"/>
      <c r="CM1223" s="16"/>
      <c r="CN1223" s="16"/>
      <c r="CO1223" s="16"/>
      <c r="CP1223" s="16"/>
      <c r="CQ1223" s="16"/>
      <c r="CR1223" s="16"/>
      <c r="CS1223" s="16"/>
      <c r="CT1223" s="16"/>
      <c r="CU1223" s="16"/>
      <c r="CV1223" s="16"/>
      <c r="CW1223" s="16"/>
      <c r="CX1223" s="16"/>
      <c r="CY1223" s="16"/>
      <c r="CZ1223" s="16"/>
      <c r="DA1223" s="16"/>
      <c r="DB1223" s="16"/>
      <c r="DC1223" s="16"/>
      <c r="DD1223" s="16"/>
      <c r="DE1223" s="17"/>
      <c r="DF1223" s="17"/>
      <c r="DG1223" s="16"/>
      <c r="DH1223" s="16"/>
      <c r="DI1223" s="17"/>
      <c r="DJ1223" s="17"/>
      <c r="DK1223" s="16"/>
      <c r="DL1223" s="16"/>
      <c r="DM1223" s="17"/>
      <c r="DN1223" s="17"/>
      <c r="DO1223" s="16"/>
      <c r="DP1223" s="16"/>
      <c r="DQ1223" s="17"/>
      <c r="DR1223" s="17"/>
      <c r="DS1223" s="16"/>
      <c r="DT1223" s="16"/>
      <c r="DU1223" s="17"/>
      <c r="DV1223" s="17"/>
      <c r="DW1223" s="16"/>
      <c r="DX1223" s="16"/>
      <c r="DY1223" s="17"/>
      <c r="DZ1223" s="17"/>
      <c r="EA1223" s="16"/>
      <c r="EB1223" s="16"/>
      <c r="EC1223" s="17"/>
      <c r="ED1223" s="17"/>
      <c r="EE1223" s="16"/>
      <c r="EF1223" s="16"/>
      <c r="EG1223" s="17"/>
      <c r="EH1223" s="17"/>
      <c r="EI1223" s="16"/>
      <c r="EJ1223" s="16"/>
      <c r="EK1223" s="17"/>
      <c r="EL1223" s="17"/>
      <c r="EM1223" s="16"/>
      <c r="EN1223" s="16"/>
      <c r="EO1223" s="17"/>
      <c r="EP1223" s="17"/>
      <c r="EQ1223" s="16"/>
      <c r="ER1223" s="16"/>
      <c r="ES1223" s="17"/>
      <c r="ET1223" s="17"/>
      <c r="EU1223" s="16"/>
      <c r="EV1223" s="16"/>
      <c r="EW1223" s="17"/>
      <c r="EX1223" s="17"/>
      <c r="EY1223" s="16"/>
      <c r="EZ1223" s="16"/>
      <c r="FA1223" s="17"/>
      <c r="FB1223" s="17"/>
      <c r="FC1223" s="16"/>
      <c r="FD1223" s="16"/>
      <c r="FE1223" s="17"/>
      <c r="FF1223" s="17"/>
      <c r="FG1223" s="11"/>
      <c r="GT1223" s="11"/>
      <c r="IG1223" s="11"/>
      <c r="JT1223" s="11"/>
      <c r="LG1223" s="11"/>
      <c r="MT1223" s="11"/>
      <c r="OG1223" s="11"/>
      <c r="PT1223" s="11"/>
    </row>
    <row r="1224" spans="1:436" ht="15.75" x14ac:dyDescent="0.25">
      <c r="C1224" s="20" t="s">
        <v>906</v>
      </c>
      <c r="D1224" s="21" t="s">
        <v>146</v>
      </c>
      <c r="H1224" s="11"/>
      <c r="AU1224" s="11"/>
      <c r="CH1224" s="11"/>
      <c r="CI1224" s="16"/>
      <c r="CJ1224" s="16"/>
      <c r="CK1224" s="16"/>
      <c r="CL1224" s="16"/>
      <c r="CM1224" s="16"/>
      <c r="CN1224" s="16"/>
      <c r="CO1224" s="16"/>
      <c r="CP1224" s="16"/>
      <c r="CQ1224" s="16"/>
      <c r="CR1224" s="16"/>
      <c r="CS1224" s="16"/>
      <c r="CT1224" s="16"/>
      <c r="CU1224" s="16"/>
      <c r="CV1224" s="16"/>
      <c r="CW1224" s="16"/>
      <c r="CX1224" s="16"/>
      <c r="CY1224" s="16"/>
      <c r="CZ1224" s="16"/>
      <c r="DA1224" s="16"/>
      <c r="DB1224" s="16"/>
      <c r="DC1224" s="16"/>
      <c r="DD1224" s="16"/>
      <c r="DE1224" s="17"/>
      <c r="DF1224" s="17"/>
      <c r="DG1224" s="16"/>
      <c r="DH1224" s="16"/>
      <c r="DI1224" s="17"/>
      <c r="DJ1224" s="17"/>
      <c r="DK1224" s="16"/>
      <c r="DL1224" s="16"/>
      <c r="DM1224" s="17"/>
      <c r="DN1224" s="17"/>
      <c r="DO1224" s="16"/>
      <c r="DP1224" s="16"/>
      <c r="DQ1224" s="18">
        <v>1</v>
      </c>
      <c r="DR1224" s="18">
        <v>2</v>
      </c>
      <c r="DS1224" s="16"/>
      <c r="DT1224" s="16"/>
      <c r="DU1224" s="17"/>
      <c r="DV1224" s="17"/>
      <c r="DW1224" s="16"/>
      <c r="DX1224" s="16"/>
      <c r="DY1224" s="17"/>
      <c r="DZ1224" s="17"/>
      <c r="EA1224" s="16"/>
      <c r="EB1224" s="16"/>
      <c r="EC1224" s="17"/>
      <c r="ED1224" s="17"/>
      <c r="EE1224" s="16"/>
      <c r="EF1224" s="16"/>
      <c r="EG1224" s="17"/>
      <c r="EH1224" s="17"/>
      <c r="EI1224" s="16"/>
      <c r="EJ1224" s="16"/>
      <c r="EK1224" s="17"/>
      <c r="EL1224" s="17"/>
      <c r="EM1224" s="16"/>
      <c r="EN1224" s="16"/>
      <c r="EO1224" s="17"/>
      <c r="EP1224" s="17"/>
      <c r="EQ1224" s="16"/>
      <c r="ER1224" s="16"/>
      <c r="ES1224" s="17"/>
      <c r="ET1224" s="17"/>
      <c r="EU1224" s="16"/>
      <c r="EV1224" s="16"/>
      <c r="EW1224" s="17"/>
      <c r="EX1224" s="17"/>
      <c r="EY1224" s="16"/>
      <c r="EZ1224" s="16"/>
      <c r="FA1224" s="17"/>
      <c r="FB1224" s="17"/>
      <c r="FC1224" s="16"/>
      <c r="FD1224" s="16"/>
      <c r="FE1224" s="17"/>
      <c r="FF1224" s="17"/>
      <c r="FG1224" s="11"/>
      <c r="GT1224" s="11"/>
      <c r="IG1224" s="11"/>
      <c r="JT1224" s="11"/>
      <c r="LG1224" s="11"/>
      <c r="MT1224" s="11"/>
      <c r="OG1224" s="11"/>
      <c r="PT1224" s="11"/>
    </row>
    <row r="1225" spans="1:436" ht="15.75" x14ac:dyDescent="0.25">
      <c r="C1225" s="20" t="s">
        <v>907</v>
      </c>
      <c r="D1225" s="21" t="s">
        <v>79</v>
      </c>
      <c r="H1225" s="11"/>
      <c r="AU1225" s="11"/>
      <c r="CH1225" s="11"/>
      <c r="CI1225" s="16"/>
      <c r="CJ1225" s="16"/>
      <c r="CK1225" s="16"/>
      <c r="CL1225" s="16"/>
      <c r="CM1225" s="16"/>
      <c r="CN1225" s="16"/>
      <c r="CO1225" s="16"/>
      <c r="CP1225" s="16"/>
      <c r="CQ1225" s="16"/>
      <c r="CR1225" s="16"/>
      <c r="CS1225" s="16"/>
      <c r="CT1225" s="16"/>
      <c r="CU1225" s="16"/>
      <c r="CV1225" s="16"/>
      <c r="CW1225" s="16"/>
      <c r="CX1225" s="16"/>
      <c r="CY1225" s="16"/>
      <c r="CZ1225" s="16"/>
      <c r="DA1225" s="16"/>
      <c r="DB1225" s="16"/>
      <c r="DC1225" s="16"/>
      <c r="DD1225" s="16"/>
      <c r="DE1225" s="17"/>
      <c r="DF1225" s="17"/>
      <c r="DG1225" s="16"/>
      <c r="DH1225" s="16"/>
      <c r="DI1225" s="18">
        <v>2</v>
      </c>
      <c r="DJ1225" s="18">
        <v>2</v>
      </c>
      <c r="DK1225" s="16"/>
      <c r="DL1225" s="16"/>
      <c r="DM1225" s="17"/>
      <c r="DN1225" s="17"/>
      <c r="DO1225" s="16"/>
      <c r="DP1225" s="16"/>
      <c r="DQ1225" s="17"/>
      <c r="DR1225" s="17"/>
      <c r="DS1225" s="16"/>
      <c r="DT1225" s="16"/>
      <c r="DU1225" s="17"/>
      <c r="DV1225" s="17"/>
      <c r="DW1225" s="16"/>
      <c r="DX1225" s="16"/>
      <c r="DY1225" s="17"/>
      <c r="DZ1225" s="17"/>
      <c r="EA1225" s="16"/>
      <c r="EB1225" s="16"/>
      <c r="EC1225" s="17"/>
      <c r="ED1225" s="17"/>
      <c r="EE1225" s="16"/>
      <c r="EF1225" s="16"/>
      <c r="EG1225" s="17"/>
      <c r="EH1225" s="17"/>
      <c r="EI1225" s="16"/>
      <c r="EJ1225" s="16"/>
      <c r="EK1225" s="17"/>
      <c r="EL1225" s="17"/>
      <c r="EM1225" s="16"/>
      <c r="EN1225" s="16"/>
      <c r="EO1225" s="17"/>
      <c r="EP1225" s="17"/>
      <c r="EQ1225" s="16"/>
      <c r="ER1225" s="16"/>
      <c r="ES1225" s="17"/>
      <c r="ET1225" s="17"/>
      <c r="EU1225" s="16"/>
      <c r="EV1225" s="16"/>
      <c r="EW1225" s="17"/>
      <c r="EX1225" s="17"/>
      <c r="EY1225" s="16"/>
      <c r="EZ1225" s="16"/>
      <c r="FA1225" s="17"/>
      <c r="FB1225" s="17"/>
      <c r="FC1225" s="16"/>
      <c r="FD1225" s="16"/>
      <c r="FE1225" s="17"/>
      <c r="FF1225" s="17"/>
      <c r="FG1225" s="11"/>
      <c r="GT1225" s="11"/>
      <c r="IG1225" s="11"/>
      <c r="JT1225" s="11"/>
      <c r="LG1225" s="11"/>
      <c r="MT1225" s="11"/>
      <c r="OG1225" s="11"/>
      <c r="PT1225" s="11"/>
    </row>
    <row r="1226" spans="1:436" ht="15.75" x14ac:dyDescent="0.25">
      <c r="C1226" s="20" t="s">
        <v>773</v>
      </c>
      <c r="D1226" s="21" t="s">
        <v>90</v>
      </c>
      <c r="H1226" s="11"/>
      <c r="AU1226" s="11"/>
      <c r="CH1226" s="11"/>
      <c r="CI1226" s="16"/>
      <c r="CJ1226" s="16"/>
      <c r="CK1226" s="16"/>
      <c r="CL1226" s="16"/>
      <c r="CM1226" s="16"/>
      <c r="CN1226" s="16"/>
      <c r="CO1226" s="16"/>
      <c r="CP1226" s="16"/>
      <c r="CQ1226" s="16"/>
      <c r="CR1226" s="16"/>
      <c r="CS1226" s="16"/>
      <c r="CT1226" s="16"/>
      <c r="CU1226" s="16"/>
      <c r="CV1226" s="16"/>
      <c r="CW1226" s="16"/>
      <c r="CX1226" s="16"/>
      <c r="CY1226" s="16"/>
      <c r="CZ1226" s="16"/>
      <c r="DA1226" s="16"/>
      <c r="DB1226" s="16"/>
      <c r="DC1226" s="16"/>
      <c r="DD1226" s="16"/>
      <c r="DE1226" s="17"/>
      <c r="DF1226" s="17"/>
      <c r="DG1226" s="16"/>
      <c r="DH1226" s="16"/>
      <c r="DI1226" s="17"/>
      <c r="DJ1226" s="17"/>
      <c r="DK1226" s="16"/>
      <c r="DL1226" s="16"/>
      <c r="DM1226" s="17"/>
      <c r="DN1226" s="17"/>
      <c r="DO1226" s="16"/>
      <c r="DP1226" s="16"/>
      <c r="DQ1226" s="17"/>
      <c r="DR1226" s="17"/>
      <c r="DS1226" s="16"/>
      <c r="DT1226" s="16"/>
      <c r="DU1226" s="17"/>
      <c r="DV1226" s="17"/>
      <c r="DW1226" s="16"/>
      <c r="DX1226" s="16"/>
      <c r="DY1226" s="17"/>
      <c r="DZ1226" s="17"/>
      <c r="EA1226" s="16"/>
      <c r="EB1226" s="16"/>
      <c r="EC1226" s="17"/>
      <c r="ED1226" s="17"/>
      <c r="EE1226" s="16"/>
      <c r="EF1226" s="16"/>
      <c r="EG1226" s="17"/>
      <c r="EH1226" s="17"/>
      <c r="EI1226" s="16"/>
      <c r="EJ1226" s="16"/>
      <c r="EK1226" s="17"/>
      <c r="EL1226" s="17"/>
      <c r="EM1226" s="16"/>
      <c r="EN1226" s="16"/>
      <c r="EO1226" s="17"/>
      <c r="EP1226" s="17"/>
      <c r="EQ1226" s="16"/>
      <c r="ER1226" s="16"/>
      <c r="ES1226" s="17"/>
      <c r="ET1226" s="17"/>
      <c r="EU1226" s="16"/>
      <c r="EV1226" s="16"/>
      <c r="EW1226" s="17"/>
      <c r="EX1226" s="17"/>
      <c r="EY1226" s="16"/>
      <c r="EZ1226" s="16"/>
      <c r="FA1226" s="17"/>
      <c r="FB1226" s="17"/>
      <c r="FC1226" s="16"/>
      <c r="FD1226" s="16"/>
      <c r="FE1226" s="17"/>
      <c r="FF1226" s="17"/>
      <c r="FG1226" s="11"/>
      <c r="GT1226" s="11"/>
      <c r="IG1226" s="11"/>
      <c r="JT1226" s="11"/>
      <c r="LG1226" s="11"/>
      <c r="MT1226" s="11"/>
      <c r="OG1226" s="11"/>
      <c r="PT1226" s="11"/>
    </row>
    <row r="1227" spans="1:436" ht="15.75" x14ac:dyDescent="0.25">
      <c r="C1227" s="20" t="s">
        <v>908</v>
      </c>
      <c r="D1227" s="21" t="s">
        <v>79</v>
      </c>
      <c r="H1227" s="11"/>
      <c r="AU1227" s="11"/>
      <c r="CH1227" s="11"/>
      <c r="CI1227" s="16"/>
      <c r="CJ1227" s="16"/>
      <c r="CK1227" s="16"/>
      <c r="CL1227" s="16"/>
      <c r="CM1227" s="16"/>
      <c r="CN1227" s="16"/>
      <c r="CO1227" s="16"/>
      <c r="CP1227" s="16"/>
      <c r="CQ1227" s="16"/>
      <c r="CR1227" s="16"/>
      <c r="CS1227" s="16"/>
      <c r="CT1227" s="16"/>
      <c r="CU1227" s="16"/>
      <c r="CV1227" s="16"/>
      <c r="CW1227" s="16"/>
      <c r="CX1227" s="16"/>
      <c r="CY1227" s="16"/>
      <c r="CZ1227" s="16"/>
      <c r="DA1227" s="16"/>
      <c r="DB1227" s="16"/>
      <c r="DC1227" s="16"/>
      <c r="DD1227" s="16"/>
      <c r="DE1227" s="17"/>
      <c r="DF1227" s="17"/>
      <c r="DG1227" s="16"/>
      <c r="DH1227" s="16"/>
      <c r="DI1227" s="18">
        <v>5</v>
      </c>
      <c r="DJ1227" s="18">
        <v>2</v>
      </c>
      <c r="DK1227" s="16"/>
      <c r="DL1227" s="16"/>
      <c r="DM1227" s="17"/>
      <c r="DN1227" s="17"/>
      <c r="DO1227" s="16"/>
      <c r="DP1227" s="16"/>
      <c r="DQ1227" s="17"/>
      <c r="DR1227" s="17"/>
      <c r="DS1227" s="16"/>
      <c r="DT1227" s="16"/>
      <c r="DU1227" s="17"/>
      <c r="DV1227" s="17"/>
      <c r="DW1227" s="16"/>
      <c r="DX1227" s="16"/>
      <c r="DY1227" s="17"/>
      <c r="DZ1227" s="17"/>
      <c r="EA1227" s="16"/>
      <c r="EB1227" s="16"/>
      <c r="EC1227" s="17"/>
      <c r="ED1227" s="17"/>
      <c r="EE1227" s="16"/>
      <c r="EF1227" s="16"/>
      <c r="EG1227" s="17"/>
      <c r="EH1227" s="17"/>
      <c r="EI1227" s="16"/>
      <c r="EJ1227" s="16"/>
      <c r="EK1227" s="17"/>
      <c r="EL1227" s="17"/>
      <c r="EM1227" s="16"/>
      <c r="EN1227" s="16"/>
      <c r="EO1227" s="17"/>
      <c r="EP1227" s="17"/>
      <c r="EQ1227" s="16"/>
      <c r="ER1227" s="16"/>
      <c r="ES1227" s="17"/>
      <c r="ET1227" s="17"/>
      <c r="EU1227" s="16"/>
      <c r="EV1227" s="16"/>
      <c r="EW1227" s="17"/>
      <c r="EX1227" s="17"/>
      <c r="EY1227" s="16"/>
      <c r="EZ1227" s="16"/>
      <c r="FA1227" s="17"/>
      <c r="FB1227" s="17"/>
      <c r="FC1227" s="16"/>
      <c r="FD1227" s="16"/>
      <c r="FE1227" s="17"/>
      <c r="FF1227" s="17"/>
      <c r="FG1227" s="11"/>
      <c r="GT1227" s="11"/>
      <c r="IG1227" s="11"/>
      <c r="JT1227" s="11"/>
      <c r="LG1227" s="11"/>
      <c r="MT1227" s="11"/>
      <c r="OG1227" s="11"/>
      <c r="PT1227" s="11"/>
    </row>
    <row r="1228" spans="1:436" ht="15.75" x14ac:dyDescent="0.25">
      <c r="C1228" s="20" t="s">
        <v>909</v>
      </c>
      <c r="D1228" s="21" t="s">
        <v>79</v>
      </c>
      <c r="H1228" s="11"/>
      <c r="AU1228" s="11"/>
      <c r="CH1228" s="11"/>
      <c r="CI1228" s="16"/>
      <c r="CJ1228" s="16"/>
      <c r="CK1228" s="16"/>
      <c r="CL1228" s="16"/>
      <c r="CM1228" s="16"/>
      <c r="CN1228" s="16"/>
      <c r="CO1228" s="16"/>
      <c r="CP1228" s="16"/>
      <c r="CQ1228" s="16"/>
      <c r="CR1228" s="16"/>
      <c r="CS1228" s="16"/>
      <c r="CT1228" s="16"/>
      <c r="CU1228" s="16"/>
      <c r="CV1228" s="16"/>
      <c r="CW1228" s="16"/>
      <c r="CX1228" s="16"/>
      <c r="CY1228" s="16"/>
      <c r="CZ1228" s="16"/>
      <c r="DA1228" s="16"/>
      <c r="DB1228" s="16"/>
      <c r="DC1228" s="16"/>
      <c r="DD1228" s="16"/>
      <c r="DE1228" s="17"/>
      <c r="DF1228" s="17"/>
      <c r="DG1228" s="16"/>
      <c r="DH1228" s="16"/>
      <c r="DI1228" s="18">
        <v>3</v>
      </c>
      <c r="DJ1228" s="18">
        <v>3</v>
      </c>
      <c r="DK1228" s="16"/>
      <c r="DL1228" s="16"/>
      <c r="DM1228" s="17"/>
      <c r="DN1228" s="17"/>
      <c r="DO1228" s="16"/>
      <c r="DP1228" s="16"/>
      <c r="DQ1228" s="17"/>
      <c r="DR1228" s="17"/>
      <c r="DS1228" s="16"/>
      <c r="DT1228" s="16"/>
      <c r="DU1228" s="17"/>
      <c r="DV1228" s="17"/>
      <c r="DW1228" s="16"/>
      <c r="DX1228" s="16"/>
      <c r="DY1228" s="17"/>
      <c r="DZ1228" s="17"/>
      <c r="EA1228" s="16"/>
      <c r="EB1228" s="16"/>
      <c r="EC1228" s="17"/>
      <c r="ED1228" s="17"/>
      <c r="EE1228" s="16"/>
      <c r="EF1228" s="16"/>
      <c r="EG1228" s="17"/>
      <c r="EH1228" s="17"/>
      <c r="EI1228" s="16"/>
      <c r="EJ1228" s="16"/>
      <c r="EK1228" s="17"/>
      <c r="EL1228" s="17"/>
      <c r="EM1228" s="16"/>
      <c r="EN1228" s="16"/>
      <c r="EO1228" s="17"/>
      <c r="EP1228" s="17"/>
      <c r="EQ1228" s="16"/>
      <c r="ER1228" s="16"/>
      <c r="ES1228" s="17"/>
      <c r="ET1228" s="17"/>
      <c r="EU1228" s="16"/>
      <c r="EV1228" s="16"/>
      <c r="EW1228" s="17"/>
      <c r="EX1228" s="17"/>
      <c r="EY1228" s="16"/>
      <c r="EZ1228" s="16"/>
      <c r="FA1228" s="17"/>
      <c r="FB1228" s="17"/>
      <c r="FC1228" s="16"/>
      <c r="FD1228" s="16"/>
      <c r="FE1228" s="17"/>
      <c r="FF1228" s="17"/>
      <c r="FG1228" s="11"/>
      <c r="GT1228" s="11"/>
      <c r="IG1228" s="11"/>
      <c r="JT1228" s="11"/>
      <c r="LG1228" s="11"/>
      <c r="MT1228" s="11"/>
      <c r="OG1228" s="11"/>
      <c r="PT1228" s="11"/>
    </row>
    <row r="1229" spans="1:436" ht="15.75" x14ac:dyDescent="0.25">
      <c r="C1229" s="20" t="s">
        <v>910</v>
      </c>
      <c r="D1229" s="21" t="s">
        <v>93</v>
      </c>
      <c r="H1229" s="11"/>
      <c r="AU1229" s="11"/>
      <c r="CH1229" s="11"/>
      <c r="CI1229" s="16"/>
      <c r="CJ1229" s="16"/>
      <c r="CK1229" s="16"/>
      <c r="CL1229" s="16"/>
      <c r="CM1229" s="16"/>
      <c r="CN1229" s="16"/>
      <c r="CO1229" s="16"/>
      <c r="CP1229" s="16"/>
      <c r="CQ1229" s="16"/>
      <c r="CR1229" s="16"/>
      <c r="CS1229" s="16"/>
      <c r="CT1229" s="16"/>
      <c r="CU1229" s="16"/>
      <c r="CV1229" s="16"/>
      <c r="CW1229" s="16"/>
      <c r="CX1229" s="16"/>
      <c r="CY1229" s="16"/>
      <c r="CZ1229" s="16"/>
      <c r="DA1229" s="16"/>
      <c r="DB1229" s="16"/>
      <c r="DC1229" s="16"/>
      <c r="DD1229" s="16"/>
      <c r="DE1229" s="17"/>
      <c r="DF1229" s="17"/>
      <c r="DG1229" s="16"/>
      <c r="DH1229" s="16"/>
      <c r="DI1229" s="17"/>
      <c r="DJ1229" s="17"/>
      <c r="DK1229" s="16"/>
      <c r="DL1229" s="16"/>
      <c r="DM1229" s="17"/>
      <c r="DN1229" s="17"/>
      <c r="DO1229" s="16"/>
      <c r="DP1229" s="16"/>
      <c r="DQ1229" s="17"/>
      <c r="DR1229" s="17"/>
      <c r="DS1229" s="16"/>
      <c r="DT1229" s="16"/>
      <c r="DU1229" s="17"/>
      <c r="DV1229" s="17"/>
      <c r="DW1229" s="16"/>
      <c r="DX1229" s="16"/>
      <c r="DY1229" s="17"/>
      <c r="DZ1229" s="17"/>
      <c r="EA1229" s="16"/>
      <c r="EB1229" s="16"/>
      <c r="EC1229" s="17"/>
      <c r="ED1229" s="17"/>
      <c r="EE1229" s="16"/>
      <c r="EF1229" s="16"/>
      <c r="EG1229" s="17"/>
      <c r="EH1229" s="17"/>
      <c r="EI1229" s="16"/>
      <c r="EJ1229" s="16"/>
      <c r="EK1229" s="17"/>
      <c r="EL1229" s="17"/>
      <c r="EM1229" s="16"/>
      <c r="EN1229" s="16"/>
      <c r="EO1229" s="17"/>
      <c r="EP1229" s="17"/>
      <c r="EQ1229" s="16"/>
      <c r="ER1229" s="16"/>
      <c r="ES1229" s="17"/>
      <c r="ET1229" s="17"/>
      <c r="EU1229" s="16"/>
      <c r="EV1229" s="16"/>
      <c r="EW1229" s="17"/>
      <c r="EX1229" s="17"/>
      <c r="EY1229" s="16"/>
      <c r="EZ1229" s="16"/>
      <c r="FA1229" s="17"/>
      <c r="FB1229" s="17"/>
      <c r="FC1229" s="16"/>
      <c r="FD1229" s="16"/>
      <c r="FE1229" s="17"/>
      <c r="FF1229" s="17"/>
      <c r="FG1229" s="11"/>
      <c r="GT1229" s="11"/>
      <c r="IG1229" s="11"/>
      <c r="JT1229" s="11"/>
      <c r="LG1229" s="11"/>
      <c r="MT1229" s="11"/>
      <c r="OG1229" s="11"/>
      <c r="PT1229" s="11"/>
    </row>
    <row r="1230" spans="1:436" ht="15.75" x14ac:dyDescent="0.25">
      <c r="C1230" s="20" t="s">
        <v>911</v>
      </c>
      <c r="D1230" s="21" t="s">
        <v>84</v>
      </c>
      <c r="H1230" s="11"/>
      <c r="AU1230" s="11"/>
      <c r="CH1230" s="11"/>
      <c r="CI1230" s="16"/>
      <c r="CJ1230" s="16"/>
      <c r="CK1230" s="16"/>
      <c r="CL1230" s="16"/>
      <c r="CM1230" s="16"/>
      <c r="CN1230" s="16"/>
      <c r="CO1230" s="16"/>
      <c r="CP1230" s="16"/>
      <c r="CQ1230" s="16"/>
      <c r="CR1230" s="16"/>
      <c r="CS1230" s="16"/>
      <c r="CT1230" s="16"/>
      <c r="CU1230" s="16"/>
      <c r="CV1230" s="16"/>
      <c r="CW1230" s="16"/>
      <c r="CX1230" s="16"/>
      <c r="CY1230" s="16"/>
      <c r="CZ1230" s="16"/>
      <c r="DA1230" s="16"/>
      <c r="DB1230" s="16"/>
      <c r="DC1230" s="16"/>
      <c r="DD1230" s="16"/>
      <c r="DE1230" s="17"/>
      <c r="DF1230" s="17"/>
      <c r="DG1230" s="16"/>
      <c r="DH1230" s="16"/>
      <c r="DI1230" s="17"/>
      <c r="DJ1230" s="17"/>
      <c r="DK1230" s="16"/>
      <c r="DL1230" s="16"/>
      <c r="DM1230" s="17"/>
      <c r="DN1230" s="17"/>
      <c r="DO1230" s="16"/>
      <c r="DP1230" s="16"/>
      <c r="DQ1230" s="17"/>
      <c r="DR1230" s="17"/>
      <c r="DS1230" s="16"/>
      <c r="DT1230" s="16"/>
      <c r="DU1230" s="17"/>
      <c r="DV1230" s="17"/>
      <c r="DW1230" s="16"/>
      <c r="DX1230" s="19">
        <v>10</v>
      </c>
      <c r="DY1230" s="17"/>
      <c r="DZ1230" s="17"/>
      <c r="EA1230" s="16"/>
      <c r="EB1230" s="16"/>
      <c r="EC1230" s="17"/>
      <c r="ED1230" s="17"/>
      <c r="EE1230" s="16"/>
      <c r="EF1230" s="16"/>
      <c r="EG1230" s="17"/>
      <c r="EH1230" s="17"/>
      <c r="EI1230" s="16"/>
      <c r="EJ1230" s="16"/>
      <c r="EK1230" s="17"/>
      <c r="EL1230" s="17"/>
      <c r="EM1230" s="16"/>
      <c r="EN1230" s="16"/>
      <c r="EO1230" s="17"/>
      <c r="EP1230" s="17"/>
      <c r="EQ1230" s="16"/>
      <c r="ER1230" s="16"/>
      <c r="ES1230" s="17"/>
      <c r="ET1230" s="17"/>
      <c r="EU1230" s="16"/>
      <c r="EV1230" s="16"/>
      <c r="EW1230" s="17"/>
      <c r="EX1230" s="17"/>
      <c r="EY1230" s="16"/>
      <c r="EZ1230" s="16"/>
      <c r="FA1230" s="17"/>
      <c r="FB1230" s="17"/>
      <c r="FC1230" s="16"/>
      <c r="FD1230" s="16"/>
      <c r="FE1230" s="17"/>
      <c r="FF1230" s="17"/>
      <c r="FG1230" s="11"/>
      <c r="GT1230" s="11"/>
      <c r="IG1230" s="11"/>
      <c r="JT1230" s="11"/>
      <c r="LG1230" s="11"/>
      <c r="MT1230" s="11"/>
      <c r="OG1230" s="11"/>
      <c r="PT1230" s="11"/>
    </row>
    <row r="1231" spans="1:436" ht="15.75" x14ac:dyDescent="0.25">
      <c r="C1231" s="20" t="s">
        <v>912</v>
      </c>
      <c r="D1231" s="21" t="s">
        <v>93</v>
      </c>
      <c r="H1231" s="11"/>
      <c r="AU1231" s="11"/>
      <c r="CH1231" s="11"/>
      <c r="CI1231" s="16"/>
      <c r="CJ1231" s="16"/>
      <c r="CK1231" s="16"/>
      <c r="CL1231" s="16"/>
      <c r="CM1231" s="16"/>
      <c r="CN1231" s="16"/>
      <c r="CO1231" s="16"/>
      <c r="CP1231" s="16"/>
      <c r="CQ1231" s="16"/>
      <c r="CR1231" s="16"/>
      <c r="CS1231" s="16"/>
      <c r="CT1231" s="16"/>
      <c r="CU1231" s="16"/>
      <c r="CV1231" s="16"/>
      <c r="CW1231" s="16"/>
      <c r="CX1231" s="16"/>
      <c r="CY1231" s="16"/>
      <c r="CZ1231" s="16"/>
      <c r="DA1231" s="16"/>
      <c r="DB1231" s="16"/>
      <c r="DC1231" s="16"/>
      <c r="DD1231" s="16"/>
      <c r="DE1231" s="17"/>
      <c r="DF1231" s="17"/>
      <c r="DG1231" s="16"/>
      <c r="DH1231" s="16"/>
      <c r="DI1231" s="17"/>
      <c r="DJ1231" s="17"/>
      <c r="DK1231" s="16"/>
      <c r="DL1231" s="16"/>
      <c r="DM1231" s="17"/>
      <c r="DN1231" s="17"/>
      <c r="DO1231" s="16"/>
      <c r="DP1231" s="16"/>
      <c r="DQ1231" s="17"/>
      <c r="DR1231" s="17"/>
      <c r="DS1231" s="16"/>
      <c r="DT1231" s="16"/>
      <c r="DU1231" s="17"/>
      <c r="DV1231" s="17"/>
      <c r="DW1231" s="16"/>
      <c r="DX1231" s="16"/>
      <c r="DY1231" s="17"/>
      <c r="DZ1231" s="17"/>
      <c r="EA1231" s="16"/>
      <c r="EB1231" s="16"/>
      <c r="EC1231" s="17"/>
      <c r="ED1231" s="17"/>
      <c r="EE1231" s="16"/>
      <c r="EF1231" s="16"/>
      <c r="EG1231" s="17"/>
      <c r="EH1231" s="17"/>
      <c r="EI1231" s="16"/>
      <c r="EJ1231" s="16"/>
      <c r="EK1231" s="17"/>
      <c r="EL1231" s="17"/>
      <c r="EM1231" s="16"/>
      <c r="EN1231" s="16"/>
      <c r="EO1231" s="17"/>
      <c r="EP1231" s="17"/>
      <c r="EQ1231" s="16"/>
      <c r="ER1231" s="16"/>
      <c r="ES1231" s="17"/>
      <c r="ET1231" s="17"/>
      <c r="EU1231" s="16"/>
      <c r="EV1231" s="16"/>
      <c r="EW1231" s="17"/>
      <c r="EX1231" s="17"/>
      <c r="EY1231" s="16"/>
      <c r="EZ1231" s="16"/>
      <c r="FA1231" s="17"/>
      <c r="FB1231" s="17"/>
      <c r="FC1231" s="16"/>
      <c r="FD1231" s="16"/>
      <c r="FE1231" s="17"/>
      <c r="FF1231" s="17"/>
      <c r="FG1231" s="11"/>
      <c r="GT1231" s="11"/>
      <c r="IG1231" s="11"/>
      <c r="JT1231" s="11"/>
      <c r="LG1231" s="11"/>
      <c r="MT1231" s="11"/>
      <c r="OG1231" s="11"/>
      <c r="PT1231" s="11"/>
    </row>
    <row r="1232" spans="1:436" ht="15.75" x14ac:dyDescent="0.25">
      <c r="C1232" s="20" t="s">
        <v>913</v>
      </c>
      <c r="D1232" s="21" t="s">
        <v>90</v>
      </c>
      <c r="H1232" s="11"/>
      <c r="AU1232" s="11"/>
      <c r="CH1232" s="11"/>
      <c r="CI1232" s="16"/>
      <c r="CJ1232" s="16"/>
      <c r="CK1232" s="16"/>
      <c r="CL1232" s="16"/>
      <c r="CM1232" s="16"/>
      <c r="CN1232" s="16"/>
      <c r="CO1232" s="16"/>
      <c r="CP1232" s="16"/>
      <c r="CQ1232" s="16"/>
      <c r="CR1232" s="16"/>
      <c r="CS1232" s="16"/>
      <c r="CT1232" s="16"/>
      <c r="CU1232" s="16"/>
      <c r="CV1232" s="16"/>
      <c r="CW1232" s="16"/>
      <c r="CX1232" s="16"/>
      <c r="CY1232" s="16"/>
      <c r="CZ1232" s="16"/>
      <c r="DA1232" s="16"/>
      <c r="DB1232" s="16"/>
      <c r="DC1232" s="16"/>
      <c r="DD1232" s="16"/>
      <c r="DE1232" s="17"/>
      <c r="DF1232" s="17"/>
      <c r="DG1232" s="16"/>
      <c r="DH1232" s="16"/>
      <c r="DI1232" s="17"/>
      <c r="DJ1232" s="17"/>
      <c r="DK1232" s="16"/>
      <c r="DL1232" s="16"/>
      <c r="DM1232" s="17"/>
      <c r="DN1232" s="17"/>
      <c r="DO1232" s="16"/>
      <c r="DP1232" s="16"/>
      <c r="DQ1232" s="17"/>
      <c r="DR1232" s="17"/>
      <c r="DS1232" s="16"/>
      <c r="DT1232" s="16"/>
      <c r="DU1232" s="17"/>
      <c r="DV1232" s="17"/>
      <c r="DW1232" s="16"/>
      <c r="DX1232" s="16"/>
      <c r="DY1232" s="17"/>
      <c r="DZ1232" s="17"/>
      <c r="EA1232" s="16"/>
      <c r="EB1232" s="16"/>
      <c r="EC1232" s="17"/>
      <c r="ED1232" s="17"/>
      <c r="EE1232" s="16"/>
      <c r="EF1232" s="16"/>
      <c r="EG1232" s="17"/>
      <c r="EH1232" s="17"/>
      <c r="EI1232" s="16"/>
      <c r="EJ1232" s="16"/>
      <c r="EK1232" s="17"/>
      <c r="EL1232" s="17"/>
      <c r="EM1232" s="16"/>
      <c r="EN1232" s="16"/>
      <c r="EO1232" s="17"/>
      <c r="EP1232" s="17"/>
      <c r="EQ1232" s="16"/>
      <c r="ER1232" s="16"/>
      <c r="ES1232" s="17"/>
      <c r="ET1232" s="17"/>
      <c r="EU1232" s="16"/>
      <c r="EV1232" s="16"/>
      <c r="EW1232" s="17"/>
      <c r="EX1232" s="17"/>
      <c r="EY1232" s="16"/>
      <c r="EZ1232" s="16"/>
      <c r="FA1232" s="17"/>
      <c r="FB1232" s="17"/>
      <c r="FC1232" s="16"/>
      <c r="FD1232" s="16"/>
      <c r="FE1232" s="17"/>
      <c r="FF1232" s="17"/>
      <c r="FG1232" s="11"/>
      <c r="GT1232" s="11"/>
      <c r="IG1232" s="11"/>
      <c r="JT1232" s="11"/>
      <c r="LG1232" s="11"/>
      <c r="MT1232" s="11"/>
      <c r="OG1232" s="11"/>
      <c r="PT1232" s="11"/>
    </row>
    <row r="1233" spans="1:436" ht="15.75" x14ac:dyDescent="0.25">
      <c r="C1233" s="20" t="s">
        <v>914</v>
      </c>
      <c r="D1233" s="21" t="s">
        <v>79</v>
      </c>
      <c r="H1233" s="11"/>
      <c r="AU1233" s="11"/>
      <c r="CH1233" s="11"/>
      <c r="CI1233" s="16"/>
      <c r="CJ1233" s="16"/>
      <c r="CK1233" s="16"/>
      <c r="CL1233" s="16"/>
      <c r="CM1233" s="16"/>
      <c r="CN1233" s="16"/>
      <c r="CO1233" s="16"/>
      <c r="CP1233" s="16"/>
      <c r="CQ1233" s="16"/>
      <c r="CR1233" s="16"/>
      <c r="CS1233" s="16"/>
      <c r="CT1233" s="16"/>
      <c r="CU1233" s="16"/>
      <c r="CV1233" s="16"/>
      <c r="CW1233" s="16"/>
      <c r="CX1233" s="16"/>
      <c r="CY1233" s="16"/>
      <c r="CZ1233" s="16"/>
      <c r="DA1233" s="16"/>
      <c r="DB1233" s="16"/>
      <c r="DC1233" s="16"/>
      <c r="DD1233" s="16"/>
      <c r="DE1233" s="17"/>
      <c r="DF1233" s="17"/>
      <c r="DG1233" s="16"/>
      <c r="DH1233" s="16"/>
      <c r="DI1233" s="18">
        <v>2</v>
      </c>
      <c r="DJ1233" s="18">
        <v>2</v>
      </c>
      <c r="DK1233" s="16"/>
      <c r="DL1233" s="16"/>
      <c r="DM1233" s="17"/>
      <c r="DN1233" s="17"/>
      <c r="DO1233" s="16"/>
      <c r="DP1233" s="16"/>
      <c r="DQ1233" s="17"/>
      <c r="DR1233" s="17"/>
      <c r="DS1233" s="16"/>
      <c r="DT1233" s="16"/>
      <c r="DU1233" s="17"/>
      <c r="DV1233" s="17"/>
      <c r="DW1233" s="16"/>
      <c r="DX1233" s="16"/>
      <c r="DY1233" s="17"/>
      <c r="DZ1233" s="17"/>
      <c r="EA1233" s="16"/>
      <c r="EB1233" s="16"/>
      <c r="EC1233" s="17"/>
      <c r="ED1233" s="17"/>
      <c r="EE1233" s="16"/>
      <c r="EF1233" s="16"/>
      <c r="EG1233" s="17"/>
      <c r="EH1233" s="17"/>
      <c r="EI1233" s="16"/>
      <c r="EJ1233" s="16"/>
      <c r="EK1233" s="17"/>
      <c r="EL1233" s="17"/>
      <c r="EM1233" s="16"/>
      <c r="EN1233" s="16"/>
      <c r="EO1233" s="17"/>
      <c r="EP1233" s="17"/>
      <c r="EQ1233" s="16"/>
      <c r="ER1233" s="16"/>
      <c r="ES1233" s="17"/>
      <c r="ET1233" s="17"/>
      <c r="EU1233" s="16"/>
      <c r="EV1233" s="16"/>
      <c r="EW1233" s="17"/>
      <c r="EX1233" s="17"/>
      <c r="EY1233" s="16"/>
      <c r="EZ1233" s="16"/>
      <c r="FA1233" s="17"/>
      <c r="FB1233" s="17"/>
      <c r="FC1233" s="16"/>
      <c r="FD1233" s="16"/>
      <c r="FE1233" s="17"/>
      <c r="FF1233" s="17"/>
      <c r="FG1233" s="11"/>
      <c r="GT1233" s="11"/>
      <c r="IG1233" s="11"/>
      <c r="JT1233" s="11"/>
      <c r="LG1233" s="11"/>
      <c r="MT1233" s="11"/>
      <c r="OG1233" s="11"/>
      <c r="PT1233" s="11"/>
    </row>
    <row r="1234" spans="1:436" ht="15.75" x14ac:dyDescent="0.25">
      <c r="C1234" s="20" t="s">
        <v>902</v>
      </c>
      <c r="D1234" s="21" t="s">
        <v>79</v>
      </c>
      <c r="H1234" s="11"/>
      <c r="AU1234" s="11"/>
      <c r="CH1234" s="11"/>
      <c r="CI1234" s="16"/>
      <c r="CJ1234" s="16"/>
      <c r="CK1234" s="16"/>
      <c r="CL1234" s="16"/>
      <c r="CM1234" s="16"/>
      <c r="CN1234" s="16"/>
      <c r="CO1234" s="16"/>
      <c r="CP1234" s="16"/>
      <c r="CQ1234" s="16"/>
      <c r="CR1234" s="16"/>
      <c r="CS1234" s="16"/>
      <c r="CT1234" s="16"/>
      <c r="CU1234" s="16"/>
      <c r="CV1234" s="16"/>
      <c r="CW1234" s="16"/>
      <c r="CX1234" s="16"/>
      <c r="CY1234" s="16"/>
      <c r="CZ1234" s="16"/>
      <c r="DA1234" s="16"/>
      <c r="DB1234" s="16"/>
      <c r="DC1234" s="16"/>
      <c r="DD1234" s="16"/>
      <c r="DE1234" s="17"/>
      <c r="DF1234" s="17"/>
      <c r="DG1234" s="16"/>
      <c r="DH1234" s="16"/>
      <c r="DI1234" s="17"/>
      <c r="DJ1234" s="17"/>
      <c r="DK1234" s="16"/>
      <c r="DL1234" s="16"/>
      <c r="DM1234" s="17"/>
      <c r="DN1234" s="17"/>
      <c r="DO1234" s="16"/>
      <c r="DP1234" s="16"/>
      <c r="DQ1234" s="17"/>
      <c r="DR1234" s="17"/>
      <c r="DS1234" s="16"/>
      <c r="DT1234" s="16"/>
      <c r="DU1234" s="17"/>
      <c r="DV1234" s="17"/>
      <c r="DW1234" s="16"/>
      <c r="DX1234" s="16"/>
      <c r="DY1234" s="17"/>
      <c r="DZ1234" s="17"/>
      <c r="EA1234" s="16"/>
      <c r="EB1234" s="16"/>
      <c r="EC1234" s="17"/>
      <c r="ED1234" s="17"/>
      <c r="EE1234" s="16"/>
      <c r="EF1234" s="16"/>
      <c r="EG1234" s="17"/>
      <c r="EH1234" s="17"/>
      <c r="EI1234" s="16"/>
      <c r="EJ1234" s="16"/>
      <c r="EK1234" s="17"/>
      <c r="EL1234" s="17"/>
      <c r="EM1234" s="16"/>
      <c r="EN1234" s="16"/>
      <c r="EO1234" s="17"/>
      <c r="EP1234" s="17"/>
      <c r="EQ1234" s="16"/>
      <c r="ER1234" s="16"/>
      <c r="ES1234" s="17"/>
      <c r="ET1234" s="17"/>
      <c r="EU1234" s="16"/>
      <c r="EV1234" s="16"/>
      <c r="EW1234" s="17"/>
      <c r="EX1234" s="17"/>
      <c r="EY1234" s="16"/>
      <c r="EZ1234" s="16"/>
      <c r="FA1234" s="17"/>
      <c r="FB1234" s="17"/>
      <c r="FC1234" s="16"/>
      <c r="FD1234" s="16"/>
      <c r="FE1234" s="17"/>
      <c r="FF1234" s="17"/>
      <c r="FG1234" s="11"/>
      <c r="GT1234" s="11"/>
      <c r="IG1234" s="11"/>
      <c r="JT1234" s="11"/>
      <c r="LG1234" s="11"/>
      <c r="MT1234" s="11"/>
      <c r="OG1234" s="11"/>
      <c r="PT1234" s="11"/>
    </row>
    <row r="1235" spans="1:436" ht="15.75" x14ac:dyDescent="0.25">
      <c r="C1235" s="20" t="s">
        <v>773</v>
      </c>
      <c r="D1235" s="21" t="s">
        <v>90</v>
      </c>
      <c r="H1235" s="11"/>
      <c r="AU1235" s="11"/>
      <c r="CH1235" s="11"/>
      <c r="CI1235" s="16"/>
      <c r="CJ1235" s="16"/>
      <c r="CK1235" s="16"/>
      <c r="CL1235" s="16"/>
      <c r="CM1235" s="16"/>
      <c r="CN1235" s="16"/>
      <c r="CO1235" s="16"/>
      <c r="CP1235" s="16"/>
      <c r="CQ1235" s="16"/>
      <c r="CR1235" s="16"/>
      <c r="CS1235" s="16"/>
      <c r="CT1235" s="16"/>
      <c r="CU1235" s="16"/>
      <c r="CV1235" s="16"/>
      <c r="CW1235" s="16"/>
      <c r="CX1235" s="16"/>
      <c r="CY1235" s="16"/>
      <c r="CZ1235" s="16"/>
      <c r="DA1235" s="16"/>
      <c r="DB1235" s="16"/>
      <c r="DC1235" s="16"/>
      <c r="DD1235" s="16"/>
      <c r="DE1235" s="17"/>
      <c r="DF1235" s="17"/>
      <c r="DG1235" s="16"/>
      <c r="DH1235" s="16"/>
      <c r="DI1235" s="17"/>
      <c r="DJ1235" s="17"/>
      <c r="DK1235" s="16"/>
      <c r="DL1235" s="16"/>
      <c r="DM1235" s="17"/>
      <c r="DN1235" s="17"/>
      <c r="DO1235" s="16"/>
      <c r="DP1235" s="16"/>
      <c r="DQ1235" s="17"/>
      <c r="DR1235" s="17"/>
      <c r="DS1235" s="16"/>
      <c r="DT1235" s="16"/>
      <c r="DU1235" s="17"/>
      <c r="DV1235" s="17"/>
      <c r="DW1235" s="16"/>
      <c r="DX1235" s="16"/>
      <c r="DY1235" s="17"/>
      <c r="DZ1235" s="17"/>
      <c r="EA1235" s="16"/>
      <c r="EB1235" s="16"/>
      <c r="EC1235" s="17"/>
      <c r="ED1235" s="17"/>
      <c r="EE1235" s="16"/>
      <c r="EF1235" s="16"/>
      <c r="EG1235" s="17"/>
      <c r="EH1235" s="17"/>
      <c r="EI1235" s="16"/>
      <c r="EJ1235" s="16"/>
      <c r="EK1235" s="17"/>
      <c r="EL1235" s="17"/>
      <c r="EM1235" s="16"/>
      <c r="EN1235" s="16"/>
      <c r="EO1235" s="17"/>
      <c r="EP1235" s="17"/>
      <c r="EQ1235" s="16"/>
      <c r="ER1235" s="16"/>
      <c r="ES1235" s="17"/>
      <c r="ET1235" s="17"/>
      <c r="EU1235" s="16"/>
      <c r="EV1235" s="16"/>
      <c r="EW1235" s="17"/>
      <c r="EX1235" s="17"/>
      <c r="EY1235" s="16"/>
      <c r="EZ1235" s="16"/>
      <c r="FA1235" s="17"/>
      <c r="FB1235" s="17"/>
      <c r="FC1235" s="16"/>
      <c r="FD1235" s="16"/>
      <c r="FE1235" s="17"/>
      <c r="FF1235" s="17"/>
      <c r="FG1235" s="11"/>
      <c r="GT1235" s="11"/>
      <c r="IG1235" s="11"/>
      <c r="JT1235" s="11"/>
      <c r="LG1235" s="11"/>
      <c r="MT1235" s="11"/>
      <c r="OG1235" s="11"/>
      <c r="PT1235" s="11"/>
    </row>
    <row r="1236" spans="1:436" ht="15.75" x14ac:dyDescent="0.25">
      <c r="C1236" s="20" t="s">
        <v>903</v>
      </c>
      <c r="D1236" s="21" t="s">
        <v>129</v>
      </c>
      <c r="H1236" s="11"/>
      <c r="AU1236" s="11"/>
      <c r="CH1236" s="11"/>
      <c r="CI1236" s="16"/>
      <c r="CJ1236" s="16"/>
      <c r="CK1236" s="16"/>
      <c r="CL1236" s="16"/>
      <c r="CM1236" s="16"/>
      <c r="CN1236" s="16"/>
      <c r="CO1236" s="16"/>
      <c r="CP1236" s="16"/>
      <c r="CQ1236" s="16"/>
      <c r="CR1236" s="16"/>
      <c r="CS1236" s="16"/>
      <c r="CT1236" s="16"/>
      <c r="CU1236" s="16"/>
      <c r="CV1236" s="16"/>
      <c r="CW1236" s="16"/>
      <c r="CX1236" s="16"/>
      <c r="CY1236" s="16"/>
      <c r="CZ1236" s="16"/>
      <c r="DA1236" s="16"/>
      <c r="DB1236" s="16"/>
      <c r="DC1236" s="16"/>
      <c r="DD1236" s="16"/>
      <c r="DE1236" s="17"/>
      <c r="DF1236" s="17"/>
      <c r="DG1236" s="16"/>
      <c r="DH1236" s="16"/>
      <c r="DI1236" s="17"/>
      <c r="DJ1236" s="17"/>
      <c r="DK1236" s="16"/>
      <c r="DL1236" s="16"/>
      <c r="DM1236" s="17"/>
      <c r="DN1236" s="17"/>
      <c r="DO1236" s="16"/>
      <c r="DP1236" s="16"/>
      <c r="DQ1236" s="17"/>
      <c r="DR1236" s="17"/>
      <c r="DS1236" s="16"/>
      <c r="DT1236" s="16"/>
      <c r="DU1236" s="17"/>
      <c r="DV1236" s="17"/>
      <c r="DW1236" s="16"/>
      <c r="DX1236" s="16"/>
      <c r="DY1236" s="17"/>
      <c r="DZ1236" s="17"/>
      <c r="EA1236" s="16"/>
      <c r="EB1236" s="16"/>
      <c r="EC1236" s="17"/>
      <c r="ED1236" s="17"/>
      <c r="EE1236" s="16"/>
      <c r="EF1236" s="16"/>
      <c r="EG1236" s="17"/>
      <c r="EH1236" s="17"/>
      <c r="EI1236" s="16"/>
      <c r="EJ1236" s="16"/>
      <c r="EK1236" s="17"/>
      <c r="EL1236" s="17"/>
      <c r="EM1236" s="16"/>
      <c r="EN1236" s="16"/>
      <c r="EO1236" s="17"/>
      <c r="EP1236" s="17"/>
      <c r="EQ1236" s="16"/>
      <c r="ER1236" s="16"/>
      <c r="ES1236" s="17"/>
      <c r="ET1236" s="17"/>
      <c r="EU1236" s="16"/>
      <c r="EV1236" s="16"/>
      <c r="EW1236" s="17"/>
      <c r="EX1236" s="17"/>
      <c r="EY1236" s="16"/>
      <c r="EZ1236" s="16"/>
      <c r="FA1236" s="17"/>
      <c r="FB1236" s="17"/>
      <c r="FC1236" s="16"/>
      <c r="FD1236" s="16"/>
      <c r="FE1236" s="17"/>
      <c r="FF1236" s="17"/>
      <c r="FG1236" s="11"/>
      <c r="GT1236" s="11"/>
      <c r="IG1236" s="11"/>
      <c r="JT1236" s="11"/>
      <c r="LG1236" s="11"/>
      <c r="MT1236" s="11"/>
      <c r="OG1236" s="11"/>
      <c r="PT1236" s="11"/>
    </row>
    <row r="1237" spans="1:436" ht="15.75" x14ac:dyDescent="0.25">
      <c r="C1237" s="20" t="s">
        <v>904</v>
      </c>
      <c r="D1237" s="21" t="s">
        <v>162</v>
      </c>
      <c r="H1237" s="11"/>
      <c r="AU1237" s="11"/>
      <c r="CH1237" s="11"/>
      <c r="CI1237" s="16"/>
      <c r="CJ1237" s="16"/>
      <c r="CK1237" s="16"/>
      <c r="CL1237" s="16"/>
      <c r="CM1237" s="16"/>
      <c r="CN1237" s="16"/>
      <c r="CO1237" s="16"/>
      <c r="CP1237" s="16"/>
      <c r="CQ1237" s="16"/>
      <c r="CR1237" s="16"/>
      <c r="CS1237" s="16"/>
      <c r="CT1237" s="16"/>
      <c r="CU1237" s="16"/>
      <c r="CV1237" s="16"/>
      <c r="CW1237" s="16"/>
      <c r="CX1237" s="16"/>
      <c r="CY1237" s="16"/>
      <c r="CZ1237" s="16"/>
      <c r="DA1237" s="16"/>
      <c r="DB1237" s="16"/>
      <c r="DC1237" s="16"/>
      <c r="DD1237" s="16"/>
      <c r="DE1237" s="17"/>
      <c r="DF1237" s="17"/>
      <c r="DG1237" s="16"/>
      <c r="DH1237" s="16"/>
      <c r="DI1237" s="17"/>
      <c r="DJ1237" s="17"/>
      <c r="DK1237" s="16"/>
      <c r="DL1237" s="16"/>
      <c r="DM1237" s="17"/>
      <c r="DN1237" s="17"/>
      <c r="DO1237" s="16"/>
      <c r="DP1237" s="16"/>
      <c r="DQ1237" s="17"/>
      <c r="DR1237" s="17"/>
      <c r="DS1237" s="16"/>
      <c r="DT1237" s="16"/>
      <c r="DU1237" s="17"/>
      <c r="DV1237" s="17"/>
      <c r="DW1237" s="16"/>
      <c r="DX1237" s="16"/>
      <c r="DY1237" s="17"/>
      <c r="DZ1237" s="17"/>
      <c r="EA1237" s="16"/>
      <c r="EB1237" s="16"/>
      <c r="EC1237" s="17"/>
      <c r="ED1237" s="17"/>
      <c r="EE1237" s="16"/>
      <c r="EF1237" s="16"/>
      <c r="EG1237" s="17"/>
      <c r="EH1237" s="17"/>
      <c r="EI1237" s="16"/>
      <c r="EJ1237" s="16"/>
      <c r="EK1237" s="17"/>
      <c r="EL1237" s="17"/>
      <c r="EM1237" s="16"/>
      <c r="EN1237" s="16"/>
      <c r="EO1237" s="17"/>
      <c r="EP1237" s="17"/>
      <c r="EQ1237" s="16"/>
      <c r="ER1237" s="16"/>
      <c r="ES1237" s="17"/>
      <c r="ET1237" s="17"/>
      <c r="EU1237" s="16"/>
      <c r="EV1237" s="16"/>
      <c r="EW1237" s="17"/>
      <c r="EX1237" s="17"/>
      <c r="EY1237" s="16"/>
      <c r="EZ1237" s="16"/>
      <c r="FA1237" s="17"/>
      <c r="FB1237" s="17"/>
      <c r="FC1237" s="16"/>
      <c r="FD1237" s="16"/>
      <c r="FE1237" s="17"/>
      <c r="FF1237" s="17"/>
      <c r="FG1237" s="11"/>
      <c r="GT1237" s="11"/>
      <c r="IG1237" s="11"/>
      <c r="JT1237" s="11"/>
      <c r="LG1237" s="11"/>
      <c r="MT1237" s="11"/>
      <c r="OG1237" s="11"/>
      <c r="PT1237" s="11"/>
    </row>
    <row r="1238" spans="1:436" ht="15.75" x14ac:dyDescent="0.25">
      <c r="C1238" s="20" t="s">
        <v>905</v>
      </c>
      <c r="D1238" s="21" t="s">
        <v>203</v>
      </c>
      <c r="H1238" s="11"/>
      <c r="AU1238" s="11"/>
      <c r="CH1238" s="11"/>
      <c r="CI1238" s="16"/>
      <c r="CJ1238" s="16"/>
      <c r="CK1238" s="16"/>
      <c r="CL1238" s="16"/>
      <c r="CM1238" s="16"/>
      <c r="CN1238" s="16"/>
      <c r="CO1238" s="16"/>
      <c r="CP1238" s="16"/>
      <c r="CQ1238" s="16"/>
      <c r="CR1238" s="16"/>
      <c r="CS1238" s="16"/>
      <c r="CT1238" s="16"/>
      <c r="CU1238" s="16"/>
      <c r="CV1238" s="16"/>
      <c r="CW1238" s="16"/>
      <c r="CX1238" s="16"/>
      <c r="CY1238" s="16"/>
      <c r="CZ1238" s="16"/>
      <c r="DA1238" s="16"/>
      <c r="DB1238" s="16"/>
      <c r="DC1238" s="16"/>
      <c r="DD1238" s="16"/>
      <c r="DE1238" s="17"/>
      <c r="DF1238" s="17"/>
      <c r="DG1238" s="16"/>
      <c r="DH1238" s="16"/>
      <c r="DI1238" s="17"/>
      <c r="DJ1238" s="17"/>
      <c r="DK1238" s="16"/>
      <c r="DL1238" s="16"/>
      <c r="DM1238" s="17"/>
      <c r="DN1238" s="17"/>
      <c r="DO1238" s="16"/>
      <c r="DP1238" s="16"/>
      <c r="DQ1238" s="17"/>
      <c r="DR1238" s="17"/>
      <c r="DS1238" s="16"/>
      <c r="DT1238" s="16"/>
      <c r="DU1238" s="17"/>
      <c r="DV1238" s="17"/>
      <c r="DW1238" s="16"/>
      <c r="DX1238" s="16"/>
      <c r="DY1238" s="17"/>
      <c r="DZ1238" s="17"/>
      <c r="EA1238" s="16"/>
      <c r="EB1238" s="16"/>
      <c r="EC1238" s="17"/>
      <c r="ED1238" s="17"/>
      <c r="EE1238" s="16"/>
      <c r="EF1238" s="16"/>
      <c r="EG1238" s="18">
        <v>3</v>
      </c>
      <c r="EH1238" s="18">
        <v>5</v>
      </c>
      <c r="EI1238" s="16"/>
      <c r="EJ1238" s="16"/>
      <c r="EK1238" s="17"/>
      <c r="EL1238" s="17"/>
      <c r="EM1238" s="16"/>
      <c r="EN1238" s="16"/>
      <c r="EO1238" s="17"/>
      <c r="EP1238" s="17"/>
      <c r="EQ1238" s="16"/>
      <c r="ER1238" s="16"/>
      <c r="ES1238" s="17"/>
      <c r="ET1238" s="17"/>
      <c r="EU1238" s="16"/>
      <c r="EV1238" s="16"/>
      <c r="EW1238" s="17"/>
      <c r="EX1238" s="17"/>
      <c r="EY1238" s="16"/>
      <c r="EZ1238" s="16"/>
      <c r="FA1238" s="17"/>
      <c r="FB1238" s="17"/>
      <c r="FC1238" s="16"/>
      <c r="FD1238" s="16"/>
      <c r="FE1238" s="17"/>
      <c r="FF1238" s="17"/>
      <c r="FG1238" s="11"/>
      <c r="GT1238" s="11"/>
      <c r="IG1238" s="11"/>
      <c r="JT1238" s="11"/>
      <c r="LG1238" s="11"/>
      <c r="MT1238" s="11"/>
      <c r="OG1238" s="11"/>
      <c r="PT1238" s="11"/>
    </row>
    <row r="1239" spans="1:436" ht="15.75" x14ac:dyDescent="0.25">
      <c r="C1239" s="20" t="s">
        <v>906</v>
      </c>
      <c r="D1239" s="21" t="s">
        <v>79</v>
      </c>
      <c r="H1239" s="11"/>
      <c r="AU1239" s="11"/>
      <c r="CH1239" s="11"/>
      <c r="CI1239" s="16"/>
      <c r="CJ1239" s="16"/>
      <c r="CK1239" s="16"/>
      <c r="CL1239" s="16"/>
      <c r="CM1239" s="16"/>
      <c r="CN1239" s="16"/>
      <c r="CO1239" s="16"/>
      <c r="CP1239" s="16"/>
      <c r="CQ1239" s="16"/>
      <c r="CR1239" s="16"/>
      <c r="CS1239" s="16"/>
      <c r="CT1239" s="16"/>
      <c r="CU1239" s="16"/>
      <c r="CV1239" s="16"/>
      <c r="CW1239" s="16"/>
      <c r="CX1239" s="16"/>
      <c r="CY1239" s="16"/>
      <c r="CZ1239" s="16"/>
      <c r="DA1239" s="16"/>
      <c r="DB1239" s="16"/>
      <c r="DC1239" s="16"/>
      <c r="DD1239" s="16"/>
      <c r="DE1239" s="17"/>
      <c r="DF1239" s="17"/>
      <c r="DG1239" s="16"/>
      <c r="DH1239" s="16"/>
      <c r="DI1239" s="17"/>
      <c r="DJ1239" s="17"/>
      <c r="DK1239" s="16"/>
      <c r="DL1239" s="16"/>
      <c r="DM1239" s="17"/>
      <c r="DN1239" s="17"/>
      <c r="DO1239" s="16"/>
      <c r="DP1239" s="16"/>
      <c r="DQ1239" s="17"/>
      <c r="DR1239" s="17"/>
      <c r="DS1239" s="16"/>
      <c r="DT1239" s="16"/>
      <c r="DU1239" s="17"/>
      <c r="DV1239" s="17"/>
      <c r="DW1239" s="16"/>
      <c r="DX1239" s="16"/>
      <c r="DY1239" s="17"/>
      <c r="DZ1239" s="17"/>
      <c r="EA1239" s="16"/>
      <c r="EB1239" s="16"/>
      <c r="EC1239" s="17"/>
      <c r="ED1239" s="17"/>
      <c r="EE1239" s="16"/>
      <c r="EF1239" s="16"/>
      <c r="EG1239" s="17"/>
      <c r="EH1239" s="17"/>
      <c r="EI1239" s="16"/>
      <c r="EJ1239" s="16"/>
      <c r="EK1239" s="17"/>
      <c r="EL1239" s="17"/>
      <c r="EM1239" s="16"/>
      <c r="EN1239" s="16"/>
      <c r="EO1239" s="17"/>
      <c r="EP1239" s="17"/>
      <c r="EQ1239" s="16"/>
      <c r="ER1239" s="16"/>
      <c r="ES1239" s="17"/>
      <c r="ET1239" s="17"/>
      <c r="EU1239" s="16"/>
      <c r="EV1239" s="16"/>
      <c r="EW1239" s="17"/>
      <c r="EX1239" s="17"/>
      <c r="EY1239" s="16"/>
      <c r="EZ1239" s="16"/>
      <c r="FA1239" s="17"/>
      <c r="FB1239" s="17"/>
      <c r="FC1239" s="16"/>
      <c r="FD1239" s="16"/>
      <c r="FE1239" s="17"/>
      <c r="FF1239" s="17"/>
      <c r="FG1239" s="11"/>
      <c r="GT1239" s="11"/>
      <c r="IG1239" s="11"/>
      <c r="JT1239" s="11"/>
      <c r="LG1239" s="11"/>
      <c r="MT1239" s="11"/>
      <c r="OG1239" s="11"/>
      <c r="PT1239" s="11"/>
    </row>
    <row r="1240" spans="1:436" ht="15.75" x14ac:dyDescent="0.25">
      <c r="C1240" s="20" t="s">
        <v>907</v>
      </c>
      <c r="D1240" s="21" t="s">
        <v>79</v>
      </c>
      <c r="H1240" s="11"/>
      <c r="AU1240" s="11"/>
      <c r="CH1240" s="11"/>
      <c r="CI1240" s="16"/>
      <c r="CJ1240" s="16"/>
      <c r="CK1240" s="16"/>
      <c r="CL1240" s="16"/>
      <c r="CM1240" s="16"/>
      <c r="CN1240" s="16"/>
      <c r="CO1240" s="16"/>
      <c r="CP1240" s="16"/>
      <c r="CQ1240" s="16"/>
      <c r="CR1240" s="16"/>
      <c r="CS1240" s="16"/>
      <c r="CT1240" s="16"/>
      <c r="CU1240" s="16"/>
      <c r="CV1240" s="16"/>
      <c r="CW1240" s="16"/>
      <c r="CX1240" s="16"/>
      <c r="CY1240" s="16"/>
      <c r="CZ1240" s="16"/>
      <c r="DA1240" s="16"/>
      <c r="DB1240" s="16"/>
      <c r="DC1240" s="16"/>
      <c r="DD1240" s="16"/>
      <c r="DE1240" s="17"/>
      <c r="DF1240" s="17"/>
      <c r="DG1240" s="16"/>
      <c r="DH1240" s="16"/>
      <c r="DI1240" s="17"/>
      <c r="DJ1240" s="17"/>
      <c r="DK1240" s="16"/>
      <c r="DL1240" s="16"/>
      <c r="DM1240" s="17"/>
      <c r="DN1240" s="17"/>
      <c r="DO1240" s="16"/>
      <c r="DP1240" s="16"/>
      <c r="DQ1240" s="17"/>
      <c r="DR1240" s="17"/>
      <c r="DS1240" s="16"/>
      <c r="DT1240" s="16"/>
      <c r="DU1240" s="17"/>
      <c r="DV1240" s="17"/>
      <c r="DW1240" s="16"/>
      <c r="DX1240" s="16"/>
      <c r="DY1240" s="17"/>
      <c r="DZ1240" s="17"/>
      <c r="EA1240" s="16"/>
      <c r="EB1240" s="16"/>
      <c r="EC1240" s="17"/>
      <c r="ED1240" s="17"/>
      <c r="EE1240" s="16"/>
      <c r="EF1240" s="16"/>
      <c r="EG1240" s="17"/>
      <c r="EH1240" s="17"/>
      <c r="EI1240" s="16"/>
      <c r="EJ1240" s="16"/>
      <c r="EK1240" s="17"/>
      <c r="EL1240" s="17"/>
      <c r="EM1240" s="16"/>
      <c r="EN1240" s="16"/>
      <c r="EO1240" s="17"/>
      <c r="EP1240" s="17"/>
      <c r="EQ1240" s="16"/>
      <c r="ER1240" s="16"/>
      <c r="ES1240" s="17"/>
      <c r="ET1240" s="17"/>
      <c r="EU1240" s="16"/>
      <c r="EV1240" s="16"/>
      <c r="EW1240" s="17"/>
      <c r="EX1240" s="17"/>
      <c r="EY1240" s="16"/>
      <c r="EZ1240" s="16"/>
      <c r="FA1240" s="17"/>
      <c r="FB1240" s="17"/>
      <c r="FC1240" s="16"/>
      <c r="FD1240" s="16"/>
      <c r="FE1240" s="17"/>
      <c r="FF1240" s="17"/>
      <c r="FG1240" s="11"/>
      <c r="GT1240" s="11"/>
      <c r="IG1240" s="11"/>
      <c r="JT1240" s="11"/>
      <c r="LG1240" s="11"/>
      <c r="MT1240" s="11"/>
      <c r="OG1240" s="11"/>
      <c r="PT1240" s="11"/>
    </row>
    <row r="1241" spans="1:436" ht="15.75" x14ac:dyDescent="0.25">
      <c r="C1241" s="20" t="s">
        <v>773</v>
      </c>
      <c r="D1241" s="21" t="s">
        <v>90</v>
      </c>
      <c r="H1241" s="11"/>
      <c r="AU1241" s="11"/>
      <c r="CH1241" s="11"/>
      <c r="CI1241" s="16"/>
      <c r="CJ1241" s="16"/>
      <c r="CK1241" s="16"/>
      <c r="CL1241" s="16"/>
      <c r="CM1241" s="16"/>
      <c r="CN1241" s="16"/>
      <c r="CO1241" s="16"/>
      <c r="CP1241" s="16"/>
      <c r="CQ1241" s="16"/>
      <c r="CR1241" s="16"/>
      <c r="CS1241" s="16"/>
      <c r="CT1241" s="16"/>
      <c r="CU1241" s="16"/>
      <c r="CV1241" s="16"/>
      <c r="CW1241" s="16"/>
      <c r="CX1241" s="16"/>
      <c r="CY1241" s="16"/>
      <c r="CZ1241" s="16"/>
      <c r="DA1241" s="16"/>
      <c r="DB1241" s="16"/>
      <c r="DC1241" s="16"/>
      <c r="DD1241" s="16"/>
      <c r="DE1241" s="17"/>
      <c r="DF1241" s="17"/>
      <c r="DG1241" s="16"/>
      <c r="DH1241" s="16"/>
      <c r="DI1241" s="17"/>
      <c r="DJ1241" s="17"/>
      <c r="DK1241" s="16"/>
      <c r="DL1241" s="16"/>
      <c r="DM1241" s="17"/>
      <c r="DN1241" s="17"/>
      <c r="DO1241" s="16"/>
      <c r="DP1241" s="16"/>
      <c r="DQ1241" s="17"/>
      <c r="DR1241" s="17"/>
      <c r="DS1241" s="16"/>
      <c r="DT1241" s="16"/>
      <c r="DU1241" s="17"/>
      <c r="DV1241" s="17"/>
      <c r="DW1241" s="16"/>
      <c r="DX1241" s="16"/>
      <c r="DY1241" s="17"/>
      <c r="DZ1241" s="17"/>
      <c r="EA1241" s="16"/>
      <c r="EB1241" s="16"/>
      <c r="EC1241" s="17"/>
      <c r="ED1241" s="17"/>
      <c r="EE1241" s="16"/>
      <c r="EF1241" s="16"/>
      <c r="EG1241" s="17"/>
      <c r="EH1241" s="17"/>
      <c r="EI1241" s="16"/>
      <c r="EJ1241" s="16"/>
      <c r="EK1241" s="17"/>
      <c r="EL1241" s="17"/>
      <c r="EM1241" s="16"/>
      <c r="EN1241" s="16"/>
      <c r="EO1241" s="17"/>
      <c r="EP1241" s="17"/>
      <c r="EQ1241" s="16"/>
      <c r="ER1241" s="16"/>
      <c r="ES1241" s="17"/>
      <c r="ET1241" s="17"/>
      <c r="EU1241" s="16"/>
      <c r="EV1241" s="16"/>
      <c r="EW1241" s="17"/>
      <c r="EX1241" s="17"/>
      <c r="EY1241" s="16"/>
      <c r="EZ1241" s="16"/>
      <c r="FA1241" s="17"/>
      <c r="FB1241" s="17"/>
      <c r="FC1241" s="16"/>
      <c r="FD1241" s="16"/>
      <c r="FE1241" s="17"/>
      <c r="FF1241" s="17"/>
      <c r="FG1241" s="11"/>
      <c r="GT1241" s="11"/>
      <c r="IG1241" s="11"/>
      <c r="JT1241" s="11"/>
      <c r="LG1241" s="11"/>
      <c r="MT1241" s="11"/>
      <c r="OG1241" s="11"/>
      <c r="PT1241" s="11"/>
    </row>
    <row r="1242" spans="1:436" ht="15.75" x14ac:dyDescent="0.25">
      <c r="C1242" s="20" t="s">
        <v>910</v>
      </c>
      <c r="D1242" s="21" t="s">
        <v>82</v>
      </c>
      <c r="H1242" s="11"/>
      <c r="AU1242" s="11"/>
      <c r="CH1242" s="11"/>
      <c r="CI1242" s="16"/>
      <c r="CJ1242" s="16"/>
      <c r="CK1242" s="16"/>
      <c r="CL1242" s="16"/>
      <c r="CM1242" s="16"/>
      <c r="CN1242" s="16"/>
      <c r="CO1242" s="16"/>
      <c r="CP1242" s="16"/>
      <c r="CQ1242" s="16"/>
      <c r="CR1242" s="16"/>
      <c r="CS1242" s="16"/>
      <c r="CT1242" s="16"/>
      <c r="CU1242" s="16"/>
      <c r="CV1242" s="16"/>
      <c r="CW1242" s="16"/>
      <c r="CX1242" s="16"/>
      <c r="CY1242" s="16"/>
      <c r="CZ1242" s="16"/>
      <c r="DA1242" s="16"/>
      <c r="DB1242" s="16"/>
      <c r="DC1242" s="16"/>
      <c r="DD1242" s="16"/>
      <c r="DE1242" s="17"/>
      <c r="DF1242" s="17"/>
      <c r="DG1242" s="16"/>
      <c r="DH1242" s="16"/>
      <c r="DI1242" s="17"/>
      <c r="DJ1242" s="17"/>
      <c r="DK1242" s="16"/>
      <c r="DL1242" s="16"/>
      <c r="DM1242" s="17"/>
      <c r="DN1242" s="17"/>
      <c r="DO1242" s="16"/>
      <c r="DP1242" s="16"/>
      <c r="DQ1242" s="17"/>
      <c r="DR1242" s="17"/>
      <c r="DS1242" s="16"/>
      <c r="DT1242" s="16"/>
      <c r="DU1242" s="17"/>
      <c r="DV1242" s="17"/>
      <c r="DW1242" s="16"/>
      <c r="DX1242" s="16"/>
      <c r="DY1242" s="17"/>
      <c r="DZ1242" s="17"/>
      <c r="EA1242" s="16"/>
      <c r="EB1242" s="16"/>
      <c r="EC1242" s="17"/>
      <c r="ED1242" s="17"/>
      <c r="EE1242" s="16"/>
      <c r="EF1242" s="16"/>
      <c r="EG1242" s="17"/>
      <c r="EH1242" s="17"/>
      <c r="EI1242" s="16"/>
      <c r="EJ1242" s="16"/>
      <c r="EK1242" s="17"/>
      <c r="EL1242" s="17"/>
      <c r="EM1242" s="16"/>
      <c r="EN1242" s="16"/>
      <c r="EO1242" s="17"/>
      <c r="EP1242" s="17"/>
      <c r="EQ1242" s="16"/>
      <c r="ER1242" s="16"/>
      <c r="ES1242" s="18">
        <v>1</v>
      </c>
      <c r="ET1242" s="18">
        <v>15</v>
      </c>
      <c r="EU1242" s="16"/>
      <c r="EV1242" s="16"/>
      <c r="EW1242" s="17"/>
      <c r="EX1242" s="17"/>
      <c r="EY1242" s="16"/>
      <c r="EZ1242" s="16"/>
      <c r="FA1242" s="17"/>
      <c r="FB1242" s="17"/>
      <c r="FC1242" s="16"/>
      <c r="FD1242" s="16"/>
      <c r="FE1242" s="17"/>
      <c r="FF1242" s="17"/>
      <c r="FG1242" s="11"/>
      <c r="GT1242" s="11"/>
      <c r="IG1242" s="11"/>
      <c r="JT1242" s="11"/>
      <c r="LG1242" s="11"/>
      <c r="MT1242" s="11"/>
      <c r="OG1242" s="11"/>
      <c r="PT1242" s="11"/>
    </row>
    <row r="1243" spans="1:436" ht="15.75" x14ac:dyDescent="0.25">
      <c r="C1243" s="20" t="s">
        <v>911</v>
      </c>
      <c r="D1243" s="21" t="s">
        <v>84</v>
      </c>
      <c r="H1243" s="11"/>
      <c r="AU1243" s="11"/>
      <c r="CH1243" s="11"/>
      <c r="CI1243" s="16"/>
      <c r="CJ1243" s="16"/>
      <c r="CK1243" s="16"/>
      <c r="CL1243" s="16"/>
      <c r="CM1243" s="16"/>
      <c r="CN1243" s="16"/>
      <c r="CO1243" s="16"/>
      <c r="CP1243" s="16"/>
      <c r="CQ1243" s="16"/>
      <c r="CR1243" s="16"/>
      <c r="CS1243" s="16"/>
      <c r="CT1243" s="16"/>
      <c r="CU1243" s="16"/>
      <c r="CV1243" s="16"/>
      <c r="CW1243" s="16"/>
      <c r="CX1243" s="16"/>
      <c r="CY1243" s="16"/>
      <c r="CZ1243" s="16"/>
      <c r="DA1243" s="16"/>
      <c r="DB1243" s="16"/>
      <c r="DC1243" s="16"/>
      <c r="DD1243" s="16"/>
      <c r="DE1243" s="17"/>
      <c r="DF1243" s="17"/>
      <c r="DG1243" s="16"/>
      <c r="DH1243" s="16"/>
      <c r="DI1243" s="17"/>
      <c r="DJ1243" s="17"/>
      <c r="DK1243" s="16"/>
      <c r="DL1243" s="16"/>
      <c r="DM1243" s="17"/>
      <c r="DN1243" s="17"/>
      <c r="DO1243" s="16"/>
      <c r="DP1243" s="16"/>
      <c r="DQ1243" s="17"/>
      <c r="DR1243" s="17"/>
      <c r="DS1243" s="16"/>
      <c r="DT1243" s="16"/>
      <c r="DU1243" s="17"/>
      <c r="DV1243" s="17"/>
      <c r="DW1243" s="16"/>
      <c r="DX1243" s="16"/>
      <c r="DY1243" s="17"/>
      <c r="DZ1243" s="17"/>
      <c r="EA1243" s="16"/>
      <c r="EB1243" s="16"/>
      <c r="EC1243" s="17"/>
      <c r="ED1243" s="17"/>
      <c r="EE1243" s="16"/>
      <c r="EF1243" s="16"/>
      <c r="EG1243" s="17"/>
      <c r="EH1243" s="17"/>
      <c r="EI1243" s="16"/>
      <c r="EJ1243" s="16"/>
      <c r="EK1243" s="17"/>
      <c r="EL1243" s="17"/>
      <c r="EM1243" s="16"/>
      <c r="EN1243" s="16"/>
      <c r="EO1243" s="17"/>
      <c r="EP1243" s="17"/>
      <c r="EQ1243" s="16"/>
      <c r="ER1243" s="16"/>
      <c r="ES1243" s="17"/>
      <c r="ET1243" s="17"/>
      <c r="EU1243" s="16"/>
      <c r="EV1243" s="16"/>
      <c r="EW1243" s="17"/>
      <c r="EX1243" s="17"/>
      <c r="EY1243" s="16"/>
      <c r="EZ1243" s="16"/>
      <c r="FA1243" s="17"/>
      <c r="FB1243" s="17"/>
      <c r="FC1243" s="16"/>
      <c r="FD1243" s="16"/>
      <c r="FE1243" s="17"/>
      <c r="FF1243" s="17"/>
      <c r="FG1243" s="11"/>
      <c r="GT1243" s="11"/>
      <c r="IG1243" s="11"/>
      <c r="JT1243" s="11"/>
      <c r="LG1243" s="11"/>
      <c r="MT1243" s="11"/>
      <c r="OG1243" s="11"/>
      <c r="PT1243" s="11"/>
    </row>
    <row r="1244" spans="1:436" ht="15.75" x14ac:dyDescent="0.25">
      <c r="C1244" s="20" t="s">
        <v>912</v>
      </c>
      <c r="D1244" s="21" t="s">
        <v>82</v>
      </c>
      <c r="H1244" s="11"/>
      <c r="AU1244" s="11"/>
      <c r="CH1244" s="11"/>
      <c r="CI1244" s="16"/>
      <c r="CJ1244" s="16"/>
      <c r="CK1244" s="16"/>
      <c r="CL1244" s="16"/>
      <c r="CM1244" s="16"/>
      <c r="CN1244" s="16"/>
      <c r="CO1244" s="16"/>
      <c r="CP1244" s="16"/>
      <c r="CQ1244" s="16"/>
      <c r="CR1244" s="16"/>
      <c r="CS1244" s="16"/>
      <c r="CT1244" s="16"/>
      <c r="CU1244" s="16"/>
      <c r="CV1244" s="16"/>
      <c r="CW1244" s="16"/>
      <c r="CX1244" s="16"/>
      <c r="CY1244" s="16"/>
      <c r="CZ1244" s="16"/>
      <c r="DA1244" s="16"/>
      <c r="DB1244" s="16"/>
      <c r="DC1244" s="16"/>
      <c r="DD1244" s="16"/>
      <c r="DE1244" s="17"/>
      <c r="DF1244" s="17"/>
      <c r="DG1244" s="16"/>
      <c r="DH1244" s="16"/>
      <c r="DI1244" s="17"/>
      <c r="DJ1244" s="17"/>
      <c r="DK1244" s="16"/>
      <c r="DL1244" s="16"/>
      <c r="DM1244" s="17"/>
      <c r="DN1244" s="17"/>
      <c r="DO1244" s="16"/>
      <c r="DP1244" s="16"/>
      <c r="DQ1244" s="17"/>
      <c r="DR1244" s="17"/>
      <c r="DS1244" s="16"/>
      <c r="DT1244" s="16"/>
      <c r="DU1244" s="17"/>
      <c r="DV1244" s="17"/>
      <c r="DW1244" s="16"/>
      <c r="DX1244" s="16"/>
      <c r="DY1244" s="17"/>
      <c r="DZ1244" s="17"/>
      <c r="EA1244" s="16"/>
      <c r="EB1244" s="16"/>
      <c r="EC1244" s="17"/>
      <c r="ED1244" s="17"/>
      <c r="EE1244" s="16"/>
      <c r="EF1244" s="16"/>
      <c r="EG1244" s="17"/>
      <c r="EH1244" s="17"/>
      <c r="EI1244" s="16"/>
      <c r="EJ1244" s="16"/>
      <c r="EK1244" s="17"/>
      <c r="EL1244" s="17"/>
      <c r="EM1244" s="16"/>
      <c r="EN1244" s="16"/>
      <c r="EO1244" s="17"/>
      <c r="EP1244" s="17"/>
      <c r="EQ1244" s="16"/>
      <c r="ER1244" s="16"/>
      <c r="ES1244" s="18">
        <v>5</v>
      </c>
      <c r="ET1244" s="18">
        <v>10</v>
      </c>
      <c r="EU1244" s="16"/>
      <c r="EV1244" s="16"/>
      <c r="EW1244" s="17"/>
      <c r="EX1244" s="17"/>
      <c r="EY1244" s="16"/>
      <c r="EZ1244" s="16"/>
      <c r="FA1244" s="17"/>
      <c r="FB1244" s="17"/>
      <c r="FC1244" s="16"/>
      <c r="FD1244" s="16"/>
      <c r="FE1244" s="17"/>
      <c r="FF1244" s="17"/>
      <c r="FG1244" s="11"/>
      <c r="GT1244" s="11"/>
      <c r="IG1244" s="11"/>
      <c r="JT1244" s="11"/>
      <c r="LG1244" s="11"/>
      <c r="MT1244" s="11"/>
      <c r="OG1244" s="11"/>
      <c r="PT1244" s="11"/>
    </row>
    <row r="1245" spans="1:436" ht="15.75" x14ac:dyDescent="0.25">
      <c r="C1245" s="20" t="s">
        <v>913</v>
      </c>
      <c r="D1245" s="21" t="s">
        <v>90</v>
      </c>
      <c r="H1245" s="11"/>
      <c r="AU1245" s="11"/>
      <c r="CH1245" s="11"/>
      <c r="CI1245" s="16"/>
      <c r="CJ1245" s="16"/>
      <c r="CK1245" s="16"/>
      <c r="CL1245" s="16"/>
      <c r="CM1245" s="16"/>
      <c r="CN1245" s="16"/>
      <c r="CO1245" s="16"/>
      <c r="CP1245" s="16"/>
      <c r="CQ1245" s="16"/>
      <c r="CR1245" s="16"/>
      <c r="CS1245" s="16"/>
      <c r="CT1245" s="16"/>
      <c r="CU1245" s="16"/>
      <c r="CV1245" s="16"/>
      <c r="CW1245" s="16"/>
      <c r="CX1245" s="16"/>
      <c r="CY1245" s="16"/>
      <c r="CZ1245" s="16"/>
      <c r="DA1245" s="16"/>
      <c r="DB1245" s="16"/>
      <c r="DC1245" s="16"/>
      <c r="DD1245" s="16"/>
      <c r="DE1245" s="17"/>
      <c r="DF1245" s="17"/>
      <c r="DG1245" s="16"/>
      <c r="DH1245" s="16"/>
      <c r="DI1245" s="17"/>
      <c r="DJ1245" s="17"/>
      <c r="DK1245" s="16"/>
      <c r="DL1245" s="16"/>
      <c r="DM1245" s="17"/>
      <c r="DN1245" s="17"/>
      <c r="DO1245" s="16"/>
      <c r="DP1245" s="16"/>
      <c r="DQ1245" s="17"/>
      <c r="DR1245" s="17"/>
      <c r="DS1245" s="16"/>
      <c r="DT1245" s="16"/>
      <c r="DU1245" s="17"/>
      <c r="DV1245" s="17"/>
      <c r="DW1245" s="16"/>
      <c r="DX1245" s="16"/>
      <c r="DY1245" s="17"/>
      <c r="DZ1245" s="17"/>
      <c r="EA1245" s="16"/>
      <c r="EB1245" s="16"/>
      <c r="EC1245" s="17"/>
      <c r="ED1245" s="17"/>
      <c r="EE1245" s="16"/>
      <c r="EF1245" s="16"/>
      <c r="EG1245" s="17"/>
      <c r="EH1245" s="17"/>
      <c r="EI1245" s="16"/>
      <c r="EJ1245" s="16"/>
      <c r="EK1245" s="17"/>
      <c r="EL1245" s="17"/>
      <c r="EM1245" s="16"/>
      <c r="EN1245" s="16"/>
      <c r="EO1245" s="17"/>
      <c r="EP1245" s="17"/>
      <c r="EQ1245" s="16"/>
      <c r="ER1245" s="16"/>
      <c r="ES1245" s="17"/>
      <c r="ET1245" s="17"/>
      <c r="EU1245" s="16"/>
      <c r="EV1245" s="16"/>
      <c r="EW1245" s="17"/>
      <c r="EX1245" s="17"/>
      <c r="EY1245" s="16"/>
      <c r="EZ1245" s="16"/>
      <c r="FA1245" s="17"/>
      <c r="FB1245" s="17"/>
      <c r="FC1245" s="16"/>
      <c r="FD1245" s="16"/>
      <c r="FE1245" s="17"/>
      <c r="FF1245" s="17"/>
      <c r="FG1245" s="11"/>
      <c r="GT1245" s="11"/>
      <c r="IG1245" s="11"/>
      <c r="JT1245" s="11"/>
      <c r="LG1245" s="11"/>
      <c r="MT1245" s="11"/>
      <c r="OG1245" s="11"/>
      <c r="PT1245" s="11"/>
    </row>
    <row r="1246" spans="1:436" ht="15.75" x14ac:dyDescent="0.25">
      <c r="A1246" s="13"/>
      <c r="B1246" s="14" t="s">
        <v>915</v>
      </c>
      <c r="C1246" s="13"/>
      <c r="D1246" s="13"/>
      <c r="E1246" s="15" t="s">
        <v>127</v>
      </c>
      <c r="F1246" s="15" t="s">
        <v>77</v>
      </c>
      <c r="G1246" s="13"/>
      <c r="H1246" s="11"/>
      <c r="AU1246" s="11"/>
      <c r="CH1246" s="11"/>
      <c r="CI1246" s="16"/>
      <c r="CJ1246" s="16"/>
      <c r="CK1246" s="16"/>
      <c r="CL1246" s="16"/>
      <c r="CM1246" s="16"/>
      <c r="CN1246" s="16"/>
      <c r="CO1246" s="16"/>
      <c r="CP1246" s="16"/>
      <c r="CQ1246" s="16"/>
      <c r="CR1246" s="16"/>
      <c r="CS1246" s="16"/>
      <c r="CT1246" s="16"/>
      <c r="CU1246" s="16"/>
      <c r="CV1246" s="16"/>
      <c r="CW1246" s="16"/>
      <c r="CX1246" s="16"/>
      <c r="CY1246" s="16"/>
      <c r="CZ1246" s="16"/>
      <c r="DA1246" s="16"/>
      <c r="DB1246" s="16"/>
      <c r="DC1246" s="16"/>
      <c r="DD1246" s="16"/>
      <c r="DE1246" s="17"/>
      <c r="DF1246" s="17"/>
      <c r="DG1246" s="16"/>
      <c r="DH1246" s="16"/>
      <c r="DI1246" s="17"/>
      <c r="DJ1246" s="17"/>
      <c r="DK1246" s="16"/>
      <c r="DL1246" s="16"/>
      <c r="DM1246" s="17"/>
      <c r="DN1246" s="17"/>
      <c r="DO1246" s="16"/>
      <c r="DP1246" s="16"/>
      <c r="DQ1246" s="17"/>
      <c r="DR1246" s="17"/>
      <c r="DS1246" s="16"/>
      <c r="DT1246" s="16"/>
      <c r="DU1246" s="17"/>
      <c r="DV1246" s="17"/>
      <c r="DW1246" s="16"/>
      <c r="DX1246" s="19">
        <v>30</v>
      </c>
      <c r="DY1246" s="17"/>
      <c r="DZ1246" s="17"/>
      <c r="EA1246" s="16"/>
      <c r="EB1246" s="16"/>
      <c r="EC1246" s="17"/>
      <c r="ED1246" s="17"/>
      <c r="EE1246" s="16"/>
      <c r="EF1246" s="16"/>
      <c r="EG1246" s="17"/>
      <c r="EH1246" s="17"/>
      <c r="EI1246" s="16"/>
      <c r="EJ1246" s="16"/>
      <c r="EK1246" s="17"/>
      <c r="EL1246" s="17"/>
      <c r="EM1246" s="16"/>
      <c r="EN1246" s="16"/>
      <c r="EO1246" s="17"/>
      <c r="EP1246" s="17"/>
      <c r="EQ1246" s="16"/>
      <c r="ER1246" s="16"/>
      <c r="ES1246" s="17"/>
      <c r="ET1246" s="18">
        <v>30</v>
      </c>
      <c r="EU1246" s="16"/>
      <c r="EV1246" s="16"/>
      <c r="EW1246" s="17"/>
      <c r="EX1246" s="17"/>
      <c r="EY1246" s="16"/>
      <c r="EZ1246" s="16"/>
      <c r="FA1246" s="17"/>
      <c r="FB1246" s="17"/>
      <c r="FC1246" s="16"/>
      <c r="FD1246" s="16"/>
      <c r="FE1246" s="17"/>
      <c r="FF1246" s="17"/>
      <c r="FG1246" s="11"/>
      <c r="GT1246" s="11"/>
      <c r="IG1246" s="11"/>
      <c r="JT1246" s="11"/>
      <c r="LG1246" s="11"/>
      <c r="MT1246" s="11"/>
      <c r="OG1246" s="11"/>
      <c r="PT1246" s="11"/>
    </row>
    <row r="1247" spans="1:436" ht="15.75" x14ac:dyDescent="0.25">
      <c r="A1247" s="13"/>
      <c r="B1247" s="14" t="s">
        <v>916</v>
      </c>
      <c r="C1247" s="13"/>
      <c r="D1247" s="13"/>
      <c r="E1247" s="15" t="s">
        <v>76</v>
      </c>
      <c r="F1247" s="15" t="s">
        <v>77</v>
      </c>
      <c r="G1247" s="13"/>
      <c r="H1247" s="11"/>
      <c r="AU1247" s="11"/>
      <c r="CH1247" s="11"/>
      <c r="CI1247" s="16"/>
      <c r="CJ1247" s="16"/>
      <c r="CK1247" s="16"/>
      <c r="CL1247" s="16"/>
      <c r="CM1247" s="16"/>
      <c r="CN1247" s="16"/>
      <c r="CO1247" s="16"/>
      <c r="CP1247" s="16"/>
      <c r="CQ1247" s="16"/>
      <c r="CR1247" s="16"/>
      <c r="CS1247" s="16"/>
      <c r="CT1247" s="16"/>
      <c r="CU1247" s="16"/>
      <c r="CV1247" s="16"/>
      <c r="CW1247" s="16"/>
      <c r="CX1247" s="16"/>
      <c r="CY1247" s="16"/>
      <c r="CZ1247" s="16"/>
      <c r="DA1247" s="16"/>
      <c r="DB1247" s="16"/>
      <c r="DC1247" s="16"/>
      <c r="DD1247" s="16"/>
      <c r="DE1247" s="17"/>
      <c r="DF1247" s="17"/>
      <c r="DG1247" s="16"/>
      <c r="DH1247" s="16"/>
      <c r="DI1247" s="17"/>
      <c r="DJ1247" s="18">
        <v>5</v>
      </c>
      <c r="DK1247" s="16"/>
      <c r="DL1247" s="16"/>
      <c r="DM1247" s="17"/>
      <c r="DN1247" s="17"/>
      <c r="DO1247" s="16"/>
      <c r="DP1247" s="16"/>
      <c r="DQ1247" s="17"/>
      <c r="DR1247" s="17"/>
      <c r="DS1247" s="16"/>
      <c r="DT1247" s="16"/>
      <c r="DU1247" s="17"/>
      <c r="DV1247" s="17"/>
      <c r="DW1247" s="16"/>
      <c r="DX1247" s="19">
        <v>30</v>
      </c>
      <c r="DY1247" s="17"/>
      <c r="DZ1247" s="17"/>
      <c r="EA1247" s="16"/>
      <c r="EB1247" s="16"/>
      <c r="EC1247" s="17"/>
      <c r="ED1247" s="17"/>
      <c r="EE1247" s="16"/>
      <c r="EF1247" s="16"/>
      <c r="EG1247" s="17"/>
      <c r="EH1247" s="17"/>
      <c r="EI1247" s="16"/>
      <c r="EJ1247" s="16"/>
      <c r="EK1247" s="17"/>
      <c r="EL1247" s="17"/>
      <c r="EM1247" s="16"/>
      <c r="EN1247" s="16"/>
      <c r="EO1247" s="17"/>
      <c r="EP1247" s="17"/>
      <c r="EQ1247" s="16"/>
      <c r="ER1247" s="16"/>
      <c r="ES1247" s="17"/>
      <c r="ET1247" s="18">
        <v>30</v>
      </c>
      <c r="EU1247" s="16"/>
      <c r="EV1247" s="16"/>
      <c r="EW1247" s="17"/>
      <c r="EX1247" s="17"/>
      <c r="EY1247" s="16"/>
      <c r="EZ1247" s="16"/>
      <c r="FA1247" s="17"/>
      <c r="FB1247" s="17"/>
      <c r="FC1247" s="16"/>
      <c r="FD1247" s="16"/>
      <c r="FE1247" s="17"/>
      <c r="FF1247" s="17"/>
      <c r="FG1247" s="11"/>
      <c r="GT1247" s="11"/>
      <c r="IG1247" s="11"/>
      <c r="JT1247" s="11"/>
      <c r="LG1247" s="11"/>
      <c r="MT1247" s="11"/>
      <c r="OG1247" s="11"/>
      <c r="PT1247" s="11"/>
    </row>
    <row r="1248" spans="1:436" ht="15.75" x14ac:dyDescent="0.25">
      <c r="A1248" s="13"/>
      <c r="B1248" s="14" t="s">
        <v>917</v>
      </c>
      <c r="C1248" s="13"/>
      <c r="D1248" s="13"/>
      <c r="E1248" s="15" t="s">
        <v>76</v>
      </c>
      <c r="F1248" s="15" t="s">
        <v>132</v>
      </c>
      <c r="G1248" s="13"/>
      <c r="H1248" s="11"/>
      <c r="AU1248" s="11"/>
      <c r="CH1248" s="11"/>
      <c r="CI1248" s="16"/>
      <c r="CJ1248" s="16"/>
      <c r="CK1248" s="16"/>
      <c r="CL1248" s="16"/>
      <c r="CM1248" s="16"/>
      <c r="CN1248" s="16"/>
      <c r="CO1248" s="16"/>
      <c r="CP1248" s="16"/>
      <c r="CQ1248" s="16"/>
      <c r="CR1248" s="16"/>
      <c r="CS1248" s="16"/>
      <c r="CT1248" s="16"/>
      <c r="CU1248" s="16"/>
      <c r="CV1248" s="16"/>
      <c r="CW1248" s="16"/>
      <c r="CX1248" s="16"/>
      <c r="CY1248" s="16"/>
      <c r="CZ1248" s="16"/>
      <c r="DA1248" s="16"/>
      <c r="DB1248" s="16"/>
      <c r="DC1248" s="16"/>
      <c r="DD1248" s="19">
        <v>2</v>
      </c>
      <c r="DE1248" s="17"/>
      <c r="DF1248" s="17"/>
      <c r="DG1248" s="16"/>
      <c r="DH1248" s="16"/>
      <c r="DI1248" s="17"/>
      <c r="DJ1248" s="18">
        <v>3</v>
      </c>
      <c r="DK1248" s="16"/>
      <c r="DL1248" s="16"/>
      <c r="DM1248" s="17"/>
      <c r="DN1248" s="17"/>
      <c r="DO1248" s="16"/>
      <c r="DP1248" s="16"/>
      <c r="DQ1248" s="17"/>
      <c r="DR1248" s="17"/>
      <c r="DS1248" s="16"/>
      <c r="DT1248" s="16"/>
      <c r="DU1248" s="17"/>
      <c r="DV1248" s="17"/>
      <c r="DW1248" s="16"/>
      <c r="DX1248" s="16"/>
      <c r="DY1248" s="17"/>
      <c r="DZ1248" s="17"/>
      <c r="EA1248" s="16"/>
      <c r="EB1248" s="16"/>
      <c r="EC1248" s="17"/>
      <c r="ED1248" s="17"/>
      <c r="EE1248" s="16"/>
      <c r="EF1248" s="16"/>
      <c r="EG1248" s="17"/>
      <c r="EH1248" s="17"/>
      <c r="EI1248" s="16"/>
      <c r="EJ1248" s="16"/>
      <c r="EK1248" s="17"/>
      <c r="EL1248" s="17"/>
      <c r="EM1248" s="16"/>
      <c r="EN1248" s="16"/>
      <c r="EO1248" s="17"/>
      <c r="EP1248" s="17"/>
      <c r="EQ1248" s="16"/>
      <c r="ER1248" s="16"/>
      <c r="ES1248" s="17"/>
      <c r="ET1248" s="18">
        <v>30</v>
      </c>
      <c r="EU1248" s="16"/>
      <c r="EV1248" s="16"/>
      <c r="EW1248" s="17"/>
      <c r="EX1248" s="17"/>
      <c r="EY1248" s="16"/>
      <c r="EZ1248" s="16"/>
      <c r="FA1248" s="17"/>
      <c r="FB1248" s="17"/>
      <c r="FC1248" s="16"/>
      <c r="FD1248" s="16"/>
      <c r="FE1248" s="17"/>
      <c r="FF1248" s="17"/>
      <c r="FG1248" s="11"/>
      <c r="GT1248" s="11"/>
      <c r="IG1248" s="11"/>
      <c r="JT1248" s="11"/>
      <c r="LG1248" s="11"/>
      <c r="MT1248" s="11"/>
      <c r="OG1248" s="11"/>
      <c r="PT1248" s="11"/>
    </row>
    <row r="1249" spans="3:436" ht="15.75" x14ac:dyDescent="0.25">
      <c r="C1249" s="20" t="s">
        <v>918</v>
      </c>
      <c r="D1249" s="21" t="s">
        <v>79</v>
      </c>
      <c r="H1249" s="11"/>
      <c r="AU1249" s="11"/>
      <c r="CH1249" s="11"/>
      <c r="CI1249" s="16"/>
      <c r="CJ1249" s="16"/>
      <c r="CK1249" s="16"/>
      <c r="CL1249" s="16"/>
      <c r="CM1249" s="16"/>
      <c r="CN1249" s="16"/>
      <c r="CO1249" s="16"/>
      <c r="CP1249" s="16"/>
      <c r="CQ1249" s="16"/>
      <c r="CR1249" s="16"/>
      <c r="CS1249" s="16"/>
      <c r="CT1249" s="16"/>
      <c r="CU1249" s="16"/>
      <c r="CV1249" s="16"/>
      <c r="CW1249" s="16"/>
      <c r="CX1249" s="16"/>
      <c r="CY1249" s="16"/>
      <c r="CZ1249" s="16"/>
      <c r="DA1249" s="16"/>
      <c r="DB1249" s="16"/>
      <c r="DC1249" s="16"/>
      <c r="DD1249" s="16"/>
      <c r="DE1249" s="17"/>
      <c r="DF1249" s="17"/>
      <c r="DG1249" s="16"/>
      <c r="DH1249" s="16"/>
      <c r="DI1249" s="18">
        <v>7</v>
      </c>
      <c r="DJ1249" s="18">
        <v>2</v>
      </c>
      <c r="DK1249" s="16"/>
      <c r="DL1249" s="16"/>
      <c r="DM1249" s="17"/>
      <c r="DN1249" s="17"/>
      <c r="DO1249" s="16"/>
      <c r="DP1249" s="16"/>
      <c r="DQ1249" s="17"/>
      <c r="DR1249" s="17"/>
      <c r="DS1249" s="16"/>
      <c r="DT1249" s="16"/>
      <c r="DU1249" s="17"/>
      <c r="DV1249" s="17"/>
      <c r="DW1249" s="16"/>
      <c r="DX1249" s="16"/>
      <c r="DY1249" s="17"/>
      <c r="DZ1249" s="17"/>
      <c r="EA1249" s="16"/>
      <c r="EB1249" s="16"/>
      <c r="EC1249" s="17"/>
      <c r="ED1249" s="17"/>
      <c r="EE1249" s="16"/>
      <c r="EF1249" s="16"/>
      <c r="EG1249" s="17"/>
      <c r="EH1249" s="17"/>
      <c r="EI1249" s="16"/>
      <c r="EJ1249" s="16"/>
      <c r="EK1249" s="17"/>
      <c r="EL1249" s="17"/>
      <c r="EM1249" s="16"/>
      <c r="EN1249" s="16"/>
      <c r="EO1249" s="17"/>
      <c r="EP1249" s="17"/>
      <c r="EQ1249" s="16"/>
      <c r="ER1249" s="16"/>
      <c r="ES1249" s="17"/>
      <c r="ET1249" s="17"/>
      <c r="EU1249" s="16"/>
      <c r="EV1249" s="16"/>
      <c r="EW1249" s="17"/>
      <c r="EX1249" s="17"/>
      <c r="EY1249" s="16"/>
      <c r="EZ1249" s="16"/>
      <c r="FA1249" s="17"/>
      <c r="FB1249" s="17"/>
      <c r="FC1249" s="16"/>
      <c r="FD1249" s="16"/>
      <c r="FE1249" s="17"/>
      <c r="FF1249" s="17"/>
      <c r="FG1249" s="11"/>
      <c r="GT1249" s="11"/>
      <c r="IG1249" s="11"/>
      <c r="JT1249" s="11"/>
      <c r="LG1249" s="11"/>
      <c r="MT1249" s="11"/>
      <c r="OG1249" s="11"/>
      <c r="PT1249" s="11"/>
    </row>
    <row r="1250" spans="3:436" ht="15.75" x14ac:dyDescent="0.25">
      <c r="C1250" s="20" t="s">
        <v>919</v>
      </c>
      <c r="D1250" s="21" t="s">
        <v>129</v>
      </c>
      <c r="H1250" s="11"/>
      <c r="AU1250" s="11"/>
      <c r="CH1250" s="11"/>
      <c r="CI1250" s="16"/>
      <c r="CJ1250" s="16"/>
      <c r="CK1250" s="16"/>
      <c r="CL1250" s="16"/>
      <c r="CM1250" s="16"/>
      <c r="CN1250" s="16"/>
      <c r="CO1250" s="16"/>
      <c r="CP1250" s="16"/>
      <c r="CQ1250" s="16"/>
      <c r="CR1250" s="16"/>
      <c r="CS1250" s="16"/>
      <c r="CT1250" s="16"/>
      <c r="CU1250" s="16"/>
      <c r="CV1250" s="16"/>
      <c r="CW1250" s="16"/>
      <c r="CX1250" s="16"/>
      <c r="CY1250" s="16"/>
      <c r="CZ1250" s="16"/>
      <c r="DA1250" s="16"/>
      <c r="DB1250" s="16"/>
      <c r="DC1250" s="16"/>
      <c r="DD1250" s="16"/>
      <c r="DE1250" s="17"/>
      <c r="DF1250" s="17"/>
      <c r="DG1250" s="16"/>
      <c r="DH1250" s="16"/>
      <c r="DI1250" s="17"/>
      <c r="DJ1250" s="17"/>
      <c r="DK1250" s="16"/>
      <c r="DL1250" s="16"/>
      <c r="DM1250" s="17"/>
      <c r="DN1250" s="17"/>
      <c r="DO1250" s="16"/>
      <c r="DP1250" s="16"/>
      <c r="DQ1250" s="17"/>
      <c r="DR1250" s="17"/>
      <c r="DS1250" s="16"/>
      <c r="DT1250" s="16"/>
      <c r="DU1250" s="17"/>
      <c r="DV1250" s="17"/>
      <c r="DW1250" s="16"/>
      <c r="DX1250" s="16"/>
      <c r="DY1250" s="17"/>
      <c r="DZ1250" s="17"/>
      <c r="EA1250" s="16"/>
      <c r="EB1250" s="16"/>
      <c r="EC1250" s="17"/>
      <c r="ED1250" s="17"/>
      <c r="EE1250" s="16"/>
      <c r="EF1250" s="16"/>
      <c r="EG1250" s="17"/>
      <c r="EH1250" s="17"/>
      <c r="EI1250" s="16"/>
      <c r="EJ1250" s="16"/>
      <c r="EK1250" s="17"/>
      <c r="EL1250" s="17"/>
      <c r="EM1250" s="16"/>
      <c r="EN1250" s="16"/>
      <c r="EO1250" s="17"/>
      <c r="EP1250" s="17"/>
      <c r="EQ1250" s="16"/>
      <c r="ER1250" s="16"/>
      <c r="ES1250" s="17"/>
      <c r="ET1250" s="17"/>
      <c r="EU1250" s="16"/>
      <c r="EV1250" s="16"/>
      <c r="EW1250" s="17"/>
      <c r="EX1250" s="17"/>
      <c r="EY1250" s="16"/>
      <c r="EZ1250" s="16"/>
      <c r="FA1250" s="17"/>
      <c r="FB1250" s="17"/>
      <c r="FC1250" s="16"/>
      <c r="FD1250" s="16"/>
      <c r="FE1250" s="17"/>
      <c r="FF1250" s="17"/>
      <c r="FG1250" s="11"/>
      <c r="GT1250" s="11"/>
      <c r="IG1250" s="11"/>
      <c r="JT1250" s="11"/>
      <c r="LG1250" s="11"/>
      <c r="MT1250" s="11"/>
      <c r="OG1250" s="11"/>
      <c r="PT1250" s="11"/>
    </row>
    <row r="1251" spans="3:436" ht="15.75" x14ac:dyDescent="0.25">
      <c r="C1251" s="20" t="s">
        <v>920</v>
      </c>
      <c r="D1251" s="21" t="s">
        <v>84</v>
      </c>
      <c r="H1251" s="11"/>
      <c r="AU1251" s="11"/>
      <c r="CH1251" s="11"/>
      <c r="CI1251" s="16"/>
      <c r="CJ1251" s="16"/>
      <c r="CK1251" s="16"/>
      <c r="CL1251" s="16"/>
      <c r="CM1251" s="16"/>
      <c r="CN1251" s="16"/>
      <c r="CO1251" s="16"/>
      <c r="CP1251" s="16"/>
      <c r="CQ1251" s="16"/>
      <c r="CR1251" s="16"/>
      <c r="CS1251" s="16"/>
      <c r="CT1251" s="16"/>
      <c r="CU1251" s="16"/>
      <c r="CV1251" s="16"/>
      <c r="CW1251" s="16"/>
      <c r="CX1251" s="16"/>
      <c r="CY1251" s="16"/>
      <c r="CZ1251" s="16"/>
      <c r="DA1251" s="16"/>
      <c r="DB1251" s="16"/>
      <c r="DC1251" s="16"/>
      <c r="DD1251" s="16"/>
      <c r="DE1251" s="17"/>
      <c r="DF1251" s="17"/>
      <c r="DG1251" s="16"/>
      <c r="DH1251" s="16"/>
      <c r="DI1251" s="17"/>
      <c r="DJ1251" s="17"/>
      <c r="DK1251" s="16"/>
      <c r="DL1251" s="16"/>
      <c r="DM1251" s="17"/>
      <c r="DN1251" s="17"/>
      <c r="DO1251" s="16"/>
      <c r="DP1251" s="16"/>
      <c r="DQ1251" s="17"/>
      <c r="DR1251" s="17"/>
      <c r="DS1251" s="16"/>
      <c r="DT1251" s="16"/>
      <c r="DU1251" s="17"/>
      <c r="DV1251" s="17"/>
      <c r="DW1251" s="19">
        <v>8</v>
      </c>
      <c r="DX1251" s="19">
        <v>6</v>
      </c>
      <c r="DY1251" s="17"/>
      <c r="DZ1251" s="17"/>
      <c r="EA1251" s="16"/>
      <c r="EB1251" s="16"/>
      <c r="EC1251" s="17"/>
      <c r="ED1251" s="17"/>
      <c r="EE1251" s="16"/>
      <c r="EF1251" s="16"/>
      <c r="EG1251" s="17"/>
      <c r="EH1251" s="17"/>
      <c r="EI1251" s="16"/>
      <c r="EJ1251" s="16"/>
      <c r="EK1251" s="17"/>
      <c r="EL1251" s="17"/>
      <c r="EM1251" s="16"/>
      <c r="EN1251" s="16"/>
      <c r="EO1251" s="17"/>
      <c r="EP1251" s="17"/>
      <c r="EQ1251" s="16"/>
      <c r="ER1251" s="16"/>
      <c r="ES1251" s="17"/>
      <c r="ET1251" s="17"/>
      <c r="EU1251" s="16"/>
      <c r="EV1251" s="16"/>
      <c r="EW1251" s="17"/>
      <c r="EX1251" s="17"/>
      <c r="EY1251" s="16"/>
      <c r="EZ1251" s="16"/>
      <c r="FA1251" s="17"/>
      <c r="FB1251" s="17"/>
      <c r="FC1251" s="16"/>
      <c r="FD1251" s="16"/>
      <c r="FE1251" s="17"/>
      <c r="FF1251" s="17"/>
      <c r="FG1251" s="11"/>
      <c r="GT1251" s="11"/>
      <c r="IG1251" s="11"/>
      <c r="JT1251" s="11"/>
      <c r="LG1251" s="11"/>
      <c r="MT1251" s="11"/>
      <c r="OG1251" s="11"/>
      <c r="PT1251" s="11"/>
    </row>
    <row r="1252" spans="3:436" ht="15.75" x14ac:dyDescent="0.25">
      <c r="C1252" s="20" t="s">
        <v>921</v>
      </c>
      <c r="D1252" s="21" t="s">
        <v>82</v>
      </c>
      <c r="H1252" s="11"/>
      <c r="AU1252" s="11"/>
      <c r="CH1252" s="11"/>
      <c r="CI1252" s="16"/>
      <c r="CJ1252" s="16"/>
      <c r="CK1252" s="16"/>
      <c r="CL1252" s="16"/>
      <c r="CM1252" s="16"/>
      <c r="CN1252" s="16"/>
      <c r="CO1252" s="16"/>
      <c r="CP1252" s="16"/>
      <c r="CQ1252" s="16"/>
      <c r="CR1252" s="16"/>
      <c r="CS1252" s="16"/>
      <c r="CT1252" s="16"/>
      <c r="CU1252" s="16"/>
      <c r="CV1252" s="16"/>
      <c r="CW1252" s="16"/>
      <c r="CX1252" s="16"/>
      <c r="CY1252" s="16"/>
      <c r="CZ1252" s="16"/>
      <c r="DA1252" s="16"/>
      <c r="DB1252" s="16"/>
      <c r="DC1252" s="16"/>
      <c r="DD1252" s="16"/>
      <c r="DE1252" s="17"/>
      <c r="DF1252" s="17"/>
      <c r="DG1252" s="16"/>
      <c r="DH1252" s="16"/>
      <c r="DI1252" s="17"/>
      <c r="DJ1252" s="17"/>
      <c r="DK1252" s="16"/>
      <c r="DL1252" s="16"/>
      <c r="DM1252" s="17"/>
      <c r="DN1252" s="17"/>
      <c r="DO1252" s="16"/>
      <c r="DP1252" s="16"/>
      <c r="DQ1252" s="17"/>
      <c r="DR1252" s="17"/>
      <c r="DS1252" s="16"/>
      <c r="DT1252" s="16"/>
      <c r="DU1252" s="17"/>
      <c r="DV1252" s="17"/>
      <c r="DW1252" s="16"/>
      <c r="DX1252" s="16"/>
      <c r="DY1252" s="17"/>
      <c r="DZ1252" s="17"/>
      <c r="EA1252" s="16"/>
      <c r="EB1252" s="16"/>
      <c r="EC1252" s="17"/>
      <c r="ED1252" s="17"/>
      <c r="EE1252" s="16"/>
      <c r="EF1252" s="16"/>
      <c r="EG1252" s="17"/>
      <c r="EH1252" s="17"/>
      <c r="EI1252" s="16"/>
      <c r="EJ1252" s="16"/>
      <c r="EK1252" s="17"/>
      <c r="EL1252" s="17"/>
      <c r="EM1252" s="16"/>
      <c r="EN1252" s="16"/>
      <c r="EO1252" s="17"/>
      <c r="EP1252" s="17"/>
      <c r="EQ1252" s="16"/>
      <c r="ER1252" s="16"/>
      <c r="ES1252" s="17"/>
      <c r="ET1252" s="17"/>
      <c r="EU1252" s="16"/>
      <c r="EV1252" s="16"/>
      <c r="EW1252" s="17"/>
      <c r="EX1252" s="17"/>
      <c r="EY1252" s="16"/>
      <c r="EZ1252" s="16"/>
      <c r="FA1252" s="17"/>
      <c r="FB1252" s="17"/>
      <c r="FC1252" s="16"/>
      <c r="FD1252" s="16"/>
      <c r="FE1252" s="17"/>
      <c r="FF1252" s="17"/>
      <c r="FG1252" s="11"/>
      <c r="GT1252" s="11"/>
      <c r="IG1252" s="11"/>
      <c r="JT1252" s="11"/>
      <c r="LG1252" s="11"/>
      <c r="MT1252" s="11"/>
      <c r="OG1252" s="11"/>
      <c r="PT1252" s="11"/>
    </row>
    <row r="1253" spans="3:436" ht="15.75" x14ac:dyDescent="0.25">
      <c r="C1253" s="20" t="s">
        <v>922</v>
      </c>
      <c r="D1253" s="21" t="s">
        <v>159</v>
      </c>
      <c r="H1253" s="11"/>
      <c r="AU1253" s="11"/>
      <c r="CH1253" s="11"/>
      <c r="CI1253" s="16"/>
      <c r="CJ1253" s="16"/>
      <c r="CK1253" s="16"/>
      <c r="CL1253" s="16"/>
      <c r="CM1253" s="16"/>
      <c r="CN1253" s="16"/>
      <c r="CO1253" s="16"/>
      <c r="CP1253" s="16"/>
      <c r="CQ1253" s="16"/>
      <c r="CR1253" s="16"/>
      <c r="CS1253" s="16"/>
      <c r="CT1253" s="16"/>
      <c r="CU1253" s="16"/>
      <c r="CV1253" s="16"/>
      <c r="CW1253" s="16"/>
      <c r="CX1253" s="16"/>
      <c r="CY1253" s="16"/>
      <c r="CZ1253" s="16"/>
      <c r="DA1253" s="16"/>
      <c r="DB1253" s="16"/>
      <c r="DC1253" s="16"/>
      <c r="DD1253" s="16"/>
      <c r="DE1253" s="17"/>
      <c r="DF1253" s="17"/>
      <c r="DG1253" s="16"/>
      <c r="DH1253" s="16"/>
      <c r="DI1253" s="17"/>
      <c r="DJ1253" s="17"/>
      <c r="DK1253" s="16"/>
      <c r="DL1253" s="16"/>
      <c r="DM1253" s="17"/>
      <c r="DN1253" s="17"/>
      <c r="DO1253" s="16"/>
      <c r="DP1253" s="16"/>
      <c r="DQ1253" s="17"/>
      <c r="DR1253" s="17"/>
      <c r="DS1253" s="16"/>
      <c r="DT1253" s="16"/>
      <c r="DU1253" s="17"/>
      <c r="DV1253" s="17"/>
      <c r="DW1253" s="16"/>
      <c r="DX1253" s="16"/>
      <c r="DY1253" s="17"/>
      <c r="DZ1253" s="17"/>
      <c r="EA1253" s="16"/>
      <c r="EB1253" s="16"/>
      <c r="EC1253" s="17"/>
      <c r="ED1253" s="17"/>
      <c r="EE1253" s="16"/>
      <c r="EF1253" s="16"/>
      <c r="EG1253" s="17"/>
      <c r="EH1253" s="17"/>
      <c r="EI1253" s="16"/>
      <c r="EJ1253" s="16"/>
      <c r="EK1253" s="17"/>
      <c r="EL1253" s="17"/>
      <c r="EM1253" s="16"/>
      <c r="EN1253" s="16"/>
      <c r="EO1253" s="17"/>
      <c r="EP1253" s="17"/>
      <c r="EQ1253" s="16"/>
      <c r="ER1253" s="16"/>
      <c r="ES1253" s="17"/>
      <c r="ET1253" s="17"/>
      <c r="EU1253" s="16"/>
      <c r="EV1253" s="16"/>
      <c r="EW1253" s="17"/>
      <c r="EX1253" s="17"/>
      <c r="EY1253" s="16"/>
      <c r="EZ1253" s="16"/>
      <c r="FA1253" s="17"/>
      <c r="FB1253" s="17"/>
      <c r="FC1253" s="16"/>
      <c r="FD1253" s="16"/>
      <c r="FE1253" s="17"/>
      <c r="FF1253" s="17"/>
      <c r="FG1253" s="11"/>
      <c r="GT1253" s="11"/>
      <c r="IG1253" s="11"/>
      <c r="JT1253" s="11"/>
      <c r="LG1253" s="11"/>
      <c r="MT1253" s="11"/>
      <c r="OG1253" s="11"/>
      <c r="PT1253" s="11"/>
    </row>
    <row r="1254" spans="3:436" ht="15.75" x14ac:dyDescent="0.25">
      <c r="C1254" s="20" t="s">
        <v>923</v>
      </c>
      <c r="D1254" s="21" t="s">
        <v>90</v>
      </c>
      <c r="H1254" s="11"/>
      <c r="AU1254" s="11"/>
      <c r="CH1254" s="11"/>
      <c r="CI1254" s="16"/>
      <c r="CJ1254" s="16"/>
      <c r="CK1254" s="16"/>
      <c r="CL1254" s="16"/>
      <c r="CM1254" s="16"/>
      <c r="CN1254" s="16"/>
      <c r="CO1254" s="16"/>
      <c r="CP1254" s="16"/>
      <c r="CQ1254" s="16"/>
      <c r="CR1254" s="16"/>
      <c r="CS1254" s="16"/>
      <c r="CT1254" s="16"/>
      <c r="CU1254" s="16"/>
      <c r="CV1254" s="16"/>
      <c r="CW1254" s="16"/>
      <c r="CX1254" s="16"/>
      <c r="CY1254" s="16"/>
      <c r="CZ1254" s="16"/>
      <c r="DA1254" s="16"/>
      <c r="DB1254" s="16"/>
      <c r="DC1254" s="16"/>
      <c r="DD1254" s="16"/>
      <c r="DE1254" s="17"/>
      <c r="DF1254" s="17"/>
      <c r="DG1254" s="16"/>
      <c r="DH1254" s="16"/>
      <c r="DI1254" s="17"/>
      <c r="DJ1254" s="17"/>
      <c r="DK1254" s="16"/>
      <c r="DL1254" s="16"/>
      <c r="DM1254" s="17"/>
      <c r="DN1254" s="17"/>
      <c r="DO1254" s="16"/>
      <c r="DP1254" s="16"/>
      <c r="DQ1254" s="17"/>
      <c r="DR1254" s="17"/>
      <c r="DS1254" s="16"/>
      <c r="DT1254" s="16"/>
      <c r="DU1254" s="17"/>
      <c r="DV1254" s="17"/>
      <c r="DW1254" s="16"/>
      <c r="DX1254" s="16"/>
      <c r="DY1254" s="17"/>
      <c r="DZ1254" s="17"/>
      <c r="EA1254" s="16"/>
      <c r="EB1254" s="16"/>
      <c r="EC1254" s="17"/>
      <c r="ED1254" s="17"/>
      <c r="EE1254" s="16"/>
      <c r="EF1254" s="16"/>
      <c r="EG1254" s="17"/>
      <c r="EH1254" s="17"/>
      <c r="EI1254" s="16"/>
      <c r="EJ1254" s="16"/>
      <c r="EK1254" s="17"/>
      <c r="EL1254" s="17"/>
      <c r="EM1254" s="16"/>
      <c r="EN1254" s="16"/>
      <c r="EO1254" s="17"/>
      <c r="EP1254" s="17"/>
      <c r="EQ1254" s="16"/>
      <c r="ER1254" s="16"/>
      <c r="ES1254" s="17"/>
      <c r="ET1254" s="17"/>
      <c r="EU1254" s="16"/>
      <c r="EV1254" s="16"/>
      <c r="EW1254" s="17"/>
      <c r="EX1254" s="17"/>
      <c r="EY1254" s="16"/>
      <c r="EZ1254" s="16"/>
      <c r="FA1254" s="17"/>
      <c r="FB1254" s="17"/>
      <c r="FC1254" s="16"/>
      <c r="FD1254" s="16"/>
      <c r="FE1254" s="17"/>
      <c r="FF1254" s="17"/>
      <c r="FG1254" s="11"/>
      <c r="GT1254" s="11"/>
      <c r="IG1254" s="11"/>
      <c r="JT1254" s="11"/>
      <c r="LG1254" s="11"/>
      <c r="MT1254" s="11"/>
      <c r="OG1254" s="11"/>
      <c r="PT1254" s="11"/>
    </row>
    <row r="1255" spans="3:436" ht="15.75" x14ac:dyDescent="0.25">
      <c r="C1255" s="20" t="s">
        <v>924</v>
      </c>
      <c r="D1255" s="21" t="s">
        <v>79</v>
      </c>
      <c r="H1255" s="11"/>
      <c r="AU1255" s="11"/>
      <c r="CH1255" s="11"/>
      <c r="CI1255" s="16"/>
      <c r="CJ1255" s="16"/>
      <c r="CK1255" s="16"/>
      <c r="CL1255" s="16"/>
      <c r="CM1255" s="16"/>
      <c r="CN1255" s="16"/>
      <c r="CO1255" s="16"/>
      <c r="CP1255" s="16"/>
      <c r="CQ1255" s="16"/>
      <c r="CR1255" s="16"/>
      <c r="CS1255" s="16"/>
      <c r="CT1255" s="16"/>
      <c r="CU1255" s="16"/>
      <c r="CV1255" s="16"/>
      <c r="CW1255" s="16"/>
      <c r="CX1255" s="16"/>
      <c r="CY1255" s="16"/>
      <c r="CZ1255" s="16"/>
      <c r="DA1255" s="16"/>
      <c r="DB1255" s="16"/>
      <c r="DC1255" s="16"/>
      <c r="DD1255" s="16"/>
      <c r="DE1255" s="17"/>
      <c r="DF1255" s="17"/>
      <c r="DG1255" s="16"/>
      <c r="DH1255" s="16"/>
      <c r="DI1255" s="18">
        <v>2</v>
      </c>
      <c r="DJ1255" s="18">
        <v>5</v>
      </c>
      <c r="DK1255" s="16"/>
      <c r="DL1255" s="16"/>
      <c r="DM1255" s="17"/>
      <c r="DN1255" s="17"/>
      <c r="DO1255" s="16"/>
      <c r="DP1255" s="16"/>
      <c r="DQ1255" s="17"/>
      <c r="DR1255" s="17"/>
      <c r="DS1255" s="16"/>
      <c r="DT1255" s="16"/>
      <c r="DU1255" s="17"/>
      <c r="DV1255" s="17"/>
      <c r="DW1255" s="16"/>
      <c r="DX1255" s="16"/>
      <c r="DY1255" s="17"/>
      <c r="DZ1255" s="17"/>
      <c r="EA1255" s="16"/>
      <c r="EB1255" s="16"/>
      <c r="EC1255" s="17"/>
      <c r="ED1255" s="17"/>
      <c r="EE1255" s="16"/>
      <c r="EF1255" s="16"/>
      <c r="EG1255" s="17"/>
      <c r="EH1255" s="17"/>
      <c r="EI1255" s="16"/>
      <c r="EJ1255" s="16"/>
      <c r="EK1255" s="17"/>
      <c r="EL1255" s="17"/>
      <c r="EM1255" s="16"/>
      <c r="EN1255" s="16"/>
      <c r="EO1255" s="17"/>
      <c r="EP1255" s="17"/>
      <c r="EQ1255" s="16"/>
      <c r="ER1255" s="16"/>
      <c r="ES1255" s="17"/>
      <c r="ET1255" s="17"/>
      <c r="EU1255" s="16"/>
      <c r="EV1255" s="16"/>
      <c r="EW1255" s="17"/>
      <c r="EX1255" s="17"/>
      <c r="EY1255" s="16"/>
      <c r="EZ1255" s="16"/>
      <c r="FA1255" s="17"/>
      <c r="FB1255" s="17"/>
      <c r="FC1255" s="16"/>
      <c r="FD1255" s="16"/>
      <c r="FE1255" s="17"/>
      <c r="FF1255" s="17"/>
      <c r="FG1255" s="11"/>
      <c r="GT1255" s="11"/>
      <c r="IG1255" s="11"/>
      <c r="JT1255" s="11"/>
      <c r="LG1255" s="11"/>
      <c r="MT1255" s="11"/>
      <c r="OG1255" s="11"/>
      <c r="PT1255" s="11"/>
    </row>
    <row r="1256" spans="3:436" ht="15.75" x14ac:dyDescent="0.25">
      <c r="C1256" s="20" t="s">
        <v>925</v>
      </c>
      <c r="D1256" s="21" t="s">
        <v>82</v>
      </c>
      <c r="H1256" s="11"/>
      <c r="AU1256" s="11"/>
      <c r="CH1256" s="11"/>
      <c r="CI1256" s="16"/>
      <c r="CJ1256" s="16"/>
      <c r="CK1256" s="16"/>
      <c r="CL1256" s="16"/>
      <c r="CM1256" s="16"/>
      <c r="CN1256" s="16"/>
      <c r="CO1256" s="16"/>
      <c r="CP1256" s="16"/>
      <c r="CQ1256" s="16"/>
      <c r="CR1256" s="16"/>
      <c r="CS1256" s="16"/>
      <c r="CT1256" s="16"/>
      <c r="CU1256" s="16"/>
      <c r="CV1256" s="16"/>
      <c r="CW1256" s="16"/>
      <c r="CX1256" s="16"/>
      <c r="CY1256" s="16"/>
      <c r="CZ1256" s="16"/>
      <c r="DA1256" s="16"/>
      <c r="DB1256" s="16"/>
      <c r="DC1256" s="16"/>
      <c r="DD1256" s="16"/>
      <c r="DE1256" s="17"/>
      <c r="DF1256" s="17"/>
      <c r="DG1256" s="16"/>
      <c r="DH1256" s="16"/>
      <c r="DI1256" s="17"/>
      <c r="DJ1256" s="17"/>
      <c r="DK1256" s="16"/>
      <c r="DL1256" s="16"/>
      <c r="DM1256" s="17"/>
      <c r="DN1256" s="17"/>
      <c r="DO1256" s="16"/>
      <c r="DP1256" s="16"/>
      <c r="DQ1256" s="17"/>
      <c r="DR1256" s="17"/>
      <c r="DS1256" s="16"/>
      <c r="DT1256" s="16"/>
      <c r="DU1256" s="17"/>
      <c r="DV1256" s="17"/>
      <c r="DW1256" s="16"/>
      <c r="DX1256" s="16"/>
      <c r="DY1256" s="17"/>
      <c r="DZ1256" s="17"/>
      <c r="EA1256" s="16"/>
      <c r="EB1256" s="16"/>
      <c r="EC1256" s="17"/>
      <c r="ED1256" s="17"/>
      <c r="EE1256" s="16"/>
      <c r="EF1256" s="16"/>
      <c r="EG1256" s="17"/>
      <c r="EH1256" s="17"/>
      <c r="EI1256" s="16"/>
      <c r="EJ1256" s="16"/>
      <c r="EK1256" s="17"/>
      <c r="EL1256" s="17"/>
      <c r="EM1256" s="16"/>
      <c r="EN1256" s="16"/>
      <c r="EO1256" s="17"/>
      <c r="EP1256" s="17"/>
      <c r="EQ1256" s="16"/>
      <c r="ER1256" s="16"/>
      <c r="ES1256" s="17"/>
      <c r="ET1256" s="17"/>
      <c r="EU1256" s="16"/>
      <c r="EV1256" s="16"/>
      <c r="EW1256" s="17"/>
      <c r="EX1256" s="17"/>
      <c r="EY1256" s="16"/>
      <c r="EZ1256" s="16"/>
      <c r="FA1256" s="17"/>
      <c r="FB1256" s="17"/>
      <c r="FC1256" s="16"/>
      <c r="FD1256" s="16"/>
      <c r="FE1256" s="17"/>
      <c r="FF1256" s="17"/>
      <c r="FG1256" s="11"/>
      <c r="GT1256" s="11"/>
      <c r="IG1256" s="11"/>
      <c r="JT1256" s="11"/>
      <c r="LG1256" s="11"/>
      <c r="MT1256" s="11"/>
      <c r="OG1256" s="11"/>
      <c r="PT1256" s="11"/>
    </row>
    <row r="1257" spans="3:436" ht="15.75" x14ac:dyDescent="0.25">
      <c r="C1257" s="20" t="s">
        <v>918</v>
      </c>
      <c r="D1257" s="21" t="s">
        <v>79</v>
      </c>
      <c r="H1257" s="11"/>
      <c r="AU1257" s="11"/>
      <c r="CH1257" s="11"/>
      <c r="CI1257" s="16"/>
      <c r="CJ1257" s="16"/>
      <c r="CK1257" s="16"/>
      <c r="CL1257" s="16"/>
      <c r="CM1257" s="16"/>
      <c r="CN1257" s="16"/>
      <c r="CO1257" s="16"/>
      <c r="CP1257" s="16"/>
      <c r="CQ1257" s="16"/>
      <c r="CR1257" s="16"/>
      <c r="CS1257" s="16"/>
      <c r="CT1257" s="16"/>
      <c r="CU1257" s="16"/>
      <c r="CV1257" s="16"/>
      <c r="CW1257" s="16"/>
      <c r="CX1257" s="16"/>
      <c r="CY1257" s="16"/>
      <c r="CZ1257" s="16"/>
      <c r="DA1257" s="16"/>
      <c r="DB1257" s="16"/>
      <c r="DC1257" s="16"/>
      <c r="DD1257" s="16"/>
      <c r="DE1257" s="17"/>
      <c r="DF1257" s="17"/>
      <c r="DG1257" s="16"/>
      <c r="DH1257" s="16"/>
      <c r="DI1257" s="17"/>
      <c r="DJ1257" s="17"/>
      <c r="DK1257" s="16"/>
      <c r="DL1257" s="16"/>
      <c r="DM1257" s="17"/>
      <c r="DN1257" s="17"/>
      <c r="DO1257" s="16"/>
      <c r="DP1257" s="16"/>
      <c r="DQ1257" s="17"/>
      <c r="DR1257" s="17"/>
      <c r="DS1257" s="16"/>
      <c r="DT1257" s="16"/>
      <c r="DU1257" s="17"/>
      <c r="DV1257" s="17"/>
      <c r="DW1257" s="16"/>
      <c r="DX1257" s="16"/>
      <c r="DY1257" s="17"/>
      <c r="DZ1257" s="17"/>
      <c r="EA1257" s="16"/>
      <c r="EB1257" s="16"/>
      <c r="EC1257" s="17"/>
      <c r="ED1257" s="17"/>
      <c r="EE1257" s="16"/>
      <c r="EF1257" s="16"/>
      <c r="EG1257" s="17"/>
      <c r="EH1257" s="17"/>
      <c r="EI1257" s="16"/>
      <c r="EJ1257" s="16"/>
      <c r="EK1257" s="17"/>
      <c r="EL1257" s="17"/>
      <c r="EM1257" s="16"/>
      <c r="EN1257" s="16"/>
      <c r="EO1257" s="17"/>
      <c r="EP1257" s="17"/>
      <c r="EQ1257" s="16"/>
      <c r="ER1257" s="16"/>
      <c r="ES1257" s="17"/>
      <c r="ET1257" s="17"/>
      <c r="EU1257" s="16"/>
      <c r="EV1257" s="16"/>
      <c r="EW1257" s="17"/>
      <c r="EX1257" s="17"/>
      <c r="EY1257" s="16"/>
      <c r="EZ1257" s="16"/>
      <c r="FA1257" s="17"/>
      <c r="FB1257" s="17"/>
      <c r="FC1257" s="16"/>
      <c r="FD1257" s="16"/>
      <c r="FE1257" s="17"/>
      <c r="FF1257" s="17"/>
      <c r="FG1257" s="11"/>
      <c r="GT1257" s="11"/>
      <c r="IG1257" s="11"/>
      <c r="JT1257" s="11"/>
      <c r="LG1257" s="11"/>
      <c r="MT1257" s="11"/>
      <c r="OG1257" s="11"/>
      <c r="PT1257" s="11"/>
    </row>
    <row r="1258" spans="3:436" ht="15.75" x14ac:dyDescent="0.25">
      <c r="C1258" s="20" t="s">
        <v>919</v>
      </c>
      <c r="D1258" s="21" t="s">
        <v>129</v>
      </c>
      <c r="H1258" s="11"/>
      <c r="AU1258" s="11"/>
      <c r="CH1258" s="11"/>
      <c r="CI1258" s="16"/>
      <c r="CJ1258" s="16"/>
      <c r="CK1258" s="16"/>
      <c r="CL1258" s="16"/>
      <c r="CM1258" s="16"/>
      <c r="CN1258" s="16"/>
      <c r="CO1258" s="16"/>
      <c r="CP1258" s="16"/>
      <c r="CQ1258" s="16"/>
      <c r="CR1258" s="16"/>
      <c r="CS1258" s="16"/>
      <c r="CT1258" s="16"/>
      <c r="CU1258" s="16"/>
      <c r="CV1258" s="16"/>
      <c r="CW1258" s="16"/>
      <c r="CX1258" s="16"/>
      <c r="CY1258" s="16"/>
      <c r="CZ1258" s="16"/>
      <c r="DA1258" s="16"/>
      <c r="DB1258" s="16"/>
      <c r="DC1258" s="16"/>
      <c r="DD1258" s="16"/>
      <c r="DE1258" s="17"/>
      <c r="DF1258" s="17"/>
      <c r="DG1258" s="16"/>
      <c r="DH1258" s="16"/>
      <c r="DI1258" s="17"/>
      <c r="DJ1258" s="17"/>
      <c r="DK1258" s="16"/>
      <c r="DL1258" s="16"/>
      <c r="DM1258" s="17"/>
      <c r="DN1258" s="17"/>
      <c r="DO1258" s="16"/>
      <c r="DP1258" s="16"/>
      <c r="DQ1258" s="17"/>
      <c r="DR1258" s="17"/>
      <c r="DS1258" s="16"/>
      <c r="DT1258" s="16"/>
      <c r="DU1258" s="17"/>
      <c r="DV1258" s="17"/>
      <c r="DW1258" s="16"/>
      <c r="DX1258" s="16"/>
      <c r="DY1258" s="17"/>
      <c r="DZ1258" s="17"/>
      <c r="EA1258" s="16"/>
      <c r="EB1258" s="16"/>
      <c r="EC1258" s="17"/>
      <c r="ED1258" s="17"/>
      <c r="EE1258" s="16"/>
      <c r="EF1258" s="16"/>
      <c r="EG1258" s="17"/>
      <c r="EH1258" s="17"/>
      <c r="EI1258" s="16"/>
      <c r="EJ1258" s="16"/>
      <c r="EK1258" s="17"/>
      <c r="EL1258" s="17"/>
      <c r="EM1258" s="16"/>
      <c r="EN1258" s="16"/>
      <c r="EO1258" s="17"/>
      <c r="EP1258" s="17"/>
      <c r="EQ1258" s="16"/>
      <c r="ER1258" s="16"/>
      <c r="ES1258" s="17"/>
      <c r="ET1258" s="17"/>
      <c r="EU1258" s="16"/>
      <c r="EV1258" s="16"/>
      <c r="EW1258" s="17"/>
      <c r="EX1258" s="17"/>
      <c r="EY1258" s="16"/>
      <c r="EZ1258" s="16"/>
      <c r="FA1258" s="17"/>
      <c r="FB1258" s="17"/>
      <c r="FC1258" s="16"/>
      <c r="FD1258" s="16"/>
      <c r="FE1258" s="17"/>
      <c r="FF1258" s="17"/>
      <c r="FG1258" s="11"/>
      <c r="GT1258" s="11"/>
      <c r="IG1258" s="11"/>
      <c r="JT1258" s="11"/>
      <c r="LG1258" s="11"/>
      <c r="MT1258" s="11"/>
      <c r="OG1258" s="11"/>
      <c r="PT1258" s="11"/>
    </row>
    <row r="1259" spans="3:436" ht="15.75" x14ac:dyDescent="0.25">
      <c r="C1259" s="20" t="s">
        <v>920</v>
      </c>
      <c r="D1259" s="21" t="s">
        <v>84</v>
      </c>
      <c r="H1259" s="11"/>
      <c r="AU1259" s="11"/>
      <c r="CH1259" s="11"/>
      <c r="CI1259" s="16"/>
      <c r="CJ1259" s="16"/>
      <c r="CK1259" s="16"/>
      <c r="CL1259" s="16"/>
      <c r="CM1259" s="16"/>
      <c r="CN1259" s="16"/>
      <c r="CO1259" s="16"/>
      <c r="CP1259" s="16"/>
      <c r="CQ1259" s="16"/>
      <c r="CR1259" s="16"/>
      <c r="CS1259" s="16"/>
      <c r="CT1259" s="16"/>
      <c r="CU1259" s="16"/>
      <c r="CV1259" s="16"/>
      <c r="CW1259" s="16"/>
      <c r="CX1259" s="16"/>
      <c r="CY1259" s="16"/>
      <c r="CZ1259" s="16"/>
      <c r="DA1259" s="16"/>
      <c r="DB1259" s="16"/>
      <c r="DC1259" s="16"/>
      <c r="DD1259" s="16"/>
      <c r="DE1259" s="17"/>
      <c r="DF1259" s="17"/>
      <c r="DG1259" s="16"/>
      <c r="DH1259" s="16"/>
      <c r="DI1259" s="17"/>
      <c r="DJ1259" s="17"/>
      <c r="DK1259" s="16"/>
      <c r="DL1259" s="16"/>
      <c r="DM1259" s="17"/>
      <c r="DN1259" s="17"/>
      <c r="DO1259" s="16"/>
      <c r="DP1259" s="16"/>
      <c r="DQ1259" s="17"/>
      <c r="DR1259" s="17"/>
      <c r="DS1259" s="16"/>
      <c r="DT1259" s="16"/>
      <c r="DU1259" s="17"/>
      <c r="DV1259" s="17"/>
      <c r="DW1259" s="16"/>
      <c r="DX1259" s="16"/>
      <c r="DY1259" s="17"/>
      <c r="DZ1259" s="17"/>
      <c r="EA1259" s="16"/>
      <c r="EB1259" s="16"/>
      <c r="EC1259" s="17"/>
      <c r="ED1259" s="17"/>
      <c r="EE1259" s="16"/>
      <c r="EF1259" s="16"/>
      <c r="EG1259" s="17"/>
      <c r="EH1259" s="17"/>
      <c r="EI1259" s="16"/>
      <c r="EJ1259" s="16"/>
      <c r="EK1259" s="17"/>
      <c r="EL1259" s="17"/>
      <c r="EM1259" s="16"/>
      <c r="EN1259" s="16"/>
      <c r="EO1259" s="17"/>
      <c r="EP1259" s="17"/>
      <c r="EQ1259" s="16"/>
      <c r="ER1259" s="16"/>
      <c r="ES1259" s="17"/>
      <c r="ET1259" s="17"/>
      <c r="EU1259" s="16"/>
      <c r="EV1259" s="16"/>
      <c r="EW1259" s="17"/>
      <c r="EX1259" s="17"/>
      <c r="EY1259" s="16"/>
      <c r="EZ1259" s="16"/>
      <c r="FA1259" s="17"/>
      <c r="FB1259" s="17"/>
      <c r="FC1259" s="16"/>
      <c r="FD1259" s="16"/>
      <c r="FE1259" s="17"/>
      <c r="FF1259" s="17"/>
      <c r="FG1259" s="11"/>
      <c r="GT1259" s="11"/>
      <c r="IG1259" s="11"/>
      <c r="JT1259" s="11"/>
      <c r="LG1259" s="11"/>
      <c r="MT1259" s="11"/>
      <c r="OG1259" s="11"/>
      <c r="PT1259" s="11"/>
    </row>
    <row r="1260" spans="3:436" ht="15.75" x14ac:dyDescent="0.25">
      <c r="C1260" s="20" t="s">
        <v>926</v>
      </c>
      <c r="D1260" s="21" t="s">
        <v>82</v>
      </c>
      <c r="H1260" s="11"/>
      <c r="AU1260" s="11"/>
      <c r="CH1260" s="11"/>
      <c r="CI1260" s="16"/>
      <c r="CJ1260" s="16"/>
      <c r="CK1260" s="16"/>
      <c r="CL1260" s="16"/>
      <c r="CM1260" s="16"/>
      <c r="CN1260" s="16"/>
      <c r="CO1260" s="16"/>
      <c r="CP1260" s="16"/>
      <c r="CQ1260" s="16"/>
      <c r="CR1260" s="16"/>
      <c r="CS1260" s="16"/>
      <c r="CT1260" s="16"/>
      <c r="CU1260" s="16"/>
      <c r="CV1260" s="16"/>
      <c r="CW1260" s="16"/>
      <c r="CX1260" s="16"/>
      <c r="CY1260" s="16"/>
      <c r="CZ1260" s="16"/>
      <c r="DA1260" s="16"/>
      <c r="DB1260" s="16"/>
      <c r="DC1260" s="16"/>
      <c r="DD1260" s="16"/>
      <c r="DE1260" s="17"/>
      <c r="DF1260" s="17"/>
      <c r="DG1260" s="16"/>
      <c r="DH1260" s="16"/>
      <c r="DI1260" s="17"/>
      <c r="DJ1260" s="17"/>
      <c r="DK1260" s="16"/>
      <c r="DL1260" s="16"/>
      <c r="DM1260" s="17"/>
      <c r="DN1260" s="17"/>
      <c r="DO1260" s="16"/>
      <c r="DP1260" s="16"/>
      <c r="DQ1260" s="17"/>
      <c r="DR1260" s="17"/>
      <c r="DS1260" s="16"/>
      <c r="DT1260" s="16"/>
      <c r="DU1260" s="17"/>
      <c r="DV1260" s="17"/>
      <c r="DW1260" s="16"/>
      <c r="DX1260" s="16"/>
      <c r="DY1260" s="17"/>
      <c r="DZ1260" s="17"/>
      <c r="EA1260" s="16"/>
      <c r="EB1260" s="16"/>
      <c r="EC1260" s="17"/>
      <c r="ED1260" s="17"/>
      <c r="EE1260" s="16"/>
      <c r="EF1260" s="16"/>
      <c r="EG1260" s="17"/>
      <c r="EH1260" s="17"/>
      <c r="EI1260" s="16"/>
      <c r="EJ1260" s="16"/>
      <c r="EK1260" s="17"/>
      <c r="EL1260" s="17"/>
      <c r="EM1260" s="16"/>
      <c r="EN1260" s="16"/>
      <c r="EO1260" s="17"/>
      <c r="EP1260" s="17"/>
      <c r="EQ1260" s="16"/>
      <c r="ER1260" s="16"/>
      <c r="ES1260" s="18">
        <v>2</v>
      </c>
      <c r="ET1260" s="18">
        <v>3</v>
      </c>
      <c r="EU1260" s="16"/>
      <c r="EV1260" s="16"/>
      <c r="EW1260" s="17"/>
      <c r="EX1260" s="17"/>
      <c r="EY1260" s="16"/>
      <c r="EZ1260" s="16"/>
      <c r="FA1260" s="17"/>
      <c r="FB1260" s="17"/>
      <c r="FC1260" s="16"/>
      <c r="FD1260" s="16"/>
      <c r="FE1260" s="17"/>
      <c r="FF1260" s="17"/>
      <c r="FG1260" s="11"/>
      <c r="GT1260" s="11"/>
      <c r="IG1260" s="11"/>
      <c r="JT1260" s="11"/>
      <c r="LG1260" s="11"/>
      <c r="MT1260" s="11"/>
      <c r="OG1260" s="11"/>
      <c r="PT1260" s="11"/>
    </row>
    <row r="1261" spans="3:436" ht="15.75" x14ac:dyDescent="0.25">
      <c r="C1261" s="20" t="s">
        <v>927</v>
      </c>
      <c r="D1261" s="21" t="s">
        <v>82</v>
      </c>
      <c r="H1261" s="11"/>
      <c r="AU1261" s="11"/>
      <c r="CH1261" s="11"/>
      <c r="CI1261" s="16"/>
      <c r="CJ1261" s="16"/>
      <c r="CK1261" s="16"/>
      <c r="CL1261" s="16"/>
      <c r="CM1261" s="16"/>
      <c r="CN1261" s="16"/>
      <c r="CO1261" s="16"/>
      <c r="CP1261" s="16"/>
      <c r="CQ1261" s="16"/>
      <c r="CR1261" s="16"/>
      <c r="CS1261" s="16"/>
      <c r="CT1261" s="16"/>
      <c r="CU1261" s="16"/>
      <c r="CV1261" s="16"/>
      <c r="CW1261" s="16"/>
      <c r="CX1261" s="16"/>
      <c r="CY1261" s="16"/>
      <c r="CZ1261" s="16"/>
      <c r="DA1261" s="16"/>
      <c r="DB1261" s="16"/>
      <c r="DC1261" s="16"/>
      <c r="DD1261" s="16"/>
      <c r="DE1261" s="17"/>
      <c r="DF1261" s="17"/>
      <c r="DG1261" s="16"/>
      <c r="DH1261" s="16"/>
      <c r="DI1261" s="17"/>
      <c r="DJ1261" s="17"/>
      <c r="DK1261" s="16"/>
      <c r="DL1261" s="16"/>
      <c r="DM1261" s="17"/>
      <c r="DN1261" s="17"/>
      <c r="DO1261" s="16"/>
      <c r="DP1261" s="16"/>
      <c r="DQ1261" s="17"/>
      <c r="DR1261" s="17"/>
      <c r="DS1261" s="16"/>
      <c r="DT1261" s="16"/>
      <c r="DU1261" s="17"/>
      <c r="DV1261" s="17"/>
      <c r="DW1261" s="16"/>
      <c r="DX1261" s="16"/>
      <c r="DY1261" s="17"/>
      <c r="DZ1261" s="17"/>
      <c r="EA1261" s="16"/>
      <c r="EB1261" s="16"/>
      <c r="EC1261" s="17"/>
      <c r="ED1261" s="17"/>
      <c r="EE1261" s="16"/>
      <c r="EF1261" s="16"/>
      <c r="EG1261" s="17"/>
      <c r="EH1261" s="17"/>
      <c r="EI1261" s="16"/>
      <c r="EJ1261" s="16"/>
      <c r="EK1261" s="17"/>
      <c r="EL1261" s="17"/>
      <c r="EM1261" s="16"/>
      <c r="EN1261" s="16"/>
      <c r="EO1261" s="17"/>
      <c r="EP1261" s="17"/>
      <c r="EQ1261" s="16"/>
      <c r="ER1261" s="16"/>
      <c r="ES1261" s="18">
        <v>1</v>
      </c>
      <c r="ET1261" s="18">
        <v>2</v>
      </c>
      <c r="EU1261" s="16"/>
      <c r="EV1261" s="16"/>
      <c r="EW1261" s="17"/>
      <c r="EX1261" s="17"/>
      <c r="EY1261" s="16"/>
      <c r="EZ1261" s="16"/>
      <c r="FA1261" s="17"/>
      <c r="FB1261" s="17"/>
      <c r="FC1261" s="16"/>
      <c r="FD1261" s="16"/>
      <c r="FE1261" s="17"/>
      <c r="FF1261" s="17"/>
      <c r="FG1261" s="11"/>
      <c r="GT1261" s="11"/>
      <c r="IG1261" s="11"/>
      <c r="JT1261" s="11"/>
      <c r="LG1261" s="11"/>
      <c r="MT1261" s="11"/>
      <c r="OG1261" s="11"/>
      <c r="PT1261" s="11"/>
    </row>
    <row r="1262" spans="3:436" ht="15.75" x14ac:dyDescent="0.25">
      <c r="C1262" s="20" t="s">
        <v>928</v>
      </c>
      <c r="D1262" s="21" t="s">
        <v>82</v>
      </c>
      <c r="H1262" s="11"/>
      <c r="AU1262" s="11"/>
      <c r="CH1262" s="11"/>
      <c r="CI1262" s="16"/>
      <c r="CJ1262" s="16"/>
      <c r="CK1262" s="16"/>
      <c r="CL1262" s="16"/>
      <c r="CM1262" s="16"/>
      <c r="CN1262" s="16"/>
      <c r="CO1262" s="16"/>
      <c r="CP1262" s="16"/>
      <c r="CQ1262" s="16"/>
      <c r="CR1262" s="16"/>
      <c r="CS1262" s="16"/>
      <c r="CT1262" s="16"/>
      <c r="CU1262" s="16"/>
      <c r="CV1262" s="16"/>
      <c r="CW1262" s="16"/>
      <c r="CX1262" s="16"/>
      <c r="CY1262" s="16"/>
      <c r="CZ1262" s="16"/>
      <c r="DA1262" s="16"/>
      <c r="DB1262" s="16"/>
      <c r="DC1262" s="16"/>
      <c r="DD1262" s="16"/>
      <c r="DE1262" s="17"/>
      <c r="DF1262" s="17"/>
      <c r="DG1262" s="16"/>
      <c r="DH1262" s="16"/>
      <c r="DI1262" s="17"/>
      <c r="DJ1262" s="17"/>
      <c r="DK1262" s="16"/>
      <c r="DL1262" s="16"/>
      <c r="DM1262" s="17"/>
      <c r="DN1262" s="17"/>
      <c r="DO1262" s="16"/>
      <c r="DP1262" s="16"/>
      <c r="DQ1262" s="17"/>
      <c r="DR1262" s="17"/>
      <c r="DS1262" s="16"/>
      <c r="DT1262" s="16"/>
      <c r="DU1262" s="17"/>
      <c r="DV1262" s="17"/>
      <c r="DW1262" s="16"/>
      <c r="DX1262" s="16"/>
      <c r="DY1262" s="17"/>
      <c r="DZ1262" s="17"/>
      <c r="EA1262" s="16"/>
      <c r="EB1262" s="16"/>
      <c r="EC1262" s="17"/>
      <c r="ED1262" s="17"/>
      <c r="EE1262" s="16"/>
      <c r="EF1262" s="16"/>
      <c r="EG1262" s="17"/>
      <c r="EH1262" s="17"/>
      <c r="EI1262" s="16"/>
      <c r="EJ1262" s="16"/>
      <c r="EK1262" s="17"/>
      <c r="EL1262" s="17"/>
      <c r="EM1262" s="16"/>
      <c r="EN1262" s="16"/>
      <c r="EO1262" s="17"/>
      <c r="EP1262" s="17"/>
      <c r="EQ1262" s="16"/>
      <c r="ER1262" s="16"/>
      <c r="ES1262" s="18">
        <v>1</v>
      </c>
      <c r="ET1262" s="18">
        <v>1</v>
      </c>
      <c r="EU1262" s="16"/>
      <c r="EV1262" s="16"/>
      <c r="EW1262" s="17"/>
      <c r="EX1262" s="17"/>
      <c r="EY1262" s="16"/>
      <c r="EZ1262" s="16"/>
      <c r="FA1262" s="17"/>
      <c r="FB1262" s="17"/>
      <c r="FC1262" s="16"/>
      <c r="FD1262" s="16"/>
      <c r="FE1262" s="17"/>
      <c r="FF1262" s="17"/>
      <c r="FG1262" s="11"/>
      <c r="GT1262" s="11"/>
      <c r="IG1262" s="11"/>
      <c r="JT1262" s="11"/>
      <c r="LG1262" s="11"/>
      <c r="MT1262" s="11"/>
      <c r="OG1262" s="11"/>
      <c r="PT1262" s="11"/>
    </row>
    <row r="1263" spans="3:436" ht="15.75" x14ac:dyDescent="0.25">
      <c r="C1263" s="20" t="s">
        <v>929</v>
      </c>
      <c r="D1263" s="21" t="s">
        <v>82</v>
      </c>
      <c r="H1263" s="11"/>
      <c r="AU1263" s="11"/>
      <c r="CH1263" s="11"/>
      <c r="CI1263" s="16"/>
      <c r="CJ1263" s="16"/>
      <c r="CK1263" s="16"/>
      <c r="CL1263" s="16"/>
      <c r="CM1263" s="16"/>
      <c r="CN1263" s="16"/>
      <c r="CO1263" s="16"/>
      <c r="CP1263" s="16"/>
      <c r="CQ1263" s="16"/>
      <c r="CR1263" s="16"/>
      <c r="CS1263" s="16"/>
      <c r="CT1263" s="16"/>
      <c r="CU1263" s="16"/>
      <c r="CV1263" s="16"/>
      <c r="CW1263" s="16"/>
      <c r="CX1263" s="16"/>
      <c r="CY1263" s="16"/>
      <c r="CZ1263" s="16"/>
      <c r="DA1263" s="16"/>
      <c r="DB1263" s="16"/>
      <c r="DC1263" s="16"/>
      <c r="DD1263" s="16"/>
      <c r="DE1263" s="17"/>
      <c r="DF1263" s="17"/>
      <c r="DG1263" s="16"/>
      <c r="DH1263" s="16"/>
      <c r="DI1263" s="17"/>
      <c r="DJ1263" s="17"/>
      <c r="DK1263" s="16"/>
      <c r="DL1263" s="16"/>
      <c r="DM1263" s="17"/>
      <c r="DN1263" s="17"/>
      <c r="DO1263" s="16"/>
      <c r="DP1263" s="16"/>
      <c r="DQ1263" s="17"/>
      <c r="DR1263" s="17"/>
      <c r="DS1263" s="16"/>
      <c r="DT1263" s="16"/>
      <c r="DU1263" s="17"/>
      <c r="DV1263" s="17"/>
      <c r="DW1263" s="16"/>
      <c r="DX1263" s="16"/>
      <c r="DY1263" s="17"/>
      <c r="DZ1263" s="17"/>
      <c r="EA1263" s="16"/>
      <c r="EB1263" s="16"/>
      <c r="EC1263" s="17"/>
      <c r="ED1263" s="17"/>
      <c r="EE1263" s="16"/>
      <c r="EF1263" s="16"/>
      <c r="EG1263" s="17"/>
      <c r="EH1263" s="17"/>
      <c r="EI1263" s="16"/>
      <c r="EJ1263" s="16"/>
      <c r="EK1263" s="17"/>
      <c r="EL1263" s="17"/>
      <c r="EM1263" s="16"/>
      <c r="EN1263" s="16"/>
      <c r="EO1263" s="17"/>
      <c r="EP1263" s="17"/>
      <c r="EQ1263" s="16"/>
      <c r="ER1263" s="16"/>
      <c r="ES1263" s="18">
        <v>1</v>
      </c>
      <c r="ET1263" s="18">
        <v>2</v>
      </c>
      <c r="EU1263" s="16"/>
      <c r="EV1263" s="16"/>
      <c r="EW1263" s="17"/>
      <c r="EX1263" s="17"/>
      <c r="EY1263" s="16"/>
      <c r="EZ1263" s="16"/>
      <c r="FA1263" s="17"/>
      <c r="FB1263" s="17"/>
      <c r="FC1263" s="16"/>
      <c r="FD1263" s="16"/>
      <c r="FE1263" s="17"/>
      <c r="FF1263" s="17"/>
      <c r="FG1263" s="11"/>
      <c r="GT1263" s="11"/>
      <c r="IG1263" s="11"/>
      <c r="JT1263" s="11"/>
      <c r="LG1263" s="11"/>
      <c r="MT1263" s="11"/>
      <c r="OG1263" s="11"/>
      <c r="PT1263" s="11"/>
    </row>
    <row r="1264" spans="3:436" ht="15.75" x14ac:dyDescent="0.25">
      <c r="C1264" s="20" t="s">
        <v>930</v>
      </c>
      <c r="D1264" s="21" t="s">
        <v>82</v>
      </c>
      <c r="H1264" s="11"/>
      <c r="AU1264" s="11"/>
      <c r="CH1264" s="11"/>
      <c r="CI1264" s="16"/>
      <c r="CJ1264" s="16"/>
      <c r="CK1264" s="16"/>
      <c r="CL1264" s="16"/>
      <c r="CM1264" s="16"/>
      <c r="CN1264" s="16"/>
      <c r="CO1264" s="16"/>
      <c r="CP1264" s="16"/>
      <c r="CQ1264" s="16"/>
      <c r="CR1264" s="16"/>
      <c r="CS1264" s="16"/>
      <c r="CT1264" s="16"/>
      <c r="CU1264" s="16"/>
      <c r="CV1264" s="16"/>
      <c r="CW1264" s="16"/>
      <c r="CX1264" s="16"/>
      <c r="CY1264" s="16"/>
      <c r="CZ1264" s="16"/>
      <c r="DA1264" s="16"/>
      <c r="DB1264" s="16"/>
      <c r="DC1264" s="16"/>
      <c r="DD1264" s="16"/>
      <c r="DE1264" s="17"/>
      <c r="DF1264" s="17"/>
      <c r="DG1264" s="16"/>
      <c r="DH1264" s="16"/>
      <c r="DI1264" s="17"/>
      <c r="DJ1264" s="17"/>
      <c r="DK1264" s="16"/>
      <c r="DL1264" s="16"/>
      <c r="DM1264" s="17"/>
      <c r="DN1264" s="17"/>
      <c r="DO1264" s="16"/>
      <c r="DP1264" s="16"/>
      <c r="DQ1264" s="17"/>
      <c r="DR1264" s="17"/>
      <c r="DS1264" s="16"/>
      <c r="DT1264" s="16"/>
      <c r="DU1264" s="17"/>
      <c r="DV1264" s="17"/>
      <c r="DW1264" s="16"/>
      <c r="DX1264" s="16"/>
      <c r="DY1264" s="17"/>
      <c r="DZ1264" s="17"/>
      <c r="EA1264" s="16"/>
      <c r="EB1264" s="16"/>
      <c r="EC1264" s="17"/>
      <c r="ED1264" s="17"/>
      <c r="EE1264" s="16"/>
      <c r="EF1264" s="16"/>
      <c r="EG1264" s="17"/>
      <c r="EH1264" s="17"/>
      <c r="EI1264" s="16"/>
      <c r="EJ1264" s="16"/>
      <c r="EK1264" s="17"/>
      <c r="EL1264" s="17"/>
      <c r="EM1264" s="16"/>
      <c r="EN1264" s="16"/>
      <c r="EO1264" s="17"/>
      <c r="EP1264" s="17"/>
      <c r="EQ1264" s="16"/>
      <c r="ER1264" s="16"/>
      <c r="ES1264" s="18">
        <v>1</v>
      </c>
      <c r="ET1264" s="18">
        <v>2</v>
      </c>
      <c r="EU1264" s="16"/>
      <c r="EV1264" s="16"/>
      <c r="EW1264" s="17"/>
      <c r="EX1264" s="17"/>
      <c r="EY1264" s="16"/>
      <c r="EZ1264" s="16"/>
      <c r="FA1264" s="17"/>
      <c r="FB1264" s="17"/>
      <c r="FC1264" s="16"/>
      <c r="FD1264" s="16"/>
      <c r="FE1264" s="17"/>
      <c r="FF1264" s="17"/>
      <c r="FG1264" s="11"/>
      <c r="GT1264" s="11"/>
      <c r="IG1264" s="11"/>
      <c r="JT1264" s="11"/>
      <c r="LG1264" s="11"/>
      <c r="MT1264" s="11"/>
      <c r="OG1264" s="11"/>
      <c r="PT1264" s="11"/>
    </row>
    <row r="1265" spans="1:436" ht="15.75" x14ac:dyDescent="0.25">
      <c r="C1265" s="20" t="s">
        <v>931</v>
      </c>
      <c r="D1265" s="21" t="s">
        <v>82</v>
      </c>
      <c r="H1265" s="11"/>
      <c r="AU1265" s="11"/>
      <c r="CH1265" s="11"/>
      <c r="CI1265" s="16"/>
      <c r="CJ1265" s="16"/>
      <c r="CK1265" s="16"/>
      <c r="CL1265" s="16"/>
      <c r="CM1265" s="16"/>
      <c r="CN1265" s="16"/>
      <c r="CO1265" s="16"/>
      <c r="CP1265" s="16"/>
      <c r="CQ1265" s="16"/>
      <c r="CR1265" s="16"/>
      <c r="CS1265" s="16"/>
      <c r="CT1265" s="16"/>
      <c r="CU1265" s="16"/>
      <c r="CV1265" s="16"/>
      <c r="CW1265" s="16"/>
      <c r="CX1265" s="16"/>
      <c r="CY1265" s="16"/>
      <c r="CZ1265" s="16"/>
      <c r="DA1265" s="16"/>
      <c r="DB1265" s="16"/>
      <c r="DC1265" s="16"/>
      <c r="DD1265" s="16"/>
      <c r="DE1265" s="17"/>
      <c r="DF1265" s="17"/>
      <c r="DG1265" s="16"/>
      <c r="DH1265" s="16"/>
      <c r="DI1265" s="17"/>
      <c r="DJ1265" s="17"/>
      <c r="DK1265" s="16"/>
      <c r="DL1265" s="16"/>
      <c r="DM1265" s="17"/>
      <c r="DN1265" s="17"/>
      <c r="DO1265" s="16"/>
      <c r="DP1265" s="16"/>
      <c r="DQ1265" s="17"/>
      <c r="DR1265" s="17"/>
      <c r="DS1265" s="16"/>
      <c r="DT1265" s="16"/>
      <c r="DU1265" s="17"/>
      <c r="DV1265" s="17"/>
      <c r="DW1265" s="16"/>
      <c r="DX1265" s="16"/>
      <c r="DY1265" s="17"/>
      <c r="DZ1265" s="17"/>
      <c r="EA1265" s="16"/>
      <c r="EB1265" s="16"/>
      <c r="EC1265" s="17"/>
      <c r="ED1265" s="17"/>
      <c r="EE1265" s="16"/>
      <c r="EF1265" s="16"/>
      <c r="EG1265" s="17"/>
      <c r="EH1265" s="17"/>
      <c r="EI1265" s="16"/>
      <c r="EJ1265" s="16"/>
      <c r="EK1265" s="17"/>
      <c r="EL1265" s="17"/>
      <c r="EM1265" s="16"/>
      <c r="EN1265" s="16"/>
      <c r="EO1265" s="17"/>
      <c r="EP1265" s="17"/>
      <c r="EQ1265" s="16"/>
      <c r="ER1265" s="16"/>
      <c r="ES1265" s="18">
        <v>2</v>
      </c>
      <c r="ET1265" s="18">
        <v>4</v>
      </c>
      <c r="EU1265" s="16"/>
      <c r="EV1265" s="16"/>
      <c r="EW1265" s="17"/>
      <c r="EX1265" s="17"/>
      <c r="EY1265" s="16"/>
      <c r="EZ1265" s="16"/>
      <c r="FA1265" s="17"/>
      <c r="FB1265" s="17"/>
      <c r="FC1265" s="16"/>
      <c r="FD1265" s="16"/>
      <c r="FE1265" s="17"/>
      <c r="FF1265" s="17"/>
      <c r="FG1265" s="11"/>
      <c r="GT1265" s="11"/>
      <c r="IG1265" s="11"/>
      <c r="JT1265" s="11"/>
      <c r="LG1265" s="11"/>
      <c r="MT1265" s="11"/>
      <c r="OG1265" s="11"/>
      <c r="PT1265" s="11"/>
    </row>
    <row r="1266" spans="1:436" ht="15.75" x14ac:dyDescent="0.25">
      <c r="C1266" s="20" t="s">
        <v>932</v>
      </c>
      <c r="D1266" s="21" t="s">
        <v>82</v>
      </c>
      <c r="H1266" s="11"/>
      <c r="AU1266" s="11"/>
      <c r="CH1266" s="11"/>
      <c r="CI1266" s="16"/>
      <c r="CJ1266" s="16"/>
      <c r="CK1266" s="16"/>
      <c r="CL1266" s="16"/>
      <c r="CM1266" s="16"/>
      <c r="CN1266" s="16"/>
      <c r="CO1266" s="16"/>
      <c r="CP1266" s="16"/>
      <c r="CQ1266" s="16"/>
      <c r="CR1266" s="16"/>
      <c r="CS1266" s="16"/>
      <c r="CT1266" s="16"/>
      <c r="CU1266" s="16"/>
      <c r="CV1266" s="16"/>
      <c r="CW1266" s="16"/>
      <c r="CX1266" s="16"/>
      <c r="CY1266" s="16"/>
      <c r="CZ1266" s="16"/>
      <c r="DA1266" s="16"/>
      <c r="DB1266" s="16"/>
      <c r="DC1266" s="16"/>
      <c r="DD1266" s="16"/>
      <c r="DE1266" s="17"/>
      <c r="DF1266" s="17"/>
      <c r="DG1266" s="16"/>
      <c r="DH1266" s="16"/>
      <c r="DI1266" s="17"/>
      <c r="DJ1266" s="17"/>
      <c r="DK1266" s="16"/>
      <c r="DL1266" s="16"/>
      <c r="DM1266" s="17"/>
      <c r="DN1266" s="17"/>
      <c r="DO1266" s="16"/>
      <c r="DP1266" s="16"/>
      <c r="DQ1266" s="17"/>
      <c r="DR1266" s="17"/>
      <c r="DS1266" s="16"/>
      <c r="DT1266" s="16"/>
      <c r="DU1266" s="17"/>
      <c r="DV1266" s="17"/>
      <c r="DW1266" s="16"/>
      <c r="DX1266" s="16"/>
      <c r="DY1266" s="17"/>
      <c r="DZ1266" s="17"/>
      <c r="EA1266" s="16"/>
      <c r="EB1266" s="16"/>
      <c r="EC1266" s="17"/>
      <c r="ED1266" s="17"/>
      <c r="EE1266" s="16"/>
      <c r="EF1266" s="16"/>
      <c r="EG1266" s="17"/>
      <c r="EH1266" s="17"/>
      <c r="EI1266" s="16"/>
      <c r="EJ1266" s="16"/>
      <c r="EK1266" s="17"/>
      <c r="EL1266" s="17"/>
      <c r="EM1266" s="16"/>
      <c r="EN1266" s="16"/>
      <c r="EO1266" s="17"/>
      <c r="EP1266" s="17"/>
      <c r="EQ1266" s="16"/>
      <c r="ER1266" s="16"/>
      <c r="ES1266" s="18">
        <v>0.5</v>
      </c>
      <c r="ET1266" s="18">
        <v>0.5</v>
      </c>
      <c r="EU1266" s="16"/>
      <c r="EV1266" s="16"/>
      <c r="EW1266" s="17"/>
      <c r="EX1266" s="17"/>
      <c r="EY1266" s="16"/>
      <c r="EZ1266" s="16"/>
      <c r="FA1266" s="17"/>
      <c r="FB1266" s="17"/>
      <c r="FC1266" s="16"/>
      <c r="FD1266" s="16"/>
      <c r="FE1266" s="17"/>
      <c r="FF1266" s="17"/>
      <c r="FG1266" s="11"/>
      <c r="GT1266" s="11"/>
      <c r="IG1266" s="11"/>
      <c r="JT1266" s="11"/>
      <c r="LG1266" s="11"/>
      <c r="MT1266" s="11"/>
      <c r="OG1266" s="11"/>
      <c r="PT1266" s="11"/>
    </row>
    <row r="1267" spans="1:436" ht="15.75" x14ac:dyDescent="0.25">
      <c r="C1267" s="20" t="s">
        <v>933</v>
      </c>
      <c r="D1267" s="21" t="s">
        <v>82</v>
      </c>
      <c r="H1267" s="11"/>
      <c r="AU1267" s="11"/>
      <c r="CH1267" s="11"/>
      <c r="CI1267" s="16"/>
      <c r="CJ1267" s="16"/>
      <c r="CK1267" s="16"/>
      <c r="CL1267" s="16"/>
      <c r="CM1267" s="16"/>
      <c r="CN1267" s="16"/>
      <c r="CO1267" s="16"/>
      <c r="CP1267" s="16"/>
      <c r="CQ1267" s="16"/>
      <c r="CR1267" s="16"/>
      <c r="CS1267" s="16"/>
      <c r="CT1267" s="16"/>
      <c r="CU1267" s="16"/>
      <c r="CV1267" s="16"/>
      <c r="CW1267" s="16"/>
      <c r="CX1267" s="16"/>
      <c r="CY1267" s="16"/>
      <c r="CZ1267" s="16"/>
      <c r="DA1267" s="16"/>
      <c r="DB1267" s="16"/>
      <c r="DC1267" s="16"/>
      <c r="DD1267" s="16"/>
      <c r="DE1267" s="17"/>
      <c r="DF1267" s="17"/>
      <c r="DG1267" s="16"/>
      <c r="DH1267" s="16"/>
      <c r="DI1267" s="17"/>
      <c r="DJ1267" s="17"/>
      <c r="DK1267" s="16"/>
      <c r="DL1267" s="16"/>
      <c r="DM1267" s="17"/>
      <c r="DN1267" s="17"/>
      <c r="DO1267" s="16"/>
      <c r="DP1267" s="16"/>
      <c r="DQ1267" s="17"/>
      <c r="DR1267" s="17"/>
      <c r="DS1267" s="16"/>
      <c r="DT1267" s="16"/>
      <c r="DU1267" s="17"/>
      <c r="DV1267" s="17"/>
      <c r="DW1267" s="16"/>
      <c r="DX1267" s="16"/>
      <c r="DY1267" s="17"/>
      <c r="DZ1267" s="17"/>
      <c r="EA1267" s="16"/>
      <c r="EB1267" s="16"/>
      <c r="EC1267" s="17"/>
      <c r="ED1267" s="17"/>
      <c r="EE1267" s="16"/>
      <c r="EF1267" s="16"/>
      <c r="EG1267" s="17"/>
      <c r="EH1267" s="17"/>
      <c r="EI1267" s="16"/>
      <c r="EJ1267" s="16"/>
      <c r="EK1267" s="17"/>
      <c r="EL1267" s="17"/>
      <c r="EM1267" s="16"/>
      <c r="EN1267" s="16"/>
      <c r="EO1267" s="17"/>
      <c r="EP1267" s="17"/>
      <c r="EQ1267" s="16"/>
      <c r="ER1267" s="16"/>
      <c r="ES1267" s="18">
        <v>5</v>
      </c>
      <c r="ET1267" s="18">
        <v>10</v>
      </c>
      <c r="EU1267" s="16"/>
      <c r="EV1267" s="16"/>
      <c r="EW1267" s="17"/>
      <c r="EX1267" s="17"/>
      <c r="EY1267" s="16"/>
      <c r="EZ1267" s="16"/>
      <c r="FA1267" s="17"/>
      <c r="FB1267" s="17"/>
      <c r="FC1267" s="16"/>
      <c r="FD1267" s="16"/>
      <c r="FE1267" s="17"/>
      <c r="FF1267" s="17"/>
      <c r="FG1267" s="11"/>
      <c r="GT1267" s="11"/>
      <c r="IG1267" s="11"/>
      <c r="JT1267" s="11"/>
      <c r="LG1267" s="11"/>
      <c r="MT1267" s="11"/>
      <c r="OG1267" s="11"/>
      <c r="PT1267" s="11"/>
    </row>
    <row r="1268" spans="1:436" ht="15.75" x14ac:dyDescent="0.25">
      <c r="C1268" s="20" t="s">
        <v>410</v>
      </c>
      <c r="D1268" s="21" t="s">
        <v>142</v>
      </c>
      <c r="H1268" s="11"/>
      <c r="AU1268" s="11"/>
      <c r="CH1268" s="11"/>
      <c r="CI1268" s="16"/>
      <c r="CJ1268" s="16"/>
      <c r="CK1268" s="16"/>
      <c r="CL1268" s="16"/>
      <c r="CM1268" s="16"/>
      <c r="CN1268" s="16"/>
      <c r="CO1268" s="16"/>
      <c r="CP1268" s="16"/>
      <c r="CQ1268" s="16"/>
      <c r="CR1268" s="16"/>
      <c r="CS1268" s="16"/>
      <c r="CT1268" s="16"/>
      <c r="CU1268" s="16"/>
      <c r="CV1268" s="16"/>
      <c r="CW1268" s="16"/>
      <c r="CX1268" s="16"/>
      <c r="CY1268" s="16"/>
      <c r="CZ1268" s="16"/>
      <c r="DA1268" s="16"/>
      <c r="DB1268" s="16"/>
      <c r="DC1268" s="16"/>
      <c r="DD1268" s="16"/>
      <c r="DE1268" s="17"/>
      <c r="DF1268" s="17"/>
      <c r="DG1268" s="16"/>
      <c r="DH1268" s="16"/>
      <c r="DI1268" s="17"/>
      <c r="DJ1268" s="17"/>
      <c r="DK1268" s="16"/>
      <c r="DL1268" s="16"/>
      <c r="DM1268" s="17"/>
      <c r="DN1268" s="17"/>
      <c r="DO1268" s="16"/>
      <c r="DP1268" s="16"/>
      <c r="DQ1268" s="17"/>
      <c r="DR1268" s="17"/>
      <c r="DS1268" s="16"/>
      <c r="DT1268" s="16"/>
      <c r="DU1268" s="17"/>
      <c r="DV1268" s="17"/>
      <c r="DW1268" s="16"/>
      <c r="DX1268" s="16"/>
      <c r="DY1268" s="17"/>
      <c r="DZ1268" s="17"/>
      <c r="EA1268" s="16"/>
      <c r="EB1268" s="16"/>
      <c r="EC1268" s="17"/>
      <c r="ED1268" s="17"/>
      <c r="EE1268" s="16"/>
      <c r="EF1268" s="16"/>
      <c r="EG1268" s="17"/>
      <c r="EH1268" s="17"/>
      <c r="EI1268" s="16"/>
      <c r="EJ1268" s="16"/>
      <c r="EK1268" s="17"/>
      <c r="EL1268" s="17"/>
      <c r="EM1268" s="16"/>
      <c r="EN1268" s="16"/>
      <c r="EO1268" s="17"/>
      <c r="EP1268" s="17"/>
      <c r="EQ1268" s="16"/>
      <c r="ER1268" s="16"/>
      <c r="ES1268" s="17"/>
      <c r="ET1268" s="17"/>
      <c r="EU1268" s="16"/>
      <c r="EV1268" s="16"/>
      <c r="EW1268" s="17"/>
      <c r="EX1268" s="17"/>
      <c r="EY1268" s="16"/>
      <c r="EZ1268" s="16"/>
      <c r="FA1268" s="17"/>
      <c r="FB1268" s="17"/>
      <c r="FC1268" s="16"/>
      <c r="FD1268" s="16"/>
      <c r="FE1268" s="17"/>
      <c r="FF1268" s="17"/>
      <c r="FG1268" s="11"/>
      <c r="GT1268" s="11"/>
      <c r="IG1268" s="11"/>
      <c r="JT1268" s="11"/>
      <c r="LG1268" s="11"/>
      <c r="MT1268" s="11"/>
      <c r="OG1268" s="11"/>
      <c r="PT1268" s="11"/>
    </row>
    <row r="1269" spans="1:436" ht="15.75" x14ac:dyDescent="0.25">
      <c r="C1269" s="20" t="s">
        <v>568</v>
      </c>
      <c r="D1269" s="21" t="s">
        <v>104</v>
      </c>
      <c r="H1269" s="11"/>
      <c r="AU1269" s="11"/>
      <c r="CH1269" s="11"/>
      <c r="CI1269" s="16"/>
      <c r="CJ1269" s="16"/>
      <c r="CK1269" s="16"/>
      <c r="CL1269" s="16"/>
      <c r="CM1269" s="16"/>
      <c r="CN1269" s="16"/>
      <c r="CO1269" s="16"/>
      <c r="CP1269" s="16"/>
      <c r="CQ1269" s="16"/>
      <c r="CR1269" s="16"/>
      <c r="CS1269" s="16"/>
      <c r="CT1269" s="16"/>
      <c r="CU1269" s="16"/>
      <c r="CV1269" s="16"/>
      <c r="CW1269" s="16"/>
      <c r="CX1269" s="16"/>
      <c r="CY1269" s="16"/>
      <c r="CZ1269" s="16"/>
      <c r="DA1269" s="16"/>
      <c r="DB1269" s="16"/>
      <c r="DC1269" s="16"/>
      <c r="DD1269" s="16"/>
      <c r="DE1269" s="17"/>
      <c r="DF1269" s="17"/>
      <c r="DG1269" s="16"/>
      <c r="DH1269" s="16"/>
      <c r="DI1269" s="17"/>
      <c r="DJ1269" s="17"/>
      <c r="DK1269" s="16"/>
      <c r="DL1269" s="16"/>
      <c r="DM1269" s="17"/>
      <c r="DN1269" s="17"/>
      <c r="DO1269" s="16"/>
      <c r="DP1269" s="16"/>
      <c r="DQ1269" s="17"/>
      <c r="DR1269" s="17"/>
      <c r="DS1269" s="16"/>
      <c r="DT1269" s="16"/>
      <c r="DU1269" s="17"/>
      <c r="DV1269" s="17"/>
      <c r="DW1269" s="16"/>
      <c r="DX1269" s="16"/>
      <c r="DY1269" s="17"/>
      <c r="DZ1269" s="17"/>
      <c r="EA1269" s="16"/>
      <c r="EB1269" s="16"/>
      <c r="EC1269" s="17"/>
      <c r="ED1269" s="17"/>
      <c r="EE1269" s="16"/>
      <c r="EF1269" s="16"/>
      <c r="EG1269" s="17"/>
      <c r="EH1269" s="17"/>
      <c r="EI1269" s="16"/>
      <c r="EJ1269" s="16"/>
      <c r="EK1269" s="17"/>
      <c r="EL1269" s="17"/>
      <c r="EM1269" s="16"/>
      <c r="EN1269" s="16"/>
      <c r="EO1269" s="17"/>
      <c r="EP1269" s="17"/>
      <c r="EQ1269" s="16"/>
      <c r="ER1269" s="16"/>
      <c r="ES1269" s="17"/>
      <c r="ET1269" s="17"/>
      <c r="EU1269" s="16"/>
      <c r="EV1269" s="16"/>
      <c r="EW1269" s="17"/>
      <c r="EX1269" s="17"/>
      <c r="EY1269" s="16"/>
      <c r="EZ1269" s="16"/>
      <c r="FA1269" s="17"/>
      <c r="FB1269" s="17"/>
      <c r="FC1269" s="16"/>
      <c r="FD1269" s="16"/>
      <c r="FE1269" s="17"/>
      <c r="FF1269" s="17"/>
      <c r="FG1269" s="11"/>
      <c r="GT1269" s="11"/>
      <c r="IG1269" s="11"/>
      <c r="JT1269" s="11"/>
      <c r="LG1269" s="11"/>
      <c r="MT1269" s="11"/>
      <c r="OG1269" s="11"/>
      <c r="PT1269" s="11"/>
    </row>
    <row r="1270" spans="1:436" ht="15.75" x14ac:dyDescent="0.25">
      <c r="C1270" s="20" t="s">
        <v>934</v>
      </c>
      <c r="D1270" s="21" t="s">
        <v>82</v>
      </c>
      <c r="H1270" s="11"/>
      <c r="AU1270" s="11"/>
      <c r="CH1270" s="11"/>
      <c r="CI1270" s="16"/>
      <c r="CJ1270" s="16"/>
      <c r="CK1270" s="16"/>
      <c r="CL1270" s="16"/>
      <c r="CM1270" s="16"/>
      <c r="CN1270" s="16"/>
      <c r="CO1270" s="16"/>
      <c r="CP1270" s="16"/>
      <c r="CQ1270" s="16"/>
      <c r="CR1270" s="16"/>
      <c r="CS1270" s="16"/>
      <c r="CT1270" s="16"/>
      <c r="CU1270" s="16"/>
      <c r="CV1270" s="16"/>
      <c r="CW1270" s="16"/>
      <c r="CX1270" s="16"/>
      <c r="CY1270" s="16"/>
      <c r="CZ1270" s="16"/>
      <c r="DA1270" s="16"/>
      <c r="DB1270" s="16"/>
      <c r="DC1270" s="16"/>
      <c r="DD1270" s="16"/>
      <c r="DE1270" s="17"/>
      <c r="DF1270" s="17"/>
      <c r="DG1270" s="16"/>
      <c r="DH1270" s="16"/>
      <c r="DI1270" s="17"/>
      <c r="DJ1270" s="17"/>
      <c r="DK1270" s="16"/>
      <c r="DL1270" s="16"/>
      <c r="DM1270" s="17"/>
      <c r="DN1270" s="17"/>
      <c r="DO1270" s="16"/>
      <c r="DP1270" s="16"/>
      <c r="DQ1270" s="17"/>
      <c r="DR1270" s="17"/>
      <c r="DS1270" s="16"/>
      <c r="DT1270" s="16"/>
      <c r="DU1270" s="17"/>
      <c r="DV1270" s="17"/>
      <c r="DW1270" s="16"/>
      <c r="DX1270" s="16"/>
      <c r="DY1270" s="17"/>
      <c r="DZ1270" s="17"/>
      <c r="EA1270" s="16"/>
      <c r="EB1270" s="16"/>
      <c r="EC1270" s="17"/>
      <c r="ED1270" s="17"/>
      <c r="EE1270" s="16"/>
      <c r="EF1270" s="16"/>
      <c r="EG1270" s="17"/>
      <c r="EH1270" s="17"/>
      <c r="EI1270" s="16"/>
      <c r="EJ1270" s="16"/>
      <c r="EK1270" s="17"/>
      <c r="EL1270" s="17"/>
      <c r="EM1270" s="16"/>
      <c r="EN1270" s="16"/>
      <c r="EO1270" s="17"/>
      <c r="EP1270" s="17"/>
      <c r="EQ1270" s="16"/>
      <c r="ER1270" s="16"/>
      <c r="ES1270" s="18">
        <v>1</v>
      </c>
      <c r="ET1270" s="18">
        <v>2</v>
      </c>
      <c r="EU1270" s="16"/>
      <c r="EV1270" s="16"/>
      <c r="EW1270" s="17"/>
      <c r="EX1270" s="17"/>
      <c r="EY1270" s="16"/>
      <c r="EZ1270" s="16"/>
      <c r="FA1270" s="17"/>
      <c r="FB1270" s="17"/>
      <c r="FC1270" s="16"/>
      <c r="FD1270" s="16"/>
      <c r="FE1270" s="17"/>
      <c r="FF1270" s="17"/>
      <c r="FG1270" s="11"/>
      <c r="GT1270" s="11"/>
      <c r="IG1270" s="11"/>
      <c r="JT1270" s="11"/>
      <c r="LG1270" s="11"/>
      <c r="MT1270" s="11"/>
      <c r="OG1270" s="11"/>
      <c r="PT1270" s="11"/>
    </row>
    <row r="1271" spans="1:436" ht="15.75" x14ac:dyDescent="0.25">
      <c r="C1271" s="20" t="s">
        <v>922</v>
      </c>
      <c r="D1271" s="21" t="s">
        <v>159</v>
      </c>
      <c r="H1271" s="11"/>
      <c r="AU1271" s="11"/>
      <c r="CH1271" s="11"/>
      <c r="CI1271" s="16"/>
      <c r="CJ1271" s="16"/>
      <c r="CK1271" s="16"/>
      <c r="CL1271" s="16"/>
      <c r="CM1271" s="16"/>
      <c r="CN1271" s="16"/>
      <c r="CO1271" s="16"/>
      <c r="CP1271" s="16"/>
      <c r="CQ1271" s="16"/>
      <c r="CR1271" s="16"/>
      <c r="CS1271" s="16"/>
      <c r="CT1271" s="16"/>
      <c r="CU1271" s="16"/>
      <c r="CV1271" s="16"/>
      <c r="CW1271" s="16"/>
      <c r="CX1271" s="16"/>
      <c r="CY1271" s="16"/>
      <c r="CZ1271" s="16"/>
      <c r="DA1271" s="16"/>
      <c r="DB1271" s="16"/>
      <c r="DC1271" s="16"/>
      <c r="DD1271" s="16"/>
      <c r="DE1271" s="17"/>
      <c r="DF1271" s="17"/>
      <c r="DG1271" s="16"/>
      <c r="DH1271" s="16"/>
      <c r="DI1271" s="17"/>
      <c r="DJ1271" s="17"/>
      <c r="DK1271" s="16"/>
      <c r="DL1271" s="16"/>
      <c r="DM1271" s="17"/>
      <c r="DN1271" s="17"/>
      <c r="DO1271" s="16"/>
      <c r="DP1271" s="16"/>
      <c r="DQ1271" s="17"/>
      <c r="DR1271" s="17"/>
      <c r="DS1271" s="16"/>
      <c r="DT1271" s="16"/>
      <c r="DU1271" s="17"/>
      <c r="DV1271" s="17"/>
      <c r="DW1271" s="16"/>
      <c r="DX1271" s="16"/>
      <c r="DY1271" s="17"/>
      <c r="DZ1271" s="17"/>
      <c r="EA1271" s="16"/>
      <c r="EB1271" s="16"/>
      <c r="EC1271" s="17"/>
      <c r="ED1271" s="17"/>
      <c r="EE1271" s="16"/>
      <c r="EF1271" s="16"/>
      <c r="EG1271" s="17"/>
      <c r="EH1271" s="17"/>
      <c r="EI1271" s="16"/>
      <c r="EJ1271" s="16"/>
      <c r="EK1271" s="17"/>
      <c r="EL1271" s="17"/>
      <c r="EM1271" s="16"/>
      <c r="EN1271" s="16"/>
      <c r="EO1271" s="17"/>
      <c r="EP1271" s="17"/>
      <c r="EQ1271" s="16"/>
      <c r="ER1271" s="16"/>
      <c r="ES1271" s="17"/>
      <c r="ET1271" s="17"/>
      <c r="EU1271" s="16"/>
      <c r="EV1271" s="16"/>
      <c r="EW1271" s="17"/>
      <c r="EX1271" s="17"/>
      <c r="EY1271" s="16"/>
      <c r="EZ1271" s="16"/>
      <c r="FA1271" s="17"/>
      <c r="FB1271" s="17"/>
      <c r="FC1271" s="16"/>
      <c r="FD1271" s="16"/>
      <c r="FE1271" s="17"/>
      <c r="FF1271" s="17"/>
      <c r="FG1271" s="11"/>
      <c r="GT1271" s="11"/>
      <c r="IG1271" s="11"/>
      <c r="JT1271" s="11"/>
      <c r="LG1271" s="11"/>
      <c r="MT1271" s="11"/>
      <c r="OG1271" s="11"/>
      <c r="PT1271" s="11"/>
    </row>
    <row r="1272" spans="1:436" ht="15.75" x14ac:dyDescent="0.25">
      <c r="C1272" s="20" t="s">
        <v>923</v>
      </c>
      <c r="D1272" s="21" t="s">
        <v>90</v>
      </c>
      <c r="H1272" s="11"/>
      <c r="AU1272" s="11"/>
      <c r="CH1272" s="11"/>
      <c r="CI1272" s="16"/>
      <c r="CJ1272" s="16"/>
      <c r="CK1272" s="16"/>
      <c r="CL1272" s="16"/>
      <c r="CM1272" s="16"/>
      <c r="CN1272" s="16"/>
      <c r="CO1272" s="16"/>
      <c r="CP1272" s="16"/>
      <c r="CQ1272" s="16"/>
      <c r="CR1272" s="16"/>
      <c r="CS1272" s="16"/>
      <c r="CT1272" s="16"/>
      <c r="CU1272" s="16"/>
      <c r="CV1272" s="16"/>
      <c r="CW1272" s="16"/>
      <c r="CX1272" s="16"/>
      <c r="CY1272" s="16"/>
      <c r="CZ1272" s="16"/>
      <c r="DA1272" s="16"/>
      <c r="DB1272" s="16"/>
      <c r="DC1272" s="16"/>
      <c r="DD1272" s="16"/>
      <c r="DE1272" s="17"/>
      <c r="DF1272" s="17"/>
      <c r="DG1272" s="16"/>
      <c r="DH1272" s="16"/>
      <c r="DI1272" s="17"/>
      <c r="DJ1272" s="17"/>
      <c r="DK1272" s="16"/>
      <c r="DL1272" s="16"/>
      <c r="DM1272" s="17"/>
      <c r="DN1272" s="17"/>
      <c r="DO1272" s="16"/>
      <c r="DP1272" s="16"/>
      <c r="DQ1272" s="17"/>
      <c r="DR1272" s="17"/>
      <c r="DS1272" s="16"/>
      <c r="DT1272" s="16"/>
      <c r="DU1272" s="17"/>
      <c r="DV1272" s="17"/>
      <c r="DW1272" s="16"/>
      <c r="DX1272" s="16"/>
      <c r="DY1272" s="17"/>
      <c r="DZ1272" s="17"/>
      <c r="EA1272" s="16"/>
      <c r="EB1272" s="16"/>
      <c r="EC1272" s="17"/>
      <c r="ED1272" s="17"/>
      <c r="EE1272" s="16"/>
      <c r="EF1272" s="16"/>
      <c r="EG1272" s="17"/>
      <c r="EH1272" s="17"/>
      <c r="EI1272" s="16"/>
      <c r="EJ1272" s="16"/>
      <c r="EK1272" s="17"/>
      <c r="EL1272" s="17"/>
      <c r="EM1272" s="16"/>
      <c r="EN1272" s="16"/>
      <c r="EO1272" s="17"/>
      <c r="EP1272" s="17"/>
      <c r="EQ1272" s="16"/>
      <c r="ER1272" s="16"/>
      <c r="ES1272" s="17"/>
      <c r="ET1272" s="17"/>
      <c r="EU1272" s="16"/>
      <c r="EV1272" s="16"/>
      <c r="EW1272" s="17"/>
      <c r="EX1272" s="17"/>
      <c r="EY1272" s="16"/>
      <c r="EZ1272" s="16"/>
      <c r="FA1272" s="17"/>
      <c r="FB1272" s="17"/>
      <c r="FC1272" s="16"/>
      <c r="FD1272" s="16"/>
      <c r="FE1272" s="17"/>
      <c r="FF1272" s="17"/>
      <c r="FG1272" s="11"/>
      <c r="GT1272" s="11"/>
      <c r="IG1272" s="11"/>
      <c r="JT1272" s="11"/>
      <c r="LG1272" s="11"/>
      <c r="MT1272" s="11"/>
      <c r="OG1272" s="11"/>
      <c r="PT1272" s="11"/>
    </row>
    <row r="1273" spans="1:436" ht="15.75" x14ac:dyDescent="0.25">
      <c r="C1273" s="20" t="s">
        <v>924</v>
      </c>
      <c r="D1273" s="21" t="s">
        <v>79</v>
      </c>
      <c r="H1273" s="11"/>
      <c r="AU1273" s="11"/>
      <c r="CH1273" s="11"/>
      <c r="CI1273" s="16"/>
      <c r="CJ1273" s="16"/>
      <c r="CK1273" s="16"/>
      <c r="CL1273" s="16"/>
      <c r="CM1273" s="16"/>
      <c r="CN1273" s="16"/>
      <c r="CO1273" s="16"/>
      <c r="CP1273" s="16"/>
      <c r="CQ1273" s="16"/>
      <c r="CR1273" s="16"/>
      <c r="CS1273" s="16"/>
      <c r="CT1273" s="16"/>
      <c r="CU1273" s="16"/>
      <c r="CV1273" s="16"/>
      <c r="CW1273" s="16"/>
      <c r="CX1273" s="16"/>
      <c r="CY1273" s="16"/>
      <c r="CZ1273" s="16"/>
      <c r="DA1273" s="16"/>
      <c r="DB1273" s="16"/>
      <c r="DC1273" s="16"/>
      <c r="DD1273" s="16"/>
      <c r="DE1273" s="17"/>
      <c r="DF1273" s="17"/>
      <c r="DG1273" s="16"/>
      <c r="DH1273" s="16"/>
      <c r="DI1273" s="17"/>
      <c r="DJ1273" s="17"/>
      <c r="DK1273" s="16"/>
      <c r="DL1273" s="16"/>
      <c r="DM1273" s="17"/>
      <c r="DN1273" s="17"/>
      <c r="DO1273" s="16"/>
      <c r="DP1273" s="16"/>
      <c r="DQ1273" s="17"/>
      <c r="DR1273" s="17"/>
      <c r="DS1273" s="16"/>
      <c r="DT1273" s="16"/>
      <c r="DU1273" s="17"/>
      <c r="DV1273" s="17"/>
      <c r="DW1273" s="16"/>
      <c r="DX1273" s="16"/>
      <c r="DY1273" s="17"/>
      <c r="DZ1273" s="17"/>
      <c r="EA1273" s="16"/>
      <c r="EB1273" s="16"/>
      <c r="EC1273" s="17"/>
      <c r="ED1273" s="17"/>
      <c r="EE1273" s="16"/>
      <c r="EF1273" s="16"/>
      <c r="EG1273" s="17"/>
      <c r="EH1273" s="17"/>
      <c r="EI1273" s="16"/>
      <c r="EJ1273" s="16"/>
      <c r="EK1273" s="17"/>
      <c r="EL1273" s="17"/>
      <c r="EM1273" s="16"/>
      <c r="EN1273" s="16"/>
      <c r="EO1273" s="17"/>
      <c r="EP1273" s="17"/>
      <c r="EQ1273" s="16"/>
      <c r="ER1273" s="16"/>
      <c r="ES1273" s="17"/>
      <c r="ET1273" s="17"/>
      <c r="EU1273" s="16"/>
      <c r="EV1273" s="16"/>
      <c r="EW1273" s="17"/>
      <c r="EX1273" s="17"/>
      <c r="EY1273" s="16"/>
      <c r="EZ1273" s="16"/>
      <c r="FA1273" s="17"/>
      <c r="FB1273" s="17"/>
      <c r="FC1273" s="16"/>
      <c r="FD1273" s="16"/>
      <c r="FE1273" s="17"/>
      <c r="FF1273" s="17"/>
      <c r="FG1273" s="11"/>
      <c r="GT1273" s="11"/>
      <c r="IG1273" s="11"/>
      <c r="JT1273" s="11"/>
      <c r="LG1273" s="11"/>
      <c r="MT1273" s="11"/>
      <c r="OG1273" s="11"/>
      <c r="PT1273" s="11"/>
    </row>
    <row r="1274" spans="1:436" ht="15.75" x14ac:dyDescent="0.25">
      <c r="C1274" s="20" t="s">
        <v>925</v>
      </c>
      <c r="D1274" s="21" t="s">
        <v>82</v>
      </c>
      <c r="H1274" s="11"/>
      <c r="AU1274" s="11"/>
      <c r="CH1274" s="11"/>
      <c r="CI1274" s="16"/>
      <c r="CJ1274" s="16"/>
      <c r="CK1274" s="16"/>
      <c r="CL1274" s="16"/>
      <c r="CM1274" s="16"/>
      <c r="CN1274" s="16"/>
      <c r="CO1274" s="16"/>
      <c r="CP1274" s="16"/>
      <c r="CQ1274" s="16"/>
      <c r="CR1274" s="16"/>
      <c r="CS1274" s="16"/>
      <c r="CT1274" s="16"/>
      <c r="CU1274" s="16"/>
      <c r="CV1274" s="16"/>
      <c r="CW1274" s="16"/>
      <c r="CX1274" s="16"/>
      <c r="CY1274" s="16"/>
      <c r="CZ1274" s="16"/>
      <c r="DA1274" s="16"/>
      <c r="DB1274" s="16"/>
      <c r="DC1274" s="16"/>
      <c r="DD1274" s="16"/>
      <c r="DE1274" s="17"/>
      <c r="DF1274" s="17"/>
      <c r="DG1274" s="16"/>
      <c r="DH1274" s="16"/>
      <c r="DI1274" s="17"/>
      <c r="DJ1274" s="17"/>
      <c r="DK1274" s="16"/>
      <c r="DL1274" s="16"/>
      <c r="DM1274" s="17"/>
      <c r="DN1274" s="17"/>
      <c r="DO1274" s="16"/>
      <c r="DP1274" s="16"/>
      <c r="DQ1274" s="17"/>
      <c r="DR1274" s="17"/>
      <c r="DS1274" s="16"/>
      <c r="DT1274" s="16"/>
      <c r="DU1274" s="17"/>
      <c r="DV1274" s="17"/>
      <c r="DW1274" s="16"/>
      <c r="DX1274" s="16"/>
      <c r="DY1274" s="17"/>
      <c r="DZ1274" s="17"/>
      <c r="EA1274" s="16"/>
      <c r="EB1274" s="16"/>
      <c r="EC1274" s="17"/>
      <c r="ED1274" s="17"/>
      <c r="EE1274" s="16"/>
      <c r="EF1274" s="16"/>
      <c r="EG1274" s="17"/>
      <c r="EH1274" s="17"/>
      <c r="EI1274" s="16"/>
      <c r="EJ1274" s="16"/>
      <c r="EK1274" s="17"/>
      <c r="EL1274" s="17"/>
      <c r="EM1274" s="16"/>
      <c r="EN1274" s="16"/>
      <c r="EO1274" s="17"/>
      <c r="EP1274" s="17"/>
      <c r="EQ1274" s="16"/>
      <c r="ER1274" s="16"/>
      <c r="ES1274" s="17"/>
      <c r="ET1274" s="17"/>
      <c r="EU1274" s="16"/>
      <c r="EV1274" s="16"/>
      <c r="EW1274" s="17"/>
      <c r="EX1274" s="17"/>
      <c r="EY1274" s="16"/>
      <c r="EZ1274" s="16"/>
      <c r="FA1274" s="17"/>
      <c r="FB1274" s="17"/>
      <c r="FC1274" s="16"/>
      <c r="FD1274" s="16"/>
      <c r="FE1274" s="17"/>
      <c r="FF1274" s="17"/>
      <c r="FG1274" s="11"/>
      <c r="GT1274" s="11"/>
      <c r="IG1274" s="11"/>
      <c r="JT1274" s="11"/>
      <c r="LG1274" s="11"/>
      <c r="MT1274" s="11"/>
      <c r="OG1274" s="11"/>
      <c r="PT1274" s="11"/>
    </row>
    <row r="1275" spans="1:436" ht="15.75" x14ac:dyDescent="0.25">
      <c r="C1275" s="20" t="s">
        <v>935</v>
      </c>
      <c r="D1275" s="21" t="s">
        <v>82</v>
      </c>
      <c r="H1275" s="11"/>
      <c r="AU1275" s="11"/>
      <c r="CH1275" s="11"/>
      <c r="CI1275" s="16"/>
      <c r="CJ1275" s="16"/>
      <c r="CK1275" s="16"/>
      <c r="CL1275" s="16"/>
      <c r="CM1275" s="16"/>
      <c r="CN1275" s="16"/>
      <c r="CO1275" s="16"/>
      <c r="CP1275" s="16"/>
      <c r="CQ1275" s="16"/>
      <c r="CR1275" s="16"/>
      <c r="CS1275" s="16"/>
      <c r="CT1275" s="16"/>
      <c r="CU1275" s="16"/>
      <c r="CV1275" s="16"/>
      <c r="CW1275" s="16"/>
      <c r="CX1275" s="16"/>
      <c r="CY1275" s="16"/>
      <c r="CZ1275" s="16"/>
      <c r="DA1275" s="16"/>
      <c r="DB1275" s="16"/>
      <c r="DC1275" s="16"/>
      <c r="DD1275" s="16"/>
      <c r="DE1275" s="17"/>
      <c r="DF1275" s="17"/>
      <c r="DG1275" s="16"/>
      <c r="DH1275" s="16"/>
      <c r="DI1275" s="17"/>
      <c r="DJ1275" s="17"/>
      <c r="DK1275" s="16"/>
      <c r="DL1275" s="16"/>
      <c r="DM1275" s="17"/>
      <c r="DN1275" s="17"/>
      <c r="DO1275" s="16"/>
      <c r="DP1275" s="16"/>
      <c r="DQ1275" s="17"/>
      <c r="DR1275" s="17"/>
      <c r="DS1275" s="16"/>
      <c r="DT1275" s="16"/>
      <c r="DU1275" s="17"/>
      <c r="DV1275" s="17"/>
      <c r="DW1275" s="16"/>
      <c r="DX1275" s="16"/>
      <c r="DY1275" s="17"/>
      <c r="DZ1275" s="17"/>
      <c r="EA1275" s="16"/>
      <c r="EB1275" s="16"/>
      <c r="EC1275" s="17"/>
      <c r="ED1275" s="17"/>
      <c r="EE1275" s="16"/>
      <c r="EF1275" s="16"/>
      <c r="EG1275" s="17"/>
      <c r="EH1275" s="17"/>
      <c r="EI1275" s="16"/>
      <c r="EJ1275" s="16"/>
      <c r="EK1275" s="17"/>
      <c r="EL1275" s="17"/>
      <c r="EM1275" s="16"/>
      <c r="EN1275" s="16"/>
      <c r="EO1275" s="17"/>
      <c r="EP1275" s="17"/>
      <c r="EQ1275" s="16"/>
      <c r="ER1275" s="16"/>
      <c r="ES1275" s="18">
        <v>20</v>
      </c>
      <c r="ET1275" s="18">
        <v>20</v>
      </c>
      <c r="EU1275" s="16"/>
      <c r="EV1275" s="16"/>
      <c r="EW1275" s="17"/>
      <c r="EX1275" s="17"/>
      <c r="EY1275" s="16"/>
      <c r="EZ1275" s="16"/>
      <c r="FA1275" s="17"/>
      <c r="FB1275" s="17"/>
      <c r="FC1275" s="16"/>
      <c r="FD1275" s="16"/>
      <c r="FE1275" s="17"/>
      <c r="FF1275" s="17"/>
      <c r="FG1275" s="11"/>
      <c r="GT1275" s="11"/>
      <c r="IG1275" s="11"/>
      <c r="JT1275" s="11"/>
      <c r="LG1275" s="11"/>
      <c r="MT1275" s="11"/>
      <c r="OG1275" s="11"/>
      <c r="PT1275" s="11"/>
    </row>
    <row r="1276" spans="1:436" ht="15.75" x14ac:dyDescent="0.25">
      <c r="C1276" s="20" t="s">
        <v>936</v>
      </c>
      <c r="D1276" s="21" t="s">
        <v>93</v>
      </c>
      <c r="H1276" s="11"/>
      <c r="AU1276" s="11"/>
      <c r="CH1276" s="11"/>
      <c r="CI1276" s="16"/>
      <c r="CJ1276" s="16"/>
      <c r="CK1276" s="16"/>
      <c r="CL1276" s="16"/>
      <c r="CM1276" s="16"/>
      <c r="CN1276" s="16"/>
      <c r="CO1276" s="16"/>
      <c r="CP1276" s="16"/>
      <c r="CQ1276" s="16"/>
      <c r="CR1276" s="16"/>
      <c r="CS1276" s="16"/>
      <c r="CT1276" s="16"/>
      <c r="CU1276" s="16"/>
      <c r="CV1276" s="16"/>
      <c r="CW1276" s="16"/>
      <c r="CX1276" s="16"/>
      <c r="CY1276" s="16"/>
      <c r="CZ1276" s="16"/>
      <c r="DA1276" s="16"/>
      <c r="DB1276" s="16"/>
      <c r="DC1276" s="16"/>
      <c r="DD1276" s="16"/>
      <c r="DE1276" s="17"/>
      <c r="DF1276" s="17"/>
      <c r="DG1276" s="16"/>
      <c r="DH1276" s="16"/>
      <c r="DI1276" s="17"/>
      <c r="DJ1276" s="17"/>
      <c r="DK1276" s="16"/>
      <c r="DL1276" s="16"/>
      <c r="DM1276" s="17"/>
      <c r="DN1276" s="17"/>
      <c r="DO1276" s="16"/>
      <c r="DP1276" s="16"/>
      <c r="DQ1276" s="17"/>
      <c r="DR1276" s="17"/>
      <c r="DS1276" s="16"/>
      <c r="DT1276" s="16"/>
      <c r="DU1276" s="17"/>
      <c r="DV1276" s="17"/>
      <c r="DW1276" s="16"/>
      <c r="DX1276" s="16"/>
      <c r="DY1276" s="17"/>
      <c r="DZ1276" s="17"/>
      <c r="EA1276" s="16"/>
      <c r="EB1276" s="16"/>
      <c r="EC1276" s="17"/>
      <c r="ED1276" s="17"/>
      <c r="EE1276" s="16"/>
      <c r="EF1276" s="16"/>
      <c r="EG1276" s="17"/>
      <c r="EH1276" s="17"/>
      <c r="EI1276" s="16"/>
      <c r="EJ1276" s="16"/>
      <c r="EK1276" s="17"/>
      <c r="EL1276" s="17"/>
      <c r="EM1276" s="16"/>
      <c r="EN1276" s="16"/>
      <c r="EO1276" s="17"/>
      <c r="EP1276" s="17"/>
      <c r="EQ1276" s="16"/>
      <c r="ER1276" s="16"/>
      <c r="ES1276" s="17"/>
      <c r="ET1276" s="17"/>
      <c r="EU1276" s="16"/>
      <c r="EV1276" s="16"/>
      <c r="EW1276" s="18">
        <v>20</v>
      </c>
      <c r="EX1276" s="18">
        <v>20</v>
      </c>
      <c r="EY1276" s="16"/>
      <c r="EZ1276" s="16"/>
      <c r="FA1276" s="17"/>
      <c r="FB1276" s="17"/>
      <c r="FC1276" s="16"/>
      <c r="FD1276" s="16"/>
      <c r="FE1276" s="17"/>
      <c r="FF1276" s="17"/>
      <c r="FG1276" s="11"/>
      <c r="GT1276" s="11"/>
      <c r="IG1276" s="11"/>
      <c r="JT1276" s="11"/>
      <c r="LG1276" s="11"/>
      <c r="MT1276" s="11"/>
      <c r="OG1276" s="11"/>
      <c r="PT1276" s="11"/>
    </row>
    <row r="1277" spans="1:436" ht="15.75" x14ac:dyDescent="0.25">
      <c r="C1277" s="20" t="s">
        <v>937</v>
      </c>
      <c r="D1277" s="21" t="s">
        <v>79</v>
      </c>
      <c r="H1277" s="11"/>
      <c r="AU1277" s="11"/>
      <c r="CH1277" s="11"/>
      <c r="CI1277" s="16"/>
      <c r="CJ1277" s="16"/>
      <c r="CK1277" s="16"/>
      <c r="CL1277" s="16"/>
      <c r="CM1277" s="16"/>
      <c r="CN1277" s="16"/>
      <c r="CO1277" s="16"/>
      <c r="CP1277" s="16"/>
      <c r="CQ1277" s="16"/>
      <c r="CR1277" s="16"/>
      <c r="CS1277" s="16"/>
      <c r="CT1277" s="16"/>
      <c r="CU1277" s="16"/>
      <c r="CV1277" s="16"/>
      <c r="CW1277" s="16"/>
      <c r="CX1277" s="16"/>
      <c r="CY1277" s="16"/>
      <c r="CZ1277" s="16"/>
      <c r="DA1277" s="16"/>
      <c r="DB1277" s="16"/>
      <c r="DC1277" s="16"/>
      <c r="DD1277" s="16"/>
      <c r="DE1277" s="17"/>
      <c r="DF1277" s="17"/>
      <c r="DG1277" s="16"/>
      <c r="DH1277" s="16"/>
      <c r="DI1277" s="17"/>
      <c r="DJ1277" s="17"/>
      <c r="DK1277" s="16"/>
      <c r="DL1277" s="16"/>
      <c r="DM1277" s="17"/>
      <c r="DN1277" s="17"/>
      <c r="DO1277" s="16"/>
      <c r="DP1277" s="16"/>
      <c r="DQ1277" s="17"/>
      <c r="DR1277" s="17"/>
      <c r="DS1277" s="16"/>
      <c r="DT1277" s="16"/>
      <c r="DU1277" s="17"/>
      <c r="DV1277" s="17"/>
      <c r="DW1277" s="16"/>
      <c r="DX1277" s="16"/>
      <c r="DY1277" s="17"/>
      <c r="DZ1277" s="17"/>
      <c r="EA1277" s="16"/>
      <c r="EB1277" s="16"/>
      <c r="EC1277" s="17"/>
      <c r="ED1277" s="17"/>
      <c r="EE1277" s="16"/>
      <c r="EF1277" s="16"/>
      <c r="EG1277" s="17"/>
      <c r="EH1277" s="17"/>
      <c r="EI1277" s="16"/>
      <c r="EJ1277" s="16"/>
      <c r="EK1277" s="17"/>
      <c r="EL1277" s="17"/>
      <c r="EM1277" s="16"/>
      <c r="EN1277" s="16"/>
      <c r="EO1277" s="17"/>
      <c r="EP1277" s="17"/>
      <c r="EQ1277" s="16"/>
      <c r="ER1277" s="16"/>
      <c r="ES1277" s="17"/>
      <c r="ET1277" s="17"/>
      <c r="EU1277" s="16"/>
      <c r="EV1277" s="16"/>
      <c r="EW1277" s="17"/>
      <c r="EX1277" s="17"/>
      <c r="EY1277" s="16"/>
      <c r="EZ1277" s="16"/>
      <c r="FA1277" s="17"/>
      <c r="FB1277" s="17"/>
      <c r="FC1277" s="16"/>
      <c r="FD1277" s="16"/>
      <c r="FE1277" s="17"/>
      <c r="FF1277" s="17"/>
      <c r="FG1277" s="11"/>
      <c r="GT1277" s="11"/>
      <c r="IG1277" s="11"/>
      <c r="JT1277" s="11"/>
      <c r="LG1277" s="11"/>
      <c r="MT1277" s="11"/>
      <c r="OG1277" s="11"/>
      <c r="PT1277" s="11"/>
    </row>
    <row r="1278" spans="1:436" ht="15.75" x14ac:dyDescent="0.25">
      <c r="A1278" s="13"/>
      <c r="B1278" s="14" t="s">
        <v>938</v>
      </c>
      <c r="C1278" s="13"/>
      <c r="D1278" s="13"/>
      <c r="E1278" s="15" t="s">
        <v>127</v>
      </c>
      <c r="F1278" s="15" t="s">
        <v>177</v>
      </c>
      <c r="G1278" s="13"/>
      <c r="H1278" s="11"/>
      <c r="AU1278" s="11"/>
      <c r="CH1278" s="11"/>
      <c r="CI1278" s="16"/>
      <c r="CJ1278" s="16"/>
      <c r="CK1278" s="16"/>
      <c r="CL1278" s="16"/>
      <c r="CM1278" s="16"/>
      <c r="CN1278" s="16"/>
      <c r="CO1278" s="16"/>
      <c r="CP1278" s="16"/>
      <c r="CQ1278" s="16"/>
      <c r="CR1278" s="16"/>
      <c r="CS1278" s="16"/>
      <c r="CT1278" s="16"/>
      <c r="CU1278" s="16"/>
      <c r="CV1278" s="16"/>
      <c r="CW1278" s="16"/>
      <c r="CX1278" s="16"/>
      <c r="CY1278" s="16"/>
      <c r="CZ1278" s="16"/>
      <c r="DA1278" s="16"/>
      <c r="DB1278" s="16"/>
      <c r="DC1278" s="16"/>
      <c r="DD1278" s="16"/>
      <c r="DE1278" s="17"/>
      <c r="DF1278" s="17"/>
      <c r="DG1278" s="16"/>
      <c r="DH1278" s="16"/>
      <c r="DI1278" s="17"/>
      <c r="DJ1278" s="17"/>
      <c r="DK1278" s="16"/>
      <c r="DL1278" s="16"/>
      <c r="DM1278" s="17"/>
      <c r="DN1278" s="17"/>
      <c r="DO1278" s="16"/>
      <c r="DP1278" s="16"/>
      <c r="DQ1278" s="17"/>
      <c r="DR1278" s="17"/>
      <c r="DS1278" s="16"/>
      <c r="DT1278" s="16"/>
      <c r="DU1278" s="17"/>
      <c r="DV1278" s="17"/>
      <c r="DW1278" s="16"/>
      <c r="DX1278" s="19">
        <v>10</v>
      </c>
      <c r="DY1278" s="17"/>
      <c r="DZ1278" s="17"/>
      <c r="EA1278" s="16"/>
      <c r="EB1278" s="16"/>
      <c r="EC1278" s="17"/>
      <c r="ED1278" s="17"/>
      <c r="EE1278" s="16"/>
      <c r="EF1278" s="16"/>
      <c r="EG1278" s="17"/>
      <c r="EH1278" s="17"/>
      <c r="EI1278" s="16"/>
      <c r="EJ1278" s="16"/>
      <c r="EK1278" s="17"/>
      <c r="EL1278" s="17"/>
      <c r="EM1278" s="16"/>
      <c r="EN1278" s="16"/>
      <c r="EO1278" s="17"/>
      <c r="EP1278" s="17"/>
      <c r="EQ1278" s="16"/>
      <c r="ER1278" s="16"/>
      <c r="ES1278" s="17"/>
      <c r="ET1278" s="18">
        <v>20</v>
      </c>
      <c r="EU1278" s="16"/>
      <c r="EV1278" s="16"/>
      <c r="EW1278" s="17"/>
      <c r="EX1278" s="17"/>
      <c r="EY1278" s="16"/>
      <c r="EZ1278" s="16"/>
      <c r="FA1278" s="17"/>
      <c r="FB1278" s="17"/>
      <c r="FC1278" s="16"/>
      <c r="FD1278" s="16"/>
      <c r="FE1278" s="17"/>
      <c r="FF1278" s="17"/>
      <c r="FG1278" s="11"/>
      <c r="GT1278" s="11"/>
      <c r="IG1278" s="11"/>
      <c r="JT1278" s="11"/>
      <c r="LG1278" s="11"/>
      <c r="MT1278" s="11"/>
      <c r="OG1278" s="11"/>
      <c r="PT1278" s="11"/>
    </row>
    <row r="1279" spans="1:436" ht="15.75" x14ac:dyDescent="0.25">
      <c r="C1279" s="20" t="s">
        <v>939</v>
      </c>
      <c r="D1279" s="21" t="s">
        <v>104</v>
      </c>
      <c r="H1279" s="11"/>
      <c r="AU1279" s="11"/>
      <c r="CH1279" s="11"/>
      <c r="CI1279" s="16"/>
      <c r="CJ1279" s="16"/>
      <c r="CK1279" s="16"/>
      <c r="CL1279" s="16"/>
      <c r="CM1279" s="16"/>
      <c r="CN1279" s="16"/>
      <c r="CO1279" s="16"/>
      <c r="CP1279" s="16"/>
      <c r="CQ1279" s="16"/>
      <c r="CR1279" s="16"/>
      <c r="CS1279" s="16"/>
      <c r="CT1279" s="16"/>
      <c r="CU1279" s="16"/>
      <c r="CV1279" s="16"/>
      <c r="CW1279" s="16"/>
      <c r="CX1279" s="16"/>
      <c r="CY1279" s="16"/>
      <c r="CZ1279" s="16"/>
      <c r="DA1279" s="16"/>
      <c r="DB1279" s="16"/>
      <c r="DC1279" s="16"/>
      <c r="DD1279" s="16"/>
      <c r="DE1279" s="17"/>
      <c r="DF1279" s="17"/>
      <c r="DG1279" s="16"/>
      <c r="DH1279" s="16"/>
      <c r="DI1279" s="17"/>
      <c r="DJ1279" s="17"/>
      <c r="DK1279" s="16"/>
      <c r="DL1279" s="16"/>
      <c r="DM1279" s="17"/>
      <c r="DN1279" s="17"/>
      <c r="DO1279" s="16"/>
      <c r="DP1279" s="16"/>
      <c r="DQ1279" s="17"/>
      <c r="DR1279" s="17"/>
      <c r="DS1279" s="16"/>
      <c r="DT1279" s="16"/>
      <c r="DU1279" s="17"/>
      <c r="DV1279" s="17"/>
      <c r="DW1279" s="16"/>
      <c r="DX1279" s="16"/>
      <c r="DY1279" s="17"/>
      <c r="DZ1279" s="17"/>
      <c r="EA1279" s="16"/>
      <c r="EB1279" s="16"/>
      <c r="EC1279" s="17"/>
      <c r="ED1279" s="17"/>
      <c r="EE1279" s="16"/>
      <c r="EF1279" s="16"/>
      <c r="EG1279" s="17"/>
      <c r="EH1279" s="17"/>
      <c r="EI1279" s="16"/>
      <c r="EJ1279" s="16"/>
      <c r="EK1279" s="17"/>
      <c r="EL1279" s="17"/>
      <c r="EM1279" s="16"/>
      <c r="EN1279" s="16"/>
      <c r="EO1279" s="17"/>
      <c r="EP1279" s="17"/>
      <c r="EQ1279" s="16"/>
      <c r="ER1279" s="16"/>
      <c r="ES1279" s="17"/>
      <c r="ET1279" s="17"/>
      <c r="EU1279" s="16"/>
      <c r="EV1279" s="16"/>
      <c r="EW1279" s="17"/>
      <c r="EX1279" s="17"/>
      <c r="EY1279" s="16"/>
      <c r="EZ1279" s="16"/>
      <c r="FA1279" s="17"/>
      <c r="FB1279" s="17"/>
      <c r="FC1279" s="19">
        <v>0.5</v>
      </c>
      <c r="FD1279" s="19">
        <v>1</v>
      </c>
      <c r="FE1279" s="17"/>
      <c r="FF1279" s="17"/>
      <c r="FG1279" s="11"/>
      <c r="GT1279" s="11"/>
      <c r="IG1279" s="11"/>
      <c r="JT1279" s="11"/>
      <c r="LG1279" s="11"/>
      <c r="MT1279" s="11"/>
      <c r="OG1279" s="11"/>
      <c r="PT1279" s="11"/>
    </row>
    <row r="1280" spans="1:436" ht="15.75" x14ac:dyDescent="0.25">
      <c r="C1280" s="20" t="s">
        <v>940</v>
      </c>
      <c r="D1280" s="21" t="s">
        <v>84</v>
      </c>
      <c r="H1280" s="11"/>
      <c r="AU1280" s="11"/>
      <c r="CH1280" s="11"/>
      <c r="CI1280" s="16"/>
      <c r="CJ1280" s="16"/>
      <c r="CK1280" s="16"/>
      <c r="CL1280" s="16"/>
      <c r="CM1280" s="16"/>
      <c r="CN1280" s="16"/>
      <c r="CO1280" s="16"/>
      <c r="CP1280" s="16"/>
      <c r="CQ1280" s="16"/>
      <c r="CR1280" s="16"/>
      <c r="CS1280" s="16"/>
      <c r="CT1280" s="16"/>
      <c r="CU1280" s="16"/>
      <c r="CV1280" s="16"/>
      <c r="CW1280" s="16"/>
      <c r="CX1280" s="16"/>
      <c r="CY1280" s="16"/>
      <c r="CZ1280" s="16"/>
      <c r="DA1280" s="16"/>
      <c r="DB1280" s="16"/>
      <c r="DC1280" s="16"/>
      <c r="DD1280" s="16"/>
      <c r="DE1280" s="17"/>
      <c r="DF1280" s="17"/>
      <c r="DG1280" s="16"/>
      <c r="DH1280" s="16"/>
      <c r="DI1280" s="17"/>
      <c r="DJ1280" s="17"/>
      <c r="DK1280" s="16"/>
      <c r="DL1280" s="16"/>
      <c r="DM1280" s="17"/>
      <c r="DN1280" s="17"/>
      <c r="DO1280" s="16"/>
      <c r="DP1280" s="16"/>
      <c r="DQ1280" s="17"/>
      <c r="DR1280" s="17"/>
      <c r="DS1280" s="16"/>
      <c r="DT1280" s="16"/>
      <c r="DU1280" s="17"/>
      <c r="DV1280" s="17"/>
      <c r="DW1280" s="16"/>
      <c r="DX1280" s="19">
        <v>5</v>
      </c>
      <c r="DY1280" s="17"/>
      <c r="DZ1280" s="17"/>
      <c r="EA1280" s="16"/>
      <c r="EB1280" s="16"/>
      <c r="EC1280" s="17"/>
      <c r="ED1280" s="17"/>
      <c r="EE1280" s="16"/>
      <c r="EF1280" s="16"/>
      <c r="EG1280" s="17"/>
      <c r="EH1280" s="17"/>
      <c r="EI1280" s="16"/>
      <c r="EJ1280" s="16"/>
      <c r="EK1280" s="17"/>
      <c r="EL1280" s="17"/>
      <c r="EM1280" s="16"/>
      <c r="EN1280" s="16"/>
      <c r="EO1280" s="17"/>
      <c r="EP1280" s="17"/>
      <c r="EQ1280" s="16"/>
      <c r="ER1280" s="16"/>
      <c r="ES1280" s="17"/>
      <c r="ET1280" s="17"/>
      <c r="EU1280" s="16"/>
      <c r="EV1280" s="16"/>
      <c r="EW1280" s="17"/>
      <c r="EX1280" s="17"/>
      <c r="EY1280" s="16"/>
      <c r="EZ1280" s="16"/>
      <c r="FA1280" s="17"/>
      <c r="FB1280" s="17"/>
      <c r="FC1280" s="16"/>
      <c r="FD1280" s="16"/>
      <c r="FE1280" s="17"/>
      <c r="FF1280" s="17"/>
      <c r="FG1280" s="11"/>
      <c r="GT1280" s="11"/>
      <c r="IG1280" s="11"/>
      <c r="JT1280" s="11"/>
      <c r="LG1280" s="11"/>
      <c r="MT1280" s="11"/>
      <c r="OG1280" s="11"/>
      <c r="PT1280" s="11"/>
    </row>
    <row r="1281" spans="1:436" ht="15.75" x14ac:dyDescent="0.25">
      <c r="C1281" s="20" t="s">
        <v>941</v>
      </c>
      <c r="D1281" s="21" t="s">
        <v>79</v>
      </c>
      <c r="H1281" s="11"/>
      <c r="AU1281" s="11"/>
      <c r="CH1281" s="11"/>
      <c r="CI1281" s="16"/>
      <c r="CJ1281" s="16"/>
      <c r="CK1281" s="16"/>
      <c r="CL1281" s="16"/>
      <c r="CM1281" s="16"/>
      <c r="CN1281" s="16"/>
      <c r="CO1281" s="16"/>
      <c r="CP1281" s="16"/>
      <c r="CQ1281" s="16"/>
      <c r="CR1281" s="16"/>
      <c r="CS1281" s="16"/>
      <c r="CT1281" s="16"/>
      <c r="CU1281" s="16"/>
      <c r="CV1281" s="16"/>
      <c r="CW1281" s="16"/>
      <c r="CX1281" s="16"/>
      <c r="CY1281" s="16"/>
      <c r="CZ1281" s="16"/>
      <c r="DA1281" s="16"/>
      <c r="DB1281" s="16"/>
      <c r="DC1281" s="16"/>
      <c r="DD1281" s="16"/>
      <c r="DE1281" s="17"/>
      <c r="DF1281" s="17"/>
      <c r="DG1281" s="16"/>
      <c r="DH1281" s="16"/>
      <c r="DI1281" s="17"/>
      <c r="DJ1281" s="18">
        <v>2</v>
      </c>
      <c r="DK1281" s="16"/>
      <c r="DL1281" s="16"/>
      <c r="DM1281" s="17"/>
      <c r="DN1281" s="17"/>
      <c r="DO1281" s="16"/>
      <c r="DP1281" s="16"/>
      <c r="DQ1281" s="17"/>
      <c r="DR1281" s="17"/>
      <c r="DS1281" s="16"/>
      <c r="DT1281" s="16"/>
      <c r="DU1281" s="17"/>
      <c r="DV1281" s="17"/>
      <c r="DW1281" s="16"/>
      <c r="DX1281" s="16"/>
      <c r="DY1281" s="17"/>
      <c r="DZ1281" s="17"/>
      <c r="EA1281" s="16"/>
      <c r="EB1281" s="16"/>
      <c r="EC1281" s="17"/>
      <c r="ED1281" s="17"/>
      <c r="EE1281" s="16"/>
      <c r="EF1281" s="16"/>
      <c r="EG1281" s="17"/>
      <c r="EH1281" s="17"/>
      <c r="EI1281" s="16"/>
      <c r="EJ1281" s="16"/>
      <c r="EK1281" s="17"/>
      <c r="EL1281" s="17"/>
      <c r="EM1281" s="16"/>
      <c r="EN1281" s="16"/>
      <c r="EO1281" s="17"/>
      <c r="EP1281" s="17"/>
      <c r="EQ1281" s="16"/>
      <c r="ER1281" s="16"/>
      <c r="ES1281" s="17"/>
      <c r="ET1281" s="17"/>
      <c r="EU1281" s="16"/>
      <c r="EV1281" s="16"/>
      <c r="EW1281" s="17"/>
      <c r="EX1281" s="17"/>
      <c r="EY1281" s="16"/>
      <c r="EZ1281" s="16"/>
      <c r="FA1281" s="17"/>
      <c r="FB1281" s="17"/>
      <c r="FC1281" s="16"/>
      <c r="FD1281" s="16"/>
      <c r="FE1281" s="17"/>
      <c r="FF1281" s="17"/>
      <c r="FG1281" s="11"/>
      <c r="GT1281" s="11"/>
      <c r="IG1281" s="11"/>
      <c r="JT1281" s="11"/>
      <c r="LG1281" s="11"/>
      <c r="MT1281" s="11"/>
      <c r="OG1281" s="11"/>
      <c r="PT1281" s="11"/>
    </row>
    <row r="1282" spans="1:436" ht="15.75" x14ac:dyDescent="0.25">
      <c r="C1282" s="20" t="s">
        <v>942</v>
      </c>
      <c r="D1282" s="21" t="s">
        <v>79</v>
      </c>
      <c r="H1282" s="11"/>
      <c r="AU1282" s="11"/>
      <c r="CH1282" s="11"/>
      <c r="CI1282" s="16"/>
      <c r="CJ1282" s="16"/>
      <c r="CK1282" s="16"/>
      <c r="CL1282" s="16"/>
      <c r="CM1282" s="16"/>
      <c r="CN1282" s="16"/>
      <c r="CO1282" s="16"/>
      <c r="CP1282" s="16"/>
      <c r="CQ1282" s="16"/>
      <c r="CR1282" s="16"/>
      <c r="CS1282" s="16"/>
      <c r="CT1282" s="16"/>
      <c r="CU1282" s="16"/>
      <c r="CV1282" s="16"/>
      <c r="CW1282" s="16"/>
      <c r="CX1282" s="16"/>
      <c r="CY1282" s="16"/>
      <c r="CZ1282" s="16"/>
      <c r="DA1282" s="16"/>
      <c r="DB1282" s="16"/>
      <c r="DC1282" s="16"/>
      <c r="DD1282" s="16"/>
      <c r="DE1282" s="17"/>
      <c r="DF1282" s="17"/>
      <c r="DG1282" s="16"/>
      <c r="DH1282" s="16"/>
      <c r="DI1282" s="18">
        <v>2</v>
      </c>
      <c r="DJ1282" s="18">
        <v>2</v>
      </c>
      <c r="DK1282" s="16"/>
      <c r="DL1282" s="16"/>
      <c r="DM1282" s="17"/>
      <c r="DN1282" s="17"/>
      <c r="DO1282" s="16"/>
      <c r="DP1282" s="16"/>
      <c r="DQ1282" s="17"/>
      <c r="DR1282" s="17"/>
      <c r="DS1282" s="16"/>
      <c r="DT1282" s="16"/>
      <c r="DU1282" s="17"/>
      <c r="DV1282" s="17"/>
      <c r="DW1282" s="16"/>
      <c r="DX1282" s="16"/>
      <c r="DY1282" s="17"/>
      <c r="DZ1282" s="17"/>
      <c r="EA1282" s="16"/>
      <c r="EB1282" s="16"/>
      <c r="EC1282" s="17"/>
      <c r="ED1282" s="17"/>
      <c r="EE1282" s="16"/>
      <c r="EF1282" s="16"/>
      <c r="EG1282" s="17"/>
      <c r="EH1282" s="17"/>
      <c r="EI1282" s="16"/>
      <c r="EJ1282" s="16"/>
      <c r="EK1282" s="17"/>
      <c r="EL1282" s="17"/>
      <c r="EM1282" s="16"/>
      <c r="EN1282" s="16"/>
      <c r="EO1282" s="17"/>
      <c r="EP1282" s="17"/>
      <c r="EQ1282" s="16"/>
      <c r="ER1282" s="16"/>
      <c r="ES1282" s="17"/>
      <c r="ET1282" s="17"/>
      <c r="EU1282" s="16"/>
      <c r="EV1282" s="16"/>
      <c r="EW1282" s="17"/>
      <c r="EX1282" s="17"/>
      <c r="EY1282" s="16"/>
      <c r="EZ1282" s="16"/>
      <c r="FA1282" s="17"/>
      <c r="FB1282" s="17"/>
      <c r="FC1282" s="16"/>
      <c r="FD1282" s="16"/>
      <c r="FE1282" s="17"/>
      <c r="FF1282" s="17"/>
      <c r="FG1282" s="11"/>
      <c r="GT1282" s="11"/>
      <c r="IG1282" s="11"/>
      <c r="JT1282" s="11"/>
      <c r="LG1282" s="11"/>
      <c r="MT1282" s="11"/>
      <c r="OG1282" s="11"/>
      <c r="PT1282" s="11"/>
    </row>
    <row r="1283" spans="1:436" ht="15.75" x14ac:dyDescent="0.25">
      <c r="C1283" s="20" t="s">
        <v>943</v>
      </c>
      <c r="D1283" s="21" t="s">
        <v>82</v>
      </c>
      <c r="H1283" s="11"/>
      <c r="AU1283" s="11"/>
      <c r="CH1283" s="11"/>
      <c r="CI1283" s="16"/>
      <c r="CJ1283" s="16"/>
      <c r="CK1283" s="16"/>
      <c r="CL1283" s="16"/>
      <c r="CM1283" s="16"/>
      <c r="CN1283" s="16"/>
      <c r="CO1283" s="16"/>
      <c r="CP1283" s="16"/>
      <c r="CQ1283" s="16"/>
      <c r="CR1283" s="16"/>
      <c r="CS1283" s="16"/>
      <c r="CT1283" s="16"/>
      <c r="CU1283" s="16"/>
      <c r="CV1283" s="16"/>
      <c r="CW1283" s="16"/>
      <c r="CX1283" s="16"/>
      <c r="CY1283" s="16"/>
      <c r="CZ1283" s="16"/>
      <c r="DA1283" s="16"/>
      <c r="DB1283" s="16"/>
      <c r="DC1283" s="16"/>
      <c r="DD1283" s="16"/>
      <c r="DE1283" s="17"/>
      <c r="DF1283" s="17"/>
      <c r="DG1283" s="16"/>
      <c r="DH1283" s="16"/>
      <c r="DI1283" s="17"/>
      <c r="DJ1283" s="17"/>
      <c r="DK1283" s="16"/>
      <c r="DL1283" s="16"/>
      <c r="DM1283" s="17"/>
      <c r="DN1283" s="17"/>
      <c r="DO1283" s="16"/>
      <c r="DP1283" s="16"/>
      <c r="DQ1283" s="17"/>
      <c r="DR1283" s="17"/>
      <c r="DS1283" s="16"/>
      <c r="DT1283" s="16"/>
      <c r="DU1283" s="17"/>
      <c r="DV1283" s="17"/>
      <c r="DW1283" s="16"/>
      <c r="DX1283" s="16"/>
      <c r="DY1283" s="17"/>
      <c r="DZ1283" s="17"/>
      <c r="EA1283" s="16"/>
      <c r="EB1283" s="16"/>
      <c r="EC1283" s="17"/>
      <c r="ED1283" s="17"/>
      <c r="EE1283" s="16"/>
      <c r="EF1283" s="16"/>
      <c r="EG1283" s="17"/>
      <c r="EH1283" s="17"/>
      <c r="EI1283" s="16"/>
      <c r="EJ1283" s="16"/>
      <c r="EK1283" s="17"/>
      <c r="EL1283" s="17"/>
      <c r="EM1283" s="16"/>
      <c r="EN1283" s="16"/>
      <c r="EO1283" s="17"/>
      <c r="EP1283" s="17"/>
      <c r="EQ1283" s="16"/>
      <c r="ER1283" s="16"/>
      <c r="ES1283" s="17"/>
      <c r="ET1283" s="17"/>
      <c r="EU1283" s="16"/>
      <c r="EV1283" s="16"/>
      <c r="EW1283" s="17"/>
      <c r="EX1283" s="17"/>
      <c r="EY1283" s="16"/>
      <c r="EZ1283" s="16"/>
      <c r="FA1283" s="17"/>
      <c r="FB1283" s="17"/>
      <c r="FC1283" s="16"/>
      <c r="FD1283" s="16"/>
      <c r="FE1283" s="17"/>
      <c r="FF1283" s="17"/>
      <c r="FG1283" s="11"/>
      <c r="GT1283" s="11"/>
      <c r="IG1283" s="11"/>
      <c r="JT1283" s="11"/>
      <c r="LG1283" s="11"/>
      <c r="MT1283" s="11"/>
      <c r="OG1283" s="11"/>
      <c r="PT1283" s="11"/>
    </row>
    <row r="1284" spans="1:436" ht="15.75" x14ac:dyDescent="0.25">
      <c r="C1284" s="20" t="s">
        <v>944</v>
      </c>
      <c r="D1284" s="21" t="s">
        <v>90</v>
      </c>
      <c r="H1284" s="11"/>
      <c r="AU1284" s="11"/>
      <c r="CH1284" s="11"/>
      <c r="CI1284" s="16"/>
      <c r="CJ1284" s="16"/>
      <c r="CK1284" s="16"/>
      <c r="CL1284" s="16"/>
      <c r="CM1284" s="16"/>
      <c r="CN1284" s="16"/>
      <c r="CO1284" s="16"/>
      <c r="CP1284" s="16"/>
      <c r="CQ1284" s="16"/>
      <c r="CR1284" s="16"/>
      <c r="CS1284" s="16"/>
      <c r="CT1284" s="16"/>
      <c r="CU1284" s="16"/>
      <c r="CV1284" s="16"/>
      <c r="CW1284" s="16"/>
      <c r="CX1284" s="16"/>
      <c r="CY1284" s="16"/>
      <c r="CZ1284" s="16"/>
      <c r="DA1284" s="16"/>
      <c r="DB1284" s="16"/>
      <c r="DC1284" s="16"/>
      <c r="DD1284" s="16"/>
      <c r="DE1284" s="17"/>
      <c r="DF1284" s="17"/>
      <c r="DG1284" s="16"/>
      <c r="DH1284" s="16"/>
      <c r="DI1284" s="17"/>
      <c r="DJ1284" s="17"/>
      <c r="DK1284" s="16"/>
      <c r="DL1284" s="16"/>
      <c r="DM1284" s="17"/>
      <c r="DN1284" s="17"/>
      <c r="DO1284" s="16"/>
      <c r="DP1284" s="16"/>
      <c r="DQ1284" s="17"/>
      <c r="DR1284" s="17"/>
      <c r="DS1284" s="16"/>
      <c r="DT1284" s="16"/>
      <c r="DU1284" s="17"/>
      <c r="DV1284" s="17"/>
      <c r="DW1284" s="16"/>
      <c r="DX1284" s="16"/>
      <c r="DY1284" s="17"/>
      <c r="DZ1284" s="17"/>
      <c r="EA1284" s="16"/>
      <c r="EB1284" s="16"/>
      <c r="EC1284" s="17"/>
      <c r="ED1284" s="17"/>
      <c r="EE1284" s="16"/>
      <c r="EF1284" s="16"/>
      <c r="EG1284" s="17"/>
      <c r="EH1284" s="17"/>
      <c r="EI1284" s="16"/>
      <c r="EJ1284" s="16"/>
      <c r="EK1284" s="17"/>
      <c r="EL1284" s="17"/>
      <c r="EM1284" s="16"/>
      <c r="EN1284" s="16"/>
      <c r="EO1284" s="17"/>
      <c r="EP1284" s="17"/>
      <c r="EQ1284" s="16"/>
      <c r="ER1284" s="16"/>
      <c r="ES1284" s="17"/>
      <c r="ET1284" s="17"/>
      <c r="EU1284" s="16"/>
      <c r="EV1284" s="16"/>
      <c r="EW1284" s="17"/>
      <c r="EX1284" s="17"/>
      <c r="EY1284" s="16"/>
      <c r="EZ1284" s="16"/>
      <c r="FA1284" s="17"/>
      <c r="FB1284" s="17"/>
      <c r="FC1284" s="16"/>
      <c r="FD1284" s="16"/>
      <c r="FE1284" s="17"/>
      <c r="FF1284" s="17"/>
      <c r="FG1284" s="11"/>
      <c r="GT1284" s="11"/>
      <c r="IG1284" s="11"/>
      <c r="JT1284" s="11"/>
      <c r="LG1284" s="11"/>
      <c r="MT1284" s="11"/>
      <c r="OG1284" s="11"/>
      <c r="PT1284" s="11"/>
    </row>
    <row r="1285" spans="1:436" ht="15.75" x14ac:dyDescent="0.25">
      <c r="C1285" s="20" t="s">
        <v>943</v>
      </c>
      <c r="D1285" s="21" t="s">
        <v>82</v>
      </c>
      <c r="H1285" s="11"/>
      <c r="AU1285" s="11"/>
      <c r="CH1285" s="11"/>
      <c r="CI1285" s="16"/>
      <c r="CJ1285" s="16"/>
      <c r="CK1285" s="16"/>
      <c r="CL1285" s="16"/>
      <c r="CM1285" s="16"/>
      <c r="CN1285" s="16"/>
      <c r="CO1285" s="16"/>
      <c r="CP1285" s="16"/>
      <c r="CQ1285" s="16"/>
      <c r="CR1285" s="16"/>
      <c r="CS1285" s="16"/>
      <c r="CT1285" s="16"/>
      <c r="CU1285" s="16"/>
      <c r="CV1285" s="16"/>
      <c r="CW1285" s="16"/>
      <c r="CX1285" s="16"/>
      <c r="CY1285" s="16"/>
      <c r="CZ1285" s="16"/>
      <c r="DA1285" s="16"/>
      <c r="DB1285" s="16"/>
      <c r="DC1285" s="16"/>
      <c r="DD1285" s="16"/>
      <c r="DE1285" s="17"/>
      <c r="DF1285" s="17"/>
      <c r="DG1285" s="16"/>
      <c r="DH1285" s="16"/>
      <c r="DI1285" s="17"/>
      <c r="DJ1285" s="17"/>
      <c r="DK1285" s="16"/>
      <c r="DL1285" s="16"/>
      <c r="DM1285" s="17"/>
      <c r="DN1285" s="17"/>
      <c r="DO1285" s="16"/>
      <c r="DP1285" s="16"/>
      <c r="DQ1285" s="17"/>
      <c r="DR1285" s="17"/>
      <c r="DS1285" s="16"/>
      <c r="DT1285" s="16"/>
      <c r="DU1285" s="17"/>
      <c r="DV1285" s="17"/>
      <c r="DW1285" s="16"/>
      <c r="DX1285" s="16"/>
      <c r="DY1285" s="17"/>
      <c r="DZ1285" s="17"/>
      <c r="EA1285" s="16"/>
      <c r="EB1285" s="16"/>
      <c r="EC1285" s="17"/>
      <c r="ED1285" s="17"/>
      <c r="EE1285" s="16"/>
      <c r="EF1285" s="16"/>
      <c r="EG1285" s="17"/>
      <c r="EH1285" s="17"/>
      <c r="EI1285" s="16"/>
      <c r="EJ1285" s="16"/>
      <c r="EK1285" s="17"/>
      <c r="EL1285" s="17"/>
      <c r="EM1285" s="16"/>
      <c r="EN1285" s="16"/>
      <c r="EO1285" s="17"/>
      <c r="EP1285" s="17"/>
      <c r="EQ1285" s="16"/>
      <c r="ER1285" s="16"/>
      <c r="ES1285" s="17"/>
      <c r="ET1285" s="17"/>
      <c r="EU1285" s="16"/>
      <c r="EV1285" s="16"/>
      <c r="EW1285" s="17"/>
      <c r="EX1285" s="17"/>
      <c r="EY1285" s="16"/>
      <c r="EZ1285" s="16"/>
      <c r="FA1285" s="17"/>
      <c r="FB1285" s="17"/>
      <c r="FC1285" s="16"/>
      <c r="FD1285" s="16"/>
      <c r="FE1285" s="17"/>
      <c r="FF1285" s="17"/>
      <c r="FG1285" s="11"/>
      <c r="GT1285" s="11"/>
      <c r="IG1285" s="11"/>
      <c r="JT1285" s="11"/>
      <c r="LG1285" s="11"/>
      <c r="MT1285" s="11"/>
      <c r="OG1285" s="11"/>
      <c r="PT1285" s="11"/>
    </row>
    <row r="1286" spans="1:436" ht="15.75" x14ac:dyDescent="0.25">
      <c r="C1286" s="20" t="s">
        <v>944</v>
      </c>
      <c r="D1286" s="21" t="s">
        <v>90</v>
      </c>
      <c r="H1286" s="11"/>
      <c r="AU1286" s="11"/>
      <c r="CH1286" s="11"/>
      <c r="CI1286" s="16"/>
      <c r="CJ1286" s="16"/>
      <c r="CK1286" s="16"/>
      <c r="CL1286" s="16"/>
      <c r="CM1286" s="16"/>
      <c r="CN1286" s="16"/>
      <c r="CO1286" s="16"/>
      <c r="CP1286" s="16"/>
      <c r="CQ1286" s="16"/>
      <c r="CR1286" s="16"/>
      <c r="CS1286" s="16"/>
      <c r="CT1286" s="16"/>
      <c r="CU1286" s="16"/>
      <c r="CV1286" s="16"/>
      <c r="CW1286" s="16"/>
      <c r="CX1286" s="16"/>
      <c r="CY1286" s="16"/>
      <c r="CZ1286" s="16"/>
      <c r="DA1286" s="16"/>
      <c r="DB1286" s="16"/>
      <c r="DC1286" s="16"/>
      <c r="DD1286" s="16"/>
      <c r="DE1286" s="17"/>
      <c r="DF1286" s="17"/>
      <c r="DG1286" s="16"/>
      <c r="DH1286" s="16"/>
      <c r="DI1286" s="17"/>
      <c r="DJ1286" s="17"/>
      <c r="DK1286" s="16"/>
      <c r="DL1286" s="16"/>
      <c r="DM1286" s="17"/>
      <c r="DN1286" s="17"/>
      <c r="DO1286" s="16"/>
      <c r="DP1286" s="16"/>
      <c r="DQ1286" s="17"/>
      <c r="DR1286" s="17"/>
      <c r="DS1286" s="16"/>
      <c r="DT1286" s="16"/>
      <c r="DU1286" s="17"/>
      <c r="DV1286" s="17"/>
      <c r="DW1286" s="16"/>
      <c r="DX1286" s="16"/>
      <c r="DY1286" s="17"/>
      <c r="DZ1286" s="17"/>
      <c r="EA1286" s="16"/>
      <c r="EB1286" s="16"/>
      <c r="EC1286" s="17"/>
      <c r="ED1286" s="17"/>
      <c r="EE1286" s="16"/>
      <c r="EF1286" s="16"/>
      <c r="EG1286" s="17"/>
      <c r="EH1286" s="17"/>
      <c r="EI1286" s="16"/>
      <c r="EJ1286" s="16"/>
      <c r="EK1286" s="17"/>
      <c r="EL1286" s="17"/>
      <c r="EM1286" s="16"/>
      <c r="EN1286" s="16"/>
      <c r="EO1286" s="17"/>
      <c r="EP1286" s="17"/>
      <c r="EQ1286" s="16"/>
      <c r="ER1286" s="16"/>
      <c r="ES1286" s="17"/>
      <c r="ET1286" s="17"/>
      <c r="EU1286" s="16"/>
      <c r="EV1286" s="16"/>
      <c r="EW1286" s="17"/>
      <c r="EX1286" s="17"/>
      <c r="EY1286" s="16"/>
      <c r="EZ1286" s="16"/>
      <c r="FA1286" s="17"/>
      <c r="FB1286" s="17"/>
      <c r="FC1286" s="16"/>
      <c r="FD1286" s="16"/>
      <c r="FE1286" s="17"/>
      <c r="FF1286" s="17"/>
      <c r="FG1286" s="11"/>
      <c r="GT1286" s="11"/>
      <c r="IG1286" s="11"/>
      <c r="JT1286" s="11"/>
      <c r="LG1286" s="11"/>
      <c r="MT1286" s="11"/>
      <c r="OG1286" s="11"/>
      <c r="PT1286" s="11"/>
    </row>
    <row r="1287" spans="1:436" ht="15.75" x14ac:dyDescent="0.25">
      <c r="C1287" s="20" t="s">
        <v>945</v>
      </c>
      <c r="D1287" s="21" t="s">
        <v>129</v>
      </c>
      <c r="H1287" s="11"/>
      <c r="AU1287" s="11"/>
      <c r="CH1287" s="11"/>
      <c r="CI1287" s="16"/>
      <c r="CJ1287" s="16"/>
      <c r="CK1287" s="16"/>
      <c r="CL1287" s="16"/>
      <c r="CM1287" s="16"/>
      <c r="CN1287" s="16"/>
      <c r="CO1287" s="16"/>
      <c r="CP1287" s="16"/>
      <c r="CQ1287" s="16"/>
      <c r="CR1287" s="16"/>
      <c r="CS1287" s="16"/>
      <c r="CT1287" s="16"/>
      <c r="CU1287" s="16"/>
      <c r="CV1287" s="16"/>
      <c r="CW1287" s="16"/>
      <c r="CX1287" s="16"/>
      <c r="CY1287" s="16"/>
      <c r="CZ1287" s="16"/>
      <c r="DA1287" s="16"/>
      <c r="DB1287" s="16"/>
      <c r="DC1287" s="16"/>
      <c r="DD1287" s="16"/>
      <c r="DE1287" s="17"/>
      <c r="DF1287" s="17"/>
      <c r="DG1287" s="16"/>
      <c r="DH1287" s="16"/>
      <c r="DI1287" s="17"/>
      <c r="DJ1287" s="17"/>
      <c r="DK1287" s="16"/>
      <c r="DL1287" s="16"/>
      <c r="DM1287" s="17"/>
      <c r="DN1287" s="17"/>
      <c r="DO1287" s="16"/>
      <c r="DP1287" s="16"/>
      <c r="DQ1287" s="17"/>
      <c r="DR1287" s="17"/>
      <c r="DS1287" s="16"/>
      <c r="DT1287" s="16"/>
      <c r="DU1287" s="17"/>
      <c r="DV1287" s="17"/>
      <c r="DW1287" s="16"/>
      <c r="DX1287" s="16"/>
      <c r="DY1287" s="17"/>
      <c r="DZ1287" s="17"/>
      <c r="EA1287" s="16"/>
      <c r="EB1287" s="16"/>
      <c r="EC1287" s="17"/>
      <c r="ED1287" s="17"/>
      <c r="EE1287" s="16"/>
      <c r="EF1287" s="16"/>
      <c r="EG1287" s="17"/>
      <c r="EH1287" s="17"/>
      <c r="EI1287" s="16"/>
      <c r="EJ1287" s="16"/>
      <c r="EK1287" s="17"/>
      <c r="EL1287" s="17"/>
      <c r="EM1287" s="16"/>
      <c r="EN1287" s="16"/>
      <c r="EO1287" s="17"/>
      <c r="EP1287" s="17"/>
      <c r="EQ1287" s="16"/>
      <c r="ER1287" s="16"/>
      <c r="ES1287" s="17"/>
      <c r="ET1287" s="17"/>
      <c r="EU1287" s="16"/>
      <c r="EV1287" s="16"/>
      <c r="EW1287" s="17"/>
      <c r="EX1287" s="17"/>
      <c r="EY1287" s="16"/>
      <c r="EZ1287" s="16"/>
      <c r="FA1287" s="17"/>
      <c r="FB1287" s="17"/>
      <c r="FC1287" s="16"/>
      <c r="FD1287" s="16"/>
      <c r="FE1287" s="17"/>
      <c r="FF1287" s="17"/>
      <c r="FG1287" s="11"/>
      <c r="GT1287" s="11"/>
      <c r="IG1287" s="11"/>
      <c r="JT1287" s="11"/>
      <c r="LG1287" s="11"/>
      <c r="MT1287" s="11"/>
      <c r="OG1287" s="11"/>
      <c r="PT1287" s="11"/>
    </row>
    <row r="1288" spans="1:436" ht="15.75" x14ac:dyDescent="0.25">
      <c r="C1288" s="20" t="s">
        <v>946</v>
      </c>
      <c r="D1288" s="21" t="s">
        <v>129</v>
      </c>
      <c r="H1288" s="11"/>
      <c r="AU1288" s="11"/>
      <c r="CH1288" s="11"/>
      <c r="CI1288" s="16"/>
      <c r="CJ1288" s="16"/>
      <c r="CK1288" s="16"/>
      <c r="CL1288" s="16"/>
      <c r="CM1288" s="16"/>
      <c r="CN1288" s="16"/>
      <c r="CO1288" s="16"/>
      <c r="CP1288" s="16"/>
      <c r="CQ1288" s="16"/>
      <c r="CR1288" s="16"/>
      <c r="CS1288" s="16"/>
      <c r="CT1288" s="16"/>
      <c r="CU1288" s="16"/>
      <c r="CV1288" s="16"/>
      <c r="CW1288" s="16"/>
      <c r="CX1288" s="16"/>
      <c r="CY1288" s="16"/>
      <c r="CZ1288" s="16"/>
      <c r="DA1288" s="16"/>
      <c r="DB1288" s="16"/>
      <c r="DC1288" s="16"/>
      <c r="DD1288" s="16"/>
      <c r="DE1288" s="17"/>
      <c r="DF1288" s="17"/>
      <c r="DG1288" s="16"/>
      <c r="DH1288" s="16"/>
      <c r="DI1288" s="17"/>
      <c r="DJ1288" s="17"/>
      <c r="DK1288" s="16"/>
      <c r="DL1288" s="16"/>
      <c r="DM1288" s="17"/>
      <c r="DN1288" s="17"/>
      <c r="DO1288" s="16"/>
      <c r="DP1288" s="16"/>
      <c r="DQ1288" s="17"/>
      <c r="DR1288" s="17"/>
      <c r="DS1288" s="16"/>
      <c r="DT1288" s="16"/>
      <c r="DU1288" s="17"/>
      <c r="DV1288" s="17"/>
      <c r="DW1288" s="16"/>
      <c r="DX1288" s="16"/>
      <c r="DY1288" s="17"/>
      <c r="DZ1288" s="17"/>
      <c r="EA1288" s="16"/>
      <c r="EB1288" s="16"/>
      <c r="EC1288" s="17"/>
      <c r="ED1288" s="17"/>
      <c r="EE1288" s="16"/>
      <c r="EF1288" s="16"/>
      <c r="EG1288" s="17"/>
      <c r="EH1288" s="17"/>
      <c r="EI1288" s="16"/>
      <c r="EJ1288" s="16"/>
      <c r="EK1288" s="17"/>
      <c r="EL1288" s="17"/>
      <c r="EM1288" s="16"/>
      <c r="EN1288" s="16"/>
      <c r="EO1288" s="17"/>
      <c r="EP1288" s="17"/>
      <c r="EQ1288" s="16"/>
      <c r="ER1288" s="16"/>
      <c r="ES1288" s="17"/>
      <c r="ET1288" s="17"/>
      <c r="EU1288" s="16"/>
      <c r="EV1288" s="16"/>
      <c r="EW1288" s="17"/>
      <c r="EX1288" s="17"/>
      <c r="EY1288" s="16"/>
      <c r="EZ1288" s="16"/>
      <c r="FA1288" s="17"/>
      <c r="FB1288" s="17"/>
      <c r="FC1288" s="16"/>
      <c r="FD1288" s="16"/>
      <c r="FE1288" s="17"/>
      <c r="FF1288" s="17"/>
      <c r="FG1288" s="11"/>
      <c r="GT1288" s="11"/>
      <c r="IG1288" s="11"/>
      <c r="JT1288" s="11"/>
      <c r="LG1288" s="11"/>
      <c r="MT1288" s="11"/>
      <c r="OG1288" s="11"/>
      <c r="PT1288" s="11"/>
    </row>
    <row r="1289" spans="1:436" ht="15.75" x14ac:dyDescent="0.25">
      <c r="A1289" s="13"/>
      <c r="B1289" s="14" t="s">
        <v>912</v>
      </c>
      <c r="C1289" s="13"/>
      <c r="D1289" s="13"/>
      <c r="E1289" s="15" t="s">
        <v>127</v>
      </c>
      <c r="F1289" s="15" t="s">
        <v>177</v>
      </c>
      <c r="G1289" s="13"/>
      <c r="H1289" s="11"/>
      <c r="AU1289" s="11"/>
      <c r="CH1289" s="11"/>
      <c r="CI1289" s="16"/>
      <c r="CJ1289" s="16"/>
      <c r="CK1289" s="16"/>
      <c r="CL1289" s="16"/>
      <c r="CM1289" s="16"/>
      <c r="CN1289" s="16"/>
      <c r="CO1289" s="16"/>
      <c r="CP1289" s="16"/>
      <c r="CQ1289" s="16"/>
      <c r="CR1289" s="16"/>
      <c r="CS1289" s="16"/>
      <c r="CT1289" s="16"/>
      <c r="CU1289" s="16"/>
      <c r="CV1289" s="16"/>
      <c r="CW1289" s="16"/>
      <c r="CX1289" s="16"/>
      <c r="CY1289" s="16"/>
      <c r="CZ1289" s="16"/>
      <c r="DA1289" s="16"/>
      <c r="DB1289" s="16"/>
      <c r="DC1289" s="16"/>
      <c r="DD1289" s="16"/>
      <c r="DE1289" s="17"/>
      <c r="DF1289" s="17"/>
      <c r="DG1289" s="16"/>
      <c r="DH1289" s="16"/>
      <c r="DI1289" s="17"/>
      <c r="DJ1289" s="17"/>
      <c r="DK1289" s="16"/>
      <c r="DL1289" s="16"/>
      <c r="DM1289" s="17"/>
      <c r="DN1289" s="17"/>
      <c r="DO1289" s="16"/>
      <c r="DP1289" s="16"/>
      <c r="DQ1289" s="17"/>
      <c r="DR1289" s="17"/>
      <c r="DS1289" s="16"/>
      <c r="DT1289" s="16"/>
      <c r="DU1289" s="17"/>
      <c r="DV1289" s="17"/>
      <c r="DW1289" s="16"/>
      <c r="DX1289" s="19">
        <v>10</v>
      </c>
      <c r="DY1289" s="17"/>
      <c r="DZ1289" s="17"/>
      <c r="EA1289" s="16"/>
      <c r="EB1289" s="16"/>
      <c r="EC1289" s="17"/>
      <c r="ED1289" s="17"/>
      <c r="EE1289" s="16"/>
      <c r="EF1289" s="16"/>
      <c r="EG1289" s="17"/>
      <c r="EH1289" s="17"/>
      <c r="EI1289" s="16"/>
      <c r="EJ1289" s="16"/>
      <c r="EK1289" s="17"/>
      <c r="EL1289" s="17"/>
      <c r="EM1289" s="16"/>
      <c r="EN1289" s="16"/>
      <c r="EO1289" s="17"/>
      <c r="EP1289" s="17"/>
      <c r="EQ1289" s="16"/>
      <c r="ER1289" s="16"/>
      <c r="ES1289" s="17"/>
      <c r="ET1289" s="18">
        <v>20</v>
      </c>
      <c r="EU1289" s="16"/>
      <c r="EV1289" s="16"/>
      <c r="EW1289" s="17"/>
      <c r="EX1289" s="17"/>
      <c r="EY1289" s="16"/>
      <c r="EZ1289" s="16"/>
      <c r="FA1289" s="17"/>
      <c r="FB1289" s="17"/>
      <c r="FC1289" s="16"/>
      <c r="FD1289" s="16"/>
      <c r="FE1289" s="17"/>
      <c r="FF1289" s="17"/>
      <c r="FG1289" s="11"/>
      <c r="GT1289" s="11"/>
      <c r="IG1289" s="11"/>
      <c r="JT1289" s="11"/>
      <c r="LG1289" s="11"/>
      <c r="MT1289" s="11"/>
      <c r="OG1289" s="11"/>
      <c r="PT1289" s="11"/>
    </row>
    <row r="1290" spans="1:436" ht="15.75" x14ac:dyDescent="0.25">
      <c r="A1290" s="13"/>
      <c r="B1290" s="14" t="s">
        <v>947</v>
      </c>
      <c r="C1290" s="13"/>
      <c r="D1290" s="13"/>
      <c r="E1290" s="15" t="s">
        <v>127</v>
      </c>
      <c r="F1290" s="15" t="s">
        <v>177</v>
      </c>
      <c r="G1290" s="13"/>
      <c r="H1290" s="11"/>
      <c r="AU1290" s="11"/>
      <c r="CH1290" s="11"/>
      <c r="CI1290" s="16"/>
      <c r="CJ1290" s="16"/>
      <c r="CK1290" s="16"/>
      <c r="CL1290" s="16"/>
      <c r="CM1290" s="16"/>
      <c r="CN1290" s="16"/>
      <c r="CO1290" s="16"/>
      <c r="CP1290" s="16"/>
      <c r="CQ1290" s="16"/>
      <c r="CR1290" s="16"/>
      <c r="CS1290" s="16"/>
      <c r="CT1290" s="16"/>
      <c r="CU1290" s="16"/>
      <c r="CV1290" s="16"/>
      <c r="CW1290" s="16"/>
      <c r="CX1290" s="16"/>
      <c r="CY1290" s="16"/>
      <c r="CZ1290" s="16"/>
      <c r="DA1290" s="16"/>
      <c r="DB1290" s="16"/>
      <c r="DC1290" s="16"/>
      <c r="DD1290" s="16"/>
      <c r="DE1290" s="17"/>
      <c r="DF1290" s="17"/>
      <c r="DG1290" s="16"/>
      <c r="DH1290" s="16"/>
      <c r="DI1290" s="17"/>
      <c r="DJ1290" s="18">
        <v>4</v>
      </c>
      <c r="DK1290" s="16"/>
      <c r="DL1290" s="19">
        <v>2</v>
      </c>
      <c r="DM1290" s="17"/>
      <c r="DN1290" s="17"/>
      <c r="DO1290" s="16"/>
      <c r="DP1290" s="16"/>
      <c r="DQ1290" s="17"/>
      <c r="DR1290" s="18">
        <v>4</v>
      </c>
      <c r="DS1290" s="16"/>
      <c r="DT1290" s="16"/>
      <c r="DU1290" s="17"/>
      <c r="DV1290" s="17"/>
      <c r="DW1290" s="16"/>
      <c r="DX1290" s="19">
        <v>30</v>
      </c>
      <c r="DY1290" s="17"/>
      <c r="DZ1290" s="17"/>
      <c r="EA1290" s="16"/>
      <c r="EB1290" s="16"/>
      <c r="EC1290" s="17"/>
      <c r="ED1290" s="17"/>
      <c r="EE1290" s="16"/>
      <c r="EF1290" s="16"/>
      <c r="EG1290" s="17"/>
      <c r="EH1290" s="17"/>
      <c r="EI1290" s="16"/>
      <c r="EJ1290" s="16"/>
      <c r="EK1290" s="17"/>
      <c r="EL1290" s="17"/>
      <c r="EM1290" s="16"/>
      <c r="EN1290" s="16"/>
      <c r="EO1290" s="17"/>
      <c r="EP1290" s="17"/>
      <c r="EQ1290" s="16"/>
      <c r="ER1290" s="16"/>
      <c r="ES1290" s="17"/>
      <c r="ET1290" s="17"/>
      <c r="EU1290" s="16"/>
      <c r="EV1290" s="16"/>
      <c r="EW1290" s="17"/>
      <c r="EX1290" s="17"/>
      <c r="EY1290" s="16"/>
      <c r="EZ1290" s="16"/>
      <c r="FA1290" s="17"/>
      <c r="FB1290" s="17"/>
      <c r="FC1290" s="16"/>
      <c r="FD1290" s="16"/>
      <c r="FE1290" s="17"/>
      <c r="FF1290" s="17"/>
      <c r="FG1290" s="11"/>
      <c r="GT1290" s="11"/>
      <c r="IG1290" s="11"/>
      <c r="JT1290" s="11"/>
      <c r="LG1290" s="11"/>
      <c r="MT1290" s="11"/>
      <c r="OG1290" s="11"/>
      <c r="PT1290" s="11"/>
    </row>
    <row r="1291" spans="1:436" ht="15.75" x14ac:dyDescent="0.25">
      <c r="A1291" s="13"/>
      <c r="B1291" s="14" t="s">
        <v>948</v>
      </c>
      <c r="C1291" s="13"/>
      <c r="D1291" s="13"/>
      <c r="E1291" s="15" t="s">
        <v>76</v>
      </c>
      <c r="F1291" s="15" t="s">
        <v>132</v>
      </c>
      <c r="G1291" s="13"/>
      <c r="H1291" s="11"/>
      <c r="AU1291" s="11"/>
      <c r="CH1291" s="11"/>
      <c r="CI1291" s="16"/>
      <c r="CJ1291" s="16"/>
      <c r="CK1291" s="16"/>
      <c r="CL1291" s="16"/>
      <c r="CM1291" s="16"/>
      <c r="CN1291" s="16"/>
      <c r="CO1291" s="16"/>
      <c r="CP1291" s="16"/>
      <c r="CQ1291" s="16"/>
      <c r="CR1291" s="16"/>
      <c r="CS1291" s="16"/>
      <c r="CT1291" s="16"/>
      <c r="CU1291" s="16"/>
      <c r="CV1291" s="16"/>
      <c r="CW1291" s="16"/>
      <c r="CX1291" s="16"/>
      <c r="CY1291" s="16"/>
      <c r="CZ1291" s="16"/>
      <c r="DA1291" s="16"/>
      <c r="DB1291" s="16"/>
      <c r="DC1291" s="16"/>
      <c r="DD1291" s="19">
        <v>3</v>
      </c>
      <c r="DE1291" s="17"/>
      <c r="DF1291" s="17"/>
      <c r="DG1291" s="16"/>
      <c r="DH1291" s="16"/>
      <c r="DI1291" s="17"/>
      <c r="DJ1291" s="18">
        <v>4</v>
      </c>
      <c r="DK1291" s="16"/>
      <c r="DL1291" s="16"/>
      <c r="DM1291" s="17"/>
      <c r="DN1291" s="17"/>
      <c r="DO1291" s="16"/>
      <c r="DP1291" s="16"/>
      <c r="DQ1291" s="17"/>
      <c r="DR1291" s="18">
        <v>7</v>
      </c>
      <c r="DS1291" s="16"/>
      <c r="DT1291" s="16"/>
      <c r="DU1291" s="17"/>
      <c r="DV1291" s="17"/>
      <c r="DW1291" s="16"/>
      <c r="DX1291" s="19">
        <v>20</v>
      </c>
      <c r="DY1291" s="17"/>
      <c r="DZ1291" s="17"/>
      <c r="EA1291" s="16"/>
      <c r="EB1291" s="16"/>
      <c r="EC1291" s="17"/>
      <c r="ED1291" s="17"/>
      <c r="EE1291" s="16"/>
      <c r="EF1291" s="16"/>
      <c r="EG1291" s="17"/>
      <c r="EH1291" s="17"/>
      <c r="EI1291" s="16"/>
      <c r="EJ1291" s="16"/>
      <c r="EK1291" s="17"/>
      <c r="EL1291" s="17"/>
      <c r="EM1291" s="16"/>
      <c r="EN1291" s="16"/>
      <c r="EO1291" s="17"/>
      <c r="EP1291" s="17"/>
      <c r="EQ1291" s="16"/>
      <c r="ER1291" s="16"/>
      <c r="ES1291" s="17"/>
      <c r="ET1291" s="17"/>
      <c r="EU1291" s="16"/>
      <c r="EV1291" s="16"/>
      <c r="EW1291" s="17"/>
      <c r="EX1291" s="17"/>
      <c r="EY1291" s="16"/>
      <c r="EZ1291" s="16"/>
      <c r="FA1291" s="17"/>
      <c r="FB1291" s="17"/>
      <c r="FC1291" s="16"/>
      <c r="FD1291" s="16"/>
      <c r="FE1291" s="17"/>
      <c r="FF1291" s="17"/>
      <c r="FG1291" s="11"/>
      <c r="GT1291" s="11"/>
      <c r="IG1291" s="11"/>
      <c r="JT1291" s="11"/>
      <c r="LG1291" s="11"/>
      <c r="MT1291" s="11"/>
      <c r="OG1291" s="11"/>
      <c r="PT1291" s="11"/>
    </row>
    <row r="1292" spans="1:436" ht="15.75" x14ac:dyDescent="0.25">
      <c r="C1292" s="20" t="s">
        <v>949</v>
      </c>
      <c r="D1292" s="21" t="s">
        <v>79</v>
      </c>
      <c r="H1292" s="11"/>
      <c r="AU1292" s="11"/>
      <c r="CH1292" s="11"/>
      <c r="CI1292" s="16"/>
      <c r="CJ1292" s="16"/>
      <c r="CK1292" s="16"/>
      <c r="CL1292" s="16"/>
      <c r="CM1292" s="16"/>
      <c r="CN1292" s="16"/>
      <c r="CO1292" s="16"/>
      <c r="CP1292" s="16"/>
      <c r="CQ1292" s="16"/>
      <c r="CR1292" s="16"/>
      <c r="CS1292" s="16"/>
      <c r="CT1292" s="16"/>
      <c r="CU1292" s="16"/>
      <c r="CV1292" s="16"/>
      <c r="CW1292" s="16"/>
      <c r="CX1292" s="16"/>
      <c r="CY1292" s="16"/>
      <c r="CZ1292" s="16"/>
      <c r="DA1292" s="16"/>
      <c r="DB1292" s="16"/>
      <c r="DC1292" s="16"/>
      <c r="DD1292" s="16"/>
      <c r="DE1292" s="17"/>
      <c r="DF1292" s="17"/>
      <c r="DG1292" s="16"/>
      <c r="DH1292" s="16"/>
      <c r="DI1292" s="18">
        <v>2</v>
      </c>
      <c r="DJ1292" s="18">
        <v>3</v>
      </c>
      <c r="DK1292" s="16"/>
      <c r="DL1292" s="16"/>
      <c r="DM1292" s="17"/>
      <c r="DN1292" s="17"/>
      <c r="DO1292" s="16"/>
      <c r="DP1292" s="16"/>
      <c r="DQ1292" s="17"/>
      <c r="DR1292" s="17"/>
      <c r="DS1292" s="16"/>
      <c r="DT1292" s="16"/>
      <c r="DU1292" s="17"/>
      <c r="DV1292" s="17"/>
      <c r="DW1292" s="16"/>
      <c r="DX1292" s="16"/>
      <c r="DY1292" s="17"/>
      <c r="DZ1292" s="17"/>
      <c r="EA1292" s="16"/>
      <c r="EB1292" s="16"/>
      <c r="EC1292" s="17"/>
      <c r="ED1292" s="17"/>
      <c r="EE1292" s="16"/>
      <c r="EF1292" s="16"/>
      <c r="EG1292" s="17"/>
      <c r="EH1292" s="17"/>
      <c r="EI1292" s="16"/>
      <c r="EJ1292" s="16"/>
      <c r="EK1292" s="17"/>
      <c r="EL1292" s="17"/>
      <c r="EM1292" s="16"/>
      <c r="EN1292" s="16"/>
      <c r="EO1292" s="17"/>
      <c r="EP1292" s="17"/>
      <c r="EQ1292" s="16"/>
      <c r="ER1292" s="16"/>
      <c r="ES1292" s="17"/>
      <c r="ET1292" s="17"/>
      <c r="EU1292" s="16"/>
      <c r="EV1292" s="16"/>
      <c r="EW1292" s="17"/>
      <c r="EX1292" s="17"/>
      <c r="EY1292" s="16"/>
      <c r="EZ1292" s="16"/>
      <c r="FA1292" s="17"/>
      <c r="FB1292" s="17"/>
      <c r="FC1292" s="16"/>
      <c r="FD1292" s="16"/>
      <c r="FE1292" s="17"/>
      <c r="FF1292" s="17"/>
      <c r="FG1292" s="11"/>
      <c r="GT1292" s="11"/>
      <c r="IG1292" s="11"/>
      <c r="JT1292" s="11"/>
      <c r="LG1292" s="11"/>
      <c r="MT1292" s="11"/>
      <c r="OG1292" s="11"/>
      <c r="PT1292" s="11"/>
    </row>
    <row r="1293" spans="1:436" ht="15.75" x14ac:dyDescent="0.25">
      <c r="C1293" s="20" t="s">
        <v>950</v>
      </c>
      <c r="D1293" s="21" t="s">
        <v>79</v>
      </c>
      <c r="H1293" s="11"/>
      <c r="AU1293" s="11"/>
      <c r="CH1293" s="11"/>
      <c r="CI1293" s="16"/>
      <c r="CJ1293" s="16"/>
      <c r="CK1293" s="16"/>
      <c r="CL1293" s="16"/>
      <c r="CM1293" s="16"/>
      <c r="CN1293" s="16"/>
      <c r="CO1293" s="16"/>
      <c r="CP1293" s="16"/>
      <c r="CQ1293" s="16"/>
      <c r="CR1293" s="16"/>
      <c r="CS1293" s="16"/>
      <c r="CT1293" s="16"/>
      <c r="CU1293" s="16"/>
      <c r="CV1293" s="16"/>
      <c r="CW1293" s="16"/>
      <c r="CX1293" s="16"/>
      <c r="CY1293" s="16"/>
      <c r="CZ1293" s="16"/>
      <c r="DA1293" s="16"/>
      <c r="DB1293" s="16"/>
      <c r="DC1293" s="16"/>
      <c r="DD1293" s="16"/>
      <c r="DE1293" s="17"/>
      <c r="DF1293" s="17"/>
      <c r="DG1293" s="16"/>
      <c r="DH1293" s="16"/>
      <c r="DI1293" s="17"/>
      <c r="DJ1293" s="17"/>
      <c r="DK1293" s="16"/>
      <c r="DL1293" s="16"/>
      <c r="DM1293" s="17"/>
      <c r="DN1293" s="17"/>
      <c r="DO1293" s="16"/>
      <c r="DP1293" s="16"/>
      <c r="DQ1293" s="17"/>
      <c r="DR1293" s="17"/>
      <c r="DS1293" s="16"/>
      <c r="DT1293" s="16"/>
      <c r="DU1293" s="17"/>
      <c r="DV1293" s="17"/>
      <c r="DW1293" s="16"/>
      <c r="DX1293" s="16"/>
      <c r="DY1293" s="17"/>
      <c r="DZ1293" s="17"/>
      <c r="EA1293" s="16"/>
      <c r="EB1293" s="16"/>
      <c r="EC1293" s="17"/>
      <c r="ED1293" s="17"/>
      <c r="EE1293" s="16"/>
      <c r="EF1293" s="16"/>
      <c r="EG1293" s="17"/>
      <c r="EH1293" s="17"/>
      <c r="EI1293" s="16"/>
      <c r="EJ1293" s="16"/>
      <c r="EK1293" s="17"/>
      <c r="EL1293" s="17"/>
      <c r="EM1293" s="16"/>
      <c r="EN1293" s="16"/>
      <c r="EO1293" s="17"/>
      <c r="EP1293" s="17"/>
      <c r="EQ1293" s="16"/>
      <c r="ER1293" s="16"/>
      <c r="ES1293" s="17"/>
      <c r="ET1293" s="17"/>
      <c r="EU1293" s="16"/>
      <c r="EV1293" s="16"/>
      <c r="EW1293" s="17"/>
      <c r="EX1293" s="17"/>
      <c r="EY1293" s="16"/>
      <c r="EZ1293" s="16"/>
      <c r="FA1293" s="17"/>
      <c r="FB1293" s="17"/>
      <c r="FC1293" s="16"/>
      <c r="FD1293" s="16"/>
      <c r="FE1293" s="17"/>
      <c r="FF1293" s="17"/>
      <c r="FG1293" s="11"/>
      <c r="GT1293" s="11"/>
      <c r="IG1293" s="11"/>
      <c r="JT1293" s="11"/>
      <c r="LG1293" s="11"/>
      <c r="MT1293" s="11"/>
      <c r="OG1293" s="11"/>
      <c r="PT1293" s="11"/>
    </row>
    <row r="1294" spans="1:436" ht="15.75" x14ac:dyDescent="0.25">
      <c r="C1294" s="20" t="s">
        <v>951</v>
      </c>
      <c r="D1294" s="21" t="s">
        <v>146</v>
      </c>
      <c r="H1294" s="11"/>
      <c r="AU1294" s="11"/>
      <c r="CH1294" s="11"/>
      <c r="CI1294" s="16"/>
      <c r="CJ1294" s="16"/>
      <c r="CK1294" s="16"/>
      <c r="CL1294" s="16"/>
      <c r="CM1294" s="16"/>
      <c r="CN1294" s="16"/>
      <c r="CO1294" s="16"/>
      <c r="CP1294" s="16"/>
      <c r="CQ1294" s="16"/>
      <c r="CR1294" s="16"/>
      <c r="CS1294" s="16"/>
      <c r="CT1294" s="16"/>
      <c r="CU1294" s="16"/>
      <c r="CV1294" s="16"/>
      <c r="CW1294" s="16"/>
      <c r="CX1294" s="16"/>
      <c r="CY1294" s="16"/>
      <c r="CZ1294" s="16"/>
      <c r="DA1294" s="16"/>
      <c r="DB1294" s="16"/>
      <c r="DC1294" s="16"/>
      <c r="DD1294" s="16"/>
      <c r="DE1294" s="17"/>
      <c r="DF1294" s="17"/>
      <c r="DG1294" s="16"/>
      <c r="DH1294" s="16"/>
      <c r="DI1294" s="17"/>
      <c r="DJ1294" s="17"/>
      <c r="DK1294" s="16"/>
      <c r="DL1294" s="16"/>
      <c r="DM1294" s="17"/>
      <c r="DN1294" s="17"/>
      <c r="DO1294" s="16"/>
      <c r="DP1294" s="16"/>
      <c r="DQ1294" s="18">
        <v>1</v>
      </c>
      <c r="DR1294" s="18">
        <v>1</v>
      </c>
      <c r="DS1294" s="16"/>
      <c r="DT1294" s="16"/>
      <c r="DU1294" s="17"/>
      <c r="DV1294" s="17"/>
      <c r="DW1294" s="16"/>
      <c r="DX1294" s="16"/>
      <c r="DY1294" s="17"/>
      <c r="DZ1294" s="17"/>
      <c r="EA1294" s="16"/>
      <c r="EB1294" s="16"/>
      <c r="EC1294" s="17"/>
      <c r="ED1294" s="17"/>
      <c r="EE1294" s="16"/>
      <c r="EF1294" s="16"/>
      <c r="EG1294" s="17"/>
      <c r="EH1294" s="17"/>
      <c r="EI1294" s="16"/>
      <c r="EJ1294" s="16"/>
      <c r="EK1294" s="17"/>
      <c r="EL1294" s="17"/>
      <c r="EM1294" s="16"/>
      <c r="EN1294" s="16"/>
      <c r="EO1294" s="17"/>
      <c r="EP1294" s="17"/>
      <c r="EQ1294" s="16"/>
      <c r="ER1294" s="16"/>
      <c r="ES1294" s="17"/>
      <c r="ET1294" s="17"/>
      <c r="EU1294" s="16"/>
      <c r="EV1294" s="16"/>
      <c r="EW1294" s="17"/>
      <c r="EX1294" s="17"/>
      <c r="EY1294" s="16"/>
      <c r="EZ1294" s="16"/>
      <c r="FA1294" s="17"/>
      <c r="FB1294" s="17"/>
      <c r="FC1294" s="16"/>
      <c r="FD1294" s="16"/>
      <c r="FE1294" s="17"/>
      <c r="FF1294" s="17"/>
      <c r="FG1294" s="11"/>
      <c r="GT1294" s="11"/>
      <c r="IG1294" s="11"/>
      <c r="JT1294" s="11"/>
      <c r="LG1294" s="11"/>
      <c r="MT1294" s="11"/>
      <c r="OG1294" s="11"/>
      <c r="PT1294" s="11"/>
    </row>
    <row r="1295" spans="1:436" ht="15.75" x14ac:dyDescent="0.25">
      <c r="C1295" s="20" t="s">
        <v>952</v>
      </c>
      <c r="D1295" s="21" t="s">
        <v>79</v>
      </c>
      <c r="H1295" s="11"/>
      <c r="AU1295" s="11"/>
      <c r="CH1295" s="11"/>
      <c r="CI1295" s="16"/>
      <c r="CJ1295" s="16"/>
      <c r="CK1295" s="16"/>
      <c r="CL1295" s="16"/>
      <c r="CM1295" s="16"/>
      <c r="CN1295" s="16"/>
      <c r="CO1295" s="16"/>
      <c r="CP1295" s="16"/>
      <c r="CQ1295" s="16"/>
      <c r="CR1295" s="16"/>
      <c r="CS1295" s="16"/>
      <c r="CT1295" s="16"/>
      <c r="CU1295" s="16"/>
      <c r="CV1295" s="16"/>
      <c r="CW1295" s="16"/>
      <c r="CX1295" s="16"/>
      <c r="CY1295" s="16"/>
      <c r="CZ1295" s="16"/>
      <c r="DA1295" s="16"/>
      <c r="DB1295" s="16"/>
      <c r="DC1295" s="16"/>
      <c r="DD1295" s="16"/>
      <c r="DE1295" s="17"/>
      <c r="DF1295" s="17"/>
      <c r="DG1295" s="16"/>
      <c r="DH1295" s="16"/>
      <c r="DI1295" s="18">
        <v>3</v>
      </c>
      <c r="DJ1295" s="18">
        <v>4</v>
      </c>
      <c r="DK1295" s="16"/>
      <c r="DL1295" s="16"/>
      <c r="DM1295" s="17"/>
      <c r="DN1295" s="17"/>
      <c r="DO1295" s="16"/>
      <c r="DP1295" s="16"/>
      <c r="DQ1295" s="17"/>
      <c r="DR1295" s="17"/>
      <c r="DS1295" s="16"/>
      <c r="DT1295" s="16"/>
      <c r="DU1295" s="17"/>
      <c r="DV1295" s="17"/>
      <c r="DW1295" s="16"/>
      <c r="DX1295" s="16"/>
      <c r="DY1295" s="17"/>
      <c r="DZ1295" s="17"/>
      <c r="EA1295" s="16"/>
      <c r="EB1295" s="16"/>
      <c r="EC1295" s="17"/>
      <c r="ED1295" s="17"/>
      <c r="EE1295" s="16"/>
      <c r="EF1295" s="16"/>
      <c r="EG1295" s="17"/>
      <c r="EH1295" s="17"/>
      <c r="EI1295" s="16"/>
      <c r="EJ1295" s="16"/>
      <c r="EK1295" s="17"/>
      <c r="EL1295" s="17"/>
      <c r="EM1295" s="16"/>
      <c r="EN1295" s="16"/>
      <c r="EO1295" s="17"/>
      <c r="EP1295" s="17"/>
      <c r="EQ1295" s="16"/>
      <c r="ER1295" s="16"/>
      <c r="ES1295" s="17"/>
      <c r="ET1295" s="17"/>
      <c r="EU1295" s="16"/>
      <c r="EV1295" s="16"/>
      <c r="EW1295" s="17"/>
      <c r="EX1295" s="17"/>
      <c r="EY1295" s="16"/>
      <c r="EZ1295" s="16"/>
      <c r="FA1295" s="17"/>
      <c r="FB1295" s="17"/>
      <c r="FC1295" s="16"/>
      <c r="FD1295" s="16"/>
      <c r="FE1295" s="17"/>
      <c r="FF1295" s="17"/>
      <c r="FG1295" s="11"/>
      <c r="GT1295" s="11"/>
      <c r="IG1295" s="11"/>
      <c r="JT1295" s="11"/>
      <c r="LG1295" s="11"/>
      <c r="MT1295" s="11"/>
      <c r="OG1295" s="11"/>
      <c r="PT1295" s="11"/>
    </row>
    <row r="1296" spans="1:436" ht="15.75" x14ac:dyDescent="0.25">
      <c r="C1296" s="20" t="s">
        <v>953</v>
      </c>
      <c r="D1296" s="21" t="s">
        <v>79</v>
      </c>
      <c r="H1296" s="11"/>
      <c r="AU1296" s="11"/>
      <c r="CH1296" s="11"/>
      <c r="CI1296" s="16"/>
      <c r="CJ1296" s="16"/>
      <c r="CK1296" s="16"/>
      <c r="CL1296" s="16"/>
      <c r="CM1296" s="16"/>
      <c r="CN1296" s="16"/>
      <c r="CO1296" s="16"/>
      <c r="CP1296" s="16"/>
      <c r="CQ1296" s="16"/>
      <c r="CR1296" s="16"/>
      <c r="CS1296" s="16"/>
      <c r="CT1296" s="16"/>
      <c r="CU1296" s="16"/>
      <c r="CV1296" s="16"/>
      <c r="CW1296" s="16"/>
      <c r="CX1296" s="16"/>
      <c r="CY1296" s="16"/>
      <c r="CZ1296" s="16"/>
      <c r="DA1296" s="16"/>
      <c r="DB1296" s="16"/>
      <c r="DC1296" s="16"/>
      <c r="DD1296" s="16"/>
      <c r="DE1296" s="17"/>
      <c r="DF1296" s="17"/>
      <c r="DG1296" s="16"/>
      <c r="DH1296" s="16"/>
      <c r="DI1296" s="18">
        <v>3</v>
      </c>
      <c r="DJ1296" s="18">
        <v>5</v>
      </c>
      <c r="DK1296" s="16"/>
      <c r="DL1296" s="16"/>
      <c r="DM1296" s="17"/>
      <c r="DN1296" s="17"/>
      <c r="DO1296" s="16"/>
      <c r="DP1296" s="16"/>
      <c r="DQ1296" s="17"/>
      <c r="DR1296" s="17"/>
      <c r="DS1296" s="16"/>
      <c r="DT1296" s="16"/>
      <c r="DU1296" s="17"/>
      <c r="DV1296" s="17"/>
      <c r="DW1296" s="16"/>
      <c r="DX1296" s="16"/>
      <c r="DY1296" s="17"/>
      <c r="DZ1296" s="17"/>
      <c r="EA1296" s="16"/>
      <c r="EB1296" s="16"/>
      <c r="EC1296" s="17"/>
      <c r="ED1296" s="17"/>
      <c r="EE1296" s="16"/>
      <c r="EF1296" s="16"/>
      <c r="EG1296" s="17"/>
      <c r="EH1296" s="17"/>
      <c r="EI1296" s="16"/>
      <c r="EJ1296" s="16"/>
      <c r="EK1296" s="17"/>
      <c r="EL1296" s="17"/>
      <c r="EM1296" s="16"/>
      <c r="EN1296" s="16"/>
      <c r="EO1296" s="17"/>
      <c r="EP1296" s="17"/>
      <c r="EQ1296" s="16"/>
      <c r="ER1296" s="16"/>
      <c r="ES1296" s="17"/>
      <c r="ET1296" s="17"/>
      <c r="EU1296" s="16"/>
      <c r="EV1296" s="16"/>
      <c r="EW1296" s="17"/>
      <c r="EX1296" s="17"/>
      <c r="EY1296" s="16"/>
      <c r="EZ1296" s="16"/>
      <c r="FA1296" s="17"/>
      <c r="FB1296" s="17"/>
      <c r="FC1296" s="16"/>
      <c r="FD1296" s="16"/>
      <c r="FE1296" s="17"/>
      <c r="FF1296" s="17"/>
      <c r="FG1296" s="11"/>
      <c r="GT1296" s="11"/>
      <c r="IG1296" s="11"/>
      <c r="JT1296" s="11"/>
      <c r="LG1296" s="11"/>
      <c r="MT1296" s="11"/>
      <c r="OG1296" s="11"/>
      <c r="PT1296" s="11"/>
    </row>
    <row r="1297" spans="3:436" ht="15.75" x14ac:dyDescent="0.25">
      <c r="C1297" s="20" t="s">
        <v>954</v>
      </c>
      <c r="D1297" s="21" t="s">
        <v>79</v>
      </c>
      <c r="H1297" s="11"/>
      <c r="AU1297" s="11"/>
      <c r="CH1297" s="11"/>
      <c r="CI1297" s="16"/>
      <c r="CJ1297" s="16"/>
      <c r="CK1297" s="16"/>
      <c r="CL1297" s="16"/>
      <c r="CM1297" s="16"/>
      <c r="CN1297" s="16"/>
      <c r="CO1297" s="16"/>
      <c r="CP1297" s="16"/>
      <c r="CQ1297" s="16"/>
      <c r="CR1297" s="16"/>
      <c r="CS1297" s="16"/>
      <c r="CT1297" s="16"/>
      <c r="CU1297" s="16"/>
      <c r="CV1297" s="16"/>
      <c r="CW1297" s="16"/>
      <c r="CX1297" s="16"/>
      <c r="CY1297" s="16"/>
      <c r="CZ1297" s="16"/>
      <c r="DA1297" s="16"/>
      <c r="DB1297" s="16"/>
      <c r="DC1297" s="16"/>
      <c r="DD1297" s="16"/>
      <c r="DE1297" s="17"/>
      <c r="DF1297" s="17"/>
      <c r="DG1297" s="16"/>
      <c r="DH1297" s="16"/>
      <c r="DI1297" s="18">
        <v>2</v>
      </c>
      <c r="DJ1297" s="18">
        <v>2</v>
      </c>
      <c r="DK1297" s="16"/>
      <c r="DL1297" s="16"/>
      <c r="DM1297" s="17"/>
      <c r="DN1297" s="17"/>
      <c r="DO1297" s="16"/>
      <c r="DP1297" s="16"/>
      <c r="DQ1297" s="17"/>
      <c r="DR1297" s="17"/>
      <c r="DS1297" s="16"/>
      <c r="DT1297" s="16"/>
      <c r="DU1297" s="17"/>
      <c r="DV1297" s="17"/>
      <c r="DW1297" s="16"/>
      <c r="DX1297" s="16"/>
      <c r="DY1297" s="17"/>
      <c r="DZ1297" s="17"/>
      <c r="EA1297" s="16"/>
      <c r="EB1297" s="16"/>
      <c r="EC1297" s="17"/>
      <c r="ED1297" s="17"/>
      <c r="EE1297" s="16"/>
      <c r="EF1297" s="16"/>
      <c r="EG1297" s="17"/>
      <c r="EH1297" s="17"/>
      <c r="EI1297" s="16"/>
      <c r="EJ1297" s="16"/>
      <c r="EK1297" s="17"/>
      <c r="EL1297" s="17"/>
      <c r="EM1297" s="16"/>
      <c r="EN1297" s="16"/>
      <c r="EO1297" s="17"/>
      <c r="EP1297" s="17"/>
      <c r="EQ1297" s="16"/>
      <c r="ER1297" s="16"/>
      <c r="ES1297" s="17"/>
      <c r="ET1297" s="17"/>
      <c r="EU1297" s="16"/>
      <c r="EV1297" s="16"/>
      <c r="EW1297" s="17"/>
      <c r="EX1297" s="17"/>
      <c r="EY1297" s="16"/>
      <c r="EZ1297" s="16"/>
      <c r="FA1297" s="17"/>
      <c r="FB1297" s="17"/>
      <c r="FC1297" s="16"/>
      <c r="FD1297" s="16"/>
      <c r="FE1297" s="17"/>
      <c r="FF1297" s="17"/>
      <c r="FG1297" s="11"/>
      <c r="GT1297" s="11"/>
      <c r="IG1297" s="11"/>
      <c r="JT1297" s="11"/>
      <c r="LG1297" s="11"/>
      <c r="MT1297" s="11"/>
      <c r="OG1297" s="11"/>
      <c r="PT1297" s="11"/>
    </row>
    <row r="1298" spans="3:436" ht="15.75" x14ac:dyDescent="0.25">
      <c r="C1298" s="20" t="s">
        <v>951</v>
      </c>
      <c r="D1298" s="21" t="s">
        <v>146</v>
      </c>
      <c r="H1298" s="11"/>
      <c r="AU1298" s="11"/>
      <c r="CH1298" s="11"/>
      <c r="CI1298" s="16"/>
      <c r="CJ1298" s="16"/>
      <c r="CK1298" s="16"/>
      <c r="CL1298" s="16"/>
      <c r="CM1298" s="16"/>
      <c r="CN1298" s="16"/>
      <c r="CO1298" s="16"/>
      <c r="CP1298" s="16"/>
      <c r="CQ1298" s="16"/>
      <c r="CR1298" s="16"/>
      <c r="CS1298" s="16"/>
      <c r="CT1298" s="16"/>
      <c r="CU1298" s="16"/>
      <c r="CV1298" s="16"/>
      <c r="CW1298" s="16"/>
      <c r="CX1298" s="16"/>
      <c r="CY1298" s="16"/>
      <c r="CZ1298" s="16"/>
      <c r="DA1298" s="16"/>
      <c r="DB1298" s="16"/>
      <c r="DC1298" s="16"/>
      <c r="DD1298" s="16"/>
      <c r="DE1298" s="17"/>
      <c r="DF1298" s="17"/>
      <c r="DG1298" s="16"/>
      <c r="DH1298" s="16"/>
      <c r="DI1298" s="17"/>
      <c r="DJ1298" s="17"/>
      <c r="DK1298" s="16"/>
      <c r="DL1298" s="16"/>
      <c r="DM1298" s="17"/>
      <c r="DN1298" s="17"/>
      <c r="DO1298" s="16"/>
      <c r="DP1298" s="16"/>
      <c r="DQ1298" s="18">
        <v>0.5</v>
      </c>
      <c r="DR1298" s="18">
        <v>2</v>
      </c>
      <c r="DS1298" s="16"/>
      <c r="DT1298" s="16"/>
      <c r="DU1298" s="17"/>
      <c r="DV1298" s="17"/>
      <c r="DW1298" s="16"/>
      <c r="DX1298" s="16"/>
      <c r="DY1298" s="17"/>
      <c r="DZ1298" s="17"/>
      <c r="EA1298" s="16"/>
      <c r="EB1298" s="16"/>
      <c r="EC1298" s="17"/>
      <c r="ED1298" s="17"/>
      <c r="EE1298" s="16"/>
      <c r="EF1298" s="16"/>
      <c r="EG1298" s="17"/>
      <c r="EH1298" s="17"/>
      <c r="EI1298" s="16"/>
      <c r="EJ1298" s="16"/>
      <c r="EK1298" s="17"/>
      <c r="EL1298" s="17"/>
      <c r="EM1298" s="16"/>
      <c r="EN1298" s="16"/>
      <c r="EO1298" s="17"/>
      <c r="EP1298" s="17"/>
      <c r="EQ1298" s="16"/>
      <c r="ER1298" s="16"/>
      <c r="ES1298" s="17"/>
      <c r="ET1298" s="17"/>
      <c r="EU1298" s="16"/>
      <c r="EV1298" s="16"/>
      <c r="EW1298" s="17"/>
      <c r="EX1298" s="17"/>
      <c r="EY1298" s="16"/>
      <c r="EZ1298" s="16"/>
      <c r="FA1298" s="17"/>
      <c r="FB1298" s="17"/>
      <c r="FC1298" s="16"/>
      <c r="FD1298" s="16"/>
      <c r="FE1298" s="17"/>
      <c r="FF1298" s="17"/>
      <c r="FG1298" s="11"/>
      <c r="GT1298" s="11"/>
      <c r="IG1298" s="11"/>
      <c r="JT1298" s="11"/>
      <c r="LG1298" s="11"/>
      <c r="MT1298" s="11"/>
      <c r="OG1298" s="11"/>
      <c r="PT1298" s="11"/>
    </row>
    <row r="1299" spans="3:436" ht="15.75" x14ac:dyDescent="0.25">
      <c r="C1299" s="20" t="s">
        <v>952</v>
      </c>
      <c r="D1299" s="21" t="s">
        <v>79</v>
      </c>
      <c r="H1299" s="11"/>
      <c r="AU1299" s="11"/>
      <c r="CH1299" s="11"/>
      <c r="CI1299" s="16"/>
      <c r="CJ1299" s="16"/>
      <c r="CK1299" s="16"/>
      <c r="CL1299" s="16"/>
      <c r="CM1299" s="16"/>
      <c r="CN1299" s="16"/>
      <c r="CO1299" s="16"/>
      <c r="CP1299" s="16"/>
      <c r="CQ1299" s="16"/>
      <c r="CR1299" s="16"/>
      <c r="CS1299" s="16"/>
      <c r="CT1299" s="16"/>
      <c r="CU1299" s="16"/>
      <c r="CV1299" s="16"/>
      <c r="CW1299" s="16"/>
      <c r="CX1299" s="16"/>
      <c r="CY1299" s="16"/>
      <c r="CZ1299" s="16"/>
      <c r="DA1299" s="16"/>
      <c r="DB1299" s="16"/>
      <c r="DC1299" s="16"/>
      <c r="DD1299" s="16"/>
      <c r="DE1299" s="17"/>
      <c r="DF1299" s="17"/>
      <c r="DG1299" s="16"/>
      <c r="DH1299" s="16"/>
      <c r="DI1299" s="18">
        <v>3</v>
      </c>
      <c r="DJ1299" s="18">
        <v>5</v>
      </c>
      <c r="DK1299" s="16"/>
      <c r="DL1299" s="16"/>
      <c r="DM1299" s="17"/>
      <c r="DN1299" s="17"/>
      <c r="DO1299" s="16"/>
      <c r="DP1299" s="16"/>
      <c r="DQ1299" s="17"/>
      <c r="DR1299" s="17"/>
      <c r="DS1299" s="16"/>
      <c r="DT1299" s="16"/>
      <c r="DU1299" s="17"/>
      <c r="DV1299" s="17"/>
      <c r="DW1299" s="16"/>
      <c r="DX1299" s="16"/>
      <c r="DY1299" s="17"/>
      <c r="DZ1299" s="17"/>
      <c r="EA1299" s="16"/>
      <c r="EB1299" s="16"/>
      <c r="EC1299" s="17"/>
      <c r="ED1299" s="17"/>
      <c r="EE1299" s="16"/>
      <c r="EF1299" s="16"/>
      <c r="EG1299" s="17"/>
      <c r="EH1299" s="17"/>
      <c r="EI1299" s="16"/>
      <c r="EJ1299" s="16"/>
      <c r="EK1299" s="17"/>
      <c r="EL1299" s="17"/>
      <c r="EM1299" s="16"/>
      <c r="EN1299" s="16"/>
      <c r="EO1299" s="17"/>
      <c r="EP1299" s="17"/>
      <c r="EQ1299" s="16"/>
      <c r="ER1299" s="16"/>
      <c r="ES1299" s="17"/>
      <c r="ET1299" s="17"/>
      <c r="EU1299" s="16"/>
      <c r="EV1299" s="16"/>
      <c r="EW1299" s="17"/>
      <c r="EX1299" s="17"/>
      <c r="EY1299" s="16"/>
      <c r="EZ1299" s="16"/>
      <c r="FA1299" s="17"/>
      <c r="FB1299" s="17"/>
      <c r="FC1299" s="16"/>
      <c r="FD1299" s="16"/>
      <c r="FE1299" s="17"/>
      <c r="FF1299" s="17"/>
      <c r="FG1299" s="11"/>
      <c r="GT1299" s="11"/>
      <c r="IG1299" s="11"/>
      <c r="JT1299" s="11"/>
      <c r="LG1299" s="11"/>
      <c r="MT1299" s="11"/>
      <c r="OG1299" s="11"/>
      <c r="PT1299" s="11"/>
    </row>
    <row r="1300" spans="3:436" ht="15.75" x14ac:dyDescent="0.25">
      <c r="C1300" s="20" t="s">
        <v>953</v>
      </c>
      <c r="D1300" s="21" t="s">
        <v>79</v>
      </c>
      <c r="H1300" s="11"/>
      <c r="AU1300" s="11"/>
      <c r="CH1300" s="11"/>
      <c r="CI1300" s="16"/>
      <c r="CJ1300" s="16"/>
      <c r="CK1300" s="16"/>
      <c r="CL1300" s="16"/>
      <c r="CM1300" s="16"/>
      <c r="CN1300" s="16"/>
      <c r="CO1300" s="16"/>
      <c r="CP1300" s="16"/>
      <c r="CQ1300" s="16"/>
      <c r="CR1300" s="16"/>
      <c r="CS1300" s="16"/>
      <c r="CT1300" s="16"/>
      <c r="CU1300" s="16"/>
      <c r="CV1300" s="16"/>
      <c r="CW1300" s="16"/>
      <c r="CX1300" s="16"/>
      <c r="CY1300" s="16"/>
      <c r="CZ1300" s="16"/>
      <c r="DA1300" s="16"/>
      <c r="DB1300" s="16"/>
      <c r="DC1300" s="16"/>
      <c r="DD1300" s="16"/>
      <c r="DE1300" s="17"/>
      <c r="DF1300" s="17"/>
      <c r="DG1300" s="16"/>
      <c r="DH1300" s="16"/>
      <c r="DI1300" s="18">
        <v>4</v>
      </c>
      <c r="DJ1300" s="18">
        <v>6</v>
      </c>
      <c r="DK1300" s="16"/>
      <c r="DL1300" s="16"/>
      <c r="DM1300" s="17"/>
      <c r="DN1300" s="17"/>
      <c r="DO1300" s="16"/>
      <c r="DP1300" s="16"/>
      <c r="DQ1300" s="17"/>
      <c r="DR1300" s="17"/>
      <c r="DS1300" s="16"/>
      <c r="DT1300" s="16"/>
      <c r="DU1300" s="17"/>
      <c r="DV1300" s="17"/>
      <c r="DW1300" s="16"/>
      <c r="DX1300" s="16"/>
      <c r="DY1300" s="17"/>
      <c r="DZ1300" s="17"/>
      <c r="EA1300" s="16"/>
      <c r="EB1300" s="16"/>
      <c r="EC1300" s="17"/>
      <c r="ED1300" s="17"/>
      <c r="EE1300" s="16"/>
      <c r="EF1300" s="16"/>
      <c r="EG1300" s="17"/>
      <c r="EH1300" s="17"/>
      <c r="EI1300" s="16"/>
      <c r="EJ1300" s="16"/>
      <c r="EK1300" s="17"/>
      <c r="EL1300" s="17"/>
      <c r="EM1300" s="16"/>
      <c r="EN1300" s="16"/>
      <c r="EO1300" s="17"/>
      <c r="EP1300" s="17"/>
      <c r="EQ1300" s="16"/>
      <c r="ER1300" s="16"/>
      <c r="ES1300" s="17"/>
      <c r="ET1300" s="17"/>
      <c r="EU1300" s="16"/>
      <c r="EV1300" s="16"/>
      <c r="EW1300" s="17"/>
      <c r="EX1300" s="17"/>
      <c r="EY1300" s="16"/>
      <c r="EZ1300" s="16"/>
      <c r="FA1300" s="17"/>
      <c r="FB1300" s="17"/>
      <c r="FC1300" s="16"/>
      <c r="FD1300" s="16"/>
      <c r="FE1300" s="17"/>
      <c r="FF1300" s="17"/>
      <c r="FG1300" s="11"/>
      <c r="GT1300" s="11"/>
      <c r="IG1300" s="11"/>
      <c r="JT1300" s="11"/>
      <c r="LG1300" s="11"/>
      <c r="MT1300" s="11"/>
      <c r="OG1300" s="11"/>
      <c r="PT1300" s="11"/>
    </row>
    <row r="1301" spans="3:436" ht="15.75" x14ac:dyDescent="0.25">
      <c r="C1301" s="20" t="s">
        <v>954</v>
      </c>
      <c r="D1301" s="21" t="s">
        <v>79</v>
      </c>
      <c r="H1301" s="11"/>
      <c r="AU1301" s="11"/>
      <c r="CH1301" s="11"/>
      <c r="CI1301" s="16"/>
      <c r="CJ1301" s="16"/>
      <c r="CK1301" s="16"/>
      <c r="CL1301" s="16"/>
      <c r="CM1301" s="16"/>
      <c r="CN1301" s="16"/>
      <c r="CO1301" s="16"/>
      <c r="CP1301" s="16"/>
      <c r="CQ1301" s="16"/>
      <c r="CR1301" s="16"/>
      <c r="CS1301" s="16"/>
      <c r="CT1301" s="16"/>
      <c r="CU1301" s="16"/>
      <c r="CV1301" s="16"/>
      <c r="CW1301" s="16"/>
      <c r="CX1301" s="16"/>
      <c r="CY1301" s="16"/>
      <c r="CZ1301" s="16"/>
      <c r="DA1301" s="16"/>
      <c r="DB1301" s="16"/>
      <c r="DC1301" s="16"/>
      <c r="DD1301" s="16"/>
      <c r="DE1301" s="17"/>
      <c r="DF1301" s="17"/>
      <c r="DG1301" s="16"/>
      <c r="DH1301" s="16"/>
      <c r="DI1301" s="18">
        <v>2</v>
      </c>
      <c r="DJ1301" s="18">
        <v>3</v>
      </c>
      <c r="DK1301" s="16"/>
      <c r="DL1301" s="16"/>
      <c r="DM1301" s="17"/>
      <c r="DN1301" s="17"/>
      <c r="DO1301" s="16"/>
      <c r="DP1301" s="16"/>
      <c r="DQ1301" s="17"/>
      <c r="DR1301" s="17"/>
      <c r="DS1301" s="16"/>
      <c r="DT1301" s="16"/>
      <c r="DU1301" s="17"/>
      <c r="DV1301" s="17"/>
      <c r="DW1301" s="16"/>
      <c r="DX1301" s="16"/>
      <c r="DY1301" s="17"/>
      <c r="DZ1301" s="17"/>
      <c r="EA1301" s="16"/>
      <c r="EB1301" s="16"/>
      <c r="EC1301" s="17"/>
      <c r="ED1301" s="17"/>
      <c r="EE1301" s="16"/>
      <c r="EF1301" s="16"/>
      <c r="EG1301" s="17"/>
      <c r="EH1301" s="17"/>
      <c r="EI1301" s="16"/>
      <c r="EJ1301" s="16"/>
      <c r="EK1301" s="17"/>
      <c r="EL1301" s="17"/>
      <c r="EM1301" s="16"/>
      <c r="EN1301" s="16"/>
      <c r="EO1301" s="17"/>
      <c r="EP1301" s="17"/>
      <c r="EQ1301" s="16"/>
      <c r="ER1301" s="16"/>
      <c r="ES1301" s="17"/>
      <c r="ET1301" s="17"/>
      <c r="EU1301" s="16"/>
      <c r="EV1301" s="16"/>
      <c r="EW1301" s="17"/>
      <c r="EX1301" s="17"/>
      <c r="EY1301" s="16"/>
      <c r="EZ1301" s="16"/>
      <c r="FA1301" s="17"/>
      <c r="FB1301" s="17"/>
      <c r="FC1301" s="16"/>
      <c r="FD1301" s="16"/>
      <c r="FE1301" s="17"/>
      <c r="FF1301" s="17"/>
      <c r="FG1301" s="11"/>
      <c r="GT1301" s="11"/>
      <c r="IG1301" s="11"/>
      <c r="JT1301" s="11"/>
      <c r="LG1301" s="11"/>
      <c r="MT1301" s="11"/>
      <c r="OG1301" s="11"/>
      <c r="PT1301" s="11"/>
    </row>
    <row r="1302" spans="3:436" ht="15.75" x14ac:dyDescent="0.25">
      <c r="C1302" s="20" t="s">
        <v>951</v>
      </c>
      <c r="D1302" s="21" t="s">
        <v>146</v>
      </c>
      <c r="H1302" s="11"/>
      <c r="AU1302" s="11"/>
      <c r="CH1302" s="11"/>
      <c r="CI1302" s="16"/>
      <c r="CJ1302" s="16"/>
      <c r="CK1302" s="16"/>
      <c r="CL1302" s="16"/>
      <c r="CM1302" s="16"/>
      <c r="CN1302" s="16"/>
      <c r="CO1302" s="16"/>
      <c r="CP1302" s="16"/>
      <c r="CQ1302" s="16"/>
      <c r="CR1302" s="16"/>
      <c r="CS1302" s="16"/>
      <c r="CT1302" s="16"/>
      <c r="CU1302" s="16"/>
      <c r="CV1302" s="16"/>
      <c r="CW1302" s="16"/>
      <c r="CX1302" s="16"/>
      <c r="CY1302" s="16"/>
      <c r="CZ1302" s="16"/>
      <c r="DA1302" s="16"/>
      <c r="DB1302" s="16"/>
      <c r="DC1302" s="16"/>
      <c r="DD1302" s="16"/>
      <c r="DE1302" s="17"/>
      <c r="DF1302" s="17"/>
      <c r="DG1302" s="16"/>
      <c r="DH1302" s="16"/>
      <c r="DI1302" s="17"/>
      <c r="DJ1302" s="17"/>
      <c r="DK1302" s="16"/>
      <c r="DL1302" s="16"/>
      <c r="DM1302" s="17"/>
      <c r="DN1302" s="17"/>
      <c r="DO1302" s="16"/>
      <c r="DP1302" s="16"/>
      <c r="DQ1302" s="18">
        <v>1</v>
      </c>
      <c r="DR1302" s="18">
        <v>1</v>
      </c>
      <c r="DS1302" s="16"/>
      <c r="DT1302" s="16"/>
      <c r="DU1302" s="17"/>
      <c r="DV1302" s="17"/>
      <c r="DW1302" s="16"/>
      <c r="DX1302" s="16"/>
      <c r="DY1302" s="17"/>
      <c r="DZ1302" s="17"/>
      <c r="EA1302" s="16"/>
      <c r="EB1302" s="16"/>
      <c r="EC1302" s="17"/>
      <c r="ED1302" s="17"/>
      <c r="EE1302" s="16"/>
      <c r="EF1302" s="16"/>
      <c r="EG1302" s="17"/>
      <c r="EH1302" s="17"/>
      <c r="EI1302" s="16"/>
      <c r="EJ1302" s="16"/>
      <c r="EK1302" s="17"/>
      <c r="EL1302" s="17"/>
      <c r="EM1302" s="16"/>
      <c r="EN1302" s="16"/>
      <c r="EO1302" s="17"/>
      <c r="EP1302" s="17"/>
      <c r="EQ1302" s="16"/>
      <c r="ER1302" s="16"/>
      <c r="ES1302" s="17"/>
      <c r="ET1302" s="17"/>
      <c r="EU1302" s="16"/>
      <c r="EV1302" s="16"/>
      <c r="EW1302" s="17"/>
      <c r="EX1302" s="17"/>
      <c r="EY1302" s="16"/>
      <c r="EZ1302" s="16"/>
      <c r="FA1302" s="17"/>
      <c r="FB1302" s="17"/>
      <c r="FC1302" s="16"/>
      <c r="FD1302" s="16"/>
      <c r="FE1302" s="17"/>
      <c r="FF1302" s="17"/>
      <c r="FG1302" s="11"/>
      <c r="GT1302" s="11"/>
      <c r="IG1302" s="11"/>
      <c r="JT1302" s="11"/>
      <c r="LG1302" s="11"/>
      <c r="MT1302" s="11"/>
      <c r="OG1302" s="11"/>
      <c r="PT1302" s="11"/>
    </row>
    <row r="1303" spans="3:436" ht="15.75" x14ac:dyDescent="0.25">
      <c r="C1303" s="20" t="s">
        <v>952</v>
      </c>
      <c r="D1303" s="21" t="s">
        <v>79</v>
      </c>
      <c r="H1303" s="11"/>
      <c r="AU1303" s="11"/>
      <c r="CH1303" s="11"/>
      <c r="CI1303" s="16"/>
      <c r="CJ1303" s="16"/>
      <c r="CK1303" s="16"/>
      <c r="CL1303" s="16"/>
      <c r="CM1303" s="16"/>
      <c r="CN1303" s="16"/>
      <c r="CO1303" s="16"/>
      <c r="CP1303" s="16"/>
      <c r="CQ1303" s="16"/>
      <c r="CR1303" s="16"/>
      <c r="CS1303" s="16"/>
      <c r="CT1303" s="16"/>
      <c r="CU1303" s="16"/>
      <c r="CV1303" s="16"/>
      <c r="CW1303" s="16"/>
      <c r="CX1303" s="16"/>
      <c r="CY1303" s="16"/>
      <c r="CZ1303" s="16"/>
      <c r="DA1303" s="16"/>
      <c r="DB1303" s="16"/>
      <c r="DC1303" s="16"/>
      <c r="DD1303" s="16"/>
      <c r="DE1303" s="17"/>
      <c r="DF1303" s="17"/>
      <c r="DG1303" s="16"/>
      <c r="DH1303" s="16"/>
      <c r="DI1303" s="18">
        <v>3</v>
      </c>
      <c r="DJ1303" s="18">
        <v>3</v>
      </c>
      <c r="DK1303" s="16"/>
      <c r="DL1303" s="16"/>
      <c r="DM1303" s="17"/>
      <c r="DN1303" s="17"/>
      <c r="DO1303" s="16"/>
      <c r="DP1303" s="16"/>
      <c r="DQ1303" s="17"/>
      <c r="DR1303" s="17"/>
      <c r="DS1303" s="16"/>
      <c r="DT1303" s="16"/>
      <c r="DU1303" s="17"/>
      <c r="DV1303" s="17"/>
      <c r="DW1303" s="16"/>
      <c r="DX1303" s="16"/>
      <c r="DY1303" s="17"/>
      <c r="DZ1303" s="17"/>
      <c r="EA1303" s="16"/>
      <c r="EB1303" s="16"/>
      <c r="EC1303" s="17"/>
      <c r="ED1303" s="17"/>
      <c r="EE1303" s="16"/>
      <c r="EF1303" s="16"/>
      <c r="EG1303" s="17"/>
      <c r="EH1303" s="17"/>
      <c r="EI1303" s="16"/>
      <c r="EJ1303" s="16"/>
      <c r="EK1303" s="17"/>
      <c r="EL1303" s="17"/>
      <c r="EM1303" s="16"/>
      <c r="EN1303" s="16"/>
      <c r="EO1303" s="17"/>
      <c r="EP1303" s="17"/>
      <c r="EQ1303" s="16"/>
      <c r="ER1303" s="16"/>
      <c r="ES1303" s="17"/>
      <c r="ET1303" s="17"/>
      <c r="EU1303" s="16"/>
      <c r="EV1303" s="16"/>
      <c r="EW1303" s="17"/>
      <c r="EX1303" s="17"/>
      <c r="EY1303" s="16"/>
      <c r="EZ1303" s="16"/>
      <c r="FA1303" s="17"/>
      <c r="FB1303" s="17"/>
      <c r="FC1303" s="16"/>
      <c r="FD1303" s="16"/>
      <c r="FE1303" s="17"/>
      <c r="FF1303" s="17"/>
      <c r="FG1303" s="11"/>
      <c r="GT1303" s="11"/>
      <c r="IG1303" s="11"/>
      <c r="JT1303" s="11"/>
      <c r="LG1303" s="11"/>
      <c r="MT1303" s="11"/>
      <c r="OG1303" s="11"/>
      <c r="PT1303" s="11"/>
    </row>
    <row r="1304" spans="3:436" ht="15.75" x14ac:dyDescent="0.25">
      <c r="C1304" s="20" t="s">
        <v>953</v>
      </c>
      <c r="D1304" s="21" t="s">
        <v>79</v>
      </c>
      <c r="H1304" s="11"/>
      <c r="AU1304" s="11"/>
      <c r="CH1304" s="11"/>
      <c r="CI1304" s="16"/>
      <c r="CJ1304" s="16"/>
      <c r="CK1304" s="16"/>
      <c r="CL1304" s="16"/>
      <c r="CM1304" s="16"/>
      <c r="CN1304" s="16"/>
      <c r="CO1304" s="16"/>
      <c r="CP1304" s="16"/>
      <c r="CQ1304" s="16"/>
      <c r="CR1304" s="16"/>
      <c r="CS1304" s="16"/>
      <c r="CT1304" s="16"/>
      <c r="CU1304" s="16"/>
      <c r="CV1304" s="16"/>
      <c r="CW1304" s="16"/>
      <c r="CX1304" s="16"/>
      <c r="CY1304" s="16"/>
      <c r="CZ1304" s="16"/>
      <c r="DA1304" s="16"/>
      <c r="DB1304" s="16"/>
      <c r="DC1304" s="16"/>
      <c r="DD1304" s="16"/>
      <c r="DE1304" s="17"/>
      <c r="DF1304" s="17"/>
      <c r="DG1304" s="16"/>
      <c r="DH1304" s="16"/>
      <c r="DI1304" s="18">
        <v>3</v>
      </c>
      <c r="DJ1304" s="18">
        <v>5</v>
      </c>
      <c r="DK1304" s="16"/>
      <c r="DL1304" s="16"/>
      <c r="DM1304" s="17"/>
      <c r="DN1304" s="17"/>
      <c r="DO1304" s="16"/>
      <c r="DP1304" s="16"/>
      <c r="DQ1304" s="17"/>
      <c r="DR1304" s="17"/>
      <c r="DS1304" s="16"/>
      <c r="DT1304" s="16"/>
      <c r="DU1304" s="17"/>
      <c r="DV1304" s="17"/>
      <c r="DW1304" s="16"/>
      <c r="DX1304" s="16"/>
      <c r="DY1304" s="17"/>
      <c r="DZ1304" s="17"/>
      <c r="EA1304" s="16"/>
      <c r="EB1304" s="16"/>
      <c r="EC1304" s="17"/>
      <c r="ED1304" s="17"/>
      <c r="EE1304" s="16"/>
      <c r="EF1304" s="16"/>
      <c r="EG1304" s="17"/>
      <c r="EH1304" s="17"/>
      <c r="EI1304" s="16"/>
      <c r="EJ1304" s="16"/>
      <c r="EK1304" s="17"/>
      <c r="EL1304" s="17"/>
      <c r="EM1304" s="16"/>
      <c r="EN1304" s="16"/>
      <c r="EO1304" s="17"/>
      <c r="EP1304" s="17"/>
      <c r="EQ1304" s="16"/>
      <c r="ER1304" s="16"/>
      <c r="ES1304" s="17"/>
      <c r="ET1304" s="17"/>
      <c r="EU1304" s="16"/>
      <c r="EV1304" s="16"/>
      <c r="EW1304" s="17"/>
      <c r="EX1304" s="17"/>
      <c r="EY1304" s="16"/>
      <c r="EZ1304" s="16"/>
      <c r="FA1304" s="17"/>
      <c r="FB1304" s="17"/>
      <c r="FC1304" s="16"/>
      <c r="FD1304" s="16"/>
      <c r="FE1304" s="17"/>
      <c r="FF1304" s="17"/>
      <c r="FG1304" s="11"/>
      <c r="GT1304" s="11"/>
      <c r="IG1304" s="11"/>
      <c r="JT1304" s="11"/>
      <c r="LG1304" s="11"/>
      <c r="MT1304" s="11"/>
      <c r="OG1304" s="11"/>
      <c r="PT1304" s="11"/>
    </row>
    <row r="1305" spans="3:436" ht="15.75" x14ac:dyDescent="0.25">
      <c r="C1305" s="20" t="s">
        <v>954</v>
      </c>
      <c r="D1305" s="21" t="s">
        <v>79</v>
      </c>
      <c r="H1305" s="11"/>
      <c r="AU1305" s="11"/>
      <c r="CH1305" s="11"/>
      <c r="CI1305" s="16"/>
      <c r="CJ1305" s="16"/>
      <c r="CK1305" s="16"/>
      <c r="CL1305" s="16"/>
      <c r="CM1305" s="16"/>
      <c r="CN1305" s="16"/>
      <c r="CO1305" s="16"/>
      <c r="CP1305" s="16"/>
      <c r="CQ1305" s="16"/>
      <c r="CR1305" s="16"/>
      <c r="CS1305" s="16"/>
      <c r="CT1305" s="16"/>
      <c r="CU1305" s="16"/>
      <c r="CV1305" s="16"/>
      <c r="CW1305" s="16"/>
      <c r="CX1305" s="16"/>
      <c r="CY1305" s="16"/>
      <c r="CZ1305" s="16"/>
      <c r="DA1305" s="16"/>
      <c r="DB1305" s="16"/>
      <c r="DC1305" s="16"/>
      <c r="DD1305" s="16"/>
      <c r="DE1305" s="17"/>
      <c r="DF1305" s="17"/>
      <c r="DG1305" s="16"/>
      <c r="DH1305" s="16"/>
      <c r="DI1305" s="18">
        <v>2</v>
      </c>
      <c r="DJ1305" s="18">
        <v>5</v>
      </c>
      <c r="DK1305" s="16"/>
      <c r="DL1305" s="16"/>
      <c r="DM1305" s="17"/>
      <c r="DN1305" s="17"/>
      <c r="DO1305" s="16"/>
      <c r="DP1305" s="16"/>
      <c r="DQ1305" s="17"/>
      <c r="DR1305" s="17"/>
      <c r="DS1305" s="16"/>
      <c r="DT1305" s="16"/>
      <c r="DU1305" s="17"/>
      <c r="DV1305" s="17"/>
      <c r="DW1305" s="16"/>
      <c r="DX1305" s="16"/>
      <c r="DY1305" s="17"/>
      <c r="DZ1305" s="17"/>
      <c r="EA1305" s="16"/>
      <c r="EB1305" s="16"/>
      <c r="EC1305" s="17"/>
      <c r="ED1305" s="17"/>
      <c r="EE1305" s="16"/>
      <c r="EF1305" s="16"/>
      <c r="EG1305" s="17"/>
      <c r="EH1305" s="17"/>
      <c r="EI1305" s="16"/>
      <c r="EJ1305" s="16"/>
      <c r="EK1305" s="17"/>
      <c r="EL1305" s="17"/>
      <c r="EM1305" s="16"/>
      <c r="EN1305" s="16"/>
      <c r="EO1305" s="17"/>
      <c r="EP1305" s="17"/>
      <c r="EQ1305" s="16"/>
      <c r="ER1305" s="16"/>
      <c r="ES1305" s="17"/>
      <c r="ET1305" s="17"/>
      <c r="EU1305" s="16"/>
      <c r="EV1305" s="16"/>
      <c r="EW1305" s="17"/>
      <c r="EX1305" s="17"/>
      <c r="EY1305" s="16"/>
      <c r="EZ1305" s="16"/>
      <c r="FA1305" s="17"/>
      <c r="FB1305" s="17"/>
      <c r="FC1305" s="16"/>
      <c r="FD1305" s="16"/>
      <c r="FE1305" s="17"/>
      <c r="FF1305" s="17"/>
      <c r="FG1305" s="11"/>
      <c r="GT1305" s="11"/>
      <c r="IG1305" s="11"/>
      <c r="JT1305" s="11"/>
      <c r="LG1305" s="11"/>
      <c r="MT1305" s="11"/>
      <c r="OG1305" s="11"/>
      <c r="PT1305" s="11"/>
    </row>
    <row r="1306" spans="3:436" ht="15.75" x14ac:dyDescent="0.25">
      <c r="C1306" s="20" t="s">
        <v>951</v>
      </c>
      <c r="D1306" s="21" t="s">
        <v>146</v>
      </c>
      <c r="H1306" s="11"/>
      <c r="AU1306" s="11"/>
      <c r="CH1306" s="11"/>
      <c r="CI1306" s="16"/>
      <c r="CJ1306" s="16"/>
      <c r="CK1306" s="16"/>
      <c r="CL1306" s="16"/>
      <c r="CM1306" s="16"/>
      <c r="CN1306" s="16"/>
      <c r="CO1306" s="16"/>
      <c r="CP1306" s="16"/>
      <c r="CQ1306" s="16"/>
      <c r="CR1306" s="16"/>
      <c r="CS1306" s="16"/>
      <c r="CT1306" s="16"/>
      <c r="CU1306" s="16"/>
      <c r="CV1306" s="16"/>
      <c r="CW1306" s="16"/>
      <c r="CX1306" s="16"/>
      <c r="CY1306" s="16"/>
      <c r="CZ1306" s="16"/>
      <c r="DA1306" s="16"/>
      <c r="DB1306" s="16"/>
      <c r="DC1306" s="16"/>
      <c r="DD1306" s="16"/>
      <c r="DE1306" s="17"/>
      <c r="DF1306" s="17"/>
      <c r="DG1306" s="16"/>
      <c r="DH1306" s="16"/>
      <c r="DI1306" s="17"/>
      <c r="DJ1306" s="17"/>
      <c r="DK1306" s="16"/>
      <c r="DL1306" s="16"/>
      <c r="DM1306" s="17"/>
      <c r="DN1306" s="17"/>
      <c r="DO1306" s="16"/>
      <c r="DP1306" s="16"/>
      <c r="DQ1306" s="18">
        <v>0.5</v>
      </c>
      <c r="DR1306" s="18">
        <v>1</v>
      </c>
      <c r="DS1306" s="16"/>
      <c r="DT1306" s="16"/>
      <c r="DU1306" s="17"/>
      <c r="DV1306" s="17"/>
      <c r="DW1306" s="16"/>
      <c r="DX1306" s="16"/>
      <c r="DY1306" s="17"/>
      <c r="DZ1306" s="17"/>
      <c r="EA1306" s="16"/>
      <c r="EB1306" s="16"/>
      <c r="EC1306" s="17"/>
      <c r="ED1306" s="17"/>
      <c r="EE1306" s="16"/>
      <c r="EF1306" s="16"/>
      <c r="EG1306" s="17"/>
      <c r="EH1306" s="17"/>
      <c r="EI1306" s="16"/>
      <c r="EJ1306" s="16"/>
      <c r="EK1306" s="17"/>
      <c r="EL1306" s="17"/>
      <c r="EM1306" s="16"/>
      <c r="EN1306" s="16"/>
      <c r="EO1306" s="17"/>
      <c r="EP1306" s="17"/>
      <c r="EQ1306" s="16"/>
      <c r="ER1306" s="16"/>
      <c r="ES1306" s="17"/>
      <c r="ET1306" s="17"/>
      <c r="EU1306" s="16"/>
      <c r="EV1306" s="16"/>
      <c r="EW1306" s="17"/>
      <c r="EX1306" s="17"/>
      <c r="EY1306" s="16"/>
      <c r="EZ1306" s="16"/>
      <c r="FA1306" s="17"/>
      <c r="FB1306" s="17"/>
      <c r="FC1306" s="16"/>
      <c r="FD1306" s="16"/>
      <c r="FE1306" s="17"/>
      <c r="FF1306" s="17"/>
      <c r="FG1306" s="11"/>
      <c r="GT1306" s="11"/>
      <c r="IG1306" s="11"/>
      <c r="JT1306" s="11"/>
      <c r="LG1306" s="11"/>
      <c r="MT1306" s="11"/>
      <c r="OG1306" s="11"/>
      <c r="PT1306" s="11"/>
    </row>
    <row r="1307" spans="3:436" ht="15.75" x14ac:dyDescent="0.25">
      <c r="C1307" s="20" t="s">
        <v>952</v>
      </c>
      <c r="D1307" s="21" t="s">
        <v>79</v>
      </c>
      <c r="H1307" s="11"/>
      <c r="AU1307" s="11"/>
      <c r="CH1307" s="11"/>
      <c r="CI1307" s="16"/>
      <c r="CJ1307" s="16"/>
      <c r="CK1307" s="16"/>
      <c r="CL1307" s="16"/>
      <c r="CM1307" s="16"/>
      <c r="CN1307" s="16"/>
      <c r="CO1307" s="16"/>
      <c r="CP1307" s="16"/>
      <c r="CQ1307" s="16"/>
      <c r="CR1307" s="16"/>
      <c r="CS1307" s="16"/>
      <c r="CT1307" s="16"/>
      <c r="CU1307" s="16"/>
      <c r="CV1307" s="16"/>
      <c r="CW1307" s="16"/>
      <c r="CX1307" s="16"/>
      <c r="CY1307" s="16"/>
      <c r="CZ1307" s="16"/>
      <c r="DA1307" s="16"/>
      <c r="DB1307" s="16"/>
      <c r="DC1307" s="16"/>
      <c r="DD1307" s="16"/>
      <c r="DE1307" s="17"/>
      <c r="DF1307" s="17"/>
      <c r="DG1307" s="16"/>
      <c r="DH1307" s="16"/>
      <c r="DI1307" s="18">
        <v>3</v>
      </c>
      <c r="DJ1307" s="18">
        <v>3</v>
      </c>
      <c r="DK1307" s="16"/>
      <c r="DL1307" s="16"/>
      <c r="DM1307" s="17"/>
      <c r="DN1307" s="17"/>
      <c r="DO1307" s="16"/>
      <c r="DP1307" s="16"/>
      <c r="DQ1307" s="17"/>
      <c r="DR1307" s="17"/>
      <c r="DS1307" s="16"/>
      <c r="DT1307" s="16"/>
      <c r="DU1307" s="17"/>
      <c r="DV1307" s="17"/>
      <c r="DW1307" s="16"/>
      <c r="DX1307" s="16"/>
      <c r="DY1307" s="17"/>
      <c r="DZ1307" s="17"/>
      <c r="EA1307" s="16"/>
      <c r="EB1307" s="16"/>
      <c r="EC1307" s="17"/>
      <c r="ED1307" s="17"/>
      <c r="EE1307" s="16"/>
      <c r="EF1307" s="16"/>
      <c r="EG1307" s="17"/>
      <c r="EH1307" s="17"/>
      <c r="EI1307" s="16"/>
      <c r="EJ1307" s="16"/>
      <c r="EK1307" s="17"/>
      <c r="EL1307" s="17"/>
      <c r="EM1307" s="16"/>
      <c r="EN1307" s="16"/>
      <c r="EO1307" s="17"/>
      <c r="EP1307" s="17"/>
      <c r="EQ1307" s="16"/>
      <c r="ER1307" s="16"/>
      <c r="ES1307" s="17"/>
      <c r="ET1307" s="17"/>
      <c r="EU1307" s="16"/>
      <c r="EV1307" s="16"/>
      <c r="EW1307" s="17"/>
      <c r="EX1307" s="17"/>
      <c r="EY1307" s="16"/>
      <c r="EZ1307" s="16"/>
      <c r="FA1307" s="17"/>
      <c r="FB1307" s="17"/>
      <c r="FC1307" s="16"/>
      <c r="FD1307" s="16"/>
      <c r="FE1307" s="17"/>
      <c r="FF1307" s="17"/>
      <c r="FG1307" s="11"/>
      <c r="GT1307" s="11"/>
      <c r="IG1307" s="11"/>
      <c r="JT1307" s="11"/>
      <c r="LG1307" s="11"/>
      <c r="MT1307" s="11"/>
      <c r="OG1307" s="11"/>
      <c r="PT1307" s="11"/>
    </row>
    <row r="1308" spans="3:436" ht="15.75" x14ac:dyDescent="0.25">
      <c r="C1308" s="20" t="s">
        <v>953</v>
      </c>
      <c r="D1308" s="21" t="s">
        <v>79</v>
      </c>
      <c r="H1308" s="11"/>
      <c r="AU1308" s="11"/>
      <c r="CH1308" s="11"/>
      <c r="CI1308" s="16"/>
      <c r="CJ1308" s="16"/>
      <c r="CK1308" s="16"/>
      <c r="CL1308" s="16"/>
      <c r="CM1308" s="16"/>
      <c r="CN1308" s="16"/>
      <c r="CO1308" s="16"/>
      <c r="CP1308" s="16"/>
      <c r="CQ1308" s="16"/>
      <c r="CR1308" s="16"/>
      <c r="CS1308" s="16"/>
      <c r="CT1308" s="16"/>
      <c r="CU1308" s="16"/>
      <c r="CV1308" s="16"/>
      <c r="CW1308" s="16"/>
      <c r="CX1308" s="16"/>
      <c r="CY1308" s="16"/>
      <c r="CZ1308" s="16"/>
      <c r="DA1308" s="16"/>
      <c r="DB1308" s="16"/>
      <c r="DC1308" s="16"/>
      <c r="DD1308" s="16"/>
      <c r="DE1308" s="17"/>
      <c r="DF1308" s="17"/>
      <c r="DG1308" s="16"/>
      <c r="DH1308" s="16"/>
      <c r="DI1308" s="18">
        <v>3</v>
      </c>
      <c r="DJ1308" s="18">
        <v>3</v>
      </c>
      <c r="DK1308" s="16"/>
      <c r="DL1308" s="16"/>
      <c r="DM1308" s="17"/>
      <c r="DN1308" s="17"/>
      <c r="DO1308" s="16"/>
      <c r="DP1308" s="16"/>
      <c r="DQ1308" s="17"/>
      <c r="DR1308" s="17"/>
      <c r="DS1308" s="16"/>
      <c r="DT1308" s="16"/>
      <c r="DU1308" s="17"/>
      <c r="DV1308" s="17"/>
      <c r="DW1308" s="16"/>
      <c r="DX1308" s="16"/>
      <c r="DY1308" s="17"/>
      <c r="DZ1308" s="17"/>
      <c r="EA1308" s="16"/>
      <c r="EB1308" s="16"/>
      <c r="EC1308" s="17"/>
      <c r="ED1308" s="17"/>
      <c r="EE1308" s="16"/>
      <c r="EF1308" s="16"/>
      <c r="EG1308" s="17"/>
      <c r="EH1308" s="17"/>
      <c r="EI1308" s="16"/>
      <c r="EJ1308" s="16"/>
      <c r="EK1308" s="17"/>
      <c r="EL1308" s="17"/>
      <c r="EM1308" s="16"/>
      <c r="EN1308" s="16"/>
      <c r="EO1308" s="17"/>
      <c r="EP1308" s="17"/>
      <c r="EQ1308" s="16"/>
      <c r="ER1308" s="16"/>
      <c r="ES1308" s="17"/>
      <c r="ET1308" s="17"/>
      <c r="EU1308" s="16"/>
      <c r="EV1308" s="16"/>
      <c r="EW1308" s="17"/>
      <c r="EX1308" s="17"/>
      <c r="EY1308" s="16"/>
      <c r="EZ1308" s="16"/>
      <c r="FA1308" s="17"/>
      <c r="FB1308" s="17"/>
      <c r="FC1308" s="16"/>
      <c r="FD1308" s="16"/>
      <c r="FE1308" s="17"/>
      <c r="FF1308" s="17"/>
      <c r="FG1308" s="11"/>
      <c r="GT1308" s="11"/>
      <c r="IG1308" s="11"/>
      <c r="JT1308" s="11"/>
      <c r="LG1308" s="11"/>
      <c r="MT1308" s="11"/>
      <c r="OG1308" s="11"/>
      <c r="PT1308" s="11"/>
    </row>
    <row r="1309" spans="3:436" ht="15.75" x14ac:dyDescent="0.25">
      <c r="C1309" s="20" t="s">
        <v>954</v>
      </c>
      <c r="D1309" s="21" t="s">
        <v>79</v>
      </c>
      <c r="H1309" s="11"/>
      <c r="AU1309" s="11"/>
      <c r="CH1309" s="11"/>
      <c r="CI1309" s="16"/>
      <c r="CJ1309" s="16"/>
      <c r="CK1309" s="16"/>
      <c r="CL1309" s="16"/>
      <c r="CM1309" s="16"/>
      <c r="CN1309" s="16"/>
      <c r="CO1309" s="16"/>
      <c r="CP1309" s="16"/>
      <c r="CQ1309" s="16"/>
      <c r="CR1309" s="16"/>
      <c r="CS1309" s="16"/>
      <c r="CT1309" s="16"/>
      <c r="CU1309" s="16"/>
      <c r="CV1309" s="16"/>
      <c r="CW1309" s="16"/>
      <c r="CX1309" s="16"/>
      <c r="CY1309" s="16"/>
      <c r="CZ1309" s="16"/>
      <c r="DA1309" s="16"/>
      <c r="DB1309" s="16"/>
      <c r="DC1309" s="16"/>
      <c r="DD1309" s="16"/>
      <c r="DE1309" s="17"/>
      <c r="DF1309" s="17"/>
      <c r="DG1309" s="16"/>
      <c r="DH1309" s="16"/>
      <c r="DI1309" s="18">
        <v>2</v>
      </c>
      <c r="DJ1309" s="18">
        <v>5</v>
      </c>
      <c r="DK1309" s="16"/>
      <c r="DL1309" s="16"/>
      <c r="DM1309" s="17"/>
      <c r="DN1309" s="17"/>
      <c r="DO1309" s="16"/>
      <c r="DP1309" s="16"/>
      <c r="DQ1309" s="17"/>
      <c r="DR1309" s="17"/>
      <c r="DS1309" s="16"/>
      <c r="DT1309" s="16"/>
      <c r="DU1309" s="17"/>
      <c r="DV1309" s="17"/>
      <c r="DW1309" s="16"/>
      <c r="DX1309" s="16"/>
      <c r="DY1309" s="17"/>
      <c r="DZ1309" s="17"/>
      <c r="EA1309" s="16"/>
      <c r="EB1309" s="16"/>
      <c r="EC1309" s="17"/>
      <c r="ED1309" s="17"/>
      <c r="EE1309" s="16"/>
      <c r="EF1309" s="16"/>
      <c r="EG1309" s="17"/>
      <c r="EH1309" s="17"/>
      <c r="EI1309" s="16"/>
      <c r="EJ1309" s="16"/>
      <c r="EK1309" s="17"/>
      <c r="EL1309" s="17"/>
      <c r="EM1309" s="16"/>
      <c r="EN1309" s="16"/>
      <c r="EO1309" s="17"/>
      <c r="EP1309" s="17"/>
      <c r="EQ1309" s="16"/>
      <c r="ER1309" s="16"/>
      <c r="ES1309" s="17"/>
      <c r="ET1309" s="17"/>
      <c r="EU1309" s="16"/>
      <c r="EV1309" s="16"/>
      <c r="EW1309" s="17"/>
      <c r="EX1309" s="17"/>
      <c r="EY1309" s="16"/>
      <c r="EZ1309" s="16"/>
      <c r="FA1309" s="17"/>
      <c r="FB1309" s="17"/>
      <c r="FC1309" s="16"/>
      <c r="FD1309" s="16"/>
      <c r="FE1309" s="17"/>
      <c r="FF1309" s="17"/>
      <c r="FG1309" s="11"/>
      <c r="GT1309" s="11"/>
      <c r="IG1309" s="11"/>
      <c r="JT1309" s="11"/>
      <c r="LG1309" s="11"/>
      <c r="MT1309" s="11"/>
      <c r="OG1309" s="11"/>
      <c r="PT1309" s="11"/>
    </row>
    <row r="1310" spans="3:436" ht="15.75" x14ac:dyDescent="0.25">
      <c r="C1310" s="20" t="s">
        <v>955</v>
      </c>
      <c r="D1310" s="21" t="s">
        <v>79</v>
      </c>
      <c r="H1310" s="11"/>
      <c r="AU1310" s="11"/>
      <c r="CH1310" s="11"/>
      <c r="CI1310" s="16"/>
      <c r="CJ1310" s="16"/>
      <c r="CK1310" s="16"/>
      <c r="CL1310" s="16"/>
      <c r="CM1310" s="16"/>
      <c r="CN1310" s="16"/>
      <c r="CO1310" s="16"/>
      <c r="CP1310" s="16"/>
      <c r="CQ1310" s="16"/>
      <c r="CR1310" s="16"/>
      <c r="CS1310" s="16"/>
      <c r="CT1310" s="16"/>
      <c r="CU1310" s="16"/>
      <c r="CV1310" s="16"/>
      <c r="CW1310" s="16"/>
      <c r="CX1310" s="16"/>
      <c r="CY1310" s="16"/>
      <c r="CZ1310" s="16"/>
      <c r="DA1310" s="16"/>
      <c r="DB1310" s="16"/>
      <c r="DC1310" s="16"/>
      <c r="DD1310" s="16"/>
      <c r="DE1310" s="17"/>
      <c r="DF1310" s="17"/>
      <c r="DG1310" s="16"/>
      <c r="DH1310" s="16"/>
      <c r="DI1310" s="18">
        <v>7</v>
      </c>
      <c r="DJ1310" s="18">
        <v>7</v>
      </c>
      <c r="DK1310" s="16"/>
      <c r="DL1310" s="16"/>
      <c r="DM1310" s="17"/>
      <c r="DN1310" s="17"/>
      <c r="DO1310" s="16"/>
      <c r="DP1310" s="16"/>
      <c r="DQ1310" s="17"/>
      <c r="DR1310" s="17"/>
      <c r="DS1310" s="16"/>
      <c r="DT1310" s="16"/>
      <c r="DU1310" s="17"/>
      <c r="DV1310" s="17"/>
      <c r="DW1310" s="16"/>
      <c r="DX1310" s="16"/>
      <c r="DY1310" s="17"/>
      <c r="DZ1310" s="17"/>
      <c r="EA1310" s="16"/>
      <c r="EB1310" s="16"/>
      <c r="EC1310" s="17"/>
      <c r="ED1310" s="17"/>
      <c r="EE1310" s="16"/>
      <c r="EF1310" s="16"/>
      <c r="EG1310" s="17"/>
      <c r="EH1310" s="17"/>
      <c r="EI1310" s="16"/>
      <c r="EJ1310" s="16"/>
      <c r="EK1310" s="17"/>
      <c r="EL1310" s="17"/>
      <c r="EM1310" s="16"/>
      <c r="EN1310" s="16"/>
      <c r="EO1310" s="17"/>
      <c r="EP1310" s="17"/>
      <c r="EQ1310" s="16"/>
      <c r="ER1310" s="16"/>
      <c r="ES1310" s="17"/>
      <c r="ET1310" s="17"/>
      <c r="EU1310" s="16"/>
      <c r="EV1310" s="16"/>
      <c r="EW1310" s="17"/>
      <c r="EX1310" s="17"/>
      <c r="EY1310" s="16"/>
      <c r="EZ1310" s="16"/>
      <c r="FA1310" s="17"/>
      <c r="FB1310" s="17"/>
      <c r="FC1310" s="16"/>
      <c r="FD1310" s="16"/>
      <c r="FE1310" s="17"/>
      <c r="FF1310" s="17"/>
      <c r="FG1310" s="11"/>
      <c r="GT1310" s="11"/>
      <c r="IG1310" s="11"/>
      <c r="JT1310" s="11"/>
      <c r="LG1310" s="11"/>
      <c r="MT1310" s="11"/>
      <c r="OG1310" s="11"/>
      <c r="PT1310" s="11"/>
    </row>
    <row r="1311" spans="3:436" ht="15.75" x14ac:dyDescent="0.25">
      <c r="C1311" s="20" t="s">
        <v>955</v>
      </c>
      <c r="D1311" s="21" t="s">
        <v>79</v>
      </c>
      <c r="H1311" s="11"/>
      <c r="AU1311" s="11"/>
      <c r="CH1311" s="11"/>
      <c r="CI1311" s="16"/>
      <c r="CJ1311" s="16"/>
      <c r="CK1311" s="16"/>
      <c r="CL1311" s="16"/>
      <c r="CM1311" s="16"/>
      <c r="CN1311" s="16"/>
      <c r="CO1311" s="16"/>
      <c r="CP1311" s="16"/>
      <c r="CQ1311" s="16"/>
      <c r="CR1311" s="16"/>
      <c r="CS1311" s="16"/>
      <c r="CT1311" s="16"/>
      <c r="CU1311" s="16"/>
      <c r="CV1311" s="16"/>
      <c r="CW1311" s="16"/>
      <c r="CX1311" s="16"/>
      <c r="CY1311" s="16"/>
      <c r="CZ1311" s="16"/>
      <c r="DA1311" s="16"/>
      <c r="DB1311" s="16"/>
      <c r="DC1311" s="16"/>
      <c r="DD1311" s="16"/>
      <c r="DE1311" s="17"/>
      <c r="DF1311" s="17"/>
      <c r="DG1311" s="16"/>
      <c r="DH1311" s="16"/>
      <c r="DI1311" s="18">
        <v>7</v>
      </c>
      <c r="DJ1311" s="18">
        <v>7</v>
      </c>
      <c r="DK1311" s="16"/>
      <c r="DL1311" s="16"/>
      <c r="DM1311" s="17"/>
      <c r="DN1311" s="17"/>
      <c r="DO1311" s="16"/>
      <c r="DP1311" s="16"/>
      <c r="DQ1311" s="17"/>
      <c r="DR1311" s="17"/>
      <c r="DS1311" s="16"/>
      <c r="DT1311" s="16"/>
      <c r="DU1311" s="17"/>
      <c r="DV1311" s="17"/>
      <c r="DW1311" s="16"/>
      <c r="DX1311" s="16"/>
      <c r="DY1311" s="17"/>
      <c r="DZ1311" s="17"/>
      <c r="EA1311" s="16"/>
      <c r="EB1311" s="16"/>
      <c r="EC1311" s="17"/>
      <c r="ED1311" s="17"/>
      <c r="EE1311" s="16"/>
      <c r="EF1311" s="16"/>
      <c r="EG1311" s="17"/>
      <c r="EH1311" s="17"/>
      <c r="EI1311" s="16"/>
      <c r="EJ1311" s="16"/>
      <c r="EK1311" s="17"/>
      <c r="EL1311" s="17"/>
      <c r="EM1311" s="16"/>
      <c r="EN1311" s="16"/>
      <c r="EO1311" s="17"/>
      <c r="EP1311" s="17"/>
      <c r="EQ1311" s="16"/>
      <c r="ER1311" s="16"/>
      <c r="ES1311" s="17"/>
      <c r="ET1311" s="17"/>
      <c r="EU1311" s="16"/>
      <c r="EV1311" s="16"/>
      <c r="EW1311" s="17"/>
      <c r="EX1311" s="17"/>
      <c r="EY1311" s="16"/>
      <c r="EZ1311" s="16"/>
      <c r="FA1311" s="17"/>
      <c r="FB1311" s="17"/>
      <c r="FC1311" s="16"/>
      <c r="FD1311" s="16"/>
      <c r="FE1311" s="17"/>
      <c r="FF1311" s="17"/>
      <c r="FG1311" s="11"/>
      <c r="GT1311" s="11"/>
      <c r="IG1311" s="11"/>
      <c r="JT1311" s="11"/>
      <c r="LG1311" s="11"/>
      <c r="MT1311" s="11"/>
      <c r="OG1311" s="11"/>
      <c r="PT1311" s="11"/>
    </row>
    <row r="1312" spans="3:436" ht="15.75" x14ac:dyDescent="0.25">
      <c r="C1312" s="20" t="s">
        <v>955</v>
      </c>
      <c r="D1312" s="21" t="s">
        <v>79</v>
      </c>
      <c r="H1312" s="11"/>
      <c r="AU1312" s="11"/>
      <c r="CH1312" s="11"/>
      <c r="CI1312" s="16"/>
      <c r="CJ1312" s="16"/>
      <c r="CK1312" s="16"/>
      <c r="CL1312" s="16"/>
      <c r="CM1312" s="16"/>
      <c r="CN1312" s="16"/>
      <c r="CO1312" s="16"/>
      <c r="CP1312" s="16"/>
      <c r="CQ1312" s="16"/>
      <c r="CR1312" s="16"/>
      <c r="CS1312" s="16"/>
      <c r="CT1312" s="16"/>
      <c r="CU1312" s="16"/>
      <c r="CV1312" s="16"/>
      <c r="CW1312" s="16"/>
      <c r="CX1312" s="16"/>
      <c r="CY1312" s="16"/>
      <c r="CZ1312" s="16"/>
      <c r="DA1312" s="16"/>
      <c r="DB1312" s="16"/>
      <c r="DC1312" s="16"/>
      <c r="DD1312" s="16"/>
      <c r="DE1312" s="17"/>
      <c r="DF1312" s="17"/>
      <c r="DG1312" s="16"/>
      <c r="DH1312" s="16"/>
      <c r="DI1312" s="18">
        <v>7</v>
      </c>
      <c r="DJ1312" s="18">
        <v>7</v>
      </c>
      <c r="DK1312" s="16"/>
      <c r="DL1312" s="16"/>
      <c r="DM1312" s="17"/>
      <c r="DN1312" s="17"/>
      <c r="DO1312" s="16"/>
      <c r="DP1312" s="16"/>
      <c r="DQ1312" s="17"/>
      <c r="DR1312" s="17"/>
      <c r="DS1312" s="16"/>
      <c r="DT1312" s="16"/>
      <c r="DU1312" s="17"/>
      <c r="DV1312" s="17"/>
      <c r="DW1312" s="16"/>
      <c r="DX1312" s="16"/>
      <c r="DY1312" s="17"/>
      <c r="DZ1312" s="17"/>
      <c r="EA1312" s="16"/>
      <c r="EB1312" s="16"/>
      <c r="EC1312" s="17"/>
      <c r="ED1312" s="17"/>
      <c r="EE1312" s="16"/>
      <c r="EF1312" s="16"/>
      <c r="EG1312" s="17"/>
      <c r="EH1312" s="17"/>
      <c r="EI1312" s="16"/>
      <c r="EJ1312" s="16"/>
      <c r="EK1312" s="17"/>
      <c r="EL1312" s="17"/>
      <c r="EM1312" s="16"/>
      <c r="EN1312" s="16"/>
      <c r="EO1312" s="17"/>
      <c r="EP1312" s="17"/>
      <c r="EQ1312" s="16"/>
      <c r="ER1312" s="16"/>
      <c r="ES1312" s="17"/>
      <c r="ET1312" s="17"/>
      <c r="EU1312" s="16"/>
      <c r="EV1312" s="16"/>
      <c r="EW1312" s="17"/>
      <c r="EX1312" s="17"/>
      <c r="EY1312" s="16"/>
      <c r="EZ1312" s="16"/>
      <c r="FA1312" s="17"/>
      <c r="FB1312" s="17"/>
      <c r="FC1312" s="16"/>
      <c r="FD1312" s="16"/>
      <c r="FE1312" s="17"/>
      <c r="FF1312" s="17"/>
      <c r="FG1312" s="11"/>
      <c r="GT1312" s="11"/>
      <c r="IG1312" s="11"/>
      <c r="JT1312" s="11"/>
      <c r="LG1312" s="11"/>
      <c r="MT1312" s="11"/>
      <c r="OG1312" s="11"/>
      <c r="PT1312" s="11"/>
    </row>
    <row r="1313" spans="1:436" ht="15.75" x14ac:dyDescent="0.25">
      <c r="C1313" s="20" t="s">
        <v>955</v>
      </c>
      <c r="D1313" s="21" t="s">
        <v>79</v>
      </c>
      <c r="H1313" s="11"/>
      <c r="AU1313" s="11"/>
      <c r="CH1313" s="11"/>
      <c r="CI1313" s="16"/>
      <c r="CJ1313" s="16"/>
      <c r="CK1313" s="16"/>
      <c r="CL1313" s="16"/>
      <c r="CM1313" s="16"/>
      <c r="CN1313" s="16"/>
      <c r="CO1313" s="16"/>
      <c r="CP1313" s="16"/>
      <c r="CQ1313" s="16"/>
      <c r="CR1313" s="16"/>
      <c r="CS1313" s="16"/>
      <c r="CT1313" s="16"/>
      <c r="CU1313" s="16"/>
      <c r="CV1313" s="16"/>
      <c r="CW1313" s="16"/>
      <c r="CX1313" s="16"/>
      <c r="CY1313" s="16"/>
      <c r="CZ1313" s="16"/>
      <c r="DA1313" s="16"/>
      <c r="DB1313" s="16"/>
      <c r="DC1313" s="16"/>
      <c r="DD1313" s="16"/>
      <c r="DE1313" s="17"/>
      <c r="DF1313" s="17"/>
      <c r="DG1313" s="16"/>
      <c r="DH1313" s="16"/>
      <c r="DI1313" s="18">
        <v>7</v>
      </c>
      <c r="DJ1313" s="18">
        <v>7</v>
      </c>
      <c r="DK1313" s="16"/>
      <c r="DL1313" s="16"/>
      <c r="DM1313" s="17"/>
      <c r="DN1313" s="17"/>
      <c r="DO1313" s="16"/>
      <c r="DP1313" s="16"/>
      <c r="DQ1313" s="17"/>
      <c r="DR1313" s="17"/>
      <c r="DS1313" s="16"/>
      <c r="DT1313" s="16"/>
      <c r="DU1313" s="17"/>
      <c r="DV1313" s="17"/>
      <c r="DW1313" s="16"/>
      <c r="DX1313" s="16"/>
      <c r="DY1313" s="17"/>
      <c r="DZ1313" s="17"/>
      <c r="EA1313" s="16"/>
      <c r="EB1313" s="16"/>
      <c r="EC1313" s="17"/>
      <c r="ED1313" s="17"/>
      <c r="EE1313" s="16"/>
      <c r="EF1313" s="16"/>
      <c r="EG1313" s="17"/>
      <c r="EH1313" s="17"/>
      <c r="EI1313" s="16"/>
      <c r="EJ1313" s="16"/>
      <c r="EK1313" s="17"/>
      <c r="EL1313" s="17"/>
      <c r="EM1313" s="16"/>
      <c r="EN1313" s="16"/>
      <c r="EO1313" s="17"/>
      <c r="EP1313" s="17"/>
      <c r="EQ1313" s="16"/>
      <c r="ER1313" s="16"/>
      <c r="ES1313" s="17"/>
      <c r="ET1313" s="17"/>
      <c r="EU1313" s="16"/>
      <c r="EV1313" s="16"/>
      <c r="EW1313" s="17"/>
      <c r="EX1313" s="17"/>
      <c r="EY1313" s="16"/>
      <c r="EZ1313" s="16"/>
      <c r="FA1313" s="17"/>
      <c r="FB1313" s="17"/>
      <c r="FC1313" s="16"/>
      <c r="FD1313" s="16"/>
      <c r="FE1313" s="17"/>
      <c r="FF1313" s="17"/>
      <c r="FG1313" s="11"/>
      <c r="GT1313" s="11"/>
      <c r="IG1313" s="11"/>
      <c r="JT1313" s="11"/>
      <c r="LG1313" s="11"/>
      <c r="MT1313" s="11"/>
      <c r="OG1313" s="11"/>
      <c r="PT1313" s="11"/>
    </row>
    <row r="1314" spans="1:436" ht="15.75" x14ac:dyDescent="0.25">
      <c r="C1314" s="20" t="s">
        <v>955</v>
      </c>
      <c r="D1314" s="21" t="s">
        <v>79</v>
      </c>
      <c r="H1314" s="11"/>
      <c r="AU1314" s="11"/>
      <c r="CH1314" s="11"/>
      <c r="CI1314" s="16"/>
      <c r="CJ1314" s="16"/>
      <c r="CK1314" s="16"/>
      <c r="CL1314" s="16"/>
      <c r="CM1314" s="16"/>
      <c r="CN1314" s="16"/>
      <c r="CO1314" s="16"/>
      <c r="CP1314" s="16"/>
      <c r="CQ1314" s="16"/>
      <c r="CR1314" s="16"/>
      <c r="CS1314" s="16"/>
      <c r="CT1314" s="16"/>
      <c r="CU1314" s="16"/>
      <c r="CV1314" s="16"/>
      <c r="CW1314" s="16"/>
      <c r="CX1314" s="16"/>
      <c r="CY1314" s="16"/>
      <c r="CZ1314" s="16"/>
      <c r="DA1314" s="16"/>
      <c r="DB1314" s="16"/>
      <c r="DC1314" s="16"/>
      <c r="DD1314" s="16"/>
      <c r="DE1314" s="17"/>
      <c r="DF1314" s="17"/>
      <c r="DG1314" s="16"/>
      <c r="DH1314" s="16"/>
      <c r="DI1314" s="18">
        <v>7</v>
      </c>
      <c r="DJ1314" s="18">
        <v>7</v>
      </c>
      <c r="DK1314" s="16"/>
      <c r="DL1314" s="16"/>
      <c r="DM1314" s="17"/>
      <c r="DN1314" s="17"/>
      <c r="DO1314" s="16"/>
      <c r="DP1314" s="16"/>
      <c r="DQ1314" s="17"/>
      <c r="DR1314" s="17"/>
      <c r="DS1314" s="16"/>
      <c r="DT1314" s="16"/>
      <c r="DU1314" s="17"/>
      <c r="DV1314" s="17"/>
      <c r="DW1314" s="16"/>
      <c r="DX1314" s="16"/>
      <c r="DY1314" s="17"/>
      <c r="DZ1314" s="17"/>
      <c r="EA1314" s="16"/>
      <c r="EB1314" s="16"/>
      <c r="EC1314" s="17"/>
      <c r="ED1314" s="17"/>
      <c r="EE1314" s="16"/>
      <c r="EF1314" s="16"/>
      <c r="EG1314" s="17"/>
      <c r="EH1314" s="17"/>
      <c r="EI1314" s="16"/>
      <c r="EJ1314" s="16"/>
      <c r="EK1314" s="17"/>
      <c r="EL1314" s="17"/>
      <c r="EM1314" s="16"/>
      <c r="EN1314" s="16"/>
      <c r="EO1314" s="17"/>
      <c r="EP1314" s="17"/>
      <c r="EQ1314" s="16"/>
      <c r="ER1314" s="16"/>
      <c r="ES1314" s="17"/>
      <c r="ET1314" s="17"/>
      <c r="EU1314" s="16"/>
      <c r="EV1314" s="16"/>
      <c r="EW1314" s="17"/>
      <c r="EX1314" s="17"/>
      <c r="EY1314" s="16"/>
      <c r="EZ1314" s="16"/>
      <c r="FA1314" s="17"/>
      <c r="FB1314" s="17"/>
      <c r="FC1314" s="16"/>
      <c r="FD1314" s="16"/>
      <c r="FE1314" s="17"/>
      <c r="FF1314" s="17"/>
      <c r="FG1314" s="11"/>
      <c r="GT1314" s="11"/>
      <c r="IG1314" s="11"/>
      <c r="JT1314" s="11"/>
      <c r="LG1314" s="11"/>
      <c r="MT1314" s="11"/>
      <c r="OG1314" s="11"/>
      <c r="PT1314" s="11"/>
    </row>
    <row r="1315" spans="1:436" ht="15.75" x14ac:dyDescent="0.25">
      <c r="C1315" s="20" t="s">
        <v>955</v>
      </c>
      <c r="D1315" s="21" t="s">
        <v>79</v>
      </c>
      <c r="H1315" s="11"/>
      <c r="AU1315" s="11"/>
      <c r="CH1315" s="11"/>
      <c r="CI1315" s="16"/>
      <c r="CJ1315" s="16"/>
      <c r="CK1315" s="16"/>
      <c r="CL1315" s="16"/>
      <c r="CM1315" s="16"/>
      <c r="CN1315" s="16"/>
      <c r="CO1315" s="16"/>
      <c r="CP1315" s="16"/>
      <c r="CQ1315" s="16"/>
      <c r="CR1315" s="16"/>
      <c r="CS1315" s="16"/>
      <c r="CT1315" s="16"/>
      <c r="CU1315" s="16"/>
      <c r="CV1315" s="16"/>
      <c r="CW1315" s="16"/>
      <c r="CX1315" s="16"/>
      <c r="CY1315" s="16"/>
      <c r="CZ1315" s="16"/>
      <c r="DA1315" s="16"/>
      <c r="DB1315" s="16"/>
      <c r="DC1315" s="16"/>
      <c r="DD1315" s="16"/>
      <c r="DE1315" s="17"/>
      <c r="DF1315" s="17"/>
      <c r="DG1315" s="16"/>
      <c r="DH1315" s="16"/>
      <c r="DI1315" s="18">
        <v>7</v>
      </c>
      <c r="DJ1315" s="18">
        <v>7</v>
      </c>
      <c r="DK1315" s="16"/>
      <c r="DL1315" s="16"/>
      <c r="DM1315" s="17"/>
      <c r="DN1315" s="17"/>
      <c r="DO1315" s="16"/>
      <c r="DP1315" s="16"/>
      <c r="DQ1315" s="17"/>
      <c r="DR1315" s="17"/>
      <c r="DS1315" s="16"/>
      <c r="DT1315" s="16"/>
      <c r="DU1315" s="17"/>
      <c r="DV1315" s="17"/>
      <c r="DW1315" s="16"/>
      <c r="DX1315" s="16"/>
      <c r="DY1315" s="17"/>
      <c r="DZ1315" s="17"/>
      <c r="EA1315" s="16"/>
      <c r="EB1315" s="16"/>
      <c r="EC1315" s="17"/>
      <c r="ED1315" s="17"/>
      <c r="EE1315" s="16"/>
      <c r="EF1315" s="16"/>
      <c r="EG1315" s="17"/>
      <c r="EH1315" s="17"/>
      <c r="EI1315" s="16"/>
      <c r="EJ1315" s="16"/>
      <c r="EK1315" s="17"/>
      <c r="EL1315" s="17"/>
      <c r="EM1315" s="16"/>
      <c r="EN1315" s="16"/>
      <c r="EO1315" s="17"/>
      <c r="EP1315" s="17"/>
      <c r="EQ1315" s="16"/>
      <c r="ER1315" s="16"/>
      <c r="ES1315" s="17"/>
      <c r="ET1315" s="17"/>
      <c r="EU1315" s="16"/>
      <c r="EV1315" s="16"/>
      <c r="EW1315" s="17"/>
      <c r="EX1315" s="17"/>
      <c r="EY1315" s="16"/>
      <c r="EZ1315" s="16"/>
      <c r="FA1315" s="17"/>
      <c r="FB1315" s="17"/>
      <c r="FC1315" s="16"/>
      <c r="FD1315" s="16"/>
      <c r="FE1315" s="17"/>
      <c r="FF1315" s="17"/>
      <c r="FG1315" s="11"/>
      <c r="GT1315" s="11"/>
      <c r="IG1315" s="11"/>
      <c r="JT1315" s="11"/>
      <c r="LG1315" s="11"/>
      <c r="MT1315" s="11"/>
      <c r="OG1315" s="11"/>
      <c r="PT1315" s="11"/>
    </row>
    <row r="1316" spans="1:436" ht="15.75" x14ac:dyDescent="0.25">
      <c r="A1316" s="13"/>
      <c r="B1316" s="14" t="s">
        <v>956</v>
      </c>
      <c r="C1316" s="13"/>
      <c r="D1316" s="13"/>
      <c r="E1316" s="15" t="s">
        <v>76</v>
      </c>
      <c r="F1316" s="15" t="s">
        <v>132</v>
      </c>
      <c r="G1316" s="13"/>
      <c r="H1316" s="11"/>
      <c r="AU1316" s="11"/>
      <c r="CH1316" s="11"/>
      <c r="CI1316" s="16"/>
      <c r="CJ1316" s="16"/>
      <c r="CK1316" s="16"/>
      <c r="CL1316" s="16"/>
      <c r="CM1316" s="16"/>
      <c r="CN1316" s="16"/>
      <c r="CO1316" s="16"/>
      <c r="CP1316" s="16"/>
      <c r="CQ1316" s="16"/>
      <c r="CR1316" s="16"/>
      <c r="CS1316" s="16"/>
      <c r="CT1316" s="16"/>
      <c r="CU1316" s="16"/>
      <c r="CV1316" s="16"/>
      <c r="CW1316" s="16"/>
      <c r="CX1316" s="16"/>
      <c r="CY1316" s="16"/>
      <c r="CZ1316" s="16"/>
      <c r="DA1316" s="16"/>
      <c r="DB1316" s="16"/>
      <c r="DC1316" s="16"/>
      <c r="DD1316" s="16"/>
      <c r="DE1316" s="17"/>
      <c r="DF1316" s="17"/>
      <c r="DG1316" s="16"/>
      <c r="DH1316" s="16"/>
      <c r="DI1316" s="17"/>
      <c r="DJ1316" s="17"/>
      <c r="DK1316" s="16"/>
      <c r="DL1316" s="16"/>
      <c r="DM1316" s="17"/>
      <c r="DN1316" s="17"/>
      <c r="DO1316" s="16"/>
      <c r="DP1316" s="16"/>
      <c r="DQ1316" s="17"/>
      <c r="DR1316" s="17"/>
      <c r="DS1316" s="16"/>
      <c r="DT1316" s="16"/>
      <c r="DU1316" s="17"/>
      <c r="DV1316" s="17"/>
      <c r="DW1316" s="16"/>
      <c r="DX1316" s="16"/>
      <c r="DY1316" s="17"/>
      <c r="DZ1316" s="17"/>
      <c r="EA1316" s="16"/>
      <c r="EB1316" s="16"/>
      <c r="EC1316" s="17"/>
      <c r="ED1316" s="17"/>
      <c r="EE1316" s="16"/>
      <c r="EF1316" s="16"/>
      <c r="EG1316" s="17"/>
      <c r="EH1316" s="17"/>
      <c r="EI1316" s="16"/>
      <c r="EJ1316" s="16"/>
      <c r="EK1316" s="17"/>
      <c r="EL1316" s="17"/>
      <c r="EM1316" s="16"/>
      <c r="EN1316" s="16"/>
      <c r="EO1316" s="17"/>
      <c r="EP1316" s="17"/>
      <c r="EQ1316" s="16"/>
      <c r="ER1316" s="16"/>
      <c r="ES1316" s="17"/>
      <c r="ET1316" s="17"/>
      <c r="EU1316" s="16"/>
      <c r="EV1316" s="16"/>
      <c r="EW1316" s="17"/>
      <c r="EX1316" s="17"/>
      <c r="EY1316" s="16"/>
      <c r="EZ1316" s="16"/>
      <c r="FA1316" s="17"/>
      <c r="FB1316" s="17"/>
      <c r="FC1316" s="16"/>
      <c r="FD1316" s="16"/>
      <c r="FE1316" s="17"/>
      <c r="FF1316" s="17"/>
      <c r="FG1316" s="11"/>
      <c r="GT1316" s="11"/>
      <c r="IG1316" s="11"/>
      <c r="JT1316" s="11"/>
      <c r="LG1316" s="11"/>
      <c r="MT1316" s="11"/>
      <c r="OG1316" s="11"/>
      <c r="PT1316" s="11"/>
    </row>
    <row r="1317" spans="1:436" ht="15.75" x14ac:dyDescent="0.25">
      <c r="C1317" s="20" t="s">
        <v>957</v>
      </c>
      <c r="D1317" s="21" t="s">
        <v>82</v>
      </c>
      <c r="H1317" s="11"/>
      <c r="AU1317" s="11"/>
      <c r="CH1317" s="11"/>
      <c r="CI1317" s="16"/>
      <c r="CJ1317" s="16"/>
      <c r="CK1317" s="16"/>
      <c r="CL1317" s="16"/>
      <c r="CM1317" s="16"/>
      <c r="CN1317" s="16"/>
      <c r="CO1317" s="16"/>
      <c r="CP1317" s="16"/>
      <c r="CQ1317" s="16"/>
      <c r="CR1317" s="16"/>
      <c r="CS1317" s="16"/>
      <c r="CT1317" s="16"/>
      <c r="CU1317" s="16"/>
      <c r="CV1317" s="16"/>
      <c r="CW1317" s="16"/>
      <c r="CX1317" s="16"/>
      <c r="CY1317" s="16"/>
      <c r="CZ1317" s="16"/>
      <c r="DA1317" s="16"/>
      <c r="DB1317" s="16"/>
      <c r="DC1317" s="16"/>
      <c r="DD1317" s="16"/>
      <c r="DE1317" s="17"/>
      <c r="DF1317" s="17"/>
      <c r="DG1317" s="16"/>
      <c r="DH1317" s="16"/>
      <c r="DI1317" s="17"/>
      <c r="DJ1317" s="17"/>
      <c r="DK1317" s="16"/>
      <c r="DL1317" s="16"/>
      <c r="DM1317" s="17"/>
      <c r="DN1317" s="17"/>
      <c r="DO1317" s="16"/>
      <c r="DP1317" s="16"/>
      <c r="DQ1317" s="17"/>
      <c r="DR1317" s="17"/>
      <c r="DS1317" s="16"/>
      <c r="DT1317" s="16"/>
      <c r="DU1317" s="17"/>
      <c r="DV1317" s="17"/>
      <c r="DW1317" s="16"/>
      <c r="DX1317" s="16"/>
      <c r="DY1317" s="17"/>
      <c r="DZ1317" s="17"/>
      <c r="EA1317" s="16"/>
      <c r="EB1317" s="16"/>
      <c r="EC1317" s="17"/>
      <c r="ED1317" s="17"/>
      <c r="EE1317" s="16"/>
      <c r="EF1317" s="16"/>
      <c r="EG1317" s="17"/>
      <c r="EH1317" s="17"/>
      <c r="EI1317" s="16"/>
      <c r="EJ1317" s="16"/>
      <c r="EK1317" s="17"/>
      <c r="EL1317" s="17"/>
      <c r="EM1317" s="16"/>
      <c r="EN1317" s="16"/>
      <c r="EO1317" s="17"/>
      <c r="EP1317" s="17"/>
      <c r="EQ1317" s="16"/>
      <c r="ER1317" s="16"/>
      <c r="ES1317" s="17"/>
      <c r="ET1317" s="17"/>
      <c r="EU1317" s="16"/>
      <c r="EV1317" s="16"/>
      <c r="EW1317" s="17"/>
      <c r="EX1317" s="17"/>
      <c r="EY1317" s="16"/>
      <c r="EZ1317" s="16"/>
      <c r="FA1317" s="17"/>
      <c r="FB1317" s="17"/>
      <c r="FC1317" s="16"/>
      <c r="FD1317" s="16"/>
      <c r="FE1317" s="17"/>
      <c r="FF1317" s="17"/>
      <c r="FG1317" s="11"/>
      <c r="GT1317" s="11"/>
      <c r="IG1317" s="11"/>
      <c r="JT1317" s="11"/>
      <c r="LG1317" s="11"/>
      <c r="MT1317" s="11"/>
      <c r="OG1317" s="11"/>
      <c r="PT1317" s="11"/>
    </row>
    <row r="1318" spans="1:436" ht="15.75" x14ac:dyDescent="0.25">
      <c r="C1318" s="20" t="s">
        <v>958</v>
      </c>
      <c r="D1318" s="21" t="s">
        <v>82</v>
      </c>
      <c r="H1318" s="11"/>
      <c r="AU1318" s="11"/>
      <c r="CH1318" s="11"/>
      <c r="CI1318" s="16"/>
      <c r="CJ1318" s="16"/>
      <c r="CK1318" s="16"/>
      <c r="CL1318" s="16"/>
      <c r="CM1318" s="16"/>
      <c r="CN1318" s="16"/>
      <c r="CO1318" s="16"/>
      <c r="CP1318" s="16"/>
      <c r="CQ1318" s="16"/>
      <c r="CR1318" s="16"/>
      <c r="CS1318" s="16"/>
      <c r="CT1318" s="16"/>
      <c r="CU1318" s="16"/>
      <c r="CV1318" s="16"/>
      <c r="CW1318" s="16"/>
      <c r="CX1318" s="16"/>
      <c r="CY1318" s="16"/>
      <c r="CZ1318" s="16"/>
      <c r="DA1318" s="16"/>
      <c r="DB1318" s="16"/>
      <c r="DC1318" s="16"/>
      <c r="DD1318" s="16"/>
      <c r="DE1318" s="17"/>
      <c r="DF1318" s="17"/>
      <c r="DG1318" s="16"/>
      <c r="DH1318" s="16"/>
      <c r="DI1318" s="17"/>
      <c r="DJ1318" s="17"/>
      <c r="DK1318" s="16"/>
      <c r="DL1318" s="16"/>
      <c r="DM1318" s="17"/>
      <c r="DN1318" s="17"/>
      <c r="DO1318" s="16"/>
      <c r="DP1318" s="16"/>
      <c r="DQ1318" s="17"/>
      <c r="DR1318" s="17"/>
      <c r="DS1318" s="16"/>
      <c r="DT1318" s="16"/>
      <c r="DU1318" s="17"/>
      <c r="DV1318" s="17"/>
      <c r="DW1318" s="16"/>
      <c r="DX1318" s="16"/>
      <c r="DY1318" s="17"/>
      <c r="DZ1318" s="17"/>
      <c r="EA1318" s="16"/>
      <c r="EB1318" s="16"/>
      <c r="EC1318" s="17"/>
      <c r="ED1318" s="17"/>
      <c r="EE1318" s="16"/>
      <c r="EF1318" s="16"/>
      <c r="EG1318" s="17"/>
      <c r="EH1318" s="17"/>
      <c r="EI1318" s="16"/>
      <c r="EJ1318" s="16"/>
      <c r="EK1318" s="17"/>
      <c r="EL1318" s="17"/>
      <c r="EM1318" s="16"/>
      <c r="EN1318" s="16"/>
      <c r="EO1318" s="17"/>
      <c r="EP1318" s="17"/>
      <c r="EQ1318" s="16"/>
      <c r="ER1318" s="16"/>
      <c r="ES1318" s="17"/>
      <c r="ET1318" s="17"/>
      <c r="EU1318" s="16"/>
      <c r="EV1318" s="16"/>
      <c r="EW1318" s="17"/>
      <c r="EX1318" s="17"/>
      <c r="EY1318" s="16"/>
      <c r="EZ1318" s="16"/>
      <c r="FA1318" s="17"/>
      <c r="FB1318" s="17"/>
      <c r="FC1318" s="16"/>
      <c r="FD1318" s="16"/>
      <c r="FE1318" s="17"/>
      <c r="FF1318" s="17"/>
      <c r="FG1318" s="11"/>
      <c r="GT1318" s="11"/>
      <c r="IG1318" s="11"/>
      <c r="JT1318" s="11"/>
      <c r="LG1318" s="11"/>
      <c r="MT1318" s="11"/>
      <c r="OG1318" s="11"/>
      <c r="PT1318" s="11"/>
    </row>
    <row r="1319" spans="1:436" ht="15.75" x14ac:dyDescent="0.25">
      <c r="C1319" s="20" t="s">
        <v>959</v>
      </c>
      <c r="D1319" s="21" t="s">
        <v>82</v>
      </c>
      <c r="H1319" s="11"/>
      <c r="AU1319" s="11"/>
      <c r="CH1319" s="11"/>
      <c r="CI1319" s="16"/>
      <c r="CJ1319" s="16"/>
      <c r="CK1319" s="16"/>
      <c r="CL1319" s="16"/>
      <c r="CM1319" s="16"/>
      <c r="CN1319" s="16"/>
      <c r="CO1319" s="16"/>
      <c r="CP1319" s="16"/>
      <c r="CQ1319" s="16"/>
      <c r="CR1319" s="16"/>
      <c r="CS1319" s="16"/>
      <c r="CT1319" s="16"/>
      <c r="CU1319" s="16"/>
      <c r="CV1319" s="16"/>
      <c r="CW1319" s="16"/>
      <c r="CX1319" s="16"/>
      <c r="CY1319" s="16"/>
      <c r="CZ1319" s="16"/>
      <c r="DA1319" s="16"/>
      <c r="DB1319" s="16"/>
      <c r="DC1319" s="16"/>
      <c r="DD1319" s="16"/>
      <c r="DE1319" s="17"/>
      <c r="DF1319" s="17"/>
      <c r="DG1319" s="16"/>
      <c r="DH1319" s="16"/>
      <c r="DI1319" s="17"/>
      <c r="DJ1319" s="17"/>
      <c r="DK1319" s="16"/>
      <c r="DL1319" s="16"/>
      <c r="DM1319" s="17"/>
      <c r="DN1319" s="17"/>
      <c r="DO1319" s="16"/>
      <c r="DP1319" s="16"/>
      <c r="DQ1319" s="17"/>
      <c r="DR1319" s="17"/>
      <c r="DS1319" s="16"/>
      <c r="DT1319" s="16"/>
      <c r="DU1319" s="17"/>
      <c r="DV1319" s="17"/>
      <c r="DW1319" s="16"/>
      <c r="DX1319" s="16"/>
      <c r="DY1319" s="17"/>
      <c r="DZ1319" s="17"/>
      <c r="EA1319" s="16"/>
      <c r="EB1319" s="16"/>
      <c r="EC1319" s="17"/>
      <c r="ED1319" s="17"/>
      <c r="EE1319" s="16"/>
      <c r="EF1319" s="16"/>
      <c r="EG1319" s="17"/>
      <c r="EH1319" s="17"/>
      <c r="EI1319" s="16"/>
      <c r="EJ1319" s="16"/>
      <c r="EK1319" s="17"/>
      <c r="EL1319" s="17"/>
      <c r="EM1319" s="16"/>
      <c r="EN1319" s="16"/>
      <c r="EO1319" s="17"/>
      <c r="EP1319" s="17"/>
      <c r="EQ1319" s="16"/>
      <c r="ER1319" s="16"/>
      <c r="ES1319" s="17"/>
      <c r="ET1319" s="17"/>
      <c r="EU1319" s="16"/>
      <c r="EV1319" s="16"/>
      <c r="EW1319" s="17"/>
      <c r="EX1319" s="17"/>
      <c r="EY1319" s="16"/>
      <c r="EZ1319" s="16"/>
      <c r="FA1319" s="17"/>
      <c r="FB1319" s="17"/>
      <c r="FC1319" s="16"/>
      <c r="FD1319" s="16"/>
      <c r="FE1319" s="17"/>
      <c r="FF1319" s="17"/>
      <c r="FG1319" s="11"/>
      <c r="GT1319" s="11"/>
      <c r="IG1319" s="11"/>
      <c r="JT1319" s="11"/>
      <c r="LG1319" s="11"/>
      <c r="MT1319" s="11"/>
      <c r="OG1319" s="11"/>
      <c r="PT1319" s="11"/>
    </row>
    <row r="1320" spans="1:436" ht="15.75" x14ac:dyDescent="0.25">
      <c r="C1320" s="20" t="s">
        <v>960</v>
      </c>
      <c r="D1320" s="21" t="s">
        <v>82</v>
      </c>
      <c r="H1320" s="11"/>
      <c r="AU1320" s="11"/>
      <c r="CH1320" s="11"/>
      <c r="CI1320" s="16"/>
      <c r="CJ1320" s="16"/>
      <c r="CK1320" s="16"/>
      <c r="CL1320" s="16"/>
      <c r="CM1320" s="16"/>
      <c r="CN1320" s="16"/>
      <c r="CO1320" s="16"/>
      <c r="CP1320" s="16"/>
      <c r="CQ1320" s="16"/>
      <c r="CR1320" s="16"/>
      <c r="CS1320" s="16"/>
      <c r="CT1320" s="16"/>
      <c r="CU1320" s="16"/>
      <c r="CV1320" s="16"/>
      <c r="CW1320" s="16"/>
      <c r="CX1320" s="16"/>
      <c r="CY1320" s="16"/>
      <c r="CZ1320" s="16"/>
      <c r="DA1320" s="16"/>
      <c r="DB1320" s="16"/>
      <c r="DC1320" s="16"/>
      <c r="DD1320" s="16"/>
      <c r="DE1320" s="17"/>
      <c r="DF1320" s="17"/>
      <c r="DG1320" s="16"/>
      <c r="DH1320" s="16"/>
      <c r="DI1320" s="17"/>
      <c r="DJ1320" s="17"/>
      <c r="DK1320" s="16"/>
      <c r="DL1320" s="16"/>
      <c r="DM1320" s="17"/>
      <c r="DN1320" s="17"/>
      <c r="DO1320" s="16"/>
      <c r="DP1320" s="16"/>
      <c r="DQ1320" s="17"/>
      <c r="DR1320" s="17"/>
      <c r="DS1320" s="16"/>
      <c r="DT1320" s="16"/>
      <c r="DU1320" s="17"/>
      <c r="DV1320" s="17"/>
      <c r="DW1320" s="16"/>
      <c r="DX1320" s="16"/>
      <c r="DY1320" s="17"/>
      <c r="DZ1320" s="17"/>
      <c r="EA1320" s="16"/>
      <c r="EB1320" s="16"/>
      <c r="EC1320" s="17"/>
      <c r="ED1320" s="17"/>
      <c r="EE1320" s="16"/>
      <c r="EF1320" s="16"/>
      <c r="EG1320" s="17"/>
      <c r="EH1320" s="17"/>
      <c r="EI1320" s="16"/>
      <c r="EJ1320" s="16"/>
      <c r="EK1320" s="17"/>
      <c r="EL1320" s="17"/>
      <c r="EM1320" s="16"/>
      <c r="EN1320" s="16"/>
      <c r="EO1320" s="17"/>
      <c r="EP1320" s="17"/>
      <c r="EQ1320" s="16"/>
      <c r="ER1320" s="16"/>
      <c r="ES1320" s="17"/>
      <c r="ET1320" s="17"/>
      <c r="EU1320" s="16"/>
      <c r="EV1320" s="16"/>
      <c r="EW1320" s="17"/>
      <c r="EX1320" s="17"/>
      <c r="EY1320" s="16"/>
      <c r="EZ1320" s="16"/>
      <c r="FA1320" s="17"/>
      <c r="FB1320" s="17"/>
      <c r="FC1320" s="16"/>
      <c r="FD1320" s="16"/>
      <c r="FE1320" s="17"/>
      <c r="FF1320" s="17"/>
      <c r="FG1320" s="11"/>
      <c r="GT1320" s="11"/>
      <c r="IG1320" s="11"/>
      <c r="JT1320" s="11"/>
      <c r="LG1320" s="11"/>
      <c r="MT1320" s="11"/>
      <c r="OG1320" s="11"/>
      <c r="PT1320" s="11"/>
    </row>
    <row r="1321" spans="1:436" ht="15.75" x14ac:dyDescent="0.25">
      <c r="C1321" s="20" t="s">
        <v>961</v>
      </c>
      <c r="D1321" s="21" t="s">
        <v>82</v>
      </c>
      <c r="H1321" s="11"/>
      <c r="AU1321" s="11"/>
      <c r="CH1321" s="11"/>
      <c r="CI1321" s="16"/>
      <c r="CJ1321" s="16"/>
      <c r="CK1321" s="16"/>
      <c r="CL1321" s="16"/>
      <c r="CM1321" s="16"/>
      <c r="CN1321" s="16"/>
      <c r="CO1321" s="16"/>
      <c r="CP1321" s="16"/>
      <c r="CQ1321" s="16"/>
      <c r="CR1321" s="16"/>
      <c r="CS1321" s="16"/>
      <c r="CT1321" s="16"/>
      <c r="CU1321" s="16"/>
      <c r="CV1321" s="16"/>
      <c r="CW1321" s="16"/>
      <c r="CX1321" s="16"/>
      <c r="CY1321" s="16"/>
      <c r="CZ1321" s="16"/>
      <c r="DA1321" s="16"/>
      <c r="DB1321" s="16"/>
      <c r="DC1321" s="16"/>
      <c r="DD1321" s="16"/>
      <c r="DE1321" s="17"/>
      <c r="DF1321" s="17"/>
      <c r="DG1321" s="16"/>
      <c r="DH1321" s="16"/>
      <c r="DI1321" s="17"/>
      <c r="DJ1321" s="17"/>
      <c r="DK1321" s="16"/>
      <c r="DL1321" s="16"/>
      <c r="DM1321" s="17"/>
      <c r="DN1321" s="17"/>
      <c r="DO1321" s="16"/>
      <c r="DP1321" s="16"/>
      <c r="DQ1321" s="17"/>
      <c r="DR1321" s="17"/>
      <c r="DS1321" s="16"/>
      <c r="DT1321" s="16"/>
      <c r="DU1321" s="17"/>
      <c r="DV1321" s="17"/>
      <c r="DW1321" s="16"/>
      <c r="DX1321" s="16"/>
      <c r="DY1321" s="17"/>
      <c r="DZ1321" s="17"/>
      <c r="EA1321" s="16"/>
      <c r="EB1321" s="16"/>
      <c r="EC1321" s="17"/>
      <c r="ED1321" s="17"/>
      <c r="EE1321" s="16"/>
      <c r="EF1321" s="16"/>
      <c r="EG1321" s="17"/>
      <c r="EH1321" s="17"/>
      <c r="EI1321" s="16"/>
      <c r="EJ1321" s="16"/>
      <c r="EK1321" s="17"/>
      <c r="EL1321" s="17"/>
      <c r="EM1321" s="16"/>
      <c r="EN1321" s="16"/>
      <c r="EO1321" s="17"/>
      <c r="EP1321" s="17"/>
      <c r="EQ1321" s="16"/>
      <c r="ER1321" s="16"/>
      <c r="ES1321" s="17"/>
      <c r="ET1321" s="17"/>
      <c r="EU1321" s="16"/>
      <c r="EV1321" s="16"/>
      <c r="EW1321" s="17"/>
      <c r="EX1321" s="17"/>
      <c r="EY1321" s="16"/>
      <c r="EZ1321" s="16"/>
      <c r="FA1321" s="17"/>
      <c r="FB1321" s="17"/>
      <c r="FC1321" s="16"/>
      <c r="FD1321" s="16"/>
      <c r="FE1321" s="17"/>
      <c r="FF1321" s="17"/>
      <c r="FG1321" s="11"/>
      <c r="GT1321" s="11"/>
      <c r="IG1321" s="11"/>
      <c r="JT1321" s="11"/>
      <c r="LG1321" s="11"/>
      <c r="MT1321" s="11"/>
      <c r="OG1321" s="11"/>
      <c r="PT1321" s="11"/>
    </row>
    <row r="1322" spans="1:436" ht="15.75" x14ac:dyDescent="0.25">
      <c r="C1322" s="20" t="s">
        <v>962</v>
      </c>
      <c r="D1322" s="21" t="s">
        <v>82</v>
      </c>
      <c r="H1322" s="11"/>
      <c r="AU1322" s="11"/>
      <c r="CH1322" s="11"/>
      <c r="CI1322" s="16"/>
      <c r="CJ1322" s="16"/>
      <c r="CK1322" s="16"/>
      <c r="CL1322" s="16"/>
      <c r="CM1322" s="16"/>
      <c r="CN1322" s="16"/>
      <c r="CO1322" s="16"/>
      <c r="CP1322" s="16"/>
      <c r="CQ1322" s="16"/>
      <c r="CR1322" s="16"/>
      <c r="CS1322" s="16"/>
      <c r="CT1322" s="16"/>
      <c r="CU1322" s="16"/>
      <c r="CV1322" s="16"/>
      <c r="CW1322" s="16"/>
      <c r="CX1322" s="16"/>
      <c r="CY1322" s="16"/>
      <c r="CZ1322" s="16"/>
      <c r="DA1322" s="16"/>
      <c r="DB1322" s="16"/>
      <c r="DC1322" s="16"/>
      <c r="DD1322" s="16"/>
      <c r="DE1322" s="17"/>
      <c r="DF1322" s="17"/>
      <c r="DG1322" s="16"/>
      <c r="DH1322" s="16"/>
      <c r="DI1322" s="17"/>
      <c r="DJ1322" s="17"/>
      <c r="DK1322" s="16"/>
      <c r="DL1322" s="16"/>
      <c r="DM1322" s="17"/>
      <c r="DN1322" s="17"/>
      <c r="DO1322" s="16"/>
      <c r="DP1322" s="16"/>
      <c r="DQ1322" s="17"/>
      <c r="DR1322" s="17"/>
      <c r="DS1322" s="16"/>
      <c r="DT1322" s="16"/>
      <c r="DU1322" s="17"/>
      <c r="DV1322" s="17"/>
      <c r="DW1322" s="16"/>
      <c r="DX1322" s="16"/>
      <c r="DY1322" s="17"/>
      <c r="DZ1322" s="17"/>
      <c r="EA1322" s="16"/>
      <c r="EB1322" s="16"/>
      <c r="EC1322" s="17"/>
      <c r="ED1322" s="17"/>
      <c r="EE1322" s="16"/>
      <c r="EF1322" s="16"/>
      <c r="EG1322" s="17"/>
      <c r="EH1322" s="17"/>
      <c r="EI1322" s="16"/>
      <c r="EJ1322" s="16"/>
      <c r="EK1322" s="17"/>
      <c r="EL1322" s="17"/>
      <c r="EM1322" s="16"/>
      <c r="EN1322" s="16"/>
      <c r="EO1322" s="17"/>
      <c r="EP1322" s="17"/>
      <c r="EQ1322" s="16"/>
      <c r="ER1322" s="16"/>
      <c r="ES1322" s="17"/>
      <c r="ET1322" s="17"/>
      <c r="EU1322" s="16"/>
      <c r="EV1322" s="16"/>
      <c r="EW1322" s="17"/>
      <c r="EX1322" s="17"/>
      <c r="EY1322" s="16"/>
      <c r="EZ1322" s="16"/>
      <c r="FA1322" s="17"/>
      <c r="FB1322" s="17"/>
      <c r="FC1322" s="16"/>
      <c r="FD1322" s="16"/>
      <c r="FE1322" s="17"/>
      <c r="FF1322" s="17"/>
      <c r="FG1322" s="11"/>
      <c r="GT1322" s="11"/>
      <c r="IG1322" s="11"/>
      <c r="JT1322" s="11"/>
      <c r="LG1322" s="11"/>
      <c r="MT1322" s="11"/>
      <c r="OG1322" s="11"/>
      <c r="PT1322" s="11"/>
    </row>
    <row r="1323" spans="1:436" ht="15.75" x14ac:dyDescent="0.25">
      <c r="C1323" s="20" t="s">
        <v>963</v>
      </c>
      <c r="D1323" s="21" t="s">
        <v>82</v>
      </c>
      <c r="H1323" s="11"/>
      <c r="AU1323" s="11"/>
      <c r="CH1323" s="11"/>
      <c r="CI1323" s="16"/>
      <c r="CJ1323" s="16"/>
      <c r="CK1323" s="16"/>
      <c r="CL1323" s="16"/>
      <c r="CM1323" s="16"/>
      <c r="CN1323" s="16"/>
      <c r="CO1323" s="16"/>
      <c r="CP1323" s="16"/>
      <c r="CQ1323" s="16"/>
      <c r="CR1323" s="16"/>
      <c r="CS1323" s="16"/>
      <c r="CT1323" s="16"/>
      <c r="CU1323" s="16"/>
      <c r="CV1323" s="16"/>
      <c r="CW1323" s="16"/>
      <c r="CX1323" s="16"/>
      <c r="CY1323" s="16"/>
      <c r="CZ1323" s="16"/>
      <c r="DA1323" s="16"/>
      <c r="DB1323" s="16"/>
      <c r="DC1323" s="16"/>
      <c r="DD1323" s="16"/>
      <c r="DE1323" s="17"/>
      <c r="DF1323" s="17"/>
      <c r="DG1323" s="16"/>
      <c r="DH1323" s="16"/>
      <c r="DI1323" s="17"/>
      <c r="DJ1323" s="17"/>
      <c r="DK1323" s="16"/>
      <c r="DL1323" s="16"/>
      <c r="DM1323" s="17"/>
      <c r="DN1323" s="17"/>
      <c r="DO1323" s="16"/>
      <c r="DP1323" s="16"/>
      <c r="DQ1323" s="17"/>
      <c r="DR1323" s="17"/>
      <c r="DS1323" s="16"/>
      <c r="DT1323" s="16"/>
      <c r="DU1323" s="17"/>
      <c r="DV1323" s="17"/>
      <c r="DW1323" s="16"/>
      <c r="DX1323" s="16"/>
      <c r="DY1323" s="17"/>
      <c r="DZ1323" s="17"/>
      <c r="EA1323" s="16"/>
      <c r="EB1323" s="16"/>
      <c r="EC1323" s="17"/>
      <c r="ED1323" s="17"/>
      <c r="EE1323" s="16"/>
      <c r="EF1323" s="16"/>
      <c r="EG1323" s="17"/>
      <c r="EH1323" s="17"/>
      <c r="EI1323" s="16"/>
      <c r="EJ1323" s="16"/>
      <c r="EK1323" s="17"/>
      <c r="EL1323" s="17"/>
      <c r="EM1323" s="16"/>
      <c r="EN1323" s="16"/>
      <c r="EO1323" s="17"/>
      <c r="EP1323" s="17"/>
      <c r="EQ1323" s="16"/>
      <c r="ER1323" s="16"/>
      <c r="ES1323" s="17"/>
      <c r="ET1323" s="17"/>
      <c r="EU1323" s="16"/>
      <c r="EV1323" s="16"/>
      <c r="EW1323" s="17"/>
      <c r="EX1323" s="17"/>
      <c r="EY1323" s="16"/>
      <c r="EZ1323" s="16"/>
      <c r="FA1323" s="17"/>
      <c r="FB1323" s="17"/>
      <c r="FC1323" s="16"/>
      <c r="FD1323" s="16"/>
      <c r="FE1323" s="17"/>
      <c r="FF1323" s="17"/>
      <c r="FG1323" s="11"/>
      <c r="GT1323" s="11"/>
      <c r="IG1323" s="11"/>
      <c r="JT1323" s="11"/>
      <c r="LG1323" s="11"/>
      <c r="MT1323" s="11"/>
      <c r="OG1323" s="11"/>
      <c r="PT1323" s="11"/>
    </row>
    <row r="1324" spans="1:436" ht="15.75" x14ac:dyDescent="0.25">
      <c r="C1324" s="20" t="s">
        <v>964</v>
      </c>
      <c r="D1324" s="21" t="s">
        <v>82</v>
      </c>
      <c r="H1324" s="11"/>
      <c r="AU1324" s="11"/>
      <c r="CH1324" s="11"/>
      <c r="CI1324" s="16"/>
      <c r="CJ1324" s="16"/>
      <c r="CK1324" s="16"/>
      <c r="CL1324" s="16"/>
      <c r="CM1324" s="16"/>
      <c r="CN1324" s="16"/>
      <c r="CO1324" s="16"/>
      <c r="CP1324" s="16"/>
      <c r="CQ1324" s="16"/>
      <c r="CR1324" s="16"/>
      <c r="CS1324" s="16"/>
      <c r="CT1324" s="16"/>
      <c r="CU1324" s="16"/>
      <c r="CV1324" s="16"/>
      <c r="CW1324" s="16"/>
      <c r="CX1324" s="16"/>
      <c r="CY1324" s="16"/>
      <c r="CZ1324" s="16"/>
      <c r="DA1324" s="16"/>
      <c r="DB1324" s="16"/>
      <c r="DC1324" s="16"/>
      <c r="DD1324" s="16"/>
      <c r="DE1324" s="17"/>
      <c r="DF1324" s="17"/>
      <c r="DG1324" s="16"/>
      <c r="DH1324" s="16"/>
      <c r="DI1324" s="17"/>
      <c r="DJ1324" s="17"/>
      <c r="DK1324" s="16"/>
      <c r="DL1324" s="16"/>
      <c r="DM1324" s="17"/>
      <c r="DN1324" s="17"/>
      <c r="DO1324" s="16"/>
      <c r="DP1324" s="16"/>
      <c r="DQ1324" s="17"/>
      <c r="DR1324" s="17"/>
      <c r="DS1324" s="16"/>
      <c r="DT1324" s="16"/>
      <c r="DU1324" s="17"/>
      <c r="DV1324" s="17"/>
      <c r="DW1324" s="16"/>
      <c r="DX1324" s="16"/>
      <c r="DY1324" s="17"/>
      <c r="DZ1324" s="17"/>
      <c r="EA1324" s="16"/>
      <c r="EB1324" s="16"/>
      <c r="EC1324" s="17"/>
      <c r="ED1324" s="17"/>
      <c r="EE1324" s="16"/>
      <c r="EF1324" s="16"/>
      <c r="EG1324" s="17"/>
      <c r="EH1324" s="17"/>
      <c r="EI1324" s="16"/>
      <c r="EJ1324" s="16"/>
      <c r="EK1324" s="17"/>
      <c r="EL1324" s="17"/>
      <c r="EM1324" s="16"/>
      <c r="EN1324" s="16"/>
      <c r="EO1324" s="17"/>
      <c r="EP1324" s="17"/>
      <c r="EQ1324" s="16"/>
      <c r="ER1324" s="16"/>
      <c r="ES1324" s="17"/>
      <c r="ET1324" s="17"/>
      <c r="EU1324" s="16"/>
      <c r="EV1324" s="16"/>
      <c r="EW1324" s="17"/>
      <c r="EX1324" s="17"/>
      <c r="EY1324" s="16"/>
      <c r="EZ1324" s="16"/>
      <c r="FA1324" s="17"/>
      <c r="FB1324" s="17"/>
      <c r="FC1324" s="16"/>
      <c r="FD1324" s="16"/>
      <c r="FE1324" s="17"/>
      <c r="FF1324" s="17"/>
      <c r="FG1324" s="11"/>
      <c r="GT1324" s="11"/>
      <c r="IG1324" s="11"/>
      <c r="JT1324" s="11"/>
      <c r="LG1324" s="11"/>
      <c r="MT1324" s="11"/>
      <c r="OG1324" s="11"/>
      <c r="PT1324" s="11"/>
    </row>
    <row r="1325" spans="1:436" ht="15.75" x14ac:dyDescent="0.25">
      <c r="C1325" s="20" t="s">
        <v>965</v>
      </c>
      <c r="D1325" s="21" t="s">
        <v>82</v>
      </c>
      <c r="H1325" s="11"/>
      <c r="AU1325" s="11"/>
      <c r="CH1325" s="11"/>
      <c r="CI1325" s="16"/>
      <c r="CJ1325" s="16"/>
      <c r="CK1325" s="16"/>
      <c r="CL1325" s="16"/>
      <c r="CM1325" s="16"/>
      <c r="CN1325" s="16"/>
      <c r="CO1325" s="16"/>
      <c r="CP1325" s="16"/>
      <c r="CQ1325" s="16"/>
      <c r="CR1325" s="16"/>
      <c r="CS1325" s="16"/>
      <c r="CT1325" s="16"/>
      <c r="CU1325" s="16"/>
      <c r="CV1325" s="16"/>
      <c r="CW1325" s="16"/>
      <c r="CX1325" s="16"/>
      <c r="CY1325" s="16"/>
      <c r="CZ1325" s="16"/>
      <c r="DA1325" s="16"/>
      <c r="DB1325" s="16"/>
      <c r="DC1325" s="16"/>
      <c r="DD1325" s="16"/>
      <c r="DE1325" s="17"/>
      <c r="DF1325" s="17"/>
      <c r="DG1325" s="16"/>
      <c r="DH1325" s="16"/>
      <c r="DI1325" s="17"/>
      <c r="DJ1325" s="17"/>
      <c r="DK1325" s="16"/>
      <c r="DL1325" s="16"/>
      <c r="DM1325" s="17"/>
      <c r="DN1325" s="17"/>
      <c r="DO1325" s="16"/>
      <c r="DP1325" s="16"/>
      <c r="DQ1325" s="17"/>
      <c r="DR1325" s="17"/>
      <c r="DS1325" s="16"/>
      <c r="DT1325" s="16"/>
      <c r="DU1325" s="17"/>
      <c r="DV1325" s="17"/>
      <c r="DW1325" s="16"/>
      <c r="DX1325" s="16"/>
      <c r="DY1325" s="17"/>
      <c r="DZ1325" s="17"/>
      <c r="EA1325" s="16"/>
      <c r="EB1325" s="16"/>
      <c r="EC1325" s="17"/>
      <c r="ED1325" s="17"/>
      <c r="EE1325" s="16"/>
      <c r="EF1325" s="16"/>
      <c r="EG1325" s="17"/>
      <c r="EH1325" s="17"/>
      <c r="EI1325" s="16"/>
      <c r="EJ1325" s="16"/>
      <c r="EK1325" s="17"/>
      <c r="EL1325" s="17"/>
      <c r="EM1325" s="16"/>
      <c r="EN1325" s="16"/>
      <c r="EO1325" s="17"/>
      <c r="EP1325" s="17"/>
      <c r="EQ1325" s="16"/>
      <c r="ER1325" s="16"/>
      <c r="ES1325" s="17"/>
      <c r="ET1325" s="17"/>
      <c r="EU1325" s="16"/>
      <c r="EV1325" s="16"/>
      <c r="EW1325" s="17"/>
      <c r="EX1325" s="17"/>
      <c r="EY1325" s="16"/>
      <c r="EZ1325" s="16"/>
      <c r="FA1325" s="17"/>
      <c r="FB1325" s="17"/>
      <c r="FC1325" s="16"/>
      <c r="FD1325" s="16"/>
      <c r="FE1325" s="17"/>
      <c r="FF1325" s="17"/>
      <c r="FG1325" s="11"/>
      <c r="GT1325" s="11"/>
      <c r="IG1325" s="11"/>
      <c r="JT1325" s="11"/>
      <c r="LG1325" s="11"/>
      <c r="MT1325" s="11"/>
      <c r="OG1325" s="11"/>
      <c r="PT1325" s="11"/>
    </row>
    <row r="1326" spans="1:436" ht="15.75" x14ac:dyDescent="0.25">
      <c r="C1326" s="20" t="s">
        <v>966</v>
      </c>
      <c r="D1326" s="21" t="s">
        <v>90</v>
      </c>
      <c r="H1326" s="11"/>
      <c r="AU1326" s="11"/>
      <c r="CH1326" s="11"/>
      <c r="CI1326" s="16"/>
      <c r="CJ1326" s="16"/>
      <c r="CK1326" s="16"/>
      <c r="CL1326" s="16"/>
      <c r="CM1326" s="16"/>
      <c r="CN1326" s="16"/>
      <c r="CO1326" s="16"/>
      <c r="CP1326" s="16"/>
      <c r="CQ1326" s="16"/>
      <c r="CR1326" s="16"/>
      <c r="CS1326" s="16"/>
      <c r="CT1326" s="16"/>
      <c r="CU1326" s="16"/>
      <c r="CV1326" s="16"/>
      <c r="CW1326" s="16"/>
      <c r="CX1326" s="16"/>
      <c r="CY1326" s="16"/>
      <c r="CZ1326" s="16"/>
      <c r="DA1326" s="16"/>
      <c r="DB1326" s="16"/>
      <c r="DC1326" s="16"/>
      <c r="DD1326" s="16"/>
      <c r="DE1326" s="17"/>
      <c r="DF1326" s="17"/>
      <c r="DG1326" s="16"/>
      <c r="DH1326" s="16"/>
      <c r="DI1326" s="17"/>
      <c r="DJ1326" s="17"/>
      <c r="DK1326" s="16"/>
      <c r="DL1326" s="16"/>
      <c r="DM1326" s="17"/>
      <c r="DN1326" s="17"/>
      <c r="DO1326" s="16"/>
      <c r="DP1326" s="16"/>
      <c r="DQ1326" s="17"/>
      <c r="DR1326" s="17"/>
      <c r="DS1326" s="16"/>
      <c r="DT1326" s="16"/>
      <c r="DU1326" s="17"/>
      <c r="DV1326" s="17"/>
      <c r="DW1326" s="16"/>
      <c r="DX1326" s="16"/>
      <c r="DY1326" s="17"/>
      <c r="DZ1326" s="17"/>
      <c r="EA1326" s="16"/>
      <c r="EB1326" s="16"/>
      <c r="EC1326" s="17"/>
      <c r="ED1326" s="17"/>
      <c r="EE1326" s="16"/>
      <c r="EF1326" s="16"/>
      <c r="EG1326" s="17"/>
      <c r="EH1326" s="17"/>
      <c r="EI1326" s="16"/>
      <c r="EJ1326" s="16"/>
      <c r="EK1326" s="17"/>
      <c r="EL1326" s="17"/>
      <c r="EM1326" s="16"/>
      <c r="EN1326" s="16"/>
      <c r="EO1326" s="17"/>
      <c r="EP1326" s="17"/>
      <c r="EQ1326" s="16"/>
      <c r="ER1326" s="16"/>
      <c r="ES1326" s="17"/>
      <c r="ET1326" s="17"/>
      <c r="EU1326" s="16"/>
      <c r="EV1326" s="16"/>
      <c r="EW1326" s="17"/>
      <c r="EX1326" s="17"/>
      <c r="EY1326" s="16"/>
      <c r="EZ1326" s="16"/>
      <c r="FA1326" s="17"/>
      <c r="FB1326" s="17"/>
      <c r="FC1326" s="16"/>
      <c r="FD1326" s="16"/>
      <c r="FE1326" s="17"/>
      <c r="FF1326" s="17"/>
      <c r="FG1326" s="11"/>
      <c r="GT1326" s="11"/>
      <c r="IG1326" s="11"/>
      <c r="JT1326" s="11"/>
      <c r="LG1326" s="11"/>
      <c r="MT1326" s="11"/>
      <c r="OG1326" s="11"/>
      <c r="PT1326" s="11"/>
    </row>
    <row r="1327" spans="1:436" ht="15.75" x14ac:dyDescent="0.25">
      <c r="C1327" s="20" t="s">
        <v>967</v>
      </c>
      <c r="D1327" s="21" t="s">
        <v>79</v>
      </c>
      <c r="H1327" s="11"/>
      <c r="AU1327" s="11"/>
      <c r="CH1327" s="11"/>
      <c r="CI1327" s="16"/>
      <c r="CJ1327" s="16"/>
      <c r="CK1327" s="16"/>
      <c r="CL1327" s="16"/>
      <c r="CM1327" s="16"/>
      <c r="CN1327" s="16"/>
      <c r="CO1327" s="16"/>
      <c r="CP1327" s="16"/>
      <c r="CQ1327" s="16"/>
      <c r="CR1327" s="16"/>
      <c r="CS1327" s="16"/>
      <c r="CT1327" s="16"/>
      <c r="CU1327" s="16"/>
      <c r="CV1327" s="16"/>
      <c r="CW1327" s="16"/>
      <c r="CX1327" s="16"/>
      <c r="CY1327" s="16"/>
      <c r="CZ1327" s="16"/>
      <c r="DA1327" s="16"/>
      <c r="DB1327" s="16"/>
      <c r="DC1327" s="16"/>
      <c r="DD1327" s="16"/>
      <c r="DE1327" s="17"/>
      <c r="DF1327" s="17"/>
      <c r="DG1327" s="16"/>
      <c r="DH1327" s="16"/>
      <c r="DI1327" s="18">
        <v>5</v>
      </c>
      <c r="DJ1327" s="18">
        <v>5</v>
      </c>
      <c r="DK1327" s="16"/>
      <c r="DL1327" s="16"/>
      <c r="DM1327" s="17"/>
      <c r="DN1327" s="17"/>
      <c r="DO1327" s="16"/>
      <c r="DP1327" s="16"/>
      <c r="DQ1327" s="17"/>
      <c r="DR1327" s="17"/>
      <c r="DS1327" s="16"/>
      <c r="DT1327" s="16"/>
      <c r="DU1327" s="17"/>
      <c r="DV1327" s="17"/>
      <c r="DW1327" s="16"/>
      <c r="DX1327" s="16"/>
      <c r="DY1327" s="17"/>
      <c r="DZ1327" s="17"/>
      <c r="EA1327" s="16"/>
      <c r="EB1327" s="16"/>
      <c r="EC1327" s="17"/>
      <c r="ED1327" s="17"/>
      <c r="EE1327" s="16"/>
      <c r="EF1327" s="16"/>
      <c r="EG1327" s="17"/>
      <c r="EH1327" s="17"/>
      <c r="EI1327" s="16"/>
      <c r="EJ1327" s="16"/>
      <c r="EK1327" s="17"/>
      <c r="EL1327" s="17"/>
      <c r="EM1327" s="16"/>
      <c r="EN1327" s="16"/>
      <c r="EO1327" s="17"/>
      <c r="EP1327" s="17"/>
      <c r="EQ1327" s="16"/>
      <c r="ER1327" s="16"/>
      <c r="ES1327" s="17"/>
      <c r="ET1327" s="17"/>
      <c r="EU1327" s="16"/>
      <c r="EV1327" s="16"/>
      <c r="EW1327" s="17"/>
      <c r="EX1327" s="17"/>
      <c r="EY1327" s="16"/>
      <c r="EZ1327" s="16"/>
      <c r="FA1327" s="17"/>
      <c r="FB1327" s="17"/>
      <c r="FC1327" s="16"/>
      <c r="FD1327" s="16"/>
      <c r="FE1327" s="17"/>
      <c r="FF1327" s="17"/>
      <c r="FG1327" s="11"/>
      <c r="GT1327" s="11"/>
      <c r="IG1327" s="11"/>
      <c r="JT1327" s="11"/>
      <c r="LG1327" s="11"/>
      <c r="MT1327" s="11"/>
      <c r="OG1327" s="11"/>
      <c r="PT1327" s="11"/>
    </row>
    <row r="1328" spans="1:436" ht="15.75" x14ac:dyDescent="0.25">
      <c r="C1328" s="20" t="s">
        <v>145</v>
      </c>
      <c r="D1328" s="21" t="s">
        <v>146</v>
      </c>
      <c r="H1328" s="11"/>
      <c r="AU1328" s="11"/>
      <c r="CH1328" s="11"/>
      <c r="CI1328" s="16"/>
      <c r="CJ1328" s="16"/>
      <c r="CK1328" s="16"/>
      <c r="CL1328" s="16"/>
      <c r="CM1328" s="16"/>
      <c r="CN1328" s="16"/>
      <c r="CO1328" s="16"/>
      <c r="CP1328" s="16"/>
      <c r="CQ1328" s="16"/>
      <c r="CR1328" s="16"/>
      <c r="CS1328" s="16"/>
      <c r="CT1328" s="16"/>
      <c r="CU1328" s="16"/>
      <c r="CV1328" s="16"/>
      <c r="CW1328" s="16"/>
      <c r="CX1328" s="16"/>
      <c r="CY1328" s="16"/>
      <c r="CZ1328" s="16"/>
      <c r="DA1328" s="16"/>
      <c r="DB1328" s="16"/>
      <c r="DC1328" s="16"/>
      <c r="DD1328" s="16"/>
      <c r="DE1328" s="17"/>
      <c r="DF1328" s="17"/>
      <c r="DG1328" s="16"/>
      <c r="DH1328" s="16"/>
      <c r="DI1328" s="17"/>
      <c r="DJ1328" s="17"/>
      <c r="DK1328" s="16"/>
      <c r="DL1328" s="16"/>
      <c r="DM1328" s="17"/>
      <c r="DN1328" s="17"/>
      <c r="DO1328" s="16"/>
      <c r="DP1328" s="16"/>
      <c r="DQ1328" s="18">
        <v>0.5</v>
      </c>
      <c r="DR1328" s="18">
        <v>1</v>
      </c>
      <c r="DS1328" s="16"/>
      <c r="DT1328" s="16"/>
      <c r="DU1328" s="17"/>
      <c r="DV1328" s="17"/>
      <c r="DW1328" s="16"/>
      <c r="DX1328" s="16"/>
      <c r="DY1328" s="17"/>
      <c r="DZ1328" s="17"/>
      <c r="EA1328" s="16"/>
      <c r="EB1328" s="16"/>
      <c r="EC1328" s="17"/>
      <c r="ED1328" s="17"/>
      <c r="EE1328" s="16"/>
      <c r="EF1328" s="16"/>
      <c r="EG1328" s="17"/>
      <c r="EH1328" s="17"/>
      <c r="EI1328" s="16"/>
      <c r="EJ1328" s="16"/>
      <c r="EK1328" s="17"/>
      <c r="EL1328" s="17"/>
      <c r="EM1328" s="16"/>
      <c r="EN1328" s="16"/>
      <c r="EO1328" s="17"/>
      <c r="EP1328" s="17"/>
      <c r="EQ1328" s="16"/>
      <c r="ER1328" s="16"/>
      <c r="ES1328" s="17"/>
      <c r="ET1328" s="17"/>
      <c r="EU1328" s="16"/>
      <c r="EV1328" s="16"/>
      <c r="EW1328" s="17"/>
      <c r="EX1328" s="17"/>
      <c r="EY1328" s="16"/>
      <c r="EZ1328" s="16"/>
      <c r="FA1328" s="17"/>
      <c r="FB1328" s="17"/>
      <c r="FC1328" s="16"/>
      <c r="FD1328" s="16"/>
      <c r="FE1328" s="17"/>
      <c r="FF1328" s="17"/>
      <c r="FG1328" s="11"/>
      <c r="GT1328" s="11"/>
      <c r="IG1328" s="11"/>
      <c r="JT1328" s="11"/>
      <c r="LG1328" s="11"/>
      <c r="MT1328" s="11"/>
      <c r="OG1328" s="11"/>
      <c r="PT1328" s="11"/>
    </row>
    <row r="1329" spans="1:474" ht="15.75" x14ac:dyDescent="0.25">
      <c r="C1329" s="20" t="s">
        <v>968</v>
      </c>
      <c r="D1329" s="21" t="s">
        <v>82</v>
      </c>
      <c r="H1329" s="11"/>
      <c r="AU1329" s="11"/>
      <c r="CH1329" s="11"/>
      <c r="CI1329" s="16"/>
      <c r="CJ1329" s="16"/>
      <c r="CK1329" s="16"/>
      <c r="CL1329" s="16"/>
      <c r="CM1329" s="16"/>
      <c r="CN1329" s="16"/>
      <c r="CO1329" s="16"/>
      <c r="CP1329" s="16"/>
      <c r="CQ1329" s="16"/>
      <c r="CR1329" s="16"/>
      <c r="CS1329" s="16"/>
      <c r="CT1329" s="16"/>
      <c r="CU1329" s="16"/>
      <c r="CV1329" s="16"/>
      <c r="CW1329" s="16"/>
      <c r="CX1329" s="16"/>
      <c r="CY1329" s="16"/>
      <c r="CZ1329" s="16"/>
      <c r="DA1329" s="16"/>
      <c r="DB1329" s="16"/>
      <c r="DC1329" s="16"/>
      <c r="DD1329" s="16"/>
      <c r="DE1329" s="17"/>
      <c r="DF1329" s="17"/>
      <c r="DG1329" s="16"/>
      <c r="DH1329" s="16"/>
      <c r="DI1329" s="17"/>
      <c r="DJ1329" s="17"/>
      <c r="DK1329" s="16"/>
      <c r="DL1329" s="16"/>
      <c r="DM1329" s="17"/>
      <c r="DN1329" s="17"/>
      <c r="DO1329" s="16"/>
      <c r="DP1329" s="16"/>
      <c r="DQ1329" s="17"/>
      <c r="DR1329" s="17"/>
      <c r="DS1329" s="16"/>
      <c r="DT1329" s="16"/>
      <c r="DU1329" s="17"/>
      <c r="DV1329" s="17"/>
      <c r="DW1329" s="16"/>
      <c r="DX1329" s="16"/>
      <c r="DY1329" s="17"/>
      <c r="DZ1329" s="17"/>
      <c r="EA1329" s="16"/>
      <c r="EB1329" s="16"/>
      <c r="EC1329" s="17"/>
      <c r="ED1329" s="17"/>
      <c r="EE1329" s="16"/>
      <c r="EF1329" s="16"/>
      <c r="EG1329" s="17"/>
      <c r="EH1329" s="17"/>
      <c r="EI1329" s="16"/>
      <c r="EJ1329" s="16"/>
      <c r="EK1329" s="17"/>
      <c r="EL1329" s="17"/>
      <c r="EM1329" s="16"/>
      <c r="EN1329" s="16"/>
      <c r="EO1329" s="17"/>
      <c r="EP1329" s="17"/>
      <c r="EQ1329" s="16"/>
      <c r="ER1329" s="16"/>
      <c r="ES1329" s="17"/>
      <c r="ET1329" s="17"/>
      <c r="EU1329" s="16"/>
      <c r="EV1329" s="16"/>
      <c r="EW1329" s="17"/>
      <c r="EX1329" s="17"/>
      <c r="EY1329" s="16"/>
      <c r="EZ1329" s="16"/>
      <c r="FA1329" s="17"/>
      <c r="FB1329" s="17"/>
      <c r="FC1329" s="16"/>
      <c r="FD1329" s="16"/>
      <c r="FE1329" s="17"/>
      <c r="FF1329" s="17"/>
      <c r="FG1329" s="11"/>
      <c r="GT1329" s="11"/>
      <c r="IG1329" s="11"/>
      <c r="JT1329" s="11"/>
      <c r="LG1329" s="11"/>
      <c r="MT1329" s="11"/>
      <c r="OG1329" s="11"/>
      <c r="PT1329" s="11"/>
    </row>
    <row r="1330" spans="1:474" ht="15.75" x14ac:dyDescent="0.25">
      <c r="C1330" s="20" t="s">
        <v>969</v>
      </c>
      <c r="D1330" s="21" t="s">
        <v>79</v>
      </c>
      <c r="H1330" s="11"/>
      <c r="AU1330" s="11"/>
      <c r="CH1330" s="11"/>
      <c r="CI1330" s="16"/>
      <c r="CJ1330" s="16"/>
      <c r="CK1330" s="16"/>
      <c r="CL1330" s="16"/>
      <c r="CM1330" s="16"/>
      <c r="CN1330" s="16"/>
      <c r="CO1330" s="16"/>
      <c r="CP1330" s="16"/>
      <c r="CQ1330" s="16"/>
      <c r="CR1330" s="16"/>
      <c r="CS1330" s="16"/>
      <c r="CT1330" s="16"/>
      <c r="CU1330" s="16"/>
      <c r="CV1330" s="16"/>
      <c r="CW1330" s="16"/>
      <c r="CX1330" s="16"/>
      <c r="CY1330" s="16"/>
      <c r="CZ1330" s="16"/>
      <c r="DA1330" s="16"/>
      <c r="DB1330" s="16"/>
      <c r="DC1330" s="16"/>
      <c r="DD1330" s="16"/>
      <c r="DE1330" s="17"/>
      <c r="DF1330" s="17"/>
      <c r="DG1330" s="16"/>
      <c r="DH1330" s="16"/>
      <c r="DI1330" s="18">
        <v>4</v>
      </c>
      <c r="DJ1330" s="18">
        <v>9</v>
      </c>
      <c r="DK1330" s="16"/>
      <c r="DL1330" s="16"/>
      <c r="DM1330" s="17"/>
      <c r="DN1330" s="17"/>
      <c r="DO1330" s="16"/>
      <c r="DP1330" s="16"/>
      <c r="DQ1330" s="17"/>
      <c r="DR1330" s="17"/>
      <c r="DS1330" s="16"/>
      <c r="DT1330" s="16"/>
      <c r="DU1330" s="17"/>
      <c r="DV1330" s="17"/>
      <c r="DW1330" s="16"/>
      <c r="DX1330" s="16"/>
      <c r="DY1330" s="17"/>
      <c r="DZ1330" s="17"/>
      <c r="EA1330" s="16"/>
      <c r="EB1330" s="16"/>
      <c r="EC1330" s="17"/>
      <c r="ED1330" s="17"/>
      <c r="EE1330" s="16"/>
      <c r="EF1330" s="16"/>
      <c r="EG1330" s="17"/>
      <c r="EH1330" s="17"/>
      <c r="EI1330" s="16"/>
      <c r="EJ1330" s="16"/>
      <c r="EK1330" s="17"/>
      <c r="EL1330" s="17"/>
      <c r="EM1330" s="16"/>
      <c r="EN1330" s="16"/>
      <c r="EO1330" s="17"/>
      <c r="EP1330" s="17"/>
      <c r="EQ1330" s="16"/>
      <c r="ER1330" s="16"/>
      <c r="ES1330" s="17"/>
      <c r="ET1330" s="17"/>
      <c r="EU1330" s="16"/>
      <c r="EV1330" s="16"/>
      <c r="EW1330" s="17"/>
      <c r="EX1330" s="17"/>
      <c r="EY1330" s="16"/>
      <c r="EZ1330" s="16"/>
      <c r="FA1330" s="17"/>
      <c r="FB1330" s="17"/>
      <c r="FC1330" s="16"/>
      <c r="FD1330" s="16"/>
      <c r="FE1330" s="17"/>
      <c r="FF1330" s="17"/>
      <c r="FG1330" s="11"/>
      <c r="GT1330" s="11"/>
      <c r="IG1330" s="11"/>
      <c r="JT1330" s="11"/>
      <c r="LG1330" s="11"/>
      <c r="MT1330" s="11"/>
      <c r="OG1330" s="11"/>
      <c r="PT1330" s="11"/>
    </row>
    <row r="1331" spans="1:474" ht="15.75" x14ac:dyDescent="0.25">
      <c r="C1331" s="20" t="s">
        <v>970</v>
      </c>
      <c r="D1331" s="21" t="s">
        <v>90</v>
      </c>
      <c r="H1331" s="11"/>
      <c r="AU1331" s="11"/>
      <c r="CH1331" s="11"/>
      <c r="CI1331" s="16"/>
      <c r="CJ1331" s="16"/>
      <c r="CK1331" s="16"/>
      <c r="CL1331" s="16"/>
      <c r="CM1331" s="16"/>
      <c r="CN1331" s="16"/>
      <c r="CO1331" s="16"/>
      <c r="CP1331" s="16"/>
      <c r="CQ1331" s="16"/>
      <c r="CR1331" s="16"/>
      <c r="CS1331" s="16"/>
      <c r="CT1331" s="16"/>
      <c r="CU1331" s="16"/>
      <c r="CV1331" s="16"/>
      <c r="CW1331" s="16"/>
      <c r="CX1331" s="16"/>
      <c r="CY1331" s="16"/>
      <c r="CZ1331" s="16"/>
      <c r="DA1331" s="16"/>
      <c r="DB1331" s="16"/>
      <c r="DC1331" s="16"/>
      <c r="DD1331" s="16"/>
      <c r="DE1331" s="17"/>
      <c r="DF1331" s="17"/>
      <c r="DG1331" s="16"/>
      <c r="DH1331" s="16"/>
      <c r="DI1331" s="17"/>
      <c r="DJ1331" s="17"/>
      <c r="DK1331" s="16"/>
      <c r="DL1331" s="16"/>
      <c r="DM1331" s="17"/>
      <c r="DN1331" s="17"/>
      <c r="DO1331" s="16"/>
      <c r="DP1331" s="16"/>
      <c r="DQ1331" s="17"/>
      <c r="DR1331" s="17"/>
      <c r="DS1331" s="16"/>
      <c r="DT1331" s="16"/>
      <c r="DU1331" s="17"/>
      <c r="DV1331" s="17"/>
      <c r="DW1331" s="16"/>
      <c r="DX1331" s="16"/>
      <c r="DY1331" s="17"/>
      <c r="DZ1331" s="17"/>
      <c r="EA1331" s="16"/>
      <c r="EB1331" s="16"/>
      <c r="EC1331" s="17"/>
      <c r="ED1331" s="17"/>
      <c r="EE1331" s="16"/>
      <c r="EF1331" s="16"/>
      <c r="EG1331" s="17"/>
      <c r="EH1331" s="17"/>
      <c r="EI1331" s="16"/>
      <c r="EJ1331" s="16"/>
      <c r="EK1331" s="17"/>
      <c r="EL1331" s="17"/>
      <c r="EM1331" s="16"/>
      <c r="EN1331" s="16"/>
      <c r="EO1331" s="17"/>
      <c r="EP1331" s="17"/>
      <c r="EQ1331" s="16"/>
      <c r="ER1331" s="16"/>
      <c r="ES1331" s="17"/>
      <c r="ET1331" s="17"/>
      <c r="EU1331" s="16"/>
      <c r="EV1331" s="16"/>
      <c r="EW1331" s="17"/>
      <c r="EX1331" s="17"/>
      <c r="EY1331" s="16"/>
      <c r="EZ1331" s="16"/>
      <c r="FA1331" s="17"/>
      <c r="FB1331" s="17"/>
      <c r="FC1331" s="16"/>
      <c r="FD1331" s="16"/>
      <c r="FE1331" s="17"/>
      <c r="FF1331" s="17"/>
      <c r="FG1331" s="11"/>
      <c r="GT1331" s="11"/>
      <c r="IG1331" s="11"/>
      <c r="JT1331" s="11"/>
      <c r="LG1331" s="11"/>
      <c r="MT1331" s="11"/>
      <c r="OG1331" s="11"/>
      <c r="PT1331" s="11"/>
    </row>
    <row r="1332" spans="1:474" ht="15.75" x14ac:dyDescent="0.25">
      <c r="C1332" s="20" t="s">
        <v>957</v>
      </c>
      <c r="D1332" s="21" t="s">
        <v>82</v>
      </c>
      <c r="H1332" s="11"/>
      <c r="AU1332" s="11"/>
      <c r="CH1332" s="11"/>
      <c r="CI1332" s="16"/>
      <c r="CJ1332" s="16"/>
      <c r="CK1332" s="16"/>
      <c r="CL1332" s="16"/>
      <c r="CM1332" s="16"/>
      <c r="CN1332" s="16"/>
      <c r="CO1332" s="16"/>
      <c r="CP1332" s="16"/>
      <c r="CQ1332" s="16"/>
      <c r="CR1332" s="16"/>
      <c r="CS1332" s="16"/>
      <c r="CT1332" s="16"/>
      <c r="CU1332" s="16"/>
      <c r="CV1332" s="16"/>
      <c r="CW1332" s="16"/>
      <c r="CX1332" s="16"/>
      <c r="CY1332" s="16"/>
      <c r="CZ1332" s="16"/>
      <c r="DA1332" s="16"/>
      <c r="DB1332" s="16"/>
      <c r="DC1332" s="16"/>
      <c r="DD1332" s="16"/>
      <c r="DE1332" s="17"/>
      <c r="DF1332" s="17"/>
      <c r="DG1332" s="16"/>
      <c r="DH1332" s="16"/>
      <c r="DI1332" s="17"/>
      <c r="DJ1332" s="17"/>
      <c r="DK1332" s="16"/>
      <c r="DL1332" s="16"/>
      <c r="DM1332" s="17"/>
      <c r="DN1332" s="17"/>
      <c r="DO1332" s="16"/>
      <c r="DP1332" s="16"/>
      <c r="DQ1332" s="17"/>
      <c r="DR1332" s="17"/>
      <c r="DS1332" s="16"/>
      <c r="DT1332" s="16"/>
      <c r="DU1332" s="17"/>
      <c r="DV1332" s="17"/>
      <c r="DW1332" s="16"/>
      <c r="DX1332" s="16"/>
      <c r="DY1332" s="17"/>
      <c r="DZ1332" s="17"/>
      <c r="EA1332" s="16"/>
      <c r="EB1332" s="16"/>
      <c r="EC1332" s="17"/>
      <c r="ED1332" s="17"/>
      <c r="EE1332" s="16"/>
      <c r="EF1332" s="16"/>
      <c r="EG1332" s="17"/>
      <c r="EH1332" s="17"/>
      <c r="EI1332" s="16"/>
      <c r="EJ1332" s="16"/>
      <c r="EK1332" s="17"/>
      <c r="EL1332" s="17"/>
      <c r="EM1332" s="16"/>
      <c r="EN1332" s="16"/>
      <c r="EO1332" s="17"/>
      <c r="EP1332" s="17"/>
      <c r="EQ1332" s="16"/>
      <c r="ER1332" s="16"/>
      <c r="ES1332" s="17"/>
      <c r="ET1332" s="17"/>
      <c r="EU1332" s="16"/>
      <c r="EV1332" s="16"/>
      <c r="EW1332" s="17"/>
      <c r="EX1332" s="17"/>
      <c r="EY1332" s="16"/>
      <c r="EZ1332" s="16"/>
      <c r="FA1332" s="17"/>
      <c r="FB1332" s="17"/>
      <c r="FC1332" s="16"/>
      <c r="FD1332" s="16"/>
      <c r="FE1332" s="17"/>
      <c r="FF1332" s="17"/>
      <c r="FG1332" s="11"/>
      <c r="GT1332" s="11"/>
      <c r="IG1332" s="11"/>
      <c r="JT1332" s="11"/>
      <c r="LG1332" s="11"/>
      <c r="MT1332" s="11"/>
      <c r="OG1332" s="11"/>
      <c r="PT1332" s="11"/>
    </row>
    <row r="1333" spans="1:474" ht="15.75" x14ac:dyDescent="0.25">
      <c r="C1333" s="20" t="s">
        <v>971</v>
      </c>
      <c r="D1333" s="21" t="s">
        <v>82</v>
      </c>
      <c r="H1333" s="11"/>
      <c r="AU1333" s="11"/>
      <c r="CH1333" s="11"/>
      <c r="CI1333" s="16"/>
      <c r="CJ1333" s="16"/>
      <c r="CK1333" s="16"/>
      <c r="CL1333" s="16"/>
      <c r="CM1333" s="16"/>
      <c r="CN1333" s="16"/>
      <c r="CO1333" s="16"/>
      <c r="CP1333" s="16"/>
      <c r="CQ1333" s="16"/>
      <c r="CR1333" s="16"/>
      <c r="CS1333" s="16"/>
      <c r="CT1333" s="16"/>
      <c r="CU1333" s="16"/>
      <c r="CV1333" s="16"/>
      <c r="CW1333" s="16"/>
      <c r="CX1333" s="16"/>
      <c r="CY1333" s="16"/>
      <c r="CZ1333" s="16"/>
      <c r="DA1333" s="16"/>
      <c r="DB1333" s="16"/>
      <c r="DC1333" s="16"/>
      <c r="DD1333" s="16"/>
      <c r="DE1333" s="17"/>
      <c r="DF1333" s="17"/>
      <c r="DG1333" s="16"/>
      <c r="DH1333" s="16"/>
      <c r="DI1333" s="17"/>
      <c r="DJ1333" s="17"/>
      <c r="DK1333" s="16"/>
      <c r="DL1333" s="16"/>
      <c r="DM1333" s="17"/>
      <c r="DN1333" s="17"/>
      <c r="DO1333" s="16"/>
      <c r="DP1333" s="16"/>
      <c r="DQ1333" s="17"/>
      <c r="DR1333" s="17"/>
      <c r="DS1333" s="16"/>
      <c r="DT1333" s="16"/>
      <c r="DU1333" s="17"/>
      <c r="DV1333" s="17"/>
      <c r="DW1333" s="16"/>
      <c r="DX1333" s="16"/>
      <c r="DY1333" s="17"/>
      <c r="DZ1333" s="17"/>
      <c r="EA1333" s="16"/>
      <c r="EB1333" s="16"/>
      <c r="EC1333" s="17"/>
      <c r="ED1333" s="17"/>
      <c r="EE1333" s="16"/>
      <c r="EF1333" s="16"/>
      <c r="EG1333" s="17"/>
      <c r="EH1333" s="17"/>
      <c r="EI1333" s="16"/>
      <c r="EJ1333" s="16"/>
      <c r="EK1333" s="17"/>
      <c r="EL1333" s="17"/>
      <c r="EM1333" s="16"/>
      <c r="EN1333" s="16"/>
      <c r="EO1333" s="17"/>
      <c r="EP1333" s="17"/>
      <c r="EQ1333" s="16"/>
      <c r="ER1333" s="16"/>
      <c r="ES1333" s="18">
        <v>1</v>
      </c>
      <c r="ET1333" s="18">
        <v>2</v>
      </c>
      <c r="EU1333" s="16"/>
      <c r="EV1333" s="16"/>
      <c r="EW1333" s="17"/>
      <c r="EX1333" s="17"/>
      <c r="EY1333" s="16"/>
      <c r="EZ1333" s="16"/>
      <c r="FA1333" s="17"/>
      <c r="FB1333" s="17"/>
      <c r="FC1333" s="16"/>
      <c r="FD1333" s="16"/>
      <c r="FE1333" s="17"/>
      <c r="FF1333" s="17"/>
      <c r="FG1333" s="11"/>
      <c r="GT1333" s="11"/>
      <c r="IG1333" s="11"/>
      <c r="JT1333" s="11"/>
      <c r="LG1333" s="11"/>
      <c r="MT1333" s="11"/>
      <c r="OG1333" s="11"/>
      <c r="PT1333" s="11"/>
    </row>
    <row r="1334" spans="1:474" ht="15.75" x14ac:dyDescent="0.25">
      <c r="C1334" s="20" t="s">
        <v>972</v>
      </c>
      <c r="D1334" s="21" t="s">
        <v>82</v>
      </c>
      <c r="H1334" s="11"/>
      <c r="AU1334" s="11"/>
      <c r="CH1334" s="11"/>
      <c r="CI1334" s="16"/>
      <c r="CJ1334" s="16"/>
      <c r="CK1334" s="16"/>
      <c r="CL1334" s="16"/>
      <c r="CM1334" s="16"/>
      <c r="CN1334" s="16"/>
      <c r="CO1334" s="16"/>
      <c r="CP1334" s="16"/>
      <c r="CQ1334" s="16"/>
      <c r="CR1334" s="16"/>
      <c r="CS1334" s="16"/>
      <c r="CT1334" s="16"/>
      <c r="CU1334" s="16"/>
      <c r="CV1334" s="16"/>
      <c r="CW1334" s="16"/>
      <c r="CX1334" s="16"/>
      <c r="CY1334" s="16"/>
      <c r="CZ1334" s="16"/>
      <c r="DA1334" s="16"/>
      <c r="DB1334" s="16"/>
      <c r="DC1334" s="16"/>
      <c r="DD1334" s="16"/>
      <c r="DE1334" s="17"/>
      <c r="DF1334" s="17"/>
      <c r="DG1334" s="16"/>
      <c r="DH1334" s="16"/>
      <c r="DI1334" s="17"/>
      <c r="DJ1334" s="17"/>
      <c r="DK1334" s="16"/>
      <c r="DL1334" s="16"/>
      <c r="DM1334" s="17"/>
      <c r="DN1334" s="17"/>
      <c r="DO1334" s="16"/>
      <c r="DP1334" s="16"/>
      <c r="DQ1334" s="17"/>
      <c r="DR1334" s="17"/>
      <c r="DS1334" s="16"/>
      <c r="DT1334" s="16"/>
      <c r="DU1334" s="17"/>
      <c r="DV1334" s="17"/>
      <c r="DW1334" s="16"/>
      <c r="DX1334" s="16"/>
      <c r="DY1334" s="17"/>
      <c r="DZ1334" s="17"/>
      <c r="EA1334" s="16"/>
      <c r="EB1334" s="16"/>
      <c r="EC1334" s="17"/>
      <c r="ED1334" s="17"/>
      <c r="EE1334" s="16"/>
      <c r="EF1334" s="16"/>
      <c r="EG1334" s="17"/>
      <c r="EH1334" s="17"/>
      <c r="EI1334" s="16"/>
      <c r="EJ1334" s="16"/>
      <c r="EK1334" s="17"/>
      <c r="EL1334" s="17"/>
      <c r="EM1334" s="16"/>
      <c r="EN1334" s="16"/>
      <c r="EO1334" s="17"/>
      <c r="EP1334" s="17"/>
      <c r="EQ1334" s="16"/>
      <c r="ER1334" s="16"/>
      <c r="ES1334" s="18">
        <v>1</v>
      </c>
      <c r="ET1334" s="18">
        <v>2</v>
      </c>
      <c r="EU1334" s="16"/>
      <c r="EV1334" s="16"/>
      <c r="EW1334" s="17"/>
      <c r="EX1334" s="17"/>
      <c r="EY1334" s="16"/>
      <c r="EZ1334" s="16"/>
      <c r="FA1334" s="17"/>
      <c r="FB1334" s="17"/>
      <c r="FC1334" s="16"/>
      <c r="FD1334" s="16"/>
      <c r="FE1334" s="17"/>
      <c r="FF1334" s="17"/>
      <c r="FG1334" s="11"/>
      <c r="GT1334" s="11"/>
      <c r="IG1334" s="11"/>
      <c r="JT1334" s="11"/>
      <c r="LG1334" s="11"/>
      <c r="MT1334" s="11"/>
      <c r="OG1334" s="11"/>
      <c r="PT1334" s="11"/>
    </row>
    <row r="1335" spans="1:474" ht="15.75" x14ac:dyDescent="0.25">
      <c r="C1335" s="20" t="s">
        <v>973</v>
      </c>
      <c r="D1335" s="21" t="s">
        <v>82</v>
      </c>
      <c r="H1335" s="11"/>
      <c r="AU1335" s="11"/>
      <c r="CH1335" s="11"/>
      <c r="CI1335" s="16"/>
      <c r="CJ1335" s="16"/>
      <c r="CK1335" s="16"/>
      <c r="CL1335" s="16"/>
      <c r="CM1335" s="16"/>
      <c r="CN1335" s="16"/>
      <c r="CO1335" s="16"/>
      <c r="CP1335" s="16"/>
      <c r="CQ1335" s="16"/>
      <c r="CR1335" s="16"/>
      <c r="CS1335" s="16"/>
      <c r="CT1335" s="16"/>
      <c r="CU1335" s="16"/>
      <c r="CV1335" s="16"/>
      <c r="CW1335" s="16"/>
      <c r="CX1335" s="16"/>
      <c r="CY1335" s="16"/>
      <c r="CZ1335" s="16"/>
      <c r="DA1335" s="16"/>
      <c r="DB1335" s="16"/>
      <c r="DC1335" s="16"/>
      <c r="DD1335" s="16"/>
      <c r="DE1335" s="17"/>
      <c r="DF1335" s="17"/>
      <c r="DG1335" s="16"/>
      <c r="DH1335" s="16"/>
      <c r="DI1335" s="17"/>
      <c r="DJ1335" s="17"/>
      <c r="DK1335" s="16"/>
      <c r="DL1335" s="16"/>
      <c r="DM1335" s="17"/>
      <c r="DN1335" s="17"/>
      <c r="DO1335" s="16"/>
      <c r="DP1335" s="16"/>
      <c r="DQ1335" s="17"/>
      <c r="DR1335" s="17"/>
      <c r="DS1335" s="16"/>
      <c r="DT1335" s="16"/>
      <c r="DU1335" s="17"/>
      <c r="DV1335" s="17"/>
      <c r="DW1335" s="16"/>
      <c r="DX1335" s="16"/>
      <c r="DY1335" s="17"/>
      <c r="DZ1335" s="17"/>
      <c r="EA1335" s="16"/>
      <c r="EB1335" s="16"/>
      <c r="EC1335" s="17"/>
      <c r="ED1335" s="17"/>
      <c r="EE1335" s="16"/>
      <c r="EF1335" s="16"/>
      <c r="EG1335" s="17"/>
      <c r="EH1335" s="17"/>
      <c r="EI1335" s="16"/>
      <c r="EJ1335" s="16"/>
      <c r="EK1335" s="17"/>
      <c r="EL1335" s="17"/>
      <c r="EM1335" s="16"/>
      <c r="EN1335" s="16"/>
      <c r="EO1335" s="17"/>
      <c r="EP1335" s="17"/>
      <c r="EQ1335" s="16"/>
      <c r="ER1335" s="16"/>
      <c r="ES1335" s="18">
        <v>3</v>
      </c>
      <c r="ET1335" s="18">
        <v>5</v>
      </c>
      <c r="EU1335" s="16"/>
      <c r="EV1335" s="16"/>
      <c r="EW1335" s="17"/>
      <c r="EX1335" s="17"/>
      <c r="EY1335" s="16"/>
      <c r="EZ1335" s="16"/>
      <c r="FA1335" s="17"/>
      <c r="FB1335" s="17"/>
      <c r="FC1335" s="16"/>
      <c r="FD1335" s="16"/>
      <c r="FE1335" s="17"/>
      <c r="FF1335" s="17"/>
      <c r="FG1335" s="11"/>
      <c r="GT1335" s="11"/>
      <c r="IG1335" s="11"/>
      <c r="JT1335" s="11"/>
      <c r="LG1335" s="11"/>
      <c r="MT1335" s="11"/>
      <c r="OG1335" s="11"/>
      <c r="PT1335" s="11"/>
    </row>
    <row r="1336" spans="1:474" ht="15.75" x14ac:dyDescent="0.25">
      <c r="C1336" s="20" t="s">
        <v>966</v>
      </c>
      <c r="D1336" s="21" t="s">
        <v>90</v>
      </c>
      <c r="H1336" s="11"/>
      <c r="AU1336" s="11"/>
      <c r="CH1336" s="11"/>
      <c r="CI1336" s="16"/>
      <c r="CJ1336" s="16"/>
      <c r="CK1336" s="16"/>
      <c r="CL1336" s="16"/>
      <c r="CM1336" s="16"/>
      <c r="CN1336" s="16"/>
      <c r="CO1336" s="16"/>
      <c r="CP1336" s="16"/>
      <c r="CQ1336" s="16"/>
      <c r="CR1336" s="16"/>
      <c r="CS1336" s="16"/>
      <c r="CT1336" s="16"/>
      <c r="CU1336" s="16"/>
      <c r="CV1336" s="16"/>
      <c r="CW1336" s="16"/>
      <c r="CX1336" s="16"/>
      <c r="CY1336" s="16"/>
      <c r="CZ1336" s="16"/>
      <c r="DA1336" s="16"/>
      <c r="DB1336" s="16"/>
      <c r="DC1336" s="16"/>
      <c r="DD1336" s="16"/>
      <c r="DE1336" s="17"/>
      <c r="DF1336" s="17"/>
      <c r="DG1336" s="16"/>
      <c r="DH1336" s="16"/>
      <c r="DI1336" s="17"/>
      <c r="DJ1336" s="17"/>
      <c r="DK1336" s="16"/>
      <c r="DL1336" s="16"/>
      <c r="DM1336" s="17"/>
      <c r="DN1336" s="17"/>
      <c r="DO1336" s="16"/>
      <c r="DP1336" s="16"/>
      <c r="DQ1336" s="17"/>
      <c r="DR1336" s="17"/>
      <c r="DS1336" s="16"/>
      <c r="DT1336" s="16"/>
      <c r="DU1336" s="17"/>
      <c r="DV1336" s="17"/>
      <c r="DW1336" s="16"/>
      <c r="DX1336" s="16"/>
      <c r="DY1336" s="17"/>
      <c r="DZ1336" s="17"/>
      <c r="EA1336" s="16"/>
      <c r="EB1336" s="16"/>
      <c r="EC1336" s="17"/>
      <c r="ED1336" s="17"/>
      <c r="EE1336" s="16"/>
      <c r="EF1336" s="16"/>
      <c r="EG1336" s="17"/>
      <c r="EH1336" s="17"/>
      <c r="EI1336" s="16"/>
      <c r="EJ1336" s="16"/>
      <c r="EK1336" s="17"/>
      <c r="EL1336" s="17"/>
      <c r="EM1336" s="16"/>
      <c r="EN1336" s="16"/>
      <c r="EO1336" s="17"/>
      <c r="EP1336" s="17"/>
      <c r="EQ1336" s="16"/>
      <c r="ER1336" s="16"/>
      <c r="ES1336" s="17"/>
      <c r="ET1336" s="17"/>
      <c r="EU1336" s="16"/>
      <c r="EV1336" s="16"/>
      <c r="EW1336" s="17"/>
      <c r="EX1336" s="17"/>
      <c r="EY1336" s="16"/>
      <c r="EZ1336" s="16"/>
      <c r="FA1336" s="17"/>
      <c r="FB1336" s="17"/>
      <c r="FC1336" s="16"/>
      <c r="FD1336" s="16"/>
      <c r="FE1336" s="17"/>
      <c r="FF1336" s="17"/>
      <c r="FG1336" s="11"/>
      <c r="GT1336" s="11"/>
      <c r="IG1336" s="11"/>
      <c r="JT1336" s="11"/>
      <c r="LG1336" s="11"/>
      <c r="MT1336" s="11"/>
      <c r="OG1336" s="11"/>
      <c r="PT1336" s="11"/>
    </row>
    <row r="1337" spans="1:474" ht="15.75" x14ac:dyDescent="0.25">
      <c r="C1337" s="20" t="s">
        <v>967</v>
      </c>
      <c r="D1337" s="21" t="s">
        <v>79</v>
      </c>
      <c r="H1337" s="11"/>
      <c r="AU1337" s="11"/>
      <c r="CH1337" s="11"/>
      <c r="CI1337" s="16"/>
      <c r="CJ1337" s="16"/>
      <c r="CK1337" s="16"/>
      <c r="CL1337" s="16"/>
      <c r="CM1337" s="16"/>
      <c r="CN1337" s="16"/>
      <c r="CO1337" s="16"/>
      <c r="CP1337" s="16"/>
      <c r="CQ1337" s="16"/>
      <c r="CR1337" s="16"/>
      <c r="CS1337" s="16"/>
      <c r="CT1337" s="16"/>
      <c r="CU1337" s="16"/>
      <c r="CV1337" s="16"/>
      <c r="CW1337" s="16"/>
      <c r="CX1337" s="16"/>
      <c r="CY1337" s="16"/>
      <c r="CZ1337" s="16"/>
      <c r="DA1337" s="16"/>
      <c r="DB1337" s="16"/>
      <c r="DC1337" s="16"/>
      <c r="DD1337" s="16"/>
      <c r="DE1337" s="17"/>
      <c r="DF1337" s="17"/>
      <c r="DG1337" s="16"/>
      <c r="DH1337" s="16"/>
      <c r="DI1337" s="17"/>
      <c r="DJ1337" s="17"/>
      <c r="DK1337" s="16"/>
      <c r="DL1337" s="16"/>
      <c r="DM1337" s="17"/>
      <c r="DN1337" s="17"/>
      <c r="DO1337" s="16"/>
      <c r="DP1337" s="16"/>
      <c r="DQ1337" s="17"/>
      <c r="DR1337" s="17"/>
      <c r="DS1337" s="16"/>
      <c r="DT1337" s="16"/>
      <c r="DU1337" s="17"/>
      <c r="DV1337" s="17"/>
      <c r="DW1337" s="16"/>
      <c r="DX1337" s="16"/>
      <c r="DY1337" s="17"/>
      <c r="DZ1337" s="17"/>
      <c r="EA1337" s="16"/>
      <c r="EB1337" s="16"/>
      <c r="EC1337" s="17"/>
      <c r="ED1337" s="17"/>
      <c r="EE1337" s="16"/>
      <c r="EF1337" s="16"/>
      <c r="EG1337" s="17"/>
      <c r="EH1337" s="17"/>
      <c r="EI1337" s="16"/>
      <c r="EJ1337" s="16"/>
      <c r="EK1337" s="17"/>
      <c r="EL1337" s="17"/>
      <c r="EM1337" s="16"/>
      <c r="EN1337" s="16"/>
      <c r="EO1337" s="17"/>
      <c r="EP1337" s="17"/>
      <c r="EQ1337" s="16"/>
      <c r="ER1337" s="16"/>
      <c r="ES1337" s="17"/>
      <c r="ET1337" s="17"/>
      <c r="EU1337" s="16"/>
      <c r="EV1337" s="16"/>
      <c r="EW1337" s="17"/>
      <c r="EX1337" s="17"/>
      <c r="EY1337" s="16"/>
      <c r="EZ1337" s="16"/>
      <c r="FA1337" s="17"/>
      <c r="FB1337" s="17"/>
      <c r="FC1337" s="16"/>
      <c r="FD1337" s="16"/>
      <c r="FE1337" s="17"/>
      <c r="FF1337" s="17"/>
      <c r="FG1337" s="11"/>
      <c r="GT1337" s="11"/>
      <c r="IG1337" s="11"/>
      <c r="JT1337" s="11"/>
      <c r="LG1337" s="11"/>
      <c r="MT1337" s="11"/>
      <c r="OG1337" s="11"/>
      <c r="PT1337" s="11"/>
    </row>
    <row r="1338" spans="1:474" ht="15.75" x14ac:dyDescent="0.25">
      <c r="C1338" s="20" t="s">
        <v>968</v>
      </c>
      <c r="D1338" s="21" t="s">
        <v>82</v>
      </c>
      <c r="H1338" s="11"/>
      <c r="AU1338" s="11"/>
      <c r="CH1338" s="11"/>
      <c r="CI1338" s="16"/>
      <c r="CJ1338" s="16"/>
      <c r="CK1338" s="16"/>
      <c r="CL1338" s="16"/>
      <c r="CM1338" s="16"/>
      <c r="CN1338" s="16"/>
      <c r="CO1338" s="16"/>
      <c r="CP1338" s="16"/>
      <c r="CQ1338" s="16"/>
      <c r="CR1338" s="16"/>
      <c r="CS1338" s="16"/>
      <c r="CT1338" s="16"/>
      <c r="CU1338" s="16"/>
      <c r="CV1338" s="16"/>
      <c r="CW1338" s="16"/>
      <c r="CX1338" s="16"/>
      <c r="CY1338" s="16"/>
      <c r="CZ1338" s="16"/>
      <c r="DA1338" s="16"/>
      <c r="DB1338" s="16"/>
      <c r="DC1338" s="16"/>
      <c r="DD1338" s="16"/>
      <c r="DE1338" s="17"/>
      <c r="DF1338" s="17"/>
      <c r="DG1338" s="16"/>
      <c r="DH1338" s="16"/>
      <c r="DI1338" s="17"/>
      <c r="DJ1338" s="17"/>
      <c r="DK1338" s="16"/>
      <c r="DL1338" s="16"/>
      <c r="DM1338" s="17"/>
      <c r="DN1338" s="17"/>
      <c r="DO1338" s="16"/>
      <c r="DP1338" s="16"/>
      <c r="DQ1338" s="17"/>
      <c r="DR1338" s="17"/>
      <c r="DS1338" s="16"/>
      <c r="DT1338" s="16"/>
      <c r="DU1338" s="17"/>
      <c r="DV1338" s="17"/>
      <c r="DW1338" s="16"/>
      <c r="DX1338" s="16"/>
      <c r="DY1338" s="17"/>
      <c r="DZ1338" s="17"/>
      <c r="EA1338" s="16"/>
      <c r="EB1338" s="16"/>
      <c r="EC1338" s="17"/>
      <c r="ED1338" s="17"/>
      <c r="EE1338" s="16"/>
      <c r="EF1338" s="16"/>
      <c r="EG1338" s="17"/>
      <c r="EH1338" s="17"/>
      <c r="EI1338" s="16"/>
      <c r="EJ1338" s="16"/>
      <c r="EK1338" s="17"/>
      <c r="EL1338" s="17"/>
      <c r="EM1338" s="16"/>
      <c r="EN1338" s="16"/>
      <c r="EO1338" s="17"/>
      <c r="EP1338" s="17"/>
      <c r="EQ1338" s="16"/>
      <c r="ER1338" s="16"/>
      <c r="ES1338" s="17"/>
      <c r="ET1338" s="17"/>
      <c r="EU1338" s="16"/>
      <c r="EV1338" s="16"/>
      <c r="EW1338" s="17"/>
      <c r="EX1338" s="17"/>
      <c r="EY1338" s="16"/>
      <c r="EZ1338" s="16"/>
      <c r="FA1338" s="17"/>
      <c r="FB1338" s="17"/>
      <c r="FC1338" s="16"/>
      <c r="FD1338" s="16"/>
      <c r="FE1338" s="17"/>
      <c r="FF1338" s="17"/>
      <c r="FG1338" s="11"/>
      <c r="GT1338" s="11"/>
      <c r="IG1338" s="11"/>
      <c r="JT1338" s="11"/>
      <c r="LG1338" s="11"/>
      <c r="MT1338" s="11"/>
      <c r="OG1338" s="11"/>
      <c r="PT1338" s="11"/>
    </row>
    <row r="1339" spans="1:474" ht="15.75" x14ac:dyDescent="0.25">
      <c r="C1339" s="20" t="s">
        <v>974</v>
      </c>
      <c r="D1339" s="21" t="s">
        <v>82</v>
      </c>
      <c r="H1339" s="11"/>
      <c r="AU1339" s="11"/>
      <c r="CH1339" s="11"/>
      <c r="CI1339" s="16"/>
      <c r="CJ1339" s="16"/>
      <c r="CK1339" s="16"/>
      <c r="CL1339" s="16"/>
      <c r="CM1339" s="16"/>
      <c r="CN1339" s="16"/>
      <c r="CO1339" s="16"/>
      <c r="CP1339" s="16"/>
      <c r="CQ1339" s="16"/>
      <c r="CR1339" s="16"/>
      <c r="CS1339" s="16"/>
      <c r="CT1339" s="16"/>
      <c r="CU1339" s="16"/>
      <c r="CV1339" s="16"/>
      <c r="CW1339" s="16"/>
      <c r="CX1339" s="16"/>
      <c r="CY1339" s="16"/>
      <c r="CZ1339" s="16"/>
      <c r="DA1339" s="16"/>
      <c r="DB1339" s="16"/>
      <c r="DC1339" s="16"/>
      <c r="DD1339" s="16"/>
      <c r="DE1339" s="17"/>
      <c r="DF1339" s="17"/>
      <c r="DG1339" s="16"/>
      <c r="DH1339" s="16"/>
      <c r="DI1339" s="17"/>
      <c r="DJ1339" s="17"/>
      <c r="DK1339" s="16"/>
      <c r="DL1339" s="16"/>
      <c r="DM1339" s="17"/>
      <c r="DN1339" s="17"/>
      <c r="DO1339" s="16"/>
      <c r="DP1339" s="16"/>
      <c r="DQ1339" s="17"/>
      <c r="DR1339" s="17"/>
      <c r="DS1339" s="16"/>
      <c r="DT1339" s="16"/>
      <c r="DU1339" s="17"/>
      <c r="DV1339" s="17"/>
      <c r="DW1339" s="16"/>
      <c r="DX1339" s="16"/>
      <c r="DY1339" s="17"/>
      <c r="DZ1339" s="17"/>
      <c r="EA1339" s="16"/>
      <c r="EB1339" s="16"/>
      <c r="EC1339" s="17"/>
      <c r="ED1339" s="17"/>
      <c r="EE1339" s="16"/>
      <c r="EF1339" s="16"/>
      <c r="EG1339" s="17"/>
      <c r="EH1339" s="17"/>
      <c r="EI1339" s="16"/>
      <c r="EJ1339" s="16"/>
      <c r="EK1339" s="17"/>
      <c r="EL1339" s="17"/>
      <c r="EM1339" s="16"/>
      <c r="EN1339" s="16"/>
      <c r="EO1339" s="17"/>
      <c r="EP1339" s="17"/>
      <c r="EQ1339" s="16"/>
      <c r="ER1339" s="16"/>
      <c r="ES1339" s="18">
        <v>6</v>
      </c>
      <c r="ET1339" s="18">
        <v>7</v>
      </c>
      <c r="EU1339" s="16"/>
      <c r="EV1339" s="16"/>
      <c r="EW1339" s="17"/>
      <c r="EX1339" s="17"/>
      <c r="EY1339" s="16"/>
      <c r="EZ1339" s="16"/>
      <c r="FA1339" s="17"/>
      <c r="FB1339" s="17"/>
      <c r="FC1339" s="16"/>
      <c r="FD1339" s="16"/>
      <c r="FE1339" s="17"/>
      <c r="FF1339" s="17"/>
      <c r="FG1339" s="11"/>
      <c r="GT1339" s="11"/>
      <c r="IG1339" s="11"/>
      <c r="JT1339" s="11"/>
      <c r="LG1339" s="11"/>
      <c r="MT1339" s="11"/>
      <c r="OG1339" s="11"/>
      <c r="PT1339" s="11"/>
    </row>
    <row r="1340" spans="1:474" ht="15.75" x14ac:dyDescent="0.25">
      <c r="C1340" s="20" t="s">
        <v>970</v>
      </c>
      <c r="D1340" s="21" t="s">
        <v>90</v>
      </c>
      <c r="H1340" s="11"/>
      <c r="AU1340" s="11"/>
      <c r="CH1340" s="11"/>
      <c r="CI1340" s="16"/>
      <c r="CJ1340" s="16"/>
      <c r="CK1340" s="16"/>
      <c r="CL1340" s="16"/>
      <c r="CM1340" s="16"/>
      <c r="CN1340" s="16"/>
      <c r="CO1340" s="16"/>
      <c r="CP1340" s="16"/>
      <c r="CQ1340" s="16"/>
      <c r="CR1340" s="16"/>
      <c r="CS1340" s="16"/>
      <c r="CT1340" s="16"/>
      <c r="CU1340" s="16"/>
      <c r="CV1340" s="16"/>
      <c r="CW1340" s="16"/>
      <c r="CX1340" s="16"/>
      <c r="CY1340" s="16"/>
      <c r="CZ1340" s="16"/>
      <c r="DA1340" s="16"/>
      <c r="DB1340" s="16"/>
      <c r="DC1340" s="16"/>
      <c r="DD1340" s="16"/>
      <c r="DE1340" s="17"/>
      <c r="DF1340" s="17"/>
      <c r="DG1340" s="16"/>
      <c r="DH1340" s="16"/>
      <c r="DI1340" s="17"/>
      <c r="DJ1340" s="17"/>
      <c r="DK1340" s="16"/>
      <c r="DL1340" s="16"/>
      <c r="DM1340" s="17"/>
      <c r="DN1340" s="17"/>
      <c r="DO1340" s="16"/>
      <c r="DP1340" s="16"/>
      <c r="DQ1340" s="17"/>
      <c r="DR1340" s="17"/>
      <c r="DS1340" s="16"/>
      <c r="DT1340" s="16"/>
      <c r="DU1340" s="17"/>
      <c r="DV1340" s="17"/>
      <c r="DW1340" s="16"/>
      <c r="DX1340" s="16"/>
      <c r="DY1340" s="17"/>
      <c r="DZ1340" s="17"/>
      <c r="EA1340" s="16"/>
      <c r="EB1340" s="16"/>
      <c r="EC1340" s="17"/>
      <c r="ED1340" s="17"/>
      <c r="EE1340" s="16"/>
      <c r="EF1340" s="16"/>
      <c r="EG1340" s="17"/>
      <c r="EH1340" s="17"/>
      <c r="EI1340" s="16"/>
      <c r="EJ1340" s="16"/>
      <c r="EK1340" s="17"/>
      <c r="EL1340" s="17"/>
      <c r="EM1340" s="16"/>
      <c r="EN1340" s="16"/>
      <c r="EO1340" s="17"/>
      <c r="EP1340" s="17"/>
      <c r="EQ1340" s="16"/>
      <c r="ER1340" s="16"/>
      <c r="ES1340" s="17"/>
      <c r="ET1340" s="17"/>
      <c r="EU1340" s="16"/>
      <c r="EV1340" s="16"/>
      <c r="EW1340" s="17"/>
      <c r="EX1340" s="17"/>
      <c r="EY1340" s="16"/>
      <c r="EZ1340" s="16"/>
      <c r="FA1340" s="17"/>
      <c r="FB1340" s="17"/>
      <c r="FC1340" s="16"/>
      <c r="FD1340" s="16"/>
      <c r="FE1340" s="17"/>
      <c r="FF1340" s="17"/>
      <c r="FG1340" s="11"/>
      <c r="GT1340" s="11"/>
      <c r="IG1340" s="11"/>
      <c r="JT1340" s="11"/>
      <c r="LG1340" s="11"/>
      <c r="MT1340" s="11"/>
      <c r="OG1340" s="11"/>
      <c r="PT1340" s="11"/>
    </row>
    <row r="1341" spans="1:474" ht="15.75" x14ac:dyDescent="0.25">
      <c r="A1341" s="13"/>
      <c r="B1341" s="14" t="s">
        <v>975</v>
      </c>
      <c r="C1341" s="13"/>
      <c r="D1341" s="13"/>
      <c r="E1341" s="15" t="s">
        <v>127</v>
      </c>
      <c r="F1341" s="15" t="s">
        <v>177</v>
      </c>
      <c r="G1341" s="13"/>
      <c r="H1341" s="11"/>
      <c r="AU1341" s="11"/>
      <c r="CH1341" s="11"/>
      <c r="CI1341" s="16"/>
      <c r="CJ1341" s="16"/>
      <c r="CK1341" s="16"/>
      <c r="CL1341" s="16"/>
      <c r="CM1341" s="16"/>
      <c r="CN1341" s="16"/>
      <c r="CO1341" s="16"/>
      <c r="CP1341" s="16"/>
      <c r="CQ1341" s="16"/>
      <c r="CR1341" s="16"/>
      <c r="CS1341" s="16"/>
      <c r="CT1341" s="16"/>
      <c r="CU1341" s="16"/>
      <c r="CV1341" s="16"/>
      <c r="CW1341" s="16"/>
      <c r="CX1341" s="16"/>
      <c r="CY1341" s="16"/>
      <c r="CZ1341" s="16"/>
      <c r="DA1341" s="16"/>
      <c r="DB1341" s="16"/>
      <c r="DC1341" s="16"/>
      <c r="DD1341" s="16"/>
      <c r="DE1341" s="17"/>
      <c r="DF1341" s="17"/>
      <c r="DG1341" s="16"/>
      <c r="DH1341" s="16"/>
      <c r="DI1341" s="17"/>
      <c r="DJ1341" s="17"/>
      <c r="DK1341" s="16"/>
      <c r="DL1341" s="16"/>
      <c r="DM1341" s="17"/>
      <c r="DN1341" s="17"/>
      <c r="DO1341" s="16"/>
      <c r="DP1341" s="16"/>
      <c r="DQ1341" s="17"/>
      <c r="DR1341" s="17"/>
      <c r="DS1341" s="16"/>
      <c r="DT1341" s="16"/>
      <c r="DU1341" s="17"/>
      <c r="DV1341" s="17"/>
      <c r="DW1341" s="16"/>
      <c r="DX1341" s="16"/>
      <c r="DY1341" s="17"/>
      <c r="DZ1341" s="17"/>
      <c r="EA1341" s="16"/>
      <c r="EB1341" s="16"/>
      <c r="EC1341" s="17"/>
      <c r="ED1341" s="17"/>
      <c r="EE1341" s="16"/>
      <c r="EF1341" s="16"/>
      <c r="EG1341" s="17"/>
      <c r="EH1341" s="17"/>
      <c r="EI1341" s="16"/>
      <c r="EJ1341" s="16"/>
      <c r="EK1341" s="17"/>
      <c r="EL1341" s="17"/>
      <c r="EM1341" s="16"/>
      <c r="EN1341" s="16"/>
      <c r="EO1341" s="17"/>
      <c r="EP1341" s="17"/>
      <c r="EQ1341" s="16"/>
      <c r="ER1341" s="16"/>
      <c r="ES1341" s="17"/>
      <c r="ET1341" s="17"/>
      <c r="EU1341" s="16"/>
      <c r="EV1341" s="16"/>
      <c r="EW1341" s="17"/>
      <c r="EX1341" s="17"/>
      <c r="EY1341" s="16"/>
      <c r="EZ1341" s="16"/>
      <c r="FA1341" s="17"/>
      <c r="FB1341" s="17"/>
      <c r="FC1341" s="16"/>
      <c r="FD1341" s="16"/>
      <c r="FE1341" s="17"/>
      <c r="FF1341" s="17"/>
      <c r="FG1341" s="11"/>
      <c r="GT1341" s="11"/>
      <c r="IG1341" s="11"/>
      <c r="JT1341" s="11"/>
      <c r="LG1341" s="11"/>
      <c r="MT1341" s="11"/>
      <c r="OG1341" s="11"/>
      <c r="PT1341" s="11"/>
    </row>
    <row r="1342" spans="1:474" ht="15.75" x14ac:dyDescent="0.25">
      <c r="A1342" s="13"/>
      <c r="B1342" s="14" t="s">
        <v>976</v>
      </c>
      <c r="C1342" s="13"/>
      <c r="D1342" s="13"/>
      <c r="E1342" s="15" t="s">
        <v>76</v>
      </c>
      <c r="F1342" s="15" t="s">
        <v>177</v>
      </c>
      <c r="G1342" s="13"/>
      <c r="H1342" s="11"/>
      <c r="AU1342" s="11"/>
      <c r="CH1342" s="11"/>
      <c r="CI1342" s="16"/>
      <c r="CJ1342" s="16"/>
      <c r="CK1342" s="16"/>
      <c r="CL1342" s="16"/>
      <c r="CM1342" s="16"/>
      <c r="CN1342" s="16"/>
      <c r="CO1342" s="16"/>
      <c r="CP1342" s="16"/>
      <c r="CQ1342" s="16"/>
      <c r="CR1342" s="16"/>
      <c r="CS1342" s="16"/>
      <c r="CT1342" s="16"/>
      <c r="CU1342" s="16"/>
      <c r="CV1342" s="16"/>
      <c r="CW1342" s="16"/>
      <c r="CX1342" s="16"/>
      <c r="CY1342" s="16"/>
      <c r="CZ1342" s="16"/>
      <c r="DA1342" s="16"/>
      <c r="DB1342" s="16"/>
      <c r="DC1342" s="16"/>
      <c r="DD1342" s="16"/>
      <c r="DE1342" s="17"/>
      <c r="DF1342" s="17"/>
      <c r="DG1342" s="16"/>
      <c r="DH1342" s="16"/>
      <c r="DI1342" s="17"/>
      <c r="DJ1342" s="17"/>
      <c r="DK1342" s="16"/>
      <c r="DL1342" s="16"/>
      <c r="DM1342" s="17"/>
      <c r="DN1342" s="17"/>
      <c r="DO1342" s="16"/>
      <c r="DP1342" s="16"/>
      <c r="DQ1342" s="17"/>
      <c r="DR1342" s="17"/>
      <c r="DS1342" s="16"/>
      <c r="DT1342" s="16"/>
      <c r="DU1342" s="17"/>
      <c r="DV1342" s="17"/>
      <c r="DW1342" s="16"/>
      <c r="DX1342" s="16"/>
      <c r="DY1342" s="17"/>
      <c r="DZ1342" s="17"/>
      <c r="EA1342" s="16"/>
      <c r="EB1342" s="16"/>
      <c r="EC1342" s="17"/>
      <c r="ED1342" s="17"/>
      <c r="EE1342" s="16"/>
      <c r="EF1342" s="16"/>
      <c r="EG1342" s="17"/>
      <c r="EH1342" s="17"/>
      <c r="EI1342" s="16"/>
      <c r="EJ1342" s="16"/>
      <c r="EK1342" s="17"/>
      <c r="EL1342" s="17"/>
      <c r="EM1342" s="16"/>
      <c r="EN1342" s="16"/>
      <c r="EO1342" s="17"/>
      <c r="EP1342" s="17"/>
      <c r="EQ1342" s="16"/>
      <c r="ER1342" s="16"/>
      <c r="ES1342" s="17"/>
      <c r="ET1342" s="17"/>
      <c r="EU1342" s="16"/>
      <c r="EV1342" s="16"/>
      <c r="EW1342" s="17"/>
      <c r="EX1342" s="17"/>
      <c r="EY1342" s="16"/>
      <c r="EZ1342" s="16"/>
      <c r="FA1342" s="17"/>
      <c r="FB1342" s="17"/>
      <c r="FC1342" s="16"/>
      <c r="FD1342" s="16"/>
      <c r="FE1342" s="17"/>
      <c r="FF1342" s="17"/>
      <c r="FG1342" s="11"/>
      <c r="GT1342" s="11"/>
      <c r="IG1342" s="11"/>
      <c r="JT1342" s="11"/>
      <c r="LG1342" s="11"/>
      <c r="MT1342" s="11"/>
      <c r="OG1342" s="11"/>
      <c r="PT1342" s="11"/>
    </row>
    <row r="1343" spans="1:474" ht="15.75" x14ac:dyDescent="0.25">
      <c r="A1343" s="13"/>
      <c r="B1343" s="14" t="s">
        <v>977</v>
      </c>
      <c r="C1343" s="13"/>
      <c r="D1343" s="13"/>
      <c r="E1343" s="15" t="s">
        <v>127</v>
      </c>
      <c r="F1343" s="15" t="s">
        <v>132</v>
      </c>
      <c r="G1343" s="13"/>
      <c r="H1343" s="11"/>
      <c r="AU1343" s="11"/>
      <c r="CH1343" s="11"/>
      <c r="CI1343" s="16"/>
      <c r="CJ1343" s="16"/>
      <c r="CK1343" s="16"/>
      <c r="CL1343" s="16"/>
      <c r="CM1343" s="16"/>
      <c r="CN1343" s="16"/>
      <c r="CO1343" s="16"/>
      <c r="CP1343" s="16"/>
      <c r="CQ1343" s="16"/>
      <c r="CR1343" s="16"/>
      <c r="CS1343" s="16"/>
      <c r="CT1343" s="16"/>
      <c r="CU1343" s="16"/>
      <c r="CV1343" s="16"/>
      <c r="CW1343" s="16"/>
      <c r="CX1343" s="16"/>
      <c r="CY1343" s="16"/>
      <c r="CZ1343" s="16"/>
      <c r="DA1343" s="16"/>
      <c r="DB1343" s="16"/>
      <c r="DC1343" s="16"/>
      <c r="DD1343" s="16"/>
      <c r="DE1343" s="17"/>
      <c r="DF1343" s="17"/>
      <c r="DG1343" s="16"/>
      <c r="DH1343" s="16"/>
      <c r="DI1343" s="17"/>
      <c r="DJ1343" s="17"/>
      <c r="DK1343" s="16"/>
      <c r="DL1343" s="19">
        <v>2</v>
      </c>
      <c r="DM1343" s="17"/>
      <c r="DN1343" s="17"/>
      <c r="DO1343" s="16"/>
      <c r="DP1343" s="16"/>
      <c r="DQ1343" s="17"/>
      <c r="DR1343" s="18">
        <v>20</v>
      </c>
      <c r="DS1343" s="16"/>
      <c r="DT1343" s="16"/>
      <c r="DU1343" s="17"/>
      <c r="DV1343" s="17"/>
      <c r="DW1343" s="16"/>
      <c r="DX1343" s="16"/>
      <c r="DY1343" s="17"/>
      <c r="DZ1343" s="17"/>
      <c r="EA1343" s="16"/>
      <c r="EB1343" s="16"/>
      <c r="EC1343" s="17"/>
      <c r="ED1343" s="17"/>
      <c r="EE1343" s="16"/>
      <c r="EF1343" s="16"/>
      <c r="EG1343" s="17"/>
      <c r="EH1343" s="17"/>
      <c r="EI1343" s="16"/>
      <c r="EJ1343" s="16"/>
      <c r="EK1343" s="17"/>
      <c r="EL1343" s="17"/>
      <c r="EM1343" s="16"/>
      <c r="EN1343" s="16"/>
      <c r="EO1343" s="17"/>
      <c r="EP1343" s="17"/>
      <c r="EQ1343" s="16"/>
      <c r="ER1343" s="16"/>
      <c r="ES1343" s="17"/>
      <c r="ET1343" s="17"/>
      <c r="EU1343" s="16"/>
      <c r="EV1343" s="16"/>
      <c r="EW1343" s="17"/>
      <c r="EX1343" s="17"/>
      <c r="EY1343" s="16"/>
      <c r="EZ1343" s="16"/>
      <c r="FA1343" s="17"/>
      <c r="FB1343" s="17"/>
      <c r="FC1343" s="16"/>
      <c r="FD1343" s="19">
        <v>10</v>
      </c>
      <c r="FE1343" s="17"/>
      <c r="FF1343" s="17"/>
      <c r="FG1343" s="11"/>
      <c r="GT1343" s="11"/>
      <c r="IG1343" s="11"/>
      <c r="JT1343" s="11"/>
      <c r="LG1343" s="11"/>
      <c r="MT1343" s="11"/>
      <c r="OG1343" s="11"/>
      <c r="PT1343" s="11"/>
    </row>
    <row r="1344" spans="1:474" x14ac:dyDescent="0.25">
      <c r="A1344" s="57" t="s">
        <v>978</v>
      </c>
      <c r="B1344" s="57"/>
      <c r="C1344" s="57"/>
      <c r="D1344" s="57"/>
      <c r="E1344" s="57"/>
      <c r="F1344" s="57"/>
      <c r="G1344" s="57"/>
      <c r="H1344" s="57"/>
      <c r="I1344" s="57"/>
      <c r="J1344" s="57"/>
      <c r="K1344" s="57"/>
      <c r="L1344" s="57"/>
      <c r="M1344" s="57"/>
      <c r="N1344" s="57"/>
      <c r="O1344" s="57"/>
      <c r="P1344" s="57"/>
      <c r="Q1344" s="57"/>
      <c r="R1344" s="57"/>
      <c r="S1344" s="57"/>
      <c r="T1344" s="57"/>
      <c r="U1344" s="57"/>
      <c r="V1344" s="57"/>
      <c r="W1344" s="57"/>
      <c r="X1344" s="57"/>
      <c r="Y1344" s="57"/>
      <c r="Z1344" s="57"/>
      <c r="AA1344" s="57"/>
      <c r="AB1344" s="57"/>
      <c r="AC1344" s="57"/>
      <c r="AD1344" s="57"/>
      <c r="AE1344" s="57"/>
      <c r="AF1344" s="57"/>
      <c r="AG1344" s="57"/>
      <c r="AH1344" s="57"/>
      <c r="AI1344" s="57"/>
      <c r="AJ1344" s="57"/>
      <c r="AK1344" s="57"/>
      <c r="AL1344" s="57"/>
      <c r="AM1344" s="57"/>
      <c r="AN1344" s="57"/>
      <c r="AO1344" s="57"/>
      <c r="AP1344" s="57"/>
      <c r="AQ1344" s="57"/>
      <c r="AR1344" s="57"/>
      <c r="AS1344" s="57"/>
      <c r="AT1344" s="57"/>
      <c r="AU1344" s="57"/>
      <c r="AV1344" s="57"/>
      <c r="AW1344" s="57"/>
      <c r="AX1344" s="57"/>
      <c r="AY1344" s="57"/>
      <c r="AZ1344" s="57"/>
      <c r="BA1344" s="57"/>
      <c r="BB1344" s="57"/>
      <c r="BC1344" s="57"/>
      <c r="BD1344" s="57"/>
      <c r="BE1344" s="57"/>
      <c r="BF1344" s="57"/>
      <c r="BG1344" s="57"/>
      <c r="BH1344" s="57"/>
      <c r="BI1344" s="57"/>
      <c r="BJ1344" s="57"/>
      <c r="BK1344" s="57"/>
      <c r="BL1344" s="57"/>
      <c r="BM1344" s="57"/>
      <c r="BN1344" s="57"/>
      <c r="BO1344" s="57"/>
      <c r="BP1344" s="57"/>
      <c r="BQ1344" s="57"/>
      <c r="BR1344" s="57"/>
      <c r="BS1344" s="57"/>
      <c r="BT1344" s="57"/>
      <c r="BU1344" s="57"/>
      <c r="BV1344" s="57"/>
      <c r="BW1344" s="57"/>
      <c r="BX1344" s="57"/>
      <c r="BY1344" s="57"/>
      <c r="BZ1344" s="57"/>
      <c r="CA1344" s="57"/>
      <c r="CB1344" s="57"/>
      <c r="CC1344" s="57"/>
      <c r="CD1344" s="57"/>
      <c r="CE1344" s="57"/>
      <c r="CF1344" s="57"/>
      <c r="CG1344" s="57"/>
      <c r="CH1344" s="57"/>
      <c r="CI1344" s="57"/>
      <c r="CJ1344" s="57"/>
      <c r="CK1344" s="57"/>
      <c r="CL1344" s="57"/>
      <c r="CM1344" s="57"/>
      <c r="CN1344" s="57"/>
      <c r="CO1344" s="57"/>
      <c r="CP1344" s="57"/>
      <c r="CQ1344" s="57"/>
      <c r="CR1344" s="57"/>
      <c r="CS1344" s="57"/>
      <c r="CT1344" s="57"/>
      <c r="CU1344" s="57"/>
      <c r="CV1344" s="57"/>
      <c r="CW1344" s="57"/>
      <c r="CX1344" s="57"/>
      <c r="CY1344" s="57"/>
      <c r="CZ1344" s="57"/>
      <c r="DA1344" s="57"/>
      <c r="DB1344" s="57"/>
      <c r="DC1344" s="57"/>
      <c r="DD1344" s="57"/>
      <c r="DE1344" s="57"/>
      <c r="DF1344" s="57"/>
      <c r="DG1344" s="57"/>
      <c r="DH1344" s="57"/>
      <c r="DI1344" s="57"/>
      <c r="DJ1344" s="57"/>
      <c r="DK1344" s="57"/>
      <c r="DL1344" s="57"/>
      <c r="DM1344" s="57"/>
      <c r="DN1344" s="57"/>
      <c r="DO1344" s="57"/>
      <c r="DP1344" s="57"/>
      <c r="DQ1344" s="57"/>
      <c r="DR1344" s="57"/>
      <c r="DS1344" s="57"/>
      <c r="DT1344" s="57"/>
      <c r="DU1344" s="57"/>
      <c r="DV1344" s="57"/>
      <c r="DW1344" s="57"/>
      <c r="DX1344" s="57"/>
      <c r="DY1344" s="57"/>
      <c r="DZ1344" s="57"/>
      <c r="EA1344" s="57"/>
      <c r="EB1344" s="57"/>
      <c r="EC1344" s="57"/>
      <c r="ED1344" s="57"/>
      <c r="EE1344" s="57"/>
      <c r="EF1344" s="57"/>
      <c r="EG1344" s="57"/>
      <c r="EH1344" s="57"/>
      <c r="EI1344" s="57"/>
      <c r="EJ1344" s="57"/>
      <c r="EK1344" s="57"/>
      <c r="EL1344" s="57"/>
      <c r="EM1344" s="57"/>
      <c r="EN1344" s="57"/>
      <c r="EO1344" s="57"/>
      <c r="EP1344" s="57"/>
      <c r="EQ1344" s="57"/>
      <c r="ER1344" s="57"/>
      <c r="ES1344" s="57"/>
      <c r="ET1344" s="57"/>
      <c r="EU1344" s="57"/>
      <c r="EV1344" s="57"/>
      <c r="EW1344" s="57"/>
      <c r="EX1344" s="57"/>
      <c r="EY1344" s="57"/>
      <c r="EZ1344" s="57"/>
      <c r="FA1344" s="57"/>
      <c r="FB1344" s="57"/>
      <c r="FC1344" s="57"/>
      <c r="FD1344" s="57"/>
      <c r="FE1344" s="57"/>
      <c r="FF1344" s="57"/>
      <c r="FG1344" s="57"/>
      <c r="FH1344" s="57"/>
      <c r="FI1344" s="57"/>
      <c r="FJ1344" s="57"/>
      <c r="FK1344" s="57"/>
      <c r="FL1344" s="57"/>
      <c r="FM1344" s="57"/>
      <c r="FN1344" s="57"/>
      <c r="FO1344" s="57"/>
      <c r="FP1344" s="57"/>
      <c r="FQ1344" s="57"/>
      <c r="FR1344" s="57"/>
      <c r="FS1344" s="57"/>
      <c r="FT1344" s="57"/>
      <c r="FU1344" s="57"/>
      <c r="FV1344" s="57"/>
      <c r="FW1344" s="57"/>
      <c r="FX1344" s="57"/>
      <c r="FY1344" s="57"/>
      <c r="FZ1344" s="57"/>
      <c r="GA1344" s="57"/>
      <c r="GB1344" s="57"/>
      <c r="GC1344" s="57"/>
      <c r="GD1344" s="57"/>
      <c r="GE1344" s="57"/>
      <c r="GF1344" s="57"/>
      <c r="GG1344" s="57"/>
      <c r="GH1344" s="57"/>
      <c r="GI1344" s="57"/>
      <c r="GJ1344" s="57"/>
      <c r="GK1344" s="57"/>
      <c r="GL1344" s="57"/>
      <c r="GM1344" s="57"/>
      <c r="GN1344" s="57"/>
      <c r="GO1344" s="57"/>
      <c r="GP1344" s="57"/>
      <c r="GQ1344" s="57"/>
      <c r="GR1344" s="57"/>
      <c r="GS1344" s="57"/>
      <c r="GT1344" s="57"/>
      <c r="GU1344" s="57"/>
      <c r="GV1344" s="57"/>
      <c r="GW1344" s="57"/>
      <c r="GX1344" s="57"/>
      <c r="GY1344" s="57"/>
      <c r="GZ1344" s="57"/>
      <c r="HA1344" s="57"/>
      <c r="HB1344" s="57"/>
      <c r="HC1344" s="57"/>
      <c r="HD1344" s="57"/>
      <c r="HE1344" s="57"/>
      <c r="HF1344" s="57"/>
      <c r="HG1344" s="57"/>
      <c r="HH1344" s="57"/>
      <c r="HI1344" s="57"/>
      <c r="HJ1344" s="57"/>
      <c r="HK1344" s="57"/>
      <c r="HL1344" s="57"/>
      <c r="HM1344" s="57"/>
      <c r="HN1344" s="57"/>
      <c r="HO1344" s="57"/>
      <c r="HP1344" s="57"/>
      <c r="HQ1344" s="57"/>
      <c r="HR1344" s="57"/>
      <c r="HS1344" s="57"/>
      <c r="HT1344" s="57"/>
      <c r="HU1344" s="57"/>
      <c r="HV1344" s="57"/>
      <c r="HW1344" s="57"/>
      <c r="HX1344" s="57"/>
      <c r="HY1344" s="57"/>
      <c r="HZ1344" s="57"/>
      <c r="IA1344" s="57"/>
      <c r="IB1344" s="57"/>
      <c r="IC1344" s="57"/>
      <c r="ID1344" s="57"/>
      <c r="IE1344" s="57"/>
      <c r="IF1344" s="57"/>
      <c r="IG1344" s="57"/>
      <c r="IH1344" s="57"/>
      <c r="II1344" s="57"/>
      <c r="IJ1344" s="57"/>
      <c r="IK1344" s="57"/>
      <c r="IL1344" s="57"/>
      <c r="IM1344" s="57"/>
      <c r="IN1344" s="57"/>
      <c r="IO1344" s="57"/>
      <c r="IP1344" s="57"/>
      <c r="IQ1344" s="57"/>
      <c r="IR1344" s="57"/>
      <c r="IS1344" s="57"/>
      <c r="IT1344" s="57"/>
      <c r="IU1344" s="57"/>
      <c r="IV1344" s="57"/>
      <c r="IW1344" s="57"/>
      <c r="IX1344" s="57"/>
      <c r="IY1344" s="57"/>
      <c r="IZ1344" s="57"/>
      <c r="JA1344" s="57"/>
      <c r="JB1344" s="57"/>
      <c r="JC1344" s="57"/>
      <c r="JD1344" s="57"/>
      <c r="JE1344" s="57"/>
      <c r="JF1344" s="57"/>
      <c r="JG1344" s="57"/>
      <c r="JH1344" s="57"/>
      <c r="JI1344" s="57"/>
      <c r="JJ1344" s="57"/>
      <c r="JK1344" s="57"/>
      <c r="JL1344" s="57"/>
      <c r="JM1344" s="57"/>
      <c r="JN1344" s="57"/>
      <c r="JO1344" s="57"/>
      <c r="JP1344" s="57"/>
      <c r="JQ1344" s="57"/>
      <c r="JR1344" s="57"/>
      <c r="JS1344" s="57"/>
      <c r="JT1344" s="57"/>
      <c r="JU1344" s="57"/>
      <c r="JV1344" s="57"/>
      <c r="JW1344" s="57"/>
      <c r="JX1344" s="57"/>
      <c r="JY1344" s="57"/>
      <c r="JZ1344" s="57"/>
      <c r="KA1344" s="57"/>
      <c r="KB1344" s="57"/>
      <c r="KC1344" s="57"/>
      <c r="KD1344" s="57"/>
      <c r="KE1344" s="57"/>
      <c r="KF1344" s="57"/>
      <c r="KG1344" s="57"/>
      <c r="KH1344" s="57"/>
      <c r="KI1344" s="57"/>
      <c r="KJ1344" s="57"/>
      <c r="KK1344" s="57"/>
      <c r="KL1344" s="57"/>
      <c r="KM1344" s="57"/>
      <c r="KN1344" s="57"/>
      <c r="KO1344" s="57"/>
      <c r="KP1344" s="57"/>
      <c r="KQ1344" s="57"/>
      <c r="KR1344" s="57"/>
      <c r="KS1344" s="57"/>
      <c r="KT1344" s="57"/>
      <c r="KU1344" s="57"/>
      <c r="KV1344" s="57"/>
      <c r="KW1344" s="57"/>
      <c r="KX1344" s="57"/>
      <c r="KY1344" s="57"/>
      <c r="KZ1344" s="57"/>
      <c r="LA1344" s="57"/>
      <c r="LB1344" s="57"/>
      <c r="LC1344" s="57"/>
      <c r="LD1344" s="57"/>
      <c r="LE1344" s="57"/>
      <c r="LF1344" s="57"/>
      <c r="LG1344" s="57"/>
      <c r="LH1344" s="57"/>
      <c r="LI1344" s="57"/>
      <c r="LJ1344" s="57"/>
      <c r="LK1344" s="57"/>
      <c r="LL1344" s="57"/>
      <c r="LM1344" s="57"/>
      <c r="LN1344" s="57"/>
      <c r="LO1344" s="57"/>
      <c r="LP1344" s="57"/>
      <c r="LQ1344" s="57"/>
      <c r="LR1344" s="57"/>
      <c r="LS1344" s="57"/>
      <c r="LT1344" s="57"/>
      <c r="LU1344" s="57"/>
      <c r="LV1344" s="57"/>
      <c r="LW1344" s="57"/>
      <c r="LX1344" s="57"/>
      <c r="LY1344" s="57"/>
      <c r="LZ1344" s="57"/>
      <c r="MA1344" s="57"/>
      <c r="MB1344" s="57"/>
      <c r="MC1344" s="57"/>
      <c r="MD1344" s="57"/>
      <c r="ME1344" s="57"/>
      <c r="MF1344" s="57"/>
      <c r="MG1344" s="57"/>
      <c r="MH1344" s="57"/>
      <c r="MI1344" s="57"/>
      <c r="MJ1344" s="57"/>
      <c r="MK1344" s="57"/>
      <c r="ML1344" s="57"/>
      <c r="MM1344" s="57"/>
      <c r="MN1344" s="57"/>
      <c r="MO1344" s="57"/>
      <c r="MP1344" s="57"/>
      <c r="MQ1344" s="57"/>
      <c r="MR1344" s="57"/>
      <c r="MS1344" s="57"/>
      <c r="MT1344" s="57"/>
      <c r="MU1344" s="57"/>
      <c r="MV1344" s="57"/>
      <c r="MW1344" s="57"/>
      <c r="MX1344" s="57"/>
      <c r="MY1344" s="57"/>
      <c r="MZ1344" s="57"/>
      <c r="NA1344" s="57"/>
      <c r="NB1344" s="57"/>
      <c r="NC1344" s="57"/>
      <c r="ND1344" s="57"/>
      <c r="NE1344" s="57"/>
      <c r="NF1344" s="57"/>
      <c r="NG1344" s="57"/>
      <c r="NH1344" s="57"/>
      <c r="NI1344" s="57"/>
      <c r="NJ1344" s="57"/>
      <c r="NK1344" s="57"/>
      <c r="NL1344" s="57"/>
      <c r="NM1344" s="57"/>
      <c r="NN1344" s="57"/>
      <c r="NO1344" s="57"/>
      <c r="NP1344" s="57"/>
      <c r="NQ1344" s="57"/>
      <c r="NR1344" s="57"/>
      <c r="NS1344" s="57"/>
      <c r="NT1344" s="57"/>
      <c r="NU1344" s="57"/>
      <c r="NV1344" s="57"/>
      <c r="NW1344" s="57"/>
      <c r="NX1344" s="57"/>
      <c r="NY1344" s="57"/>
      <c r="NZ1344" s="57"/>
      <c r="OA1344" s="57"/>
      <c r="OB1344" s="57"/>
      <c r="OC1344" s="57"/>
      <c r="OD1344" s="57"/>
      <c r="OE1344" s="57"/>
      <c r="OF1344" s="57"/>
      <c r="OG1344" s="57"/>
      <c r="OH1344" s="57"/>
      <c r="OI1344" s="57"/>
      <c r="OJ1344" s="57"/>
      <c r="OK1344" s="57"/>
      <c r="OL1344" s="57"/>
      <c r="OM1344" s="57"/>
      <c r="ON1344" s="57"/>
      <c r="OO1344" s="57"/>
      <c r="OP1344" s="57"/>
      <c r="OQ1344" s="57"/>
      <c r="OR1344" s="57"/>
      <c r="OS1344" s="57"/>
      <c r="OT1344" s="57"/>
      <c r="OU1344" s="57"/>
      <c r="OV1344" s="57"/>
      <c r="OW1344" s="57"/>
      <c r="OX1344" s="57"/>
      <c r="OY1344" s="57"/>
      <c r="OZ1344" s="57"/>
      <c r="PA1344" s="57"/>
      <c r="PB1344" s="57"/>
      <c r="PC1344" s="57"/>
      <c r="PD1344" s="57"/>
      <c r="PE1344" s="57"/>
      <c r="PF1344" s="57"/>
      <c r="PG1344" s="57"/>
      <c r="PH1344" s="57"/>
      <c r="PI1344" s="57"/>
      <c r="PJ1344" s="57"/>
      <c r="PK1344" s="57"/>
      <c r="PL1344" s="57"/>
      <c r="PM1344" s="57"/>
      <c r="PN1344" s="57"/>
      <c r="PO1344" s="57"/>
      <c r="PP1344" s="57"/>
      <c r="PQ1344" s="57"/>
      <c r="PR1344" s="57"/>
      <c r="PS1344" s="57"/>
      <c r="PT1344" s="57"/>
      <c r="PU1344" s="57"/>
      <c r="PV1344" s="57"/>
      <c r="PW1344" s="57"/>
      <c r="PX1344" s="57"/>
      <c r="PY1344" s="57"/>
      <c r="PZ1344" s="57"/>
      <c r="QA1344" s="57"/>
      <c r="QB1344" s="57"/>
      <c r="QC1344" s="57"/>
      <c r="QD1344" s="57"/>
      <c r="QE1344" s="57"/>
      <c r="QF1344" s="57"/>
      <c r="QG1344" s="57"/>
      <c r="QH1344" s="57"/>
      <c r="QI1344" s="57"/>
      <c r="QJ1344" s="57"/>
      <c r="QK1344" s="57"/>
      <c r="QL1344" s="57"/>
      <c r="QM1344" s="57"/>
      <c r="QN1344" s="57"/>
      <c r="QO1344" s="57"/>
      <c r="QP1344" s="57"/>
      <c r="QQ1344" s="57"/>
      <c r="QR1344" s="57"/>
      <c r="QS1344" s="57"/>
      <c r="QT1344" s="57"/>
      <c r="QU1344" s="57"/>
      <c r="QV1344" s="57"/>
      <c r="QW1344" s="57"/>
      <c r="QX1344" s="57"/>
      <c r="QY1344" s="57"/>
      <c r="QZ1344" s="57"/>
      <c r="RA1344" s="57"/>
      <c r="RB1344" s="57"/>
      <c r="RC1344" s="57"/>
      <c r="RD1344" s="57"/>
      <c r="RE1344" s="57"/>
      <c r="RF1344" s="57"/>
    </row>
    <row r="1345" spans="1:436" x14ac:dyDescent="0.25">
      <c r="H1345" s="11"/>
      <c r="AU1345" s="11"/>
      <c r="CH1345" s="11"/>
      <c r="CI1345" s="12" t="s">
        <v>73</v>
      </c>
      <c r="CJ1345" s="12" t="s">
        <v>74</v>
      </c>
      <c r="CK1345" s="12" t="s">
        <v>73</v>
      </c>
      <c r="CL1345" s="12" t="s">
        <v>74</v>
      </c>
      <c r="CM1345" s="12" t="s">
        <v>73</v>
      </c>
      <c r="CN1345" s="12" t="s">
        <v>74</v>
      </c>
      <c r="CO1345" s="12" t="s">
        <v>73</v>
      </c>
      <c r="CP1345" s="12" t="s">
        <v>74</v>
      </c>
      <c r="CQ1345" s="12" t="s">
        <v>73</v>
      </c>
      <c r="CR1345" s="12" t="s">
        <v>74</v>
      </c>
      <c r="CS1345" s="12" t="s">
        <v>73</v>
      </c>
      <c r="CT1345" s="12" t="s">
        <v>74</v>
      </c>
      <c r="CU1345" s="12" t="s">
        <v>73</v>
      </c>
      <c r="CV1345" s="12" t="s">
        <v>74</v>
      </c>
      <c r="CW1345" s="12" t="s">
        <v>73</v>
      </c>
      <c r="CX1345" s="12" t="s">
        <v>74</v>
      </c>
      <c r="CY1345" s="12" t="s">
        <v>73</v>
      </c>
      <c r="CZ1345" s="12" t="s">
        <v>74</v>
      </c>
      <c r="DA1345" s="12" t="s">
        <v>73</v>
      </c>
      <c r="DB1345" s="12" t="s">
        <v>74</v>
      </c>
      <c r="DC1345" s="12" t="s">
        <v>73</v>
      </c>
      <c r="DD1345" s="12" t="s">
        <v>74</v>
      </c>
      <c r="DE1345" s="12" t="s">
        <v>73</v>
      </c>
      <c r="DF1345" s="12" t="s">
        <v>74</v>
      </c>
      <c r="DG1345" s="12" t="s">
        <v>73</v>
      </c>
      <c r="DH1345" s="12" t="s">
        <v>74</v>
      </c>
      <c r="DI1345" s="12" t="s">
        <v>73</v>
      </c>
      <c r="DJ1345" s="12" t="s">
        <v>74</v>
      </c>
      <c r="DK1345" s="12" t="s">
        <v>73</v>
      </c>
      <c r="DL1345" s="12" t="s">
        <v>74</v>
      </c>
      <c r="DM1345" s="12" t="s">
        <v>73</v>
      </c>
      <c r="DN1345" s="12" t="s">
        <v>74</v>
      </c>
      <c r="DO1345" s="12" t="s">
        <v>73</v>
      </c>
      <c r="DP1345" s="12" t="s">
        <v>74</v>
      </c>
      <c r="DQ1345" s="12" t="s">
        <v>73</v>
      </c>
      <c r="DR1345" s="12" t="s">
        <v>74</v>
      </c>
      <c r="DS1345" s="12" t="s">
        <v>73</v>
      </c>
      <c r="DT1345" s="12" t="s">
        <v>74</v>
      </c>
      <c r="DU1345" s="12" t="s">
        <v>73</v>
      </c>
      <c r="DV1345" s="12" t="s">
        <v>74</v>
      </c>
      <c r="DW1345" s="12" t="s">
        <v>73</v>
      </c>
      <c r="DX1345" s="12" t="s">
        <v>74</v>
      </c>
      <c r="DY1345" s="12" t="s">
        <v>73</v>
      </c>
      <c r="DZ1345" s="12" t="s">
        <v>74</v>
      </c>
      <c r="EA1345" s="12" t="s">
        <v>73</v>
      </c>
      <c r="EB1345" s="12" t="s">
        <v>74</v>
      </c>
      <c r="EC1345" s="12" t="s">
        <v>73</v>
      </c>
      <c r="ED1345" s="12" t="s">
        <v>74</v>
      </c>
      <c r="EE1345" s="12" t="s">
        <v>73</v>
      </c>
      <c r="EF1345" s="12" t="s">
        <v>74</v>
      </c>
      <c r="EG1345" s="12" t="s">
        <v>73</v>
      </c>
      <c r="EH1345" s="12" t="s">
        <v>74</v>
      </c>
      <c r="EI1345" s="12" t="s">
        <v>73</v>
      </c>
      <c r="EJ1345" s="12" t="s">
        <v>74</v>
      </c>
      <c r="EK1345" s="12" t="s">
        <v>73</v>
      </c>
      <c r="EL1345" s="12" t="s">
        <v>74</v>
      </c>
      <c r="EM1345" s="12" t="s">
        <v>73</v>
      </c>
      <c r="EN1345" s="12" t="s">
        <v>74</v>
      </c>
      <c r="EO1345" s="12" t="s">
        <v>73</v>
      </c>
      <c r="EP1345" s="12" t="s">
        <v>74</v>
      </c>
      <c r="EQ1345" s="12" t="s">
        <v>73</v>
      </c>
      <c r="ER1345" s="12" t="s">
        <v>74</v>
      </c>
      <c r="ES1345" s="12" t="s">
        <v>73</v>
      </c>
      <c r="ET1345" s="12" t="s">
        <v>74</v>
      </c>
      <c r="EU1345" s="12" t="s">
        <v>73</v>
      </c>
      <c r="EV1345" s="12" t="s">
        <v>74</v>
      </c>
      <c r="EW1345" s="12" t="s">
        <v>73</v>
      </c>
      <c r="EX1345" s="12" t="s">
        <v>74</v>
      </c>
      <c r="EY1345" s="12" t="s">
        <v>73</v>
      </c>
      <c r="EZ1345" s="12" t="s">
        <v>74</v>
      </c>
      <c r="FA1345" s="12" t="s">
        <v>73</v>
      </c>
      <c r="FB1345" s="12" t="s">
        <v>74</v>
      </c>
      <c r="FC1345" s="12" t="s">
        <v>73</v>
      </c>
      <c r="FD1345" s="12" t="s">
        <v>74</v>
      </c>
      <c r="FE1345" s="12" t="s">
        <v>73</v>
      </c>
      <c r="FF1345" s="12" t="s">
        <v>74</v>
      </c>
      <c r="FG1345" s="11"/>
      <c r="GT1345" s="11"/>
      <c r="IG1345" s="11"/>
      <c r="JT1345" s="11"/>
      <c r="LG1345" s="11"/>
      <c r="MT1345" s="11"/>
      <c r="OG1345" s="11"/>
      <c r="PT1345" s="11"/>
    </row>
    <row r="1346" spans="1:436" ht="15.75" x14ac:dyDescent="0.25">
      <c r="A1346" s="13"/>
      <c r="B1346" s="14" t="s">
        <v>979</v>
      </c>
      <c r="C1346" s="13"/>
      <c r="D1346" s="13"/>
      <c r="E1346" s="15" t="s">
        <v>127</v>
      </c>
      <c r="F1346" s="15" t="s">
        <v>77</v>
      </c>
      <c r="G1346" s="13"/>
      <c r="H1346" s="11"/>
      <c r="AU1346" s="11"/>
      <c r="CH1346" s="11"/>
      <c r="CI1346" s="16"/>
      <c r="CJ1346" s="16"/>
      <c r="CK1346" s="16"/>
      <c r="CL1346" s="16"/>
      <c r="CM1346" s="16"/>
      <c r="CN1346" s="16"/>
      <c r="CO1346" s="16"/>
      <c r="CP1346" s="16"/>
      <c r="CQ1346" s="16"/>
      <c r="CR1346" s="16"/>
      <c r="CS1346" s="16"/>
      <c r="CT1346" s="16"/>
      <c r="CU1346" s="16"/>
      <c r="CV1346" s="16"/>
      <c r="CW1346" s="16"/>
      <c r="CX1346" s="16"/>
      <c r="CY1346" s="16"/>
      <c r="CZ1346" s="16"/>
      <c r="DA1346" s="16"/>
      <c r="DB1346" s="16"/>
      <c r="DC1346" s="16"/>
      <c r="DD1346" s="19">
        <v>1</v>
      </c>
      <c r="DE1346" s="17"/>
      <c r="DF1346" s="17"/>
      <c r="DG1346" s="16"/>
      <c r="DH1346" s="16"/>
      <c r="DI1346" s="17"/>
      <c r="DJ1346" s="18">
        <v>12</v>
      </c>
      <c r="DK1346" s="16"/>
      <c r="DL1346" s="16"/>
      <c r="DM1346" s="17"/>
      <c r="DN1346" s="17"/>
      <c r="DO1346" s="16"/>
      <c r="DP1346" s="16"/>
      <c r="DQ1346" s="17"/>
      <c r="DR1346" s="17"/>
      <c r="DS1346" s="16"/>
      <c r="DT1346" s="16"/>
      <c r="DU1346" s="17"/>
      <c r="DV1346" s="17"/>
      <c r="DW1346" s="16"/>
      <c r="DX1346" s="19">
        <v>20</v>
      </c>
      <c r="DY1346" s="17"/>
      <c r="DZ1346" s="17"/>
      <c r="EA1346" s="16"/>
      <c r="EB1346" s="16"/>
      <c r="EC1346" s="17"/>
      <c r="ED1346" s="17"/>
      <c r="EE1346" s="16"/>
      <c r="EF1346" s="16"/>
      <c r="EG1346" s="17"/>
      <c r="EH1346" s="17"/>
      <c r="EI1346" s="16"/>
      <c r="EJ1346" s="16"/>
      <c r="EK1346" s="17"/>
      <c r="EL1346" s="17"/>
      <c r="EM1346" s="16"/>
      <c r="EN1346" s="16"/>
      <c r="EO1346" s="17"/>
      <c r="EP1346" s="17"/>
      <c r="EQ1346" s="16"/>
      <c r="ER1346" s="16"/>
      <c r="ES1346" s="17"/>
      <c r="ET1346" s="18">
        <v>60</v>
      </c>
      <c r="EU1346" s="16"/>
      <c r="EV1346" s="16"/>
      <c r="EW1346" s="17"/>
      <c r="EX1346" s="17"/>
      <c r="EY1346" s="16"/>
      <c r="EZ1346" s="16"/>
      <c r="FA1346" s="17"/>
      <c r="FB1346" s="17"/>
      <c r="FC1346" s="16"/>
      <c r="FD1346" s="16"/>
      <c r="FE1346" s="17"/>
      <c r="FF1346" s="17"/>
      <c r="FG1346" s="11"/>
      <c r="GT1346" s="11"/>
      <c r="IG1346" s="11"/>
      <c r="JT1346" s="11"/>
      <c r="LG1346" s="11"/>
      <c r="MT1346" s="11"/>
      <c r="OG1346" s="11"/>
      <c r="PT1346" s="11"/>
    </row>
    <row r="1347" spans="1:436" ht="15.75" x14ac:dyDescent="0.25">
      <c r="C1347" s="20" t="s">
        <v>980</v>
      </c>
      <c r="D1347" s="21" t="s">
        <v>93</v>
      </c>
      <c r="H1347" s="11"/>
      <c r="AU1347" s="11"/>
      <c r="CH1347" s="11"/>
      <c r="CI1347" s="16"/>
      <c r="CJ1347" s="16"/>
      <c r="CK1347" s="16"/>
      <c r="CL1347" s="16"/>
      <c r="CM1347" s="16"/>
      <c r="CN1347" s="16"/>
      <c r="CO1347" s="16"/>
      <c r="CP1347" s="16"/>
      <c r="CQ1347" s="16"/>
      <c r="CR1347" s="16"/>
      <c r="CS1347" s="16"/>
      <c r="CT1347" s="16"/>
      <c r="CU1347" s="16"/>
      <c r="CV1347" s="16"/>
      <c r="CW1347" s="16"/>
      <c r="CX1347" s="16"/>
      <c r="CY1347" s="16"/>
      <c r="CZ1347" s="16"/>
      <c r="DA1347" s="16"/>
      <c r="DB1347" s="16"/>
      <c r="DC1347" s="16"/>
      <c r="DD1347" s="16"/>
      <c r="DE1347" s="17"/>
      <c r="DF1347" s="17"/>
      <c r="DG1347" s="16"/>
      <c r="DH1347" s="16"/>
      <c r="DI1347" s="17"/>
      <c r="DJ1347" s="17"/>
      <c r="DK1347" s="16"/>
      <c r="DL1347" s="16"/>
      <c r="DM1347" s="17"/>
      <c r="DN1347" s="17"/>
      <c r="DO1347" s="16"/>
      <c r="DP1347" s="16"/>
      <c r="DQ1347" s="17"/>
      <c r="DR1347" s="17"/>
      <c r="DS1347" s="16"/>
      <c r="DT1347" s="16"/>
      <c r="DU1347" s="17"/>
      <c r="DV1347" s="17"/>
      <c r="DW1347" s="16"/>
      <c r="DX1347" s="16"/>
      <c r="DY1347" s="17"/>
      <c r="DZ1347" s="17"/>
      <c r="EA1347" s="16"/>
      <c r="EB1347" s="16"/>
      <c r="EC1347" s="17"/>
      <c r="ED1347" s="17"/>
      <c r="EE1347" s="16"/>
      <c r="EF1347" s="16"/>
      <c r="EG1347" s="17"/>
      <c r="EH1347" s="17"/>
      <c r="EI1347" s="16"/>
      <c r="EJ1347" s="16"/>
      <c r="EK1347" s="17"/>
      <c r="EL1347" s="17"/>
      <c r="EM1347" s="16"/>
      <c r="EN1347" s="16"/>
      <c r="EO1347" s="17"/>
      <c r="EP1347" s="17"/>
      <c r="EQ1347" s="16"/>
      <c r="ER1347" s="16"/>
      <c r="ES1347" s="17"/>
      <c r="ET1347" s="17"/>
      <c r="EU1347" s="16"/>
      <c r="EV1347" s="16"/>
      <c r="EW1347" s="17"/>
      <c r="EX1347" s="17"/>
      <c r="EY1347" s="16"/>
      <c r="EZ1347" s="16"/>
      <c r="FA1347" s="17"/>
      <c r="FB1347" s="17"/>
      <c r="FC1347" s="16"/>
      <c r="FD1347" s="16"/>
      <c r="FE1347" s="17"/>
      <c r="FF1347" s="17"/>
      <c r="FG1347" s="11"/>
      <c r="GT1347" s="11"/>
      <c r="IG1347" s="11"/>
      <c r="JT1347" s="11"/>
      <c r="LG1347" s="11"/>
      <c r="MT1347" s="11"/>
      <c r="OG1347" s="11"/>
      <c r="PT1347" s="11"/>
    </row>
    <row r="1348" spans="1:436" ht="15.75" x14ac:dyDescent="0.25">
      <c r="C1348" s="20" t="s">
        <v>981</v>
      </c>
      <c r="D1348" s="21" t="s">
        <v>93</v>
      </c>
      <c r="H1348" s="11"/>
      <c r="AU1348" s="11"/>
      <c r="CH1348" s="11"/>
      <c r="CI1348" s="16"/>
      <c r="CJ1348" s="16"/>
      <c r="CK1348" s="16"/>
      <c r="CL1348" s="16"/>
      <c r="CM1348" s="16"/>
      <c r="CN1348" s="16"/>
      <c r="CO1348" s="16"/>
      <c r="CP1348" s="16"/>
      <c r="CQ1348" s="16"/>
      <c r="CR1348" s="16"/>
      <c r="CS1348" s="16"/>
      <c r="CT1348" s="16"/>
      <c r="CU1348" s="16"/>
      <c r="CV1348" s="16"/>
      <c r="CW1348" s="16"/>
      <c r="CX1348" s="16"/>
      <c r="CY1348" s="16"/>
      <c r="CZ1348" s="16"/>
      <c r="DA1348" s="16"/>
      <c r="DB1348" s="16"/>
      <c r="DC1348" s="16"/>
      <c r="DD1348" s="16"/>
      <c r="DE1348" s="17"/>
      <c r="DF1348" s="17"/>
      <c r="DG1348" s="16"/>
      <c r="DH1348" s="16"/>
      <c r="DI1348" s="17"/>
      <c r="DJ1348" s="17"/>
      <c r="DK1348" s="16"/>
      <c r="DL1348" s="16"/>
      <c r="DM1348" s="17"/>
      <c r="DN1348" s="17"/>
      <c r="DO1348" s="16"/>
      <c r="DP1348" s="16"/>
      <c r="DQ1348" s="17"/>
      <c r="DR1348" s="17"/>
      <c r="DS1348" s="16"/>
      <c r="DT1348" s="16"/>
      <c r="DU1348" s="17"/>
      <c r="DV1348" s="17"/>
      <c r="DW1348" s="16"/>
      <c r="DX1348" s="16"/>
      <c r="DY1348" s="17"/>
      <c r="DZ1348" s="17"/>
      <c r="EA1348" s="16"/>
      <c r="EB1348" s="16"/>
      <c r="EC1348" s="17"/>
      <c r="ED1348" s="17"/>
      <c r="EE1348" s="16"/>
      <c r="EF1348" s="16"/>
      <c r="EG1348" s="17"/>
      <c r="EH1348" s="17"/>
      <c r="EI1348" s="16"/>
      <c r="EJ1348" s="16"/>
      <c r="EK1348" s="17"/>
      <c r="EL1348" s="17"/>
      <c r="EM1348" s="16"/>
      <c r="EN1348" s="16"/>
      <c r="EO1348" s="17"/>
      <c r="EP1348" s="17"/>
      <c r="EQ1348" s="16"/>
      <c r="ER1348" s="16"/>
      <c r="ES1348" s="17"/>
      <c r="ET1348" s="17"/>
      <c r="EU1348" s="16"/>
      <c r="EV1348" s="16"/>
      <c r="EW1348" s="18">
        <v>2</v>
      </c>
      <c r="EX1348" s="18">
        <v>3</v>
      </c>
      <c r="EY1348" s="16"/>
      <c r="EZ1348" s="16"/>
      <c r="FA1348" s="17"/>
      <c r="FB1348" s="17"/>
      <c r="FC1348" s="16"/>
      <c r="FD1348" s="16"/>
      <c r="FE1348" s="17"/>
      <c r="FF1348" s="17"/>
      <c r="FG1348" s="11"/>
      <c r="GT1348" s="11"/>
      <c r="IG1348" s="11"/>
      <c r="JT1348" s="11"/>
      <c r="LG1348" s="11"/>
      <c r="MT1348" s="11"/>
      <c r="OG1348" s="11"/>
      <c r="PT1348" s="11"/>
    </row>
    <row r="1349" spans="1:436" ht="15.75" x14ac:dyDescent="0.25">
      <c r="C1349" s="20" t="s">
        <v>982</v>
      </c>
      <c r="D1349" s="21" t="s">
        <v>93</v>
      </c>
      <c r="H1349" s="11"/>
      <c r="AU1349" s="11"/>
      <c r="CH1349" s="11"/>
      <c r="CI1349" s="16"/>
      <c r="CJ1349" s="16"/>
      <c r="CK1349" s="16"/>
      <c r="CL1349" s="16"/>
      <c r="CM1349" s="16"/>
      <c r="CN1349" s="16"/>
      <c r="CO1349" s="16"/>
      <c r="CP1349" s="16"/>
      <c r="CQ1349" s="16"/>
      <c r="CR1349" s="16"/>
      <c r="CS1349" s="16"/>
      <c r="CT1349" s="16"/>
      <c r="CU1349" s="16"/>
      <c r="CV1349" s="16"/>
      <c r="CW1349" s="16"/>
      <c r="CX1349" s="16"/>
      <c r="CY1349" s="16"/>
      <c r="CZ1349" s="16"/>
      <c r="DA1349" s="16"/>
      <c r="DB1349" s="16"/>
      <c r="DC1349" s="16"/>
      <c r="DD1349" s="16"/>
      <c r="DE1349" s="17"/>
      <c r="DF1349" s="17"/>
      <c r="DG1349" s="16"/>
      <c r="DH1349" s="16"/>
      <c r="DI1349" s="17"/>
      <c r="DJ1349" s="17"/>
      <c r="DK1349" s="16"/>
      <c r="DL1349" s="16"/>
      <c r="DM1349" s="17"/>
      <c r="DN1349" s="17"/>
      <c r="DO1349" s="16"/>
      <c r="DP1349" s="16"/>
      <c r="DQ1349" s="17"/>
      <c r="DR1349" s="17"/>
      <c r="DS1349" s="16"/>
      <c r="DT1349" s="16"/>
      <c r="DU1349" s="17"/>
      <c r="DV1349" s="17"/>
      <c r="DW1349" s="16"/>
      <c r="DX1349" s="16"/>
      <c r="DY1349" s="17"/>
      <c r="DZ1349" s="17"/>
      <c r="EA1349" s="16"/>
      <c r="EB1349" s="16"/>
      <c r="EC1349" s="17"/>
      <c r="ED1349" s="17"/>
      <c r="EE1349" s="16"/>
      <c r="EF1349" s="16"/>
      <c r="EG1349" s="17"/>
      <c r="EH1349" s="17"/>
      <c r="EI1349" s="16"/>
      <c r="EJ1349" s="16"/>
      <c r="EK1349" s="17"/>
      <c r="EL1349" s="17"/>
      <c r="EM1349" s="16"/>
      <c r="EN1349" s="16"/>
      <c r="EO1349" s="17"/>
      <c r="EP1349" s="17"/>
      <c r="EQ1349" s="16"/>
      <c r="ER1349" s="16"/>
      <c r="ES1349" s="17"/>
      <c r="ET1349" s="17"/>
      <c r="EU1349" s="16"/>
      <c r="EV1349" s="16"/>
      <c r="EW1349" s="18">
        <v>1</v>
      </c>
      <c r="EX1349" s="18">
        <v>2</v>
      </c>
      <c r="EY1349" s="16"/>
      <c r="EZ1349" s="16"/>
      <c r="FA1349" s="17"/>
      <c r="FB1349" s="17"/>
      <c r="FC1349" s="16"/>
      <c r="FD1349" s="16"/>
      <c r="FE1349" s="17"/>
      <c r="FF1349" s="17"/>
      <c r="FG1349" s="11"/>
      <c r="GT1349" s="11"/>
      <c r="IG1349" s="11"/>
      <c r="JT1349" s="11"/>
      <c r="LG1349" s="11"/>
      <c r="MT1349" s="11"/>
      <c r="OG1349" s="11"/>
      <c r="PT1349" s="11"/>
    </row>
    <row r="1350" spans="1:436" ht="15.75" x14ac:dyDescent="0.25">
      <c r="C1350" s="20" t="s">
        <v>983</v>
      </c>
      <c r="D1350" s="21" t="s">
        <v>93</v>
      </c>
      <c r="H1350" s="11"/>
      <c r="AU1350" s="11"/>
      <c r="CH1350" s="11"/>
      <c r="CI1350" s="16"/>
      <c r="CJ1350" s="16"/>
      <c r="CK1350" s="16"/>
      <c r="CL1350" s="16"/>
      <c r="CM1350" s="16"/>
      <c r="CN1350" s="16"/>
      <c r="CO1350" s="16"/>
      <c r="CP1350" s="16"/>
      <c r="CQ1350" s="16"/>
      <c r="CR1350" s="16"/>
      <c r="CS1350" s="16"/>
      <c r="CT1350" s="16"/>
      <c r="CU1350" s="16"/>
      <c r="CV1350" s="16"/>
      <c r="CW1350" s="16"/>
      <c r="CX1350" s="16"/>
      <c r="CY1350" s="16"/>
      <c r="CZ1350" s="16"/>
      <c r="DA1350" s="16"/>
      <c r="DB1350" s="16"/>
      <c r="DC1350" s="16"/>
      <c r="DD1350" s="16"/>
      <c r="DE1350" s="17"/>
      <c r="DF1350" s="17"/>
      <c r="DG1350" s="16"/>
      <c r="DH1350" s="16"/>
      <c r="DI1350" s="17"/>
      <c r="DJ1350" s="17"/>
      <c r="DK1350" s="16"/>
      <c r="DL1350" s="16"/>
      <c r="DM1350" s="17"/>
      <c r="DN1350" s="17"/>
      <c r="DO1350" s="16"/>
      <c r="DP1350" s="16"/>
      <c r="DQ1350" s="17"/>
      <c r="DR1350" s="17"/>
      <c r="DS1350" s="16"/>
      <c r="DT1350" s="16"/>
      <c r="DU1350" s="17"/>
      <c r="DV1350" s="17"/>
      <c r="DW1350" s="16"/>
      <c r="DX1350" s="16"/>
      <c r="DY1350" s="17"/>
      <c r="DZ1350" s="17"/>
      <c r="EA1350" s="16"/>
      <c r="EB1350" s="16"/>
      <c r="EC1350" s="17"/>
      <c r="ED1350" s="17"/>
      <c r="EE1350" s="16"/>
      <c r="EF1350" s="16"/>
      <c r="EG1350" s="17"/>
      <c r="EH1350" s="17"/>
      <c r="EI1350" s="16"/>
      <c r="EJ1350" s="16"/>
      <c r="EK1350" s="17"/>
      <c r="EL1350" s="17"/>
      <c r="EM1350" s="16"/>
      <c r="EN1350" s="16"/>
      <c r="EO1350" s="17"/>
      <c r="EP1350" s="17"/>
      <c r="EQ1350" s="16"/>
      <c r="ER1350" s="16"/>
      <c r="ES1350" s="17"/>
      <c r="ET1350" s="17"/>
      <c r="EU1350" s="16"/>
      <c r="EV1350" s="16"/>
      <c r="EW1350" s="18">
        <v>2</v>
      </c>
      <c r="EX1350" s="18">
        <v>3</v>
      </c>
      <c r="EY1350" s="16"/>
      <c r="EZ1350" s="16"/>
      <c r="FA1350" s="17"/>
      <c r="FB1350" s="17"/>
      <c r="FC1350" s="16"/>
      <c r="FD1350" s="16"/>
      <c r="FE1350" s="17"/>
      <c r="FF1350" s="17"/>
      <c r="FG1350" s="11"/>
      <c r="GT1350" s="11"/>
      <c r="IG1350" s="11"/>
      <c r="JT1350" s="11"/>
      <c r="LG1350" s="11"/>
      <c r="MT1350" s="11"/>
      <c r="OG1350" s="11"/>
      <c r="PT1350" s="11"/>
    </row>
    <row r="1351" spans="1:436" ht="15.75" x14ac:dyDescent="0.25">
      <c r="C1351" s="20" t="s">
        <v>984</v>
      </c>
      <c r="D1351" s="21" t="s">
        <v>93</v>
      </c>
      <c r="H1351" s="11"/>
      <c r="AU1351" s="11"/>
      <c r="CH1351" s="11"/>
      <c r="CI1351" s="16"/>
      <c r="CJ1351" s="16"/>
      <c r="CK1351" s="16"/>
      <c r="CL1351" s="16"/>
      <c r="CM1351" s="16"/>
      <c r="CN1351" s="16"/>
      <c r="CO1351" s="16"/>
      <c r="CP1351" s="16"/>
      <c r="CQ1351" s="16"/>
      <c r="CR1351" s="16"/>
      <c r="CS1351" s="16"/>
      <c r="CT1351" s="16"/>
      <c r="CU1351" s="16"/>
      <c r="CV1351" s="16"/>
      <c r="CW1351" s="16"/>
      <c r="CX1351" s="16"/>
      <c r="CY1351" s="16"/>
      <c r="CZ1351" s="16"/>
      <c r="DA1351" s="16"/>
      <c r="DB1351" s="16"/>
      <c r="DC1351" s="16"/>
      <c r="DD1351" s="16"/>
      <c r="DE1351" s="17"/>
      <c r="DF1351" s="17"/>
      <c r="DG1351" s="16"/>
      <c r="DH1351" s="16"/>
      <c r="DI1351" s="17"/>
      <c r="DJ1351" s="17"/>
      <c r="DK1351" s="16"/>
      <c r="DL1351" s="16"/>
      <c r="DM1351" s="17"/>
      <c r="DN1351" s="17"/>
      <c r="DO1351" s="16"/>
      <c r="DP1351" s="16"/>
      <c r="DQ1351" s="17"/>
      <c r="DR1351" s="17"/>
      <c r="DS1351" s="16"/>
      <c r="DT1351" s="16"/>
      <c r="DU1351" s="17"/>
      <c r="DV1351" s="17"/>
      <c r="DW1351" s="16"/>
      <c r="DX1351" s="16"/>
      <c r="DY1351" s="17"/>
      <c r="DZ1351" s="17"/>
      <c r="EA1351" s="16"/>
      <c r="EB1351" s="16"/>
      <c r="EC1351" s="17"/>
      <c r="ED1351" s="17"/>
      <c r="EE1351" s="16"/>
      <c r="EF1351" s="16"/>
      <c r="EG1351" s="17"/>
      <c r="EH1351" s="17"/>
      <c r="EI1351" s="16"/>
      <c r="EJ1351" s="16"/>
      <c r="EK1351" s="17"/>
      <c r="EL1351" s="17"/>
      <c r="EM1351" s="16"/>
      <c r="EN1351" s="16"/>
      <c r="EO1351" s="17"/>
      <c r="EP1351" s="17"/>
      <c r="EQ1351" s="16"/>
      <c r="ER1351" s="16"/>
      <c r="ES1351" s="17"/>
      <c r="ET1351" s="17"/>
      <c r="EU1351" s="16"/>
      <c r="EV1351" s="16"/>
      <c r="EW1351" s="18">
        <v>2</v>
      </c>
      <c r="EX1351" s="18">
        <v>3</v>
      </c>
      <c r="EY1351" s="16"/>
      <c r="EZ1351" s="16"/>
      <c r="FA1351" s="17"/>
      <c r="FB1351" s="17"/>
      <c r="FC1351" s="16"/>
      <c r="FD1351" s="16"/>
      <c r="FE1351" s="17"/>
      <c r="FF1351" s="17"/>
      <c r="FG1351" s="11"/>
      <c r="GT1351" s="11"/>
      <c r="IG1351" s="11"/>
      <c r="JT1351" s="11"/>
      <c r="LG1351" s="11"/>
      <c r="MT1351" s="11"/>
      <c r="OG1351" s="11"/>
      <c r="PT1351" s="11"/>
    </row>
    <row r="1352" spans="1:436" ht="15.75" x14ac:dyDescent="0.25">
      <c r="C1352" s="20" t="s">
        <v>985</v>
      </c>
      <c r="D1352" s="21" t="s">
        <v>93</v>
      </c>
      <c r="H1352" s="11"/>
      <c r="AU1352" s="11"/>
      <c r="CH1352" s="11"/>
      <c r="CI1352" s="16"/>
      <c r="CJ1352" s="16"/>
      <c r="CK1352" s="16"/>
      <c r="CL1352" s="16"/>
      <c r="CM1352" s="16"/>
      <c r="CN1352" s="16"/>
      <c r="CO1352" s="16"/>
      <c r="CP1352" s="16"/>
      <c r="CQ1352" s="16"/>
      <c r="CR1352" s="16"/>
      <c r="CS1352" s="16"/>
      <c r="CT1352" s="16"/>
      <c r="CU1352" s="16"/>
      <c r="CV1352" s="16"/>
      <c r="CW1352" s="16"/>
      <c r="CX1352" s="16"/>
      <c r="CY1352" s="16"/>
      <c r="CZ1352" s="16"/>
      <c r="DA1352" s="16"/>
      <c r="DB1352" s="16"/>
      <c r="DC1352" s="16"/>
      <c r="DD1352" s="16"/>
      <c r="DE1352" s="17"/>
      <c r="DF1352" s="17"/>
      <c r="DG1352" s="16"/>
      <c r="DH1352" s="16"/>
      <c r="DI1352" s="17"/>
      <c r="DJ1352" s="17"/>
      <c r="DK1352" s="16"/>
      <c r="DL1352" s="16"/>
      <c r="DM1352" s="17"/>
      <c r="DN1352" s="17"/>
      <c r="DO1352" s="16"/>
      <c r="DP1352" s="16"/>
      <c r="DQ1352" s="17"/>
      <c r="DR1352" s="17"/>
      <c r="DS1352" s="16"/>
      <c r="DT1352" s="16"/>
      <c r="DU1352" s="17"/>
      <c r="DV1352" s="17"/>
      <c r="DW1352" s="16"/>
      <c r="DX1352" s="16"/>
      <c r="DY1352" s="17"/>
      <c r="DZ1352" s="17"/>
      <c r="EA1352" s="16"/>
      <c r="EB1352" s="16"/>
      <c r="EC1352" s="17"/>
      <c r="ED1352" s="17"/>
      <c r="EE1352" s="16"/>
      <c r="EF1352" s="16"/>
      <c r="EG1352" s="17"/>
      <c r="EH1352" s="17"/>
      <c r="EI1352" s="16"/>
      <c r="EJ1352" s="16"/>
      <c r="EK1352" s="17"/>
      <c r="EL1352" s="17"/>
      <c r="EM1352" s="16"/>
      <c r="EN1352" s="16"/>
      <c r="EO1352" s="17"/>
      <c r="EP1352" s="17"/>
      <c r="EQ1352" s="16"/>
      <c r="ER1352" s="16"/>
      <c r="ES1352" s="17"/>
      <c r="ET1352" s="17"/>
      <c r="EU1352" s="16"/>
      <c r="EV1352" s="16"/>
      <c r="EW1352" s="18">
        <v>3</v>
      </c>
      <c r="EX1352" s="18">
        <v>4</v>
      </c>
      <c r="EY1352" s="16"/>
      <c r="EZ1352" s="16"/>
      <c r="FA1352" s="17"/>
      <c r="FB1352" s="17"/>
      <c r="FC1352" s="16"/>
      <c r="FD1352" s="16"/>
      <c r="FE1352" s="17"/>
      <c r="FF1352" s="17"/>
      <c r="FG1352" s="11"/>
      <c r="GT1352" s="11"/>
      <c r="IG1352" s="11"/>
      <c r="JT1352" s="11"/>
      <c r="LG1352" s="11"/>
      <c r="MT1352" s="11"/>
      <c r="OG1352" s="11"/>
      <c r="PT1352" s="11"/>
    </row>
    <row r="1353" spans="1:436" ht="15.75" x14ac:dyDescent="0.25">
      <c r="C1353" s="20" t="s">
        <v>986</v>
      </c>
      <c r="D1353" s="21" t="s">
        <v>93</v>
      </c>
      <c r="H1353" s="11"/>
      <c r="AU1353" s="11"/>
      <c r="CH1353" s="11"/>
      <c r="CI1353" s="16"/>
      <c r="CJ1353" s="16"/>
      <c r="CK1353" s="16"/>
      <c r="CL1353" s="16"/>
      <c r="CM1353" s="16"/>
      <c r="CN1353" s="16"/>
      <c r="CO1353" s="16"/>
      <c r="CP1353" s="16"/>
      <c r="CQ1353" s="16"/>
      <c r="CR1353" s="16"/>
      <c r="CS1353" s="16"/>
      <c r="CT1353" s="16"/>
      <c r="CU1353" s="16"/>
      <c r="CV1353" s="16"/>
      <c r="CW1353" s="16"/>
      <c r="CX1353" s="16"/>
      <c r="CY1353" s="16"/>
      <c r="CZ1353" s="16"/>
      <c r="DA1353" s="16"/>
      <c r="DB1353" s="16"/>
      <c r="DC1353" s="16"/>
      <c r="DD1353" s="16"/>
      <c r="DE1353" s="17"/>
      <c r="DF1353" s="17"/>
      <c r="DG1353" s="16"/>
      <c r="DH1353" s="16"/>
      <c r="DI1353" s="17"/>
      <c r="DJ1353" s="17"/>
      <c r="DK1353" s="16"/>
      <c r="DL1353" s="16"/>
      <c r="DM1353" s="17"/>
      <c r="DN1353" s="17"/>
      <c r="DO1353" s="16"/>
      <c r="DP1353" s="16"/>
      <c r="DQ1353" s="17"/>
      <c r="DR1353" s="17"/>
      <c r="DS1353" s="16"/>
      <c r="DT1353" s="16"/>
      <c r="DU1353" s="17"/>
      <c r="DV1353" s="17"/>
      <c r="DW1353" s="16"/>
      <c r="DX1353" s="16"/>
      <c r="DY1353" s="17"/>
      <c r="DZ1353" s="17"/>
      <c r="EA1353" s="16"/>
      <c r="EB1353" s="16"/>
      <c r="EC1353" s="17"/>
      <c r="ED1353" s="17"/>
      <c r="EE1353" s="16"/>
      <c r="EF1353" s="16"/>
      <c r="EG1353" s="17"/>
      <c r="EH1353" s="17"/>
      <c r="EI1353" s="16"/>
      <c r="EJ1353" s="16"/>
      <c r="EK1353" s="17"/>
      <c r="EL1353" s="17"/>
      <c r="EM1353" s="16"/>
      <c r="EN1353" s="16"/>
      <c r="EO1353" s="17"/>
      <c r="EP1353" s="17"/>
      <c r="EQ1353" s="16"/>
      <c r="ER1353" s="16"/>
      <c r="ES1353" s="17"/>
      <c r="ET1353" s="17"/>
      <c r="EU1353" s="16"/>
      <c r="EV1353" s="16"/>
      <c r="EW1353" s="18">
        <v>3</v>
      </c>
      <c r="EX1353" s="18">
        <v>4</v>
      </c>
      <c r="EY1353" s="16"/>
      <c r="EZ1353" s="16"/>
      <c r="FA1353" s="17"/>
      <c r="FB1353" s="17"/>
      <c r="FC1353" s="16"/>
      <c r="FD1353" s="16"/>
      <c r="FE1353" s="17"/>
      <c r="FF1353" s="17"/>
      <c r="FG1353" s="11"/>
      <c r="GT1353" s="11"/>
      <c r="IG1353" s="11"/>
      <c r="JT1353" s="11"/>
      <c r="LG1353" s="11"/>
      <c r="MT1353" s="11"/>
      <c r="OG1353" s="11"/>
      <c r="PT1353" s="11"/>
    </row>
    <row r="1354" spans="1:436" ht="15.75" x14ac:dyDescent="0.25">
      <c r="C1354" s="20" t="s">
        <v>987</v>
      </c>
      <c r="D1354" s="21" t="s">
        <v>93</v>
      </c>
      <c r="H1354" s="11"/>
      <c r="AU1354" s="11"/>
      <c r="CH1354" s="11"/>
      <c r="CI1354" s="16"/>
      <c r="CJ1354" s="16"/>
      <c r="CK1354" s="16"/>
      <c r="CL1354" s="16"/>
      <c r="CM1354" s="16"/>
      <c r="CN1354" s="16"/>
      <c r="CO1354" s="16"/>
      <c r="CP1354" s="16"/>
      <c r="CQ1354" s="16"/>
      <c r="CR1354" s="16"/>
      <c r="CS1354" s="16"/>
      <c r="CT1354" s="16"/>
      <c r="CU1354" s="16"/>
      <c r="CV1354" s="16"/>
      <c r="CW1354" s="16"/>
      <c r="CX1354" s="16"/>
      <c r="CY1354" s="16"/>
      <c r="CZ1354" s="16"/>
      <c r="DA1354" s="16"/>
      <c r="DB1354" s="16"/>
      <c r="DC1354" s="16"/>
      <c r="DD1354" s="16"/>
      <c r="DE1354" s="17"/>
      <c r="DF1354" s="17"/>
      <c r="DG1354" s="16"/>
      <c r="DH1354" s="16"/>
      <c r="DI1354" s="17"/>
      <c r="DJ1354" s="17"/>
      <c r="DK1354" s="16"/>
      <c r="DL1354" s="16"/>
      <c r="DM1354" s="17"/>
      <c r="DN1354" s="17"/>
      <c r="DO1354" s="16"/>
      <c r="DP1354" s="16"/>
      <c r="DQ1354" s="17"/>
      <c r="DR1354" s="17"/>
      <c r="DS1354" s="16"/>
      <c r="DT1354" s="16"/>
      <c r="DU1354" s="17"/>
      <c r="DV1354" s="17"/>
      <c r="DW1354" s="16"/>
      <c r="DX1354" s="16"/>
      <c r="DY1354" s="17"/>
      <c r="DZ1354" s="17"/>
      <c r="EA1354" s="16"/>
      <c r="EB1354" s="16"/>
      <c r="EC1354" s="17"/>
      <c r="ED1354" s="17"/>
      <c r="EE1354" s="16"/>
      <c r="EF1354" s="16"/>
      <c r="EG1354" s="17"/>
      <c r="EH1354" s="17"/>
      <c r="EI1354" s="16"/>
      <c r="EJ1354" s="16"/>
      <c r="EK1354" s="17"/>
      <c r="EL1354" s="17"/>
      <c r="EM1354" s="16"/>
      <c r="EN1354" s="16"/>
      <c r="EO1354" s="17"/>
      <c r="EP1354" s="17"/>
      <c r="EQ1354" s="16"/>
      <c r="ER1354" s="16"/>
      <c r="ES1354" s="17"/>
      <c r="ET1354" s="17"/>
      <c r="EU1354" s="16"/>
      <c r="EV1354" s="16"/>
      <c r="EW1354" s="18">
        <v>1</v>
      </c>
      <c r="EX1354" s="18">
        <v>2</v>
      </c>
      <c r="EY1354" s="16"/>
      <c r="EZ1354" s="16"/>
      <c r="FA1354" s="17"/>
      <c r="FB1354" s="17"/>
      <c r="FC1354" s="16"/>
      <c r="FD1354" s="16"/>
      <c r="FE1354" s="17"/>
      <c r="FF1354" s="17"/>
      <c r="FG1354" s="11"/>
      <c r="GT1354" s="11"/>
      <c r="IG1354" s="11"/>
      <c r="JT1354" s="11"/>
      <c r="LG1354" s="11"/>
      <c r="MT1354" s="11"/>
      <c r="OG1354" s="11"/>
      <c r="PT1354" s="11"/>
    </row>
    <row r="1355" spans="1:436" ht="15.75" x14ac:dyDescent="0.25">
      <c r="C1355" s="20" t="s">
        <v>988</v>
      </c>
      <c r="D1355" s="21" t="s">
        <v>93</v>
      </c>
      <c r="H1355" s="11"/>
      <c r="AU1355" s="11"/>
      <c r="CH1355" s="11"/>
      <c r="CI1355" s="16"/>
      <c r="CJ1355" s="16"/>
      <c r="CK1355" s="16"/>
      <c r="CL1355" s="16"/>
      <c r="CM1355" s="16"/>
      <c r="CN1355" s="16"/>
      <c r="CO1355" s="16"/>
      <c r="CP1355" s="16"/>
      <c r="CQ1355" s="16"/>
      <c r="CR1355" s="16"/>
      <c r="CS1355" s="16"/>
      <c r="CT1355" s="16"/>
      <c r="CU1355" s="16"/>
      <c r="CV1355" s="16"/>
      <c r="CW1355" s="16"/>
      <c r="CX1355" s="16"/>
      <c r="CY1355" s="16"/>
      <c r="CZ1355" s="16"/>
      <c r="DA1355" s="16"/>
      <c r="DB1355" s="16"/>
      <c r="DC1355" s="16"/>
      <c r="DD1355" s="16"/>
      <c r="DE1355" s="17"/>
      <c r="DF1355" s="17"/>
      <c r="DG1355" s="16"/>
      <c r="DH1355" s="16"/>
      <c r="DI1355" s="17"/>
      <c r="DJ1355" s="17"/>
      <c r="DK1355" s="16"/>
      <c r="DL1355" s="16"/>
      <c r="DM1355" s="17"/>
      <c r="DN1355" s="17"/>
      <c r="DO1355" s="16"/>
      <c r="DP1355" s="16"/>
      <c r="DQ1355" s="17"/>
      <c r="DR1355" s="17"/>
      <c r="DS1355" s="16"/>
      <c r="DT1355" s="16"/>
      <c r="DU1355" s="17"/>
      <c r="DV1355" s="17"/>
      <c r="DW1355" s="16"/>
      <c r="DX1355" s="16"/>
      <c r="DY1355" s="17"/>
      <c r="DZ1355" s="17"/>
      <c r="EA1355" s="16"/>
      <c r="EB1355" s="16"/>
      <c r="EC1355" s="17"/>
      <c r="ED1355" s="17"/>
      <c r="EE1355" s="16"/>
      <c r="EF1355" s="16"/>
      <c r="EG1355" s="17"/>
      <c r="EH1355" s="17"/>
      <c r="EI1355" s="16"/>
      <c r="EJ1355" s="16"/>
      <c r="EK1355" s="17"/>
      <c r="EL1355" s="17"/>
      <c r="EM1355" s="16"/>
      <c r="EN1355" s="16"/>
      <c r="EO1355" s="17"/>
      <c r="EP1355" s="17"/>
      <c r="EQ1355" s="16"/>
      <c r="ER1355" s="16"/>
      <c r="ES1355" s="17"/>
      <c r="ET1355" s="17"/>
      <c r="EU1355" s="16"/>
      <c r="EV1355" s="16"/>
      <c r="EW1355" s="18">
        <v>3</v>
      </c>
      <c r="EX1355" s="18">
        <v>4</v>
      </c>
      <c r="EY1355" s="16"/>
      <c r="EZ1355" s="16"/>
      <c r="FA1355" s="17"/>
      <c r="FB1355" s="17"/>
      <c r="FC1355" s="16"/>
      <c r="FD1355" s="16"/>
      <c r="FE1355" s="17"/>
      <c r="FF1355" s="17"/>
      <c r="FG1355" s="11"/>
      <c r="GT1355" s="11"/>
      <c r="IG1355" s="11"/>
      <c r="JT1355" s="11"/>
      <c r="LG1355" s="11"/>
      <c r="MT1355" s="11"/>
      <c r="OG1355" s="11"/>
      <c r="PT1355" s="11"/>
    </row>
    <row r="1356" spans="1:436" ht="15.75" x14ac:dyDescent="0.25">
      <c r="C1356" s="20" t="s">
        <v>989</v>
      </c>
      <c r="D1356" s="21" t="s">
        <v>93</v>
      </c>
      <c r="H1356" s="11"/>
      <c r="AU1356" s="11"/>
      <c r="CH1356" s="11"/>
      <c r="CI1356" s="16"/>
      <c r="CJ1356" s="16"/>
      <c r="CK1356" s="16"/>
      <c r="CL1356" s="16"/>
      <c r="CM1356" s="16"/>
      <c r="CN1356" s="16"/>
      <c r="CO1356" s="16"/>
      <c r="CP1356" s="16"/>
      <c r="CQ1356" s="16"/>
      <c r="CR1356" s="16"/>
      <c r="CS1356" s="16"/>
      <c r="CT1356" s="16"/>
      <c r="CU1356" s="16"/>
      <c r="CV1356" s="16"/>
      <c r="CW1356" s="16"/>
      <c r="CX1356" s="16"/>
      <c r="CY1356" s="16"/>
      <c r="CZ1356" s="16"/>
      <c r="DA1356" s="16"/>
      <c r="DB1356" s="16"/>
      <c r="DC1356" s="16"/>
      <c r="DD1356" s="16"/>
      <c r="DE1356" s="17"/>
      <c r="DF1356" s="17"/>
      <c r="DG1356" s="16"/>
      <c r="DH1356" s="16"/>
      <c r="DI1356" s="17"/>
      <c r="DJ1356" s="17"/>
      <c r="DK1356" s="16"/>
      <c r="DL1356" s="16"/>
      <c r="DM1356" s="17"/>
      <c r="DN1356" s="17"/>
      <c r="DO1356" s="16"/>
      <c r="DP1356" s="16"/>
      <c r="DQ1356" s="17"/>
      <c r="DR1356" s="17"/>
      <c r="DS1356" s="16"/>
      <c r="DT1356" s="16"/>
      <c r="DU1356" s="17"/>
      <c r="DV1356" s="17"/>
      <c r="DW1356" s="16"/>
      <c r="DX1356" s="16"/>
      <c r="DY1356" s="17"/>
      <c r="DZ1356" s="17"/>
      <c r="EA1356" s="16"/>
      <c r="EB1356" s="16"/>
      <c r="EC1356" s="17"/>
      <c r="ED1356" s="17"/>
      <c r="EE1356" s="16"/>
      <c r="EF1356" s="16"/>
      <c r="EG1356" s="17"/>
      <c r="EH1356" s="17"/>
      <c r="EI1356" s="16"/>
      <c r="EJ1356" s="16"/>
      <c r="EK1356" s="17"/>
      <c r="EL1356" s="17"/>
      <c r="EM1356" s="16"/>
      <c r="EN1356" s="16"/>
      <c r="EO1356" s="17"/>
      <c r="EP1356" s="17"/>
      <c r="EQ1356" s="16"/>
      <c r="ER1356" s="16"/>
      <c r="ES1356" s="17"/>
      <c r="ET1356" s="17"/>
      <c r="EU1356" s="16"/>
      <c r="EV1356" s="16"/>
      <c r="EW1356" s="18">
        <v>1</v>
      </c>
      <c r="EX1356" s="18">
        <v>2</v>
      </c>
      <c r="EY1356" s="16"/>
      <c r="EZ1356" s="16"/>
      <c r="FA1356" s="17"/>
      <c r="FB1356" s="17"/>
      <c r="FC1356" s="16"/>
      <c r="FD1356" s="16"/>
      <c r="FE1356" s="17"/>
      <c r="FF1356" s="17"/>
      <c r="FG1356" s="11"/>
      <c r="GT1356" s="11"/>
      <c r="IG1356" s="11"/>
      <c r="JT1356" s="11"/>
      <c r="LG1356" s="11"/>
      <c r="MT1356" s="11"/>
      <c r="OG1356" s="11"/>
      <c r="PT1356" s="11"/>
    </row>
    <row r="1357" spans="1:436" ht="15.75" x14ac:dyDescent="0.25">
      <c r="C1357" s="20" t="s">
        <v>990</v>
      </c>
      <c r="D1357" s="21" t="s">
        <v>93</v>
      </c>
      <c r="H1357" s="11"/>
      <c r="AU1357" s="11"/>
      <c r="CH1357" s="11"/>
      <c r="CI1357" s="16"/>
      <c r="CJ1357" s="16"/>
      <c r="CK1357" s="16"/>
      <c r="CL1357" s="16"/>
      <c r="CM1357" s="16"/>
      <c r="CN1357" s="16"/>
      <c r="CO1357" s="16"/>
      <c r="CP1357" s="16"/>
      <c r="CQ1357" s="16"/>
      <c r="CR1357" s="16"/>
      <c r="CS1357" s="16"/>
      <c r="CT1357" s="16"/>
      <c r="CU1357" s="16"/>
      <c r="CV1357" s="16"/>
      <c r="CW1357" s="16"/>
      <c r="CX1357" s="16"/>
      <c r="CY1357" s="16"/>
      <c r="CZ1357" s="16"/>
      <c r="DA1357" s="16"/>
      <c r="DB1357" s="16"/>
      <c r="DC1357" s="16"/>
      <c r="DD1357" s="16"/>
      <c r="DE1357" s="17"/>
      <c r="DF1357" s="17"/>
      <c r="DG1357" s="16"/>
      <c r="DH1357" s="16"/>
      <c r="DI1357" s="17"/>
      <c r="DJ1357" s="17"/>
      <c r="DK1357" s="16"/>
      <c r="DL1357" s="16"/>
      <c r="DM1357" s="17"/>
      <c r="DN1357" s="17"/>
      <c r="DO1357" s="16"/>
      <c r="DP1357" s="16"/>
      <c r="DQ1357" s="17"/>
      <c r="DR1357" s="17"/>
      <c r="DS1357" s="16"/>
      <c r="DT1357" s="16"/>
      <c r="DU1357" s="17"/>
      <c r="DV1357" s="17"/>
      <c r="DW1357" s="16"/>
      <c r="DX1357" s="16"/>
      <c r="DY1357" s="17"/>
      <c r="DZ1357" s="17"/>
      <c r="EA1357" s="16"/>
      <c r="EB1357" s="16"/>
      <c r="EC1357" s="17"/>
      <c r="ED1357" s="17"/>
      <c r="EE1357" s="16"/>
      <c r="EF1357" s="16"/>
      <c r="EG1357" s="17"/>
      <c r="EH1357" s="17"/>
      <c r="EI1357" s="16"/>
      <c r="EJ1357" s="16"/>
      <c r="EK1357" s="17"/>
      <c r="EL1357" s="17"/>
      <c r="EM1357" s="16"/>
      <c r="EN1357" s="16"/>
      <c r="EO1357" s="17"/>
      <c r="EP1357" s="17"/>
      <c r="EQ1357" s="16"/>
      <c r="ER1357" s="16"/>
      <c r="ES1357" s="17"/>
      <c r="ET1357" s="17"/>
      <c r="EU1357" s="16"/>
      <c r="EV1357" s="16"/>
      <c r="EW1357" s="17"/>
      <c r="EX1357" s="17"/>
      <c r="EY1357" s="16"/>
      <c r="EZ1357" s="16"/>
      <c r="FA1357" s="17"/>
      <c r="FB1357" s="17"/>
      <c r="FC1357" s="16"/>
      <c r="FD1357" s="16"/>
      <c r="FE1357" s="17"/>
      <c r="FF1357" s="17"/>
      <c r="FG1357" s="11"/>
      <c r="GT1357" s="11"/>
      <c r="IG1357" s="11"/>
      <c r="JT1357" s="11"/>
      <c r="LG1357" s="11"/>
      <c r="MT1357" s="11"/>
      <c r="OG1357" s="11"/>
      <c r="PT1357" s="11"/>
    </row>
    <row r="1358" spans="1:436" ht="15.75" x14ac:dyDescent="0.25">
      <c r="C1358" s="20" t="s">
        <v>991</v>
      </c>
      <c r="D1358" s="21" t="s">
        <v>93</v>
      </c>
      <c r="H1358" s="11"/>
      <c r="AU1358" s="11"/>
      <c r="CH1358" s="11"/>
      <c r="CI1358" s="16"/>
      <c r="CJ1358" s="16"/>
      <c r="CK1358" s="16"/>
      <c r="CL1358" s="16"/>
      <c r="CM1358" s="16"/>
      <c r="CN1358" s="16"/>
      <c r="CO1358" s="16"/>
      <c r="CP1358" s="16"/>
      <c r="CQ1358" s="16"/>
      <c r="CR1358" s="16"/>
      <c r="CS1358" s="16"/>
      <c r="CT1358" s="16"/>
      <c r="CU1358" s="16"/>
      <c r="CV1358" s="16"/>
      <c r="CW1358" s="16"/>
      <c r="CX1358" s="16"/>
      <c r="CY1358" s="16"/>
      <c r="CZ1358" s="16"/>
      <c r="DA1358" s="16"/>
      <c r="DB1358" s="16"/>
      <c r="DC1358" s="16"/>
      <c r="DD1358" s="16"/>
      <c r="DE1358" s="17"/>
      <c r="DF1358" s="17"/>
      <c r="DG1358" s="16"/>
      <c r="DH1358" s="16"/>
      <c r="DI1358" s="17"/>
      <c r="DJ1358" s="17"/>
      <c r="DK1358" s="16"/>
      <c r="DL1358" s="16"/>
      <c r="DM1358" s="17"/>
      <c r="DN1358" s="17"/>
      <c r="DO1358" s="16"/>
      <c r="DP1358" s="16"/>
      <c r="DQ1358" s="17"/>
      <c r="DR1358" s="17"/>
      <c r="DS1358" s="16"/>
      <c r="DT1358" s="16"/>
      <c r="DU1358" s="17"/>
      <c r="DV1358" s="17"/>
      <c r="DW1358" s="16"/>
      <c r="DX1358" s="16"/>
      <c r="DY1358" s="17"/>
      <c r="DZ1358" s="17"/>
      <c r="EA1358" s="16"/>
      <c r="EB1358" s="16"/>
      <c r="EC1358" s="17"/>
      <c r="ED1358" s="17"/>
      <c r="EE1358" s="16"/>
      <c r="EF1358" s="16"/>
      <c r="EG1358" s="17"/>
      <c r="EH1358" s="17"/>
      <c r="EI1358" s="16"/>
      <c r="EJ1358" s="16"/>
      <c r="EK1358" s="17"/>
      <c r="EL1358" s="17"/>
      <c r="EM1358" s="16"/>
      <c r="EN1358" s="16"/>
      <c r="EO1358" s="17"/>
      <c r="EP1358" s="17"/>
      <c r="EQ1358" s="16"/>
      <c r="ER1358" s="16"/>
      <c r="ES1358" s="17"/>
      <c r="ET1358" s="17"/>
      <c r="EU1358" s="16"/>
      <c r="EV1358" s="16"/>
      <c r="EW1358" s="18">
        <v>4</v>
      </c>
      <c r="EX1358" s="18">
        <v>5</v>
      </c>
      <c r="EY1358" s="16"/>
      <c r="EZ1358" s="16"/>
      <c r="FA1358" s="17"/>
      <c r="FB1358" s="17"/>
      <c r="FC1358" s="16"/>
      <c r="FD1358" s="16"/>
      <c r="FE1358" s="17"/>
      <c r="FF1358" s="17"/>
      <c r="FG1358" s="11"/>
      <c r="GT1358" s="11"/>
      <c r="IG1358" s="11"/>
      <c r="JT1358" s="11"/>
      <c r="LG1358" s="11"/>
      <c r="MT1358" s="11"/>
      <c r="OG1358" s="11"/>
      <c r="PT1358" s="11"/>
    </row>
    <row r="1359" spans="1:436" ht="15.75" x14ac:dyDescent="0.25">
      <c r="C1359" s="20" t="s">
        <v>992</v>
      </c>
      <c r="D1359" s="21" t="s">
        <v>93</v>
      </c>
      <c r="H1359" s="11"/>
      <c r="AU1359" s="11"/>
      <c r="CH1359" s="11"/>
      <c r="CI1359" s="16"/>
      <c r="CJ1359" s="16"/>
      <c r="CK1359" s="16"/>
      <c r="CL1359" s="16"/>
      <c r="CM1359" s="16"/>
      <c r="CN1359" s="16"/>
      <c r="CO1359" s="16"/>
      <c r="CP1359" s="16"/>
      <c r="CQ1359" s="16"/>
      <c r="CR1359" s="16"/>
      <c r="CS1359" s="16"/>
      <c r="CT1359" s="16"/>
      <c r="CU1359" s="16"/>
      <c r="CV1359" s="16"/>
      <c r="CW1359" s="16"/>
      <c r="CX1359" s="16"/>
      <c r="CY1359" s="16"/>
      <c r="CZ1359" s="16"/>
      <c r="DA1359" s="16"/>
      <c r="DB1359" s="16"/>
      <c r="DC1359" s="16"/>
      <c r="DD1359" s="16"/>
      <c r="DE1359" s="17"/>
      <c r="DF1359" s="17"/>
      <c r="DG1359" s="16"/>
      <c r="DH1359" s="16"/>
      <c r="DI1359" s="17"/>
      <c r="DJ1359" s="17"/>
      <c r="DK1359" s="16"/>
      <c r="DL1359" s="16"/>
      <c r="DM1359" s="17"/>
      <c r="DN1359" s="17"/>
      <c r="DO1359" s="16"/>
      <c r="DP1359" s="16"/>
      <c r="DQ1359" s="17"/>
      <c r="DR1359" s="17"/>
      <c r="DS1359" s="16"/>
      <c r="DT1359" s="16"/>
      <c r="DU1359" s="17"/>
      <c r="DV1359" s="17"/>
      <c r="DW1359" s="16"/>
      <c r="DX1359" s="16"/>
      <c r="DY1359" s="17"/>
      <c r="DZ1359" s="17"/>
      <c r="EA1359" s="16"/>
      <c r="EB1359" s="16"/>
      <c r="EC1359" s="17"/>
      <c r="ED1359" s="17"/>
      <c r="EE1359" s="16"/>
      <c r="EF1359" s="16"/>
      <c r="EG1359" s="17"/>
      <c r="EH1359" s="17"/>
      <c r="EI1359" s="16"/>
      <c r="EJ1359" s="16"/>
      <c r="EK1359" s="17"/>
      <c r="EL1359" s="17"/>
      <c r="EM1359" s="16"/>
      <c r="EN1359" s="16"/>
      <c r="EO1359" s="17"/>
      <c r="EP1359" s="17"/>
      <c r="EQ1359" s="16"/>
      <c r="ER1359" s="16"/>
      <c r="ES1359" s="17"/>
      <c r="ET1359" s="17"/>
      <c r="EU1359" s="16"/>
      <c r="EV1359" s="16"/>
      <c r="EW1359" s="17"/>
      <c r="EX1359" s="17"/>
      <c r="EY1359" s="16"/>
      <c r="EZ1359" s="16"/>
      <c r="FA1359" s="17"/>
      <c r="FB1359" s="17"/>
      <c r="FC1359" s="16"/>
      <c r="FD1359" s="16"/>
      <c r="FE1359" s="17"/>
      <c r="FF1359" s="17"/>
      <c r="FG1359" s="11"/>
      <c r="GT1359" s="11"/>
      <c r="IG1359" s="11"/>
      <c r="JT1359" s="11"/>
      <c r="LG1359" s="11"/>
      <c r="MT1359" s="11"/>
      <c r="OG1359" s="11"/>
      <c r="PT1359" s="11"/>
    </row>
    <row r="1360" spans="1:436" ht="15.75" x14ac:dyDescent="0.25">
      <c r="C1360" s="20" t="s">
        <v>993</v>
      </c>
      <c r="D1360" s="21" t="s">
        <v>93</v>
      </c>
      <c r="H1360" s="11"/>
      <c r="AU1360" s="11"/>
      <c r="CH1360" s="11"/>
      <c r="CI1360" s="16"/>
      <c r="CJ1360" s="16"/>
      <c r="CK1360" s="16"/>
      <c r="CL1360" s="16"/>
      <c r="CM1360" s="16"/>
      <c r="CN1360" s="16"/>
      <c r="CO1360" s="16"/>
      <c r="CP1360" s="16"/>
      <c r="CQ1360" s="16"/>
      <c r="CR1360" s="16"/>
      <c r="CS1360" s="16"/>
      <c r="CT1360" s="16"/>
      <c r="CU1360" s="16"/>
      <c r="CV1360" s="16"/>
      <c r="CW1360" s="16"/>
      <c r="CX1360" s="16"/>
      <c r="CY1360" s="16"/>
      <c r="CZ1360" s="16"/>
      <c r="DA1360" s="16"/>
      <c r="DB1360" s="16"/>
      <c r="DC1360" s="16"/>
      <c r="DD1360" s="16"/>
      <c r="DE1360" s="17"/>
      <c r="DF1360" s="17"/>
      <c r="DG1360" s="16"/>
      <c r="DH1360" s="16"/>
      <c r="DI1360" s="17"/>
      <c r="DJ1360" s="17"/>
      <c r="DK1360" s="16"/>
      <c r="DL1360" s="16"/>
      <c r="DM1360" s="17"/>
      <c r="DN1360" s="17"/>
      <c r="DO1360" s="16"/>
      <c r="DP1360" s="16"/>
      <c r="DQ1360" s="17"/>
      <c r="DR1360" s="17"/>
      <c r="DS1360" s="16"/>
      <c r="DT1360" s="16"/>
      <c r="DU1360" s="17"/>
      <c r="DV1360" s="17"/>
      <c r="DW1360" s="16"/>
      <c r="DX1360" s="16"/>
      <c r="DY1360" s="17"/>
      <c r="DZ1360" s="17"/>
      <c r="EA1360" s="16"/>
      <c r="EB1360" s="16"/>
      <c r="EC1360" s="17"/>
      <c r="ED1360" s="17"/>
      <c r="EE1360" s="16"/>
      <c r="EF1360" s="16"/>
      <c r="EG1360" s="17"/>
      <c r="EH1360" s="17"/>
      <c r="EI1360" s="16"/>
      <c r="EJ1360" s="16"/>
      <c r="EK1360" s="17"/>
      <c r="EL1360" s="17"/>
      <c r="EM1360" s="16"/>
      <c r="EN1360" s="16"/>
      <c r="EO1360" s="17"/>
      <c r="EP1360" s="17"/>
      <c r="EQ1360" s="16"/>
      <c r="ER1360" s="16"/>
      <c r="ES1360" s="17"/>
      <c r="ET1360" s="17"/>
      <c r="EU1360" s="16"/>
      <c r="EV1360" s="16"/>
      <c r="EW1360" s="18">
        <v>3</v>
      </c>
      <c r="EX1360" s="18">
        <v>4</v>
      </c>
      <c r="EY1360" s="16"/>
      <c r="EZ1360" s="16"/>
      <c r="FA1360" s="17"/>
      <c r="FB1360" s="17"/>
      <c r="FC1360" s="16"/>
      <c r="FD1360" s="16"/>
      <c r="FE1360" s="17"/>
      <c r="FF1360" s="17"/>
      <c r="FG1360" s="11"/>
      <c r="GT1360" s="11"/>
      <c r="IG1360" s="11"/>
      <c r="JT1360" s="11"/>
      <c r="LG1360" s="11"/>
      <c r="MT1360" s="11"/>
      <c r="OG1360" s="11"/>
      <c r="PT1360" s="11"/>
    </row>
    <row r="1361" spans="3:436" ht="15.75" x14ac:dyDescent="0.25">
      <c r="C1361" s="20" t="s">
        <v>994</v>
      </c>
      <c r="D1361" s="21" t="s">
        <v>93</v>
      </c>
      <c r="H1361" s="11"/>
      <c r="AU1361" s="11"/>
      <c r="CH1361" s="11"/>
      <c r="CI1361" s="16"/>
      <c r="CJ1361" s="16"/>
      <c r="CK1361" s="16"/>
      <c r="CL1361" s="16"/>
      <c r="CM1361" s="16"/>
      <c r="CN1361" s="16"/>
      <c r="CO1361" s="16"/>
      <c r="CP1361" s="16"/>
      <c r="CQ1361" s="16"/>
      <c r="CR1361" s="16"/>
      <c r="CS1361" s="16"/>
      <c r="CT1361" s="16"/>
      <c r="CU1361" s="16"/>
      <c r="CV1361" s="16"/>
      <c r="CW1361" s="16"/>
      <c r="CX1361" s="16"/>
      <c r="CY1361" s="16"/>
      <c r="CZ1361" s="16"/>
      <c r="DA1361" s="16"/>
      <c r="DB1361" s="16"/>
      <c r="DC1361" s="16"/>
      <c r="DD1361" s="16"/>
      <c r="DE1361" s="17"/>
      <c r="DF1361" s="17"/>
      <c r="DG1361" s="16"/>
      <c r="DH1361" s="16"/>
      <c r="DI1361" s="17"/>
      <c r="DJ1361" s="17"/>
      <c r="DK1361" s="16"/>
      <c r="DL1361" s="16"/>
      <c r="DM1361" s="17"/>
      <c r="DN1361" s="17"/>
      <c r="DO1361" s="16"/>
      <c r="DP1361" s="16"/>
      <c r="DQ1361" s="17"/>
      <c r="DR1361" s="17"/>
      <c r="DS1361" s="16"/>
      <c r="DT1361" s="16"/>
      <c r="DU1361" s="17"/>
      <c r="DV1361" s="17"/>
      <c r="DW1361" s="16"/>
      <c r="DX1361" s="16"/>
      <c r="DY1361" s="17"/>
      <c r="DZ1361" s="17"/>
      <c r="EA1361" s="16"/>
      <c r="EB1361" s="16"/>
      <c r="EC1361" s="17"/>
      <c r="ED1361" s="17"/>
      <c r="EE1361" s="16"/>
      <c r="EF1361" s="16"/>
      <c r="EG1361" s="17"/>
      <c r="EH1361" s="17"/>
      <c r="EI1361" s="16"/>
      <c r="EJ1361" s="16"/>
      <c r="EK1361" s="17"/>
      <c r="EL1361" s="17"/>
      <c r="EM1361" s="16"/>
      <c r="EN1361" s="16"/>
      <c r="EO1361" s="17"/>
      <c r="EP1361" s="17"/>
      <c r="EQ1361" s="16"/>
      <c r="ER1361" s="16"/>
      <c r="ES1361" s="17"/>
      <c r="ET1361" s="17"/>
      <c r="EU1361" s="16"/>
      <c r="EV1361" s="16"/>
      <c r="EW1361" s="17"/>
      <c r="EX1361" s="17"/>
      <c r="EY1361" s="16"/>
      <c r="EZ1361" s="16"/>
      <c r="FA1361" s="17"/>
      <c r="FB1361" s="17"/>
      <c r="FC1361" s="16"/>
      <c r="FD1361" s="16"/>
      <c r="FE1361" s="17"/>
      <c r="FF1361" s="17"/>
      <c r="FG1361" s="11"/>
      <c r="GT1361" s="11"/>
      <c r="IG1361" s="11"/>
      <c r="JT1361" s="11"/>
      <c r="LG1361" s="11"/>
      <c r="MT1361" s="11"/>
      <c r="OG1361" s="11"/>
      <c r="PT1361" s="11"/>
    </row>
    <row r="1362" spans="3:436" ht="15.75" x14ac:dyDescent="0.25">
      <c r="C1362" s="20" t="s">
        <v>995</v>
      </c>
      <c r="D1362" s="21" t="s">
        <v>93</v>
      </c>
      <c r="H1362" s="11"/>
      <c r="AU1362" s="11"/>
      <c r="CH1362" s="11"/>
      <c r="CI1362" s="16"/>
      <c r="CJ1362" s="16"/>
      <c r="CK1362" s="16"/>
      <c r="CL1362" s="16"/>
      <c r="CM1362" s="16"/>
      <c r="CN1362" s="16"/>
      <c r="CO1362" s="16"/>
      <c r="CP1362" s="16"/>
      <c r="CQ1362" s="16"/>
      <c r="CR1362" s="16"/>
      <c r="CS1362" s="16"/>
      <c r="CT1362" s="16"/>
      <c r="CU1362" s="16"/>
      <c r="CV1362" s="16"/>
      <c r="CW1362" s="16"/>
      <c r="CX1362" s="16"/>
      <c r="CY1362" s="16"/>
      <c r="CZ1362" s="16"/>
      <c r="DA1362" s="16"/>
      <c r="DB1362" s="16"/>
      <c r="DC1362" s="16"/>
      <c r="DD1362" s="16"/>
      <c r="DE1362" s="17"/>
      <c r="DF1362" s="17"/>
      <c r="DG1362" s="16"/>
      <c r="DH1362" s="16"/>
      <c r="DI1362" s="17"/>
      <c r="DJ1362" s="17"/>
      <c r="DK1362" s="16"/>
      <c r="DL1362" s="16"/>
      <c r="DM1362" s="17"/>
      <c r="DN1362" s="17"/>
      <c r="DO1362" s="16"/>
      <c r="DP1362" s="16"/>
      <c r="DQ1362" s="17"/>
      <c r="DR1362" s="17"/>
      <c r="DS1362" s="16"/>
      <c r="DT1362" s="16"/>
      <c r="DU1362" s="17"/>
      <c r="DV1362" s="17"/>
      <c r="DW1362" s="16"/>
      <c r="DX1362" s="16"/>
      <c r="DY1362" s="17"/>
      <c r="DZ1362" s="17"/>
      <c r="EA1362" s="16"/>
      <c r="EB1362" s="16"/>
      <c r="EC1362" s="17"/>
      <c r="ED1362" s="17"/>
      <c r="EE1362" s="16"/>
      <c r="EF1362" s="16"/>
      <c r="EG1362" s="17"/>
      <c r="EH1362" s="17"/>
      <c r="EI1362" s="16"/>
      <c r="EJ1362" s="16"/>
      <c r="EK1362" s="17"/>
      <c r="EL1362" s="17"/>
      <c r="EM1362" s="16"/>
      <c r="EN1362" s="16"/>
      <c r="EO1362" s="17"/>
      <c r="EP1362" s="17"/>
      <c r="EQ1362" s="16"/>
      <c r="ER1362" s="16"/>
      <c r="ES1362" s="17"/>
      <c r="ET1362" s="17"/>
      <c r="EU1362" s="16"/>
      <c r="EV1362" s="16"/>
      <c r="EW1362" s="18">
        <v>3</v>
      </c>
      <c r="EX1362" s="18">
        <v>4</v>
      </c>
      <c r="EY1362" s="16"/>
      <c r="EZ1362" s="16"/>
      <c r="FA1362" s="17"/>
      <c r="FB1362" s="17"/>
      <c r="FC1362" s="16"/>
      <c r="FD1362" s="16"/>
      <c r="FE1362" s="17"/>
      <c r="FF1362" s="17"/>
      <c r="FG1362" s="11"/>
      <c r="GT1362" s="11"/>
      <c r="IG1362" s="11"/>
      <c r="JT1362" s="11"/>
      <c r="LG1362" s="11"/>
      <c r="MT1362" s="11"/>
      <c r="OG1362" s="11"/>
      <c r="PT1362" s="11"/>
    </row>
    <row r="1363" spans="3:436" ht="15.75" x14ac:dyDescent="0.25">
      <c r="C1363" s="20" t="s">
        <v>996</v>
      </c>
      <c r="D1363" s="21" t="s">
        <v>93</v>
      </c>
      <c r="H1363" s="11"/>
      <c r="AU1363" s="11"/>
      <c r="CH1363" s="11"/>
      <c r="CI1363" s="16"/>
      <c r="CJ1363" s="16"/>
      <c r="CK1363" s="16"/>
      <c r="CL1363" s="16"/>
      <c r="CM1363" s="16"/>
      <c r="CN1363" s="16"/>
      <c r="CO1363" s="16"/>
      <c r="CP1363" s="16"/>
      <c r="CQ1363" s="16"/>
      <c r="CR1363" s="16"/>
      <c r="CS1363" s="16"/>
      <c r="CT1363" s="16"/>
      <c r="CU1363" s="16"/>
      <c r="CV1363" s="16"/>
      <c r="CW1363" s="16"/>
      <c r="CX1363" s="16"/>
      <c r="CY1363" s="16"/>
      <c r="CZ1363" s="16"/>
      <c r="DA1363" s="16"/>
      <c r="DB1363" s="16"/>
      <c r="DC1363" s="16"/>
      <c r="DD1363" s="16"/>
      <c r="DE1363" s="17"/>
      <c r="DF1363" s="17"/>
      <c r="DG1363" s="16"/>
      <c r="DH1363" s="16"/>
      <c r="DI1363" s="17"/>
      <c r="DJ1363" s="17"/>
      <c r="DK1363" s="16"/>
      <c r="DL1363" s="16"/>
      <c r="DM1363" s="17"/>
      <c r="DN1363" s="17"/>
      <c r="DO1363" s="16"/>
      <c r="DP1363" s="16"/>
      <c r="DQ1363" s="17"/>
      <c r="DR1363" s="17"/>
      <c r="DS1363" s="16"/>
      <c r="DT1363" s="16"/>
      <c r="DU1363" s="17"/>
      <c r="DV1363" s="17"/>
      <c r="DW1363" s="16"/>
      <c r="DX1363" s="16"/>
      <c r="DY1363" s="17"/>
      <c r="DZ1363" s="17"/>
      <c r="EA1363" s="16"/>
      <c r="EB1363" s="16"/>
      <c r="EC1363" s="17"/>
      <c r="ED1363" s="17"/>
      <c r="EE1363" s="16"/>
      <c r="EF1363" s="16"/>
      <c r="EG1363" s="17"/>
      <c r="EH1363" s="17"/>
      <c r="EI1363" s="16"/>
      <c r="EJ1363" s="16"/>
      <c r="EK1363" s="17"/>
      <c r="EL1363" s="17"/>
      <c r="EM1363" s="16"/>
      <c r="EN1363" s="16"/>
      <c r="EO1363" s="17"/>
      <c r="EP1363" s="17"/>
      <c r="EQ1363" s="16"/>
      <c r="ER1363" s="16"/>
      <c r="ES1363" s="17"/>
      <c r="ET1363" s="17"/>
      <c r="EU1363" s="16"/>
      <c r="EV1363" s="16"/>
      <c r="EW1363" s="17"/>
      <c r="EX1363" s="17"/>
      <c r="EY1363" s="16"/>
      <c r="EZ1363" s="16"/>
      <c r="FA1363" s="17"/>
      <c r="FB1363" s="17"/>
      <c r="FC1363" s="16"/>
      <c r="FD1363" s="16"/>
      <c r="FE1363" s="17"/>
      <c r="FF1363" s="17"/>
      <c r="FG1363" s="11"/>
      <c r="GT1363" s="11"/>
      <c r="IG1363" s="11"/>
      <c r="JT1363" s="11"/>
      <c r="LG1363" s="11"/>
      <c r="MT1363" s="11"/>
      <c r="OG1363" s="11"/>
      <c r="PT1363" s="11"/>
    </row>
    <row r="1364" spans="3:436" ht="15.75" x14ac:dyDescent="0.25">
      <c r="C1364" s="20" t="s">
        <v>997</v>
      </c>
      <c r="D1364" s="21" t="s">
        <v>93</v>
      </c>
      <c r="H1364" s="11"/>
      <c r="AU1364" s="11"/>
      <c r="CH1364" s="11"/>
      <c r="CI1364" s="16"/>
      <c r="CJ1364" s="16"/>
      <c r="CK1364" s="16"/>
      <c r="CL1364" s="16"/>
      <c r="CM1364" s="16"/>
      <c r="CN1364" s="16"/>
      <c r="CO1364" s="16"/>
      <c r="CP1364" s="16"/>
      <c r="CQ1364" s="16"/>
      <c r="CR1364" s="16"/>
      <c r="CS1364" s="16"/>
      <c r="CT1364" s="16"/>
      <c r="CU1364" s="16"/>
      <c r="CV1364" s="16"/>
      <c r="CW1364" s="16"/>
      <c r="CX1364" s="16"/>
      <c r="CY1364" s="16"/>
      <c r="CZ1364" s="16"/>
      <c r="DA1364" s="16"/>
      <c r="DB1364" s="16"/>
      <c r="DC1364" s="16"/>
      <c r="DD1364" s="16"/>
      <c r="DE1364" s="17"/>
      <c r="DF1364" s="17"/>
      <c r="DG1364" s="16"/>
      <c r="DH1364" s="16"/>
      <c r="DI1364" s="17"/>
      <c r="DJ1364" s="17"/>
      <c r="DK1364" s="16"/>
      <c r="DL1364" s="16"/>
      <c r="DM1364" s="17"/>
      <c r="DN1364" s="17"/>
      <c r="DO1364" s="16"/>
      <c r="DP1364" s="16"/>
      <c r="DQ1364" s="17"/>
      <c r="DR1364" s="17"/>
      <c r="DS1364" s="16"/>
      <c r="DT1364" s="16"/>
      <c r="DU1364" s="17"/>
      <c r="DV1364" s="17"/>
      <c r="DW1364" s="16"/>
      <c r="DX1364" s="16"/>
      <c r="DY1364" s="17"/>
      <c r="DZ1364" s="17"/>
      <c r="EA1364" s="16"/>
      <c r="EB1364" s="16"/>
      <c r="EC1364" s="17"/>
      <c r="ED1364" s="17"/>
      <c r="EE1364" s="16"/>
      <c r="EF1364" s="16"/>
      <c r="EG1364" s="17"/>
      <c r="EH1364" s="17"/>
      <c r="EI1364" s="16"/>
      <c r="EJ1364" s="16"/>
      <c r="EK1364" s="17"/>
      <c r="EL1364" s="17"/>
      <c r="EM1364" s="16"/>
      <c r="EN1364" s="16"/>
      <c r="EO1364" s="17"/>
      <c r="EP1364" s="17"/>
      <c r="EQ1364" s="16"/>
      <c r="ER1364" s="16"/>
      <c r="ES1364" s="17"/>
      <c r="ET1364" s="17"/>
      <c r="EU1364" s="16"/>
      <c r="EV1364" s="16"/>
      <c r="EW1364" s="18">
        <v>4</v>
      </c>
      <c r="EX1364" s="18">
        <v>5</v>
      </c>
      <c r="EY1364" s="16"/>
      <c r="EZ1364" s="16"/>
      <c r="FA1364" s="17"/>
      <c r="FB1364" s="17"/>
      <c r="FC1364" s="16"/>
      <c r="FD1364" s="16"/>
      <c r="FE1364" s="17"/>
      <c r="FF1364" s="17"/>
      <c r="FG1364" s="11"/>
      <c r="GT1364" s="11"/>
      <c r="IG1364" s="11"/>
      <c r="JT1364" s="11"/>
      <c r="LG1364" s="11"/>
      <c r="MT1364" s="11"/>
      <c r="OG1364" s="11"/>
      <c r="PT1364" s="11"/>
    </row>
    <row r="1365" spans="3:436" ht="15.75" x14ac:dyDescent="0.25">
      <c r="C1365" s="20" t="s">
        <v>998</v>
      </c>
      <c r="D1365" s="21" t="s">
        <v>93</v>
      </c>
      <c r="H1365" s="11"/>
      <c r="AU1365" s="11"/>
      <c r="CH1365" s="11"/>
      <c r="CI1365" s="16"/>
      <c r="CJ1365" s="16"/>
      <c r="CK1365" s="16"/>
      <c r="CL1365" s="16"/>
      <c r="CM1365" s="16"/>
      <c r="CN1365" s="16"/>
      <c r="CO1365" s="16"/>
      <c r="CP1365" s="16"/>
      <c r="CQ1365" s="16"/>
      <c r="CR1365" s="16"/>
      <c r="CS1365" s="16"/>
      <c r="CT1365" s="16"/>
      <c r="CU1365" s="16"/>
      <c r="CV1365" s="16"/>
      <c r="CW1365" s="16"/>
      <c r="CX1365" s="16"/>
      <c r="CY1365" s="16"/>
      <c r="CZ1365" s="16"/>
      <c r="DA1365" s="16"/>
      <c r="DB1365" s="16"/>
      <c r="DC1365" s="16"/>
      <c r="DD1365" s="16"/>
      <c r="DE1365" s="17"/>
      <c r="DF1365" s="17"/>
      <c r="DG1365" s="16"/>
      <c r="DH1365" s="16"/>
      <c r="DI1365" s="17"/>
      <c r="DJ1365" s="17"/>
      <c r="DK1365" s="16"/>
      <c r="DL1365" s="16"/>
      <c r="DM1365" s="17"/>
      <c r="DN1365" s="17"/>
      <c r="DO1365" s="16"/>
      <c r="DP1365" s="16"/>
      <c r="DQ1365" s="17"/>
      <c r="DR1365" s="17"/>
      <c r="DS1365" s="16"/>
      <c r="DT1365" s="16"/>
      <c r="DU1365" s="17"/>
      <c r="DV1365" s="17"/>
      <c r="DW1365" s="16"/>
      <c r="DX1365" s="16"/>
      <c r="DY1365" s="17"/>
      <c r="DZ1365" s="17"/>
      <c r="EA1365" s="16"/>
      <c r="EB1365" s="16"/>
      <c r="EC1365" s="17"/>
      <c r="ED1365" s="17"/>
      <c r="EE1365" s="16"/>
      <c r="EF1365" s="16"/>
      <c r="EG1365" s="17"/>
      <c r="EH1365" s="17"/>
      <c r="EI1365" s="16"/>
      <c r="EJ1365" s="16"/>
      <c r="EK1365" s="17"/>
      <c r="EL1365" s="17"/>
      <c r="EM1365" s="16"/>
      <c r="EN1365" s="16"/>
      <c r="EO1365" s="17"/>
      <c r="EP1365" s="17"/>
      <c r="EQ1365" s="16"/>
      <c r="ER1365" s="16"/>
      <c r="ES1365" s="17"/>
      <c r="ET1365" s="17"/>
      <c r="EU1365" s="16"/>
      <c r="EV1365" s="16"/>
      <c r="EW1365" s="17"/>
      <c r="EX1365" s="17"/>
      <c r="EY1365" s="16"/>
      <c r="EZ1365" s="16"/>
      <c r="FA1365" s="17"/>
      <c r="FB1365" s="17"/>
      <c r="FC1365" s="16"/>
      <c r="FD1365" s="16"/>
      <c r="FE1365" s="17"/>
      <c r="FF1365" s="17"/>
      <c r="FG1365" s="11"/>
      <c r="GT1365" s="11"/>
      <c r="IG1365" s="11"/>
      <c r="JT1365" s="11"/>
      <c r="LG1365" s="11"/>
      <c r="MT1365" s="11"/>
      <c r="OG1365" s="11"/>
      <c r="PT1365" s="11"/>
    </row>
    <row r="1366" spans="3:436" ht="15.75" x14ac:dyDescent="0.25">
      <c r="C1366" s="20" t="s">
        <v>999</v>
      </c>
      <c r="D1366" s="21" t="s">
        <v>93</v>
      </c>
      <c r="H1366" s="11"/>
      <c r="AU1366" s="11"/>
      <c r="CH1366" s="11"/>
      <c r="CI1366" s="16"/>
      <c r="CJ1366" s="16"/>
      <c r="CK1366" s="16"/>
      <c r="CL1366" s="16"/>
      <c r="CM1366" s="16"/>
      <c r="CN1366" s="16"/>
      <c r="CO1366" s="16"/>
      <c r="CP1366" s="16"/>
      <c r="CQ1366" s="16"/>
      <c r="CR1366" s="16"/>
      <c r="CS1366" s="16"/>
      <c r="CT1366" s="16"/>
      <c r="CU1366" s="16"/>
      <c r="CV1366" s="16"/>
      <c r="CW1366" s="16"/>
      <c r="CX1366" s="16"/>
      <c r="CY1366" s="16"/>
      <c r="CZ1366" s="16"/>
      <c r="DA1366" s="16"/>
      <c r="DB1366" s="16"/>
      <c r="DC1366" s="16"/>
      <c r="DD1366" s="16"/>
      <c r="DE1366" s="17"/>
      <c r="DF1366" s="17"/>
      <c r="DG1366" s="16"/>
      <c r="DH1366" s="16"/>
      <c r="DI1366" s="17"/>
      <c r="DJ1366" s="17"/>
      <c r="DK1366" s="16"/>
      <c r="DL1366" s="16"/>
      <c r="DM1366" s="17"/>
      <c r="DN1366" s="17"/>
      <c r="DO1366" s="16"/>
      <c r="DP1366" s="16"/>
      <c r="DQ1366" s="17"/>
      <c r="DR1366" s="17"/>
      <c r="DS1366" s="16"/>
      <c r="DT1366" s="16"/>
      <c r="DU1366" s="17"/>
      <c r="DV1366" s="17"/>
      <c r="DW1366" s="16"/>
      <c r="DX1366" s="16"/>
      <c r="DY1366" s="17"/>
      <c r="DZ1366" s="17"/>
      <c r="EA1366" s="16"/>
      <c r="EB1366" s="16"/>
      <c r="EC1366" s="17"/>
      <c r="ED1366" s="17"/>
      <c r="EE1366" s="16"/>
      <c r="EF1366" s="16"/>
      <c r="EG1366" s="17"/>
      <c r="EH1366" s="17"/>
      <c r="EI1366" s="16"/>
      <c r="EJ1366" s="16"/>
      <c r="EK1366" s="17"/>
      <c r="EL1366" s="17"/>
      <c r="EM1366" s="16"/>
      <c r="EN1366" s="16"/>
      <c r="EO1366" s="17"/>
      <c r="EP1366" s="17"/>
      <c r="EQ1366" s="16"/>
      <c r="ER1366" s="16"/>
      <c r="ES1366" s="17"/>
      <c r="ET1366" s="17"/>
      <c r="EU1366" s="16"/>
      <c r="EV1366" s="16"/>
      <c r="EW1366" s="18">
        <v>3</v>
      </c>
      <c r="EX1366" s="18">
        <v>4</v>
      </c>
      <c r="EY1366" s="16"/>
      <c r="EZ1366" s="16"/>
      <c r="FA1366" s="17"/>
      <c r="FB1366" s="17"/>
      <c r="FC1366" s="16"/>
      <c r="FD1366" s="16"/>
      <c r="FE1366" s="17"/>
      <c r="FF1366" s="17"/>
      <c r="FG1366" s="11"/>
      <c r="GT1366" s="11"/>
      <c r="IG1366" s="11"/>
      <c r="JT1366" s="11"/>
      <c r="LG1366" s="11"/>
      <c r="MT1366" s="11"/>
      <c r="OG1366" s="11"/>
      <c r="PT1366" s="11"/>
    </row>
    <row r="1367" spans="3:436" ht="15.75" x14ac:dyDescent="0.25">
      <c r="C1367" s="20" t="s">
        <v>1000</v>
      </c>
      <c r="D1367" s="21" t="s">
        <v>93</v>
      </c>
      <c r="H1367" s="11"/>
      <c r="AU1367" s="11"/>
      <c r="CH1367" s="11"/>
      <c r="CI1367" s="16"/>
      <c r="CJ1367" s="16"/>
      <c r="CK1367" s="16"/>
      <c r="CL1367" s="16"/>
      <c r="CM1367" s="16"/>
      <c r="CN1367" s="16"/>
      <c r="CO1367" s="16"/>
      <c r="CP1367" s="16"/>
      <c r="CQ1367" s="16"/>
      <c r="CR1367" s="16"/>
      <c r="CS1367" s="16"/>
      <c r="CT1367" s="16"/>
      <c r="CU1367" s="16"/>
      <c r="CV1367" s="16"/>
      <c r="CW1367" s="16"/>
      <c r="CX1367" s="16"/>
      <c r="CY1367" s="16"/>
      <c r="CZ1367" s="16"/>
      <c r="DA1367" s="16"/>
      <c r="DB1367" s="16"/>
      <c r="DC1367" s="16"/>
      <c r="DD1367" s="16"/>
      <c r="DE1367" s="17"/>
      <c r="DF1367" s="17"/>
      <c r="DG1367" s="16"/>
      <c r="DH1367" s="16"/>
      <c r="DI1367" s="17"/>
      <c r="DJ1367" s="17"/>
      <c r="DK1367" s="16"/>
      <c r="DL1367" s="16"/>
      <c r="DM1367" s="17"/>
      <c r="DN1367" s="17"/>
      <c r="DO1367" s="16"/>
      <c r="DP1367" s="16"/>
      <c r="DQ1367" s="17"/>
      <c r="DR1367" s="17"/>
      <c r="DS1367" s="16"/>
      <c r="DT1367" s="16"/>
      <c r="DU1367" s="17"/>
      <c r="DV1367" s="17"/>
      <c r="DW1367" s="16"/>
      <c r="DX1367" s="16"/>
      <c r="DY1367" s="17"/>
      <c r="DZ1367" s="17"/>
      <c r="EA1367" s="16"/>
      <c r="EB1367" s="16"/>
      <c r="EC1367" s="17"/>
      <c r="ED1367" s="17"/>
      <c r="EE1367" s="16"/>
      <c r="EF1367" s="16"/>
      <c r="EG1367" s="17"/>
      <c r="EH1367" s="17"/>
      <c r="EI1367" s="16"/>
      <c r="EJ1367" s="16"/>
      <c r="EK1367" s="17"/>
      <c r="EL1367" s="17"/>
      <c r="EM1367" s="16"/>
      <c r="EN1367" s="16"/>
      <c r="EO1367" s="17"/>
      <c r="EP1367" s="17"/>
      <c r="EQ1367" s="16"/>
      <c r="ER1367" s="16"/>
      <c r="ES1367" s="17"/>
      <c r="ET1367" s="17"/>
      <c r="EU1367" s="16"/>
      <c r="EV1367" s="16"/>
      <c r="EW1367" s="17"/>
      <c r="EX1367" s="17"/>
      <c r="EY1367" s="16"/>
      <c r="EZ1367" s="16"/>
      <c r="FA1367" s="17"/>
      <c r="FB1367" s="17"/>
      <c r="FC1367" s="16"/>
      <c r="FD1367" s="16"/>
      <c r="FE1367" s="17"/>
      <c r="FF1367" s="17"/>
      <c r="FG1367" s="11"/>
      <c r="GT1367" s="11"/>
      <c r="IG1367" s="11"/>
      <c r="JT1367" s="11"/>
      <c r="LG1367" s="11"/>
      <c r="MT1367" s="11"/>
      <c r="OG1367" s="11"/>
      <c r="PT1367" s="11"/>
    </row>
    <row r="1368" spans="3:436" ht="25.5" x14ac:dyDescent="0.25">
      <c r="C1368" s="20" t="s">
        <v>1001</v>
      </c>
      <c r="D1368" s="21" t="s">
        <v>93</v>
      </c>
      <c r="H1368" s="11"/>
      <c r="AU1368" s="11"/>
      <c r="CH1368" s="11"/>
      <c r="CI1368" s="16"/>
      <c r="CJ1368" s="16"/>
      <c r="CK1368" s="16"/>
      <c r="CL1368" s="16"/>
      <c r="CM1368" s="16"/>
      <c r="CN1368" s="16"/>
      <c r="CO1368" s="16"/>
      <c r="CP1368" s="16"/>
      <c r="CQ1368" s="16"/>
      <c r="CR1368" s="16"/>
      <c r="CS1368" s="16"/>
      <c r="CT1368" s="16"/>
      <c r="CU1368" s="16"/>
      <c r="CV1368" s="16"/>
      <c r="CW1368" s="16"/>
      <c r="CX1368" s="16"/>
      <c r="CY1368" s="16"/>
      <c r="CZ1368" s="16"/>
      <c r="DA1368" s="16"/>
      <c r="DB1368" s="16"/>
      <c r="DC1368" s="16"/>
      <c r="DD1368" s="16"/>
      <c r="DE1368" s="17"/>
      <c r="DF1368" s="17"/>
      <c r="DG1368" s="16"/>
      <c r="DH1368" s="16"/>
      <c r="DI1368" s="17"/>
      <c r="DJ1368" s="17"/>
      <c r="DK1368" s="16"/>
      <c r="DL1368" s="16"/>
      <c r="DM1368" s="17"/>
      <c r="DN1368" s="17"/>
      <c r="DO1368" s="16"/>
      <c r="DP1368" s="16"/>
      <c r="DQ1368" s="17"/>
      <c r="DR1368" s="17"/>
      <c r="DS1368" s="16"/>
      <c r="DT1368" s="16"/>
      <c r="DU1368" s="17"/>
      <c r="DV1368" s="17"/>
      <c r="DW1368" s="16"/>
      <c r="DX1368" s="16"/>
      <c r="DY1368" s="17"/>
      <c r="DZ1368" s="17"/>
      <c r="EA1368" s="16"/>
      <c r="EB1368" s="16"/>
      <c r="EC1368" s="17"/>
      <c r="ED1368" s="17"/>
      <c r="EE1368" s="16"/>
      <c r="EF1368" s="16"/>
      <c r="EG1368" s="17"/>
      <c r="EH1368" s="17"/>
      <c r="EI1368" s="16"/>
      <c r="EJ1368" s="16"/>
      <c r="EK1368" s="17"/>
      <c r="EL1368" s="17"/>
      <c r="EM1368" s="16"/>
      <c r="EN1368" s="16"/>
      <c r="EO1368" s="17"/>
      <c r="EP1368" s="17"/>
      <c r="EQ1368" s="16"/>
      <c r="ER1368" s="16"/>
      <c r="ES1368" s="17"/>
      <c r="ET1368" s="17"/>
      <c r="EU1368" s="16"/>
      <c r="EV1368" s="16"/>
      <c r="EW1368" s="18">
        <v>4</v>
      </c>
      <c r="EX1368" s="18">
        <v>5</v>
      </c>
      <c r="EY1368" s="16"/>
      <c r="EZ1368" s="16"/>
      <c r="FA1368" s="17"/>
      <c r="FB1368" s="17"/>
      <c r="FC1368" s="16"/>
      <c r="FD1368" s="16"/>
      <c r="FE1368" s="17"/>
      <c r="FF1368" s="17"/>
      <c r="FG1368" s="11"/>
      <c r="GT1368" s="11"/>
      <c r="IG1368" s="11"/>
      <c r="JT1368" s="11"/>
      <c r="LG1368" s="11"/>
      <c r="MT1368" s="11"/>
      <c r="OG1368" s="11"/>
      <c r="PT1368" s="11"/>
    </row>
    <row r="1369" spans="3:436" ht="15.75" x14ac:dyDescent="0.25">
      <c r="C1369" s="20" t="s">
        <v>1002</v>
      </c>
      <c r="D1369" s="21" t="s">
        <v>93</v>
      </c>
      <c r="H1369" s="11"/>
      <c r="AU1369" s="11"/>
      <c r="CH1369" s="11"/>
      <c r="CI1369" s="16"/>
      <c r="CJ1369" s="16"/>
      <c r="CK1369" s="16"/>
      <c r="CL1369" s="16"/>
      <c r="CM1369" s="16"/>
      <c r="CN1369" s="16"/>
      <c r="CO1369" s="16"/>
      <c r="CP1369" s="16"/>
      <c r="CQ1369" s="16"/>
      <c r="CR1369" s="16"/>
      <c r="CS1369" s="16"/>
      <c r="CT1369" s="16"/>
      <c r="CU1369" s="16"/>
      <c r="CV1369" s="16"/>
      <c r="CW1369" s="16"/>
      <c r="CX1369" s="16"/>
      <c r="CY1369" s="16"/>
      <c r="CZ1369" s="16"/>
      <c r="DA1369" s="16"/>
      <c r="DB1369" s="16"/>
      <c r="DC1369" s="16"/>
      <c r="DD1369" s="16"/>
      <c r="DE1369" s="17"/>
      <c r="DF1369" s="17"/>
      <c r="DG1369" s="16"/>
      <c r="DH1369" s="16"/>
      <c r="DI1369" s="17"/>
      <c r="DJ1369" s="17"/>
      <c r="DK1369" s="16"/>
      <c r="DL1369" s="16"/>
      <c r="DM1369" s="17"/>
      <c r="DN1369" s="17"/>
      <c r="DO1369" s="16"/>
      <c r="DP1369" s="16"/>
      <c r="DQ1369" s="17"/>
      <c r="DR1369" s="17"/>
      <c r="DS1369" s="16"/>
      <c r="DT1369" s="16"/>
      <c r="DU1369" s="17"/>
      <c r="DV1369" s="17"/>
      <c r="DW1369" s="16"/>
      <c r="DX1369" s="16"/>
      <c r="DY1369" s="17"/>
      <c r="DZ1369" s="17"/>
      <c r="EA1369" s="16"/>
      <c r="EB1369" s="16"/>
      <c r="EC1369" s="17"/>
      <c r="ED1369" s="17"/>
      <c r="EE1369" s="16"/>
      <c r="EF1369" s="16"/>
      <c r="EG1369" s="17"/>
      <c r="EH1369" s="17"/>
      <c r="EI1369" s="16"/>
      <c r="EJ1369" s="16"/>
      <c r="EK1369" s="17"/>
      <c r="EL1369" s="17"/>
      <c r="EM1369" s="16"/>
      <c r="EN1369" s="16"/>
      <c r="EO1369" s="17"/>
      <c r="EP1369" s="17"/>
      <c r="EQ1369" s="16"/>
      <c r="ER1369" s="16"/>
      <c r="ES1369" s="17"/>
      <c r="ET1369" s="17"/>
      <c r="EU1369" s="16"/>
      <c r="EV1369" s="16"/>
      <c r="EW1369" s="17"/>
      <c r="EX1369" s="17"/>
      <c r="EY1369" s="16"/>
      <c r="EZ1369" s="16"/>
      <c r="FA1369" s="17"/>
      <c r="FB1369" s="17"/>
      <c r="FC1369" s="16"/>
      <c r="FD1369" s="16"/>
      <c r="FE1369" s="17"/>
      <c r="FF1369" s="17"/>
      <c r="FG1369" s="11"/>
      <c r="GT1369" s="11"/>
      <c r="IG1369" s="11"/>
      <c r="JT1369" s="11"/>
      <c r="LG1369" s="11"/>
      <c r="MT1369" s="11"/>
      <c r="OG1369" s="11"/>
      <c r="PT1369" s="11"/>
    </row>
    <row r="1370" spans="3:436" ht="15.75" x14ac:dyDescent="0.25">
      <c r="C1370" s="20" t="s">
        <v>1003</v>
      </c>
      <c r="D1370" s="21" t="s">
        <v>93</v>
      </c>
      <c r="H1370" s="11"/>
      <c r="AU1370" s="11"/>
      <c r="CH1370" s="11"/>
      <c r="CI1370" s="16"/>
      <c r="CJ1370" s="16"/>
      <c r="CK1370" s="16"/>
      <c r="CL1370" s="16"/>
      <c r="CM1370" s="16"/>
      <c r="CN1370" s="16"/>
      <c r="CO1370" s="16"/>
      <c r="CP1370" s="16"/>
      <c r="CQ1370" s="16"/>
      <c r="CR1370" s="16"/>
      <c r="CS1370" s="16"/>
      <c r="CT1370" s="16"/>
      <c r="CU1370" s="16"/>
      <c r="CV1370" s="16"/>
      <c r="CW1370" s="16"/>
      <c r="CX1370" s="16"/>
      <c r="CY1370" s="16"/>
      <c r="CZ1370" s="16"/>
      <c r="DA1370" s="16"/>
      <c r="DB1370" s="16"/>
      <c r="DC1370" s="16"/>
      <c r="DD1370" s="16"/>
      <c r="DE1370" s="17"/>
      <c r="DF1370" s="17"/>
      <c r="DG1370" s="16"/>
      <c r="DH1370" s="16"/>
      <c r="DI1370" s="17"/>
      <c r="DJ1370" s="17"/>
      <c r="DK1370" s="16"/>
      <c r="DL1370" s="16"/>
      <c r="DM1370" s="17"/>
      <c r="DN1370" s="17"/>
      <c r="DO1370" s="16"/>
      <c r="DP1370" s="16"/>
      <c r="DQ1370" s="17"/>
      <c r="DR1370" s="17"/>
      <c r="DS1370" s="16"/>
      <c r="DT1370" s="16"/>
      <c r="DU1370" s="17"/>
      <c r="DV1370" s="17"/>
      <c r="DW1370" s="16"/>
      <c r="DX1370" s="16"/>
      <c r="DY1370" s="17"/>
      <c r="DZ1370" s="17"/>
      <c r="EA1370" s="16"/>
      <c r="EB1370" s="16"/>
      <c r="EC1370" s="17"/>
      <c r="ED1370" s="17"/>
      <c r="EE1370" s="16"/>
      <c r="EF1370" s="16"/>
      <c r="EG1370" s="17"/>
      <c r="EH1370" s="17"/>
      <c r="EI1370" s="16"/>
      <c r="EJ1370" s="16"/>
      <c r="EK1370" s="17"/>
      <c r="EL1370" s="17"/>
      <c r="EM1370" s="16"/>
      <c r="EN1370" s="16"/>
      <c r="EO1370" s="17"/>
      <c r="EP1370" s="17"/>
      <c r="EQ1370" s="16"/>
      <c r="ER1370" s="16"/>
      <c r="ES1370" s="17"/>
      <c r="ET1370" s="17"/>
      <c r="EU1370" s="16"/>
      <c r="EV1370" s="16"/>
      <c r="EW1370" s="18">
        <v>1</v>
      </c>
      <c r="EX1370" s="18">
        <v>2</v>
      </c>
      <c r="EY1370" s="16"/>
      <c r="EZ1370" s="16"/>
      <c r="FA1370" s="17"/>
      <c r="FB1370" s="17"/>
      <c r="FC1370" s="16"/>
      <c r="FD1370" s="16"/>
      <c r="FE1370" s="17"/>
      <c r="FF1370" s="17"/>
      <c r="FG1370" s="11"/>
      <c r="GT1370" s="11"/>
      <c r="IG1370" s="11"/>
      <c r="JT1370" s="11"/>
      <c r="LG1370" s="11"/>
      <c r="MT1370" s="11"/>
      <c r="OG1370" s="11"/>
      <c r="PT1370" s="11"/>
    </row>
    <row r="1371" spans="3:436" ht="15.75" x14ac:dyDescent="0.25">
      <c r="C1371" s="20" t="s">
        <v>1004</v>
      </c>
      <c r="D1371" s="21" t="s">
        <v>93</v>
      </c>
      <c r="H1371" s="11"/>
      <c r="AU1371" s="11"/>
      <c r="CH1371" s="11"/>
      <c r="CI1371" s="16"/>
      <c r="CJ1371" s="16"/>
      <c r="CK1371" s="16"/>
      <c r="CL1371" s="16"/>
      <c r="CM1371" s="16"/>
      <c r="CN1371" s="16"/>
      <c r="CO1371" s="16"/>
      <c r="CP1371" s="16"/>
      <c r="CQ1371" s="16"/>
      <c r="CR1371" s="16"/>
      <c r="CS1371" s="16"/>
      <c r="CT1371" s="16"/>
      <c r="CU1371" s="16"/>
      <c r="CV1371" s="16"/>
      <c r="CW1371" s="16"/>
      <c r="CX1371" s="16"/>
      <c r="CY1371" s="16"/>
      <c r="CZ1371" s="16"/>
      <c r="DA1371" s="16"/>
      <c r="DB1371" s="16"/>
      <c r="DC1371" s="16"/>
      <c r="DD1371" s="16"/>
      <c r="DE1371" s="17"/>
      <c r="DF1371" s="17"/>
      <c r="DG1371" s="16"/>
      <c r="DH1371" s="16"/>
      <c r="DI1371" s="17"/>
      <c r="DJ1371" s="17"/>
      <c r="DK1371" s="16"/>
      <c r="DL1371" s="16"/>
      <c r="DM1371" s="17"/>
      <c r="DN1371" s="17"/>
      <c r="DO1371" s="16"/>
      <c r="DP1371" s="16"/>
      <c r="DQ1371" s="17"/>
      <c r="DR1371" s="17"/>
      <c r="DS1371" s="16"/>
      <c r="DT1371" s="16"/>
      <c r="DU1371" s="17"/>
      <c r="DV1371" s="17"/>
      <c r="DW1371" s="16"/>
      <c r="DX1371" s="16"/>
      <c r="DY1371" s="17"/>
      <c r="DZ1371" s="17"/>
      <c r="EA1371" s="16"/>
      <c r="EB1371" s="16"/>
      <c r="EC1371" s="17"/>
      <c r="ED1371" s="17"/>
      <c r="EE1371" s="16"/>
      <c r="EF1371" s="16"/>
      <c r="EG1371" s="17"/>
      <c r="EH1371" s="17"/>
      <c r="EI1371" s="16"/>
      <c r="EJ1371" s="16"/>
      <c r="EK1371" s="17"/>
      <c r="EL1371" s="17"/>
      <c r="EM1371" s="16"/>
      <c r="EN1371" s="16"/>
      <c r="EO1371" s="17"/>
      <c r="EP1371" s="17"/>
      <c r="EQ1371" s="16"/>
      <c r="ER1371" s="16"/>
      <c r="ES1371" s="17"/>
      <c r="ET1371" s="17"/>
      <c r="EU1371" s="16"/>
      <c r="EV1371" s="16"/>
      <c r="EW1371" s="17"/>
      <c r="EX1371" s="17"/>
      <c r="EY1371" s="16"/>
      <c r="EZ1371" s="16"/>
      <c r="FA1371" s="17"/>
      <c r="FB1371" s="17"/>
      <c r="FC1371" s="16"/>
      <c r="FD1371" s="16"/>
      <c r="FE1371" s="17"/>
      <c r="FF1371" s="17"/>
      <c r="FG1371" s="11"/>
      <c r="GT1371" s="11"/>
      <c r="IG1371" s="11"/>
      <c r="JT1371" s="11"/>
      <c r="LG1371" s="11"/>
      <c r="MT1371" s="11"/>
      <c r="OG1371" s="11"/>
      <c r="PT1371" s="11"/>
    </row>
    <row r="1372" spans="3:436" ht="15.75" x14ac:dyDescent="0.25">
      <c r="C1372" s="20" t="s">
        <v>1005</v>
      </c>
      <c r="D1372" s="21" t="s">
        <v>93</v>
      </c>
      <c r="H1372" s="11"/>
      <c r="AU1372" s="11"/>
      <c r="CH1372" s="11"/>
      <c r="CI1372" s="16"/>
      <c r="CJ1372" s="16"/>
      <c r="CK1372" s="16"/>
      <c r="CL1372" s="16"/>
      <c r="CM1372" s="16"/>
      <c r="CN1372" s="16"/>
      <c r="CO1372" s="16"/>
      <c r="CP1372" s="16"/>
      <c r="CQ1372" s="16"/>
      <c r="CR1372" s="16"/>
      <c r="CS1372" s="16"/>
      <c r="CT1372" s="16"/>
      <c r="CU1372" s="16"/>
      <c r="CV1372" s="16"/>
      <c r="CW1372" s="16"/>
      <c r="CX1372" s="16"/>
      <c r="CY1372" s="16"/>
      <c r="CZ1372" s="16"/>
      <c r="DA1372" s="16"/>
      <c r="DB1372" s="16"/>
      <c r="DC1372" s="16"/>
      <c r="DD1372" s="16"/>
      <c r="DE1372" s="17"/>
      <c r="DF1372" s="17"/>
      <c r="DG1372" s="16"/>
      <c r="DH1372" s="16"/>
      <c r="DI1372" s="17"/>
      <c r="DJ1372" s="17"/>
      <c r="DK1372" s="16"/>
      <c r="DL1372" s="16"/>
      <c r="DM1372" s="17"/>
      <c r="DN1372" s="17"/>
      <c r="DO1372" s="16"/>
      <c r="DP1372" s="16"/>
      <c r="DQ1372" s="17"/>
      <c r="DR1372" s="17"/>
      <c r="DS1372" s="16"/>
      <c r="DT1372" s="16"/>
      <c r="DU1372" s="17"/>
      <c r="DV1372" s="17"/>
      <c r="DW1372" s="16"/>
      <c r="DX1372" s="16"/>
      <c r="DY1372" s="17"/>
      <c r="DZ1372" s="17"/>
      <c r="EA1372" s="16"/>
      <c r="EB1372" s="16"/>
      <c r="EC1372" s="17"/>
      <c r="ED1372" s="17"/>
      <c r="EE1372" s="16"/>
      <c r="EF1372" s="16"/>
      <c r="EG1372" s="17"/>
      <c r="EH1372" s="17"/>
      <c r="EI1372" s="16"/>
      <c r="EJ1372" s="16"/>
      <c r="EK1372" s="17"/>
      <c r="EL1372" s="17"/>
      <c r="EM1372" s="16"/>
      <c r="EN1372" s="16"/>
      <c r="EO1372" s="17"/>
      <c r="EP1372" s="17"/>
      <c r="EQ1372" s="16"/>
      <c r="ER1372" s="16"/>
      <c r="ES1372" s="17"/>
      <c r="ET1372" s="17"/>
      <c r="EU1372" s="16"/>
      <c r="EV1372" s="16"/>
      <c r="EW1372" s="18">
        <v>1</v>
      </c>
      <c r="EX1372" s="18">
        <v>2</v>
      </c>
      <c r="EY1372" s="16"/>
      <c r="EZ1372" s="16"/>
      <c r="FA1372" s="17"/>
      <c r="FB1372" s="17"/>
      <c r="FC1372" s="16"/>
      <c r="FD1372" s="16"/>
      <c r="FE1372" s="17"/>
      <c r="FF1372" s="17"/>
      <c r="FG1372" s="11"/>
      <c r="GT1372" s="11"/>
      <c r="IG1372" s="11"/>
      <c r="JT1372" s="11"/>
      <c r="LG1372" s="11"/>
      <c r="MT1372" s="11"/>
      <c r="OG1372" s="11"/>
      <c r="PT1372" s="11"/>
    </row>
    <row r="1373" spans="3:436" ht="15.75" x14ac:dyDescent="0.25">
      <c r="C1373" s="20" t="s">
        <v>1006</v>
      </c>
      <c r="D1373" s="21" t="s">
        <v>93</v>
      </c>
      <c r="H1373" s="11"/>
      <c r="AU1373" s="11"/>
      <c r="CH1373" s="11"/>
      <c r="CI1373" s="16"/>
      <c r="CJ1373" s="16"/>
      <c r="CK1373" s="16"/>
      <c r="CL1373" s="16"/>
      <c r="CM1373" s="16"/>
      <c r="CN1373" s="16"/>
      <c r="CO1373" s="16"/>
      <c r="CP1373" s="16"/>
      <c r="CQ1373" s="16"/>
      <c r="CR1373" s="16"/>
      <c r="CS1373" s="16"/>
      <c r="CT1373" s="16"/>
      <c r="CU1373" s="16"/>
      <c r="CV1373" s="16"/>
      <c r="CW1373" s="16"/>
      <c r="CX1373" s="16"/>
      <c r="CY1373" s="16"/>
      <c r="CZ1373" s="16"/>
      <c r="DA1373" s="16"/>
      <c r="DB1373" s="16"/>
      <c r="DC1373" s="16"/>
      <c r="DD1373" s="16"/>
      <c r="DE1373" s="17"/>
      <c r="DF1373" s="17"/>
      <c r="DG1373" s="16"/>
      <c r="DH1373" s="16"/>
      <c r="DI1373" s="17"/>
      <c r="DJ1373" s="17"/>
      <c r="DK1373" s="16"/>
      <c r="DL1373" s="16"/>
      <c r="DM1373" s="17"/>
      <c r="DN1373" s="17"/>
      <c r="DO1373" s="16"/>
      <c r="DP1373" s="16"/>
      <c r="DQ1373" s="17"/>
      <c r="DR1373" s="17"/>
      <c r="DS1373" s="16"/>
      <c r="DT1373" s="16"/>
      <c r="DU1373" s="17"/>
      <c r="DV1373" s="17"/>
      <c r="DW1373" s="16"/>
      <c r="DX1373" s="16"/>
      <c r="DY1373" s="17"/>
      <c r="DZ1373" s="17"/>
      <c r="EA1373" s="16"/>
      <c r="EB1373" s="16"/>
      <c r="EC1373" s="17"/>
      <c r="ED1373" s="17"/>
      <c r="EE1373" s="16"/>
      <c r="EF1373" s="16"/>
      <c r="EG1373" s="17"/>
      <c r="EH1373" s="17"/>
      <c r="EI1373" s="16"/>
      <c r="EJ1373" s="16"/>
      <c r="EK1373" s="17"/>
      <c r="EL1373" s="17"/>
      <c r="EM1373" s="16"/>
      <c r="EN1373" s="16"/>
      <c r="EO1373" s="17"/>
      <c r="EP1373" s="17"/>
      <c r="EQ1373" s="16"/>
      <c r="ER1373" s="16"/>
      <c r="ES1373" s="17"/>
      <c r="ET1373" s="17"/>
      <c r="EU1373" s="16"/>
      <c r="EV1373" s="16"/>
      <c r="EW1373" s="17"/>
      <c r="EX1373" s="17"/>
      <c r="EY1373" s="16"/>
      <c r="EZ1373" s="16"/>
      <c r="FA1373" s="17"/>
      <c r="FB1373" s="17"/>
      <c r="FC1373" s="16"/>
      <c r="FD1373" s="16"/>
      <c r="FE1373" s="17"/>
      <c r="FF1373" s="17"/>
      <c r="FG1373" s="11"/>
      <c r="GT1373" s="11"/>
      <c r="IG1373" s="11"/>
      <c r="JT1373" s="11"/>
      <c r="LG1373" s="11"/>
      <c r="MT1373" s="11"/>
      <c r="OG1373" s="11"/>
      <c r="PT1373" s="11"/>
    </row>
    <row r="1374" spans="3:436" ht="15.75" x14ac:dyDescent="0.25">
      <c r="C1374" s="20" t="s">
        <v>1007</v>
      </c>
      <c r="D1374" s="21" t="s">
        <v>93</v>
      </c>
      <c r="H1374" s="11"/>
      <c r="AU1374" s="11"/>
      <c r="CH1374" s="11"/>
      <c r="CI1374" s="16"/>
      <c r="CJ1374" s="16"/>
      <c r="CK1374" s="16"/>
      <c r="CL1374" s="16"/>
      <c r="CM1374" s="16"/>
      <c r="CN1374" s="16"/>
      <c r="CO1374" s="16"/>
      <c r="CP1374" s="16"/>
      <c r="CQ1374" s="16"/>
      <c r="CR1374" s="16"/>
      <c r="CS1374" s="16"/>
      <c r="CT1374" s="16"/>
      <c r="CU1374" s="16"/>
      <c r="CV1374" s="16"/>
      <c r="CW1374" s="16"/>
      <c r="CX1374" s="16"/>
      <c r="CY1374" s="16"/>
      <c r="CZ1374" s="16"/>
      <c r="DA1374" s="16"/>
      <c r="DB1374" s="16"/>
      <c r="DC1374" s="16"/>
      <c r="DD1374" s="16"/>
      <c r="DE1374" s="17"/>
      <c r="DF1374" s="17"/>
      <c r="DG1374" s="16"/>
      <c r="DH1374" s="16"/>
      <c r="DI1374" s="17"/>
      <c r="DJ1374" s="17"/>
      <c r="DK1374" s="16"/>
      <c r="DL1374" s="16"/>
      <c r="DM1374" s="17"/>
      <c r="DN1374" s="17"/>
      <c r="DO1374" s="16"/>
      <c r="DP1374" s="16"/>
      <c r="DQ1374" s="17"/>
      <c r="DR1374" s="17"/>
      <c r="DS1374" s="16"/>
      <c r="DT1374" s="16"/>
      <c r="DU1374" s="17"/>
      <c r="DV1374" s="17"/>
      <c r="DW1374" s="16"/>
      <c r="DX1374" s="16"/>
      <c r="DY1374" s="17"/>
      <c r="DZ1374" s="17"/>
      <c r="EA1374" s="16"/>
      <c r="EB1374" s="16"/>
      <c r="EC1374" s="17"/>
      <c r="ED1374" s="17"/>
      <c r="EE1374" s="16"/>
      <c r="EF1374" s="16"/>
      <c r="EG1374" s="17"/>
      <c r="EH1374" s="17"/>
      <c r="EI1374" s="16"/>
      <c r="EJ1374" s="16"/>
      <c r="EK1374" s="17"/>
      <c r="EL1374" s="17"/>
      <c r="EM1374" s="16"/>
      <c r="EN1374" s="16"/>
      <c r="EO1374" s="17"/>
      <c r="EP1374" s="17"/>
      <c r="EQ1374" s="16"/>
      <c r="ER1374" s="16"/>
      <c r="ES1374" s="17"/>
      <c r="ET1374" s="17"/>
      <c r="EU1374" s="16"/>
      <c r="EV1374" s="16"/>
      <c r="EW1374" s="18">
        <v>3</v>
      </c>
      <c r="EX1374" s="18">
        <v>5</v>
      </c>
      <c r="EY1374" s="16"/>
      <c r="EZ1374" s="16"/>
      <c r="FA1374" s="17"/>
      <c r="FB1374" s="17"/>
      <c r="FC1374" s="16"/>
      <c r="FD1374" s="16"/>
      <c r="FE1374" s="17"/>
      <c r="FF1374" s="17"/>
      <c r="FG1374" s="11"/>
      <c r="GT1374" s="11"/>
      <c r="IG1374" s="11"/>
      <c r="JT1374" s="11"/>
      <c r="LG1374" s="11"/>
      <c r="MT1374" s="11"/>
      <c r="OG1374" s="11"/>
      <c r="PT1374" s="11"/>
    </row>
    <row r="1375" spans="3:436" ht="15.75" x14ac:dyDescent="0.25">
      <c r="C1375" s="20" t="s">
        <v>1008</v>
      </c>
      <c r="D1375" s="21" t="s">
        <v>84</v>
      </c>
      <c r="H1375" s="11"/>
      <c r="AU1375" s="11"/>
      <c r="CH1375" s="11"/>
      <c r="CI1375" s="16"/>
      <c r="CJ1375" s="16"/>
      <c r="CK1375" s="16"/>
      <c r="CL1375" s="16"/>
      <c r="CM1375" s="16"/>
      <c r="CN1375" s="16"/>
      <c r="CO1375" s="16"/>
      <c r="CP1375" s="16"/>
      <c r="CQ1375" s="16"/>
      <c r="CR1375" s="16"/>
      <c r="CS1375" s="16"/>
      <c r="CT1375" s="16"/>
      <c r="CU1375" s="16"/>
      <c r="CV1375" s="16"/>
      <c r="CW1375" s="16"/>
      <c r="CX1375" s="16"/>
      <c r="CY1375" s="16"/>
      <c r="CZ1375" s="16"/>
      <c r="DA1375" s="16"/>
      <c r="DB1375" s="16"/>
      <c r="DC1375" s="16"/>
      <c r="DD1375" s="16"/>
      <c r="DE1375" s="17"/>
      <c r="DF1375" s="17"/>
      <c r="DG1375" s="16"/>
      <c r="DH1375" s="16"/>
      <c r="DI1375" s="17"/>
      <c r="DJ1375" s="17"/>
      <c r="DK1375" s="16"/>
      <c r="DL1375" s="16"/>
      <c r="DM1375" s="17"/>
      <c r="DN1375" s="17"/>
      <c r="DO1375" s="16"/>
      <c r="DP1375" s="16"/>
      <c r="DQ1375" s="17"/>
      <c r="DR1375" s="17"/>
      <c r="DS1375" s="16"/>
      <c r="DT1375" s="16"/>
      <c r="DU1375" s="17"/>
      <c r="DV1375" s="17"/>
      <c r="DW1375" s="16"/>
      <c r="DX1375" s="16"/>
      <c r="DY1375" s="17"/>
      <c r="DZ1375" s="17"/>
      <c r="EA1375" s="16"/>
      <c r="EB1375" s="16"/>
      <c r="EC1375" s="17"/>
      <c r="ED1375" s="17"/>
      <c r="EE1375" s="16"/>
      <c r="EF1375" s="16"/>
      <c r="EG1375" s="17"/>
      <c r="EH1375" s="17"/>
      <c r="EI1375" s="16"/>
      <c r="EJ1375" s="16"/>
      <c r="EK1375" s="17"/>
      <c r="EL1375" s="17"/>
      <c r="EM1375" s="16"/>
      <c r="EN1375" s="16"/>
      <c r="EO1375" s="17"/>
      <c r="EP1375" s="17"/>
      <c r="EQ1375" s="16"/>
      <c r="ER1375" s="16"/>
      <c r="ES1375" s="17"/>
      <c r="ET1375" s="17"/>
      <c r="EU1375" s="16"/>
      <c r="EV1375" s="16"/>
      <c r="EW1375" s="17"/>
      <c r="EX1375" s="17"/>
      <c r="EY1375" s="16"/>
      <c r="EZ1375" s="16"/>
      <c r="FA1375" s="17"/>
      <c r="FB1375" s="17"/>
      <c r="FC1375" s="16"/>
      <c r="FD1375" s="16"/>
      <c r="FE1375" s="17"/>
      <c r="FF1375" s="17"/>
      <c r="FG1375" s="11"/>
      <c r="GT1375" s="11"/>
      <c r="IG1375" s="11"/>
      <c r="JT1375" s="11"/>
      <c r="LG1375" s="11"/>
      <c r="MT1375" s="11"/>
      <c r="OG1375" s="11"/>
      <c r="PT1375" s="11"/>
    </row>
    <row r="1376" spans="3:436" ht="15.75" x14ac:dyDescent="0.25">
      <c r="C1376" s="20" t="s">
        <v>1009</v>
      </c>
      <c r="D1376" s="21" t="s">
        <v>84</v>
      </c>
      <c r="H1376" s="11"/>
      <c r="AU1376" s="11"/>
      <c r="CH1376" s="11"/>
      <c r="CI1376" s="16"/>
      <c r="CJ1376" s="16"/>
      <c r="CK1376" s="16"/>
      <c r="CL1376" s="16"/>
      <c r="CM1376" s="16"/>
      <c r="CN1376" s="16"/>
      <c r="CO1376" s="16"/>
      <c r="CP1376" s="16"/>
      <c r="CQ1376" s="16"/>
      <c r="CR1376" s="16"/>
      <c r="CS1376" s="16"/>
      <c r="CT1376" s="16"/>
      <c r="CU1376" s="16"/>
      <c r="CV1376" s="16"/>
      <c r="CW1376" s="16"/>
      <c r="CX1376" s="16"/>
      <c r="CY1376" s="16"/>
      <c r="CZ1376" s="16"/>
      <c r="DA1376" s="16"/>
      <c r="DB1376" s="16"/>
      <c r="DC1376" s="16"/>
      <c r="DD1376" s="16"/>
      <c r="DE1376" s="17"/>
      <c r="DF1376" s="17"/>
      <c r="DG1376" s="16"/>
      <c r="DH1376" s="16"/>
      <c r="DI1376" s="17"/>
      <c r="DJ1376" s="17"/>
      <c r="DK1376" s="16"/>
      <c r="DL1376" s="16"/>
      <c r="DM1376" s="17"/>
      <c r="DN1376" s="17"/>
      <c r="DO1376" s="16"/>
      <c r="DP1376" s="16"/>
      <c r="DQ1376" s="17"/>
      <c r="DR1376" s="17"/>
      <c r="DS1376" s="16"/>
      <c r="DT1376" s="16"/>
      <c r="DU1376" s="17"/>
      <c r="DV1376" s="17"/>
      <c r="DW1376" s="16"/>
      <c r="DX1376" s="16"/>
      <c r="DY1376" s="17"/>
      <c r="DZ1376" s="17"/>
      <c r="EA1376" s="16"/>
      <c r="EB1376" s="16"/>
      <c r="EC1376" s="17"/>
      <c r="ED1376" s="17"/>
      <c r="EE1376" s="16"/>
      <c r="EF1376" s="16"/>
      <c r="EG1376" s="17"/>
      <c r="EH1376" s="17"/>
      <c r="EI1376" s="16"/>
      <c r="EJ1376" s="16"/>
      <c r="EK1376" s="17"/>
      <c r="EL1376" s="17"/>
      <c r="EM1376" s="16"/>
      <c r="EN1376" s="16"/>
      <c r="EO1376" s="17"/>
      <c r="EP1376" s="17"/>
      <c r="EQ1376" s="16"/>
      <c r="ER1376" s="16"/>
      <c r="ES1376" s="17"/>
      <c r="ET1376" s="17"/>
      <c r="EU1376" s="16"/>
      <c r="EV1376" s="16"/>
      <c r="EW1376" s="17"/>
      <c r="EX1376" s="17"/>
      <c r="EY1376" s="16"/>
      <c r="EZ1376" s="16"/>
      <c r="FA1376" s="17"/>
      <c r="FB1376" s="17"/>
      <c r="FC1376" s="16"/>
      <c r="FD1376" s="16"/>
      <c r="FE1376" s="17"/>
      <c r="FF1376" s="17"/>
      <c r="FG1376" s="11"/>
      <c r="GT1376" s="11"/>
      <c r="IG1376" s="11"/>
      <c r="JT1376" s="11"/>
      <c r="LG1376" s="11"/>
      <c r="MT1376" s="11"/>
      <c r="OG1376" s="11"/>
      <c r="PT1376" s="11"/>
    </row>
    <row r="1377" spans="1:436" ht="15.75" x14ac:dyDescent="0.25">
      <c r="C1377" s="20" t="s">
        <v>1010</v>
      </c>
      <c r="D1377" s="21" t="s">
        <v>84</v>
      </c>
      <c r="H1377" s="11"/>
      <c r="AU1377" s="11"/>
      <c r="CH1377" s="11"/>
      <c r="CI1377" s="16"/>
      <c r="CJ1377" s="16"/>
      <c r="CK1377" s="16"/>
      <c r="CL1377" s="16"/>
      <c r="CM1377" s="16"/>
      <c r="CN1377" s="16"/>
      <c r="CO1377" s="16"/>
      <c r="CP1377" s="16"/>
      <c r="CQ1377" s="16"/>
      <c r="CR1377" s="16"/>
      <c r="CS1377" s="16"/>
      <c r="CT1377" s="16"/>
      <c r="CU1377" s="16"/>
      <c r="CV1377" s="16"/>
      <c r="CW1377" s="16"/>
      <c r="CX1377" s="16"/>
      <c r="CY1377" s="16"/>
      <c r="CZ1377" s="16"/>
      <c r="DA1377" s="16"/>
      <c r="DB1377" s="16"/>
      <c r="DC1377" s="16"/>
      <c r="DD1377" s="16"/>
      <c r="DE1377" s="17"/>
      <c r="DF1377" s="17"/>
      <c r="DG1377" s="16"/>
      <c r="DH1377" s="16"/>
      <c r="DI1377" s="17"/>
      <c r="DJ1377" s="17"/>
      <c r="DK1377" s="16"/>
      <c r="DL1377" s="16"/>
      <c r="DM1377" s="17"/>
      <c r="DN1377" s="17"/>
      <c r="DO1377" s="16"/>
      <c r="DP1377" s="16"/>
      <c r="DQ1377" s="17"/>
      <c r="DR1377" s="17"/>
      <c r="DS1377" s="16"/>
      <c r="DT1377" s="16"/>
      <c r="DU1377" s="17"/>
      <c r="DV1377" s="17"/>
      <c r="DW1377" s="16"/>
      <c r="DX1377" s="16"/>
      <c r="DY1377" s="17"/>
      <c r="DZ1377" s="17"/>
      <c r="EA1377" s="16"/>
      <c r="EB1377" s="16"/>
      <c r="EC1377" s="17"/>
      <c r="ED1377" s="17"/>
      <c r="EE1377" s="16"/>
      <c r="EF1377" s="16"/>
      <c r="EG1377" s="17"/>
      <c r="EH1377" s="17"/>
      <c r="EI1377" s="16"/>
      <c r="EJ1377" s="16"/>
      <c r="EK1377" s="17"/>
      <c r="EL1377" s="17"/>
      <c r="EM1377" s="16"/>
      <c r="EN1377" s="16"/>
      <c r="EO1377" s="17"/>
      <c r="EP1377" s="17"/>
      <c r="EQ1377" s="16"/>
      <c r="ER1377" s="16"/>
      <c r="ES1377" s="17"/>
      <c r="ET1377" s="17"/>
      <c r="EU1377" s="16"/>
      <c r="EV1377" s="16"/>
      <c r="EW1377" s="17"/>
      <c r="EX1377" s="17"/>
      <c r="EY1377" s="16"/>
      <c r="EZ1377" s="16"/>
      <c r="FA1377" s="17"/>
      <c r="FB1377" s="17"/>
      <c r="FC1377" s="16"/>
      <c r="FD1377" s="16"/>
      <c r="FE1377" s="17"/>
      <c r="FF1377" s="17"/>
      <c r="FG1377" s="11"/>
      <c r="GT1377" s="11"/>
      <c r="IG1377" s="11"/>
      <c r="JT1377" s="11"/>
      <c r="LG1377" s="11"/>
      <c r="MT1377" s="11"/>
      <c r="OG1377" s="11"/>
      <c r="PT1377" s="11"/>
    </row>
    <row r="1378" spans="1:436" ht="15.75" x14ac:dyDescent="0.25">
      <c r="C1378" s="20" t="s">
        <v>1011</v>
      </c>
      <c r="D1378" s="21" t="s">
        <v>82</v>
      </c>
      <c r="H1378" s="11"/>
      <c r="AU1378" s="11"/>
      <c r="CH1378" s="11"/>
      <c r="CI1378" s="16"/>
      <c r="CJ1378" s="16"/>
      <c r="CK1378" s="16"/>
      <c r="CL1378" s="16"/>
      <c r="CM1378" s="16"/>
      <c r="CN1378" s="16"/>
      <c r="CO1378" s="16"/>
      <c r="CP1378" s="16"/>
      <c r="CQ1378" s="16"/>
      <c r="CR1378" s="16"/>
      <c r="CS1378" s="16"/>
      <c r="CT1378" s="16"/>
      <c r="CU1378" s="16"/>
      <c r="CV1378" s="16"/>
      <c r="CW1378" s="16"/>
      <c r="CX1378" s="16"/>
      <c r="CY1378" s="16"/>
      <c r="CZ1378" s="16"/>
      <c r="DA1378" s="16"/>
      <c r="DB1378" s="16"/>
      <c r="DC1378" s="16"/>
      <c r="DD1378" s="16"/>
      <c r="DE1378" s="17"/>
      <c r="DF1378" s="17"/>
      <c r="DG1378" s="16"/>
      <c r="DH1378" s="16"/>
      <c r="DI1378" s="17"/>
      <c r="DJ1378" s="17"/>
      <c r="DK1378" s="16"/>
      <c r="DL1378" s="16"/>
      <c r="DM1378" s="17"/>
      <c r="DN1378" s="17"/>
      <c r="DO1378" s="16"/>
      <c r="DP1378" s="16"/>
      <c r="DQ1378" s="17"/>
      <c r="DR1378" s="17"/>
      <c r="DS1378" s="16"/>
      <c r="DT1378" s="16"/>
      <c r="DU1378" s="17"/>
      <c r="DV1378" s="17"/>
      <c r="DW1378" s="16"/>
      <c r="DX1378" s="16"/>
      <c r="DY1378" s="17"/>
      <c r="DZ1378" s="17"/>
      <c r="EA1378" s="16"/>
      <c r="EB1378" s="16"/>
      <c r="EC1378" s="17"/>
      <c r="ED1378" s="17"/>
      <c r="EE1378" s="16"/>
      <c r="EF1378" s="16"/>
      <c r="EG1378" s="17"/>
      <c r="EH1378" s="17"/>
      <c r="EI1378" s="16"/>
      <c r="EJ1378" s="16"/>
      <c r="EK1378" s="17"/>
      <c r="EL1378" s="17"/>
      <c r="EM1378" s="16"/>
      <c r="EN1378" s="16"/>
      <c r="EO1378" s="17"/>
      <c r="EP1378" s="17"/>
      <c r="EQ1378" s="16"/>
      <c r="ER1378" s="16"/>
      <c r="ES1378" s="17"/>
      <c r="ET1378" s="17"/>
      <c r="EU1378" s="16"/>
      <c r="EV1378" s="16"/>
      <c r="EW1378" s="17"/>
      <c r="EX1378" s="17"/>
      <c r="EY1378" s="16"/>
      <c r="EZ1378" s="16"/>
      <c r="FA1378" s="17"/>
      <c r="FB1378" s="17"/>
      <c r="FC1378" s="16"/>
      <c r="FD1378" s="16"/>
      <c r="FE1378" s="17"/>
      <c r="FF1378" s="17"/>
      <c r="FG1378" s="11"/>
      <c r="GT1378" s="11"/>
      <c r="IG1378" s="11"/>
      <c r="JT1378" s="11"/>
      <c r="LG1378" s="11"/>
      <c r="MT1378" s="11"/>
      <c r="OG1378" s="11"/>
      <c r="PT1378" s="11"/>
    </row>
    <row r="1379" spans="1:436" ht="15.75" x14ac:dyDescent="0.25">
      <c r="C1379" s="20" t="s">
        <v>1012</v>
      </c>
      <c r="D1379" s="21" t="s">
        <v>82</v>
      </c>
      <c r="H1379" s="11"/>
      <c r="AU1379" s="11"/>
      <c r="CH1379" s="11"/>
      <c r="CI1379" s="16"/>
      <c r="CJ1379" s="16"/>
      <c r="CK1379" s="16"/>
      <c r="CL1379" s="16"/>
      <c r="CM1379" s="16"/>
      <c r="CN1379" s="16"/>
      <c r="CO1379" s="16"/>
      <c r="CP1379" s="16"/>
      <c r="CQ1379" s="16"/>
      <c r="CR1379" s="16"/>
      <c r="CS1379" s="16"/>
      <c r="CT1379" s="16"/>
      <c r="CU1379" s="16"/>
      <c r="CV1379" s="16"/>
      <c r="CW1379" s="16"/>
      <c r="CX1379" s="16"/>
      <c r="CY1379" s="16"/>
      <c r="CZ1379" s="16"/>
      <c r="DA1379" s="16"/>
      <c r="DB1379" s="16"/>
      <c r="DC1379" s="16"/>
      <c r="DD1379" s="16"/>
      <c r="DE1379" s="17"/>
      <c r="DF1379" s="17"/>
      <c r="DG1379" s="16"/>
      <c r="DH1379" s="16"/>
      <c r="DI1379" s="17"/>
      <c r="DJ1379" s="17"/>
      <c r="DK1379" s="16"/>
      <c r="DL1379" s="16"/>
      <c r="DM1379" s="17"/>
      <c r="DN1379" s="17"/>
      <c r="DO1379" s="16"/>
      <c r="DP1379" s="16"/>
      <c r="DQ1379" s="17"/>
      <c r="DR1379" s="17"/>
      <c r="DS1379" s="16"/>
      <c r="DT1379" s="16"/>
      <c r="DU1379" s="17"/>
      <c r="DV1379" s="17"/>
      <c r="DW1379" s="16"/>
      <c r="DX1379" s="16"/>
      <c r="DY1379" s="17"/>
      <c r="DZ1379" s="17"/>
      <c r="EA1379" s="16"/>
      <c r="EB1379" s="16"/>
      <c r="EC1379" s="17"/>
      <c r="ED1379" s="17"/>
      <c r="EE1379" s="16"/>
      <c r="EF1379" s="16"/>
      <c r="EG1379" s="17"/>
      <c r="EH1379" s="17"/>
      <c r="EI1379" s="16"/>
      <c r="EJ1379" s="16"/>
      <c r="EK1379" s="17"/>
      <c r="EL1379" s="17"/>
      <c r="EM1379" s="16"/>
      <c r="EN1379" s="16"/>
      <c r="EO1379" s="17"/>
      <c r="EP1379" s="17"/>
      <c r="EQ1379" s="16"/>
      <c r="ER1379" s="16"/>
      <c r="ES1379" s="18">
        <v>3</v>
      </c>
      <c r="ET1379" s="18">
        <v>4</v>
      </c>
      <c r="EU1379" s="16"/>
      <c r="EV1379" s="16"/>
      <c r="EW1379" s="17"/>
      <c r="EX1379" s="17"/>
      <c r="EY1379" s="16"/>
      <c r="EZ1379" s="16"/>
      <c r="FA1379" s="17"/>
      <c r="FB1379" s="17"/>
      <c r="FC1379" s="16"/>
      <c r="FD1379" s="16"/>
      <c r="FE1379" s="17"/>
      <c r="FF1379" s="17"/>
      <c r="FG1379" s="11"/>
      <c r="GT1379" s="11"/>
      <c r="IG1379" s="11"/>
      <c r="JT1379" s="11"/>
      <c r="LG1379" s="11"/>
      <c r="MT1379" s="11"/>
      <c r="OG1379" s="11"/>
      <c r="PT1379" s="11"/>
    </row>
    <row r="1380" spans="1:436" ht="25.5" x14ac:dyDescent="0.25">
      <c r="C1380" s="20" t="s">
        <v>1013</v>
      </c>
      <c r="D1380" s="21" t="s">
        <v>82</v>
      </c>
      <c r="H1380" s="11"/>
      <c r="AU1380" s="11"/>
      <c r="CH1380" s="11"/>
      <c r="CI1380" s="16"/>
      <c r="CJ1380" s="16"/>
      <c r="CK1380" s="16"/>
      <c r="CL1380" s="16"/>
      <c r="CM1380" s="16"/>
      <c r="CN1380" s="16"/>
      <c r="CO1380" s="16"/>
      <c r="CP1380" s="16"/>
      <c r="CQ1380" s="16"/>
      <c r="CR1380" s="16"/>
      <c r="CS1380" s="16"/>
      <c r="CT1380" s="16"/>
      <c r="CU1380" s="16"/>
      <c r="CV1380" s="16"/>
      <c r="CW1380" s="16"/>
      <c r="CX1380" s="16"/>
      <c r="CY1380" s="16"/>
      <c r="CZ1380" s="16"/>
      <c r="DA1380" s="16"/>
      <c r="DB1380" s="16"/>
      <c r="DC1380" s="16"/>
      <c r="DD1380" s="16"/>
      <c r="DE1380" s="17"/>
      <c r="DF1380" s="17"/>
      <c r="DG1380" s="16"/>
      <c r="DH1380" s="16"/>
      <c r="DI1380" s="17"/>
      <c r="DJ1380" s="17"/>
      <c r="DK1380" s="16"/>
      <c r="DL1380" s="16"/>
      <c r="DM1380" s="17"/>
      <c r="DN1380" s="17"/>
      <c r="DO1380" s="16"/>
      <c r="DP1380" s="16"/>
      <c r="DQ1380" s="17"/>
      <c r="DR1380" s="17"/>
      <c r="DS1380" s="16"/>
      <c r="DT1380" s="16"/>
      <c r="DU1380" s="17"/>
      <c r="DV1380" s="17"/>
      <c r="DW1380" s="16"/>
      <c r="DX1380" s="16"/>
      <c r="DY1380" s="17"/>
      <c r="DZ1380" s="17"/>
      <c r="EA1380" s="16"/>
      <c r="EB1380" s="16"/>
      <c r="EC1380" s="17"/>
      <c r="ED1380" s="17"/>
      <c r="EE1380" s="16"/>
      <c r="EF1380" s="16"/>
      <c r="EG1380" s="17"/>
      <c r="EH1380" s="17"/>
      <c r="EI1380" s="16"/>
      <c r="EJ1380" s="16"/>
      <c r="EK1380" s="17"/>
      <c r="EL1380" s="17"/>
      <c r="EM1380" s="16"/>
      <c r="EN1380" s="16"/>
      <c r="EO1380" s="17"/>
      <c r="EP1380" s="17"/>
      <c r="EQ1380" s="16"/>
      <c r="ER1380" s="16"/>
      <c r="ES1380" s="18">
        <v>3</v>
      </c>
      <c r="ET1380" s="18">
        <v>4</v>
      </c>
      <c r="EU1380" s="16"/>
      <c r="EV1380" s="16"/>
      <c r="EW1380" s="17"/>
      <c r="EX1380" s="17"/>
      <c r="EY1380" s="16"/>
      <c r="EZ1380" s="16"/>
      <c r="FA1380" s="17"/>
      <c r="FB1380" s="17"/>
      <c r="FC1380" s="16"/>
      <c r="FD1380" s="16"/>
      <c r="FE1380" s="17"/>
      <c r="FF1380" s="17"/>
      <c r="FG1380" s="11"/>
      <c r="GT1380" s="11"/>
      <c r="IG1380" s="11"/>
      <c r="JT1380" s="11"/>
      <c r="LG1380" s="11"/>
      <c r="MT1380" s="11"/>
      <c r="OG1380" s="11"/>
      <c r="PT1380" s="11"/>
    </row>
    <row r="1381" spans="1:436" ht="25.5" x14ac:dyDescent="0.25">
      <c r="C1381" s="20" t="s">
        <v>1014</v>
      </c>
      <c r="D1381" s="21" t="s">
        <v>82</v>
      </c>
      <c r="H1381" s="11"/>
      <c r="AU1381" s="11"/>
      <c r="CH1381" s="11"/>
      <c r="CI1381" s="16"/>
      <c r="CJ1381" s="16"/>
      <c r="CK1381" s="16"/>
      <c r="CL1381" s="16"/>
      <c r="CM1381" s="16"/>
      <c r="CN1381" s="16"/>
      <c r="CO1381" s="16"/>
      <c r="CP1381" s="16"/>
      <c r="CQ1381" s="16"/>
      <c r="CR1381" s="16"/>
      <c r="CS1381" s="16"/>
      <c r="CT1381" s="16"/>
      <c r="CU1381" s="16"/>
      <c r="CV1381" s="16"/>
      <c r="CW1381" s="16"/>
      <c r="CX1381" s="16"/>
      <c r="CY1381" s="16"/>
      <c r="CZ1381" s="16"/>
      <c r="DA1381" s="16"/>
      <c r="DB1381" s="16"/>
      <c r="DC1381" s="16"/>
      <c r="DD1381" s="16"/>
      <c r="DE1381" s="17"/>
      <c r="DF1381" s="17"/>
      <c r="DG1381" s="16"/>
      <c r="DH1381" s="16"/>
      <c r="DI1381" s="17"/>
      <c r="DJ1381" s="17"/>
      <c r="DK1381" s="16"/>
      <c r="DL1381" s="16"/>
      <c r="DM1381" s="17"/>
      <c r="DN1381" s="17"/>
      <c r="DO1381" s="16"/>
      <c r="DP1381" s="16"/>
      <c r="DQ1381" s="17"/>
      <c r="DR1381" s="17"/>
      <c r="DS1381" s="16"/>
      <c r="DT1381" s="16"/>
      <c r="DU1381" s="17"/>
      <c r="DV1381" s="17"/>
      <c r="DW1381" s="16"/>
      <c r="DX1381" s="16"/>
      <c r="DY1381" s="17"/>
      <c r="DZ1381" s="17"/>
      <c r="EA1381" s="16"/>
      <c r="EB1381" s="16"/>
      <c r="EC1381" s="17"/>
      <c r="ED1381" s="17"/>
      <c r="EE1381" s="16"/>
      <c r="EF1381" s="16"/>
      <c r="EG1381" s="17"/>
      <c r="EH1381" s="17"/>
      <c r="EI1381" s="16"/>
      <c r="EJ1381" s="16"/>
      <c r="EK1381" s="17"/>
      <c r="EL1381" s="17"/>
      <c r="EM1381" s="16"/>
      <c r="EN1381" s="16"/>
      <c r="EO1381" s="17"/>
      <c r="EP1381" s="17"/>
      <c r="EQ1381" s="16"/>
      <c r="ER1381" s="16"/>
      <c r="ES1381" s="18">
        <v>3</v>
      </c>
      <c r="ET1381" s="18">
        <v>4</v>
      </c>
      <c r="EU1381" s="16"/>
      <c r="EV1381" s="16"/>
      <c r="EW1381" s="17"/>
      <c r="EX1381" s="17"/>
      <c r="EY1381" s="16"/>
      <c r="EZ1381" s="16"/>
      <c r="FA1381" s="17"/>
      <c r="FB1381" s="17"/>
      <c r="FC1381" s="16"/>
      <c r="FD1381" s="16"/>
      <c r="FE1381" s="17"/>
      <c r="FF1381" s="17"/>
      <c r="FG1381" s="11"/>
      <c r="GT1381" s="11"/>
      <c r="IG1381" s="11"/>
      <c r="JT1381" s="11"/>
      <c r="LG1381" s="11"/>
      <c r="MT1381" s="11"/>
      <c r="OG1381" s="11"/>
      <c r="PT1381" s="11"/>
    </row>
    <row r="1382" spans="1:436" ht="15.75" x14ac:dyDescent="0.25">
      <c r="A1382" s="13"/>
      <c r="B1382" s="14" t="s">
        <v>1015</v>
      </c>
      <c r="C1382" s="13"/>
      <c r="D1382" s="13"/>
      <c r="E1382" s="15" t="s">
        <v>127</v>
      </c>
      <c r="F1382" s="15" t="s">
        <v>77</v>
      </c>
      <c r="G1382" s="13"/>
      <c r="H1382" s="11"/>
      <c r="AU1382" s="11"/>
      <c r="CH1382" s="11"/>
      <c r="CI1382" s="16"/>
      <c r="CJ1382" s="16"/>
      <c r="CK1382" s="16"/>
      <c r="CL1382" s="16"/>
      <c r="CM1382" s="16"/>
      <c r="CN1382" s="16"/>
      <c r="CO1382" s="16"/>
      <c r="CP1382" s="16"/>
      <c r="CQ1382" s="16"/>
      <c r="CR1382" s="16"/>
      <c r="CS1382" s="16"/>
      <c r="CT1382" s="16"/>
      <c r="CU1382" s="16"/>
      <c r="CV1382" s="16"/>
      <c r="CW1382" s="16"/>
      <c r="CX1382" s="16"/>
      <c r="CY1382" s="16"/>
      <c r="CZ1382" s="16"/>
      <c r="DA1382" s="16"/>
      <c r="DB1382" s="16"/>
      <c r="DC1382" s="16"/>
      <c r="DD1382" s="16"/>
      <c r="DE1382" s="17"/>
      <c r="DF1382" s="17"/>
      <c r="DG1382" s="16"/>
      <c r="DH1382" s="16"/>
      <c r="DI1382" s="17"/>
      <c r="DJ1382" s="17"/>
      <c r="DK1382" s="16"/>
      <c r="DL1382" s="16"/>
      <c r="DM1382" s="17"/>
      <c r="DN1382" s="17"/>
      <c r="DO1382" s="16"/>
      <c r="DP1382" s="16"/>
      <c r="DQ1382" s="17"/>
      <c r="DR1382" s="17"/>
      <c r="DS1382" s="16"/>
      <c r="DT1382" s="16"/>
      <c r="DU1382" s="17"/>
      <c r="DV1382" s="17"/>
      <c r="DW1382" s="16"/>
      <c r="DX1382" s="19">
        <v>30</v>
      </c>
      <c r="DY1382" s="17"/>
      <c r="DZ1382" s="17"/>
      <c r="EA1382" s="16"/>
      <c r="EB1382" s="16"/>
      <c r="EC1382" s="17"/>
      <c r="ED1382" s="17"/>
      <c r="EE1382" s="16"/>
      <c r="EF1382" s="16"/>
      <c r="EG1382" s="17"/>
      <c r="EH1382" s="17"/>
      <c r="EI1382" s="16"/>
      <c r="EJ1382" s="16"/>
      <c r="EK1382" s="17"/>
      <c r="EL1382" s="17"/>
      <c r="EM1382" s="16"/>
      <c r="EN1382" s="16"/>
      <c r="EO1382" s="17"/>
      <c r="EP1382" s="17"/>
      <c r="EQ1382" s="16"/>
      <c r="ER1382" s="16"/>
      <c r="ES1382" s="17"/>
      <c r="ET1382" s="18">
        <v>20</v>
      </c>
      <c r="EU1382" s="16"/>
      <c r="EV1382" s="16"/>
      <c r="EW1382" s="17"/>
      <c r="EX1382" s="17"/>
      <c r="EY1382" s="16"/>
      <c r="EZ1382" s="16"/>
      <c r="FA1382" s="17"/>
      <c r="FB1382" s="17"/>
      <c r="FC1382" s="16"/>
      <c r="FD1382" s="16"/>
      <c r="FE1382" s="17"/>
      <c r="FF1382" s="17"/>
      <c r="FG1382" s="11"/>
      <c r="GT1382" s="11"/>
      <c r="IG1382" s="11"/>
      <c r="JT1382" s="11"/>
      <c r="LG1382" s="11"/>
      <c r="MT1382" s="11"/>
      <c r="OG1382" s="11"/>
      <c r="PT1382" s="11"/>
    </row>
    <row r="1383" spans="1:436" ht="15.75" x14ac:dyDescent="0.25">
      <c r="A1383" s="13"/>
      <c r="B1383" s="14" t="s">
        <v>1016</v>
      </c>
      <c r="C1383" s="13"/>
      <c r="D1383" s="13"/>
      <c r="E1383" s="15" t="s">
        <v>76</v>
      </c>
      <c r="F1383" s="15" t="s">
        <v>77</v>
      </c>
      <c r="G1383" s="13"/>
      <c r="H1383" s="11"/>
      <c r="AU1383" s="11"/>
      <c r="CH1383" s="11"/>
      <c r="CI1383" s="16"/>
      <c r="CJ1383" s="16"/>
      <c r="CK1383" s="16"/>
      <c r="CL1383" s="16"/>
      <c r="CM1383" s="16"/>
      <c r="CN1383" s="16"/>
      <c r="CO1383" s="16"/>
      <c r="CP1383" s="16"/>
      <c r="CQ1383" s="16"/>
      <c r="CR1383" s="16"/>
      <c r="CS1383" s="16"/>
      <c r="CT1383" s="16"/>
      <c r="CU1383" s="16"/>
      <c r="CV1383" s="16"/>
      <c r="CW1383" s="16"/>
      <c r="CX1383" s="16"/>
      <c r="CY1383" s="16"/>
      <c r="CZ1383" s="16"/>
      <c r="DA1383" s="16"/>
      <c r="DB1383" s="16"/>
      <c r="DC1383" s="16"/>
      <c r="DD1383" s="19">
        <v>1</v>
      </c>
      <c r="DE1383" s="17"/>
      <c r="DF1383" s="17"/>
      <c r="DG1383" s="16"/>
      <c r="DH1383" s="16"/>
      <c r="DI1383" s="17"/>
      <c r="DJ1383" s="18">
        <v>20</v>
      </c>
      <c r="DK1383" s="16"/>
      <c r="DL1383" s="16"/>
      <c r="DM1383" s="17"/>
      <c r="DN1383" s="17"/>
      <c r="DO1383" s="16"/>
      <c r="DP1383" s="16"/>
      <c r="DQ1383" s="17"/>
      <c r="DR1383" s="17"/>
      <c r="DS1383" s="16"/>
      <c r="DT1383" s="16"/>
      <c r="DU1383" s="17"/>
      <c r="DV1383" s="17"/>
      <c r="DW1383" s="16"/>
      <c r="DX1383" s="19">
        <v>10</v>
      </c>
      <c r="DY1383" s="17"/>
      <c r="DZ1383" s="17"/>
      <c r="EA1383" s="16"/>
      <c r="EB1383" s="16"/>
      <c r="EC1383" s="18">
        <v>186.9</v>
      </c>
      <c r="ED1383" s="18">
        <v>273.3</v>
      </c>
      <c r="EE1383" s="16"/>
      <c r="EF1383" s="19">
        <v>22</v>
      </c>
      <c r="EG1383" s="17"/>
      <c r="EH1383" s="17"/>
      <c r="EI1383" s="16"/>
      <c r="EJ1383" s="16"/>
      <c r="EK1383" s="17"/>
      <c r="EL1383" s="17"/>
      <c r="EM1383" s="16"/>
      <c r="EN1383" s="19">
        <v>4</v>
      </c>
      <c r="EO1383" s="17"/>
      <c r="EP1383" s="17"/>
      <c r="EQ1383" s="16"/>
      <c r="ER1383" s="16"/>
      <c r="ES1383" s="17"/>
      <c r="ET1383" s="18">
        <v>40</v>
      </c>
      <c r="EU1383" s="16"/>
      <c r="EV1383" s="16"/>
      <c r="EW1383" s="17"/>
      <c r="EX1383" s="17"/>
      <c r="EY1383" s="16"/>
      <c r="EZ1383" s="16"/>
      <c r="FA1383" s="17"/>
      <c r="FB1383" s="17"/>
      <c r="FC1383" s="16"/>
      <c r="FD1383" s="16"/>
      <c r="FE1383" s="17"/>
      <c r="FF1383" s="17"/>
      <c r="FG1383" s="11"/>
      <c r="GT1383" s="11"/>
      <c r="IG1383" s="11"/>
      <c r="JT1383" s="11"/>
      <c r="LG1383" s="11"/>
      <c r="MT1383" s="11"/>
      <c r="OG1383" s="11"/>
      <c r="PT1383" s="11"/>
    </row>
    <row r="1384" spans="1:436" ht="15.75" x14ac:dyDescent="0.25">
      <c r="C1384" s="20" t="s">
        <v>1017</v>
      </c>
      <c r="D1384" s="21" t="s">
        <v>79</v>
      </c>
      <c r="H1384" s="11"/>
      <c r="AU1384" s="11"/>
      <c r="CH1384" s="11"/>
      <c r="CI1384" s="16"/>
      <c r="CJ1384" s="16"/>
      <c r="CK1384" s="16"/>
      <c r="CL1384" s="16"/>
      <c r="CM1384" s="16"/>
      <c r="CN1384" s="16"/>
      <c r="CO1384" s="16"/>
      <c r="CP1384" s="16"/>
      <c r="CQ1384" s="16"/>
      <c r="CR1384" s="16"/>
      <c r="CS1384" s="16"/>
      <c r="CT1384" s="16"/>
      <c r="CU1384" s="16"/>
      <c r="CV1384" s="16"/>
      <c r="CW1384" s="16"/>
      <c r="CX1384" s="16"/>
      <c r="CY1384" s="16"/>
      <c r="CZ1384" s="16"/>
      <c r="DA1384" s="16"/>
      <c r="DB1384" s="16"/>
      <c r="DC1384" s="16"/>
      <c r="DD1384" s="16"/>
      <c r="DE1384" s="17"/>
      <c r="DF1384" s="17"/>
      <c r="DG1384" s="16"/>
      <c r="DH1384" s="16"/>
      <c r="DI1384" s="17"/>
      <c r="DJ1384" s="18">
        <v>15</v>
      </c>
      <c r="DK1384" s="16"/>
      <c r="DL1384" s="16"/>
      <c r="DM1384" s="17"/>
      <c r="DN1384" s="17"/>
      <c r="DO1384" s="16"/>
      <c r="DP1384" s="16"/>
      <c r="DQ1384" s="17"/>
      <c r="DR1384" s="17"/>
      <c r="DS1384" s="16"/>
      <c r="DT1384" s="16"/>
      <c r="DU1384" s="17"/>
      <c r="DV1384" s="17"/>
      <c r="DW1384" s="16"/>
      <c r="DX1384" s="16"/>
      <c r="DY1384" s="17"/>
      <c r="DZ1384" s="17"/>
      <c r="EA1384" s="16"/>
      <c r="EB1384" s="16"/>
      <c r="EC1384" s="17"/>
      <c r="ED1384" s="17"/>
      <c r="EE1384" s="16"/>
      <c r="EF1384" s="16"/>
      <c r="EG1384" s="17"/>
      <c r="EH1384" s="17"/>
      <c r="EI1384" s="16"/>
      <c r="EJ1384" s="16"/>
      <c r="EK1384" s="17"/>
      <c r="EL1384" s="17"/>
      <c r="EM1384" s="16"/>
      <c r="EN1384" s="16"/>
      <c r="EO1384" s="17"/>
      <c r="EP1384" s="17"/>
      <c r="EQ1384" s="16"/>
      <c r="ER1384" s="16"/>
      <c r="ES1384" s="17"/>
      <c r="ET1384" s="17"/>
      <c r="EU1384" s="16"/>
      <c r="EV1384" s="16"/>
      <c r="EW1384" s="17"/>
      <c r="EX1384" s="17"/>
      <c r="EY1384" s="16"/>
      <c r="EZ1384" s="16"/>
      <c r="FA1384" s="17"/>
      <c r="FB1384" s="17"/>
      <c r="FC1384" s="16"/>
      <c r="FD1384" s="16"/>
      <c r="FE1384" s="17"/>
      <c r="FF1384" s="17"/>
      <c r="FG1384" s="11"/>
      <c r="GT1384" s="11"/>
      <c r="IG1384" s="11"/>
      <c r="JT1384" s="11"/>
      <c r="LG1384" s="11"/>
      <c r="MT1384" s="11"/>
      <c r="OG1384" s="11"/>
      <c r="PT1384" s="11"/>
    </row>
    <row r="1385" spans="1:436" ht="15.75" x14ac:dyDescent="0.25">
      <c r="C1385" s="20" t="s">
        <v>1018</v>
      </c>
      <c r="D1385" s="21" t="s">
        <v>93</v>
      </c>
      <c r="H1385" s="11"/>
      <c r="AU1385" s="11"/>
      <c r="CH1385" s="11"/>
      <c r="CI1385" s="16"/>
      <c r="CJ1385" s="16"/>
      <c r="CK1385" s="16"/>
      <c r="CL1385" s="16"/>
      <c r="CM1385" s="16"/>
      <c r="CN1385" s="16"/>
      <c r="CO1385" s="16"/>
      <c r="CP1385" s="16"/>
      <c r="CQ1385" s="16"/>
      <c r="CR1385" s="16"/>
      <c r="CS1385" s="16"/>
      <c r="CT1385" s="16"/>
      <c r="CU1385" s="16"/>
      <c r="CV1385" s="16"/>
      <c r="CW1385" s="16"/>
      <c r="CX1385" s="16"/>
      <c r="CY1385" s="16"/>
      <c r="CZ1385" s="16"/>
      <c r="DA1385" s="16"/>
      <c r="DB1385" s="16"/>
      <c r="DC1385" s="16"/>
      <c r="DD1385" s="16"/>
      <c r="DE1385" s="17"/>
      <c r="DF1385" s="17"/>
      <c r="DG1385" s="16"/>
      <c r="DH1385" s="16"/>
      <c r="DI1385" s="17"/>
      <c r="DJ1385" s="17"/>
      <c r="DK1385" s="16"/>
      <c r="DL1385" s="16"/>
      <c r="DM1385" s="17"/>
      <c r="DN1385" s="17"/>
      <c r="DO1385" s="16"/>
      <c r="DP1385" s="16"/>
      <c r="DQ1385" s="17"/>
      <c r="DR1385" s="17"/>
      <c r="DS1385" s="16"/>
      <c r="DT1385" s="16"/>
      <c r="DU1385" s="17"/>
      <c r="DV1385" s="17"/>
      <c r="DW1385" s="16"/>
      <c r="DX1385" s="16"/>
      <c r="DY1385" s="17"/>
      <c r="DZ1385" s="17"/>
      <c r="EA1385" s="16"/>
      <c r="EB1385" s="16"/>
      <c r="EC1385" s="17"/>
      <c r="ED1385" s="17"/>
      <c r="EE1385" s="16"/>
      <c r="EF1385" s="16"/>
      <c r="EG1385" s="17"/>
      <c r="EH1385" s="17"/>
      <c r="EI1385" s="16"/>
      <c r="EJ1385" s="16"/>
      <c r="EK1385" s="17"/>
      <c r="EL1385" s="17"/>
      <c r="EM1385" s="16"/>
      <c r="EN1385" s="16"/>
      <c r="EO1385" s="17"/>
      <c r="EP1385" s="17"/>
      <c r="EQ1385" s="16"/>
      <c r="ER1385" s="16"/>
      <c r="ES1385" s="17"/>
      <c r="ET1385" s="17"/>
      <c r="EU1385" s="16"/>
      <c r="EV1385" s="16"/>
      <c r="EW1385" s="17"/>
      <c r="EX1385" s="17"/>
      <c r="EY1385" s="16"/>
      <c r="EZ1385" s="16"/>
      <c r="FA1385" s="17"/>
      <c r="FB1385" s="17"/>
      <c r="FC1385" s="16"/>
      <c r="FD1385" s="16"/>
      <c r="FE1385" s="17"/>
      <c r="FF1385" s="17"/>
      <c r="FG1385" s="11"/>
      <c r="GT1385" s="11"/>
      <c r="IG1385" s="11"/>
      <c r="JT1385" s="11"/>
      <c r="LG1385" s="11"/>
      <c r="MT1385" s="11"/>
      <c r="OG1385" s="11"/>
      <c r="PT1385" s="11"/>
    </row>
    <row r="1386" spans="1:436" ht="15.75" x14ac:dyDescent="0.25">
      <c r="C1386" s="20" t="s">
        <v>1019</v>
      </c>
      <c r="D1386" s="21" t="s">
        <v>129</v>
      </c>
      <c r="H1386" s="11"/>
      <c r="AU1386" s="11"/>
      <c r="CH1386" s="11"/>
      <c r="CI1386" s="16"/>
      <c r="CJ1386" s="16"/>
      <c r="CK1386" s="16"/>
      <c r="CL1386" s="16"/>
      <c r="CM1386" s="16"/>
      <c r="CN1386" s="16"/>
      <c r="CO1386" s="16"/>
      <c r="CP1386" s="16"/>
      <c r="CQ1386" s="16"/>
      <c r="CR1386" s="16"/>
      <c r="CS1386" s="16"/>
      <c r="CT1386" s="16"/>
      <c r="CU1386" s="16"/>
      <c r="CV1386" s="16"/>
      <c r="CW1386" s="16"/>
      <c r="CX1386" s="16"/>
      <c r="CY1386" s="16"/>
      <c r="CZ1386" s="16"/>
      <c r="DA1386" s="16"/>
      <c r="DB1386" s="16"/>
      <c r="DC1386" s="16"/>
      <c r="DD1386" s="16"/>
      <c r="DE1386" s="17"/>
      <c r="DF1386" s="17"/>
      <c r="DG1386" s="16"/>
      <c r="DH1386" s="16"/>
      <c r="DI1386" s="17"/>
      <c r="DJ1386" s="17"/>
      <c r="DK1386" s="16"/>
      <c r="DL1386" s="16"/>
      <c r="DM1386" s="17"/>
      <c r="DN1386" s="17"/>
      <c r="DO1386" s="16"/>
      <c r="DP1386" s="16"/>
      <c r="DQ1386" s="17"/>
      <c r="DR1386" s="17"/>
      <c r="DS1386" s="16"/>
      <c r="DT1386" s="16"/>
      <c r="DU1386" s="17"/>
      <c r="DV1386" s="17"/>
      <c r="DW1386" s="16"/>
      <c r="DX1386" s="16"/>
      <c r="DY1386" s="17"/>
      <c r="DZ1386" s="17"/>
      <c r="EA1386" s="16"/>
      <c r="EB1386" s="16"/>
      <c r="EC1386" s="17"/>
      <c r="ED1386" s="17"/>
      <c r="EE1386" s="16"/>
      <c r="EF1386" s="16"/>
      <c r="EG1386" s="17"/>
      <c r="EH1386" s="17"/>
      <c r="EI1386" s="16"/>
      <c r="EJ1386" s="16"/>
      <c r="EK1386" s="17"/>
      <c r="EL1386" s="17"/>
      <c r="EM1386" s="16"/>
      <c r="EN1386" s="16"/>
      <c r="EO1386" s="17"/>
      <c r="EP1386" s="17"/>
      <c r="EQ1386" s="16"/>
      <c r="ER1386" s="16"/>
      <c r="ES1386" s="17"/>
      <c r="ET1386" s="17"/>
      <c r="EU1386" s="16"/>
      <c r="EV1386" s="16"/>
      <c r="EW1386" s="17"/>
      <c r="EX1386" s="17"/>
      <c r="EY1386" s="16"/>
      <c r="EZ1386" s="16"/>
      <c r="FA1386" s="17"/>
      <c r="FB1386" s="17"/>
      <c r="FC1386" s="16"/>
      <c r="FD1386" s="16"/>
      <c r="FE1386" s="17"/>
      <c r="FF1386" s="17"/>
      <c r="FG1386" s="11"/>
      <c r="GT1386" s="11"/>
      <c r="IG1386" s="11"/>
      <c r="JT1386" s="11"/>
      <c r="LG1386" s="11"/>
      <c r="MT1386" s="11"/>
      <c r="OG1386" s="11"/>
      <c r="PT1386" s="11"/>
    </row>
    <row r="1387" spans="1:436" ht="15.75" x14ac:dyDescent="0.25">
      <c r="C1387" s="20" t="s">
        <v>1020</v>
      </c>
      <c r="D1387" s="21" t="s">
        <v>136</v>
      </c>
      <c r="H1387" s="11"/>
      <c r="AU1387" s="11"/>
      <c r="CH1387" s="11"/>
      <c r="CI1387" s="16"/>
      <c r="CJ1387" s="16"/>
      <c r="CK1387" s="16"/>
      <c r="CL1387" s="16"/>
      <c r="CM1387" s="16"/>
      <c r="CN1387" s="16"/>
      <c r="CO1387" s="16"/>
      <c r="CP1387" s="16"/>
      <c r="CQ1387" s="16"/>
      <c r="CR1387" s="16"/>
      <c r="CS1387" s="16"/>
      <c r="CT1387" s="16"/>
      <c r="CU1387" s="16"/>
      <c r="CV1387" s="16"/>
      <c r="CW1387" s="16"/>
      <c r="CX1387" s="16"/>
      <c r="CY1387" s="16"/>
      <c r="CZ1387" s="16"/>
      <c r="DA1387" s="16"/>
      <c r="DB1387" s="16"/>
      <c r="DC1387" s="16"/>
      <c r="DD1387" s="16"/>
      <c r="DE1387" s="17"/>
      <c r="DF1387" s="17"/>
      <c r="DG1387" s="16"/>
      <c r="DH1387" s="16"/>
      <c r="DI1387" s="17"/>
      <c r="DJ1387" s="17"/>
      <c r="DK1387" s="16"/>
      <c r="DL1387" s="16"/>
      <c r="DM1387" s="17"/>
      <c r="DN1387" s="17"/>
      <c r="DO1387" s="16"/>
      <c r="DP1387" s="16"/>
      <c r="DQ1387" s="17"/>
      <c r="DR1387" s="17"/>
      <c r="DS1387" s="16"/>
      <c r="DT1387" s="16"/>
      <c r="DU1387" s="17"/>
      <c r="DV1387" s="17"/>
      <c r="DW1387" s="16"/>
      <c r="DX1387" s="16"/>
      <c r="DY1387" s="17"/>
      <c r="DZ1387" s="17"/>
      <c r="EA1387" s="16"/>
      <c r="EB1387" s="16"/>
      <c r="EC1387" s="17"/>
      <c r="ED1387" s="17"/>
      <c r="EE1387" s="16"/>
      <c r="EF1387" s="16"/>
      <c r="EG1387" s="17"/>
      <c r="EH1387" s="17"/>
      <c r="EI1387" s="16"/>
      <c r="EJ1387" s="16"/>
      <c r="EK1387" s="17"/>
      <c r="EL1387" s="17"/>
      <c r="EM1387" s="16"/>
      <c r="EN1387" s="16"/>
      <c r="EO1387" s="17"/>
      <c r="EP1387" s="17"/>
      <c r="EQ1387" s="16"/>
      <c r="ER1387" s="16"/>
      <c r="ES1387" s="17"/>
      <c r="ET1387" s="17"/>
      <c r="EU1387" s="16"/>
      <c r="EV1387" s="16"/>
      <c r="EW1387" s="17"/>
      <c r="EX1387" s="17"/>
      <c r="EY1387" s="16"/>
      <c r="EZ1387" s="16"/>
      <c r="FA1387" s="17"/>
      <c r="FB1387" s="17"/>
      <c r="FC1387" s="16"/>
      <c r="FD1387" s="16"/>
      <c r="FE1387" s="17"/>
      <c r="FF1387" s="17"/>
      <c r="FG1387" s="11"/>
      <c r="GT1387" s="11"/>
      <c r="IG1387" s="11"/>
      <c r="JT1387" s="11"/>
      <c r="LG1387" s="11"/>
      <c r="MT1387" s="11"/>
      <c r="OG1387" s="11"/>
      <c r="PT1387" s="11"/>
    </row>
    <row r="1388" spans="1:436" ht="15.75" x14ac:dyDescent="0.25">
      <c r="C1388" s="20" t="s">
        <v>1021</v>
      </c>
      <c r="D1388" s="21" t="s">
        <v>136</v>
      </c>
      <c r="H1388" s="11"/>
      <c r="AU1388" s="11"/>
      <c r="CH1388" s="11"/>
      <c r="CI1388" s="16"/>
      <c r="CJ1388" s="16"/>
      <c r="CK1388" s="16"/>
      <c r="CL1388" s="16"/>
      <c r="CM1388" s="16"/>
      <c r="CN1388" s="16"/>
      <c r="CO1388" s="16"/>
      <c r="CP1388" s="16"/>
      <c r="CQ1388" s="16"/>
      <c r="CR1388" s="16"/>
      <c r="CS1388" s="16"/>
      <c r="CT1388" s="16"/>
      <c r="CU1388" s="16"/>
      <c r="CV1388" s="16"/>
      <c r="CW1388" s="16"/>
      <c r="CX1388" s="16"/>
      <c r="CY1388" s="16"/>
      <c r="CZ1388" s="16"/>
      <c r="DA1388" s="16"/>
      <c r="DB1388" s="16"/>
      <c r="DC1388" s="16"/>
      <c r="DD1388" s="16"/>
      <c r="DE1388" s="17"/>
      <c r="DF1388" s="17"/>
      <c r="DG1388" s="16"/>
      <c r="DH1388" s="16"/>
      <c r="DI1388" s="17"/>
      <c r="DJ1388" s="17"/>
      <c r="DK1388" s="16"/>
      <c r="DL1388" s="16"/>
      <c r="DM1388" s="17"/>
      <c r="DN1388" s="17"/>
      <c r="DO1388" s="16"/>
      <c r="DP1388" s="16"/>
      <c r="DQ1388" s="17"/>
      <c r="DR1388" s="17"/>
      <c r="DS1388" s="16"/>
      <c r="DT1388" s="16"/>
      <c r="DU1388" s="17"/>
      <c r="DV1388" s="17"/>
      <c r="DW1388" s="16"/>
      <c r="DX1388" s="16"/>
      <c r="DY1388" s="17"/>
      <c r="DZ1388" s="17"/>
      <c r="EA1388" s="16"/>
      <c r="EB1388" s="16"/>
      <c r="EC1388" s="17"/>
      <c r="ED1388" s="17"/>
      <c r="EE1388" s="16"/>
      <c r="EF1388" s="16"/>
      <c r="EG1388" s="17"/>
      <c r="EH1388" s="17"/>
      <c r="EI1388" s="16"/>
      <c r="EJ1388" s="16"/>
      <c r="EK1388" s="17"/>
      <c r="EL1388" s="17"/>
      <c r="EM1388" s="16"/>
      <c r="EN1388" s="16"/>
      <c r="EO1388" s="17"/>
      <c r="EP1388" s="17"/>
      <c r="EQ1388" s="16"/>
      <c r="ER1388" s="16"/>
      <c r="ES1388" s="17"/>
      <c r="ET1388" s="17"/>
      <c r="EU1388" s="16"/>
      <c r="EV1388" s="16"/>
      <c r="EW1388" s="17"/>
      <c r="EX1388" s="17"/>
      <c r="EY1388" s="16"/>
      <c r="EZ1388" s="16"/>
      <c r="FA1388" s="17"/>
      <c r="FB1388" s="17"/>
      <c r="FC1388" s="16"/>
      <c r="FD1388" s="16"/>
      <c r="FE1388" s="17"/>
      <c r="FF1388" s="17"/>
      <c r="FG1388" s="11"/>
      <c r="GT1388" s="11"/>
      <c r="IG1388" s="11"/>
      <c r="JT1388" s="11"/>
      <c r="LG1388" s="11"/>
      <c r="MT1388" s="11"/>
      <c r="OG1388" s="11"/>
      <c r="PT1388" s="11"/>
    </row>
    <row r="1389" spans="1:436" ht="15.75" x14ac:dyDescent="0.25">
      <c r="C1389" s="20" t="s">
        <v>1022</v>
      </c>
      <c r="D1389" s="21" t="s">
        <v>136</v>
      </c>
      <c r="H1389" s="11"/>
      <c r="AU1389" s="11"/>
      <c r="CH1389" s="11"/>
      <c r="CI1389" s="16"/>
      <c r="CJ1389" s="16"/>
      <c r="CK1389" s="16"/>
      <c r="CL1389" s="16"/>
      <c r="CM1389" s="16"/>
      <c r="CN1389" s="16"/>
      <c r="CO1389" s="16"/>
      <c r="CP1389" s="16"/>
      <c r="CQ1389" s="16"/>
      <c r="CR1389" s="16"/>
      <c r="CS1389" s="16"/>
      <c r="CT1389" s="16"/>
      <c r="CU1389" s="16"/>
      <c r="CV1389" s="16"/>
      <c r="CW1389" s="16"/>
      <c r="CX1389" s="16"/>
      <c r="CY1389" s="16"/>
      <c r="CZ1389" s="16"/>
      <c r="DA1389" s="16"/>
      <c r="DB1389" s="16"/>
      <c r="DC1389" s="16"/>
      <c r="DD1389" s="16"/>
      <c r="DE1389" s="17"/>
      <c r="DF1389" s="17"/>
      <c r="DG1389" s="16"/>
      <c r="DH1389" s="16"/>
      <c r="DI1389" s="17"/>
      <c r="DJ1389" s="17"/>
      <c r="DK1389" s="16"/>
      <c r="DL1389" s="16"/>
      <c r="DM1389" s="17"/>
      <c r="DN1389" s="17"/>
      <c r="DO1389" s="16"/>
      <c r="DP1389" s="16"/>
      <c r="DQ1389" s="17"/>
      <c r="DR1389" s="17"/>
      <c r="DS1389" s="16"/>
      <c r="DT1389" s="16"/>
      <c r="DU1389" s="17"/>
      <c r="DV1389" s="17"/>
      <c r="DW1389" s="16"/>
      <c r="DX1389" s="16"/>
      <c r="DY1389" s="17"/>
      <c r="DZ1389" s="17"/>
      <c r="EA1389" s="16"/>
      <c r="EB1389" s="16"/>
      <c r="EC1389" s="17"/>
      <c r="ED1389" s="17"/>
      <c r="EE1389" s="16"/>
      <c r="EF1389" s="16"/>
      <c r="EG1389" s="17"/>
      <c r="EH1389" s="17"/>
      <c r="EI1389" s="16"/>
      <c r="EJ1389" s="16"/>
      <c r="EK1389" s="17"/>
      <c r="EL1389" s="17"/>
      <c r="EM1389" s="16"/>
      <c r="EN1389" s="16"/>
      <c r="EO1389" s="17"/>
      <c r="EP1389" s="17"/>
      <c r="EQ1389" s="16"/>
      <c r="ER1389" s="16"/>
      <c r="ES1389" s="17"/>
      <c r="ET1389" s="17"/>
      <c r="EU1389" s="16"/>
      <c r="EV1389" s="16"/>
      <c r="EW1389" s="17"/>
      <c r="EX1389" s="17"/>
      <c r="EY1389" s="16"/>
      <c r="EZ1389" s="16"/>
      <c r="FA1389" s="17"/>
      <c r="FB1389" s="17"/>
      <c r="FC1389" s="16"/>
      <c r="FD1389" s="16"/>
      <c r="FE1389" s="17"/>
      <c r="FF1389" s="17"/>
      <c r="FG1389" s="11"/>
      <c r="GT1389" s="11"/>
      <c r="IG1389" s="11"/>
      <c r="JT1389" s="11"/>
      <c r="LG1389" s="11"/>
      <c r="MT1389" s="11"/>
      <c r="OG1389" s="11"/>
      <c r="PT1389" s="11"/>
    </row>
    <row r="1390" spans="1:436" ht="15.75" x14ac:dyDescent="0.25">
      <c r="C1390" s="20" t="s">
        <v>1023</v>
      </c>
      <c r="D1390" s="21" t="s">
        <v>162</v>
      </c>
      <c r="H1390" s="11"/>
      <c r="AU1390" s="11"/>
      <c r="CH1390" s="11"/>
      <c r="CI1390" s="16"/>
      <c r="CJ1390" s="16"/>
      <c r="CK1390" s="16"/>
      <c r="CL1390" s="16"/>
      <c r="CM1390" s="16"/>
      <c r="CN1390" s="16"/>
      <c r="CO1390" s="16"/>
      <c r="CP1390" s="16"/>
      <c r="CQ1390" s="16"/>
      <c r="CR1390" s="16"/>
      <c r="CS1390" s="16"/>
      <c r="CT1390" s="16"/>
      <c r="CU1390" s="16"/>
      <c r="CV1390" s="16"/>
      <c r="CW1390" s="16"/>
      <c r="CX1390" s="16"/>
      <c r="CY1390" s="16"/>
      <c r="CZ1390" s="16"/>
      <c r="DA1390" s="16"/>
      <c r="DB1390" s="16"/>
      <c r="DC1390" s="16"/>
      <c r="DD1390" s="16"/>
      <c r="DE1390" s="17"/>
      <c r="DF1390" s="17"/>
      <c r="DG1390" s="16"/>
      <c r="DH1390" s="16"/>
      <c r="DI1390" s="17"/>
      <c r="DJ1390" s="17"/>
      <c r="DK1390" s="16"/>
      <c r="DL1390" s="16"/>
      <c r="DM1390" s="17"/>
      <c r="DN1390" s="17"/>
      <c r="DO1390" s="16"/>
      <c r="DP1390" s="16"/>
      <c r="DQ1390" s="17"/>
      <c r="DR1390" s="17"/>
      <c r="DS1390" s="16"/>
      <c r="DT1390" s="16"/>
      <c r="DU1390" s="17"/>
      <c r="DV1390" s="17"/>
      <c r="DW1390" s="16"/>
      <c r="DX1390" s="16"/>
      <c r="DY1390" s="17"/>
      <c r="DZ1390" s="17"/>
      <c r="EA1390" s="16"/>
      <c r="EB1390" s="16"/>
      <c r="EC1390" s="17"/>
      <c r="ED1390" s="17"/>
      <c r="EE1390" s="16"/>
      <c r="EF1390" s="16"/>
      <c r="EG1390" s="17"/>
      <c r="EH1390" s="17"/>
      <c r="EI1390" s="16"/>
      <c r="EJ1390" s="16"/>
      <c r="EK1390" s="17"/>
      <c r="EL1390" s="17"/>
      <c r="EM1390" s="16"/>
      <c r="EN1390" s="16"/>
      <c r="EO1390" s="17"/>
      <c r="EP1390" s="17"/>
      <c r="EQ1390" s="16"/>
      <c r="ER1390" s="16"/>
      <c r="ES1390" s="17"/>
      <c r="ET1390" s="17"/>
      <c r="EU1390" s="16"/>
      <c r="EV1390" s="16"/>
      <c r="EW1390" s="17"/>
      <c r="EX1390" s="17"/>
      <c r="EY1390" s="16"/>
      <c r="EZ1390" s="16"/>
      <c r="FA1390" s="17"/>
      <c r="FB1390" s="17"/>
      <c r="FC1390" s="16"/>
      <c r="FD1390" s="16"/>
      <c r="FE1390" s="17"/>
      <c r="FF1390" s="17"/>
      <c r="FG1390" s="11"/>
      <c r="GT1390" s="11"/>
      <c r="IG1390" s="11"/>
      <c r="JT1390" s="11"/>
      <c r="LG1390" s="11"/>
      <c r="MT1390" s="11"/>
      <c r="OG1390" s="11"/>
      <c r="PT1390" s="11"/>
    </row>
    <row r="1391" spans="1:436" ht="15.75" x14ac:dyDescent="0.25">
      <c r="C1391" s="20" t="s">
        <v>1024</v>
      </c>
      <c r="D1391" s="21" t="s">
        <v>134</v>
      </c>
      <c r="H1391" s="11"/>
      <c r="AU1391" s="11"/>
      <c r="CH1391" s="11"/>
      <c r="CI1391" s="16"/>
      <c r="CJ1391" s="16"/>
      <c r="CK1391" s="16"/>
      <c r="CL1391" s="16"/>
      <c r="CM1391" s="16"/>
      <c r="CN1391" s="16"/>
      <c r="CO1391" s="16"/>
      <c r="CP1391" s="16"/>
      <c r="CQ1391" s="16"/>
      <c r="CR1391" s="16"/>
      <c r="CS1391" s="16"/>
      <c r="CT1391" s="16"/>
      <c r="CU1391" s="16"/>
      <c r="CV1391" s="16"/>
      <c r="CW1391" s="16"/>
      <c r="CX1391" s="16"/>
      <c r="CY1391" s="16"/>
      <c r="CZ1391" s="16"/>
      <c r="DA1391" s="16"/>
      <c r="DB1391" s="16"/>
      <c r="DC1391" s="16"/>
      <c r="DD1391" s="16"/>
      <c r="DE1391" s="17"/>
      <c r="DF1391" s="17"/>
      <c r="DG1391" s="16"/>
      <c r="DH1391" s="16"/>
      <c r="DI1391" s="17"/>
      <c r="DJ1391" s="17"/>
      <c r="DK1391" s="16"/>
      <c r="DL1391" s="16"/>
      <c r="DM1391" s="18">
        <v>4</v>
      </c>
      <c r="DN1391" s="18">
        <v>10</v>
      </c>
      <c r="DO1391" s="16"/>
      <c r="DP1391" s="16"/>
      <c r="DQ1391" s="17"/>
      <c r="DR1391" s="17"/>
      <c r="DS1391" s="16"/>
      <c r="DT1391" s="16"/>
      <c r="DU1391" s="17"/>
      <c r="DV1391" s="17"/>
      <c r="DW1391" s="16"/>
      <c r="DX1391" s="16"/>
      <c r="DY1391" s="17"/>
      <c r="DZ1391" s="17"/>
      <c r="EA1391" s="16"/>
      <c r="EB1391" s="16"/>
      <c r="EC1391" s="17"/>
      <c r="ED1391" s="17"/>
      <c r="EE1391" s="16"/>
      <c r="EF1391" s="16"/>
      <c r="EG1391" s="17"/>
      <c r="EH1391" s="17"/>
      <c r="EI1391" s="16"/>
      <c r="EJ1391" s="16"/>
      <c r="EK1391" s="17"/>
      <c r="EL1391" s="17"/>
      <c r="EM1391" s="16"/>
      <c r="EN1391" s="16"/>
      <c r="EO1391" s="17"/>
      <c r="EP1391" s="17"/>
      <c r="EQ1391" s="16"/>
      <c r="ER1391" s="16"/>
      <c r="ES1391" s="17"/>
      <c r="ET1391" s="17"/>
      <c r="EU1391" s="16"/>
      <c r="EV1391" s="16"/>
      <c r="EW1391" s="17"/>
      <c r="EX1391" s="17"/>
      <c r="EY1391" s="16"/>
      <c r="EZ1391" s="16"/>
      <c r="FA1391" s="17"/>
      <c r="FB1391" s="17"/>
      <c r="FC1391" s="16"/>
      <c r="FD1391" s="16"/>
      <c r="FE1391" s="17"/>
      <c r="FF1391" s="17"/>
      <c r="FG1391" s="11"/>
      <c r="GT1391" s="11"/>
      <c r="IG1391" s="11"/>
      <c r="JT1391" s="11"/>
      <c r="LG1391" s="11"/>
      <c r="MT1391" s="11"/>
      <c r="OG1391" s="11"/>
      <c r="PT1391" s="11"/>
    </row>
    <row r="1392" spans="1:436" ht="15.75" x14ac:dyDescent="0.25">
      <c r="C1392" s="20" t="s">
        <v>1025</v>
      </c>
      <c r="D1392" s="21" t="s">
        <v>203</v>
      </c>
      <c r="H1392" s="11"/>
      <c r="AU1392" s="11"/>
      <c r="CH1392" s="11"/>
      <c r="CI1392" s="16"/>
      <c r="CJ1392" s="16"/>
      <c r="CK1392" s="16"/>
      <c r="CL1392" s="16"/>
      <c r="CM1392" s="16"/>
      <c r="CN1392" s="16"/>
      <c r="CO1392" s="16"/>
      <c r="CP1392" s="16"/>
      <c r="CQ1392" s="16"/>
      <c r="CR1392" s="16"/>
      <c r="CS1392" s="16"/>
      <c r="CT1392" s="16"/>
      <c r="CU1392" s="16"/>
      <c r="CV1392" s="16"/>
      <c r="CW1392" s="16"/>
      <c r="CX1392" s="16"/>
      <c r="CY1392" s="16"/>
      <c r="CZ1392" s="16"/>
      <c r="DA1392" s="16"/>
      <c r="DB1392" s="16"/>
      <c r="DC1392" s="16"/>
      <c r="DD1392" s="16"/>
      <c r="DE1392" s="17"/>
      <c r="DF1392" s="17"/>
      <c r="DG1392" s="16"/>
      <c r="DH1392" s="16"/>
      <c r="DI1392" s="17"/>
      <c r="DJ1392" s="17"/>
      <c r="DK1392" s="16"/>
      <c r="DL1392" s="16"/>
      <c r="DM1392" s="17"/>
      <c r="DN1392" s="17"/>
      <c r="DO1392" s="16"/>
      <c r="DP1392" s="16"/>
      <c r="DQ1392" s="17"/>
      <c r="DR1392" s="17"/>
      <c r="DS1392" s="16"/>
      <c r="DT1392" s="16"/>
      <c r="DU1392" s="17"/>
      <c r="DV1392" s="17"/>
      <c r="DW1392" s="16"/>
      <c r="DX1392" s="16"/>
      <c r="DY1392" s="17"/>
      <c r="DZ1392" s="17"/>
      <c r="EA1392" s="16"/>
      <c r="EB1392" s="16"/>
      <c r="EC1392" s="17"/>
      <c r="ED1392" s="17"/>
      <c r="EE1392" s="16"/>
      <c r="EF1392" s="16"/>
      <c r="EG1392" s="17"/>
      <c r="EH1392" s="17"/>
      <c r="EI1392" s="16"/>
      <c r="EJ1392" s="16"/>
      <c r="EK1392" s="17"/>
      <c r="EL1392" s="17"/>
      <c r="EM1392" s="16"/>
      <c r="EN1392" s="16"/>
      <c r="EO1392" s="17"/>
      <c r="EP1392" s="17"/>
      <c r="EQ1392" s="16"/>
      <c r="ER1392" s="16"/>
      <c r="ES1392" s="17"/>
      <c r="ET1392" s="17"/>
      <c r="EU1392" s="16"/>
      <c r="EV1392" s="16"/>
      <c r="EW1392" s="17"/>
      <c r="EX1392" s="17"/>
      <c r="EY1392" s="16"/>
      <c r="EZ1392" s="16"/>
      <c r="FA1392" s="17"/>
      <c r="FB1392" s="17"/>
      <c r="FC1392" s="16"/>
      <c r="FD1392" s="16"/>
      <c r="FE1392" s="17"/>
      <c r="FF1392" s="17"/>
      <c r="FG1392" s="11"/>
      <c r="GT1392" s="11"/>
      <c r="IG1392" s="11"/>
      <c r="JT1392" s="11"/>
      <c r="LG1392" s="11"/>
      <c r="MT1392" s="11"/>
      <c r="OG1392" s="11"/>
      <c r="PT1392" s="11"/>
    </row>
    <row r="1393" spans="3:436" ht="15.75" x14ac:dyDescent="0.25">
      <c r="C1393" s="20" t="s">
        <v>1026</v>
      </c>
      <c r="D1393" s="21" t="s">
        <v>84</v>
      </c>
      <c r="H1393" s="11"/>
      <c r="AU1393" s="11"/>
      <c r="CH1393" s="11"/>
      <c r="CI1393" s="16"/>
      <c r="CJ1393" s="16"/>
      <c r="CK1393" s="16"/>
      <c r="CL1393" s="16"/>
      <c r="CM1393" s="16"/>
      <c r="CN1393" s="16"/>
      <c r="CO1393" s="16"/>
      <c r="CP1393" s="16"/>
      <c r="CQ1393" s="16"/>
      <c r="CR1393" s="16"/>
      <c r="CS1393" s="16"/>
      <c r="CT1393" s="16"/>
      <c r="CU1393" s="16"/>
      <c r="CV1393" s="16"/>
      <c r="CW1393" s="16"/>
      <c r="CX1393" s="16"/>
      <c r="CY1393" s="16"/>
      <c r="CZ1393" s="16"/>
      <c r="DA1393" s="16"/>
      <c r="DB1393" s="16"/>
      <c r="DC1393" s="16"/>
      <c r="DD1393" s="16"/>
      <c r="DE1393" s="17"/>
      <c r="DF1393" s="17"/>
      <c r="DG1393" s="16"/>
      <c r="DH1393" s="16"/>
      <c r="DI1393" s="17"/>
      <c r="DJ1393" s="17"/>
      <c r="DK1393" s="16"/>
      <c r="DL1393" s="16"/>
      <c r="DM1393" s="17"/>
      <c r="DN1393" s="17"/>
      <c r="DO1393" s="16"/>
      <c r="DP1393" s="16"/>
      <c r="DQ1393" s="17"/>
      <c r="DR1393" s="17"/>
      <c r="DS1393" s="16"/>
      <c r="DT1393" s="16"/>
      <c r="DU1393" s="17"/>
      <c r="DV1393" s="17"/>
      <c r="DW1393" s="16"/>
      <c r="DX1393" s="19">
        <v>3</v>
      </c>
      <c r="DY1393" s="17"/>
      <c r="DZ1393" s="17"/>
      <c r="EA1393" s="16"/>
      <c r="EB1393" s="16"/>
      <c r="EC1393" s="17"/>
      <c r="ED1393" s="17"/>
      <c r="EE1393" s="16"/>
      <c r="EF1393" s="16"/>
      <c r="EG1393" s="17"/>
      <c r="EH1393" s="17"/>
      <c r="EI1393" s="16"/>
      <c r="EJ1393" s="16"/>
      <c r="EK1393" s="17"/>
      <c r="EL1393" s="17"/>
      <c r="EM1393" s="16"/>
      <c r="EN1393" s="16"/>
      <c r="EO1393" s="17"/>
      <c r="EP1393" s="17"/>
      <c r="EQ1393" s="16"/>
      <c r="ER1393" s="16"/>
      <c r="ES1393" s="17"/>
      <c r="ET1393" s="17"/>
      <c r="EU1393" s="16"/>
      <c r="EV1393" s="16"/>
      <c r="EW1393" s="17"/>
      <c r="EX1393" s="17"/>
      <c r="EY1393" s="16"/>
      <c r="EZ1393" s="16"/>
      <c r="FA1393" s="17"/>
      <c r="FB1393" s="17"/>
      <c r="FC1393" s="16"/>
      <c r="FD1393" s="16"/>
      <c r="FE1393" s="17"/>
      <c r="FF1393" s="17"/>
      <c r="FG1393" s="11"/>
      <c r="GT1393" s="11"/>
      <c r="IG1393" s="11"/>
      <c r="JT1393" s="11"/>
      <c r="LG1393" s="11"/>
      <c r="MT1393" s="11"/>
      <c r="OG1393" s="11"/>
      <c r="PT1393" s="11"/>
    </row>
    <row r="1394" spans="3:436" ht="15.75" x14ac:dyDescent="0.25">
      <c r="C1394" s="20" t="s">
        <v>998</v>
      </c>
      <c r="D1394" s="21" t="s">
        <v>82</v>
      </c>
      <c r="H1394" s="11"/>
      <c r="AU1394" s="11"/>
      <c r="CH1394" s="11"/>
      <c r="CI1394" s="16"/>
      <c r="CJ1394" s="16"/>
      <c r="CK1394" s="16"/>
      <c r="CL1394" s="16"/>
      <c r="CM1394" s="16"/>
      <c r="CN1394" s="16"/>
      <c r="CO1394" s="16"/>
      <c r="CP1394" s="16"/>
      <c r="CQ1394" s="16"/>
      <c r="CR1394" s="16"/>
      <c r="CS1394" s="16"/>
      <c r="CT1394" s="16"/>
      <c r="CU1394" s="16"/>
      <c r="CV1394" s="16"/>
      <c r="CW1394" s="16"/>
      <c r="CX1394" s="16"/>
      <c r="CY1394" s="16"/>
      <c r="CZ1394" s="16"/>
      <c r="DA1394" s="16"/>
      <c r="DB1394" s="16"/>
      <c r="DC1394" s="16"/>
      <c r="DD1394" s="16"/>
      <c r="DE1394" s="17"/>
      <c r="DF1394" s="17"/>
      <c r="DG1394" s="16"/>
      <c r="DH1394" s="16"/>
      <c r="DI1394" s="17"/>
      <c r="DJ1394" s="17"/>
      <c r="DK1394" s="16"/>
      <c r="DL1394" s="16"/>
      <c r="DM1394" s="17"/>
      <c r="DN1394" s="17"/>
      <c r="DO1394" s="16"/>
      <c r="DP1394" s="16"/>
      <c r="DQ1394" s="17"/>
      <c r="DR1394" s="17"/>
      <c r="DS1394" s="16"/>
      <c r="DT1394" s="16"/>
      <c r="DU1394" s="17"/>
      <c r="DV1394" s="17"/>
      <c r="DW1394" s="16"/>
      <c r="DX1394" s="16"/>
      <c r="DY1394" s="17"/>
      <c r="DZ1394" s="17"/>
      <c r="EA1394" s="16"/>
      <c r="EB1394" s="16"/>
      <c r="EC1394" s="17"/>
      <c r="ED1394" s="17"/>
      <c r="EE1394" s="16"/>
      <c r="EF1394" s="16"/>
      <c r="EG1394" s="17"/>
      <c r="EH1394" s="17"/>
      <c r="EI1394" s="16"/>
      <c r="EJ1394" s="16"/>
      <c r="EK1394" s="17"/>
      <c r="EL1394" s="17"/>
      <c r="EM1394" s="16"/>
      <c r="EN1394" s="16"/>
      <c r="EO1394" s="17"/>
      <c r="EP1394" s="17"/>
      <c r="EQ1394" s="16"/>
      <c r="ER1394" s="16"/>
      <c r="ES1394" s="17"/>
      <c r="ET1394" s="17"/>
      <c r="EU1394" s="16"/>
      <c r="EV1394" s="16"/>
      <c r="EW1394" s="17"/>
      <c r="EX1394" s="17"/>
      <c r="EY1394" s="16"/>
      <c r="EZ1394" s="16"/>
      <c r="FA1394" s="17"/>
      <c r="FB1394" s="17"/>
      <c r="FC1394" s="16"/>
      <c r="FD1394" s="16"/>
      <c r="FE1394" s="17"/>
      <c r="FF1394" s="17"/>
      <c r="FG1394" s="11"/>
      <c r="GT1394" s="11"/>
      <c r="IG1394" s="11"/>
      <c r="JT1394" s="11"/>
      <c r="LG1394" s="11"/>
      <c r="MT1394" s="11"/>
      <c r="OG1394" s="11"/>
      <c r="PT1394" s="11"/>
    </row>
    <row r="1395" spans="3:436" ht="15.75" x14ac:dyDescent="0.25">
      <c r="C1395" s="20" t="s">
        <v>1027</v>
      </c>
      <c r="D1395" s="21" t="s">
        <v>79</v>
      </c>
      <c r="H1395" s="11"/>
      <c r="AU1395" s="11"/>
      <c r="CH1395" s="11"/>
      <c r="CI1395" s="16"/>
      <c r="CJ1395" s="16"/>
      <c r="CK1395" s="16"/>
      <c r="CL1395" s="16"/>
      <c r="CM1395" s="16"/>
      <c r="CN1395" s="16"/>
      <c r="CO1395" s="16"/>
      <c r="CP1395" s="16"/>
      <c r="CQ1395" s="16"/>
      <c r="CR1395" s="16"/>
      <c r="CS1395" s="16"/>
      <c r="CT1395" s="16"/>
      <c r="CU1395" s="16"/>
      <c r="CV1395" s="16"/>
      <c r="CW1395" s="16"/>
      <c r="CX1395" s="16"/>
      <c r="CY1395" s="16"/>
      <c r="CZ1395" s="16"/>
      <c r="DA1395" s="16"/>
      <c r="DB1395" s="16"/>
      <c r="DC1395" s="16"/>
      <c r="DD1395" s="16"/>
      <c r="DE1395" s="17"/>
      <c r="DF1395" s="17"/>
      <c r="DG1395" s="16"/>
      <c r="DH1395" s="16"/>
      <c r="DI1395" s="18">
        <v>3</v>
      </c>
      <c r="DJ1395" s="18">
        <v>1</v>
      </c>
      <c r="DK1395" s="16"/>
      <c r="DL1395" s="16"/>
      <c r="DM1395" s="17"/>
      <c r="DN1395" s="17"/>
      <c r="DO1395" s="16"/>
      <c r="DP1395" s="16"/>
      <c r="DQ1395" s="17"/>
      <c r="DR1395" s="17"/>
      <c r="DS1395" s="16"/>
      <c r="DT1395" s="16"/>
      <c r="DU1395" s="17"/>
      <c r="DV1395" s="17"/>
      <c r="DW1395" s="16"/>
      <c r="DX1395" s="16"/>
      <c r="DY1395" s="17"/>
      <c r="DZ1395" s="17"/>
      <c r="EA1395" s="16"/>
      <c r="EB1395" s="16"/>
      <c r="EC1395" s="17"/>
      <c r="ED1395" s="17"/>
      <c r="EE1395" s="16"/>
      <c r="EF1395" s="16"/>
      <c r="EG1395" s="17"/>
      <c r="EH1395" s="17"/>
      <c r="EI1395" s="16"/>
      <c r="EJ1395" s="16"/>
      <c r="EK1395" s="17"/>
      <c r="EL1395" s="17"/>
      <c r="EM1395" s="16"/>
      <c r="EN1395" s="16"/>
      <c r="EO1395" s="17"/>
      <c r="EP1395" s="17"/>
      <c r="EQ1395" s="16"/>
      <c r="ER1395" s="16"/>
      <c r="ES1395" s="17"/>
      <c r="ET1395" s="17"/>
      <c r="EU1395" s="16"/>
      <c r="EV1395" s="16"/>
      <c r="EW1395" s="17"/>
      <c r="EX1395" s="17"/>
      <c r="EY1395" s="16"/>
      <c r="EZ1395" s="16"/>
      <c r="FA1395" s="17"/>
      <c r="FB1395" s="17"/>
      <c r="FC1395" s="16"/>
      <c r="FD1395" s="16"/>
      <c r="FE1395" s="17"/>
      <c r="FF1395" s="17"/>
      <c r="FG1395" s="11"/>
      <c r="GT1395" s="11"/>
      <c r="IG1395" s="11"/>
      <c r="JT1395" s="11"/>
      <c r="LG1395" s="11"/>
      <c r="MT1395" s="11"/>
      <c r="OG1395" s="11"/>
      <c r="PT1395" s="11"/>
    </row>
    <row r="1396" spans="3:436" ht="15.75" x14ac:dyDescent="0.25">
      <c r="C1396" s="20" t="s">
        <v>1028</v>
      </c>
      <c r="D1396" s="21" t="s">
        <v>90</v>
      </c>
      <c r="H1396" s="11"/>
      <c r="AU1396" s="11"/>
      <c r="CH1396" s="11"/>
      <c r="CI1396" s="16"/>
      <c r="CJ1396" s="16"/>
      <c r="CK1396" s="16"/>
      <c r="CL1396" s="16"/>
      <c r="CM1396" s="16"/>
      <c r="CN1396" s="16"/>
      <c r="CO1396" s="16"/>
      <c r="CP1396" s="16"/>
      <c r="CQ1396" s="16"/>
      <c r="CR1396" s="16"/>
      <c r="CS1396" s="16"/>
      <c r="CT1396" s="16"/>
      <c r="CU1396" s="16"/>
      <c r="CV1396" s="16"/>
      <c r="CW1396" s="16"/>
      <c r="CX1396" s="16"/>
      <c r="CY1396" s="16"/>
      <c r="CZ1396" s="16"/>
      <c r="DA1396" s="16"/>
      <c r="DB1396" s="16"/>
      <c r="DC1396" s="16"/>
      <c r="DD1396" s="16"/>
      <c r="DE1396" s="17"/>
      <c r="DF1396" s="17"/>
      <c r="DG1396" s="16"/>
      <c r="DH1396" s="16"/>
      <c r="DI1396" s="17"/>
      <c r="DJ1396" s="17"/>
      <c r="DK1396" s="16"/>
      <c r="DL1396" s="16"/>
      <c r="DM1396" s="17"/>
      <c r="DN1396" s="17"/>
      <c r="DO1396" s="16"/>
      <c r="DP1396" s="16"/>
      <c r="DQ1396" s="17"/>
      <c r="DR1396" s="17"/>
      <c r="DS1396" s="16"/>
      <c r="DT1396" s="16"/>
      <c r="DU1396" s="17"/>
      <c r="DV1396" s="17"/>
      <c r="DW1396" s="16"/>
      <c r="DX1396" s="16"/>
      <c r="DY1396" s="17"/>
      <c r="DZ1396" s="17"/>
      <c r="EA1396" s="16"/>
      <c r="EB1396" s="16"/>
      <c r="EC1396" s="17"/>
      <c r="ED1396" s="17"/>
      <c r="EE1396" s="16"/>
      <c r="EF1396" s="16"/>
      <c r="EG1396" s="17"/>
      <c r="EH1396" s="17"/>
      <c r="EI1396" s="16"/>
      <c r="EJ1396" s="16"/>
      <c r="EK1396" s="17"/>
      <c r="EL1396" s="17"/>
      <c r="EM1396" s="16"/>
      <c r="EN1396" s="16"/>
      <c r="EO1396" s="17"/>
      <c r="EP1396" s="17"/>
      <c r="EQ1396" s="16"/>
      <c r="ER1396" s="16"/>
      <c r="ES1396" s="17"/>
      <c r="ET1396" s="17"/>
      <c r="EU1396" s="16"/>
      <c r="EV1396" s="16"/>
      <c r="EW1396" s="17"/>
      <c r="EX1396" s="17"/>
      <c r="EY1396" s="16"/>
      <c r="EZ1396" s="16"/>
      <c r="FA1396" s="17"/>
      <c r="FB1396" s="17"/>
      <c r="FC1396" s="16"/>
      <c r="FD1396" s="16"/>
      <c r="FE1396" s="17"/>
      <c r="FF1396" s="17"/>
      <c r="FG1396" s="11"/>
      <c r="GT1396" s="11"/>
      <c r="IG1396" s="11"/>
      <c r="JT1396" s="11"/>
      <c r="LG1396" s="11"/>
      <c r="MT1396" s="11"/>
      <c r="OG1396" s="11"/>
      <c r="PT1396" s="11"/>
    </row>
    <row r="1397" spans="3:436" ht="15.75" x14ac:dyDescent="0.25">
      <c r="C1397" s="20" t="s">
        <v>1029</v>
      </c>
      <c r="D1397" s="21" t="s">
        <v>82</v>
      </c>
      <c r="H1397" s="11"/>
      <c r="AU1397" s="11"/>
      <c r="CH1397" s="11"/>
      <c r="CI1397" s="16"/>
      <c r="CJ1397" s="16"/>
      <c r="CK1397" s="16"/>
      <c r="CL1397" s="16"/>
      <c r="CM1397" s="16"/>
      <c r="CN1397" s="16"/>
      <c r="CO1397" s="16"/>
      <c r="CP1397" s="16"/>
      <c r="CQ1397" s="16"/>
      <c r="CR1397" s="16"/>
      <c r="CS1397" s="16"/>
      <c r="CT1397" s="16"/>
      <c r="CU1397" s="16"/>
      <c r="CV1397" s="16"/>
      <c r="CW1397" s="16"/>
      <c r="CX1397" s="16"/>
      <c r="CY1397" s="16"/>
      <c r="CZ1397" s="16"/>
      <c r="DA1397" s="16"/>
      <c r="DB1397" s="16"/>
      <c r="DC1397" s="16"/>
      <c r="DD1397" s="16"/>
      <c r="DE1397" s="17"/>
      <c r="DF1397" s="17"/>
      <c r="DG1397" s="16"/>
      <c r="DH1397" s="16"/>
      <c r="DI1397" s="17"/>
      <c r="DJ1397" s="17"/>
      <c r="DK1397" s="16"/>
      <c r="DL1397" s="16"/>
      <c r="DM1397" s="17"/>
      <c r="DN1397" s="17"/>
      <c r="DO1397" s="16"/>
      <c r="DP1397" s="16"/>
      <c r="DQ1397" s="17"/>
      <c r="DR1397" s="17"/>
      <c r="DS1397" s="16"/>
      <c r="DT1397" s="16"/>
      <c r="DU1397" s="17"/>
      <c r="DV1397" s="17"/>
      <c r="DW1397" s="16"/>
      <c r="DX1397" s="16"/>
      <c r="DY1397" s="17"/>
      <c r="DZ1397" s="17"/>
      <c r="EA1397" s="16"/>
      <c r="EB1397" s="16"/>
      <c r="EC1397" s="17"/>
      <c r="ED1397" s="17"/>
      <c r="EE1397" s="16"/>
      <c r="EF1397" s="16"/>
      <c r="EG1397" s="17"/>
      <c r="EH1397" s="17"/>
      <c r="EI1397" s="16"/>
      <c r="EJ1397" s="16"/>
      <c r="EK1397" s="17"/>
      <c r="EL1397" s="17"/>
      <c r="EM1397" s="16"/>
      <c r="EN1397" s="16"/>
      <c r="EO1397" s="17"/>
      <c r="EP1397" s="17"/>
      <c r="EQ1397" s="16"/>
      <c r="ER1397" s="16"/>
      <c r="ES1397" s="17"/>
      <c r="ET1397" s="17"/>
      <c r="EU1397" s="16"/>
      <c r="EV1397" s="16"/>
      <c r="EW1397" s="17"/>
      <c r="EX1397" s="17"/>
      <c r="EY1397" s="16"/>
      <c r="EZ1397" s="16"/>
      <c r="FA1397" s="17"/>
      <c r="FB1397" s="17"/>
      <c r="FC1397" s="16"/>
      <c r="FD1397" s="16"/>
      <c r="FE1397" s="17"/>
      <c r="FF1397" s="17"/>
      <c r="FG1397" s="11"/>
      <c r="GT1397" s="11"/>
      <c r="IG1397" s="11"/>
      <c r="JT1397" s="11"/>
      <c r="LG1397" s="11"/>
      <c r="MT1397" s="11"/>
      <c r="OG1397" s="11"/>
      <c r="PT1397" s="11"/>
    </row>
    <row r="1398" spans="3:436" ht="15.75" x14ac:dyDescent="0.25">
      <c r="C1398" s="20" t="s">
        <v>1030</v>
      </c>
      <c r="D1398" s="21" t="s">
        <v>82</v>
      </c>
      <c r="H1398" s="11"/>
      <c r="AU1398" s="11"/>
      <c r="CH1398" s="11"/>
      <c r="CI1398" s="16"/>
      <c r="CJ1398" s="16"/>
      <c r="CK1398" s="16"/>
      <c r="CL1398" s="16"/>
      <c r="CM1398" s="16"/>
      <c r="CN1398" s="16"/>
      <c r="CO1398" s="16"/>
      <c r="CP1398" s="16"/>
      <c r="CQ1398" s="16"/>
      <c r="CR1398" s="16"/>
      <c r="CS1398" s="16"/>
      <c r="CT1398" s="16"/>
      <c r="CU1398" s="16"/>
      <c r="CV1398" s="16"/>
      <c r="CW1398" s="16"/>
      <c r="CX1398" s="16"/>
      <c r="CY1398" s="16"/>
      <c r="CZ1398" s="16"/>
      <c r="DA1398" s="16"/>
      <c r="DB1398" s="16"/>
      <c r="DC1398" s="16"/>
      <c r="DD1398" s="16"/>
      <c r="DE1398" s="17"/>
      <c r="DF1398" s="17"/>
      <c r="DG1398" s="16"/>
      <c r="DH1398" s="16"/>
      <c r="DI1398" s="17"/>
      <c r="DJ1398" s="17"/>
      <c r="DK1398" s="16"/>
      <c r="DL1398" s="16"/>
      <c r="DM1398" s="17"/>
      <c r="DN1398" s="17"/>
      <c r="DO1398" s="16"/>
      <c r="DP1398" s="16"/>
      <c r="DQ1398" s="17"/>
      <c r="DR1398" s="17"/>
      <c r="DS1398" s="16"/>
      <c r="DT1398" s="16"/>
      <c r="DU1398" s="17"/>
      <c r="DV1398" s="17"/>
      <c r="DW1398" s="16"/>
      <c r="DX1398" s="16"/>
      <c r="DY1398" s="17"/>
      <c r="DZ1398" s="17"/>
      <c r="EA1398" s="16"/>
      <c r="EB1398" s="16"/>
      <c r="EC1398" s="17"/>
      <c r="ED1398" s="17"/>
      <c r="EE1398" s="16"/>
      <c r="EF1398" s="16"/>
      <c r="EG1398" s="17"/>
      <c r="EH1398" s="17"/>
      <c r="EI1398" s="16"/>
      <c r="EJ1398" s="16"/>
      <c r="EK1398" s="17"/>
      <c r="EL1398" s="17"/>
      <c r="EM1398" s="16"/>
      <c r="EN1398" s="16"/>
      <c r="EO1398" s="17"/>
      <c r="EP1398" s="17"/>
      <c r="EQ1398" s="16"/>
      <c r="ER1398" s="16"/>
      <c r="ES1398" s="18">
        <v>1</v>
      </c>
      <c r="ET1398" s="18">
        <v>2</v>
      </c>
      <c r="EU1398" s="16"/>
      <c r="EV1398" s="16"/>
      <c r="EW1398" s="17"/>
      <c r="EX1398" s="17"/>
      <c r="EY1398" s="16"/>
      <c r="EZ1398" s="16"/>
      <c r="FA1398" s="17"/>
      <c r="FB1398" s="17"/>
      <c r="FC1398" s="16"/>
      <c r="FD1398" s="16"/>
      <c r="FE1398" s="17"/>
      <c r="FF1398" s="17"/>
      <c r="FG1398" s="11"/>
      <c r="GT1398" s="11"/>
      <c r="IG1398" s="11"/>
      <c r="JT1398" s="11"/>
      <c r="LG1398" s="11"/>
      <c r="MT1398" s="11"/>
      <c r="OG1398" s="11"/>
      <c r="PT1398" s="11"/>
    </row>
    <row r="1399" spans="3:436" ht="15.75" x14ac:dyDescent="0.25">
      <c r="C1399" s="20" t="s">
        <v>1031</v>
      </c>
      <c r="D1399" s="21" t="s">
        <v>82</v>
      </c>
      <c r="H1399" s="11"/>
      <c r="AU1399" s="11"/>
      <c r="CH1399" s="11"/>
      <c r="CI1399" s="16"/>
      <c r="CJ1399" s="16"/>
      <c r="CK1399" s="16"/>
      <c r="CL1399" s="16"/>
      <c r="CM1399" s="16"/>
      <c r="CN1399" s="16"/>
      <c r="CO1399" s="16"/>
      <c r="CP1399" s="16"/>
      <c r="CQ1399" s="16"/>
      <c r="CR1399" s="16"/>
      <c r="CS1399" s="16"/>
      <c r="CT1399" s="16"/>
      <c r="CU1399" s="16"/>
      <c r="CV1399" s="16"/>
      <c r="CW1399" s="16"/>
      <c r="CX1399" s="16"/>
      <c r="CY1399" s="16"/>
      <c r="CZ1399" s="16"/>
      <c r="DA1399" s="16"/>
      <c r="DB1399" s="16"/>
      <c r="DC1399" s="16"/>
      <c r="DD1399" s="16"/>
      <c r="DE1399" s="17"/>
      <c r="DF1399" s="17"/>
      <c r="DG1399" s="16"/>
      <c r="DH1399" s="16"/>
      <c r="DI1399" s="17"/>
      <c r="DJ1399" s="17"/>
      <c r="DK1399" s="16"/>
      <c r="DL1399" s="16"/>
      <c r="DM1399" s="17"/>
      <c r="DN1399" s="17"/>
      <c r="DO1399" s="16"/>
      <c r="DP1399" s="16"/>
      <c r="DQ1399" s="17"/>
      <c r="DR1399" s="17"/>
      <c r="DS1399" s="16"/>
      <c r="DT1399" s="16"/>
      <c r="DU1399" s="17"/>
      <c r="DV1399" s="17"/>
      <c r="DW1399" s="16"/>
      <c r="DX1399" s="16"/>
      <c r="DY1399" s="17"/>
      <c r="DZ1399" s="17"/>
      <c r="EA1399" s="16"/>
      <c r="EB1399" s="16"/>
      <c r="EC1399" s="17"/>
      <c r="ED1399" s="17"/>
      <c r="EE1399" s="16"/>
      <c r="EF1399" s="16"/>
      <c r="EG1399" s="17"/>
      <c r="EH1399" s="17"/>
      <c r="EI1399" s="16"/>
      <c r="EJ1399" s="16"/>
      <c r="EK1399" s="17"/>
      <c r="EL1399" s="17"/>
      <c r="EM1399" s="16"/>
      <c r="EN1399" s="16"/>
      <c r="EO1399" s="17"/>
      <c r="EP1399" s="17"/>
      <c r="EQ1399" s="16"/>
      <c r="ER1399" s="16"/>
      <c r="ES1399" s="18">
        <v>1</v>
      </c>
      <c r="ET1399" s="18">
        <v>2</v>
      </c>
      <c r="EU1399" s="16"/>
      <c r="EV1399" s="16"/>
      <c r="EW1399" s="17"/>
      <c r="EX1399" s="17"/>
      <c r="EY1399" s="16"/>
      <c r="EZ1399" s="16"/>
      <c r="FA1399" s="17"/>
      <c r="FB1399" s="17"/>
      <c r="FC1399" s="16"/>
      <c r="FD1399" s="16"/>
      <c r="FE1399" s="17"/>
      <c r="FF1399" s="17"/>
      <c r="FG1399" s="11"/>
      <c r="GT1399" s="11"/>
      <c r="IG1399" s="11"/>
      <c r="JT1399" s="11"/>
      <c r="LG1399" s="11"/>
      <c r="MT1399" s="11"/>
      <c r="OG1399" s="11"/>
      <c r="PT1399" s="11"/>
    </row>
    <row r="1400" spans="3:436" ht="15.75" x14ac:dyDescent="0.25">
      <c r="C1400" s="20" t="s">
        <v>1032</v>
      </c>
      <c r="D1400" s="21" t="s">
        <v>82</v>
      </c>
      <c r="H1400" s="11"/>
      <c r="AU1400" s="11"/>
      <c r="CH1400" s="11"/>
      <c r="CI1400" s="16"/>
      <c r="CJ1400" s="16"/>
      <c r="CK1400" s="16"/>
      <c r="CL1400" s="16"/>
      <c r="CM1400" s="16"/>
      <c r="CN1400" s="16"/>
      <c r="CO1400" s="16"/>
      <c r="CP1400" s="16"/>
      <c r="CQ1400" s="16"/>
      <c r="CR1400" s="16"/>
      <c r="CS1400" s="16"/>
      <c r="CT1400" s="16"/>
      <c r="CU1400" s="16"/>
      <c r="CV1400" s="16"/>
      <c r="CW1400" s="16"/>
      <c r="CX1400" s="16"/>
      <c r="CY1400" s="16"/>
      <c r="CZ1400" s="16"/>
      <c r="DA1400" s="16"/>
      <c r="DB1400" s="16"/>
      <c r="DC1400" s="16"/>
      <c r="DD1400" s="16"/>
      <c r="DE1400" s="17"/>
      <c r="DF1400" s="17"/>
      <c r="DG1400" s="16"/>
      <c r="DH1400" s="16"/>
      <c r="DI1400" s="17"/>
      <c r="DJ1400" s="17"/>
      <c r="DK1400" s="16"/>
      <c r="DL1400" s="16"/>
      <c r="DM1400" s="17"/>
      <c r="DN1400" s="17"/>
      <c r="DO1400" s="16"/>
      <c r="DP1400" s="16"/>
      <c r="DQ1400" s="17"/>
      <c r="DR1400" s="17"/>
      <c r="DS1400" s="16"/>
      <c r="DT1400" s="16"/>
      <c r="DU1400" s="17"/>
      <c r="DV1400" s="17"/>
      <c r="DW1400" s="16"/>
      <c r="DX1400" s="16"/>
      <c r="DY1400" s="17"/>
      <c r="DZ1400" s="17"/>
      <c r="EA1400" s="16"/>
      <c r="EB1400" s="16"/>
      <c r="EC1400" s="17"/>
      <c r="ED1400" s="17"/>
      <c r="EE1400" s="16"/>
      <c r="EF1400" s="16"/>
      <c r="EG1400" s="17"/>
      <c r="EH1400" s="17"/>
      <c r="EI1400" s="16"/>
      <c r="EJ1400" s="16"/>
      <c r="EK1400" s="17"/>
      <c r="EL1400" s="17"/>
      <c r="EM1400" s="16"/>
      <c r="EN1400" s="16"/>
      <c r="EO1400" s="17"/>
      <c r="EP1400" s="17"/>
      <c r="EQ1400" s="16"/>
      <c r="ER1400" s="16"/>
      <c r="ES1400" s="18">
        <v>1</v>
      </c>
      <c r="ET1400" s="18">
        <v>2</v>
      </c>
      <c r="EU1400" s="16"/>
      <c r="EV1400" s="16"/>
      <c r="EW1400" s="17"/>
      <c r="EX1400" s="17"/>
      <c r="EY1400" s="16"/>
      <c r="EZ1400" s="16"/>
      <c r="FA1400" s="17"/>
      <c r="FB1400" s="17"/>
      <c r="FC1400" s="16"/>
      <c r="FD1400" s="16"/>
      <c r="FE1400" s="17"/>
      <c r="FF1400" s="17"/>
      <c r="FG1400" s="11"/>
      <c r="GT1400" s="11"/>
      <c r="IG1400" s="11"/>
      <c r="JT1400" s="11"/>
      <c r="LG1400" s="11"/>
      <c r="MT1400" s="11"/>
      <c r="OG1400" s="11"/>
      <c r="PT1400" s="11"/>
    </row>
    <row r="1401" spans="3:436" ht="15.75" x14ac:dyDescent="0.25">
      <c r="C1401" s="20" t="s">
        <v>1019</v>
      </c>
      <c r="D1401" s="21" t="s">
        <v>129</v>
      </c>
      <c r="H1401" s="11"/>
      <c r="AU1401" s="11"/>
      <c r="CH1401" s="11"/>
      <c r="CI1401" s="16"/>
      <c r="CJ1401" s="16"/>
      <c r="CK1401" s="16"/>
      <c r="CL1401" s="16"/>
      <c r="CM1401" s="16"/>
      <c r="CN1401" s="16"/>
      <c r="CO1401" s="16"/>
      <c r="CP1401" s="16"/>
      <c r="CQ1401" s="16"/>
      <c r="CR1401" s="16"/>
      <c r="CS1401" s="16"/>
      <c r="CT1401" s="16"/>
      <c r="CU1401" s="16"/>
      <c r="CV1401" s="16"/>
      <c r="CW1401" s="16"/>
      <c r="CX1401" s="16"/>
      <c r="CY1401" s="16"/>
      <c r="CZ1401" s="16"/>
      <c r="DA1401" s="16"/>
      <c r="DB1401" s="16"/>
      <c r="DC1401" s="16"/>
      <c r="DD1401" s="16"/>
      <c r="DE1401" s="17"/>
      <c r="DF1401" s="17"/>
      <c r="DG1401" s="16"/>
      <c r="DH1401" s="16"/>
      <c r="DI1401" s="17"/>
      <c r="DJ1401" s="17"/>
      <c r="DK1401" s="16"/>
      <c r="DL1401" s="16"/>
      <c r="DM1401" s="17"/>
      <c r="DN1401" s="17"/>
      <c r="DO1401" s="16"/>
      <c r="DP1401" s="16"/>
      <c r="DQ1401" s="17"/>
      <c r="DR1401" s="17"/>
      <c r="DS1401" s="16"/>
      <c r="DT1401" s="16"/>
      <c r="DU1401" s="17"/>
      <c r="DV1401" s="17"/>
      <c r="DW1401" s="16"/>
      <c r="DX1401" s="16"/>
      <c r="DY1401" s="17"/>
      <c r="DZ1401" s="17"/>
      <c r="EA1401" s="16"/>
      <c r="EB1401" s="16"/>
      <c r="EC1401" s="17"/>
      <c r="ED1401" s="17"/>
      <c r="EE1401" s="16"/>
      <c r="EF1401" s="16"/>
      <c r="EG1401" s="17"/>
      <c r="EH1401" s="17"/>
      <c r="EI1401" s="16"/>
      <c r="EJ1401" s="16"/>
      <c r="EK1401" s="17"/>
      <c r="EL1401" s="17"/>
      <c r="EM1401" s="16"/>
      <c r="EN1401" s="16"/>
      <c r="EO1401" s="17"/>
      <c r="EP1401" s="17"/>
      <c r="EQ1401" s="16"/>
      <c r="ER1401" s="16"/>
      <c r="ES1401" s="17"/>
      <c r="ET1401" s="17"/>
      <c r="EU1401" s="16"/>
      <c r="EV1401" s="16"/>
      <c r="EW1401" s="17"/>
      <c r="EX1401" s="17"/>
      <c r="EY1401" s="16"/>
      <c r="EZ1401" s="16"/>
      <c r="FA1401" s="17"/>
      <c r="FB1401" s="17"/>
      <c r="FC1401" s="16"/>
      <c r="FD1401" s="16"/>
      <c r="FE1401" s="17"/>
      <c r="FF1401" s="17"/>
      <c r="FG1401" s="11"/>
      <c r="GT1401" s="11"/>
      <c r="IG1401" s="11"/>
      <c r="JT1401" s="11"/>
      <c r="LG1401" s="11"/>
      <c r="MT1401" s="11"/>
      <c r="OG1401" s="11"/>
      <c r="PT1401" s="11"/>
    </row>
    <row r="1402" spans="3:436" ht="15.75" x14ac:dyDescent="0.25">
      <c r="C1402" s="20" t="s">
        <v>1020</v>
      </c>
      <c r="D1402" s="21" t="s">
        <v>136</v>
      </c>
      <c r="H1402" s="11"/>
      <c r="AU1402" s="11"/>
      <c r="CH1402" s="11"/>
      <c r="CI1402" s="16"/>
      <c r="CJ1402" s="16"/>
      <c r="CK1402" s="16"/>
      <c r="CL1402" s="16"/>
      <c r="CM1402" s="16"/>
      <c r="CN1402" s="16"/>
      <c r="CO1402" s="16"/>
      <c r="CP1402" s="16"/>
      <c r="CQ1402" s="16"/>
      <c r="CR1402" s="16"/>
      <c r="CS1402" s="16"/>
      <c r="CT1402" s="16"/>
      <c r="CU1402" s="16"/>
      <c r="CV1402" s="16"/>
      <c r="CW1402" s="16"/>
      <c r="CX1402" s="16"/>
      <c r="CY1402" s="16"/>
      <c r="CZ1402" s="16"/>
      <c r="DA1402" s="16"/>
      <c r="DB1402" s="16"/>
      <c r="DC1402" s="16"/>
      <c r="DD1402" s="16"/>
      <c r="DE1402" s="17"/>
      <c r="DF1402" s="17"/>
      <c r="DG1402" s="16"/>
      <c r="DH1402" s="16"/>
      <c r="DI1402" s="17"/>
      <c r="DJ1402" s="17"/>
      <c r="DK1402" s="16"/>
      <c r="DL1402" s="16"/>
      <c r="DM1402" s="17"/>
      <c r="DN1402" s="17"/>
      <c r="DO1402" s="16"/>
      <c r="DP1402" s="16"/>
      <c r="DQ1402" s="17"/>
      <c r="DR1402" s="17"/>
      <c r="DS1402" s="16"/>
      <c r="DT1402" s="16"/>
      <c r="DU1402" s="17"/>
      <c r="DV1402" s="17"/>
      <c r="DW1402" s="16"/>
      <c r="DX1402" s="16"/>
      <c r="DY1402" s="17"/>
      <c r="DZ1402" s="17"/>
      <c r="EA1402" s="16"/>
      <c r="EB1402" s="16"/>
      <c r="EC1402" s="17"/>
      <c r="ED1402" s="17"/>
      <c r="EE1402" s="16"/>
      <c r="EF1402" s="16"/>
      <c r="EG1402" s="17"/>
      <c r="EH1402" s="17"/>
      <c r="EI1402" s="16"/>
      <c r="EJ1402" s="16"/>
      <c r="EK1402" s="17"/>
      <c r="EL1402" s="17"/>
      <c r="EM1402" s="16"/>
      <c r="EN1402" s="16"/>
      <c r="EO1402" s="17"/>
      <c r="EP1402" s="17"/>
      <c r="EQ1402" s="16"/>
      <c r="ER1402" s="16"/>
      <c r="ES1402" s="17"/>
      <c r="ET1402" s="17"/>
      <c r="EU1402" s="16"/>
      <c r="EV1402" s="16"/>
      <c r="EW1402" s="17"/>
      <c r="EX1402" s="17"/>
      <c r="EY1402" s="16"/>
      <c r="EZ1402" s="16"/>
      <c r="FA1402" s="17"/>
      <c r="FB1402" s="17"/>
      <c r="FC1402" s="16"/>
      <c r="FD1402" s="16"/>
      <c r="FE1402" s="17"/>
      <c r="FF1402" s="17"/>
      <c r="FG1402" s="11"/>
      <c r="GT1402" s="11"/>
      <c r="IG1402" s="11"/>
      <c r="JT1402" s="11"/>
      <c r="LG1402" s="11"/>
      <c r="MT1402" s="11"/>
      <c r="OG1402" s="11"/>
      <c r="PT1402" s="11"/>
    </row>
    <row r="1403" spans="3:436" ht="15.75" x14ac:dyDescent="0.25">
      <c r="C1403" s="20" t="s">
        <v>1021</v>
      </c>
      <c r="D1403" s="21" t="s">
        <v>136</v>
      </c>
      <c r="H1403" s="11"/>
      <c r="AU1403" s="11"/>
      <c r="CH1403" s="11"/>
      <c r="CI1403" s="16"/>
      <c r="CJ1403" s="16"/>
      <c r="CK1403" s="16"/>
      <c r="CL1403" s="16"/>
      <c r="CM1403" s="16"/>
      <c r="CN1403" s="16"/>
      <c r="CO1403" s="16"/>
      <c r="CP1403" s="16"/>
      <c r="CQ1403" s="16"/>
      <c r="CR1403" s="16"/>
      <c r="CS1403" s="16"/>
      <c r="CT1403" s="16"/>
      <c r="CU1403" s="16"/>
      <c r="CV1403" s="16"/>
      <c r="CW1403" s="16"/>
      <c r="CX1403" s="16"/>
      <c r="CY1403" s="16"/>
      <c r="CZ1403" s="16"/>
      <c r="DA1403" s="16"/>
      <c r="DB1403" s="16"/>
      <c r="DC1403" s="16"/>
      <c r="DD1403" s="16"/>
      <c r="DE1403" s="17"/>
      <c r="DF1403" s="17"/>
      <c r="DG1403" s="16"/>
      <c r="DH1403" s="16"/>
      <c r="DI1403" s="17"/>
      <c r="DJ1403" s="17"/>
      <c r="DK1403" s="16"/>
      <c r="DL1403" s="16"/>
      <c r="DM1403" s="17"/>
      <c r="DN1403" s="17"/>
      <c r="DO1403" s="16"/>
      <c r="DP1403" s="16"/>
      <c r="DQ1403" s="17"/>
      <c r="DR1403" s="17"/>
      <c r="DS1403" s="16"/>
      <c r="DT1403" s="16"/>
      <c r="DU1403" s="17"/>
      <c r="DV1403" s="17"/>
      <c r="DW1403" s="16"/>
      <c r="DX1403" s="16"/>
      <c r="DY1403" s="17"/>
      <c r="DZ1403" s="17"/>
      <c r="EA1403" s="16"/>
      <c r="EB1403" s="16"/>
      <c r="EC1403" s="17"/>
      <c r="ED1403" s="17"/>
      <c r="EE1403" s="16"/>
      <c r="EF1403" s="16"/>
      <c r="EG1403" s="17"/>
      <c r="EH1403" s="17"/>
      <c r="EI1403" s="16"/>
      <c r="EJ1403" s="16"/>
      <c r="EK1403" s="17"/>
      <c r="EL1403" s="17"/>
      <c r="EM1403" s="16"/>
      <c r="EN1403" s="16"/>
      <c r="EO1403" s="17"/>
      <c r="EP1403" s="17"/>
      <c r="EQ1403" s="16"/>
      <c r="ER1403" s="16"/>
      <c r="ES1403" s="17"/>
      <c r="ET1403" s="17"/>
      <c r="EU1403" s="16"/>
      <c r="EV1403" s="16"/>
      <c r="EW1403" s="17"/>
      <c r="EX1403" s="17"/>
      <c r="EY1403" s="16"/>
      <c r="EZ1403" s="16"/>
      <c r="FA1403" s="17"/>
      <c r="FB1403" s="17"/>
      <c r="FC1403" s="16"/>
      <c r="FD1403" s="16"/>
      <c r="FE1403" s="17"/>
      <c r="FF1403" s="17"/>
      <c r="FG1403" s="11"/>
      <c r="GT1403" s="11"/>
      <c r="IG1403" s="11"/>
      <c r="JT1403" s="11"/>
      <c r="LG1403" s="11"/>
      <c r="MT1403" s="11"/>
      <c r="OG1403" s="11"/>
      <c r="PT1403" s="11"/>
    </row>
    <row r="1404" spans="3:436" ht="15.75" x14ac:dyDescent="0.25">
      <c r="C1404" s="20" t="s">
        <v>1022</v>
      </c>
      <c r="D1404" s="21" t="s">
        <v>136</v>
      </c>
      <c r="H1404" s="11"/>
      <c r="AU1404" s="11"/>
      <c r="CH1404" s="11"/>
      <c r="CI1404" s="16"/>
      <c r="CJ1404" s="16"/>
      <c r="CK1404" s="16"/>
      <c r="CL1404" s="16"/>
      <c r="CM1404" s="16"/>
      <c r="CN1404" s="16"/>
      <c r="CO1404" s="16"/>
      <c r="CP1404" s="16"/>
      <c r="CQ1404" s="16"/>
      <c r="CR1404" s="16"/>
      <c r="CS1404" s="16"/>
      <c r="CT1404" s="16"/>
      <c r="CU1404" s="16"/>
      <c r="CV1404" s="16"/>
      <c r="CW1404" s="16"/>
      <c r="CX1404" s="16"/>
      <c r="CY1404" s="16"/>
      <c r="CZ1404" s="16"/>
      <c r="DA1404" s="16"/>
      <c r="DB1404" s="16"/>
      <c r="DC1404" s="16"/>
      <c r="DD1404" s="16"/>
      <c r="DE1404" s="17"/>
      <c r="DF1404" s="17"/>
      <c r="DG1404" s="16"/>
      <c r="DH1404" s="16"/>
      <c r="DI1404" s="17"/>
      <c r="DJ1404" s="17"/>
      <c r="DK1404" s="16"/>
      <c r="DL1404" s="16"/>
      <c r="DM1404" s="17"/>
      <c r="DN1404" s="17"/>
      <c r="DO1404" s="16"/>
      <c r="DP1404" s="16"/>
      <c r="DQ1404" s="17"/>
      <c r="DR1404" s="17"/>
      <c r="DS1404" s="16"/>
      <c r="DT1404" s="16"/>
      <c r="DU1404" s="17"/>
      <c r="DV1404" s="17"/>
      <c r="DW1404" s="16"/>
      <c r="DX1404" s="16"/>
      <c r="DY1404" s="17"/>
      <c r="DZ1404" s="17"/>
      <c r="EA1404" s="16"/>
      <c r="EB1404" s="16"/>
      <c r="EC1404" s="17"/>
      <c r="ED1404" s="17"/>
      <c r="EE1404" s="16"/>
      <c r="EF1404" s="16"/>
      <c r="EG1404" s="17"/>
      <c r="EH1404" s="17"/>
      <c r="EI1404" s="16"/>
      <c r="EJ1404" s="16"/>
      <c r="EK1404" s="17"/>
      <c r="EL1404" s="17"/>
      <c r="EM1404" s="16"/>
      <c r="EN1404" s="16"/>
      <c r="EO1404" s="17"/>
      <c r="EP1404" s="17"/>
      <c r="EQ1404" s="16"/>
      <c r="ER1404" s="16"/>
      <c r="ES1404" s="17"/>
      <c r="ET1404" s="17"/>
      <c r="EU1404" s="16"/>
      <c r="EV1404" s="16"/>
      <c r="EW1404" s="17"/>
      <c r="EX1404" s="17"/>
      <c r="EY1404" s="16"/>
      <c r="EZ1404" s="16"/>
      <c r="FA1404" s="17"/>
      <c r="FB1404" s="17"/>
      <c r="FC1404" s="16"/>
      <c r="FD1404" s="16"/>
      <c r="FE1404" s="17"/>
      <c r="FF1404" s="17"/>
      <c r="FG1404" s="11"/>
      <c r="GT1404" s="11"/>
      <c r="IG1404" s="11"/>
      <c r="JT1404" s="11"/>
      <c r="LG1404" s="11"/>
      <c r="MT1404" s="11"/>
      <c r="OG1404" s="11"/>
      <c r="PT1404" s="11"/>
    </row>
    <row r="1405" spans="3:436" ht="15.75" x14ac:dyDescent="0.25">
      <c r="C1405" s="20" t="s">
        <v>1023</v>
      </c>
      <c r="D1405" s="21" t="s">
        <v>162</v>
      </c>
      <c r="H1405" s="11"/>
      <c r="AU1405" s="11"/>
      <c r="CH1405" s="11"/>
      <c r="CI1405" s="16"/>
      <c r="CJ1405" s="16"/>
      <c r="CK1405" s="16"/>
      <c r="CL1405" s="16"/>
      <c r="CM1405" s="16"/>
      <c r="CN1405" s="16"/>
      <c r="CO1405" s="16"/>
      <c r="CP1405" s="16"/>
      <c r="CQ1405" s="16"/>
      <c r="CR1405" s="16"/>
      <c r="CS1405" s="16"/>
      <c r="CT1405" s="16"/>
      <c r="CU1405" s="16"/>
      <c r="CV1405" s="16"/>
      <c r="CW1405" s="16"/>
      <c r="CX1405" s="16"/>
      <c r="CY1405" s="16"/>
      <c r="CZ1405" s="16"/>
      <c r="DA1405" s="16"/>
      <c r="DB1405" s="16"/>
      <c r="DC1405" s="16"/>
      <c r="DD1405" s="16"/>
      <c r="DE1405" s="17"/>
      <c r="DF1405" s="17"/>
      <c r="DG1405" s="16"/>
      <c r="DH1405" s="16"/>
      <c r="DI1405" s="17"/>
      <c r="DJ1405" s="17"/>
      <c r="DK1405" s="16"/>
      <c r="DL1405" s="16"/>
      <c r="DM1405" s="17"/>
      <c r="DN1405" s="17"/>
      <c r="DO1405" s="16"/>
      <c r="DP1405" s="16"/>
      <c r="DQ1405" s="17"/>
      <c r="DR1405" s="17"/>
      <c r="DS1405" s="16"/>
      <c r="DT1405" s="16"/>
      <c r="DU1405" s="17"/>
      <c r="DV1405" s="17"/>
      <c r="DW1405" s="16"/>
      <c r="DX1405" s="16"/>
      <c r="DY1405" s="17"/>
      <c r="DZ1405" s="17"/>
      <c r="EA1405" s="16"/>
      <c r="EB1405" s="16"/>
      <c r="EC1405" s="17"/>
      <c r="ED1405" s="17"/>
      <c r="EE1405" s="16"/>
      <c r="EF1405" s="16"/>
      <c r="EG1405" s="17"/>
      <c r="EH1405" s="17"/>
      <c r="EI1405" s="16"/>
      <c r="EJ1405" s="16"/>
      <c r="EK1405" s="17"/>
      <c r="EL1405" s="17"/>
      <c r="EM1405" s="16"/>
      <c r="EN1405" s="16"/>
      <c r="EO1405" s="17"/>
      <c r="EP1405" s="17"/>
      <c r="EQ1405" s="16"/>
      <c r="ER1405" s="16"/>
      <c r="ES1405" s="17"/>
      <c r="ET1405" s="17"/>
      <c r="EU1405" s="16"/>
      <c r="EV1405" s="16"/>
      <c r="EW1405" s="17"/>
      <c r="EX1405" s="17"/>
      <c r="EY1405" s="16"/>
      <c r="EZ1405" s="16"/>
      <c r="FA1405" s="17"/>
      <c r="FB1405" s="17"/>
      <c r="FC1405" s="16"/>
      <c r="FD1405" s="16"/>
      <c r="FE1405" s="17"/>
      <c r="FF1405" s="17"/>
      <c r="FG1405" s="11"/>
      <c r="GT1405" s="11"/>
      <c r="IG1405" s="11"/>
      <c r="JT1405" s="11"/>
      <c r="LG1405" s="11"/>
      <c r="MT1405" s="11"/>
      <c r="OG1405" s="11"/>
      <c r="PT1405" s="11"/>
    </row>
    <row r="1406" spans="3:436" ht="15.75" x14ac:dyDescent="0.25">
      <c r="C1406" s="20" t="s">
        <v>1025</v>
      </c>
      <c r="D1406" s="21" t="s">
        <v>203</v>
      </c>
      <c r="H1406" s="11"/>
      <c r="AU1406" s="11"/>
      <c r="CH1406" s="11"/>
      <c r="CI1406" s="16"/>
      <c r="CJ1406" s="16"/>
      <c r="CK1406" s="16"/>
      <c r="CL1406" s="16"/>
      <c r="CM1406" s="16"/>
      <c r="CN1406" s="16"/>
      <c r="CO1406" s="16"/>
      <c r="CP1406" s="16"/>
      <c r="CQ1406" s="16"/>
      <c r="CR1406" s="16"/>
      <c r="CS1406" s="16"/>
      <c r="CT1406" s="16"/>
      <c r="CU1406" s="16"/>
      <c r="CV1406" s="16"/>
      <c r="CW1406" s="16"/>
      <c r="CX1406" s="16"/>
      <c r="CY1406" s="16"/>
      <c r="CZ1406" s="16"/>
      <c r="DA1406" s="16"/>
      <c r="DB1406" s="16"/>
      <c r="DC1406" s="16"/>
      <c r="DD1406" s="16"/>
      <c r="DE1406" s="17"/>
      <c r="DF1406" s="17"/>
      <c r="DG1406" s="16"/>
      <c r="DH1406" s="16"/>
      <c r="DI1406" s="17"/>
      <c r="DJ1406" s="17"/>
      <c r="DK1406" s="16"/>
      <c r="DL1406" s="16"/>
      <c r="DM1406" s="17"/>
      <c r="DN1406" s="17"/>
      <c r="DO1406" s="16"/>
      <c r="DP1406" s="16"/>
      <c r="DQ1406" s="17"/>
      <c r="DR1406" s="17"/>
      <c r="DS1406" s="16"/>
      <c r="DT1406" s="16"/>
      <c r="DU1406" s="17"/>
      <c r="DV1406" s="17"/>
      <c r="DW1406" s="16"/>
      <c r="DX1406" s="16"/>
      <c r="DY1406" s="17"/>
      <c r="DZ1406" s="17"/>
      <c r="EA1406" s="16"/>
      <c r="EB1406" s="16"/>
      <c r="EC1406" s="17"/>
      <c r="ED1406" s="17"/>
      <c r="EE1406" s="16"/>
      <c r="EF1406" s="16"/>
      <c r="EG1406" s="17"/>
      <c r="EH1406" s="17"/>
      <c r="EI1406" s="16"/>
      <c r="EJ1406" s="16"/>
      <c r="EK1406" s="17"/>
      <c r="EL1406" s="17"/>
      <c r="EM1406" s="16"/>
      <c r="EN1406" s="16"/>
      <c r="EO1406" s="17"/>
      <c r="EP1406" s="17"/>
      <c r="EQ1406" s="16"/>
      <c r="ER1406" s="16"/>
      <c r="ES1406" s="17"/>
      <c r="ET1406" s="17"/>
      <c r="EU1406" s="16"/>
      <c r="EV1406" s="16"/>
      <c r="EW1406" s="17"/>
      <c r="EX1406" s="17"/>
      <c r="EY1406" s="16"/>
      <c r="EZ1406" s="16"/>
      <c r="FA1406" s="17"/>
      <c r="FB1406" s="17"/>
      <c r="FC1406" s="16"/>
      <c r="FD1406" s="16"/>
      <c r="FE1406" s="17"/>
      <c r="FF1406" s="17"/>
      <c r="FG1406" s="11"/>
      <c r="GT1406" s="11"/>
      <c r="IG1406" s="11"/>
      <c r="JT1406" s="11"/>
      <c r="LG1406" s="11"/>
      <c r="MT1406" s="11"/>
      <c r="OG1406" s="11"/>
      <c r="PT1406" s="11"/>
    </row>
    <row r="1407" spans="3:436" ht="15.75" x14ac:dyDescent="0.25">
      <c r="C1407" s="20" t="s">
        <v>1033</v>
      </c>
      <c r="D1407" s="21" t="s">
        <v>82</v>
      </c>
      <c r="H1407" s="11"/>
      <c r="AU1407" s="11"/>
      <c r="CH1407" s="11"/>
      <c r="CI1407" s="16"/>
      <c r="CJ1407" s="16"/>
      <c r="CK1407" s="16"/>
      <c r="CL1407" s="16"/>
      <c r="CM1407" s="16"/>
      <c r="CN1407" s="16"/>
      <c r="CO1407" s="16"/>
      <c r="CP1407" s="16"/>
      <c r="CQ1407" s="16"/>
      <c r="CR1407" s="16"/>
      <c r="CS1407" s="16"/>
      <c r="CT1407" s="16"/>
      <c r="CU1407" s="16"/>
      <c r="CV1407" s="16"/>
      <c r="CW1407" s="16"/>
      <c r="CX1407" s="16"/>
      <c r="CY1407" s="16"/>
      <c r="CZ1407" s="16"/>
      <c r="DA1407" s="16"/>
      <c r="DB1407" s="16"/>
      <c r="DC1407" s="16"/>
      <c r="DD1407" s="16"/>
      <c r="DE1407" s="17"/>
      <c r="DF1407" s="17"/>
      <c r="DG1407" s="16"/>
      <c r="DH1407" s="16"/>
      <c r="DI1407" s="17"/>
      <c r="DJ1407" s="17"/>
      <c r="DK1407" s="16"/>
      <c r="DL1407" s="16"/>
      <c r="DM1407" s="17"/>
      <c r="DN1407" s="17"/>
      <c r="DO1407" s="16"/>
      <c r="DP1407" s="16"/>
      <c r="DQ1407" s="17"/>
      <c r="DR1407" s="17"/>
      <c r="DS1407" s="16"/>
      <c r="DT1407" s="16"/>
      <c r="DU1407" s="17"/>
      <c r="DV1407" s="17"/>
      <c r="DW1407" s="16"/>
      <c r="DX1407" s="16"/>
      <c r="DY1407" s="17"/>
      <c r="DZ1407" s="17"/>
      <c r="EA1407" s="16"/>
      <c r="EB1407" s="16"/>
      <c r="EC1407" s="17"/>
      <c r="ED1407" s="17"/>
      <c r="EE1407" s="16"/>
      <c r="EF1407" s="16"/>
      <c r="EG1407" s="17"/>
      <c r="EH1407" s="17"/>
      <c r="EI1407" s="16"/>
      <c r="EJ1407" s="16"/>
      <c r="EK1407" s="17"/>
      <c r="EL1407" s="17"/>
      <c r="EM1407" s="16"/>
      <c r="EN1407" s="16"/>
      <c r="EO1407" s="17"/>
      <c r="EP1407" s="17"/>
      <c r="EQ1407" s="16"/>
      <c r="ER1407" s="16"/>
      <c r="ES1407" s="18">
        <v>3</v>
      </c>
      <c r="ET1407" s="18">
        <v>5</v>
      </c>
      <c r="EU1407" s="16"/>
      <c r="EV1407" s="16"/>
      <c r="EW1407" s="17"/>
      <c r="EX1407" s="17"/>
      <c r="EY1407" s="16"/>
      <c r="EZ1407" s="16"/>
      <c r="FA1407" s="17"/>
      <c r="FB1407" s="17"/>
      <c r="FC1407" s="16"/>
      <c r="FD1407" s="16"/>
      <c r="FE1407" s="17"/>
      <c r="FF1407" s="17"/>
      <c r="FG1407" s="11"/>
      <c r="GT1407" s="11"/>
      <c r="IG1407" s="11"/>
      <c r="JT1407" s="11"/>
      <c r="LG1407" s="11"/>
      <c r="MT1407" s="11"/>
      <c r="OG1407" s="11"/>
      <c r="PT1407" s="11"/>
    </row>
    <row r="1408" spans="3:436" ht="15.75" x14ac:dyDescent="0.25">
      <c r="C1408" s="20" t="s">
        <v>1026</v>
      </c>
      <c r="D1408" s="21" t="s">
        <v>84</v>
      </c>
      <c r="H1408" s="11"/>
      <c r="AU1408" s="11"/>
      <c r="CH1408" s="11"/>
      <c r="CI1408" s="16"/>
      <c r="CJ1408" s="16"/>
      <c r="CK1408" s="16"/>
      <c r="CL1408" s="16"/>
      <c r="CM1408" s="16"/>
      <c r="CN1408" s="16"/>
      <c r="CO1408" s="16"/>
      <c r="CP1408" s="16"/>
      <c r="CQ1408" s="16"/>
      <c r="CR1408" s="16"/>
      <c r="CS1408" s="16"/>
      <c r="CT1408" s="16"/>
      <c r="CU1408" s="16"/>
      <c r="CV1408" s="16"/>
      <c r="CW1408" s="16"/>
      <c r="CX1408" s="16"/>
      <c r="CY1408" s="16"/>
      <c r="CZ1408" s="16"/>
      <c r="DA1408" s="16"/>
      <c r="DB1408" s="16"/>
      <c r="DC1408" s="16"/>
      <c r="DD1408" s="16"/>
      <c r="DE1408" s="17"/>
      <c r="DF1408" s="17"/>
      <c r="DG1408" s="16"/>
      <c r="DH1408" s="16"/>
      <c r="DI1408" s="17"/>
      <c r="DJ1408" s="17"/>
      <c r="DK1408" s="16"/>
      <c r="DL1408" s="16"/>
      <c r="DM1408" s="17"/>
      <c r="DN1408" s="17"/>
      <c r="DO1408" s="16"/>
      <c r="DP1408" s="16"/>
      <c r="DQ1408" s="17"/>
      <c r="DR1408" s="17"/>
      <c r="DS1408" s="16"/>
      <c r="DT1408" s="16"/>
      <c r="DU1408" s="17"/>
      <c r="DV1408" s="17"/>
      <c r="DW1408" s="16"/>
      <c r="DX1408" s="16"/>
      <c r="DY1408" s="17"/>
      <c r="DZ1408" s="17"/>
      <c r="EA1408" s="16"/>
      <c r="EB1408" s="16"/>
      <c r="EC1408" s="17"/>
      <c r="ED1408" s="17"/>
      <c r="EE1408" s="16"/>
      <c r="EF1408" s="16"/>
      <c r="EG1408" s="17"/>
      <c r="EH1408" s="17"/>
      <c r="EI1408" s="16"/>
      <c r="EJ1408" s="16"/>
      <c r="EK1408" s="17"/>
      <c r="EL1408" s="17"/>
      <c r="EM1408" s="16"/>
      <c r="EN1408" s="16"/>
      <c r="EO1408" s="17"/>
      <c r="EP1408" s="17"/>
      <c r="EQ1408" s="16"/>
      <c r="ER1408" s="16"/>
      <c r="ES1408" s="17"/>
      <c r="ET1408" s="17"/>
      <c r="EU1408" s="16"/>
      <c r="EV1408" s="16"/>
      <c r="EW1408" s="17"/>
      <c r="EX1408" s="17"/>
      <c r="EY1408" s="16"/>
      <c r="EZ1408" s="16"/>
      <c r="FA1408" s="17"/>
      <c r="FB1408" s="17"/>
      <c r="FC1408" s="16"/>
      <c r="FD1408" s="16"/>
      <c r="FE1408" s="17"/>
      <c r="FF1408" s="17"/>
      <c r="FG1408" s="11"/>
      <c r="GT1408" s="11"/>
      <c r="IG1408" s="11"/>
      <c r="JT1408" s="11"/>
      <c r="LG1408" s="11"/>
      <c r="MT1408" s="11"/>
      <c r="OG1408" s="11"/>
      <c r="PT1408" s="11"/>
    </row>
    <row r="1409" spans="1:436" ht="15.75" x14ac:dyDescent="0.25">
      <c r="C1409" s="20" t="s">
        <v>998</v>
      </c>
      <c r="D1409" s="21" t="s">
        <v>82</v>
      </c>
      <c r="H1409" s="11"/>
      <c r="AU1409" s="11"/>
      <c r="CH1409" s="11"/>
      <c r="CI1409" s="16"/>
      <c r="CJ1409" s="16"/>
      <c r="CK1409" s="16"/>
      <c r="CL1409" s="16"/>
      <c r="CM1409" s="16"/>
      <c r="CN1409" s="16"/>
      <c r="CO1409" s="16"/>
      <c r="CP1409" s="16"/>
      <c r="CQ1409" s="16"/>
      <c r="CR1409" s="16"/>
      <c r="CS1409" s="16"/>
      <c r="CT1409" s="16"/>
      <c r="CU1409" s="16"/>
      <c r="CV1409" s="16"/>
      <c r="CW1409" s="16"/>
      <c r="CX1409" s="16"/>
      <c r="CY1409" s="16"/>
      <c r="CZ1409" s="16"/>
      <c r="DA1409" s="16"/>
      <c r="DB1409" s="16"/>
      <c r="DC1409" s="16"/>
      <c r="DD1409" s="16"/>
      <c r="DE1409" s="17"/>
      <c r="DF1409" s="17"/>
      <c r="DG1409" s="16"/>
      <c r="DH1409" s="16"/>
      <c r="DI1409" s="17"/>
      <c r="DJ1409" s="17"/>
      <c r="DK1409" s="16"/>
      <c r="DL1409" s="16"/>
      <c r="DM1409" s="17"/>
      <c r="DN1409" s="17"/>
      <c r="DO1409" s="16"/>
      <c r="DP1409" s="16"/>
      <c r="DQ1409" s="17"/>
      <c r="DR1409" s="17"/>
      <c r="DS1409" s="16"/>
      <c r="DT1409" s="16"/>
      <c r="DU1409" s="17"/>
      <c r="DV1409" s="17"/>
      <c r="DW1409" s="16"/>
      <c r="DX1409" s="16"/>
      <c r="DY1409" s="17"/>
      <c r="DZ1409" s="17"/>
      <c r="EA1409" s="16"/>
      <c r="EB1409" s="16"/>
      <c r="EC1409" s="17"/>
      <c r="ED1409" s="17"/>
      <c r="EE1409" s="16"/>
      <c r="EF1409" s="16"/>
      <c r="EG1409" s="17"/>
      <c r="EH1409" s="17"/>
      <c r="EI1409" s="16"/>
      <c r="EJ1409" s="16"/>
      <c r="EK1409" s="17"/>
      <c r="EL1409" s="17"/>
      <c r="EM1409" s="16"/>
      <c r="EN1409" s="16"/>
      <c r="EO1409" s="17"/>
      <c r="EP1409" s="17"/>
      <c r="EQ1409" s="16"/>
      <c r="ER1409" s="16"/>
      <c r="ES1409" s="17"/>
      <c r="ET1409" s="17"/>
      <c r="EU1409" s="16"/>
      <c r="EV1409" s="16"/>
      <c r="EW1409" s="17"/>
      <c r="EX1409" s="17"/>
      <c r="EY1409" s="16"/>
      <c r="EZ1409" s="16"/>
      <c r="FA1409" s="17"/>
      <c r="FB1409" s="17"/>
      <c r="FC1409" s="16"/>
      <c r="FD1409" s="16"/>
      <c r="FE1409" s="17"/>
      <c r="FF1409" s="17"/>
      <c r="FG1409" s="11"/>
      <c r="GT1409" s="11"/>
      <c r="IG1409" s="11"/>
      <c r="JT1409" s="11"/>
      <c r="LG1409" s="11"/>
      <c r="MT1409" s="11"/>
      <c r="OG1409" s="11"/>
      <c r="PT1409" s="11"/>
    </row>
    <row r="1410" spans="1:436" ht="15.75" x14ac:dyDescent="0.25">
      <c r="C1410" s="20" t="s">
        <v>1028</v>
      </c>
      <c r="D1410" s="21" t="s">
        <v>90</v>
      </c>
      <c r="H1410" s="11"/>
      <c r="AU1410" s="11"/>
      <c r="CH1410" s="11"/>
      <c r="CI1410" s="16"/>
      <c r="CJ1410" s="16"/>
      <c r="CK1410" s="16"/>
      <c r="CL1410" s="16"/>
      <c r="CM1410" s="16"/>
      <c r="CN1410" s="16"/>
      <c r="CO1410" s="16"/>
      <c r="CP1410" s="16"/>
      <c r="CQ1410" s="16"/>
      <c r="CR1410" s="16"/>
      <c r="CS1410" s="16"/>
      <c r="CT1410" s="16"/>
      <c r="CU1410" s="16"/>
      <c r="CV1410" s="16"/>
      <c r="CW1410" s="16"/>
      <c r="CX1410" s="16"/>
      <c r="CY1410" s="16"/>
      <c r="CZ1410" s="16"/>
      <c r="DA1410" s="16"/>
      <c r="DB1410" s="16"/>
      <c r="DC1410" s="16"/>
      <c r="DD1410" s="16"/>
      <c r="DE1410" s="17"/>
      <c r="DF1410" s="17"/>
      <c r="DG1410" s="16"/>
      <c r="DH1410" s="16"/>
      <c r="DI1410" s="17"/>
      <c r="DJ1410" s="17"/>
      <c r="DK1410" s="16"/>
      <c r="DL1410" s="16"/>
      <c r="DM1410" s="17"/>
      <c r="DN1410" s="17"/>
      <c r="DO1410" s="16"/>
      <c r="DP1410" s="16"/>
      <c r="DQ1410" s="17"/>
      <c r="DR1410" s="17"/>
      <c r="DS1410" s="16"/>
      <c r="DT1410" s="16"/>
      <c r="DU1410" s="17"/>
      <c r="DV1410" s="17"/>
      <c r="DW1410" s="16"/>
      <c r="DX1410" s="16"/>
      <c r="DY1410" s="17"/>
      <c r="DZ1410" s="17"/>
      <c r="EA1410" s="16"/>
      <c r="EB1410" s="16"/>
      <c r="EC1410" s="17"/>
      <c r="ED1410" s="17"/>
      <c r="EE1410" s="16"/>
      <c r="EF1410" s="16"/>
      <c r="EG1410" s="17"/>
      <c r="EH1410" s="17"/>
      <c r="EI1410" s="16"/>
      <c r="EJ1410" s="16"/>
      <c r="EK1410" s="17"/>
      <c r="EL1410" s="17"/>
      <c r="EM1410" s="16"/>
      <c r="EN1410" s="16"/>
      <c r="EO1410" s="17"/>
      <c r="EP1410" s="17"/>
      <c r="EQ1410" s="16"/>
      <c r="ER1410" s="16"/>
      <c r="ES1410" s="17"/>
      <c r="ET1410" s="17"/>
      <c r="EU1410" s="16"/>
      <c r="EV1410" s="16"/>
      <c r="EW1410" s="17"/>
      <c r="EX1410" s="17"/>
      <c r="EY1410" s="16"/>
      <c r="EZ1410" s="16"/>
      <c r="FA1410" s="17"/>
      <c r="FB1410" s="17"/>
      <c r="FC1410" s="16"/>
      <c r="FD1410" s="16"/>
      <c r="FE1410" s="17"/>
      <c r="FF1410" s="17"/>
      <c r="FG1410" s="11"/>
      <c r="GT1410" s="11"/>
      <c r="IG1410" s="11"/>
      <c r="JT1410" s="11"/>
      <c r="LG1410" s="11"/>
      <c r="MT1410" s="11"/>
      <c r="OG1410" s="11"/>
      <c r="PT1410" s="11"/>
    </row>
    <row r="1411" spans="1:436" ht="15.75" x14ac:dyDescent="0.25">
      <c r="C1411" s="20" t="s">
        <v>1034</v>
      </c>
      <c r="D1411" s="21" t="s">
        <v>136</v>
      </c>
      <c r="H1411" s="11"/>
      <c r="AU1411" s="11"/>
      <c r="CH1411" s="11"/>
      <c r="CI1411" s="16"/>
      <c r="CJ1411" s="16"/>
      <c r="CK1411" s="16"/>
      <c r="CL1411" s="16"/>
      <c r="CM1411" s="16"/>
      <c r="CN1411" s="16"/>
      <c r="CO1411" s="16"/>
      <c r="CP1411" s="16"/>
      <c r="CQ1411" s="16"/>
      <c r="CR1411" s="16"/>
      <c r="CS1411" s="16"/>
      <c r="CT1411" s="16"/>
      <c r="CU1411" s="16"/>
      <c r="CV1411" s="16"/>
      <c r="CW1411" s="16"/>
      <c r="CX1411" s="16"/>
      <c r="CY1411" s="16"/>
      <c r="CZ1411" s="16"/>
      <c r="DA1411" s="16"/>
      <c r="DB1411" s="16"/>
      <c r="DC1411" s="16"/>
      <c r="DD1411" s="16"/>
      <c r="DE1411" s="17"/>
      <c r="DF1411" s="17"/>
      <c r="DG1411" s="16"/>
      <c r="DH1411" s="16"/>
      <c r="DI1411" s="17"/>
      <c r="DJ1411" s="17"/>
      <c r="DK1411" s="16"/>
      <c r="DL1411" s="16"/>
      <c r="DM1411" s="17"/>
      <c r="DN1411" s="17"/>
      <c r="DO1411" s="16"/>
      <c r="DP1411" s="16"/>
      <c r="DQ1411" s="17"/>
      <c r="DR1411" s="17"/>
      <c r="DS1411" s="16"/>
      <c r="DT1411" s="16"/>
      <c r="DU1411" s="17"/>
      <c r="DV1411" s="17"/>
      <c r="DW1411" s="16"/>
      <c r="DX1411" s="16"/>
      <c r="DY1411" s="17"/>
      <c r="DZ1411" s="17"/>
      <c r="EA1411" s="16"/>
      <c r="EB1411" s="16"/>
      <c r="EC1411" s="18">
        <v>82.9</v>
      </c>
      <c r="ED1411" s="18">
        <v>135</v>
      </c>
      <c r="EE1411" s="16"/>
      <c r="EF1411" s="16"/>
      <c r="EG1411" s="17"/>
      <c r="EH1411" s="17"/>
      <c r="EI1411" s="16"/>
      <c r="EJ1411" s="16"/>
      <c r="EK1411" s="17"/>
      <c r="EL1411" s="17"/>
      <c r="EM1411" s="16"/>
      <c r="EN1411" s="16"/>
      <c r="EO1411" s="17"/>
      <c r="EP1411" s="17"/>
      <c r="EQ1411" s="16"/>
      <c r="ER1411" s="16"/>
      <c r="ES1411" s="17"/>
      <c r="ET1411" s="17"/>
      <c r="EU1411" s="16"/>
      <c r="EV1411" s="16"/>
      <c r="EW1411" s="17"/>
      <c r="EX1411" s="17"/>
      <c r="EY1411" s="16"/>
      <c r="EZ1411" s="16"/>
      <c r="FA1411" s="17"/>
      <c r="FB1411" s="17"/>
      <c r="FC1411" s="16"/>
      <c r="FD1411" s="16"/>
      <c r="FE1411" s="17"/>
      <c r="FF1411" s="17"/>
      <c r="FG1411" s="11"/>
      <c r="GT1411" s="11"/>
      <c r="IG1411" s="11"/>
      <c r="JT1411" s="11"/>
      <c r="LG1411" s="11"/>
      <c r="MT1411" s="11"/>
      <c r="OG1411" s="11"/>
      <c r="PT1411" s="11"/>
    </row>
    <row r="1412" spans="1:436" ht="15.75" x14ac:dyDescent="0.25">
      <c r="C1412" s="20" t="s">
        <v>1035</v>
      </c>
      <c r="D1412" s="21" t="s">
        <v>136</v>
      </c>
      <c r="H1412" s="11"/>
      <c r="AU1412" s="11"/>
      <c r="CH1412" s="11"/>
      <c r="CI1412" s="16"/>
      <c r="CJ1412" s="16"/>
      <c r="CK1412" s="16"/>
      <c r="CL1412" s="16"/>
      <c r="CM1412" s="16"/>
      <c r="CN1412" s="16"/>
      <c r="CO1412" s="16"/>
      <c r="CP1412" s="16"/>
      <c r="CQ1412" s="16"/>
      <c r="CR1412" s="16"/>
      <c r="CS1412" s="16"/>
      <c r="CT1412" s="16"/>
      <c r="CU1412" s="16"/>
      <c r="CV1412" s="16"/>
      <c r="CW1412" s="16"/>
      <c r="CX1412" s="16"/>
      <c r="CY1412" s="16"/>
      <c r="CZ1412" s="16"/>
      <c r="DA1412" s="16"/>
      <c r="DB1412" s="16"/>
      <c r="DC1412" s="16"/>
      <c r="DD1412" s="16"/>
      <c r="DE1412" s="17"/>
      <c r="DF1412" s="17"/>
      <c r="DG1412" s="16"/>
      <c r="DH1412" s="16"/>
      <c r="DI1412" s="17"/>
      <c r="DJ1412" s="17"/>
      <c r="DK1412" s="16"/>
      <c r="DL1412" s="16"/>
      <c r="DM1412" s="17"/>
      <c r="DN1412" s="17"/>
      <c r="DO1412" s="16"/>
      <c r="DP1412" s="16"/>
      <c r="DQ1412" s="17"/>
      <c r="DR1412" s="17"/>
      <c r="DS1412" s="16"/>
      <c r="DT1412" s="16"/>
      <c r="DU1412" s="17"/>
      <c r="DV1412" s="17"/>
      <c r="DW1412" s="16"/>
      <c r="DX1412" s="16"/>
      <c r="DY1412" s="17"/>
      <c r="DZ1412" s="17"/>
      <c r="EA1412" s="16"/>
      <c r="EB1412" s="16"/>
      <c r="EC1412" s="18">
        <v>69.7</v>
      </c>
      <c r="ED1412" s="18">
        <v>69.7</v>
      </c>
      <c r="EE1412" s="16"/>
      <c r="EF1412" s="16"/>
      <c r="EG1412" s="17"/>
      <c r="EH1412" s="17"/>
      <c r="EI1412" s="16"/>
      <c r="EJ1412" s="16"/>
      <c r="EK1412" s="17"/>
      <c r="EL1412" s="17"/>
      <c r="EM1412" s="16"/>
      <c r="EN1412" s="16"/>
      <c r="EO1412" s="17"/>
      <c r="EP1412" s="17"/>
      <c r="EQ1412" s="16"/>
      <c r="ER1412" s="16"/>
      <c r="ES1412" s="17"/>
      <c r="ET1412" s="17"/>
      <c r="EU1412" s="16"/>
      <c r="EV1412" s="16"/>
      <c r="EW1412" s="17"/>
      <c r="EX1412" s="17"/>
      <c r="EY1412" s="16"/>
      <c r="EZ1412" s="16"/>
      <c r="FA1412" s="17"/>
      <c r="FB1412" s="17"/>
      <c r="FC1412" s="16"/>
      <c r="FD1412" s="16"/>
      <c r="FE1412" s="17"/>
      <c r="FF1412" s="17"/>
      <c r="FG1412" s="11"/>
      <c r="GT1412" s="11"/>
      <c r="IG1412" s="11"/>
      <c r="JT1412" s="11"/>
      <c r="LG1412" s="11"/>
      <c r="MT1412" s="11"/>
      <c r="OG1412" s="11"/>
      <c r="PT1412" s="11"/>
    </row>
    <row r="1413" spans="1:436" ht="15.75" x14ac:dyDescent="0.25">
      <c r="C1413" s="20" t="s">
        <v>1036</v>
      </c>
      <c r="D1413" s="21" t="s">
        <v>136</v>
      </c>
      <c r="H1413" s="11"/>
      <c r="AU1413" s="11"/>
      <c r="CH1413" s="11"/>
      <c r="CI1413" s="16"/>
      <c r="CJ1413" s="16"/>
      <c r="CK1413" s="16"/>
      <c r="CL1413" s="16"/>
      <c r="CM1413" s="16"/>
      <c r="CN1413" s="16"/>
      <c r="CO1413" s="16"/>
      <c r="CP1413" s="16"/>
      <c r="CQ1413" s="16"/>
      <c r="CR1413" s="16"/>
      <c r="CS1413" s="16"/>
      <c r="CT1413" s="16"/>
      <c r="CU1413" s="16"/>
      <c r="CV1413" s="16"/>
      <c r="CW1413" s="16"/>
      <c r="CX1413" s="16"/>
      <c r="CY1413" s="16"/>
      <c r="CZ1413" s="16"/>
      <c r="DA1413" s="16"/>
      <c r="DB1413" s="16"/>
      <c r="DC1413" s="16"/>
      <c r="DD1413" s="16"/>
      <c r="DE1413" s="17"/>
      <c r="DF1413" s="17"/>
      <c r="DG1413" s="16"/>
      <c r="DH1413" s="16"/>
      <c r="DI1413" s="17"/>
      <c r="DJ1413" s="17"/>
      <c r="DK1413" s="16"/>
      <c r="DL1413" s="16"/>
      <c r="DM1413" s="17"/>
      <c r="DN1413" s="17"/>
      <c r="DO1413" s="16"/>
      <c r="DP1413" s="16"/>
      <c r="DQ1413" s="17"/>
      <c r="DR1413" s="17"/>
      <c r="DS1413" s="16"/>
      <c r="DT1413" s="16"/>
      <c r="DU1413" s="17"/>
      <c r="DV1413" s="17"/>
      <c r="DW1413" s="16"/>
      <c r="DX1413" s="16"/>
      <c r="DY1413" s="17"/>
      <c r="DZ1413" s="17"/>
      <c r="EA1413" s="16"/>
      <c r="EB1413" s="16"/>
      <c r="EC1413" s="18">
        <v>34.299999999999997</v>
      </c>
      <c r="ED1413" s="18">
        <v>68.599999999999994</v>
      </c>
      <c r="EE1413" s="16"/>
      <c r="EF1413" s="16"/>
      <c r="EG1413" s="17"/>
      <c r="EH1413" s="17"/>
      <c r="EI1413" s="16"/>
      <c r="EJ1413" s="16"/>
      <c r="EK1413" s="17"/>
      <c r="EL1413" s="17"/>
      <c r="EM1413" s="16"/>
      <c r="EN1413" s="16"/>
      <c r="EO1413" s="17"/>
      <c r="EP1413" s="17"/>
      <c r="EQ1413" s="16"/>
      <c r="ER1413" s="16"/>
      <c r="ES1413" s="17"/>
      <c r="ET1413" s="17"/>
      <c r="EU1413" s="16"/>
      <c r="EV1413" s="16"/>
      <c r="EW1413" s="17"/>
      <c r="EX1413" s="17"/>
      <c r="EY1413" s="16"/>
      <c r="EZ1413" s="16"/>
      <c r="FA1413" s="17"/>
      <c r="FB1413" s="17"/>
      <c r="FC1413" s="16"/>
      <c r="FD1413" s="16"/>
      <c r="FE1413" s="17"/>
      <c r="FF1413" s="17"/>
      <c r="FG1413" s="11"/>
      <c r="GT1413" s="11"/>
      <c r="IG1413" s="11"/>
      <c r="JT1413" s="11"/>
      <c r="LG1413" s="11"/>
      <c r="MT1413" s="11"/>
      <c r="OG1413" s="11"/>
      <c r="PT1413" s="11"/>
    </row>
    <row r="1414" spans="1:436" ht="15.75" x14ac:dyDescent="0.25">
      <c r="A1414" s="13"/>
      <c r="B1414" s="14" t="s">
        <v>1037</v>
      </c>
      <c r="C1414" s="13"/>
      <c r="D1414" s="13"/>
      <c r="E1414" s="15" t="s">
        <v>127</v>
      </c>
      <c r="F1414" s="15" t="s">
        <v>77</v>
      </c>
      <c r="G1414" s="13"/>
      <c r="H1414" s="11"/>
      <c r="AU1414" s="11"/>
      <c r="CH1414" s="11"/>
      <c r="CI1414" s="16"/>
      <c r="CJ1414" s="16"/>
      <c r="CK1414" s="16"/>
      <c r="CL1414" s="16"/>
      <c r="CM1414" s="16"/>
      <c r="CN1414" s="16"/>
      <c r="CO1414" s="16"/>
      <c r="CP1414" s="16"/>
      <c r="CQ1414" s="16"/>
      <c r="CR1414" s="16"/>
      <c r="CS1414" s="16"/>
      <c r="CT1414" s="16"/>
      <c r="CU1414" s="16"/>
      <c r="CV1414" s="16"/>
      <c r="CW1414" s="16"/>
      <c r="CX1414" s="16"/>
      <c r="CY1414" s="16"/>
      <c r="CZ1414" s="16"/>
      <c r="DA1414" s="16"/>
      <c r="DB1414" s="16"/>
      <c r="DC1414" s="16"/>
      <c r="DD1414" s="19">
        <v>2</v>
      </c>
      <c r="DE1414" s="17"/>
      <c r="DF1414" s="17"/>
      <c r="DG1414" s="16"/>
      <c r="DH1414" s="16"/>
      <c r="DI1414" s="17"/>
      <c r="DJ1414" s="18">
        <v>5</v>
      </c>
      <c r="DK1414" s="16"/>
      <c r="DL1414" s="19">
        <v>2</v>
      </c>
      <c r="DM1414" s="17"/>
      <c r="DN1414" s="17"/>
      <c r="DO1414" s="16"/>
      <c r="DP1414" s="16"/>
      <c r="DQ1414" s="17"/>
      <c r="DR1414" s="17"/>
      <c r="DS1414" s="16"/>
      <c r="DT1414" s="16"/>
      <c r="DU1414" s="17"/>
      <c r="DV1414" s="17"/>
      <c r="DW1414" s="16"/>
      <c r="DX1414" s="19">
        <v>6</v>
      </c>
      <c r="DY1414" s="17"/>
      <c r="DZ1414" s="17"/>
      <c r="EA1414" s="16"/>
      <c r="EB1414" s="16"/>
      <c r="EC1414" s="17"/>
      <c r="ED1414" s="17"/>
      <c r="EE1414" s="16"/>
      <c r="EF1414" s="16"/>
      <c r="EG1414" s="17"/>
      <c r="EH1414" s="17"/>
      <c r="EI1414" s="16"/>
      <c r="EJ1414" s="16"/>
      <c r="EK1414" s="17"/>
      <c r="EL1414" s="17"/>
      <c r="EM1414" s="16"/>
      <c r="EN1414" s="16"/>
      <c r="EO1414" s="17"/>
      <c r="EP1414" s="17"/>
      <c r="EQ1414" s="16"/>
      <c r="ER1414" s="16"/>
      <c r="ES1414" s="17"/>
      <c r="ET1414" s="18">
        <v>60</v>
      </c>
      <c r="EU1414" s="16"/>
      <c r="EV1414" s="16"/>
      <c r="EW1414" s="17"/>
      <c r="EX1414" s="17"/>
      <c r="EY1414" s="16"/>
      <c r="EZ1414" s="16"/>
      <c r="FA1414" s="17"/>
      <c r="FB1414" s="17"/>
      <c r="FC1414" s="16"/>
      <c r="FD1414" s="16"/>
      <c r="FE1414" s="17"/>
      <c r="FF1414" s="17"/>
      <c r="FG1414" s="11"/>
      <c r="GT1414" s="11"/>
      <c r="IG1414" s="11"/>
      <c r="JT1414" s="11"/>
      <c r="LG1414" s="11"/>
      <c r="MT1414" s="11"/>
      <c r="OG1414" s="11"/>
      <c r="PT1414" s="11"/>
    </row>
    <row r="1415" spans="1:436" ht="15.75" x14ac:dyDescent="0.25">
      <c r="C1415" s="20" t="s">
        <v>1038</v>
      </c>
      <c r="D1415" s="21" t="s">
        <v>93</v>
      </c>
      <c r="H1415" s="11"/>
      <c r="AU1415" s="11"/>
      <c r="CH1415" s="11"/>
      <c r="CI1415" s="16"/>
      <c r="CJ1415" s="16"/>
      <c r="CK1415" s="16"/>
      <c r="CL1415" s="16"/>
      <c r="CM1415" s="16"/>
      <c r="CN1415" s="16"/>
      <c r="CO1415" s="16"/>
      <c r="CP1415" s="16"/>
      <c r="CQ1415" s="16"/>
      <c r="CR1415" s="16"/>
      <c r="CS1415" s="16"/>
      <c r="CT1415" s="16"/>
      <c r="CU1415" s="16"/>
      <c r="CV1415" s="16"/>
      <c r="CW1415" s="16"/>
      <c r="CX1415" s="16"/>
      <c r="CY1415" s="16"/>
      <c r="CZ1415" s="16"/>
      <c r="DA1415" s="16"/>
      <c r="DB1415" s="16"/>
      <c r="DC1415" s="16"/>
      <c r="DD1415" s="16"/>
      <c r="DE1415" s="17"/>
      <c r="DF1415" s="17"/>
      <c r="DG1415" s="16"/>
      <c r="DH1415" s="16"/>
      <c r="DI1415" s="17"/>
      <c r="DJ1415" s="17"/>
      <c r="DK1415" s="16"/>
      <c r="DL1415" s="16"/>
      <c r="DM1415" s="17"/>
      <c r="DN1415" s="17"/>
      <c r="DO1415" s="16"/>
      <c r="DP1415" s="16"/>
      <c r="DQ1415" s="17"/>
      <c r="DR1415" s="17"/>
      <c r="DS1415" s="16"/>
      <c r="DT1415" s="16"/>
      <c r="DU1415" s="17"/>
      <c r="DV1415" s="17"/>
      <c r="DW1415" s="16"/>
      <c r="DX1415" s="16"/>
      <c r="DY1415" s="17"/>
      <c r="DZ1415" s="17"/>
      <c r="EA1415" s="16"/>
      <c r="EB1415" s="16"/>
      <c r="EC1415" s="17"/>
      <c r="ED1415" s="17"/>
      <c r="EE1415" s="16"/>
      <c r="EF1415" s="16"/>
      <c r="EG1415" s="17"/>
      <c r="EH1415" s="17"/>
      <c r="EI1415" s="16"/>
      <c r="EJ1415" s="16"/>
      <c r="EK1415" s="17"/>
      <c r="EL1415" s="17"/>
      <c r="EM1415" s="16"/>
      <c r="EN1415" s="16"/>
      <c r="EO1415" s="17"/>
      <c r="EP1415" s="17"/>
      <c r="EQ1415" s="16"/>
      <c r="ER1415" s="16"/>
      <c r="ES1415" s="17"/>
      <c r="ET1415" s="17"/>
      <c r="EU1415" s="16"/>
      <c r="EV1415" s="16"/>
      <c r="EW1415" s="18">
        <v>3</v>
      </c>
      <c r="EX1415" s="18">
        <v>8</v>
      </c>
      <c r="EY1415" s="16"/>
      <c r="EZ1415" s="16"/>
      <c r="FA1415" s="17"/>
      <c r="FB1415" s="17"/>
      <c r="FC1415" s="16"/>
      <c r="FD1415" s="16"/>
      <c r="FE1415" s="17"/>
      <c r="FF1415" s="17"/>
      <c r="FG1415" s="11"/>
      <c r="GT1415" s="11"/>
      <c r="IG1415" s="11"/>
      <c r="JT1415" s="11"/>
      <c r="LG1415" s="11"/>
      <c r="MT1415" s="11"/>
      <c r="OG1415" s="11"/>
      <c r="PT1415" s="11"/>
    </row>
    <row r="1416" spans="1:436" ht="15.75" x14ac:dyDescent="0.25">
      <c r="C1416" s="20" t="s">
        <v>1039</v>
      </c>
      <c r="D1416" s="21" t="s">
        <v>79</v>
      </c>
      <c r="H1416" s="11"/>
      <c r="AU1416" s="11"/>
      <c r="CH1416" s="11"/>
      <c r="CI1416" s="16"/>
      <c r="CJ1416" s="16"/>
      <c r="CK1416" s="16"/>
      <c r="CL1416" s="16"/>
      <c r="CM1416" s="16"/>
      <c r="CN1416" s="16"/>
      <c r="CO1416" s="16"/>
      <c r="CP1416" s="16"/>
      <c r="CQ1416" s="16"/>
      <c r="CR1416" s="16"/>
      <c r="CS1416" s="16"/>
      <c r="CT1416" s="16"/>
      <c r="CU1416" s="16"/>
      <c r="CV1416" s="16"/>
      <c r="CW1416" s="16"/>
      <c r="CX1416" s="16"/>
      <c r="CY1416" s="16"/>
      <c r="CZ1416" s="16"/>
      <c r="DA1416" s="16"/>
      <c r="DB1416" s="16"/>
      <c r="DC1416" s="16"/>
      <c r="DD1416" s="16"/>
      <c r="DE1416" s="17"/>
      <c r="DF1416" s="17"/>
      <c r="DG1416" s="16"/>
      <c r="DH1416" s="16"/>
      <c r="DI1416" s="17"/>
      <c r="DJ1416" s="18">
        <v>5</v>
      </c>
      <c r="DK1416" s="16"/>
      <c r="DL1416" s="16"/>
      <c r="DM1416" s="17"/>
      <c r="DN1416" s="17"/>
      <c r="DO1416" s="16"/>
      <c r="DP1416" s="16"/>
      <c r="DQ1416" s="17"/>
      <c r="DR1416" s="17"/>
      <c r="DS1416" s="16"/>
      <c r="DT1416" s="16"/>
      <c r="DU1416" s="17"/>
      <c r="DV1416" s="17"/>
      <c r="DW1416" s="16"/>
      <c r="DX1416" s="16"/>
      <c r="DY1416" s="17"/>
      <c r="DZ1416" s="17"/>
      <c r="EA1416" s="16"/>
      <c r="EB1416" s="16"/>
      <c r="EC1416" s="17"/>
      <c r="ED1416" s="17"/>
      <c r="EE1416" s="16"/>
      <c r="EF1416" s="16"/>
      <c r="EG1416" s="17"/>
      <c r="EH1416" s="17"/>
      <c r="EI1416" s="16"/>
      <c r="EJ1416" s="16"/>
      <c r="EK1416" s="17"/>
      <c r="EL1416" s="17"/>
      <c r="EM1416" s="16"/>
      <c r="EN1416" s="16"/>
      <c r="EO1416" s="17"/>
      <c r="EP1416" s="17"/>
      <c r="EQ1416" s="16"/>
      <c r="ER1416" s="16"/>
      <c r="ES1416" s="17"/>
      <c r="ET1416" s="17"/>
      <c r="EU1416" s="16"/>
      <c r="EV1416" s="16"/>
      <c r="EW1416" s="17"/>
      <c r="EX1416" s="17"/>
      <c r="EY1416" s="16"/>
      <c r="EZ1416" s="16"/>
      <c r="FA1416" s="17"/>
      <c r="FB1416" s="17"/>
      <c r="FC1416" s="16"/>
      <c r="FD1416" s="16"/>
      <c r="FE1416" s="17"/>
      <c r="FF1416" s="17"/>
      <c r="FG1416" s="11"/>
      <c r="GT1416" s="11"/>
      <c r="IG1416" s="11"/>
      <c r="JT1416" s="11"/>
      <c r="LG1416" s="11"/>
      <c r="MT1416" s="11"/>
      <c r="OG1416" s="11"/>
      <c r="PT1416" s="11"/>
    </row>
    <row r="1417" spans="1:436" ht="15.75" x14ac:dyDescent="0.25">
      <c r="C1417" s="20" t="s">
        <v>996</v>
      </c>
      <c r="D1417" s="21" t="s">
        <v>79</v>
      </c>
      <c r="H1417" s="11"/>
      <c r="AU1417" s="11"/>
      <c r="CH1417" s="11"/>
      <c r="CI1417" s="16"/>
      <c r="CJ1417" s="16"/>
      <c r="CK1417" s="16"/>
      <c r="CL1417" s="16"/>
      <c r="CM1417" s="16"/>
      <c r="CN1417" s="16"/>
      <c r="CO1417" s="16"/>
      <c r="CP1417" s="16"/>
      <c r="CQ1417" s="16"/>
      <c r="CR1417" s="16"/>
      <c r="CS1417" s="16"/>
      <c r="CT1417" s="16"/>
      <c r="CU1417" s="16"/>
      <c r="CV1417" s="16"/>
      <c r="CW1417" s="16"/>
      <c r="CX1417" s="16"/>
      <c r="CY1417" s="16"/>
      <c r="CZ1417" s="16"/>
      <c r="DA1417" s="16"/>
      <c r="DB1417" s="16"/>
      <c r="DC1417" s="16"/>
      <c r="DD1417" s="16"/>
      <c r="DE1417" s="17"/>
      <c r="DF1417" s="17"/>
      <c r="DG1417" s="16"/>
      <c r="DH1417" s="16"/>
      <c r="DI1417" s="17"/>
      <c r="DJ1417" s="17"/>
      <c r="DK1417" s="16"/>
      <c r="DL1417" s="16"/>
      <c r="DM1417" s="17"/>
      <c r="DN1417" s="17"/>
      <c r="DO1417" s="16"/>
      <c r="DP1417" s="16"/>
      <c r="DQ1417" s="17"/>
      <c r="DR1417" s="17"/>
      <c r="DS1417" s="16"/>
      <c r="DT1417" s="16"/>
      <c r="DU1417" s="17"/>
      <c r="DV1417" s="17"/>
      <c r="DW1417" s="16"/>
      <c r="DX1417" s="16"/>
      <c r="DY1417" s="17"/>
      <c r="DZ1417" s="17"/>
      <c r="EA1417" s="16"/>
      <c r="EB1417" s="16"/>
      <c r="EC1417" s="17"/>
      <c r="ED1417" s="17"/>
      <c r="EE1417" s="16"/>
      <c r="EF1417" s="16"/>
      <c r="EG1417" s="17"/>
      <c r="EH1417" s="17"/>
      <c r="EI1417" s="16"/>
      <c r="EJ1417" s="16"/>
      <c r="EK1417" s="17"/>
      <c r="EL1417" s="17"/>
      <c r="EM1417" s="16"/>
      <c r="EN1417" s="16"/>
      <c r="EO1417" s="17"/>
      <c r="EP1417" s="17"/>
      <c r="EQ1417" s="16"/>
      <c r="ER1417" s="16"/>
      <c r="ES1417" s="17"/>
      <c r="ET1417" s="17"/>
      <c r="EU1417" s="16"/>
      <c r="EV1417" s="16"/>
      <c r="EW1417" s="17"/>
      <c r="EX1417" s="17"/>
      <c r="EY1417" s="16"/>
      <c r="EZ1417" s="16"/>
      <c r="FA1417" s="17"/>
      <c r="FB1417" s="17"/>
      <c r="FC1417" s="16"/>
      <c r="FD1417" s="16"/>
      <c r="FE1417" s="17"/>
      <c r="FF1417" s="17"/>
      <c r="FG1417" s="11"/>
      <c r="GT1417" s="11"/>
      <c r="IG1417" s="11"/>
      <c r="JT1417" s="11"/>
      <c r="LG1417" s="11"/>
      <c r="MT1417" s="11"/>
      <c r="OG1417" s="11"/>
      <c r="PT1417" s="11"/>
    </row>
    <row r="1418" spans="1:436" ht="15.75" x14ac:dyDescent="0.25">
      <c r="C1418" s="20" t="s">
        <v>1040</v>
      </c>
      <c r="D1418" s="21" t="s">
        <v>93</v>
      </c>
      <c r="H1418" s="11"/>
      <c r="AU1418" s="11"/>
      <c r="CH1418" s="11"/>
      <c r="CI1418" s="16"/>
      <c r="CJ1418" s="16"/>
      <c r="CK1418" s="16"/>
      <c r="CL1418" s="16"/>
      <c r="CM1418" s="16"/>
      <c r="CN1418" s="16"/>
      <c r="CO1418" s="16"/>
      <c r="CP1418" s="16"/>
      <c r="CQ1418" s="16"/>
      <c r="CR1418" s="16"/>
      <c r="CS1418" s="16"/>
      <c r="CT1418" s="16"/>
      <c r="CU1418" s="16"/>
      <c r="CV1418" s="16"/>
      <c r="CW1418" s="16"/>
      <c r="CX1418" s="16"/>
      <c r="CY1418" s="16"/>
      <c r="CZ1418" s="16"/>
      <c r="DA1418" s="16"/>
      <c r="DB1418" s="16"/>
      <c r="DC1418" s="16"/>
      <c r="DD1418" s="16"/>
      <c r="DE1418" s="17"/>
      <c r="DF1418" s="17"/>
      <c r="DG1418" s="16"/>
      <c r="DH1418" s="16"/>
      <c r="DI1418" s="17"/>
      <c r="DJ1418" s="17"/>
      <c r="DK1418" s="16"/>
      <c r="DL1418" s="16"/>
      <c r="DM1418" s="17"/>
      <c r="DN1418" s="17"/>
      <c r="DO1418" s="16"/>
      <c r="DP1418" s="16"/>
      <c r="DQ1418" s="17"/>
      <c r="DR1418" s="17"/>
      <c r="DS1418" s="16"/>
      <c r="DT1418" s="16"/>
      <c r="DU1418" s="17"/>
      <c r="DV1418" s="17"/>
      <c r="DW1418" s="16"/>
      <c r="DX1418" s="16"/>
      <c r="DY1418" s="17"/>
      <c r="DZ1418" s="17"/>
      <c r="EA1418" s="16"/>
      <c r="EB1418" s="16"/>
      <c r="EC1418" s="17"/>
      <c r="ED1418" s="17"/>
      <c r="EE1418" s="16"/>
      <c r="EF1418" s="16"/>
      <c r="EG1418" s="17"/>
      <c r="EH1418" s="17"/>
      <c r="EI1418" s="16"/>
      <c r="EJ1418" s="16"/>
      <c r="EK1418" s="17"/>
      <c r="EL1418" s="17"/>
      <c r="EM1418" s="16"/>
      <c r="EN1418" s="16"/>
      <c r="EO1418" s="17"/>
      <c r="EP1418" s="17"/>
      <c r="EQ1418" s="16"/>
      <c r="ER1418" s="16"/>
      <c r="ES1418" s="17"/>
      <c r="ET1418" s="17"/>
      <c r="EU1418" s="16"/>
      <c r="EV1418" s="16"/>
      <c r="EW1418" s="17"/>
      <c r="EX1418" s="17"/>
      <c r="EY1418" s="16"/>
      <c r="EZ1418" s="16"/>
      <c r="FA1418" s="17"/>
      <c r="FB1418" s="17"/>
      <c r="FC1418" s="16"/>
      <c r="FD1418" s="16"/>
      <c r="FE1418" s="17"/>
      <c r="FF1418" s="17"/>
      <c r="FG1418" s="11"/>
      <c r="GT1418" s="11"/>
      <c r="IG1418" s="11"/>
      <c r="JT1418" s="11"/>
      <c r="LG1418" s="11"/>
      <c r="MT1418" s="11"/>
      <c r="OG1418" s="11"/>
      <c r="PT1418" s="11"/>
    </row>
    <row r="1419" spans="1:436" ht="15.75" x14ac:dyDescent="0.25">
      <c r="C1419" s="20" t="s">
        <v>1041</v>
      </c>
      <c r="D1419" s="21" t="s">
        <v>84</v>
      </c>
      <c r="H1419" s="11"/>
      <c r="AU1419" s="11"/>
      <c r="CH1419" s="11"/>
      <c r="CI1419" s="16"/>
      <c r="CJ1419" s="16"/>
      <c r="CK1419" s="16"/>
      <c r="CL1419" s="16"/>
      <c r="CM1419" s="16"/>
      <c r="CN1419" s="16"/>
      <c r="CO1419" s="16"/>
      <c r="CP1419" s="16"/>
      <c r="CQ1419" s="16"/>
      <c r="CR1419" s="16"/>
      <c r="CS1419" s="16"/>
      <c r="CT1419" s="16"/>
      <c r="CU1419" s="16"/>
      <c r="CV1419" s="16"/>
      <c r="CW1419" s="16"/>
      <c r="CX1419" s="16"/>
      <c r="CY1419" s="16"/>
      <c r="CZ1419" s="16"/>
      <c r="DA1419" s="16"/>
      <c r="DB1419" s="16"/>
      <c r="DC1419" s="16"/>
      <c r="DD1419" s="16"/>
      <c r="DE1419" s="17"/>
      <c r="DF1419" s="17"/>
      <c r="DG1419" s="16"/>
      <c r="DH1419" s="16"/>
      <c r="DI1419" s="17"/>
      <c r="DJ1419" s="17"/>
      <c r="DK1419" s="16"/>
      <c r="DL1419" s="16"/>
      <c r="DM1419" s="17"/>
      <c r="DN1419" s="17"/>
      <c r="DO1419" s="16"/>
      <c r="DP1419" s="16"/>
      <c r="DQ1419" s="17"/>
      <c r="DR1419" s="17"/>
      <c r="DS1419" s="16"/>
      <c r="DT1419" s="16"/>
      <c r="DU1419" s="17"/>
      <c r="DV1419" s="17"/>
      <c r="DW1419" s="16"/>
      <c r="DX1419" s="19">
        <v>2</v>
      </c>
      <c r="DY1419" s="17"/>
      <c r="DZ1419" s="17"/>
      <c r="EA1419" s="16"/>
      <c r="EB1419" s="16"/>
      <c r="EC1419" s="17"/>
      <c r="ED1419" s="17"/>
      <c r="EE1419" s="16"/>
      <c r="EF1419" s="16"/>
      <c r="EG1419" s="17"/>
      <c r="EH1419" s="17"/>
      <c r="EI1419" s="16"/>
      <c r="EJ1419" s="16"/>
      <c r="EK1419" s="17"/>
      <c r="EL1419" s="17"/>
      <c r="EM1419" s="16"/>
      <c r="EN1419" s="16"/>
      <c r="EO1419" s="17"/>
      <c r="EP1419" s="17"/>
      <c r="EQ1419" s="16"/>
      <c r="ER1419" s="16"/>
      <c r="ES1419" s="17"/>
      <c r="ET1419" s="17"/>
      <c r="EU1419" s="16"/>
      <c r="EV1419" s="16"/>
      <c r="EW1419" s="17"/>
      <c r="EX1419" s="17"/>
      <c r="EY1419" s="16"/>
      <c r="EZ1419" s="16"/>
      <c r="FA1419" s="17"/>
      <c r="FB1419" s="17"/>
      <c r="FC1419" s="16"/>
      <c r="FD1419" s="16"/>
      <c r="FE1419" s="17"/>
      <c r="FF1419" s="17"/>
      <c r="FG1419" s="11"/>
      <c r="GT1419" s="11"/>
      <c r="IG1419" s="11"/>
      <c r="JT1419" s="11"/>
      <c r="LG1419" s="11"/>
      <c r="MT1419" s="11"/>
      <c r="OG1419" s="11"/>
      <c r="PT1419" s="11"/>
    </row>
    <row r="1420" spans="1:436" ht="15.75" x14ac:dyDescent="0.25">
      <c r="C1420" s="20" t="s">
        <v>996</v>
      </c>
      <c r="D1420" s="21" t="s">
        <v>82</v>
      </c>
      <c r="H1420" s="11"/>
      <c r="AU1420" s="11"/>
      <c r="CH1420" s="11"/>
      <c r="CI1420" s="16"/>
      <c r="CJ1420" s="16"/>
      <c r="CK1420" s="16"/>
      <c r="CL1420" s="16"/>
      <c r="CM1420" s="16"/>
      <c r="CN1420" s="16"/>
      <c r="CO1420" s="16"/>
      <c r="CP1420" s="16"/>
      <c r="CQ1420" s="16"/>
      <c r="CR1420" s="16"/>
      <c r="CS1420" s="16"/>
      <c r="CT1420" s="16"/>
      <c r="CU1420" s="16"/>
      <c r="CV1420" s="16"/>
      <c r="CW1420" s="16"/>
      <c r="CX1420" s="16"/>
      <c r="CY1420" s="16"/>
      <c r="CZ1420" s="16"/>
      <c r="DA1420" s="16"/>
      <c r="DB1420" s="16"/>
      <c r="DC1420" s="16"/>
      <c r="DD1420" s="16"/>
      <c r="DE1420" s="17"/>
      <c r="DF1420" s="17"/>
      <c r="DG1420" s="16"/>
      <c r="DH1420" s="16"/>
      <c r="DI1420" s="17"/>
      <c r="DJ1420" s="17"/>
      <c r="DK1420" s="16"/>
      <c r="DL1420" s="16"/>
      <c r="DM1420" s="17"/>
      <c r="DN1420" s="17"/>
      <c r="DO1420" s="16"/>
      <c r="DP1420" s="16"/>
      <c r="DQ1420" s="17"/>
      <c r="DR1420" s="17"/>
      <c r="DS1420" s="16"/>
      <c r="DT1420" s="16"/>
      <c r="DU1420" s="17"/>
      <c r="DV1420" s="17"/>
      <c r="DW1420" s="16"/>
      <c r="DX1420" s="16"/>
      <c r="DY1420" s="17"/>
      <c r="DZ1420" s="17"/>
      <c r="EA1420" s="16"/>
      <c r="EB1420" s="16"/>
      <c r="EC1420" s="17"/>
      <c r="ED1420" s="17"/>
      <c r="EE1420" s="16"/>
      <c r="EF1420" s="16"/>
      <c r="EG1420" s="17"/>
      <c r="EH1420" s="17"/>
      <c r="EI1420" s="16"/>
      <c r="EJ1420" s="16"/>
      <c r="EK1420" s="17"/>
      <c r="EL1420" s="17"/>
      <c r="EM1420" s="16"/>
      <c r="EN1420" s="16"/>
      <c r="EO1420" s="17"/>
      <c r="EP1420" s="17"/>
      <c r="EQ1420" s="16"/>
      <c r="ER1420" s="16"/>
      <c r="ES1420" s="17"/>
      <c r="ET1420" s="17"/>
      <c r="EU1420" s="16"/>
      <c r="EV1420" s="16"/>
      <c r="EW1420" s="17"/>
      <c r="EX1420" s="17"/>
      <c r="EY1420" s="16"/>
      <c r="EZ1420" s="16"/>
      <c r="FA1420" s="17"/>
      <c r="FB1420" s="17"/>
      <c r="FC1420" s="16"/>
      <c r="FD1420" s="16"/>
      <c r="FE1420" s="17"/>
      <c r="FF1420" s="17"/>
      <c r="FG1420" s="11"/>
      <c r="GT1420" s="11"/>
      <c r="IG1420" s="11"/>
      <c r="JT1420" s="11"/>
      <c r="LG1420" s="11"/>
      <c r="MT1420" s="11"/>
      <c r="OG1420" s="11"/>
      <c r="PT1420" s="11"/>
    </row>
    <row r="1421" spans="1:436" ht="15.75" x14ac:dyDescent="0.25">
      <c r="C1421" s="20" t="s">
        <v>1042</v>
      </c>
      <c r="D1421" s="21" t="s">
        <v>90</v>
      </c>
      <c r="H1421" s="11"/>
      <c r="AU1421" s="11"/>
      <c r="CH1421" s="11"/>
      <c r="CI1421" s="16"/>
      <c r="CJ1421" s="16"/>
      <c r="CK1421" s="16"/>
      <c r="CL1421" s="16"/>
      <c r="CM1421" s="16"/>
      <c r="CN1421" s="16"/>
      <c r="CO1421" s="16"/>
      <c r="CP1421" s="16"/>
      <c r="CQ1421" s="16"/>
      <c r="CR1421" s="16"/>
      <c r="CS1421" s="16"/>
      <c r="CT1421" s="16"/>
      <c r="CU1421" s="16"/>
      <c r="CV1421" s="16"/>
      <c r="CW1421" s="16"/>
      <c r="CX1421" s="16"/>
      <c r="CY1421" s="16"/>
      <c r="CZ1421" s="16"/>
      <c r="DA1421" s="16"/>
      <c r="DB1421" s="16"/>
      <c r="DC1421" s="16"/>
      <c r="DD1421" s="16"/>
      <c r="DE1421" s="17"/>
      <c r="DF1421" s="17"/>
      <c r="DG1421" s="16"/>
      <c r="DH1421" s="16"/>
      <c r="DI1421" s="17"/>
      <c r="DJ1421" s="17"/>
      <c r="DK1421" s="16"/>
      <c r="DL1421" s="16"/>
      <c r="DM1421" s="17"/>
      <c r="DN1421" s="17"/>
      <c r="DO1421" s="16"/>
      <c r="DP1421" s="16"/>
      <c r="DQ1421" s="17"/>
      <c r="DR1421" s="17"/>
      <c r="DS1421" s="16"/>
      <c r="DT1421" s="16"/>
      <c r="DU1421" s="17"/>
      <c r="DV1421" s="17"/>
      <c r="DW1421" s="16"/>
      <c r="DX1421" s="16"/>
      <c r="DY1421" s="17"/>
      <c r="DZ1421" s="17"/>
      <c r="EA1421" s="16"/>
      <c r="EB1421" s="16"/>
      <c r="EC1421" s="17"/>
      <c r="ED1421" s="17"/>
      <c r="EE1421" s="16"/>
      <c r="EF1421" s="16"/>
      <c r="EG1421" s="17"/>
      <c r="EH1421" s="17"/>
      <c r="EI1421" s="16"/>
      <c r="EJ1421" s="16"/>
      <c r="EK1421" s="17"/>
      <c r="EL1421" s="17"/>
      <c r="EM1421" s="16"/>
      <c r="EN1421" s="16"/>
      <c r="EO1421" s="17"/>
      <c r="EP1421" s="17"/>
      <c r="EQ1421" s="16"/>
      <c r="ER1421" s="16"/>
      <c r="ES1421" s="17"/>
      <c r="ET1421" s="17"/>
      <c r="EU1421" s="16"/>
      <c r="EV1421" s="16"/>
      <c r="EW1421" s="17"/>
      <c r="EX1421" s="17"/>
      <c r="EY1421" s="16"/>
      <c r="EZ1421" s="16"/>
      <c r="FA1421" s="17"/>
      <c r="FB1421" s="17"/>
      <c r="FC1421" s="16"/>
      <c r="FD1421" s="16"/>
      <c r="FE1421" s="17"/>
      <c r="FF1421" s="17"/>
      <c r="FG1421" s="11"/>
      <c r="GT1421" s="11"/>
      <c r="IG1421" s="11"/>
      <c r="JT1421" s="11"/>
      <c r="LG1421" s="11"/>
      <c r="MT1421" s="11"/>
      <c r="OG1421" s="11"/>
      <c r="PT1421" s="11"/>
    </row>
    <row r="1422" spans="1:436" ht="15.75" x14ac:dyDescent="0.25">
      <c r="C1422" s="20" t="s">
        <v>1038</v>
      </c>
      <c r="D1422" s="21" t="s">
        <v>93</v>
      </c>
      <c r="H1422" s="11"/>
      <c r="AU1422" s="11"/>
      <c r="CH1422" s="11"/>
      <c r="CI1422" s="16"/>
      <c r="CJ1422" s="16"/>
      <c r="CK1422" s="16"/>
      <c r="CL1422" s="16"/>
      <c r="CM1422" s="16"/>
      <c r="CN1422" s="16"/>
      <c r="CO1422" s="16"/>
      <c r="CP1422" s="16"/>
      <c r="CQ1422" s="16"/>
      <c r="CR1422" s="16"/>
      <c r="CS1422" s="16"/>
      <c r="CT1422" s="16"/>
      <c r="CU1422" s="16"/>
      <c r="CV1422" s="16"/>
      <c r="CW1422" s="16"/>
      <c r="CX1422" s="16"/>
      <c r="CY1422" s="16"/>
      <c r="CZ1422" s="16"/>
      <c r="DA1422" s="16"/>
      <c r="DB1422" s="16"/>
      <c r="DC1422" s="16"/>
      <c r="DD1422" s="16"/>
      <c r="DE1422" s="17"/>
      <c r="DF1422" s="17"/>
      <c r="DG1422" s="16"/>
      <c r="DH1422" s="16"/>
      <c r="DI1422" s="17"/>
      <c r="DJ1422" s="17"/>
      <c r="DK1422" s="16"/>
      <c r="DL1422" s="16"/>
      <c r="DM1422" s="17"/>
      <c r="DN1422" s="17"/>
      <c r="DO1422" s="16"/>
      <c r="DP1422" s="16"/>
      <c r="DQ1422" s="17"/>
      <c r="DR1422" s="17"/>
      <c r="DS1422" s="16"/>
      <c r="DT1422" s="16"/>
      <c r="DU1422" s="17"/>
      <c r="DV1422" s="17"/>
      <c r="DW1422" s="16"/>
      <c r="DX1422" s="16"/>
      <c r="DY1422" s="17"/>
      <c r="DZ1422" s="17"/>
      <c r="EA1422" s="16"/>
      <c r="EB1422" s="16"/>
      <c r="EC1422" s="17"/>
      <c r="ED1422" s="17"/>
      <c r="EE1422" s="16"/>
      <c r="EF1422" s="16"/>
      <c r="EG1422" s="17"/>
      <c r="EH1422" s="17"/>
      <c r="EI1422" s="16"/>
      <c r="EJ1422" s="16"/>
      <c r="EK1422" s="17"/>
      <c r="EL1422" s="17"/>
      <c r="EM1422" s="16"/>
      <c r="EN1422" s="16"/>
      <c r="EO1422" s="17"/>
      <c r="EP1422" s="17"/>
      <c r="EQ1422" s="16"/>
      <c r="ER1422" s="16"/>
      <c r="ES1422" s="17"/>
      <c r="ET1422" s="17"/>
      <c r="EU1422" s="16"/>
      <c r="EV1422" s="16"/>
      <c r="EW1422" s="17"/>
      <c r="EX1422" s="17"/>
      <c r="EY1422" s="16"/>
      <c r="EZ1422" s="16"/>
      <c r="FA1422" s="17"/>
      <c r="FB1422" s="17"/>
      <c r="FC1422" s="16"/>
      <c r="FD1422" s="16"/>
      <c r="FE1422" s="17"/>
      <c r="FF1422" s="17"/>
      <c r="FG1422" s="11"/>
      <c r="GT1422" s="11"/>
      <c r="IG1422" s="11"/>
      <c r="JT1422" s="11"/>
      <c r="LG1422" s="11"/>
      <c r="MT1422" s="11"/>
      <c r="OG1422" s="11"/>
      <c r="PT1422" s="11"/>
    </row>
    <row r="1423" spans="1:436" ht="15.75" x14ac:dyDescent="0.25">
      <c r="C1423" s="20" t="s">
        <v>1040</v>
      </c>
      <c r="D1423" s="21" t="s">
        <v>93</v>
      </c>
      <c r="H1423" s="11"/>
      <c r="AU1423" s="11"/>
      <c r="CH1423" s="11"/>
      <c r="CI1423" s="16"/>
      <c r="CJ1423" s="16"/>
      <c r="CK1423" s="16"/>
      <c r="CL1423" s="16"/>
      <c r="CM1423" s="16"/>
      <c r="CN1423" s="16"/>
      <c r="CO1423" s="16"/>
      <c r="CP1423" s="16"/>
      <c r="CQ1423" s="16"/>
      <c r="CR1423" s="16"/>
      <c r="CS1423" s="16"/>
      <c r="CT1423" s="16"/>
      <c r="CU1423" s="16"/>
      <c r="CV1423" s="16"/>
      <c r="CW1423" s="16"/>
      <c r="CX1423" s="16"/>
      <c r="CY1423" s="16"/>
      <c r="CZ1423" s="16"/>
      <c r="DA1423" s="16"/>
      <c r="DB1423" s="16"/>
      <c r="DC1423" s="16"/>
      <c r="DD1423" s="16"/>
      <c r="DE1423" s="17"/>
      <c r="DF1423" s="17"/>
      <c r="DG1423" s="16"/>
      <c r="DH1423" s="16"/>
      <c r="DI1423" s="17"/>
      <c r="DJ1423" s="17"/>
      <c r="DK1423" s="16"/>
      <c r="DL1423" s="16"/>
      <c r="DM1423" s="17"/>
      <c r="DN1423" s="17"/>
      <c r="DO1423" s="16"/>
      <c r="DP1423" s="16"/>
      <c r="DQ1423" s="17"/>
      <c r="DR1423" s="17"/>
      <c r="DS1423" s="16"/>
      <c r="DT1423" s="16"/>
      <c r="DU1423" s="17"/>
      <c r="DV1423" s="17"/>
      <c r="DW1423" s="16"/>
      <c r="DX1423" s="16"/>
      <c r="DY1423" s="17"/>
      <c r="DZ1423" s="17"/>
      <c r="EA1423" s="16"/>
      <c r="EB1423" s="16"/>
      <c r="EC1423" s="17"/>
      <c r="ED1423" s="17"/>
      <c r="EE1423" s="16"/>
      <c r="EF1423" s="16"/>
      <c r="EG1423" s="17"/>
      <c r="EH1423" s="17"/>
      <c r="EI1423" s="16"/>
      <c r="EJ1423" s="16"/>
      <c r="EK1423" s="17"/>
      <c r="EL1423" s="17"/>
      <c r="EM1423" s="16"/>
      <c r="EN1423" s="16"/>
      <c r="EO1423" s="17"/>
      <c r="EP1423" s="17"/>
      <c r="EQ1423" s="16"/>
      <c r="ER1423" s="16"/>
      <c r="ES1423" s="17"/>
      <c r="ET1423" s="17"/>
      <c r="EU1423" s="16"/>
      <c r="EV1423" s="16"/>
      <c r="EW1423" s="17"/>
      <c r="EX1423" s="17"/>
      <c r="EY1423" s="16"/>
      <c r="EZ1423" s="16"/>
      <c r="FA1423" s="17"/>
      <c r="FB1423" s="17"/>
      <c r="FC1423" s="16"/>
      <c r="FD1423" s="16"/>
      <c r="FE1423" s="17"/>
      <c r="FF1423" s="17"/>
      <c r="FG1423" s="11"/>
      <c r="GT1423" s="11"/>
      <c r="IG1423" s="11"/>
      <c r="JT1423" s="11"/>
      <c r="LG1423" s="11"/>
      <c r="MT1423" s="11"/>
      <c r="OG1423" s="11"/>
      <c r="PT1423" s="11"/>
    </row>
    <row r="1424" spans="1:436" ht="15.75" x14ac:dyDescent="0.25">
      <c r="C1424" s="20" t="s">
        <v>1041</v>
      </c>
      <c r="D1424" s="21" t="s">
        <v>84</v>
      </c>
      <c r="H1424" s="11"/>
      <c r="AU1424" s="11"/>
      <c r="CH1424" s="11"/>
      <c r="CI1424" s="16"/>
      <c r="CJ1424" s="16"/>
      <c r="CK1424" s="16"/>
      <c r="CL1424" s="16"/>
      <c r="CM1424" s="16"/>
      <c r="CN1424" s="16"/>
      <c r="CO1424" s="16"/>
      <c r="CP1424" s="16"/>
      <c r="CQ1424" s="16"/>
      <c r="CR1424" s="16"/>
      <c r="CS1424" s="16"/>
      <c r="CT1424" s="16"/>
      <c r="CU1424" s="16"/>
      <c r="CV1424" s="16"/>
      <c r="CW1424" s="16"/>
      <c r="CX1424" s="16"/>
      <c r="CY1424" s="16"/>
      <c r="CZ1424" s="16"/>
      <c r="DA1424" s="16"/>
      <c r="DB1424" s="16"/>
      <c r="DC1424" s="16"/>
      <c r="DD1424" s="16"/>
      <c r="DE1424" s="17"/>
      <c r="DF1424" s="17"/>
      <c r="DG1424" s="16"/>
      <c r="DH1424" s="16"/>
      <c r="DI1424" s="17"/>
      <c r="DJ1424" s="17"/>
      <c r="DK1424" s="16"/>
      <c r="DL1424" s="16"/>
      <c r="DM1424" s="17"/>
      <c r="DN1424" s="17"/>
      <c r="DO1424" s="16"/>
      <c r="DP1424" s="16"/>
      <c r="DQ1424" s="17"/>
      <c r="DR1424" s="17"/>
      <c r="DS1424" s="16"/>
      <c r="DT1424" s="16"/>
      <c r="DU1424" s="17"/>
      <c r="DV1424" s="17"/>
      <c r="DW1424" s="16"/>
      <c r="DX1424" s="16"/>
      <c r="DY1424" s="17"/>
      <c r="DZ1424" s="17"/>
      <c r="EA1424" s="16"/>
      <c r="EB1424" s="16"/>
      <c r="EC1424" s="17"/>
      <c r="ED1424" s="17"/>
      <c r="EE1424" s="16"/>
      <c r="EF1424" s="16"/>
      <c r="EG1424" s="17"/>
      <c r="EH1424" s="17"/>
      <c r="EI1424" s="16"/>
      <c r="EJ1424" s="16"/>
      <c r="EK1424" s="17"/>
      <c r="EL1424" s="17"/>
      <c r="EM1424" s="16"/>
      <c r="EN1424" s="16"/>
      <c r="EO1424" s="17"/>
      <c r="EP1424" s="17"/>
      <c r="EQ1424" s="16"/>
      <c r="ER1424" s="16"/>
      <c r="ES1424" s="17"/>
      <c r="ET1424" s="17"/>
      <c r="EU1424" s="16"/>
      <c r="EV1424" s="16"/>
      <c r="EW1424" s="17"/>
      <c r="EX1424" s="17"/>
      <c r="EY1424" s="16"/>
      <c r="EZ1424" s="16"/>
      <c r="FA1424" s="17"/>
      <c r="FB1424" s="17"/>
      <c r="FC1424" s="16"/>
      <c r="FD1424" s="16"/>
      <c r="FE1424" s="17"/>
      <c r="FF1424" s="17"/>
      <c r="FG1424" s="11"/>
      <c r="GT1424" s="11"/>
      <c r="IG1424" s="11"/>
      <c r="JT1424" s="11"/>
      <c r="LG1424" s="11"/>
      <c r="MT1424" s="11"/>
      <c r="OG1424" s="11"/>
      <c r="PT1424" s="11"/>
    </row>
    <row r="1425" spans="3:436" ht="15.75" x14ac:dyDescent="0.25">
      <c r="C1425" s="20" t="s">
        <v>996</v>
      </c>
      <c r="D1425" s="21" t="s">
        <v>82</v>
      </c>
      <c r="H1425" s="11"/>
      <c r="AU1425" s="11"/>
      <c r="CH1425" s="11"/>
      <c r="CI1425" s="16"/>
      <c r="CJ1425" s="16"/>
      <c r="CK1425" s="16"/>
      <c r="CL1425" s="16"/>
      <c r="CM1425" s="16"/>
      <c r="CN1425" s="16"/>
      <c r="CO1425" s="16"/>
      <c r="CP1425" s="16"/>
      <c r="CQ1425" s="16"/>
      <c r="CR1425" s="16"/>
      <c r="CS1425" s="16"/>
      <c r="CT1425" s="16"/>
      <c r="CU1425" s="16"/>
      <c r="CV1425" s="16"/>
      <c r="CW1425" s="16"/>
      <c r="CX1425" s="16"/>
      <c r="CY1425" s="16"/>
      <c r="CZ1425" s="16"/>
      <c r="DA1425" s="16"/>
      <c r="DB1425" s="16"/>
      <c r="DC1425" s="16"/>
      <c r="DD1425" s="16"/>
      <c r="DE1425" s="17"/>
      <c r="DF1425" s="17"/>
      <c r="DG1425" s="16"/>
      <c r="DH1425" s="16"/>
      <c r="DI1425" s="17"/>
      <c r="DJ1425" s="17"/>
      <c r="DK1425" s="16"/>
      <c r="DL1425" s="16"/>
      <c r="DM1425" s="17"/>
      <c r="DN1425" s="17"/>
      <c r="DO1425" s="16"/>
      <c r="DP1425" s="16"/>
      <c r="DQ1425" s="17"/>
      <c r="DR1425" s="17"/>
      <c r="DS1425" s="16"/>
      <c r="DT1425" s="16"/>
      <c r="DU1425" s="17"/>
      <c r="DV1425" s="17"/>
      <c r="DW1425" s="16"/>
      <c r="DX1425" s="16"/>
      <c r="DY1425" s="17"/>
      <c r="DZ1425" s="17"/>
      <c r="EA1425" s="16"/>
      <c r="EB1425" s="16"/>
      <c r="EC1425" s="17"/>
      <c r="ED1425" s="17"/>
      <c r="EE1425" s="16"/>
      <c r="EF1425" s="16"/>
      <c r="EG1425" s="17"/>
      <c r="EH1425" s="17"/>
      <c r="EI1425" s="16"/>
      <c r="EJ1425" s="16"/>
      <c r="EK1425" s="17"/>
      <c r="EL1425" s="17"/>
      <c r="EM1425" s="16"/>
      <c r="EN1425" s="16"/>
      <c r="EO1425" s="17"/>
      <c r="EP1425" s="17"/>
      <c r="EQ1425" s="16"/>
      <c r="ER1425" s="16"/>
      <c r="ES1425" s="17"/>
      <c r="ET1425" s="17"/>
      <c r="EU1425" s="16"/>
      <c r="EV1425" s="16"/>
      <c r="EW1425" s="17"/>
      <c r="EX1425" s="17"/>
      <c r="EY1425" s="16"/>
      <c r="EZ1425" s="16"/>
      <c r="FA1425" s="17"/>
      <c r="FB1425" s="17"/>
      <c r="FC1425" s="16"/>
      <c r="FD1425" s="16"/>
      <c r="FE1425" s="17"/>
      <c r="FF1425" s="17"/>
      <c r="FG1425" s="11"/>
      <c r="GT1425" s="11"/>
      <c r="IG1425" s="11"/>
      <c r="JT1425" s="11"/>
      <c r="LG1425" s="11"/>
      <c r="MT1425" s="11"/>
      <c r="OG1425" s="11"/>
      <c r="PT1425" s="11"/>
    </row>
    <row r="1426" spans="3:436" ht="15.75" x14ac:dyDescent="0.25">
      <c r="C1426" s="20" t="s">
        <v>1043</v>
      </c>
      <c r="D1426" s="21" t="s">
        <v>82</v>
      </c>
      <c r="H1426" s="11"/>
      <c r="AU1426" s="11"/>
      <c r="CH1426" s="11"/>
      <c r="CI1426" s="16"/>
      <c r="CJ1426" s="16"/>
      <c r="CK1426" s="16"/>
      <c r="CL1426" s="16"/>
      <c r="CM1426" s="16"/>
      <c r="CN1426" s="16"/>
      <c r="CO1426" s="16"/>
      <c r="CP1426" s="16"/>
      <c r="CQ1426" s="16"/>
      <c r="CR1426" s="16"/>
      <c r="CS1426" s="16"/>
      <c r="CT1426" s="16"/>
      <c r="CU1426" s="16"/>
      <c r="CV1426" s="16"/>
      <c r="CW1426" s="16"/>
      <c r="CX1426" s="16"/>
      <c r="CY1426" s="16"/>
      <c r="CZ1426" s="16"/>
      <c r="DA1426" s="16"/>
      <c r="DB1426" s="16"/>
      <c r="DC1426" s="16"/>
      <c r="DD1426" s="16"/>
      <c r="DE1426" s="17"/>
      <c r="DF1426" s="17"/>
      <c r="DG1426" s="16"/>
      <c r="DH1426" s="16"/>
      <c r="DI1426" s="17"/>
      <c r="DJ1426" s="17"/>
      <c r="DK1426" s="16"/>
      <c r="DL1426" s="16"/>
      <c r="DM1426" s="17"/>
      <c r="DN1426" s="17"/>
      <c r="DO1426" s="16"/>
      <c r="DP1426" s="16"/>
      <c r="DQ1426" s="17"/>
      <c r="DR1426" s="17"/>
      <c r="DS1426" s="16"/>
      <c r="DT1426" s="16"/>
      <c r="DU1426" s="17"/>
      <c r="DV1426" s="17"/>
      <c r="DW1426" s="16"/>
      <c r="DX1426" s="16"/>
      <c r="DY1426" s="17"/>
      <c r="DZ1426" s="17"/>
      <c r="EA1426" s="16"/>
      <c r="EB1426" s="16"/>
      <c r="EC1426" s="17"/>
      <c r="ED1426" s="17"/>
      <c r="EE1426" s="16"/>
      <c r="EF1426" s="16"/>
      <c r="EG1426" s="17"/>
      <c r="EH1426" s="17"/>
      <c r="EI1426" s="16"/>
      <c r="EJ1426" s="16"/>
      <c r="EK1426" s="17"/>
      <c r="EL1426" s="17"/>
      <c r="EM1426" s="16"/>
      <c r="EN1426" s="16"/>
      <c r="EO1426" s="17"/>
      <c r="EP1426" s="17"/>
      <c r="EQ1426" s="16"/>
      <c r="ER1426" s="16"/>
      <c r="ES1426" s="17"/>
      <c r="ET1426" s="17"/>
      <c r="EU1426" s="16"/>
      <c r="EV1426" s="16"/>
      <c r="EW1426" s="17"/>
      <c r="EX1426" s="17"/>
      <c r="EY1426" s="16"/>
      <c r="EZ1426" s="16"/>
      <c r="FA1426" s="17"/>
      <c r="FB1426" s="17"/>
      <c r="FC1426" s="16"/>
      <c r="FD1426" s="16"/>
      <c r="FE1426" s="17"/>
      <c r="FF1426" s="17"/>
      <c r="FG1426" s="11"/>
      <c r="GT1426" s="11"/>
      <c r="IG1426" s="11"/>
      <c r="JT1426" s="11"/>
      <c r="LG1426" s="11"/>
      <c r="MT1426" s="11"/>
      <c r="OG1426" s="11"/>
      <c r="PT1426" s="11"/>
    </row>
    <row r="1427" spans="3:436" ht="15.75" x14ac:dyDescent="0.25">
      <c r="C1427" s="20" t="s">
        <v>1044</v>
      </c>
      <c r="D1427" s="21" t="s">
        <v>82</v>
      </c>
      <c r="H1427" s="11"/>
      <c r="AU1427" s="11"/>
      <c r="CH1427" s="11"/>
      <c r="CI1427" s="16"/>
      <c r="CJ1427" s="16"/>
      <c r="CK1427" s="16"/>
      <c r="CL1427" s="16"/>
      <c r="CM1427" s="16"/>
      <c r="CN1427" s="16"/>
      <c r="CO1427" s="16"/>
      <c r="CP1427" s="16"/>
      <c r="CQ1427" s="16"/>
      <c r="CR1427" s="16"/>
      <c r="CS1427" s="16"/>
      <c r="CT1427" s="16"/>
      <c r="CU1427" s="16"/>
      <c r="CV1427" s="16"/>
      <c r="CW1427" s="16"/>
      <c r="CX1427" s="16"/>
      <c r="CY1427" s="16"/>
      <c r="CZ1427" s="16"/>
      <c r="DA1427" s="16"/>
      <c r="DB1427" s="16"/>
      <c r="DC1427" s="16"/>
      <c r="DD1427" s="16"/>
      <c r="DE1427" s="17"/>
      <c r="DF1427" s="17"/>
      <c r="DG1427" s="16"/>
      <c r="DH1427" s="16"/>
      <c r="DI1427" s="17"/>
      <c r="DJ1427" s="17"/>
      <c r="DK1427" s="16"/>
      <c r="DL1427" s="16"/>
      <c r="DM1427" s="17"/>
      <c r="DN1427" s="17"/>
      <c r="DO1427" s="16"/>
      <c r="DP1427" s="16"/>
      <c r="DQ1427" s="17"/>
      <c r="DR1427" s="17"/>
      <c r="DS1427" s="16"/>
      <c r="DT1427" s="16"/>
      <c r="DU1427" s="17"/>
      <c r="DV1427" s="17"/>
      <c r="DW1427" s="16"/>
      <c r="DX1427" s="16"/>
      <c r="DY1427" s="17"/>
      <c r="DZ1427" s="17"/>
      <c r="EA1427" s="16"/>
      <c r="EB1427" s="16"/>
      <c r="EC1427" s="17"/>
      <c r="ED1427" s="17"/>
      <c r="EE1427" s="16"/>
      <c r="EF1427" s="16"/>
      <c r="EG1427" s="17"/>
      <c r="EH1427" s="17"/>
      <c r="EI1427" s="16"/>
      <c r="EJ1427" s="16"/>
      <c r="EK1427" s="17"/>
      <c r="EL1427" s="17"/>
      <c r="EM1427" s="16"/>
      <c r="EN1427" s="16"/>
      <c r="EO1427" s="17"/>
      <c r="EP1427" s="17"/>
      <c r="EQ1427" s="16"/>
      <c r="ER1427" s="16"/>
      <c r="ES1427" s="18">
        <v>5</v>
      </c>
      <c r="ET1427" s="18">
        <v>5</v>
      </c>
      <c r="EU1427" s="16"/>
      <c r="EV1427" s="16"/>
      <c r="EW1427" s="17"/>
      <c r="EX1427" s="17"/>
      <c r="EY1427" s="16"/>
      <c r="EZ1427" s="16"/>
      <c r="FA1427" s="17"/>
      <c r="FB1427" s="17"/>
      <c r="FC1427" s="16"/>
      <c r="FD1427" s="16"/>
      <c r="FE1427" s="17"/>
      <c r="FF1427" s="17"/>
      <c r="FG1427" s="11"/>
      <c r="GT1427" s="11"/>
      <c r="IG1427" s="11"/>
      <c r="JT1427" s="11"/>
      <c r="LG1427" s="11"/>
      <c r="MT1427" s="11"/>
      <c r="OG1427" s="11"/>
      <c r="PT1427" s="11"/>
    </row>
    <row r="1428" spans="3:436" ht="15.75" x14ac:dyDescent="0.25">
      <c r="C1428" s="20" t="s">
        <v>1042</v>
      </c>
      <c r="D1428" s="21" t="s">
        <v>90</v>
      </c>
      <c r="H1428" s="11"/>
      <c r="AU1428" s="11"/>
      <c r="CH1428" s="11"/>
      <c r="CI1428" s="16"/>
      <c r="CJ1428" s="16"/>
      <c r="CK1428" s="16"/>
      <c r="CL1428" s="16"/>
      <c r="CM1428" s="16"/>
      <c r="CN1428" s="16"/>
      <c r="CO1428" s="16"/>
      <c r="CP1428" s="16"/>
      <c r="CQ1428" s="16"/>
      <c r="CR1428" s="16"/>
      <c r="CS1428" s="16"/>
      <c r="CT1428" s="16"/>
      <c r="CU1428" s="16"/>
      <c r="CV1428" s="16"/>
      <c r="CW1428" s="16"/>
      <c r="CX1428" s="16"/>
      <c r="CY1428" s="16"/>
      <c r="CZ1428" s="16"/>
      <c r="DA1428" s="16"/>
      <c r="DB1428" s="16"/>
      <c r="DC1428" s="16"/>
      <c r="DD1428" s="16"/>
      <c r="DE1428" s="17"/>
      <c r="DF1428" s="17"/>
      <c r="DG1428" s="16"/>
      <c r="DH1428" s="16"/>
      <c r="DI1428" s="17"/>
      <c r="DJ1428" s="17"/>
      <c r="DK1428" s="16"/>
      <c r="DL1428" s="16"/>
      <c r="DM1428" s="17"/>
      <c r="DN1428" s="17"/>
      <c r="DO1428" s="16"/>
      <c r="DP1428" s="16"/>
      <c r="DQ1428" s="17"/>
      <c r="DR1428" s="17"/>
      <c r="DS1428" s="16"/>
      <c r="DT1428" s="16"/>
      <c r="DU1428" s="17"/>
      <c r="DV1428" s="17"/>
      <c r="DW1428" s="16"/>
      <c r="DX1428" s="16"/>
      <c r="DY1428" s="17"/>
      <c r="DZ1428" s="17"/>
      <c r="EA1428" s="16"/>
      <c r="EB1428" s="16"/>
      <c r="EC1428" s="17"/>
      <c r="ED1428" s="17"/>
      <c r="EE1428" s="16"/>
      <c r="EF1428" s="16"/>
      <c r="EG1428" s="17"/>
      <c r="EH1428" s="17"/>
      <c r="EI1428" s="16"/>
      <c r="EJ1428" s="16"/>
      <c r="EK1428" s="17"/>
      <c r="EL1428" s="17"/>
      <c r="EM1428" s="16"/>
      <c r="EN1428" s="16"/>
      <c r="EO1428" s="17"/>
      <c r="EP1428" s="17"/>
      <c r="EQ1428" s="16"/>
      <c r="ER1428" s="16"/>
      <c r="ES1428" s="17"/>
      <c r="ET1428" s="17"/>
      <c r="EU1428" s="16"/>
      <c r="EV1428" s="16"/>
      <c r="EW1428" s="17"/>
      <c r="EX1428" s="17"/>
      <c r="EY1428" s="16"/>
      <c r="EZ1428" s="16"/>
      <c r="FA1428" s="17"/>
      <c r="FB1428" s="17"/>
      <c r="FC1428" s="16"/>
      <c r="FD1428" s="16"/>
      <c r="FE1428" s="17"/>
      <c r="FF1428" s="17"/>
      <c r="FG1428" s="11"/>
      <c r="GT1428" s="11"/>
      <c r="IG1428" s="11"/>
      <c r="JT1428" s="11"/>
      <c r="LG1428" s="11"/>
      <c r="MT1428" s="11"/>
      <c r="OG1428" s="11"/>
      <c r="PT1428" s="11"/>
    </row>
    <row r="1429" spans="3:436" ht="15.75" x14ac:dyDescent="0.25">
      <c r="C1429" s="20" t="s">
        <v>981</v>
      </c>
      <c r="D1429" s="21" t="s">
        <v>93</v>
      </c>
      <c r="H1429" s="11"/>
      <c r="AU1429" s="11"/>
      <c r="CH1429" s="11"/>
      <c r="CI1429" s="16"/>
      <c r="CJ1429" s="16"/>
      <c r="CK1429" s="16"/>
      <c r="CL1429" s="16"/>
      <c r="CM1429" s="16"/>
      <c r="CN1429" s="16"/>
      <c r="CO1429" s="16"/>
      <c r="CP1429" s="16"/>
      <c r="CQ1429" s="16"/>
      <c r="CR1429" s="16"/>
      <c r="CS1429" s="16"/>
      <c r="CT1429" s="16"/>
      <c r="CU1429" s="16"/>
      <c r="CV1429" s="16"/>
      <c r="CW1429" s="16"/>
      <c r="CX1429" s="16"/>
      <c r="CY1429" s="16"/>
      <c r="CZ1429" s="16"/>
      <c r="DA1429" s="16"/>
      <c r="DB1429" s="16"/>
      <c r="DC1429" s="16"/>
      <c r="DD1429" s="16"/>
      <c r="DE1429" s="17"/>
      <c r="DF1429" s="17"/>
      <c r="DG1429" s="16"/>
      <c r="DH1429" s="16"/>
      <c r="DI1429" s="17"/>
      <c r="DJ1429" s="17"/>
      <c r="DK1429" s="16"/>
      <c r="DL1429" s="16"/>
      <c r="DM1429" s="17"/>
      <c r="DN1429" s="17"/>
      <c r="DO1429" s="16"/>
      <c r="DP1429" s="16"/>
      <c r="DQ1429" s="17"/>
      <c r="DR1429" s="17"/>
      <c r="DS1429" s="16"/>
      <c r="DT1429" s="16"/>
      <c r="DU1429" s="17"/>
      <c r="DV1429" s="17"/>
      <c r="DW1429" s="16"/>
      <c r="DX1429" s="16"/>
      <c r="DY1429" s="17"/>
      <c r="DZ1429" s="17"/>
      <c r="EA1429" s="16"/>
      <c r="EB1429" s="16"/>
      <c r="EC1429" s="17"/>
      <c r="ED1429" s="17"/>
      <c r="EE1429" s="16"/>
      <c r="EF1429" s="16"/>
      <c r="EG1429" s="17"/>
      <c r="EH1429" s="17"/>
      <c r="EI1429" s="16"/>
      <c r="EJ1429" s="16"/>
      <c r="EK1429" s="17"/>
      <c r="EL1429" s="17"/>
      <c r="EM1429" s="16"/>
      <c r="EN1429" s="16"/>
      <c r="EO1429" s="17"/>
      <c r="EP1429" s="17"/>
      <c r="EQ1429" s="16"/>
      <c r="ER1429" s="16"/>
      <c r="ES1429" s="17"/>
      <c r="ET1429" s="17"/>
      <c r="EU1429" s="16"/>
      <c r="EV1429" s="16"/>
      <c r="EW1429" s="18">
        <v>2</v>
      </c>
      <c r="EX1429" s="18">
        <v>3</v>
      </c>
      <c r="EY1429" s="16"/>
      <c r="EZ1429" s="16"/>
      <c r="FA1429" s="17"/>
      <c r="FB1429" s="17"/>
      <c r="FC1429" s="16"/>
      <c r="FD1429" s="16"/>
      <c r="FE1429" s="17"/>
      <c r="FF1429" s="17"/>
      <c r="FG1429" s="11"/>
      <c r="GT1429" s="11"/>
      <c r="IG1429" s="11"/>
      <c r="JT1429" s="11"/>
      <c r="LG1429" s="11"/>
      <c r="MT1429" s="11"/>
      <c r="OG1429" s="11"/>
      <c r="PT1429" s="11"/>
    </row>
    <row r="1430" spans="3:436" ht="15.75" x14ac:dyDescent="0.25">
      <c r="C1430" s="20" t="s">
        <v>1045</v>
      </c>
      <c r="D1430" s="21" t="s">
        <v>93</v>
      </c>
      <c r="H1430" s="11"/>
      <c r="AU1430" s="11"/>
      <c r="CH1430" s="11"/>
      <c r="CI1430" s="16"/>
      <c r="CJ1430" s="16"/>
      <c r="CK1430" s="16"/>
      <c r="CL1430" s="16"/>
      <c r="CM1430" s="16"/>
      <c r="CN1430" s="16"/>
      <c r="CO1430" s="16"/>
      <c r="CP1430" s="16"/>
      <c r="CQ1430" s="16"/>
      <c r="CR1430" s="16"/>
      <c r="CS1430" s="16"/>
      <c r="CT1430" s="16"/>
      <c r="CU1430" s="16"/>
      <c r="CV1430" s="16"/>
      <c r="CW1430" s="16"/>
      <c r="CX1430" s="16"/>
      <c r="CY1430" s="16"/>
      <c r="CZ1430" s="16"/>
      <c r="DA1430" s="16"/>
      <c r="DB1430" s="16"/>
      <c r="DC1430" s="16"/>
      <c r="DD1430" s="16"/>
      <c r="DE1430" s="17"/>
      <c r="DF1430" s="17"/>
      <c r="DG1430" s="16"/>
      <c r="DH1430" s="16"/>
      <c r="DI1430" s="17"/>
      <c r="DJ1430" s="17"/>
      <c r="DK1430" s="16"/>
      <c r="DL1430" s="16"/>
      <c r="DM1430" s="17"/>
      <c r="DN1430" s="17"/>
      <c r="DO1430" s="16"/>
      <c r="DP1430" s="16"/>
      <c r="DQ1430" s="17"/>
      <c r="DR1430" s="17"/>
      <c r="DS1430" s="16"/>
      <c r="DT1430" s="16"/>
      <c r="DU1430" s="17"/>
      <c r="DV1430" s="17"/>
      <c r="DW1430" s="16"/>
      <c r="DX1430" s="16"/>
      <c r="DY1430" s="17"/>
      <c r="DZ1430" s="17"/>
      <c r="EA1430" s="16"/>
      <c r="EB1430" s="16"/>
      <c r="EC1430" s="17"/>
      <c r="ED1430" s="17"/>
      <c r="EE1430" s="16"/>
      <c r="EF1430" s="16"/>
      <c r="EG1430" s="17"/>
      <c r="EH1430" s="17"/>
      <c r="EI1430" s="16"/>
      <c r="EJ1430" s="16"/>
      <c r="EK1430" s="17"/>
      <c r="EL1430" s="17"/>
      <c r="EM1430" s="16"/>
      <c r="EN1430" s="16"/>
      <c r="EO1430" s="17"/>
      <c r="EP1430" s="17"/>
      <c r="EQ1430" s="16"/>
      <c r="ER1430" s="16"/>
      <c r="ES1430" s="17"/>
      <c r="ET1430" s="17"/>
      <c r="EU1430" s="16"/>
      <c r="EV1430" s="16"/>
      <c r="EW1430" s="18">
        <v>1</v>
      </c>
      <c r="EX1430" s="18">
        <v>2</v>
      </c>
      <c r="EY1430" s="16"/>
      <c r="EZ1430" s="16"/>
      <c r="FA1430" s="17"/>
      <c r="FB1430" s="17"/>
      <c r="FC1430" s="16"/>
      <c r="FD1430" s="16"/>
      <c r="FE1430" s="17"/>
      <c r="FF1430" s="17"/>
      <c r="FG1430" s="11"/>
      <c r="GT1430" s="11"/>
      <c r="IG1430" s="11"/>
      <c r="JT1430" s="11"/>
      <c r="LG1430" s="11"/>
      <c r="MT1430" s="11"/>
      <c r="OG1430" s="11"/>
      <c r="PT1430" s="11"/>
    </row>
    <row r="1431" spans="3:436" ht="15.75" x14ac:dyDescent="0.25">
      <c r="C1431" s="20" t="s">
        <v>983</v>
      </c>
      <c r="D1431" s="21" t="s">
        <v>93</v>
      </c>
      <c r="H1431" s="11"/>
      <c r="AU1431" s="11"/>
      <c r="CH1431" s="11"/>
      <c r="CI1431" s="16"/>
      <c r="CJ1431" s="16"/>
      <c r="CK1431" s="16"/>
      <c r="CL1431" s="16"/>
      <c r="CM1431" s="16"/>
      <c r="CN1431" s="16"/>
      <c r="CO1431" s="16"/>
      <c r="CP1431" s="16"/>
      <c r="CQ1431" s="16"/>
      <c r="CR1431" s="16"/>
      <c r="CS1431" s="16"/>
      <c r="CT1431" s="16"/>
      <c r="CU1431" s="16"/>
      <c r="CV1431" s="16"/>
      <c r="CW1431" s="16"/>
      <c r="CX1431" s="16"/>
      <c r="CY1431" s="16"/>
      <c r="CZ1431" s="16"/>
      <c r="DA1431" s="16"/>
      <c r="DB1431" s="16"/>
      <c r="DC1431" s="16"/>
      <c r="DD1431" s="16"/>
      <c r="DE1431" s="17"/>
      <c r="DF1431" s="17"/>
      <c r="DG1431" s="16"/>
      <c r="DH1431" s="16"/>
      <c r="DI1431" s="17"/>
      <c r="DJ1431" s="17"/>
      <c r="DK1431" s="16"/>
      <c r="DL1431" s="16"/>
      <c r="DM1431" s="17"/>
      <c r="DN1431" s="17"/>
      <c r="DO1431" s="16"/>
      <c r="DP1431" s="16"/>
      <c r="DQ1431" s="17"/>
      <c r="DR1431" s="17"/>
      <c r="DS1431" s="16"/>
      <c r="DT1431" s="16"/>
      <c r="DU1431" s="17"/>
      <c r="DV1431" s="17"/>
      <c r="DW1431" s="16"/>
      <c r="DX1431" s="16"/>
      <c r="DY1431" s="17"/>
      <c r="DZ1431" s="17"/>
      <c r="EA1431" s="16"/>
      <c r="EB1431" s="16"/>
      <c r="EC1431" s="17"/>
      <c r="ED1431" s="17"/>
      <c r="EE1431" s="16"/>
      <c r="EF1431" s="16"/>
      <c r="EG1431" s="17"/>
      <c r="EH1431" s="17"/>
      <c r="EI1431" s="16"/>
      <c r="EJ1431" s="16"/>
      <c r="EK1431" s="17"/>
      <c r="EL1431" s="17"/>
      <c r="EM1431" s="16"/>
      <c r="EN1431" s="16"/>
      <c r="EO1431" s="17"/>
      <c r="EP1431" s="17"/>
      <c r="EQ1431" s="16"/>
      <c r="ER1431" s="16"/>
      <c r="ES1431" s="17"/>
      <c r="ET1431" s="17"/>
      <c r="EU1431" s="16"/>
      <c r="EV1431" s="16"/>
      <c r="EW1431" s="18">
        <v>1</v>
      </c>
      <c r="EX1431" s="18">
        <v>2</v>
      </c>
      <c r="EY1431" s="16"/>
      <c r="EZ1431" s="16"/>
      <c r="FA1431" s="17"/>
      <c r="FB1431" s="17"/>
      <c r="FC1431" s="16"/>
      <c r="FD1431" s="16"/>
      <c r="FE1431" s="17"/>
      <c r="FF1431" s="17"/>
      <c r="FG1431" s="11"/>
      <c r="GT1431" s="11"/>
      <c r="IG1431" s="11"/>
      <c r="JT1431" s="11"/>
      <c r="LG1431" s="11"/>
      <c r="MT1431" s="11"/>
      <c r="OG1431" s="11"/>
      <c r="PT1431" s="11"/>
    </row>
    <row r="1432" spans="3:436" ht="15.75" x14ac:dyDescent="0.25">
      <c r="C1432" s="20" t="s">
        <v>984</v>
      </c>
      <c r="D1432" s="21" t="s">
        <v>93</v>
      </c>
      <c r="H1432" s="11"/>
      <c r="AU1432" s="11"/>
      <c r="CH1432" s="11"/>
      <c r="CI1432" s="16"/>
      <c r="CJ1432" s="16"/>
      <c r="CK1432" s="16"/>
      <c r="CL1432" s="16"/>
      <c r="CM1432" s="16"/>
      <c r="CN1432" s="16"/>
      <c r="CO1432" s="16"/>
      <c r="CP1432" s="16"/>
      <c r="CQ1432" s="16"/>
      <c r="CR1432" s="16"/>
      <c r="CS1432" s="16"/>
      <c r="CT1432" s="16"/>
      <c r="CU1432" s="16"/>
      <c r="CV1432" s="16"/>
      <c r="CW1432" s="16"/>
      <c r="CX1432" s="16"/>
      <c r="CY1432" s="16"/>
      <c r="CZ1432" s="16"/>
      <c r="DA1432" s="16"/>
      <c r="DB1432" s="16"/>
      <c r="DC1432" s="16"/>
      <c r="DD1432" s="16"/>
      <c r="DE1432" s="17"/>
      <c r="DF1432" s="17"/>
      <c r="DG1432" s="16"/>
      <c r="DH1432" s="16"/>
      <c r="DI1432" s="17"/>
      <c r="DJ1432" s="17"/>
      <c r="DK1432" s="16"/>
      <c r="DL1432" s="16"/>
      <c r="DM1432" s="17"/>
      <c r="DN1432" s="17"/>
      <c r="DO1432" s="16"/>
      <c r="DP1432" s="16"/>
      <c r="DQ1432" s="17"/>
      <c r="DR1432" s="17"/>
      <c r="DS1432" s="16"/>
      <c r="DT1432" s="16"/>
      <c r="DU1432" s="17"/>
      <c r="DV1432" s="17"/>
      <c r="DW1432" s="16"/>
      <c r="DX1432" s="16"/>
      <c r="DY1432" s="17"/>
      <c r="DZ1432" s="17"/>
      <c r="EA1432" s="16"/>
      <c r="EB1432" s="16"/>
      <c r="EC1432" s="17"/>
      <c r="ED1432" s="17"/>
      <c r="EE1432" s="16"/>
      <c r="EF1432" s="16"/>
      <c r="EG1432" s="17"/>
      <c r="EH1432" s="17"/>
      <c r="EI1432" s="16"/>
      <c r="EJ1432" s="16"/>
      <c r="EK1432" s="17"/>
      <c r="EL1432" s="17"/>
      <c r="EM1432" s="16"/>
      <c r="EN1432" s="16"/>
      <c r="EO1432" s="17"/>
      <c r="EP1432" s="17"/>
      <c r="EQ1432" s="16"/>
      <c r="ER1432" s="16"/>
      <c r="ES1432" s="17"/>
      <c r="ET1432" s="17"/>
      <c r="EU1432" s="16"/>
      <c r="EV1432" s="16"/>
      <c r="EW1432" s="18">
        <v>1</v>
      </c>
      <c r="EX1432" s="18">
        <v>2</v>
      </c>
      <c r="EY1432" s="16"/>
      <c r="EZ1432" s="16"/>
      <c r="FA1432" s="17"/>
      <c r="FB1432" s="17"/>
      <c r="FC1432" s="16"/>
      <c r="FD1432" s="16"/>
      <c r="FE1432" s="17"/>
      <c r="FF1432" s="17"/>
      <c r="FG1432" s="11"/>
      <c r="GT1432" s="11"/>
      <c r="IG1432" s="11"/>
      <c r="JT1432" s="11"/>
      <c r="LG1432" s="11"/>
      <c r="MT1432" s="11"/>
      <c r="OG1432" s="11"/>
      <c r="PT1432" s="11"/>
    </row>
    <row r="1433" spans="3:436" ht="15.75" x14ac:dyDescent="0.25">
      <c r="C1433" s="20" t="s">
        <v>985</v>
      </c>
      <c r="D1433" s="21" t="s">
        <v>93</v>
      </c>
      <c r="H1433" s="11"/>
      <c r="AU1433" s="11"/>
      <c r="CH1433" s="11"/>
      <c r="CI1433" s="16"/>
      <c r="CJ1433" s="16"/>
      <c r="CK1433" s="16"/>
      <c r="CL1433" s="16"/>
      <c r="CM1433" s="16"/>
      <c r="CN1433" s="16"/>
      <c r="CO1433" s="16"/>
      <c r="CP1433" s="16"/>
      <c r="CQ1433" s="16"/>
      <c r="CR1433" s="16"/>
      <c r="CS1433" s="16"/>
      <c r="CT1433" s="16"/>
      <c r="CU1433" s="16"/>
      <c r="CV1433" s="16"/>
      <c r="CW1433" s="16"/>
      <c r="CX1433" s="16"/>
      <c r="CY1433" s="16"/>
      <c r="CZ1433" s="16"/>
      <c r="DA1433" s="16"/>
      <c r="DB1433" s="16"/>
      <c r="DC1433" s="16"/>
      <c r="DD1433" s="16"/>
      <c r="DE1433" s="17"/>
      <c r="DF1433" s="17"/>
      <c r="DG1433" s="16"/>
      <c r="DH1433" s="16"/>
      <c r="DI1433" s="17"/>
      <c r="DJ1433" s="17"/>
      <c r="DK1433" s="16"/>
      <c r="DL1433" s="16"/>
      <c r="DM1433" s="17"/>
      <c r="DN1433" s="17"/>
      <c r="DO1433" s="16"/>
      <c r="DP1433" s="16"/>
      <c r="DQ1433" s="17"/>
      <c r="DR1433" s="17"/>
      <c r="DS1433" s="16"/>
      <c r="DT1433" s="16"/>
      <c r="DU1433" s="17"/>
      <c r="DV1433" s="17"/>
      <c r="DW1433" s="16"/>
      <c r="DX1433" s="16"/>
      <c r="DY1433" s="17"/>
      <c r="DZ1433" s="17"/>
      <c r="EA1433" s="16"/>
      <c r="EB1433" s="16"/>
      <c r="EC1433" s="17"/>
      <c r="ED1433" s="17"/>
      <c r="EE1433" s="16"/>
      <c r="EF1433" s="16"/>
      <c r="EG1433" s="17"/>
      <c r="EH1433" s="17"/>
      <c r="EI1433" s="16"/>
      <c r="EJ1433" s="16"/>
      <c r="EK1433" s="17"/>
      <c r="EL1433" s="17"/>
      <c r="EM1433" s="16"/>
      <c r="EN1433" s="16"/>
      <c r="EO1433" s="17"/>
      <c r="EP1433" s="17"/>
      <c r="EQ1433" s="16"/>
      <c r="ER1433" s="16"/>
      <c r="ES1433" s="17"/>
      <c r="ET1433" s="17"/>
      <c r="EU1433" s="16"/>
      <c r="EV1433" s="16"/>
      <c r="EW1433" s="18">
        <v>1</v>
      </c>
      <c r="EX1433" s="18">
        <v>2</v>
      </c>
      <c r="EY1433" s="16"/>
      <c r="EZ1433" s="16"/>
      <c r="FA1433" s="17"/>
      <c r="FB1433" s="17"/>
      <c r="FC1433" s="16"/>
      <c r="FD1433" s="16"/>
      <c r="FE1433" s="17"/>
      <c r="FF1433" s="17"/>
      <c r="FG1433" s="11"/>
      <c r="GT1433" s="11"/>
      <c r="IG1433" s="11"/>
      <c r="JT1433" s="11"/>
      <c r="LG1433" s="11"/>
      <c r="MT1433" s="11"/>
      <c r="OG1433" s="11"/>
      <c r="PT1433" s="11"/>
    </row>
    <row r="1434" spans="3:436" ht="15.75" x14ac:dyDescent="0.25">
      <c r="C1434" s="20" t="s">
        <v>986</v>
      </c>
      <c r="D1434" s="21" t="s">
        <v>93</v>
      </c>
      <c r="H1434" s="11"/>
      <c r="AU1434" s="11"/>
      <c r="CH1434" s="11"/>
      <c r="CI1434" s="16"/>
      <c r="CJ1434" s="16"/>
      <c r="CK1434" s="16"/>
      <c r="CL1434" s="16"/>
      <c r="CM1434" s="16"/>
      <c r="CN1434" s="16"/>
      <c r="CO1434" s="16"/>
      <c r="CP1434" s="16"/>
      <c r="CQ1434" s="16"/>
      <c r="CR1434" s="16"/>
      <c r="CS1434" s="16"/>
      <c r="CT1434" s="16"/>
      <c r="CU1434" s="16"/>
      <c r="CV1434" s="16"/>
      <c r="CW1434" s="16"/>
      <c r="CX1434" s="16"/>
      <c r="CY1434" s="16"/>
      <c r="CZ1434" s="16"/>
      <c r="DA1434" s="16"/>
      <c r="DB1434" s="16"/>
      <c r="DC1434" s="16"/>
      <c r="DD1434" s="16"/>
      <c r="DE1434" s="17"/>
      <c r="DF1434" s="17"/>
      <c r="DG1434" s="16"/>
      <c r="DH1434" s="16"/>
      <c r="DI1434" s="17"/>
      <c r="DJ1434" s="17"/>
      <c r="DK1434" s="16"/>
      <c r="DL1434" s="16"/>
      <c r="DM1434" s="17"/>
      <c r="DN1434" s="17"/>
      <c r="DO1434" s="16"/>
      <c r="DP1434" s="16"/>
      <c r="DQ1434" s="17"/>
      <c r="DR1434" s="17"/>
      <c r="DS1434" s="16"/>
      <c r="DT1434" s="16"/>
      <c r="DU1434" s="17"/>
      <c r="DV1434" s="17"/>
      <c r="DW1434" s="16"/>
      <c r="DX1434" s="16"/>
      <c r="DY1434" s="17"/>
      <c r="DZ1434" s="17"/>
      <c r="EA1434" s="16"/>
      <c r="EB1434" s="16"/>
      <c r="EC1434" s="17"/>
      <c r="ED1434" s="17"/>
      <c r="EE1434" s="16"/>
      <c r="EF1434" s="16"/>
      <c r="EG1434" s="17"/>
      <c r="EH1434" s="17"/>
      <c r="EI1434" s="16"/>
      <c r="EJ1434" s="16"/>
      <c r="EK1434" s="17"/>
      <c r="EL1434" s="17"/>
      <c r="EM1434" s="16"/>
      <c r="EN1434" s="16"/>
      <c r="EO1434" s="17"/>
      <c r="EP1434" s="17"/>
      <c r="EQ1434" s="16"/>
      <c r="ER1434" s="16"/>
      <c r="ES1434" s="17"/>
      <c r="ET1434" s="17"/>
      <c r="EU1434" s="16"/>
      <c r="EV1434" s="16"/>
      <c r="EW1434" s="18">
        <v>1</v>
      </c>
      <c r="EX1434" s="18">
        <v>2</v>
      </c>
      <c r="EY1434" s="16"/>
      <c r="EZ1434" s="16"/>
      <c r="FA1434" s="17"/>
      <c r="FB1434" s="17"/>
      <c r="FC1434" s="16"/>
      <c r="FD1434" s="16"/>
      <c r="FE1434" s="17"/>
      <c r="FF1434" s="17"/>
      <c r="FG1434" s="11"/>
      <c r="GT1434" s="11"/>
      <c r="IG1434" s="11"/>
      <c r="JT1434" s="11"/>
      <c r="LG1434" s="11"/>
      <c r="MT1434" s="11"/>
      <c r="OG1434" s="11"/>
      <c r="PT1434" s="11"/>
    </row>
    <row r="1435" spans="3:436" ht="15.75" x14ac:dyDescent="0.25">
      <c r="C1435" s="20" t="s">
        <v>987</v>
      </c>
      <c r="D1435" s="21" t="s">
        <v>93</v>
      </c>
      <c r="H1435" s="11"/>
      <c r="AU1435" s="11"/>
      <c r="CH1435" s="11"/>
      <c r="CI1435" s="16"/>
      <c r="CJ1435" s="16"/>
      <c r="CK1435" s="16"/>
      <c r="CL1435" s="16"/>
      <c r="CM1435" s="16"/>
      <c r="CN1435" s="16"/>
      <c r="CO1435" s="16"/>
      <c r="CP1435" s="16"/>
      <c r="CQ1435" s="16"/>
      <c r="CR1435" s="16"/>
      <c r="CS1435" s="16"/>
      <c r="CT1435" s="16"/>
      <c r="CU1435" s="16"/>
      <c r="CV1435" s="16"/>
      <c r="CW1435" s="16"/>
      <c r="CX1435" s="16"/>
      <c r="CY1435" s="16"/>
      <c r="CZ1435" s="16"/>
      <c r="DA1435" s="16"/>
      <c r="DB1435" s="16"/>
      <c r="DC1435" s="16"/>
      <c r="DD1435" s="16"/>
      <c r="DE1435" s="17"/>
      <c r="DF1435" s="17"/>
      <c r="DG1435" s="16"/>
      <c r="DH1435" s="16"/>
      <c r="DI1435" s="17"/>
      <c r="DJ1435" s="17"/>
      <c r="DK1435" s="16"/>
      <c r="DL1435" s="16"/>
      <c r="DM1435" s="17"/>
      <c r="DN1435" s="17"/>
      <c r="DO1435" s="16"/>
      <c r="DP1435" s="16"/>
      <c r="DQ1435" s="17"/>
      <c r="DR1435" s="17"/>
      <c r="DS1435" s="16"/>
      <c r="DT1435" s="16"/>
      <c r="DU1435" s="17"/>
      <c r="DV1435" s="17"/>
      <c r="DW1435" s="16"/>
      <c r="DX1435" s="16"/>
      <c r="DY1435" s="17"/>
      <c r="DZ1435" s="17"/>
      <c r="EA1435" s="16"/>
      <c r="EB1435" s="16"/>
      <c r="EC1435" s="17"/>
      <c r="ED1435" s="17"/>
      <c r="EE1435" s="16"/>
      <c r="EF1435" s="16"/>
      <c r="EG1435" s="17"/>
      <c r="EH1435" s="17"/>
      <c r="EI1435" s="16"/>
      <c r="EJ1435" s="16"/>
      <c r="EK1435" s="17"/>
      <c r="EL1435" s="17"/>
      <c r="EM1435" s="16"/>
      <c r="EN1435" s="16"/>
      <c r="EO1435" s="17"/>
      <c r="EP1435" s="17"/>
      <c r="EQ1435" s="16"/>
      <c r="ER1435" s="16"/>
      <c r="ES1435" s="17"/>
      <c r="ET1435" s="17"/>
      <c r="EU1435" s="16"/>
      <c r="EV1435" s="16"/>
      <c r="EW1435" s="18">
        <v>1</v>
      </c>
      <c r="EX1435" s="18">
        <v>2</v>
      </c>
      <c r="EY1435" s="16"/>
      <c r="EZ1435" s="16"/>
      <c r="FA1435" s="17"/>
      <c r="FB1435" s="17"/>
      <c r="FC1435" s="16"/>
      <c r="FD1435" s="16"/>
      <c r="FE1435" s="17"/>
      <c r="FF1435" s="17"/>
      <c r="FG1435" s="11"/>
      <c r="GT1435" s="11"/>
      <c r="IG1435" s="11"/>
      <c r="JT1435" s="11"/>
      <c r="LG1435" s="11"/>
      <c r="MT1435" s="11"/>
      <c r="OG1435" s="11"/>
      <c r="PT1435" s="11"/>
    </row>
    <row r="1436" spans="3:436" ht="15.75" x14ac:dyDescent="0.25">
      <c r="C1436" s="20" t="s">
        <v>988</v>
      </c>
      <c r="D1436" s="21" t="s">
        <v>93</v>
      </c>
      <c r="H1436" s="11"/>
      <c r="AU1436" s="11"/>
      <c r="CH1436" s="11"/>
      <c r="CI1436" s="16"/>
      <c r="CJ1436" s="16"/>
      <c r="CK1436" s="16"/>
      <c r="CL1436" s="16"/>
      <c r="CM1436" s="16"/>
      <c r="CN1436" s="16"/>
      <c r="CO1436" s="16"/>
      <c r="CP1436" s="16"/>
      <c r="CQ1436" s="16"/>
      <c r="CR1436" s="16"/>
      <c r="CS1436" s="16"/>
      <c r="CT1436" s="16"/>
      <c r="CU1436" s="16"/>
      <c r="CV1436" s="16"/>
      <c r="CW1436" s="16"/>
      <c r="CX1436" s="16"/>
      <c r="CY1436" s="16"/>
      <c r="CZ1436" s="16"/>
      <c r="DA1436" s="16"/>
      <c r="DB1436" s="16"/>
      <c r="DC1436" s="16"/>
      <c r="DD1436" s="16"/>
      <c r="DE1436" s="17"/>
      <c r="DF1436" s="17"/>
      <c r="DG1436" s="16"/>
      <c r="DH1436" s="16"/>
      <c r="DI1436" s="17"/>
      <c r="DJ1436" s="17"/>
      <c r="DK1436" s="16"/>
      <c r="DL1436" s="16"/>
      <c r="DM1436" s="17"/>
      <c r="DN1436" s="17"/>
      <c r="DO1436" s="16"/>
      <c r="DP1436" s="16"/>
      <c r="DQ1436" s="17"/>
      <c r="DR1436" s="17"/>
      <c r="DS1436" s="16"/>
      <c r="DT1436" s="16"/>
      <c r="DU1436" s="17"/>
      <c r="DV1436" s="17"/>
      <c r="DW1436" s="16"/>
      <c r="DX1436" s="16"/>
      <c r="DY1436" s="17"/>
      <c r="DZ1436" s="17"/>
      <c r="EA1436" s="16"/>
      <c r="EB1436" s="16"/>
      <c r="EC1436" s="17"/>
      <c r="ED1436" s="17"/>
      <c r="EE1436" s="16"/>
      <c r="EF1436" s="16"/>
      <c r="EG1436" s="17"/>
      <c r="EH1436" s="17"/>
      <c r="EI1436" s="16"/>
      <c r="EJ1436" s="16"/>
      <c r="EK1436" s="17"/>
      <c r="EL1436" s="17"/>
      <c r="EM1436" s="16"/>
      <c r="EN1436" s="16"/>
      <c r="EO1436" s="17"/>
      <c r="EP1436" s="17"/>
      <c r="EQ1436" s="16"/>
      <c r="ER1436" s="16"/>
      <c r="ES1436" s="17"/>
      <c r="ET1436" s="17"/>
      <c r="EU1436" s="16"/>
      <c r="EV1436" s="16"/>
      <c r="EW1436" s="18">
        <v>1</v>
      </c>
      <c r="EX1436" s="18">
        <v>2</v>
      </c>
      <c r="EY1436" s="16"/>
      <c r="EZ1436" s="16"/>
      <c r="FA1436" s="17"/>
      <c r="FB1436" s="17"/>
      <c r="FC1436" s="16"/>
      <c r="FD1436" s="16"/>
      <c r="FE1436" s="17"/>
      <c r="FF1436" s="17"/>
      <c r="FG1436" s="11"/>
      <c r="GT1436" s="11"/>
      <c r="IG1436" s="11"/>
      <c r="JT1436" s="11"/>
      <c r="LG1436" s="11"/>
      <c r="MT1436" s="11"/>
      <c r="OG1436" s="11"/>
      <c r="PT1436" s="11"/>
    </row>
    <row r="1437" spans="3:436" ht="15.75" x14ac:dyDescent="0.25">
      <c r="C1437" s="20" t="s">
        <v>989</v>
      </c>
      <c r="D1437" s="21" t="s">
        <v>93</v>
      </c>
      <c r="H1437" s="11"/>
      <c r="AU1437" s="11"/>
      <c r="CH1437" s="11"/>
      <c r="CI1437" s="16"/>
      <c r="CJ1437" s="16"/>
      <c r="CK1437" s="16"/>
      <c r="CL1437" s="16"/>
      <c r="CM1437" s="16"/>
      <c r="CN1437" s="16"/>
      <c r="CO1437" s="16"/>
      <c r="CP1437" s="16"/>
      <c r="CQ1437" s="16"/>
      <c r="CR1437" s="16"/>
      <c r="CS1437" s="16"/>
      <c r="CT1437" s="16"/>
      <c r="CU1437" s="16"/>
      <c r="CV1437" s="16"/>
      <c r="CW1437" s="16"/>
      <c r="CX1437" s="16"/>
      <c r="CY1437" s="16"/>
      <c r="CZ1437" s="16"/>
      <c r="DA1437" s="16"/>
      <c r="DB1437" s="16"/>
      <c r="DC1437" s="16"/>
      <c r="DD1437" s="16"/>
      <c r="DE1437" s="17"/>
      <c r="DF1437" s="17"/>
      <c r="DG1437" s="16"/>
      <c r="DH1437" s="16"/>
      <c r="DI1437" s="17"/>
      <c r="DJ1437" s="17"/>
      <c r="DK1437" s="16"/>
      <c r="DL1437" s="16"/>
      <c r="DM1437" s="17"/>
      <c r="DN1437" s="17"/>
      <c r="DO1437" s="16"/>
      <c r="DP1437" s="16"/>
      <c r="DQ1437" s="17"/>
      <c r="DR1437" s="17"/>
      <c r="DS1437" s="16"/>
      <c r="DT1437" s="16"/>
      <c r="DU1437" s="17"/>
      <c r="DV1437" s="17"/>
      <c r="DW1437" s="16"/>
      <c r="DX1437" s="16"/>
      <c r="DY1437" s="17"/>
      <c r="DZ1437" s="17"/>
      <c r="EA1437" s="16"/>
      <c r="EB1437" s="16"/>
      <c r="EC1437" s="17"/>
      <c r="ED1437" s="17"/>
      <c r="EE1437" s="16"/>
      <c r="EF1437" s="16"/>
      <c r="EG1437" s="17"/>
      <c r="EH1437" s="17"/>
      <c r="EI1437" s="16"/>
      <c r="EJ1437" s="16"/>
      <c r="EK1437" s="17"/>
      <c r="EL1437" s="17"/>
      <c r="EM1437" s="16"/>
      <c r="EN1437" s="16"/>
      <c r="EO1437" s="17"/>
      <c r="EP1437" s="17"/>
      <c r="EQ1437" s="16"/>
      <c r="ER1437" s="16"/>
      <c r="ES1437" s="17"/>
      <c r="ET1437" s="17"/>
      <c r="EU1437" s="16"/>
      <c r="EV1437" s="16"/>
      <c r="EW1437" s="18">
        <v>1</v>
      </c>
      <c r="EX1437" s="18">
        <v>2</v>
      </c>
      <c r="EY1437" s="16"/>
      <c r="EZ1437" s="16"/>
      <c r="FA1437" s="17"/>
      <c r="FB1437" s="17"/>
      <c r="FC1437" s="16"/>
      <c r="FD1437" s="16"/>
      <c r="FE1437" s="17"/>
      <c r="FF1437" s="17"/>
      <c r="FG1437" s="11"/>
      <c r="GT1437" s="11"/>
      <c r="IG1437" s="11"/>
      <c r="JT1437" s="11"/>
      <c r="LG1437" s="11"/>
      <c r="MT1437" s="11"/>
      <c r="OG1437" s="11"/>
      <c r="PT1437" s="11"/>
    </row>
    <row r="1438" spans="3:436" ht="15.75" x14ac:dyDescent="0.25">
      <c r="C1438" s="20" t="s">
        <v>1046</v>
      </c>
      <c r="D1438" s="21" t="s">
        <v>93</v>
      </c>
      <c r="H1438" s="11"/>
      <c r="AU1438" s="11"/>
      <c r="CH1438" s="11"/>
      <c r="CI1438" s="16"/>
      <c r="CJ1438" s="16"/>
      <c r="CK1438" s="16"/>
      <c r="CL1438" s="16"/>
      <c r="CM1438" s="16"/>
      <c r="CN1438" s="16"/>
      <c r="CO1438" s="16"/>
      <c r="CP1438" s="16"/>
      <c r="CQ1438" s="16"/>
      <c r="CR1438" s="16"/>
      <c r="CS1438" s="16"/>
      <c r="CT1438" s="16"/>
      <c r="CU1438" s="16"/>
      <c r="CV1438" s="16"/>
      <c r="CW1438" s="16"/>
      <c r="CX1438" s="16"/>
      <c r="CY1438" s="16"/>
      <c r="CZ1438" s="16"/>
      <c r="DA1438" s="16"/>
      <c r="DB1438" s="16"/>
      <c r="DC1438" s="16"/>
      <c r="DD1438" s="16"/>
      <c r="DE1438" s="17"/>
      <c r="DF1438" s="17"/>
      <c r="DG1438" s="16"/>
      <c r="DH1438" s="16"/>
      <c r="DI1438" s="17"/>
      <c r="DJ1438" s="17"/>
      <c r="DK1438" s="16"/>
      <c r="DL1438" s="16"/>
      <c r="DM1438" s="17"/>
      <c r="DN1438" s="17"/>
      <c r="DO1438" s="16"/>
      <c r="DP1438" s="16"/>
      <c r="DQ1438" s="17"/>
      <c r="DR1438" s="17"/>
      <c r="DS1438" s="16"/>
      <c r="DT1438" s="16"/>
      <c r="DU1438" s="17"/>
      <c r="DV1438" s="17"/>
      <c r="DW1438" s="16"/>
      <c r="DX1438" s="16"/>
      <c r="DY1438" s="17"/>
      <c r="DZ1438" s="17"/>
      <c r="EA1438" s="16"/>
      <c r="EB1438" s="16"/>
      <c r="EC1438" s="17"/>
      <c r="ED1438" s="17"/>
      <c r="EE1438" s="16"/>
      <c r="EF1438" s="16"/>
      <c r="EG1438" s="17"/>
      <c r="EH1438" s="17"/>
      <c r="EI1438" s="16"/>
      <c r="EJ1438" s="16"/>
      <c r="EK1438" s="17"/>
      <c r="EL1438" s="17"/>
      <c r="EM1438" s="16"/>
      <c r="EN1438" s="16"/>
      <c r="EO1438" s="17"/>
      <c r="EP1438" s="17"/>
      <c r="EQ1438" s="16"/>
      <c r="ER1438" s="16"/>
      <c r="ES1438" s="17"/>
      <c r="ET1438" s="17"/>
      <c r="EU1438" s="16"/>
      <c r="EV1438" s="16"/>
      <c r="EW1438" s="18">
        <v>1</v>
      </c>
      <c r="EX1438" s="18">
        <v>2</v>
      </c>
      <c r="EY1438" s="16"/>
      <c r="EZ1438" s="16"/>
      <c r="FA1438" s="17"/>
      <c r="FB1438" s="17"/>
      <c r="FC1438" s="16"/>
      <c r="FD1438" s="16"/>
      <c r="FE1438" s="17"/>
      <c r="FF1438" s="17"/>
      <c r="FG1438" s="11"/>
      <c r="GT1438" s="11"/>
      <c r="IG1438" s="11"/>
      <c r="JT1438" s="11"/>
      <c r="LG1438" s="11"/>
      <c r="MT1438" s="11"/>
      <c r="OG1438" s="11"/>
      <c r="PT1438" s="11"/>
    </row>
    <row r="1439" spans="3:436" ht="15.75" x14ac:dyDescent="0.25">
      <c r="C1439" s="20" t="s">
        <v>1047</v>
      </c>
      <c r="D1439" s="21" t="s">
        <v>93</v>
      </c>
      <c r="H1439" s="11"/>
      <c r="AU1439" s="11"/>
      <c r="CH1439" s="11"/>
      <c r="CI1439" s="16"/>
      <c r="CJ1439" s="16"/>
      <c r="CK1439" s="16"/>
      <c r="CL1439" s="16"/>
      <c r="CM1439" s="16"/>
      <c r="CN1439" s="16"/>
      <c r="CO1439" s="16"/>
      <c r="CP1439" s="16"/>
      <c r="CQ1439" s="16"/>
      <c r="CR1439" s="16"/>
      <c r="CS1439" s="16"/>
      <c r="CT1439" s="16"/>
      <c r="CU1439" s="16"/>
      <c r="CV1439" s="16"/>
      <c r="CW1439" s="16"/>
      <c r="CX1439" s="16"/>
      <c r="CY1439" s="16"/>
      <c r="CZ1439" s="16"/>
      <c r="DA1439" s="16"/>
      <c r="DB1439" s="16"/>
      <c r="DC1439" s="16"/>
      <c r="DD1439" s="16"/>
      <c r="DE1439" s="17"/>
      <c r="DF1439" s="17"/>
      <c r="DG1439" s="16"/>
      <c r="DH1439" s="16"/>
      <c r="DI1439" s="17"/>
      <c r="DJ1439" s="17"/>
      <c r="DK1439" s="16"/>
      <c r="DL1439" s="16"/>
      <c r="DM1439" s="17"/>
      <c r="DN1439" s="17"/>
      <c r="DO1439" s="16"/>
      <c r="DP1439" s="16"/>
      <c r="DQ1439" s="17"/>
      <c r="DR1439" s="17"/>
      <c r="DS1439" s="16"/>
      <c r="DT1439" s="16"/>
      <c r="DU1439" s="17"/>
      <c r="DV1439" s="17"/>
      <c r="DW1439" s="16"/>
      <c r="DX1439" s="16"/>
      <c r="DY1439" s="17"/>
      <c r="DZ1439" s="17"/>
      <c r="EA1439" s="16"/>
      <c r="EB1439" s="16"/>
      <c r="EC1439" s="17"/>
      <c r="ED1439" s="17"/>
      <c r="EE1439" s="16"/>
      <c r="EF1439" s="16"/>
      <c r="EG1439" s="17"/>
      <c r="EH1439" s="17"/>
      <c r="EI1439" s="16"/>
      <c r="EJ1439" s="16"/>
      <c r="EK1439" s="17"/>
      <c r="EL1439" s="17"/>
      <c r="EM1439" s="16"/>
      <c r="EN1439" s="16"/>
      <c r="EO1439" s="17"/>
      <c r="EP1439" s="17"/>
      <c r="EQ1439" s="16"/>
      <c r="ER1439" s="16"/>
      <c r="ES1439" s="17"/>
      <c r="ET1439" s="17"/>
      <c r="EU1439" s="16"/>
      <c r="EV1439" s="16"/>
      <c r="EW1439" s="18">
        <v>1</v>
      </c>
      <c r="EX1439" s="18">
        <v>2</v>
      </c>
      <c r="EY1439" s="16"/>
      <c r="EZ1439" s="16"/>
      <c r="FA1439" s="17"/>
      <c r="FB1439" s="17"/>
      <c r="FC1439" s="16"/>
      <c r="FD1439" s="16"/>
      <c r="FE1439" s="17"/>
      <c r="FF1439" s="17"/>
      <c r="FG1439" s="11"/>
      <c r="GT1439" s="11"/>
      <c r="IG1439" s="11"/>
      <c r="JT1439" s="11"/>
      <c r="LG1439" s="11"/>
      <c r="MT1439" s="11"/>
      <c r="OG1439" s="11"/>
      <c r="PT1439" s="11"/>
    </row>
    <row r="1440" spans="3:436" ht="15.75" x14ac:dyDescent="0.25">
      <c r="C1440" s="20" t="s">
        <v>1048</v>
      </c>
      <c r="D1440" s="21" t="s">
        <v>93</v>
      </c>
      <c r="H1440" s="11"/>
      <c r="AU1440" s="11"/>
      <c r="CH1440" s="11"/>
      <c r="CI1440" s="16"/>
      <c r="CJ1440" s="16"/>
      <c r="CK1440" s="16"/>
      <c r="CL1440" s="16"/>
      <c r="CM1440" s="16"/>
      <c r="CN1440" s="16"/>
      <c r="CO1440" s="16"/>
      <c r="CP1440" s="16"/>
      <c r="CQ1440" s="16"/>
      <c r="CR1440" s="16"/>
      <c r="CS1440" s="16"/>
      <c r="CT1440" s="16"/>
      <c r="CU1440" s="16"/>
      <c r="CV1440" s="16"/>
      <c r="CW1440" s="16"/>
      <c r="CX1440" s="16"/>
      <c r="CY1440" s="16"/>
      <c r="CZ1440" s="16"/>
      <c r="DA1440" s="16"/>
      <c r="DB1440" s="16"/>
      <c r="DC1440" s="16"/>
      <c r="DD1440" s="16"/>
      <c r="DE1440" s="17"/>
      <c r="DF1440" s="17"/>
      <c r="DG1440" s="16"/>
      <c r="DH1440" s="16"/>
      <c r="DI1440" s="17"/>
      <c r="DJ1440" s="17"/>
      <c r="DK1440" s="16"/>
      <c r="DL1440" s="16"/>
      <c r="DM1440" s="17"/>
      <c r="DN1440" s="17"/>
      <c r="DO1440" s="16"/>
      <c r="DP1440" s="16"/>
      <c r="DQ1440" s="17"/>
      <c r="DR1440" s="17"/>
      <c r="DS1440" s="16"/>
      <c r="DT1440" s="16"/>
      <c r="DU1440" s="17"/>
      <c r="DV1440" s="17"/>
      <c r="DW1440" s="16"/>
      <c r="DX1440" s="16"/>
      <c r="DY1440" s="17"/>
      <c r="DZ1440" s="17"/>
      <c r="EA1440" s="16"/>
      <c r="EB1440" s="16"/>
      <c r="EC1440" s="17"/>
      <c r="ED1440" s="17"/>
      <c r="EE1440" s="16"/>
      <c r="EF1440" s="16"/>
      <c r="EG1440" s="17"/>
      <c r="EH1440" s="17"/>
      <c r="EI1440" s="16"/>
      <c r="EJ1440" s="16"/>
      <c r="EK1440" s="17"/>
      <c r="EL1440" s="17"/>
      <c r="EM1440" s="16"/>
      <c r="EN1440" s="16"/>
      <c r="EO1440" s="17"/>
      <c r="EP1440" s="17"/>
      <c r="EQ1440" s="16"/>
      <c r="ER1440" s="16"/>
      <c r="ES1440" s="17"/>
      <c r="ET1440" s="17"/>
      <c r="EU1440" s="16"/>
      <c r="EV1440" s="16"/>
      <c r="EW1440" s="18">
        <v>1</v>
      </c>
      <c r="EX1440" s="18">
        <v>2</v>
      </c>
      <c r="EY1440" s="16"/>
      <c r="EZ1440" s="16"/>
      <c r="FA1440" s="17"/>
      <c r="FB1440" s="17"/>
      <c r="FC1440" s="16"/>
      <c r="FD1440" s="16"/>
      <c r="FE1440" s="17"/>
      <c r="FF1440" s="17"/>
      <c r="FG1440" s="11"/>
      <c r="GT1440" s="11"/>
      <c r="IG1440" s="11"/>
      <c r="JT1440" s="11"/>
      <c r="LG1440" s="11"/>
      <c r="MT1440" s="11"/>
      <c r="OG1440" s="11"/>
      <c r="PT1440" s="11"/>
    </row>
    <row r="1441" spans="1:436" ht="15.75" x14ac:dyDescent="0.25">
      <c r="C1441" s="20" t="s">
        <v>1049</v>
      </c>
      <c r="D1441" s="21" t="s">
        <v>93</v>
      </c>
      <c r="H1441" s="11"/>
      <c r="AU1441" s="11"/>
      <c r="CH1441" s="11"/>
      <c r="CI1441" s="16"/>
      <c r="CJ1441" s="16"/>
      <c r="CK1441" s="16"/>
      <c r="CL1441" s="16"/>
      <c r="CM1441" s="16"/>
      <c r="CN1441" s="16"/>
      <c r="CO1441" s="16"/>
      <c r="CP1441" s="16"/>
      <c r="CQ1441" s="16"/>
      <c r="CR1441" s="16"/>
      <c r="CS1441" s="16"/>
      <c r="CT1441" s="16"/>
      <c r="CU1441" s="16"/>
      <c r="CV1441" s="16"/>
      <c r="CW1441" s="16"/>
      <c r="CX1441" s="16"/>
      <c r="CY1441" s="16"/>
      <c r="CZ1441" s="16"/>
      <c r="DA1441" s="16"/>
      <c r="DB1441" s="16"/>
      <c r="DC1441" s="16"/>
      <c r="DD1441" s="16"/>
      <c r="DE1441" s="17"/>
      <c r="DF1441" s="17"/>
      <c r="DG1441" s="16"/>
      <c r="DH1441" s="16"/>
      <c r="DI1441" s="17"/>
      <c r="DJ1441" s="17"/>
      <c r="DK1441" s="16"/>
      <c r="DL1441" s="16"/>
      <c r="DM1441" s="17"/>
      <c r="DN1441" s="17"/>
      <c r="DO1441" s="16"/>
      <c r="DP1441" s="16"/>
      <c r="DQ1441" s="17"/>
      <c r="DR1441" s="17"/>
      <c r="DS1441" s="16"/>
      <c r="DT1441" s="16"/>
      <c r="DU1441" s="17"/>
      <c r="DV1441" s="17"/>
      <c r="DW1441" s="16"/>
      <c r="DX1441" s="16"/>
      <c r="DY1441" s="17"/>
      <c r="DZ1441" s="17"/>
      <c r="EA1441" s="16"/>
      <c r="EB1441" s="16"/>
      <c r="EC1441" s="17"/>
      <c r="ED1441" s="17"/>
      <c r="EE1441" s="16"/>
      <c r="EF1441" s="16"/>
      <c r="EG1441" s="17"/>
      <c r="EH1441" s="17"/>
      <c r="EI1441" s="16"/>
      <c r="EJ1441" s="16"/>
      <c r="EK1441" s="17"/>
      <c r="EL1441" s="17"/>
      <c r="EM1441" s="16"/>
      <c r="EN1441" s="16"/>
      <c r="EO1441" s="17"/>
      <c r="EP1441" s="17"/>
      <c r="EQ1441" s="16"/>
      <c r="ER1441" s="16"/>
      <c r="ES1441" s="17"/>
      <c r="ET1441" s="17"/>
      <c r="EU1441" s="16"/>
      <c r="EV1441" s="16"/>
      <c r="EW1441" s="18">
        <v>1</v>
      </c>
      <c r="EX1441" s="18">
        <v>2</v>
      </c>
      <c r="EY1441" s="16"/>
      <c r="EZ1441" s="16"/>
      <c r="FA1441" s="17"/>
      <c r="FB1441" s="17"/>
      <c r="FC1441" s="16"/>
      <c r="FD1441" s="16"/>
      <c r="FE1441" s="17"/>
      <c r="FF1441" s="17"/>
      <c r="FG1441" s="11"/>
      <c r="GT1441" s="11"/>
      <c r="IG1441" s="11"/>
      <c r="JT1441" s="11"/>
      <c r="LG1441" s="11"/>
      <c r="MT1441" s="11"/>
      <c r="OG1441" s="11"/>
      <c r="PT1441" s="11"/>
    </row>
    <row r="1442" spans="1:436" ht="15.75" x14ac:dyDescent="0.25">
      <c r="C1442" s="20" t="s">
        <v>1050</v>
      </c>
      <c r="D1442" s="21" t="s">
        <v>93</v>
      </c>
      <c r="H1442" s="11"/>
      <c r="AU1442" s="11"/>
      <c r="CH1442" s="11"/>
      <c r="CI1442" s="16"/>
      <c r="CJ1442" s="16"/>
      <c r="CK1442" s="16"/>
      <c r="CL1442" s="16"/>
      <c r="CM1442" s="16"/>
      <c r="CN1442" s="16"/>
      <c r="CO1442" s="16"/>
      <c r="CP1442" s="16"/>
      <c r="CQ1442" s="16"/>
      <c r="CR1442" s="16"/>
      <c r="CS1442" s="16"/>
      <c r="CT1442" s="16"/>
      <c r="CU1442" s="16"/>
      <c r="CV1442" s="16"/>
      <c r="CW1442" s="16"/>
      <c r="CX1442" s="16"/>
      <c r="CY1442" s="16"/>
      <c r="CZ1442" s="16"/>
      <c r="DA1442" s="16"/>
      <c r="DB1442" s="16"/>
      <c r="DC1442" s="16"/>
      <c r="DD1442" s="16"/>
      <c r="DE1442" s="17"/>
      <c r="DF1442" s="17"/>
      <c r="DG1442" s="16"/>
      <c r="DH1442" s="16"/>
      <c r="DI1442" s="17"/>
      <c r="DJ1442" s="17"/>
      <c r="DK1442" s="16"/>
      <c r="DL1442" s="16"/>
      <c r="DM1442" s="17"/>
      <c r="DN1442" s="17"/>
      <c r="DO1442" s="16"/>
      <c r="DP1442" s="16"/>
      <c r="DQ1442" s="17"/>
      <c r="DR1442" s="17"/>
      <c r="DS1442" s="16"/>
      <c r="DT1442" s="16"/>
      <c r="DU1442" s="17"/>
      <c r="DV1442" s="17"/>
      <c r="DW1442" s="16"/>
      <c r="DX1442" s="16"/>
      <c r="DY1442" s="17"/>
      <c r="DZ1442" s="17"/>
      <c r="EA1442" s="16"/>
      <c r="EB1442" s="16"/>
      <c r="EC1442" s="17"/>
      <c r="ED1442" s="17"/>
      <c r="EE1442" s="16"/>
      <c r="EF1442" s="16"/>
      <c r="EG1442" s="17"/>
      <c r="EH1442" s="17"/>
      <c r="EI1442" s="16"/>
      <c r="EJ1442" s="16"/>
      <c r="EK1442" s="17"/>
      <c r="EL1442" s="17"/>
      <c r="EM1442" s="16"/>
      <c r="EN1442" s="16"/>
      <c r="EO1442" s="17"/>
      <c r="EP1442" s="17"/>
      <c r="EQ1442" s="16"/>
      <c r="ER1442" s="16"/>
      <c r="ES1442" s="17"/>
      <c r="ET1442" s="17"/>
      <c r="EU1442" s="16"/>
      <c r="EV1442" s="16"/>
      <c r="EW1442" s="18">
        <v>1</v>
      </c>
      <c r="EX1442" s="18">
        <v>2</v>
      </c>
      <c r="EY1442" s="16"/>
      <c r="EZ1442" s="16"/>
      <c r="FA1442" s="17"/>
      <c r="FB1442" s="17"/>
      <c r="FC1442" s="16"/>
      <c r="FD1442" s="16"/>
      <c r="FE1442" s="17"/>
      <c r="FF1442" s="17"/>
      <c r="FG1442" s="11"/>
      <c r="GT1442" s="11"/>
      <c r="IG1442" s="11"/>
      <c r="JT1442" s="11"/>
      <c r="LG1442" s="11"/>
      <c r="MT1442" s="11"/>
      <c r="OG1442" s="11"/>
      <c r="PT1442" s="11"/>
    </row>
    <row r="1443" spans="1:436" ht="15.75" x14ac:dyDescent="0.25">
      <c r="C1443" s="20" t="s">
        <v>1051</v>
      </c>
      <c r="D1443" s="21" t="s">
        <v>93</v>
      </c>
      <c r="H1443" s="11"/>
      <c r="AU1443" s="11"/>
      <c r="CH1443" s="11"/>
      <c r="CI1443" s="16"/>
      <c r="CJ1443" s="16"/>
      <c r="CK1443" s="16"/>
      <c r="CL1443" s="16"/>
      <c r="CM1443" s="16"/>
      <c r="CN1443" s="16"/>
      <c r="CO1443" s="16"/>
      <c r="CP1443" s="16"/>
      <c r="CQ1443" s="16"/>
      <c r="CR1443" s="16"/>
      <c r="CS1443" s="16"/>
      <c r="CT1443" s="16"/>
      <c r="CU1443" s="16"/>
      <c r="CV1443" s="16"/>
      <c r="CW1443" s="16"/>
      <c r="CX1443" s="16"/>
      <c r="CY1443" s="16"/>
      <c r="CZ1443" s="16"/>
      <c r="DA1443" s="16"/>
      <c r="DB1443" s="16"/>
      <c r="DC1443" s="16"/>
      <c r="DD1443" s="16"/>
      <c r="DE1443" s="17"/>
      <c r="DF1443" s="17"/>
      <c r="DG1443" s="16"/>
      <c r="DH1443" s="16"/>
      <c r="DI1443" s="17"/>
      <c r="DJ1443" s="17"/>
      <c r="DK1443" s="16"/>
      <c r="DL1443" s="16"/>
      <c r="DM1443" s="17"/>
      <c r="DN1443" s="17"/>
      <c r="DO1443" s="16"/>
      <c r="DP1443" s="16"/>
      <c r="DQ1443" s="17"/>
      <c r="DR1443" s="17"/>
      <c r="DS1443" s="16"/>
      <c r="DT1443" s="16"/>
      <c r="DU1443" s="17"/>
      <c r="DV1443" s="17"/>
      <c r="DW1443" s="16"/>
      <c r="DX1443" s="16"/>
      <c r="DY1443" s="17"/>
      <c r="DZ1443" s="17"/>
      <c r="EA1443" s="16"/>
      <c r="EB1443" s="16"/>
      <c r="EC1443" s="17"/>
      <c r="ED1443" s="17"/>
      <c r="EE1443" s="16"/>
      <c r="EF1443" s="16"/>
      <c r="EG1443" s="17"/>
      <c r="EH1443" s="17"/>
      <c r="EI1443" s="16"/>
      <c r="EJ1443" s="16"/>
      <c r="EK1443" s="17"/>
      <c r="EL1443" s="17"/>
      <c r="EM1443" s="16"/>
      <c r="EN1443" s="16"/>
      <c r="EO1443" s="17"/>
      <c r="EP1443" s="17"/>
      <c r="EQ1443" s="16"/>
      <c r="ER1443" s="16"/>
      <c r="ES1443" s="17"/>
      <c r="ET1443" s="17"/>
      <c r="EU1443" s="16"/>
      <c r="EV1443" s="16"/>
      <c r="EW1443" s="18">
        <v>1</v>
      </c>
      <c r="EX1443" s="18">
        <v>2</v>
      </c>
      <c r="EY1443" s="16"/>
      <c r="EZ1443" s="16"/>
      <c r="FA1443" s="17"/>
      <c r="FB1443" s="17"/>
      <c r="FC1443" s="16"/>
      <c r="FD1443" s="16"/>
      <c r="FE1443" s="17"/>
      <c r="FF1443" s="17"/>
      <c r="FG1443" s="11"/>
      <c r="GT1443" s="11"/>
      <c r="IG1443" s="11"/>
      <c r="JT1443" s="11"/>
      <c r="LG1443" s="11"/>
      <c r="MT1443" s="11"/>
      <c r="OG1443" s="11"/>
      <c r="PT1443" s="11"/>
    </row>
    <row r="1444" spans="1:436" ht="15.75" x14ac:dyDescent="0.25">
      <c r="C1444" s="20" t="s">
        <v>1052</v>
      </c>
      <c r="D1444" s="21" t="s">
        <v>93</v>
      </c>
      <c r="H1444" s="11"/>
      <c r="AU1444" s="11"/>
      <c r="CH1444" s="11"/>
      <c r="CI1444" s="16"/>
      <c r="CJ1444" s="16"/>
      <c r="CK1444" s="16"/>
      <c r="CL1444" s="16"/>
      <c r="CM1444" s="16"/>
      <c r="CN1444" s="16"/>
      <c r="CO1444" s="16"/>
      <c r="CP1444" s="16"/>
      <c r="CQ1444" s="16"/>
      <c r="CR1444" s="16"/>
      <c r="CS1444" s="16"/>
      <c r="CT1444" s="16"/>
      <c r="CU1444" s="16"/>
      <c r="CV1444" s="16"/>
      <c r="CW1444" s="16"/>
      <c r="CX1444" s="16"/>
      <c r="CY1444" s="16"/>
      <c r="CZ1444" s="16"/>
      <c r="DA1444" s="16"/>
      <c r="DB1444" s="16"/>
      <c r="DC1444" s="16"/>
      <c r="DD1444" s="16"/>
      <c r="DE1444" s="17"/>
      <c r="DF1444" s="17"/>
      <c r="DG1444" s="16"/>
      <c r="DH1444" s="16"/>
      <c r="DI1444" s="17"/>
      <c r="DJ1444" s="17"/>
      <c r="DK1444" s="16"/>
      <c r="DL1444" s="16"/>
      <c r="DM1444" s="17"/>
      <c r="DN1444" s="17"/>
      <c r="DO1444" s="16"/>
      <c r="DP1444" s="16"/>
      <c r="DQ1444" s="17"/>
      <c r="DR1444" s="17"/>
      <c r="DS1444" s="16"/>
      <c r="DT1444" s="16"/>
      <c r="DU1444" s="17"/>
      <c r="DV1444" s="17"/>
      <c r="DW1444" s="16"/>
      <c r="DX1444" s="16"/>
      <c r="DY1444" s="17"/>
      <c r="DZ1444" s="17"/>
      <c r="EA1444" s="16"/>
      <c r="EB1444" s="16"/>
      <c r="EC1444" s="17"/>
      <c r="ED1444" s="17"/>
      <c r="EE1444" s="16"/>
      <c r="EF1444" s="16"/>
      <c r="EG1444" s="17"/>
      <c r="EH1444" s="17"/>
      <c r="EI1444" s="16"/>
      <c r="EJ1444" s="16"/>
      <c r="EK1444" s="17"/>
      <c r="EL1444" s="17"/>
      <c r="EM1444" s="16"/>
      <c r="EN1444" s="16"/>
      <c r="EO1444" s="17"/>
      <c r="EP1444" s="17"/>
      <c r="EQ1444" s="16"/>
      <c r="ER1444" s="16"/>
      <c r="ES1444" s="17"/>
      <c r="ET1444" s="17"/>
      <c r="EU1444" s="16"/>
      <c r="EV1444" s="16"/>
      <c r="EW1444" s="18">
        <v>1</v>
      </c>
      <c r="EX1444" s="18">
        <v>2</v>
      </c>
      <c r="EY1444" s="16"/>
      <c r="EZ1444" s="16"/>
      <c r="FA1444" s="17"/>
      <c r="FB1444" s="17"/>
      <c r="FC1444" s="16"/>
      <c r="FD1444" s="16"/>
      <c r="FE1444" s="17"/>
      <c r="FF1444" s="17"/>
      <c r="FG1444" s="11"/>
      <c r="GT1444" s="11"/>
      <c r="IG1444" s="11"/>
      <c r="JT1444" s="11"/>
      <c r="LG1444" s="11"/>
      <c r="MT1444" s="11"/>
      <c r="OG1444" s="11"/>
      <c r="PT1444" s="11"/>
    </row>
    <row r="1445" spans="1:436" ht="15.75" x14ac:dyDescent="0.25">
      <c r="C1445" s="20" t="s">
        <v>1053</v>
      </c>
      <c r="D1445" s="21" t="s">
        <v>93</v>
      </c>
      <c r="H1445" s="11"/>
      <c r="AU1445" s="11"/>
      <c r="CH1445" s="11"/>
      <c r="CI1445" s="16"/>
      <c r="CJ1445" s="16"/>
      <c r="CK1445" s="16"/>
      <c r="CL1445" s="16"/>
      <c r="CM1445" s="16"/>
      <c r="CN1445" s="16"/>
      <c r="CO1445" s="16"/>
      <c r="CP1445" s="16"/>
      <c r="CQ1445" s="16"/>
      <c r="CR1445" s="16"/>
      <c r="CS1445" s="16"/>
      <c r="CT1445" s="16"/>
      <c r="CU1445" s="16"/>
      <c r="CV1445" s="16"/>
      <c r="CW1445" s="16"/>
      <c r="CX1445" s="16"/>
      <c r="CY1445" s="16"/>
      <c r="CZ1445" s="16"/>
      <c r="DA1445" s="16"/>
      <c r="DB1445" s="16"/>
      <c r="DC1445" s="16"/>
      <c r="DD1445" s="16"/>
      <c r="DE1445" s="17"/>
      <c r="DF1445" s="17"/>
      <c r="DG1445" s="16"/>
      <c r="DH1445" s="16"/>
      <c r="DI1445" s="17"/>
      <c r="DJ1445" s="17"/>
      <c r="DK1445" s="16"/>
      <c r="DL1445" s="16"/>
      <c r="DM1445" s="17"/>
      <c r="DN1445" s="17"/>
      <c r="DO1445" s="16"/>
      <c r="DP1445" s="16"/>
      <c r="DQ1445" s="17"/>
      <c r="DR1445" s="17"/>
      <c r="DS1445" s="16"/>
      <c r="DT1445" s="16"/>
      <c r="DU1445" s="17"/>
      <c r="DV1445" s="17"/>
      <c r="DW1445" s="16"/>
      <c r="DX1445" s="16"/>
      <c r="DY1445" s="17"/>
      <c r="DZ1445" s="17"/>
      <c r="EA1445" s="16"/>
      <c r="EB1445" s="16"/>
      <c r="EC1445" s="17"/>
      <c r="ED1445" s="17"/>
      <c r="EE1445" s="16"/>
      <c r="EF1445" s="16"/>
      <c r="EG1445" s="17"/>
      <c r="EH1445" s="17"/>
      <c r="EI1445" s="16"/>
      <c r="EJ1445" s="16"/>
      <c r="EK1445" s="17"/>
      <c r="EL1445" s="17"/>
      <c r="EM1445" s="16"/>
      <c r="EN1445" s="16"/>
      <c r="EO1445" s="17"/>
      <c r="EP1445" s="17"/>
      <c r="EQ1445" s="16"/>
      <c r="ER1445" s="16"/>
      <c r="ES1445" s="17"/>
      <c r="ET1445" s="17"/>
      <c r="EU1445" s="16"/>
      <c r="EV1445" s="16"/>
      <c r="EW1445" s="18">
        <v>3</v>
      </c>
      <c r="EX1445" s="18">
        <v>4</v>
      </c>
      <c r="EY1445" s="16"/>
      <c r="EZ1445" s="16"/>
      <c r="FA1445" s="17"/>
      <c r="FB1445" s="17"/>
      <c r="FC1445" s="16"/>
      <c r="FD1445" s="16"/>
      <c r="FE1445" s="17"/>
      <c r="FF1445" s="17"/>
      <c r="FG1445" s="11"/>
      <c r="GT1445" s="11"/>
      <c r="IG1445" s="11"/>
      <c r="JT1445" s="11"/>
      <c r="LG1445" s="11"/>
      <c r="MT1445" s="11"/>
      <c r="OG1445" s="11"/>
      <c r="PT1445" s="11"/>
    </row>
    <row r="1446" spans="1:436" ht="15.75" x14ac:dyDescent="0.25">
      <c r="C1446" s="20" t="s">
        <v>1046</v>
      </c>
      <c r="D1446" s="21" t="s">
        <v>82</v>
      </c>
      <c r="H1446" s="11"/>
      <c r="AU1446" s="11"/>
      <c r="CH1446" s="11"/>
      <c r="CI1446" s="16"/>
      <c r="CJ1446" s="16"/>
      <c r="CK1446" s="16"/>
      <c r="CL1446" s="16"/>
      <c r="CM1446" s="16"/>
      <c r="CN1446" s="16"/>
      <c r="CO1446" s="16"/>
      <c r="CP1446" s="16"/>
      <c r="CQ1446" s="16"/>
      <c r="CR1446" s="16"/>
      <c r="CS1446" s="16"/>
      <c r="CT1446" s="16"/>
      <c r="CU1446" s="16"/>
      <c r="CV1446" s="16"/>
      <c r="CW1446" s="16"/>
      <c r="CX1446" s="16"/>
      <c r="CY1446" s="16"/>
      <c r="CZ1446" s="16"/>
      <c r="DA1446" s="16"/>
      <c r="DB1446" s="16"/>
      <c r="DC1446" s="16"/>
      <c r="DD1446" s="16"/>
      <c r="DE1446" s="17"/>
      <c r="DF1446" s="17"/>
      <c r="DG1446" s="16"/>
      <c r="DH1446" s="16"/>
      <c r="DI1446" s="17"/>
      <c r="DJ1446" s="17"/>
      <c r="DK1446" s="16"/>
      <c r="DL1446" s="16"/>
      <c r="DM1446" s="17"/>
      <c r="DN1446" s="17"/>
      <c r="DO1446" s="16"/>
      <c r="DP1446" s="16"/>
      <c r="DQ1446" s="17"/>
      <c r="DR1446" s="17"/>
      <c r="DS1446" s="16"/>
      <c r="DT1446" s="16"/>
      <c r="DU1446" s="17"/>
      <c r="DV1446" s="17"/>
      <c r="DW1446" s="16"/>
      <c r="DX1446" s="16"/>
      <c r="DY1446" s="17"/>
      <c r="DZ1446" s="17"/>
      <c r="EA1446" s="16"/>
      <c r="EB1446" s="16"/>
      <c r="EC1446" s="17"/>
      <c r="ED1446" s="17"/>
      <c r="EE1446" s="16"/>
      <c r="EF1446" s="16"/>
      <c r="EG1446" s="17"/>
      <c r="EH1446" s="17"/>
      <c r="EI1446" s="16"/>
      <c r="EJ1446" s="16"/>
      <c r="EK1446" s="17"/>
      <c r="EL1446" s="17"/>
      <c r="EM1446" s="16"/>
      <c r="EN1446" s="16"/>
      <c r="EO1446" s="17"/>
      <c r="EP1446" s="17"/>
      <c r="EQ1446" s="16"/>
      <c r="ER1446" s="16"/>
      <c r="ES1446" s="18">
        <v>2</v>
      </c>
      <c r="ET1446" s="18">
        <v>3</v>
      </c>
      <c r="EU1446" s="16"/>
      <c r="EV1446" s="16"/>
      <c r="EW1446" s="17"/>
      <c r="EX1446" s="17"/>
      <c r="EY1446" s="16"/>
      <c r="EZ1446" s="16"/>
      <c r="FA1446" s="17"/>
      <c r="FB1446" s="17"/>
      <c r="FC1446" s="16"/>
      <c r="FD1446" s="16"/>
      <c r="FE1446" s="17"/>
      <c r="FF1446" s="17"/>
      <c r="FG1446" s="11"/>
      <c r="GT1446" s="11"/>
      <c r="IG1446" s="11"/>
      <c r="JT1446" s="11"/>
      <c r="LG1446" s="11"/>
      <c r="MT1446" s="11"/>
      <c r="OG1446" s="11"/>
      <c r="PT1446" s="11"/>
    </row>
    <row r="1447" spans="1:436" ht="15.75" x14ac:dyDescent="0.25">
      <c r="C1447" s="20" t="s">
        <v>1047</v>
      </c>
      <c r="D1447" s="21" t="s">
        <v>82</v>
      </c>
      <c r="H1447" s="11"/>
      <c r="AU1447" s="11"/>
      <c r="CH1447" s="11"/>
      <c r="CI1447" s="16"/>
      <c r="CJ1447" s="16"/>
      <c r="CK1447" s="16"/>
      <c r="CL1447" s="16"/>
      <c r="CM1447" s="16"/>
      <c r="CN1447" s="16"/>
      <c r="CO1447" s="16"/>
      <c r="CP1447" s="16"/>
      <c r="CQ1447" s="16"/>
      <c r="CR1447" s="16"/>
      <c r="CS1447" s="16"/>
      <c r="CT1447" s="16"/>
      <c r="CU1447" s="16"/>
      <c r="CV1447" s="16"/>
      <c r="CW1447" s="16"/>
      <c r="CX1447" s="16"/>
      <c r="CY1447" s="16"/>
      <c r="CZ1447" s="16"/>
      <c r="DA1447" s="16"/>
      <c r="DB1447" s="16"/>
      <c r="DC1447" s="16"/>
      <c r="DD1447" s="16"/>
      <c r="DE1447" s="17"/>
      <c r="DF1447" s="17"/>
      <c r="DG1447" s="16"/>
      <c r="DH1447" s="16"/>
      <c r="DI1447" s="17"/>
      <c r="DJ1447" s="17"/>
      <c r="DK1447" s="16"/>
      <c r="DL1447" s="16"/>
      <c r="DM1447" s="17"/>
      <c r="DN1447" s="17"/>
      <c r="DO1447" s="16"/>
      <c r="DP1447" s="16"/>
      <c r="DQ1447" s="17"/>
      <c r="DR1447" s="17"/>
      <c r="DS1447" s="16"/>
      <c r="DT1447" s="16"/>
      <c r="DU1447" s="17"/>
      <c r="DV1447" s="17"/>
      <c r="DW1447" s="16"/>
      <c r="DX1447" s="16"/>
      <c r="DY1447" s="17"/>
      <c r="DZ1447" s="17"/>
      <c r="EA1447" s="16"/>
      <c r="EB1447" s="16"/>
      <c r="EC1447" s="17"/>
      <c r="ED1447" s="17"/>
      <c r="EE1447" s="16"/>
      <c r="EF1447" s="16"/>
      <c r="EG1447" s="17"/>
      <c r="EH1447" s="17"/>
      <c r="EI1447" s="16"/>
      <c r="EJ1447" s="16"/>
      <c r="EK1447" s="17"/>
      <c r="EL1447" s="17"/>
      <c r="EM1447" s="16"/>
      <c r="EN1447" s="16"/>
      <c r="EO1447" s="17"/>
      <c r="EP1447" s="17"/>
      <c r="EQ1447" s="16"/>
      <c r="ER1447" s="16"/>
      <c r="ES1447" s="18">
        <v>2</v>
      </c>
      <c r="ET1447" s="18">
        <v>3</v>
      </c>
      <c r="EU1447" s="16"/>
      <c r="EV1447" s="16"/>
      <c r="EW1447" s="17"/>
      <c r="EX1447" s="17"/>
      <c r="EY1447" s="16"/>
      <c r="EZ1447" s="16"/>
      <c r="FA1447" s="17"/>
      <c r="FB1447" s="17"/>
      <c r="FC1447" s="16"/>
      <c r="FD1447" s="16"/>
      <c r="FE1447" s="17"/>
      <c r="FF1447" s="17"/>
      <c r="FG1447" s="11"/>
      <c r="GT1447" s="11"/>
      <c r="IG1447" s="11"/>
      <c r="JT1447" s="11"/>
      <c r="LG1447" s="11"/>
      <c r="MT1447" s="11"/>
      <c r="OG1447" s="11"/>
      <c r="PT1447" s="11"/>
    </row>
    <row r="1448" spans="1:436" ht="15.75" x14ac:dyDescent="0.25">
      <c r="C1448" s="20" t="s">
        <v>1048</v>
      </c>
      <c r="D1448" s="21" t="s">
        <v>82</v>
      </c>
      <c r="H1448" s="11"/>
      <c r="AU1448" s="11"/>
      <c r="CH1448" s="11"/>
      <c r="CI1448" s="16"/>
      <c r="CJ1448" s="16"/>
      <c r="CK1448" s="16"/>
      <c r="CL1448" s="16"/>
      <c r="CM1448" s="16"/>
      <c r="CN1448" s="16"/>
      <c r="CO1448" s="16"/>
      <c r="CP1448" s="16"/>
      <c r="CQ1448" s="16"/>
      <c r="CR1448" s="16"/>
      <c r="CS1448" s="16"/>
      <c r="CT1448" s="16"/>
      <c r="CU1448" s="16"/>
      <c r="CV1448" s="16"/>
      <c r="CW1448" s="16"/>
      <c r="CX1448" s="16"/>
      <c r="CY1448" s="16"/>
      <c r="CZ1448" s="16"/>
      <c r="DA1448" s="16"/>
      <c r="DB1448" s="16"/>
      <c r="DC1448" s="16"/>
      <c r="DD1448" s="16"/>
      <c r="DE1448" s="17"/>
      <c r="DF1448" s="17"/>
      <c r="DG1448" s="16"/>
      <c r="DH1448" s="16"/>
      <c r="DI1448" s="17"/>
      <c r="DJ1448" s="17"/>
      <c r="DK1448" s="16"/>
      <c r="DL1448" s="16"/>
      <c r="DM1448" s="17"/>
      <c r="DN1448" s="17"/>
      <c r="DO1448" s="16"/>
      <c r="DP1448" s="16"/>
      <c r="DQ1448" s="17"/>
      <c r="DR1448" s="17"/>
      <c r="DS1448" s="16"/>
      <c r="DT1448" s="16"/>
      <c r="DU1448" s="17"/>
      <c r="DV1448" s="17"/>
      <c r="DW1448" s="16"/>
      <c r="DX1448" s="16"/>
      <c r="DY1448" s="17"/>
      <c r="DZ1448" s="17"/>
      <c r="EA1448" s="16"/>
      <c r="EB1448" s="16"/>
      <c r="EC1448" s="17"/>
      <c r="ED1448" s="17"/>
      <c r="EE1448" s="16"/>
      <c r="EF1448" s="16"/>
      <c r="EG1448" s="17"/>
      <c r="EH1448" s="17"/>
      <c r="EI1448" s="16"/>
      <c r="EJ1448" s="16"/>
      <c r="EK1448" s="17"/>
      <c r="EL1448" s="17"/>
      <c r="EM1448" s="16"/>
      <c r="EN1448" s="16"/>
      <c r="EO1448" s="17"/>
      <c r="EP1448" s="17"/>
      <c r="EQ1448" s="16"/>
      <c r="ER1448" s="16"/>
      <c r="ES1448" s="18">
        <v>2</v>
      </c>
      <c r="ET1448" s="18">
        <v>3</v>
      </c>
      <c r="EU1448" s="16"/>
      <c r="EV1448" s="16"/>
      <c r="EW1448" s="17"/>
      <c r="EX1448" s="17"/>
      <c r="EY1448" s="16"/>
      <c r="EZ1448" s="16"/>
      <c r="FA1448" s="17"/>
      <c r="FB1448" s="17"/>
      <c r="FC1448" s="16"/>
      <c r="FD1448" s="16"/>
      <c r="FE1448" s="17"/>
      <c r="FF1448" s="17"/>
      <c r="FG1448" s="11"/>
      <c r="GT1448" s="11"/>
      <c r="IG1448" s="11"/>
      <c r="JT1448" s="11"/>
      <c r="LG1448" s="11"/>
      <c r="MT1448" s="11"/>
      <c r="OG1448" s="11"/>
      <c r="PT1448" s="11"/>
    </row>
    <row r="1449" spans="1:436" ht="15.75" x14ac:dyDescent="0.25">
      <c r="C1449" s="20" t="s">
        <v>1049</v>
      </c>
      <c r="D1449" s="21" t="s">
        <v>82</v>
      </c>
      <c r="H1449" s="11"/>
      <c r="AU1449" s="11"/>
      <c r="CH1449" s="11"/>
      <c r="CI1449" s="16"/>
      <c r="CJ1449" s="16"/>
      <c r="CK1449" s="16"/>
      <c r="CL1449" s="16"/>
      <c r="CM1449" s="16"/>
      <c r="CN1449" s="16"/>
      <c r="CO1449" s="16"/>
      <c r="CP1449" s="16"/>
      <c r="CQ1449" s="16"/>
      <c r="CR1449" s="16"/>
      <c r="CS1449" s="16"/>
      <c r="CT1449" s="16"/>
      <c r="CU1449" s="16"/>
      <c r="CV1449" s="16"/>
      <c r="CW1449" s="16"/>
      <c r="CX1449" s="16"/>
      <c r="CY1449" s="16"/>
      <c r="CZ1449" s="16"/>
      <c r="DA1449" s="16"/>
      <c r="DB1449" s="16"/>
      <c r="DC1449" s="16"/>
      <c r="DD1449" s="16"/>
      <c r="DE1449" s="17"/>
      <c r="DF1449" s="17"/>
      <c r="DG1449" s="16"/>
      <c r="DH1449" s="16"/>
      <c r="DI1449" s="17"/>
      <c r="DJ1449" s="17"/>
      <c r="DK1449" s="16"/>
      <c r="DL1449" s="16"/>
      <c r="DM1449" s="17"/>
      <c r="DN1449" s="17"/>
      <c r="DO1449" s="16"/>
      <c r="DP1449" s="16"/>
      <c r="DQ1449" s="17"/>
      <c r="DR1449" s="17"/>
      <c r="DS1449" s="16"/>
      <c r="DT1449" s="16"/>
      <c r="DU1449" s="17"/>
      <c r="DV1449" s="17"/>
      <c r="DW1449" s="16"/>
      <c r="DX1449" s="16"/>
      <c r="DY1449" s="17"/>
      <c r="DZ1449" s="17"/>
      <c r="EA1449" s="16"/>
      <c r="EB1449" s="16"/>
      <c r="EC1449" s="17"/>
      <c r="ED1449" s="17"/>
      <c r="EE1449" s="16"/>
      <c r="EF1449" s="16"/>
      <c r="EG1449" s="17"/>
      <c r="EH1449" s="17"/>
      <c r="EI1449" s="16"/>
      <c r="EJ1449" s="16"/>
      <c r="EK1449" s="17"/>
      <c r="EL1449" s="17"/>
      <c r="EM1449" s="16"/>
      <c r="EN1449" s="16"/>
      <c r="EO1449" s="17"/>
      <c r="EP1449" s="17"/>
      <c r="EQ1449" s="16"/>
      <c r="ER1449" s="16"/>
      <c r="ES1449" s="18">
        <v>2</v>
      </c>
      <c r="ET1449" s="18">
        <v>3</v>
      </c>
      <c r="EU1449" s="16"/>
      <c r="EV1449" s="16"/>
      <c r="EW1449" s="17"/>
      <c r="EX1449" s="17"/>
      <c r="EY1449" s="16"/>
      <c r="EZ1449" s="16"/>
      <c r="FA1449" s="17"/>
      <c r="FB1449" s="17"/>
      <c r="FC1449" s="16"/>
      <c r="FD1449" s="16"/>
      <c r="FE1449" s="17"/>
      <c r="FF1449" s="17"/>
      <c r="FG1449" s="11"/>
      <c r="GT1449" s="11"/>
      <c r="IG1449" s="11"/>
      <c r="JT1449" s="11"/>
      <c r="LG1449" s="11"/>
      <c r="MT1449" s="11"/>
      <c r="OG1449" s="11"/>
      <c r="PT1449" s="11"/>
    </row>
    <row r="1450" spans="1:436" ht="15.75" x14ac:dyDescent="0.25">
      <c r="C1450" s="20" t="s">
        <v>1050</v>
      </c>
      <c r="D1450" s="21" t="s">
        <v>82</v>
      </c>
      <c r="H1450" s="11"/>
      <c r="AU1450" s="11"/>
      <c r="CH1450" s="11"/>
      <c r="CI1450" s="16"/>
      <c r="CJ1450" s="16"/>
      <c r="CK1450" s="16"/>
      <c r="CL1450" s="16"/>
      <c r="CM1450" s="16"/>
      <c r="CN1450" s="16"/>
      <c r="CO1450" s="16"/>
      <c r="CP1450" s="16"/>
      <c r="CQ1450" s="16"/>
      <c r="CR1450" s="16"/>
      <c r="CS1450" s="16"/>
      <c r="CT1450" s="16"/>
      <c r="CU1450" s="16"/>
      <c r="CV1450" s="16"/>
      <c r="CW1450" s="16"/>
      <c r="CX1450" s="16"/>
      <c r="CY1450" s="16"/>
      <c r="CZ1450" s="16"/>
      <c r="DA1450" s="16"/>
      <c r="DB1450" s="16"/>
      <c r="DC1450" s="16"/>
      <c r="DD1450" s="16"/>
      <c r="DE1450" s="17"/>
      <c r="DF1450" s="17"/>
      <c r="DG1450" s="16"/>
      <c r="DH1450" s="16"/>
      <c r="DI1450" s="17"/>
      <c r="DJ1450" s="17"/>
      <c r="DK1450" s="16"/>
      <c r="DL1450" s="16"/>
      <c r="DM1450" s="17"/>
      <c r="DN1450" s="17"/>
      <c r="DO1450" s="16"/>
      <c r="DP1450" s="16"/>
      <c r="DQ1450" s="17"/>
      <c r="DR1450" s="17"/>
      <c r="DS1450" s="16"/>
      <c r="DT1450" s="16"/>
      <c r="DU1450" s="17"/>
      <c r="DV1450" s="17"/>
      <c r="DW1450" s="16"/>
      <c r="DX1450" s="16"/>
      <c r="DY1450" s="17"/>
      <c r="DZ1450" s="17"/>
      <c r="EA1450" s="16"/>
      <c r="EB1450" s="16"/>
      <c r="EC1450" s="17"/>
      <c r="ED1450" s="17"/>
      <c r="EE1450" s="16"/>
      <c r="EF1450" s="16"/>
      <c r="EG1450" s="17"/>
      <c r="EH1450" s="17"/>
      <c r="EI1450" s="16"/>
      <c r="EJ1450" s="16"/>
      <c r="EK1450" s="17"/>
      <c r="EL1450" s="17"/>
      <c r="EM1450" s="16"/>
      <c r="EN1450" s="16"/>
      <c r="EO1450" s="17"/>
      <c r="EP1450" s="17"/>
      <c r="EQ1450" s="16"/>
      <c r="ER1450" s="16"/>
      <c r="ES1450" s="18">
        <v>1</v>
      </c>
      <c r="ET1450" s="18">
        <v>2</v>
      </c>
      <c r="EU1450" s="16"/>
      <c r="EV1450" s="16"/>
      <c r="EW1450" s="17"/>
      <c r="EX1450" s="17"/>
      <c r="EY1450" s="16"/>
      <c r="EZ1450" s="16"/>
      <c r="FA1450" s="17"/>
      <c r="FB1450" s="17"/>
      <c r="FC1450" s="16"/>
      <c r="FD1450" s="16"/>
      <c r="FE1450" s="17"/>
      <c r="FF1450" s="17"/>
      <c r="FG1450" s="11"/>
      <c r="GT1450" s="11"/>
      <c r="IG1450" s="11"/>
      <c r="JT1450" s="11"/>
      <c r="LG1450" s="11"/>
      <c r="MT1450" s="11"/>
      <c r="OG1450" s="11"/>
      <c r="PT1450" s="11"/>
    </row>
    <row r="1451" spans="1:436" ht="15.75" x14ac:dyDescent="0.25">
      <c r="C1451" s="20" t="s">
        <v>1051</v>
      </c>
      <c r="D1451" s="21" t="s">
        <v>82</v>
      </c>
      <c r="H1451" s="11"/>
      <c r="AU1451" s="11"/>
      <c r="CH1451" s="11"/>
      <c r="CI1451" s="16"/>
      <c r="CJ1451" s="16"/>
      <c r="CK1451" s="16"/>
      <c r="CL1451" s="16"/>
      <c r="CM1451" s="16"/>
      <c r="CN1451" s="16"/>
      <c r="CO1451" s="16"/>
      <c r="CP1451" s="16"/>
      <c r="CQ1451" s="16"/>
      <c r="CR1451" s="16"/>
      <c r="CS1451" s="16"/>
      <c r="CT1451" s="16"/>
      <c r="CU1451" s="16"/>
      <c r="CV1451" s="16"/>
      <c r="CW1451" s="16"/>
      <c r="CX1451" s="16"/>
      <c r="CY1451" s="16"/>
      <c r="CZ1451" s="16"/>
      <c r="DA1451" s="16"/>
      <c r="DB1451" s="16"/>
      <c r="DC1451" s="16"/>
      <c r="DD1451" s="16"/>
      <c r="DE1451" s="17"/>
      <c r="DF1451" s="17"/>
      <c r="DG1451" s="16"/>
      <c r="DH1451" s="16"/>
      <c r="DI1451" s="17"/>
      <c r="DJ1451" s="17"/>
      <c r="DK1451" s="16"/>
      <c r="DL1451" s="16"/>
      <c r="DM1451" s="17"/>
      <c r="DN1451" s="17"/>
      <c r="DO1451" s="16"/>
      <c r="DP1451" s="16"/>
      <c r="DQ1451" s="17"/>
      <c r="DR1451" s="17"/>
      <c r="DS1451" s="16"/>
      <c r="DT1451" s="16"/>
      <c r="DU1451" s="17"/>
      <c r="DV1451" s="17"/>
      <c r="DW1451" s="16"/>
      <c r="DX1451" s="16"/>
      <c r="DY1451" s="17"/>
      <c r="DZ1451" s="17"/>
      <c r="EA1451" s="16"/>
      <c r="EB1451" s="16"/>
      <c r="EC1451" s="17"/>
      <c r="ED1451" s="17"/>
      <c r="EE1451" s="16"/>
      <c r="EF1451" s="16"/>
      <c r="EG1451" s="17"/>
      <c r="EH1451" s="17"/>
      <c r="EI1451" s="16"/>
      <c r="EJ1451" s="16"/>
      <c r="EK1451" s="17"/>
      <c r="EL1451" s="17"/>
      <c r="EM1451" s="16"/>
      <c r="EN1451" s="16"/>
      <c r="EO1451" s="17"/>
      <c r="EP1451" s="17"/>
      <c r="EQ1451" s="16"/>
      <c r="ER1451" s="16"/>
      <c r="ES1451" s="18">
        <v>2</v>
      </c>
      <c r="ET1451" s="18">
        <v>3</v>
      </c>
      <c r="EU1451" s="16"/>
      <c r="EV1451" s="16"/>
      <c r="EW1451" s="17"/>
      <c r="EX1451" s="17"/>
      <c r="EY1451" s="16"/>
      <c r="EZ1451" s="16"/>
      <c r="FA1451" s="17"/>
      <c r="FB1451" s="17"/>
      <c r="FC1451" s="16"/>
      <c r="FD1451" s="16"/>
      <c r="FE1451" s="17"/>
      <c r="FF1451" s="17"/>
      <c r="FG1451" s="11"/>
      <c r="GT1451" s="11"/>
      <c r="IG1451" s="11"/>
      <c r="JT1451" s="11"/>
      <c r="LG1451" s="11"/>
      <c r="MT1451" s="11"/>
      <c r="OG1451" s="11"/>
      <c r="PT1451" s="11"/>
    </row>
    <row r="1452" spans="1:436" ht="15.75" x14ac:dyDescent="0.25">
      <c r="C1452" s="20" t="s">
        <v>1052</v>
      </c>
      <c r="D1452" s="21" t="s">
        <v>82</v>
      </c>
      <c r="H1452" s="11"/>
      <c r="AU1452" s="11"/>
      <c r="CH1452" s="11"/>
      <c r="CI1452" s="16"/>
      <c r="CJ1452" s="16"/>
      <c r="CK1452" s="16"/>
      <c r="CL1452" s="16"/>
      <c r="CM1452" s="16"/>
      <c r="CN1452" s="16"/>
      <c r="CO1452" s="16"/>
      <c r="CP1452" s="16"/>
      <c r="CQ1452" s="16"/>
      <c r="CR1452" s="16"/>
      <c r="CS1452" s="16"/>
      <c r="CT1452" s="16"/>
      <c r="CU1452" s="16"/>
      <c r="CV1452" s="16"/>
      <c r="CW1452" s="16"/>
      <c r="CX1452" s="16"/>
      <c r="CY1452" s="16"/>
      <c r="CZ1452" s="16"/>
      <c r="DA1452" s="16"/>
      <c r="DB1452" s="16"/>
      <c r="DC1452" s="16"/>
      <c r="DD1452" s="16"/>
      <c r="DE1452" s="17"/>
      <c r="DF1452" s="17"/>
      <c r="DG1452" s="16"/>
      <c r="DH1452" s="16"/>
      <c r="DI1452" s="17"/>
      <c r="DJ1452" s="17"/>
      <c r="DK1452" s="16"/>
      <c r="DL1452" s="16"/>
      <c r="DM1452" s="17"/>
      <c r="DN1452" s="17"/>
      <c r="DO1452" s="16"/>
      <c r="DP1452" s="16"/>
      <c r="DQ1452" s="17"/>
      <c r="DR1452" s="17"/>
      <c r="DS1452" s="16"/>
      <c r="DT1452" s="16"/>
      <c r="DU1452" s="17"/>
      <c r="DV1452" s="17"/>
      <c r="DW1452" s="16"/>
      <c r="DX1452" s="16"/>
      <c r="DY1452" s="17"/>
      <c r="DZ1452" s="17"/>
      <c r="EA1452" s="16"/>
      <c r="EB1452" s="16"/>
      <c r="EC1452" s="17"/>
      <c r="ED1452" s="17"/>
      <c r="EE1452" s="16"/>
      <c r="EF1452" s="16"/>
      <c r="EG1452" s="17"/>
      <c r="EH1452" s="17"/>
      <c r="EI1452" s="16"/>
      <c r="EJ1452" s="16"/>
      <c r="EK1452" s="17"/>
      <c r="EL1452" s="17"/>
      <c r="EM1452" s="16"/>
      <c r="EN1452" s="16"/>
      <c r="EO1452" s="17"/>
      <c r="EP1452" s="17"/>
      <c r="EQ1452" s="16"/>
      <c r="ER1452" s="16"/>
      <c r="ES1452" s="18">
        <v>1</v>
      </c>
      <c r="ET1452" s="18">
        <v>2</v>
      </c>
      <c r="EU1452" s="16"/>
      <c r="EV1452" s="16"/>
      <c r="EW1452" s="17"/>
      <c r="EX1452" s="17"/>
      <c r="EY1452" s="16"/>
      <c r="EZ1452" s="16"/>
      <c r="FA1452" s="17"/>
      <c r="FB1452" s="17"/>
      <c r="FC1452" s="16"/>
      <c r="FD1452" s="16"/>
      <c r="FE1452" s="17"/>
      <c r="FF1452" s="17"/>
      <c r="FG1452" s="11"/>
      <c r="GT1452" s="11"/>
      <c r="IG1452" s="11"/>
      <c r="JT1452" s="11"/>
      <c r="LG1452" s="11"/>
      <c r="MT1452" s="11"/>
      <c r="OG1452" s="11"/>
      <c r="PT1452" s="11"/>
    </row>
    <row r="1453" spans="1:436" ht="15.75" x14ac:dyDescent="0.25">
      <c r="C1453" s="20" t="s">
        <v>1053</v>
      </c>
      <c r="D1453" s="21" t="s">
        <v>82</v>
      </c>
      <c r="H1453" s="11"/>
      <c r="AU1453" s="11"/>
      <c r="CH1453" s="11"/>
      <c r="CI1453" s="16"/>
      <c r="CJ1453" s="16"/>
      <c r="CK1453" s="16"/>
      <c r="CL1453" s="16"/>
      <c r="CM1453" s="16"/>
      <c r="CN1453" s="16"/>
      <c r="CO1453" s="16"/>
      <c r="CP1453" s="16"/>
      <c r="CQ1453" s="16"/>
      <c r="CR1453" s="16"/>
      <c r="CS1453" s="16"/>
      <c r="CT1453" s="16"/>
      <c r="CU1453" s="16"/>
      <c r="CV1453" s="16"/>
      <c r="CW1453" s="16"/>
      <c r="CX1453" s="16"/>
      <c r="CY1453" s="16"/>
      <c r="CZ1453" s="16"/>
      <c r="DA1453" s="16"/>
      <c r="DB1453" s="16"/>
      <c r="DC1453" s="16"/>
      <c r="DD1453" s="16"/>
      <c r="DE1453" s="17"/>
      <c r="DF1453" s="17"/>
      <c r="DG1453" s="16"/>
      <c r="DH1453" s="16"/>
      <c r="DI1453" s="17"/>
      <c r="DJ1453" s="17"/>
      <c r="DK1453" s="16"/>
      <c r="DL1453" s="16"/>
      <c r="DM1453" s="17"/>
      <c r="DN1453" s="17"/>
      <c r="DO1453" s="16"/>
      <c r="DP1453" s="16"/>
      <c r="DQ1453" s="17"/>
      <c r="DR1453" s="17"/>
      <c r="DS1453" s="16"/>
      <c r="DT1453" s="16"/>
      <c r="DU1453" s="17"/>
      <c r="DV1453" s="17"/>
      <c r="DW1453" s="16"/>
      <c r="DX1453" s="16"/>
      <c r="DY1453" s="17"/>
      <c r="DZ1453" s="17"/>
      <c r="EA1453" s="16"/>
      <c r="EB1453" s="16"/>
      <c r="EC1453" s="17"/>
      <c r="ED1453" s="17"/>
      <c r="EE1453" s="16"/>
      <c r="EF1453" s="16"/>
      <c r="EG1453" s="17"/>
      <c r="EH1453" s="17"/>
      <c r="EI1453" s="16"/>
      <c r="EJ1453" s="16"/>
      <c r="EK1453" s="17"/>
      <c r="EL1453" s="17"/>
      <c r="EM1453" s="16"/>
      <c r="EN1453" s="16"/>
      <c r="EO1453" s="17"/>
      <c r="EP1453" s="17"/>
      <c r="EQ1453" s="16"/>
      <c r="ER1453" s="16"/>
      <c r="ES1453" s="18">
        <v>3</v>
      </c>
      <c r="ET1453" s="18">
        <v>4</v>
      </c>
      <c r="EU1453" s="16"/>
      <c r="EV1453" s="16"/>
      <c r="EW1453" s="17"/>
      <c r="EX1453" s="17"/>
      <c r="EY1453" s="16"/>
      <c r="EZ1453" s="16"/>
      <c r="FA1453" s="17"/>
      <c r="FB1453" s="17"/>
      <c r="FC1453" s="16"/>
      <c r="FD1453" s="16"/>
      <c r="FE1453" s="17"/>
      <c r="FF1453" s="17"/>
      <c r="FG1453" s="11"/>
      <c r="GT1453" s="11"/>
      <c r="IG1453" s="11"/>
      <c r="JT1453" s="11"/>
      <c r="LG1453" s="11"/>
      <c r="MT1453" s="11"/>
      <c r="OG1453" s="11"/>
      <c r="PT1453" s="11"/>
    </row>
    <row r="1454" spans="1:436" ht="15.75" x14ac:dyDescent="0.25">
      <c r="A1454" s="13"/>
      <c r="B1454" s="14" t="s">
        <v>1054</v>
      </c>
      <c r="C1454" s="13"/>
      <c r="D1454" s="13"/>
      <c r="E1454" s="15" t="s">
        <v>76</v>
      </c>
      <c r="F1454" s="15" t="s">
        <v>77</v>
      </c>
      <c r="G1454" s="13"/>
      <c r="H1454" s="11"/>
      <c r="AU1454" s="11"/>
      <c r="CH1454" s="11"/>
      <c r="CI1454" s="16"/>
      <c r="CJ1454" s="16"/>
      <c r="CK1454" s="16"/>
      <c r="CL1454" s="16"/>
      <c r="CM1454" s="16"/>
      <c r="CN1454" s="16"/>
      <c r="CO1454" s="16"/>
      <c r="CP1454" s="16"/>
      <c r="CQ1454" s="16"/>
      <c r="CR1454" s="16"/>
      <c r="CS1454" s="16"/>
      <c r="CT1454" s="16"/>
      <c r="CU1454" s="16"/>
      <c r="CV1454" s="16"/>
      <c r="CW1454" s="16"/>
      <c r="CX1454" s="16"/>
      <c r="CY1454" s="16"/>
      <c r="CZ1454" s="16"/>
      <c r="DA1454" s="16"/>
      <c r="DB1454" s="16"/>
      <c r="DC1454" s="16"/>
      <c r="DD1454" s="16"/>
      <c r="DE1454" s="17"/>
      <c r="DF1454" s="17"/>
      <c r="DG1454" s="16"/>
      <c r="DH1454" s="16"/>
      <c r="DI1454" s="17"/>
      <c r="DJ1454" s="17"/>
      <c r="DK1454" s="16"/>
      <c r="DL1454" s="16"/>
      <c r="DM1454" s="17"/>
      <c r="DN1454" s="17"/>
      <c r="DO1454" s="16"/>
      <c r="DP1454" s="16"/>
      <c r="DQ1454" s="17"/>
      <c r="DR1454" s="17"/>
      <c r="DS1454" s="16"/>
      <c r="DT1454" s="16"/>
      <c r="DU1454" s="17"/>
      <c r="DV1454" s="17"/>
      <c r="DW1454" s="16"/>
      <c r="DX1454" s="16"/>
      <c r="DY1454" s="17"/>
      <c r="DZ1454" s="17"/>
      <c r="EA1454" s="16"/>
      <c r="EB1454" s="16"/>
      <c r="EC1454" s="17"/>
      <c r="ED1454" s="17"/>
      <c r="EE1454" s="16"/>
      <c r="EF1454" s="16"/>
      <c r="EG1454" s="17"/>
      <c r="EH1454" s="17"/>
      <c r="EI1454" s="16"/>
      <c r="EJ1454" s="16"/>
      <c r="EK1454" s="17"/>
      <c r="EL1454" s="17"/>
      <c r="EM1454" s="16"/>
      <c r="EN1454" s="16"/>
      <c r="EO1454" s="17"/>
      <c r="EP1454" s="17"/>
      <c r="EQ1454" s="16"/>
      <c r="ER1454" s="16"/>
      <c r="ES1454" s="17"/>
      <c r="ET1454" s="18">
        <v>40</v>
      </c>
      <c r="EU1454" s="16"/>
      <c r="EV1454" s="16"/>
      <c r="EW1454" s="17"/>
      <c r="EX1454" s="17"/>
      <c r="EY1454" s="16"/>
      <c r="EZ1454" s="16"/>
      <c r="FA1454" s="17"/>
      <c r="FB1454" s="17"/>
      <c r="FC1454" s="16"/>
      <c r="FD1454" s="16"/>
      <c r="FE1454" s="17"/>
      <c r="FF1454" s="17"/>
      <c r="FG1454" s="11"/>
      <c r="GT1454" s="11"/>
      <c r="IG1454" s="11"/>
      <c r="JT1454" s="11"/>
      <c r="LG1454" s="11"/>
      <c r="MT1454" s="11"/>
      <c r="OG1454" s="11"/>
      <c r="PT1454" s="11"/>
    </row>
    <row r="1455" spans="1:436" ht="15.75" x14ac:dyDescent="0.25">
      <c r="A1455" s="13"/>
      <c r="B1455" s="14" t="s">
        <v>1055</v>
      </c>
      <c r="C1455" s="13"/>
      <c r="D1455" s="13"/>
      <c r="E1455" s="15" t="s">
        <v>127</v>
      </c>
      <c r="F1455" s="15" t="s">
        <v>77</v>
      </c>
      <c r="G1455" s="13"/>
      <c r="H1455" s="11"/>
      <c r="AU1455" s="11"/>
      <c r="CH1455" s="11"/>
      <c r="CI1455" s="16"/>
      <c r="CJ1455" s="16"/>
      <c r="CK1455" s="16"/>
      <c r="CL1455" s="16"/>
      <c r="CM1455" s="16"/>
      <c r="CN1455" s="16"/>
      <c r="CO1455" s="16"/>
      <c r="CP1455" s="16"/>
      <c r="CQ1455" s="16"/>
      <c r="CR1455" s="16"/>
      <c r="CS1455" s="16"/>
      <c r="CT1455" s="16"/>
      <c r="CU1455" s="16"/>
      <c r="CV1455" s="16"/>
      <c r="CW1455" s="16"/>
      <c r="CX1455" s="16"/>
      <c r="CY1455" s="16"/>
      <c r="CZ1455" s="16"/>
      <c r="DA1455" s="16"/>
      <c r="DB1455" s="16"/>
      <c r="DC1455" s="16"/>
      <c r="DD1455" s="16"/>
      <c r="DE1455" s="17"/>
      <c r="DF1455" s="17"/>
      <c r="DG1455" s="16"/>
      <c r="DH1455" s="16"/>
      <c r="DI1455" s="17"/>
      <c r="DJ1455" s="17"/>
      <c r="DK1455" s="16"/>
      <c r="DL1455" s="16"/>
      <c r="DM1455" s="17"/>
      <c r="DN1455" s="17"/>
      <c r="DO1455" s="16"/>
      <c r="DP1455" s="16"/>
      <c r="DQ1455" s="17"/>
      <c r="DR1455" s="17"/>
      <c r="DS1455" s="16"/>
      <c r="DT1455" s="16"/>
      <c r="DU1455" s="17"/>
      <c r="DV1455" s="17"/>
      <c r="DW1455" s="16"/>
      <c r="DX1455" s="16"/>
      <c r="DY1455" s="17"/>
      <c r="DZ1455" s="17"/>
      <c r="EA1455" s="16"/>
      <c r="EB1455" s="16"/>
      <c r="EC1455" s="17"/>
      <c r="ED1455" s="17"/>
      <c r="EE1455" s="16"/>
      <c r="EF1455" s="16"/>
      <c r="EG1455" s="17"/>
      <c r="EH1455" s="17"/>
      <c r="EI1455" s="16"/>
      <c r="EJ1455" s="16"/>
      <c r="EK1455" s="17"/>
      <c r="EL1455" s="17"/>
      <c r="EM1455" s="16"/>
      <c r="EN1455" s="16"/>
      <c r="EO1455" s="17"/>
      <c r="EP1455" s="17"/>
      <c r="EQ1455" s="16"/>
      <c r="ER1455" s="16"/>
      <c r="ES1455" s="17"/>
      <c r="ET1455" s="17"/>
      <c r="EU1455" s="16"/>
      <c r="EV1455" s="16"/>
      <c r="EW1455" s="17"/>
      <c r="EX1455" s="17"/>
      <c r="EY1455" s="16"/>
      <c r="EZ1455" s="16"/>
      <c r="FA1455" s="17"/>
      <c r="FB1455" s="17"/>
      <c r="FC1455" s="16"/>
      <c r="FD1455" s="16"/>
      <c r="FE1455" s="17"/>
      <c r="FF1455" s="17"/>
      <c r="FG1455" s="11"/>
      <c r="GT1455" s="11"/>
      <c r="IG1455" s="11"/>
      <c r="JT1455" s="11"/>
      <c r="LG1455" s="11"/>
      <c r="MT1455" s="11"/>
      <c r="OG1455" s="11"/>
      <c r="PT1455" s="11"/>
    </row>
    <row r="1456" spans="1:436" ht="15.75" x14ac:dyDescent="0.25">
      <c r="A1456" s="13"/>
      <c r="B1456" s="14" t="s">
        <v>1056</v>
      </c>
      <c r="C1456" s="13"/>
      <c r="D1456" s="13"/>
      <c r="E1456" s="15" t="s">
        <v>217</v>
      </c>
      <c r="F1456" s="15" t="s">
        <v>132</v>
      </c>
      <c r="G1456" s="13"/>
      <c r="H1456" s="11"/>
      <c r="AU1456" s="11"/>
      <c r="CH1456" s="11"/>
      <c r="CI1456" s="16"/>
      <c r="CJ1456" s="16"/>
      <c r="CK1456" s="16"/>
      <c r="CL1456" s="16"/>
      <c r="CM1456" s="16"/>
      <c r="CN1456" s="16"/>
      <c r="CO1456" s="16"/>
      <c r="CP1456" s="16"/>
      <c r="CQ1456" s="16"/>
      <c r="CR1456" s="16"/>
      <c r="CS1456" s="16"/>
      <c r="CT1456" s="16"/>
      <c r="CU1456" s="16"/>
      <c r="CV1456" s="16"/>
      <c r="CW1456" s="16"/>
      <c r="CX1456" s="16"/>
      <c r="CY1456" s="16"/>
      <c r="CZ1456" s="16"/>
      <c r="DA1456" s="16"/>
      <c r="DB1456" s="16"/>
      <c r="DC1456" s="16"/>
      <c r="DD1456" s="19">
        <v>1</v>
      </c>
      <c r="DE1456" s="17"/>
      <c r="DF1456" s="17"/>
      <c r="DG1456" s="16"/>
      <c r="DH1456" s="16"/>
      <c r="DI1456" s="17"/>
      <c r="DJ1456" s="18">
        <v>3</v>
      </c>
      <c r="DK1456" s="16"/>
      <c r="DL1456" s="16"/>
      <c r="DM1456" s="17"/>
      <c r="DN1456" s="17"/>
      <c r="DO1456" s="16"/>
      <c r="DP1456" s="16"/>
      <c r="DQ1456" s="17"/>
      <c r="DR1456" s="18">
        <v>2</v>
      </c>
      <c r="DS1456" s="16"/>
      <c r="DT1456" s="16"/>
      <c r="DU1456" s="17"/>
      <c r="DV1456" s="18">
        <v>1</v>
      </c>
      <c r="DW1456" s="16"/>
      <c r="DX1456" s="19">
        <v>10</v>
      </c>
      <c r="DY1456" s="17"/>
      <c r="DZ1456" s="17"/>
      <c r="EA1456" s="16"/>
      <c r="EB1456" s="16"/>
      <c r="EC1456" s="17"/>
      <c r="ED1456" s="17"/>
      <c r="EE1456" s="16"/>
      <c r="EF1456" s="16"/>
      <c r="EG1456" s="17"/>
      <c r="EH1456" s="17"/>
      <c r="EI1456" s="16"/>
      <c r="EJ1456" s="16"/>
      <c r="EK1456" s="17"/>
      <c r="EL1456" s="17"/>
      <c r="EM1456" s="16"/>
      <c r="EN1456" s="16"/>
      <c r="EO1456" s="17"/>
      <c r="EP1456" s="17"/>
      <c r="EQ1456" s="16"/>
      <c r="ER1456" s="16"/>
      <c r="ES1456" s="17"/>
      <c r="ET1456" s="18">
        <v>20</v>
      </c>
      <c r="EU1456" s="16"/>
      <c r="EV1456" s="16"/>
      <c r="EW1456" s="17"/>
      <c r="EX1456" s="17"/>
      <c r="EY1456" s="16"/>
      <c r="EZ1456" s="16"/>
      <c r="FA1456" s="17"/>
      <c r="FB1456" s="17"/>
      <c r="FC1456" s="16"/>
      <c r="FD1456" s="16"/>
      <c r="FE1456" s="17"/>
      <c r="FF1456" s="17"/>
      <c r="FG1456" s="11"/>
      <c r="GT1456" s="11"/>
      <c r="IG1456" s="11"/>
      <c r="JT1456" s="11"/>
      <c r="LG1456" s="11"/>
      <c r="MT1456" s="11"/>
      <c r="OG1456" s="11"/>
      <c r="PT1456" s="11"/>
    </row>
    <row r="1457" spans="3:436" ht="15.75" x14ac:dyDescent="0.25">
      <c r="C1457" s="20" t="s">
        <v>1057</v>
      </c>
      <c r="D1457" s="21" t="s">
        <v>93</v>
      </c>
      <c r="H1457" s="11"/>
      <c r="AU1457" s="11"/>
      <c r="CH1457" s="11"/>
      <c r="CI1457" s="16"/>
      <c r="CJ1457" s="16"/>
      <c r="CK1457" s="16"/>
      <c r="CL1457" s="16"/>
      <c r="CM1457" s="16"/>
      <c r="CN1457" s="16"/>
      <c r="CO1457" s="16"/>
      <c r="CP1457" s="16"/>
      <c r="CQ1457" s="16"/>
      <c r="CR1457" s="16"/>
      <c r="CS1457" s="16"/>
      <c r="CT1457" s="16"/>
      <c r="CU1457" s="16"/>
      <c r="CV1457" s="16"/>
      <c r="CW1457" s="16"/>
      <c r="CX1457" s="16"/>
      <c r="CY1457" s="16"/>
      <c r="CZ1457" s="16"/>
      <c r="DA1457" s="16"/>
      <c r="DB1457" s="16"/>
      <c r="DC1457" s="16"/>
      <c r="DD1457" s="16"/>
      <c r="DE1457" s="17"/>
      <c r="DF1457" s="17"/>
      <c r="DG1457" s="16"/>
      <c r="DH1457" s="16"/>
      <c r="DI1457" s="17"/>
      <c r="DJ1457" s="17"/>
      <c r="DK1457" s="16"/>
      <c r="DL1457" s="16"/>
      <c r="DM1457" s="17"/>
      <c r="DN1457" s="17"/>
      <c r="DO1457" s="16"/>
      <c r="DP1457" s="16"/>
      <c r="DQ1457" s="17"/>
      <c r="DR1457" s="17"/>
      <c r="DS1457" s="16"/>
      <c r="DT1457" s="16"/>
      <c r="DU1457" s="17"/>
      <c r="DV1457" s="17"/>
      <c r="DW1457" s="16"/>
      <c r="DX1457" s="16"/>
      <c r="DY1457" s="17"/>
      <c r="DZ1457" s="17"/>
      <c r="EA1457" s="16"/>
      <c r="EB1457" s="16"/>
      <c r="EC1457" s="17"/>
      <c r="ED1457" s="17"/>
      <c r="EE1457" s="16"/>
      <c r="EF1457" s="16"/>
      <c r="EG1457" s="17"/>
      <c r="EH1457" s="17"/>
      <c r="EI1457" s="16"/>
      <c r="EJ1457" s="16"/>
      <c r="EK1457" s="17"/>
      <c r="EL1457" s="17"/>
      <c r="EM1457" s="16"/>
      <c r="EN1457" s="16"/>
      <c r="EO1457" s="17"/>
      <c r="EP1457" s="17"/>
      <c r="EQ1457" s="16"/>
      <c r="ER1457" s="16"/>
      <c r="ES1457" s="17"/>
      <c r="ET1457" s="17"/>
      <c r="EU1457" s="16"/>
      <c r="EV1457" s="16"/>
      <c r="EW1457" s="17"/>
      <c r="EX1457" s="17"/>
      <c r="EY1457" s="16"/>
      <c r="EZ1457" s="16"/>
      <c r="FA1457" s="17"/>
      <c r="FB1457" s="17"/>
      <c r="FC1457" s="16"/>
      <c r="FD1457" s="16"/>
      <c r="FE1457" s="17"/>
      <c r="FF1457" s="17"/>
      <c r="FG1457" s="11"/>
      <c r="GT1457" s="11"/>
      <c r="IG1457" s="11"/>
      <c r="JT1457" s="11"/>
      <c r="LG1457" s="11"/>
      <c r="MT1457" s="11"/>
      <c r="OG1457" s="11"/>
      <c r="PT1457" s="11"/>
    </row>
    <row r="1458" spans="3:436" ht="15.75" x14ac:dyDescent="0.25">
      <c r="C1458" s="20" t="s">
        <v>1058</v>
      </c>
      <c r="D1458" s="21" t="s">
        <v>84</v>
      </c>
      <c r="H1458" s="11"/>
      <c r="AU1458" s="11"/>
      <c r="CH1458" s="11"/>
      <c r="CI1458" s="16"/>
      <c r="CJ1458" s="16"/>
      <c r="CK1458" s="16"/>
      <c r="CL1458" s="16"/>
      <c r="CM1458" s="16"/>
      <c r="CN1458" s="16"/>
      <c r="CO1458" s="16"/>
      <c r="CP1458" s="16"/>
      <c r="CQ1458" s="16"/>
      <c r="CR1458" s="16"/>
      <c r="CS1458" s="16"/>
      <c r="CT1458" s="16"/>
      <c r="CU1458" s="16"/>
      <c r="CV1458" s="16"/>
      <c r="CW1458" s="16"/>
      <c r="CX1458" s="16"/>
      <c r="CY1458" s="16"/>
      <c r="CZ1458" s="16"/>
      <c r="DA1458" s="16"/>
      <c r="DB1458" s="16"/>
      <c r="DC1458" s="16"/>
      <c r="DD1458" s="16"/>
      <c r="DE1458" s="17"/>
      <c r="DF1458" s="17"/>
      <c r="DG1458" s="16"/>
      <c r="DH1458" s="16"/>
      <c r="DI1458" s="17"/>
      <c r="DJ1458" s="17"/>
      <c r="DK1458" s="16"/>
      <c r="DL1458" s="16"/>
      <c r="DM1458" s="17"/>
      <c r="DN1458" s="17"/>
      <c r="DO1458" s="16"/>
      <c r="DP1458" s="16"/>
      <c r="DQ1458" s="17"/>
      <c r="DR1458" s="17"/>
      <c r="DS1458" s="16"/>
      <c r="DT1458" s="16"/>
      <c r="DU1458" s="17"/>
      <c r="DV1458" s="17"/>
      <c r="DW1458" s="16"/>
      <c r="DX1458" s="19">
        <v>10</v>
      </c>
      <c r="DY1458" s="17"/>
      <c r="DZ1458" s="17"/>
      <c r="EA1458" s="16"/>
      <c r="EB1458" s="16"/>
      <c r="EC1458" s="17"/>
      <c r="ED1458" s="17"/>
      <c r="EE1458" s="16"/>
      <c r="EF1458" s="16"/>
      <c r="EG1458" s="17"/>
      <c r="EH1458" s="17"/>
      <c r="EI1458" s="16"/>
      <c r="EJ1458" s="16"/>
      <c r="EK1458" s="17"/>
      <c r="EL1458" s="17"/>
      <c r="EM1458" s="16"/>
      <c r="EN1458" s="16"/>
      <c r="EO1458" s="17"/>
      <c r="EP1458" s="17"/>
      <c r="EQ1458" s="16"/>
      <c r="ER1458" s="16"/>
      <c r="ES1458" s="17"/>
      <c r="ET1458" s="17"/>
      <c r="EU1458" s="16"/>
      <c r="EV1458" s="16"/>
      <c r="EW1458" s="17"/>
      <c r="EX1458" s="17"/>
      <c r="EY1458" s="16"/>
      <c r="EZ1458" s="16"/>
      <c r="FA1458" s="17"/>
      <c r="FB1458" s="17"/>
      <c r="FC1458" s="16"/>
      <c r="FD1458" s="16"/>
      <c r="FE1458" s="17"/>
      <c r="FF1458" s="17"/>
      <c r="FG1458" s="11"/>
      <c r="GT1458" s="11"/>
      <c r="IG1458" s="11"/>
      <c r="JT1458" s="11"/>
      <c r="LG1458" s="11"/>
      <c r="MT1458" s="11"/>
      <c r="OG1458" s="11"/>
      <c r="PT1458" s="11"/>
    </row>
    <row r="1459" spans="3:436" ht="15.75" x14ac:dyDescent="0.25">
      <c r="C1459" s="20" t="s">
        <v>1059</v>
      </c>
      <c r="D1459" s="21" t="s">
        <v>82</v>
      </c>
      <c r="H1459" s="11"/>
      <c r="AU1459" s="11"/>
      <c r="CH1459" s="11"/>
      <c r="CI1459" s="16"/>
      <c r="CJ1459" s="16"/>
      <c r="CK1459" s="16"/>
      <c r="CL1459" s="16"/>
      <c r="CM1459" s="16"/>
      <c r="CN1459" s="16"/>
      <c r="CO1459" s="16"/>
      <c r="CP1459" s="16"/>
      <c r="CQ1459" s="16"/>
      <c r="CR1459" s="16"/>
      <c r="CS1459" s="16"/>
      <c r="CT1459" s="16"/>
      <c r="CU1459" s="16"/>
      <c r="CV1459" s="16"/>
      <c r="CW1459" s="16"/>
      <c r="CX1459" s="16"/>
      <c r="CY1459" s="16"/>
      <c r="CZ1459" s="16"/>
      <c r="DA1459" s="16"/>
      <c r="DB1459" s="16"/>
      <c r="DC1459" s="16"/>
      <c r="DD1459" s="16"/>
      <c r="DE1459" s="17"/>
      <c r="DF1459" s="17"/>
      <c r="DG1459" s="16"/>
      <c r="DH1459" s="16"/>
      <c r="DI1459" s="17"/>
      <c r="DJ1459" s="17"/>
      <c r="DK1459" s="16"/>
      <c r="DL1459" s="16"/>
      <c r="DM1459" s="17"/>
      <c r="DN1459" s="17"/>
      <c r="DO1459" s="16"/>
      <c r="DP1459" s="16"/>
      <c r="DQ1459" s="17"/>
      <c r="DR1459" s="17"/>
      <c r="DS1459" s="16"/>
      <c r="DT1459" s="16"/>
      <c r="DU1459" s="17"/>
      <c r="DV1459" s="17"/>
      <c r="DW1459" s="16"/>
      <c r="DX1459" s="16"/>
      <c r="DY1459" s="17"/>
      <c r="DZ1459" s="17"/>
      <c r="EA1459" s="16"/>
      <c r="EB1459" s="16"/>
      <c r="EC1459" s="17"/>
      <c r="ED1459" s="17"/>
      <c r="EE1459" s="16"/>
      <c r="EF1459" s="16"/>
      <c r="EG1459" s="17"/>
      <c r="EH1459" s="17"/>
      <c r="EI1459" s="16"/>
      <c r="EJ1459" s="16"/>
      <c r="EK1459" s="17"/>
      <c r="EL1459" s="17"/>
      <c r="EM1459" s="16"/>
      <c r="EN1459" s="16"/>
      <c r="EO1459" s="17"/>
      <c r="EP1459" s="17"/>
      <c r="EQ1459" s="16"/>
      <c r="ER1459" s="16"/>
      <c r="ES1459" s="17"/>
      <c r="ET1459" s="17"/>
      <c r="EU1459" s="16"/>
      <c r="EV1459" s="16"/>
      <c r="EW1459" s="17"/>
      <c r="EX1459" s="17"/>
      <c r="EY1459" s="16"/>
      <c r="EZ1459" s="16"/>
      <c r="FA1459" s="17"/>
      <c r="FB1459" s="17"/>
      <c r="FC1459" s="16"/>
      <c r="FD1459" s="16"/>
      <c r="FE1459" s="17"/>
      <c r="FF1459" s="17"/>
      <c r="FG1459" s="11"/>
      <c r="GT1459" s="11"/>
      <c r="IG1459" s="11"/>
      <c r="JT1459" s="11"/>
      <c r="LG1459" s="11"/>
      <c r="MT1459" s="11"/>
      <c r="OG1459" s="11"/>
      <c r="PT1459" s="11"/>
    </row>
    <row r="1460" spans="3:436" ht="15.75" x14ac:dyDescent="0.25">
      <c r="C1460" s="20" t="s">
        <v>1060</v>
      </c>
      <c r="D1460" s="21" t="s">
        <v>104</v>
      </c>
      <c r="H1460" s="11"/>
      <c r="AU1460" s="11"/>
      <c r="CH1460" s="11"/>
      <c r="CI1460" s="16"/>
      <c r="CJ1460" s="16"/>
      <c r="CK1460" s="16"/>
      <c r="CL1460" s="16"/>
      <c r="CM1460" s="16"/>
      <c r="CN1460" s="16"/>
      <c r="CO1460" s="16"/>
      <c r="CP1460" s="16"/>
      <c r="CQ1460" s="16"/>
      <c r="CR1460" s="16"/>
      <c r="CS1460" s="16"/>
      <c r="CT1460" s="16"/>
      <c r="CU1460" s="16"/>
      <c r="CV1460" s="16"/>
      <c r="CW1460" s="16"/>
      <c r="CX1460" s="16"/>
      <c r="CY1460" s="16"/>
      <c r="CZ1460" s="16"/>
      <c r="DA1460" s="16"/>
      <c r="DB1460" s="16"/>
      <c r="DC1460" s="16"/>
      <c r="DD1460" s="16"/>
      <c r="DE1460" s="17"/>
      <c r="DF1460" s="17"/>
      <c r="DG1460" s="16"/>
      <c r="DH1460" s="16"/>
      <c r="DI1460" s="17"/>
      <c r="DJ1460" s="17"/>
      <c r="DK1460" s="16"/>
      <c r="DL1460" s="16"/>
      <c r="DM1460" s="17"/>
      <c r="DN1460" s="17"/>
      <c r="DO1460" s="16"/>
      <c r="DP1460" s="16"/>
      <c r="DQ1460" s="17"/>
      <c r="DR1460" s="17"/>
      <c r="DS1460" s="16"/>
      <c r="DT1460" s="16"/>
      <c r="DU1460" s="17"/>
      <c r="DV1460" s="17"/>
      <c r="DW1460" s="16"/>
      <c r="DX1460" s="16"/>
      <c r="DY1460" s="17"/>
      <c r="DZ1460" s="17"/>
      <c r="EA1460" s="16"/>
      <c r="EB1460" s="16"/>
      <c r="EC1460" s="17"/>
      <c r="ED1460" s="17"/>
      <c r="EE1460" s="16"/>
      <c r="EF1460" s="16"/>
      <c r="EG1460" s="17"/>
      <c r="EH1460" s="17"/>
      <c r="EI1460" s="16"/>
      <c r="EJ1460" s="16"/>
      <c r="EK1460" s="17"/>
      <c r="EL1460" s="17"/>
      <c r="EM1460" s="16"/>
      <c r="EN1460" s="16"/>
      <c r="EO1460" s="17"/>
      <c r="EP1460" s="17"/>
      <c r="EQ1460" s="16"/>
      <c r="ER1460" s="16"/>
      <c r="ES1460" s="17"/>
      <c r="ET1460" s="17"/>
      <c r="EU1460" s="16"/>
      <c r="EV1460" s="16"/>
      <c r="EW1460" s="17"/>
      <c r="EX1460" s="17"/>
      <c r="EY1460" s="16"/>
      <c r="EZ1460" s="16"/>
      <c r="FA1460" s="17"/>
      <c r="FB1460" s="17"/>
      <c r="FC1460" s="19">
        <v>0.5</v>
      </c>
      <c r="FD1460" s="19">
        <v>1</v>
      </c>
      <c r="FE1460" s="17"/>
      <c r="FF1460" s="17"/>
      <c r="FG1460" s="11"/>
      <c r="GT1460" s="11"/>
      <c r="IG1460" s="11"/>
      <c r="JT1460" s="11"/>
      <c r="LG1460" s="11"/>
      <c r="MT1460" s="11"/>
      <c r="OG1460" s="11"/>
      <c r="PT1460" s="11"/>
    </row>
    <row r="1461" spans="3:436" ht="15.75" x14ac:dyDescent="0.25">
      <c r="C1461" s="20" t="s">
        <v>1061</v>
      </c>
      <c r="D1461" s="21" t="s">
        <v>90</v>
      </c>
      <c r="H1461" s="11"/>
      <c r="AU1461" s="11"/>
      <c r="CH1461" s="11"/>
      <c r="CI1461" s="16"/>
      <c r="CJ1461" s="16"/>
      <c r="CK1461" s="16"/>
      <c r="CL1461" s="16"/>
      <c r="CM1461" s="16"/>
      <c r="CN1461" s="16"/>
      <c r="CO1461" s="16"/>
      <c r="CP1461" s="16"/>
      <c r="CQ1461" s="16"/>
      <c r="CR1461" s="16"/>
      <c r="CS1461" s="16"/>
      <c r="CT1461" s="16"/>
      <c r="CU1461" s="16"/>
      <c r="CV1461" s="16"/>
      <c r="CW1461" s="16"/>
      <c r="CX1461" s="16"/>
      <c r="CY1461" s="16"/>
      <c r="CZ1461" s="16"/>
      <c r="DA1461" s="16"/>
      <c r="DB1461" s="16"/>
      <c r="DC1461" s="16"/>
      <c r="DD1461" s="16"/>
      <c r="DE1461" s="17"/>
      <c r="DF1461" s="17"/>
      <c r="DG1461" s="16"/>
      <c r="DH1461" s="16"/>
      <c r="DI1461" s="17"/>
      <c r="DJ1461" s="17"/>
      <c r="DK1461" s="16"/>
      <c r="DL1461" s="16"/>
      <c r="DM1461" s="17"/>
      <c r="DN1461" s="17"/>
      <c r="DO1461" s="16"/>
      <c r="DP1461" s="16"/>
      <c r="DQ1461" s="17"/>
      <c r="DR1461" s="17"/>
      <c r="DS1461" s="16"/>
      <c r="DT1461" s="16"/>
      <c r="DU1461" s="17"/>
      <c r="DV1461" s="17"/>
      <c r="DW1461" s="16"/>
      <c r="DX1461" s="16"/>
      <c r="DY1461" s="17"/>
      <c r="DZ1461" s="17"/>
      <c r="EA1461" s="16"/>
      <c r="EB1461" s="16"/>
      <c r="EC1461" s="17"/>
      <c r="ED1461" s="17"/>
      <c r="EE1461" s="16"/>
      <c r="EF1461" s="16"/>
      <c r="EG1461" s="17"/>
      <c r="EH1461" s="17"/>
      <c r="EI1461" s="16"/>
      <c r="EJ1461" s="16"/>
      <c r="EK1461" s="17"/>
      <c r="EL1461" s="17"/>
      <c r="EM1461" s="16"/>
      <c r="EN1461" s="16"/>
      <c r="EO1461" s="17"/>
      <c r="EP1461" s="17"/>
      <c r="EQ1461" s="16"/>
      <c r="ER1461" s="16"/>
      <c r="ES1461" s="17"/>
      <c r="ET1461" s="17"/>
      <c r="EU1461" s="16"/>
      <c r="EV1461" s="16"/>
      <c r="EW1461" s="17"/>
      <c r="EX1461" s="17"/>
      <c r="EY1461" s="16"/>
      <c r="EZ1461" s="16"/>
      <c r="FA1461" s="17"/>
      <c r="FB1461" s="17"/>
      <c r="FC1461" s="16"/>
      <c r="FD1461" s="16"/>
      <c r="FE1461" s="17"/>
      <c r="FF1461" s="17"/>
      <c r="FG1461" s="11"/>
      <c r="GT1461" s="11"/>
      <c r="IG1461" s="11"/>
      <c r="JT1461" s="11"/>
      <c r="LG1461" s="11"/>
      <c r="MT1461" s="11"/>
      <c r="OG1461" s="11"/>
      <c r="PT1461" s="11"/>
    </row>
    <row r="1462" spans="3:436" ht="15.75" x14ac:dyDescent="0.25">
      <c r="C1462" s="20" t="s">
        <v>1062</v>
      </c>
      <c r="D1462" s="21" t="s">
        <v>129</v>
      </c>
      <c r="H1462" s="11"/>
      <c r="AU1462" s="11"/>
      <c r="CH1462" s="11"/>
      <c r="CI1462" s="16"/>
      <c r="CJ1462" s="16"/>
      <c r="CK1462" s="16"/>
      <c r="CL1462" s="16"/>
      <c r="CM1462" s="16"/>
      <c r="CN1462" s="16"/>
      <c r="CO1462" s="16"/>
      <c r="CP1462" s="16"/>
      <c r="CQ1462" s="16"/>
      <c r="CR1462" s="16"/>
      <c r="CS1462" s="16"/>
      <c r="CT1462" s="16"/>
      <c r="CU1462" s="16"/>
      <c r="CV1462" s="16"/>
      <c r="CW1462" s="16"/>
      <c r="CX1462" s="16"/>
      <c r="CY1462" s="16"/>
      <c r="CZ1462" s="16"/>
      <c r="DA1462" s="16"/>
      <c r="DB1462" s="16"/>
      <c r="DC1462" s="16"/>
      <c r="DD1462" s="16"/>
      <c r="DE1462" s="17"/>
      <c r="DF1462" s="17"/>
      <c r="DG1462" s="16"/>
      <c r="DH1462" s="16"/>
      <c r="DI1462" s="17"/>
      <c r="DJ1462" s="17"/>
      <c r="DK1462" s="16"/>
      <c r="DL1462" s="16"/>
      <c r="DM1462" s="17"/>
      <c r="DN1462" s="17"/>
      <c r="DO1462" s="16"/>
      <c r="DP1462" s="16"/>
      <c r="DQ1462" s="17"/>
      <c r="DR1462" s="17"/>
      <c r="DS1462" s="16"/>
      <c r="DT1462" s="16"/>
      <c r="DU1462" s="17"/>
      <c r="DV1462" s="17"/>
      <c r="DW1462" s="16"/>
      <c r="DX1462" s="16"/>
      <c r="DY1462" s="17"/>
      <c r="DZ1462" s="17"/>
      <c r="EA1462" s="16"/>
      <c r="EB1462" s="16"/>
      <c r="EC1462" s="17"/>
      <c r="ED1462" s="17"/>
      <c r="EE1462" s="16"/>
      <c r="EF1462" s="16"/>
      <c r="EG1462" s="17"/>
      <c r="EH1462" s="17"/>
      <c r="EI1462" s="16"/>
      <c r="EJ1462" s="16"/>
      <c r="EK1462" s="17"/>
      <c r="EL1462" s="17"/>
      <c r="EM1462" s="16"/>
      <c r="EN1462" s="16"/>
      <c r="EO1462" s="17"/>
      <c r="EP1462" s="17"/>
      <c r="EQ1462" s="16"/>
      <c r="ER1462" s="16"/>
      <c r="ES1462" s="17"/>
      <c r="ET1462" s="17"/>
      <c r="EU1462" s="16"/>
      <c r="EV1462" s="16"/>
      <c r="EW1462" s="17"/>
      <c r="EX1462" s="17"/>
      <c r="EY1462" s="16"/>
      <c r="EZ1462" s="16"/>
      <c r="FA1462" s="17"/>
      <c r="FB1462" s="17"/>
      <c r="FC1462" s="16"/>
      <c r="FD1462" s="16"/>
      <c r="FE1462" s="17"/>
      <c r="FF1462" s="17"/>
      <c r="FG1462" s="11"/>
      <c r="GT1462" s="11"/>
      <c r="IG1462" s="11"/>
      <c r="JT1462" s="11"/>
      <c r="LG1462" s="11"/>
      <c r="MT1462" s="11"/>
      <c r="OG1462" s="11"/>
      <c r="PT1462" s="11"/>
    </row>
    <row r="1463" spans="3:436" ht="15.75" x14ac:dyDescent="0.25">
      <c r="C1463" s="20" t="s">
        <v>1063</v>
      </c>
      <c r="D1463" s="21" t="s">
        <v>142</v>
      </c>
      <c r="H1463" s="11"/>
      <c r="AU1463" s="11"/>
      <c r="CH1463" s="11"/>
      <c r="CI1463" s="16"/>
      <c r="CJ1463" s="16"/>
      <c r="CK1463" s="16"/>
      <c r="CL1463" s="16"/>
      <c r="CM1463" s="16"/>
      <c r="CN1463" s="16"/>
      <c r="CO1463" s="16"/>
      <c r="CP1463" s="16"/>
      <c r="CQ1463" s="16"/>
      <c r="CR1463" s="16"/>
      <c r="CS1463" s="16"/>
      <c r="CT1463" s="16"/>
      <c r="CU1463" s="16"/>
      <c r="CV1463" s="16"/>
      <c r="CW1463" s="16"/>
      <c r="CX1463" s="16"/>
      <c r="CY1463" s="16"/>
      <c r="CZ1463" s="16"/>
      <c r="DA1463" s="16"/>
      <c r="DB1463" s="16"/>
      <c r="DC1463" s="16"/>
      <c r="DD1463" s="16"/>
      <c r="DE1463" s="17"/>
      <c r="DF1463" s="17"/>
      <c r="DG1463" s="16"/>
      <c r="DH1463" s="16"/>
      <c r="DI1463" s="17"/>
      <c r="DJ1463" s="17"/>
      <c r="DK1463" s="16"/>
      <c r="DL1463" s="16"/>
      <c r="DM1463" s="17"/>
      <c r="DN1463" s="17"/>
      <c r="DO1463" s="16"/>
      <c r="DP1463" s="16"/>
      <c r="DQ1463" s="17"/>
      <c r="DR1463" s="17"/>
      <c r="DS1463" s="16"/>
      <c r="DT1463" s="16"/>
      <c r="DU1463" s="17"/>
      <c r="DV1463" s="17"/>
      <c r="DW1463" s="16"/>
      <c r="DX1463" s="16"/>
      <c r="DY1463" s="17"/>
      <c r="DZ1463" s="17"/>
      <c r="EA1463" s="16"/>
      <c r="EB1463" s="16"/>
      <c r="EC1463" s="17"/>
      <c r="ED1463" s="17"/>
      <c r="EE1463" s="16"/>
      <c r="EF1463" s="16"/>
      <c r="EG1463" s="17"/>
      <c r="EH1463" s="17"/>
      <c r="EI1463" s="16"/>
      <c r="EJ1463" s="16"/>
      <c r="EK1463" s="17"/>
      <c r="EL1463" s="17"/>
      <c r="EM1463" s="16"/>
      <c r="EN1463" s="16"/>
      <c r="EO1463" s="17"/>
      <c r="EP1463" s="17"/>
      <c r="EQ1463" s="16"/>
      <c r="ER1463" s="16"/>
      <c r="ES1463" s="17"/>
      <c r="ET1463" s="17"/>
      <c r="EU1463" s="16"/>
      <c r="EV1463" s="16"/>
      <c r="EW1463" s="17"/>
      <c r="EX1463" s="17"/>
      <c r="EY1463" s="16"/>
      <c r="EZ1463" s="16"/>
      <c r="FA1463" s="17"/>
      <c r="FB1463" s="17"/>
      <c r="FC1463" s="16"/>
      <c r="FD1463" s="16"/>
      <c r="FE1463" s="17"/>
      <c r="FF1463" s="17"/>
      <c r="FG1463" s="11"/>
      <c r="GT1463" s="11"/>
      <c r="IG1463" s="11"/>
      <c r="JT1463" s="11"/>
      <c r="LG1463" s="11"/>
      <c r="MT1463" s="11"/>
      <c r="OG1463" s="11"/>
      <c r="PT1463" s="11"/>
    </row>
    <row r="1464" spans="3:436" ht="15.75" x14ac:dyDescent="0.25">
      <c r="C1464" s="20" t="s">
        <v>1064</v>
      </c>
      <c r="D1464" s="21" t="s">
        <v>104</v>
      </c>
      <c r="H1464" s="11"/>
      <c r="AU1464" s="11"/>
      <c r="CH1464" s="11"/>
      <c r="CI1464" s="16"/>
      <c r="CJ1464" s="16"/>
      <c r="CK1464" s="16"/>
      <c r="CL1464" s="16"/>
      <c r="CM1464" s="16"/>
      <c r="CN1464" s="16"/>
      <c r="CO1464" s="16"/>
      <c r="CP1464" s="16"/>
      <c r="CQ1464" s="16"/>
      <c r="CR1464" s="16"/>
      <c r="CS1464" s="16"/>
      <c r="CT1464" s="16"/>
      <c r="CU1464" s="16"/>
      <c r="CV1464" s="16"/>
      <c r="CW1464" s="16"/>
      <c r="CX1464" s="16"/>
      <c r="CY1464" s="16"/>
      <c r="CZ1464" s="16"/>
      <c r="DA1464" s="16"/>
      <c r="DB1464" s="16"/>
      <c r="DC1464" s="16"/>
      <c r="DD1464" s="16"/>
      <c r="DE1464" s="17"/>
      <c r="DF1464" s="17"/>
      <c r="DG1464" s="16"/>
      <c r="DH1464" s="16"/>
      <c r="DI1464" s="17"/>
      <c r="DJ1464" s="17"/>
      <c r="DK1464" s="16"/>
      <c r="DL1464" s="16"/>
      <c r="DM1464" s="17"/>
      <c r="DN1464" s="17"/>
      <c r="DO1464" s="16"/>
      <c r="DP1464" s="16"/>
      <c r="DQ1464" s="17"/>
      <c r="DR1464" s="17"/>
      <c r="DS1464" s="16"/>
      <c r="DT1464" s="16"/>
      <c r="DU1464" s="17"/>
      <c r="DV1464" s="17"/>
      <c r="DW1464" s="16"/>
      <c r="DX1464" s="16"/>
      <c r="DY1464" s="17"/>
      <c r="DZ1464" s="17"/>
      <c r="EA1464" s="16"/>
      <c r="EB1464" s="16"/>
      <c r="EC1464" s="17"/>
      <c r="ED1464" s="17"/>
      <c r="EE1464" s="16"/>
      <c r="EF1464" s="16"/>
      <c r="EG1464" s="17"/>
      <c r="EH1464" s="17"/>
      <c r="EI1464" s="16"/>
      <c r="EJ1464" s="16"/>
      <c r="EK1464" s="17"/>
      <c r="EL1464" s="17"/>
      <c r="EM1464" s="16"/>
      <c r="EN1464" s="16"/>
      <c r="EO1464" s="17"/>
      <c r="EP1464" s="17"/>
      <c r="EQ1464" s="16"/>
      <c r="ER1464" s="16"/>
      <c r="ES1464" s="17"/>
      <c r="ET1464" s="17"/>
      <c r="EU1464" s="16"/>
      <c r="EV1464" s="16"/>
      <c r="EW1464" s="17"/>
      <c r="EX1464" s="17"/>
      <c r="EY1464" s="16"/>
      <c r="EZ1464" s="16"/>
      <c r="FA1464" s="17"/>
      <c r="FB1464" s="17"/>
      <c r="FC1464" s="19">
        <v>1</v>
      </c>
      <c r="FD1464" s="19">
        <v>1</v>
      </c>
      <c r="FE1464" s="17"/>
      <c r="FF1464" s="17"/>
      <c r="FG1464" s="11"/>
      <c r="GT1464" s="11"/>
      <c r="IG1464" s="11"/>
      <c r="JT1464" s="11"/>
      <c r="LG1464" s="11"/>
      <c r="MT1464" s="11"/>
      <c r="OG1464" s="11"/>
      <c r="PT1464" s="11"/>
    </row>
    <row r="1465" spans="3:436" ht="15.75" x14ac:dyDescent="0.25">
      <c r="C1465" s="20" t="s">
        <v>1065</v>
      </c>
      <c r="D1465" s="21" t="s">
        <v>136</v>
      </c>
      <c r="H1465" s="11"/>
      <c r="AU1465" s="11"/>
      <c r="CH1465" s="11"/>
      <c r="CI1465" s="16"/>
      <c r="CJ1465" s="16"/>
      <c r="CK1465" s="16"/>
      <c r="CL1465" s="16"/>
      <c r="CM1465" s="16"/>
      <c r="CN1465" s="16"/>
      <c r="CO1465" s="16"/>
      <c r="CP1465" s="16"/>
      <c r="CQ1465" s="16"/>
      <c r="CR1465" s="16"/>
      <c r="CS1465" s="16"/>
      <c r="CT1465" s="16"/>
      <c r="CU1465" s="16"/>
      <c r="CV1465" s="16"/>
      <c r="CW1465" s="16"/>
      <c r="CX1465" s="16"/>
      <c r="CY1465" s="16"/>
      <c r="CZ1465" s="16"/>
      <c r="DA1465" s="16"/>
      <c r="DB1465" s="16"/>
      <c r="DC1465" s="16"/>
      <c r="DD1465" s="16"/>
      <c r="DE1465" s="17"/>
      <c r="DF1465" s="17"/>
      <c r="DG1465" s="16"/>
      <c r="DH1465" s="16"/>
      <c r="DI1465" s="17"/>
      <c r="DJ1465" s="17"/>
      <c r="DK1465" s="16"/>
      <c r="DL1465" s="16"/>
      <c r="DM1465" s="17"/>
      <c r="DN1465" s="17"/>
      <c r="DO1465" s="16"/>
      <c r="DP1465" s="16"/>
      <c r="DQ1465" s="17"/>
      <c r="DR1465" s="17"/>
      <c r="DS1465" s="16"/>
      <c r="DT1465" s="16"/>
      <c r="DU1465" s="17"/>
      <c r="DV1465" s="17"/>
      <c r="DW1465" s="16"/>
      <c r="DX1465" s="16"/>
      <c r="DY1465" s="17"/>
      <c r="DZ1465" s="17"/>
      <c r="EA1465" s="16"/>
      <c r="EB1465" s="16"/>
      <c r="EC1465" s="17"/>
      <c r="ED1465" s="17"/>
      <c r="EE1465" s="16"/>
      <c r="EF1465" s="16"/>
      <c r="EG1465" s="17"/>
      <c r="EH1465" s="17"/>
      <c r="EI1465" s="16"/>
      <c r="EJ1465" s="16"/>
      <c r="EK1465" s="17"/>
      <c r="EL1465" s="17"/>
      <c r="EM1465" s="16"/>
      <c r="EN1465" s="16"/>
      <c r="EO1465" s="17"/>
      <c r="EP1465" s="17"/>
      <c r="EQ1465" s="16"/>
      <c r="ER1465" s="16"/>
      <c r="ES1465" s="17"/>
      <c r="ET1465" s="17"/>
      <c r="EU1465" s="16"/>
      <c r="EV1465" s="16"/>
      <c r="EW1465" s="17"/>
      <c r="EX1465" s="17"/>
      <c r="EY1465" s="16"/>
      <c r="EZ1465" s="16"/>
      <c r="FA1465" s="17"/>
      <c r="FB1465" s="17"/>
      <c r="FC1465" s="16"/>
      <c r="FD1465" s="16"/>
      <c r="FE1465" s="17"/>
      <c r="FF1465" s="17"/>
      <c r="FG1465" s="11"/>
      <c r="GT1465" s="11"/>
      <c r="IG1465" s="11"/>
      <c r="JT1465" s="11"/>
      <c r="LG1465" s="11"/>
      <c r="MT1465" s="11"/>
      <c r="OG1465" s="11"/>
      <c r="PT1465" s="11"/>
    </row>
    <row r="1466" spans="3:436" ht="15.75" x14ac:dyDescent="0.25">
      <c r="C1466" s="20" t="s">
        <v>1066</v>
      </c>
      <c r="D1466" s="21" t="s">
        <v>93</v>
      </c>
      <c r="H1466" s="11"/>
      <c r="AU1466" s="11"/>
      <c r="CH1466" s="11"/>
      <c r="CI1466" s="16"/>
      <c r="CJ1466" s="16"/>
      <c r="CK1466" s="16"/>
      <c r="CL1466" s="16"/>
      <c r="CM1466" s="16"/>
      <c r="CN1466" s="16"/>
      <c r="CO1466" s="16"/>
      <c r="CP1466" s="16"/>
      <c r="CQ1466" s="16"/>
      <c r="CR1466" s="16"/>
      <c r="CS1466" s="16"/>
      <c r="CT1466" s="16"/>
      <c r="CU1466" s="16"/>
      <c r="CV1466" s="16"/>
      <c r="CW1466" s="16"/>
      <c r="CX1466" s="16"/>
      <c r="CY1466" s="16"/>
      <c r="CZ1466" s="16"/>
      <c r="DA1466" s="16"/>
      <c r="DB1466" s="16"/>
      <c r="DC1466" s="16"/>
      <c r="DD1466" s="16"/>
      <c r="DE1466" s="17"/>
      <c r="DF1466" s="17"/>
      <c r="DG1466" s="16"/>
      <c r="DH1466" s="16"/>
      <c r="DI1466" s="17"/>
      <c r="DJ1466" s="17"/>
      <c r="DK1466" s="16"/>
      <c r="DL1466" s="16"/>
      <c r="DM1466" s="17"/>
      <c r="DN1466" s="17"/>
      <c r="DO1466" s="16"/>
      <c r="DP1466" s="16"/>
      <c r="DQ1466" s="17"/>
      <c r="DR1466" s="17"/>
      <c r="DS1466" s="16"/>
      <c r="DT1466" s="16"/>
      <c r="DU1466" s="17"/>
      <c r="DV1466" s="17"/>
      <c r="DW1466" s="16"/>
      <c r="DX1466" s="16"/>
      <c r="DY1466" s="17"/>
      <c r="DZ1466" s="17"/>
      <c r="EA1466" s="16"/>
      <c r="EB1466" s="16"/>
      <c r="EC1466" s="17"/>
      <c r="ED1466" s="17"/>
      <c r="EE1466" s="16"/>
      <c r="EF1466" s="16"/>
      <c r="EG1466" s="17"/>
      <c r="EH1466" s="17"/>
      <c r="EI1466" s="16"/>
      <c r="EJ1466" s="16"/>
      <c r="EK1466" s="17"/>
      <c r="EL1466" s="17"/>
      <c r="EM1466" s="16"/>
      <c r="EN1466" s="16"/>
      <c r="EO1466" s="17"/>
      <c r="EP1466" s="17"/>
      <c r="EQ1466" s="16"/>
      <c r="ER1466" s="16"/>
      <c r="ES1466" s="17"/>
      <c r="ET1466" s="17"/>
      <c r="EU1466" s="16"/>
      <c r="EV1466" s="16"/>
      <c r="EW1466" s="18">
        <v>1</v>
      </c>
      <c r="EX1466" s="18">
        <v>2</v>
      </c>
      <c r="EY1466" s="16"/>
      <c r="EZ1466" s="16"/>
      <c r="FA1466" s="17"/>
      <c r="FB1466" s="17"/>
      <c r="FC1466" s="16"/>
      <c r="FD1466" s="16"/>
      <c r="FE1466" s="17"/>
      <c r="FF1466" s="17"/>
      <c r="FG1466" s="11"/>
      <c r="GT1466" s="11"/>
      <c r="IG1466" s="11"/>
      <c r="JT1466" s="11"/>
      <c r="LG1466" s="11"/>
      <c r="MT1466" s="11"/>
      <c r="OG1466" s="11"/>
      <c r="PT1466" s="11"/>
    </row>
    <row r="1467" spans="3:436" ht="15.75" x14ac:dyDescent="0.25">
      <c r="C1467" s="20" t="s">
        <v>1067</v>
      </c>
      <c r="D1467" s="21" t="s">
        <v>93</v>
      </c>
      <c r="H1467" s="11"/>
      <c r="AU1467" s="11"/>
      <c r="CH1467" s="11"/>
      <c r="CI1467" s="16"/>
      <c r="CJ1467" s="16"/>
      <c r="CK1467" s="16"/>
      <c r="CL1467" s="16"/>
      <c r="CM1467" s="16"/>
      <c r="CN1467" s="16"/>
      <c r="CO1467" s="16"/>
      <c r="CP1467" s="16"/>
      <c r="CQ1467" s="16"/>
      <c r="CR1467" s="16"/>
      <c r="CS1467" s="16"/>
      <c r="CT1467" s="16"/>
      <c r="CU1467" s="16"/>
      <c r="CV1467" s="16"/>
      <c r="CW1467" s="16"/>
      <c r="CX1467" s="16"/>
      <c r="CY1467" s="16"/>
      <c r="CZ1467" s="16"/>
      <c r="DA1467" s="16"/>
      <c r="DB1467" s="16"/>
      <c r="DC1467" s="16"/>
      <c r="DD1467" s="16"/>
      <c r="DE1467" s="17"/>
      <c r="DF1467" s="17"/>
      <c r="DG1467" s="16"/>
      <c r="DH1467" s="16"/>
      <c r="DI1467" s="17"/>
      <c r="DJ1467" s="17"/>
      <c r="DK1467" s="16"/>
      <c r="DL1467" s="16"/>
      <c r="DM1467" s="17"/>
      <c r="DN1467" s="17"/>
      <c r="DO1467" s="16"/>
      <c r="DP1467" s="16"/>
      <c r="DQ1467" s="17"/>
      <c r="DR1467" s="17"/>
      <c r="DS1467" s="16"/>
      <c r="DT1467" s="16"/>
      <c r="DU1467" s="17"/>
      <c r="DV1467" s="17"/>
      <c r="DW1467" s="16"/>
      <c r="DX1467" s="16"/>
      <c r="DY1467" s="17"/>
      <c r="DZ1467" s="17"/>
      <c r="EA1467" s="16"/>
      <c r="EB1467" s="16"/>
      <c r="EC1467" s="17"/>
      <c r="ED1467" s="17"/>
      <c r="EE1467" s="16"/>
      <c r="EF1467" s="16"/>
      <c r="EG1467" s="17"/>
      <c r="EH1467" s="17"/>
      <c r="EI1467" s="16"/>
      <c r="EJ1467" s="16"/>
      <c r="EK1467" s="17"/>
      <c r="EL1467" s="17"/>
      <c r="EM1467" s="16"/>
      <c r="EN1467" s="16"/>
      <c r="EO1467" s="17"/>
      <c r="EP1467" s="17"/>
      <c r="EQ1467" s="16"/>
      <c r="ER1467" s="16"/>
      <c r="ES1467" s="17"/>
      <c r="ET1467" s="17"/>
      <c r="EU1467" s="16"/>
      <c r="EV1467" s="16"/>
      <c r="EW1467" s="18">
        <v>1</v>
      </c>
      <c r="EX1467" s="18">
        <v>2</v>
      </c>
      <c r="EY1467" s="16"/>
      <c r="EZ1467" s="16"/>
      <c r="FA1467" s="17"/>
      <c r="FB1467" s="17"/>
      <c r="FC1467" s="16"/>
      <c r="FD1467" s="16"/>
      <c r="FE1467" s="17"/>
      <c r="FF1467" s="17"/>
      <c r="FG1467" s="11"/>
      <c r="GT1467" s="11"/>
      <c r="IG1467" s="11"/>
      <c r="JT1467" s="11"/>
      <c r="LG1467" s="11"/>
      <c r="MT1467" s="11"/>
      <c r="OG1467" s="11"/>
      <c r="PT1467" s="11"/>
    </row>
    <row r="1468" spans="3:436" ht="15.75" x14ac:dyDescent="0.25">
      <c r="C1468" s="20" t="s">
        <v>1068</v>
      </c>
      <c r="D1468" s="21" t="s">
        <v>93</v>
      </c>
      <c r="H1468" s="11"/>
      <c r="AU1468" s="11"/>
      <c r="CH1468" s="11"/>
      <c r="CI1468" s="16"/>
      <c r="CJ1468" s="16"/>
      <c r="CK1468" s="16"/>
      <c r="CL1468" s="16"/>
      <c r="CM1468" s="16"/>
      <c r="CN1468" s="16"/>
      <c r="CO1468" s="16"/>
      <c r="CP1468" s="16"/>
      <c r="CQ1468" s="16"/>
      <c r="CR1468" s="16"/>
      <c r="CS1468" s="16"/>
      <c r="CT1468" s="16"/>
      <c r="CU1468" s="16"/>
      <c r="CV1468" s="16"/>
      <c r="CW1468" s="16"/>
      <c r="CX1468" s="16"/>
      <c r="CY1468" s="16"/>
      <c r="CZ1468" s="16"/>
      <c r="DA1468" s="16"/>
      <c r="DB1468" s="16"/>
      <c r="DC1468" s="16"/>
      <c r="DD1468" s="16"/>
      <c r="DE1468" s="17"/>
      <c r="DF1468" s="17"/>
      <c r="DG1468" s="16"/>
      <c r="DH1468" s="16"/>
      <c r="DI1468" s="17"/>
      <c r="DJ1468" s="17"/>
      <c r="DK1468" s="16"/>
      <c r="DL1468" s="16"/>
      <c r="DM1468" s="17"/>
      <c r="DN1468" s="17"/>
      <c r="DO1468" s="16"/>
      <c r="DP1468" s="16"/>
      <c r="DQ1468" s="17"/>
      <c r="DR1468" s="17"/>
      <c r="DS1468" s="16"/>
      <c r="DT1468" s="16"/>
      <c r="DU1468" s="17"/>
      <c r="DV1468" s="17"/>
      <c r="DW1468" s="16"/>
      <c r="DX1468" s="16"/>
      <c r="DY1468" s="17"/>
      <c r="DZ1468" s="17"/>
      <c r="EA1468" s="16"/>
      <c r="EB1468" s="16"/>
      <c r="EC1468" s="17"/>
      <c r="ED1468" s="17"/>
      <c r="EE1468" s="16"/>
      <c r="EF1468" s="16"/>
      <c r="EG1468" s="17"/>
      <c r="EH1468" s="17"/>
      <c r="EI1468" s="16"/>
      <c r="EJ1468" s="16"/>
      <c r="EK1468" s="17"/>
      <c r="EL1468" s="17"/>
      <c r="EM1468" s="16"/>
      <c r="EN1468" s="16"/>
      <c r="EO1468" s="17"/>
      <c r="EP1468" s="17"/>
      <c r="EQ1468" s="16"/>
      <c r="ER1468" s="16"/>
      <c r="ES1468" s="17"/>
      <c r="ET1468" s="17"/>
      <c r="EU1468" s="16"/>
      <c r="EV1468" s="16"/>
      <c r="EW1468" s="18">
        <v>1</v>
      </c>
      <c r="EX1468" s="18">
        <v>2</v>
      </c>
      <c r="EY1468" s="16"/>
      <c r="EZ1468" s="16"/>
      <c r="FA1468" s="17"/>
      <c r="FB1468" s="17"/>
      <c r="FC1468" s="16"/>
      <c r="FD1468" s="16"/>
      <c r="FE1468" s="17"/>
      <c r="FF1468" s="17"/>
      <c r="FG1468" s="11"/>
      <c r="GT1468" s="11"/>
      <c r="IG1468" s="11"/>
      <c r="JT1468" s="11"/>
      <c r="LG1468" s="11"/>
      <c r="MT1468" s="11"/>
      <c r="OG1468" s="11"/>
      <c r="PT1468" s="11"/>
    </row>
    <row r="1469" spans="3:436" ht="15.75" x14ac:dyDescent="0.25">
      <c r="C1469" s="20" t="s">
        <v>1069</v>
      </c>
      <c r="D1469" s="21" t="s">
        <v>93</v>
      </c>
      <c r="H1469" s="11"/>
      <c r="AU1469" s="11"/>
      <c r="CH1469" s="11"/>
      <c r="CI1469" s="16"/>
      <c r="CJ1469" s="16"/>
      <c r="CK1469" s="16"/>
      <c r="CL1469" s="16"/>
      <c r="CM1469" s="16"/>
      <c r="CN1469" s="16"/>
      <c r="CO1469" s="16"/>
      <c r="CP1469" s="16"/>
      <c r="CQ1469" s="16"/>
      <c r="CR1469" s="16"/>
      <c r="CS1469" s="16"/>
      <c r="CT1469" s="16"/>
      <c r="CU1469" s="16"/>
      <c r="CV1469" s="16"/>
      <c r="CW1469" s="16"/>
      <c r="CX1469" s="16"/>
      <c r="CY1469" s="16"/>
      <c r="CZ1469" s="16"/>
      <c r="DA1469" s="16"/>
      <c r="DB1469" s="16"/>
      <c r="DC1469" s="16"/>
      <c r="DD1469" s="16"/>
      <c r="DE1469" s="17"/>
      <c r="DF1469" s="17"/>
      <c r="DG1469" s="16"/>
      <c r="DH1469" s="16"/>
      <c r="DI1469" s="17"/>
      <c r="DJ1469" s="17"/>
      <c r="DK1469" s="16"/>
      <c r="DL1469" s="16"/>
      <c r="DM1469" s="17"/>
      <c r="DN1469" s="17"/>
      <c r="DO1469" s="16"/>
      <c r="DP1469" s="16"/>
      <c r="DQ1469" s="17"/>
      <c r="DR1469" s="17"/>
      <c r="DS1469" s="16"/>
      <c r="DT1469" s="16"/>
      <c r="DU1469" s="17"/>
      <c r="DV1469" s="17"/>
      <c r="DW1469" s="16"/>
      <c r="DX1469" s="16"/>
      <c r="DY1469" s="17"/>
      <c r="DZ1469" s="17"/>
      <c r="EA1469" s="16"/>
      <c r="EB1469" s="16"/>
      <c r="EC1469" s="17"/>
      <c r="ED1469" s="17"/>
      <c r="EE1469" s="16"/>
      <c r="EF1469" s="16"/>
      <c r="EG1469" s="17"/>
      <c r="EH1469" s="17"/>
      <c r="EI1469" s="16"/>
      <c r="EJ1469" s="16"/>
      <c r="EK1469" s="17"/>
      <c r="EL1469" s="17"/>
      <c r="EM1469" s="16"/>
      <c r="EN1469" s="16"/>
      <c r="EO1469" s="17"/>
      <c r="EP1469" s="17"/>
      <c r="EQ1469" s="16"/>
      <c r="ER1469" s="16"/>
      <c r="ES1469" s="17"/>
      <c r="ET1469" s="17"/>
      <c r="EU1469" s="16"/>
      <c r="EV1469" s="16"/>
      <c r="EW1469" s="18">
        <v>1</v>
      </c>
      <c r="EX1469" s="18">
        <v>2</v>
      </c>
      <c r="EY1469" s="16"/>
      <c r="EZ1469" s="16"/>
      <c r="FA1469" s="17"/>
      <c r="FB1469" s="17"/>
      <c r="FC1469" s="16"/>
      <c r="FD1469" s="16"/>
      <c r="FE1469" s="17"/>
      <c r="FF1469" s="17"/>
      <c r="FG1469" s="11"/>
      <c r="GT1469" s="11"/>
      <c r="IG1469" s="11"/>
      <c r="JT1469" s="11"/>
      <c r="LG1469" s="11"/>
      <c r="MT1469" s="11"/>
      <c r="OG1469" s="11"/>
      <c r="PT1469" s="11"/>
    </row>
    <row r="1470" spans="3:436" ht="15.75" x14ac:dyDescent="0.25">
      <c r="C1470" s="20" t="s">
        <v>1070</v>
      </c>
      <c r="D1470" s="21" t="s">
        <v>93</v>
      </c>
      <c r="H1470" s="11"/>
      <c r="AU1470" s="11"/>
      <c r="CH1470" s="11"/>
      <c r="CI1470" s="16"/>
      <c r="CJ1470" s="16"/>
      <c r="CK1470" s="16"/>
      <c r="CL1470" s="16"/>
      <c r="CM1470" s="16"/>
      <c r="CN1470" s="16"/>
      <c r="CO1470" s="16"/>
      <c r="CP1470" s="16"/>
      <c r="CQ1470" s="16"/>
      <c r="CR1470" s="16"/>
      <c r="CS1470" s="16"/>
      <c r="CT1470" s="16"/>
      <c r="CU1470" s="16"/>
      <c r="CV1470" s="16"/>
      <c r="CW1470" s="16"/>
      <c r="CX1470" s="16"/>
      <c r="CY1470" s="16"/>
      <c r="CZ1470" s="16"/>
      <c r="DA1470" s="16"/>
      <c r="DB1470" s="16"/>
      <c r="DC1470" s="16"/>
      <c r="DD1470" s="16"/>
      <c r="DE1470" s="17"/>
      <c r="DF1470" s="17"/>
      <c r="DG1470" s="16"/>
      <c r="DH1470" s="16"/>
      <c r="DI1470" s="17"/>
      <c r="DJ1470" s="17"/>
      <c r="DK1470" s="16"/>
      <c r="DL1470" s="16"/>
      <c r="DM1470" s="17"/>
      <c r="DN1470" s="17"/>
      <c r="DO1470" s="16"/>
      <c r="DP1470" s="16"/>
      <c r="DQ1470" s="17"/>
      <c r="DR1470" s="17"/>
      <c r="DS1470" s="16"/>
      <c r="DT1470" s="16"/>
      <c r="DU1470" s="17"/>
      <c r="DV1470" s="17"/>
      <c r="DW1470" s="16"/>
      <c r="DX1470" s="16"/>
      <c r="DY1470" s="17"/>
      <c r="DZ1470" s="17"/>
      <c r="EA1470" s="16"/>
      <c r="EB1470" s="16"/>
      <c r="EC1470" s="17"/>
      <c r="ED1470" s="17"/>
      <c r="EE1470" s="16"/>
      <c r="EF1470" s="16"/>
      <c r="EG1470" s="17"/>
      <c r="EH1470" s="17"/>
      <c r="EI1470" s="16"/>
      <c r="EJ1470" s="16"/>
      <c r="EK1470" s="17"/>
      <c r="EL1470" s="17"/>
      <c r="EM1470" s="16"/>
      <c r="EN1470" s="16"/>
      <c r="EO1470" s="17"/>
      <c r="EP1470" s="17"/>
      <c r="EQ1470" s="16"/>
      <c r="ER1470" s="16"/>
      <c r="ES1470" s="17"/>
      <c r="ET1470" s="17"/>
      <c r="EU1470" s="16"/>
      <c r="EV1470" s="16"/>
      <c r="EW1470" s="18">
        <v>1</v>
      </c>
      <c r="EX1470" s="18">
        <v>2</v>
      </c>
      <c r="EY1470" s="16"/>
      <c r="EZ1470" s="16"/>
      <c r="FA1470" s="17"/>
      <c r="FB1470" s="17"/>
      <c r="FC1470" s="16"/>
      <c r="FD1470" s="16"/>
      <c r="FE1470" s="17"/>
      <c r="FF1470" s="17"/>
      <c r="FG1470" s="11"/>
      <c r="GT1470" s="11"/>
      <c r="IG1470" s="11"/>
      <c r="JT1470" s="11"/>
      <c r="LG1470" s="11"/>
      <c r="MT1470" s="11"/>
      <c r="OG1470" s="11"/>
      <c r="PT1470" s="11"/>
    </row>
    <row r="1471" spans="3:436" ht="15.75" x14ac:dyDescent="0.25">
      <c r="C1471" s="20" t="s">
        <v>1066</v>
      </c>
      <c r="D1471" s="21" t="s">
        <v>82</v>
      </c>
      <c r="H1471" s="11"/>
      <c r="AU1471" s="11"/>
      <c r="CH1471" s="11"/>
      <c r="CI1471" s="16"/>
      <c r="CJ1471" s="16"/>
      <c r="CK1471" s="16"/>
      <c r="CL1471" s="16"/>
      <c r="CM1471" s="16"/>
      <c r="CN1471" s="16"/>
      <c r="CO1471" s="16"/>
      <c r="CP1471" s="16"/>
      <c r="CQ1471" s="16"/>
      <c r="CR1471" s="16"/>
      <c r="CS1471" s="16"/>
      <c r="CT1471" s="16"/>
      <c r="CU1471" s="16"/>
      <c r="CV1471" s="16"/>
      <c r="CW1471" s="16"/>
      <c r="CX1471" s="16"/>
      <c r="CY1471" s="16"/>
      <c r="CZ1471" s="16"/>
      <c r="DA1471" s="16"/>
      <c r="DB1471" s="16"/>
      <c r="DC1471" s="16"/>
      <c r="DD1471" s="16"/>
      <c r="DE1471" s="17"/>
      <c r="DF1471" s="17"/>
      <c r="DG1471" s="16"/>
      <c r="DH1471" s="16"/>
      <c r="DI1471" s="17"/>
      <c r="DJ1471" s="17"/>
      <c r="DK1471" s="16"/>
      <c r="DL1471" s="16"/>
      <c r="DM1471" s="17"/>
      <c r="DN1471" s="17"/>
      <c r="DO1471" s="16"/>
      <c r="DP1471" s="16"/>
      <c r="DQ1471" s="17"/>
      <c r="DR1471" s="17"/>
      <c r="DS1471" s="16"/>
      <c r="DT1471" s="16"/>
      <c r="DU1471" s="17"/>
      <c r="DV1471" s="17"/>
      <c r="DW1471" s="16"/>
      <c r="DX1471" s="16"/>
      <c r="DY1471" s="17"/>
      <c r="DZ1471" s="17"/>
      <c r="EA1471" s="16"/>
      <c r="EB1471" s="16"/>
      <c r="EC1471" s="17"/>
      <c r="ED1471" s="17"/>
      <c r="EE1471" s="16"/>
      <c r="EF1471" s="16"/>
      <c r="EG1471" s="17"/>
      <c r="EH1471" s="17"/>
      <c r="EI1471" s="16"/>
      <c r="EJ1471" s="16"/>
      <c r="EK1471" s="17"/>
      <c r="EL1471" s="17"/>
      <c r="EM1471" s="16"/>
      <c r="EN1471" s="16"/>
      <c r="EO1471" s="17"/>
      <c r="EP1471" s="17"/>
      <c r="EQ1471" s="16"/>
      <c r="ER1471" s="16"/>
      <c r="ES1471" s="18">
        <v>1</v>
      </c>
      <c r="ET1471" s="18">
        <v>2</v>
      </c>
      <c r="EU1471" s="16"/>
      <c r="EV1471" s="16"/>
      <c r="EW1471" s="17"/>
      <c r="EX1471" s="17"/>
      <c r="EY1471" s="16"/>
      <c r="EZ1471" s="16"/>
      <c r="FA1471" s="17"/>
      <c r="FB1471" s="17"/>
      <c r="FC1471" s="16"/>
      <c r="FD1471" s="16"/>
      <c r="FE1471" s="17"/>
      <c r="FF1471" s="17"/>
      <c r="FG1471" s="11"/>
      <c r="GT1471" s="11"/>
      <c r="IG1471" s="11"/>
      <c r="JT1471" s="11"/>
      <c r="LG1471" s="11"/>
      <c r="MT1471" s="11"/>
      <c r="OG1471" s="11"/>
      <c r="PT1471" s="11"/>
    </row>
    <row r="1472" spans="3:436" ht="15.75" x14ac:dyDescent="0.25">
      <c r="C1472" s="20" t="s">
        <v>1067</v>
      </c>
      <c r="D1472" s="21" t="s">
        <v>82</v>
      </c>
      <c r="H1472" s="11"/>
      <c r="AU1472" s="11"/>
      <c r="CH1472" s="11"/>
      <c r="CI1472" s="16"/>
      <c r="CJ1472" s="16"/>
      <c r="CK1472" s="16"/>
      <c r="CL1472" s="16"/>
      <c r="CM1472" s="16"/>
      <c r="CN1472" s="16"/>
      <c r="CO1472" s="16"/>
      <c r="CP1472" s="16"/>
      <c r="CQ1472" s="16"/>
      <c r="CR1472" s="16"/>
      <c r="CS1472" s="16"/>
      <c r="CT1472" s="16"/>
      <c r="CU1472" s="16"/>
      <c r="CV1472" s="16"/>
      <c r="CW1472" s="16"/>
      <c r="CX1472" s="16"/>
      <c r="CY1472" s="16"/>
      <c r="CZ1472" s="16"/>
      <c r="DA1472" s="16"/>
      <c r="DB1472" s="16"/>
      <c r="DC1472" s="16"/>
      <c r="DD1472" s="16"/>
      <c r="DE1472" s="17"/>
      <c r="DF1472" s="17"/>
      <c r="DG1472" s="16"/>
      <c r="DH1472" s="16"/>
      <c r="DI1472" s="17"/>
      <c r="DJ1472" s="17"/>
      <c r="DK1472" s="16"/>
      <c r="DL1472" s="16"/>
      <c r="DM1472" s="17"/>
      <c r="DN1472" s="17"/>
      <c r="DO1472" s="16"/>
      <c r="DP1472" s="16"/>
      <c r="DQ1472" s="17"/>
      <c r="DR1472" s="17"/>
      <c r="DS1472" s="16"/>
      <c r="DT1472" s="16"/>
      <c r="DU1472" s="17"/>
      <c r="DV1472" s="17"/>
      <c r="DW1472" s="16"/>
      <c r="DX1472" s="16"/>
      <c r="DY1472" s="17"/>
      <c r="DZ1472" s="17"/>
      <c r="EA1472" s="16"/>
      <c r="EB1472" s="16"/>
      <c r="EC1472" s="17"/>
      <c r="ED1472" s="17"/>
      <c r="EE1472" s="16"/>
      <c r="EF1472" s="16"/>
      <c r="EG1472" s="17"/>
      <c r="EH1472" s="17"/>
      <c r="EI1472" s="16"/>
      <c r="EJ1472" s="16"/>
      <c r="EK1472" s="17"/>
      <c r="EL1472" s="17"/>
      <c r="EM1472" s="16"/>
      <c r="EN1472" s="16"/>
      <c r="EO1472" s="17"/>
      <c r="EP1472" s="17"/>
      <c r="EQ1472" s="16"/>
      <c r="ER1472" s="16"/>
      <c r="ES1472" s="18">
        <v>1</v>
      </c>
      <c r="ET1472" s="18">
        <v>2</v>
      </c>
      <c r="EU1472" s="16"/>
      <c r="EV1472" s="16"/>
      <c r="EW1472" s="17"/>
      <c r="EX1472" s="17"/>
      <c r="EY1472" s="16"/>
      <c r="EZ1472" s="16"/>
      <c r="FA1472" s="17"/>
      <c r="FB1472" s="17"/>
      <c r="FC1472" s="16"/>
      <c r="FD1472" s="16"/>
      <c r="FE1472" s="17"/>
      <c r="FF1472" s="17"/>
      <c r="FG1472" s="11"/>
      <c r="GT1472" s="11"/>
      <c r="IG1472" s="11"/>
      <c r="JT1472" s="11"/>
      <c r="LG1472" s="11"/>
      <c r="MT1472" s="11"/>
      <c r="OG1472" s="11"/>
      <c r="PT1472" s="11"/>
    </row>
    <row r="1473" spans="1:436" ht="15.75" x14ac:dyDescent="0.25">
      <c r="C1473" s="20" t="s">
        <v>1068</v>
      </c>
      <c r="D1473" s="21" t="s">
        <v>82</v>
      </c>
      <c r="H1473" s="11"/>
      <c r="AU1473" s="11"/>
      <c r="CH1473" s="11"/>
      <c r="CI1473" s="16"/>
      <c r="CJ1473" s="16"/>
      <c r="CK1473" s="16"/>
      <c r="CL1473" s="16"/>
      <c r="CM1473" s="16"/>
      <c r="CN1473" s="16"/>
      <c r="CO1473" s="16"/>
      <c r="CP1473" s="16"/>
      <c r="CQ1473" s="16"/>
      <c r="CR1473" s="16"/>
      <c r="CS1473" s="16"/>
      <c r="CT1473" s="16"/>
      <c r="CU1473" s="16"/>
      <c r="CV1473" s="16"/>
      <c r="CW1473" s="16"/>
      <c r="CX1473" s="16"/>
      <c r="CY1473" s="16"/>
      <c r="CZ1473" s="16"/>
      <c r="DA1473" s="16"/>
      <c r="DB1473" s="16"/>
      <c r="DC1473" s="16"/>
      <c r="DD1473" s="16"/>
      <c r="DE1473" s="17"/>
      <c r="DF1473" s="17"/>
      <c r="DG1473" s="16"/>
      <c r="DH1473" s="16"/>
      <c r="DI1473" s="17"/>
      <c r="DJ1473" s="17"/>
      <c r="DK1473" s="16"/>
      <c r="DL1473" s="16"/>
      <c r="DM1473" s="17"/>
      <c r="DN1473" s="17"/>
      <c r="DO1473" s="16"/>
      <c r="DP1473" s="16"/>
      <c r="DQ1473" s="17"/>
      <c r="DR1473" s="17"/>
      <c r="DS1473" s="16"/>
      <c r="DT1473" s="16"/>
      <c r="DU1473" s="17"/>
      <c r="DV1473" s="17"/>
      <c r="DW1473" s="16"/>
      <c r="DX1473" s="16"/>
      <c r="DY1473" s="17"/>
      <c r="DZ1473" s="17"/>
      <c r="EA1473" s="16"/>
      <c r="EB1473" s="16"/>
      <c r="EC1473" s="17"/>
      <c r="ED1473" s="17"/>
      <c r="EE1473" s="16"/>
      <c r="EF1473" s="16"/>
      <c r="EG1473" s="17"/>
      <c r="EH1473" s="17"/>
      <c r="EI1473" s="16"/>
      <c r="EJ1473" s="16"/>
      <c r="EK1473" s="17"/>
      <c r="EL1473" s="17"/>
      <c r="EM1473" s="16"/>
      <c r="EN1473" s="16"/>
      <c r="EO1473" s="17"/>
      <c r="EP1473" s="17"/>
      <c r="EQ1473" s="16"/>
      <c r="ER1473" s="16"/>
      <c r="ES1473" s="18">
        <v>2</v>
      </c>
      <c r="ET1473" s="18">
        <v>3</v>
      </c>
      <c r="EU1473" s="16"/>
      <c r="EV1473" s="16"/>
      <c r="EW1473" s="17"/>
      <c r="EX1473" s="17"/>
      <c r="EY1473" s="16"/>
      <c r="EZ1473" s="16"/>
      <c r="FA1473" s="17"/>
      <c r="FB1473" s="17"/>
      <c r="FC1473" s="16"/>
      <c r="FD1473" s="16"/>
      <c r="FE1473" s="17"/>
      <c r="FF1473" s="17"/>
      <c r="FG1473" s="11"/>
      <c r="GT1473" s="11"/>
      <c r="IG1473" s="11"/>
      <c r="JT1473" s="11"/>
      <c r="LG1473" s="11"/>
      <c r="MT1473" s="11"/>
      <c r="OG1473" s="11"/>
      <c r="PT1473" s="11"/>
    </row>
    <row r="1474" spans="1:436" ht="15.75" x14ac:dyDescent="0.25">
      <c r="C1474" s="20" t="s">
        <v>1069</v>
      </c>
      <c r="D1474" s="21" t="s">
        <v>82</v>
      </c>
      <c r="H1474" s="11"/>
      <c r="AU1474" s="11"/>
      <c r="CH1474" s="11"/>
      <c r="CI1474" s="16"/>
      <c r="CJ1474" s="16"/>
      <c r="CK1474" s="16"/>
      <c r="CL1474" s="16"/>
      <c r="CM1474" s="16"/>
      <c r="CN1474" s="16"/>
      <c r="CO1474" s="16"/>
      <c r="CP1474" s="16"/>
      <c r="CQ1474" s="16"/>
      <c r="CR1474" s="16"/>
      <c r="CS1474" s="16"/>
      <c r="CT1474" s="16"/>
      <c r="CU1474" s="16"/>
      <c r="CV1474" s="16"/>
      <c r="CW1474" s="16"/>
      <c r="CX1474" s="16"/>
      <c r="CY1474" s="16"/>
      <c r="CZ1474" s="16"/>
      <c r="DA1474" s="16"/>
      <c r="DB1474" s="16"/>
      <c r="DC1474" s="16"/>
      <c r="DD1474" s="16"/>
      <c r="DE1474" s="17"/>
      <c r="DF1474" s="17"/>
      <c r="DG1474" s="16"/>
      <c r="DH1474" s="16"/>
      <c r="DI1474" s="17"/>
      <c r="DJ1474" s="17"/>
      <c r="DK1474" s="16"/>
      <c r="DL1474" s="16"/>
      <c r="DM1474" s="17"/>
      <c r="DN1474" s="17"/>
      <c r="DO1474" s="16"/>
      <c r="DP1474" s="16"/>
      <c r="DQ1474" s="17"/>
      <c r="DR1474" s="17"/>
      <c r="DS1474" s="16"/>
      <c r="DT1474" s="16"/>
      <c r="DU1474" s="17"/>
      <c r="DV1474" s="17"/>
      <c r="DW1474" s="16"/>
      <c r="DX1474" s="16"/>
      <c r="DY1474" s="17"/>
      <c r="DZ1474" s="17"/>
      <c r="EA1474" s="16"/>
      <c r="EB1474" s="16"/>
      <c r="EC1474" s="17"/>
      <c r="ED1474" s="17"/>
      <c r="EE1474" s="16"/>
      <c r="EF1474" s="16"/>
      <c r="EG1474" s="17"/>
      <c r="EH1474" s="17"/>
      <c r="EI1474" s="16"/>
      <c r="EJ1474" s="16"/>
      <c r="EK1474" s="17"/>
      <c r="EL1474" s="17"/>
      <c r="EM1474" s="16"/>
      <c r="EN1474" s="16"/>
      <c r="EO1474" s="17"/>
      <c r="EP1474" s="17"/>
      <c r="EQ1474" s="16"/>
      <c r="ER1474" s="16"/>
      <c r="ES1474" s="18">
        <v>1</v>
      </c>
      <c r="ET1474" s="18">
        <v>2</v>
      </c>
      <c r="EU1474" s="16"/>
      <c r="EV1474" s="16"/>
      <c r="EW1474" s="17"/>
      <c r="EX1474" s="17"/>
      <c r="EY1474" s="16"/>
      <c r="EZ1474" s="16"/>
      <c r="FA1474" s="17"/>
      <c r="FB1474" s="17"/>
      <c r="FC1474" s="16"/>
      <c r="FD1474" s="16"/>
      <c r="FE1474" s="17"/>
      <c r="FF1474" s="17"/>
      <c r="FG1474" s="11"/>
      <c r="GT1474" s="11"/>
      <c r="IG1474" s="11"/>
      <c r="JT1474" s="11"/>
      <c r="LG1474" s="11"/>
      <c r="MT1474" s="11"/>
      <c r="OG1474" s="11"/>
      <c r="PT1474" s="11"/>
    </row>
    <row r="1475" spans="1:436" ht="15.75" x14ac:dyDescent="0.25">
      <c r="C1475" s="20" t="s">
        <v>1071</v>
      </c>
      <c r="D1475" s="21" t="s">
        <v>82</v>
      </c>
      <c r="H1475" s="11"/>
      <c r="AU1475" s="11"/>
      <c r="CH1475" s="11"/>
      <c r="CI1475" s="16"/>
      <c r="CJ1475" s="16"/>
      <c r="CK1475" s="16"/>
      <c r="CL1475" s="16"/>
      <c r="CM1475" s="16"/>
      <c r="CN1475" s="16"/>
      <c r="CO1475" s="16"/>
      <c r="CP1475" s="16"/>
      <c r="CQ1475" s="16"/>
      <c r="CR1475" s="16"/>
      <c r="CS1475" s="16"/>
      <c r="CT1475" s="16"/>
      <c r="CU1475" s="16"/>
      <c r="CV1475" s="16"/>
      <c r="CW1475" s="16"/>
      <c r="CX1475" s="16"/>
      <c r="CY1475" s="16"/>
      <c r="CZ1475" s="16"/>
      <c r="DA1475" s="16"/>
      <c r="DB1475" s="16"/>
      <c r="DC1475" s="16"/>
      <c r="DD1475" s="16"/>
      <c r="DE1475" s="17"/>
      <c r="DF1475" s="17"/>
      <c r="DG1475" s="16"/>
      <c r="DH1475" s="16"/>
      <c r="DI1475" s="17"/>
      <c r="DJ1475" s="17"/>
      <c r="DK1475" s="16"/>
      <c r="DL1475" s="16"/>
      <c r="DM1475" s="17"/>
      <c r="DN1475" s="17"/>
      <c r="DO1475" s="16"/>
      <c r="DP1475" s="16"/>
      <c r="DQ1475" s="17"/>
      <c r="DR1475" s="17"/>
      <c r="DS1475" s="16"/>
      <c r="DT1475" s="16"/>
      <c r="DU1475" s="17"/>
      <c r="DV1475" s="17"/>
      <c r="DW1475" s="16"/>
      <c r="DX1475" s="16"/>
      <c r="DY1475" s="17"/>
      <c r="DZ1475" s="17"/>
      <c r="EA1475" s="16"/>
      <c r="EB1475" s="16"/>
      <c r="EC1475" s="17"/>
      <c r="ED1475" s="17"/>
      <c r="EE1475" s="16"/>
      <c r="EF1475" s="16"/>
      <c r="EG1475" s="17"/>
      <c r="EH1475" s="17"/>
      <c r="EI1475" s="16"/>
      <c r="EJ1475" s="16"/>
      <c r="EK1475" s="17"/>
      <c r="EL1475" s="17"/>
      <c r="EM1475" s="16"/>
      <c r="EN1475" s="16"/>
      <c r="EO1475" s="17"/>
      <c r="EP1475" s="17"/>
      <c r="EQ1475" s="16"/>
      <c r="ER1475" s="16"/>
      <c r="ES1475" s="18">
        <v>1</v>
      </c>
      <c r="ET1475" s="18">
        <v>2</v>
      </c>
      <c r="EU1475" s="16"/>
      <c r="EV1475" s="16"/>
      <c r="EW1475" s="17"/>
      <c r="EX1475" s="17"/>
      <c r="EY1475" s="16"/>
      <c r="EZ1475" s="16"/>
      <c r="FA1475" s="17"/>
      <c r="FB1475" s="17"/>
      <c r="FC1475" s="16"/>
      <c r="FD1475" s="16"/>
      <c r="FE1475" s="17"/>
      <c r="FF1475" s="17"/>
      <c r="FG1475" s="11"/>
      <c r="GT1475" s="11"/>
      <c r="IG1475" s="11"/>
      <c r="JT1475" s="11"/>
      <c r="LG1475" s="11"/>
      <c r="MT1475" s="11"/>
      <c r="OG1475" s="11"/>
      <c r="PT1475" s="11"/>
    </row>
    <row r="1476" spans="1:436" ht="15.75" x14ac:dyDescent="0.25">
      <c r="C1476" s="20" t="s">
        <v>1070</v>
      </c>
      <c r="D1476" s="21" t="s">
        <v>82</v>
      </c>
      <c r="H1476" s="11"/>
      <c r="AU1476" s="11"/>
      <c r="CH1476" s="11"/>
      <c r="CI1476" s="16"/>
      <c r="CJ1476" s="16"/>
      <c r="CK1476" s="16"/>
      <c r="CL1476" s="16"/>
      <c r="CM1476" s="16"/>
      <c r="CN1476" s="16"/>
      <c r="CO1476" s="16"/>
      <c r="CP1476" s="16"/>
      <c r="CQ1476" s="16"/>
      <c r="CR1476" s="16"/>
      <c r="CS1476" s="16"/>
      <c r="CT1476" s="16"/>
      <c r="CU1476" s="16"/>
      <c r="CV1476" s="16"/>
      <c r="CW1476" s="16"/>
      <c r="CX1476" s="16"/>
      <c r="CY1476" s="16"/>
      <c r="CZ1476" s="16"/>
      <c r="DA1476" s="16"/>
      <c r="DB1476" s="16"/>
      <c r="DC1476" s="16"/>
      <c r="DD1476" s="16"/>
      <c r="DE1476" s="17"/>
      <c r="DF1476" s="17"/>
      <c r="DG1476" s="16"/>
      <c r="DH1476" s="16"/>
      <c r="DI1476" s="17"/>
      <c r="DJ1476" s="17"/>
      <c r="DK1476" s="16"/>
      <c r="DL1476" s="16"/>
      <c r="DM1476" s="17"/>
      <c r="DN1476" s="17"/>
      <c r="DO1476" s="16"/>
      <c r="DP1476" s="16"/>
      <c r="DQ1476" s="17"/>
      <c r="DR1476" s="17"/>
      <c r="DS1476" s="16"/>
      <c r="DT1476" s="16"/>
      <c r="DU1476" s="17"/>
      <c r="DV1476" s="17"/>
      <c r="DW1476" s="16"/>
      <c r="DX1476" s="16"/>
      <c r="DY1476" s="17"/>
      <c r="DZ1476" s="17"/>
      <c r="EA1476" s="16"/>
      <c r="EB1476" s="16"/>
      <c r="EC1476" s="17"/>
      <c r="ED1476" s="17"/>
      <c r="EE1476" s="16"/>
      <c r="EF1476" s="16"/>
      <c r="EG1476" s="17"/>
      <c r="EH1476" s="17"/>
      <c r="EI1476" s="16"/>
      <c r="EJ1476" s="16"/>
      <c r="EK1476" s="17"/>
      <c r="EL1476" s="17"/>
      <c r="EM1476" s="16"/>
      <c r="EN1476" s="16"/>
      <c r="EO1476" s="17"/>
      <c r="EP1476" s="17"/>
      <c r="EQ1476" s="16"/>
      <c r="ER1476" s="16"/>
      <c r="ES1476" s="18">
        <v>2</v>
      </c>
      <c r="ET1476" s="18">
        <v>3</v>
      </c>
      <c r="EU1476" s="16"/>
      <c r="EV1476" s="16"/>
      <c r="EW1476" s="17"/>
      <c r="EX1476" s="17"/>
      <c r="EY1476" s="16"/>
      <c r="EZ1476" s="16"/>
      <c r="FA1476" s="17"/>
      <c r="FB1476" s="17"/>
      <c r="FC1476" s="16"/>
      <c r="FD1476" s="16"/>
      <c r="FE1476" s="17"/>
      <c r="FF1476" s="17"/>
      <c r="FG1476" s="11"/>
      <c r="GT1476" s="11"/>
      <c r="IG1476" s="11"/>
      <c r="JT1476" s="11"/>
      <c r="LG1476" s="11"/>
      <c r="MT1476" s="11"/>
      <c r="OG1476" s="11"/>
      <c r="PT1476" s="11"/>
    </row>
    <row r="1477" spans="1:436" ht="15.75" x14ac:dyDescent="0.25">
      <c r="C1477" s="20" t="s">
        <v>1072</v>
      </c>
      <c r="D1477" s="21" t="s">
        <v>84</v>
      </c>
      <c r="H1477" s="11"/>
      <c r="AU1477" s="11"/>
      <c r="CH1477" s="11"/>
      <c r="CI1477" s="16"/>
      <c r="CJ1477" s="16"/>
      <c r="CK1477" s="16"/>
      <c r="CL1477" s="16"/>
      <c r="CM1477" s="16"/>
      <c r="CN1477" s="16"/>
      <c r="CO1477" s="16"/>
      <c r="CP1477" s="16"/>
      <c r="CQ1477" s="16"/>
      <c r="CR1477" s="16"/>
      <c r="CS1477" s="16"/>
      <c r="CT1477" s="16"/>
      <c r="CU1477" s="16"/>
      <c r="CV1477" s="16"/>
      <c r="CW1477" s="16"/>
      <c r="CX1477" s="16"/>
      <c r="CY1477" s="16"/>
      <c r="CZ1477" s="16"/>
      <c r="DA1477" s="16"/>
      <c r="DB1477" s="16"/>
      <c r="DC1477" s="16"/>
      <c r="DD1477" s="16"/>
      <c r="DE1477" s="17"/>
      <c r="DF1477" s="17"/>
      <c r="DG1477" s="16"/>
      <c r="DH1477" s="16"/>
      <c r="DI1477" s="17"/>
      <c r="DJ1477" s="17"/>
      <c r="DK1477" s="16"/>
      <c r="DL1477" s="16"/>
      <c r="DM1477" s="17"/>
      <c r="DN1477" s="17"/>
      <c r="DO1477" s="16"/>
      <c r="DP1477" s="16"/>
      <c r="DQ1477" s="17"/>
      <c r="DR1477" s="17"/>
      <c r="DS1477" s="16"/>
      <c r="DT1477" s="16"/>
      <c r="DU1477" s="17"/>
      <c r="DV1477" s="17"/>
      <c r="DW1477" s="16"/>
      <c r="DX1477" s="16"/>
      <c r="DY1477" s="17"/>
      <c r="DZ1477" s="17"/>
      <c r="EA1477" s="16"/>
      <c r="EB1477" s="16"/>
      <c r="EC1477" s="17"/>
      <c r="ED1477" s="17"/>
      <c r="EE1477" s="16"/>
      <c r="EF1477" s="16"/>
      <c r="EG1477" s="17"/>
      <c r="EH1477" s="17"/>
      <c r="EI1477" s="16"/>
      <c r="EJ1477" s="16"/>
      <c r="EK1477" s="17"/>
      <c r="EL1477" s="17"/>
      <c r="EM1477" s="16"/>
      <c r="EN1477" s="16"/>
      <c r="EO1477" s="17"/>
      <c r="EP1477" s="17"/>
      <c r="EQ1477" s="16"/>
      <c r="ER1477" s="16"/>
      <c r="ES1477" s="17"/>
      <c r="ET1477" s="17"/>
      <c r="EU1477" s="16"/>
      <c r="EV1477" s="16"/>
      <c r="EW1477" s="17"/>
      <c r="EX1477" s="17"/>
      <c r="EY1477" s="16"/>
      <c r="EZ1477" s="16"/>
      <c r="FA1477" s="17"/>
      <c r="FB1477" s="17"/>
      <c r="FC1477" s="16"/>
      <c r="FD1477" s="16"/>
      <c r="FE1477" s="17"/>
      <c r="FF1477" s="17"/>
      <c r="FG1477" s="11"/>
      <c r="GT1477" s="11"/>
      <c r="IG1477" s="11"/>
      <c r="JT1477" s="11"/>
      <c r="LG1477" s="11"/>
      <c r="MT1477" s="11"/>
      <c r="OG1477" s="11"/>
      <c r="PT1477" s="11"/>
    </row>
    <row r="1478" spans="1:436" ht="15.75" x14ac:dyDescent="0.25">
      <c r="C1478" s="20" t="s">
        <v>1073</v>
      </c>
      <c r="D1478" s="21" t="s">
        <v>104</v>
      </c>
      <c r="H1478" s="11"/>
      <c r="AU1478" s="11"/>
      <c r="CH1478" s="11"/>
      <c r="CI1478" s="16"/>
      <c r="CJ1478" s="16"/>
      <c r="CK1478" s="16"/>
      <c r="CL1478" s="16"/>
      <c r="CM1478" s="16"/>
      <c r="CN1478" s="16"/>
      <c r="CO1478" s="16"/>
      <c r="CP1478" s="16"/>
      <c r="CQ1478" s="16"/>
      <c r="CR1478" s="16"/>
      <c r="CS1478" s="16"/>
      <c r="CT1478" s="16"/>
      <c r="CU1478" s="16"/>
      <c r="CV1478" s="16"/>
      <c r="CW1478" s="16"/>
      <c r="CX1478" s="16"/>
      <c r="CY1478" s="16"/>
      <c r="CZ1478" s="16"/>
      <c r="DA1478" s="16"/>
      <c r="DB1478" s="16"/>
      <c r="DC1478" s="16"/>
      <c r="DD1478" s="16"/>
      <c r="DE1478" s="17"/>
      <c r="DF1478" s="17"/>
      <c r="DG1478" s="16"/>
      <c r="DH1478" s="16"/>
      <c r="DI1478" s="17"/>
      <c r="DJ1478" s="17"/>
      <c r="DK1478" s="16"/>
      <c r="DL1478" s="16"/>
      <c r="DM1478" s="17"/>
      <c r="DN1478" s="17"/>
      <c r="DO1478" s="16"/>
      <c r="DP1478" s="16"/>
      <c r="DQ1478" s="17"/>
      <c r="DR1478" s="17"/>
      <c r="DS1478" s="16"/>
      <c r="DT1478" s="16"/>
      <c r="DU1478" s="17"/>
      <c r="DV1478" s="17"/>
      <c r="DW1478" s="16"/>
      <c r="DX1478" s="16"/>
      <c r="DY1478" s="17"/>
      <c r="DZ1478" s="17"/>
      <c r="EA1478" s="16"/>
      <c r="EB1478" s="16"/>
      <c r="EC1478" s="17"/>
      <c r="ED1478" s="17"/>
      <c r="EE1478" s="16"/>
      <c r="EF1478" s="16"/>
      <c r="EG1478" s="17"/>
      <c r="EH1478" s="17"/>
      <c r="EI1478" s="16"/>
      <c r="EJ1478" s="16"/>
      <c r="EK1478" s="17"/>
      <c r="EL1478" s="17"/>
      <c r="EM1478" s="16"/>
      <c r="EN1478" s="16"/>
      <c r="EO1478" s="17"/>
      <c r="EP1478" s="17"/>
      <c r="EQ1478" s="16"/>
      <c r="ER1478" s="16"/>
      <c r="ES1478" s="17"/>
      <c r="ET1478" s="17"/>
      <c r="EU1478" s="16"/>
      <c r="EV1478" s="16"/>
      <c r="EW1478" s="17"/>
      <c r="EX1478" s="17"/>
      <c r="EY1478" s="16"/>
      <c r="EZ1478" s="16"/>
      <c r="FA1478" s="17"/>
      <c r="FB1478" s="17"/>
      <c r="FC1478" s="16"/>
      <c r="FD1478" s="16"/>
      <c r="FE1478" s="17"/>
      <c r="FF1478" s="17"/>
      <c r="FG1478" s="11"/>
      <c r="GT1478" s="11"/>
      <c r="IG1478" s="11"/>
      <c r="JT1478" s="11"/>
      <c r="LG1478" s="11"/>
      <c r="MT1478" s="11"/>
      <c r="OG1478" s="11"/>
      <c r="PT1478" s="11"/>
    </row>
    <row r="1479" spans="1:436" ht="15.75" x14ac:dyDescent="0.25">
      <c r="C1479" s="20" t="s">
        <v>1074</v>
      </c>
      <c r="D1479" s="21" t="s">
        <v>136</v>
      </c>
      <c r="H1479" s="11"/>
      <c r="AU1479" s="11"/>
      <c r="CH1479" s="11"/>
      <c r="CI1479" s="16"/>
      <c r="CJ1479" s="16"/>
      <c r="CK1479" s="16"/>
      <c r="CL1479" s="16"/>
      <c r="CM1479" s="16"/>
      <c r="CN1479" s="16"/>
      <c r="CO1479" s="16"/>
      <c r="CP1479" s="16"/>
      <c r="CQ1479" s="16"/>
      <c r="CR1479" s="16"/>
      <c r="CS1479" s="16"/>
      <c r="CT1479" s="16"/>
      <c r="CU1479" s="16"/>
      <c r="CV1479" s="16"/>
      <c r="CW1479" s="16"/>
      <c r="CX1479" s="16"/>
      <c r="CY1479" s="16"/>
      <c r="CZ1479" s="16"/>
      <c r="DA1479" s="16"/>
      <c r="DB1479" s="16"/>
      <c r="DC1479" s="16"/>
      <c r="DD1479" s="16"/>
      <c r="DE1479" s="17"/>
      <c r="DF1479" s="17"/>
      <c r="DG1479" s="16"/>
      <c r="DH1479" s="16"/>
      <c r="DI1479" s="17"/>
      <c r="DJ1479" s="17"/>
      <c r="DK1479" s="16"/>
      <c r="DL1479" s="16"/>
      <c r="DM1479" s="17"/>
      <c r="DN1479" s="17"/>
      <c r="DO1479" s="16"/>
      <c r="DP1479" s="16"/>
      <c r="DQ1479" s="17"/>
      <c r="DR1479" s="17"/>
      <c r="DS1479" s="16"/>
      <c r="DT1479" s="16"/>
      <c r="DU1479" s="17"/>
      <c r="DV1479" s="17"/>
      <c r="DW1479" s="16"/>
      <c r="DX1479" s="16"/>
      <c r="DY1479" s="17"/>
      <c r="DZ1479" s="17"/>
      <c r="EA1479" s="16"/>
      <c r="EB1479" s="16"/>
      <c r="EC1479" s="17"/>
      <c r="ED1479" s="17"/>
      <c r="EE1479" s="16"/>
      <c r="EF1479" s="16"/>
      <c r="EG1479" s="17"/>
      <c r="EH1479" s="17"/>
      <c r="EI1479" s="16"/>
      <c r="EJ1479" s="16"/>
      <c r="EK1479" s="17"/>
      <c r="EL1479" s="17"/>
      <c r="EM1479" s="16"/>
      <c r="EN1479" s="16"/>
      <c r="EO1479" s="17"/>
      <c r="EP1479" s="17"/>
      <c r="EQ1479" s="16"/>
      <c r="ER1479" s="16"/>
      <c r="ES1479" s="17"/>
      <c r="ET1479" s="17"/>
      <c r="EU1479" s="16"/>
      <c r="EV1479" s="16"/>
      <c r="EW1479" s="17"/>
      <c r="EX1479" s="17"/>
      <c r="EY1479" s="16"/>
      <c r="EZ1479" s="16"/>
      <c r="FA1479" s="17"/>
      <c r="FB1479" s="17"/>
      <c r="FC1479" s="16"/>
      <c r="FD1479" s="16"/>
      <c r="FE1479" s="17"/>
      <c r="FF1479" s="17"/>
      <c r="FG1479" s="11"/>
      <c r="GT1479" s="11"/>
      <c r="IG1479" s="11"/>
      <c r="JT1479" s="11"/>
      <c r="LG1479" s="11"/>
      <c r="MT1479" s="11"/>
      <c r="OG1479" s="11"/>
      <c r="PT1479" s="11"/>
    </row>
    <row r="1480" spans="1:436" ht="15.75" x14ac:dyDescent="0.25">
      <c r="C1480" s="20" t="s">
        <v>1061</v>
      </c>
      <c r="D1480" s="21" t="s">
        <v>90</v>
      </c>
      <c r="H1480" s="11"/>
      <c r="AU1480" s="11"/>
      <c r="CH1480" s="11"/>
      <c r="CI1480" s="16"/>
      <c r="CJ1480" s="16"/>
      <c r="CK1480" s="16"/>
      <c r="CL1480" s="16"/>
      <c r="CM1480" s="16"/>
      <c r="CN1480" s="16"/>
      <c r="CO1480" s="16"/>
      <c r="CP1480" s="16"/>
      <c r="CQ1480" s="16"/>
      <c r="CR1480" s="16"/>
      <c r="CS1480" s="16"/>
      <c r="CT1480" s="16"/>
      <c r="CU1480" s="16"/>
      <c r="CV1480" s="16"/>
      <c r="CW1480" s="16"/>
      <c r="CX1480" s="16"/>
      <c r="CY1480" s="16"/>
      <c r="CZ1480" s="16"/>
      <c r="DA1480" s="16"/>
      <c r="DB1480" s="16"/>
      <c r="DC1480" s="16"/>
      <c r="DD1480" s="16"/>
      <c r="DE1480" s="17"/>
      <c r="DF1480" s="17"/>
      <c r="DG1480" s="16"/>
      <c r="DH1480" s="16"/>
      <c r="DI1480" s="17"/>
      <c r="DJ1480" s="17"/>
      <c r="DK1480" s="16"/>
      <c r="DL1480" s="16"/>
      <c r="DM1480" s="17"/>
      <c r="DN1480" s="17"/>
      <c r="DO1480" s="16"/>
      <c r="DP1480" s="16"/>
      <c r="DQ1480" s="17"/>
      <c r="DR1480" s="17"/>
      <c r="DS1480" s="16"/>
      <c r="DT1480" s="16"/>
      <c r="DU1480" s="17"/>
      <c r="DV1480" s="17"/>
      <c r="DW1480" s="16"/>
      <c r="DX1480" s="16"/>
      <c r="DY1480" s="17"/>
      <c r="DZ1480" s="17"/>
      <c r="EA1480" s="16"/>
      <c r="EB1480" s="16"/>
      <c r="EC1480" s="17"/>
      <c r="ED1480" s="17"/>
      <c r="EE1480" s="16"/>
      <c r="EF1480" s="16"/>
      <c r="EG1480" s="17"/>
      <c r="EH1480" s="17"/>
      <c r="EI1480" s="16"/>
      <c r="EJ1480" s="16"/>
      <c r="EK1480" s="17"/>
      <c r="EL1480" s="17"/>
      <c r="EM1480" s="16"/>
      <c r="EN1480" s="16"/>
      <c r="EO1480" s="17"/>
      <c r="EP1480" s="17"/>
      <c r="EQ1480" s="16"/>
      <c r="ER1480" s="16"/>
      <c r="ES1480" s="17"/>
      <c r="ET1480" s="17"/>
      <c r="EU1480" s="16"/>
      <c r="EV1480" s="16"/>
      <c r="EW1480" s="17"/>
      <c r="EX1480" s="17"/>
      <c r="EY1480" s="16"/>
      <c r="EZ1480" s="16"/>
      <c r="FA1480" s="17"/>
      <c r="FB1480" s="17"/>
      <c r="FC1480" s="16"/>
      <c r="FD1480" s="16"/>
      <c r="FE1480" s="17"/>
      <c r="FF1480" s="17"/>
      <c r="FG1480" s="11"/>
      <c r="GT1480" s="11"/>
      <c r="IG1480" s="11"/>
      <c r="JT1480" s="11"/>
      <c r="LG1480" s="11"/>
      <c r="MT1480" s="11"/>
      <c r="OG1480" s="11"/>
      <c r="PT1480" s="11"/>
    </row>
    <row r="1481" spans="1:436" ht="15.75" x14ac:dyDescent="0.25">
      <c r="A1481" s="13"/>
      <c r="B1481" s="14" t="s">
        <v>1075</v>
      </c>
      <c r="C1481" s="13"/>
      <c r="D1481" s="13"/>
      <c r="E1481" s="15" t="s">
        <v>217</v>
      </c>
      <c r="F1481" s="15" t="s">
        <v>77</v>
      </c>
      <c r="G1481" s="13"/>
      <c r="H1481" s="11"/>
      <c r="AU1481" s="11"/>
      <c r="CH1481" s="11"/>
      <c r="CI1481" s="16"/>
      <c r="CJ1481" s="16"/>
      <c r="CK1481" s="16"/>
      <c r="CL1481" s="16"/>
      <c r="CM1481" s="16"/>
      <c r="CN1481" s="16"/>
      <c r="CO1481" s="16"/>
      <c r="CP1481" s="16"/>
      <c r="CQ1481" s="16"/>
      <c r="CR1481" s="16"/>
      <c r="CS1481" s="16"/>
      <c r="CT1481" s="16"/>
      <c r="CU1481" s="16"/>
      <c r="CV1481" s="16"/>
      <c r="CW1481" s="16"/>
      <c r="CX1481" s="16"/>
      <c r="CY1481" s="16"/>
      <c r="CZ1481" s="16"/>
      <c r="DA1481" s="16"/>
      <c r="DB1481" s="16"/>
      <c r="DC1481" s="16"/>
      <c r="DD1481" s="16"/>
      <c r="DE1481" s="17"/>
      <c r="DF1481" s="17"/>
      <c r="DG1481" s="16"/>
      <c r="DH1481" s="16"/>
      <c r="DI1481" s="17"/>
      <c r="DJ1481" s="17"/>
      <c r="DK1481" s="16"/>
      <c r="DL1481" s="16"/>
      <c r="DM1481" s="17"/>
      <c r="DN1481" s="17"/>
      <c r="DO1481" s="16"/>
      <c r="DP1481" s="16"/>
      <c r="DQ1481" s="17"/>
      <c r="DR1481" s="17"/>
      <c r="DS1481" s="16"/>
      <c r="DT1481" s="16"/>
      <c r="DU1481" s="17"/>
      <c r="DV1481" s="17"/>
      <c r="DW1481" s="16"/>
      <c r="DX1481" s="16"/>
      <c r="DY1481" s="17"/>
      <c r="DZ1481" s="17"/>
      <c r="EA1481" s="16"/>
      <c r="EB1481" s="16"/>
      <c r="EC1481" s="17"/>
      <c r="ED1481" s="17"/>
      <c r="EE1481" s="16"/>
      <c r="EF1481" s="16"/>
      <c r="EG1481" s="17"/>
      <c r="EH1481" s="17"/>
      <c r="EI1481" s="16"/>
      <c r="EJ1481" s="16"/>
      <c r="EK1481" s="17"/>
      <c r="EL1481" s="17"/>
      <c r="EM1481" s="16"/>
      <c r="EN1481" s="16"/>
      <c r="EO1481" s="17"/>
      <c r="EP1481" s="17"/>
      <c r="EQ1481" s="16"/>
      <c r="ER1481" s="16"/>
      <c r="ES1481" s="17"/>
      <c r="ET1481" s="18">
        <v>30</v>
      </c>
      <c r="EU1481" s="16"/>
      <c r="EV1481" s="16"/>
      <c r="EW1481" s="17"/>
      <c r="EX1481" s="17"/>
      <c r="EY1481" s="16"/>
      <c r="EZ1481" s="16"/>
      <c r="FA1481" s="17"/>
      <c r="FB1481" s="17"/>
      <c r="FC1481" s="16"/>
      <c r="FD1481" s="16"/>
      <c r="FE1481" s="17"/>
      <c r="FF1481" s="17"/>
      <c r="FG1481" s="11"/>
      <c r="GT1481" s="11"/>
      <c r="IG1481" s="11"/>
      <c r="JT1481" s="11"/>
      <c r="LG1481" s="11"/>
      <c r="MT1481" s="11"/>
      <c r="OG1481" s="11"/>
      <c r="PT1481" s="11"/>
    </row>
    <row r="1482" spans="1:436" ht="15.75" x14ac:dyDescent="0.25">
      <c r="A1482" s="13"/>
      <c r="B1482" s="14" t="s">
        <v>1076</v>
      </c>
      <c r="C1482" s="13"/>
      <c r="D1482" s="13"/>
      <c r="E1482" s="15" t="s">
        <v>127</v>
      </c>
      <c r="F1482" s="15" t="s">
        <v>177</v>
      </c>
      <c r="G1482" s="13"/>
      <c r="H1482" s="11"/>
      <c r="AU1482" s="11"/>
      <c r="CH1482" s="11"/>
      <c r="CI1482" s="16"/>
      <c r="CJ1482" s="16"/>
      <c r="CK1482" s="16"/>
      <c r="CL1482" s="16"/>
      <c r="CM1482" s="16"/>
      <c r="CN1482" s="16"/>
      <c r="CO1482" s="16"/>
      <c r="CP1482" s="16"/>
      <c r="CQ1482" s="16"/>
      <c r="CR1482" s="16"/>
      <c r="CS1482" s="16"/>
      <c r="CT1482" s="16"/>
      <c r="CU1482" s="16"/>
      <c r="CV1482" s="16"/>
      <c r="CW1482" s="16"/>
      <c r="CX1482" s="16"/>
      <c r="CY1482" s="16"/>
      <c r="CZ1482" s="16"/>
      <c r="DA1482" s="16"/>
      <c r="DB1482" s="16"/>
      <c r="DC1482" s="16"/>
      <c r="DD1482" s="16"/>
      <c r="DE1482" s="17"/>
      <c r="DF1482" s="17"/>
      <c r="DG1482" s="16"/>
      <c r="DH1482" s="16"/>
      <c r="DI1482" s="17"/>
      <c r="DJ1482" s="17"/>
      <c r="DK1482" s="16"/>
      <c r="DL1482" s="16"/>
      <c r="DM1482" s="17"/>
      <c r="DN1482" s="17"/>
      <c r="DO1482" s="16"/>
      <c r="DP1482" s="16"/>
      <c r="DQ1482" s="17"/>
      <c r="DR1482" s="17"/>
      <c r="DS1482" s="16"/>
      <c r="DT1482" s="16"/>
      <c r="DU1482" s="17"/>
      <c r="DV1482" s="17"/>
      <c r="DW1482" s="16"/>
      <c r="DX1482" s="16"/>
      <c r="DY1482" s="17"/>
      <c r="DZ1482" s="17"/>
      <c r="EA1482" s="16"/>
      <c r="EB1482" s="16"/>
      <c r="EC1482" s="17"/>
      <c r="ED1482" s="17"/>
      <c r="EE1482" s="16"/>
      <c r="EF1482" s="16"/>
      <c r="EG1482" s="17"/>
      <c r="EH1482" s="17"/>
      <c r="EI1482" s="16"/>
      <c r="EJ1482" s="16"/>
      <c r="EK1482" s="17"/>
      <c r="EL1482" s="17"/>
      <c r="EM1482" s="16"/>
      <c r="EN1482" s="16"/>
      <c r="EO1482" s="17"/>
      <c r="EP1482" s="17"/>
      <c r="EQ1482" s="16"/>
      <c r="ER1482" s="16"/>
      <c r="ES1482" s="17"/>
      <c r="ET1482" s="17"/>
      <c r="EU1482" s="16"/>
      <c r="EV1482" s="16"/>
      <c r="EW1482" s="17"/>
      <c r="EX1482" s="17"/>
      <c r="EY1482" s="16"/>
      <c r="EZ1482" s="16"/>
      <c r="FA1482" s="17"/>
      <c r="FB1482" s="17"/>
      <c r="FC1482" s="16"/>
      <c r="FD1482" s="16"/>
      <c r="FE1482" s="17"/>
      <c r="FF1482" s="17"/>
      <c r="FG1482" s="11"/>
      <c r="GT1482" s="11"/>
      <c r="IG1482" s="11"/>
      <c r="JT1482" s="11"/>
      <c r="LG1482" s="11"/>
      <c r="MT1482" s="11"/>
      <c r="OG1482" s="11"/>
      <c r="PT1482" s="11"/>
    </row>
    <row r="1483" spans="1:436" ht="15.75" x14ac:dyDescent="0.25">
      <c r="A1483" s="13"/>
      <c r="B1483" s="14" t="s">
        <v>1077</v>
      </c>
      <c r="C1483" s="13"/>
      <c r="D1483" s="13"/>
      <c r="E1483" s="15" t="s">
        <v>127</v>
      </c>
      <c r="F1483" s="15" t="s">
        <v>177</v>
      </c>
      <c r="G1483" s="13"/>
      <c r="H1483" s="11"/>
      <c r="AU1483" s="11"/>
      <c r="CH1483" s="11"/>
      <c r="CI1483" s="16"/>
      <c r="CJ1483" s="16"/>
      <c r="CK1483" s="16"/>
      <c r="CL1483" s="16"/>
      <c r="CM1483" s="16"/>
      <c r="CN1483" s="16"/>
      <c r="CO1483" s="16"/>
      <c r="CP1483" s="16"/>
      <c r="CQ1483" s="16"/>
      <c r="CR1483" s="16"/>
      <c r="CS1483" s="16"/>
      <c r="CT1483" s="16"/>
      <c r="CU1483" s="16"/>
      <c r="CV1483" s="16"/>
      <c r="CW1483" s="16"/>
      <c r="CX1483" s="16"/>
      <c r="CY1483" s="16"/>
      <c r="CZ1483" s="16"/>
      <c r="DA1483" s="16"/>
      <c r="DB1483" s="16"/>
      <c r="DC1483" s="16"/>
      <c r="DD1483" s="16"/>
      <c r="DE1483" s="17"/>
      <c r="DF1483" s="17"/>
      <c r="DG1483" s="16"/>
      <c r="DH1483" s="16"/>
      <c r="DI1483" s="17"/>
      <c r="DJ1483" s="17"/>
      <c r="DK1483" s="16"/>
      <c r="DL1483" s="16"/>
      <c r="DM1483" s="17"/>
      <c r="DN1483" s="17"/>
      <c r="DO1483" s="16"/>
      <c r="DP1483" s="16"/>
      <c r="DQ1483" s="17"/>
      <c r="DR1483" s="17"/>
      <c r="DS1483" s="16"/>
      <c r="DT1483" s="16"/>
      <c r="DU1483" s="17"/>
      <c r="DV1483" s="17"/>
      <c r="DW1483" s="16"/>
      <c r="DX1483" s="16"/>
      <c r="DY1483" s="17"/>
      <c r="DZ1483" s="17"/>
      <c r="EA1483" s="16"/>
      <c r="EB1483" s="16"/>
      <c r="EC1483" s="17"/>
      <c r="ED1483" s="17"/>
      <c r="EE1483" s="16"/>
      <c r="EF1483" s="16"/>
      <c r="EG1483" s="17"/>
      <c r="EH1483" s="17"/>
      <c r="EI1483" s="16"/>
      <c r="EJ1483" s="16"/>
      <c r="EK1483" s="17"/>
      <c r="EL1483" s="17"/>
      <c r="EM1483" s="16"/>
      <c r="EN1483" s="16"/>
      <c r="EO1483" s="17"/>
      <c r="EP1483" s="17"/>
      <c r="EQ1483" s="16"/>
      <c r="ER1483" s="16"/>
      <c r="ES1483" s="17"/>
      <c r="ET1483" s="18">
        <v>40</v>
      </c>
      <c r="EU1483" s="16"/>
      <c r="EV1483" s="16"/>
      <c r="EW1483" s="17"/>
      <c r="EX1483" s="17"/>
      <c r="EY1483" s="16"/>
      <c r="EZ1483" s="16"/>
      <c r="FA1483" s="17"/>
      <c r="FB1483" s="17"/>
      <c r="FC1483" s="16"/>
      <c r="FD1483" s="16"/>
      <c r="FE1483" s="17"/>
      <c r="FF1483" s="17"/>
      <c r="FG1483" s="11"/>
      <c r="GT1483" s="11"/>
      <c r="IG1483" s="11"/>
      <c r="JT1483" s="11"/>
      <c r="LG1483" s="11"/>
      <c r="MT1483" s="11"/>
      <c r="OG1483" s="11"/>
      <c r="PT1483" s="11"/>
    </row>
    <row r="1484" spans="1:436" ht="15.75" x14ac:dyDescent="0.25">
      <c r="C1484" s="20" t="s">
        <v>1078</v>
      </c>
      <c r="D1484" s="21" t="s">
        <v>84</v>
      </c>
      <c r="H1484" s="11"/>
      <c r="AU1484" s="11"/>
      <c r="CH1484" s="11"/>
      <c r="CI1484" s="16"/>
      <c r="CJ1484" s="16"/>
      <c r="CK1484" s="16"/>
      <c r="CL1484" s="16"/>
      <c r="CM1484" s="16"/>
      <c r="CN1484" s="16"/>
      <c r="CO1484" s="16"/>
      <c r="CP1484" s="16"/>
      <c r="CQ1484" s="16"/>
      <c r="CR1484" s="16"/>
      <c r="CS1484" s="16"/>
      <c r="CT1484" s="16"/>
      <c r="CU1484" s="16"/>
      <c r="CV1484" s="16"/>
      <c r="CW1484" s="16"/>
      <c r="CX1484" s="16"/>
      <c r="CY1484" s="16"/>
      <c r="CZ1484" s="16"/>
      <c r="DA1484" s="16"/>
      <c r="DB1484" s="16"/>
      <c r="DC1484" s="16"/>
      <c r="DD1484" s="16"/>
      <c r="DE1484" s="17"/>
      <c r="DF1484" s="17"/>
      <c r="DG1484" s="16"/>
      <c r="DH1484" s="16"/>
      <c r="DI1484" s="17"/>
      <c r="DJ1484" s="17"/>
      <c r="DK1484" s="16"/>
      <c r="DL1484" s="16"/>
      <c r="DM1484" s="17"/>
      <c r="DN1484" s="17"/>
      <c r="DO1484" s="16"/>
      <c r="DP1484" s="16"/>
      <c r="DQ1484" s="17"/>
      <c r="DR1484" s="17"/>
      <c r="DS1484" s="16"/>
      <c r="DT1484" s="16"/>
      <c r="DU1484" s="17"/>
      <c r="DV1484" s="17"/>
      <c r="DW1484" s="16"/>
      <c r="DX1484" s="16"/>
      <c r="DY1484" s="17"/>
      <c r="DZ1484" s="17"/>
      <c r="EA1484" s="16"/>
      <c r="EB1484" s="16"/>
      <c r="EC1484" s="17"/>
      <c r="ED1484" s="17"/>
      <c r="EE1484" s="16"/>
      <c r="EF1484" s="16"/>
      <c r="EG1484" s="17"/>
      <c r="EH1484" s="17"/>
      <c r="EI1484" s="16"/>
      <c r="EJ1484" s="16"/>
      <c r="EK1484" s="17"/>
      <c r="EL1484" s="17"/>
      <c r="EM1484" s="16"/>
      <c r="EN1484" s="16"/>
      <c r="EO1484" s="17"/>
      <c r="EP1484" s="17"/>
      <c r="EQ1484" s="16"/>
      <c r="ER1484" s="16"/>
      <c r="ES1484" s="17"/>
      <c r="ET1484" s="17"/>
      <c r="EU1484" s="16"/>
      <c r="EV1484" s="16"/>
      <c r="EW1484" s="17"/>
      <c r="EX1484" s="17"/>
      <c r="EY1484" s="16"/>
      <c r="EZ1484" s="16"/>
      <c r="FA1484" s="17"/>
      <c r="FB1484" s="17"/>
      <c r="FC1484" s="16"/>
      <c r="FD1484" s="16"/>
      <c r="FE1484" s="17"/>
      <c r="FF1484" s="17"/>
      <c r="FG1484" s="11"/>
      <c r="GT1484" s="11"/>
      <c r="IG1484" s="11"/>
      <c r="JT1484" s="11"/>
      <c r="LG1484" s="11"/>
      <c r="MT1484" s="11"/>
      <c r="OG1484" s="11"/>
      <c r="PT1484" s="11"/>
    </row>
    <row r="1485" spans="1:436" ht="15.75" x14ac:dyDescent="0.25">
      <c r="C1485" s="20" t="s">
        <v>1079</v>
      </c>
      <c r="D1485" s="21" t="s">
        <v>82</v>
      </c>
      <c r="H1485" s="11"/>
      <c r="AU1485" s="11"/>
      <c r="CH1485" s="11"/>
      <c r="CI1485" s="16"/>
      <c r="CJ1485" s="16"/>
      <c r="CK1485" s="16"/>
      <c r="CL1485" s="16"/>
      <c r="CM1485" s="16"/>
      <c r="CN1485" s="16"/>
      <c r="CO1485" s="16"/>
      <c r="CP1485" s="16"/>
      <c r="CQ1485" s="16"/>
      <c r="CR1485" s="16"/>
      <c r="CS1485" s="16"/>
      <c r="CT1485" s="16"/>
      <c r="CU1485" s="16"/>
      <c r="CV1485" s="16"/>
      <c r="CW1485" s="16"/>
      <c r="CX1485" s="16"/>
      <c r="CY1485" s="16"/>
      <c r="CZ1485" s="16"/>
      <c r="DA1485" s="16"/>
      <c r="DB1485" s="16"/>
      <c r="DC1485" s="16"/>
      <c r="DD1485" s="16"/>
      <c r="DE1485" s="17"/>
      <c r="DF1485" s="17"/>
      <c r="DG1485" s="16"/>
      <c r="DH1485" s="16"/>
      <c r="DI1485" s="17"/>
      <c r="DJ1485" s="17"/>
      <c r="DK1485" s="16"/>
      <c r="DL1485" s="16"/>
      <c r="DM1485" s="17"/>
      <c r="DN1485" s="17"/>
      <c r="DO1485" s="16"/>
      <c r="DP1485" s="16"/>
      <c r="DQ1485" s="17"/>
      <c r="DR1485" s="17"/>
      <c r="DS1485" s="16"/>
      <c r="DT1485" s="16"/>
      <c r="DU1485" s="17"/>
      <c r="DV1485" s="17"/>
      <c r="DW1485" s="16"/>
      <c r="DX1485" s="16"/>
      <c r="DY1485" s="17"/>
      <c r="DZ1485" s="17"/>
      <c r="EA1485" s="16"/>
      <c r="EB1485" s="16"/>
      <c r="EC1485" s="17"/>
      <c r="ED1485" s="17"/>
      <c r="EE1485" s="16"/>
      <c r="EF1485" s="16"/>
      <c r="EG1485" s="17"/>
      <c r="EH1485" s="17"/>
      <c r="EI1485" s="16"/>
      <c r="EJ1485" s="16"/>
      <c r="EK1485" s="17"/>
      <c r="EL1485" s="17"/>
      <c r="EM1485" s="16"/>
      <c r="EN1485" s="16"/>
      <c r="EO1485" s="17"/>
      <c r="EP1485" s="17"/>
      <c r="EQ1485" s="16"/>
      <c r="ER1485" s="16"/>
      <c r="ES1485" s="18">
        <v>5</v>
      </c>
      <c r="ET1485" s="18">
        <v>8</v>
      </c>
      <c r="EU1485" s="16"/>
      <c r="EV1485" s="16"/>
      <c r="EW1485" s="17"/>
      <c r="EX1485" s="17"/>
      <c r="EY1485" s="16"/>
      <c r="EZ1485" s="16"/>
      <c r="FA1485" s="17"/>
      <c r="FB1485" s="17"/>
      <c r="FC1485" s="16"/>
      <c r="FD1485" s="16"/>
      <c r="FE1485" s="17"/>
      <c r="FF1485" s="17"/>
      <c r="FG1485" s="11"/>
      <c r="GT1485" s="11"/>
      <c r="IG1485" s="11"/>
      <c r="JT1485" s="11"/>
      <c r="LG1485" s="11"/>
      <c r="MT1485" s="11"/>
      <c r="OG1485" s="11"/>
      <c r="PT1485" s="11"/>
    </row>
    <row r="1486" spans="1:436" ht="15.75" x14ac:dyDescent="0.25">
      <c r="C1486" s="20" t="s">
        <v>981</v>
      </c>
      <c r="D1486" s="21" t="s">
        <v>93</v>
      </c>
      <c r="H1486" s="11"/>
      <c r="AU1486" s="11"/>
      <c r="CH1486" s="11"/>
      <c r="CI1486" s="16"/>
      <c r="CJ1486" s="16"/>
      <c r="CK1486" s="16"/>
      <c r="CL1486" s="16"/>
      <c r="CM1486" s="16"/>
      <c r="CN1486" s="16"/>
      <c r="CO1486" s="16"/>
      <c r="CP1486" s="16"/>
      <c r="CQ1486" s="16"/>
      <c r="CR1486" s="16"/>
      <c r="CS1486" s="16"/>
      <c r="CT1486" s="16"/>
      <c r="CU1486" s="16"/>
      <c r="CV1486" s="16"/>
      <c r="CW1486" s="16"/>
      <c r="CX1486" s="16"/>
      <c r="CY1486" s="16"/>
      <c r="CZ1486" s="16"/>
      <c r="DA1486" s="16"/>
      <c r="DB1486" s="16"/>
      <c r="DC1486" s="16"/>
      <c r="DD1486" s="16"/>
      <c r="DE1486" s="17"/>
      <c r="DF1486" s="17"/>
      <c r="DG1486" s="16"/>
      <c r="DH1486" s="16"/>
      <c r="DI1486" s="17"/>
      <c r="DJ1486" s="17"/>
      <c r="DK1486" s="16"/>
      <c r="DL1486" s="16"/>
      <c r="DM1486" s="17"/>
      <c r="DN1486" s="17"/>
      <c r="DO1486" s="16"/>
      <c r="DP1486" s="16"/>
      <c r="DQ1486" s="17"/>
      <c r="DR1486" s="17"/>
      <c r="DS1486" s="16"/>
      <c r="DT1486" s="16"/>
      <c r="DU1486" s="17"/>
      <c r="DV1486" s="17"/>
      <c r="DW1486" s="16"/>
      <c r="DX1486" s="16"/>
      <c r="DY1486" s="17"/>
      <c r="DZ1486" s="17"/>
      <c r="EA1486" s="16"/>
      <c r="EB1486" s="16"/>
      <c r="EC1486" s="17"/>
      <c r="ED1486" s="17"/>
      <c r="EE1486" s="16"/>
      <c r="EF1486" s="16"/>
      <c r="EG1486" s="17"/>
      <c r="EH1486" s="17"/>
      <c r="EI1486" s="16"/>
      <c r="EJ1486" s="16"/>
      <c r="EK1486" s="17"/>
      <c r="EL1486" s="17"/>
      <c r="EM1486" s="16"/>
      <c r="EN1486" s="16"/>
      <c r="EO1486" s="17"/>
      <c r="EP1486" s="17"/>
      <c r="EQ1486" s="16"/>
      <c r="ER1486" s="16"/>
      <c r="ES1486" s="17"/>
      <c r="ET1486" s="17"/>
      <c r="EU1486" s="16"/>
      <c r="EV1486" s="16"/>
      <c r="EW1486" s="18">
        <v>2</v>
      </c>
      <c r="EX1486" s="18">
        <v>3</v>
      </c>
      <c r="EY1486" s="16"/>
      <c r="EZ1486" s="16"/>
      <c r="FA1486" s="17"/>
      <c r="FB1486" s="17"/>
      <c r="FC1486" s="16"/>
      <c r="FD1486" s="16"/>
      <c r="FE1486" s="17"/>
      <c r="FF1486" s="17"/>
      <c r="FG1486" s="11"/>
      <c r="GT1486" s="11"/>
      <c r="IG1486" s="11"/>
      <c r="JT1486" s="11"/>
      <c r="LG1486" s="11"/>
      <c r="MT1486" s="11"/>
      <c r="OG1486" s="11"/>
      <c r="PT1486" s="11"/>
    </row>
    <row r="1487" spans="1:436" ht="15.75" x14ac:dyDescent="0.25">
      <c r="C1487" s="20" t="s">
        <v>1080</v>
      </c>
      <c r="D1487" s="21" t="s">
        <v>93</v>
      </c>
      <c r="H1487" s="11"/>
      <c r="AU1487" s="11"/>
      <c r="CH1487" s="11"/>
      <c r="CI1487" s="16"/>
      <c r="CJ1487" s="16"/>
      <c r="CK1487" s="16"/>
      <c r="CL1487" s="16"/>
      <c r="CM1487" s="16"/>
      <c r="CN1487" s="16"/>
      <c r="CO1487" s="16"/>
      <c r="CP1487" s="16"/>
      <c r="CQ1487" s="16"/>
      <c r="CR1487" s="16"/>
      <c r="CS1487" s="16"/>
      <c r="CT1487" s="16"/>
      <c r="CU1487" s="16"/>
      <c r="CV1487" s="16"/>
      <c r="CW1487" s="16"/>
      <c r="CX1487" s="16"/>
      <c r="CY1487" s="16"/>
      <c r="CZ1487" s="16"/>
      <c r="DA1487" s="16"/>
      <c r="DB1487" s="16"/>
      <c r="DC1487" s="16"/>
      <c r="DD1487" s="16"/>
      <c r="DE1487" s="17"/>
      <c r="DF1487" s="17"/>
      <c r="DG1487" s="16"/>
      <c r="DH1487" s="16"/>
      <c r="DI1487" s="17"/>
      <c r="DJ1487" s="17"/>
      <c r="DK1487" s="16"/>
      <c r="DL1487" s="16"/>
      <c r="DM1487" s="17"/>
      <c r="DN1487" s="17"/>
      <c r="DO1487" s="16"/>
      <c r="DP1487" s="16"/>
      <c r="DQ1487" s="17"/>
      <c r="DR1487" s="17"/>
      <c r="DS1487" s="16"/>
      <c r="DT1487" s="16"/>
      <c r="DU1487" s="17"/>
      <c r="DV1487" s="17"/>
      <c r="DW1487" s="16"/>
      <c r="DX1487" s="16"/>
      <c r="DY1487" s="17"/>
      <c r="DZ1487" s="17"/>
      <c r="EA1487" s="16"/>
      <c r="EB1487" s="16"/>
      <c r="EC1487" s="17"/>
      <c r="ED1487" s="17"/>
      <c r="EE1487" s="16"/>
      <c r="EF1487" s="16"/>
      <c r="EG1487" s="17"/>
      <c r="EH1487" s="17"/>
      <c r="EI1487" s="16"/>
      <c r="EJ1487" s="16"/>
      <c r="EK1487" s="17"/>
      <c r="EL1487" s="17"/>
      <c r="EM1487" s="16"/>
      <c r="EN1487" s="16"/>
      <c r="EO1487" s="17"/>
      <c r="EP1487" s="17"/>
      <c r="EQ1487" s="16"/>
      <c r="ER1487" s="16"/>
      <c r="ES1487" s="17"/>
      <c r="ET1487" s="17"/>
      <c r="EU1487" s="16"/>
      <c r="EV1487" s="16"/>
      <c r="EW1487" s="18">
        <v>1</v>
      </c>
      <c r="EX1487" s="18">
        <v>2</v>
      </c>
      <c r="EY1487" s="16"/>
      <c r="EZ1487" s="16"/>
      <c r="FA1487" s="17"/>
      <c r="FB1487" s="17"/>
      <c r="FC1487" s="16"/>
      <c r="FD1487" s="16"/>
      <c r="FE1487" s="17"/>
      <c r="FF1487" s="17"/>
      <c r="FG1487" s="11"/>
      <c r="GT1487" s="11"/>
      <c r="IG1487" s="11"/>
      <c r="JT1487" s="11"/>
      <c r="LG1487" s="11"/>
      <c r="MT1487" s="11"/>
      <c r="OG1487" s="11"/>
      <c r="PT1487" s="11"/>
    </row>
    <row r="1488" spans="1:436" ht="15.75" x14ac:dyDescent="0.25">
      <c r="C1488" s="20" t="s">
        <v>1081</v>
      </c>
      <c r="D1488" s="21" t="s">
        <v>93</v>
      </c>
      <c r="H1488" s="11"/>
      <c r="AU1488" s="11"/>
      <c r="CH1488" s="11"/>
      <c r="CI1488" s="16"/>
      <c r="CJ1488" s="16"/>
      <c r="CK1488" s="16"/>
      <c r="CL1488" s="16"/>
      <c r="CM1488" s="16"/>
      <c r="CN1488" s="16"/>
      <c r="CO1488" s="16"/>
      <c r="CP1488" s="16"/>
      <c r="CQ1488" s="16"/>
      <c r="CR1488" s="16"/>
      <c r="CS1488" s="16"/>
      <c r="CT1488" s="16"/>
      <c r="CU1488" s="16"/>
      <c r="CV1488" s="16"/>
      <c r="CW1488" s="16"/>
      <c r="CX1488" s="16"/>
      <c r="CY1488" s="16"/>
      <c r="CZ1488" s="16"/>
      <c r="DA1488" s="16"/>
      <c r="DB1488" s="16"/>
      <c r="DC1488" s="16"/>
      <c r="DD1488" s="16"/>
      <c r="DE1488" s="17"/>
      <c r="DF1488" s="17"/>
      <c r="DG1488" s="16"/>
      <c r="DH1488" s="16"/>
      <c r="DI1488" s="17"/>
      <c r="DJ1488" s="17"/>
      <c r="DK1488" s="16"/>
      <c r="DL1488" s="16"/>
      <c r="DM1488" s="17"/>
      <c r="DN1488" s="17"/>
      <c r="DO1488" s="16"/>
      <c r="DP1488" s="16"/>
      <c r="DQ1488" s="17"/>
      <c r="DR1488" s="17"/>
      <c r="DS1488" s="16"/>
      <c r="DT1488" s="16"/>
      <c r="DU1488" s="17"/>
      <c r="DV1488" s="17"/>
      <c r="DW1488" s="16"/>
      <c r="DX1488" s="16"/>
      <c r="DY1488" s="17"/>
      <c r="DZ1488" s="17"/>
      <c r="EA1488" s="16"/>
      <c r="EB1488" s="16"/>
      <c r="EC1488" s="17"/>
      <c r="ED1488" s="17"/>
      <c r="EE1488" s="16"/>
      <c r="EF1488" s="16"/>
      <c r="EG1488" s="17"/>
      <c r="EH1488" s="17"/>
      <c r="EI1488" s="16"/>
      <c r="EJ1488" s="16"/>
      <c r="EK1488" s="17"/>
      <c r="EL1488" s="17"/>
      <c r="EM1488" s="16"/>
      <c r="EN1488" s="16"/>
      <c r="EO1488" s="17"/>
      <c r="EP1488" s="17"/>
      <c r="EQ1488" s="16"/>
      <c r="ER1488" s="16"/>
      <c r="ES1488" s="17"/>
      <c r="ET1488" s="17"/>
      <c r="EU1488" s="16"/>
      <c r="EV1488" s="16"/>
      <c r="EW1488" s="18">
        <v>2</v>
      </c>
      <c r="EX1488" s="18">
        <v>3</v>
      </c>
      <c r="EY1488" s="16"/>
      <c r="EZ1488" s="16"/>
      <c r="FA1488" s="17"/>
      <c r="FB1488" s="17"/>
      <c r="FC1488" s="16"/>
      <c r="FD1488" s="16"/>
      <c r="FE1488" s="17"/>
      <c r="FF1488" s="17"/>
      <c r="FG1488" s="11"/>
      <c r="GT1488" s="11"/>
      <c r="IG1488" s="11"/>
      <c r="JT1488" s="11"/>
      <c r="LG1488" s="11"/>
      <c r="MT1488" s="11"/>
      <c r="OG1488" s="11"/>
      <c r="PT1488" s="11"/>
    </row>
    <row r="1489" spans="1:474" ht="15.75" x14ac:dyDescent="0.25">
      <c r="C1489" s="20" t="s">
        <v>1082</v>
      </c>
      <c r="D1489" s="21" t="s">
        <v>93</v>
      </c>
      <c r="H1489" s="11"/>
      <c r="AU1489" s="11"/>
      <c r="CH1489" s="11"/>
      <c r="CI1489" s="16"/>
      <c r="CJ1489" s="16"/>
      <c r="CK1489" s="16"/>
      <c r="CL1489" s="16"/>
      <c r="CM1489" s="16"/>
      <c r="CN1489" s="16"/>
      <c r="CO1489" s="16"/>
      <c r="CP1489" s="16"/>
      <c r="CQ1489" s="16"/>
      <c r="CR1489" s="16"/>
      <c r="CS1489" s="16"/>
      <c r="CT1489" s="16"/>
      <c r="CU1489" s="16"/>
      <c r="CV1489" s="16"/>
      <c r="CW1489" s="16"/>
      <c r="CX1489" s="16"/>
      <c r="CY1489" s="16"/>
      <c r="CZ1489" s="16"/>
      <c r="DA1489" s="16"/>
      <c r="DB1489" s="16"/>
      <c r="DC1489" s="16"/>
      <c r="DD1489" s="16"/>
      <c r="DE1489" s="17"/>
      <c r="DF1489" s="17"/>
      <c r="DG1489" s="16"/>
      <c r="DH1489" s="16"/>
      <c r="DI1489" s="17"/>
      <c r="DJ1489" s="17"/>
      <c r="DK1489" s="16"/>
      <c r="DL1489" s="16"/>
      <c r="DM1489" s="17"/>
      <c r="DN1489" s="17"/>
      <c r="DO1489" s="16"/>
      <c r="DP1489" s="16"/>
      <c r="DQ1489" s="17"/>
      <c r="DR1489" s="17"/>
      <c r="DS1489" s="16"/>
      <c r="DT1489" s="16"/>
      <c r="DU1489" s="17"/>
      <c r="DV1489" s="17"/>
      <c r="DW1489" s="16"/>
      <c r="DX1489" s="16"/>
      <c r="DY1489" s="17"/>
      <c r="DZ1489" s="17"/>
      <c r="EA1489" s="16"/>
      <c r="EB1489" s="16"/>
      <c r="EC1489" s="17"/>
      <c r="ED1489" s="17"/>
      <c r="EE1489" s="16"/>
      <c r="EF1489" s="16"/>
      <c r="EG1489" s="17"/>
      <c r="EH1489" s="17"/>
      <c r="EI1489" s="16"/>
      <c r="EJ1489" s="16"/>
      <c r="EK1489" s="17"/>
      <c r="EL1489" s="17"/>
      <c r="EM1489" s="16"/>
      <c r="EN1489" s="16"/>
      <c r="EO1489" s="17"/>
      <c r="EP1489" s="17"/>
      <c r="EQ1489" s="16"/>
      <c r="ER1489" s="16"/>
      <c r="ES1489" s="17"/>
      <c r="ET1489" s="17"/>
      <c r="EU1489" s="16"/>
      <c r="EV1489" s="16"/>
      <c r="EW1489" s="18">
        <v>1</v>
      </c>
      <c r="EX1489" s="18">
        <v>2</v>
      </c>
      <c r="EY1489" s="16"/>
      <c r="EZ1489" s="16"/>
      <c r="FA1489" s="17"/>
      <c r="FB1489" s="17"/>
      <c r="FC1489" s="16"/>
      <c r="FD1489" s="16"/>
      <c r="FE1489" s="17"/>
      <c r="FF1489" s="17"/>
      <c r="FG1489" s="11"/>
      <c r="GT1489" s="11"/>
      <c r="IG1489" s="11"/>
      <c r="JT1489" s="11"/>
      <c r="LG1489" s="11"/>
      <c r="MT1489" s="11"/>
      <c r="OG1489" s="11"/>
      <c r="PT1489" s="11"/>
    </row>
    <row r="1490" spans="1:474" ht="15.75" x14ac:dyDescent="0.25">
      <c r="C1490" s="20" t="s">
        <v>1083</v>
      </c>
      <c r="D1490" s="21" t="s">
        <v>93</v>
      </c>
      <c r="H1490" s="11"/>
      <c r="AU1490" s="11"/>
      <c r="CH1490" s="11"/>
      <c r="CI1490" s="16"/>
      <c r="CJ1490" s="16"/>
      <c r="CK1490" s="16"/>
      <c r="CL1490" s="16"/>
      <c r="CM1490" s="16"/>
      <c r="CN1490" s="16"/>
      <c r="CO1490" s="16"/>
      <c r="CP1490" s="16"/>
      <c r="CQ1490" s="16"/>
      <c r="CR1490" s="16"/>
      <c r="CS1490" s="16"/>
      <c r="CT1490" s="16"/>
      <c r="CU1490" s="16"/>
      <c r="CV1490" s="16"/>
      <c r="CW1490" s="16"/>
      <c r="CX1490" s="16"/>
      <c r="CY1490" s="16"/>
      <c r="CZ1490" s="16"/>
      <c r="DA1490" s="16"/>
      <c r="DB1490" s="16"/>
      <c r="DC1490" s="16"/>
      <c r="DD1490" s="16"/>
      <c r="DE1490" s="17"/>
      <c r="DF1490" s="17"/>
      <c r="DG1490" s="16"/>
      <c r="DH1490" s="16"/>
      <c r="DI1490" s="17"/>
      <c r="DJ1490" s="17"/>
      <c r="DK1490" s="16"/>
      <c r="DL1490" s="16"/>
      <c r="DM1490" s="17"/>
      <c r="DN1490" s="17"/>
      <c r="DO1490" s="16"/>
      <c r="DP1490" s="16"/>
      <c r="DQ1490" s="17"/>
      <c r="DR1490" s="17"/>
      <c r="DS1490" s="16"/>
      <c r="DT1490" s="16"/>
      <c r="DU1490" s="17"/>
      <c r="DV1490" s="17"/>
      <c r="DW1490" s="16"/>
      <c r="DX1490" s="16"/>
      <c r="DY1490" s="17"/>
      <c r="DZ1490" s="17"/>
      <c r="EA1490" s="16"/>
      <c r="EB1490" s="16"/>
      <c r="EC1490" s="17"/>
      <c r="ED1490" s="17"/>
      <c r="EE1490" s="16"/>
      <c r="EF1490" s="16"/>
      <c r="EG1490" s="17"/>
      <c r="EH1490" s="17"/>
      <c r="EI1490" s="16"/>
      <c r="EJ1490" s="16"/>
      <c r="EK1490" s="17"/>
      <c r="EL1490" s="17"/>
      <c r="EM1490" s="16"/>
      <c r="EN1490" s="16"/>
      <c r="EO1490" s="17"/>
      <c r="EP1490" s="17"/>
      <c r="EQ1490" s="16"/>
      <c r="ER1490" s="16"/>
      <c r="ES1490" s="17"/>
      <c r="ET1490" s="17"/>
      <c r="EU1490" s="16"/>
      <c r="EV1490" s="16"/>
      <c r="EW1490" s="18">
        <v>2</v>
      </c>
      <c r="EX1490" s="18">
        <v>3</v>
      </c>
      <c r="EY1490" s="16"/>
      <c r="EZ1490" s="16"/>
      <c r="FA1490" s="17"/>
      <c r="FB1490" s="17"/>
      <c r="FC1490" s="16"/>
      <c r="FD1490" s="16"/>
      <c r="FE1490" s="17"/>
      <c r="FF1490" s="17"/>
      <c r="FG1490" s="11"/>
      <c r="GT1490" s="11"/>
      <c r="IG1490" s="11"/>
      <c r="JT1490" s="11"/>
      <c r="LG1490" s="11"/>
      <c r="MT1490" s="11"/>
      <c r="OG1490" s="11"/>
      <c r="PT1490" s="11"/>
    </row>
    <row r="1491" spans="1:474" ht="15.75" x14ac:dyDescent="0.25">
      <c r="C1491" s="20" t="s">
        <v>989</v>
      </c>
      <c r="D1491" s="21" t="s">
        <v>93</v>
      </c>
      <c r="H1491" s="11"/>
      <c r="AU1491" s="11"/>
      <c r="CH1491" s="11"/>
      <c r="CI1491" s="16"/>
      <c r="CJ1491" s="16"/>
      <c r="CK1491" s="16"/>
      <c r="CL1491" s="16"/>
      <c r="CM1491" s="16"/>
      <c r="CN1491" s="16"/>
      <c r="CO1491" s="16"/>
      <c r="CP1491" s="16"/>
      <c r="CQ1491" s="16"/>
      <c r="CR1491" s="16"/>
      <c r="CS1491" s="16"/>
      <c r="CT1491" s="16"/>
      <c r="CU1491" s="16"/>
      <c r="CV1491" s="16"/>
      <c r="CW1491" s="16"/>
      <c r="CX1491" s="16"/>
      <c r="CY1491" s="16"/>
      <c r="CZ1491" s="16"/>
      <c r="DA1491" s="16"/>
      <c r="DB1491" s="16"/>
      <c r="DC1491" s="16"/>
      <c r="DD1491" s="16"/>
      <c r="DE1491" s="17"/>
      <c r="DF1491" s="17"/>
      <c r="DG1491" s="16"/>
      <c r="DH1491" s="16"/>
      <c r="DI1491" s="17"/>
      <c r="DJ1491" s="17"/>
      <c r="DK1491" s="16"/>
      <c r="DL1491" s="16"/>
      <c r="DM1491" s="17"/>
      <c r="DN1491" s="17"/>
      <c r="DO1491" s="16"/>
      <c r="DP1491" s="16"/>
      <c r="DQ1491" s="17"/>
      <c r="DR1491" s="17"/>
      <c r="DS1491" s="16"/>
      <c r="DT1491" s="16"/>
      <c r="DU1491" s="17"/>
      <c r="DV1491" s="17"/>
      <c r="DW1491" s="16"/>
      <c r="DX1491" s="16"/>
      <c r="DY1491" s="17"/>
      <c r="DZ1491" s="17"/>
      <c r="EA1491" s="16"/>
      <c r="EB1491" s="16"/>
      <c r="EC1491" s="17"/>
      <c r="ED1491" s="17"/>
      <c r="EE1491" s="16"/>
      <c r="EF1491" s="16"/>
      <c r="EG1491" s="17"/>
      <c r="EH1491" s="17"/>
      <c r="EI1491" s="16"/>
      <c r="EJ1491" s="16"/>
      <c r="EK1491" s="17"/>
      <c r="EL1491" s="17"/>
      <c r="EM1491" s="16"/>
      <c r="EN1491" s="16"/>
      <c r="EO1491" s="17"/>
      <c r="EP1491" s="17"/>
      <c r="EQ1491" s="16"/>
      <c r="ER1491" s="16"/>
      <c r="ES1491" s="17"/>
      <c r="ET1491" s="17"/>
      <c r="EU1491" s="16"/>
      <c r="EV1491" s="16"/>
      <c r="EW1491" s="18">
        <v>1</v>
      </c>
      <c r="EX1491" s="18">
        <v>2</v>
      </c>
      <c r="EY1491" s="16"/>
      <c r="EZ1491" s="16"/>
      <c r="FA1491" s="17"/>
      <c r="FB1491" s="17"/>
      <c r="FC1491" s="16"/>
      <c r="FD1491" s="16"/>
      <c r="FE1491" s="17"/>
      <c r="FF1491" s="17"/>
      <c r="FG1491" s="11"/>
      <c r="GT1491" s="11"/>
      <c r="IG1491" s="11"/>
      <c r="JT1491" s="11"/>
      <c r="LG1491" s="11"/>
      <c r="MT1491" s="11"/>
      <c r="OG1491" s="11"/>
      <c r="PT1491" s="11"/>
    </row>
    <row r="1492" spans="1:474" ht="15.75" x14ac:dyDescent="0.25">
      <c r="C1492" s="20" t="s">
        <v>1084</v>
      </c>
      <c r="D1492" s="21" t="s">
        <v>93</v>
      </c>
      <c r="H1492" s="11"/>
      <c r="AU1492" s="11"/>
      <c r="CH1492" s="11"/>
      <c r="CI1492" s="16"/>
      <c r="CJ1492" s="16"/>
      <c r="CK1492" s="16"/>
      <c r="CL1492" s="16"/>
      <c r="CM1492" s="16"/>
      <c r="CN1492" s="16"/>
      <c r="CO1492" s="16"/>
      <c r="CP1492" s="16"/>
      <c r="CQ1492" s="16"/>
      <c r="CR1492" s="16"/>
      <c r="CS1492" s="16"/>
      <c r="CT1492" s="16"/>
      <c r="CU1492" s="16"/>
      <c r="CV1492" s="16"/>
      <c r="CW1492" s="16"/>
      <c r="CX1492" s="16"/>
      <c r="CY1492" s="16"/>
      <c r="CZ1492" s="16"/>
      <c r="DA1492" s="16"/>
      <c r="DB1492" s="16"/>
      <c r="DC1492" s="16"/>
      <c r="DD1492" s="16"/>
      <c r="DE1492" s="17"/>
      <c r="DF1492" s="17"/>
      <c r="DG1492" s="16"/>
      <c r="DH1492" s="16"/>
      <c r="DI1492" s="17"/>
      <c r="DJ1492" s="17"/>
      <c r="DK1492" s="16"/>
      <c r="DL1492" s="16"/>
      <c r="DM1492" s="17"/>
      <c r="DN1492" s="17"/>
      <c r="DO1492" s="16"/>
      <c r="DP1492" s="16"/>
      <c r="DQ1492" s="17"/>
      <c r="DR1492" s="17"/>
      <c r="DS1492" s="16"/>
      <c r="DT1492" s="16"/>
      <c r="DU1492" s="17"/>
      <c r="DV1492" s="17"/>
      <c r="DW1492" s="16"/>
      <c r="DX1492" s="16"/>
      <c r="DY1492" s="17"/>
      <c r="DZ1492" s="17"/>
      <c r="EA1492" s="16"/>
      <c r="EB1492" s="16"/>
      <c r="EC1492" s="17"/>
      <c r="ED1492" s="17"/>
      <c r="EE1492" s="16"/>
      <c r="EF1492" s="16"/>
      <c r="EG1492" s="17"/>
      <c r="EH1492" s="17"/>
      <c r="EI1492" s="16"/>
      <c r="EJ1492" s="16"/>
      <c r="EK1492" s="17"/>
      <c r="EL1492" s="17"/>
      <c r="EM1492" s="16"/>
      <c r="EN1492" s="16"/>
      <c r="EO1492" s="17"/>
      <c r="EP1492" s="17"/>
      <c r="EQ1492" s="16"/>
      <c r="ER1492" s="16"/>
      <c r="ES1492" s="17"/>
      <c r="ET1492" s="17"/>
      <c r="EU1492" s="16"/>
      <c r="EV1492" s="16"/>
      <c r="EW1492" s="18">
        <v>2</v>
      </c>
      <c r="EX1492" s="18">
        <v>3</v>
      </c>
      <c r="EY1492" s="16"/>
      <c r="EZ1492" s="16"/>
      <c r="FA1492" s="17"/>
      <c r="FB1492" s="17"/>
      <c r="FC1492" s="16"/>
      <c r="FD1492" s="16"/>
      <c r="FE1492" s="17"/>
      <c r="FF1492" s="17"/>
      <c r="FG1492" s="11"/>
      <c r="GT1492" s="11"/>
      <c r="IG1492" s="11"/>
      <c r="JT1492" s="11"/>
      <c r="LG1492" s="11"/>
      <c r="MT1492" s="11"/>
      <c r="OG1492" s="11"/>
      <c r="PT1492" s="11"/>
    </row>
    <row r="1493" spans="1:474" ht="15.75" x14ac:dyDescent="0.25">
      <c r="C1493" s="20" t="s">
        <v>1085</v>
      </c>
      <c r="D1493" s="21" t="s">
        <v>93</v>
      </c>
      <c r="H1493" s="11"/>
      <c r="AU1493" s="11"/>
      <c r="CH1493" s="11"/>
      <c r="CI1493" s="16"/>
      <c r="CJ1493" s="16"/>
      <c r="CK1493" s="16"/>
      <c r="CL1493" s="16"/>
      <c r="CM1493" s="16"/>
      <c r="CN1493" s="16"/>
      <c r="CO1493" s="16"/>
      <c r="CP1493" s="16"/>
      <c r="CQ1493" s="16"/>
      <c r="CR1493" s="16"/>
      <c r="CS1493" s="16"/>
      <c r="CT1493" s="16"/>
      <c r="CU1493" s="16"/>
      <c r="CV1493" s="16"/>
      <c r="CW1493" s="16"/>
      <c r="CX1493" s="16"/>
      <c r="CY1493" s="16"/>
      <c r="CZ1493" s="16"/>
      <c r="DA1493" s="16"/>
      <c r="DB1493" s="16"/>
      <c r="DC1493" s="16"/>
      <c r="DD1493" s="16"/>
      <c r="DE1493" s="17"/>
      <c r="DF1493" s="17"/>
      <c r="DG1493" s="16"/>
      <c r="DH1493" s="16"/>
      <c r="DI1493" s="17"/>
      <c r="DJ1493" s="17"/>
      <c r="DK1493" s="16"/>
      <c r="DL1493" s="16"/>
      <c r="DM1493" s="17"/>
      <c r="DN1493" s="17"/>
      <c r="DO1493" s="16"/>
      <c r="DP1493" s="16"/>
      <c r="DQ1493" s="17"/>
      <c r="DR1493" s="17"/>
      <c r="DS1493" s="16"/>
      <c r="DT1493" s="16"/>
      <c r="DU1493" s="17"/>
      <c r="DV1493" s="17"/>
      <c r="DW1493" s="16"/>
      <c r="DX1493" s="16"/>
      <c r="DY1493" s="17"/>
      <c r="DZ1493" s="17"/>
      <c r="EA1493" s="16"/>
      <c r="EB1493" s="16"/>
      <c r="EC1493" s="17"/>
      <c r="ED1493" s="17"/>
      <c r="EE1493" s="16"/>
      <c r="EF1493" s="16"/>
      <c r="EG1493" s="17"/>
      <c r="EH1493" s="17"/>
      <c r="EI1493" s="16"/>
      <c r="EJ1493" s="16"/>
      <c r="EK1493" s="17"/>
      <c r="EL1493" s="17"/>
      <c r="EM1493" s="16"/>
      <c r="EN1493" s="16"/>
      <c r="EO1493" s="17"/>
      <c r="EP1493" s="17"/>
      <c r="EQ1493" s="16"/>
      <c r="ER1493" s="16"/>
      <c r="ES1493" s="17"/>
      <c r="ET1493" s="17"/>
      <c r="EU1493" s="16"/>
      <c r="EV1493" s="16"/>
      <c r="EW1493" s="18">
        <v>2</v>
      </c>
      <c r="EX1493" s="18">
        <v>3</v>
      </c>
      <c r="EY1493" s="16"/>
      <c r="EZ1493" s="16"/>
      <c r="FA1493" s="17"/>
      <c r="FB1493" s="17"/>
      <c r="FC1493" s="16"/>
      <c r="FD1493" s="16"/>
      <c r="FE1493" s="17"/>
      <c r="FF1493" s="17"/>
      <c r="FG1493" s="11"/>
      <c r="GT1493" s="11"/>
      <c r="IG1493" s="11"/>
      <c r="JT1493" s="11"/>
      <c r="LG1493" s="11"/>
      <c r="MT1493" s="11"/>
      <c r="OG1493" s="11"/>
      <c r="PT1493" s="11"/>
    </row>
    <row r="1494" spans="1:474" ht="15.75" x14ac:dyDescent="0.25">
      <c r="C1494" s="20" t="s">
        <v>1086</v>
      </c>
      <c r="D1494" s="21" t="s">
        <v>82</v>
      </c>
      <c r="H1494" s="11"/>
      <c r="AU1494" s="11"/>
      <c r="CH1494" s="11"/>
      <c r="CI1494" s="16"/>
      <c r="CJ1494" s="16"/>
      <c r="CK1494" s="16"/>
      <c r="CL1494" s="16"/>
      <c r="CM1494" s="16"/>
      <c r="CN1494" s="16"/>
      <c r="CO1494" s="16"/>
      <c r="CP1494" s="16"/>
      <c r="CQ1494" s="16"/>
      <c r="CR1494" s="16"/>
      <c r="CS1494" s="16"/>
      <c r="CT1494" s="16"/>
      <c r="CU1494" s="16"/>
      <c r="CV1494" s="16"/>
      <c r="CW1494" s="16"/>
      <c r="CX1494" s="16"/>
      <c r="CY1494" s="16"/>
      <c r="CZ1494" s="16"/>
      <c r="DA1494" s="16"/>
      <c r="DB1494" s="16"/>
      <c r="DC1494" s="16"/>
      <c r="DD1494" s="16"/>
      <c r="DE1494" s="17"/>
      <c r="DF1494" s="17"/>
      <c r="DG1494" s="16"/>
      <c r="DH1494" s="16"/>
      <c r="DI1494" s="17"/>
      <c r="DJ1494" s="17"/>
      <c r="DK1494" s="16"/>
      <c r="DL1494" s="16"/>
      <c r="DM1494" s="17"/>
      <c r="DN1494" s="17"/>
      <c r="DO1494" s="16"/>
      <c r="DP1494" s="16"/>
      <c r="DQ1494" s="17"/>
      <c r="DR1494" s="17"/>
      <c r="DS1494" s="16"/>
      <c r="DT1494" s="16"/>
      <c r="DU1494" s="17"/>
      <c r="DV1494" s="17"/>
      <c r="DW1494" s="16"/>
      <c r="DX1494" s="16"/>
      <c r="DY1494" s="17"/>
      <c r="DZ1494" s="17"/>
      <c r="EA1494" s="16"/>
      <c r="EB1494" s="16"/>
      <c r="EC1494" s="17"/>
      <c r="ED1494" s="17"/>
      <c r="EE1494" s="16"/>
      <c r="EF1494" s="16"/>
      <c r="EG1494" s="17"/>
      <c r="EH1494" s="17"/>
      <c r="EI1494" s="16"/>
      <c r="EJ1494" s="16"/>
      <c r="EK1494" s="17"/>
      <c r="EL1494" s="17"/>
      <c r="EM1494" s="16"/>
      <c r="EN1494" s="16"/>
      <c r="EO1494" s="17"/>
      <c r="EP1494" s="17"/>
      <c r="EQ1494" s="16"/>
      <c r="ER1494" s="16"/>
      <c r="ES1494" s="18">
        <v>1</v>
      </c>
      <c r="ET1494" s="18">
        <v>2</v>
      </c>
      <c r="EU1494" s="16"/>
      <c r="EV1494" s="16"/>
      <c r="EW1494" s="17"/>
      <c r="EX1494" s="17"/>
      <c r="EY1494" s="16"/>
      <c r="EZ1494" s="16"/>
      <c r="FA1494" s="17"/>
      <c r="FB1494" s="17"/>
      <c r="FC1494" s="16"/>
      <c r="FD1494" s="16"/>
      <c r="FE1494" s="17"/>
      <c r="FF1494" s="17"/>
      <c r="FG1494" s="11"/>
      <c r="GT1494" s="11"/>
      <c r="IG1494" s="11"/>
      <c r="JT1494" s="11"/>
      <c r="LG1494" s="11"/>
      <c r="MT1494" s="11"/>
      <c r="OG1494" s="11"/>
      <c r="PT1494" s="11"/>
    </row>
    <row r="1495" spans="1:474" ht="15.75" x14ac:dyDescent="0.25">
      <c r="C1495" s="20" t="s">
        <v>1087</v>
      </c>
      <c r="D1495" s="21" t="s">
        <v>82</v>
      </c>
      <c r="H1495" s="11"/>
      <c r="AU1495" s="11"/>
      <c r="CH1495" s="11"/>
      <c r="CI1495" s="16"/>
      <c r="CJ1495" s="16"/>
      <c r="CK1495" s="16"/>
      <c r="CL1495" s="16"/>
      <c r="CM1495" s="16"/>
      <c r="CN1495" s="16"/>
      <c r="CO1495" s="16"/>
      <c r="CP1495" s="16"/>
      <c r="CQ1495" s="16"/>
      <c r="CR1495" s="16"/>
      <c r="CS1495" s="16"/>
      <c r="CT1495" s="16"/>
      <c r="CU1495" s="16"/>
      <c r="CV1495" s="16"/>
      <c r="CW1495" s="16"/>
      <c r="CX1495" s="16"/>
      <c r="CY1495" s="16"/>
      <c r="CZ1495" s="16"/>
      <c r="DA1495" s="16"/>
      <c r="DB1495" s="16"/>
      <c r="DC1495" s="16"/>
      <c r="DD1495" s="16"/>
      <c r="DE1495" s="17"/>
      <c r="DF1495" s="17"/>
      <c r="DG1495" s="16"/>
      <c r="DH1495" s="16"/>
      <c r="DI1495" s="17"/>
      <c r="DJ1495" s="17"/>
      <c r="DK1495" s="16"/>
      <c r="DL1495" s="16"/>
      <c r="DM1495" s="17"/>
      <c r="DN1495" s="17"/>
      <c r="DO1495" s="16"/>
      <c r="DP1495" s="16"/>
      <c r="DQ1495" s="17"/>
      <c r="DR1495" s="17"/>
      <c r="DS1495" s="16"/>
      <c r="DT1495" s="16"/>
      <c r="DU1495" s="17"/>
      <c r="DV1495" s="17"/>
      <c r="DW1495" s="16"/>
      <c r="DX1495" s="16"/>
      <c r="DY1495" s="17"/>
      <c r="DZ1495" s="17"/>
      <c r="EA1495" s="16"/>
      <c r="EB1495" s="16"/>
      <c r="EC1495" s="17"/>
      <c r="ED1495" s="17"/>
      <c r="EE1495" s="16"/>
      <c r="EF1495" s="16"/>
      <c r="EG1495" s="17"/>
      <c r="EH1495" s="17"/>
      <c r="EI1495" s="16"/>
      <c r="EJ1495" s="16"/>
      <c r="EK1495" s="17"/>
      <c r="EL1495" s="17"/>
      <c r="EM1495" s="16"/>
      <c r="EN1495" s="16"/>
      <c r="EO1495" s="17"/>
      <c r="EP1495" s="17"/>
      <c r="EQ1495" s="16"/>
      <c r="ER1495" s="16"/>
      <c r="ES1495" s="18">
        <v>1</v>
      </c>
      <c r="ET1495" s="18">
        <v>2</v>
      </c>
      <c r="EU1495" s="16"/>
      <c r="EV1495" s="16"/>
      <c r="EW1495" s="17"/>
      <c r="EX1495" s="17"/>
      <c r="EY1495" s="16"/>
      <c r="EZ1495" s="16"/>
      <c r="FA1495" s="17"/>
      <c r="FB1495" s="17"/>
      <c r="FC1495" s="16"/>
      <c r="FD1495" s="16"/>
      <c r="FE1495" s="17"/>
      <c r="FF1495" s="17"/>
      <c r="FG1495" s="11"/>
      <c r="GT1495" s="11"/>
      <c r="IG1495" s="11"/>
      <c r="JT1495" s="11"/>
      <c r="LG1495" s="11"/>
      <c r="MT1495" s="11"/>
      <c r="OG1495" s="11"/>
      <c r="PT1495" s="11"/>
    </row>
    <row r="1496" spans="1:474" ht="15.75" x14ac:dyDescent="0.25">
      <c r="C1496" s="20" t="s">
        <v>1088</v>
      </c>
      <c r="D1496" s="21" t="s">
        <v>82</v>
      </c>
      <c r="H1496" s="11"/>
      <c r="AU1496" s="11"/>
      <c r="CH1496" s="11"/>
      <c r="CI1496" s="16"/>
      <c r="CJ1496" s="16"/>
      <c r="CK1496" s="16"/>
      <c r="CL1496" s="16"/>
      <c r="CM1496" s="16"/>
      <c r="CN1496" s="16"/>
      <c r="CO1496" s="16"/>
      <c r="CP1496" s="16"/>
      <c r="CQ1496" s="16"/>
      <c r="CR1496" s="16"/>
      <c r="CS1496" s="16"/>
      <c r="CT1496" s="16"/>
      <c r="CU1496" s="16"/>
      <c r="CV1496" s="16"/>
      <c r="CW1496" s="16"/>
      <c r="CX1496" s="16"/>
      <c r="CY1496" s="16"/>
      <c r="CZ1496" s="16"/>
      <c r="DA1496" s="16"/>
      <c r="DB1496" s="16"/>
      <c r="DC1496" s="16"/>
      <c r="DD1496" s="16"/>
      <c r="DE1496" s="17"/>
      <c r="DF1496" s="17"/>
      <c r="DG1496" s="16"/>
      <c r="DH1496" s="16"/>
      <c r="DI1496" s="17"/>
      <c r="DJ1496" s="17"/>
      <c r="DK1496" s="16"/>
      <c r="DL1496" s="16"/>
      <c r="DM1496" s="17"/>
      <c r="DN1496" s="17"/>
      <c r="DO1496" s="16"/>
      <c r="DP1496" s="16"/>
      <c r="DQ1496" s="17"/>
      <c r="DR1496" s="17"/>
      <c r="DS1496" s="16"/>
      <c r="DT1496" s="16"/>
      <c r="DU1496" s="17"/>
      <c r="DV1496" s="17"/>
      <c r="DW1496" s="16"/>
      <c r="DX1496" s="16"/>
      <c r="DY1496" s="17"/>
      <c r="DZ1496" s="17"/>
      <c r="EA1496" s="16"/>
      <c r="EB1496" s="16"/>
      <c r="EC1496" s="17"/>
      <c r="ED1496" s="17"/>
      <c r="EE1496" s="16"/>
      <c r="EF1496" s="16"/>
      <c r="EG1496" s="17"/>
      <c r="EH1496" s="17"/>
      <c r="EI1496" s="16"/>
      <c r="EJ1496" s="16"/>
      <c r="EK1496" s="17"/>
      <c r="EL1496" s="17"/>
      <c r="EM1496" s="16"/>
      <c r="EN1496" s="16"/>
      <c r="EO1496" s="17"/>
      <c r="EP1496" s="17"/>
      <c r="EQ1496" s="16"/>
      <c r="ER1496" s="16"/>
      <c r="ES1496" s="18">
        <v>1</v>
      </c>
      <c r="ET1496" s="18">
        <v>2</v>
      </c>
      <c r="EU1496" s="16"/>
      <c r="EV1496" s="16"/>
      <c r="EW1496" s="17"/>
      <c r="EX1496" s="17"/>
      <c r="EY1496" s="16"/>
      <c r="EZ1496" s="16"/>
      <c r="FA1496" s="17"/>
      <c r="FB1496" s="17"/>
      <c r="FC1496" s="16"/>
      <c r="FD1496" s="16"/>
      <c r="FE1496" s="17"/>
      <c r="FF1496" s="17"/>
      <c r="FG1496" s="11"/>
      <c r="GT1496" s="11"/>
      <c r="IG1496" s="11"/>
      <c r="JT1496" s="11"/>
      <c r="LG1496" s="11"/>
      <c r="MT1496" s="11"/>
      <c r="OG1496" s="11"/>
      <c r="PT1496" s="11"/>
    </row>
    <row r="1497" spans="1:474" ht="15.75" x14ac:dyDescent="0.25">
      <c r="C1497" s="20" t="s">
        <v>1089</v>
      </c>
      <c r="D1497" s="21" t="s">
        <v>93</v>
      </c>
      <c r="H1497" s="11"/>
      <c r="AU1497" s="11"/>
      <c r="CH1497" s="11"/>
      <c r="CI1497" s="16"/>
      <c r="CJ1497" s="16"/>
      <c r="CK1497" s="16"/>
      <c r="CL1497" s="16"/>
      <c r="CM1497" s="16"/>
      <c r="CN1497" s="16"/>
      <c r="CO1497" s="16"/>
      <c r="CP1497" s="16"/>
      <c r="CQ1497" s="16"/>
      <c r="CR1497" s="16"/>
      <c r="CS1497" s="16"/>
      <c r="CT1497" s="16"/>
      <c r="CU1497" s="16"/>
      <c r="CV1497" s="16"/>
      <c r="CW1497" s="16"/>
      <c r="CX1497" s="16"/>
      <c r="CY1497" s="16"/>
      <c r="CZ1497" s="16"/>
      <c r="DA1497" s="16"/>
      <c r="DB1497" s="16"/>
      <c r="DC1497" s="16"/>
      <c r="DD1497" s="16"/>
      <c r="DE1497" s="17"/>
      <c r="DF1497" s="17"/>
      <c r="DG1497" s="16"/>
      <c r="DH1497" s="16"/>
      <c r="DI1497" s="17"/>
      <c r="DJ1497" s="17"/>
      <c r="DK1497" s="16"/>
      <c r="DL1497" s="16"/>
      <c r="DM1497" s="17"/>
      <c r="DN1497" s="17"/>
      <c r="DO1497" s="16"/>
      <c r="DP1497" s="16"/>
      <c r="DQ1497" s="17"/>
      <c r="DR1497" s="17"/>
      <c r="DS1497" s="16"/>
      <c r="DT1497" s="16"/>
      <c r="DU1497" s="17"/>
      <c r="DV1497" s="17"/>
      <c r="DW1497" s="16"/>
      <c r="DX1497" s="16"/>
      <c r="DY1497" s="17"/>
      <c r="DZ1497" s="17"/>
      <c r="EA1497" s="16"/>
      <c r="EB1497" s="16"/>
      <c r="EC1497" s="17"/>
      <c r="ED1497" s="17"/>
      <c r="EE1497" s="16"/>
      <c r="EF1497" s="16"/>
      <c r="EG1497" s="17"/>
      <c r="EH1497" s="17"/>
      <c r="EI1497" s="16"/>
      <c r="EJ1497" s="16"/>
      <c r="EK1497" s="17"/>
      <c r="EL1497" s="17"/>
      <c r="EM1497" s="16"/>
      <c r="EN1497" s="16"/>
      <c r="EO1497" s="17"/>
      <c r="EP1497" s="17"/>
      <c r="EQ1497" s="16"/>
      <c r="ER1497" s="16"/>
      <c r="ES1497" s="17"/>
      <c r="ET1497" s="17"/>
      <c r="EU1497" s="16"/>
      <c r="EV1497" s="16"/>
      <c r="EW1497" s="18">
        <v>1</v>
      </c>
      <c r="EX1497" s="18">
        <v>2</v>
      </c>
      <c r="EY1497" s="16"/>
      <c r="EZ1497" s="16"/>
      <c r="FA1497" s="17"/>
      <c r="FB1497" s="17"/>
      <c r="FC1497" s="16"/>
      <c r="FD1497" s="16"/>
      <c r="FE1497" s="17"/>
      <c r="FF1497" s="17"/>
      <c r="FG1497" s="11"/>
      <c r="GT1497" s="11"/>
      <c r="IG1497" s="11"/>
      <c r="JT1497" s="11"/>
      <c r="LG1497" s="11"/>
      <c r="MT1497" s="11"/>
      <c r="OG1497" s="11"/>
      <c r="PT1497" s="11"/>
    </row>
    <row r="1498" spans="1:474" ht="15.75" x14ac:dyDescent="0.25">
      <c r="C1498" s="20" t="s">
        <v>1089</v>
      </c>
      <c r="D1498" s="21" t="s">
        <v>82</v>
      </c>
      <c r="H1498" s="11"/>
      <c r="AU1498" s="11"/>
      <c r="CH1498" s="11"/>
      <c r="CI1498" s="16"/>
      <c r="CJ1498" s="16"/>
      <c r="CK1498" s="16"/>
      <c r="CL1498" s="16"/>
      <c r="CM1498" s="16"/>
      <c r="CN1498" s="16"/>
      <c r="CO1498" s="16"/>
      <c r="CP1498" s="16"/>
      <c r="CQ1498" s="16"/>
      <c r="CR1498" s="16"/>
      <c r="CS1498" s="16"/>
      <c r="CT1498" s="16"/>
      <c r="CU1498" s="16"/>
      <c r="CV1498" s="16"/>
      <c r="CW1498" s="16"/>
      <c r="CX1498" s="16"/>
      <c r="CY1498" s="16"/>
      <c r="CZ1498" s="16"/>
      <c r="DA1498" s="16"/>
      <c r="DB1498" s="16"/>
      <c r="DC1498" s="16"/>
      <c r="DD1498" s="16"/>
      <c r="DE1498" s="17"/>
      <c r="DF1498" s="17"/>
      <c r="DG1498" s="16"/>
      <c r="DH1498" s="16"/>
      <c r="DI1498" s="17"/>
      <c r="DJ1498" s="17"/>
      <c r="DK1498" s="16"/>
      <c r="DL1498" s="16"/>
      <c r="DM1498" s="17"/>
      <c r="DN1498" s="17"/>
      <c r="DO1498" s="16"/>
      <c r="DP1498" s="16"/>
      <c r="DQ1498" s="17"/>
      <c r="DR1498" s="17"/>
      <c r="DS1498" s="16"/>
      <c r="DT1498" s="16"/>
      <c r="DU1498" s="17"/>
      <c r="DV1498" s="17"/>
      <c r="DW1498" s="16"/>
      <c r="DX1498" s="16"/>
      <c r="DY1498" s="17"/>
      <c r="DZ1498" s="17"/>
      <c r="EA1498" s="16"/>
      <c r="EB1498" s="16"/>
      <c r="EC1498" s="17"/>
      <c r="ED1498" s="17"/>
      <c r="EE1498" s="16"/>
      <c r="EF1498" s="16"/>
      <c r="EG1498" s="17"/>
      <c r="EH1498" s="17"/>
      <c r="EI1498" s="16"/>
      <c r="EJ1498" s="16"/>
      <c r="EK1498" s="17"/>
      <c r="EL1498" s="17"/>
      <c r="EM1498" s="16"/>
      <c r="EN1498" s="16"/>
      <c r="EO1498" s="17"/>
      <c r="EP1498" s="17"/>
      <c r="EQ1498" s="16"/>
      <c r="ER1498" s="16"/>
      <c r="ES1498" s="18">
        <v>2</v>
      </c>
      <c r="ET1498" s="18">
        <v>3</v>
      </c>
      <c r="EU1498" s="16"/>
      <c r="EV1498" s="16"/>
      <c r="EW1498" s="17"/>
      <c r="EX1498" s="17"/>
      <c r="EY1498" s="16"/>
      <c r="EZ1498" s="16"/>
      <c r="FA1498" s="17"/>
      <c r="FB1498" s="17"/>
      <c r="FC1498" s="16"/>
      <c r="FD1498" s="16"/>
      <c r="FE1498" s="17"/>
      <c r="FF1498" s="17"/>
      <c r="FG1498" s="11"/>
      <c r="GT1498" s="11"/>
      <c r="IG1498" s="11"/>
      <c r="JT1498" s="11"/>
      <c r="LG1498" s="11"/>
      <c r="MT1498" s="11"/>
      <c r="OG1498" s="11"/>
      <c r="PT1498" s="11"/>
    </row>
    <row r="1499" spans="1:474" ht="15.75" x14ac:dyDescent="0.25">
      <c r="C1499" s="20" t="s">
        <v>1090</v>
      </c>
      <c r="D1499" s="21" t="s">
        <v>93</v>
      </c>
      <c r="H1499" s="11"/>
      <c r="AU1499" s="11"/>
      <c r="CH1499" s="11"/>
      <c r="CI1499" s="16"/>
      <c r="CJ1499" s="16"/>
      <c r="CK1499" s="16"/>
      <c r="CL1499" s="16"/>
      <c r="CM1499" s="16"/>
      <c r="CN1499" s="16"/>
      <c r="CO1499" s="16"/>
      <c r="CP1499" s="16"/>
      <c r="CQ1499" s="16"/>
      <c r="CR1499" s="16"/>
      <c r="CS1499" s="16"/>
      <c r="CT1499" s="16"/>
      <c r="CU1499" s="16"/>
      <c r="CV1499" s="16"/>
      <c r="CW1499" s="16"/>
      <c r="CX1499" s="16"/>
      <c r="CY1499" s="16"/>
      <c r="CZ1499" s="16"/>
      <c r="DA1499" s="16"/>
      <c r="DB1499" s="16"/>
      <c r="DC1499" s="16"/>
      <c r="DD1499" s="16"/>
      <c r="DE1499" s="17"/>
      <c r="DF1499" s="17"/>
      <c r="DG1499" s="16"/>
      <c r="DH1499" s="16"/>
      <c r="DI1499" s="17"/>
      <c r="DJ1499" s="17"/>
      <c r="DK1499" s="16"/>
      <c r="DL1499" s="16"/>
      <c r="DM1499" s="17"/>
      <c r="DN1499" s="17"/>
      <c r="DO1499" s="16"/>
      <c r="DP1499" s="16"/>
      <c r="DQ1499" s="17"/>
      <c r="DR1499" s="17"/>
      <c r="DS1499" s="16"/>
      <c r="DT1499" s="16"/>
      <c r="DU1499" s="17"/>
      <c r="DV1499" s="17"/>
      <c r="DW1499" s="16"/>
      <c r="DX1499" s="16"/>
      <c r="DY1499" s="17"/>
      <c r="DZ1499" s="17"/>
      <c r="EA1499" s="16"/>
      <c r="EB1499" s="16"/>
      <c r="EC1499" s="17"/>
      <c r="ED1499" s="17"/>
      <c r="EE1499" s="16"/>
      <c r="EF1499" s="16"/>
      <c r="EG1499" s="17"/>
      <c r="EH1499" s="17"/>
      <c r="EI1499" s="16"/>
      <c r="EJ1499" s="16"/>
      <c r="EK1499" s="17"/>
      <c r="EL1499" s="17"/>
      <c r="EM1499" s="16"/>
      <c r="EN1499" s="16"/>
      <c r="EO1499" s="17"/>
      <c r="EP1499" s="17"/>
      <c r="EQ1499" s="16"/>
      <c r="ER1499" s="16"/>
      <c r="ES1499" s="17"/>
      <c r="ET1499" s="17"/>
      <c r="EU1499" s="16"/>
      <c r="EV1499" s="16"/>
      <c r="EW1499" s="18">
        <v>1</v>
      </c>
      <c r="EX1499" s="18">
        <v>2</v>
      </c>
      <c r="EY1499" s="16"/>
      <c r="EZ1499" s="16"/>
      <c r="FA1499" s="17"/>
      <c r="FB1499" s="17"/>
      <c r="FC1499" s="16"/>
      <c r="FD1499" s="16"/>
      <c r="FE1499" s="17"/>
      <c r="FF1499" s="17"/>
      <c r="FG1499" s="11"/>
      <c r="GT1499" s="11"/>
      <c r="IG1499" s="11"/>
      <c r="JT1499" s="11"/>
      <c r="LG1499" s="11"/>
      <c r="MT1499" s="11"/>
      <c r="OG1499" s="11"/>
      <c r="PT1499" s="11"/>
    </row>
    <row r="1500" spans="1:474" ht="15.75" x14ac:dyDescent="0.25">
      <c r="C1500" s="20" t="s">
        <v>1091</v>
      </c>
      <c r="D1500" s="21" t="s">
        <v>82</v>
      </c>
      <c r="H1500" s="11"/>
      <c r="AU1500" s="11"/>
      <c r="CH1500" s="11"/>
      <c r="CI1500" s="16"/>
      <c r="CJ1500" s="16"/>
      <c r="CK1500" s="16"/>
      <c r="CL1500" s="16"/>
      <c r="CM1500" s="16"/>
      <c r="CN1500" s="16"/>
      <c r="CO1500" s="16"/>
      <c r="CP1500" s="16"/>
      <c r="CQ1500" s="16"/>
      <c r="CR1500" s="16"/>
      <c r="CS1500" s="16"/>
      <c r="CT1500" s="16"/>
      <c r="CU1500" s="16"/>
      <c r="CV1500" s="16"/>
      <c r="CW1500" s="16"/>
      <c r="CX1500" s="16"/>
      <c r="CY1500" s="16"/>
      <c r="CZ1500" s="16"/>
      <c r="DA1500" s="16"/>
      <c r="DB1500" s="16"/>
      <c r="DC1500" s="16"/>
      <c r="DD1500" s="16"/>
      <c r="DE1500" s="17"/>
      <c r="DF1500" s="17"/>
      <c r="DG1500" s="16"/>
      <c r="DH1500" s="16"/>
      <c r="DI1500" s="17"/>
      <c r="DJ1500" s="17"/>
      <c r="DK1500" s="16"/>
      <c r="DL1500" s="16"/>
      <c r="DM1500" s="17"/>
      <c r="DN1500" s="17"/>
      <c r="DO1500" s="16"/>
      <c r="DP1500" s="16"/>
      <c r="DQ1500" s="17"/>
      <c r="DR1500" s="17"/>
      <c r="DS1500" s="16"/>
      <c r="DT1500" s="16"/>
      <c r="DU1500" s="17"/>
      <c r="DV1500" s="17"/>
      <c r="DW1500" s="16"/>
      <c r="DX1500" s="16"/>
      <c r="DY1500" s="17"/>
      <c r="DZ1500" s="17"/>
      <c r="EA1500" s="16"/>
      <c r="EB1500" s="16"/>
      <c r="EC1500" s="17"/>
      <c r="ED1500" s="17"/>
      <c r="EE1500" s="16"/>
      <c r="EF1500" s="16"/>
      <c r="EG1500" s="17"/>
      <c r="EH1500" s="17"/>
      <c r="EI1500" s="16"/>
      <c r="EJ1500" s="16"/>
      <c r="EK1500" s="17"/>
      <c r="EL1500" s="17"/>
      <c r="EM1500" s="16"/>
      <c r="EN1500" s="16"/>
      <c r="EO1500" s="17"/>
      <c r="EP1500" s="17"/>
      <c r="EQ1500" s="16"/>
      <c r="ER1500" s="16"/>
      <c r="ES1500" s="18">
        <v>1</v>
      </c>
      <c r="ET1500" s="18">
        <v>2</v>
      </c>
      <c r="EU1500" s="16"/>
      <c r="EV1500" s="16"/>
      <c r="EW1500" s="17"/>
      <c r="EX1500" s="17"/>
      <c r="EY1500" s="16"/>
      <c r="EZ1500" s="16"/>
      <c r="FA1500" s="17"/>
      <c r="FB1500" s="17"/>
      <c r="FC1500" s="16"/>
      <c r="FD1500" s="16"/>
      <c r="FE1500" s="17"/>
      <c r="FF1500" s="17"/>
      <c r="FG1500" s="11"/>
      <c r="GT1500" s="11"/>
      <c r="IG1500" s="11"/>
      <c r="JT1500" s="11"/>
      <c r="LG1500" s="11"/>
      <c r="MT1500" s="11"/>
      <c r="OG1500" s="11"/>
      <c r="PT1500" s="11"/>
    </row>
    <row r="1501" spans="1:474" x14ac:dyDescent="0.25">
      <c r="A1501" s="57" t="s">
        <v>1092</v>
      </c>
      <c r="B1501" s="57"/>
      <c r="C1501" s="57"/>
      <c r="D1501" s="57"/>
      <c r="E1501" s="57"/>
      <c r="F1501" s="57"/>
      <c r="G1501" s="57"/>
      <c r="H1501" s="57"/>
      <c r="I1501" s="57"/>
      <c r="J1501" s="57"/>
      <c r="K1501" s="57"/>
      <c r="L1501" s="57"/>
      <c r="M1501" s="57"/>
      <c r="N1501" s="57"/>
      <c r="O1501" s="57"/>
      <c r="P1501" s="57"/>
      <c r="Q1501" s="57"/>
      <c r="R1501" s="57"/>
      <c r="S1501" s="57"/>
      <c r="T1501" s="57"/>
      <c r="U1501" s="57"/>
      <c r="V1501" s="57"/>
      <c r="W1501" s="57"/>
      <c r="X1501" s="57"/>
      <c r="Y1501" s="57"/>
      <c r="Z1501" s="57"/>
      <c r="AA1501" s="57"/>
      <c r="AB1501" s="57"/>
      <c r="AC1501" s="57"/>
      <c r="AD1501" s="57"/>
      <c r="AE1501" s="57"/>
      <c r="AF1501" s="57"/>
      <c r="AG1501" s="57"/>
      <c r="AH1501" s="57"/>
      <c r="AI1501" s="57"/>
      <c r="AJ1501" s="57"/>
      <c r="AK1501" s="57"/>
      <c r="AL1501" s="57"/>
      <c r="AM1501" s="57"/>
      <c r="AN1501" s="57"/>
      <c r="AO1501" s="57"/>
      <c r="AP1501" s="57"/>
      <c r="AQ1501" s="57"/>
      <c r="AR1501" s="57"/>
      <c r="AS1501" s="57"/>
      <c r="AT1501" s="57"/>
      <c r="AU1501" s="57"/>
      <c r="AV1501" s="57"/>
      <c r="AW1501" s="57"/>
      <c r="AX1501" s="57"/>
      <c r="AY1501" s="57"/>
      <c r="AZ1501" s="57"/>
      <c r="BA1501" s="57"/>
      <c r="BB1501" s="57"/>
      <c r="BC1501" s="57"/>
      <c r="BD1501" s="57"/>
      <c r="BE1501" s="57"/>
      <c r="BF1501" s="57"/>
      <c r="BG1501" s="57"/>
      <c r="BH1501" s="57"/>
      <c r="BI1501" s="57"/>
      <c r="BJ1501" s="57"/>
      <c r="BK1501" s="57"/>
      <c r="BL1501" s="57"/>
      <c r="BM1501" s="57"/>
      <c r="BN1501" s="57"/>
      <c r="BO1501" s="57"/>
      <c r="BP1501" s="57"/>
      <c r="BQ1501" s="57"/>
      <c r="BR1501" s="57"/>
      <c r="BS1501" s="57"/>
      <c r="BT1501" s="57"/>
      <c r="BU1501" s="57"/>
      <c r="BV1501" s="57"/>
      <c r="BW1501" s="57"/>
      <c r="BX1501" s="57"/>
      <c r="BY1501" s="57"/>
      <c r="BZ1501" s="57"/>
      <c r="CA1501" s="57"/>
      <c r="CB1501" s="57"/>
      <c r="CC1501" s="57"/>
      <c r="CD1501" s="57"/>
      <c r="CE1501" s="57"/>
      <c r="CF1501" s="57"/>
      <c r="CG1501" s="57"/>
      <c r="CH1501" s="57"/>
      <c r="CI1501" s="57"/>
      <c r="CJ1501" s="57"/>
      <c r="CK1501" s="57"/>
      <c r="CL1501" s="57"/>
      <c r="CM1501" s="57"/>
      <c r="CN1501" s="57"/>
      <c r="CO1501" s="57"/>
      <c r="CP1501" s="57"/>
      <c r="CQ1501" s="57"/>
      <c r="CR1501" s="57"/>
      <c r="CS1501" s="57"/>
      <c r="CT1501" s="57"/>
      <c r="CU1501" s="57"/>
      <c r="CV1501" s="57"/>
      <c r="CW1501" s="57"/>
      <c r="CX1501" s="57"/>
      <c r="CY1501" s="57"/>
      <c r="CZ1501" s="57"/>
      <c r="DA1501" s="57"/>
      <c r="DB1501" s="57"/>
      <c r="DC1501" s="57"/>
      <c r="DD1501" s="57"/>
      <c r="DE1501" s="57"/>
      <c r="DF1501" s="57"/>
      <c r="DG1501" s="57"/>
      <c r="DH1501" s="57"/>
      <c r="DI1501" s="57"/>
      <c r="DJ1501" s="57"/>
      <c r="DK1501" s="57"/>
      <c r="DL1501" s="57"/>
      <c r="DM1501" s="57"/>
      <c r="DN1501" s="57"/>
      <c r="DO1501" s="57"/>
      <c r="DP1501" s="57"/>
      <c r="DQ1501" s="57"/>
      <c r="DR1501" s="57"/>
      <c r="DS1501" s="57"/>
      <c r="DT1501" s="57"/>
      <c r="DU1501" s="57"/>
      <c r="DV1501" s="57"/>
      <c r="DW1501" s="57"/>
      <c r="DX1501" s="57"/>
      <c r="DY1501" s="57"/>
      <c r="DZ1501" s="57"/>
      <c r="EA1501" s="57"/>
      <c r="EB1501" s="57"/>
      <c r="EC1501" s="57"/>
      <c r="ED1501" s="57"/>
      <c r="EE1501" s="57"/>
      <c r="EF1501" s="57"/>
      <c r="EG1501" s="57"/>
      <c r="EH1501" s="57"/>
      <c r="EI1501" s="57"/>
      <c r="EJ1501" s="57"/>
      <c r="EK1501" s="57"/>
      <c r="EL1501" s="57"/>
      <c r="EM1501" s="57"/>
      <c r="EN1501" s="57"/>
      <c r="EO1501" s="57"/>
      <c r="EP1501" s="57"/>
      <c r="EQ1501" s="57"/>
      <c r="ER1501" s="57"/>
      <c r="ES1501" s="57"/>
      <c r="ET1501" s="57"/>
      <c r="EU1501" s="57"/>
      <c r="EV1501" s="57"/>
      <c r="EW1501" s="57"/>
      <c r="EX1501" s="57"/>
      <c r="EY1501" s="57"/>
      <c r="EZ1501" s="57"/>
      <c r="FA1501" s="57"/>
      <c r="FB1501" s="57"/>
      <c r="FC1501" s="57"/>
      <c r="FD1501" s="57"/>
      <c r="FE1501" s="57"/>
      <c r="FF1501" s="57"/>
      <c r="FG1501" s="57"/>
      <c r="FH1501" s="57"/>
      <c r="FI1501" s="57"/>
      <c r="FJ1501" s="57"/>
      <c r="FK1501" s="57"/>
      <c r="FL1501" s="57"/>
      <c r="FM1501" s="57"/>
      <c r="FN1501" s="57"/>
      <c r="FO1501" s="57"/>
      <c r="FP1501" s="57"/>
      <c r="FQ1501" s="57"/>
      <c r="FR1501" s="57"/>
      <c r="FS1501" s="57"/>
      <c r="FT1501" s="57"/>
      <c r="FU1501" s="57"/>
      <c r="FV1501" s="57"/>
      <c r="FW1501" s="57"/>
      <c r="FX1501" s="57"/>
      <c r="FY1501" s="57"/>
      <c r="FZ1501" s="57"/>
      <c r="GA1501" s="57"/>
      <c r="GB1501" s="57"/>
      <c r="GC1501" s="57"/>
      <c r="GD1501" s="57"/>
      <c r="GE1501" s="57"/>
      <c r="GF1501" s="57"/>
      <c r="GG1501" s="57"/>
      <c r="GH1501" s="57"/>
      <c r="GI1501" s="57"/>
      <c r="GJ1501" s="57"/>
      <c r="GK1501" s="57"/>
      <c r="GL1501" s="57"/>
      <c r="GM1501" s="57"/>
      <c r="GN1501" s="57"/>
      <c r="GO1501" s="57"/>
      <c r="GP1501" s="57"/>
      <c r="GQ1501" s="57"/>
      <c r="GR1501" s="57"/>
      <c r="GS1501" s="57"/>
      <c r="GT1501" s="57"/>
      <c r="GU1501" s="57"/>
      <c r="GV1501" s="57"/>
      <c r="GW1501" s="57"/>
      <c r="GX1501" s="57"/>
      <c r="GY1501" s="57"/>
      <c r="GZ1501" s="57"/>
      <c r="HA1501" s="57"/>
      <c r="HB1501" s="57"/>
      <c r="HC1501" s="57"/>
      <c r="HD1501" s="57"/>
      <c r="HE1501" s="57"/>
      <c r="HF1501" s="57"/>
      <c r="HG1501" s="57"/>
      <c r="HH1501" s="57"/>
      <c r="HI1501" s="57"/>
      <c r="HJ1501" s="57"/>
      <c r="HK1501" s="57"/>
      <c r="HL1501" s="57"/>
      <c r="HM1501" s="57"/>
      <c r="HN1501" s="57"/>
      <c r="HO1501" s="57"/>
      <c r="HP1501" s="57"/>
      <c r="HQ1501" s="57"/>
      <c r="HR1501" s="57"/>
      <c r="HS1501" s="57"/>
      <c r="HT1501" s="57"/>
      <c r="HU1501" s="57"/>
      <c r="HV1501" s="57"/>
      <c r="HW1501" s="57"/>
      <c r="HX1501" s="57"/>
      <c r="HY1501" s="57"/>
      <c r="HZ1501" s="57"/>
      <c r="IA1501" s="57"/>
      <c r="IB1501" s="57"/>
      <c r="IC1501" s="57"/>
      <c r="ID1501" s="57"/>
      <c r="IE1501" s="57"/>
      <c r="IF1501" s="57"/>
      <c r="IG1501" s="57"/>
      <c r="IH1501" s="57"/>
      <c r="II1501" s="57"/>
      <c r="IJ1501" s="57"/>
      <c r="IK1501" s="57"/>
      <c r="IL1501" s="57"/>
      <c r="IM1501" s="57"/>
      <c r="IN1501" s="57"/>
      <c r="IO1501" s="57"/>
      <c r="IP1501" s="57"/>
      <c r="IQ1501" s="57"/>
      <c r="IR1501" s="57"/>
      <c r="IS1501" s="57"/>
      <c r="IT1501" s="57"/>
      <c r="IU1501" s="57"/>
      <c r="IV1501" s="57"/>
      <c r="IW1501" s="57"/>
      <c r="IX1501" s="57"/>
      <c r="IY1501" s="57"/>
      <c r="IZ1501" s="57"/>
      <c r="JA1501" s="57"/>
      <c r="JB1501" s="57"/>
      <c r="JC1501" s="57"/>
      <c r="JD1501" s="57"/>
      <c r="JE1501" s="57"/>
      <c r="JF1501" s="57"/>
      <c r="JG1501" s="57"/>
      <c r="JH1501" s="57"/>
      <c r="JI1501" s="57"/>
      <c r="JJ1501" s="57"/>
      <c r="JK1501" s="57"/>
      <c r="JL1501" s="57"/>
      <c r="JM1501" s="57"/>
      <c r="JN1501" s="57"/>
      <c r="JO1501" s="57"/>
      <c r="JP1501" s="57"/>
      <c r="JQ1501" s="57"/>
      <c r="JR1501" s="57"/>
      <c r="JS1501" s="57"/>
      <c r="JT1501" s="57"/>
      <c r="JU1501" s="57"/>
      <c r="JV1501" s="57"/>
      <c r="JW1501" s="57"/>
      <c r="JX1501" s="57"/>
      <c r="JY1501" s="57"/>
      <c r="JZ1501" s="57"/>
      <c r="KA1501" s="57"/>
      <c r="KB1501" s="57"/>
      <c r="KC1501" s="57"/>
      <c r="KD1501" s="57"/>
      <c r="KE1501" s="57"/>
      <c r="KF1501" s="57"/>
      <c r="KG1501" s="57"/>
      <c r="KH1501" s="57"/>
      <c r="KI1501" s="57"/>
      <c r="KJ1501" s="57"/>
      <c r="KK1501" s="57"/>
      <c r="KL1501" s="57"/>
      <c r="KM1501" s="57"/>
      <c r="KN1501" s="57"/>
      <c r="KO1501" s="57"/>
      <c r="KP1501" s="57"/>
      <c r="KQ1501" s="57"/>
      <c r="KR1501" s="57"/>
      <c r="KS1501" s="57"/>
      <c r="KT1501" s="57"/>
      <c r="KU1501" s="57"/>
      <c r="KV1501" s="57"/>
      <c r="KW1501" s="57"/>
      <c r="KX1501" s="57"/>
      <c r="KY1501" s="57"/>
      <c r="KZ1501" s="57"/>
      <c r="LA1501" s="57"/>
      <c r="LB1501" s="57"/>
      <c r="LC1501" s="57"/>
      <c r="LD1501" s="57"/>
      <c r="LE1501" s="57"/>
      <c r="LF1501" s="57"/>
      <c r="LG1501" s="57"/>
      <c r="LH1501" s="57"/>
      <c r="LI1501" s="57"/>
      <c r="LJ1501" s="57"/>
      <c r="LK1501" s="57"/>
      <c r="LL1501" s="57"/>
      <c r="LM1501" s="57"/>
      <c r="LN1501" s="57"/>
      <c r="LO1501" s="57"/>
      <c r="LP1501" s="57"/>
      <c r="LQ1501" s="57"/>
      <c r="LR1501" s="57"/>
      <c r="LS1501" s="57"/>
      <c r="LT1501" s="57"/>
      <c r="LU1501" s="57"/>
      <c r="LV1501" s="57"/>
      <c r="LW1501" s="57"/>
      <c r="LX1501" s="57"/>
      <c r="LY1501" s="57"/>
      <c r="LZ1501" s="57"/>
      <c r="MA1501" s="57"/>
      <c r="MB1501" s="57"/>
      <c r="MC1501" s="57"/>
      <c r="MD1501" s="57"/>
      <c r="ME1501" s="57"/>
      <c r="MF1501" s="57"/>
      <c r="MG1501" s="57"/>
      <c r="MH1501" s="57"/>
      <c r="MI1501" s="57"/>
      <c r="MJ1501" s="57"/>
      <c r="MK1501" s="57"/>
      <c r="ML1501" s="57"/>
      <c r="MM1501" s="57"/>
      <c r="MN1501" s="57"/>
      <c r="MO1501" s="57"/>
      <c r="MP1501" s="57"/>
      <c r="MQ1501" s="57"/>
      <c r="MR1501" s="57"/>
      <c r="MS1501" s="57"/>
      <c r="MT1501" s="57"/>
      <c r="MU1501" s="57"/>
      <c r="MV1501" s="57"/>
      <c r="MW1501" s="57"/>
      <c r="MX1501" s="57"/>
      <c r="MY1501" s="57"/>
      <c r="MZ1501" s="57"/>
      <c r="NA1501" s="57"/>
      <c r="NB1501" s="57"/>
      <c r="NC1501" s="57"/>
      <c r="ND1501" s="57"/>
      <c r="NE1501" s="57"/>
      <c r="NF1501" s="57"/>
      <c r="NG1501" s="57"/>
      <c r="NH1501" s="57"/>
      <c r="NI1501" s="57"/>
      <c r="NJ1501" s="57"/>
      <c r="NK1501" s="57"/>
      <c r="NL1501" s="57"/>
      <c r="NM1501" s="57"/>
      <c r="NN1501" s="57"/>
      <c r="NO1501" s="57"/>
      <c r="NP1501" s="57"/>
      <c r="NQ1501" s="57"/>
      <c r="NR1501" s="57"/>
      <c r="NS1501" s="57"/>
      <c r="NT1501" s="57"/>
      <c r="NU1501" s="57"/>
      <c r="NV1501" s="57"/>
      <c r="NW1501" s="57"/>
      <c r="NX1501" s="57"/>
      <c r="NY1501" s="57"/>
      <c r="NZ1501" s="57"/>
      <c r="OA1501" s="57"/>
      <c r="OB1501" s="57"/>
      <c r="OC1501" s="57"/>
      <c r="OD1501" s="57"/>
      <c r="OE1501" s="57"/>
      <c r="OF1501" s="57"/>
      <c r="OG1501" s="57"/>
      <c r="OH1501" s="57"/>
      <c r="OI1501" s="57"/>
      <c r="OJ1501" s="57"/>
      <c r="OK1501" s="57"/>
      <c r="OL1501" s="57"/>
      <c r="OM1501" s="57"/>
      <c r="ON1501" s="57"/>
      <c r="OO1501" s="57"/>
      <c r="OP1501" s="57"/>
      <c r="OQ1501" s="57"/>
      <c r="OR1501" s="57"/>
      <c r="OS1501" s="57"/>
      <c r="OT1501" s="57"/>
      <c r="OU1501" s="57"/>
      <c r="OV1501" s="57"/>
      <c r="OW1501" s="57"/>
      <c r="OX1501" s="57"/>
      <c r="OY1501" s="57"/>
      <c r="OZ1501" s="57"/>
      <c r="PA1501" s="57"/>
      <c r="PB1501" s="57"/>
      <c r="PC1501" s="57"/>
      <c r="PD1501" s="57"/>
      <c r="PE1501" s="57"/>
      <c r="PF1501" s="57"/>
      <c r="PG1501" s="57"/>
      <c r="PH1501" s="57"/>
      <c r="PI1501" s="57"/>
      <c r="PJ1501" s="57"/>
      <c r="PK1501" s="57"/>
      <c r="PL1501" s="57"/>
      <c r="PM1501" s="57"/>
      <c r="PN1501" s="57"/>
      <c r="PO1501" s="57"/>
      <c r="PP1501" s="57"/>
      <c r="PQ1501" s="57"/>
      <c r="PR1501" s="57"/>
      <c r="PS1501" s="57"/>
      <c r="PT1501" s="57"/>
      <c r="PU1501" s="57"/>
      <c r="PV1501" s="57"/>
      <c r="PW1501" s="57"/>
      <c r="PX1501" s="57"/>
      <c r="PY1501" s="57"/>
      <c r="PZ1501" s="57"/>
      <c r="QA1501" s="57"/>
      <c r="QB1501" s="57"/>
      <c r="QC1501" s="57"/>
      <c r="QD1501" s="57"/>
      <c r="QE1501" s="57"/>
      <c r="QF1501" s="57"/>
      <c r="QG1501" s="57"/>
      <c r="QH1501" s="57"/>
      <c r="QI1501" s="57"/>
      <c r="QJ1501" s="57"/>
      <c r="QK1501" s="57"/>
      <c r="QL1501" s="57"/>
      <c r="QM1501" s="57"/>
      <c r="QN1501" s="57"/>
      <c r="QO1501" s="57"/>
      <c r="QP1501" s="57"/>
      <c r="QQ1501" s="57"/>
      <c r="QR1501" s="57"/>
      <c r="QS1501" s="57"/>
      <c r="QT1501" s="57"/>
      <c r="QU1501" s="57"/>
      <c r="QV1501" s="57"/>
      <c r="QW1501" s="57"/>
      <c r="QX1501" s="57"/>
      <c r="QY1501" s="57"/>
      <c r="QZ1501" s="57"/>
      <c r="RA1501" s="57"/>
      <c r="RB1501" s="57"/>
      <c r="RC1501" s="57"/>
      <c r="RD1501" s="57"/>
      <c r="RE1501" s="57"/>
      <c r="RF1501" s="57"/>
    </row>
    <row r="1502" spans="1:474" x14ac:dyDescent="0.25">
      <c r="H1502" s="11"/>
      <c r="AU1502" s="11"/>
      <c r="CH1502" s="11"/>
      <c r="CI1502" s="12" t="s">
        <v>73</v>
      </c>
      <c r="CJ1502" s="12" t="s">
        <v>74</v>
      </c>
      <c r="CK1502" s="12" t="s">
        <v>73</v>
      </c>
      <c r="CL1502" s="12" t="s">
        <v>74</v>
      </c>
      <c r="CM1502" s="12" t="s">
        <v>73</v>
      </c>
      <c r="CN1502" s="12" t="s">
        <v>74</v>
      </c>
      <c r="CO1502" s="12" t="s">
        <v>73</v>
      </c>
      <c r="CP1502" s="12" t="s">
        <v>74</v>
      </c>
      <c r="CQ1502" s="12" t="s">
        <v>73</v>
      </c>
      <c r="CR1502" s="12" t="s">
        <v>74</v>
      </c>
      <c r="CS1502" s="12" t="s">
        <v>73</v>
      </c>
      <c r="CT1502" s="12" t="s">
        <v>74</v>
      </c>
      <c r="CU1502" s="12" t="s">
        <v>73</v>
      </c>
      <c r="CV1502" s="12" t="s">
        <v>74</v>
      </c>
      <c r="CW1502" s="12" t="s">
        <v>73</v>
      </c>
      <c r="CX1502" s="12" t="s">
        <v>74</v>
      </c>
      <c r="CY1502" s="12" t="s">
        <v>73</v>
      </c>
      <c r="CZ1502" s="12" t="s">
        <v>74</v>
      </c>
      <c r="DA1502" s="12" t="s">
        <v>73</v>
      </c>
      <c r="DB1502" s="12" t="s">
        <v>74</v>
      </c>
      <c r="DC1502" s="12" t="s">
        <v>73</v>
      </c>
      <c r="DD1502" s="12" t="s">
        <v>74</v>
      </c>
      <c r="DE1502" s="12" t="s">
        <v>73</v>
      </c>
      <c r="DF1502" s="12" t="s">
        <v>74</v>
      </c>
      <c r="DG1502" s="12" t="s">
        <v>73</v>
      </c>
      <c r="DH1502" s="12" t="s">
        <v>74</v>
      </c>
      <c r="DI1502" s="12" t="s">
        <v>73</v>
      </c>
      <c r="DJ1502" s="12" t="s">
        <v>74</v>
      </c>
      <c r="DK1502" s="12" t="s">
        <v>73</v>
      </c>
      <c r="DL1502" s="12" t="s">
        <v>74</v>
      </c>
      <c r="DM1502" s="12" t="s">
        <v>73</v>
      </c>
      <c r="DN1502" s="12" t="s">
        <v>74</v>
      </c>
      <c r="DO1502" s="12" t="s">
        <v>73</v>
      </c>
      <c r="DP1502" s="12" t="s">
        <v>74</v>
      </c>
      <c r="DQ1502" s="12" t="s">
        <v>73</v>
      </c>
      <c r="DR1502" s="12" t="s">
        <v>74</v>
      </c>
      <c r="DS1502" s="12" t="s">
        <v>73</v>
      </c>
      <c r="DT1502" s="12" t="s">
        <v>74</v>
      </c>
      <c r="DU1502" s="12" t="s">
        <v>73</v>
      </c>
      <c r="DV1502" s="12" t="s">
        <v>74</v>
      </c>
      <c r="DW1502" s="12" t="s">
        <v>73</v>
      </c>
      <c r="DX1502" s="12" t="s">
        <v>74</v>
      </c>
      <c r="DY1502" s="12" t="s">
        <v>73</v>
      </c>
      <c r="DZ1502" s="12" t="s">
        <v>74</v>
      </c>
      <c r="EA1502" s="12" t="s">
        <v>73</v>
      </c>
      <c r="EB1502" s="12" t="s">
        <v>74</v>
      </c>
      <c r="EC1502" s="12" t="s">
        <v>73</v>
      </c>
      <c r="ED1502" s="12" t="s">
        <v>74</v>
      </c>
      <c r="EE1502" s="12" t="s">
        <v>73</v>
      </c>
      <c r="EF1502" s="12" t="s">
        <v>74</v>
      </c>
      <c r="EG1502" s="12" t="s">
        <v>73</v>
      </c>
      <c r="EH1502" s="12" t="s">
        <v>74</v>
      </c>
      <c r="EI1502" s="12" t="s">
        <v>73</v>
      </c>
      <c r="EJ1502" s="12" t="s">
        <v>74</v>
      </c>
      <c r="EK1502" s="12" t="s">
        <v>73</v>
      </c>
      <c r="EL1502" s="12" t="s">
        <v>74</v>
      </c>
      <c r="EM1502" s="12" t="s">
        <v>73</v>
      </c>
      <c r="EN1502" s="12" t="s">
        <v>74</v>
      </c>
      <c r="EO1502" s="12" t="s">
        <v>73</v>
      </c>
      <c r="EP1502" s="12" t="s">
        <v>74</v>
      </c>
      <c r="EQ1502" s="12" t="s">
        <v>73</v>
      </c>
      <c r="ER1502" s="12" t="s">
        <v>74</v>
      </c>
      <c r="ES1502" s="12" t="s">
        <v>73</v>
      </c>
      <c r="ET1502" s="12" t="s">
        <v>74</v>
      </c>
      <c r="EU1502" s="12" t="s">
        <v>73</v>
      </c>
      <c r="EV1502" s="12" t="s">
        <v>74</v>
      </c>
      <c r="EW1502" s="12" t="s">
        <v>73</v>
      </c>
      <c r="EX1502" s="12" t="s">
        <v>74</v>
      </c>
      <c r="EY1502" s="12" t="s">
        <v>73</v>
      </c>
      <c r="EZ1502" s="12" t="s">
        <v>74</v>
      </c>
      <c r="FA1502" s="12" t="s">
        <v>73</v>
      </c>
      <c r="FB1502" s="12" t="s">
        <v>74</v>
      </c>
      <c r="FC1502" s="12" t="s">
        <v>73</v>
      </c>
      <c r="FD1502" s="12" t="s">
        <v>74</v>
      </c>
      <c r="FE1502" s="12" t="s">
        <v>73</v>
      </c>
      <c r="FF1502" s="12" t="s">
        <v>74</v>
      </c>
      <c r="FG1502" s="11"/>
      <c r="GT1502" s="11"/>
      <c r="IG1502" s="11"/>
      <c r="JT1502" s="11"/>
      <c r="LG1502" s="11"/>
      <c r="MT1502" s="11"/>
      <c r="OG1502" s="11"/>
      <c r="PT1502" s="11"/>
    </row>
    <row r="1503" spans="1:474" ht="15.75" x14ac:dyDescent="0.25">
      <c r="A1503" s="13"/>
      <c r="B1503" s="14" t="s">
        <v>1093</v>
      </c>
      <c r="C1503" s="13"/>
      <c r="D1503" s="13"/>
      <c r="E1503" s="15" t="s">
        <v>127</v>
      </c>
      <c r="F1503" s="15" t="s">
        <v>177</v>
      </c>
      <c r="G1503" s="13"/>
      <c r="H1503" s="11"/>
      <c r="AU1503" s="11"/>
      <c r="CH1503" s="11"/>
      <c r="CI1503" s="16"/>
      <c r="CJ1503" s="16"/>
      <c r="CK1503" s="16"/>
      <c r="CL1503" s="16"/>
      <c r="CM1503" s="16"/>
      <c r="CN1503" s="16"/>
      <c r="CO1503" s="16"/>
      <c r="CP1503" s="16"/>
      <c r="CQ1503" s="16"/>
      <c r="CR1503" s="16"/>
      <c r="CS1503" s="16"/>
      <c r="CT1503" s="16"/>
      <c r="CU1503" s="16"/>
      <c r="CV1503" s="16"/>
      <c r="CW1503" s="16"/>
      <c r="CX1503" s="16"/>
      <c r="CY1503" s="16"/>
      <c r="CZ1503" s="16"/>
      <c r="DA1503" s="16"/>
      <c r="DB1503" s="16"/>
      <c r="DC1503" s="16"/>
      <c r="DD1503" s="16"/>
      <c r="DE1503" s="17"/>
      <c r="DF1503" s="17"/>
      <c r="DG1503" s="16"/>
      <c r="DH1503" s="16"/>
      <c r="DI1503" s="17"/>
      <c r="DJ1503" s="17"/>
      <c r="DK1503" s="16"/>
      <c r="DL1503" s="16"/>
      <c r="DM1503" s="17"/>
      <c r="DN1503" s="17"/>
      <c r="DO1503" s="16"/>
      <c r="DP1503" s="16"/>
      <c r="DQ1503" s="17"/>
      <c r="DR1503" s="17"/>
      <c r="DS1503" s="16"/>
      <c r="DT1503" s="16"/>
      <c r="DU1503" s="17"/>
      <c r="DV1503" s="17"/>
      <c r="DW1503" s="16"/>
      <c r="DX1503" s="16"/>
      <c r="DY1503" s="17"/>
      <c r="DZ1503" s="17"/>
      <c r="EA1503" s="16"/>
      <c r="EB1503" s="16"/>
      <c r="EC1503" s="17"/>
      <c r="ED1503" s="17"/>
      <c r="EE1503" s="16"/>
      <c r="EF1503" s="16"/>
      <c r="EG1503" s="17"/>
      <c r="EH1503" s="17"/>
      <c r="EI1503" s="16"/>
      <c r="EJ1503" s="16"/>
      <c r="EK1503" s="17"/>
      <c r="EL1503" s="17"/>
      <c r="EM1503" s="16"/>
      <c r="EN1503" s="16"/>
      <c r="EO1503" s="17"/>
      <c r="EP1503" s="17"/>
      <c r="EQ1503" s="16"/>
      <c r="ER1503" s="16"/>
      <c r="ES1503" s="17"/>
      <c r="ET1503" s="17"/>
      <c r="EU1503" s="16"/>
      <c r="EV1503" s="16"/>
      <c r="EW1503" s="17"/>
      <c r="EX1503" s="17"/>
      <c r="EY1503" s="16"/>
      <c r="EZ1503" s="16"/>
      <c r="FA1503" s="17"/>
      <c r="FB1503" s="17"/>
      <c r="FC1503" s="16"/>
      <c r="FD1503" s="16"/>
      <c r="FE1503" s="17"/>
      <c r="FF1503" s="17"/>
      <c r="FG1503" s="11"/>
      <c r="GT1503" s="11"/>
      <c r="IG1503" s="11"/>
      <c r="JT1503" s="11"/>
      <c r="LG1503" s="11"/>
      <c r="MT1503" s="11"/>
      <c r="OG1503" s="11"/>
      <c r="PT1503" s="11"/>
    </row>
    <row r="1504" spans="1:474" ht="15.75" x14ac:dyDescent="0.25">
      <c r="C1504" s="20" t="s">
        <v>1094</v>
      </c>
      <c r="D1504" s="21" t="s">
        <v>84</v>
      </c>
      <c r="H1504" s="11"/>
      <c r="AU1504" s="11"/>
      <c r="CH1504" s="11"/>
      <c r="CI1504" s="16"/>
      <c r="CJ1504" s="16"/>
      <c r="CK1504" s="16"/>
      <c r="CL1504" s="16"/>
      <c r="CM1504" s="16"/>
      <c r="CN1504" s="16"/>
      <c r="CO1504" s="16"/>
      <c r="CP1504" s="16"/>
      <c r="CQ1504" s="16"/>
      <c r="CR1504" s="16"/>
      <c r="CS1504" s="16"/>
      <c r="CT1504" s="16"/>
      <c r="CU1504" s="16"/>
      <c r="CV1504" s="16"/>
      <c r="CW1504" s="16"/>
      <c r="CX1504" s="16"/>
      <c r="CY1504" s="16"/>
      <c r="CZ1504" s="16"/>
      <c r="DA1504" s="16"/>
      <c r="DB1504" s="16"/>
      <c r="DC1504" s="16"/>
      <c r="DD1504" s="16"/>
      <c r="DE1504" s="17"/>
      <c r="DF1504" s="17"/>
      <c r="DG1504" s="16"/>
      <c r="DH1504" s="16"/>
      <c r="DI1504" s="17"/>
      <c r="DJ1504" s="17"/>
      <c r="DK1504" s="16"/>
      <c r="DL1504" s="16"/>
      <c r="DM1504" s="17"/>
      <c r="DN1504" s="17"/>
      <c r="DO1504" s="16"/>
      <c r="DP1504" s="16"/>
      <c r="DQ1504" s="17"/>
      <c r="DR1504" s="17"/>
      <c r="DS1504" s="16"/>
      <c r="DT1504" s="16"/>
      <c r="DU1504" s="17"/>
      <c r="DV1504" s="17"/>
      <c r="DW1504" s="19">
        <v>5.7</v>
      </c>
      <c r="DX1504" s="19">
        <v>8.6</v>
      </c>
      <c r="DY1504" s="17"/>
      <c r="DZ1504" s="17"/>
      <c r="EA1504" s="16"/>
      <c r="EB1504" s="16"/>
      <c r="EC1504" s="17"/>
      <c r="ED1504" s="17"/>
      <c r="EE1504" s="16"/>
      <c r="EF1504" s="16"/>
      <c r="EG1504" s="17"/>
      <c r="EH1504" s="17"/>
      <c r="EI1504" s="16"/>
      <c r="EJ1504" s="16"/>
      <c r="EK1504" s="17"/>
      <c r="EL1504" s="17"/>
      <c r="EM1504" s="16"/>
      <c r="EN1504" s="16"/>
      <c r="EO1504" s="17"/>
      <c r="EP1504" s="17"/>
      <c r="EQ1504" s="16"/>
      <c r="ER1504" s="16"/>
      <c r="ES1504" s="17"/>
      <c r="ET1504" s="17"/>
      <c r="EU1504" s="16"/>
      <c r="EV1504" s="16"/>
      <c r="EW1504" s="17"/>
      <c r="EX1504" s="17"/>
      <c r="EY1504" s="16"/>
      <c r="EZ1504" s="16"/>
      <c r="FA1504" s="17"/>
      <c r="FB1504" s="17"/>
      <c r="FC1504" s="16"/>
      <c r="FD1504" s="16"/>
      <c r="FE1504" s="17"/>
      <c r="FF1504" s="17"/>
      <c r="FG1504" s="11"/>
      <c r="GT1504" s="11"/>
      <c r="IG1504" s="11"/>
      <c r="JT1504" s="11"/>
      <c r="LG1504" s="11"/>
      <c r="MT1504" s="11"/>
      <c r="OG1504" s="11"/>
      <c r="PT1504" s="11"/>
    </row>
    <row r="1505" spans="1:474" ht="15.75" x14ac:dyDescent="0.25">
      <c r="A1505" s="13"/>
      <c r="B1505" s="14" t="s">
        <v>1095</v>
      </c>
      <c r="C1505" s="13"/>
      <c r="D1505" s="13"/>
      <c r="E1505" s="15" t="s">
        <v>127</v>
      </c>
      <c r="F1505" s="15" t="s">
        <v>177</v>
      </c>
      <c r="G1505" s="13"/>
      <c r="H1505" s="11"/>
      <c r="AU1505" s="11"/>
      <c r="CH1505" s="11"/>
      <c r="CI1505" s="16"/>
      <c r="CJ1505" s="16"/>
      <c r="CK1505" s="16"/>
      <c r="CL1505" s="16"/>
      <c r="CM1505" s="16"/>
      <c r="CN1505" s="16"/>
      <c r="CO1505" s="16"/>
      <c r="CP1505" s="16"/>
      <c r="CQ1505" s="16"/>
      <c r="CR1505" s="16"/>
      <c r="CS1505" s="16"/>
      <c r="CT1505" s="16"/>
      <c r="CU1505" s="16"/>
      <c r="CV1505" s="16"/>
      <c r="CW1505" s="16"/>
      <c r="CX1505" s="16"/>
      <c r="CY1505" s="16"/>
      <c r="CZ1505" s="16"/>
      <c r="DA1505" s="16"/>
      <c r="DB1505" s="16"/>
      <c r="DC1505" s="16"/>
      <c r="DD1505" s="16"/>
      <c r="DE1505" s="17"/>
      <c r="DF1505" s="17"/>
      <c r="DG1505" s="16"/>
      <c r="DH1505" s="16"/>
      <c r="DI1505" s="17"/>
      <c r="DJ1505" s="17"/>
      <c r="DK1505" s="16"/>
      <c r="DL1505" s="16"/>
      <c r="DM1505" s="17"/>
      <c r="DN1505" s="17"/>
      <c r="DO1505" s="16"/>
      <c r="DP1505" s="16"/>
      <c r="DQ1505" s="17"/>
      <c r="DR1505" s="17"/>
      <c r="DS1505" s="16"/>
      <c r="DT1505" s="16"/>
      <c r="DU1505" s="17"/>
      <c r="DV1505" s="17"/>
      <c r="DW1505" s="16"/>
      <c r="DX1505" s="16"/>
      <c r="DY1505" s="17"/>
      <c r="DZ1505" s="17"/>
      <c r="EA1505" s="16"/>
      <c r="EB1505" s="16"/>
      <c r="EC1505" s="17"/>
      <c r="ED1505" s="17"/>
      <c r="EE1505" s="16"/>
      <c r="EF1505" s="16"/>
      <c r="EG1505" s="17"/>
      <c r="EH1505" s="17"/>
      <c r="EI1505" s="16"/>
      <c r="EJ1505" s="16"/>
      <c r="EK1505" s="17"/>
      <c r="EL1505" s="17"/>
      <c r="EM1505" s="16"/>
      <c r="EN1505" s="16"/>
      <c r="EO1505" s="17"/>
      <c r="EP1505" s="17"/>
      <c r="EQ1505" s="16"/>
      <c r="ER1505" s="16"/>
      <c r="ES1505" s="17"/>
      <c r="ET1505" s="17"/>
      <c r="EU1505" s="16"/>
      <c r="EV1505" s="16"/>
      <c r="EW1505" s="17"/>
      <c r="EX1505" s="17"/>
      <c r="EY1505" s="16"/>
      <c r="EZ1505" s="16"/>
      <c r="FA1505" s="17"/>
      <c r="FB1505" s="17"/>
      <c r="FC1505" s="16"/>
      <c r="FD1505" s="16"/>
      <c r="FE1505" s="17"/>
      <c r="FF1505" s="17"/>
      <c r="FG1505" s="11"/>
      <c r="GT1505" s="11"/>
      <c r="IG1505" s="11"/>
      <c r="JT1505" s="11"/>
      <c r="LG1505" s="11"/>
      <c r="MT1505" s="11"/>
      <c r="OG1505" s="11"/>
      <c r="PT1505" s="11"/>
    </row>
    <row r="1506" spans="1:474" ht="15.75" x14ac:dyDescent="0.25">
      <c r="A1506" s="13"/>
      <c r="B1506" s="14" t="s">
        <v>1096</v>
      </c>
      <c r="C1506" s="13"/>
      <c r="D1506" s="13"/>
      <c r="E1506" s="15" t="s">
        <v>127</v>
      </c>
      <c r="F1506" s="15" t="s">
        <v>132</v>
      </c>
      <c r="G1506" s="13"/>
      <c r="H1506" s="11"/>
      <c r="AU1506" s="11"/>
      <c r="CH1506" s="11"/>
      <c r="CI1506" s="16"/>
      <c r="CJ1506" s="16"/>
      <c r="CK1506" s="16"/>
      <c r="CL1506" s="16"/>
      <c r="CM1506" s="16"/>
      <c r="CN1506" s="16"/>
      <c r="CO1506" s="16"/>
      <c r="CP1506" s="16"/>
      <c r="CQ1506" s="16"/>
      <c r="CR1506" s="16"/>
      <c r="CS1506" s="16"/>
      <c r="CT1506" s="16"/>
      <c r="CU1506" s="16"/>
      <c r="CV1506" s="16"/>
      <c r="CW1506" s="16"/>
      <c r="CX1506" s="16"/>
      <c r="CY1506" s="16"/>
      <c r="CZ1506" s="16"/>
      <c r="DA1506" s="16"/>
      <c r="DB1506" s="16"/>
      <c r="DC1506" s="16"/>
      <c r="DD1506" s="16"/>
      <c r="DE1506" s="17"/>
      <c r="DF1506" s="17"/>
      <c r="DG1506" s="16"/>
      <c r="DH1506" s="16"/>
      <c r="DI1506" s="17"/>
      <c r="DJ1506" s="17"/>
      <c r="DK1506" s="16"/>
      <c r="DL1506" s="16"/>
      <c r="DM1506" s="17"/>
      <c r="DN1506" s="17"/>
      <c r="DO1506" s="16"/>
      <c r="DP1506" s="16"/>
      <c r="DQ1506" s="17"/>
      <c r="DR1506" s="17"/>
      <c r="DS1506" s="16"/>
      <c r="DT1506" s="16"/>
      <c r="DU1506" s="17"/>
      <c r="DV1506" s="17"/>
      <c r="DW1506" s="16"/>
      <c r="DX1506" s="16"/>
      <c r="DY1506" s="17"/>
      <c r="DZ1506" s="17"/>
      <c r="EA1506" s="16"/>
      <c r="EB1506" s="16"/>
      <c r="EC1506" s="17"/>
      <c r="ED1506" s="17"/>
      <c r="EE1506" s="16"/>
      <c r="EF1506" s="16"/>
      <c r="EG1506" s="17"/>
      <c r="EH1506" s="17"/>
      <c r="EI1506" s="16"/>
      <c r="EJ1506" s="16"/>
      <c r="EK1506" s="17"/>
      <c r="EL1506" s="17"/>
      <c r="EM1506" s="16"/>
      <c r="EN1506" s="16"/>
      <c r="EO1506" s="17"/>
      <c r="EP1506" s="17"/>
      <c r="EQ1506" s="16"/>
      <c r="ER1506" s="16"/>
      <c r="ES1506" s="17"/>
      <c r="ET1506" s="17"/>
      <c r="EU1506" s="16"/>
      <c r="EV1506" s="16"/>
      <c r="EW1506" s="17"/>
      <c r="EX1506" s="17"/>
      <c r="EY1506" s="16"/>
      <c r="EZ1506" s="16"/>
      <c r="FA1506" s="17"/>
      <c r="FB1506" s="17"/>
      <c r="FC1506" s="16"/>
      <c r="FD1506" s="16"/>
      <c r="FE1506" s="17"/>
      <c r="FF1506" s="17"/>
      <c r="FG1506" s="11"/>
      <c r="GT1506" s="11"/>
      <c r="IG1506" s="11"/>
      <c r="JT1506" s="11"/>
      <c r="LG1506" s="11"/>
      <c r="MT1506" s="11"/>
      <c r="OG1506" s="11"/>
      <c r="PT1506" s="11"/>
    </row>
    <row r="1507" spans="1:474" ht="15.75" x14ac:dyDescent="0.25">
      <c r="C1507" s="20" t="s">
        <v>1097</v>
      </c>
      <c r="D1507" s="21" t="s">
        <v>129</v>
      </c>
      <c r="H1507" s="11"/>
      <c r="AU1507" s="11"/>
      <c r="CH1507" s="11"/>
      <c r="CI1507" s="16"/>
      <c r="CJ1507" s="16"/>
      <c r="CK1507" s="16"/>
      <c r="CL1507" s="16"/>
      <c r="CM1507" s="16"/>
      <c r="CN1507" s="16"/>
      <c r="CO1507" s="16"/>
      <c r="CP1507" s="16"/>
      <c r="CQ1507" s="16"/>
      <c r="CR1507" s="16"/>
      <c r="CS1507" s="16"/>
      <c r="CT1507" s="16"/>
      <c r="CU1507" s="16"/>
      <c r="CV1507" s="16"/>
      <c r="CW1507" s="16"/>
      <c r="CX1507" s="16"/>
      <c r="CY1507" s="16"/>
      <c r="CZ1507" s="16"/>
      <c r="DA1507" s="16"/>
      <c r="DB1507" s="16"/>
      <c r="DC1507" s="16"/>
      <c r="DD1507" s="16"/>
      <c r="DE1507" s="17"/>
      <c r="DF1507" s="17"/>
      <c r="DG1507" s="16"/>
      <c r="DH1507" s="16"/>
      <c r="DI1507" s="17"/>
      <c r="DJ1507" s="17"/>
      <c r="DK1507" s="16"/>
      <c r="DL1507" s="16"/>
      <c r="DM1507" s="17"/>
      <c r="DN1507" s="17"/>
      <c r="DO1507" s="16"/>
      <c r="DP1507" s="16"/>
      <c r="DQ1507" s="17"/>
      <c r="DR1507" s="17"/>
      <c r="DS1507" s="16"/>
      <c r="DT1507" s="16"/>
      <c r="DU1507" s="18">
        <v>5.7</v>
      </c>
      <c r="DV1507" s="18">
        <v>8.6</v>
      </c>
      <c r="DW1507" s="16"/>
      <c r="DX1507" s="16"/>
      <c r="DY1507" s="17"/>
      <c r="DZ1507" s="17"/>
      <c r="EA1507" s="16"/>
      <c r="EB1507" s="16"/>
      <c r="EC1507" s="17"/>
      <c r="ED1507" s="17"/>
      <c r="EE1507" s="16"/>
      <c r="EF1507" s="16"/>
      <c r="EG1507" s="17"/>
      <c r="EH1507" s="17"/>
      <c r="EI1507" s="16"/>
      <c r="EJ1507" s="16"/>
      <c r="EK1507" s="17"/>
      <c r="EL1507" s="17"/>
      <c r="EM1507" s="16"/>
      <c r="EN1507" s="16"/>
      <c r="EO1507" s="17"/>
      <c r="EP1507" s="17"/>
      <c r="EQ1507" s="16"/>
      <c r="ER1507" s="16"/>
      <c r="ES1507" s="17"/>
      <c r="ET1507" s="17"/>
      <c r="EU1507" s="16"/>
      <c r="EV1507" s="16"/>
      <c r="EW1507" s="17"/>
      <c r="EX1507" s="17"/>
      <c r="EY1507" s="16"/>
      <c r="EZ1507" s="16"/>
      <c r="FA1507" s="17"/>
      <c r="FB1507" s="17"/>
      <c r="FC1507" s="16"/>
      <c r="FD1507" s="16"/>
      <c r="FE1507" s="17"/>
      <c r="FF1507" s="17"/>
      <c r="FG1507" s="11"/>
      <c r="GT1507" s="11"/>
      <c r="IG1507" s="11"/>
      <c r="JT1507" s="11"/>
      <c r="LG1507" s="11"/>
      <c r="MT1507" s="11"/>
      <c r="OG1507" s="11"/>
      <c r="PT1507" s="11"/>
    </row>
    <row r="1508" spans="1:474" ht="15.75" x14ac:dyDescent="0.25">
      <c r="C1508" s="20" t="s">
        <v>1098</v>
      </c>
      <c r="D1508" s="21" t="s">
        <v>129</v>
      </c>
      <c r="H1508" s="11"/>
      <c r="AU1508" s="11"/>
      <c r="CH1508" s="11"/>
      <c r="CI1508" s="16"/>
      <c r="CJ1508" s="16"/>
      <c r="CK1508" s="16"/>
      <c r="CL1508" s="16"/>
      <c r="CM1508" s="16"/>
      <c r="CN1508" s="16"/>
      <c r="CO1508" s="16"/>
      <c r="CP1508" s="16"/>
      <c r="CQ1508" s="16"/>
      <c r="CR1508" s="16"/>
      <c r="CS1508" s="16"/>
      <c r="CT1508" s="16"/>
      <c r="CU1508" s="16"/>
      <c r="CV1508" s="16"/>
      <c r="CW1508" s="16"/>
      <c r="CX1508" s="16"/>
      <c r="CY1508" s="16"/>
      <c r="CZ1508" s="16"/>
      <c r="DA1508" s="16"/>
      <c r="DB1508" s="16"/>
      <c r="DC1508" s="16"/>
      <c r="DD1508" s="16"/>
      <c r="DE1508" s="17"/>
      <c r="DF1508" s="17"/>
      <c r="DG1508" s="16"/>
      <c r="DH1508" s="16"/>
      <c r="DI1508" s="17"/>
      <c r="DJ1508" s="17"/>
      <c r="DK1508" s="16"/>
      <c r="DL1508" s="16"/>
      <c r="DM1508" s="17"/>
      <c r="DN1508" s="17"/>
      <c r="DO1508" s="16"/>
      <c r="DP1508" s="16"/>
      <c r="DQ1508" s="17"/>
      <c r="DR1508" s="17"/>
      <c r="DS1508" s="16"/>
      <c r="DT1508" s="16"/>
      <c r="DU1508" s="18">
        <v>5.7</v>
      </c>
      <c r="DV1508" s="18">
        <v>8.6</v>
      </c>
      <c r="DW1508" s="16"/>
      <c r="DX1508" s="16"/>
      <c r="DY1508" s="17"/>
      <c r="DZ1508" s="17"/>
      <c r="EA1508" s="16"/>
      <c r="EB1508" s="16"/>
      <c r="EC1508" s="17"/>
      <c r="ED1508" s="17"/>
      <c r="EE1508" s="16"/>
      <c r="EF1508" s="16"/>
      <c r="EG1508" s="17"/>
      <c r="EH1508" s="17"/>
      <c r="EI1508" s="16"/>
      <c r="EJ1508" s="16"/>
      <c r="EK1508" s="17"/>
      <c r="EL1508" s="17"/>
      <c r="EM1508" s="16"/>
      <c r="EN1508" s="16"/>
      <c r="EO1508" s="17"/>
      <c r="EP1508" s="17"/>
      <c r="EQ1508" s="16"/>
      <c r="ER1508" s="16"/>
      <c r="ES1508" s="17"/>
      <c r="ET1508" s="17"/>
      <c r="EU1508" s="16"/>
      <c r="EV1508" s="16"/>
      <c r="EW1508" s="17"/>
      <c r="EX1508" s="17"/>
      <c r="EY1508" s="16"/>
      <c r="EZ1508" s="16"/>
      <c r="FA1508" s="17"/>
      <c r="FB1508" s="17"/>
      <c r="FC1508" s="16"/>
      <c r="FD1508" s="16"/>
      <c r="FE1508" s="17"/>
      <c r="FF1508" s="17"/>
      <c r="FG1508" s="11"/>
      <c r="GT1508" s="11"/>
      <c r="IG1508" s="11"/>
      <c r="JT1508" s="11"/>
      <c r="LG1508" s="11"/>
      <c r="MT1508" s="11"/>
      <c r="OG1508" s="11"/>
      <c r="PT1508" s="11"/>
    </row>
    <row r="1509" spans="1:474" ht="15.75" x14ac:dyDescent="0.25">
      <c r="C1509" s="20" t="s">
        <v>1099</v>
      </c>
      <c r="D1509" s="21" t="s">
        <v>129</v>
      </c>
      <c r="H1509" s="11"/>
      <c r="AU1509" s="11"/>
      <c r="CH1509" s="11"/>
      <c r="CI1509" s="16"/>
      <c r="CJ1509" s="16"/>
      <c r="CK1509" s="16"/>
      <c r="CL1509" s="16"/>
      <c r="CM1509" s="16"/>
      <c r="CN1509" s="16"/>
      <c r="CO1509" s="16"/>
      <c r="CP1509" s="16"/>
      <c r="CQ1509" s="16"/>
      <c r="CR1509" s="16"/>
      <c r="CS1509" s="16"/>
      <c r="CT1509" s="16"/>
      <c r="CU1509" s="16"/>
      <c r="CV1509" s="16"/>
      <c r="CW1509" s="16"/>
      <c r="CX1509" s="16"/>
      <c r="CY1509" s="16"/>
      <c r="CZ1509" s="16"/>
      <c r="DA1509" s="16"/>
      <c r="DB1509" s="16"/>
      <c r="DC1509" s="16"/>
      <c r="DD1509" s="16"/>
      <c r="DE1509" s="17"/>
      <c r="DF1509" s="17"/>
      <c r="DG1509" s="16"/>
      <c r="DH1509" s="16"/>
      <c r="DI1509" s="17"/>
      <c r="DJ1509" s="17"/>
      <c r="DK1509" s="16"/>
      <c r="DL1509" s="16"/>
      <c r="DM1509" s="17"/>
      <c r="DN1509" s="17"/>
      <c r="DO1509" s="16"/>
      <c r="DP1509" s="16"/>
      <c r="DQ1509" s="17"/>
      <c r="DR1509" s="17"/>
      <c r="DS1509" s="16"/>
      <c r="DT1509" s="16"/>
      <c r="DU1509" s="18">
        <v>11.4</v>
      </c>
      <c r="DV1509" s="18">
        <v>14.3</v>
      </c>
      <c r="DW1509" s="16"/>
      <c r="DX1509" s="16"/>
      <c r="DY1509" s="17"/>
      <c r="DZ1509" s="17"/>
      <c r="EA1509" s="16"/>
      <c r="EB1509" s="16"/>
      <c r="EC1509" s="17"/>
      <c r="ED1509" s="17"/>
      <c r="EE1509" s="16"/>
      <c r="EF1509" s="16"/>
      <c r="EG1509" s="17"/>
      <c r="EH1509" s="17"/>
      <c r="EI1509" s="16"/>
      <c r="EJ1509" s="16"/>
      <c r="EK1509" s="17"/>
      <c r="EL1509" s="17"/>
      <c r="EM1509" s="16"/>
      <c r="EN1509" s="16"/>
      <c r="EO1509" s="17"/>
      <c r="EP1509" s="17"/>
      <c r="EQ1509" s="16"/>
      <c r="ER1509" s="16"/>
      <c r="ES1509" s="17"/>
      <c r="ET1509" s="17"/>
      <c r="EU1509" s="16"/>
      <c r="EV1509" s="16"/>
      <c r="EW1509" s="17"/>
      <c r="EX1509" s="17"/>
      <c r="EY1509" s="16"/>
      <c r="EZ1509" s="16"/>
      <c r="FA1509" s="17"/>
      <c r="FB1509" s="17"/>
      <c r="FC1509" s="16"/>
      <c r="FD1509" s="16"/>
      <c r="FE1509" s="17"/>
      <c r="FF1509" s="17"/>
      <c r="FG1509" s="11"/>
      <c r="GT1509" s="11"/>
      <c r="IG1509" s="11"/>
      <c r="JT1509" s="11"/>
      <c r="LG1509" s="11"/>
      <c r="MT1509" s="11"/>
      <c r="OG1509" s="11"/>
      <c r="PT1509" s="11"/>
    </row>
    <row r="1510" spans="1:474" ht="15.75" x14ac:dyDescent="0.25">
      <c r="A1510" s="13"/>
      <c r="B1510" s="14" t="s">
        <v>1100</v>
      </c>
      <c r="C1510" s="13"/>
      <c r="D1510" s="13"/>
      <c r="E1510" s="15" t="s">
        <v>76</v>
      </c>
      <c r="F1510" s="15" t="s">
        <v>1101</v>
      </c>
      <c r="G1510" s="13"/>
      <c r="H1510" s="11"/>
      <c r="AU1510" s="11"/>
      <c r="CH1510" s="11"/>
      <c r="CI1510" s="16"/>
      <c r="CJ1510" s="16"/>
      <c r="CK1510" s="16"/>
      <c r="CL1510" s="16"/>
      <c r="CM1510" s="16"/>
      <c r="CN1510" s="16"/>
      <c r="CO1510" s="16"/>
      <c r="CP1510" s="16"/>
      <c r="CQ1510" s="16"/>
      <c r="CR1510" s="16"/>
      <c r="CS1510" s="16"/>
      <c r="CT1510" s="16"/>
      <c r="CU1510" s="16"/>
      <c r="CV1510" s="16"/>
      <c r="CW1510" s="16"/>
      <c r="CX1510" s="16"/>
      <c r="CY1510" s="16"/>
      <c r="CZ1510" s="16"/>
      <c r="DA1510" s="16"/>
      <c r="DB1510" s="16"/>
      <c r="DC1510" s="16"/>
      <c r="DD1510" s="16"/>
      <c r="DE1510" s="17"/>
      <c r="DF1510" s="17"/>
      <c r="DG1510" s="16"/>
      <c r="DH1510" s="16"/>
      <c r="DI1510" s="17"/>
      <c r="DJ1510" s="17"/>
      <c r="DK1510" s="16"/>
      <c r="DL1510" s="16"/>
      <c r="DM1510" s="17"/>
      <c r="DN1510" s="17"/>
      <c r="DO1510" s="16"/>
      <c r="DP1510" s="16"/>
      <c r="DQ1510" s="17"/>
      <c r="DR1510" s="17"/>
      <c r="DS1510" s="16"/>
      <c r="DT1510" s="16"/>
      <c r="DU1510" s="17"/>
      <c r="DV1510" s="17"/>
      <c r="DW1510" s="16"/>
      <c r="DX1510" s="16"/>
      <c r="DY1510" s="17"/>
      <c r="DZ1510" s="17"/>
      <c r="EA1510" s="16"/>
      <c r="EB1510" s="16"/>
      <c r="EC1510" s="17"/>
      <c r="ED1510" s="17"/>
      <c r="EE1510" s="16"/>
      <c r="EF1510" s="16"/>
      <c r="EG1510" s="17"/>
      <c r="EH1510" s="17"/>
      <c r="EI1510" s="16"/>
      <c r="EJ1510" s="16"/>
      <c r="EK1510" s="17"/>
      <c r="EL1510" s="17"/>
      <c r="EM1510" s="16"/>
      <c r="EN1510" s="16"/>
      <c r="EO1510" s="17"/>
      <c r="EP1510" s="17"/>
      <c r="EQ1510" s="16"/>
      <c r="ER1510" s="16"/>
      <c r="ES1510" s="17"/>
      <c r="ET1510" s="17"/>
      <c r="EU1510" s="16"/>
      <c r="EV1510" s="16"/>
      <c r="EW1510" s="17"/>
      <c r="EX1510" s="17"/>
      <c r="EY1510" s="16"/>
      <c r="EZ1510" s="16"/>
      <c r="FA1510" s="17"/>
      <c r="FB1510" s="17"/>
      <c r="FC1510" s="16"/>
      <c r="FD1510" s="16"/>
      <c r="FE1510" s="17"/>
      <c r="FF1510" s="17"/>
      <c r="FG1510" s="11"/>
      <c r="GT1510" s="11"/>
      <c r="IG1510" s="11"/>
      <c r="JT1510" s="11"/>
      <c r="LG1510" s="11"/>
      <c r="MT1510" s="11"/>
      <c r="OG1510" s="11"/>
      <c r="PT1510" s="11"/>
    </row>
    <row r="1511" spans="1:474" ht="15.75" x14ac:dyDescent="0.25">
      <c r="C1511" s="20" t="s">
        <v>1102</v>
      </c>
      <c r="D1511" s="21" t="s">
        <v>136</v>
      </c>
      <c r="H1511" s="11"/>
      <c r="AU1511" s="11"/>
      <c r="CH1511" s="11"/>
      <c r="CI1511" s="16"/>
      <c r="CJ1511" s="16"/>
      <c r="CK1511" s="16"/>
      <c r="CL1511" s="16"/>
      <c r="CM1511" s="16"/>
      <c r="CN1511" s="16"/>
      <c r="CO1511" s="16"/>
      <c r="CP1511" s="16"/>
      <c r="CQ1511" s="16"/>
      <c r="CR1511" s="16"/>
      <c r="CS1511" s="16"/>
      <c r="CT1511" s="16"/>
      <c r="CU1511" s="16"/>
      <c r="CV1511" s="16"/>
      <c r="CW1511" s="16"/>
      <c r="CX1511" s="16"/>
      <c r="CY1511" s="16"/>
      <c r="CZ1511" s="16"/>
      <c r="DA1511" s="16"/>
      <c r="DB1511" s="16"/>
      <c r="DC1511" s="16"/>
      <c r="DD1511" s="16"/>
      <c r="DE1511" s="17"/>
      <c r="DF1511" s="17"/>
      <c r="DG1511" s="16"/>
      <c r="DH1511" s="16"/>
      <c r="DI1511" s="17"/>
      <c r="DJ1511" s="17"/>
      <c r="DK1511" s="16"/>
      <c r="DL1511" s="16"/>
      <c r="DM1511" s="17"/>
      <c r="DN1511" s="17"/>
      <c r="DO1511" s="16"/>
      <c r="DP1511" s="16"/>
      <c r="DQ1511" s="17"/>
      <c r="DR1511" s="17"/>
      <c r="DS1511" s="16"/>
      <c r="DT1511" s="16"/>
      <c r="DU1511" s="17"/>
      <c r="DV1511" s="17"/>
      <c r="DW1511" s="16"/>
      <c r="DX1511" s="16"/>
      <c r="DY1511" s="17"/>
      <c r="DZ1511" s="17"/>
      <c r="EA1511" s="16"/>
      <c r="EB1511" s="16"/>
      <c r="EC1511" s="17"/>
      <c r="ED1511" s="17"/>
      <c r="EE1511" s="16"/>
      <c r="EF1511" s="16"/>
      <c r="EG1511" s="17"/>
      <c r="EH1511" s="17"/>
      <c r="EI1511" s="16"/>
      <c r="EJ1511" s="16"/>
      <c r="EK1511" s="17"/>
      <c r="EL1511" s="17"/>
      <c r="EM1511" s="16"/>
      <c r="EN1511" s="16"/>
      <c r="EO1511" s="17"/>
      <c r="EP1511" s="17"/>
      <c r="EQ1511" s="16"/>
      <c r="ER1511" s="16"/>
      <c r="ES1511" s="17"/>
      <c r="ET1511" s="17"/>
      <c r="EU1511" s="16"/>
      <c r="EV1511" s="16"/>
      <c r="EW1511" s="17"/>
      <c r="EX1511" s="17"/>
      <c r="EY1511" s="16"/>
      <c r="EZ1511" s="16"/>
      <c r="FA1511" s="17"/>
      <c r="FB1511" s="17"/>
      <c r="FC1511" s="16"/>
      <c r="FD1511" s="16"/>
      <c r="FE1511" s="17"/>
      <c r="FF1511" s="17"/>
      <c r="FG1511" s="11"/>
      <c r="GT1511" s="11"/>
      <c r="IG1511" s="11"/>
      <c r="JT1511" s="11"/>
      <c r="LG1511" s="11"/>
      <c r="MT1511" s="11"/>
      <c r="OG1511" s="11"/>
      <c r="PT1511" s="11"/>
    </row>
    <row r="1512" spans="1:474" ht="15.75" x14ac:dyDescent="0.25">
      <c r="C1512" s="20" t="s">
        <v>1103</v>
      </c>
      <c r="D1512" s="21" t="s">
        <v>203</v>
      </c>
      <c r="H1512" s="11"/>
      <c r="AU1512" s="11"/>
      <c r="CH1512" s="11"/>
      <c r="CI1512" s="16"/>
      <c r="CJ1512" s="16"/>
      <c r="CK1512" s="16"/>
      <c r="CL1512" s="16"/>
      <c r="CM1512" s="16"/>
      <c r="CN1512" s="16"/>
      <c r="CO1512" s="16"/>
      <c r="CP1512" s="16"/>
      <c r="CQ1512" s="16"/>
      <c r="CR1512" s="16"/>
      <c r="CS1512" s="16"/>
      <c r="CT1512" s="16"/>
      <c r="CU1512" s="16"/>
      <c r="CV1512" s="16"/>
      <c r="CW1512" s="16"/>
      <c r="CX1512" s="16"/>
      <c r="CY1512" s="16"/>
      <c r="CZ1512" s="16"/>
      <c r="DA1512" s="16"/>
      <c r="DB1512" s="16"/>
      <c r="DC1512" s="16"/>
      <c r="DD1512" s="16"/>
      <c r="DE1512" s="17"/>
      <c r="DF1512" s="17"/>
      <c r="DG1512" s="16"/>
      <c r="DH1512" s="16"/>
      <c r="DI1512" s="17"/>
      <c r="DJ1512" s="17"/>
      <c r="DK1512" s="16"/>
      <c r="DL1512" s="16"/>
      <c r="DM1512" s="17"/>
      <c r="DN1512" s="17"/>
      <c r="DO1512" s="16"/>
      <c r="DP1512" s="16"/>
      <c r="DQ1512" s="17"/>
      <c r="DR1512" s="17"/>
      <c r="DS1512" s="16"/>
      <c r="DT1512" s="16"/>
      <c r="DU1512" s="17"/>
      <c r="DV1512" s="17"/>
      <c r="DW1512" s="16"/>
      <c r="DX1512" s="16"/>
      <c r="DY1512" s="17"/>
      <c r="DZ1512" s="17"/>
      <c r="EA1512" s="16"/>
      <c r="EB1512" s="16"/>
      <c r="EC1512" s="17"/>
      <c r="ED1512" s="17"/>
      <c r="EE1512" s="16"/>
      <c r="EF1512" s="16"/>
      <c r="EG1512" s="17"/>
      <c r="EH1512" s="17"/>
      <c r="EI1512" s="16"/>
      <c r="EJ1512" s="16"/>
      <c r="EK1512" s="17"/>
      <c r="EL1512" s="17"/>
      <c r="EM1512" s="16"/>
      <c r="EN1512" s="16"/>
      <c r="EO1512" s="17"/>
      <c r="EP1512" s="17"/>
      <c r="EQ1512" s="16"/>
      <c r="ER1512" s="16"/>
      <c r="ES1512" s="17"/>
      <c r="ET1512" s="17"/>
      <c r="EU1512" s="16"/>
      <c r="EV1512" s="16"/>
      <c r="EW1512" s="17"/>
      <c r="EX1512" s="17"/>
      <c r="EY1512" s="16"/>
      <c r="EZ1512" s="16"/>
      <c r="FA1512" s="17"/>
      <c r="FB1512" s="17"/>
      <c r="FC1512" s="16"/>
      <c r="FD1512" s="16"/>
      <c r="FE1512" s="17"/>
      <c r="FF1512" s="17"/>
      <c r="FG1512" s="11"/>
      <c r="GT1512" s="11"/>
      <c r="IG1512" s="11"/>
      <c r="JT1512" s="11"/>
      <c r="LG1512" s="11"/>
      <c r="MT1512" s="11"/>
      <c r="OG1512" s="11"/>
      <c r="PT1512" s="11"/>
    </row>
    <row r="1513" spans="1:474" ht="15.75" x14ac:dyDescent="0.25">
      <c r="C1513" s="20" t="s">
        <v>1104</v>
      </c>
      <c r="D1513" s="21" t="s">
        <v>162</v>
      </c>
      <c r="H1513" s="11"/>
      <c r="AU1513" s="11"/>
      <c r="CH1513" s="11"/>
      <c r="CI1513" s="16"/>
      <c r="CJ1513" s="16"/>
      <c r="CK1513" s="16"/>
      <c r="CL1513" s="16"/>
      <c r="CM1513" s="16"/>
      <c r="CN1513" s="16"/>
      <c r="CO1513" s="16"/>
      <c r="CP1513" s="16"/>
      <c r="CQ1513" s="16"/>
      <c r="CR1513" s="16"/>
      <c r="CS1513" s="16"/>
      <c r="CT1513" s="16"/>
      <c r="CU1513" s="16"/>
      <c r="CV1513" s="16"/>
      <c r="CW1513" s="16"/>
      <c r="CX1513" s="16"/>
      <c r="CY1513" s="16"/>
      <c r="CZ1513" s="16"/>
      <c r="DA1513" s="16"/>
      <c r="DB1513" s="16"/>
      <c r="DC1513" s="16"/>
      <c r="DD1513" s="16"/>
      <c r="DE1513" s="17"/>
      <c r="DF1513" s="17"/>
      <c r="DG1513" s="16"/>
      <c r="DH1513" s="16"/>
      <c r="DI1513" s="17"/>
      <c r="DJ1513" s="17"/>
      <c r="DK1513" s="16"/>
      <c r="DL1513" s="16"/>
      <c r="DM1513" s="17"/>
      <c r="DN1513" s="17"/>
      <c r="DO1513" s="16"/>
      <c r="DP1513" s="16"/>
      <c r="DQ1513" s="17"/>
      <c r="DR1513" s="17"/>
      <c r="DS1513" s="16"/>
      <c r="DT1513" s="16"/>
      <c r="DU1513" s="17"/>
      <c r="DV1513" s="17"/>
      <c r="DW1513" s="16"/>
      <c r="DX1513" s="16"/>
      <c r="DY1513" s="17"/>
      <c r="DZ1513" s="17"/>
      <c r="EA1513" s="16"/>
      <c r="EB1513" s="16"/>
      <c r="EC1513" s="17"/>
      <c r="ED1513" s="17"/>
      <c r="EE1513" s="16"/>
      <c r="EF1513" s="16"/>
      <c r="EG1513" s="17"/>
      <c r="EH1513" s="17"/>
      <c r="EI1513" s="16"/>
      <c r="EJ1513" s="16"/>
      <c r="EK1513" s="17"/>
      <c r="EL1513" s="17"/>
      <c r="EM1513" s="16"/>
      <c r="EN1513" s="16"/>
      <c r="EO1513" s="17"/>
      <c r="EP1513" s="17"/>
      <c r="EQ1513" s="16"/>
      <c r="ER1513" s="16"/>
      <c r="ES1513" s="17"/>
      <c r="ET1513" s="17"/>
      <c r="EU1513" s="16"/>
      <c r="EV1513" s="16"/>
      <c r="EW1513" s="17"/>
      <c r="EX1513" s="17"/>
      <c r="EY1513" s="16"/>
      <c r="EZ1513" s="16"/>
      <c r="FA1513" s="17"/>
      <c r="FB1513" s="17"/>
      <c r="FC1513" s="16"/>
      <c r="FD1513" s="16"/>
      <c r="FE1513" s="17"/>
      <c r="FF1513" s="17"/>
      <c r="FG1513" s="11"/>
      <c r="GT1513" s="11"/>
      <c r="IG1513" s="11"/>
      <c r="JT1513" s="11"/>
      <c r="LG1513" s="11"/>
      <c r="MT1513" s="11"/>
      <c r="OG1513" s="11"/>
      <c r="PT1513" s="11"/>
    </row>
    <row r="1514" spans="1:474" ht="15.75" x14ac:dyDescent="0.25">
      <c r="C1514" s="20" t="s">
        <v>1105</v>
      </c>
      <c r="D1514" s="21" t="s">
        <v>142</v>
      </c>
      <c r="H1514" s="11"/>
      <c r="AU1514" s="11"/>
      <c r="CH1514" s="11"/>
      <c r="CI1514" s="16"/>
      <c r="CJ1514" s="16"/>
      <c r="CK1514" s="16"/>
      <c r="CL1514" s="16"/>
      <c r="CM1514" s="16"/>
      <c r="CN1514" s="16"/>
      <c r="CO1514" s="16"/>
      <c r="CP1514" s="16"/>
      <c r="CQ1514" s="16"/>
      <c r="CR1514" s="16"/>
      <c r="CS1514" s="16"/>
      <c r="CT1514" s="16"/>
      <c r="CU1514" s="16"/>
      <c r="CV1514" s="16"/>
      <c r="CW1514" s="16"/>
      <c r="CX1514" s="16"/>
      <c r="CY1514" s="16"/>
      <c r="CZ1514" s="16"/>
      <c r="DA1514" s="16"/>
      <c r="DB1514" s="16"/>
      <c r="DC1514" s="16"/>
      <c r="DD1514" s="16"/>
      <c r="DE1514" s="17"/>
      <c r="DF1514" s="17"/>
      <c r="DG1514" s="16"/>
      <c r="DH1514" s="16"/>
      <c r="DI1514" s="17"/>
      <c r="DJ1514" s="17"/>
      <c r="DK1514" s="16"/>
      <c r="DL1514" s="16"/>
      <c r="DM1514" s="17"/>
      <c r="DN1514" s="17"/>
      <c r="DO1514" s="16"/>
      <c r="DP1514" s="16"/>
      <c r="DQ1514" s="17"/>
      <c r="DR1514" s="17"/>
      <c r="DS1514" s="16"/>
      <c r="DT1514" s="16"/>
      <c r="DU1514" s="17"/>
      <c r="DV1514" s="17"/>
      <c r="DW1514" s="16"/>
      <c r="DX1514" s="16"/>
      <c r="DY1514" s="17"/>
      <c r="DZ1514" s="17"/>
      <c r="EA1514" s="16"/>
      <c r="EB1514" s="16"/>
      <c r="EC1514" s="17"/>
      <c r="ED1514" s="17"/>
      <c r="EE1514" s="16"/>
      <c r="EF1514" s="16"/>
      <c r="EG1514" s="17"/>
      <c r="EH1514" s="17"/>
      <c r="EI1514" s="16"/>
      <c r="EJ1514" s="16"/>
      <c r="EK1514" s="17"/>
      <c r="EL1514" s="17"/>
      <c r="EM1514" s="16"/>
      <c r="EN1514" s="16"/>
      <c r="EO1514" s="17"/>
      <c r="EP1514" s="17"/>
      <c r="EQ1514" s="16"/>
      <c r="ER1514" s="16"/>
      <c r="ES1514" s="17"/>
      <c r="ET1514" s="17"/>
      <c r="EU1514" s="16"/>
      <c r="EV1514" s="16"/>
      <c r="EW1514" s="17"/>
      <c r="EX1514" s="17"/>
      <c r="EY1514" s="16"/>
      <c r="EZ1514" s="16"/>
      <c r="FA1514" s="17"/>
      <c r="FB1514" s="17"/>
      <c r="FC1514" s="16"/>
      <c r="FD1514" s="16"/>
      <c r="FE1514" s="17"/>
      <c r="FF1514" s="17"/>
      <c r="FG1514" s="11"/>
      <c r="GT1514" s="11"/>
      <c r="IG1514" s="11"/>
      <c r="JT1514" s="11"/>
      <c r="LG1514" s="11"/>
      <c r="MT1514" s="11"/>
      <c r="OG1514" s="11"/>
      <c r="PT1514" s="11"/>
    </row>
    <row r="1515" spans="1:474" ht="15.75" x14ac:dyDescent="0.25">
      <c r="C1515" s="20" t="s">
        <v>1106</v>
      </c>
      <c r="D1515" s="21" t="s">
        <v>129</v>
      </c>
      <c r="H1515" s="11"/>
      <c r="AU1515" s="11"/>
      <c r="CH1515" s="11"/>
      <c r="CI1515" s="16"/>
      <c r="CJ1515" s="16"/>
      <c r="CK1515" s="16"/>
      <c r="CL1515" s="16"/>
      <c r="CM1515" s="16"/>
      <c r="CN1515" s="16"/>
      <c r="CO1515" s="16"/>
      <c r="CP1515" s="16"/>
      <c r="CQ1515" s="16"/>
      <c r="CR1515" s="16"/>
      <c r="CS1515" s="16"/>
      <c r="CT1515" s="16"/>
      <c r="CU1515" s="16"/>
      <c r="CV1515" s="16"/>
      <c r="CW1515" s="16"/>
      <c r="CX1515" s="16"/>
      <c r="CY1515" s="16"/>
      <c r="CZ1515" s="16"/>
      <c r="DA1515" s="16"/>
      <c r="DB1515" s="16"/>
      <c r="DC1515" s="16"/>
      <c r="DD1515" s="16"/>
      <c r="DE1515" s="17"/>
      <c r="DF1515" s="17"/>
      <c r="DG1515" s="16"/>
      <c r="DH1515" s="16"/>
      <c r="DI1515" s="17"/>
      <c r="DJ1515" s="17"/>
      <c r="DK1515" s="16"/>
      <c r="DL1515" s="16"/>
      <c r="DM1515" s="17"/>
      <c r="DN1515" s="17"/>
      <c r="DO1515" s="16"/>
      <c r="DP1515" s="16"/>
      <c r="DQ1515" s="17"/>
      <c r="DR1515" s="17"/>
      <c r="DS1515" s="16"/>
      <c r="DT1515" s="16"/>
      <c r="DU1515" s="17"/>
      <c r="DV1515" s="17"/>
      <c r="DW1515" s="16"/>
      <c r="DX1515" s="16"/>
      <c r="DY1515" s="17"/>
      <c r="DZ1515" s="17"/>
      <c r="EA1515" s="16"/>
      <c r="EB1515" s="16"/>
      <c r="EC1515" s="17"/>
      <c r="ED1515" s="17"/>
      <c r="EE1515" s="16"/>
      <c r="EF1515" s="16"/>
      <c r="EG1515" s="17"/>
      <c r="EH1515" s="17"/>
      <c r="EI1515" s="16"/>
      <c r="EJ1515" s="16"/>
      <c r="EK1515" s="17"/>
      <c r="EL1515" s="17"/>
      <c r="EM1515" s="16"/>
      <c r="EN1515" s="16"/>
      <c r="EO1515" s="17"/>
      <c r="EP1515" s="17"/>
      <c r="EQ1515" s="16"/>
      <c r="ER1515" s="16"/>
      <c r="ES1515" s="17"/>
      <c r="ET1515" s="17"/>
      <c r="EU1515" s="16"/>
      <c r="EV1515" s="16"/>
      <c r="EW1515" s="17"/>
      <c r="EX1515" s="17"/>
      <c r="EY1515" s="16"/>
      <c r="EZ1515" s="16"/>
      <c r="FA1515" s="17"/>
      <c r="FB1515" s="17"/>
      <c r="FC1515" s="16"/>
      <c r="FD1515" s="16"/>
      <c r="FE1515" s="17"/>
      <c r="FF1515" s="17"/>
      <c r="FG1515" s="11"/>
      <c r="GT1515" s="11"/>
      <c r="IG1515" s="11"/>
      <c r="JT1515" s="11"/>
      <c r="LG1515" s="11"/>
      <c r="MT1515" s="11"/>
      <c r="OG1515" s="11"/>
      <c r="PT1515" s="11"/>
    </row>
    <row r="1516" spans="1:474" ht="15.75" x14ac:dyDescent="0.25">
      <c r="A1516" s="13"/>
      <c r="B1516" s="14" t="s">
        <v>1107</v>
      </c>
      <c r="C1516" s="13"/>
      <c r="D1516" s="13"/>
      <c r="E1516" s="15" t="s">
        <v>127</v>
      </c>
      <c r="F1516" s="15" t="s">
        <v>177</v>
      </c>
      <c r="G1516" s="13"/>
      <c r="H1516" s="11"/>
      <c r="AU1516" s="11"/>
      <c r="CH1516" s="11"/>
      <c r="CI1516" s="16"/>
      <c r="CJ1516" s="16"/>
      <c r="CK1516" s="16"/>
      <c r="CL1516" s="16"/>
      <c r="CM1516" s="16"/>
      <c r="CN1516" s="16"/>
      <c r="CO1516" s="16"/>
      <c r="CP1516" s="16"/>
      <c r="CQ1516" s="16"/>
      <c r="CR1516" s="16"/>
      <c r="CS1516" s="16"/>
      <c r="CT1516" s="16"/>
      <c r="CU1516" s="16"/>
      <c r="CV1516" s="16"/>
      <c r="CW1516" s="16"/>
      <c r="CX1516" s="16"/>
      <c r="CY1516" s="16"/>
      <c r="CZ1516" s="16"/>
      <c r="DA1516" s="16"/>
      <c r="DB1516" s="16"/>
      <c r="DC1516" s="16"/>
      <c r="DD1516" s="16"/>
      <c r="DE1516" s="17"/>
      <c r="DF1516" s="17"/>
      <c r="DG1516" s="16"/>
      <c r="DH1516" s="16"/>
      <c r="DI1516" s="17"/>
      <c r="DJ1516" s="18">
        <v>40</v>
      </c>
      <c r="DK1516" s="16"/>
      <c r="DL1516" s="16"/>
      <c r="DM1516" s="17"/>
      <c r="DN1516" s="17"/>
      <c r="DO1516" s="16"/>
      <c r="DP1516" s="16"/>
      <c r="DQ1516" s="17"/>
      <c r="DR1516" s="17"/>
      <c r="DS1516" s="16"/>
      <c r="DT1516" s="16"/>
      <c r="DU1516" s="17"/>
      <c r="DV1516" s="17"/>
      <c r="DW1516" s="16"/>
      <c r="DX1516" s="16"/>
      <c r="DY1516" s="17"/>
      <c r="DZ1516" s="17"/>
      <c r="EA1516" s="16"/>
      <c r="EB1516" s="16"/>
      <c r="EC1516" s="17"/>
      <c r="ED1516" s="17"/>
      <c r="EE1516" s="16"/>
      <c r="EF1516" s="16"/>
      <c r="EG1516" s="17"/>
      <c r="EH1516" s="17"/>
      <c r="EI1516" s="16"/>
      <c r="EJ1516" s="16"/>
      <c r="EK1516" s="17"/>
      <c r="EL1516" s="17"/>
      <c r="EM1516" s="16"/>
      <c r="EN1516" s="16"/>
      <c r="EO1516" s="17"/>
      <c r="EP1516" s="17"/>
      <c r="EQ1516" s="16"/>
      <c r="ER1516" s="16"/>
      <c r="ES1516" s="17"/>
      <c r="ET1516" s="17"/>
      <c r="EU1516" s="16"/>
      <c r="EV1516" s="16"/>
      <c r="EW1516" s="17"/>
      <c r="EX1516" s="17"/>
      <c r="EY1516" s="16"/>
      <c r="EZ1516" s="16"/>
      <c r="FA1516" s="17"/>
      <c r="FB1516" s="17"/>
      <c r="FC1516" s="16"/>
      <c r="FD1516" s="16"/>
      <c r="FE1516" s="17"/>
      <c r="FF1516" s="17"/>
      <c r="FG1516" s="11"/>
      <c r="GT1516" s="11"/>
      <c r="IG1516" s="11"/>
      <c r="JT1516" s="11"/>
      <c r="LG1516" s="11"/>
      <c r="MT1516" s="11"/>
      <c r="OG1516" s="11"/>
      <c r="PT1516" s="11"/>
    </row>
    <row r="1517" spans="1:474" ht="15.75" x14ac:dyDescent="0.25">
      <c r="A1517" s="13"/>
      <c r="B1517" s="14" t="s">
        <v>1108</v>
      </c>
      <c r="C1517" s="13"/>
      <c r="D1517" s="13"/>
      <c r="E1517" s="15" t="s">
        <v>127</v>
      </c>
      <c r="F1517" s="15" t="s">
        <v>177</v>
      </c>
      <c r="G1517" s="13"/>
      <c r="H1517" s="11"/>
      <c r="AU1517" s="11"/>
      <c r="CH1517" s="11"/>
      <c r="CI1517" s="16"/>
      <c r="CJ1517" s="16"/>
      <c r="CK1517" s="16"/>
      <c r="CL1517" s="16"/>
      <c r="CM1517" s="16"/>
      <c r="CN1517" s="16"/>
      <c r="CO1517" s="16"/>
      <c r="CP1517" s="16"/>
      <c r="CQ1517" s="16"/>
      <c r="CR1517" s="16"/>
      <c r="CS1517" s="16"/>
      <c r="CT1517" s="16"/>
      <c r="CU1517" s="16"/>
      <c r="CV1517" s="16"/>
      <c r="CW1517" s="16"/>
      <c r="CX1517" s="16"/>
      <c r="CY1517" s="16"/>
      <c r="CZ1517" s="16"/>
      <c r="DA1517" s="16"/>
      <c r="DB1517" s="16"/>
      <c r="DC1517" s="16"/>
      <c r="DD1517" s="16"/>
      <c r="DE1517" s="17"/>
      <c r="DF1517" s="17"/>
      <c r="DG1517" s="16"/>
      <c r="DH1517" s="16"/>
      <c r="DI1517" s="17"/>
      <c r="DJ1517" s="17"/>
      <c r="DK1517" s="16"/>
      <c r="DL1517" s="16"/>
      <c r="DM1517" s="17"/>
      <c r="DN1517" s="17"/>
      <c r="DO1517" s="16"/>
      <c r="DP1517" s="16"/>
      <c r="DQ1517" s="17"/>
      <c r="DR1517" s="17"/>
      <c r="DS1517" s="16"/>
      <c r="DT1517" s="16"/>
      <c r="DU1517" s="17"/>
      <c r="DV1517" s="17"/>
      <c r="DW1517" s="16"/>
      <c r="DX1517" s="16"/>
      <c r="DY1517" s="17"/>
      <c r="DZ1517" s="17"/>
      <c r="EA1517" s="16"/>
      <c r="EB1517" s="16"/>
      <c r="EC1517" s="17"/>
      <c r="ED1517" s="17"/>
      <c r="EE1517" s="16"/>
      <c r="EF1517" s="16"/>
      <c r="EG1517" s="17"/>
      <c r="EH1517" s="17"/>
      <c r="EI1517" s="16"/>
      <c r="EJ1517" s="16"/>
      <c r="EK1517" s="17"/>
      <c r="EL1517" s="17"/>
      <c r="EM1517" s="16"/>
      <c r="EN1517" s="16"/>
      <c r="EO1517" s="17"/>
      <c r="EP1517" s="17"/>
      <c r="EQ1517" s="16"/>
      <c r="ER1517" s="16"/>
      <c r="ES1517" s="17"/>
      <c r="ET1517" s="18">
        <v>30</v>
      </c>
      <c r="EU1517" s="16"/>
      <c r="EV1517" s="16"/>
      <c r="EW1517" s="17"/>
      <c r="EX1517" s="17"/>
      <c r="EY1517" s="16"/>
      <c r="EZ1517" s="16"/>
      <c r="FA1517" s="17"/>
      <c r="FB1517" s="17"/>
      <c r="FC1517" s="16"/>
      <c r="FD1517" s="16"/>
      <c r="FE1517" s="17"/>
      <c r="FF1517" s="17"/>
      <c r="FG1517" s="11"/>
      <c r="GT1517" s="11"/>
      <c r="IG1517" s="11"/>
      <c r="JT1517" s="11"/>
      <c r="LG1517" s="11"/>
      <c r="MT1517" s="11"/>
      <c r="OG1517" s="11"/>
      <c r="PT1517" s="11"/>
    </row>
    <row r="1518" spans="1:474" x14ac:dyDescent="0.25">
      <c r="A1518" s="57" t="s">
        <v>1109</v>
      </c>
      <c r="B1518" s="57"/>
      <c r="C1518" s="57"/>
      <c r="D1518" s="57"/>
      <c r="E1518" s="57"/>
      <c r="F1518" s="57"/>
      <c r="G1518" s="57"/>
      <c r="H1518" s="57"/>
      <c r="I1518" s="57"/>
      <c r="J1518" s="57"/>
      <c r="K1518" s="57"/>
      <c r="L1518" s="57"/>
      <c r="M1518" s="57"/>
      <c r="N1518" s="57"/>
      <c r="O1518" s="57"/>
      <c r="P1518" s="57"/>
      <c r="Q1518" s="57"/>
      <c r="R1518" s="57"/>
      <c r="S1518" s="57"/>
      <c r="T1518" s="57"/>
      <c r="U1518" s="57"/>
      <c r="V1518" s="57"/>
      <c r="W1518" s="57"/>
      <c r="X1518" s="57"/>
      <c r="Y1518" s="57"/>
      <c r="Z1518" s="57"/>
      <c r="AA1518" s="57"/>
      <c r="AB1518" s="57"/>
      <c r="AC1518" s="57"/>
      <c r="AD1518" s="57"/>
      <c r="AE1518" s="57"/>
      <c r="AF1518" s="57"/>
      <c r="AG1518" s="57"/>
      <c r="AH1518" s="57"/>
      <c r="AI1518" s="57"/>
      <c r="AJ1518" s="57"/>
      <c r="AK1518" s="57"/>
      <c r="AL1518" s="57"/>
      <c r="AM1518" s="57"/>
      <c r="AN1518" s="57"/>
      <c r="AO1518" s="57"/>
      <c r="AP1518" s="57"/>
      <c r="AQ1518" s="57"/>
      <c r="AR1518" s="57"/>
      <c r="AS1518" s="57"/>
      <c r="AT1518" s="57"/>
      <c r="AU1518" s="57"/>
      <c r="AV1518" s="57"/>
      <c r="AW1518" s="57"/>
      <c r="AX1518" s="57"/>
      <c r="AY1518" s="57"/>
      <c r="AZ1518" s="57"/>
      <c r="BA1518" s="57"/>
      <c r="BB1518" s="57"/>
      <c r="BC1518" s="57"/>
      <c r="BD1518" s="57"/>
      <c r="BE1518" s="57"/>
      <c r="BF1518" s="57"/>
      <c r="BG1518" s="57"/>
      <c r="BH1518" s="57"/>
      <c r="BI1518" s="57"/>
      <c r="BJ1518" s="57"/>
      <c r="BK1518" s="57"/>
      <c r="BL1518" s="57"/>
      <c r="BM1518" s="57"/>
      <c r="BN1518" s="57"/>
      <c r="BO1518" s="57"/>
      <c r="BP1518" s="57"/>
      <c r="BQ1518" s="57"/>
      <c r="BR1518" s="57"/>
      <c r="BS1518" s="57"/>
      <c r="BT1518" s="57"/>
      <c r="BU1518" s="57"/>
      <c r="BV1518" s="57"/>
      <c r="BW1518" s="57"/>
      <c r="BX1518" s="57"/>
      <c r="BY1518" s="57"/>
      <c r="BZ1518" s="57"/>
      <c r="CA1518" s="57"/>
      <c r="CB1518" s="57"/>
      <c r="CC1518" s="57"/>
      <c r="CD1518" s="57"/>
      <c r="CE1518" s="57"/>
      <c r="CF1518" s="57"/>
      <c r="CG1518" s="57"/>
      <c r="CH1518" s="57"/>
      <c r="CI1518" s="57"/>
      <c r="CJ1518" s="57"/>
      <c r="CK1518" s="57"/>
      <c r="CL1518" s="57"/>
      <c r="CM1518" s="57"/>
      <c r="CN1518" s="57"/>
      <c r="CO1518" s="57"/>
      <c r="CP1518" s="57"/>
      <c r="CQ1518" s="57"/>
      <c r="CR1518" s="57"/>
      <c r="CS1518" s="57"/>
      <c r="CT1518" s="57"/>
      <c r="CU1518" s="57"/>
      <c r="CV1518" s="57"/>
      <c r="CW1518" s="57"/>
      <c r="CX1518" s="57"/>
      <c r="CY1518" s="57"/>
      <c r="CZ1518" s="57"/>
      <c r="DA1518" s="57"/>
      <c r="DB1518" s="57"/>
      <c r="DC1518" s="57"/>
      <c r="DD1518" s="57"/>
      <c r="DE1518" s="57"/>
      <c r="DF1518" s="57"/>
      <c r="DG1518" s="57"/>
      <c r="DH1518" s="57"/>
      <c r="DI1518" s="57"/>
      <c r="DJ1518" s="57"/>
      <c r="DK1518" s="57"/>
      <c r="DL1518" s="57"/>
      <c r="DM1518" s="57"/>
      <c r="DN1518" s="57"/>
      <c r="DO1518" s="57"/>
      <c r="DP1518" s="57"/>
      <c r="DQ1518" s="57"/>
      <c r="DR1518" s="57"/>
      <c r="DS1518" s="57"/>
      <c r="DT1518" s="57"/>
      <c r="DU1518" s="57"/>
      <c r="DV1518" s="57"/>
      <c r="DW1518" s="57"/>
      <c r="DX1518" s="57"/>
      <c r="DY1518" s="57"/>
      <c r="DZ1518" s="57"/>
      <c r="EA1518" s="57"/>
      <c r="EB1518" s="57"/>
      <c r="EC1518" s="57"/>
      <c r="ED1518" s="57"/>
      <c r="EE1518" s="57"/>
      <c r="EF1518" s="57"/>
      <c r="EG1518" s="57"/>
      <c r="EH1518" s="57"/>
      <c r="EI1518" s="57"/>
      <c r="EJ1518" s="57"/>
      <c r="EK1518" s="57"/>
      <c r="EL1518" s="57"/>
      <c r="EM1518" s="57"/>
      <c r="EN1518" s="57"/>
      <c r="EO1518" s="57"/>
      <c r="EP1518" s="57"/>
      <c r="EQ1518" s="57"/>
      <c r="ER1518" s="57"/>
      <c r="ES1518" s="57"/>
      <c r="ET1518" s="57"/>
      <c r="EU1518" s="57"/>
      <c r="EV1518" s="57"/>
      <c r="EW1518" s="57"/>
      <c r="EX1518" s="57"/>
      <c r="EY1518" s="57"/>
      <c r="EZ1518" s="57"/>
      <c r="FA1518" s="57"/>
      <c r="FB1518" s="57"/>
      <c r="FC1518" s="57"/>
      <c r="FD1518" s="57"/>
      <c r="FE1518" s="57"/>
      <c r="FF1518" s="57"/>
      <c r="FG1518" s="57"/>
      <c r="FH1518" s="57"/>
      <c r="FI1518" s="57"/>
      <c r="FJ1518" s="57"/>
      <c r="FK1518" s="57"/>
      <c r="FL1518" s="57"/>
      <c r="FM1518" s="57"/>
      <c r="FN1518" s="57"/>
      <c r="FO1518" s="57"/>
      <c r="FP1518" s="57"/>
      <c r="FQ1518" s="57"/>
      <c r="FR1518" s="57"/>
      <c r="FS1518" s="57"/>
      <c r="FT1518" s="57"/>
      <c r="FU1518" s="57"/>
      <c r="FV1518" s="57"/>
      <c r="FW1518" s="57"/>
      <c r="FX1518" s="57"/>
      <c r="FY1518" s="57"/>
      <c r="FZ1518" s="57"/>
      <c r="GA1518" s="57"/>
      <c r="GB1518" s="57"/>
      <c r="GC1518" s="57"/>
      <c r="GD1518" s="57"/>
      <c r="GE1518" s="57"/>
      <c r="GF1518" s="57"/>
      <c r="GG1518" s="57"/>
      <c r="GH1518" s="57"/>
      <c r="GI1518" s="57"/>
      <c r="GJ1518" s="57"/>
      <c r="GK1518" s="57"/>
      <c r="GL1518" s="57"/>
      <c r="GM1518" s="57"/>
      <c r="GN1518" s="57"/>
      <c r="GO1518" s="57"/>
      <c r="GP1518" s="57"/>
      <c r="GQ1518" s="57"/>
      <c r="GR1518" s="57"/>
      <c r="GS1518" s="57"/>
      <c r="GT1518" s="57"/>
      <c r="GU1518" s="57"/>
      <c r="GV1518" s="57"/>
      <c r="GW1518" s="57"/>
      <c r="GX1518" s="57"/>
      <c r="GY1518" s="57"/>
      <c r="GZ1518" s="57"/>
      <c r="HA1518" s="57"/>
      <c r="HB1518" s="57"/>
      <c r="HC1518" s="57"/>
      <c r="HD1518" s="57"/>
      <c r="HE1518" s="57"/>
      <c r="HF1518" s="57"/>
      <c r="HG1518" s="57"/>
      <c r="HH1518" s="57"/>
      <c r="HI1518" s="57"/>
      <c r="HJ1518" s="57"/>
      <c r="HK1518" s="57"/>
      <c r="HL1518" s="57"/>
      <c r="HM1518" s="57"/>
      <c r="HN1518" s="57"/>
      <c r="HO1518" s="57"/>
      <c r="HP1518" s="57"/>
      <c r="HQ1518" s="57"/>
      <c r="HR1518" s="57"/>
      <c r="HS1518" s="57"/>
      <c r="HT1518" s="57"/>
      <c r="HU1518" s="57"/>
      <c r="HV1518" s="57"/>
      <c r="HW1518" s="57"/>
      <c r="HX1518" s="57"/>
      <c r="HY1518" s="57"/>
      <c r="HZ1518" s="57"/>
      <c r="IA1518" s="57"/>
      <c r="IB1518" s="57"/>
      <c r="IC1518" s="57"/>
      <c r="ID1518" s="57"/>
      <c r="IE1518" s="57"/>
      <c r="IF1518" s="57"/>
      <c r="IG1518" s="57"/>
      <c r="IH1518" s="57"/>
      <c r="II1518" s="57"/>
      <c r="IJ1518" s="57"/>
      <c r="IK1518" s="57"/>
      <c r="IL1518" s="57"/>
      <c r="IM1518" s="57"/>
      <c r="IN1518" s="57"/>
      <c r="IO1518" s="57"/>
      <c r="IP1518" s="57"/>
      <c r="IQ1518" s="57"/>
      <c r="IR1518" s="57"/>
      <c r="IS1518" s="57"/>
      <c r="IT1518" s="57"/>
      <c r="IU1518" s="57"/>
      <c r="IV1518" s="57"/>
      <c r="IW1518" s="57"/>
      <c r="IX1518" s="57"/>
      <c r="IY1518" s="57"/>
      <c r="IZ1518" s="57"/>
      <c r="JA1518" s="57"/>
      <c r="JB1518" s="57"/>
      <c r="JC1518" s="57"/>
      <c r="JD1518" s="57"/>
      <c r="JE1518" s="57"/>
      <c r="JF1518" s="57"/>
      <c r="JG1518" s="57"/>
      <c r="JH1518" s="57"/>
      <c r="JI1518" s="57"/>
      <c r="JJ1518" s="57"/>
      <c r="JK1518" s="57"/>
      <c r="JL1518" s="57"/>
      <c r="JM1518" s="57"/>
      <c r="JN1518" s="57"/>
      <c r="JO1518" s="57"/>
      <c r="JP1518" s="57"/>
      <c r="JQ1518" s="57"/>
      <c r="JR1518" s="57"/>
      <c r="JS1518" s="57"/>
      <c r="JT1518" s="57"/>
      <c r="JU1518" s="57"/>
      <c r="JV1518" s="57"/>
      <c r="JW1518" s="57"/>
      <c r="JX1518" s="57"/>
      <c r="JY1518" s="57"/>
      <c r="JZ1518" s="57"/>
      <c r="KA1518" s="57"/>
      <c r="KB1518" s="57"/>
      <c r="KC1518" s="57"/>
      <c r="KD1518" s="57"/>
      <c r="KE1518" s="57"/>
      <c r="KF1518" s="57"/>
      <c r="KG1518" s="57"/>
      <c r="KH1518" s="57"/>
      <c r="KI1518" s="57"/>
      <c r="KJ1518" s="57"/>
      <c r="KK1518" s="57"/>
      <c r="KL1518" s="57"/>
      <c r="KM1518" s="57"/>
      <c r="KN1518" s="57"/>
      <c r="KO1518" s="57"/>
      <c r="KP1518" s="57"/>
      <c r="KQ1518" s="57"/>
      <c r="KR1518" s="57"/>
      <c r="KS1518" s="57"/>
      <c r="KT1518" s="57"/>
      <c r="KU1518" s="57"/>
      <c r="KV1518" s="57"/>
      <c r="KW1518" s="57"/>
      <c r="KX1518" s="57"/>
      <c r="KY1518" s="57"/>
      <c r="KZ1518" s="57"/>
      <c r="LA1518" s="57"/>
      <c r="LB1518" s="57"/>
      <c r="LC1518" s="57"/>
      <c r="LD1518" s="57"/>
      <c r="LE1518" s="57"/>
      <c r="LF1518" s="57"/>
      <c r="LG1518" s="57"/>
      <c r="LH1518" s="57"/>
      <c r="LI1518" s="57"/>
      <c r="LJ1518" s="57"/>
      <c r="LK1518" s="57"/>
      <c r="LL1518" s="57"/>
      <c r="LM1518" s="57"/>
      <c r="LN1518" s="57"/>
      <c r="LO1518" s="57"/>
      <c r="LP1518" s="57"/>
      <c r="LQ1518" s="57"/>
      <c r="LR1518" s="57"/>
      <c r="LS1518" s="57"/>
      <c r="LT1518" s="57"/>
      <c r="LU1518" s="57"/>
      <c r="LV1518" s="57"/>
      <c r="LW1518" s="57"/>
      <c r="LX1518" s="57"/>
      <c r="LY1518" s="57"/>
      <c r="LZ1518" s="57"/>
      <c r="MA1518" s="57"/>
      <c r="MB1518" s="57"/>
      <c r="MC1518" s="57"/>
      <c r="MD1518" s="57"/>
      <c r="ME1518" s="57"/>
      <c r="MF1518" s="57"/>
      <c r="MG1518" s="57"/>
      <c r="MH1518" s="57"/>
      <c r="MI1518" s="57"/>
      <c r="MJ1518" s="57"/>
      <c r="MK1518" s="57"/>
      <c r="ML1518" s="57"/>
      <c r="MM1518" s="57"/>
      <c r="MN1518" s="57"/>
      <c r="MO1518" s="57"/>
      <c r="MP1518" s="57"/>
      <c r="MQ1518" s="57"/>
      <c r="MR1518" s="57"/>
      <c r="MS1518" s="57"/>
      <c r="MT1518" s="57"/>
      <c r="MU1518" s="57"/>
      <c r="MV1518" s="57"/>
      <c r="MW1518" s="57"/>
      <c r="MX1518" s="57"/>
      <c r="MY1518" s="57"/>
      <c r="MZ1518" s="57"/>
      <c r="NA1518" s="57"/>
      <c r="NB1518" s="57"/>
      <c r="NC1518" s="57"/>
      <c r="ND1518" s="57"/>
      <c r="NE1518" s="57"/>
      <c r="NF1518" s="57"/>
      <c r="NG1518" s="57"/>
      <c r="NH1518" s="57"/>
      <c r="NI1518" s="57"/>
      <c r="NJ1518" s="57"/>
      <c r="NK1518" s="57"/>
      <c r="NL1518" s="57"/>
      <c r="NM1518" s="57"/>
      <c r="NN1518" s="57"/>
      <c r="NO1518" s="57"/>
      <c r="NP1518" s="57"/>
      <c r="NQ1518" s="57"/>
      <c r="NR1518" s="57"/>
      <c r="NS1518" s="57"/>
      <c r="NT1518" s="57"/>
      <c r="NU1518" s="57"/>
      <c r="NV1518" s="57"/>
      <c r="NW1518" s="57"/>
      <c r="NX1518" s="57"/>
      <c r="NY1518" s="57"/>
      <c r="NZ1518" s="57"/>
      <c r="OA1518" s="57"/>
      <c r="OB1518" s="57"/>
      <c r="OC1518" s="57"/>
      <c r="OD1518" s="57"/>
      <c r="OE1518" s="57"/>
      <c r="OF1518" s="57"/>
      <c r="OG1518" s="57"/>
      <c r="OH1518" s="57"/>
      <c r="OI1518" s="57"/>
      <c r="OJ1518" s="57"/>
      <c r="OK1518" s="57"/>
      <c r="OL1518" s="57"/>
      <c r="OM1518" s="57"/>
      <c r="ON1518" s="57"/>
      <c r="OO1518" s="57"/>
      <c r="OP1518" s="57"/>
      <c r="OQ1518" s="57"/>
      <c r="OR1518" s="57"/>
      <c r="OS1518" s="57"/>
      <c r="OT1518" s="57"/>
      <c r="OU1518" s="57"/>
      <c r="OV1518" s="57"/>
      <c r="OW1518" s="57"/>
      <c r="OX1518" s="57"/>
      <c r="OY1518" s="57"/>
      <c r="OZ1518" s="57"/>
      <c r="PA1518" s="57"/>
      <c r="PB1518" s="57"/>
      <c r="PC1518" s="57"/>
      <c r="PD1518" s="57"/>
      <c r="PE1518" s="57"/>
      <c r="PF1518" s="57"/>
      <c r="PG1518" s="57"/>
      <c r="PH1518" s="57"/>
      <c r="PI1518" s="57"/>
      <c r="PJ1518" s="57"/>
      <c r="PK1518" s="57"/>
      <c r="PL1518" s="57"/>
      <c r="PM1518" s="57"/>
      <c r="PN1518" s="57"/>
      <c r="PO1518" s="57"/>
      <c r="PP1518" s="57"/>
      <c r="PQ1518" s="57"/>
      <c r="PR1518" s="57"/>
      <c r="PS1518" s="57"/>
      <c r="PT1518" s="57"/>
      <c r="PU1518" s="57"/>
      <c r="PV1518" s="57"/>
      <c r="PW1518" s="57"/>
      <c r="PX1518" s="57"/>
      <c r="PY1518" s="57"/>
      <c r="PZ1518" s="57"/>
      <c r="QA1518" s="57"/>
      <c r="QB1518" s="57"/>
      <c r="QC1518" s="57"/>
      <c r="QD1518" s="57"/>
      <c r="QE1518" s="57"/>
      <c r="QF1518" s="57"/>
      <c r="QG1518" s="57"/>
      <c r="QH1518" s="57"/>
      <c r="QI1518" s="57"/>
      <c r="QJ1518" s="57"/>
      <c r="QK1518" s="57"/>
      <c r="QL1518" s="57"/>
      <c r="QM1518" s="57"/>
      <c r="QN1518" s="57"/>
      <c r="QO1518" s="57"/>
      <c r="QP1518" s="57"/>
      <c r="QQ1518" s="57"/>
      <c r="QR1518" s="57"/>
      <c r="QS1518" s="57"/>
      <c r="QT1518" s="57"/>
      <c r="QU1518" s="57"/>
      <c r="QV1518" s="57"/>
      <c r="QW1518" s="57"/>
      <c r="QX1518" s="57"/>
      <c r="QY1518" s="57"/>
      <c r="QZ1518" s="57"/>
      <c r="RA1518" s="57"/>
      <c r="RB1518" s="57"/>
      <c r="RC1518" s="57"/>
      <c r="RD1518" s="57"/>
      <c r="RE1518" s="57"/>
      <c r="RF1518" s="57"/>
    </row>
    <row r="1519" spans="1:474" x14ac:dyDescent="0.25">
      <c r="H1519" s="11"/>
      <c r="AU1519" s="11"/>
      <c r="CH1519" s="11"/>
      <c r="CI1519" s="12" t="s">
        <v>73</v>
      </c>
      <c r="CJ1519" s="12" t="s">
        <v>74</v>
      </c>
      <c r="CK1519" s="12" t="s">
        <v>73</v>
      </c>
      <c r="CL1519" s="12" t="s">
        <v>74</v>
      </c>
      <c r="CM1519" s="12" t="s">
        <v>73</v>
      </c>
      <c r="CN1519" s="12" t="s">
        <v>74</v>
      </c>
      <c r="CO1519" s="12" t="s">
        <v>73</v>
      </c>
      <c r="CP1519" s="12" t="s">
        <v>74</v>
      </c>
      <c r="CQ1519" s="12" t="s">
        <v>73</v>
      </c>
      <c r="CR1519" s="12" t="s">
        <v>74</v>
      </c>
      <c r="CS1519" s="12" t="s">
        <v>73</v>
      </c>
      <c r="CT1519" s="12" t="s">
        <v>74</v>
      </c>
      <c r="CU1519" s="12" t="s">
        <v>73</v>
      </c>
      <c r="CV1519" s="12" t="s">
        <v>74</v>
      </c>
      <c r="CW1519" s="12" t="s">
        <v>73</v>
      </c>
      <c r="CX1519" s="12" t="s">
        <v>74</v>
      </c>
      <c r="CY1519" s="12" t="s">
        <v>73</v>
      </c>
      <c r="CZ1519" s="12" t="s">
        <v>74</v>
      </c>
      <c r="DA1519" s="12" t="s">
        <v>73</v>
      </c>
      <c r="DB1519" s="12" t="s">
        <v>74</v>
      </c>
      <c r="DC1519" s="12" t="s">
        <v>73</v>
      </c>
      <c r="DD1519" s="12" t="s">
        <v>74</v>
      </c>
      <c r="DE1519" s="12" t="s">
        <v>73</v>
      </c>
      <c r="DF1519" s="12" t="s">
        <v>74</v>
      </c>
      <c r="DG1519" s="12" t="s">
        <v>73</v>
      </c>
      <c r="DH1519" s="12" t="s">
        <v>74</v>
      </c>
      <c r="DI1519" s="12" t="s">
        <v>73</v>
      </c>
      <c r="DJ1519" s="12" t="s">
        <v>74</v>
      </c>
      <c r="DK1519" s="12" t="s">
        <v>73</v>
      </c>
      <c r="DL1519" s="12" t="s">
        <v>74</v>
      </c>
      <c r="DM1519" s="12" t="s">
        <v>73</v>
      </c>
      <c r="DN1519" s="12" t="s">
        <v>74</v>
      </c>
      <c r="DO1519" s="12" t="s">
        <v>73</v>
      </c>
      <c r="DP1519" s="12" t="s">
        <v>74</v>
      </c>
      <c r="DQ1519" s="12" t="s">
        <v>73</v>
      </c>
      <c r="DR1519" s="12" t="s">
        <v>74</v>
      </c>
      <c r="DS1519" s="12" t="s">
        <v>73</v>
      </c>
      <c r="DT1519" s="12" t="s">
        <v>74</v>
      </c>
      <c r="DU1519" s="12" t="s">
        <v>73</v>
      </c>
      <c r="DV1519" s="12" t="s">
        <v>74</v>
      </c>
      <c r="DW1519" s="12" t="s">
        <v>73</v>
      </c>
      <c r="DX1519" s="12" t="s">
        <v>74</v>
      </c>
      <c r="DY1519" s="12" t="s">
        <v>73</v>
      </c>
      <c r="DZ1519" s="12" t="s">
        <v>74</v>
      </c>
      <c r="EA1519" s="12" t="s">
        <v>73</v>
      </c>
      <c r="EB1519" s="12" t="s">
        <v>74</v>
      </c>
      <c r="EC1519" s="12" t="s">
        <v>73</v>
      </c>
      <c r="ED1519" s="12" t="s">
        <v>74</v>
      </c>
      <c r="EE1519" s="12" t="s">
        <v>73</v>
      </c>
      <c r="EF1519" s="12" t="s">
        <v>74</v>
      </c>
      <c r="EG1519" s="12" t="s">
        <v>73</v>
      </c>
      <c r="EH1519" s="12" t="s">
        <v>74</v>
      </c>
      <c r="EI1519" s="12" t="s">
        <v>73</v>
      </c>
      <c r="EJ1519" s="12" t="s">
        <v>74</v>
      </c>
      <c r="EK1519" s="12" t="s">
        <v>73</v>
      </c>
      <c r="EL1519" s="12" t="s">
        <v>74</v>
      </c>
      <c r="EM1519" s="12" t="s">
        <v>73</v>
      </c>
      <c r="EN1519" s="12" t="s">
        <v>74</v>
      </c>
      <c r="EO1519" s="12" t="s">
        <v>73</v>
      </c>
      <c r="EP1519" s="12" t="s">
        <v>74</v>
      </c>
      <c r="EQ1519" s="12" t="s">
        <v>73</v>
      </c>
      <c r="ER1519" s="12" t="s">
        <v>74</v>
      </c>
      <c r="ES1519" s="12" t="s">
        <v>73</v>
      </c>
      <c r="ET1519" s="12" t="s">
        <v>74</v>
      </c>
      <c r="EU1519" s="12" t="s">
        <v>73</v>
      </c>
      <c r="EV1519" s="12" t="s">
        <v>74</v>
      </c>
      <c r="EW1519" s="12" t="s">
        <v>73</v>
      </c>
      <c r="EX1519" s="12" t="s">
        <v>74</v>
      </c>
      <c r="EY1519" s="12" t="s">
        <v>73</v>
      </c>
      <c r="EZ1519" s="12" t="s">
        <v>74</v>
      </c>
      <c r="FA1519" s="12" t="s">
        <v>73</v>
      </c>
      <c r="FB1519" s="12" t="s">
        <v>74</v>
      </c>
      <c r="FC1519" s="12" t="s">
        <v>73</v>
      </c>
      <c r="FD1519" s="12" t="s">
        <v>74</v>
      </c>
      <c r="FE1519" s="12" t="s">
        <v>73</v>
      </c>
      <c r="FF1519" s="12" t="s">
        <v>74</v>
      </c>
      <c r="FG1519" s="11"/>
      <c r="GT1519" s="11"/>
      <c r="IG1519" s="11"/>
      <c r="JT1519" s="11"/>
      <c r="LG1519" s="11"/>
      <c r="MT1519" s="11"/>
      <c r="OG1519" s="11"/>
      <c r="PT1519" s="11"/>
    </row>
    <row r="1520" spans="1:474" ht="15.75" x14ac:dyDescent="0.25">
      <c r="A1520" s="13"/>
      <c r="B1520" s="14" t="s">
        <v>1110</v>
      </c>
      <c r="C1520" s="13"/>
      <c r="D1520" s="13"/>
      <c r="E1520" s="15" t="s">
        <v>127</v>
      </c>
      <c r="F1520" s="15" t="s">
        <v>132</v>
      </c>
      <c r="G1520" s="13"/>
      <c r="H1520" s="11"/>
      <c r="AU1520" s="11"/>
      <c r="CH1520" s="11"/>
      <c r="CI1520" s="16"/>
      <c r="CJ1520" s="16"/>
      <c r="CK1520" s="16"/>
      <c r="CL1520" s="16"/>
      <c r="CM1520" s="16"/>
      <c r="CN1520" s="16"/>
      <c r="CO1520" s="16"/>
      <c r="CP1520" s="16"/>
      <c r="CQ1520" s="16"/>
      <c r="CR1520" s="16"/>
      <c r="CS1520" s="16"/>
      <c r="CT1520" s="16"/>
      <c r="CU1520" s="16"/>
      <c r="CV1520" s="16"/>
      <c r="CW1520" s="16"/>
      <c r="CX1520" s="16"/>
      <c r="CY1520" s="16"/>
      <c r="CZ1520" s="16"/>
      <c r="DA1520" s="16"/>
      <c r="DB1520" s="16"/>
      <c r="DC1520" s="16"/>
      <c r="DD1520" s="16"/>
      <c r="DE1520" s="17"/>
      <c r="DF1520" s="17"/>
      <c r="DG1520" s="16"/>
      <c r="DH1520" s="16"/>
      <c r="DI1520" s="17"/>
      <c r="DJ1520" s="17"/>
      <c r="DK1520" s="16"/>
      <c r="DL1520" s="16"/>
      <c r="DM1520" s="17"/>
      <c r="DN1520" s="17"/>
      <c r="DO1520" s="16"/>
      <c r="DP1520" s="16"/>
      <c r="DQ1520" s="17"/>
      <c r="DR1520" s="17"/>
      <c r="DS1520" s="16"/>
      <c r="DT1520" s="16"/>
      <c r="DU1520" s="17"/>
      <c r="DV1520" s="17"/>
      <c r="DW1520" s="16"/>
      <c r="DX1520" s="16"/>
      <c r="DY1520" s="17"/>
      <c r="DZ1520" s="17"/>
      <c r="EA1520" s="16"/>
      <c r="EB1520" s="16"/>
      <c r="EC1520" s="17"/>
      <c r="ED1520" s="17"/>
      <c r="EE1520" s="16"/>
      <c r="EF1520" s="16"/>
      <c r="EG1520" s="17"/>
      <c r="EH1520" s="17"/>
      <c r="EI1520" s="16"/>
      <c r="EJ1520" s="16"/>
      <c r="EK1520" s="17"/>
      <c r="EL1520" s="17"/>
      <c r="EM1520" s="16"/>
      <c r="EN1520" s="16"/>
      <c r="EO1520" s="17"/>
      <c r="EP1520" s="17"/>
      <c r="EQ1520" s="16"/>
      <c r="ER1520" s="16"/>
      <c r="ES1520" s="17"/>
      <c r="ET1520" s="18">
        <v>10</v>
      </c>
      <c r="EU1520" s="16"/>
      <c r="EV1520" s="16"/>
      <c r="EW1520" s="17"/>
      <c r="EX1520" s="17"/>
      <c r="EY1520" s="16"/>
      <c r="EZ1520" s="16"/>
      <c r="FA1520" s="17"/>
      <c r="FB1520" s="17"/>
      <c r="FC1520" s="16"/>
      <c r="FD1520" s="16"/>
      <c r="FE1520" s="17"/>
      <c r="FF1520" s="17"/>
      <c r="FG1520" s="11"/>
      <c r="GT1520" s="11"/>
      <c r="IG1520" s="11"/>
      <c r="JT1520" s="11"/>
      <c r="LG1520" s="11"/>
      <c r="MT1520" s="11"/>
      <c r="OG1520" s="11"/>
      <c r="PT1520" s="11"/>
    </row>
    <row r="1521" spans="1:436" ht="15.75" x14ac:dyDescent="0.25">
      <c r="A1521" s="13"/>
      <c r="B1521" s="14" t="s">
        <v>1111</v>
      </c>
      <c r="C1521" s="13"/>
      <c r="D1521" s="13"/>
      <c r="E1521" s="15" t="s">
        <v>127</v>
      </c>
      <c r="F1521" s="15" t="s">
        <v>132</v>
      </c>
      <c r="G1521" s="13"/>
      <c r="H1521" s="11"/>
      <c r="AU1521" s="11"/>
      <c r="CH1521" s="11"/>
      <c r="CI1521" s="16"/>
      <c r="CJ1521" s="16"/>
      <c r="CK1521" s="16"/>
      <c r="CL1521" s="16"/>
      <c r="CM1521" s="16"/>
      <c r="CN1521" s="16"/>
      <c r="CO1521" s="16"/>
      <c r="CP1521" s="16"/>
      <c r="CQ1521" s="16"/>
      <c r="CR1521" s="16"/>
      <c r="CS1521" s="16"/>
      <c r="CT1521" s="16"/>
      <c r="CU1521" s="16"/>
      <c r="CV1521" s="16"/>
      <c r="CW1521" s="16"/>
      <c r="CX1521" s="16"/>
      <c r="CY1521" s="16"/>
      <c r="CZ1521" s="16"/>
      <c r="DA1521" s="16"/>
      <c r="DB1521" s="16"/>
      <c r="DC1521" s="16"/>
      <c r="DD1521" s="16"/>
      <c r="DE1521" s="17"/>
      <c r="DF1521" s="17"/>
      <c r="DG1521" s="16"/>
      <c r="DH1521" s="16"/>
      <c r="DI1521" s="17"/>
      <c r="DJ1521" s="17"/>
      <c r="DK1521" s="16"/>
      <c r="DL1521" s="16"/>
      <c r="DM1521" s="17"/>
      <c r="DN1521" s="17"/>
      <c r="DO1521" s="16"/>
      <c r="DP1521" s="16"/>
      <c r="DQ1521" s="17"/>
      <c r="DR1521" s="17"/>
      <c r="DS1521" s="16"/>
      <c r="DT1521" s="16"/>
      <c r="DU1521" s="17"/>
      <c r="DV1521" s="17"/>
      <c r="DW1521" s="16"/>
      <c r="DX1521" s="16"/>
      <c r="DY1521" s="17"/>
      <c r="DZ1521" s="17"/>
      <c r="EA1521" s="16"/>
      <c r="EB1521" s="16"/>
      <c r="EC1521" s="17"/>
      <c r="ED1521" s="17"/>
      <c r="EE1521" s="16"/>
      <c r="EF1521" s="16"/>
      <c r="EG1521" s="17"/>
      <c r="EH1521" s="17"/>
      <c r="EI1521" s="16"/>
      <c r="EJ1521" s="16"/>
      <c r="EK1521" s="17"/>
      <c r="EL1521" s="17"/>
      <c r="EM1521" s="16"/>
      <c r="EN1521" s="16"/>
      <c r="EO1521" s="17"/>
      <c r="EP1521" s="17"/>
      <c r="EQ1521" s="16"/>
      <c r="ER1521" s="16"/>
      <c r="ES1521" s="17"/>
      <c r="ET1521" s="18">
        <v>15</v>
      </c>
      <c r="EU1521" s="16"/>
      <c r="EV1521" s="16"/>
      <c r="EW1521" s="17"/>
      <c r="EX1521" s="17"/>
      <c r="EY1521" s="16"/>
      <c r="EZ1521" s="16"/>
      <c r="FA1521" s="17"/>
      <c r="FB1521" s="17"/>
      <c r="FC1521" s="16"/>
      <c r="FD1521" s="16"/>
      <c r="FE1521" s="17"/>
      <c r="FF1521" s="17"/>
      <c r="FG1521" s="11"/>
      <c r="GT1521" s="11"/>
      <c r="IG1521" s="11"/>
      <c r="JT1521" s="11"/>
      <c r="LG1521" s="11"/>
      <c r="MT1521" s="11"/>
      <c r="OG1521" s="11"/>
      <c r="PT1521" s="11"/>
    </row>
    <row r="1522" spans="1:436" ht="15.75" x14ac:dyDescent="0.25">
      <c r="A1522" s="13"/>
      <c r="B1522" s="14" t="s">
        <v>1112</v>
      </c>
      <c r="C1522" s="13"/>
      <c r="D1522" s="13"/>
      <c r="E1522" s="15" t="s">
        <v>127</v>
      </c>
      <c r="F1522" s="15" t="s">
        <v>77</v>
      </c>
      <c r="G1522" s="13"/>
      <c r="H1522" s="11"/>
      <c r="AU1522" s="11"/>
      <c r="CH1522" s="11"/>
      <c r="CI1522" s="16"/>
      <c r="CJ1522" s="16"/>
      <c r="CK1522" s="16"/>
      <c r="CL1522" s="16"/>
      <c r="CM1522" s="16"/>
      <c r="CN1522" s="16"/>
      <c r="CO1522" s="16"/>
      <c r="CP1522" s="16"/>
      <c r="CQ1522" s="16"/>
      <c r="CR1522" s="16"/>
      <c r="CS1522" s="16"/>
      <c r="CT1522" s="16"/>
      <c r="CU1522" s="16"/>
      <c r="CV1522" s="16"/>
      <c r="CW1522" s="16"/>
      <c r="CX1522" s="16"/>
      <c r="CY1522" s="16"/>
      <c r="CZ1522" s="16"/>
      <c r="DA1522" s="16"/>
      <c r="DB1522" s="16"/>
      <c r="DC1522" s="16"/>
      <c r="DD1522" s="16"/>
      <c r="DE1522" s="17"/>
      <c r="DF1522" s="17"/>
      <c r="DG1522" s="16"/>
      <c r="DH1522" s="16"/>
      <c r="DI1522" s="17"/>
      <c r="DJ1522" s="17"/>
      <c r="DK1522" s="16"/>
      <c r="DL1522" s="16"/>
      <c r="DM1522" s="17"/>
      <c r="DN1522" s="17"/>
      <c r="DO1522" s="16"/>
      <c r="DP1522" s="16"/>
      <c r="DQ1522" s="17"/>
      <c r="DR1522" s="17"/>
      <c r="DS1522" s="16"/>
      <c r="DT1522" s="16"/>
      <c r="DU1522" s="17"/>
      <c r="DV1522" s="17"/>
      <c r="DW1522" s="16"/>
      <c r="DX1522" s="16"/>
      <c r="DY1522" s="17"/>
      <c r="DZ1522" s="17"/>
      <c r="EA1522" s="16"/>
      <c r="EB1522" s="16"/>
      <c r="EC1522" s="17"/>
      <c r="ED1522" s="17"/>
      <c r="EE1522" s="16"/>
      <c r="EF1522" s="16"/>
      <c r="EG1522" s="17"/>
      <c r="EH1522" s="17"/>
      <c r="EI1522" s="16"/>
      <c r="EJ1522" s="16"/>
      <c r="EK1522" s="17"/>
      <c r="EL1522" s="17"/>
      <c r="EM1522" s="16"/>
      <c r="EN1522" s="16"/>
      <c r="EO1522" s="17"/>
      <c r="EP1522" s="17"/>
      <c r="EQ1522" s="16"/>
      <c r="ER1522" s="16"/>
      <c r="ES1522" s="17"/>
      <c r="ET1522" s="18">
        <v>10</v>
      </c>
      <c r="EU1522" s="16"/>
      <c r="EV1522" s="16"/>
      <c r="EW1522" s="17"/>
      <c r="EX1522" s="17"/>
      <c r="EY1522" s="16"/>
      <c r="EZ1522" s="16"/>
      <c r="FA1522" s="17"/>
      <c r="FB1522" s="17"/>
      <c r="FC1522" s="16"/>
      <c r="FD1522" s="16"/>
      <c r="FE1522" s="17"/>
      <c r="FF1522" s="17"/>
      <c r="FG1522" s="11"/>
      <c r="GT1522" s="11"/>
      <c r="IG1522" s="11"/>
      <c r="JT1522" s="11"/>
      <c r="LG1522" s="11"/>
      <c r="MT1522" s="11"/>
      <c r="OG1522" s="11"/>
      <c r="PT1522" s="11"/>
    </row>
    <row r="1523" spans="1:436" ht="15.75" x14ac:dyDescent="0.25">
      <c r="A1523" s="13"/>
      <c r="B1523" s="14" t="s">
        <v>1113</v>
      </c>
      <c r="C1523" s="13"/>
      <c r="D1523" s="13"/>
      <c r="E1523" s="15" t="s">
        <v>127</v>
      </c>
      <c r="F1523" s="15" t="s">
        <v>77</v>
      </c>
      <c r="G1523" s="13"/>
      <c r="H1523" s="11"/>
      <c r="AU1523" s="11"/>
      <c r="CH1523" s="11"/>
      <c r="CI1523" s="16"/>
      <c r="CJ1523" s="16"/>
      <c r="CK1523" s="16"/>
      <c r="CL1523" s="16"/>
      <c r="CM1523" s="16"/>
      <c r="CN1523" s="16"/>
      <c r="CO1523" s="16"/>
      <c r="CP1523" s="16"/>
      <c r="CQ1523" s="16"/>
      <c r="CR1523" s="16"/>
      <c r="CS1523" s="16"/>
      <c r="CT1523" s="16"/>
      <c r="CU1523" s="16"/>
      <c r="CV1523" s="16"/>
      <c r="CW1523" s="16"/>
      <c r="CX1523" s="16"/>
      <c r="CY1523" s="16"/>
      <c r="CZ1523" s="16"/>
      <c r="DA1523" s="16"/>
      <c r="DB1523" s="16"/>
      <c r="DC1523" s="16"/>
      <c r="DD1523" s="16"/>
      <c r="DE1523" s="17"/>
      <c r="DF1523" s="17"/>
      <c r="DG1523" s="16"/>
      <c r="DH1523" s="16"/>
      <c r="DI1523" s="17"/>
      <c r="DJ1523" s="17"/>
      <c r="DK1523" s="16"/>
      <c r="DL1523" s="16"/>
      <c r="DM1523" s="17"/>
      <c r="DN1523" s="17"/>
      <c r="DO1523" s="16"/>
      <c r="DP1523" s="16"/>
      <c r="DQ1523" s="17"/>
      <c r="DR1523" s="17"/>
      <c r="DS1523" s="16"/>
      <c r="DT1523" s="16"/>
      <c r="DU1523" s="17"/>
      <c r="DV1523" s="17"/>
      <c r="DW1523" s="16"/>
      <c r="DX1523" s="16"/>
      <c r="DY1523" s="17"/>
      <c r="DZ1523" s="17"/>
      <c r="EA1523" s="16"/>
      <c r="EB1523" s="16"/>
      <c r="EC1523" s="17"/>
      <c r="ED1523" s="17"/>
      <c r="EE1523" s="16"/>
      <c r="EF1523" s="16"/>
      <c r="EG1523" s="17"/>
      <c r="EH1523" s="17"/>
      <c r="EI1523" s="16"/>
      <c r="EJ1523" s="16"/>
      <c r="EK1523" s="17"/>
      <c r="EL1523" s="17"/>
      <c r="EM1523" s="16"/>
      <c r="EN1523" s="16"/>
      <c r="EO1523" s="17"/>
      <c r="EP1523" s="17"/>
      <c r="EQ1523" s="16"/>
      <c r="ER1523" s="16"/>
      <c r="ES1523" s="17"/>
      <c r="ET1523" s="18">
        <v>30</v>
      </c>
      <c r="EU1523" s="16"/>
      <c r="EV1523" s="16"/>
      <c r="EW1523" s="17"/>
      <c r="EX1523" s="17"/>
      <c r="EY1523" s="16"/>
      <c r="EZ1523" s="16"/>
      <c r="FA1523" s="17"/>
      <c r="FB1523" s="17"/>
      <c r="FC1523" s="16"/>
      <c r="FD1523" s="16"/>
      <c r="FE1523" s="17"/>
      <c r="FF1523" s="17"/>
      <c r="FG1523" s="11"/>
      <c r="GT1523" s="11"/>
      <c r="IG1523" s="11"/>
      <c r="JT1523" s="11"/>
      <c r="LG1523" s="11"/>
      <c r="MT1523" s="11"/>
      <c r="OG1523" s="11"/>
      <c r="PT1523" s="11"/>
    </row>
    <row r="1524" spans="1:436" ht="15.75" x14ac:dyDescent="0.25">
      <c r="A1524" s="13"/>
      <c r="B1524" s="14" t="s">
        <v>1114</v>
      </c>
      <c r="C1524" s="13"/>
      <c r="D1524" s="13"/>
      <c r="E1524" s="15" t="s">
        <v>127</v>
      </c>
      <c r="F1524" s="15" t="s">
        <v>77</v>
      </c>
      <c r="G1524" s="13"/>
      <c r="H1524" s="11"/>
      <c r="AU1524" s="11"/>
      <c r="CH1524" s="11"/>
      <c r="CI1524" s="16"/>
      <c r="CJ1524" s="16"/>
      <c r="CK1524" s="16"/>
      <c r="CL1524" s="16"/>
      <c r="CM1524" s="16"/>
      <c r="CN1524" s="16"/>
      <c r="CO1524" s="16"/>
      <c r="CP1524" s="16"/>
      <c r="CQ1524" s="16"/>
      <c r="CR1524" s="16"/>
      <c r="CS1524" s="16"/>
      <c r="CT1524" s="16"/>
      <c r="CU1524" s="16"/>
      <c r="CV1524" s="16"/>
      <c r="CW1524" s="16"/>
      <c r="CX1524" s="16"/>
      <c r="CY1524" s="16"/>
      <c r="CZ1524" s="16"/>
      <c r="DA1524" s="16"/>
      <c r="DB1524" s="16"/>
      <c r="DC1524" s="16"/>
      <c r="DD1524" s="16"/>
      <c r="DE1524" s="17"/>
      <c r="DF1524" s="17"/>
      <c r="DG1524" s="16"/>
      <c r="DH1524" s="16"/>
      <c r="DI1524" s="17"/>
      <c r="DJ1524" s="17"/>
      <c r="DK1524" s="16"/>
      <c r="DL1524" s="16"/>
      <c r="DM1524" s="17"/>
      <c r="DN1524" s="17"/>
      <c r="DO1524" s="16"/>
      <c r="DP1524" s="16"/>
      <c r="DQ1524" s="17"/>
      <c r="DR1524" s="17"/>
      <c r="DS1524" s="16"/>
      <c r="DT1524" s="16"/>
      <c r="DU1524" s="17"/>
      <c r="DV1524" s="17"/>
      <c r="DW1524" s="16"/>
      <c r="DX1524" s="16"/>
      <c r="DY1524" s="17"/>
      <c r="DZ1524" s="17"/>
      <c r="EA1524" s="16"/>
      <c r="EB1524" s="16"/>
      <c r="EC1524" s="17"/>
      <c r="ED1524" s="17"/>
      <c r="EE1524" s="16"/>
      <c r="EF1524" s="16"/>
      <c r="EG1524" s="17"/>
      <c r="EH1524" s="17"/>
      <c r="EI1524" s="16"/>
      <c r="EJ1524" s="16"/>
      <c r="EK1524" s="17"/>
      <c r="EL1524" s="17"/>
      <c r="EM1524" s="16"/>
      <c r="EN1524" s="16"/>
      <c r="EO1524" s="17"/>
      <c r="EP1524" s="17"/>
      <c r="EQ1524" s="16"/>
      <c r="ER1524" s="16"/>
      <c r="ES1524" s="17"/>
      <c r="ET1524" s="18">
        <v>30</v>
      </c>
      <c r="EU1524" s="16"/>
      <c r="EV1524" s="16"/>
      <c r="EW1524" s="17"/>
      <c r="EX1524" s="17"/>
      <c r="EY1524" s="16"/>
      <c r="EZ1524" s="16"/>
      <c r="FA1524" s="17"/>
      <c r="FB1524" s="17"/>
      <c r="FC1524" s="16"/>
      <c r="FD1524" s="16"/>
      <c r="FE1524" s="17"/>
      <c r="FF1524" s="17"/>
      <c r="FG1524" s="11"/>
      <c r="GT1524" s="11"/>
      <c r="IG1524" s="11"/>
      <c r="JT1524" s="11"/>
      <c r="LG1524" s="11"/>
      <c r="MT1524" s="11"/>
      <c r="OG1524" s="11"/>
      <c r="PT1524" s="11"/>
    </row>
    <row r="1525" spans="1:436" ht="15.75" x14ac:dyDescent="0.25">
      <c r="A1525" s="13"/>
      <c r="B1525" s="14" t="s">
        <v>1115</v>
      </c>
      <c r="C1525" s="13"/>
      <c r="D1525" s="13"/>
      <c r="E1525" s="15" t="s">
        <v>127</v>
      </c>
      <c r="F1525" s="15" t="s">
        <v>77</v>
      </c>
      <c r="G1525" s="13"/>
      <c r="H1525" s="11"/>
      <c r="AU1525" s="11"/>
      <c r="CH1525" s="11"/>
      <c r="CI1525" s="16"/>
      <c r="CJ1525" s="16"/>
      <c r="CK1525" s="16"/>
      <c r="CL1525" s="16"/>
      <c r="CM1525" s="16"/>
      <c r="CN1525" s="16"/>
      <c r="CO1525" s="16"/>
      <c r="CP1525" s="16"/>
      <c r="CQ1525" s="16"/>
      <c r="CR1525" s="16"/>
      <c r="CS1525" s="16"/>
      <c r="CT1525" s="16"/>
      <c r="CU1525" s="16"/>
      <c r="CV1525" s="16"/>
      <c r="CW1525" s="16"/>
      <c r="CX1525" s="16"/>
      <c r="CY1525" s="16"/>
      <c r="CZ1525" s="16"/>
      <c r="DA1525" s="16"/>
      <c r="DB1525" s="16"/>
      <c r="DC1525" s="16"/>
      <c r="DD1525" s="16"/>
      <c r="DE1525" s="17"/>
      <c r="DF1525" s="17"/>
      <c r="DG1525" s="16"/>
      <c r="DH1525" s="16"/>
      <c r="DI1525" s="17"/>
      <c r="DJ1525" s="17"/>
      <c r="DK1525" s="16"/>
      <c r="DL1525" s="16"/>
      <c r="DM1525" s="17"/>
      <c r="DN1525" s="17"/>
      <c r="DO1525" s="16"/>
      <c r="DP1525" s="16"/>
      <c r="DQ1525" s="17"/>
      <c r="DR1525" s="17"/>
      <c r="DS1525" s="16"/>
      <c r="DT1525" s="16"/>
      <c r="DU1525" s="17"/>
      <c r="DV1525" s="17"/>
      <c r="DW1525" s="16"/>
      <c r="DX1525" s="16"/>
      <c r="DY1525" s="17"/>
      <c r="DZ1525" s="17"/>
      <c r="EA1525" s="16"/>
      <c r="EB1525" s="16"/>
      <c r="EC1525" s="17"/>
      <c r="ED1525" s="17"/>
      <c r="EE1525" s="16"/>
      <c r="EF1525" s="16"/>
      <c r="EG1525" s="17"/>
      <c r="EH1525" s="17"/>
      <c r="EI1525" s="16"/>
      <c r="EJ1525" s="16"/>
      <c r="EK1525" s="17"/>
      <c r="EL1525" s="17"/>
      <c r="EM1525" s="16"/>
      <c r="EN1525" s="16"/>
      <c r="EO1525" s="17"/>
      <c r="EP1525" s="17"/>
      <c r="EQ1525" s="16"/>
      <c r="ER1525" s="16"/>
      <c r="ES1525" s="17"/>
      <c r="ET1525" s="18">
        <v>30</v>
      </c>
      <c r="EU1525" s="16"/>
      <c r="EV1525" s="16"/>
      <c r="EW1525" s="17"/>
      <c r="EX1525" s="17"/>
      <c r="EY1525" s="16"/>
      <c r="EZ1525" s="16"/>
      <c r="FA1525" s="17"/>
      <c r="FB1525" s="17"/>
      <c r="FC1525" s="16"/>
      <c r="FD1525" s="16"/>
      <c r="FE1525" s="17"/>
      <c r="FF1525" s="17"/>
      <c r="FG1525" s="11"/>
      <c r="GT1525" s="11"/>
      <c r="IG1525" s="11"/>
      <c r="JT1525" s="11"/>
      <c r="LG1525" s="11"/>
      <c r="MT1525" s="11"/>
      <c r="OG1525" s="11"/>
      <c r="PT1525" s="11"/>
    </row>
    <row r="1526" spans="1:436" ht="15.75" x14ac:dyDescent="0.25">
      <c r="A1526" s="13"/>
      <c r="B1526" s="14" t="s">
        <v>1116</v>
      </c>
      <c r="C1526" s="13"/>
      <c r="D1526" s="13"/>
      <c r="E1526" s="15" t="s">
        <v>127</v>
      </c>
      <c r="F1526" s="15" t="s">
        <v>77</v>
      </c>
      <c r="G1526" s="13"/>
      <c r="H1526" s="11"/>
      <c r="AU1526" s="11"/>
      <c r="CH1526" s="11"/>
      <c r="CI1526" s="16"/>
      <c r="CJ1526" s="16"/>
      <c r="CK1526" s="16"/>
      <c r="CL1526" s="16"/>
      <c r="CM1526" s="16"/>
      <c r="CN1526" s="16"/>
      <c r="CO1526" s="16"/>
      <c r="CP1526" s="16"/>
      <c r="CQ1526" s="16"/>
      <c r="CR1526" s="16"/>
      <c r="CS1526" s="16"/>
      <c r="CT1526" s="16"/>
      <c r="CU1526" s="16"/>
      <c r="CV1526" s="16"/>
      <c r="CW1526" s="16"/>
      <c r="CX1526" s="16"/>
      <c r="CY1526" s="16"/>
      <c r="CZ1526" s="16"/>
      <c r="DA1526" s="16"/>
      <c r="DB1526" s="16"/>
      <c r="DC1526" s="16"/>
      <c r="DD1526" s="16"/>
      <c r="DE1526" s="17"/>
      <c r="DF1526" s="17"/>
      <c r="DG1526" s="16"/>
      <c r="DH1526" s="16"/>
      <c r="DI1526" s="17"/>
      <c r="DJ1526" s="17"/>
      <c r="DK1526" s="16"/>
      <c r="DL1526" s="16"/>
      <c r="DM1526" s="17"/>
      <c r="DN1526" s="17"/>
      <c r="DO1526" s="16"/>
      <c r="DP1526" s="16"/>
      <c r="DQ1526" s="17"/>
      <c r="DR1526" s="17"/>
      <c r="DS1526" s="16"/>
      <c r="DT1526" s="16"/>
      <c r="DU1526" s="17"/>
      <c r="DV1526" s="17"/>
      <c r="DW1526" s="16"/>
      <c r="DX1526" s="16"/>
      <c r="DY1526" s="17"/>
      <c r="DZ1526" s="17"/>
      <c r="EA1526" s="16"/>
      <c r="EB1526" s="16"/>
      <c r="EC1526" s="17"/>
      <c r="ED1526" s="17"/>
      <c r="EE1526" s="16"/>
      <c r="EF1526" s="16"/>
      <c r="EG1526" s="17"/>
      <c r="EH1526" s="17"/>
      <c r="EI1526" s="16"/>
      <c r="EJ1526" s="16"/>
      <c r="EK1526" s="17"/>
      <c r="EL1526" s="17"/>
      <c r="EM1526" s="16"/>
      <c r="EN1526" s="16"/>
      <c r="EO1526" s="17"/>
      <c r="EP1526" s="17"/>
      <c r="EQ1526" s="16"/>
      <c r="ER1526" s="16"/>
      <c r="ES1526" s="17"/>
      <c r="ET1526" s="18">
        <v>30</v>
      </c>
      <c r="EU1526" s="16"/>
      <c r="EV1526" s="16"/>
      <c r="EW1526" s="17"/>
      <c r="EX1526" s="17"/>
      <c r="EY1526" s="16"/>
      <c r="EZ1526" s="16"/>
      <c r="FA1526" s="17"/>
      <c r="FB1526" s="17"/>
      <c r="FC1526" s="16"/>
      <c r="FD1526" s="16"/>
      <c r="FE1526" s="17"/>
      <c r="FF1526" s="17"/>
      <c r="FG1526" s="11"/>
      <c r="GT1526" s="11"/>
      <c r="IG1526" s="11"/>
      <c r="JT1526" s="11"/>
      <c r="LG1526" s="11"/>
      <c r="MT1526" s="11"/>
      <c r="OG1526" s="11"/>
      <c r="PT1526" s="11"/>
    </row>
    <row r="1527" spans="1:436" ht="15.75" x14ac:dyDescent="0.25">
      <c r="A1527" s="13"/>
      <c r="B1527" s="14" t="s">
        <v>1117</v>
      </c>
      <c r="C1527" s="13"/>
      <c r="D1527" s="13"/>
      <c r="E1527" s="15" t="s">
        <v>76</v>
      </c>
      <c r="F1527" s="15" t="s">
        <v>77</v>
      </c>
      <c r="G1527" s="13"/>
      <c r="H1527" s="11"/>
      <c r="AU1527" s="11"/>
      <c r="CH1527" s="11"/>
      <c r="CI1527" s="16"/>
      <c r="CJ1527" s="16"/>
      <c r="CK1527" s="16"/>
      <c r="CL1527" s="16"/>
      <c r="CM1527" s="16"/>
      <c r="CN1527" s="16"/>
      <c r="CO1527" s="16"/>
      <c r="CP1527" s="16"/>
      <c r="CQ1527" s="16"/>
      <c r="CR1527" s="16"/>
      <c r="CS1527" s="16"/>
      <c r="CT1527" s="16"/>
      <c r="CU1527" s="16"/>
      <c r="CV1527" s="16"/>
      <c r="CW1527" s="16"/>
      <c r="CX1527" s="16"/>
      <c r="CY1527" s="16"/>
      <c r="CZ1527" s="16"/>
      <c r="DA1527" s="16"/>
      <c r="DB1527" s="16"/>
      <c r="DC1527" s="16"/>
      <c r="DD1527" s="16"/>
      <c r="DE1527" s="17"/>
      <c r="DF1527" s="17"/>
      <c r="DG1527" s="16"/>
      <c r="DH1527" s="16"/>
      <c r="DI1527" s="17"/>
      <c r="DJ1527" s="17"/>
      <c r="DK1527" s="16"/>
      <c r="DL1527" s="16"/>
      <c r="DM1527" s="17"/>
      <c r="DN1527" s="17"/>
      <c r="DO1527" s="16"/>
      <c r="DP1527" s="16"/>
      <c r="DQ1527" s="17"/>
      <c r="DR1527" s="17"/>
      <c r="DS1527" s="16"/>
      <c r="DT1527" s="16"/>
      <c r="DU1527" s="17"/>
      <c r="DV1527" s="17"/>
      <c r="DW1527" s="16"/>
      <c r="DX1527" s="16"/>
      <c r="DY1527" s="17"/>
      <c r="DZ1527" s="17"/>
      <c r="EA1527" s="16"/>
      <c r="EB1527" s="16"/>
      <c r="EC1527" s="17"/>
      <c r="ED1527" s="17"/>
      <c r="EE1527" s="16"/>
      <c r="EF1527" s="16"/>
      <c r="EG1527" s="17"/>
      <c r="EH1527" s="17"/>
      <c r="EI1527" s="16"/>
      <c r="EJ1527" s="16"/>
      <c r="EK1527" s="17"/>
      <c r="EL1527" s="17"/>
      <c r="EM1527" s="16"/>
      <c r="EN1527" s="16"/>
      <c r="EO1527" s="17"/>
      <c r="EP1527" s="17"/>
      <c r="EQ1527" s="16"/>
      <c r="ER1527" s="16"/>
      <c r="ES1527" s="17"/>
      <c r="ET1527" s="18">
        <v>30</v>
      </c>
      <c r="EU1527" s="16"/>
      <c r="EV1527" s="16"/>
      <c r="EW1527" s="17"/>
      <c r="EX1527" s="17"/>
      <c r="EY1527" s="16"/>
      <c r="EZ1527" s="16"/>
      <c r="FA1527" s="17"/>
      <c r="FB1527" s="17"/>
      <c r="FC1527" s="16"/>
      <c r="FD1527" s="16"/>
      <c r="FE1527" s="17"/>
      <c r="FF1527" s="17"/>
      <c r="FG1527" s="11"/>
      <c r="GT1527" s="11"/>
      <c r="IG1527" s="11"/>
      <c r="JT1527" s="11"/>
      <c r="LG1527" s="11"/>
      <c r="MT1527" s="11"/>
      <c r="OG1527" s="11"/>
      <c r="PT1527" s="11"/>
    </row>
    <row r="1528" spans="1:436" ht="15.75" x14ac:dyDescent="0.25">
      <c r="A1528" s="13"/>
      <c r="B1528" s="14" t="s">
        <v>1118</v>
      </c>
      <c r="C1528" s="13"/>
      <c r="D1528" s="13"/>
      <c r="E1528" s="15" t="s">
        <v>127</v>
      </c>
      <c r="F1528" s="15" t="s">
        <v>77</v>
      </c>
      <c r="G1528" s="13"/>
      <c r="H1528" s="11"/>
      <c r="AU1528" s="11"/>
      <c r="CH1528" s="11"/>
      <c r="CI1528" s="16"/>
      <c r="CJ1528" s="16"/>
      <c r="CK1528" s="16"/>
      <c r="CL1528" s="16"/>
      <c r="CM1528" s="16"/>
      <c r="CN1528" s="16"/>
      <c r="CO1528" s="16"/>
      <c r="CP1528" s="16"/>
      <c r="CQ1528" s="16"/>
      <c r="CR1528" s="16"/>
      <c r="CS1528" s="16"/>
      <c r="CT1528" s="16"/>
      <c r="CU1528" s="16"/>
      <c r="CV1528" s="16"/>
      <c r="CW1528" s="16"/>
      <c r="CX1528" s="16"/>
      <c r="CY1528" s="16"/>
      <c r="CZ1528" s="16"/>
      <c r="DA1528" s="16"/>
      <c r="DB1528" s="16"/>
      <c r="DC1528" s="16"/>
      <c r="DD1528" s="16"/>
      <c r="DE1528" s="17"/>
      <c r="DF1528" s="17"/>
      <c r="DG1528" s="16"/>
      <c r="DH1528" s="16"/>
      <c r="DI1528" s="17"/>
      <c r="DJ1528" s="17"/>
      <c r="DK1528" s="16"/>
      <c r="DL1528" s="16"/>
      <c r="DM1528" s="17"/>
      <c r="DN1528" s="17"/>
      <c r="DO1528" s="16"/>
      <c r="DP1528" s="16"/>
      <c r="DQ1528" s="17"/>
      <c r="DR1528" s="17"/>
      <c r="DS1528" s="16"/>
      <c r="DT1528" s="16"/>
      <c r="DU1528" s="17"/>
      <c r="DV1528" s="17"/>
      <c r="DW1528" s="16"/>
      <c r="DX1528" s="16"/>
      <c r="DY1528" s="17"/>
      <c r="DZ1528" s="17"/>
      <c r="EA1528" s="16"/>
      <c r="EB1528" s="16"/>
      <c r="EC1528" s="17"/>
      <c r="ED1528" s="17"/>
      <c r="EE1528" s="16"/>
      <c r="EF1528" s="16"/>
      <c r="EG1528" s="17"/>
      <c r="EH1528" s="17"/>
      <c r="EI1528" s="16"/>
      <c r="EJ1528" s="16"/>
      <c r="EK1528" s="17"/>
      <c r="EL1528" s="17"/>
      <c r="EM1528" s="16"/>
      <c r="EN1528" s="16"/>
      <c r="EO1528" s="17"/>
      <c r="EP1528" s="17"/>
      <c r="EQ1528" s="16"/>
      <c r="ER1528" s="16"/>
      <c r="ES1528" s="17"/>
      <c r="ET1528" s="17"/>
      <c r="EU1528" s="16"/>
      <c r="EV1528" s="16"/>
      <c r="EW1528" s="17"/>
      <c r="EX1528" s="17"/>
      <c r="EY1528" s="16"/>
      <c r="EZ1528" s="16"/>
      <c r="FA1528" s="17"/>
      <c r="FB1528" s="17"/>
      <c r="FC1528" s="16"/>
      <c r="FD1528" s="16"/>
      <c r="FE1528" s="17"/>
      <c r="FF1528" s="17"/>
      <c r="FG1528" s="11"/>
      <c r="GT1528" s="11"/>
      <c r="IG1528" s="11"/>
      <c r="JT1528" s="11"/>
      <c r="LG1528" s="11"/>
      <c r="MT1528" s="11"/>
      <c r="OG1528" s="11"/>
      <c r="PT1528" s="11"/>
    </row>
    <row r="1529" spans="1:436" ht="15.75" x14ac:dyDescent="0.25">
      <c r="A1529" s="13"/>
      <c r="B1529" s="14" t="s">
        <v>1119</v>
      </c>
      <c r="C1529" s="13"/>
      <c r="D1529" s="13"/>
      <c r="E1529" s="15" t="s">
        <v>127</v>
      </c>
      <c r="F1529" s="15" t="s">
        <v>77</v>
      </c>
      <c r="G1529" s="13"/>
      <c r="H1529" s="11"/>
      <c r="AU1529" s="11"/>
      <c r="CH1529" s="11"/>
      <c r="CI1529" s="16"/>
      <c r="CJ1529" s="16"/>
      <c r="CK1529" s="16"/>
      <c r="CL1529" s="16"/>
      <c r="CM1529" s="16"/>
      <c r="CN1529" s="16"/>
      <c r="CO1529" s="16"/>
      <c r="CP1529" s="16"/>
      <c r="CQ1529" s="16"/>
      <c r="CR1529" s="16"/>
      <c r="CS1529" s="16"/>
      <c r="CT1529" s="16"/>
      <c r="CU1529" s="16"/>
      <c r="CV1529" s="16"/>
      <c r="CW1529" s="16"/>
      <c r="CX1529" s="16"/>
      <c r="CY1529" s="16"/>
      <c r="CZ1529" s="16"/>
      <c r="DA1529" s="16"/>
      <c r="DB1529" s="16"/>
      <c r="DC1529" s="16"/>
      <c r="DD1529" s="16"/>
      <c r="DE1529" s="17"/>
      <c r="DF1529" s="17"/>
      <c r="DG1529" s="16"/>
      <c r="DH1529" s="16"/>
      <c r="DI1529" s="17"/>
      <c r="DJ1529" s="17"/>
      <c r="DK1529" s="16"/>
      <c r="DL1529" s="16"/>
      <c r="DM1529" s="17"/>
      <c r="DN1529" s="17"/>
      <c r="DO1529" s="16"/>
      <c r="DP1529" s="16"/>
      <c r="DQ1529" s="17"/>
      <c r="DR1529" s="17"/>
      <c r="DS1529" s="16"/>
      <c r="DT1529" s="16"/>
      <c r="DU1529" s="17"/>
      <c r="DV1529" s="17"/>
      <c r="DW1529" s="16"/>
      <c r="DX1529" s="16"/>
      <c r="DY1529" s="17"/>
      <c r="DZ1529" s="17"/>
      <c r="EA1529" s="16"/>
      <c r="EB1529" s="16"/>
      <c r="EC1529" s="17"/>
      <c r="ED1529" s="17"/>
      <c r="EE1529" s="16"/>
      <c r="EF1529" s="16"/>
      <c r="EG1529" s="17"/>
      <c r="EH1529" s="17"/>
      <c r="EI1529" s="16"/>
      <c r="EJ1529" s="16"/>
      <c r="EK1529" s="17"/>
      <c r="EL1529" s="17"/>
      <c r="EM1529" s="16"/>
      <c r="EN1529" s="16"/>
      <c r="EO1529" s="17"/>
      <c r="EP1529" s="17"/>
      <c r="EQ1529" s="16"/>
      <c r="ER1529" s="16"/>
      <c r="ES1529" s="17"/>
      <c r="ET1529" s="17"/>
      <c r="EU1529" s="16"/>
      <c r="EV1529" s="16"/>
      <c r="EW1529" s="17"/>
      <c r="EX1529" s="17"/>
      <c r="EY1529" s="16"/>
      <c r="EZ1529" s="16"/>
      <c r="FA1529" s="17"/>
      <c r="FB1529" s="17"/>
      <c r="FC1529" s="16"/>
      <c r="FD1529" s="16"/>
      <c r="FE1529" s="17"/>
      <c r="FF1529" s="17"/>
      <c r="FG1529" s="11"/>
      <c r="GT1529" s="11"/>
      <c r="IG1529" s="11"/>
      <c r="JT1529" s="11"/>
      <c r="LG1529" s="11"/>
      <c r="MT1529" s="11"/>
      <c r="OG1529" s="11"/>
      <c r="PT1529" s="11"/>
    </row>
    <row r="1530" spans="1:436" ht="15.75" x14ac:dyDescent="0.25">
      <c r="A1530" s="13"/>
      <c r="B1530" s="14" t="s">
        <v>1120</v>
      </c>
      <c r="C1530" s="13"/>
      <c r="D1530" s="13"/>
      <c r="E1530" s="15" t="s">
        <v>127</v>
      </c>
      <c r="F1530" s="15" t="s">
        <v>77</v>
      </c>
      <c r="G1530" s="13"/>
      <c r="H1530" s="11"/>
      <c r="AU1530" s="11"/>
      <c r="CH1530" s="11"/>
      <c r="CI1530" s="16"/>
      <c r="CJ1530" s="16"/>
      <c r="CK1530" s="16"/>
      <c r="CL1530" s="16"/>
      <c r="CM1530" s="16"/>
      <c r="CN1530" s="16"/>
      <c r="CO1530" s="16"/>
      <c r="CP1530" s="16"/>
      <c r="CQ1530" s="16"/>
      <c r="CR1530" s="16"/>
      <c r="CS1530" s="16"/>
      <c r="CT1530" s="16"/>
      <c r="CU1530" s="16"/>
      <c r="CV1530" s="16"/>
      <c r="CW1530" s="16"/>
      <c r="CX1530" s="16"/>
      <c r="CY1530" s="16"/>
      <c r="CZ1530" s="16"/>
      <c r="DA1530" s="16"/>
      <c r="DB1530" s="16"/>
      <c r="DC1530" s="16"/>
      <c r="DD1530" s="16"/>
      <c r="DE1530" s="17"/>
      <c r="DF1530" s="17"/>
      <c r="DG1530" s="16"/>
      <c r="DH1530" s="16"/>
      <c r="DI1530" s="17"/>
      <c r="DJ1530" s="17"/>
      <c r="DK1530" s="16"/>
      <c r="DL1530" s="16"/>
      <c r="DM1530" s="17"/>
      <c r="DN1530" s="17"/>
      <c r="DO1530" s="16"/>
      <c r="DP1530" s="16"/>
      <c r="DQ1530" s="17"/>
      <c r="DR1530" s="17"/>
      <c r="DS1530" s="16"/>
      <c r="DT1530" s="16"/>
      <c r="DU1530" s="17"/>
      <c r="DV1530" s="17"/>
      <c r="DW1530" s="16"/>
      <c r="DX1530" s="16"/>
      <c r="DY1530" s="17"/>
      <c r="DZ1530" s="17"/>
      <c r="EA1530" s="16"/>
      <c r="EB1530" s="16"/>
      <c r="EC1530" s="17"/>
      <c r="ED1530" s="17"/>
      <c r="EE1530" s="16"/>
      <c r="EF1530" s="16"/>
      <c r="EG1530" s="17"/>
      <c r="EH1530" s="17"/>
      <c r="EI1530" s="16"/>
      <c r="EJ1530" s="16"/>
      <c r="EK1530" s="17"/>
      <c r="EL1530" s="17"/>
      <c r="EM1530" s="16"/>
      <c r="EN1530" s="16"/>
      <c r="EO1530" s="17"/>
      <c r="EP1530" s="17"/>
      <c r="EQ1530" s="16"/>
      <c r="ER1530" s="16"/>
      <c r="ES1530" s="17"/>
      <c r="ET1530" s="17"/>
      <c r="EU1530" s="16"/>
      <c r="EV1530" s="16"/>
      <c r="EW1530" s="17"/>
      <c r="EX1530" s="17"/>
      <c r="EY1530" s="16"/>
      <c r="EZ1530" s="16"/>
      <c r="FA1530" s="17"/>
      <c r="FB1530" s="17"/>
      <c r="FC1530" s="16"/>
      <c r="FD1530" s="16"/>
      <c r="FE1530" s="17"/>
      <c r="FF1530" s="17"/>
      <c r="FG1530" s="11"/>
      <c r="GT1530" s="11"/>
      <c r="IG1530" s="11"/>
      <c r="JT1530" s="11"/>
      <c r="LG1530" s="11"/>
      <c r="MT1530" s="11"/>
      <c r="OG1530" s="11"/>
      <c r="PT1530" s="11"/>
    </row>
    <row r="1531" spans="1:436" ht="15.75" x14ac:dyDescent="0.25">
      <c r="A1531" s="13"/>
      <c r="B1531" s="14" t="s">
        <v>1121</v>
      </c>
      <c r="C1531" s="13"/>
      <c r="D1531" s="13"/>
      <c r="E1531" s="15" t="s">
        <v>127</v>
      </c>
      <c r="F1531" s="15" t="s">
        <v>77</v>
      </c>
      <c r="G1531" s="13"/>
      <c r="H1531" s="11"/>
      <c r="AU1531" s="11"/>
      <c r="CH1531" s="11"/>
      <c r="CI1531" s="16"/>
      <c r="CJ1531" s="16"/>
      <c r="CK1531" s="16"/>
      <c r="CL1531" s="16"/>
      <c r="CM1531" s="16"/>
      <c r="CN1531" s="16"/>
      <c r="CO1531" s="16"/>
      <c r="CP1531" s="16"/>
      <c r="CQ1531" s="16"/>
      <c r="CR1531" s="16"/>
      <c r="CS1531" s="16"/>
      <c r="CT1531" s="16"/>
      <c r="CU1531" s="16"/>
      <c r="CV1531" s="16"/>
      <c r="CW1531" s="16"/>
      <c r="CX1531" s="16"/>
      <c r="CY1531" s="16"/>
      <c r="CZ1531" s="16"/>
      <c r="DA1531" s="16"/>
      <c r="DB1531" s="16"/>
      <c r="DC1531" s="16"/>
      <c r="DD1531" s="16"/>
      <c r="DE1531" s="17"/>
      <c r="DF1531" s="17"/>
      <c r="DG1531" s="16"/>
      <c r="DH1531" s="16"/>
      <c r="DI1531" s="17"/>
      <c r="DJ1531" s="17"/>
      <c r="DK1531" s="16"/>
      <c r="DL1531" s="16"/>
      <c r="DM1531" s="17"/>
      <c r="DN1531" s="17"/>
      <c r="DO1531" s="16"/>
      <c r="DP1531" s="16"/>
      <c r="DQ1531" s="17"/>
      <c r="DR1531" s="17"/>
      <c r="DS1531" s="16"/>
      <c r="DT1531" s="16"/>
      <c r="DU1531" s="17"/>
      <c r="DV1531" s="17"/>
      <c r="DW1531" s="16"/>
      <c r="DX1531" s="16"/>
      <c r="DY1531" s="17"/>
      <c r="DZ1531" s="17"/>
      <c r="EA1531" s="16"/>
      <c r="EB1531" s="16"/>
      <c r="EC1531" s="17"/>
      <c r="ED1531" s="17"/>
      <c r="EE1531" s="16"/>
      <c r="EF1531" s="16"/>
      <c r="EG1531" s="17"/>
      <c r="EH1531" s="17"/>
      <c r="EI1531" s="16"/>
      <c r="EJ1531" s="16"/>
      <c r="EK1531" s="17"/>
      <c r="EL1531" s="17"/>
      <c r="EM1531" s="16"/>
      <c r="EN1531" s="16"/>
      <c r="EO1531" s="17"/>
      <c r="EP1531" s="17"/>
      <c r="EQ1531" s="16"/>
      <c r="ER1531" s="16"/>
      <c r="ES1531" s="17"/>
      <c r="ET1531" s="18">
        <v>20</v>
      </c>
      <c r="EU1531" s="16"/>
      <c r="EV1531" s="16"/>
      <c r="EW1531" s="17"/>
      <c r="EX1531" s="17"/>
      <c r="EY1531" s="16"/>
      <c r="EZ1531" s="16"/>
      <c r="FA1531" s="17"/>
      <c r="FB1531" s="17"/>
      <c r="FC1531" s="16"/>
      <c r="FD1531" s="16"/>
      <c r="FE1531" s="17"/>
      <c r="FF1531" s="17"/>
      <c r="FG1531" s="11"/>
      <c r="GT1531" s="11"/>
      <c r="IG1531" s="11"/>
      <c r="JT1531" s="11"/>
      <c r="LG1531" s="11"/>
      <c r="MT1531" s="11"/>
      <c r="OG1531" s="11"/>
      <c r="PT1531" s="11"/>
    </row>
    <row r="1532" spans="1:436" ht="15.75" x14ac:dyDescent="0.25">
      <c r="A1532" s="13"/>
      <c r="B1532" s="14" t="s">
        <v>1122</v>
      </c>
      <c r="C1532" s="13"/>
      <c r="D1532" s="13"/>
      <c r="E1532" s="15" t="s">
        <v>76</v>
      </c>
      <c r="F1532" s="15" t="s">
        <v>177</v>
      </c>
      <c r="G1532" s="13"/>
      <c r="H1532" s="11"/>
      <c r="AU1532" s="11"/>
      <c r="CH1532" s="11"/>
      <c r="CI1532" s="16"/>
      <c r="CJ1532" s="16"/>
      <c r="CK1532" s="16"/>
      <c r="CL1532" s="16"/>
      <c r="CM1532" s="16"/>
      <c r="CN1532" s="16"/>
      <c r="CO1532" s="16"/>
      <c r="CP1532" s="16"/>
      <c r="CQ1532" s="16"/>
      <c r="CR1532" s="16"/>
      <c r="CS1532" s="16"/>
      <c r="CT1532" s="16"/>
      <c r="CU1532" s="16"/>
      <c r="CV1532" s="16"/>
      <c r="CW1532" s="16"/>
      <c r="CX1532" s="16"/>
      <c r="CY1532" s="16"/>
      <c r="CZ1532" s="16"/>
      <c r="DA1532" s="16"/>
      <c r="DB1532" s="16"/>
      <c r="DC1532" s="16"/>
      <c r="DD1532" s="16"/>
      <c r="DE1532" s="17"/>
      <c r="DF1532" s="17"/>
      <c r="DG1532" s="16"/>
      <c r="DH1532" s="16"/>
      <c r="DI1532" s="17"/>
      <c r="DJ1532" s="17"/>
      <c r="DK1532" s="16"/>
      <c r="DL1532" s="16"/>
      <c r="DM1532" s="17"/>
      <c r="DN1532" s="17"/>
      <c r="DO1532" s="16"/>
      <c r="DP1532" s="16"/>
      <c r="DQ1532" s="17"/>
      <c r="DR1532" s="17"/>
      <c r="DS1532" s="16"/>
      <c r="DT1532" s="16"/>
      <c r="DU1532" s="17"/>
      <c r="DV1532" s="17"/>
      <c r="DW1532" s="16"/>
      <c r="DX1532" s="16"/>
      <c r="DY1532" s="17"/>
      <c r="DZ1532" s="17"/>
      <c r="EA1532" s="16"/>
      <c r="EB1532" s="16"/>
      <c r="EC1532" s="17"/>
      <c r="ED1532" s="17"/>
      <c r="EE1532" s="16"/>
      <c r="EF1532" s="16"/>
      <c r="EG1532" s="17"/>
      <c r="EH1532" s="17"/>
      <c r="EI1532" s="16"/>
      <c r="EJ1532" s="16"/>
      <c r="EK1532" s="17"/>
      <c r="EL1532" s="17"/>
      <c r="EM1532" s="16"/>
      <c r="EN1532" s="16"/>
      <c r="EO1532" s="17"/>
      <c r="EP1532" s="17"/>
      <c r="EQ1532" s="16"/>
      <c r="ER1532" s="16"/>
      <c r="ES1532" s="17"/>
      <c r="ET1532" s="17"/>
      <c r="EU1532" s="16"/>
      <c r="EV1532" s="16"/>
      <c r="EW1532" s="17"/>
      <c r="EX1532" s="17"/>
      <c r="EY1532" s="16"/>
      <c r="EZ1532" s="16"/>
      <c r="FA1532" s="17"/>
      <c r="FB1532" s="17"/>
      <c r="FC1532" s="16"/>
      <c r="FD1532" s="16"/>
      <c r="FE1532" s="17"/>
      <c r="FF1532" s="17"/>
      <c r="FG1532" s="11"/>
      <c r="GT1532" s="11"/>
      <c r="IG1532" s="11"/>
      <c r="JT1532" s="11"/>
      <c r="LG1532" s="11"/>
      <c r="MT1532" s="11"/>
      <c r="OG1532" s="11"/>
      <c r="PT1532" s="11"/>
    </row>
    <row r="1533" spans="1:436" ht="15.75" x14ac:dyDescent="0.25">
      <c r="A1533" s="13"/>
      <c r="B1533" s="14" t="s">
        <v>1123</v>
      </c>
      <c r="C1533" s="13"/>
      <c r="D1533" s="13"/>
      <c r="E1533" s="15" t="s">
        <v>76</v>
      </c>
      <c r="F1533" s="15" t="s">
        <v>177</v>
      </c>
      <c r="G1533" s="13"/>
      <c r="H1533" s="11"/>
      <c r="AU1533" s="11"/>
      <c r="CH1533" s="11"/>
      <c r="CI1533" s="16"/>
      <c r="CJ1533" s="16"/>
      <c r="CK1533" s="16"/>
      <c r="CL1533" s="16"/>
      <c r="CM1533" s="16"/>
      <c r="CN1533" s="16"/>
      <c r="CO1533" s="16"/>
      <c r="CP1533" s="16"/>
      <c r="CQ1533" s="16"/>
      <c r="CR1533" s="16"/>
      <c r="CS1533" s="16"/>
      <c r="CT1533" s="16"/>
      <c r="CU1533" s="16"/>
      <c r="CV1533" s="16"/>
      <c r="CW1533" s="16"/>
      <c r="CX1533" s="16"/>
      <c r="CY1533" s="16"/>
      <c r="CZ1533" s="16"/>
      <c r="DA1533" s="16"/>
      <c r="DB1533" s="16"/>
      <c r="DC1533" s="16"/>
      <c r="DD1533" s="16"/>
      <c r="DE1533" s="17"/>
      <c r="DF1533" s="17"/>
      <c r="DG1533" s="16"/>
      <c r="DH1533" s="16"/>
      <c r="DI1533" s="17"/>
      <c r="DJ1533" s="17"/>
      <c r="DK1533" s="16"/>
      <c r="DL1533" s="16"/>
      <c r="DM1533" s="17"/>
      <c r="DN1533" s="17"/>
      <c r="DO1533" s="16"/>
      <c r="DP1533" s="16"/>
      <c r="DQ1533" s="17"/>
      <c r="DR1533" s="17"/>
      <c r="DS1533" s="16"/>
      <c r="DT1533" s="16"/>
      <c r="DU1533" s="17"/>
      <c r="DV1533" s="17"/>
      <c r="DW1533" s="16"/>
      <c r="DX1533" s="16"/>
      <c r="DY1533" s="17"/>
      <c r="DZ1533" s="17"/>
      <c r="EA1533" s="16"/>
      <c r="EB1533" s="16"/>
      <c r="EC1533" s="17"/>
      <c r="ED1533" s="17"/>
      <c r="EE1533" s="16"/>
      <c r="EF1533" s="16"/>
      <c r="EG1533" s="17"/>
      <c r="EH1533" s="17"/>
      <c r="EI1533" s="16"/>
      <c r="EJ1533" s="16"/>
      <c r="EK1533" s="17"/>
      <c r="EL1533" s="17"/>
      <c r="EM1533" s="16"/>
      <c r="EN1533" s="16"/>
      <c r="EO1533" s="17"/>
      <c r="EP1533" s="17"/>
      <c r="EQ1533" s="16"/>
      <c r="ER1533" s="16"/>
      <c r="ES1533" s="17"/>
      <c r="ET1533" s="17"/>
      <c r="EU1533" s="16"/>
      <c r="EV1533" s="16"/>
      <c r="EW1533" s="17"/>
      <c r="EX1533" s="17"/>
      <c r="EY1533" s="16"/>
      <c r="EZ1533" s="16"/>
      <c r="FA1533" s="17"/>
      <c r="FB1533" s="17"/>
      <c r="FC1533" s="16"/>
      <c r="FD1533" s="16"/>
      <c r="FE1533" s="17"/>
      <c r="FF1533" s="17"/>
      <c r="FG1533" s="11"/>
      <c r="GT1533" s="11"/>
      <c r="IG1533" s="11"/>
      <c r="JT1533" s="11"/>
      <c r="LG1533" s="11"/>
      <c r="MT1533" s="11"/>
      <c r="OG1533" s="11"/>
      <c r="PT1533" s="11"/>
    </row>
    <row r="1534" spans="1:436" ht="15.75" x14ac:dyDescent="0.25">
      <c r="C1534" s="20" t="s">
        <v>1124</v>
      </c>
      <c r="D1534" s="21" t="s">
        <v>93</v>
      </c>
      <c r="H1534" s="11"/>
      <c r="AU1534" s="11"/>
      <c r="CH1534" s="11"/>
      <c r="CI1534" s="16"/>
      <c r="CJ1534" s="16"/>
      <c r="CK1534" s="16"/>
      <c r="CL1534" s="16"/>
      <c r="CM1534" s="16"/>
      <c r="CN1534" s="16"/>
      <c r="CO1534" s="16"/>
      <c r="CP1534" s="16"/>
      <c r="CQ1534" s="16"/>
      <c r="CR1534" s="16"/>
      <c r="CS1534" s="16"/>
      <c r="CT1534" s="16"/>
      <c r="CU1534" s="16"/>
      <c r="CV1534" s="16"/>
      <c r="CW1534" s="16"/>
      <c r="CX1534" s="16"/>
      <c r="CY1534" s="16"/>
      <c r="CZ1534" s="16"/>
      <c r="DA1534" s="16"/>
      <c r="DB1534" s="16"/>
      <c r="DC1534" s="16"/>
      <c r="DD1534" s="16"/>
      <c r="DE1534" s="17"/>
      <c r="DF1534" s="17"/>
      <c r="DG1534" s="16"/>
      <c r="DH1534" s="16"/>
      <c r="DI1534" s="17"/>
      <c r="DJ1534" s="17"/>
      <c r="DK1534" s="16"/>
      <c r="DL1534" s="16"/>
      <c r="DM1534" s="17"/>
      <c r="DN1534" s="17"/>
      <c r="DO1534" s="16"/>
      <c r="DP1534" s="16"/>
      <c r="DQ1534" s="17"/>
      <c r="DR1534" s="17"/>
      <c r="DS1534" s="16"/>
      <c r="DT1534" s="16"/>
      <c r="DU1534" s="17"/>
      <c r="DV1534" s="17"/>
      <c r="DW1534" s="16"/>
      <c r="DX1534" s="16"/>
      <c r="DY1534" s="17"/>
      <c r="DZ1534" s="17"/>
      <c r="EA1534" s="16"/>
      <c r="EB1534" s="16"/>
      <c r="EC1534" s="17"/>
      <c r="ED1534" s="17"/>
      <c r="EE1534" s="16"/>
      <c r="EF1534" s="16"/>
      <c r="EG1534" s="17"/>
      <c r="EH1534" s="17"/>
      <c r="EI1534" s="16"/>
      <c r="EJ1534" s="16"/>
      <c r="EK1534" s="17"/>
      <c r="EL1534" s="17"/>
      <c r="EM1534" s="16"/>
      <c r="EN1534" s="16"/>
      <c r="EO1534" s="17"/>
      <c r="EP1534" s="17"/>
      <c r="EQ1534" s="16"/>
      <c r="ER1534" s="16"/>
      <c r="ES1534" s="17"/>
      <c r="ET1534" s="17"/>
      <c r="EU1534" s="16"/>
      <c r="EV1534" s="16"/>
      <c r="EW1534" s="18">
        <v>4</v>
      </c>
      <c r="EX1534" s="18">
        <v>5</v>
      </c>
      <c r="EY1534" s="16"/>
      <c r="EZ1534" s="16"/>
      <c r="FA1534" s="17"/>
      <c r="FB1534" s="17"/>
      <c r="FC1534" s="16"/>
      <c r="FD1534" s="16"/>
      <c r="FE1534" s="17"/>
      <c r="FF1534" s="17"/>
      <c r="FG1534" s="11"/>
      <c r="GT1534" s="11"/>
      <c r="IG1534" s="11"/>
      <c r="JT1534" s="11"/>
      <c r="LG1534" s="11"/>
      <c r="MT1534" s="11"/>
      <c r="OG1534" s="11"/>
      <c r="PT1534" s="11"/>
    </row>
    <row r="1535" spans="1:436" ht="25.5" x14ac:dyDescent="0.25">
      <c r="C1535" s="20" t="s">
        <v>1125</v>
      </c>
      <c r="D1535" s="21" t="s">
        <v>93</v>
      </c>
      <c r="H1535" s="11"/>
      <c r="AU1535" s="11"/>
      <c r="CH1535" s="11"/>
      <c r="CI1535" s="16"/>
      <c r="CJ1535" s="16"/>
      <c r="CK1535" s="16"/>
      <c r="CL1535" s="16"/>
      <c r="CM1535" s="16"/>
      <c r="CN1535" s="16"/>
      <c r="CO1535" s="16"/>
      <c r="CP1535" s="16"/>
      <c r="CQ1535" s="16"/>
      <c r="CR1535" s="16"/>
      <c r="CS1535" s="16"/>
      <c r="CT1535" s="16"/>
      <c r="CU1535" s="16"/>
      <c r="CV1535" s="16"/>
      <c r="CW1535" s="16"/>
      <c r="CX1535" s="16"/>
      <c r="CY1535" s="16"/>
      <c r="CZ1535" s="16"/>
      <c r="DA1535" s="16"/>
      <c r="DB1535" s="16"/>
      <c r="DC1535" s="16"/>
      <c r="DD1535" s="16"/>
      <c r="DE1535" s="17"/>
      <c r="DF1535" s="17"/>
      <c r="DG1535" s="16"/>
      <c r="DH1535" s="16"/>
      <c r="DI1535" s="17"/>
      <c r="DJ1535" s="17"/>
      <c r="DK1535" s="16"/>
      <c r="DL1535" s="16"/>
      <c r="DM1535" s="17"/>
      <c r="DN1535" s="17"/>
      <c r="DO1535" s="16"/>
      <c r="DP1535" s="16"/>
      <c r="DQ1535" s="17"/>
      <c r="DR1535" s="17"/>
      <c r="DS1535" s="16"/>
      <c r="DT1535" s="16"/>
      <c r="DU1535" s="17"/>
      <c r="DV1535" s="17"/>
      <c r="DW1535" s="16"/>
      <c r="DX1535" s="16"/>
      <c r="DY1535" s="17"/>
      <c r="DZ1535" s="17"/>
      <c r="EA1535" s="16"/>
      <c r="EB1535" s="16"/>
      <c r="EC1535" s="17"/>
      <c r="ED1535" s="17"/>
      <c r="EE1535" s="16"/>
      <c r="EF1535" s="16"/>
      <c r="EG1535" s="17"/>
      <c r="EH1535" s="17"/>
      <c r="EI1535" s="16"/>
      <c r="EJ1535" s="16"/>
      <c r="EK1535" s="17"/>
      <c r="EL1535" s="17"/>
      <c r="EM1535" s="16"/>
      <c r="EN1535" s="16"/>
      <c r="EO1535" s="17"/>
      <c r="EP1535" s="17"/>
      <c r="EQ1535" s="16"/>
      <c r="ER1535" s="16"/>
      <c r="ES1535" s="17"/>
      <c r="ET1535" s="17"/>
      <c r="EU1535" s="16"/>
      <c r="EV1535" s="16"/>
      <c r="EW1535" s="18">
        <v>2</v>
      </c>
      <c r="EX1535" s="18">
        <v>3</v>
      </c>
      <c r="EY1535" s="16"/>
      <c r="EZ1535" s="16"/>
      <c r="FA1535" s="17"/>
      <c r="FB1535" s="17"/>
      <c r="FC1535" s="16"/>
      <c r="FD1535" s="16"/>
      <c r="FE1535" s="17"/>
      <c r="FF1535" s="17"/>
      <c r="FG1535" s="11"/>
      <c r="GT1535" s="11"/>
      <c r="IG1535" s="11"/>
      <c r="JT1535" s="11"/>
      <c r="LG1535" s="11"/>
      <c r="MT1535" s="11"/>
      <c r="OG1535" s="11"/>
      <c r="PT1535" s="11"/>
    </row>
    <row r="1536" spans="1:436" ht="25.5" x14ac:dyDescent="0.25">
      <c r="C1536" s="20" t="s">
        <v>1126</v>
      </c>
      <c r="D1536" s="21" t="s">
        <v>93</v>
      </c>
      <c r="H1536" s="11"/>
      <c r="AU1536" s="11"/>
      <c r="CH1536" s="11"/>
      <c r="CI1536" s="16"/>
      <c r="CJ1536" s="16"/>
      <c r="CK1536" s="16"/>
      <c r="CL1536" s="16"/>
      <c r="CM1536" s="16"/>
      <c r="CN1536" s="16"/>
      <c r="CO1536" s="16"/>
      <c r="CP1536" s="16"/>
      <c r="CQ1536" s="16"/>
      <c r="CR1536" s="16"/>
      <c r="CS1536" s="16"/>
      <c r="CT1536" s="16"/>
      <c r="CU1536" s="16"/>
      <c r="CV1536" s="16"/>
      <c r="CW1536" s="16"/>
      <c r="CX1536" s="16"/>
      <c r="CY1536" s="16"/>
      <c r="CZ1536" s="16"/>
      <c r="DA1536" s="16"/>
      <c r="DB1536" s="16"/>
      <c r="DC1536" s="16"/>
      <c r="DD1536" s="16"/>
      <c r="DE1536" s="17"/>
      <c r="DF1536" s="17"/>
      <c r="DG1536" s="16"/>
      <c r="DH1536" s="16"/>
      <c r="DI1536" s="17"/>
      <c r="DJ1536" s="17"/>
      <c r="DK1536" s="16"/>
      <c r="DL1536" s="16"/>
      <c r="DM1536" s="17"/>
      <c r="DN1536" s="17"/>
      <c r="DO1536" s="16"/>
      <c r="DP1536" s="16"/>
      <c r="DQ1536" s="17"/>
      <c r="DR1536" s="17"/>
      <c r="DS1536" s="16"/>
      <c r="DT1536" s="16"/>
      <c r="DU1536" s="17"/>
      <c r="DV1536" s="17"/>
      <c r="DW1536" s="16"/>
      <c r="DX1536" s="16"/>
      <c r="DY1536" s="17"/>
      <c r="DZ1536" s="17"/>
      <c r="EA1536" s="16"/>
      <c r="EB1536" s="16"/>
      <c r="EC1536" s="17"/>
      <c r="ED1536" s="17"/>
      <c r="EE1536" s="16"/>
      <c r="EF1536" s="16"/>
      <c r="EG1536" s="17"/>
      <c r="EH1536" s="17"/>
      <c r="EI1536" s="16"/>
      <c r="EJ1536" s="16"/>
      <c r="EK1536" s="17"/>
      <c r="EL1536" s="17"/>
      <c r="EM1536" s="16"/>
      <c r="EN1536" s="16"/>
      <c r="EO1536" s="17"/>
      <c r="EP1536" s="17"/>
      <c r="EQ1536" s="16"/>
      <c r="ER1536" s="16"/>
      <c r="ES1536" s="17"/>
      <c r="ET1536" s="17"/>
      <c r="EU1536" s="16"/>
      <c r="EV1536" s="16"/>
      <c r="EW1536" s="18">
        <v>1</v>
      </c>
      <c r="EX1536" s="18">
        <v>2</v>
      </c>
      <c r="EY1536" s="16"/>
      <c r="EZ1536" s="16"/>
      <c r="FA1536" s="17"/>
      <c r="FB1536" s="17"/>
      <c r="FC1536" s="16"/>
      <c r="FD1536" s="16"/>
      <c r="FE1536" s="17"/>
      <c r="FF1536" s="17"/>
      <c r="FG1536" s="11"/>
      <c r="GT1536" s="11"/>
      <c r="IG1536" s="11"/>
      <c r="JT1536" s="11"/>
      <c r="LG1536" s="11"/>
      <c r="MT1536" s="11"/>
      <c r="OG1536" s="11"/>
      <c r="PT1536" s="11"/>
    </row>
    <row r="1537" spans="1:436" ht="15.75" x14ac:dyDescent="0.25">
      <c r="C1537" s="20" t="s">
        <v>1127</v>
      </c>
      <c r="D1537" s="21" t="s">
        <v>93</v>
      </c>
      <c r="H1537" s="11"/>
      <c r="AU1537" s="11"/>
      <c r="CH1537" s="11"/>
      <c r="CI1537" s="16"/>
      <c r="CJ1537" s="16"/>
      <c r="CK1537" s="16"/>
      <c r="CL1537" s="16"/>
      <c r="CM1537" s="16"/>
      <c r="CN1537" s="16"/>
      <c r="CO1537" s="16"/>
      <c r="CP1537" s="16"/>
      <c r="CQ1537" s="16"/>
      <c r="CR1537" s="16"/>
      <c r="CS1537" s="16"/>
      <c r="CT1537" s="16"/>
      <c r="CU1537" s="16"/>
      <c r="CV1537" s="16"/>
      <c r="CW1537" s="16"/>
      <c r="CX1537" s="16"/>
      <c r="CY1537" s="16"/>
      <c r="CZ1537" s="16"/>
      <c r="DA1537" s="16"/>
      <c r="DB1537" s="16"/>
      <c r="DC1537" s="16"/>
      <c r="DD1537" s="16"/>
      <c r="DE1537" s="17"/>
      <c r="DF1537" s="17"/>
      <c r="DG1537" s="16"/>
      <c r="DH1537" s="16"/>
      <c r="DI1537" s="17"/>
      <c r="DJ1537" s="17"/>
      <c r="DK1537" s="16"/>
      <c r="DL1537" s="16"/>
      <c r="DM1537" s="17"/>
      <c r="DN1537" s="17"/>
      <c r="DO1537" s="16"/>
      <c r="DP1537" s="16"/>
      <c r="DQ1537" s="17"/>
      <c r="DR1537" s="17"/>
      <c r="DS1537" s="16"/>
      <c r="DT1537" s="16"/>
      <c r="DU1537" s="17"/>
      <c r="DV1537" s="17"/>
      <c r="DW1537" s="16"/>
      <c r="DX1537" s="16"/>
      <c r="DY1537" s="17"/>
      <c r="DZ1537" s="17"/>
      <c r="EA1537" s="16"/>
      <c r="EB1537" s="16"/>
      <c r="EC1537" s="17"/>
      <c r="ED1537" s="17"/>
      <c r="EE1537" s="16"/>
      <c r="EF1537" s="16"/>
      <c r="EG1537" s="17"/>
      <c r="EH1537" s="17"/>
      <c r="EI1537" s="16"/>
      <c r="EJ1537" s="16"/>
      <c r="EK1537" s="17"/>
      <c r="EL1537" s="17"/>
      <c r="EM1537" s="16"/>
      <c r="EN1537" s="16"/>
      <c r="EO1537" s="17"/>
      <c r="EP1537" s="17"/>
      <c r="EQ1537" s="16"/>
      <c r="ER1537" s="16"/>
      <c r="ES1537" s="17"/>
      <c r="ET1537" s="17"/>
      <c r="EU1537" s="16"/>
      <c r="EV1537" s="16"/>
      <c r="EW1537" s="18">
        <v>1</v>
      </c>
      <c r="EX1537" s="18">
        <v>2</v>
      </c>
      <c r="EY1537" s="16"/>
      <c r="EZ1537" s="16"/>
      <c r="FA1537" s="17"/>
      <c r="FB1537" s="17"/>
      <c r="FC1537" s="16"/>
      <c r="FD1537" s="16"/>
      <c r="FE1537" s="17"/>
      <c r="FF1537" s="17"/>
      <c r="FG1537" s="11"/>
      <c r="GT1537" s="11"/>
      <c r="IG1537" s="11"/>
      <c r="JT1537" s="11"/>
      <c r="LG1537" s="11"/>
      <c r="MT1537" s="11"/>
      <c r="OG1537" s="11"/>
      <c r="PT1537" s="11"/>
    </row>
    <row r="1538" spans="1:436" ht="15.75" x14ac:dyDescent="0.25">
      <c r="C1538" s="20" t="s">
        <v>1128</v>
      </c>
      <c r="D1538" s="21" t="s">
        <v>82</v>
      </c>
      <c r="H1538" s="11"/>
      <c r="AU1538" s="11"/>
      <c r="CH1538" s="11"/>
      <c r="CI1538" s="16"/>
      <c r="CJ1538" s="16"/>
      <c r="CK1538" s="16"/>
      <c r="CL1538" s="16"/>
      <c r="CM1538" s="16"/>
      <c r="CN1538" s="16"/>
      <c r="CO1538" s="16"/>
      <c r="CP1538" s="16"/>
      <c r="CQ1538" s="16"/>
      <c r="CR1538" s="16"/>
      <c r="CS1538" s="16"/>
      <c r="CT1538" s="16"/>
      <c r="CU1538" s="16"/>
      <c r="CV1538" s="16"/>
      <c r="CW1538" s="16"/>
      <c r="CX1538" s="16"/>
      <c r="CY1538" s="16"/>
      <c r="CZ1538" s="16"/>
      <c r="DA1538" s="16"/>
      <c r="DB1538" s="16"/>
      <c r="DC1538" s="16"/>
      <c r="DD1538" s="16"/>
      <c r="DE1538" s="17"/>
      <c r="DF1538" s="17"/>
      <c r="DG1538" s="16"/>
      <c r="DH1538" s="16"/>
      <c r="DI1538" s="17"/>
      <c r="DJ1538" s="17"/>
      <c r="DK1538" s="16"/>
      <c r="DL1538" s="16"/>
      <c r="DM1538" s="17"/>
      <c r="DN1538" s="17"/>
      <c r="DO1538" s="16"/>
      <c r="DP1538" s="16"/>
      <c r="DQ1538" s="17"/>
      <c r="DR1538" s="17"/>
      <c r="DS1538" s="16"/>
      <c r="DT1538" s="16"/>
      <c r="DU1538" s="17"/>
      <c r="DV1538" s="17"/>
      <c r="DW1538" s="16"/>
      <c r="DX1538" s="16"/>
      <c r="DY1538" s="17"/>
      <c r="DZ1538" s="17"/>
      <c r="EA1538" s="16"/>
      <c r="EB1538" s="16"/>
      <c r="EC1538" s="17"/>
      <c r="ED1538" s="17"/>
      <c r="EE1538" s="16"/>
      <c r="EF1538" s="16"/>
      <c r="EG1538" s="17"/>
      <c r="EH1538" s="17"/>
      <c r="EI1538" s="16"/>
      <c r="EJ1538" s="16"/>
      <c r="EK1538" s="17"/>
      <c r="EL1538" s="17"/>
      <c r="EM1538" s="16"/>
      <c r="EN1538" s="16"/>
      <c r="EO1538" s="17"/>
      <c r="EP1538" s="17"/>
      <c r="EQ1538" s="16"/>
      <c r="ER1538" s="16"/>
      <c r="ES1538" s="18">
        <v>1</v>
      </c>
      <c r="ET1538" s="18">
        <v>2</v>
      </c>
      <c r="EU1538" s="16"/>
      <c r="EV1538" s="16"/>
      <c r="EW1538" s="17"/>
      <c r="EX1538" s="17"/>
      <c r="EY1538" s="16"/>
      <c r="EZ1538" s="16"/>
      <c r="FA1538" s="17"/>
      <c r="FB1538" s="17"/>
      <c r="FC1538" s="16"/>
      <c r="FD1538" s="16"/>
      <c r="FE1538" s="17"/>
      <c r="FF1538" s="17"/>
      <c r="FG1538" s="11"/>
      <c r="GT1538" s="11"/>
      <c r="IG1538" s="11"/>
      <c r="JT1538" s="11"/>
      <c r="LG1538" s="11"/>
      <c r="MT1538" s="11"/>
      <c r="OG1538" s="11"/>
      <c r="PT1538" s="11"/>
    </row>
    <row r="1539" spans="1:436" ht="15.75" x14ac:dyDescent="0.25">
      <c r="C1539" s="20" t="s">
        <v>1129</v>
      </c>
      <c r="D1539" s="21" t="s">
        <v>82</v>
      </c>
      <c r="H1539" s="11"/>
      <c r="AU1539" s="11"/>
      <c r="CH1539" s="11"/>
      <c r="CI1539" s="16"/>
      <c r="CJ1539" s="16"/>
      <c r="CK1539" s="16"/>
      <c r="CL1539" s="16"/>
      <c r="CM1539" s="16"/>
      <c r="CN1539" s="16"/>
      <c r="CO1539" s="16"/>
      <c r="CP1539" s="16"/>
      <c r="CQ1539" s="16"/>
      <c r="CR1539" s="16"/>
      <c r="CS1539" s="16"/>
      <c r="CT1539" s="16"/>
      <c r="CU1539" s="16"/>
      <c r="CV1539" s="16"/>
      <c r="CW1539" s="16"/>
      <c r="CX1539" s="16"/>
      <c r="CY1539" s="16"/>
      <c r="CZ1539" s="16"/>
      <c r="DA1539" s="16"/>
      <c r="DB1539" s="16"/>
      <c r="DC1539" s="16"/>
      <c r="DD1539" s="16"/>
      <c r="DE1539" s="17"/>
      <c r="DF1539" s="17"/>
      <c r="DG1539" s="16"/>
      <c r="DH1539" s="16"/>
      <c r="DI1539" s="17"/>
      <c r="DJ1539" s="17"/>
      <c r="DK1539" s="16"/>
      <c r="DL1539" s="16"/>
      <c r="DM1539" s="17"/>
      <c r="DN1539" s="17"/>
      <c r="DO1539" s="16"/>
      <c r="DP1539" s="16"/>
      <c r="DQ1539" s="17"/>
      <c r="DR1539" s="17"/>
      <c r="DS1539" s="16"/>
      <c r="DT1539" s="16"/>
      <c r="DU1539" s="17"/>
      <c r="DV1539" s="17"/>
      <c r="DW1539" s="16"/>
      <c r="DX1539" s="16"/>
      <c r="DY1539" s="17"/>
      <c r="DZ1539" s="17"/>
      <c r="EA1539" s="16"/>
      <c r="EB1539" s="16"/>
      <c r="EC1539" s="17"/>
      <c r="ED1539" s="17"/>
      <c r="EE1539" s="16"/>
      <c r="EF1539" s="16"/>
      <c r="EG1539" s="17"/>
      <c r="EH1539" s="17"/>
      <c r="EI1539" s="16"/>
      <c r="EJ1539" s="16"/>
      <c r="EK1539" s="17"/>
      <c r="EL1539" s="17"/>
      <c r="EM1539" s="16"/>
      <c r="EN1539" s="16"/>
      <c r="EO1539" s="17"/>
      <c r="EP1539" s="17"/>
      <c r="EQ1539" s="16"/>
      <c r="ER1539" s="16"/>
      <c r="ES1539" s="18">
        <v>1</v>
      </c>
      <c r="ET1539" s="18">
        <v>2</v>
      </c>
      <c r="EU1539" s="16"/>
      <c r="EV1539" s="16"/>
      <c r="EW1539" s="17"/>
      <c r="EX1539" s="17"/>
      <c r="EY1539" s="16"/>
      <c r="EZ1539" s="16"/>
      <c r="FA1539" s="17"/>
      <c r="FB1539" s="17"/>
      <c r="FC1539" s="16"/>
      <c r="FD1539" s="16"/>
      <c r="FE1539" s="17"/>
      <c r="FF1539" s="17"/>
      <c r="FG1539" s="11"/>
      <c r="GT1539" s="11"/>
      <c r="IG1539" s="11"/>
      <c r="JT1539" s="11"/>
      <c r="LG1539" s="11"/>
      <c r="MT1539" s="11"/>
      <c r="OG1539" s="11"/>
      <c r="PT1539" s="11"/>
    </row>
    <row r="1540" spans="1:436" ht="38.25" x14ac:dyDescent="0.25">
      <c r="C1540" s="20" t="s">
        <v>1130</v>
      </c>
      <c r="D1540" s="21" t="s">
        <v>82</v>
      </c>
      <c r="H1540" s="11"/>
      <c r="AU1540" s="11"/>
      <c r="CH1540" s="11"/>
      <c r="CI1540" s="16"/>
      <c r="CJ1540" s="16"/>
      <c r="CK1540" s="16"/>
      <c r="CL1540" s="16"/>
      <c r="CM1540" s="16"/>
      <c r="CN1540" s="16"/>
      <c r="CO1540" s="16"/>
      <c r="CP1540" s="16"/>
      <c r="CQ1540" s="16"/>
      <c r="CR1540" s="16"/>
      <c r="CS1540" s="16"/>
      <c r="CT1540" s="16"/>
      <c r="CU1540" s="16"/>
      <c r="CV1540" s="16"/>
      <c r="CW1540" s="16"/>
      <c r="CX1540" s="16"/>
      <c r="CY1540" s="16"/>
      <c r="CZ1540" s="16"/>
      <c r="DA1540" s="16"/>
      <c r="DB1540" s="16"/>
      <c r="DC1540" s="16"/>
      <c r="DD1540" s="16"/>
      <c r="DE1540" s="17"/>
      <c r="DF1540" s="17"/>
      <c r="DG1540" s="16"/>
      <c r="DH1540" s="16"/>
      <c r="DI1540" s="17"/>
      <c r="DJ1540" s="17"/>
      <c r="DK1540" s="16"/>
      <c r="DL1540" s="16"/>
      <c r="DM1540" s="17"/>
      <c r="DN1540" s="17"/>
      <c r="DO1540" s="16"/>
      <c r="DP1540" s="16"/>
      <c r="DQ1540" s="17"/>
      <c r="DR1540" s="17"/>
      <c r="DS1540" s="16"/>
      <c r="DT1540" s="16"/>
      <c r="DU1540" s="17"/>
      <c r="DV1540" s="17"/>
      <c r="DW1540" s="16"/>
      <c r="DX1540" s="16"/>
      <c r="DY1540" s="17"/>
      <c r="DZ1540" s="17"/>
      <c r="EA1540" s="16"/>
      <c r="EB1540" s="16"/>
      <c r="EC1540" s="17"/>
      <c r="ED1540" s="17"/>
      <c r="EE1540" s="16"/>
      <c r="EF1540" s="16"/>
      <c r="EG1540" s="17"/>
      <c r="EH1540" s="17"/>
      <c r="EI1540" s="16"/>
      <c r="EJ1540" s="16"/>
      <c r="EK1540" s="17"/>
      <c r="EL1540" s="17"/>
      <c r="EM1540" s="16"/>
      <c r="EN1540" s="16"/>
      <c r="EO1540" s="17"/>
      <c r="EP1540" s="17"/>
      <c r="EQ1540" s="16"/>
      <c r="ER1540" s="16"/>
      <c r="ES1540" s="18">
        <v>3</v>
      </c>
      <c r="ET1540" s="18">
        <v>4</v>
      </c>
      <c r="EU1540" s="16"/>
      <c r="EV1540" s="16"/>
      <c r="EW1540" s="17"/>
      <c r="EX1540" s="17"/>
      <c r="EY1540" s="16"/>
      <c r="EZ1540" s="16"/>
      <c r="FA1540" s="17"/>
      <c r="FB1540" s="17"/>
      <c r="FC1540" s="16"/>
      <c r="FD1540" s="16"/>
      <c r="FE1540" s="17"/>
      <c r="FF1540" s="17"/>
      <c r="FG1540" s="11"/>
      <c r="GT1540" s="11"/>
      <c r="IG1540" s="11"/>
      <c r="JT1540" s="11"/>
      <c r="LG1540" s="11"/>
      <c r="MT1540" s="11"/>
      <c r="OG1540" s="11"/>
      <c r="PT1540" s="11"/>
    </row>
    <row r="1541" spans="1:436" ht="15.75" x14ac:dyDescent="0.25">
      <c r="C1541" s="20" t="s">
        <v>1131</v>
      </c>
      <c r="D1541" s="21" t="s">
        <v>82</v>
      </c>
      <c r="H1541" s="11"/>
      <c r="AU1541" s="11"/>
      <c r="CH1541" s="11"/>
      <c r="CI1541" s="16"/>
      <c r="CJ1541" s="16"/>
      <c r="CK1541" s="16"/>
      <c r="CL1541" s="16"/>
      <c r="CM1541" s="16"/>
      <c r="CN1541" s="16"/>
      <c r="CO1541" s="16"/>
      <c r="CP1541" s="16"/>
      <c r="CQ1541" s="16"/>
      <c r="CR1541" s="16"/>
      <c r="CS1541" s="16"/>
      <c r="CT1541" s="16"/>
      <c r="CU1541" s="16"/>
      <c r="CV1541" s="16"/>
      <c r="CW1541" s="16"/>
      <c r="CX1541" s="16"/>
      <c r="CY1541" s="16"/>
      <c r="CZ1541" s="16"/>
      <c r="DA1541" s="16"/>
      <c r="DB1541" s="16"/>
      <c r="DC1541" s="16"/>
      <c r="DD1541" s="16"/>
      <c r="DE1541" s="17"/>
      <c r="DF1541" s="17"/>
      <c r="DG1541" s="16"/>
      <c r="DH1541" s="16"/>
      <c r="DI1541" s="17"/>
      <c r="DJ1541" s="17"/>
      <c r="DK1541" s="16"/>
      <c r="DL1541" s="16"/>
      <c r="DM1541" s="17"/>
      <c r="DN1541" s="17"/>
      <c r="DO1541" s="16"/>
      <c r="DP1541" s="16"/>
      <c r="DQ1541" s="17"/>
      <c r="DR1541" s="17"/>
      <c r="DS1541" s="16"/>
      <c r="DT1541" s="16"/>
      <c r="DU1541" s="17"/>
      <c r="DV1541" s="17"/>
      <c r="DW1541" s="16"/>
      <c r="DX1541" s="16"/>
      <c r="DY1541" s="17"/>
      <c r="DZ1541" s="17"/>
      <c r="EA1541" s="16"/>
      <c r="EB1541" s="16"/>
      <c r="EC1541" s="17"/>
      <c r="ED1541" s="17"/>
      <c r="EE1541" s="16"/>
      <c r="EF1541" s="16"/>
      <c r="EG1541" s="17"/>
      <c r="EH1541" s="17"/>
      <c r="EI1541" s="16"/>
      <c r="EJ1541" s="16"/>
      <c r="EK1541" s="17"/>
      <c r="EL1541" s="17"/>
      <c r="EM1541" s="16"/>
      <c r="EN1541" s="16"/>
      <c r="EO1541" s="17"/>
      <c r="EP1541" s="17"/>
      <c r="EQ1541" s="16"/>
      <c r="ER1541" s="16"/>
      <c r="ES1541" s="17"/>
      <c r="ET1541" s="17"/>
      <c r="EU1541" s="16"/>
      <c r="EV1541" s="16"/>
      <c r="EW1541" s="17"/>
      <c r="EX1541" s="17"/>
      <c r="EY1541" s="16"/>
      <c r="EZ1541" s="16"/>
      <c r="FA1541" s="17"/>
      <c r="FB1541" s="17"/>
      <c r="FC1541" s="16"/>
      <c r="FD1541" s="16"/>
      <c r="FE1541" s="17"/>
      <c r="FF1541" s="17"/>
      <c r="FG1541" s="11"/>
      <c r="GT1541" s="11"/>
      <c r="IG1541" s="11"/>
      <c r="JT1541" s="11"/>
      <c r="LG1541" s="11"/>
      <c r="MT1541" s="11"/>
      <c r="OG1541" s="11"/>
      <c r="PT1541" s="11"/>
    </row>
    <row r="1542" spans="1:436" ht="15.75" x14ac:dyDescent="0.25">
      <c r="C1542" s="20" t="s">
        <v>1132</v>
      </c>
      <c r="D1542" s="21" t="s">
        <v>82</v>
      </c>
      <c r="H1542" s="11"/>
      <c r="AU1542" s="11"/>
      <c r="CH1542" s="11"/>
      <c r="CI1542" s="16"/>
      <c r="CJ1542" s="16"/>
      <c r="CK1542" s="16"/>
      <c r="CL1542" s="16"/>
      <c r="CM1542" s="16"/>
      <c r="CN1542" s="16"/>
      <c r="CO1542" s="16"/>
      <c r="CP1542" s="16"/>
      <c r="CQ1542" s="16"/>
      <c r="CR1542" s="16"/>
      <c r="CS1542" s="16"/>
      <c r="CT1542" s="16"/>
      <c r="CU1542" s="16"/>
      <c r="CV1542" s="16"/>
      <c r="CW1542" s="16"/>
      <c r="CX1542" s="16"/>
      <c r="CY1542" s="16"/>
      <c r="CZ1542" s="16"/>
      <c r="DA1542" s="16"/>
      <c r="DB1542" s="16"/>
      <c r="DC1542" s="16"/>
      <c r="DD1542" s="16"/>
      <c r="DE1542" s="17"/>
      <c r="DF1542" s="17"/>
      <c r="DG1542" s="16"/>
      <c r="DH1542" s="16"/>
      <c r="DI1542" s="17"/>
      <c r="DJ1542" s="17"/>
      <c r="DK1542" s="16"/>
      <c r="DL1542" s="16"/>
      <c r="DM1542" s="17"/>
      <c r="DN1542" s="17"/>
      <c r="DO1542" s="16"/>
      <c r="DP1542" s="16"/>
      <c r="DQ1542" s="17"/>
      <c r="DR1542" s="17"/>
      <c r="DS1542" s="16"/>
      <c r="DT1542" s="16"/>
      <c r="DU1542" s="17"/>
      <c r="DV1542" s="17"/>
      <c r="DW1542" s="16"/>
      <c r="DX1542" s="16"/>
      <c r="DY1542" s="17"/>
      <c r="DZ1542" s="17"/>
      <c r="EA1542" s="16"/>
      <c r="EB1542" s="16"/>
      <c r="EC1542" s="17"/>
      <c r="ED1542" s="17"/>
      <c r="EE1542" s="16"/>
      <c r="EF1542" s="16"/>
      <c r="EG1542" s="17"/>
      <c r="EH1542" s="17"/>
      <c r="EI1542" s="16"/>
      <c r="EJ1542" s="16"/>
      <c r="EK1542" s="17"/>
      <c r="EL1542" s="17"/>
      <c r="EM1542" s="16"/>
      <c r="EN1542" s="16"/>
      <c r="EO1542" s="17"/>
      <c r="EP1542" s="17"/>
      <c r="EQ1542" s="16"/>
      <c r="ER1542" s="16"/>
      <c r="ES1542" s="18">
        <v>3</v>
      </c>
      <c r="ET1542" s="18">
        <v>5</v>
      </c>
      <c r="EU1542" s="16"/>
      <c r="EV1542" s="16"/>
      <c r="EW1542" s="17"/>
      <c r="EX1542" s="17"/>
      <c r="EY1542" s="16"/>
      <c r="EZ1542" s="16"/>
      <c r="FA1542" s="17"/>
      <c r="FB1542" s="17"/>
      <c r="FC1542" s="16"/>
      <c r="FD1542" s="16"/>
      <c r="FE1542" s="17"/>
      <c r="FF1542" s="17"/>
      <c r="FG1542" s="11"/>
      <c r="GT1542" s="11"/>
      <c r="IG1542" s="11"/>
      <c r="JT1542" s="11"/>
      <c r="LG1542" s="11"/>
      <c r="MT1542" s="11"/>
      <c r="OG1542" s="11"/>
      <c r="PT1542" s="11"/>
    </row>
    <row r="1543" spans="1:436" ht="15.75" x14ac:dyDescent="0.25">
      <c r="C1543" s="20" t="s">
        <v>1133</v>
      </c>
      <c r="D1543" s="21" t="s">
        <v>79</v>
      </c>
      <c r="H1543" s="11"/>
      <c r="AU1543" s="11"/>
      <c r="CH1543" s="11"/>
      <c r="CI1543" s="16"/>
      <c r="CJ1543" s="16"/>
      <c r="CK1543" s="16"/>
      <c r="CL1543" s="16"/>
      <c r="CM1543" s="16"/>
      <c r="CN1543" s="16"/>
      <c r="CO1543" s="16"/>
      <c r="CP1543" s="16"/>
      <c r="CQ1543" s="16"/>
      <c r="CR1543" s="16"/>
      <c r="CS1543" s="16"/>
      <c r="CT1543" s="16"/>
      <c r="CU1543" s="16"/>
      <c r="CV1543" s="16"/>
      <c r="CW1543" s="16"/>
      <c r="CX1543" s="16"/>
      <c r="CY1543" s="16"/>
      <c r="CZ1543" s="16"/>
      <c r="DA1543" s="16"/>
      <c r="DB1543" s="16"/>
      <c r="DC1543" s="16"/>
      <c r="DD1543" s="16"/>
      <c r="DE1543" s="17"/>
      <c r="DF1543" s="17"/>
      <c r="DG1543" s="16"/>
      <c r="DH1543" s="16"/>
      <c r="DI1543" s="17"/>
      <c r="DJ1543" s="17"/>
      <c r="DK1543" s="16"/>
      <c r="DL1543" s="16"/>
      <c r="DM1543" s="17"/>
      <c r="DN1543" s="17"/>
      <c r="DO1543" s="16"/>
      <c r="DP1543" s="16"/>
      <c r="DQ1543" s="17"/>
      <c r="DR1543" s="17"/>
      <c r="DS1543" s="16"/>
      <c r="DT1543" s="16"/>
      <c r="DU1543" s="17"/>
      <c r="DV1543" s="17"/>
      <c r="DW1543" s="16"/>
      <c r="DX1543" s="16"/>
      <c r="DY1543" s="17"/>
      <c r="DZ1543" s="17"/>
      <c r="EA1543" s="16"/>
      <c r="EB1543" s="16"/>
      <c r="EC1543" s="17"/>
      <c r="ED1543" s="17"/>
      <c r="EE1543" s="16"/>
      <c r="EF1543" s="16"/>
      <c r="EG1543" s="17"/>
      <c r="EH1543" s="17"/>
      <c r="EI1543" s="16"/>
      <c r="EJ1543" s="16"/>
      <c r="EK1543" s="17"/>
      <c r="EL1543" s="17"/>
      <c r="EM1543" s="16"/>
      <c r="EN1543" s="16"/>
      <c r="EO1543" s="17"/>
      <c r="EP1543" s="17"/>
      <c r="EQ1543" s="16"/>
      <c r="ER1543" s="16"/>
      <c r="ES1543" s="17"/>
      <c r="ET1543" s="17"/>
      <c r="EU1543" s="16"/>
      <c r="EV1543" s="16"/>
      <c r="EW1543" s="17"/>
      <c r="EX1543" s="17"/>
      <c r="EY1543" s="16"/>
      <c r="EZ1543" s="16"/>
      <c r="FA1543" s="17"/>
      <c r="FB1543" s="17"/>
      <c r="FC1543" s="16"/>
      <c r="FD1543" s="16"/>
      <c r="FE1543" s="17"/>
      <c r="FF1543" s="17"/>
      <c r="FG1543" s="11"/>
      <c r="GT1543" s="11"/>
      <c r="IG1543" s="11"/>
      <c r="JT1543" s="11"/>
      <c r="LG1543" s="11"/>
      <c r="MT1543" s="11"/>
      <c r="OG1543" s="11"/>
      <c r="PT1543" s="11"/>
    </row>
    <row r="1544" spans="1:436" ht="15.75" x14ac:dyDescent="0.25">
      <c r="C1544" s="20" t="s">
        <v>1134</v>
      </c>
      <c r="D1544" s="21" t="s">
        <v>82</v>
      </c>
      <c r="H1544" s="11"/>
      <c r="AU1544" s="11"/>
      <c r="CH1544" s="11"/>
      <c r="CI1544" s="16"/>
      <c r="CJ1544" s="16"/>
      <c r="CK1544" s="16"/>
      <c r="CL1544" s="16"/>
      <c r="CM1544" s="16"/>
      <c r="CN1544" s="16"/>
      <c r="CO1544" s="16"/>
      <c r="CP1544" s="16"/>
      <c r="CQ1544" s="16"/>
      <c r="CR1544" s="16"/>
      <c r="CS1544" s="16"/>
      <c r="CT1544" s="16"/>
      <c r="CU1544" s="16"/>
      <c r="CV1544" s="16"/>
      <c r="CW1544" s="16"/>
      <c r="CX1544" s="16"/>
      <c r="CY1544" s="16"/>
      <c r="CZ1544" s="16"/>
      <c r="DA1544" s="16"/>
      <c r="DB1544" s="16"/>
      <c r="DC1544" s="16"/>
      <c r="DD1544" s="16"/>
      <c r="DE1544" s="17"/>
      <c r="DF1544" s="17"/>
      <c r="DG1544" s="16"/>
      <c r="DH1544" s="16"/>
      <c r="DI1544" s="17"/>
      <c r="DJ1544" s="17"/>
      <c r="DK1544" s="16"/>
      <c r="DL1544" s="16"/>
      <c r="DM1544" s="17"/>
      <c r="DN1544" s="17"/>
      <c r="DO1544" s="16"/>
      <c r="DP1544" s="16"/>
      <c r="DQ1544" s="17"/>
      <c r="DR1544" s="17"/>
      <c r="DS1544" s="16"/>
      <c r="DT1544" s="16"/>
      <c r="DU1544" s="17"/>
      <c r="DV1544" s="17"/>
      <c r="DW1544" s="16"/>
      <c r="DX1544" s="16"/>
      <c r="DY1544" s="17"/>
      <c r="DZ1544" s="17"/>
      <c r="EA1544" s="16"/>
      <c r="EB1544" s="16"/>
      <c r="EC1544" s="17"/>
      <c r="ED1544" s="17"/>
      <c r="EE1544" s="16"/>
      <c r="EF1544" s="16"/>
      <c r="EG1544" s="17"/>
      <c r="EH1544" s="17"/>
      <c r="EI1544" s="16"/>
      <c r="EJ1544" s="16"/>
      <c r="EK1544" s="17"/>
      <c r="EL1544" s="17"/>
      <c r="EM1544" s="16"/>
      <c r="EN1544" s="16"/>
      <c r="EO1544" s="17"/>
      <c r="EP1544" s="17"/>
      <c r="EQ1544" s="16"/>
      <c r="ER1544" s="16"/>
      <c r="ES1544" s="18">
        <v>3</v>
      </c>
      <c r="ET1544" s="18">
        <v>5</v>
      </c>
      <c r="EU1544" s="16"/>
      <c r="EV1544" s="16"/>
      <c r="EW1544" s="17"/>
      <c r="EX1544" s="17"/>
      <c r="EY1544" s="16"/>
      <c r="EZ1544" s="16"/>
      <c r="FA1544" s="17"/>
      <c r="FB1544" s="17"/>
      <c r="FC1544" s="16"/>
      <c r="FD1544" s="16"/>
      <c r="FE1544" s="17"/>
      <c r="FF1544" s="17"/>
      <c r="FG1544" s="11"/>
      <c r="GT1544" s="11"/>
      <c r="IG1544" s="11"/>
      <c r="JT1544" s="11"/>
      <c r="LG1544" s="11"/>
      <c r="MT1544" s="11"/>
      <c r="OG1544" s="11"/>
      <c r="PT1544" s="11"/>
    </row>
    <row r="1545" spans="1:436" ht="15.75" x14ac:dyDescent="0.25">
      <c r="A1545" s="13"/>
      <c r="B1545" s="14" t="s">
        <v>1135</v>
      </c>
      <c r="C1545" s="13"/>
      <c r="D1545" s="13"/>
      <c r="E1545" s="15" t="s">
        <v>76</v>
      </c>
      <c r="F1545" s="15" t="s">
        <v>132</v>
      </c>
      <c r="G1545" s="13"/>
      <c r="H1545" s="11"/>
      <c r="AU1545" s="11"/>
      <c r="CH1545" s="11"/>
      <c r="CI1545" s="16"/>
      <c r="CJ1545" s="16"/>
      <c r="CK1545" s="16"/>
      <c r="CL1545" s="16"/>
      <c r="CM1545" s="16"/>
      <c r="CN1545" s="16"/>
      <c r="CO1545" s="16"/>
      <c r="CP1545" s="16"/>
      <c r="CQ1545" s="16"/>
      <c r="CR1545" s="16"/>
      <c r="CS1545" s="16"/>
      <c r="CT1545" s="16"/>
      <c r="CU1545" s="16"/>
      <c r="CV1545" s="16"/>
      <c r="CW1545" s="16"/>
      <c r="CX1545" s="16"/>
      <c r="CY1545" s="16"/>
      <c r="CZ1545" s="16"/>
      <c r="DA1545" s="16"/>
      <c r="DB1545" s="16"/>
      <c r="DC1545" s="16"/>
      <c r="DD1545" s="16"/>
      <c r="DE1545" s="17"/>
      <c r="DF1545" s="17"/>
      <c r="DG1545" s="16"/>
      <c r="DH1545" s="16"/>
      <c r="DI1545" s="17"/>
      <c r="DJ1545" s="17"/>
      <c r="DK1545" s="16"/>
      <c r="DL1545" s="16"/>
      <c r="DM1545" s="17"/>
      <c r="DN1545" s="17"/>
      <c r="DO1545" s="16"/>
      <c r="DP1545" s="16"/>
      <c r="DQ1545" s="17"/>
      <c r="DR1545" s="17"/>
      <c r="DS1545" s="16"/>
      <c r="DT1545" s="16"/>
      <c r="DU1545" s="17"/>
      <c r="DV1545" s="17"/>
      <c r="DW1545" s="16"/>
      <c r="DX1545" s="16"/>
      <c r="DY1545" s="17"/>
      <c r="DZ1545" s="17"/>
      <c r="EA1545" s="16"/>
      <c r="EB1545" s="16"/>
      <c r="EC1545" s="17"/>
      <c r="ED1545" s="17"/>
      <c r="EE1545" s="16"/>
      <c r="EF1545" s="16"/>
      <c r="EG1545" s="17"/>
      <c r="EH1545" s="17"/>
      <c r="EI1545" s="16"/>
      <c r="EJ1545" s="16"/>
      <c r="EK1545" s="17"/>
      <c r="EL1545" s="17"/>
      <c r="EM1545" s="16"/>
      <c r="EN1545" s="16"/>
      <c r="EO1545" s="17"/>
      <c r="EP1545" s="17"/>
      <c r="EQ1545" s="16"/>
      <c r="ER1545" s="16"/>
      <c r="ES1545" s="17"/>
      <c r="ET1545" s="17"/>
      <c r="EU1545" s="16"/>
      <c r="EV1545" s="16"/>
      <c r="EW1545" s="17"/>
      <c r="EX1545" s="17"/>
      <c r="EY1545" s="16"/>
      <c r="EZ1545" s="16"/>
      <c r="FA1545" s="17"/>
      <c r="FB1545" s="17"/>
      <c r="FC1545" s="16"/>
      <c r="FD1545" s="16"/>
      <c r="FE1545" s="17"/>
      <c r="FF1545" s="17"/>
      <c r="FG1545" s="11"/>
      <c r="GT1545" s="11"/>
      <c r="IG1545" s="11"/>
      <c r="JT1545" s="11"/>
      <c r="LG1545" s="11"/>
      <c r="MT1545" s="11"/>
      <c r="OG1545" s="11"/>
      <c r="PT1545" s="11"/>
    </row>
    <row r="1546" spans="1:436" ht="15.75" x14ac:dyDescent="0.25">
      <c r="A1546" s="13"/>
      <c r="B1546" s="14" t="s">
        <v>1136</v>
      </c>
      <c r="C1546" s="13"/>
      <c r="D1546" s="13"/>
      <c r="E1546" s="15" t="s">
        <v>127</v>
      </c>
      <c r="F1546" s="15" t="s">
        <v>77</v>
      </c>
      <c r="G1546" s="13"/>
      <c r="H1546" s="11"/>
      <c r="AU1546" s="11"/>
      <c r="CH1546" s="11"/>
      <c r="CI1546" s="16"/>
      <c r="CJ1546" s="16"/>
      <c r="CK1546" s="16"/>
      <c r="CL1546" s="16"/>
      <c r="CM1546" s="16"/>
      <c r="CN1546" s="16"/>
      <c r="CO1546" s="16"/>
      <c r="CP1546" s="16"/>
      <c r="CQ1546" s="16"/>
      <c r="CR1546" s="16"/>
      <c r="CS1546" s="16"/>
      <c r="CT1546" s="16"/>
      <c r="CU1546" s="16"/>
      <c r="CV1546" s="16"/>
      <c r="CW1546" s="16"/>
      <c r="CX1546" s="16"/>
      <c r="CY1546" s="16"/>
      <c r="CZ1546" s="16"/>
      <c r="DA1546" s="16"/>
      <c r="DB1546" s="16"/>
      <c r="DC1546" s="16"/>
      <c r="DD1546" s="16"/>
      <c r="DE1546" s="17"/>
      <c r="DF1546" s="17"/>
      <c r="DG1546" s="16"/>
      <c r="DH1546" s="16"/>
      <c r="DI1546" s="17"/>
      <c r="DJ1546" s="17"/>
      <c r="DK1546" s="16"/>
      <c r="DL1546" s="16"/>
      <c r="DM1546" s="17"/>
      <c r="DN1546" s="17"/>
      <c r="DO1546" s="16"/>
      <c r="DP1546" s="16"/>
      <c r="DQ1546" s="17"/>
      <c r="DR1546" s="17"/>
      <c r="DS1546" s="16"/>
      <c r="DT1546" s="16"/>
      <c r="DU1546" s="17"/>
      <c r="DV1546" s="17"/>
      <c r="DW1546" s="16"/>
      <c r="DX1546" s="16"/>
      <c r="DY1546" s="17"/>
      <c r="DZ1546" s="17"/>
      <c r="EA1546" s="16"/>
      <c r="EB1546" s="16"/>
      <c r="EC1546" s="17"/>
      <c r="ED1546" s="17"/>
      <c r="EE1546" s="16"/>
      <c r="EF1546" s="16"/>
      <c r="EG1546" s="17"/>
      <c r="EH1546" s="17"/>
      <c r="EI1546" s="16"/>
      <c r="EJ1546" s="16"/>
      <c r="EK1546" s="17"/>
      <c r="EL1546" s="17"/>
      <c r="EM1546" s="16"/>
      <c r="EN1546" s="16"/>
      <c r="EO1546" s="17"/>
      <c r="EP1546" s="17"/>
      <c r="EQ1546" s="16"/>
      <c r="ER1546" s="16"/>
      <c r="ES1546" s="17"/>
      <c r="ET1546" s="17"/>
      <c r="EU1546" s="16"/>
      <c r="EV1546" s="16"/>
      <c r="EW1546" s="17"/>
      <c r="EX1546" s="17"/>
      <c r="EY1546" s="16"/>
      <c r="EZ1546" s="16"/>
      <c r="FA1546" s="17"/>
      <c r="FB1546" s="17"/>
      <c r="FC1546" s="16"/>
      <c r="FD1546" s="16"/>
      <c r="FE1546" s="17"/>
      <c r="FF1546" s="17"/>
      <c r="FG1546" s="11"/>
      <c r="GT1546" s="11"/>
      <c r="IG1546" s="11"/>
      <c r="JT1546" s="11"/>
      <c r="LG1546" s="11"/>
      <c r="MT1546" s="11"/>
      <c r="OG1546" s="11"/>
      <c r="PT1546" s="11"/>
    </row>
    <row r="1547" spans="1:436" ht="15.75" x14ac:dyDescent="0.25">
      <c r="C1547" s="20" t="s">
        <v>1137</v>
      </c>
      <c r="D1547" s="21" t="s">
        <v>79</v>
      </c>
      <c r="H1547" s="11"/>
      <c r="AU1547" s="11"/>
      <c r="CH1547" s="11"/>
      <c r="CI1547" s="16"/>
      <c r="CJ1547" s="16"/>
      <c r="CK1547" s="16"/>
      <c r="CL1547" s="16"/>
      <c r="CM1547" s="16"/>
      <c r="CN1547" s="16"/>
      <c r="CO1547" s="16"/>
      <c r="CP1547" s="16"/>
      <c r="CQ1547" s="16"/>
      <c r="CR1547" s="16"/>
      <c r="CS1547" s="16"/>
      <c r="CT1547" s="16"/>
      <c r="CU1547" s="16"/>
      <c r="CV1547" s="16"/>
      <c r="CW1547" s="16"/>
      <c r="CX1547" s="16"/>
      <c r="CY1547" s="16"/>
      <c r="CZ1547" s="16"/>
      <c r="DA1547" s="16"/>
      <c r="DB1547" s="16"/>
      <c r="DC1547" s="16"/>
      <c r="DD1547" s="16"/>
      <c r="DE1547" s="17"/>
      <c r="DF1547" s="17"/>
      <c r="DG1547" s="16"/>
      <c r="DH1547" s="16"/>
      <c r="DI1547" s="18">
        <v>3</v>
      </c>
      <c r="DJ1547" s="18">
        <v>5</v>
      </c>
      <c r="DK1547" s="16"/>
      <c r="DL1547" s="16"/>
      <c r="DM1547" s="17"/>
      <c r="DN1547" s="17"/>
      <c r="DO1547" s="16"/>
      <c r="DP1547" s="16"/>
      <c r="DQ1547" s="17"/>
      <c r="DR1547" s="17"/>
      <c r="DS1547" s="16"/>
      <c r="DT1547" s="16"/>
      <c r="DU1547" s="17"/>
      <c r="DV1547" s="17"/>
      <c r="DW1547" s="16"/>
      <c r="DX1547" s="16"/>
      <c r="DY1547" s="17"/>
      <c r="DZ1547" s="17"/>
      <c r="EA1547" s="16"/>
      <c r="EB1547" s="16"/>
      <c r="EC1547" s="17"/>
      <c r="ED1547" s="17"/>
      <c r="EE1547" s="16"/>
      <c r="EF1547" s="16"/>
      <c r="EG1547" s="17"/>
      <c r="EH1547" s="17"/>
      <c r="EI1547" s="16"/>
      <c r="EJ1547" s="16"/>
      <c r="EK1547" s="17"/>
      <c r="EL1547" s="17"/>
      <c r="EM1547" s="16"/>
      <c r="EN1547" s="16"/>
      <c r="EO1547" s="17"/>
      <c r="EP1547" s="17"/>
      <c r="EQ1547" s="16"/>
      <c r="ER1547" s="16"/>
      <c r="ES1547" s="17"/>
      <c r="ET1547" s="17"/>
      <c r="EU1547" s="16"/>
      <c r="EV1547" s="16"/>
      <c r="EW1547" s="17"/>
      <c r="EX1547" s="17"/>
      <c r="EY1547" s="16"/>
      <c r="EZ1547" s="16"/>
      <c r="FA1547" s="17"/>
      <c r="FB1547" s="17"/>
      <c r="FC1547" s="16"/>
      <c r="FD1547" s="16"/>
      <c r="FE1547" s="17"/>
      <c r="FF1547" s="17"/>
      <c r="FG1547" s="11"/>
      <c r="GT1547" s="11"/>
      <c r="IG1547" s="11"/>
      <c r="JT1547" s="11"/>
      <c r="LG1547" s="11"/>
      <c r="MT1547" s="11"/>
      <c r="OG1547" s="11"/>
      <c r="PT1547" s="11"/>
    </row>
    <row r="1548" spans="1:436" ht="15.75" x14ac:dyDescent="0.25">
      <c r="C1548" s="20" t="s">
        <v>1138</v>
      </c>
      <c r="D1548" s="21" t="s">
        <v>93</v>
      </c>
      <c r="H1548" s="11"/>
      <c r="AU1548" s="11"/>
      <c r="CH1548" s="11"/>
      <c r="CI1548" s="16"/>
      <c r="CJ1548" s="16"/>
      <c r="CK1548" s="16"/>
      <c r="CL1548" s="16"/>
      <c r="CM1548" s="16"/>
      <c r="CN1548" s="16"/>
      <c r="CO1548" s="16"/>
      <c r="CP1548" s="16"/>
      <c r="CQ1548" s="16"/>
      <c r="CR1548" s="16"/>
      <c r="CS1548" s="16"/>
      <c r="CT1548" s="16"/>
      <c r="CU1548" s="16"/>
      <c r="CV1548" s="16"/>
      <c r="CW1548" s="16"/>
      <c r="CX1548" s="16"/>
      <c r="CY1548" s="16"/>
      <c r="CZ1548" s="16"/>
      <c r="DA1548" s="16"/>
      <c r="DB1548" s="16"/>
      <c r="DC1548" s="16"/>
      <c r="DD1548" s="16"/>
      <c r="DE1548" s="17"/>
      <c r="DF1548" s="17"/>
      <c r="DG1548" s="16"/>
      <c r="DH1548" s="16"/>
      <c r="DI1548" s="17"/>
      <c r="DJ1548" s="17"/>
      <c r="DK1548" s="16"/>
      <c r="DL1548" s="16"/>
      <c r="DM1548" s="17"/>
      <c r="DN1548" s="17"/>
      <c r="DO1548" s="16"/>
      <c r="DP1548" s="16"/>
      <c r="DQ1548" s="17"/>
      <c r="DR1548" s="17"/>
      <c r="DS1548" s="16"/>
      <c r="DT1548" s="16"/>
      <c r="DU1548" s="17"/>
      <c r="DV1548" s="17"/>
      <c r="DW1548" s="16"/>
      <c r="DX1548" s="16"/>
      <c r="DY1548" s="17"/>
      <c r="DZ1548" s="17"/>
      <c r="EA1548" s="16"/>
      <c r="EB1548" s="16"/>
      <c r="EC1548" s="17"/>
      <c r="ED1548" s="17"/>
      <c r="EE1548" s="16"/>
      <c r="EF1548" s="16"/>
      <c r="EG1548" s="17"/>
      <c r="EH1548" s="17"/>
      <c r="EI1548" s="16"/>
      <c r="EJ1548" s="16"/>
      <c r="EK1548" s="17"/>
      <c r="EL1548" s="17"/>
      <c r="EM1548" s="16"/>
      <c r="EN1548" s="16"/>
      <c r="EO1548" s="17"/>
      <c r="EP1548" s="17"/>
      <c r="EQ1548" s="16"/>
      <c r="ER1548" s="16"/>
      <c r="ES1548" s="17"/>
      <c r="ET1548" s="17"/>
      <c r="EU1548" s="16"/>
      <c r="EV1548" s="16"/>
      <c r="EW1548" s="17"/>
      <c r="EX1548" s="17"/>
      <c r="EY1548" s="16"/>
      <c r="EZ1548" s="16"/>
      <c r="FA1548" s="17"/>
      <c r="FB1548" s="17"/>
      <c r="FC1548" s="16"/>
      <c r="FD1548" s="16"/>
      <c r="FE1548" s="17"/>
      <c r="FF1548" s="17"/>
      <c r="FG1548" s="11"/>
      <c r="GT1548" s="11"/>
      <c r="IG1548" s="11"/>
      <c r="JT1548" s="11"/>
      <c r="LG1548" s="11"/>
      <c r="MT1548" s="11"/>
      <c r="OG1548" s="11"/>
      <c r="PT1548" s="11"/>
    </row>
    <row r="1549" spans="1:436" ht="15.75" x14ac:dyDescent="0.25">
      <c r="C1549" s="20" t="s">
        <v>1139</v>
      </c>
      <c r="D1549" s="21" t="s">
        <v>93</v>
      </c>
      <c r="H1549" s="11"/>
      <c r="AU1549" s="11"/>
      <c r="CH1549" s="11"/>
      <c r="CI1549" s="16"/>
      <c r="CJ1549" s="16"/>
      <c r="CK1549" s="16"/>
      <c r="CL1549" s="16"/>
      <c r="CM1549" s="16"/>
      <c r="CN1549" s="16"/>
      <c r="CO1549" s="16"/>
      <c r="CP1549" s="16"/>
      <c r="CQ1549" s="16"/>
      <c r="CR1549" s="16"/>
      <c r="CS1549" s="16"/>
      <c r="CT1549" s="16"/>
      <c r="CU1549" s="16"/>
      <c r="CV1549" s="16"/>
      <c r="CW1549" s="16"/>
      <c r="CX1549" s="16"/>
      <c r="CY1549" s="16"/>
      <c r="CZ1549" s="16"/>
      <c r="DA1549" s="16"/>
      <c r="DB1549" s="16"/>
      <c r="DC1549" s="16"/>
      <c r="DD1549" s="16"/>
      <c r="DE1549" s="17"/>
      <c r="DF1549" s="17"/>
      <c r="DG1549" s="16"/>
      <c r="DH1549" s="16"/>
      <c r="DI1549" s="17"/>
      <c r="DJ1549" s="17"/>
      <c r="DK1549" s="16"/>
      <c r="DL1549" s="16"/>
      <c r="DM1549" s="17"/>
      <c r="DN1549" s="17"/>
      <c r="DO1549" s="16"/>
      <c r="DP1549" s="16"/>
      <c r="DQ1549" s="17"/>
      <c r="DR1549" s="17"/>
      <c r="DS1549" s="16"/>
      <c r="DT1549" s="16"/>
      <c r="DU1549" s="17"/>
      <c r="DV1549" s="17"/>
      <c r="DW1549" s="16"/>
      <c r="DX1549" s="16"/>
      <c r="DY1549" s="17"/>
      <c r="DZ1549" s="17"/>
      <c r="EA1549" s="16"/>
      <c r="EB1549" s="16"/>
      <c r="EC1549" s="17"/>
      <c r="ED1549" s="17"/>
      <c r="EE1549" s="16"/>
      <c r="EF1549" s="16"/>
      <c r="EG1549" s="17"/>
      <c r="EH1549" s="17"/>
      <c r="EI1549" s="16"/>
      <c r="EJ1549" s="16"/>
      <c r="EK1549" s="17"/>
      <c r="EL1549" s="17"/>
      <c r="EM1549" s="16"/>
      <c r="EN1549" s="16"/>
      <c r="EO1549" s="17"/>
      <c r="EP1549" s="17"/>
      <c r="EQ1549" s="16"/>
      <c r="ER1549" s="16"/>
      <c r="ES1549" s="17"/>
      <c r="ET1549" s="17"/>
      <c r="EU1549" s="16"/>
      <c r="EV1549" s="16"/>
      <c r="EW1549" s="17"/>
      <c r="EX1549" s="17"/>
      <c r="EY1549" s="16"/>
      <c r="EZ1549" s="16"/>
      <c r="FA1549" s="17"/>
      <c r="FB1549" s="17"/>
      <c r="FC1549" s="16"/>
      <c r="FD1549" s="16"/>
      <c r="FE1549" s="17"/>
      <c r="FF1549" s="17"/>
      <c r="FG1549" s="11"/>
      <c r="GT1549" s="11"/>
      <c r="IG1549" s="11"/>
      <c r="JT1549" s="11"/>
      <c r="LG1549" s="11"/>
      <c r="MT1549" s="11"/>
      <c r="OG1549" s="11"/>
      <c r="PT1549" s="11"/>
    </row>
    <row r="1550" spans="1:436" ht="15.75" x14ac:dyDescent="0.25">
      <c r="C1550" s="20" t="s">
        <v>1140</v>
      </c>
      <c r="D1550" s="21" t="s">
        <v>93</v>
      </c>
      <c r="H1550" s="11"/>
      <c r="AU1550" s="11"/>
      <c r="CH1550" s="11"/>
      <c r="CI1550" s="16"/>
      <c r="CJ1550" s="16"/>
      <c r="CK1550" s="16"/>
      <c r="CL1550" s="16"/>
      <c r="CM1550" s="16"/>
      <c r="CN1550" s="16"/>
      <c r="CO1550" s="16"/>
      <c r="CP1550" s="16"/>
      <c r="CQ1550" s="16"/>
      <c r="CR1550" s="16"/>
      <c r="CS1550" s="16"/>
      <c r="CT1550" s="16"/>
      <c r="CU1550" s="16"/>
      <c r="CV1550" s="16"/>
      <c r="CW1550" s="16"/>
      <c r="CX1550" s="16"/>
      <c r="CY1550" s="16"/>
      <c r="CZ1550" s="16"/>
      <c r="DA1550" s="16"/>
      <c r="DB1550" s="16"/>
      <c r="DC1550" s="16"/>
      <c r="DD1550" s="16"/>
      <c r="DE1550" s="17"/>
      <c r="DF1550" s="17"/>
      <c r="DG1550" s="16"/>
      <c r="DH1550" s="16"/>
      <c r="DI1550" s="17"/>
      <c r="DJ1550" s="17"/>
      <c r="DK1550" s="16"/>
      <c r="DL1550" s="16"/>
      <c r="DM1550" s="17"/>
      <c r="DN1550" s="17"/>
      <c r="DO1550" s="16"/>
      <c r="DP1550" s="16"/>
      <c r="DQ1550" s="17"/>
      <c r="DR1550" s="17"/>
      <c r="DS1550" s="16"/>
      <c r="DT1550" s="16"/>
      <c r="DU1550" s="17"/>
      <c r="DV1550" s="17"/>
      <c r="DW1550" s="16"/>
      <c r="DX1550" s="16"/>
      <c r="DY1550" s="17"/>
      <c r="DZ1550" s="17"/>
      <c r="EA1550" s="16"/>
      <c r="EB1550" s="16"/>
      <c r="EC1550" s="17"/>
      <c r="ED1550" s="17"/>
      <c r="EE1550" s="16"/>
      <c r="EF1550" s="16"/>
      <c r="EG1550" s="17"/>
      <c r="EH1550" s="17"/>
      <c r="EI1550" s="16"/>
      <c r="EJ1550" s="16"/>
      <c r="EK1550" s="17"/>
      <c r="EL1550" s="17"/>
      <c r="EM1550" s="16"/>
      <c r="EN1550" s="16"/>
      <c r="EO1550" s="17"/>
      <c r="EP1550" s="17"/>
      <c r="EQ1550" s="16"/>
      <c r="ER1550" s="16"/>
      <c r="ES1550" s="17"/>
      <c r="ET1550" s="17"/>
      <c r="EU1550" s="16"/>
      <c r="EV1550" s="16"/>
      <c r="EW1550" s="17"/>
      <c r="EX1550" s="17"/>
      <c r="EY1550" s="16"/>
      <c r="EZ1550" s="16"/>
      <c r="FA1550" s="17"/>
      <c r="FB1550" s="17"/>
      <c r="FC1550" s="16"/>
      <c r="FD1550" s="16"/>
      <c r="FE1550" s="17"/>
      <c r="FF1550" s="17"/>
      <c r="FG1550" s="11"/>
      <c r="GT1550" s="11"/>
      <c r="IG1550" s="11"/>
      <c r="JT1550" s="11"/>
      <c r="LG1550" s="11"/>
      <c r="MT1550" s="11"/>
      <c r="OG1550" s="11"/>
      <c r="PT1550" s="11"/>
    </row>
    <row r="1551" spans="1:436" ht="15.75" x14ac:dyDescent="0.25">
      <c r="C1551" s="20" t="s">
        <v>1141</v>
      </c>
      <c r="D1551" s="21" t="s">
        <v>93</v>
      </c>
      <c r="H1551" s="11"/>
      <c r="AU1551" s="11"/>
      <c r="CH1551" s="11"/>
      <c r="CI1551" s="16"/>
      <c r="CJ1551" s="16"/>
      <c r="CK1551" s="16"/>
      <c r="CL1551" s="16"/>
      <c r="CM1551" s="16"/>
      <c r="CN1551" s="16"/>
      <c r="CO1551" s="16"/>
      <c r="CP1551" s="16"/>
      <c r="CQ1551" s="16"/>
      <c r="CR1551" s="16"/>
      <c r="CS1551" s="16"/>
      <c r="CT1551" s="16"/>
      <c r="CU1551" s="16"/>
      <c r="CV1551" s="16"/>
      <c r="CW1551" s="16"/>
      <c r="CX1551" s="16"/>
      <c r="CY1551" s="16"/>
      <c r="CZ1551" s="16"/>
      <c r="DA1551" s="16"/>
      <c r="DB1551" s="16"/>
      <c r="DC1551" s="16"/>
      <c r="DD1551" s="16"/>
      <c r="DE1551" s="17"/>
      <c r="DF1551" s="17"/>
      <c r="DG1551" s="16"/>
      <c r="DH1551" s="16"/>
      <c r="DI1551" s="17"/>
      <c r="DJ1551" s="17"/>
      <c r="DK1551" s="16"/>
      <c r="DL1551" s="16"/>
      <c r="DM1551" s="17"/>
      <c r="DN1551" s="17"/>
      <c r="DO1551" s="16"/>
      <c r="DP1551" s="16"/>
      <c r="DQ1551" s="17"/>
      <c r="DR1551" s="17"/>
      <c r="DS1551" s="16"/>
      <c r="DT1551" s="16"/>
      <c r="DU1551" s="17"/>
      <c r="DV1551" s="17"/>
      <c r="DW1551" s="16"/>
      <c r="DX1551" s="16"/>
      <c r="DY1551" s="17"/>
      <c r="DZ1551" s="17"/>
      <c r="EA1551" s="16"/>
      <c r="EB1551" s="16"/>
      <c r="EC1551" s="17"/>
      <c r="ED1551" s="17"/>
      <c r="EE1551" s="16"/>
      <c r="EF1551" s="16"/>
      <c r="EG1551" s="17"/>
      <c r="EH1551" s="17"/>
      <c r="EI1551" s="16"/>
      <c r="EJ1551" s="16"/>
      <c r="EK1551" s="17"/>
      <c r="EL1551" s="17"/>
      <c r="EM1551" s="16"/>
      <c r="EN1551" s="16"/>
      <c r="EO1551" s="17"/>
      <c r="EP1551" s="17"/>
      <c r="EQ1551" s="16"/>
      <c r="ER1551" s="16"/>
      <c r="ES1551" s="17"/>
      <c r="ET1551" s="17"/>
      <c r="EU1551" s="16"/>
      <c r="EV1551" s="16"/>
      <c r="EW1551" s="17"/>
      <c r="EX1551" s="17"/>
      <c r="EY1551" s="16"/>
      <c r="EZ1551" s="16"/>
      <c r="FA1551" s="17"/>
      <c r="FB1551" s="17"/>
      <c r="FC1551" s="16"/>
      <c r="FD1551" s="16"/>
      <c r="FE1551" s="17"/>
      <c r="FF1551" s="17"/>
      <c r="FG1551" s="11"/>
      <c r="GT1551" s="11"/>
      <c r="IG1551" s="11"/>
      <c r="JT1551" s="11"/>
      <c r="LG1551" s="11"/>
      <c r="MT1551" s="11"/>
      <c r="OG1551" s="11"/>
      <c r="PT1551" s="11"/>
    </row>
    <row r="1552" spans="1:436" ht="15.75" x14ac:dyDescent="0.25">
      <c r="C1552" s="20" t="s">
        <v>1142</v>
      </c>
      <c r="D1552" s="21" t="s">
        <v>93</v>
      </c>
      <c r="H1552" s="11"/>
      <c r="AU1552" s="11"/>
      <c r="CH1552" s="11"/>
      <c r="CI1552" s="16"/>
      <c r="CJ1552" s="16"/>
      <c r="CK1552" s="16"/>
      <c r="CL1552" s="16"/>
      <c r="CM1552" s="16"/>
      <c r="CN1552" s="16"/>
      <c r="CO1552" s="16"/>
      <c r="CP1552" s="16"/>
      <c r="CQ1552" s="16"/>
      <c r="CR1552" s="16"/>
      <c r="CS1552" s="16"/>
      <c r="CT1552" s="16"/>
      <c r="CU1552" s="16"/>
      <c r="CV1552" s="16"/>
      <c r="CW1552" s="16"/>
      <c r="CX1552" s="16"/>
      <c r="CY1552" s="16"/>
      <c r="CZ1552" s="16"/>
      <c r="DA1552" s="16"/>
      <c r="DB1552" s="16"/>
      <c r="DC1552" s="16"/>
      <c r="DD1552" s="16"/>
      <c r="DE1552" s="17"/>
      <c r="DF1552" s="17"/>
      <c r="DG1552" s="16"/>
      <c r="DH1552" s="16"/>
      <c r="DI1552" s="17"/>
      <c r="DJ1552" s="17"/>
      <c r="DK1552" s="16"/>
      <c r="DL1552" s="16"/>
      <c r="DM1552" s="17"/>
      <c r="DN1552" s="17"/>
      <c r="DO1552" s="16"/>
      <c r="DP1552" s="16"/>
      <c r="DQ1552" s="17"/>
      <c r="DR1552" s="17"/>
      <c r="DS1552" s="16"/>
      <c r="DT1552" s="16"/>
      <c r="DU1552" s="17"/>
      <c r="DV1552" s="17"/>
      <c r="DW1552" s="16"/>
      <c r="DX1552" s="16"/>
      <c r="DY1552" s="17"/>
      <c r="DZ1552" s="17"/>
      <c r="EA1552" s="16"/>
      <c r="EB1552" s="16"/>
      <c r="EC1552" s="17"/>
      <c r="ED1552" s="17"/>
      <c r="EE1552" s="16"/>
      <c r="EF1552" s="16"/>
      <c r="EG1552" s="17"/>
      <c r="EH1552" s="17"/>
      <c r="EI1552" s="16"/>
      <c r="EJ1552" s="16"/>
      <c r="EK1552" s="17"/>
      <c r="EL1552" s="17"/>
      <c r="EM1552" s="16"/>
      <c r="EN1552" s="16"/>
      <c r="EO1552" s="17"/>
      <c r="EP1552" s="17"/>
      <c r="EQ1552" s="16"/>
      <c r="ER1552" s="16"/>
      <c r="ES1552" s="17"/>
      <c r="ET1552" s="17"/>
      <c r="EU1552" s="16"/>
      <c r="EV1552" s="16"/>
      <c r="EW1552" s="17"/>
      <c r="EX1552" s="17"/>
      <c r="EY1552" s="16"/>
      <c r="EZ1552" s="16"/>
      <c r="FA1552" s="17"/>
      <c r="FB1552" s="17"/>
      <c r="FC1552" s="16"/>
      <c r="FD1552" s="16"/>
      <c r="FE1552" s="17"/>
      <c r="FF1552" s="17"/>
      <c r="FG1552" s="11"/>
      <c r="GT1552" s="11"/>
      <c r="IG1552" s="11"/>
      <c r="JT1552" s="11"/>
      <c r="LG1552" s="11"/>
      <c r="MT1552" s="11"/>
      <c r="OG1552" s="11"/>
      <c r="PT1552" s="11"/>
    </row>
    <row r="1553" spans="3:436" ht="15.75" x14ac:dyDescent="0.25">
      <c r="C1553" s="20" t="s">
        <v>1143</v>
      </c>
      <c r="D1553" s="21" t="s">
        <v>93</v>
      </c>
      <c r="H1553" s="11"/>
      <c r="AU1553" s="11"/>
      <c r="CH1553" s="11"/>
      <c r="CI1553" s="16"/>
      <c r="CJ1553" s="16"/>
      <c r="CK1553" s="16"/>
      <c r="CL1553" s="16"/>
      <c r="CM1553" s="16"/>
      <c r="CN1553" s="16"/>
      <c r="CO1553" s="16"/>
      <c r="CP1553" s="16"/>
      <c r="CQ1553" s="16"/>
      <c r="CR1553" s="16"/>
      <c r="CS1553" s="16"/>
      <c r="CT1553" s="16"/>
      <c r="CU1553" s="16"/>
      <c r="CV1553" s="16"/>
      <c r="CW1553" s="16"/>
      <c r="CX1553" s="16"/>
      <c r="CY1553" s="16"/>
      <c r="CZ1553" s="16"/>
      <c r="DA1553" s="16"/>
      <c r="DB1553" s="16"/>
      <c r="DC1553" s="16"/>
      <c r="DD1553" s="16"/>
      <c r="DE1553" s="17"/>
      <c r="DF1553" s="17"/>
      <c r="DG1553" s="16"/>
      <c r="DH1553" s="16"/>
      <c r="DI1553" s="17"/>
      <c r="DJ1553" s="17"/>
      <c r="DK1553" s="16"/>
      <c r="DL1553" s="16"/>
      <c r="DM1553" s="17"/>
      <c r="DN1553" s="17"/>
      <c r="DO1553" s="16"/>
      <c r="DP1553" s="16"/>
      <c r="DQ1553" s="17"/>
      <c r="DR1553" s="17"/>
      <c r="DS1553" s="16"/>
      <c r="DT1553" s="16"/>
      <c r="DU1553" s="17"/>
      <c r="DV1553" s="17"/>
      <c r="DW1553" s="16"/>
      <c r="DX1553" s="16"/>
      <c r="DY1553" s="17"/>
      <c r="DZ1553" s="17"/>
      <c r="EA1553" s="16"/>
      <c r="EB1553" s="16"/>
      <c r="EC1553" s="17"/>
      <c r="ED1553" s="17"/>
      <c r="EE1553" s="16"/>
      <c r="EF1553" s="16"/>
      <c r="EG1553" s="17"/>
      <c r="EH1553" s="17"/>
      <c r="EI1553" s="16"/>
      <c r="EJ1553" s="16"/>
      <c r="EK1553" s="17"/>
      <c r="EL1553" s="17"/>
      <c r="EM1553" s="16"/>
      <c r="EN1553" s="16"/>
      <c r="EO1553" s="17"/>
      <c r="EP1553" s="17"/>
      <c r="EQ1553" s="16"/>
      <c r="ER1553" s="16"/>
      <c r="ES1553" s="17"/>
      <c r="ET1553" s="17"/>
      <c r="EU1553" s="16"/>
      <c r="EV1553" s="16"/>
      <c r="EW1553" s="17"/>
      <c r="EX1553" s="17"/>
      <c r="EY1553" s="16"/>
      <c r="EZ1553" s="16"/>
      <c r="FA1553" s="17"/>
      <c r="FB1553" s="17"/>
      <c r="FC1553" s="16"/>
      <c r="FD1553" s="16"/>
      <c r="FE1553" s="17"/>
      <c r="FF1553" s="17"/>
      <c r="FG1553" s="11"/>
      <c r="GT1553" s="11"/>
      <c r="IG1553" s="11"/>
      <c r="JT1553" s="11"/>
      <c r="LG1553" s="11"/>
      <c r="MT1553" s="11"/>
      <c r="OG1553" s="11"/>
      <c r="PT1553" s="11"/>
    </row>
    <row r="1554" spans="3:436" ht="15.75" x14ac:dyDescent="0.25">
      <c r="C1554" s="20" t="s">
        <v>1144</v>
      </c>
      <c r="D1554" s="21" t="s">
        <v>93</v>
      </c>
      <c r="H1554" s="11"/>
      <c r="AU1554" s="11"/>
      <c r="CH1554" s="11"/>
      <c r="CI1554" s="16"/>
      <c r="CJ1554" s="16"/>
      <c r="CK1554" s="16"/>
      <c r="CL1554" s="16"/>
      <c r="CM1554" s="16"/>
      <c r="CN1554" s="16"/>
      <c r="CO1554" s="16"/>
      <c r="CP1554" s="16"/>
      <c r="CQ1554" s="16"/>
      <c r="CR1554" s="16"/>
      <c r="CS1554" s="16"/>
      <c r="CT1554" s="16"/>
      <c r="CU1554" s="16"/>
      <c r="CV1554" s="16"/>
      <c r="CW1554" s="16"/>
      <c r="CX1554" s="16"/>
      <c r="CY1554" s="16"/>
      <c r="CZ1554" s="16"/>
      <c r="DA1554" s="16"/>
      <c r="DB1554" s="16"/>
      <c r="DC1554" s="16"/>
      <c r="DD1554" s="16"/>
      <c r="DE1554" s="17"/>
      <c r="DF1554" s="17"/>
      <c r="DG1554" s="16"/>
      <c r="DH1554" s="16"/>
      <c r="DI1554" s="17"/>
      <c r="DJ1554" s="17"/>
      <c r="DK1554" s="16"/>
      <c r="DL1554" s="16"/>
      <c r="DM1554" s="17"/>
      <c r="DN1554" s="17"/>
      <c r="DO1554" s="16"/>
      <c r="DP1554" s="16"/>
      <c r="DQ1554" s="17"/>
      <c r="DR1554" s="17"/>
      <c r="DS1554" s="16"/>
      <c r="DT1554" s="16"/>
      <c r="DU1554" s="17"/>
      <c r="DV1554" s="17"/>
      <c r="DW1554" s="16"/>
      <c r="DX1554" s="16"/>
      <c r="DY1554" s="17"/>
      <c r="DZ1554" s="17"/>
      <c r="EA1554" s="16"/>
      <c r="EB1554" s="16"/>
      <c r="EC1554" s="17"/>
      <c r="ED1554" s="17"/>
      <c r="EE1554" s="16"/>
      <c r="EF1554" s="16"/>
      <c r="EG1554" s="17"/>
      <c r="EH1554" s="17"/>
      <c r="EI1554" s="16"/>
      <c r="EJ1554" s="16"/>
      <c r="EK1554" s="17"/>
      <c r="EL1554" s="17"/>
      <c r="EM1554" s="16"/>
      <c r="EN1554" s="16"/>
      <c r="EO1554" s="17"/>
      <c r="EP1554" s="17"/>
      <c r="EQ1554" s="16"/>
      <c r="ER1554" s="16"/>
      <c r="ES1554" s="17"/>
      <c r="ET1554" s="17"/>
      <c r="EU1554" s="16"/>
      <c r="EV1554" s="16"/>
      <c r="EW1554" s="17"/>
      <c r="EX1554" s="17"/>
      <c r="EY1554" s="16"/>
      <c r="EZ1554" s="16"/>
      <c r="FA1554" s="17"/>
      <c r="FB1554" s="17"/>
      <c r="FC1554" s="16"/>
      <c r="FD1554" s="16"/>
      <c r="FE1554" s="17"/>
      <c r="FF1554" s="17"/>
      <c r="FG1554" s="11"/>
      <c r="GT1554" s="11"/>
      <c r="IG1554" s="11"/>
      <c r="JT1554" s="11"/>
      <c r="LG1554" s="11"/>
      <c r="MT1554" s="11"/>
      <c r="OG1554" s="11"/>
      <c r="PT1554" s="11"/>
    </row>
    <row r="1555" spans="3:436" ht="15.75" x14ac:dyDescent="0.25">
      <c r="C1555" s="20" t="s">
        <v>1145</v>
      </c>
      <c r="D1555" s="21" t="s">
        <v>93</v>
      </c>
      <c r="H1555" s="11"/>
      <c r="AU1555" s="11"/>
      <c r="CH1555" s="11"/>
      <c r="CI1555" s="16"/>
      <c r="CJ1555" s="16"/>
      <c r="CK1555" s="16"/>
      <c r="CL1555" s="16"/>
      <c r="CM1555" s="16"/>
      <c r="CN1555" s="16"/>
      <c r="CO1555" s="16"/>
      <c r="CP1555" s="16"/>
      <c r="CQ1555" s="16"/>
      <c r="CR1555" s="16"/>
      <c r="CS1555" s="16"/>
      <c r="CT1555" s="16"/>
      <c r="CU1555" s="16"/>
      <c r="CV1555" s="16"/>
      <c r="CW1555" s="16"/>
      <c r="CX1555" s="16"/>
      <c r="CY1555" s="16"/>
      <c r="CZ1555" s="16"/>
      <c r="DA1555" s="16"/>
      <c r="DB1555" s="16"/>
      <c r="DC1555" s="16"/>
      <c r="DD1555" s="16"/>
      <c r="DE1555" s="17"/>
      <c r="DF1555" s="17"/>
      <c r="DG1555" s="16"/>
      <c r="DH1555" s="16"/>
      <c r="DI1555" s="17"/>
      <c r="DJ1555" s="17"/>
      <c r="DK1555" s="16"/>
      <c r="DL1555" s="16"/>
      <c r="DM1555" s="17"/>
      <c r="DN1555" s="17"/>
      <c r="DO1555" s="16"/>
      <c r="DP1555" s="16"/>
      <c r="DQ1555" s="17"/>
      <c r="DR1555" s="17"/>
      <c r="DS1555" s="16"/>
      <c r="DT1555" s="16"/>
      <c r="DU1555" s="17"/>
      <c r="DV1555" s="17"/>
      <c r="DW1555" s="16"/>
      <c r="DX1555" s="16"/>
      <c r="DY1555" s="17"/>
      <c r="DZ1555" s="17"/>
      <c r="EA1555" s="16"/>
      <c r="EB1555" s="16"/>
      <c r="EC1555" s="17"/>
      <c r="ED1555" s="17"/>
      <c r="EE1555" s="16"/>
      <c r="EF1555" s="16"/>
      <c r="EG1555" s="17"/>
      <c r="EH1555" s="17"/>
      <c r="EI1555" s="16"/>
      <c r="EJ1555" s="16"/>
      <c r="EK1555" s="17"/>
      <c r="EL1555" s="17"/>
      <c r="EM1555" s="16"/>
      <c r="EN1555" s="16"/>
      <c r="EO1555" s="17"/>
      <c r="EP1555" s="17"/>
      <c r="EQ1555" s="16"/>
      <c r="ER1555" s="16"/>
      <c r="ES1555" s="17"/>
      <c r="ET1555" s="17"/>
      <c r="EU1555" s="16"/>
      <c r="EV1555" s="16"/>
      <c r="EW1555" s="17"/>
      <c r="EX1555" s="17"/>
      <c r="EY1555" s="16"/>
      <c r="EZ1555" s="16"/>
      <c r="FA1555" s="17"/>
      <c r="FB1555" s="17"/>
      <c r="FC1555" s="16"/>
      <c r="FD1555" s="16"/>
      <c r="FE1555" s="17"/>
      <c r="FF1555" s="17"/>
      <c r="FG1555" s="11"/>
      <c r="GT1555" s="11"/>
      <c r="IG1555" s="11"/>
      <c r="JT1555" s="11"/>
      <c r="LG1555" s="11"/>
      <c r="MT1555" s="11"/>
      <c r="OG1555" s="11"/>
      <c r="PT1555" s="11"/>
    </row>
    <row r="1556" spans="3:436" ht="15.75" x14ac:dyDescent="0.25">
      <c r="C1556" s="20" t="s">
        <v>1146</v>
      </c>
      <c r="D1556" s="21" t="s">
        <v>93</v>
      </c>
      <c r="H1556" s="11"/>
      <c r="AU1556" s="11"/>
      <c r="CH1556" s="11"/>
      <c r="CI1556" s="16"/>
      <c r="CJ1556" s="16"/>
      <c r="CK1556" s="16"/>
      <c r="CL1556" s="16"/>
      <c r="CM1556" s="16"/>
      <c r="CN1556" s="16"/>
      <c r="CO1556" s="16"/>
      <c r="CP1556" s="16"/>
      <c r="CQ1556" s="16"/>
      <c r="CR1556" s="16"/>
      <c r="CS1556" s="16"/>
      <c r="CT1556" s="16"/>
      <c r="CU1556" s="16"/>
      <c r="CV1556" s="16"/>
      <c r="CW1556" s="16"/>
      <c r="CX1556" s="16"/>
      <c r="CY1556" s="16"/>
      <c r="CZ1556" s="16"/>
      <c r="DA1556" s="16"/>
      <c r="DB1556" s="16"/>
      <c r="DC1556" s="16"/>
      <c r="DD1556" s="16"/>
      <c r="DE1556" s="17"/>
      <c r="DF1556" s="17"/>
      <c r="DG1556" s="16"/>
      <c r="DH1556" s="16"/>
      <c r="DI1556" s="17"/>
      <c r="DJ1556" s="17"/>
      <c r="DK1556" s="16"/>
      <c r="DL1556" s="16"/>
      <c r="DM1556" s="17"/>
      <c r="DN1556" s="17"/>
      <c r="DO1556" s="16"/>
      <c r="DP1556" s="16"/>
      <c r="DQ1556" s="17"/>
      <c r="DR1556" s="17"/>
      <c r="DS1556" s="16"/>
      <c r="DT1556" s="16"/>
      <c r="DU1556" s="17"/>
      <c r="DV1556" s="17"/>
      <c r="DW1556" s="16"/>
      <c r="DX1556" s="16"/>
      <c r="DY1556" s="17"/>
      <c r="DZ1556" s="17"/>
      <c r="EA1556" s="16"/>
      <c r="EB1556" s="16"/>
      <c r="EC1556" s="17"/>
      <c r="ED1556" s="17"/>
      <c r="EE1556" s="16"/>
      <c r="EF1556" s="16"/>
      <c r="EG1556" s="17"/>
      <c r="EH1556" s="17"/>
      <c r="EI1556" s="16"/>
      <c r="EJ1556" s="16"/>
      <c r="EK1556" s="17"/>
      <c r="EL1556" s="17"/>
      <c r="EM1556" s="16"/>
      <c r="EN1556" s="16"/>
      <c r="EO1556" s="17"/>
      <c r="EP1556" s="17"/>
      <c r="EQ1556" s="16"/>
      <c r="ER1556" s="16"/>
      <c r="ES1556" s="17"/>
      <c r="ET1556" s="17"/>
      <c r="EU1556" s="16"/>
      <c r="EV1556" s="16"/>
      <c r="EW1556" s="17"/>
      <c r="EX1556" s="17"/>
      <c r="EY1556" s="16"/>
      <c r="EZ1556" s="16"/>
      <c r="FA1556" s="17"/>
      <c r="FB1556" s="17"/>
      <c r="FC1556" s="16"/>
      <c r="FD1556" s="16"/>
      <c r="FE1556" s="17"/>
      <c r="FF1556" s="17"/>
      <c r="FG1556" s="11"/>
      <c r="GT1556" s="11"/>
      <c r="IG1556" s="11"/>
      <c r="JT1556" s="11"/>
      <c r="LG1556" s="11"/>
      <c r="MT1556" s="11"/>
      <c r="OG1556" s="11"/>
      <c r="PT1556" s="11"/>
    </row>
    <row r="1557" spans="3:436" ht="15.75" x14ac:dyDescent="0.25">
      <c r="C1557" s="20" t="s">
        <v>1147</v>
      </c>
      <c r="D1557" s="21" t="s">
        <v>93</v>
      </c>
      <c r="H1557" s="11"/>
      <c r="AU1557" s="11"/>
      <c r="CH1557" s="11"/>
      <c r="CI1557" s="16"/>
      <c r="CJ1557" s="16"/>
      <c r="CK1557" s="16"/>
      <c r="CL1557" s="16"/>
      <c r="CM1557" s="16"/>
      <c r="CN1557" s="16"/>
      <c r="CO1557" s="16"/>
      <c r="CP1557" s="16"/>
      <c r="CQ1557" s="16"/>
      <c r="CR1557" s="16"/>
      <c r="CS1557" s="16"/>
      <c r="CT1557" s="16"/>
      <c r="CU1557" s="16"/>
      <c r="CV1557" s="16"/>
      <c r="CW1557" s="16"/>
      <c r="CX1557" s="16"/>
      <c r="CY1557" s="16"/>
      <c r="CZ1557" s="16"/>
      <c r="DA1557" s="16"/>
      <c r="DB1557" s="16"/>
      <c r="DC1557" s="16"/>
      <c r="DD1557" s="16"/>
      <c r="DE1557" s="17"/>
      <c r="DF1557" s="17"/>
      <c r="DG1557" s="16"/>
      <c r="DH1557" s="16"/>
      <c r="DI1557" s="17"/>
      <c r="DJ1557" s="17"/>
      <c r="DK1557" s="16"/>
      <c r="DL1557" s="16"/>
      <c r="DM1557" s="17"/>
      <c r="DN1557" s="17"/>
      <c r="DO1557" s="16"/>
      <c r="DP1557" s="16"/>
      <c r="DQ1557" s="17"/>
      <c r="DR1557" s="17"/>
      <c r="DS1557" s="16"/>
      <c r="DT1557" s="16"/>
      <c r="DU1557" s="17"/>
      <c r="DV1557" s="17"/>
      <c r="DW1557" s="16"/>
      <c r="DX1557" s="16"/>
      <c r="DY1557" s="17"/>
      <c r="DZ1557" s="17"/>
      <c r="EA1557" s="16"/>
      <c r="EB1557" s="16"/>
      <c r="EC1557" s="17"/>
      <c r="ED1557" s="17"/>
      <c r="EE1557" s="16"/>
      <c r="EF1557" s="16"/>
      <c r="EG1557" s="17"/>
      <c r="EH1557" s="17"/>
      <c r="EI1557" s="16"/>
      <c r="EJ1557" s="16"/>
      <c r="EK1557" s="17"/>
      <c r="EL1557" s="17"/>
      <c r="EM1557" s="16"/>
      <c r="EN1557" s="16"/>
      <c r="EO1557" s="17"/>
      <c r="EP1557" s="17"/>
      <c r="EQ1557" s="16"/>
      <c r="ER1557" s="16"/>
      <c r="ES1557" s="17"/>
      <c r="ET1557" s="17"/>
      <c r="EU1557" s="16"/>
      <c r="EV1557" s="16"/>
      <c r="EW1557" s="17"/>
      <c r="EX1557" s="17"/>
      <c r="EY1557" s="16"/>
      <c r="EZ1557" s="16"/>
      <c r="FA1557" s="17"/>
      <c r="FB1557" s="17"/>
      <c r="FC1557" s="16"/>
      <c r="FD1557" s="16"/>
      <c r="FE1557" s="17"/>
      <c r="FF1557" s="17"/>
      <c r="FG1557" s="11"/>
      <c r="GT1557" s="11"/>
      <c r="IG1557" s="11"/>
      <c r="JT1557" s="11"/>
      <c r="LG1557" s="11"/>
      <c r="MT1557" s="11"/>
      <c r="OG1557" s="11"/>
      <c r="PT1557" s="11"/>
    </row>
    <row r="1558" spans="3:436" ht="15.75" x14ac:dyDescent="0.25">
      <c r="C1558" s="20" t="s">
        <v>1148</v>
      </c>
      <c r="D1558" s="21" t="s">
        <v>93</v>
      </c>
      <c r="H1558" s="11"/>
      <c r="AU1558" s="11"/>
      <c r="CH1558" s="11"/>
      <c r="CI1558" s="16"/>
      <c r="CJ1558" s="16"/>
      <c r="CK1558" s="16"/>
      <c r="CL1558" s="16"/>
      <c r="CM1558" s="16"/>
      <c r="CN1558" s="16"/>
      <c r="CO1558" s="16"/>
      <c r="CP1558" s="16"/>
      <c r="CQ1558" s="16"/>
      <c r="CR1558" s="16"/>
      <c r="CS1558" s="16"/>
      <c r="CT1558" s="16"/>
      <c r="CU1558" s="16"/>
      <c r="CV1558" s="16"/>
      <c r="CW1558" s="16"/>
      <c r="CX1558" s="16"/>
      <c r="CY1558" s="16"/>
      <c r="CZ1558" s="16"/>
      <c r="DA1558" s="16"/>
      <c r="DB1558" s="16"/>
      <c r="DC1558" s="16"/>
      <c r="DD1558" s="16"/>
      <c r="DE1558" s="17"/>
      <c r="DF1558" s="17"/>
      <c r="DG1558" s="16"/>
      <c r="DH1558" s="16"/>
      <c r="DI1558" s="17"/>
      <c r="DJ1558" s="17"/>
      <c r="DK1558" s="16"/>
      <c r="DL1558" s="16"/>
      <c r="DM1558" s="17"/>
      <c r="DN1558" s="17"/>
      <c r="DO1558" s="16"/>
      <c r="DP1558" s="16"/>
      <c r="DQ1558" s="17"/>
      <c r="DR1558" s="17"/>
      <c r="DS1558" s="16"/>
      <c r="DT1558" s="16"/>
      <c r="DU1558" s="17"/>
      <c r="DV1558" s="17"/>
      <c r="DW1558" s="16"/>
      <c r="DX1558" s="16"/>
      <c r="DY1558" s="17"/>
      <c r="DZ1558" s="17"/>
      <c r="EA1558" s="16"/>
      <c r="EB1558" s="16"/>
      <c r="EC1558" s="17"/>
      <c r="ED1558" s="17"/>
      <c r="EE1558" s="16"/>
      <c r="EF1558" s="16"/>
      <c r="EG1558" s="17"/>
      <c r="EH1558" s="17"/>
      <c r="EI1558" s="16"/>
      <c r="EJ1558" s="16"/>
      <c r="EK1558" s="17"/>
      <c r="EL1558" s="17"/>
      <c r="EM1558" s="16"/>
      <c r="EN1558" s="16"/>
      <c r="EO1558" s="17"/>
      <c r="EP1558" s="17"/>
      <c r="EQ1558" s="16"/>
      <c r="ER1558" s="16"/>
      <c r="ES1558" s="17"/>
      <c r="ET1558" s="17"/>
      <c r="EU1558" s="16"/>
      <c r="EV1558" s="16"/>
      <c r="EW1558" s="17"/>
      <c r="EX1558" s="17"/>
      <c r="EY1558" s="16"/>
      <c r="EZ1558" s="16"/>
      <c r="FA1558" s="17"/>
      <c r="FB1558" s="17"/>
      <c r="FC1558" s="16"/>
      <c r="FD1558" s="16"/>
      <c r="FE1558" s="17"/>
      <c r="FF1558" s="17"/>
      <c r="FG1558" s="11"/>
      <c r="GT1558" s="11"/>
      <c r="IG1558" s="11"/>
      <c r="JT1558" s="11"/>
      <c r="LG1558" s="11"/>
      <c r="MT1558" s="11"/>
      <c r="OG1558" s="11"/>
      <c r="PT1558" s="11"/>
    </row>
    <row r="1559" spans="3:436" ht="15.75" x14ac:dyDescent="0.25">
      <c r="C1559" s="20" t="s">
        <v>1149</v>
      </c>
      <c r="D1559" s="21" t="s">
        <v>90</v>
      </c>
      <c r="H1559" s="11"/>
      <c r="AU1559" s="11"/>
      <c r="CH1559" s="11"/>
      <c r="CI1559" s="16"/>
      <c r="CJ1559" s="16"/>
      <c r="CK1559" s="16"/>
      <c r="CL1559" s="16"/>
      <c r="CM1559" s="16"/>
      <c r="CN1559" s="16"/>
      <c r="CO1559" s="16"/>
      <c r="CP1559" s="16"/>
      <c r="CQ1559" s="16"/>
      <c r="CR1559" s="16"/>
      <c r="CS1559" s="16"/>
      <c r="CT1559" s="16"/>
      <c r="CU1559" s="16"/>
      <c r="CV1559" s="16"/>
      <c r="CW1559" s="16"/>
      <c r="CX1559" s="16"/>
      <c r="CY1559" s="16"/>
      <c r="CZ1559" s="16"/>
      <c r="DA1559" s="16"/>
      <c r="DB1559" s="16"/>
      <c r="DC1559" s="16"/>
      <c r="DD1559" s="16"/>
      <c r="DE1559" s="17"/>
      <c r="DF1559" s="17"/>
      <c r="DG1559" s="16"/>
      <c r="DH1559" s="16"/>
      <c r="DI1559" s="17"/>
      <c r="DJ1559" s="17"/>
      <c r="DK1559" s="16"/>
      <c r="DL1559" s="16"/>
      <c r="DM1559" s="17"/>
      <c r="DN1559" s="17"/>
      <c r="DO1559" s="16"/>
      <c r="DP1559" s="16"/>
      <c r="DQ1559" s="17"/>
      <c r="DR1559" s="17"/>
      <c r="DS1559" s="16"/>
      <c r="DT1559" s="16"/>
      <c r="DU1559" s="17"/>
      <c r="DV1559" s="17"/>
      <c r="DW1559" s="16"/>
      <c r="DX1559" s="16"/>
      <c r="DY1559" s="17"/>
      <c r="DZ1559" s="17"/>
      <c r="EA1559" s="16"/>
      <c r="EB1559" s="16"/>
      <c r="EC1559" s="17"/>
      <c r="ED1559" s="17"/>
      <c r="EE1559" s="16"/>
      <c r="EF1559" s="16"/>
      <c r="EG1559" s="17"/>
      <c r="EH1559" s="17"/>
      <c r="EI1559" s="16"/>
      <c r="EJ1559" s="16"/>
      <c r="EK1559" s="17"/>
      <c r="EL1559" s="17"/>
      <c r="EM1559" s="16"/>
      <c r="EN1559" s="16"/>
      <c r="EO1559" s="17"/>
      <c r="EP1559" s="17"/>
      <c r="EQ1559" s="16"/>
      <c r="ER1559" s="16"/>
      <c r="ES1559" s="17"/>
      <c r="ET1559" s="17"/>
      <c r="EU1559" s="16"/>
      <c r="EV1559" s="16"/>
      <c r="EW1559" s="17"/>
      <c r="EX1559" s="17"/>
      <c r="EY1559" s="16"/>
      <c r="EZ1559" s="16"/>
      <c r="FA1559" s="17"/>
      <c r="FB1559" s="17"/>
      <c r="FC1559" s="16"/>
      <c r="FD1559" s="16"/>
      <c r="FE1559" s="17"/>
      <c r="FF1559" s="17"/>
      <c r="FG1559" s="11"/>
      <c r="GT1559" s="11"/>
      <c r="IG1559" s="11"/>
      <c r="JT1559" s="11"/>
      <c r="LG1559" s="11"/>
      <c r="MT1559" s="11"/>
      <c r="OG1559" s="11"/>
      <c r="PT1559" s="11"/>
    </row>
    <row r="1560" spans="3:436" ht="15.75" x14ac:dyDescent="0.25">
      <c r="C1560" s="20" t="s">
        <v>1137</v>
      </c>
      <c r="D1560" s="21" t="s">
        <v>79</v>
      </c>
      <c r="H1560" s="11"/>
      <c r="AU1560" s="11"/>
      <c r="CH1560" s="11"/>
      <c r="CI1560" s="16"/>
      <c r="CJ1560" s="16"/>
      <c r="CK1560" s="16"/>
      <c r="CL1560" s="16"/>
      <c r="CM1560" s="16"/>
      <c r="CN1560" s="16"/>
      <c r="CO1560" s="16"/>
      <c r="CP1560" s="16"/>
      <c r="CQ1560" s="16"/>
      <c r="CR1560" s="16"/>
      <c r="CS1560" s="16"/>
      <c r="CT1560" s="16"/>
      <c r="CU1560" s="16"/>
      <c r="CV1560" s="16"/>
      <c r="CW1560" s="16"/>
      <c r="CX1560" s="16"/>
      <c r="CY1560" s="16"/>
      <c r="CZ1560" s="16"/>
      <c r="DA1560" s="16"/>
      <c r="DB1560" s="16"/>
      <c r="DC1560" s="16"/>
      <c r="DD1560" s="16"/>
      <c r="DE1560" s="17"/>
      <c r="DF1560" s="17"/>
      <c r="DG1560" s="16"/>
      <c r="DH1560" s="16"/>
      <c r="DI1560" s="17"/>
      <c r="DJ1560" s="17"/>
      <c r="DK1560" s="16"/>
      <c r="DL1560" s="16"/>
      <c r="DM1560" s="17"/>
      <c r="DN1560" s="17"/>
      <c r="DO1560" s="16"/>
      <c r="DP1560" s="16"/>
      <c r="DQ1560" s="17"/>
      <c r="DR1560" s="17"/>
      <c r="DS1560" s="16"/>
      <c r="DT1560" s="16"/>
      <c r="DU1560" s="17"/>
      <c r="DV1560" s="17"/>
      <c r="DW1560" s="16"/>
      <c r="DX1560" s="16"/>
      <c r="DY1560" s="17"/>
      <c r="DZ1560" s="17"/>
      <c r="EA1560" s="16"/>
      <c r="EB1560" s="16"/>
      <c r="EC1560" s="17"/>
      <c r="ED1560" s="17"/>
      <c r="EE1560" s="16"/>
      <c r="EF1560" s="16"/>
      <c r="EG1560" s="17"/>
      <c r="EH1560" s="17"/>
      <c r="EI1560" s="16"/>
      <c r="EJ1560" s="16"/>
      <c r="EK1560" s="17"/>
      <c r="EL1560" s="17"/>
      <c r="EM1560" s="16"/>
      <c r="EN1560" s="16"/>
      <c r="EO1560" s="17"/>
      <c r="EP1560" s="17"/>
      <c r="EQ1560" s="16"/>
      <c r="ER1560" s="16"/>
      <c r="ES1560" s="17"/>
      <c r="ET1560" s="17"/>
      <c r="EU1560" s="16"/>
      <c r="EV1560" s="16"/>
      <c r="EW1560" s="17"/>
      <c r="EX1560" s="17"/>
      <c r="EY1560" s="16"/>
      <c r="EZ1560" s="16"/>
      <c r="FA1560" s="17"/>
      <c r="FB1560" s="17"/>
      <c r="FC1560" s="16"/>
      <c r="FD1560" s="16"/>
      <c r="FE1560" s="17"/>
      <c r="FF1560" s="17"/>
      <c r="FG1560" s="11"/>
      <c r="GT1560" s="11"/>
      <c r="IG1560" s="11"/>
      <c r="JT1560" s="11"/>
      <c r="LG1560" s="11"/>
      <c r="MT1560" s="11"/>
      <c r="OG1560" s="11"/>
      <c r="PT1560" s="11"/>
    </row>
    <row r="1561" spans="3:436" ht="15.75" x14ac:dyDescent="0.25">
      <c r="C1561" s="20" t="s">
        <v>1138</v>
      </c>
      <c r="D1561" s="21" t="s">
        <v>93</v>
      </c>
      <c r="H1561" s="11"/>
      <c r="AU1561" s="11"/>
      <c r="CH1561" s="11"/>
      <c r="CI1561" s="16"/>
      <c r="CJ1561" s="16"/>
      <c r="CK1561" s="16"/>
      <c r="CL1561" s="16"/>
      <c r="CM1561" s="16"/>
      <c r="CN1561" s="16"/>
      <c r="CO1561" s="16"/>
      <c r="CP1561" s="16"/>
      <c r="CQ1561" s="16"/>
      <c r="CR1561" s="16"/>
      <c r="CS1561" s="16"/>
      <c r="CT1561" s="16"/>
      <c r="CU1561" s="16"/>
      <c r="CV1561" s="16"/>
      <c r="CW1561" s="16"/>
      <c r="CX1561" s="16"/>
      <c r="CY1561" s="16"/>
      <c r="CZ1561" s="16"/>
      <c r="DA1561" s="16"/>
      <c r="DB1561" s="16"/>
      <c r="DC1561" s="16"/>
      <c r="DD1561" s="16"/>
      <c r="DE1561" s="17"/>
      <c r="DF1561" s="17"/>
      <c r="DG1561" s="16"/>
      <c r="DH1561" s="16"/>
      <c r="DI1561" s="17"/>
      <c r="DJ1561" s="17"/>
      <c r="DK1561" s="16"/>
      <c r="DL1561" s="16"/>
      <c r="DM1561" s="17"/>
      <c r="DN1561" s="17"/>
      <c r="DO1561" s="16"/>
      <c r="DP1561" s="16"/>
      <c r="DQ1561" s="17"/>
      <c r="DR1561" s="17"/>
      <c r="DS1561" s="16"/>
      <c r="DT1561" s="16"/>
      <c r="DU1561" s="17"/>
      <c r="DV1561" s="17"/>
      <c r="DW1561" s="16"/>
      <c r="DX1561" s="16"/>
      <c r="DY1561" s="17"/>
      <c r="DZ1561" s="17"/>
      <c r="EA1561" s="16"/>
      <c r="EB1561" s="16"/>
      <c r="EC1561" s="17"/>
      <c r="ED1561" s="17"/>
      <c r="EE1561" s="16"/>
      <c r="EF1561" s="16"/>
      <c r="EG1561" s="17"/>
      <c r="EH1561" s="17"/>
      <c r="EI1561" s="16"/>
      <c r="EJ1561" s="16"/>
      <c r="EK1561" s="17"/>
      <c r="EL1561" s="17"/>
      <c r="EM1561" s="16"/>
      <c r="EN1561" s="16"/>
      <c r="EO1561" s="17"/>
      <c r="EP1561" s="17"/>
      <c r="EQ1561" s="16"/>
      <c r="ER1561" s="16"/>
      <c r="ES1561" s="17"/>
      <c r="ET1561" s="17"/>
      <c r="EU1561" s="16"/>
      <c r="EV1561" s="16"/>
      <c r="EW1561" s="18">
        <v>10</v>
      </c>
      <c r="EX1561" s="18">
        <v>20</v>
      </c>
      <c r="EY1561" s="16"/>
      <c r="EZ1561" s="16"/>
      <c r="FA1561" s="17"/>
      <c r="FB1561" s="17"/>
      <c r="FC1561" s="16"/>
      <c r="FD1561" s="16"/>
      <c r="FE1561" s="17"/>
      <c r="FF1561" s="17"/>
      <c r="FG1561" s="11"/>
      <c r="GT1561" s="11"/>
      <c r="IG1561" s="11"/>
      <c r="JT1561" s="11"/>
      <c r="LG1561" s="11"/>
      <c r="MT1561" s="11"/>
      <c r="OG1561" s="11"/>
      <c r="PT1561" s="11"/>
    </row>
    <row r="1562" spans="3:436" ht="15.75" x14ac:dyDescent="0.25">
      <c r="C1562" s="20" t="s">
        <v>1139</v>
      </c>
      <c r="D1562" s="21" t="s">
        <v>93</v>
      </c>
      <c r="H1562" s="11"/>
      <c r="AU1562" s="11"/>
      <c r="CH1562" s="11"/>
      <c r="CI1562" s="16"/>
      <c r="CJ1562" s="16"/>
      <c r="CK1562" s="16"/>
      <c r="CL1562" s="16"/>
      <c r="CM1562" s="16"/>
      <c r="CN1562" s="16"/>
      <c r="CO1562" s="16"/>
      <c r="CP1562" s="16"/>
      <c r="CQ1562" s="16"/>
      <c r="CR1562" s="16"/>
      <c r="CS1562" s="16"/>
      <c r="CT1562" s="16"/>
      <c r="CU1562" s="16"/>
      <c r="CV1562" s="16"/>
      <c r="CW1562" s="16"/>
      <c r="CX1562" s="16"/>
      <c r="CY1562" s="16"/>
      <c r="CZ1562" s="16"/>
      <c r="DA1562" s="16"/>
      <c r="DB1562" s="16"/>
      <c r="DC1562" s="16"/>
      <c r="DD1562" s="16"/>
      <c r="DE1562" s="17"/>
      <c r="DF1562" s="17"/>
      <c r="DG1562" s="16"/>
      <c r="DH1562" s="16"/>
      <c r="DI1562" s="17"/>
      <c r="DJ1562" s="17"/>
      <c r="DK1562" s="16"/>
      <c r="DL1562" s="16"/>
      <c r="DM1562" s="17"/>
      <c r="DN1562" s="17"/>
      <c r="DO1562" s="16"/>
      <c r="DP1562" s="16"/>
      <c r="DQ1562" s="17"/>
      <c r="DR1562" s="17"/>
      <c r="DS1562" s="16"/>
      <c r="DT1562" s="16"/>
      <c r="DU1562" s="17"/>
      <c r="DV1562" s="17"/>
      <c r="DW1562" s="16"/>
      <c r="DX1562" s="16"/>
      <c r="DY1562" s="17"/>
      <c r="DZ1562" s="17"/>
      <c r="EA1562" s="16"/>
      <c r="EB1562" s="16"/>
      <c r="EC1562" s="17"/>
      <c r="ED1562" s="17"/>
      <c r="EE1562" s="16"/>
      <c r="EF1562" s="16"/>
      <c r="EG1562" s="17"/>
      <c r="EH1562" s="17"/>
      <c r="EI1562" s="16"/>
      <c r="EJ1562" s="16"/>
      <c r="EK1562" s="17"/>
      <c r="EL1562" s="17"/>
      <c r="EM1562" s="16"/>
      <c r="EN1562" s="16"/>
      <c r="EO1562" s="17"/>
      <c r="EP1562" s="17"/>
      <c r="EQ1562" s="16"/>
      <c r="ER1562" s="16"/>
      <c r="ES1562" s="17"/>
      <c r="ET1562" s="17"/>
      <c r="EU1562" s="16"/>
      <c r="EV1562" s="16"/>
      <c r="EW1562" s="18">
        <v>5</v>
      </c>
      <c r="EX1562" s="18">
        <v>10</v>
      </c>
      <c r="EY1562" s="16"/>
      <c r="EZ1562" s="16"/>
      <c r="FA1562" s="17"/>
      <c r="FB1562" s="17"/>
      <c r="FC1562" s="16"/>
      <c r="FD1562" s="16"/>
      <c r="FE1562" s="17"/>
      <c r="FF1562" s="17"/>
      <c r="FG1562" s="11"/>
      <c r="GT1562" s="11"/>
      <c r="IG1562" s="11"/>
      <c r="JT1562" s="11"/>
      <c r="LG1562" s="11"/>
      <c r="MT1562" s="11"/>
      <c r="OG1562" s="11"/>
      <c r="PT1562" s="11"/>
    </row>
    <row r="1563" spans="3:436" ht="15.75" x14ac:dyDescent="0.25">
      <c r="C1563" s="20" t="s">
        <v>1140</v>
      </c>
      <c r="D1563" s="21" t="s">
        <v>93</v>
      </c>
      <c r="H1563" s="11"/>
      <c r="AU1563" s="11"/>
      <c r="CH1563" s="11"/>
      <c r="CI1563" s="16"/>
      <c r="CJ1563" s="16"/>
      <c r="CK1563" s="16"/>
      <c r="CL1563" s="16"/>
      <c r="CM1563" s="16"/>
      <c r="CN1563" s="16"/>
      <c r="CO1563" s="16"/>
      <c r="CP1563" s="16"/>
      <c r="CQ1563" s="16"/>
      <c r="CR1563" s="16"/>
      <c r="CS1563" s="16"/>
      <c r="CT1563" s="16"/>
      <c r="CU1563" s="16"/>
      <c r="CV1563" s="16"/>
      <c r="CW1563" s="16"/>
      <c r="CX1563" s="16"/>
      <c r="CY1563" s="16"/>
      <c r="CZ1563" s="16"/>
      <c r="DA1563" s="16"/>
      <c r="DB1563" s="16"/>
      <c r="DC1563" s="16"/>
      <c r="DD1563" s="16"/>
      <c r="DE1563" s="17"/>
      <c r="DF1563" s="17"/>
      <c r="DG1563" s="16"/>
      <c r="DH1563" s="16"/>
      <c r="DI1563" s="17"/>
      <c r="DJ1563" s="17"/>
      <c r="DK1563" s="16"/>
      <c r="DL1563" s="16"/>
      <c r="DM1563" s="17"/>
      <c r="DN1563" s="17"/>
      <c r="DO1563" s="16"/>
      <c r="DP1563" s="16"/>
      <c r="DQ1563" s="17"/>
      <c r="DR1563" s="17"/>
      <c r="DS1563" s="16"/>
      <c r="DT1563" s="16"/>
      <c r="DU1563" s="17"/>
      <c r="DV1563" s="17"/>
      <c r="DW1563" s="16"/>
      <c r="DX1563" s="16"/>
      <c r="DY1563" s="17"/>
      <c r="DZ1563" s="17"/>
      <c r="EA1563" s="16"/>
      <c r="EB1563" s="16"/>
      <c r="EC1563" s="17"/>
      <c r="ED1563" s="17"/>
      <c r="EE1563" s="16"/>
      <c r="EF1563" s="16"/>
      <c r="EG1563" s="17"/>
      <c r="EH1563" s="17"/>
      <c r="EI1563" s="16"/>
      <c r="EJ1563" s="16"/>
      <c r="EK1563" s="17"/>
      <c r="EL1563" s="17"/>
      <c r="EM1563" s="16"/>
      <c r="EN1563" s="16"/>
      <c r="EO1563" s="17"/>
      <c r="EP1563" s="17"/>
      <c r="EQ1563" s="16"/>
      <c r="ER1563" s="16"/>
      <c r="ES1563" s="17"/>
      <c r="ET1563" s="17"/>
      <c r="EU1563" s="16"/>
      <c r="EV1563" s="16"/>
      <c r="EW1563" s="17"/>
      <c r="EX1563" s="17"/>
      <c r="EY1563" s="16"/>
      <c r="EZ1563" s="16"/>
      <c r="FA1563" s="17"/>
      <c r="FB1563" s="17"/>
      <c r="FC1563" s="16"/>
      <c r="FD1563" s="16"/>
      <c r="FE1563" s="17"/>
      <c r="FF1563" s="17"/>
      <c r="FG1563" s="11"/>
      <c r="GT1563" s="11"/>
      <c r="IG1563" s="11"/>
      <c r="JT1563" s="11"/>
      <c r="LG1563" s="11"/>
      <c r="MT1563" s="11"/>
      <c r="OG1563" s="11"/>
      <c r="PT1563" s="11"/>
    </row>
    <row r="1564" spans="3:436" ht="15.75" x14ac:dyDescent="0.25">
      <c r="C1564" s="20" t="s">
        <v>1141</v>
      </c>
      <c r="D1564" s="21" t="s">
        <v>93</v>
      </c>
      <c r="H1564" s="11"/>
      <c r="AU1564" s="11"/>
      <c r="CH1564" s="11"/>
      <c r="CI1564" s="16"/>
      <c r="CJ1564" s="16"/>
      <c r="CK1564" s="16"/>
      <c r="CL1564" s="16"/>
      <c r="CM1564" s="16"/>
      <c r="CN1564" s="16"/>
      <c r="CO1564" s="16"/>
      <c r="CP1564" s="16"/>
      <c r="CQ1564" s="16"/>
      <c r="CR1564" s="16"/>
      <c r="CS1564" s="16"/>
      <c r="CT1564" s="16"/>
      <c r="CU1564" s="16"/>
      <c r="CV1564" s="16"/>
      <c r="CW1564" s="16"/>
      <c r="CX1564" s="16"/>
      <c r="CY1564" s="16"/>
      <c r="CZ1564" s="16"/>
      <c r="DA1564" s="16"/>
      <c r="DB1564" s="16"/>
      <c r="DC1564" s="16"/>
      <c r="DD1564" s="16"/>
      <c r="DE1564" s="17"/>
      <c r="DF1564" s="17"/>
      <c r="DG1564" s="16"/>
      <c r="DH1564" s="16"/>
      <c r="DI1564" s="17"/>
      <c r="DJ1564" s="17"/>
      <c r="DK1564" s="16"/>
      <c r="DL1564" s="16"/>
      <c r="DM1564" s="17"/>
      <c r="DN1564" s="17"/>
      <c r="DO1564" s="16"/>
      <c r="DP1564" s="16"/>
      <c r="DQ1564" s="17"/>
      <c r="DR1564" s="17"/>
      <c r="DS1564" s="16"/>
      <c r="DT1564" s="16"/>
      <c r="DU1564" s="17"/>
      <c r="DV1564" s="17"/>
      <c r="DW1564" s="16"/>
      <c r="DX1564" s="16"/>
      <c r="DY1564" s="17"/>
      <c r="DZ1564" s="17"/>
      <c r="EA1564" s="16"/>
      <c r="EB1564" s="16"/>
      <c r="EC1564" s="17"/>
      <c r="ED1564" s="17"/>
      <c r="EE1564" s="16"/>
      <c r="EF1564" s="16"/>
      <c r="EG1564" s="17"/>
      <c r="EH1564" s="17"/>
      <c r="EI1564" s="16"/>
      <c r="EJ1564" s="16"/>
      <c r="EK1564" s="17"/>
      <c r="EL1564" s="17"/>
      <c r="EM1564" s="16"/>
      <c r="EN1564" s="16"/>
      <c r="EO1564" s="17"/>
      <c r="EP1564" s="17"/>
      <c r="EQ1564" s="16"/>
      <c r="ER1564" s="16"/>
      <c r="ES1564" s="17"/>
      <c r="ET1564" s="17"/>
      <c r="EU1564" s="16"/>
      <c r="EV1564" s="16"/>
      <c r="EW1564" s="17"/>
      <c r="EX1564" s="17"/>
      <c r="EY1564" s="16"/>
      <c r="EZ1564" s="16"/>
      <c r="FA1564" s="17"/>
      <c r="FB1564" s="17"/>
      <c r="FC1564" s="16"/>
      <c r="FD1564" s="16"/>
      <c r="FE1564" s="17"/>
      <c r="FF1564" s="17"/>
      <c r="FG1564" s="11"/>
      <c r="GT1564" s="11"/>
      <c r="IG1564" s="11"/>
      <c r="JT1564" s="11"/>
      <c r="LG1564" s="11"/>
      <c r="MT1564" s="11"/>
      <c r="OG1564" s="11"/>
      <c r="PT1564" s="11"/>
    </row>
    <row r="1565" spans="3:436" ht="15.75" x14ac:dyDescent="0.25">
      <c r="C1565" s="20" t="s">
        <v>1142</v>
      </c>
      <c r="D1565" s="21" t="s">
        <v>93</v>
      </c>
      <c r="H1565" s="11"/>
      <c r="AU1565" s="11"/>
      <c r="CH1565" s="11"/>
      <c r="CI1565" s="16"/>
      <c r="CJ1565" s="16"/>
      <c r="CK1565" s="16"/>
      <c r="CL1565" s="16"/>
      <c r="CM1565" s="16"/>
      <c r="CN1565" s="16"/>
      <c r="CO1565" s="16"/>
      <c r="CP1565" s="16"/>
      <c r="CQ1565" s="16"/>
      <c r="CR1565" s="16"/>
      <c r="CS1565" s="16"/>
      <c r="CT1565" s="16"/>
      <c r="CU1565" s="16"/>
      <c r="CV1565" s="16"/>
      <c r="CW1565" s="16"/>
      <c r="CX1565" s="16"/>
      <c r="CY1565" s="16"/>
      <c r="CZ1565" s="16"/>
      <c r="DA1565" s="16"/>
      <c r="DB1565" s="16"/>
      <c r="DC1565" s="16"/>
      <c r="DD1565" s="16"/>
      <c r="DE1565" s="17"/>
      <c r="DF1565" s="17"/>
      <c r="DG1565" s="16"/>
      <c r="DH1565" s="16"/>
      <c r="DI1565" s="17"/>
      <c r="DJ1565" s="17"/>
      <c r="DK1565" s="16"/>
      <c r="DL1565" s="16"/>
      <c r="DM1565" s="17"/>
      <c r="DN1565" s="17"/>
      <c r="DO1565" s="16"/>
      <c r="DP1565" s="16"/>
      <c r="DQ1565" s="17"/>
      <c r="DR1565" s="17"/>
      <c r="DS1565" s="16"/>
      <c r="DT1565" s="16"/>
      <c r="DU1565" s="17"/>
      <c r="DV1565" s="17"/>
      <c r="DW1565" s="16"/>
      <c r="DX1565" s="16"/>
      <c r="DY1565" s="17"/>
      <c r="DZ1565" s="17"/>
      <c r="EA1565" s="16"/>
      <c r="EB1565" s="16"/>
      <c r="EC1565" s="17"/>
      <c r="ED1565" s="17"/>
      <c r="EE1565" s="16"/>
      <c r="EF1565" s="16"/>
      <c r="EG1565" s="17"/>
      <c r="EH1565" s="17"/>
      <c r="EI1565" s="16"/>
      <c r="EJ1565" s="16"/>
      <c r="EK1565" s="17"/>
      <c r="EL1565" s="17"/>
      <c r="EM1565" s="16"/>
      <c r="EN1565" s="16"/>
      <c r="EO1565" s="17"/>
      <c r="EP1565" s="17"/>
      <c r="EQ1565" s="16"/>
      <c r="ER1565" s="16"/>
      <c r="ES1565" s="17"/>
      <c r="ET1565" s="17"/>
      <c r="EU1565" s="16"/>
      <c r="EV1565" s="16"/>
      <c r="EW1565" s="18">
        <v>0.5</v>
      </c>
      <c r="EX1565" s="18">
        <v>10</v>
      </c>
      <c r="EY1565" s="16"/>
      <c r="EZ1565" s="16"/>
      <c r="FA1565" s="17"/>
      <c r="FB1565" s="17"/>
      <c r="FC1565" s="16"/>
      <c r="FD1565" s="16"/>
      <c r="FE1565" s="17"/>
      <c r="FF1565" s="17"/>
      <c r="FG1565" s="11"/>
      <c r="GT1565" s="11"/>
      <c r="IG1565" s="11"/>
      <c r="JT1565" s="11"/>
      <c r="LG1565" s="11"/>
      <c r="MT1565" s="11"/>
      <c r="OG1565" s="11"/>
      <c r="PT1565" s="11"/>
    </row>
    <row r="1566" spans="3:436" ht="15.75" x14ac:dyDescent="0.25">
      <c r="C1566" s="20" t="s">
        <v>1143</v>
      </c>
      <c r="D1566" s="21" t="s">
        <v>93</v>
      </c>
      <c r="H1566" s="11"/>
      <c r="AU1566" s="11"/>
      <c r="CH1566" s="11"/>
      <c r="CI1566" s="16"/>
      <c r="CJ1566" s="16"/>
      <c r="CK1566" s="16"/>
      <c r="CL1566" s="16"/>
      <c r="CM1566" s="16"/>
      <c r="CN1566" s="16"/>
      <c r="CO1566" s="16"/>
      <c r="CP1566" s="16"/>
      <c r="CQ1566" s="16"/>
      <c r="CR1566" s="16"/>
      <c r="CS1566" s="16"/>
      <c r="CT1566" s="16"/>
      <c r="CU1566" s="16"/>
      <c r="CV1566" s="16"/>
      <c r="CW1566" s="16"/>
      <c r="CX1566" s="16"/>
      <c r="CY1566" s="16"/>
      <c r="CZ1566" s="16"/>
      <c r="DA1566" s="16"/>
      <c r="DB1566" s="16"/>
      <c r="DC1566" s="16"/>
      <c r="DD1566" s="16"/>
      <c r="DE1566" s="17"/>
      <c r="DF1566" s="17"/>
      <c r="DG1566" s="16"/>
      <c r="DH1566" s="16"/>
      <c r="DI1566" s="17"/>
      <c r="DJ1566" s="17"/>
      <c r="DK1566" s="16"/>
      <c r="DL1566" s="16"/>
      <c r="DM1566" s="17"/>
      <c r="DN1566" s="17"/>
      <c r="DO1566" s="16"/>
      <c r="DP1566" s="16"/>
      <c r="DQ1566" s="17"/>
      <c r="DR1566" s="17"/>
      <c r="DS1566" s="16"/>
      <c r="DT1566" s="16"/>
      <c r="DU1566" s="17"/>
      <c r="DV1566" s="17"/>
      <c r="DW1566" s="16"/>
      <c r="DX1566" s="16"/>
      <c r="DY1566" s="17"/>
      <c r="DZ1566" s="17"/>
      <c r="EA1566" s="16"/>
      <c r="EB1566" s="16"/>
      <c r="EC1566" s="17"/>
      <c r="ED1566" s="17"/>
      <c r="EE1566" s="16"/>
      <c r="EF1566" s="16"/>
      <c r="EG1566" s="17"/>
      <c r="EH1566" s="17"/>
      <c r="EI1566" s="16"/>
      <c r="EJ1566" s="16"/>
      <c r="EK1566" s="17"/>
      <c r="EL1566" s="17"/>
      <c r="EM1566" s="16"/>
      <c r="EN1566" s="16"/>
      <c r="EO1566" s="17"/>
      <c r="EP1566" s="17"/>
      <c r="EQ1566" s="16"/>
      <c r="ER1566" s="16"/>
      <c r="ES1566" s="17"/>
      <c r="ET1566" s="17"/>
      <c r="EU1566" s="16"/>
      <c r="EV1566" s="16"/>
      <c r="EW1566" s="17"/>
      <c r="EX1566" s="17"/>
      <c r="EY1566" s="16"/>
      <c r="EZ1566" s="16"/>
      <c r="FA1566" s="17"/>
      <c r="FB1566" s="17"/>
      <c r="FC1566" s="16"/>
      <c r="FD1566" s="16"/>
      <c r="FE1566" s="17"/>
      <c r="FF1566" s="17"/>
      <c r="FG1566" s="11"/>
      <c r="GT1566" s="11"/>
      <c r="IG1566" s="11"/>
      <c r="JT1566" s="11"/>
      <c r="LG1566" s="11"/>
      <c r="MT1566" s="11"/>
      <c r="OG1566" s="11"/>
      <c r="PT1566" s="11"/>
    </row>
    <row r="1567" spans="3:436" ht="15.75" x14ac:dyDescent="0.25">
      <c r="C1567" s="20" t="s">
        <v>1144</v>
      </c>
      <c r="D1567" s="21" t="s">
        <v>93</v>
      </c>
      <c r="H1567" s="11"/>
      <c r="AU1567" s="11"/>
      <c r="CH1567" s="11"/>
      <c r="CI1567" s="16"/>
      <c r="CJ1567" s="16"/>
      <c r="CK1567" s="16"/>
      <c r="CL1567" s="16"/>
      <c r="CM1567" s="16"/>
      <c r="CN1567" s="16"/>
      <c r="CO1567" s="16"/>
      <c r="CP1567" s="16"/>
      <c r="CQ1567" s="16"/>
      <c r="CR1567" s="16"/>
      <c r="CS1567" s="16"/>
      <c r="CT1567" s="16"/>
      <c r="CU1567" s="16"/>
      <c r="CV1567" s="16"/>
      <c r="CW1567" s="16"/>
      <c r="CX1567" s="16"/>
      <c r="CY1567" s="16"/>
      <c r="CZ1567" s="16"/>
      <c r="DA1567" s="16"/>
      <c r="DB1567" s="16"/>
      <c r="DC1567" s="16"/>
      <c r="DD1567" s="16"/>
      <c r="DE1567" s="17"/>
      <c r="DF1567" s="17"/>
      <c r="DG1567" s="16"/>
      <c r="DH1567" s="16"/>
      <c r="DI1567" s="17"/>
      <c r="DJ1567" s="17"/>
      <c r="DK1567" s="16"/>
      <c r="DL1567" s="16"/>
      <c r="DM1567" s="17"/>
      <c r="DN1567" s="17"/>
      <c r="DO1567" s="16"/>
      <c r="DP1567" s="16"/>
      <c r="DQ1567" s="17"/>
      <c r="DR1567" s="17"/>
      <c r="DS1567" s="16"/>
      <c r="DT1567" s="16"/>
      <c r="DU1567" s="17"/>
      <c r="DV1567" s="17"/>
      <c r="DW1567" s="16"/>
      <c r="DX1567" s="16"/>
      <c r="DY1567" s="17"/>
      <c r="DZ1567" s="17"/>
      <c r="EA1567" s="16"/>
      <c r="EB1567" s="16"/>
      <c r="EC1567" s="17"/>
      <c r="ED1567" s="17"/>
      <c r="EE1567" s="16"/>
      <c r="EF1567" s="16"/>
      <c r="EG1567" s="17"/>
      <c r="EH1567" s="17"/>
      <c r="EI1567" s="16"/>
      <c r="EJ1567" s="16"/>
      <c r="EK1567" s="17"/>
      <c r="EL1567" s="17"/>
      <c r="EM1567" s="16"/>
      <c r="EN1567" s="16"/>
      <c r="EO1567" s="17"/>
      <c r="EP1567" s="17"/>
      <c r="EQ1567" s="16"/>
      <c r="ER1567" s="16"/>
      <c r="ES1567" s="17"/>
      <c r="ET1567" s="17"/>
      <c r="EU1567" s="16"/>
      <c r="EV1567" s="16"/>
      <c r="EW1567" s="18">
        <v>1</v>
      </c>
      <c r="EX1567" s="18">
        <v>2</v>
      </c>
      <c r="EY1567" s="16"/>
      <c r="EZ1567" s="16"/>
      <c r="FA1567" s="17"/>
      <c r="FB1567" s="17"/>
      <c r="FC1567" s="16"/>
      <c r="FD1567" s="16"/>
      <c r="FE1567" s="17"/>
      <c r="FF1567" s="17"/>
      <c r="FG1567" s="11"/>
      <c r="GT1567" s="11"/>
      <c r="IG1567" s="11"/>
      <c r="JT1567" s="11"/>
      <c r="LG1567" s="11"/>
      <c r="MT1567" s="11"/>
      <c r="OG1567" s="11"/>
      <c r="PT1567" s="11"/>
    </row>
    <row r="1568" spans="3:436" ht="15.75" x14ac:dyDescent="0.25">
      <c r="C1568" s="20" t="s">
        <v>1145</v>
      </c>
      <c r="D1568" s="21" t="s">
        <v>93</v>
      </c>
      <c r="H1568" s="11"/>
      <c r="AU1568" s="11"/>
      <c r="CH1568" s="11"/>
      <c r="CI1568" s="16"/>
      <c r="CJ1568" s="16"/>
      <c r="CK1568" s="16"/>
      <c r="CL1568" s="16"/>
      <c r="CM1568" s="16"/>
      <c r="CN1568" s="16"/>
      <c r="CO1568" s="16"/>
      <c r="CP1568" s="16"/>
      <c r="CQ1568" s="16"/>
      <c r="CR1568" s="16"/>
      <c r="CS1568" s="16"/>
      <c r="CT1568" s="16"/>
      <c r="CU1568" s="16"/>
      <c r="CV1568" s="16"/>
      <c r="CW1568" s="16"/>
      <c r="CX1568" s="16"/>
      <c r="CY1568" s="16"/>
      <c r="CZ1568" s="16"/>
      <c r="DA1568" s="16"/>
      <c r="DB1568" s="16"/>
      <c r="DC1568" s="16"/>
      <c r="DD1568" s="16"/>
      <c r="DE1568" s="17"/>
      <c r="DF1568" s="17"/>
      <c r="DG1568" s="16"/>
      <c r="DH1568" s="16"/>
      <c r="DI1568" s="17"/>
      <c r="DJ1568" s="17"/>
      <c r="DK1568" s="16"/>
      <c r="DL1568" s="16"/>
      <c r="DM1568" s="17"/>
      <c r="DN1568" s="17"/>
      <c r="DO1568" s="16"/>
      <c r="DP1568" s="16"/>
      <c r="DQ1568" s="17"/>
      <c r="DR1568" s="17"/>
      <c r="DS1568" s="16"/>
      <c r="DT1568" s="16"/>
      <c r="DU1568" s="17"/>
      <c r="DV1568" s="17"/>
      <c r="DW1568" s="16"/>
      <c r="DX1568" s="16"/>
      <c r="DY1568" s="17"/>
      <c r="DZ1568" s="17"/>
      <c r="EA1568" s="16"/>
      <c r="EB1568" s="16"/>
      <c r="EC1568" s="17"/>
      <c r="ED1568" s="17"/>
      <c r="EE1568" s="16"/>
      <c r="EF1568" s="16"/>
      <c r="EG1568" s="17"/>
      <c r="EH1568" s="17"/>
      <c r="EI1568" s="16"/>
      <c r="EJ1568" s="16"/>
      <c r="EK1568" s="17"/>
      <c r="EL1568" s="17"/>
      <c r="EM1568" s="16"/>
      <c r="EN1568" s="16"/>
      <c r="EO1568" s="17"/>
      <c r="EP1568" s="17"/>
      <c r="EQ1568" s="16"/>
      <c r="ER1568" s="16"/>
      <c r="ES1568" s="17"/>
      <c r="ET1568" s="17"/>
      <c r="EU1568" s="16"/>
      <c r="EV1568" s="16"/>
      <c r="EW1568" s="18">
        <v>2</v>
      </c>
      <c r="EX1568" s="18">
        <v>3</v>
      </c>
      <c r="EY1568" s="16"/>
      <c r="EZ1568" s="16"/>
      <c r="FA1568" s="17"/>
      <c r="FB1568" s="17"/>
      <c r="FC1568" s="16"/>
      <c r="FD1568" s="16"/>
      <c r="FE1568" s="17"/>
      <c r="FF1568" s="17"/>
      <c r="FG1568" s="11"/>
      <c r="GT1568" s="11"/>
      <c r="IG1568" s="11"/>
      <c r="JT1568" s="11"/>
      <c r="LG1568" s="11"/>
      <c r="MT1568" s="11"/>
      <c r="OG1568" s="11"/>
      <c r="PT1568" s="11"/>
    </row>
    <row r="1569" spans="1:474" ht="15.75" x14ac:dyDescent="0.25">
      <c r="C1569" s="20" t="s">
        <v>1147</v>
      </c>
      <c r="D1569" s="21" t="s">
        <v>93</v>
      </c>
      <c r="H1569" s="11"/>
      <c r="AU1569" s="11"/>
      <c r="CH1569" s="11"/>
      <c r="CI1569" s="16"/>
      <c r="CJ1569" s="16"/>
      <c r="CK1569" s="16"/>
      <c r="CL1569" s="16"/>
      <c r="CM1569" s="16"/>
      <c r="CN1569" s="16"/>
      <c r="CO1569" s="16"/>
      <c r="CP1569" s="16"/>
      <c r="CQ1569" s="16"/>
      <c r="CR1569" s="16"/>
      <c r="CS1569" s="16"/>
      <c r="CT1569" s="16"/>
      <c r="CU1569" s="16"/>
      <c r="CV1569" s="16"/>
      <c r="CW1569" s="16"/>
      <c r="CX1569" s="16"/>
      <c r="CY1569" s="16"/>
      <c r="CZ1569" s="16"/>
      <c r="DA1569" s="16"/>
      <c r="DB1569" s="16"/>
      <c r="DC1569" s="16"/>
      <c r="DD1569" s="16"/>
      <c r="DE1569" s="17"/>
      <c r="DF1569" s="17"/>
      <c r="DG1569" s="16"/>
      <c r="DH1569" s="16"/>
      <c r="DI1569" s="17"/>
      <c r="DJ1569" s="17"/>
      <c r="DK1569" s="16"/>
      <c r="DL1569" s="16"/>
      <c r="DM1569" s="17"/>
      <c r="DN1569" s="17"/>
      <c r="DO1569" s="16"/>
      <c r="DP1569" s="16"/>
      <c r="DQ1569" s="17"/>
      <c r="DR1569" s="17"/>
      <c r="DS1569" s="16"/>
      <c r="DT1569" s="16"/>
      <c r="DU1569" s="17"/>
      <c r="DV1569" s="17"/>
      <c r="DW1569" s="16"/>
      <c r="DX1569" s="16"/>
      <c r="DY1569" s="17"/>
      <c r="DZ1569" s="17"/>
      <c r="EA1569" s="16"/>
      <c r="EB1569" s="16"/>
      <c r="EC1569" s="17"/>
      <c r="ED1569" s="17"/>
      <c r="EE1569" s="16"/>
      <c r="EF1569" s="16"/>
      <c r="EG1569" s="17"/>
      <c r="EH1569" s="17"/>
      <c r="EI1569" s="16"/>
      <c r="EJ1569" s="16"/>
      <c r="EK1569" s="17"/>
      <c r="EL1569" s="17"/>
      <c r="EM1569" s="16"/>
      <c r="EN1569" s="16"/>
      <c r="EO1569" s="17"/>
      <c r="EP1569" s="17"/>
      <c r="EQ1569" s="16"/>
      <c r="ER1569" s="16"/>
      <c r="ES1569" s="17"/>
      <c r="ET1569" s="17"/>
      <c r="EU1569" s="16"/>
      <c r="EV1569" s="16"/>
      <c r="EW1569" s="18">
        <v>2</v>
      </c>
      <c r="EX1569" s="18">
        <v>3</v>
      </c>
      <c r="EY1569" s="16"/>
      <c r="EZ1569" s="16"/>
      <c r="FA1569" s="17"/>
      <c r="FB1569" s="17"/>
      <c r="FC1569" s="16"/>
      <c r="FD1569" s="16"/>
      <c r="FE1569" s="17"/>
      <c r="FF1569" s="17"/>
      <c r="FG1569" s="11"/>
      <c r="GT1569" s="11"/>
      <c r="IG1569" s="11"/>
      <c r="JT1569" s="11"/>
      <c r="LG1569" s="11"/>
      <c r="MT1569" s="11"/>
      <c r="OG1569" s="11"/>
      <c r="PT1569" s="11"/>
    </row>
    <row r="1570" spans="1:474" ht="15.75" x14ac:dyDescent="0.25">
      <c r="C1570" s="20" t="s">
        <v>1148</v>
      </c>
      <c r="D1570" s="21" t="s">
        <v>93</v>
      </c>
      <c r="H1570" s="11"/>
      <c r="AU1570" s="11"/>
      <c r="CH1570" s="11"/>
      <c r="CI1570" s="16"/>
      <c r="CJ1570" s="16"/>
      <c r="CK1570" s="16"/>
      <c r="CL1570" s="16"/>
      <c r="CM1570" s="16"/>
      <c r="CN1570" s="16"/>
      <c r="CO1570" s="16"/>
      <c r="CP1570" s="16"/>
      <c r="CQ1570" s="16"/>
      <c r="CR1570" s="16"/>
      <c r="CS1570" s="16"/>
      <c r="CT1570" s="16"/>
      <c r="CU1570" s="16"/>
      <c r="CV1570" s="16"/>
      <c r="CW1570" s="16"/>
      <c r="CX1570" s="16"/>
      <c r="CY1570" s="16"/>
      <c r="CZ1570" s="16"/>
      <c r="DA1570" s="16"/>
      <c r="DB1570" s="16"/>
      <c r="DC1570" s="16"/>
      <c r="DD1570" s="16"/>
      <c r="DE1570" s="17"/>
      <c r="DF1570" s="17"/>
      <c r="DG1570" s="16"/>
      <c r="DH1570" s="16"/>
      <c r="DI1570" s="17"/>
      <c r="DJ1570" s="17"/>
      <c r="DK1570" s="16"/>
      <c r="DL1570" s="16"/>
      <c r="DM1570" s="17"/>
      <c r="DN1570" s="17"/>
      <c r="DO1570" s="16"/>
      <c r="DP1570" s="16"/>
      <c r="DQ1570" s="17"/>
      <c r="DR1570" s="17"/>
      <c r="DS1570" s="16"/>
      <c r="DT1570" s="16"/>
      <c r="DU1570" s="17"/>
      <c r="DV1570" s="17"/>
      <c r="DW1570" s="16"/>
      <c r="DX1570" s="16"/>
      <c r="DY1570" s="17"/>
      <c r="DZ1570" s="17"/>
      <c r="EA1570" s="16"/>
      <c r="EB1570" s="16"/>
      <c r="EC1570" s="17"/>
      <c r="ED1570" s="17"/>
      <c r="EE1570" s="16"/>
      <c r="EF1570" s="16"/>
      <c r="EG1570" s="17"/>
      <c r="EH1570" s="17"/>
      <c r="EI1570" s="16"/>
      <c r="EJ1570" s="16"/>
      <c r="EK1570" s="17"/>
      <c r="EL1570" s="17"/>
      <c r="EM1570" s="16"/>
      <c r="EN1570" s="16"/>
      <c r="EO1570" s="17"/>
      <c r="EP1570" s="17"/>
      <c r="EQ1570" s="16"/>
      <c r="ER1570" s="16"/>
      <c r="ES1570" s="17"/>
      <c r="ET1570" s="17"/>
      <c r="EU1570" s="16"/>
      <c r="EV1570" s="16"/>
      <c r="EW1570" s="18">
        <v>2</v>
      </c>
      <c r="EX1570" s="18">
        <v>3</v>
      </c>
      <c r="EY1570" s="16"/>
      <c r="EZ1570" s="16"/>
      <c r="FA1570" s="17"/>
      <c r="FB1570" s="17"/>
      <c r="FC1570" s="16"/>
      <c r="FD1570" s="16"/>
      <c r="FE1570" s="17"/>
      <c r="FF1570" s="17"/>
      <c r="FG1570" s="11"/>
      <c r="GT1570" s="11"/>
      <c r="IG1570" s="11"/>
      <c r="JT1570" s="11"/>
      <c r="LG1570" s="11"/>
      <c r="MT1570" s="11"/>
      <c r="OG1570" s="11"/>
      <c r="PT1570" s="11"/>
    </row>
    <row r="1571" spans="1:474" ht="15.75" x14ac:dyDescent="0.25">
      <c r="C1571" s="20" t="s">
        <v>1148</v>
      </c>
      <c r="D1571" s="21" t="s">
        <v>82</v>
      </c>
      <c r="H1571" s="11"/>
      <c r="AU1571" s="11"/>
      <c r="CH1571" s="11"/>
      <c r="CI1571" s="16"/>
      <c r="CJ1571" s="16"/>
      <c r="CK1571" s="16"/>
      <c r="CL1571" s="16"/>
      <c r="CM1571" s="16"/>
      <c r="CN1571" s="16"/>
      <c r="CO1571" s="16"/>
      <c r="CP1571" s="16"/>
      <c r="CQ1571" s="16"/>
      <c r="CR1571" s="16"/>
      <c r="CS1571" s="16"/>
      <c r="CT1571" s="16"/>
      <c r="CU1571" s="16"/>
      <c r="CV1571" s="16"/>
      <c r="CW1571" s="16"/>
      <c r="CX1571" s="16"/>
      <c r="CY1571" s="16"/>
      <c r="CZ1571" s="16"/>
      <c r="DA1571" s="16"/>
      <c r="DB1571" s="16"/>
      <c r="DC1571" s="16"/>
      <c r="DD1571" s="16"/>
      <c r="DE1571" s="17"/>
      <c r="DF1571" s="17"/>
      <c r="DG1571" s="16"/>
      <c r="DH1571" s="16"/>
      <c r="DI1571" s="17"/>
      <c r="DJ1571" s="17"/>
      <c r="DK1571" s="16"/>
      <c r="DL1571" s="16"/>
      <c r="DM1571" s="17"/>
      <c r="DN1571" s="17"/>
      <c r="DO1571" s="16"/>
      <c r="DP1571" s="16"/>
      <c r="DQ1571" s="17"/>
      <c r="DR1571" s="17"/>
      <c r="DS1571" s="16"/>
      <c r="DT1571" s="16"/>
      <c r="DU1571" s="17"/>
      <c r="DV1571" s="17"/>
      <c r="DW1571" s="16"/>
      <c r="DX1571" s="16"/>
      <c r="DY1571" s="17"/>
      <c r="DZ1571" s="17"/>
      <c r="EA1571" s="16"/>
      <c r="EB1571" s="16"/>
      <c r="EC1571" s="17"/>
      <c r="ED1571" s="17"/>
      <c r="EE1571" s="16"/>
      <c r="EF1571" s="16"/>
      <c r="EG1571" s="17"/>
      <c r="EH1571" s="17"/>
      <c r="EI1571" s="16"/>
      <c r="EJ1571" s="16"/>
      <c r="EK1571" s="17"/>
      <c r="EL1571" s="17"/>
      <c r="EM1571" s="16"/>
      <c r="EN1571" s="16"/>
      <c r="EO1571" s="17"/>
      <c r="EP1571" s="17"/>
      <c r="EQ1571" s="16"/>
      <c r="ER1571" s="16"/>
      <c r="ES1571" s="18">
        <v>2</v>
      </c>
      <c r="ET1571" s="18">
        <v>3</v>
      </c>
      <c r="EU1571" s="16"/>
      <c r="EV1571" s="16"/>
      <c r="EW1571" s="17"/>
      <c r="EX1571" s="17"/>
      <c r="EY1571" s="16"/>
      <c r="EZ1571" s="16"/>
      <c r="FA1571" s="17"/>
      <c r="FB1571" s="17"/>
      <c r="FC1571" s="16"/>
      <c r="FD1571" s="16"/>
      <c r="FE1571" s="17"/>
      <c r="FF1571" s="17"/>
      <c r="FG1571" s="11"/>
      <c r="GT1571" s="11"/>
      <c r="IG1571" s="11"/>
      <c r="JT1571" s="11"/>
      <c r="LG1571" s="11"/>
      <c r="MT1571" s="11"/>
      <c r="OG1571" s="11"/>
      <c r="PT1571" s="11"/>
    </row>
    <row r="1572" spans="1:474" ht="15.75" x14ac:dyDescent="0.25">
      <c r="C1572" s="20" t="s">
        <v>1146</v>
      </c>
      <c r="D1572" s="21" t="s">
        <v>93</v>
      </c>
      <c r="H1572" s="11"/>
      <c r="AU1572" s="11"/>
      <c r="CH1572" s="11"/>
      <c r="CI1572" s="16"/>
      <c r="CJ1572" s="16"/>
      <c r="CK1572" s="16"/>
      <c r="CL1572" s="16"/>
      <c r="CM1572" s="16"/>
      <c r="CN1572" s="16"/>
      <c r="CO1572" s="16"/>
      <c r="CP1572" s="16"/>
      <c r="CQ1572" s="16"/>
      <c r="CR1572" s="16"/>
      <c r="CS1572" s="16"/>
      <c r="CT1572" s="16"/>
      <c r="CU1572" s="16"/>
      <c r="CV1572" s="16"/>
      <c r="CW1572" s="16"/>
      <c r="CX1572" s="16"/>
      <c r="CY1572" s="16"/>
      <c r="CZ1572" s="16"/>
      <c r="DA1572" s="16"/>
      <c r="DB1572" s="16"/>
      <c r="DC1572" s="16"/>
      <c r="DD1572" s="16"/>
      <c r="DE1572" s="17"/>
      <c r="DF1572" s="17"/>
      <c r="DG1572" s="16"/>
      <c r="DH1572" s="16"/>
      <c r="DI1572" s="17"/>
      <c r="DJ1572" s="17"/>
      <c r="DK1572" s="16"/>
      <c r="DL1572" s="16"/>
      <c r="DM1572" s="17"/>
      <c r="DN1572" s="17"/>
      <c r="DO1572" s="16"/>
      <c r="DP1572" s="16"/>
      <c r="DQ1572" s="17"/>
      <c r="DR1572" s="17"/>
      <c r="DS1572" s="16"/>
      <c r="DT1572" s="16"/>
      <c r="DU1572" s="17"/>
      <c r="DV1572" s="17"/>
      <c r="DW1572" s="16"/>
      <c r="DX1572" s="16"/>
      <c r="DY1572" s="17"/>
      <c r="DZ1572" s="17"/>
      <c r="EA1572" s="16"/>
      <c r="EB1572" s="16"/>
      <c r="EC1572" s="17"/>
      <c r="ED1572" s="17"/>
      <c r="EE1572" s="16"/>
      <c r="EF1572" s="16"/>
      <c r="EG1572" s="17"/>
      <c r="EH1572" s="17"/>
      <c r="EI1572" s="16"/>
      <c r="EJ1572" s="16"/>
      <c r="EK1572" s="17"/>
      <c r="EL1572" s="17"/>
      <c r="EM1572" s="16"/>
      <c r="EN1572" s="16"/>
      <c r="EO1572" s="17"/>
      <c r="EP1572" s="17"/>
      <c r="EQ1572" s="16"/>
      <c r="ER1572" s="16"/>
      <c r="ES1572" s="17"/>
      <c r="ET1572" s="17"/>
      <c r="EU1572" s="16"/>
      <c r="EV1572" s="16"/>
      <c r="EW1572" s="17"/>
      <c r="EX1572" s="17"/>
      <c r="EY1572" s="16"/>
      <c r="EZ1572" s="16"/>
      <c r="FA1572" s="17"/>
      <c r="FB1572" s="17"/>
      <c r="FC1572" s="16"/>
      <c r="FD1572" s="16"/>
      <c r="FE1572" s="17"/>
      <c r="FF1572" s="17"/>
      <c r="FG1572" s="11"/>
      <c r="GT1572" s="11"/>
      <c r="IG1572" s="11"/>
      <c r="JT1572" s="11"/>
      <c r="LG1572" s="11"/>
      <c r="MT1572" s="11"/>
      <c r="OG1572" s="11"/>
      <c r="PT1572" s="11"/>
    </row>
    <row r="1573" spans="1:474" ht="15.75" x14ac:dyDescent="0.25">
      <c r="C1573" s="20" t="s">
        <v>1146</v>
      </c>
      <c r="D1573" s="21" t="s">
        <v>82</v>
      </c>
      <c r="H1573" s="11"/>
      <c r="AU1573" s="11"/>
      <c r="CH1573" s="11"/>
      <c r="CI1573" s="16"/>
      <c r="CJ1573" s="16"/>
      <c r="CK1573" s="16"/>
      <c r="CL1573" s="16"/>
      <c r="CM1573" s="16"/>
      <c r="CN1573" s="16"/>
      <c r="CO1573" s="16"/>
      <c r="CP1573" s="16"/>
      <c r="CQ1573" s="16"/>
      <c r="CR1573" s="16"/>
      <c r="CS1573" s="16"/>
      <c r="CT1573" s="16"/>
      <c r="CU1573" s="16"/>
      <c r="CV1573" s="16"/>
      <c r="CW1573" s="16"/>
      <c r="CX1573" s="16"/>
      <c r="CY1573" s="16"/>
      <c r="CZ1573" s="16"/>
      <c r="DA1573" s="16"/>
      <c r="DB1573" s="16"/>
      <c r="DC1573" s="16"/>
      <c r="DD1573" s="16"/>
      <c r="DE1573" s="17"/>
      <c r="DF1573" s="17"/>
      <c r="DG1573" s="16"/>
      <c r="DH1573" s="16"/>
      <c r="DI1573" s="17"/>
      <c r="DJ1573" s="17"/>
      <c r="DK1573" s="16"/>
      <c r="DL1573" s="16"/>
      <c r="DM1573" s="17"/>
      <c r="DN1573" s="17"/>
      <c r="DO1573" s="16"/>
      <c r="DP1573" s="16"/>
      <c r="DQ1573" s="17"/>
      <c r="DR1573" s="17"/>
      <c r="DS1573" s="16"/>
      <c r="DT1573" s="16"/>
      <c r="DU1573" s="17"/>
      <c r="DV1573" s="17"/>
      <c r="DW1573" s="16"/>
      <c r="DX1573" s="16"/>
      <c r="DY1573" s="17"/>
      <c r="DZ1573" s="17"/>
      <c r="EA1573" s="16"/>
      <c r="EB1573" s="16"/>
      <c r="EC1573" s="17"/>
      <c r="ED1573" s="17"/>
      <c r="EE1573" s="16"/>
      <c r="EF1573" s="16"/>
      <c r="EG1573" s="17"/>
      <c r="EH1573" s="17"/>
      <c r="EI1573" s="16"/>
      <c r="EJ1573" s="16"/>
      <c r="EK1573" s="17"/>
      <c r="EL1573" s="17"/>
      <c r="EM1573" s="16"/>
      <c r="EN1573" s="16"/>
      <c r="EO1573" s="17"/>
      <c r="EP1573" s="17"/>
      <c r="EQ1573" s="16"/>
      <c r="ER1573" s="16"/>
      <c r="ES1573" s="18">
        <v>3</v>
      </c>
      <c r="ET1573" s="18">
        <v>4</v>
      </c>
      <c r="EU1573" s="16"/>
      <c r="EV1573" s="16"/>
      <c r="EW1573" s="17"/>
      <c r="EX1573" s="17"/>
      <c r="EY1573" s="16"/>
      <c r="EZ1573" s="16"/>
      <c r="FA1573" s="17"/>
      <c r="FB1573" s="17"/>
      <c r="FC1573" s="16"/>
      <c r="FD1573" s="16"/>
      <c r="FE1573" s="17"/>
      <c r="FF1573" s="17"/>
      <c r="FG1573" s="11"/>
      <c r="GT1573" s="11"/>
      <c r="IG1573" s="11"/>
      <c r="JT1573" s="11"/>
      <c r="LG1573" s="11"/>
      <c r="MT1573" s="11"/>
      <c r="OG1573" s="11"/>
      <c r="PT1573" s="11"/>
    </row>
    <row r="1574" spans="1:474" ht="25.5" x14ac:dyDescent="0.25">
      <c r="C1574" s="20" t="s">
        <v>1150</v>
      </c>
      <c r="D1574" s="21" t="s">
        <v>93</v>
      </c>
      <c r="H1574" s="11"/>
      <c r="AU1574" s="11"/>
      <c r="CH1574" s="11"/>
      <c r="CI1574" s="16"/>
      <c r="CJ1574" s="16"/>
      <c r="CK1574" s="16"/>
      <c r="CL1574" s="16"/>
      <c r="CM1574" s="16"/>
      <c r="CN1574" s="16"/>
      <c r="CO1574" s="16"/>
      <c r="CP1574" s="16"/>
      <c r="CQ1574" s="16"/>
      <c r="CR1574" s="16"/>
      <c r="CS1574" s="16"/>
      <c r="CT1574" s="16"/>
      <c r="CU1574" s="16"/>
      <c r="CV1574" s="16"/>
      <c r="CW1574" s="16"/>
      <c r="CX1574" s="16"/>
      <c r="CY1574" s="16"/>
      <c r="CZ1574" s="16"/>
      <c r="DA1574" s="16"/>
      <c r="DB1574" s="16"/>
      <c r="DC1574" s="16"/>
      <c r="DD1574" s="16"/>
      <c r="DE1574" s="17"/>
      <c r="DF1574" s="17"/>
      <c r="DG1574" s="16"/>
      <c r="DH1574" s="16"/>
      <c r="DI1574" s="17"/>
      <c r="DJ1574" s="17"/>
      <c r="DK1574" s="16"/>
      <c r="DL1574" s="16"/>
      <c r="DM1574" s="17"/>
      <c r="DN1574" s="17"/>
      <c r="DO1574" s="16"/>
      <c r="DP1574" s="16"/>
      <c r="DQ1574" s="17"/>
      <c r="DR1574" s="17"/>
      <c r="DS1574" s="16"/>
      <c r="DT1574" s="16"/>
      <c r="DU1574" s="17"/>
      <c r="DV1574" s="17"/>
      <c r="DW1574" s="16"/>
      <c r="DX1574" s="16"/>
      <c r="DY1574" s="17"/>
      <c r="DZ1574" s="17"/>
      <c r="EA1574" s="16"/>
      <c r="EB1574" s="16"/>
      <c r="EC1574" s="17"/>
      <c r="ED1574" s="17"/>
      <c r="EE1574" s="16"/>
      <c r="EF1574" s="16"/>
      <c r="EG1574" s="17"/>
      <c r="EH1574" s="17"/>
      <c r="EI1574" s="16"/>
      <c r="EJ1574" s="16"/>
      <c r="EK1574" s="17"/>
      <c r="EL1574" s="17"/>
      <c r="EM1574" s="16"/>
      <c r="EN1574" s="16"/>
      <c r="EO1574" s="17"/>
      <c r="EP1574" s="17"/>
      <c r="EQ1574" s="16"/>
      <c r="ER1574" s="16"/>
      <c r="ES1574" s="17"/>
      <c r="ET1574" s="17"/>
      <c r="EU1574" s="16"/>
      <c r="EV1574" s="16"/>
      <c r="EW1574" s="18">
        <v>3</v>
      </c>
      <c r="EX1574" s="18">
        <v>4</v>
      </c>
      <c r="EY1574" s="16"/>
      <c r="EZ1574" s="16"/>
      <c r="FA1574" s="17"/>
      <c r="FB1574" s="17"/>
      <c r="FC1574" s="16"/>
      <c r="FD1574" s="16"/>
      <c r="FE1574" s="17"/>
      <c r="FF1574" s="17"/>
      <c r="FG1574" s="11"/>
      <c r="GT1574" s="11"/>
      <c r="IG1574" s="11"/>
      <c r="JT1574" s="11"/>
      <c r="LG1574" s="11"/>
      <c r="MT1574" s="11"/>
      <c r="OG1574" s="11"/>
      <c r="PT1574" s="11"/>
    </row>
    <row r="1575" spans="1:474" ht="15.75" x14ac:dyDescent="0.25">
      <c r="C1575" s="20" t="s">
        <v>1151</v>
      </c>
      <c r="D1575" s="21" t="s">
        <v>93</v>
      </c>
      <c r="H1575" s="11"/>
      <c r="AU1575" s="11"/>
      <c r="CH1575" s="11"/>
      <c r="CI1575" s="16"/>
      <c r="CJ1575" s="16"/>
      <c r="CK1575" s="16"/>
      <c r="CL1575" s="16"/>
      <c r="CM1575" s="16"/>
      <c r="CN1575" s="16"/>
      <c r="CO1575" s="16"/>
      <c r="CP1575" s="16"/>
      <c r="CQ1575" s="16"/>
      <c r="CR1575" s="16"/>
      <c r="CS1575" s="16"/>
      <c r="CT1575" s="16"/>
      <c r="CU1575" s="16"/>
      <c r="CV1575" s="16"/>
      <c r="CW1575" s="16"/>
      <c r="CX1575" s="16"/>
      <c r="CY1575" s="16"/>
      <c r="CZ1575" s="16"/>
      <c r="DA1575" s="16"/>
      <c r="DB1575" s="16"/>
      <c r="DC1575" s="16"/>
      <c r="DD1575" s="16"/>
      <c r="DE1575" s="17"/>
      <c r="DF1575" s="17"/>
      <c r="DG1575" s="16"/>
      <c r="DH1575" s="16"/>
      <c r="DI1575" s="17"/>
      <c r="DJ1575" s="17"/>
      <c r="DK1575" s="16"/>
      <c r="DL1575" s="16"/>
      <c r="DM1575" s="17"/>
      <c r="DN1575" s="17"/>
      <c r="DO1575" s="16"/>
      <c r="DP1575" s="16"/>
      <c r="DQ1575" s="17"/>
      <c r="DR1575" s="17"/>
      <c r="DS1575" s="16"/>
      <c r="DT1575" s="16"/>
      <c r="DU1575" s="17"/>
      <c r="DV1575" s="17"/>
      <c r="DW1575" s="16"/>
      <c r="DX1575" s="16"/>
      <c r="DY1575" s="17"/>
      <c r="DZ1575" s="17"/>
      <c r="EA1575" s="16"/>
      <c r="EB1575" s="16"/>
      <c r="EC1575" s="17"/>
      <c r="ED1575" s="17"/>
      <c r="EE1575" s="16"/>
      <c r="EF1575" s="16"/>
      <c r="EG1575" s="17"/>
      <c r="EH1575" s="17"/>
      <c r="EI1575" s="16"/>
      <c r="EJ1575" s="16"/>
      <c r="EK1575" s="17"/>
      <c r="EL1575" s="17"/>
      <c r="EM1575" s="16"/>
      <c r="EN1575" s="16"/>
      <c r="EO1575" s="17"/>
      <c r="EP1575" s="17"/>
      <c r="EQ1575" s="16"/>
      <c r="ER1575" s="16"/>
      <c r="ES1575" s="17"/>
      <c r="ET1575" s="17"/>
      <c r="EU1575" s="16"/>
      <c r="EV1575" s="16"/>
      <c r="EW1575" s="18">
        <v>3</v>
      </c>
      <c r="EX1575" s="18">
        <v>4</v>
      </c>
      <c r="EY1575" s="16"/>
      <c r="EZ1575" s="16"/>
      <c r="FA1575" s="17"/>
      <c r="FB1575" s="17"/>
      <c r="FC1575" s="16"/>
      <c r="FD1575" s="16"/>
      <c r="FE1575" s="17"/>
      <c r="FF1575" s="17"/>
      <c r="FG1575" s="11"/>
      <c r="GT1575" s="11"/>
      <c r="IG1575" s="11"/>
      <c r="JT1575" s="11"/>
      <c r="LG1575" s="11"/>
      <c r="MT1575" s="11"/>
      <c r="OG1575" s="11"/>
      <c r="PT1575" s="11"/>
    </row>
    <row r="1576" spans="1:474" ht="15.75" x14ac:dyDescent="0.25">
      <c r="C1576" s="20" t="s">
        <v>1152</v>
      </c>
      <c r="D1576" s="21" t="s">
        <v>82</v>
      </c>
      <c r="H1576" s="11"/>
      <c r="AU1576" s="11"/>
      <c r="CH1576" s="11"/>
      <c r="CI1576" s="16"/>
      <c r="CJ1576" s="16"/>
      <c r="CK1576" s="16"/>
      <c r="CL1576" s="16"/>
      <c r="CM1576" s="16"/>
      <c r="CN1576" s="16"/>
      <c r="CO1576" s="16"/>
      <c r="CP1576" s="16"/>
      <c r="CQ1576" s="16"/>
      <c r="CR1576" s="16"/>
      <c r="CS1576" s="16"/>
      <c r="CT1576" s="16"/>
      <c r="CU1576" s="16"/>
      <c r="CV1576" s="16"/>
      <c r="CW1576" s="16"/>
      <c r="CX1576" s="16"/>
      <c r="CY1576" s="16"/>
      <c r="CZ1576" s="16"/>
      <c r="DA1576" s="16"/>
      <c r="DB1576" s="16"/>
      <c r="DC1576" s="16"/>
      <c r="DD1576" s="16"/>
      <c r="DE1576" s="17"/>
      <c r="DF1576" s="17"/>
      <c r="DG1576" s="16"/>
      <c r="DH1576" s="16"/>
      <c r="DI1576" s="17"/>
      <c r="DJ1576" s="17"/>
      <c r="DK1576" s="16"/>
      <c r="DL1576" s="16"/>
      <c r="DM1576" s="17"/>
      <c r="DN1576" s="17"/>
      <c r="DO1576" s="16"/>
      <c r="DP1576" s="16"/>
      <c r="DQ1576" s="17"/>
      <c r="DR1576" s="17"/>
      <c r="DS1576" s="16"/>
      <c r="DT1576" s="16"/>
      <c r="DU1576" s="17"/>
      <c r="DV1576" s="17"/>
      <c r="DW1576" s="16"/>
      <c r="DX1576" s="16"/>
      <c r="DY1576" s="17"/>
      <c r="DZ1576" s="17"/>
      <c r="EA1576" s="16"/>
      <c r="EB1576" s="16"/>
      <c r="EC1576" s="17"/>
      <c r="ED1576" s="17"/>
      <c r="EE1576" s="16"/>
      <c r="EF1576" s="16"/>
      <c r="EG1576" s="17"/>
      <c r="EH1576" s="17"/>
      <c r="EI1576" s="16"/>
      <c r="EJ1576" s="16"/>
      <c r="EK1576" s="17"/>
      <c r="EL1576" s="17"/>
      <c r="EM1576" s="16"/>
      <c r="EN1576" s="16"/>
      <c r="EO1576" s="17"/>
      <c r="EP1576" s="17"/>
      <c r="EQ1576" s="16"/>
      <c r="ER1576" s="16"/>
      <c r="ES1576" s="18">
        <v>3</v>
      </c>
      <c r="ET1576" s="18">
        <v>4</v>
      </c>
      <c r="EU1576" s="16"/>
      <c r="EV1576" s="16"/>
      <c r="EW1576" s="17"/>
      <c r="EX1576" s="17"/>
      <c r="EY1576" s="16"/>
      <c r="EZ1576" s="16"/>
      <c r="FA1576" s="17"/>
      <c r="FB1576" s="17"/>
      <c r="FC1576" s="16"/>
      <c r="FD1576" s="16"/>
      <c r="FE1576" s="17"/>
      <c r="FF1576" s="17"/>
      <c r="FG1576" s="11"/>
      <c r="GT1576" s="11"/>
      <c r="IG1576" s="11"/>
      <c r="JT1576" s="11"/>
      <c r="LG1576" s="11"/>
      <c r="MT1576" s="11"/>
      <c r="OG1576" s="11"/>
      <c r="PT1576" s="11"/>
    </row>
    <row r="1577" spans="1:474" ht="15.75" x14ac:dyDescent="0.25">
      <c r="C1577" s="20" t="s">
        <v>1153</v>
      </c>
      <c r="D1577" s="21" t="s">
        <v>93</v>
      </c>
      <c r="H1577" s="11"/>
      <c r="AU1577" s="11"/>
      <c r="CH1577" s="11"/>
      <c r="CI1577" s="16"/>
      <c r="CJ1577" s="16"/>
      <c r="CK1577" s="16"/>
      <c r="CL1577" s="16"/>
      <c r="CM1577" s="16"/>
      <c r="CN1577" s="16"/>
      <c r="CO1577" s="16"/>
      <c r="CP1577" s="16"/>
      <c r="CQ1577" s="16"/>
      <c r="CR1577" s="16"/>
      <c r="CS1577" s="16"/>
      <c r="CT1577" s="16"/>
      <c r="CU1577" s="16"/>
      <c r="CV1577" s="16"/>
      <c r="CW1577" s="16"/>
      <c r="CX1577" s="16"/>
      <c r="CY1577" s="16"/>
      <c r="CZ1577" s="16"/>
      <c r="DA1577" s="16"/>
      <c r="DB1577" s="16"/>
      <c r="DC1577" s="16"/>
      <c r="DD1577" s="16"/>
      <c r="DE1577" s="17"/>
      <c r="DF1577" s="17"/>
      <c r="DG1577" s="16"/>
      <c r="DH1577" s="16"/>
      <c r="DI1577" s="17"/>
      <c r="DJ1577" s="17"/>
      <c r="DK1577" s="16"/>
      <c r="DL1577" s="16"/>
      <c r="DM1577" s="17"/>
      <c r="DN1577" s="17"/>
      <c r="DO1577" s="16"/>
      <c r="DP1577" s="16"/>
      <c r="DQ1577" s="17"/>
      <c r="DR1577" s="17"/>
      <c r="DS1577" s="16"/>
      <c r="DT1577" s="16"/>
      <c r="DU1577" s="17"/>
      <c r="DV1577" s="17"/>
      <c r="DW1577" s="16"/>
      <c r="DX1577" s="16"/>
      <c r="DY1577" s="17"/>
      <c r="DZ1577" s="17"/>
      <c r="EA1577" s="16"/>
      <c r="EB1577" s="16"/>
      <c r="EC1577" s="17"/>
      <c r="ED1577" s="17"/>
      <c r="EE1577" s="16"/>
      <c r="EF1577" s="16"/>
      <c r="EG1577" s="17"/>
      <c r="EH1577" s="17"/>
      <c r="EI1577" s="16"/>
      <c r="EJ1577" s="16"/>
      <c r="EK1577" s="17"/>
      <c r="EL1577" s="17"/>
      <c r="EM1577" s="16"/>
      <c r="EN1577" s="16"/>
      <c r="EO1577" s="17"/>
      <c r="EP1577" s="17"/>
      <c r="EQ1577" s="16"/>
      <c r="ER1577" s="16"/>
      <c r="ES1577" s="17"/>
      <c r="ET1577" s="17"/>
      <c r="EU1577" s="16"/>
      <c r="EV1577" s="16"/>
      <c r="EW1577" s="18">
        <v>3</v>
      </c>
      <c r="EX1577" s="18">
        <v>4</v>
      </c>
      <c r="EY1577" s="16"/>
      <c r="EZ1577" s="16"/>
      <c r="FA1577" s="17"/>
      <c r="FB1577" s="17"/>
      <c r="FC1577" s="16"/>
      <c r="FD1577" s="16"/>
      <c r="FE1577" s="17"/>
      <c r="FF1577" s="17"/>
      <c r="FG1577" s="11"/>
      <c r="GT1577" s="11"/>
      <c r="IG1577" s="11"/>
      <c r="JT1577" s="11"/>
      <c r="LG1577" s="11"/>
      <c r="MT1577" s="11"/>
      <c r="OG1577" s="11"/>
      <c r="PT1577" s="11"/>
    </row>
    <row r="1578" spans="1:474" ht="25.5" x14ac:dyDescent="0.25">
      <c r="C1578" s="20" t="s">
        <v>1154</v>
      </c>
      <c r="D1578" s="21" t="s">
        <v>82</v>
      </c>
      <c r="H1578" s="11"/>
      <c r="AU1578" s="11"/>
      <c r="CH1578" s="11"/>
      <c r="CI1578" s="16"/>
      <c r="CJ1578" s="16"/>
      <c r="CK1578" s="16"/>
      <c r="CL1578" s="16"/>
      <c r="CM1578" s="16"/>
      <c r="CN1578" s="16"/>
      <c r="CO1578" s="16"/>
      <c r="CP1578" s="16"/>
      <c r="CQ1578" s="16"/>
      <c r="CR1578" s="16"/>
      <c r="CS1578" s="16"/>
      <c r="CT1578" s="16"/>
      <c r="CU1578" s="16"/>
      <c r="CV1578" s="16"/>
      <c r="CW1578" s="16"/>
      <c r="CX1578" s="16"/>
      <c r="CY1578" s="16"/>
      <c r="CZ1578" s="16"/>
      <c r="DA1578" s="16"/>
      <c r="DB1578" s="16"/>
      <c r="DC1578" s="16"/>
      <c r="DD1578" s="16"/>
      <c r="DE1578" s="17"/>
      <c r="DF1578" s="17"/>
      <c r="DG1578" s="16"/>
      <c r="DH1578" s="16"/>
      <c r="DI1578" s="17"/>
      <c r="DJ1578" s="17"/>
      <c r="DK1578" s="16"/>
      <c r="DL1578" s="16"/>
      <c r="DM1578" s="17"/>
      <c r="DN1578" s="17"/>
      <c r="DO1578" s="16"/>
      <c r="DP1578" s="16"/>
      <c r="DQ1578" s="17"/>
      <c r="DR1578" s="17"/>
      <c r="DS1578" s="16"/>
      <c r="DT1578" s="16"/>
      <c r="DU1578" s="17"/>
      <c r="DV1578" s="17"/>
      <c r="DW1578" s="16"/>
      <c r="DX1578" s="16"/>
      <c r="DY1578" s="17"/>
      <c r="DZ1578" s="17"/>
      <c r="EA1578" s="16"/>
      <c r="EB1578" s="16"/>
      <c r="EC1578" s="17"/>
      <c r="ED1578" s="17"/>
      <c r="EE1578" s="16"/>
      <c r="EF1578" s="16"/>
      <c r="EG1578" s="17"/>
      <c r="EH1578" s="17"/>
      <c r="EI1578" s="16"/>
      <c r="EJ1578" s="16"/>
      <c r="EK1578" s="17"/>
      <c r="EL1578" s="17"/>
      <c r="EM1578" s="16"/>
      <c r="EN1578" s="16"/>
      <c r="EO1578" s="17"/>
      <c r="EP1578" s="17"/>
      <c r="EQ1578" s="16"/>
      <c r="ER1578" s="16"/>
      <c r="ES1578" s="18">
        <v>3</v>
      </c>
      <c r="ET1578" s="18">
        <v>4</v>
      </c>
      <c r="EU1578" s="16"/>
      <c r="EV1578" s="16"/>
      <c r="EW1578" s="17"/>
      <c r="EX1578" s="17"/>
      <c r="EY1578" s="16"/>
      <c r="EZ1578" s="16"/>
      <c r="FA1578" s="17"/>
      <c r="FB1578" s="17"/>
      <c r="FC1578" s="16"/>
      <c r="FD1578" s="16"/>
      <c r="FE1578" s="17"/>
      <c r="FF1578" s="17"/>
      <c r="FG1578" s="11"/>
      <c r="GT1578" s="11"/>
      <c r="IG1578" s="11"/>
      <c r="JT1578" s="11"/>
      <c r="LG1578" s="11"/>
      <c r="MT1578" s="11"/>
      <c r="OG1578" s="11"/>
      <c r="PT1578" s="11"/>
    </row>
    <row r="1579" spans="1:474" ht="15.75" x14ac:dyDescent="0.25">
      <c r="C1579" s="20" t="s">
        <v>1149</v>
      </c>
      <c r="D1579" s="21" t="s">
        <v>90</v>
      </c>
      <c r="H1579" s="11"/>
      <c r="AU1579" s="11"/>
      <c r="CH1579" s="11"/>
      <c r="CI1579" s="16"/>
      <c r="CJ1579" s="16"/>
      <c r="CK1579" s="16"/>
      <c r="CL1579" s="16"/>
      <c r="CM1579" s="16"/>
      <c r="CN1579" s="16"/>
      <c r="CO1579" s="16"/>
      <c r="CP1579" s="16"/>
      <c r="CQ1579" s="16"/>
      <c r="CR1579" s="16"/>
      <c r="CS1579" s="16"/>
      <c r="CT1579" s="16"/>
      <c r="CU1579" s="16"/>
      <c r="CV1579" s="16"/>
      <c r="CW1579" s="16"/>
      <c r="CX1579" s="16"/>
      <c r="CY1579" s="16"/>
      <c r="CZ1579" s="16"/>
      <c r="DA1579" s="16"/>
      <c r="DB1579" s="16"/>
      <c r="DC1579" s="16"/>
      <c r="DD1579" s="16"/>
      <c r="DE1579" s="17"/>
      <c r="DF1579" s="17"/>
      <c r="DG1579" s="16"/>
      <c r="DH1579" s="16"/>
      <c r="DI1579" s="17"/>
      <c r="DJ1579" s="17"/>
      <c r="DK1579" s="16"/>
      <c r="DL1579" s="16"/>
      <c r="DM1579" s="17"/>
      <c r="DN1579" s="17"/>
      <c r="DO1579" s="16"/>
      <c r="DP1579" s="16"/>
      <c r="DQ1579" s="17"/>
      <c r="DR1579" s="17"/>
      <c r="DS1579" s="16"/>
      <c r="DT1579" s="16"/>
      <c r="DU1579" s="17"/>
      <c r="DV1579" s="17"/>
      <c r="DW1579" s="16"/>
      <c r="DX1579" s="16"/>
      <c r="DY1579" s="17"/>
      <c r="DZ1579" s="17"/>
      <c r="EA1579" s="16"/>
      <c r="EB1579" s="16"/>
      <c r="EC1579" s="17"/>
      <c r="ED1579" s="17"/>
      <c r="EE1579" s="16"/>
      <c r="EF1579" s="16"/>
      <c r="EG1579" s="17"/>
      <c r="EH1579" s="17"/>
      <c r="EI1579" s="16"/>
      <c r="EJ1579" s="16"/>
      <c r="EK1579" s="17"/>
      <c r="EL1579" s="17"/>
      <c r="EM1579" s="16"/>
      <c r="EN1579" s="16"/>
      <c r="EO1579" s="17"/>
      <c r="EP1579" s="17"/>
      <c r="EQ1579" s="16"/>
      <c r="ER1579" s="16"/>
      <c r="ES1579" s="17"/>
      <c r="ET1579" s="17"/>
      <c r="EU1579" s="16"/>
      <c r="EV1579" s="16"/>
      <c r="EW1579" s="17"/>
      <c r="EX1579" s="17"/>
      <c r="EY1579" s="16"/>
      <c r="EZ1579" s="16"/>
      <c r="FA1579" s="17"/>
      <c r="FB1579" s="17"/>
      <c r="FC1579" s="16"/>
      <c r="FD1579" s="16"/>
      <c r="FE1579" s="17"/>
      <c r="FF1579" s="17"/>
      <c r="FG1579" s="11"/>
      <c r="GT1579" s="11"/>
      <c r="IG1579" s="11"/>
      <c r="JT1579" s="11"/>
      <c r="LG1579" s="11"/>
      <c r="MT1579" s="11"/>
      <c r="OG1579" s="11"/>
      <c r="PT1579" s="11"/>
    </row>
    <row r="1580" spans="1:474" ht="15.75" x14ac:dyDescent="0.25">
      <c r="A1580" s="13"/>
      <c r="B1580" s="14" t="s">
        <v>1155</v>
      </c>
      <c r="C1580" s="13"/>
      <c r="D1580" s="13"/>
      <c r="E1580" s="15" t="s">
        <v>127</v>
      </c>
      <c r="F1580" s="15" t="s">
        <v>77</v>
      </c>
      <c r="G1580" s="13"/>
      <c r="H1580" s="11"/>
      <c r="AU1580" s="11"/>
      <c r="CH1580" s="11"/>
      <c r="CI1580" s="16"/>
      <c r="CJ1580" s="16"/>
      <c r="CK1580" s="16"/>
      <c r="CL1580" s="16"/>
      <c r="CM1580" s="16"/>
      <c r="CN1580" s="16"/>
      <c r="CO1580" s="16"/>
      <c r="CP1580" s="16"/>
      <c r="CQ1580" s="16"/>
      <c r="CR1580" s="16"/>
      <c r="CS1580" s="16"/>
      <c r="CT1580" s="16"/>
      <c r="CU1580" s="16"/>
      <c r="CV1580" s="16"/>
      <c r="CW1580" s="16"/>
      <c r="CX1580" s="16"/>
      <c r="CY1580" s="16"/>
      <c r="CZ1580" s="16"/>
      <c r="DA1580" s="16"/>
      <c r="DB1580" s="16"/>
      <c r="DC1580" s="16"/>
      <c r="DD1580" s="16"/>
      <c r="DE1580" s="17"/>
      <c r="DF1580" s="17"/>
      <c r="DG1580" s="16"/>
      <c r="DH1580" s="16"/>
      <c r="DI1580" s="17"/>
      <c r="DJ1580" s="17"/>
      <c r="DK1580" s="16"/>
      <c r="DL1580" s="16"/>
      <c r="DM1580" s="17"/>
      <c r="DN1580" s="17"/>
      <c r="DO1580" s="16"/>
      <c r="DP1580" s="16"/>
      <c r="DQ1580" s="17"/>
      <c r="DR1580" s="17"/>
      <c r="DS1580" s="16"/>
      <c r="DT1580" s="16"/>
      <c r="DU1580" s="17"/>
      <c r="DV1580" s="17"/>
      <c r="DW1580" s="16"/>
      <c r="DX1580" s="16"/>
      <c r="DY1580" s="17"/>
      <c r="DZ1580" s="17"/>
      <c r="EA1580" s="16"/>
      <c r="EB1580" s="16"/>
      <c r="EC1580" s="17"/>
      <c r="ED1580" s="17"/>
      <c r="EE1580" s="16"/>
      <c r="EF1580" s="16"/>
      <c r="EG1580" s="17"/>
      <c r="EH1580" s="17"/>
      <c r="EI1580" s="16"/>
      <c r="EJ1580" s="16"/>
      <c r="EK1580" s="17"/>
      <c r="EL1580" s="17"/>
      <c r="EM1580" s="16"/>
      <c r="EN1580" s="16"/>
      <c r="EO1580" s="17"/>
      <c r="EP1580" s="17"/>
      <c r="EQ1580" s="16"/>
      <c r="ER1580" s="16"/>
      <c r="ES1580" s="17"/>
      <c r="ET1580" s="17"/>
      <c r="EU1580" s="16"/>
      <c r="EV1580" s="16"/>
      <c r="EW1580" s="17"/>
      <c r="EX1580" s="17"/>
      <c r="EY1580" s="16"/>
      <c r="EZ1580" s="16"/>
      <c r="FA1580" s="17"/>
      <c r="FB1580" s="17"/>
      <c r="FC1580" s="16"/>
      <c r="FD1580" s="16"/>
      <c r="FE1580" s="17"/>
      <c r="FF1580" s="17"/>
      <c r="FG1580" s="11"/>
      <c r="GT1580" s="11"/>
      <c r="IG1580" s="11"/>
      <c r="JT1580" s="11"/>
      <c r="LG1580" s="11"/>
      <c r="MT1580" s="11"/>
      <c r="OG1580" s="11"/>
      <c r="PT1580" s="11"/>
    </row>
    <row r="1581" spans="1:474" ht="15.75" x14ac:dyDescent="0.25">
      <c r="A1581" s="13"/>
      <c r="B1581" s="14" t="s">
        <v>1156</v>
      </c>
      <c r="C1581" s="13"/>
      <c r="D1581" s="13"/>
      <c r="E1581" s="15" t="s">
        <v>217</v>
      </c>
      <c r="F1581" s="15" t="s">
        <v>177</v>
      </c>
      <c r="G1581" s="13"/>
      <c r="H1581" s="11"/>
      <c r="AU1581" s="11"/>
      <c r="CH1581" s="11"/>
      <c r="CI1581" s="16"/>
      <c r="CJ1581" s="16"/>
      <c r="CK1581" s="16"/>
      <c r="CL1581" s="16"/>
      <c r="CM1581" s="16"/>
      <c r="CN1581" s="16"/>
      <c r="CO1581" s="16"/>
      <c r="CP1581" s="16"/>
      <c r="CQ1581" s="16"/>
      <c r="CR1581" s="16"/>
      <c r="CS1581" s="16"/>
      <c r="CT1581" s="16"/>
      <c r="CU1581" s="16"/>
      <c r="CV1581" s="16"/>
      <c r="CW1581" s="16"/>
      <c r="CX1581" s="16"/>
      <c r="CY1581" s="16"/>
      <c r="CZ1581" s="16"/>
      <c r="DA1581" s="16"/>
      <c r="DB1581" s="16"/>
      <c r="DC1581" s="16"/>
      <c r="DD1581" s="16"/>
      <c r="DE1581" s="17"/>
      <c r="DF1581" s="17"/>
      <c r="DG1581" s="16"/>
      <c r="DH1581" s="16"/>
      <c r="DI1581" s="17"/>
      <c r="DJ1581" s="17"/>
      <c r="DK1581" s="16"/>
      <c r="DL1581" s="16"/>
      <c r="DM1581" s="17"/>
      <c r="DN1581" s="17"/>
      <c r="DO1581" s="16"/>
      <c r="DP1581" s="16"/>
      <c r="DQ1581" s="17"/>
      <c r="DR1581" s="17"/>
      <c r="DS1581" s="16"/>
      <c r="DT1581" s="16"/>
      <c r="DU1581" s="17"/>
      <c r="DV1581" s="17"/>
      <c r="DW1581" s="16"/>
      <c r="DX1581" s="16"/>
      <c r="DY1581" s="17"/>
      <c r="DZ1581" s="17"/>
      <c r="EA1581" s="16"/>
      <c r="EB1581" s="16"/>
      <c r="EC1581" s="17"/>
      <c r="ED1581" s="17"/>
      <c r="EE1581" s="16"/>
      <c r="EF1581" s="16"/>
      <c r="EG1581" s="17"/>
      <c r="EH1581" s="17"/>
      <c r="EI1581" s="16"/>
      <c r="EJ1581" s="16"/>
      <c r="EK1581" s="17"/>
      <c r="EL1581" s="17"/>
      <c r="EM1581" s="16"/>
      <c r="EN1581" s="16"/>
      <c r="EO1581" s="17"/>
      <c r="EP1581" s="17"/>
      <c r="EQ1581" s="16"/>
      <c r="ER1581" s="16"/>
      <c r="ES1581" s="17"/>
      <c r="ET1581" s="17"/>
      <c r="EU1581" s="16"/>
      <c r="EV1581" s="16"/>
      <c r="EW1581" s="17"/>
      <c r="EX1581" s="17"/>
      <c r="EY1581" s="16"/>
      <c r="EZ1581" s="16"/>
      <c r="FA1581" s="17"/>
      <c r="FB1581" s="17"/>
      <c r="FC1581" s="16"/>
      <c r="FD1581" s="16"/>
      <c r="FE1581" s="17"/>
      <c r="FF1581" s="17"/>
      <c r="FG1581" s="11"/>
      <c r="GT1581" s="11"/>
      <c r="IG1581" s="11"/>
      <c r="JT1581" s="11"/>
      <c r="LG1581" s="11"/>
      <c r="MT1581" s="11"/>
      <c r="OG1581" s="11"/>
      <c r="PT1581" s="11"/>
    </row>
    <row r="1582" spans="1:474" ht="15.75" x14ac:dyDescent="0.25">
      <c r="A1582" s="13"/>
      <c r="B1582" s="14" t="s">
        <v>1157</v>
      </c>
      <c r="C1582" s="13"/>
      <c r="D1582" s="13"/>
      <c r="E1582" s="15" t="s">
        <v>127</v>
      </c>
      <c r="F1582" s="15" t="s">
        <v>177</v>
      </c>
      <c r="G1582" s="13"/>
      <c r="H1582" s="11"/>
      <c r="AU1582" s="11"/>
      <c r="CH1582" s="11"/>
      <c r="CI1582" s="16"/>
      <c r="CJ1582" s="16"/>
      <c r="CK1582" s="16"/>
      <c r="CL1582" s="16"/>
      <c r="CM1582" s="16"/>
      <c r="CN1582" s="16"/>
      <c r="CO1582" s="16"/>
      <c r="CP1582" s="16"/>
      <c r="CQ1582" s="16"/>
      <c r="CR1582" s="16"/>
      <c r="CS1582" s="16"/>
      <c r="CT1582" s="16"/>
      <c r="CU1582" s="16"/>
      <c r="CV1582" s="16"/>
      <c r="CW1582" s="16"/>
      <c r="CX1582" s="16"/>
      <c r="CY1582" s="16"/>
      <c r="CZ1582" s="16"/>
      <c r="DA1582" s="16"/>
      <c r="DB1582" s="16"/>
      <c r="DC1582" s="16"/>
      <c r="DD1582" s="16"/>
      <c r="DE1582" s="17"/>
      <c r="DF1582" s="17"/>
      <c r="DG1582" s="16"/>
      <c r="DH1582" s="16"/>
      <c r="DI1582" s="17"/>
      <c r="DJ1582" s="17"/>
      <c r="DK1582" s="16"/>
      <c r="DL1582" s="16"/>
      <c r="DM1582" s="17"/>
      <c r="DN1582" s="17"/>
      <c r="DO1582" s="16"/>
      <c r="DP1582" s="16"/>
      <c r="DQ1582" s="17"/>
      <c r="DR1582" s="17"/>
      <c r="DS1582" s="16"/>
      <c r="DT1582" s="16"/>
      <c r="DU1582" s="17"/>
      <c r="DV1582" s="17"/>
      <c r="DW1582" s="16"/>
      <c r="DX1582" s="16"/>
      <c r="DY1582" s="17"/>
      <c r="DZ1582" s="17"/>
      <c r="EA1582" s="16"/>
      <c r="EB1582" s="16"/>
      <c r="EC1582" s="17"/>
      <c r="ED1582" s="17"/>
      <c r="EE1582" s="16"/>
      <c r="EF1582" s="16"/>
      <c r="EG1582" s="17"/>
      <c r="EH1582" s="17"/>
      <c r="EI1582" s="16"/>
      <c r="EJ1582" s="16"/>
      <c r="EK1582" s="17"/>
      <c r="EL1582" s="17"/>
      <c r="EM1582" s="16"/>
      <c r="EN1582" s="16"/>
      <c r="EO1582" s="17"/>
      <c r="EP1582" s="17"/>
      <c r="EQ1582" s="16"/>
      <c r="ER1582" s="16"/>
      <c r="ES1582" s="17"/>
      <c r="ET1582" s="18">
        <v>20</v>
      </c>
      <c r="EU1582" s="16"/>
      <c r="EV1582" s="16"/>
      <c r="EW1582" s="17"/>
      <c r="EX1582" s="17"/>
      <c r="EY1582" s="16"/>
      <c r="EZ1582" s="16"/>
      <c r="FA1582" s="17"/>
      <c r="FB1582" s="17"/>
      <c r="FC1582" s="16"/>
      <c r="FD1582" s="16"/>
      <c r="FE1582" s="17"/>
      <c r="FF1582" s="17"/>
      <c r="FG1582" s="11"/>
      <c r="GT1582" s="11"/>
      <c r="IG1582" s="11"/>
      <c r="JT1582" s="11"/>
      <c r="LG1582" s="11"/>
      <c r="MT1582" s="11"/>
      <c r="OG1582" s="11"/>
      <c r="PT1582" s="11"/>
    </row>
    <row r="1583" spans="1:474" x14ac:dyDescent="0.25">
      <c r="A1583" s="57" t="s">
        <v>1158</v>
      </c>
      <c r="B1583" s="57"/>
      <c r="C1583" s="57"/>
      <c r="D1583" s="57"/>
      <c r="E1583" s="57"/>
      <c r="F1583" s="57"/>
      <c r="G1583" s="57"/>
      <c r="H1583" s="57"/>
      <c r="I1583" s="57"/>
      <c r="J1583" s="57"/>
      <c r="K1583" s="57"/>
      <c r="L1583" s="57"/>
      <c r="M1583" s="57"/>
      <c r="N1583" s="57"/>
      <c r="O1583" s="57"/>
      <c r="P1583" s="57"/>
      <c r="Q1583" s="57"/>
      <c r="R1583" s="57"/>
      <c r="S1583" s="57"/>
      <c r="T1583" s="57"/>
      <c r="U1583" s="57"/>
      <c r="V1583" s="57"/>
      <c r="W1583" s="57"/>
      <c r="X1583" s="57"/>
      <c r="Y1583" s="57"/>
      <c r="Z1583" s="57"/>
      <c r="AA1583" s="57"/>
      <c r="AB1583" s="57"/>
      <c r="AC1583" s="57"/>
      <c r="AD1583" s="57"/>
      <c r="AE1583" s="57"/>
      <c r="AF1583" s="57"/>
      <c r="AG1583" s="57"/>
      <c r="AH1583" s="57"/>
      <c r="AI1583" s="57"/>
      <c r="AJ1583" s="57"/>
      <c r="AK1583" s="57"/>
      <c r="AL1583" s="57"/>
      <c r="AM1583" s="57"/>
      <c r="AN1583" s="57"/>
      <c r="AO1583" s="57"/>
      <c r="AP1583" s="57"/>
      <c r="AQ1583" s="57"/>
      <c r="AR1583" s="57"/>
      <c r="AS1583" s="57"/>
      <c r="AT1583" s="57"/>
      <c r="AU1583" s="57"/>
      <c r="AV1583" s="57"/>
      <c r="AW1583" s="57"/>
      <c r="AX1583" s="57"/>
      <c r="AY1583" s="57"/>
      <c r="AZ1583" s="57"/>
      <c r="BA1583" s="57"/>
      <c r="BB1583" s="57"/>
      <c r="BC1583" s="57"/>
      <c r="BD1583" s="57"/>
      <c r="BE1583" s="57"/>
      <c r="BF1583" s="57"/>
      <c r="BG1583" s="57"/>
      <c r="BH1583" s="57"/>
      <c r="BI1583" s="57"/>
      <c r="BJ1583" s="57"/>
      <c r="BK1583" s="57"/>
      <c r="BL1583" s="57"/>
      <c r="BM1583" s="57"/>
      <c r="BN1583" s="57"/>
      <c r="BO1583" s="57"/>
      <c r="BP1583" s="57"/>
      <c r="BQ1583" s="57"/>
      <c r="BR1583" s="57"/>
      <c r="BS1583" s="57"/>
      <c r="BT1583" s="57"/>
      <c r="BU1583" s="57"/>
      <c r="BV1583" s="57"/>
      <c r="BW1583" s="57"/>
      <c r="BX1583" s="57"/>
      <c r="BY1583" s="57"/>
      <c r="BZ1583" s="57"/>
      <c r="CA1583" s="57"/>
      <c r="CB1583" s="57"/>
      <c r="CC1583" s="57"/>
      <c r="CD1583" s="57"/>
      <c r="CE1583" s="57"/>
      <c r="CF1583" s="57"/>
      <c r="CG1583" s="57"/>
      <c r="CH1583" s="57"/>
      <c r="CI1583" s="57"/>
      <c r="CJ1583" s="57"/>
      <c r="CK1583" s="57"/>
      <c r="CL1583" s="57"/>
      <c r="CM1583" s="57"/>
      <c r="CN1583" s="57"/>
      <c r="CO1583" s="57"/>
      <c r="CP1583" s="57"/>
      <c r="CQ1583" s="57"/>
      <c r="CR1583" s="57"/>
      <c r="CS1583" s="57"/>
      <c r="CT1583" s="57"/>
      <c r="CU1583" s="57"/>
      <c r="CV1583" s="57"/>
      <c r="CW1583" s="57"/>
      <c r="CX1583" s="57"/>
      <c r="CY1583" s="57"/>
      <c r="CZ1583" s="57"/>
      <c r="DA1583" s="57"/>
      <c r="DB1583" s="57"/>
      <c r="DC1583" s="57"/>
      <c r="DD1583" s="57"/>
      <c r="DE1583" s="57"/>
      <c r="DF1583" s="57"/>
      <c r="DG1583" s="57"/>
      <c r="DH1583" s="57"/>
      <c r="DI1583" s="57"/>
      <c r="DJ1583" s="57"/>
      <c r="DK1583" s="57"/>
      <c r="DL1583" s="57"/>
      <c r="DM1583" s="57"/>
      <c r="DN1583" s="57"/>
      <c r="DO1583" s="57"/>
      <c r="DP1583" s="57"/>
      <c r="DQ1583" s="57"/>
      <c r="DR1583" s="57"/>
      <c r="DS1583" s="57"/>
      <c r="DT1583" s="57"/>
      <c r="DU1583" s="57"/>
      <c r="DV1583" s="57"/>
      <c r="DW1583" s="57"/>
      <c r="DX1583" s="57"/>
      <c r="DY1583" s="57"/>
      <c r="DZ1583" s="57"/>
      <c r="EA1583" s="57"/>
      <c r="EB1583" s="57"/>
      <c r="EC1583" s="57"/>
      <c r="ED1583" s="57"/>
      <c r="EE1583" s="57"/>
      <c r="EF1583" s="57"/>
      <c r="EG1583" s="57"/>
      <c r="EH1583" s="57"/>
      <c r="EI1583" s="57"/>
      <c r="EJ1583" s="57"/>
      <c r="EK1583" s="57"/>
      <c r="EL1583" s="57"/>
      <c r="EM1583" s="57"/>
      <c r="EN1583" s="57"/>
      <c r="EO1583" s="57"/>
      <c r="EP1583" s="57"/>
      <c r="EQ1583" s="57"/>
      <c r="ER1583" s="57"/>
      <c r="ES1583" s="57"/>
      <c r="ET1583" s="57"/>
      <c r="EU1583" s="57"/>
      <c r="EV1583" s="57"/>
      <c r="EW1583" s="57"/>
      <c r="EX1583" s="57"/>
      <c r="EY1583" s="57"/>
      <c r="EZ1583" s="57"/>
      <c r="FA1583" s="57"/>
      <c r="FB1583" s="57"/>
      <c r="FC1583" s="57"/>
      <c r="FD1583" s="57"/>
      <c r="FE1583" s="57"/>
      <c r="FF1583" s="57"/>
      <c r="FG1583" s="57"/>
      <c r="FH1583" s="57"/>
      <c r="FI1583" s="57"/>
      <c r="FJ1583" s="57"/>
      <c r="FK1583" s="57"/>
      <c r="FL1583" s="57"/>
      <c r="FM1583" s="57"/>
      <c r="FN1583" s="57"/>
      <c r="FO1583" s="57"/>
      <c r="FP1583" s="57"/>
      <c r="FQ1583" s="57"/>
      <c r="FR1583" s="57"/>
      <c r="FS1583" s="57"/>
      <c r="FT1583" s="57"/>
      <c r="FU1583" s="57"/>
      <c r="FV1583" s="57"/>
      <c r="FW1583" s="57"/>
      <c r="FX1583" s="57"/>
      <c r="FY1583" s="57"/>
      <c r="FZ1583" s="57"/>
      <c r="GA1583" s="57"/>
      <c r="GB1583" s="57"/>
      <c r="GC1583" s="57"/>
      <c r="GD1583" s="57"/>
      <c r="GE1583" s="57"/>
      <c r="GF1583" s="57"/>
      <c r="GG1583" s="57"/>
      <c r="GH1583" s="57"/>
      <c r="GI1583" s="57"/>
      <c r="GJ1583" s="57"/>
      <c r="GK1583" s="57"/>
      <c r="GL1583" s="57"/>
      <c r="GM1583" s="57"/>
      <c r="GN1583" s="57"/>
      <c r="GO1583" s="57"/>
      <c r="GP1583" s="57"/>
      <c r="GQ1583" s="57"/>
      <c r="GR1583" s="57"/>
      <c r="GS1583" s="57"/>
      <c r="GT1583" s="57"/>
      <c r="GU1583" s="57"/>
      <c r="GV1583" s="57"/>
      <c r="GW1583" s="57"/>
      <c r="GX1583" s="57"/>
      <c r="GY1583" s="57"/>
      <c r="GZ1583" s="57"/>
      <c r="HA1583" s="57"/>
      <c r="HB1583" s="57"/>
      <c r="HC1583" s="57"/>
      <c r="HD1583" s="57"/>
      <c r="HE1583" s="57"/>
      <c r="HF1583" s="57"/>
      <c r="HG1583" s="57"/>
      <c r="HH1583" s="57"/>
      <c r="HI1583" s="57"/>
      <c r="HJ1583" s="57"/>
      <c r="HK1583" s="57"/>
      <c r="HL1583" s="57"/>
      <c r="HM1583" s="57"/>
      <c r="HN1583" s="57"/>
      <c r="HO1583" s="57"/>
      <c r="HP1583" s="57"/>
      <c r="HQ1583" s="57"/>
      <c r="HR1583" s="57"/>
      <c r="HS1583" s="57"/>
      <c r="HT1583" s="57"/>
      <c r="HU1583" s="57"/>
      <c r="HV1583" s="57"/>
      <c r="HW1583" s="57"/>
      <c r="HX1583" s="57"/>
      <c r="HY1583" s="57"/>
      <c r="HZ1583" s="57"/>
      <c r="IA1583" s="57"/>
      <c r="IB1583" s="57"/>
      <c r="IC1583" s="57"/>
      <c r="ID1583" s="57"/>
      <c r="IE1583" s="57"/>
      <c r="IF1583" s="57"/>
      <c r="IG1583" s="57"/>
      <c r="IH1583" s="57"/>
      <c r="II1583" s="57"/>
      <c r="IJ1583" s="57"/>
      <c r="IK1583" s="57"/>
      <c r="IL1583" s="57"/>
      <c r="IM1583" s="57"/>
      <c r="IN1583" s="57"/>
      <c r="IO1583" s="57"/>
      <c r="IP1583" s="57"/>
      <c r="IQ1583" s="57"/>
      <c r="IR1583" s="57"/>
      <c r="IS1583" s="57"/>
      <c r="IT1583" s="57"/>
      <c r="IU1583" s="57"/>
      <c r="IV1583" s="57"/>
      <c r="IW1583" s="57"/>
      <c r="IX1583" s="57"/>
      <c r="IY1583" s="57"/>
      <c r="IZ1583" s="57"/>
      <c r="JA1583" s="57"/>
      <c r="JB1583" s="57"/>
      <c r="JC1583" s="57"/>
      <c r="JD1583" s="57"/>
      <c r="JE1583" s="57"/>
      <c r="JF1583" s="57"/>
      <c r="JG1583" s="57"/>
      <c r="JH1583" s="57"/>
      <c r="JI1583" s="57"/>
      <c r="JJ1583" s="57"/>
      <c r="JK1583" s="57"/>
      <c r="JL1583" s="57"/>
      <c r="JM1583" s="57"/>
      <c r="JN1583" s="57"/>
      <c r="JO1583" s="57"/>
      <c r="JP1583" s="57"/>
      <c r="JQ1583" s="57"/>
      <c r="JR1583" s="57"/>
      <c r="JS1583" s="57"/>
      <c r="JT1583" s="57"/>
      <c r="JU1583" s="57"/>
      <c r="JV1583" s="57"/>
      <c r="JW1583" s="57"/>
      <c r="JX1583" s="57"/>
      <c r="JY1583" s="57"/>
      <c r="JZ1583" s="57"/>
      <c r="KA1583" s="57"/>
      <c r="KB1583" s="57"/>
      <c r="KC1583" s="57"/>
      <c r="KD1583" s="57"/>
      <c r="KE1583" s="57"/>
      <c r="KF1583" s="57"/>
      <c r="KG1583" s="57"/>
      <c r="KH1583" s="57"/>
      <c r="KI1583" s="57"/>
      <c r="KJ1583" s="57"/>
      <c r="KK1583" s="57"/>
      <c r="KL1583" s="57"/>
      <c r="KM1583" s="57"/>
      <c r="KN1583" s="57"/>
      <c r="KO1583" s="57"/>
      <c r="KP1583" s="57"/>
      <c r="KQ1583" s="57"/>
      <c r="KR1583" s="57"/>
      <c r="KS1583" s="57"/>
      <c r="KT1583" s="57"/>
      <c r="KU1583" s="57"/>
      <c r="KV1583" s="57"/>
      <c r="KW1583" s="57"/>
      <c r="KX1583" s="57"/>
      <c r="KY1583" s="57"/>
      <c r="KZ1583" s="57"/>
      <c r="LA1583" s="57"/>
      <c r="LB1583" s="57"/>
      <c r="LC1583" s="57"/>
      <c r="LD1583" s="57"/>
      <c r="LE1583" s="57"/>
      <c r="LF1583" s="57"/>
      <c r="LG1583" s="57"/>
      <c r="LH1583" s="57"/>
      <c r="LI1583" s="57"/>
      <c r="LJ1583" s="57"/>
      <c r="LK1583" s="57"/>
      <c r="LL1583" s="57"/>
      <c r="LM1583" s="57"/>
      <c r="LN1583" s="57"/>
      <c r="LO1583" s="57"/>
      <c r="LP1583" s="57"/>
      <c r="LQ1583" s="57"/>
      <c r="LR1583" s="57"/>
      <c r="LS1583" s="57"/>
      <c r="LT1583" s="57"/>
      <c r="LU1583" s="57"/>
      <c r="LV1583" s="57"/>
      <c r="LW1583" s="57"/>
      <c r="LX1583" s="57"/>
      <c r="LY1583" s="57"/>
      <c r="LZ1583" s="57"/>
      <c r="MA1583" s="57"/>
      <c r="MB1583" s="57"/>
      <c r="MC1583" s="57"/>
      <c r="MD1583" s="57"/>
      <c r="ME1583" s="57"/>
      <c r="MF1583" s="57"/>
      <c r="MG1583" s="57"/>
      <c r="MH1583" s="57"/>
      <c r="MI1583" s="57"/>
      <c r="MJ1583" s="57"/>
      <c r="MK1583" s="57"/>
      <c r="ML1583" s="57"/>
      <c r="MM1583" s="57"/>
      <c r="MN1583" s="57"/>
      <c r="MO1583" s="57"/>
      <c r="MP1583" s="57"/>
      <c r="MQ1583" s="57"/>
      <c r="MR1583" s="57"/>
      <c r="MS1583" s="57"/>
      <c r="MT1583" s="57"/>
      <c r="MU1583" s="57"/>
      <c r="MV1583" s="57"/>
      <c r="MW1583" s="57"/>
      <c r="MX1583" s="57"/>
      <c r="MY1583" s="57"/>
      <c r="MZ1583" s="57"/>
      <c r="NA1583" s="57"/>
      <c r="NB1583" s="57"/>
      <c r="NC1583" s="57"/>
      <c r="ND1583" s="57"/>
      <c r="NE1583" s="57"/>
      <c r="NF1583" s="57"/>
      <c r="NG1583" s="57"/>
      <c r="NH1583" s="57"/>
      <c r="NI1583" s="57"/>
      <c r="NJ1583" s="57"/>
      <c r="NK1583" s="57"/>
      <c r="NL1583" s="57"/>
      <c r="NM1583" s="57"/>
      <c r="NN1583" s="57"/>
      <c r="NO1583" s="57"/>
      <c r="NP1583" s="57"/>
      <c r="NQ1583" s="57"/>
      <c r="NR1583" s="57"/>
      <c r="NS1583" s="57"/>
      <c r="NT1583" s="57"/>
      <c r="NU1583" s="57"/>
      <c r="NV1583" s="57"/>
      <c r="NW1583" s="57"/>
      <c r="NX1583" s="57"/>
      <c r="NY1583" s="57"/>
      <c r="NZ1583" s="57"/>
      <c r="OA1583" s="57"/>
      <c r="OB1583" s="57"/>
      <c r="OC1583" s="57"/>
      <c r="OD1583" s="57"/>
      <c r="OE1583" s="57"/>
      <c r="OF1583" s="57"/>
      <c r="OG1583" s="57"/>
      <c r="OH1583" s="57"/>
      <c r="OI1583" s="57"/>
      <c r="OJ1583" s="57"/>
      <c r="OK1583" s="57"/>
      <c r="OL1583" s="57"/>
      <c r="OM1583" s="57"/>
      <c r="ON1583" s="57"/>
      <c r="OO1583" s="57"/>
      <c r="OP1583" s="57"/>
      <c r="OQ1583" s="57"/>
      <c r="OR1583" s="57"/>
      <c r="OS1583" s="57"/>
      <c r="OT1583" s="57"/>
      <c r="OU1583" s="57"/>
      <c r="OV1583" s="57"/>
      <c r="OW1583" s="57"/>
      <c r="OX1583" s="57"/>
      <c r="OY1583" s="57"/>
      <c r="OZ1583" s="57"/>
      <c r="PA1583" s="57"/>
      <c r="PB1583" s="57"/>
      <c r="PC1583" s="57"/>
      <c r="PD1583" s="57"/>
      <c r="PE1583" s="57"/>
      <c r="PF1583" s="57"/>
      <c r="PG1583" s="57"/>
      <c r="PH1583" s="57"/>
      <c r="PI1583" s="57"/>
      <c r="PJ1583" s="57"/>
      <c r="PK1583" s="57"/>
      <c r="PL1583" s="57"/>
      <c r="PM1583" s="57"/>
      <c r="PN1583" s="57"/>
      <c r="PO1583" s="57"/>
      <c r="PP1583" s="57"/>
      <c r="PQ1583" s="57"/>
      <c r="PR1583" s="57"/>
      <c r="PS1583" s="57"/>
      <c r="PT1583" s="57"/>
      <c r="PU1583" s="57"/>
      <c r="PV1583" s="57"/>
      <c r="PW1583" s="57"/>
      <c r="PX1583" s="57"/>
      <c r="PY1583" s="57"/>
      <c r="PZ1583" s="57"/>
      <c r="QA1583" s="57"/>
      <c r="QB1583" s="57"/>
      <c r="QC1583" s="57"/>
      <c r="QD1583" s="57"/>
      <c r="QE1583" s="57"/>
      <c r="QF1583" s="57"/>
      <c r="QG1583" s="57"/>
      <c r="QH1583" s="57"/>
      <c r="QI1583" s="57"/>
      <c r="QJ1583" s="57"/>
      <c r="QK1583" s="57"/>
      <c r="QL1583" s="57"/>
      <c r="QM1583" s="57"/>
      <c r="QN1583" s="57"/>
      <c r="QO1583" s="57"/>
      <c r="QP1583" s="57"/>
      <c r="QQ1583" s="57"/>
      <c r="QR1583" s="57"/>
      <c r="QS1583" s="57"/>
      <c r="QT1583" s="57"/>
      <c r="QU1583" s="57"/>
      <c r="QV1583" s="57"/>
      <c r="QW1583" s="57"/>
      <c r="QX1583" s="57"/>
      <c r="QY1583" s="57"/>
      <c r="QZ1583" s="57"/>
      <c r="RA1583" s="57"/>
      <c r="RB1583" s="57"/>
      <c r="RC1583" s="57"/>
      <c r="RD1583" s="57"/>
      <c r="RE1583" s="57"/>
      <c r="RF1583" s="57"/>
    </row>
    <row r="1584" spans="1:474" x14ac:dyDescent="0.25">
      <c r="H1584" s="11"/>
      <c r="AU1584" s="11"/>
      <c r="CH1584" s="11"/>
      <c r="CI1584" s="12" t="s">
        <v>73</v>
      </c>
      <c r="CJ1584" s="12" t="s">
        <v>74</v>
      </c>
      <c r="CK1584" s="12" t="s">
        <v>73</v>
      </c>
      <c r="CL1584" s="12" t="s">
        <v>74</v>
      </c>
      <c r="CM1584" s="12" t="s">
        <v>73</v>
      </c>
      <c r="CN1584" s="12" t="s">
        <v>74</v>
      </c>
      <c r="CO1584" s="12" t="s">
        <v>73</v>
      </c>
      <c r="CP1584" s="12" t="s">
        <v>74</v>
      </c>
      <c r="CQ1584" s="12" t="s">
        <v>73</v>
      </c>
      <c r="CR1584" s="12" t="s">
        <v>74</v>
      </c>
      <c r="CS1584" s="12" t="s">
        <v>73</v>
      </c>
      <c r="CT1584" s="12" t="s">
        <v>74</v>
      </c>
      <c r="CU1584" s="12" t="s">
        <v>73</v>
      </c>
      <c r="CV1584" s="12" t="s">
        <v>74</v>
      </c>
      <c r="CW1584" s="12" t="s">
        <v>73</v>
      </c>
      <c r="CX1584" s="12" t="s">
        <v>74</v>
      </c>
      <c r="CY1584" s="12" t="s">
        <v>73</v>
      </c>
      <c r="CZ1584" s="12" t="s">
        <v>74</v>
      </c>
      <c r="DA1584" s="12" t="s">
        <v>73</v>
      </c>
      <c r="DB1584" s="12" t="s">
        <v>74</v>
      </c>
      <c r="DC1584" s="12" t="s">
        <v>73</v>
      </c>
      <c r="DD1584" s="12" t="s">
        <v>74</v>
      </c>
      <c r="DE1584" s="12" t="s">
        <v>73</v>
      </c>
      <c r="DF1584" s="12" t="s">
        <v>74</v>
      </c>
      <c r="DG1584" s="12" t="s">
        <v>73</v>
      </c>
      <c r="DH1584" s="12" t="s">
        <v>74</v>
      </c>
      <c r="DI1584" s="12" t="s">
        <v>73</v>
      </c>
      <c r="DJ1584" s="12" t="s">
        <v>74</v>
      </c>
      <c r="DK1584" s="12" t="s">
        <v>73</v>
      </c>
      <c r="DL1584" s="12" t="s">
        <v>74</v>
      </c>
      <c r="DM1584" s="12" t="s">
        <v>73</v>
      </c>
      <c r="DN1584" s="12" t="s">
        <v>74</v>
      </c>
      <c r="DO1584" s="12" t="s">
        <v>73</v>
      </c>
      <c r="DP1584" s="12" t="s">
        <v>74</v>
      </c>
      <c r="DQ1584" s="12" t="s">
        <v>73</v>
      </c>
      <c r="DR1584" s="12" t="s">
        <v>74</v>
      </c>
      <c r="DS1584" s="12" t="s">
        <v>73</v>
      </c>
      <c r="DT1584" s="12" t="s">
        <v>74</v>
      </c>
      <c r="DU1584" s="12" t="s">
        <v>73</v>
      </c>
      <c r="DV1584" s="12" t="s">
        <v>74</v>
      </c>
      <c r="DW1584" s="12" t="s">
        <v>73</v>
      </c>
      <c r="DX1584" s="12" t="s">
        <v>74</v>
      </c>
      <c r="DY1584" s="12" t="s">
        <v>73</v>
      </c>
      <c r="DZ1584" s="12" t="s">
        <v>74</v>
      </c>
      <c r="EA1584" s="12" t="s">
        <v>73</v>
      </c>
      <c r="EB1584" s="12" t="s">
        <v>74</v>
      </c>
      <c r="EC1584" s="12" t="s">
        <v>73</v>
      </c>
      <c r="ED1584" s="12" t="s">
        <v>74</v>
      </c>
      <c r="EE1584" s="12" t="s">
        <v>73</v>
      </c>
      <c r="EF1584" s="12" t="s">
        <v>74</v>
      </c>
      <c r="EG1584" s="12" t="s">
        <v>73</v>
      </c>
      <c r="EH1584" s="12" t="s">
        <v>74</v>
      </c>
      <c r="EI1584" s="12" t="s">
        <v>73</v>
      </c>
      <c r="EJ1584" s="12" t="s">
        <v>74</v>
      </c>
      <c r="EK1584" s="12" t="s">
        <v>73</v>
      </c>
      <c r="EL1584" s="12" t="s">
        <v>74</v>
      </c>
      <c r="EM1584" s="12" t="s">
        <v>73</v>
      </c>
      <c r="EN1584" s="12" t="s">
        <v>74</v>
      </c>
      <c r="EO1584" s="12" t="s">
        <v>73</v>
      </c>
      <c r="EP1584" s="12" t="s">
        <v>74</v>
      </c>
      <c r="EQ1584" s="12" t="s">
        <v>73</v>
      </c>
      <c r="ER1584" s="12" t="s">
        <v>74</v>
      </c>
      <c r="ES1584" s="12" t="s">
        <v>73</v>
      </c>
      <c r="ET1584" s="12" t="s">
        <v>74</v>
      </c>
      <c r="EU1584" s="12" t="s">
        <v>73</v>
      </c>
      <c r="EV1584" s="12" t="s">
        <v>74</v>
      </c>
      <c r="EW1584" s="12" t="s">
        <v>73</v>
      </c>
      <c r="EX1584" s="12" t="s">
        <v>74</v>
      </c>
      <c r="EY1584" s="12" t="s">
        <v>73</v>
      </c>
      <c r="EZ1584" s="12" t="s">
        <v>74</v>
      </c>
      <c r="FA1584" s="12" t="s">
        <v>73</v>
      </c>
      <c r="FB1584" s="12" t="s">
        <v>74</v>
      </c>
      <c r="FC1584" s="12" t="s">
        <v>73</v>
      </c>
      <c r="FD1584" s="12" t="s">
        <v>74</v>
      </c>
      <c r="FE1584" s="12" t="s">
        <v>73</v>
      </c>
      <c r="FF1584" s="12" t="s">
        <v>74</v>
      </c>
      <c r="FG1584" s="11"/>
      <c r="GT1584" s="11"/>
      <c r="IG1584" s="11"/>
      <c r="JT1584" s="11"/>
      <c r="LG1584" s="11"/>
      <c r="MT1584" s="11"/>
      <c r="OG1584" s="11"/>
      <c r="PT1584" s="11"/>
    </row>
    <row r="1585" spans="1:474" ht="15.75" x14ac:dyDescent="0.25">
      <c r="A1585" s="13"/>
      <c r="B1585" s="14" t="s">
        <v>1159</v>
      </c>
      <c r="C1585" s="13"/>
      <c r="D1585" s="13"/>
      <c r="E1585" s="15" t="s">
        <v>127</v>
      </c>
      <c r="F1585" s="15" t="s">
        <v>177</v>
      </c>
      <c r="G1585" s="13"/>
      <c r="H1585" s="11"/>
      <c r="AU1585" s="11"/>
      <c r="CH1585" s="11"/>
      <c r="CI1585" s="16"/>
      <c r="CJ1585" s="16"/>
      <c r="CK1585" s="16"/>
      <c r="CL1585" s="16"/>
      <c r="CM1585" s="16"/>
      <c r="CN1585" s="16"/>
      <c r="CO1585" s="16"/>
      <c r="CP1585" s="16"/>
      <c r="CQ1585" s="16"/>
      <c r="CR1585" s="16"/>
      <c r="CS1585" s="16"/>
      <c r="CT1585" s="16"/>
      <c r="CU1585" s="16"/>
      <c r="CV1585" s="16"/>
      <c r="CW1585" s="16"/>
      <c r="CX1585" s="16"/>
      <c r="CY1585" s="16"/>
      <c r="CZ1585" s="16"/>
      <c r="DA1585" s="16"/>
      <c r="DB1585" s="16"/>
      <c r="DC1585" s="16"/>
      <c r="DD1585" s="16"/>
      <c r="DE1585" s="17"/>
      <c r="DF1585" s="17"/>
      <c r="DG1585" s="16"/>
      <c r="DH1585" s="16"/>
      <c r="DI1585" s="17"/>
      <c r="DJ1585" s="17"/>
      <c r="DK1585" s="16"/>
      <c r="DL1585" s="16"/>
      <c r="DM1585" s="17"/>
      <c r="DN1585" s="17"/>
      <c r="DO1585" s="16"/>
      <c r="DP1585" s="16"/>
      <c r="DQ1585" s="17"/>
      <c r="DR1585" s="17"/>
      <c r="DS1585" s="16"/>
      <c r="DT1585" s="16"/>
      <c r="DU1585" s="17"/>
      <c r="DV1585" s="17"/>
      <c r="DW1585" s="16"/>
      <c r="DX1585" s="16"/>
      <c r="DY1585" s="17"/>
      <c r="DZ1585" s="17"/>
      <c r="EA1585" s="16"/>
      <c r="EB1585" s="16"/>
      <c r="EC1585" s="17"/>
      <c r="ED1585" s="17"/>
      <c r="EE1585" s="16"/>
      <c r="EF1585" s="16"/>
      <c r="EG1585" s="17"/>
      <c r="EH1585" s="17"/>
      <c r="EI1585" s="16"/>
      <c r="EJ1585" s="16"/>
      <c r="EK1585" s="17"/>
      <c r="EL1585" s="17"/>
      <c r="EM1585" s="16"/>
      <c r="EN1585" s="16"/>
      <c r="EO1585" s="17"/>
      <c r="EP1585" s="17"/>
      <c r="EQ1585" s="16"/>
      <c r="ER1585" s="16"/>
      <c r="ES1585" s="17"/>
      <c r="ET1585" s="17"/>
      <c r="EU1585" s="16"/>
      <c r="EV1585" s="16"/>
      <c r="EW1585" s="17"/>
      <c r="EX1585" s="17"/>
      <c r="EY1585" s="16"/>
      <c r="EZ1585" s="16"/>
      <c r="FA1585" s="17"/>
      <c r="FB1585" s="17"/>
      <c r="FC1585" s="16"/>
      <c r="FD1585" s="16"/>
      <c r="FE1585" s="17"/>
      <c r="FF1585" s="17"/>
      <c r="FG1585" s="11"/>
      <c r="GT1585" s="11"/>
      <c r="IG1585" s="11"/>
      <c r="JT1585" s="11"/>
      <c r="LG1585" s="11"/>
      <c r="MT1585" s="11"/>
      <c r="OG1585" s="11"/>
      <c r="PT1585" s="11"/>
    </row>
    <row r="1586" spans="1:474" ht="15.75" x14ac:dyDescent="0.25">
      <c r="A1586" s="13"/>
      <c r="B1586" s="14" t="s">
        <v>1160</v>
      </c>
      <c r="C1586" s="13"/>
      <c r="D1586" s="13"/>
      <c r="E1586" s="15" t="s">
        <v>76</v>
      </c>
      <c r="F1586" s="15" t="s">
        <v>177</v>
      </c>
      <c r="G1586" s="13"/>
      <c r="H1586" s="11"/>
      <c r="AU1586" s="11"/>
      <c r="CH1586" s="11"/>
      <c r="CI1586" s="16"/>
      <c r="CJ1586" s="16"/>
      <c r="CK1586" s="16"/>
      <c r="CL1586" s="16"/>
      <c r="CM1586" s="16"/>
      <c r="CN1586" s="16"/>
      <c r="CO1586" s="16"/>
      <c r="CP1586" s="16"/>
      <c r="CQ1586" s="16"/>
      <c r="CR1586" s="16"/>
      <c r="CS1586" s="16"/>
      <c r="CT1586" s="16"/>
      <c r="CU1586" s="16"/>
      <c r="CV1586" s="16"/>
      <c r="CW1586" s="16"/>
      <c r="CX1586" s="16"/>
      <c r="CY1586" s="16"/>
      <c r="CZ1586" s="16"/>
      <c r="DA1586" s="16"/>
      <c r="DB1586" s="16"/>
      <c r="DC1586" s="16"/>
      <c r="DD1586" s="16"/>
      <c r="DE1586" s="17"/>
      <c r="DF1586" s="17"/>
      <c r="DG1586" s="16"/>
      <c r="DH1586" s="16"/>
      <c r="DI1586" s="17"/>
      <c r="DJ1586" s="17"/>
      <c r="DK1586" s="16"/>
      <c r="DL1586" s="16"/>
      <c r="DM1586" s="17"/>
      <c r="DN1586" s="17"/>
      <c r="DO1586" s="16"/>
      <c r="DP1586" s="16"/>
      <c r="DQ1586" s="17"/>
      <c r="DR1586" s="17"/>
      <c r="DS1586" s="16"/>
      <c r="DT1586" s="16"/>
      <c r="DU1586" s="17"/>
      <c r="DV1586" s="17"/>
      <c r="DW1586" s="16"/>
      <c r="DX1586" s="16"/>
      <c r="DY1586" s="17"/>
      <c r="DZ1586" s="17"/>
      <c r="EA1586" s="16"/>
      <c r="EB1586" s="16"/>
      <c r="EC1586" s="17"/>
      <c r="ED1586" s="17"/>
      <c r="EE1586" s="16"/>
      <c r="EF1586" s="16"/>
      <c r="EG1586" s="17"/>
      <c r="EH1586" s="17"/>
      <c r="EI1586" s="16"/>
      <c r="EJ1586" s="16"/>
      <c r="EK1586" s="17"/>
      <c r="EL1586" s="17"/>
      <c r="EM1586" s="16"/>
      <c r="EN1586" s="16"/>
      <c r="EO1586" s="17"/>
      <c r="EP1586" s="17"/>
      <c r="EQ1586" s="16"/>
      <c r="ER1586" s="16"/>
      <c r="ES1586" s="17"/>
      <c r="ET1586" s="17"/>
      <c r="EU1586" s="16"/>
      <c r="EV1586" s="16"/>
      <c r="EW1586" s="17"/>
      <c r="EX1586" s="17"/>
      <c r="EY1586" s="16"/>
      <c r="EZ1586" s="16"/>
      <c r="FA1586" s="17"/>
      <c r="FB1586" s="17"/>
      <c r="FC1586" s="16"/>
      <c r="FD1586" s="16"/>
      <c r="FE1586" s="17"/>
      <c r="FF1586" s="17"/>
      <c r="FG1586" s="11"/>
      <c r="GT1586" s="11"/>
      <c r="IG1586" s="11"/>
      <c r="JT1586" s="11"/>
      <c r="LG1586" s="11"/>
      <c r="MT1586" s="11"/>
      <c r="OG1586" s="11"/>
      <c r="PT1586" s="11"/>
    </row>
    <row r="1587" spans="1:474" ht="15.75" x14ac:dyDescent="0.25">
      <c r="A1587" s="13"/>
      <c r="B1587" s="14" t="s">
        <v>1161</v>
      </c>
      <c r="C1587" s="13"/>
      <c r="D1587" s="13"/>
      <c r="E1587" s="15" t="s">
        <v>127</v>
      </c>
      <c r="F1587" s="15" t="s">
        <v>177</v>
      </c>
      <c r="G1587" s="13"/>
      <c r="H1587" s="11"/>
      <c r="AU1587" s="11"/>
      <c r="CH1587" s="11"/>
      <c r="CI1587" s="16"/>
      <c r="CJ1587" s="16"/>
      <c r="CK1587" s="16"/>
      <c r="CL1587" s="16"/>
      <c r="CM1587" s="16"/>
      <c r="CN1587" s="16"/>
      <c r="CO1587" s="16"/>
      <c r="CP1587" s="16"/>
      <c r="CQ1587" s="16"/>
      <c r="CR1587" s="16"/>
      <c r="CS1587" s="16"/>
      <c r="CT1587" s="16"/>
      <c r="CU1587" s="16"/>
      <c r="CV1587" s="16"/>
      <c r="CW1587" s="16"/>
      <c r="CX1587" s="16"/>
      <c r="CY1587" s="16"/>
      <c r="CZ1587" s="16"/>
      <c r="DA1587" s="16"/>
      <c r="DB1587" s="16"/>
      <c r="DC1587" s="16"/>
      <c r="DD1587" s="16"/>
      <c r="DE1587" s="17"/>
      <c r="DF1587" s="17"/>
      <c r="DG1587" s="16"/>
      <c r="DH1587" s="16"/>
      <c r="DI1587" s="17"/>
      <c r="DJ1587" s="17"/>
      <c r="DK1587" s="16"/>
      <c r="DL1587" s="16"/>
      <c r="DM1587" s="17"/>
      <c r="DN1587" s="17"/>
      <c r="DO1587" s="16"/>
      <c r="DP1587" s="16"/>
      <c r="DQ1587" s="17"/>
      <c r="DR1587" s="17"/>
      <c r="DS1587" s="16"/>
      <c r="DT1587" s="16"/>
      <c r="DU1587" s="17"/>
      <c r="DV1587" s="17"/>
      <c r="DW1587" s="16"/>
      <c r="DX1587" s="16"/>
      <c r="DY1587" s="17"/>
      <c r="DZ1587" s="17"/>
      <c r="EA1587" s="16"/>
      <c r="EB1587" s="16"/>
      <c r="EC1587" s="17"/>
      <c r="ED1587" s="17"/>
      <c r="EE1587" s="16"/>
      <c r="EF1587" s="16"/>
      <c r="EG1587" s="17"/>
      <c r="EH1587" s="17"/>
      <c r="EI1587" s="16"/>
      <c r="EJ1587" s="16"/>
      <c r="EK1587" s="17"/>
      <c r="EL1587" s="17"/>
      <c r="EM1587" s="16"/>
      <c r="EN1587" s="16"/>
      <c r="EO1587" s="17"/>
      <c r="EP1587" s="17"/>
      <c r="EQ1587" s="16"/>
      <c r="ER1587" s="16"/>
      <c r="ES1587" s="17"/>
      <c r="ET1587" s="17"/>
      <c r="EU1587" s="16"/>
      <c r="EV1587" s="16"/>
      <c r="EW1587" s="17"/>
      <c r="EX1587" s="17"/>
      <c r="EY1587" s="16"/>
      <c r="EZ1587" s="16"/>
      <c r="FA1587" s="17"/>
      <c r="FB1587" s="17"/>
      <c r="FC1587" s="16"/>
      <c r="FD1587" s="16"/>
      <c r="FE1587" s="17"/>
      <c r="FF1587" s="17"/>
      <c r="FG1587" s="11"/>
      <c r="GT1587" s="11"/>
      <c r="IG1587" s="11"/>
      <c r="JT1587" s="11"/>
      <c r="LG1587" s="11"/>
      <c r="MT1587" s="11"/>
      <c r="OG1587" s="11"/>
      <c r="PT1587" s="11"/>
    </row>
    <row r="1588" spans="1:474" ht="15.75" x14ac:dyDescent="0.25">
      <c r="A1588" s="13"/>
      <c r="B1588" s="14" t="s">
        <v>1162</v>
      </c>
      <c r="C1588" s="13"/>
      <c r="D1588" s="13"/>
      <c r="E1588" s="15" t="s">
        <v>76</v>
      </c>
      <c r="F1588" s="15" t="s">
        <v>177</v>
      </c>
      <c r="G1588" s="13"/>
      <c r="H1588" s="11"/>
      <c r="AU1588" s="11"/>
      <c r="CH1588" s="11"/>
      <c r="CI1588" s="16"/>
      <c r="CJ1588" s="16"/>
      <c r="CK1588" s="16"/>
      <c r="CL1588" s="16"/>
      <c r="CM1588" s="16"/>
      <c r="CN1588" s="16"/>
      <c r="CO1588" s="16"/>
      <c r="CP1588" s="16"/>
      <c r="CQ1588" s="16"/>
      <c r="CR1588" s="16"/>
      <c r="CS1588" s="16"/>
      <c r="CT1588" s="16"/>
      <c r="CU1588" s="16"/>
      <c r="CV1588" s="16"/>
      <c r="CW1588" s="16"/>
      <c r="CX1588" s="16"/>
      <c r="CY1588" s="16"/>
      <c r="CZ1588" s="16"/>
      <c r="DA1588" s="16"/>
      <c r="DB1588" s="16"/>
      <c r="DC1588" s="16"/>
      <c r="DD1588" s="16"/>
      <c r="DE1588" s="17"/>
      <c r="DF1588" s="17"/>
      <c r="DG1588" s="16"/>
      <c r="DH1588" s="16"/>
      <c r="DI1588" s="17"/>
      <c r="DJ1588" s="17"/>
      <c r="DK1588" s="16"/>
      <c r="DL1588" s="16"/>
      <c r="DM1588" s="17"/>
      <c r="DN1588" s="17"/>
      <c r="DO1588" s="16"/>
      <c r="DP1588" s="16"/>
      <c r="DQ1588" s="17"/>
      <c r="DR1588" s="17"/>
      <c r="DS1588" s="16"/>
      <c r="DT1588" s="16"/>
      <c r="DU1588" s="17"/>
      <c r="DV1588" s="17"/>
      <c r="DW1588" s="16"/>
      <c r="DX1588" s="16"/>
      <c r="DY1588" s="17"/>
      <c r="DZ1588" s="17"/>
      <c r="EA1588" s="16"/>
      <c r="EB1588" s="16"/>
      <c r="EC1588" s="17"/>
      <c r="ED1588" s="17"/>
      <c r="EE1588" s="16"/>
      <c r="EF1588" s="16"/>
      <c r="EG1588" s="17"/>
      <c r="EH1588" s="17"/>
      <c r="EI1588" s="16"/>
      <c r="EJ1588" s="16"/>
      <c r="EK1588" s="17"/>
      <c r="EL1588" s="17"/>
      <c r="EM1588" s="16"/>
      <c r="EN1588" s="16"/>
      <c r="EO1588" s="17"/>
      <c r="EP1588" s="17"/>
      <c r="EQ1588" s="16"/>
      <c r="ER1588" s="16"/>
      <c r="ES1588" s="17"/>
      <c r="ET1588" s="17"/>
      <c r="EU1588" s="16"/>
      <c r="EV1588" s="16"/>
      <c r="EW1588" s="17"/>
      <c r="EX1588" s="17"/>
      <c r="EY1588" s="16"/>
      <c r="EZ1588" s="16"/>
      <c r="FA1588" s="17"/>
      <c r="FB1588" s="17"/>
      <c r="FC1588" s="16"/>
      <c r="FD1588" s="16"/>
      <c r="FE1588" s="17"/>
      <c r="FF1588" s="17"/>
      <c r="FG1588" s="11"/>
      <c r="GT1588" s="11"/>
      <c r="IG1588" s="11"/>
      <c r="JT1588" s="11"/>
      <c r="LG1588" s="11"/>
      <c r="MT1588" s="11"/>
      <c r="OG1588" s="11"/>
      <c r="PT1588" s="11"/>
    </row>
    <row r="1589" spans="1:474" ht="15.75" x14ac:dyDescent="0.25">
      <c r="A1589" s="13"/>
      <c r="B1589" s="14" t="s">
        <v>1163</v>
      </c>
      <c r="C1589" s="13"/>
      <c r="D1589" s="13"/>
      <c r="E1589" s="15" t="s">
        <v>127</v>
      </c>
      <c r="F1589" s="15" t="s">
        <v>177</v>
      </c>
      <c r="G1589" s="13"/>
      <c r="H1589" s="11"/>
      <c r="AU1589" s="11"/>
      <c r="CH1589" s="11"/>
      <c r="CI1589" s="16"/>
      <c r="CJ1589" s="16"/>
      <c r="CK1589" s="16"/>
      <c r="CL1589" s="16"/>
      <c r="CM1589" s="16"/>
      <c r="CN1589" s="16"/>
      <c r="CO1589" s="16"/>
      <c r="CP1589" s="16"/>
      <c r="CQ1589" s="16"/>
      <c r="CR1589" s="16"/>
      <c r="CS1589" s="16"/>
      <c r="CT1589" s="16"/>
      <c r="CU1589" s="16"/>
      <c r="CV1589" s="16"/>
      <c r="CW1589" s="16"/>
      <c r="CX1589" s="16"/>
      <c r="CY1589" s="16"/>
      <c r="CZ1589" s="16"/>
      <c r="DA1589" s="16"/>
      <c r="DB1589" s="16"/>
      <c r="DC1589" s="16"/>
      <c r="DD1589" s="16"/>
      <c r="DE1589" s="17"/>
      <c r="DF1589" s="17"/>
      <c r="DG1589" s="16"/>
      <c r="DH1589" s="16"/>
      <c r="DI1589" s="17"/>
      <c r="DJ1589" s="17"/>
      <c r="DK1589" s="16"/>
      <c r="DL1589" s="16"/>
      <c r="DM1589" s="17"/>
      <c r="DN1589" s="17"/>
      <c r="DO1589" s="16"/>
      <c r="DP1589" s="16"/>
      <c r="DQ1589" s="17"/>
      <c r="DR1589" s="17"/>
      <c r="DS1589" s="16"/>
      <c r="DT1589" s="16"/>
      <c r="DU1589" s="17"/>
      <c r="DV1589" s="17"/>
      <c r="DW1589" s="16"/>
      <c r="DX1589" s="16"/>
      <c r="DY1589" s="17"/>
      <c r="DZ1589" s="17"/>
      <c r="EA1589" s="16"/>
      <c r="EB1589" s="16"/>
      <c r="EC1589" s="17"/>
      <c r="ED1589" s="17"/>
      <c r="EE1589" s="16"/>
      <c r="EF1589" s="16"/>
      <c r="EG1589" s="17"/>
      <c r="EH1589" s="17"/>
      <c r="EI1589" s="16"/>
      <c r="EJ1589" s="16"/>
      <c r="EK1589" s="17"/>
      <c r="EL1589" s="17"/>
      <c r="EM1589" s="16"/>
      <c r="EN1589" s="16"/>
      <c r="EO1589" s="17"/>
      <c r="EP1589" s="17"/>
      <c r="EQ1589" s="16"/>
      <c r="ER1589" s="16"/>
      <c r="ES1589" s="17"/>
      <c r="ET1589" s="17"/>
      <c r="EU1589" s="16"/>
      <c r="EV1589" s="16"/>
      <c r="EW1589" s="17"/>
      <c r="EX1589" s="17"/>
      <c r="EY1589" s="16"/>
      <c r="EZ1589" s="16"/>
      <c r="FA1589" s="17"/>
      <c r="FB1589" s="17"/>
      <c r="FC1589" s="16"/>
      <c r="FD1589" s="16"/>
      <c r="FE1589" s="17"/>
      <c r="FF1589" s="17"/>
      <c r="FG1589" s="11"/>
      <c r="GT1589" s="11"/>
      <c r="IG1589" s="11"/>
      <c r="JT1589" s="11"/>
      <c r="LG1589" s="11"/>
      <c r="MT1589" s="11"/>
      <c r="OG1589" s="11"/>
      <c r="PT1589" s="11"/>
    </row>
    <row r="1590" spans="1:474" ht="15.75" x14ac:dyDescent="0.25">
      <c r="A1590" s="13"/>
      <c r="B1590" s="14" t="s">
        <v>1164</v>
      </c>
      <c r="C1590" s="13"/>
      <c r="D1590" s="13"/>
      <c r="E1590" s="15" t="s">
        <v>76</v>
      </c>
      <c r="F1590" s="15" t="s">
        <v>177</v>
      </c>
      <c r="G1590" s="13"/>
      <c r="H1590" s="11"/>
      <c r="AU1590" s="11"/>
      <c r="CH1590" s="11"/>
      <c r="CI1590" s="16"/>
      <c r="CJ1590" s="16"/>
      <c r="CK1590" s="16"/>
      <c r="CL1590" s="16"/>
      <c r="CM1590" s="16"/>
      <c r="CN1590" s="16"/>
      <c r="CO1590" s="16"/>
      <c r="CP1590" s="16"/>
      <c r="CQ1590" s="16"/>
      <c r="CR1590" s="16"/>
      <c r="CS1590" s="16"/>
      <c r="CT1590" s="16"/>
      <c r="CU1590" s="16"/>
      <c r="CV1590" s="16"/>
      <c r="CW1590" s="16"/>
      <c r="CX1590" s="16"/>
      <c r="CY1590" s="16"/>
      <c r="CZ1590" s="16"/>
      <c r="DA1590" s="16"/>
      <c r="DB1590" s="16"/>
      <c r="DC1590" s="16"/>
      <c r="DD1590" s="16"/>
      <c r="DE1590" s="17"/>
      <c r="DF1590" s="17"/>
      <c r="DG1590" s="16"/>
      <c r="DH1590" s="16"/>
      <c r="DI1590" s="17"/>
      <c r="DJ1590" s="17"/>
      <c r="DK1590" s="16"/>
      <c r="DL1590" s="16"/>
      <c r="DM1590" s="17"/>
      <c r="DN1590" s="17"/>
      <c r="DO1590" s="16"/>
      <c r="DP1590" s="16"/>
      <c r="DQ1590" s="17"/>
      <c r="DR1590" s="17"/>
      <c r="DS1590" s="16"/>
      <c r="DT1590" s="16"/>
      <c r="DU1590" s="17"/>
      <c r="DV1590" s="17"/>
      <c r="DW1590" s="16"/>
      <c r="DX1590" s="16"/>
      <c r="DY1590" s="17"/>
      <c r="DZ1590" s="17"/>
      <c r="EA1590" s="16"/>
      <c r="EB1590" s="16"/>
      <c r="EC1590" s="17"/>
      <c r="ED1590" s="17"/>
      <c r="EE1590" s="16"/>
      <c r="EF1590" s="16"/>
      <c r="EG1590" s="17"/>
      <c r="EH1590" s="17"/>
      <c r="EI1590" s="16"/>
      <c r="EJ1590" s="16"/>
      <c r="EK1590" s="17"/>
      <c r="EL1590" s="17"/>
      <c r="EM1590" s="16"/>
      <c r="EN1590" s="16"/>
      <c r="EO1590" s="17"/>
      <c r="EP1590" s="17"/>
      <c r="EQ1590" s="16"/>
      <c r="ER1590" s="16"/>
      <c r="ES1590" s="17"/>
      <c r="ET1590" s="17"/>
      <c r="EU1590" s="16"/>
      <c r="EV1590" s="16"/>
      <c r="EW1590" s="17"/>
      <c r="EX1590" s="17"/>
      <c r="EY1590" s="16"/>
      <c r="EZ1590" s="16"/>
      <c r="FA1590" s="17"/>
      <c r="FB1590" s="17"/>
      <c r="FC1590" s="16"/>
      <c r="FD1590" s="16"/>
      <c r="FE1590" s="17"/>
      <c r="FF1590" s="17"/>
      <c r="FG1590" s="11"/>
      <c r="GT1590" s="11"/>
      <c r="IG1590" s="11"/>
      <c r="JT1590" s="11"/>
      <c r="LG1590" s="11"/>
      <c r="MT1590" s="11"/>
      <c r="OG1590" s="11"/>
      <c r="PT1590" s="11"/>
    </row>
    <row r="1591" spans="1:474" ht="15.75" x14ac:dyDescent="0.25">
      <c r="A1591" s="13"/>
      <c r="B1591" s="14" t="s">
        <v>1165</v>
      </c>
      <c r="C1591" s="13"/>
      <c r="D1591" s="13"/>
      <c r="E1591" s="15" t="s">
        <v>76</v>
      </c>
      <c r="F1591" s="15" t="s">
        <v>177</v>
      </c>
      <c r="G1591" s="13"/>
      <c r="H1591" s="11"/>
      <c r="AU1591" s="11"/>
      <c r="CH1591" s="11"/>
      <c r="CI1591" s="16"/>
      <c r="CJ1591" s="16"/>
      <c r="CK1591" s="16"/>
      <c r="CL1591" s="16"/>
      <c r="CM1591" s="16"/>
      <c r="CN1591" s="16"/>
      <c r="CO1591" s="16"/>
      <c r="CP1591" s="16"/>
      <c r="CQ1591" s="16"/>
      <c r="CR1591" s="16"/>
      <c r="CS1591" s="16"/>
      <c r="CT1591" s="16"/>
      <c r="CU1591" s="16"/>
      <c r="CV1591" s="16"/>
      <c r="CW1591" s="16"/>
      <c r="CX1591" s="16"/>
      <c r="CY1591" s="16"/>
      <c r="CZ1591" s="16"/>
      <c r="DA1591" s="16"/>
      <c r="DB1591" s="16"/>
      <c r="DC1591" s="16"/>
      <c r="DD1591" s="16"/>
      <c r="DE1591" s="17"/>
      <c r="DF1591" s="17"/>
      <c r="DG1591" s="16"/>
      <c r="DH1591" s="16"/>
      <c r="DI1591" s="17"/>
      <c r="DJ1591" s="17"/>
      <c r="DK1591" s="16"/>
      <c r="DL1591" s="16"/>
      <c r="DM1591" s="17"/>
      <c r="DN1591" s="17"/>
      <c r="DO1591" s="16"/>
      <c r="DP1591" s="16"/>
      <c r="DQ1591" s="17"/>
      <c r="DR1591" s="17"/>
      <c r="DS1591" s="16"/>
      <c r="DT1591" s="16"/>
      <c r="DU1591" s="17"/>
      <c r="DV1591" s="17"/>
      <c r="DW1591" s="16"/>
      <c r="DX1591" s="16"/>
      <c r="DY1591" s="17"/>
      <c r="DZ1591" s="17"/>
      <c r="EA1591" s="16"/>
      <c r="EB1591" s="16"/>
      <c r="EC1591" s="17"/>
      <c r="ED1591" s="17"/>
      <c r="EE1591" s="16"/>
      <c r="EF1591" s="16"/>
      <c r="EG1591" s="17"/>
      <c r="EH1591" s="17"/>
      <c r="EI1591" s="16"/>
      <c r="EJ1591" s="16"/>
      <c r="EK1591" s="17"/>
      <c r="EL1591" s="17"/>
      <c r="EM1591" s="16"/>
      <c r="EN1591" s="16"/>
      <c r="EO1591" s="17"/>
      <c r="EP1591" s="17"/>
      <c r="EQ1591" s="16"/>
      <c r="ER1591" s="16"/>
      <c r="ES1591" s="17"/>
      <c r="ET1591" s="17"/>
      <c r="EU1591" s="16"/>
      <c r="EV1591" s="16"/>
      <c r="EW1591" s="17"/>
      <c r="EX1591" s="17"/>
      <c r="EY1591" s="16"/>
      <c r="EZ1591" s="16"/>
      <c r="FA1591" s="17"/>
      <c r="FB1591" s="17"/>
      <c r="FC1591" s="16"/>
      <c r="FD1591" s="16"/>
      <c r="FE1591" s="17"/>
      <c r="FF1591" s="17"/>
      <c r="FG1591" s="11"/>
      <c r="GT1591" s="11"/>
      <c r="IG1591" s="11"/>
      <c r="JT1591" s="11"/>
      <c r="LG1591" s="11"/>
      <c r="MT1591" s="11"/>
      <c r="OG1591" s="11"/>
      <c r="PT1591" s="11"/>
    </row>
    <row r="1592" spans="1:474" x14ac:dyDescent="0.25">
      <c r="A1592" s="57" t="s">
        <v>1166</v>
      </c>
      <c r="B1592" s="57"/>
      <c r="C1592" s="57"/>
      <c r="D1592" s="57"/>
      <c r="E1592" s="57"/>
      <c r="F1592" s="57"/>
      <c r="G1592" s="57"/>
      <c r="H1592" s="57"/>
      <c r="I1592" s="57"/>
      <c r="J1592" s="57"/>
      <c r="K1592" s="57"/>
      <c r="L1592" s="57"/>
      <c r="M1592" s="57"/>
      <c r="N1592" s="57"/>
      <c r="O1592" s="57"/>
      <c r="P1592" s="57"/>
      <c r="Q1592" s="57"/>
      <c r="R1592" s="57"/>
      <c r="S1592" s="57"/>
      <c r="T1592" s="57"/>
      <c r="U1592" s="57"/>
      <c r="V1592" s="57"/>
      <c r="W1592" s="57"/>
      <c r="X1592" s="57"/>
      <c r="Y1592" s="57"/>
      <c r="Z1592" s="57"/>
      <c r="AA1592" s="57"/>
      <c r="AB1592" s="57"/>
      <c r="AC1592" s="57"/>
      <c r="AD1592" s="57"/>
      <c r="AE1592" s="57"/>
      <c r="AF1592" s="57"/>
      <c r="AG1592" s="57"/>
      <c r="AH1592" s="57"/>
      <c r="AI1592" s="57"/>
      <c r="AJ1592" s="57"/>
      <c r="AK1592" s="57"/>
      <c r="AL1592" s="57"/>
      <c r="AM1592" s="57"/>
      <c r="AN1592" s="57"/>
      <c r="AO1592" s="57"/>
      <c r="AP1592" s="57"/>
      <c r="AQ1592" s="57"/>
      <c r="AR1592" s="57"/>
      <c r="AS1592" s="57"/>
      <c r="AT1592" s="57"/>
      <c r="AU1592" s="57"/>
      <c r="AV1592" s="57"/>
      <c r="AW1592" s="57"/>
      <c r="AX1592" s="57"/>
      <c r="AY1592" s="57"/>
      <c r="AZ1592" s="57"/>
      <c r="BA1592" s="57"/>
      <c r="BB1592" s="57"/>
      <c r="BC1592" s="57"/>
      <c r="BD1592" s="57"/>
      <c r="BE1592" s="57"/>
      <c r="BF1592" s="57"/>
      <c r="BG1592" s="57"/>
      <c r="BH1592" s="57"/>
      <c r="BI1592" s="57"/>
      <c r="BJ1592" s="57"/>
      <c r="BK1592" s="57"/>
      <c r="BL1592" s="57"/>
      <c r="BM1592" s="57"/>
      <c r="BN1592" s="57"/>
      <c r="BO1592" s="57"/>
      <c r="BP1592" s="57"/>
      <c r="BQ1592" s="57"/>
      <c r="BR1592" s="57"/>
      <c r="BS1592" s="57"/>
      <c r="BT1592" s="57"/>
      <c r="BU1592" s="57"/>
      <c r="BV1592" s="57"/>
      <c r="BW1592" s="57"/>
      <c r="BX1592" s="57"/>
      <c r="BY1592" s="57"/>
      <c r="BZ1592" s="57"/>
      <c r="CA1592" s="57"/>
      <c r="CB1592" s="57"/>
      <c r="CC1592" s="57"/>
      <c r="CD1592" s="57"/>
      <c r="CE1592" s="57"/>
      <c r="CF1592" s="57"/>
      <c r="CG1592" s="57"/>
      <c r="CH1592" s="57"/>
      <c r="CI1592" s="57"/>
      <c r="CJ1592" s="57"/>
      <c r="CK1592" s="57"/>
      <c r="CL1592" s="57"/>
      <c r="CM1592" s="57"/>
      <c r="CN1592" s="57"/>
      <c r="CO1592" s="57"/>
      <c r="CP1592" s="57"/>
      <c r="CQ1592" s="57"/>
      <c r="CR1592" s="57"/>
      <c r="CS1592" s="57"/>
      <c r="CT1592" s="57"/>
      <c r="CU1592" s="57"/>
      <c r="CV1592" s="57"/>
      <c r="CW1592" s="57"/>
      <c r="CX1592" s="57"/>
      <c r="CY1592" s="57"/>
      <c r="CZ1592" s="57"/>
      <c r="DA1592" s="57"/>
      <c r="DB1592" s="57"/>
      <c r="DC1592" s="57"/>
      <c r="DD1592" s="57"/>
      <c r="DE1592" s="57"/>
      <c r="DF1592" s="57"/>
      <c r="DG1592" s="57"/>
      <c r="DH1592" s="57"/>
      <c r="DI1592" s="57"/>
      <c r="DJ1592" s="57"/>
      <c r="DK1592" s="57"/>
      <c r="DL1592" s="57"/>
      <c r="DM1592" s="57"/>
      <c r="DN1592" s="57"/>
      <c r="DO1592" s="57"/>
      <c r="DP1592" s="57"/>
      <c r="DQ1592" s="57"/>
      <c r="DR1592" s="57"/>
      <c r="DS1592" s="57"/>
      <c r="DT1592" s="57"/>
      <c r="DU1592" s="57"/>
      <c r="DV1592" s="57"/>
      <c r="DW1592" s="57"/>
      <c r="DX1592" s="57"/>
      <c r="DY1592" s="57"/>
      <c r="DZ1592" s="57"/>
      <c r="EA1592" s="57"/>
      <c r="EB1592" s="57"/>
      <c r="EC1592" s="57"/>
      <c r="ED1592" s="57"/>
      <c r="EE1592" s="57"/>
      <c r="EF1592" s="57"/>
      <c r="EG1592" s="57"/>
      <c r="EH1592" s="57"/>
      <c r="EI1592" s="57"/>
      <c r="EJ1592" s="57"/>
      <c r="EK1592" s="57"/>
      <c r="EL1592" s="57"/>
      <c r="EM1592" s="57"/>
      <c r="EN1592" s="57"/>
      <c r="EO1592" s="57"/>
      <c r="EP1592" s="57"/>
      <c r="EQ1592" s="57"/>
      <c r="ER1592" s="57"/>
      <c r="ES1592" s="57"/>
      <c r="ET1592" s="57"/>
      <c r="EU1592" s="57"/>
      <c r="EV1592" s="57"/>
      <c r="EW1592" s="57"/>
      <c r="EX1592" s="57"/>
      <c r="EY1592" s="57"/>
      <c r="EZ1592" s="57"/>
      <c r="FA1592" s="57"/>
      <c r="FB1592" s="57"/>
      <c r="FC1592" s="57"/>
      <c r="FD1592" s="57"/>
      <c r="FE1592" s="57"/>
      <c r="FF1592" s="57"/>
      <c r="FG1592" s="57"/>
      <c r="FH1592" s="57"/>
      <c r="FI1592" s="57"/>
      <c r="FJ1592" s="57"/>
      <c r="FK1592" s="57"/>
      <c r="FL1592" s="57"/>
      <c r="FM1592" s="57"/>
      <c r="FN1592" s="57"/>
      <c r="FO1592" s="57"/>
      <c r="FP1592" s="57"/>
      <c r="FQ1592" s="57"/>
      <c r="FR1592" s="57"/>
      <c r="FS1592" s="57"/>
      <c r="FT1592" s="57"/>
      <c r="FU1592" s="57"/>
      <c r="FV1592" s="57"/>
      <c r="FW1592" s="57"/>
      <c r="FX1592" s="57"/>
      <c r="FY1592" s="57"/>
      <c r="FZ1592" s="57"/>
      <c r="GA1592" s="57"/>
      <c r="GB1592" s="57"/>
      <c r="GC1592" s="57"/>
      <c r="GD1592" s="57"/>
      <c r="GE1592" s="57"/>
      <c r="GF1592" s="57"/>
      <c r="GG1592" s="57"/>
      <c r="GH1592" s="57"/>
      <c r="GI1592" s="57"/>
      <c r="GJ1592" s="57"/>
      <c r="GK1592" s="57"/>
      <c r="GL1592" s="57"/>
      <c r="GM1592" s="57"/>
      <c r="GN1592" s="57"/>
      <c r="GO1592" s="57"/>
      <c r="GP1592" s="57"/>
      <c r="GQ1592" s="57"/>
      <c r="GR1592" s="57"/>
      <c r="GS1592" s="57"/>
      <c r="GT1592" s="57"/>
      <c r="GU1592" s="57"/>
      <c r="GV1592" s="57"/>
      <c r="GW1592" s="57"/>
      <c r="GX1592" s="57"/>
      <c r="GY1592" s="57"/>
      <c r="GZ1592" s="57"/>
      <c r="HA1592" s="57"/>
      <c r="HB1592" s="57"/>
      <c r="HC1592" s="57"/>
      <c r="HD1592" s="57"/>
      <c r="HE1592" s="57"/>
      <c r="HF1592" s="57"/>
      <c r="HG1592" s="57"/>
      <c r="HH1592" s="57"/>
      <c r="HI1592" s="57"/>
      <c r="HJ1592" s="57"/>
      <c r="HK1592" s="57"/>
      <c r="HL1592" s="57"/>
      <c r="HM1592" s="57"/>
      <c r="HN1592" s="57"/>
      <c r="HO1592" s="57"/>
      <c r="HP1592" s="57"/>
      <c r="HQ1592" s="57"/>
      <c r="HR1592" s="57"/>
      <c r="HS1592" s="57"/>
      <c r="HT1592" s="57"/>
      <c r="HU1592" s="57"/>
      <c r="HV1592" s="57"/>
      <c r="HW1592" s="57"/>
      <c r="HX1592" s="57"/>
      <c r="HY1592" s="57"/>
      <c r="HZ1592" s="57"/>
      <c r="IA1592" s="57"/>
      <c r="IB1592" s="57"/>
      <c r="IC1592" s="57"/>
      <c r="ID1592" s="57"/>
      <c r="IE1592" s="57"/>
      <c r="IF1592" s="57"/>
      <c r="IG1592" s="57"/>
      <c r="IH1592" s="57"/>
      <c r="II1592" s="57"/>
      <c r="IJ1592" s="57"/>
      <c r="IK1592" s="57"/>
      <c r="IL1592" s="57"/>
      <c r="IM1592" s="57"/>
      <c r="IN1592" s="57"/>
      <c r="IO1592" s="57"/>
      <c r="IP1592" s="57"/>
      <c r="IQ1592" s="57"/>
      <c r="IR1592" s="57"/>
      <c r="IS1592" s="57"/>
      <c r="IT1592" s="57"/>
      <c r="IU1592" s="57"/>
      <c r="IV1592" s="57"/>
      <c r="IW1592" s="57"/>
      <c r="IX1592" s="57"/>
      <c r="IY1592" s="57"/>
      <c r="IZ1592" s="57"/>
      <c r="JA1592" s="57"/>
      <c r="JB1592" s="57"/>
      <c r="JC1592" s="57"/>
      <c r="JD1592" s="57"/>
      <c r="JE1592" s="57"/>
      <c r="JF1592" s="57"/>
      <c r="JG1592" s="57"/>
      <c r="JH1592" s="57"/>
      <c r="JI1592" s="57"/>
      <c r="JJ1592" s="57"/>
      <c r="JK1592" s="57"/>
      <c r="JL1592" s="57"/>
      <c r="JM1592" s="57"/>
      <c r="JN1592" s="57"/>
      <c r="JO1592" s="57"/>
      <c r="JP1592" s="57"/>
      <c r="JQ1592" s="57"/>
      <c r="JR1592" s="57"/>
      <c r="JS1592" s="57"/>
      <c r="JT1592" s="57"/>
      <c r="JU1592" s="57"/>
      <c r="JV1592" s="57"/>
      <c r="JW1592" s="57"/>
      <c r="JX1592" s="57"/>
      <c r="JY1592" s="57"/>
      <c r="JZ1592" s="57"/>
      <c r="KA1592" s="57"/>
      <c r="KB1592" s="57"/>
      <c r="KC1592" s="57"/>
      <c r="KD1592" s="57"/>
      <c r="KE1592" s="57"/>
      <c r="KF1592" s="57"/>
      <c r="KG1592" s="57"/>
      <c r="KH1592" s="57"/>
      <c r="KI1592" s="57"/>
      <c r="KJ1592" s="57"/>
      <c r="KK1592" s="57"/>
      <c r="KL1592" s="57"/>
      <c r="KM1592" s="57"/>
      <c r="KN1592" s="57"/>
      <c r="KO1592" s="57"/>
      <c r="KP1592" s="57"/>
      <c r="KQ1592" s="57"/>
      <c r="KR1592" s="57"/>
      <c r="KS1592" s="57"/>
      <c r="KT1592" s="57"/>
      <c r="KU1592" s="57"/>
      <c r="KV1592" s="57"/>
      <c r="KW1592" s="57"/>
      <c r="KX1592" s="57"/>
      <c r="KY1592" s="57"/>
      <c r="KZ1592" s="57"/>
      <c r="LA1592" s="57"/>
      <c r="LB1592" s="57"/>
      <c r="LC1592" s="57"/>
      <c r="LD1592" s="57"/>
      <c r="LE1592" s="57"/>
      <c r="LF1592" s="57"/>
      <c r="LG1592" s="57"/>
      <c r="LH1592" s="57"/>
      <c r="LI1592" s="57"/>
      <c r="LJ1592" s="57"/>
      <c r="LK1592" s="57"/>
      <c r="LL1592" s="57"/>
      <c r="LM1592" s="57"/>
      <c r="LN1592" s="57"/>
      <c r="LO1592" s="57"/>
      <c r="LP1592" s="57"/>
      <c r="LQ1592" s="57"/>
      <c r="LR1592" s="57"/>
      <c r="LS1592" s="57"/>
      <c r="LT1592" s="57"/>
      <c r="LU1592" s="57"/>
      <c r="LV1592" s="57"/>
      <c r="LW1592" s="57"/>
      <c r="LX1592" s="57"/>
      <c r="LY1592" s="57"/>
      <c r="LZ1592" s="57"/>
      <c r="MA1592" s="57"/>
      <c r="MB1592" s="57"/>
      <c r="MC1592" s="57"/>
      <c r="MD1592" s="57"/>
      <c r="ME1592" s="57"/>
      <c r="MF1592" s="57"/>
      <c r="MG1592" s="57"/>
      <c r="MH1592" s="57"/>
      <c r="MI1592" s="57"/>
      <c r="MJ1592" s="57"/>
      <c r="MK1592" s="57"/>
      <c r="ML1592" s="57"/>
      <c r="MM1592" s="57"/>
      <c r="MN1592" s="57"/>
      <c r="MO1592" s="57"/>
      <c r="MP1592" s="57"/>
      <c r="MQ1592" s="57"/>
      <c r="MR1592" s="57"/>
      <c r="MS1592" s="57"/>
      <c r="MT1592" s="57"/>
      <c r="MU1592" s="57"/>
      <c r="MV1592" s="57"/>
      <c r="MW1592" s="57"/>
      <c r="MX1592" s="57"/>
      <c r="MY1592" s="57"/>
      <c r="MZ1592" s="57"/>
      <c r="NA1592" s="57"/>
      <c r="NB1592" s="57"/>
      <c r="NC1592" s="57"/>
      <c r="ND1592" s="57"/>
      <c r="NE1592" s="57"/>
      <c r="NF1592" s="57"/>
      <c r="NG1592" s="57"/>
      <c r="NH1592" s="57"/>
      <c r="NI1592" s="57"/>
      <c r="NJ1592" s="57"/>
      <c r="NK1592" s="57"/>
      <c r="NL1592" s="57"/>
      <c r="NM1592" s="57"/>
      <c r="NN1592" s="57"/>
      <c r="NO1592" s="57"/>
      <c r="NP1592" s="57"/>
      <c r="NQ1592" s="57"/>
      <c r="NR1592" s="57"/>
      <c r="NS1592" s="57"/>
      <c r="NT1592" s="57"/>
      <c r="NU1592" s="57"/>
      <c r="NV1592" s="57"/>
      <c r="NW1592" s="57"/>
      <c r="NX1592" s="57"/>
      <c r="NY1592" s="57"/>
      <c r="NZ1592" s="57"/>
      <c r="OA1592" s="57"/>
      <c r="OB1592" s="57"/>
      <c r="OC1592" s="57"/>
      <c r="OD1592" s="57"/>
      <c r="OE1592" s="57"/>
      <c r="OF1592" s="57"/>
      <c r="OG1592" s="57"/>
      <c r="OH1592" s="57"/>
      <c r="OI1592" s="57"/>
      <c r="OJ1592" s="57"/>
      <c r="OK1592" s="57"/>
      <c r="OL1592" s="57"/>
      <c r="OM1592" s="57"/>
      <c r="ON1592" s="57"/>
      <c r="OO1592" s="57"/>
      <c r="OP1592" s="57"/>
      <c r="OQ1592" s="57"/>
      <c r="OR1592" s="57"/>
      <c r="OS1592" s="57"/>
      <c r="OT1592" s="57"/>
      <c r="OU1592" s="57"/>
      <c r="OV1592" s="57"/>
      <c r="OW1592" s="57"/>
      <c r="OX1592" s="57"/>
      <c r="OY1592" s="57"/>
      <c r="OZ1592" s="57"/>
      <c r="PA1592" s="57"/>
      <c r="PB1592" s="57"/>
      <c r="PC1592" s="57"/>
      <c r="PD1592" s="57"/>
      <c r="PE1592" s="57"/>
      <c r="PF1592" s="57"/>
      <c r="PG1592" s="57"/>
      <c r="PH1592" s="57"/>
      <c r="PI1592" s="57"/>
      <c r="PJ1592" s="57"/>
      <c r="PK1592" s="57"/>
      <c r="PL1592" s="57"/>
      <c r="PM1592" s="57"/>
      <c r="PN1592" s="57"/>
      <c r="PO1592" s="57"/>
      <c r="PP1592" s="57"/>
      <c r="PQ1592" s="57"/>
      <c r="PR1592" s="57"/>
      <c r="PS1592" s="57"/>
      <c r="PT1592" s="57"/>
      <c r="PU1592" s="57"/>
      <c r="PV1592" s="57"/>
      <c r="PW1592" s="57"/>
      <c r="PX1592" s="57"/>
      <c r="PY1592" s="57"/>
      <c r="PZ1592" s="57"/>
      <c r="QA1592" s="57"/>
      <c r="QB1592" s="57"/>
      <c r="QC1592" s="57"/>
      <c r="QD1592" s="57"/>
      <c r="QE1592" s="57"/>
      <c r="QF1592" s="57"/>
      <c r="QG1592" s="57"/>
      <c r="QH1592" s="57"/>
      <c r="QI1592" s="57"/>
      <c r="QJ1592" s="57"/>
      <c r="QK1592" s="57"/>
      <c r="QL1592" s="57"/>
      <c r="QM1592" s="57"/>
      <c r="QN1592" s="57"/>
      <c r="QO1592" s="57"/>
      <c r="QP1592" s="57"/>
      <c r="QQ1592" s="57"/>
      <c r="QR1592" s="57"/>
      <c r="QS1592" s="57"/>
      <c r="QT1592" s="57"/>
      <c r="QU1592" s="57"/>
      <c r="QV1592" s="57"/>
      <c r="QW1592" s="57"/>
      <c r="QX1592" s="57"/>
      <c r="QY1592" s="57"/>
      <c r="QZ1592" s="57"/>
      <c r="RA1592" s="57"/>
      <c r="RB1592" s="57"/>
      <c r="RC1592" s="57"/>
      <c r="RD1592" s="57"/>
      <c r="RE1592" s="57"/>
      <c r="RF1592" s="57"/>
    </row>
    <row r="1593" spans="1:474" x14ac:dyDescent="0.25">
      <c r="H1593" s="11"/>
      <c r="AU1593" s="11"/>
      <c r="CH1593" s="11"/>
      <c r="CI1593" s="12" t="s">
        <v>73</v>
      </c>
      <c r="CJ1593" s="12" t="s">
        <v>74</v>
      </c>
      <c r="CK1593" s="12" t="s">
        <v>73</v>
      </c>
      <c r="CL1593" s="12" t="s">
        <v>74</v>
      </c>
      <c r="CM1593" s="12" t="s">
        <v>73</v>
      </c>
      <c r="CN1593" s="12" t="s">
        <v>74</v>
      </c>
      <c r="CO1593" s="12" t="s">
        <v>73</v>
      </c>
      <c r="CP1593" s="12" t="s">
        <v>74</v>
      </c>
      <c r="CQ1593" s="12" t="s">
        <v>73</v>
      </c>
      <c r="CR1593" s="12" t="s">
        <v>74</v>
      </c>
      <c r="CS1593" s="12" t="s">
        <v>73</v>
      </c>
      <c r="CT1593" s="12" t="s">
        <v>74</v>
      </c>
      <c r="CU1593" s="12" t="s">
        <v>73</v>
      </c>
      <c r="CV1593" s="12" t="s">
        <v>74</v>
      </c>
      <c r="CW1593" s="12" t="s">
        <v>73</v>
      </c>
      <c r="CX1593" s="12" t="s">
        <v>74</v>
      </c>
      <c r="CY1593" s="12" t="s">
        <v>73</v>
      </c>
      <c r="CZ1593" s="12" t="s">
        <v>74</v>
      </c>
      <c r="DA1593" s="12" t="s">
        <v>73</v>
      </c>
      <c r="DB1593" s="12" t="s">
        <v>74</v>
      </c>
      <c r="DC1593" s="12" t="s">
        <v>73</v>
      </c>
      <c r="DD1593" s="12" t="s">
        <v>74</v>
      </c>
      <c r="DE1593" s="12" t="s">
        <v>73</v>
      </c>
      <c r="DF1593" s="12" t="s">
        <v>74</v>
      </c>
      <c r="DG1593" s="12" t="s">
        <v>73</v>
      </c>
      <c r="DH1593" s="12" t="s">
        <v>74</v>
      </c>
      <c r="DI1593" s="12" t="s">
        <v>73</v>
      </c>
      <c r="DJ1593" s="12" t="s">
        <v>74</v>
      </c>
      <c r="DK1593" s="12" t="s">
        <v>73</v>
      </c>
      <c r="DL1593" s="12" t="s">
        <v>74</v>
      </c>
      <c r="DM1593" s="12" t="s">
        <v>73</v>
      </c>
      <c r="DN1593" s="12" t="s">
        <v>74</v>
      </c>
      <c r="DO1593" s="12" t="s">
        <v>73</v>
      </c>
      <c r="DP1593" s="12" t="s">
        <v>74</v>
      </c>
      <c r="DQ1593" s="12" t="s">
        <v>73</v>
      </c>
      <c r="DR1593" s="12" t="s">
        <v>74</v>
      </c>
      <c r="DS1593" s="12" t="s">
        <v>73</v>
      </c>
      <c r="DT1593" s="12" t="s">
        <v>74</v>
      </c>
      <c r="DU1593" s="12" t="s">
        <v>73</v>
      </c>
      <c r="DV1593" s="12" t="s">
        <v>74</v>
      </c>
      <c r="DW1593" s="12" t="s">
        <v>73</v>
      </c>
      <c r="DX1593" s="12" t="s">
        <v>74</v>
      </c>
      <c r="DY1593" s="12" t="s">
        <v>73</v>
      </c>
      <c r="DZ1593" s="12" t="s">
        <v>74</v>
      </c>
      <c r="EA1593" s="12" t="s">
        <v>73</v>
      </c>
      <c r="EB1593" s="12" t="s">
        <v>74</v>
      </c>
      <c r="EC1593" s="12" t="s">
        <v>73</v>
      </c>
      <c r="ED1593" s="12" t="s">
        <v>74</v>
      </c>
      <c r="EE1593" s="12" t="s">
        <v>73</v>
      </c>
      <c r="EF1593" s="12" t="s">
        <v>74</v>
      </c>
      <c r="EG1593" s="12" t="s">
        <v>73</v>
      </c>
      <c r="EH1593" s="12" t="s">
        <v>74</v>
      </c>
      <c r="EI1593" s="12" t="s">
        <v>73</v>
      </c>
      <c r="EJ1593" s="12" t="s">
        <v>74</v>
      </c>
      <c r="EK1593" s="12" t="s">
        <v>73</v>
      </c>
      <c r="EL1593" s="12" t="s">
        <v>74</v>
      </c>
      <c r="EM1593" s="12" t="s">
        <v>73</v>
      </c>
      <c r="EN1593" s="12" t="s">
        <v>74</v>
      </c>
      <c r="EO1593" s="12" t="s">
        <v>73</v>
      </c>
      <c r="EP1593" s="12" t="s">
        <v>74</v>
      </c>
      <c r="EQ1593" s="12" t="s">
        <v>73</v>
      </c>
      <c r="ER1593" s="12" t="s">
        <v>74</v>
      </c>
      <c r="ES1593" s="12" t="s">
        <v>73</v>
      </c>
      <c r="ET1593" s="12" t="s">
        <v>74</v>
      </c>
      <c r="EU1593" s="12" t="s">
        <v>73</v>
      </c>
      <c r="EV1593" s="12" t="s">
        <v>74</v>
      </c>
      <c r="EW1593" s="12" t="s">
        <v>73</v>
      </c>
      <c r="EX1593" s="12" t="s">
        <v>74</v>
      </c>
      <c r="EY1593" s="12" t="s">
        <v>73</v>
      </c>
      <c r="EZ1593" s="12" t="s">
        <v>74</v>
      </c>
      <c r="FA1593" s="12" t="s">
        <v>73</v>
      </c>
      <c r="FB1593" s="12" t="s">
        <v>74</v>
      </c>
      <c r="FC1593" s="12" t="s">
        <v>73</v>
      </c>
      <c r="FD1593" s="12" t="s">
        <v>74</v>
      </c>
      <c r="FE1593" s="12" t="s">
        <v>73</v>
      </c>
      <c r="FF1593" s="12" t="s">
        <v>74</v>
      </c>
      <c r="FG1593" s="11"/>
      <c r="GT1593" s="11"/>
      <c r="IG1593" s="11"/>
      <c r="JT1593" s="11"/>
      <c r="LG1593" s="11"/>
      <c r="MT1593" s="11"/>
      <c r="OG1593" s="11"/>
      <c r="PT1593" s="11"/>
    </row>
    <row r="1594" spans="1:474" ht="15.75" x14ac:dyDescent="0.25">
      <c r="A1594" s="13"/>
      <c r="B1594" s="14" t="s">
        <v>1167</v>
      </c>
      <c r="C1594" s="13"/>
      <c r="D1594" s="13"/>
      <c r="E1594" s="15" t="s">
        <v>217</v>
      </c>
      <c r="F1594" s="15" t="s">
        <v>177</v>
      </c>
      <c r="G1594" s="13"/>
      <c r="H1594" s="11"/>
      <c r="AU1594" s="11"/>
      <c r="CH1594" s="11"/>
      <c r="CI1594" s="16"/>
      <c r="CJ1594" s="16"/>
      <c r="CK1594" s="16"/>
      <c r="CL1594" s="16"/>
      <c r="CM1594" s="16"/>
      <c r="CN1594" s="16"/>
      <c r="CO1594" s="16"/>
      <c r="CP1594" s="16"/>
      <c r="CQ1594" s="16"/>
      <c r="CR1594" s="16"/>
      <c r="CS1594" s="16"/>
      <c r="CT1594" s="16"/>
      <c r="CU1594" s="16"/>
      <c r="CV1594" s="16"/>
      <c r="CW1594" s="16"/>
      <c r="CX1594" s="16"/>
      <c r="CY1594" s="16"/>
      <c r="CZ1594" s="16"/>
      <c r="DA1594" s="16"/>
      <c r="DB1594" s="16"/>
      <c r="DC1594" s="16"/>
      <c r="DD1594" s="16"/>
      <c r="DE1594" s="17"/>
      <c r="DF1594" s="17"/>
      <c r="DG1594" s="16"/>
      <c r="DH1594" s="16"/>
      <c r="DI1594" s="17"/>
      <c r="DJ1594" s="17"/>
      <c r="DK1594" s="16"/>
      <c r="DL1594" s="16"/>
      <c r="DM1594" s="17"/>
      <c r="DN1594" s="17"/>
      <c r="DO1594" s="16"/>
      <c r="DP1594" s="16"/>
      <c r="DQ1594" s="17"/>
      <c r="DR1594" s="17"/>
      <c r="DS1594" s="16"/>
      <c r="DT1594" s="16"/>
      <c r="DU1594" s="17"/>
      <c r="DV1594" s="17"/>
      <c r="DW1594" s="16"/>
      <c r="DX1594" s="16"/>
      <c r="DY1594" s="17"/>
      <c r="DZ1594" s="17"/>
      <c r="EA1594" s="16"/>
      <c r="EB1594" s="16"/>
      <c r="EC1594" s="17"/>
      <c r="ED1594" s="17"/>
      <c r="EE1594" s="16"/>
      <c r="EF1594" s="16"/>
      <c r="EG1594" s="17"/>
      <c r="EH1594" s="17"/>
      <c r="EI1594" s="16"/>
      <c r="EJ1594" s="16"/>
      <c r="EK1594" s="17"/>
      <c r="EL1594" s="17"/>
      <c r="EM1594" s="16"/>
      <c r="EN1594" s="16"/>
      <c r="EO1594" s="17"/>
      <c r="EP1594" s="17"/>
      <c r="EQ1594" s="16"/>
      <c r="ER1594" s="16"/>
      <c r="ES1594" s="17"/>
      <c r="ET1594" s="17"/>
      <c r="EU1594" s="16"/>
      <c r="EV1594" s="16"/>
      <c r="EW1594" s="17"/>
      <c r="EX1594" s="17"/>
      <c r="EY1594" s="16"/>
      <c r="EZ1594" s="16"/>
      <c r="FA1594" s="17"/>
      <c r="FB1594" s="17"/>
      <c r="FC1594" s="16"/>
      <c r="FD1594" s="16"/>
      <c r="FE1594" s="17"/>
      <c r="FF1594" s="17"/>
      <c r="FG1594" s="11"/>
      <c r="GT1594" s="11"/>
      <c r="IG1594" s="11"/>
      <c r="JT1594" s="11"/>
      <c r="LG1594" s="11"/>
      <c r="MT1594" s="11"/>
      <c r="OG1594" s="11"/>
      <c r="PT1594" s="11"/>
    </row>
    <row r="1595" spans="1:474" ht="15.75" x14ac:dyDescent="0.25">
      <c r="A1595" s="13"/>
      <c r="B1595" s="14" t="s">
        <v>1168</v>
      </c>
      <c r="C1595" s="13"/>
      <c r="D1595" s="13"/>
      <c r="E1595" s="15" t="s">
        <v>217</v>
      </c>
      <c r="F1595" s="15" t="s">
        <v>177</v>
      </c>
      <c r="G1595" s="13"/>
      <c r="H1595" s="11"/>
      <c r="AU1595" s="11"/>
      <c r="CH1595" s="11"/>
      <c r="CI1595" s="16"/>
      <c r="CJ1595" s="16"/>
      <c r="CK1595" s="16"/>
      <c r="CL1595" s="16"/>
      <c r="CM1595" s="16"/>
      <c r="CN1595" s="16"/>
      <c r="CO1595" s="16"/>
      <c r="CP1595" s="16"/>
      <c r="CQ1595" s="16"/>
      <c r="CR1595" s="16"/>
      <c r="CS1595" s="16"/>
      <c r="CT1595" s="16"/>
      <c r="CU1595" s="16"/>
      <c r="CV1595" s="16"/>
      <c r="CW1595" s="16"/>
      <c r="CX1595" s="16"/>
      <c r="CY1595" s="16"/>
      <c r="CZ1595" s="16"/>
      <c r="DA1595" s="16"/>
      <c r="DB1595" s="16"/>
      <c r="DC1595" s="16"/>
      <c r="DD1595" s="16"/>
      <c r="DE1595" s="17"/>
      <c r="DF1595" s="17"/>
      <c r="DG1595" s="16"/>
      <c r="DH1595" s="16"/>
      <c r="DI1595" s="17"/>
      <c r="DJ1595" s="17"/>
      <c r="DK1595" s="16"/>
      <c r="DL1595" s="16"/>
      <c r="DM1595" s="17"/>
      <c r="DN1595" s="17"/>
      <c r="DO1595" s="16"/>
      <c r="DP1595" s="16"/>
      <c r="DQ1595" s="17"/>
      <c r="DR1595" s="17"/>
      <c r="DS1595" s="16"/>
      <c r="DT1595" s="16"/>
      <c r="DU1595" s="17"/>
      <c r="DV1595" s="17"/>
      <c r="DW1595" s="16"/>
      <c r="DX1595" s="16"/>
      <c r="DY1595" s="17"/>
      <c r="DZ1595" s="17"/>
      <c r="EA1595" s="16"/>
      <c r="EB1595" s="16"/>
      <c r="EC1595" s="17"/>
      <c r="ED1595" s="17"/>
      <c r="EE1595" s="16"/>
      <c r="EF1595" s="16"/>
      <c r="EG1595" s="17"/>
      <c r="EH1595" s="17"/>
      <c r="EI1595" s="16"/>
      <c r="EJ1595" s="16"/>
      <c r="EK1595" s="17"/>
      <c r="EL1595" s="17"/>
      <c r="EM1595" s="16"/>
      <c r="EN1595" s="16"/>
      <c r="EO1595" s="17"/>
      <c r="EP1595" s="17"/>
      <c r="EQ1595" s="16"/>
      <c r="ER1595" s="16"/>
      <c r="ES1595" s="17"/>
      <c r="ET1595" s="17"/>
      <c r="EU1595" s="16"/>
      <c r="EV1595" s="16"/>
      <c r="EW1595" s="17"/>
      <c r="EX1595" s="17"/>
      <c r="EY1595" s="16"/>
      <c r="EZ1595" s="16"/>
      <c r="FA1595" s="17"/>
      <c r="FB1595" s="17"/>
      <c r="FC1595" s="16"/>
      <c r="FD1595" s="16"/>
      <c r="FE1595" s="17"/>
      <c r="FF1595" s="17"/>
      <c r="FG1595" s="11"/>
      <c r="GT1595" s="11"/>
      <c r="IG1595" s="11"/>
      <c r="JT1595" s="11"/>
      <c r="LG1595" s="11"/>
      <c r="MT1595" s="11"/>
      <c r="OG1595" s="11"/>
      <c r="PT1595" s="11"/>
    </row>
    <row r="1596" spans="1:474" ht="15.75" x14ac:dyDescent="0.25">
      <c r="A1596" s="13"/>
      <c r="B1596" s="14" t="s">
        <v>1169</v>
      </c>
      <c r="C1596" s="13"/>
      <c r="D1596" s="13"/>
      <c r="E1596" s="15" t="s">
        <v>127</v>
      </c>
      <c r="F1596" s="15" t="s">
        <v>177</v>
      </c>
      <c r="G1596" s="13"/>
      <c r="H1596" s="11"/>
      <c r="AU1596" s="11"/>
      <c r="CH1596" s="11"/>
      <c r="CI1596" s="16"/>
      <c r="CJ1596" s="16"/>
      <c r="CK1596" s="16"/>
      <c r="CL1596" s="16"/>
      <c r="CM1596" s="16"/>
      <c r="CN1596" s="16"/>
      <c r="CO1596" s="16"/>
      <c r="CP1596" s="16"/>
      <c r="CQ1596" s="16"/>
      <c r="CR1596" s="16"/>
      <c r="CS1596" s="16"/>
      <c r="CT1596" s="16"/>
      <c r="CU1596" s="16"/>
      <c r="CV1596" s="16"/>
      <c r="CW1596" s="16"/>
      <c r="CX1596" s="16"/>
      <c r="CY1596" s="16"/>
      <c r="CZ1596" s="16"/>
      <c r="DA1596" s="16"/>
      <c r="DB1596" s="16"/>
      <c r="DC1596" s="16"/>
      <c r="DD1596" s="16"/>
      <c r="DE1596" s="17"/>
      <c r="DF1596" s="17"/>
      <c r="DG1596" s="16"/>
      <c r="DH1596" s="16"/>
      <c r="DI1596" s="17"/>
      <c r="DJ1596" s="17"/>
      <c r="DK1596" s="16"/>
      <c r="DL1596" s="16"/>
      <c r="DM1596" s="17"/>
      <c r="DN1596" s="17"/>
      <c r="DO1596" s="16"/>
      <c r="DP1596" s="16"/>
      <c r="DQ1596" s="17"/>
      <c r="DR1596" s="17"/>
      <c r="DS1596" s="16"/>
      <c r="DT1596" s="16"/>
      <c r="DU1596" s="17"/>
      <c r="DV1596" s="17"/>
      <c r="DW1596" s="16"/>
      <c r="DX1596" s="16"/>
      <c r="DY1596" s="17"/>
      <c r="DZ1596" s="17"/>
      <c r="EA1596" s="16"/>
      <c r="EB1596" s="16"/>
      <c r="EC1596" s="17"/>
      <c r="ED1596" s="17"/>
      <c r="EE1596" s="16"/>
      <c r="EF1596" s="16"/>
      <c r="EG1596" s="17"/>
      <c r="EH1596" s="17"/>
      <c r="EI1596" s="16"/>
      <c r="EJ1596" s="16"/>
      <c r="EK1596" s="17"/>
      <c r="EL1596" s="17"/>
      <c r="EM1596" s="16"/>
      <c r="EN1596" s="16"/>
      <c r="EO1596" s="17"/>
      <c r="EP1596" s="17"/>
      <c r="EQ1596" s="16"/>
      <c r="ER1596" s="16"/>
      <c r="ES1596" s="17"/>
      <c r="ET1596" s="17"/>
      <c r="EU1596" s="16"/>
      <c r="EV1596" s="16"/>
      <c r="EW1596" s="17"/>
      <c r="EX1596" s="17"/>
      <c r="EY1596" s="16"/>
      <c r="EZ1596" s="16"/>
      <c r="FA1596" s="17"/>
      <c r="FB1596" s="17"/>
      <c r="FC1596" s="16"/>
      <c r="FD1596" s="16"/>
      <c r="FE1596" s="17"/>
      <c r="FF1596" s="17"/>
      <c r="FG1596" s="11"/>
      <c r="GT1596" s="11"/>
      <c r="IG1596" s="11"/>
      <c r="JT1596" s="11"/>
      <c r="LG1596" s="11"/>
      <c r="MT1596" s="11"/>
      <c r="OG1596" s="11"/>
      <c r="PT1596" s="11"/>
    </row>
    <row r="1597" spans="1:474" ht="15.75" x14ac:dyDescent="0.25">
      <c r="A1597" s="13"/>
      <c r="B1597" s="14" t="s">
        <v>1170</v>
      </c>
      <c r="C1597" s="13"/>
      <c r="D1597" s="13"/>
      <c r="E1597" s="15" t="s">
        <v>127</v>
      </c>
      <c r="F1597" s="15" t="s">
        <v>177</v>
      </c>
      <c r="G1597" s="13"/>
      <c r="H1597" s="11"/>
      <c r="AU1597" s="11"/>
      <c r="CH1597" s="11"/>
      <c r="CI1597" s="16"/>
      <c r="CJ1597" s="16"/>
      <c r="CK1597" s="16"/>
      <c r="CL1597" s="16"/>
      <c r="CM1597" s="16"/>
      <c r="CN1597" s="16"/>
      <c r="CO1597" s="16"/>
      <c r="CP1597" s="16"/>
      <c r="CQ1597" s="16"/>
      <c r="CR1597" s="16"/>
      <c r="CS1597" s="16"/>
      <c r="CT1597" s="16"/>
      <c r="CU1597" s="16"/>
      <c r="CV1597" s="16"/>
      <c r="CW1597" s="16"/>
      <c r="CX1597" s="16"/>
      <c r="CY1597" s="16"/>
      <c r="CZ1597" s="16"/>
      <c r="DA1597" s="16"/>
      <c r="DB1597" s="16"/>
      <c r="DC1597" s="16"/>
      <c r="DD1597" s="16"/>
      <c r="DE1597" s="17"/>
      <c r="DF1597" s="17"/>
      <c r="DG1597" s="16"/>
      <c r="DH1597" s="16"/>
      <c r="DI1597" s="17"/>
      <c r="DJ1597" s="17"/>
      <c r="DK1597" s="16"/>
      <c r="DL1597" s="16"/>
      <c r="DM1597" s="17"/>
      <c r="DN1597" s="17"/>
      <c r="DO1597" s="16"/>
      <c r="DP1597" s="16"/>
      <c r="DQ1597" s="17"/>
      <c r="DR1597" s="17"/>
      <c r="DS1597" s="16"/>
      <c r="DT1597" s="16"/>
      <c r="DU1597" s="17"/>
      <c r="DV1597" s="17"/>
      <c r="DW1597" s="16"/>
      <c r="DX1597" s="16"/>
      <c r="DY1597" s="17"/>
      <c r="DZ1597" s="17"/>
      <c r="EA1597" s="16"/>
      <c r="EB1597" s="16"/>
      <c r="EC1597" s="17"/>
      <c r="ED1597" s="17"/>
      <c r="EE1597" s="16"/>
      <c r="EF1597" s="16"/>
      <c r="EG1597" s="17"/>
      <c r="EH1597" s="17"/>
      <c r="EI1597" s="16"/>
      <c r="EJ1597" s="16"/>
      <c r="EK1597" s="17"/>
      <c r="EL1597" s="17"/>
      <c r="EM1597" s="16"/>
      <c r="EN1597" s="16"/>
      <c r="EO1597" s="17"/>
      <c r="EP1597" s="17"/>
      <c r="EQ1597" s="16"/>
      <c r="ER1597" s="16"/>
      <c r="ES1597" s="17"/>
      <c r="ET1597" s="17"/>
      <c r="EU1597" s="16"/>
      <c r="EV1597" s="16"/>
      <c r="EW1597" s="17"/>
      <c r="EX1597" s="17"/>
      <c r="EY1597" s="16"/>
      <c r="EZ1597" s="16"/>
      <c r="FA1597" s="17"/>
      <c r="FB1597" s="17"/>
      <c r="FC1597" s="16"/>
      <c r="FD1597" s="16"/>
      <c r="FE1597" s="17"/>
      <c r="FF1597" s="17"/>
      <c r="FG1597" s="11"/>
      <c r="GT1597" s="11"/>
      <c r="IG1597" s="11"/>
      <c r="JT1597" s="11"/>
      <c r="LG1597" s="11"/>
      <c r="MT1597" s="11"/>
      <c r="OG1597" s="11"/>
      <c r="PT1597" s="11"/>
    </row>
    <row r="1598" spans="1:474" ht="15.75" x14ac:dyDescent="0.25">
      <c r="A1598" s="13"/>
      <c r="B1598" s="14" t="s">
        <v>1171</v>
      </c>
      <c r="C1598" s="13"/>
      <c r="D1598" s="13"/>
      <c r="E1598" s="15" t="s">
        <v>127</v>
      </c>
      <c r="F1598" s="15" t="s">
        <v>177</v>
      </c>
      <c r="G1598" s="13"/>
      <c r="H1598" s="11"/>
      <c r="AU1598" s="11"/>
      <c r="CH1598" s="11"/>
      <c r="CI1598" s="16"/>
      <c r="CJ1598" s="16"/>
      <c r="CK1598" s="16"/>
      <c r="CL1598" s="16"/>
      <c r="CM1598" s="16"/>
      <c r="CN1598" s="16"/>
      <c r="CO1598" s="16"/>
      <c r="CP1598" s="16"/>
      <c r="CQ1598" s="16"/>
      <c r="CR1598" s="16"/>
      <c r="CS1598" s="16"/>
      <c r="CT1598" s="16"/>
      <c r="CU1598" s="16"/>
      <c r="CV1598" s="16"/>
      <c r="CW1598" s="16"/>
      <c r="CX1598" s="16"/>
      <c r="CY1598" s="16"/>
      <c r="CZ1598" s="16"/>
      <c r="DA1598" s="16"/>
      <c r="DB1598" s="16"/>
      <c r="DC1598" s="16"/>
      <c r="DD1598" s="16"/>
      <c r="DE1598" s="17"/>
      <c r="DF1598" s="17"/>
      <c r="DG1598" s="16"/>
      <c r="DH1598" s="16"/>
      <c r="DI1598" s="17"/>
      <c r="DJ1598" s="17"/>
      <c r="DK1598" s="16"/>
      <c r="DL1598" s="16"/>
      <c r="DM1598" s="17"/>
      <c r="DN1598" s="17"/>
      <c r="DO1598" s="16"/>
      <c r="DP1598" s="16"/>
      <c r="DQ1598" s="17"/>
      <c r="DR1598" s="17"/>
      <c r="DS1598" s="16"/>
      <c r="DT1598" s="16"/>
      <c r="DU1598" s="17"/>
      <c r="DV1598" s="17"/>
      <c r="DW1598" s="16"/>
      <c r="DX1598" s="16"/>
      <c r="DY1598" s="17"/>
      <c r="DZ1598" s="17"/>
      <c r="EA1598" s="16"/>
      <c r="EB1598" s="16"/>
      <c r="EC1598" s="17"/>
      <c r="ED1598" s="17"/>
      <c r="EE1598" s="16"/>
      <c r="EF1598" s="16"/>
      <c r="EG1598" s="17"/>
      <c r="EH1598" s="17"/>
      <c r="EI1598" s="16"/>
      <c r="EJ1598" s="16"/>
      <c r="EK1598" s="17"/>
      <c r="EL1598" s="17"/>
      <c r="EM1598" s="16"/>
      <c r="EN1598" s="16"/>
      <c r="EO1598" s="17"/>
      <c r="EP1598" s="17"/>
      <c r="EQ1598" s="16"/>
      <c r="ER1598" s="16"/>
      <c r="ES1598" s="17"/>
      <c r="ET1598" s="17"/>
      <c r="EU1598" s="16"/>
      <c r="EV1598" s="16"/>
      <c r="EW1598" s="17"/>
      <c r="EX1598" s="17"/>
      <c r="EY1598" s="16"/>
      <c r="EZ1598" s="16"/>
      <c r="FA1598" s="17"/>
      <c r="FB1598" s="17"/>
      <c r="FC1598" s="16"/>
      <c r="FD1598" s="16"/>
      <c r="FE1598" s="17"/>
      <c r="FF1598" s="17"/>
      <c r="FG1598" s="11"/>
      <c r="GT1598" s="11"/>
      <c r="IG1598" s="11"/>
      <c r="JT1598" s="11"/>
      <c r="LG1598" s="11"/>
      <c r="MT1598" s="11"/>
      <c r="OG1598" s="11"/>
      <c r="PT1598" s="11"/>
    </row>
    <row r="1599" spans="1:474" ht="15.75" x14ac:dyDescent="0.25">
      <c r="A1599" s="13"/>
      <c r="B1599" s="14" t="s">
        <v>1172</v>
      </c>
      <c r="C1599" s="13"/>
      <c r="D1599" s="13"/>
      <c r="E1599" s="15" t="s">
        <v>127</v>
      </c>
      <c r="F1599" s="15" t="s">
        <v>177</v>
      </c>
      <c r="G1599" s="13"/>
      <c r="H1599" s="11"/>
      <c r="AU1599" s="11"/>
      <c r="CH1599" s="11"/>
      <c r="CI1599" s="16"/>
      <c r="CJ1599" s="16"/>
      <c r="CK1599" s="16"/>
      <c r="CL1599" s="16"/>
      <c r="CM1599" s="16"/>
      <c r="CN1599" s="16"/>
      <c r="CO1599" s="16"/>
      <c r="CP1599" s="16"/>
      <c r="CQ1599" s="16"/>
      <c r="CR1599" s="16"/>
      <c r="CS1599" s="16"/>
      <c r="CT1599" s="16"/>
      <c r="CU1599" s="16"/>
      <c r="CV1599" s="16"/>
      <c r="CW1599" s="16"/>
      <c r="CX1599" s="16"/>
      <c r="CY1599" s="16"/>
      <c r="CZ1599" s="16"/>
      <c r="DA1599" s="16"/>
      <c r="DB1599" s="16"/>
      <c r="DC1599" s="16"/>
      <c r="DD1599" s="16"/>
      <c r="DE1599" s="17"/>
      <c r="DF1599" s="17"/>
      <c r="DG1599" s="16"/>
      <c r="DH1599" s="16"/>
      <c r="DI1599" s="17"/>
      <c r="DJ1599" s="17"/>
      <c r="DK1599" s="16"/>
      <c r="DL1599" s="16"/>
      <c r="DM1599" s="17"/>
      <c r="DN1599" s="17"/>
      <c r="DO1599" s="16"/>
      <c r="DP1599" s="16"/>
      <c r="DQ1599" s="17"/>
      <c r="DR1599" s="17"/>
      <c r="DS1599" s="16"/>
      <c r="DT1599" s="16"/>
      <c r="DU1599" s="17"/>
      <c r="DV1599" s="17"/>
      <c r="DW1599" s="16"/>
      <c r="DX1599" s="16"/>
      <c r="DY1599" s="17"/>
      <c r="DZ1599" s="17"/>
      <c r="EA1599" s="16"/>
      <c r="EB1599" s="16"/>
      <c r="EC1599" s="17"/>
      <c r="ED1599" s="17"/>
      <c r="EE1599" s="16"/>
      <c r="EF1599" s="16"/>
      <c r="EG1599" s="17"/>
      <c r="EH1599" s="17"/>
      <c r="EI1599" s="16"/>
      <c r="EJ1599" s="16"/>
      <c r="EK1599" s="17"/>
      <c r="EL1599" s="17"/>
      <c r="EM1599" s="16"/>
      <c r="EN1599" s="16"/>
      <c r="EO1599" s="17"/>
      <c r="EP1599" s="17"/>
      <c r="EQ1599" s="16"/>
      <c r="ER1599" s="16"/>
      <c r="ES1599" s="17"/>
      <c r="ET1599" s="17"/>
      <c r="EU1599" s="16"/>
      <c r="EV1599" s="16"/>
      <c r="EW1599" s="17"/>
      <c r="EX1599" s="17"/>
      <c r="EY1599" s="16"/>
      <c r="EZ1599" s="16"/>
      <c r="FA1599" s="17"/>
      <c r="FB1599" s="17"/>
      <c r="FC1599" s="16"/>
      <c r="FD1599" s="16"/>
      <c r="FE1599" s="17"/>
      <c r="FF1599" s="17"/>
      <c r="FG1599" s="11"/>
      <c r="GT1599" s="11"/>
      <c r="IG1599" s="11"/>
      <c r="JT1599" s="11"/>
      <c r="LG1599" s="11"/>
      <c r="MT1599" s="11"/>
      <c r="OG1599" s="11"/>
      <c r="PT1599" s="11"/>
    </row>
    <row r="1600" spans="1:474" ht="15.75" x14ac:dyDescent="0.25">
      <c r="A1600" s="13"/>
      <c r="B1600" s="14" t="s">
        <v>1166</v>
      </c>
      <c r="C1600" s="13"/>
      <c r="D1600" s="13"/>
      <c r="E1600" s="15" t="s">
        <v>76</v>
      </c>
      <c r="F1600" s="15" t="s">
        <v>177</v>
      </c>
      <c r="G1600" s="13"/>
      <c r="H1600" s="11"/>
      <c r="AU1600" s="11"/>
      <c r="CH1600" s="11"/>
      <c r="CI1600" s="16"/>
      <c r="CJ1600" s="16"/>
      <c r="CK1600" s="16"/>
      <c r="CL1600" s="16"/>
      <c r="CM1600" s="16"/>
      <c r="CN1600" s="16"/>
      <c r="CO1600" s="16"/>
      <c r="CP1600" s="16"/>
      <c r="CQ1600" s="16"/>
      <c r="CR1600" s="16"/>
      <c r="CS1600" s="16"/>
      <c r="CT1600" s="16"/>
      <c r="CU1600" s="16"/>
      <c r="CV1600" s="16"/>
      <c r="CW1600" s="16"/>
      <c r="CX1600" s="16"/>
      <c r="CY1600" s="16"/>
      <c r="CZ1600" s="16"/>
      <c r="DA1600" s="16"/>
      <c r="DB1600" s="16"/>
      <c r="DC1600" s="16"/>
      <c r="DD1600" s="16"/>
      <c r="DE1600" s="17"/>
      <c r="DF1600" s="17"/>
      <c r="DG1600" s="16"/>
      <c r="DH1600" s="16"/>
      <c r="DI1600" s="17"/>
      <c r="DJ1600" s="17"/>
      <c r="DK1600" s="16"/>
      <c r="DL1600" s="16"/>
      <c r="DM1600" s="17"/>
      <c r="DN1600" s="17"/>
      <c r="DO1600" s="16"/>
      <c r="DP1600" s="16"/>
      <c r="DQ1600" s="17"/>
      <c r="DR1600" s="17"/>
      <c r="DS1600" s="16"/>
      <c r="DT1600" s="16"/>
      <c r="DU1600" s="17"/>
      <c r="DV1600" s="17"/>
      <c r="DW1600" s="16"/>
      <c r="DX1600" s="16"/>
      <c r="DY1600" s="17"/>
      <c r="DZ1600" s="17"/>
      <c r="EA1600" s="16"/>
      <c r="EB1600" s="16"/>
      <c r="EC1600" s="17"/>
      <c r="ED1600" s="17"/>
      <c r="EE1600" s="16"/>
      <c r="EF1600" s="16"/>
      <c r="EG1600" s="17"/>
      <c r="EH1600" s="17"/>
      <c r="EI1600" s="16"/>
      <c r="EJ1600" s="16"/>
      <c r="EK1600" s="17"/>
      <c r="EL1600" s="17"/>
      <c r="EM1600" s="16"/>
      <c r="EN1600" s="16"/>
      <c r="EO1600" s="17"/>
      <c r="EP1600" s="17"/>
      <c r="EQ1600" s="16"/>
      <c r="ER1600" s="16"/>
      <c r="ES1600" s="17"/>
      <c r="ET1600" s="17"/>
      <c r="EU1600" s="16"/>
      <c r="EV1600" s="16"/>
      <c r="EW1600" s="17"/>
      <c r="EX1600" s="17"/>
      <c r="EY1600" s="16"/>
      <c r="EZ1600" s="16"/>
      <c r="FA1600" s="17"/>
      <c r="FB1600" s="17"/>
      <c r="FC1600" s="16"/>
      <c r="FD1600" s="16"/>
      <c r="FE1600" s="17"/>
      <c r="FF1600" s="17"/>
      <c r="FG1600" s="11"/>
      <c r="GT1600" s="11"/>
      <c r="IG1600" s="11"/>
      <c r="JT1600" s="11"/>
      <c r="LG1600" s="11"/>
      <c r="MT1600" s="11"/>
      <c r="OG1600" s="11"/>
      <c r="PT1600" s="11"/>
    </row>
    <row r="1601" spans="1:474" ht="15.75" x14ac:dyDescent="0.25">
      <c r="A1601" s="13"/>
      <c r="B1601" s="14" t="s">
        <v>1173</v>
      </c>
      <c r="C1601" s="13"/>
      <c r="D1601" s="13"/>
      <c r="E1601" s="15" t="s">
        <v>127</v>
      </c>
      <c r="F1601" s="15" t="s">
        <v>177</v>
      </c>
      <c r="G1601" s="13"/>
      <c r="H1601" s="11"/>
      <c r="AU1601" s="11"/>
      <c r="CH1601" s="11"/>
      <c r="CI1601" s="16"/>
      <c r="CJ1601" s="16"/>
      <c r="CK1601" s="16"/>
      <c r="CL1601" s="16"/>
      <c r="CM1601" s="16"/>
      <c r="CN1601" s="16"/>
      <c r="CO1601" s="16"/>
      <c r="CP1601" s="16"/>
      <c r="CQ1601" s="16"/>
      <c r="CR1601" s="16"/>
      <c r="CS1601" s="16"/>
      <c r="CT1601" s="16"/>
      <c r="CU1601" s="16"/>
      <c r="CV1601" s="16"/>
      <c r="CW1601" s="16"/>
      <c r="CX1601" s="16"/>
      <c r="CY1601" s="16"/>
      <c r="CZ1601" s="16"/>
      <c r="DA1601" s="16"/>
      <c r="DB1601" s="16"/>
      <c r="DC1601" s="16"/>
      <c r="DD1601" s="16"/>
      <c r="DE1601" s="17"/>
      <c r="DF1601" s="17"/>
      <c r="DG1601" s="16"/>
      <c r="DH1601" s="16"/>
      <c r="DI1601" s="17"/>
      <c r="DJ1601" s="17"/>
      <c r="DK1601" s="16"/>
      <c r="DL1601" s="16"/>
      <c r="DM1601" s="17"/>
      <c r="DN1601" s="17"/>
      <c r="DO1601" s="16"/>
      <c r="DP1601" s="16"/>
      <c r="DQ1601" s="17"/>
      <c r="DR1601" s="17"/>
      <c r="DS1601" s="16"/>
      <c r="DT1601" s="16"/>
      <c r="DU1601" s="17"/>
      <c r="DV1601" s="17"/>
      <c r="DW1601" s="16"/>
      <c r="DX1601" s="16"/>
      <c r="DY1601" s="17"/>
      <c r="DZ1601" s="17"/>
      <c r="EA1601" s="16"/>
      <c r="EB1601" s="16"/>
      <c r="EC1601" s="17"/>
      <c r="ED1601" s="17"/>
      <c r="EE1601" s="16"/>
      <c r="EF1601" s="16"/>
      <c r="EG1601" s="17"/>
      <c r="EH1601" s="17"/>
      <c r="EI1601" s="16"/>
      <c r="EJ1601" s="16"/>
      <c r="EK1601" s="17"/>
      <c r="EL1601" s="17"/>
      <c r="EM1601" s="16"/>
      <c r="EN1601" s="16"/>
      <c r="EO1601" s="17"/>
      <c r="EP1601" s="17"/>
      <c r="EQ1601" s="16"/>
      <c r="ER1601" s="16"/>
      <c r="ES1601" s="17"/>
      <c r="ET1601" s="17"/>
      <c r="EU1601" s="16"/>
      <c r="EV1601" s="16"/>
      <c r="EW1601" s="17"/>
      <c r="EX1601" s="17"/>
      <c r="EY1601" s="16"/>
      <c r="EZ1601" s="16"/>
      <c r="FA1601" s="17"/>
      <c r="FB1601" s="17"/>
      <c r="FC1601" s="16"/>
      <c r="FD1601" s="16"/>
      <c r="FE1601" s="17"/>
      <c r="FF1601" s="17"/>
      <c r="FG1601" s="11"/>
      <c r="GT1601" s="11"/>
      <c r="IG1601" s="11"/>
      <c r="JT1601" s="11"/>
      <c r="LG1601" s="11"/>
      <c r="MT1601" s="11"/>
      <c r="OG1601" s="11"/>
      <c r="PT1601" s="11"/>
    </row>
    <row r="1602" spans="1:474" x14ac:dyDescent="0.25">
      <c r="A1602" s="57" t="s">
        <v>1174</v>
      </c>
      <c r="B1602" s="57"/>
      <c r="C1602" s="57"/>
      <c r="D1602" s="57"/>
      <c r="E1602" s="57"/>
      <c r="F1602" s="57"/>
      <c r="G1602" s="57"/>
      <c r="H1602" s="57"/>
      <c r="I1602" s="57"/>
      <c r="J1602" s="57"/>
      <c r="K1602" s="57"/>
      <c r="L1602" s="57"/>
      <c r="M1602" s="57"/>
      <c r="N1602" s="57"/>
      <c r="O1602" s="57"/>
      <c r="P1602" s="57"/>
      <c r="Q1602" s="57"/>
      <c r="R1602" s="57"/>
      <c r="S1602" s="57"/>
      <c r="T1602" s="57"/>
      <c r="U1602" s="57"/>
      <c r="V1602" s="57"/>
      <c r="W1602" s="57"/>
      <c r="X1602" s="57"/>
      <c r="Y1602" s="57"/>
      <c r="Z1602" s="57"/>
      <c r="AA1602" s="57"/>
      <c r="AB1602" s="57"/>
      <c r="AC1602" s="57"/>
      <c r="AD1602" s="57"/>
      <c r="AE1602" s="57"/>
      <c r="AF1602" s="57"/>
      <c r="AG1602" s="57"/>
      <c r="AH1602" s="57"/>
      <c r="AI1602" s="57"/>
      <c r="AJ1602" s="57"/>
      <c r="AK1602" s="57"/>
      <c r="AL1602" s="57"/>
      <c r="AM1602" s="57"/>
      <c r="AN1602" s="57"/>
      <c r="AO1602" s="57"/>
      <c r="AP1602" s="57"/>
      <c r="AQ1602" s="57"/>
      <c r="AR1602" s="57"/>
      <c r="AS1602" s="57"/>
      <c r="AT1602" s="57"/>
      <c r="AU1602" s="57"/>
      <c r="AV1602" s="57"/>
      <c r="AW1602" s="57"/>
      <c r="AX1602" s="57"/>
      <c r="AY1602" s="57"/>
      <c r="AZ1602" s="57"/>
      <c r="BA1602" s="57"/>
      <c r="BB1602" s="57"/>
      <c r="BC1602" s="57"/>
      <c r="BD1602" s="57"/>
      <c r="BE1602" s="57"/>
      <c r="BF1602" s="57"/>
      <c r="BG1602" s="57"/>
      <c r="BH1602" s="57"/>
      <c r="BI1602" s="57"/>
      <c r="BJ1602" s="57"/>
      <c r="BK1602" s="57"/>
      <c r="BL1602" s="57"/>
      <c r="BM1602" s="57"/>
      <c r="BN1602" s="57"/>
      <c r="BO1602" s="57"/>
      <c r="BP1602" s="57"/>
      <c r="BQ1602" s="57"/>
      <c r="BR1602" s="57"/>
      <c r="BS1602" s="57"/>
      <c r="BT1602" s="57"/>
      <c r="BU1602" s="57"/>
      <c r="BV1602" s="57"/>
      <c r="BW1602" s="57"/>
      <c r="BX1602" s="57"/>
      <c r="BY1602" s="57"/>
      <c r="BZ1602" s="57"/>
      <c r="CA1602" s="57"/>
      <c r="CB1602" s="57"/>
      <c r="CC1602" s="57"/>
      <c r="CD1602" s="57"/>
      <c r="CE1602" s="57"/>
      <c r="CF1602" s="57"/>
      <c r="CG1602" s="57"/>
      <c r="CH1602" s="57"/>
      <c r="CI1602" s="57"/>
      <c r="CJ1602" s="57"/>
      <c r="CK1602" s="57"/>
      <c r="CL1602" s="57"/>
      <c r="CM1602" s="57"/>
      <c r="CN1602" s="57"/>
      <c r="CO1602" s="57"/>
      <c r="CP1602" s="57"/>
      <c r="CQ1602" s="57"/>
      <c r="CR1602" s="57"/>
      <c r="CS1602" s="57"/>
      <c r="CT1602" s="57"/>
      <c r="CU1602" s="57"/>
      <c r="CV1602" s="57"/>
      <c r="CW1602" s="57"/>
      <c r="CX1602" s="57"/>
      <c r="CY1602" s="57"/>
      <c r="CZ1602" s="57"/>
      <c r="DA1602" s="57"/>
      <c r="DB1602" s="57"/>
      <c r="DC1602" s="57"/>
      <c r="DD1602" s="57"/>
      <c r="DE1602" s="57"/>
      <c r="DF1602" s="57"/>
      <c r="DG1602" s="57"/>
      <c r="DH1602" s="57"/>
      <c r="DI1602" s="57"/>
      <c r="DJ1602" s="57"/>
      <c r="DK1602" s="57"/>
      <c r="DL1602" s="57"/>
      <c r="DM1602" s="57"/>
      <c r="DN1602" s="57"/>
      <c r="DO1602" s="57"/>
      <c r="DP1602" s="57"/>
      <c r="DQ1602" s="57"/>
      <c r="DR1602" s="57"/>
      <c r="DS1602" s="57"/>
      <c r="DT1602" s="57"/>
      <c r="DU1602" s="57"/>
      <c r="DV1602" s="57"/>
      <c r="DW1602" s="57"/>
      <c r="DX1602" s="57"/>
      <c r="DY1602" s="57"/>
      <c r="DZ1602" s="57"/>
      <c r="EA1602" s="57"/>
      <c r="EB1602" s="57"/>
      <c r="EC1602" s="57"/>
      <c r="ED1602" s="57"/>
      <c r="EE1602" s="57"/>
      <c r="EF1602" s="57"/>
      <c r="EG1602" s="57"/>
      <c r="EH1602" s="57"/>
      <c r="EI1602" s="57"/>
      <c r="EJ1602" s="57"/>
      <c r="EK1602" s="57"/>
      <c r="EL1602" s="57"/>
      <c r="EM1602" s="57"/>
      <c r="EN1602" s="57"/>
      <c r="EO1602" s="57"/>
      <c r="EP1602" s="57"/>
      <c r="EQ1602" s="57"/>
      <c r="ER1602" s="57"/>
      <c r="ES1602" s="57"/>
      <c r="ET1602" s="57"/>
      <c r="EU1602" s="57"/>
      <c r="EV1602" s="57"/>
      <c r="EW1602" s="57"/>
      <c r="EX1602" s="57"/>
      <c r="EY1602" s="57"/>
      <c r="EZ1602" s="57"/>
      <c r="FA1602" s="57"/>
      <c r="FB1602" s="57"/>
      <c r="FC1602" s="57"/>
      <c r="FD1602" s="57"/>
      <c r="FE1602" s="57"/>
      <c r="FF1602" s="57"/>
      <c r="FG1602" s="57"/>
      <c r="FH1602" s="57"/>
      <c r="FI1602" s="57"/>
      <c r="FJ1602" s="57"/>
      <c r="FK1602" s="57"/>
      <c r="FL1602" s="57"/>
      <c r="FM1602" s="57"/>
      <c r="FN1602" s="57"/>
      <c r="FO1602" s="57"/>
      <c r="FP1602" s="57"/>
      <c r="FQ1602" s="57"/>
      <c r="FR1602" s="57"/>
      <c r="FS1602" s="57"/>
      <c r="FT1602" s="57"/>
      <c r="FU1602" s="57"/>
      <c r="FV1602" s="57"/>
      <c r="FW1602" s="57"/>
      <c r="FX1602" s="57"/>
      <c r="FY1602" s="57"/>
      <c r="FZ1602" s="57"/>
      <c r="GA1602" s="57"/>
      <c r="GB1602" s="57"/>
      <c r="GC1602" s="57"/>
      <c r="GD1602" s="57"/>
      <c r="GE1602" s="57"/>
      <c r="GF1602" s="57"/>
      <c r="GG1602" s="57"/>
      <c r="GH1602" s="57"/>
      <c r="GI1602" s="57"/>
      <c r="GJ1602" s="57"/>
      <c r="GK1602" s="57"/>
      <c r="GL1602" s="57"/>
      <c r="GM1602" s="57"/>
      <c r="GN1602" s="57"/>
      <c r="GO1602" s="57"/>
      <c r="GP1602" s="57"/>
      <c r="GQ1602" s="57"/>
      <c r="GR1602" s="57"/>
      <c r="GS1602" s="57"/>
      <c r="GT1602" s="57"/>
      <c r="GU1602" s="57"/>
      <c r="GV1602" s="57"/>
      <c r="GW1602" s="57"/>
      <c r="GX1602" s="57"/>
      <c r="GY1602" s="57"/>
      <c r="GZ1602" s="57"/>
      <c r="HA1602" s="57"/>
      <c r="HB1602" s="57"/>
      <c r="HC1602" s="57"/>
      <c r="HD1602" s="57"/>
      <c r="HE1602" s="57"/>
      <c r="HF1602" s="57"/>
      <c r="HG1602" s="57"/>
      <c r="HH1602" s="57"/>
      <c r="HI1602" s="57"/>
      <c r="HJ1602" s="57"/>
      <c r="HK1602" s="57"/>
      <c r="HL1602" s="57"/>
      <c r="HM1602" s="57"/>
      <c r="HN1602" s="57"/>
      <c r="HO1602" s="57"/>
      <c r="HP1602" s="57"/>
      <c r="HQ1602" s="57"/>
      <c r="HR1602" s="57"/>
      <c r="HS1602" s="57"/>
      <c r="HT1602" s="57"/>
      <c r="HU1602" s="57"/>
      <c r="HV1602" s="57"/>
      <c r="HW1602" s="57"/>
      <c r="HX1602" s="57"/>
      <c r="HY1602" s="57"/>
      <c r="HZ1602" s="57"/>
      <c r="IA1602" s="57"/>
      <c r="IB1602" s="57"/>
      <c r="IC1602" s="57"/>
      <c r="ID1602" s="57"/>
      <c r="IE1602" s="57"/>
      <c r="IF1602" s="57"/>
      <c r="IG1602" s="57"/>
      <c r="IH1602" s="57"/>
      <c r="II1602" s="57"/>
      <c r="IJ1602" s="57"/>
      <c r="IK1602" s="57"/>
      <c r="IL1602" s="57"/>
      <c r="IM1602" s="57"/>
      <c r="IN1602" s="57"/>
      <c r="IO1602" s="57"/>
      <c r="IP1602" s="57"/>
      <c r="IQ1602" s="57"/>
      <c r="IR1602" s="57"/>
      <c r="IS1602" s="57"/>
      <c r="IT1602" s="57"/>
      <c r="IU1602" s="57"/>
      <c r="IV1602" s="57"/>
      <c r="IW1602" s="57"/>
      <c r="IX1602" s="57"/>
      <c r="IY1602" s="57"/>
      <c r="IZ1602" s="57"/>
      <c r="JA1602" s="57"/>
      <c r="JB1602" s="57"/>
      <c r="JC1602" s="57"/>
      <c r="JD1602" s="57"/>
      <c r="JE1602" s="57"/>
      <c r="JF1602" s="57"/>
      <c r="JG1602" s="57"/>
      <c r="JH1602" s="57"/>
      <c r="JI1602" s="57"/>
      <c r="JJ1602" s="57"/>
      <c r="JK1602" s="57"/>
      <c r="JL1602" s="57"/>
      <c r="JM1602" s="57"/>
      <c r="JN1602" s="57"/>
      <c r="JO1602" s="57"/>
      <c r="JP1602" s="57"/>
      <c r="JQ1602" s="57"/>
      <c r="JR1602" s="57"/>
      <c r="JS1602" s="57"/>
      <c r="JT1602" s="57"/>
      <c r="JU1602" s="57"/>
      <c r="JV1602" s="57"/>
      <c r="JW1602" s="57"/>
      <c r="JX1602" s="57"/>
      <c r="JY1602" s="57"/>
      <c r="JZ1602" s="57"/>
      <c r="KA1602" s="57"/>
      <c r="KB1602" s="57"/>
      <c r="KC1602" s="57"/>
      <c r="KD1602" s="57"/>
      <c r="KE1602" s="57"/>
      <c r="KF1602" s="57"/>
      <c r="KG1602" s="57"/>
      <c r="KH1602" s="57"/>
      <c r="KI1602" s="57"/>
      <c r="KJ1602" s="57"/>
      <c r="KK1602" s="57"/>
      <c r="KL1602" s="57"/>
      <c r="KM1602" s="57"/>
      <c r="KN1602" s="57"/>
      <c r="KO1602" s="57"/>
      <c r="KP1602" s="57"/>
      <c r="KQ1602" s="57"/>
      <c r="KR1602" s="57"/>
      <c r="KS1602" s="57"/>
      <c r="KT1602" s="57"/>
      <c r="KU1602" s="57"/>
      <c r="KV1602" s="57"/>
      <c r="KW1602" s="57"/>
      <c r="KX1602" s="57"/>
      <c r="KY1602" s="57"/>
      <c r="KZ1602" s="57"/>
      <c r="LA1602" s="57"/>
      <c r="LB1602" s="57"/>
      <c r="LC1602" s="57"/>
      <c r="LD1602" s="57"/>
      <c r="LE1602" s="57"/>
      <c r="LF1602" s="57"/>
      <c r="LG1602" s="57"/>
      <c r="LH1602" s="57"/>
      <c r="LI1602" s="57"/>
      <c r="LJ1602" s="57"/>
      <c r="LK1602" s="57"/>
      <c r="LL1602" s="57"/>
      <c r="LM1602" s="57"/>
      <c r="LN1602" s="57"/>
      <c r="LO1602" s="57"/>
      <c r="LP1602" s="57"/>
      <c r="LQ1602" s="57"/>
      <c r="LR1602" s="57"/>
      <c r="LS1602" s="57"/>
      <c r="LT1602" s="57"/>
      <c r="LU1602" s="57"/>
      <c r="LV1602" s="57"/>
      <c r="LW1602" s="57"/>
      <c r="LX1602" s="57"/>
      <c r="LY1602" s="57"/>
      <c r="LZ1602" s="57"/>
      <c r="MA1602" s="57"/>
      <c r="MB1602" s="57"/>
      <c r="MC1602" s="57"/>
      <c r="MD1602" s="57"/>
      <c r="ME1602" s="57"/>
      <c r="MF1602" s="57"/>
      <c r="MG1602" s="57"/>
      <c r="MH1602" s="57"/>
      <c r="MI1602" s="57"/>
      <c r="MJ1602" s="57"/>
      <c r="MK1602" s="57"/>
      <c r="ML1602" s="57"/>
      <c r="MM1602" s="57"/>
      <c r="MN1602" s="57"/>
      <c r="MO1602" s="57"/>
      <c r="MP1602" s="57"/>
      <c r="MQ1602" s="57"/>
      <c r="MR1602" s="57"/>
      <c r="MS1602" s="57"/>
      <c r="MT1602" s="57"/>
      <c r="MU1602" s="57"/>
      <c r="MV1602" s="57"/>
      <c r="MW1602" s="57"/>
      <c r="MX1602" s="57"/>
      <c r="MY1602" s="57"/>
      <c r="MZ1602" s="57"/>
      <c r="NA1602" s="57"/>
      <c r="NB1602" s="57"/>
      <c r="NC1602" s="57"/>
      <c r="ND1602" s="57"/>
      <c r="NE1602" s="57"/>
      <c r="NF1602" s="57"/>
      <c r="NG1602" s="57"/>
      <c r="NH1602" s="57"/>
      <c r="NI1602" s="57"/>
      <c r="NJ1602" s="57"/>
      <c r="NK1602" s="57"/>
      <c r="NL1602" s="57"/>
      <c r="NM1602" s="57"/>
      <c r="NN1602" s="57"/>
      <c r="NO1602" s="57"/>
      <c r="NP1602" s="57"/>
      <c r="NQ1602" s="57"/>
      <c r="NR1602" s="57"/>
      <c r="NS1602" s="57"/>
      <c r="NT1602" s="57"/>
      <c r="NU1602" s="57"/>
      <c r="NV1602" s="57"/>
      <c r="NW1602" s="57"/>
      <c r="NX1602" s="57"/>
      <c r="NY1602" s="57"/>
      <c r="NZ1602" s="57"/>
      <c r="OA1602" s="57"/>
      <c r="OB1602" s="57"/>
      <c r="OC1602" s="57"/>
      <c r="OD1602" s="57"/>
      <c r="OE1602" s="57"/>
      <c r="OF1602" s="57"/>
      <c r="OG1602" s="57"/>
      <c r="OH1602" s="57"/>
      <c r="OI1602" s="57"/>
      <c r="OJ1602" s="57"/>
      <c r="OK1602" s="57"/>
      <c r="OL1602" s="57"/>
      <c r="OM1602" s="57"/>
      <c r="ON1602" s="57"/>
      <c r="OO1602" s="57"/>
      <c r="OP1602" s="57"/>
      <c r="OQ1602" s="57"/>
      <c r="OR1602" s="57"/>
      <c r="OS1602" s="57"/>
      <c r="OT1602" s="57"/>
      <c r="OU1602" s="57"/>
      <c r="OV1602" s="57"/>
      <c r="OW1602" s="57"/>
      <c r="OX1602" s="57"/>
      <c r="OY1602" s="57"/>
      <c r="OZ1602" s="57"/>
      <c r="PA1602" s="57"/>
      <c r="PB1602" s="57"/>
      <c r="PC1602" s="57"/>
      <c r="PD1602" s="57"/>
      <c r="PE1602" s="57"/>
      <c r="PF1602" s="57"/>
      <c r="PG1602" s="57"/>
      <c r="PH1602" s="57"/>
      <c r="PI1602" s="57"/>
      <c r="PJ1602" s="57"/>
      <c r="PK1602" s="57"/>
      <c r="PL1602" s="57"/>
      <c r="PM1602" s="57"/>
      <c r="PN1602" s="57"/>
      <c r="PO1602" s="57"/>
      <c r="PP1602" s="57"/>
      <c r="PQ1602" s="57"/>
      <c r="PR1602" s="57"/>
      <c r="PS1602" s="57"/>
      <c r="PT1602" s="57"/>
      <c r="PU1602" s="57"/>
      <c r="PV1602" s="57"/>
      <c r="PW1602" s="57"/>
      <c r="PX1602" s="57"/>
      <c r="PY1602" s="57"/>
      <c r="PZ1602" s="57"/>
      <c r="QA1602" s="57"/>
      <c r="QB1602" s="57"/>
      <c r="QC1602" s="57"/>
      <c r="QD1602" s="57"/>
      <c r="QE1602" s="57"/>
      <c r="QF1602" s="57"/>
      <c r="QG1602" s="57"/>
      <c r="QH1602" s="57"/>
      <c r="QI1602" s="57"/>
      <c r="QJ1602" s="57"/>
      <c r="QK1602" s="57"/>
      <c r="QL1602" s="57"/>
      <c r="QM1602" s="57"/>
      <c r="QN1602" s="57"/>
      <c r="QO1602" s="57"/>
      <c r="QP1602" s="57"/>
      <c r="QQ1602" s="57"/>
      <c r="QR1602" s="57"/>
      <c r="QS1602" s="57"/>
      <c r="QT1602" s="57"/>
      <c r="QU1602" s="57"/>
      <c r="QV1602" s="57"/>
      <c r="QW1602" s="57"/>
      <c r="QX1602" s="57"/>
      <c r="QY1602" s="57"/>
      <c r="QZ1602" s="57"/>
      <c r="RA1602" s="57"/>
      <c r="RB1602" s="57"/>
      <c r="RC1602" s="57"/>
      <c r="RD1602" s="57"/>
      <c r="RE1602" s="57"/>
      <c r="RF1602" s="57"/>
    </row>
    <row r="1603" spans="1:474" x14ac:dyDescent="0.25">
      <c r="H1603" s="11"/>
      <c r="AU1603" s="11"/>
      <c r="CH1603" s="11"/>
      <c r="CI1603" s="12" t="s">
        <v>73</v>
      </c>
      <c r="CJ1603" s="12" t="s">
        <v>74</v>
      </c>
      <c r="CK1603" s="12" t="s">
        <v>73</v>
      </c>
      <c r="CL1603" s="12" t="s">
        <v>74</v>
      </c>
      <c r="CM1603" s="12" t="s">
        <v>73</v>
      </c>
      <c r="CN1603" s="12" t="s">
        <v>74</v>
      </c>
      <c r="CO1603" s="12" t="s">
        <v>73</v>
      </c>
      <c r="CP1603" s="12" t="s">
        <v>74</v>
      </c>
      <c r="CQ1603" s="12" t="s">
        <v>73</v>
      </c>
      <c r="CR1603" s="12" t="s">
        <v>74</v>
      </c>
      <c r="CS1603" s="12" t="s">
        <v>73</v>
      </c>
      <c r="CT1603" s="12" t="s">
        <v>74</v>
      </c>
      <c r="CU1603" s="12" t="s">
        <v>73</v>
      </c>
      <c r="CV1603" s="12" t="s">
        <v>74</v>
      </c>
      <c r="CW1603" s="12" t="s">
        <v>73</v>
      </c>
      <c r="CX1603" s="12" t="s">
        <v>74</v>
      </c>
      <c r="CY1603" s="12" t="s">
        <v>73</v>
      </c>
      <c r="CZ1603" s="12" t="s">
        <v>74</v>
      </c>
      <c r="DA1603" s="12" t="s">
        <v>73</v>
      </c>
      <c r="DB1603" s="12" t="s">
        <v>74</v>
      </c>
      <c r="DC1603" s="12" t="s">
        <v>73</v>
      </c>
      <c r="DD1603" s="12" t="s">
        <v>74</v>
      </c>
      <c r="DE1603" s="12" t="s">
        <v>73</v>
      </c>
      <c r="DF1603" s="12" t="s">
        <v>74</v>
      </c>
      <c r="DG1603" s="12" t="s">
        <v>73</v>
      </c>
      <c r="DH1603" s="12" t="s">
        <v>74</v>
      </c>
      <c r="DI1603" s="12" t="s">
        <v>73</v>
      </c>
      <c r="DJ1603" s="12" t="s">
        <v>74</v>
      </c>
      <c r="DK1603" s="12" t="s">
        <v>73</v>
      </c>
      <c r="DL1603" s="12" t="s">
        <v>74</v>
      </c>
      <c r="DM1603" s="12" t="s">
        <v>73</v>
      </c>
      <c r="DN1603" s="12" t="s">
        <v>74</v>
      </c>
      <c r="DO1603" s="12" t="s">
        <v>73</v>
      </c>
      <c r="DP1603" s="12" t="s">
        <v>74</v>
      </c>
      <c r="DQ1603" s="12" t="s">
        <v>73</v>
      </c>
      <c r="DR1603" s="12" t="s">
        <v>74</v>
      </c>
      <c r="DS1603" s="12" t="s">
        <v>73</v>
      </c>
      <c r="DT1603" s="12" t="s">
        <v>74</v>
      </c>
      <c r="DU1603" s="12" t="s">
        <v>73</v>
      </c>
      <c r="DV1603" s="12" t="s">
        <v>74</v>
      </c>
      <c r="DW1603" s="12" t="s">
        <v>73</v>
      </c>
      <c r="DX1603" s="12" t="s">
        <v>74</v>
      </c>
      <c r="DY1603" s="12" t="s">
        <v>73</v>
      </c>
      <c r="DZ1603" s="12" t="s">
        <v>74</v>
      </c>
      <c r="EA1603" s="12" t="s">
        <v>73</v>
      </c>
      <c r="EB1603" s="12" t="s">
        <v>74</v>
      </c>
      <c r="EC1603" s="12" t="s">
        <v>73</v>
      </c>
      <c r="ED1603" s="12" t="s">
        <v>74</v>
      </c>
      <c r="EE1603" s="12" t="s">
        <v>73</v>
      </c>
      <c r="EF1603" s="12" t="s">
        <v>74</v>
      </c>
      <c r="EG1603" s="12" t="s">
        <v>73</v>
      </c>
      <c r="EH1603" s="12" t="s">
        <v>74</v>
      </c>
      <c r="EI1603" s="12" t="s">
        <v>73</v>
      </c>
      <c r="EJ1603" s="12" t="s">
        <v>74</v>
      </c>
      <c r="EK1603" s="12" t="s">
        <v>73</v>
      </c>
      <c r="EL1603" s="12" t="s">
        <v>74</v>
      </c>
      <c r="EM1603" s="12" t="s">
        <v>73</v>
      </c>
      <c r="EN1603" s="12" t="s">
        <v>74</v>
      </c>
      <c r="EO1603" s="12" t="s">
        <v>73</v>
      </c>
      <c r="EP1603" s="12" t="s">
        <v>74</v>
      </c>
      <c r="EQ1603" s="12" t="s">
        <v>73</v>
      </c>
      <c r="ER1603" s="12" t="s">
        <v>74</v>
      </c>
      <c r="ES1603" s="12" t="s">
        <v>73</v>
      </c>
      <c r="ET1603" s="12" t="s">
        <v>74</v>
      </c>
      <c r="EU1603" s="12" t="s">
        <v>73</v>
      </c>
      <c r="EV1603" s="12" t="s">
        <v>74</v>
      </c>
      <c r="EW1603" s="12" t="s">
        <v>73</v>
      </c>
      <c r="EX1603" s="12" t="s">
        <v>74</v>
      </c>
      <c r="EY1603" s="12" t="s">
        <v>73</v>
      </c>
      <c r="EZ1603" s="12" t="s">
        <v>74</v>
      </c>
      <c r="FA1603" s="12" t="s">
        <v>73</v>
      </c>
      <c r="FB1603" s="12" t="s">
        <v>74</v>
      </c>
      <c r="FC1603" s="12" t="s">
        <v>73</v>
      </c>
      <c r="FD1603" s="12" t="s">
        <v>74</v>
      </c>
      <c r="FE1603" s="12" t="s">
        <v>73</v>
      </c>
      <c r="FF1603" s="12" t="s">
        <v>74</v>
      </c>
      <c r="FG1603" s="11"/>
      <c r="GT1603" s="11"/>
      <c r="IG1603" s="11"/>
      <c r="JT1603" s="11"/>
      <c r="LG1603" s="11"/>
      <c r="MT1603" s="11"/>
      <c r="OG1603" s="11"/>
      <c r="PT1603" s="11"/>
    </row>
    <row r="1604" spans="1:474" ht="15.75" x14ac:dyDescent="0.25">
      <c r="A1604" s="13"/>
      <c r="B1604" s="14" t="s">
        <v>1175</v>
      </c>
      <c r="C1604" s="13"/>
      <c r="D1604" s="13"/>
      <c r="E1604" s="15" t="s">
        <v>127</v>
      </c>
      <c r="F1604" s="15" t="s">
        <v>177</v>
      </c>
      <c r="G1604" s="13"/>
      <c r="H1604" s="11"/>
      <c r="AU1604" s="11"/>
      <c r="CH1604" s="11"/>
      <c r="CI1604" s="16"/>
      <c r="CJ1604" s="16"/>
      <c r="CK1604" s="16"/>
      <c r="CL1604" s="16"/>
      <c r="CM1604" s="16"/>
      <c r="CN1604" s="16"/>
      <c r="CO1604" s="16"/>
      <c r="CP1604" s="16"/>
      <c r="CQ1604" s="16"/>
      <c r="CR1604" s="16"/>
      <c r="CS1604" s="16"/>
      <c r="CT1604" s="16"/>
      <c r="CU1604" s="16"/>
      <c r="CV1604" s="16"/>
      <c r="CW1604" s="16"/>
      <c r="CX1604" s="16"/>
      <c r="CY1604" s="16"/>
      <c r="CZ1604" s="16"/>
      <c r="DA1604" s="16"/>
      <c r="DB1604" s="16"/>
      <c r="DC1604" s="16"/>
      <c r="DD1604" s="16"/>
      <c r="DE1604" s="17"/>
      <c r="DF1604" s="17"/>
      <c r="DG1604" s="16"/>
      <c r="DH1604" s="16"/>
      <c r="DI1604" s="17"/>
      <c r="DJ1604" s="17"/>
      <c r="DK1604" s="16"/>
      <c r="DL1604" s="16"/>
      <c r="DM1604" s="17"/>
      <c r="DN1604" s="17"/>
      <c r="DO1604" s="16"/>
      <c r="DP1604" s="16"/>
      <c r="DQ1604" s="17"/>
      <c r="DR1604" s="17"/>
      <c r="DS1604" s="16"/>
      <c r="DT1604" s="16"/>
      <c r="DU1604" s="17"/>
      <c r="DV1604" s="17"/>
      <c r="DW1604" s="16"/>
      <c r="DX1604" s="16"/>
      <c r="DY1604" s="17"/>
      <c r="DZ1604" s="17"/>
      <c r="EA1604" s="16"/>
      <c r="EB1604" s="16"/>
      <c r="EC1604" s="17"/>
      <c r="ED1604" s="17"/>
      <c r="EE1604" s="16"/>
      <c r="EF1604" s="16"/>
      <c r="EG1604" s="17"/>
      <c r="EH1604" s="17"/>
      <c r="EI1604" s="16"/>
      <c r="EJ1604" s="16"/>
      <c r="EK1604" s="17"/>
      <c r="EL1604" s="17"/>
      <c r="EM1604" s="16"/>
      <c r="EN1604" s="16"/>
      <c r="EO1604" s="17"/>
      <c r="EP1604" s="17"/>
      <c r="EQ1604" s="16"/>
      <c r="ER1604" s="16"/>
      <c r="ES1604" s="17"/>
      <c r="ET1604" s="17"/>
      <c r="EU1604" s="16"/>
      <c r="EV1604" s="16"/>
      <c r="EW1604" s="17"/>
      <c r="EX1604" s="17"/>
      <c r="EY1604" s="16"/>
      <c r="EZ1604" s="16"/>
      <c r="FA1604" s="17"/>
      <c r="FB1604" s="17"/>
      <c r="FC1604" s="16"/>
      <c r="FD1604" s="16"/>
      <c r="FE1604" s="17"/>
      <c r="FF1604" s="17"/>
      <c r="FG1604" s="11"/>
      <c r="GT1604" s="11"/>
      <c r="IG1604" s="11"/>
      <c r="JT1604" s="11"/>
      <c r="LG1604" s="11"/>
      <c r="MT1604" s="11"/>
      <c r="OG1604" s="11"/>
      <c r="PT1604" s="11"/>
    </row>
    <row r="1605" spans="1:474" ht="15.75" x14ac:dyDescent="0.25">
      <c r="A1605" s="13"/>
      <c r="B1605" s="14" t="s">
        <v>1176</v>
      </c>
      <c r="C1605" s="13"/>
      <c r="D1605" s="13"/>
      <c r="E1605" s="15" t="s">
        <v>127</v>
      </c>
      <c r="F1605" s="15" t="s">
        <v>177</v>
      </c>
      <c r="G1605" s="13"/>
      <c r="H1605" s="11"/>
      <c r="AU1605" s="11"/>
      <c r="CH1605" s="11"/>
      <c r="CI1605" s="16"/>
      <c r="CJ1605" s="16"/>
      <c r="CK1605" s="16"/>
      <c r="CL1605" s="16"/>
      <c r="CM1605" s="16"/>
      <c r="CN1605" s="16"/>
      <c r="CO1605" s="16"/>
      <c r="CP1605" s="16"/>
      <c r="CQ1605" s="16"/>
      <c r="CR1605" s="16"/>
      <c r="CS1605" s="16"/>
      <c r="CT1605" s="16"/>
      <c r="CU1605" s="16"/>
      <c r="CV1605" s="16"/>
      <c r="CW1605" s="16"/>
      <c r="CX1605" s="16"/>
      <c r="CY1605" s="16"/>
      <c r="CZ1605" s="16"/>
      <c r="DA1605" s="16"/>
      <c r="DB1605" s="16"/>
      <c r="DC1605" s="16"/>
      <c r="DD1605" s="16"/>
      <c r="DE1605" s="17"/>
      <c r="DF1605" s="17"/>
      <c r="DG1605" s="16"/>
      <c r="DH1605" s="16"/>
      <c r="DI1605" s="17"/>
      <c r="DJ1605" s="17"/>
      <c r="DK1605" s="16"/>
      <c r="DL1605" s="16"/>
      <c r="DM1605" s="17"/>
      <c r="DN1605" s="17"/>
      <c r="DO1605" s="16"/>
      <c r="DP1605" s="16"/>
      <c r="DQ1605" s="17"/>
      <c r="DR1605" s="17"/>
      <c r="DS1605" s="16"/>
      <c r="DT1605" s="16"/>
      <c r="DU1605" s="17"/>
      <c r="DV1605" s="17"/>
      <c r="DW1605" s="16"/>
      <c r="DX1605" s="16"/>
      <c r="DY1605" s="17"/>
      <c r="DZ1605" s="17"/>
      <c r="EA1605" s="16"/>
      <c r="EB1605" s="16"/>
      <c r="EC1605" s="17"/>
      <c r="ED1605" s="17"/>
      <c r="EE1605" s="16"/>
      <c r="EF1605" s="16"/>
      <c r="EG1605" s="17"/>
      <c r="EH1605" s="17"/>
      <c r="EI1605" s="16"/>
      <c r="EJ1605" s="16"/>
      <c r="EK1605" s="17"/>
      <c r="EL1605" s="17"/>
      <c r="EM1605" s="16"/>
      <c r="EN1605" s="16"/>
      <c r="EO1605" s="17"/>
      <c r="EP1605" s="17"/>
      <c r="EQ1605" s="16"/>
      <c r="ER1605" s="16"/>
      <c r="ES1605" s="17"/>
      <c r="ET1605" s="17"/>
      <c r="EU1605" s="16"/>
      <c r="EV1605" s="16"/>
      <c r="EW1605" s="17"/>
      <c r="EX1605" s="17"/>
      <c r="EY1605" s="16"/>
      <c r="EZ1605" s="16"/>
      <c r="FA1605" s="17"/>
      <c r="FB1605" s="17"/>
      <c r="FC1605" s="16"/>
      <c r="FD1605" s="16"/>
      <c r="FE1605" s="17"/>
      <c r="FF1605" s="17"/>
      <c r="FG1605" s="11"/>
      <c r="GT1605" s="11"/>
      <c r="IG1605" s="11"/>
      <c r="JT1605" s="11"/>
      <c r="LG1605" s="11"/>
      <c r="MT1605" s="11"/>
      <c r="OG1605" s="11"/>
      <c r="PT1605" s="11"/>
    </row>
    <row r="1606" spans="1:474" ht="15.75" x14ac:dyDescent="0.25">
      <c r="C1606" s="20" t="s">
        <v>1177</v>
      </c>
      <c r="D1606" s="21" t="s">
        <v>82</v>
      </c>
      <c r="H1606" s="11"/>
      <c r="AU1606" s="11"/>
      <c r="CH1606" s="11"/>
      <c r="CI1606" s="16"/>
      <c r="CJ1606" s="16"/>
      <c r="CK1606" s="16"/>
      <c r="CL1606" s="16"/>
      <c r="CM1606" s="16"/>
      <c r="CN1606" s="16"/>
      <c r="CO1606" s="16"/>
      <c r="CP1606" s="16"/>
      <c r="CQ1606" s="16"/>
      <c r="CR1606" s="16"/>
      <c r="CS1606" s="16"/>
      <c r="CT1606" s="16"/>
      <c r="CU1606" s="16"/>
      <c r="CV1606" s="16"/>
      <c r="CW1606" s="16"/>
      <c r="CX1606" s="16"/>
      <c r="CY1606" s="16"/>
      <c r="CZ1606" s="16"/>
      <c r="DA1606" s="16"/>
      <c r="DB1606" s="16"/>
      <c r="DC1606" s="16"/>
      <c r="DD1606" s="16"/>
      <c r="DE1606" s="17"/>
      <c r="DF1606" s="17"/>
      <c r="DG1606" s="16"/>
      <c r="DH1606" s="16"/>
      <c r="DI1606" s="17"/>
      <c r="DJ1606" s="17"/>
      <c r="DK1606" s="16"/>
      <c r="DL1606" s="16"/>
      <c r="DM1606" s="17"/>
      <c r="DN1606" s="17"/>
      <c r="DO1606" s="16"/>
      <c r="DP1606" s="16"/>
      <c r="DQ1606" s="17"/>
      <c r="DR1606" s="17"/>
      <c r="DS1606" s="16"/>
      <c r="DT1606" s="16"/>
      <c r="DU1606" s="17"/>
      <c r="DV1606" s="17"/>
      <c r="DW1606" s="16"/>
      <c r="DX1606" s="16"/>
      <c r="DY1606" s="17"/>
      <c r="DZ1606" s="17"/>
      <c r="EA1606" s="16"/>
      <c r="EB1606" s="16"/>
      <c r="EC1606" s="17"/>
      <c r="ED1606" s="17"/>
      <c r="EE1606" s="16"/>
      <c r="EF1606" s="16"/>
      <c r="EG1606" s="17"/>
      <c r="EH1606" s="17"/>
      <c r="EI1606" s="16"/>
      <c r="EJ1606" s="16"/>
      <c r="EK1606" s="17"/>
      <c r="EL1606" s="17"/>
      <c r="EM1606" s="16"/>
      <c r="EN1606" s="16"/>
      <c r="EO1606" s="17"/>
      <c r="EP1606" s="17"/>
      <c r="EQ1606" s="16"/>
      <c r="ER1606" s="16"/>
      <c r="ES1606" s="18">
        <v>3</v>
      </c>
      <c r="ET1606" s="18">
        <v>4</v>
      </c>
      <c r="EU1606" s="16"/>
      <c r="EV1606" s="16"/>
      <c r="EW1606" s="17"/>
      <c r="EX1606" s="17"/>
      <c r="EY1606" s="16"/>
      <c r="EZ1606" s="16"/>
      <c r="FA1606" s="17"/>
      <c r="FB1606" s="17"/>
      <c r="FC1606" s="16"/>
      <c r="FD1606" s="16"/>
      <c r="FE1606" s="17"/>
      <c r="FF1606" s="17"/>
      <c r="FG1606" s="11"/>
      <c r="GT1606" s="11"/>
      <c r="IG1606" s="11"/>
      <c r="JT1606" s="11"/>
      <c r="LG1606" s="11"/>
      <c r="MT1606" s="11"/>
      <c r="OG1606" s="11"/>
      <c r="PT1606" s="11"/>
    </row>
    <row r="1607" spans="1:474" ht="15.75" x14ac:dyDescent="0.25">
      <c r="C1607" s="20" t="s">
        <v>1178</v>
      </c>
      <c r="D1607" s="21" t="s">
        <v>82</v>
      </c>
      <c r="H1607" s="11"/>
      <c r="AU1607" s="11"/>
      <c r="CH1607" s="11"/>
      <c r="CI1607" s="16"/>
      <c r="CJ1607" s="16"/>
      <c r="CK1607" s="16"/>
      <c r="CL1607" s="16"/>
      <c r="CM1607" s="16"/>
      <c r="CN1607" s="16"/>
      <c r="CO1607" s="16"/>
      <c r="CP1607" s="16"/>
      <c r="CQ1607" s="16"/>
      <c r="CR1607" s="16"/>
      <c r="CS1607" s="16"/>
      <c r="CT1607" s="16"/>
      <c r="CU1607" s="16"/>
      <c r="CV1607" s="16"/>
      <c r="CW1607" s="16"/>
      <c r="CX1607" s="16"/>
      <c r="CY1607" s="16"/>
      <c r="CZ1607" s="16"/>
      <c r="DA1607" s="16"/>
      <c r="DB1607" s="16"/>
      <c r="DC1607" s="16"/>
      <c r="DD1607" s="16"/>
      <c r="DE1607" s="17"/>
      <c r="DF1607" s="17"/>
      <c r="DG1607" s="16"/>
      <c r="DH1607" s="16"/>
      <c r="DI1607" s="17"/>
      <c r="DJ1607" s="17"/>
      <c r="DK1607" s="16"/>
      <c r="DL1607" s="16"/>
      <c r="DM1607" s="17"/>
      <c r="DN1607" s="17"/>
      <c r="DO1607" s="16"/>
      <c r="DP1607" s="16"/>
      <c r="DQ1607" s="17"/>
      <c r="DR1607" s="17"/>
      <c r="DS1607" s="16"/>
      <c r="DT1607" s="16"/>
      <c r="DU1607" s="17"/>
      <c r="DV1607" s="17"/>
      <c r="DW1607" s="16"/>
      <c r="DX1607" s="16"/>
      <c r="DY1607" s="17"/>
      <c r="DZ1607" s="17"/>
      <c r="EA1607" s="16"/>
      <c r="EB1607" s="16"/>
      <c r="EC1607" s="17"/>
      <c r="ED1607" s="17"/>
      <c r="EE1607" s="16"/>
      <c r="EF1607" s="16"/>
      <c r="EG1607" s="17"/>
      <c r="EH1607" s="17"/>
      <c r="EI1607" s="16"/>
      <c r="EJ1607" s="16"/>
      <c r="EK1607" s="17"/>
      <c r="EL1607" s="17"/>
      <c r="EM1607" s="16"/>
      <c r="EN1607" s="16"/>
      <c r="EO1607" s="17"/>
      <c r="EP1607" s="17"/>
      <c r="EQ1607" s="16"/>
      <c r="ER1607" s="16"/>
      <c r="ES1607" s="18">
        <v>3</v>
      </c>
      <c r="ET1607" s="18">
        <v>4</v>
      </c>
      <c r="EU1607" s="16"/>
      <c r="EV1607" s="16"/>
      <c r="EW1607" s="17"/>
      <c r="EX1607" s="17"/>
      <c r="EY1607" s="16"/>
      <c r="EZ1607" s="16"/>
      <c r="FA1607" s="17"/>
      <c r="FB1607" s="17"/>
      <c r="FC1607" s="16"/>
      <c r="FD1607" s="16"/>
      <c r="FE1607" s="17"/>
      <c r="FF1607" s="17"/>
      <c r="FG1607" s="11"/>
      <c r="GT1607" s="11"/>
      <c r="IG1607" s="11"/>
      <c r="JT1607" s="11"/>
      <c r="LG1607" s="11"/>
      <c r="MT1607" s="11"/>
      <c r="OG1607" s="11"/>
      <c r="PT1607" s="11"/>
    </row>
    <row r="1608" spans="1:474" ht="25.5" x14ac:dyDescent="0.25">
      <c r="C1608" s="20" t="s">
        <v>1179</v>
      </c>
      <c r="D1608" s="21" t="s">
        <v>82</v>
      </c>
      <c r="H1608" s="11"/>
      <c r="AU1608" s="11"/>
      <c r="CH1608" s="11"/>
      <c r="CI1608" s="16"/>
      <c r="CJ1608" s="16"/>
      <c r="CK1608" s="16"/>
      <c r="CL1608" s="16"/>
      <c r="CM1608" s="16"/>
      <c r="CN1608" s="16"/>
      <c r="CO1608" s="16"/>
      <c r="CP1608" s="16"/>
      <c r="CQ1608" s="16"/>
      <c r="CR1608" s="16"/>
      <c r="CS1608" s="16"/>
      <c r="CT1608" s="16"/>
      <c r="CU1608" s="16"/>
      <c r="CV1608" s="16"/>
      <c r="CW1608" s="16"/>
      <c r="CX1608" s="16"/>
      <c r="CY1608" s="16"/>
      <c r="CZ1608" s="16"/>
      <c r="DA1608" s="16"/>
      <c r="DB1608" s="16"/>
      <c r="DC1608" s="16"/>
      <c r="DD1608" s="16"/>
      <c r="DE1608" s="17"/>
      <c r="DF1608" s="17"/>
      <c r="DG1608" s="16"/>
      <c r="DH1608" s="16"/>
      <c r="DI1608" s="17"/>
      <c r="DJ1608" s="17"/>
      <c r="DK1608" s="16"/>
      <c r="DL1608" s="16"/>
      <c r="DM1608" s="17"/>
      <c r="DN1608" s="17"/>
      <c r="DO1608" s="16"/>
      <c r="DP1608" s="16"/>
      <c r="DQ1608" s="17"/>
      <c r="DR1608" s="17"/>
      <c r="DS1608" s="16"/>
      <c r="DT1608" s="16"/>
      <c r="DU1608" s="17"/>
      <c r="DV1608" s="17"/>
      <c r="DW1608" s="16"/>
      <c r="DX1608" s="16"/>
      <c r="DY1608" s="17"/>
      <c r="DZ1608" s="17"/>
      <c r="EA1608" s="16"/>
      <c r="EB1608" s="16"/>
      <c r="EC1608" s="17"/>
      <c r="ED1608" s="17"/>
      <c r="EE1608" s="16"/>
      <c r="EF1608" s="16"/>
      <c r="EG1608" s="17"/>
      <c r="EH1608" s="17"/>
      <c r="EI1608" s="16"/>
      <c r="EJ1608" s="16"/>
      <c r="EK1608" s="17"/>
      <c r="EL1608" s="17"/>
      <c r="EM1608" s="16"/>
      <c r="EN1608" s="16"/>
      <c r="EO1608" s="17"/>
      <c r="EP1608" s="17"/>
      <c r="EQ1608" s="16"/>
      <c r="ER1608" s="16"/>
      <c r="ES1608" s="18">
        <v>1</v>
      </c>
      <c r="ET1608" s="18">
        <v>2</v>
      </c>
      <c r="EU1608" s="16"/>
      <c r="EV1608" s="16"/>
      <c r="EW1608" s="17"/>
      <c r="EX1608" s="17"/>
      <c r="EY1608" s="16"/>
      <c r="EZ1608" s="16"/>
      <c r="FA1608" s="17"/>
      <c r="FB1608" s="17"/>
      <c r="FC1608" s="16"/>
      <c r="FD1608" s="16"/>
      <c r="FE1608" s="17"/>
      <c r="FF1608" s="17"/>
      <c r="FG1608" s="11"/>
      <c r="GT1608" s="11"/>
      <c r="IG1608" s="11"/>
      <c r="JT1608" s="11"/>
      <c r="LG1608" s="11"/>
      <c r="MT1608" s="11"/>
      <c r="OG1608" s="11"/>
      <c r="PT1608" s="11"/>
    </row>
    <row r="1609" spans="1:474" ht="15.75" x14ac:dyDescent="0.25">
      <c r="C1609" s="20" t="s">
        <v>1180</v>
      </c>
      <c r="D1609" s="21" t="s">
        <v>82</v>
      </c>
      <c r="H1609" s="11"/>
      <c r="AU1609" s="11"/>
      <c r="CH1609" s="11"/>
      <c r="CI1609" s="16"/>
      <c r="CJ1609" s="16"/>
      <c r="CK1609" s="16"/>
      <c r="CL1609" s="16"/>
      <c r="CM1609" s="16"/>
      <c r="CN1609" s="16"/>
      <c r="CO1609" s="16"/>
      <c r="CP1609" s="16"/>
      <c r="CQ1609" s="16"/>
      <c r="CR1609" s="16"/>
      <c r="CS1609" s="16"/>
      <c r="CT1609" s="16"/>
      <c r="CU1609" s="16"/>
      <c r="CV1609" s="16"/>
      <c r="CW1609" s="16"/>
      <c r="CX1609" s="16"/>
      <c r="CY1609" s="16"/>
      <c r="CZ1609" s="16"/>
      <c r="DA1609" s="16"/>
      <c r="DB1609" s="16"/>
      <c r="DC1609" s="16"/>
      <c r="DD1609" s="16"/>
      <c r="DE1609" s="17"/>
      <c r="DF1609" s="17"/>
      <c r="DG1609" s="16"/>
      <c r="DH1609" s="16"/>
      <c r="DI1609" s="17"/>
      <c r="DJ1609" s="17"/>
      <c r="DK1609" s="16"/>
      <c r="DL1609" s="16"/>
      <c r="DM1609" s="17"/>
      <c r="DN1609" s="17"/>
      <c r="DO1609" s="16"/>
      <c r="DP1609" s="16"/>
      <c r="DQ1609" s="17"/>
      <c r="DR1609" s="17"/>
      <c r="DS1609" s="16"/>
      <c r="DT1609" s="16"/>
      <c r="DU1609" s="17"/>
      <c r="DV1609" s="17"/>
      <c r="DW1609" s="16"/>
      <c r="DX1609" s="16"/>
      <c r="DY1609" s="17"/>
      <c r="DZ1609" s="17"/>
      <c r="EA1609" s="16"/>
      <c r="EB1609" s="16"/>
      <c r="EC1609" s="17"/>
      <c r="ED1609" s="17"/>
      <c r="EE1609" s="16"/>
      <c r="EF1609" s="16"/>
      <c r="EG1609" s="17"/>
      <c r="EH1609" s="17"/>
      <c r="EI1609" s="16"/>
      <c r="EJ1609" s="16"/>
      <c r="EK1609" s="17"/>
      <c r="EL1609" s="17"/>
      <c r="EM1609" s="16"/>
      <c r="EN1609" s="16"/>
      <c r="EO1609" s="17"/>
      <c r="EP1609" s="17"/>
      <c r="EQ1609" s="16"/>
      <c r="ER1609" s="16"/>
      <c r="ES1609" s="18">
        <v>1</v>
      </c>
      <c r="ET1609" s="18">
        <v>2</v>
      </c>
      <c r="EU1609" s="16"/>
      <c r="EV1609" s="16"/>
      <c r="EW1609" s="17"/>
      <c r="EX1609" s="17"/>
      <c r="EY1609" s="16"/>
      <c r="EZ1609" s="16"/>
      <c r="FA1609" s="17"/>
      <c r="FB1609" s="17"/>
      <c r="FC1609" s="16"/>
      <c r="FD1609" s="16"/>
      <c r="FE1609" s="17"/>
      <c r="FF1609" s="17"/>
      <c r="FG1609" s="11"/>
      <c r="GT1609" s="11"/>
      <c r="IG1609" s="11"/>
      <c r="JT1609" s="11"/>
      <c r="LG1609" s="11"/>
      <c r="MT1609" s="11"/>
      <c r="OG1609" s="11"/>
      <c r="PT1609" s="11"/>
    </row>
    <row r="1610" spans="1:474" ht="15.75" x14ac:dyDescent="0.25">
      <c r="C1610" s="20" t="s">
        <v>1181</v>
      </c>
      <c r="D1610" s="21" t="s">
        <v>84</v>
      </c>
      <c r="H1610" s="11"/>
      <c r="AU1610" s="11"/>
      <c r="CH1610" s="11"/>
      <c r="CI1610" s="16"/>
      <c r="CJ1610" s="16"/>
      <c r="CK1610" s="16"/>
      <c r="CL1610" s="16"/>
      <c r="CM1610" s="16"/>
      <c r="CN1610" s="16"/>
      <c r="CO1610" s="16"/>
      <c r="CP1610" s="16"/>
      <c r="CQ1610" s="16"/>
      <c r="CR1610" s="16"/>
      <c r="CS1610" s="16"/>
      <c r="CT1610" s="16"/>
      <c r="CU1610" s="16"/>
      <c r="CV1610" s="16"/>
      <c r="CW1610" s="16"/>
      <c r="CX1610" s="16"/>
      <c r="CY1610" s="16"/>
      <c r="CZ1610" s="16"/>
      <c r="DA1610" s="16"/>
      <c r="DB1610" s="16"/>
      <c r="DC1610" s="16"/>
      <c r="DD1610" s="16"/>
      <c r="DE1610" s="17"/>
      <c r="DF1610" s="17"/>
      <c r="DG1610" s="16"/>
      <c r="DH1610" s="16"/>
      <c r="DI1610" s="17"/>
      <c r="DJ1610" s="17"/>
      <c r="DK1610" s="16"/>
      <c r="DL1610" s="16"/>
      <c r="DM1610" s="17"/>
      <c r="DN1610" s="17"/>
      <c r="DO1610" s="16"/>
      <c r="DP1610" s="16"/>
      <c r="DQ1610" s="17"/>
      <c r="DR1610" s="17"/>
      <c r="DS1610" s="16"/>
      <c r="DT1610" s="16"/>
      <c r="DU1610" s="17"/>
      <c r="DV1610" s="17"/>
      <c r="DW1610" s="16"/>
      <c r="DX1610" s="16"/>
      <c r="DY1610" s="17"/>
      <c r="DZ1610" s="17"/>
      <c r="EA1610" s="16"/>
      <c r="EB1610" s="16"/>
      <c r="EC1610" s="17"/>
      <c r="ED1610" s="17"/>
      <c r="EE1610" s="16"/>
      <c r="EF1610" s="16"/>
      <c r="EG1610" s="17"/>
      <c r="EH1610" s="17"/>
      <c r="EI1610" s="16"/>
      <c r="EJ1610" s="16"/>
      <c r="EK1610" s="17"/>
      <c r="EL1610" s="17"/>
      <c r="EM1610" s="16"/>
      <c r="EN1610" s="16"/>
      <c r="EO1610" s="17"/>
      <c r="EP1610" s="17"/>
      <c r="EQ1610" s="16"/>
      <c r="ER1610" s="16"/>
      <c r="ES1610" s="17"/>
      <c r="ET1610" s="17"/>
      <c r="EU1610" s="16"/>
      <c r="EV1610" s="16"/>
      <c r="EW1610" s="17"/>
      <c r="EX1610" s="17"/>
      <c r="EY1610" s="16"/>
      <c r="EZ1610" s="16"/>
      <c r="FA1610" s="17"/>
      <c r="FB1610" s="17"/>
      <c r="FC1610" s="16"/>
      <c r="FD1610" s="16"/>
      <c r="FE1610" s="17"/>
      <c r="FF1610" s="17"/>
      <c r="FG1610" s="11"/>
      <c r="GT1610" s="11"/>
      <c r="IG1610" s="11"/>
      <c r="JT1610" s="11"/>
      <c r="LG1610" s="11"/>
      <c r="MT1610" s="11"/>
      <c r="OG1610" s="11"/>
      <c r="PT1610" s="11"/>
    </row>
    <row r="1611" spans="1:474" ht="25.5" x14ac:dyDescent="0.25">
      <c r="C1611" s="20" t="s">
        <v>1182</v>
      </c>
      <c r="D1611" s="21" t="s">
        <v>93</v>
      </c>
      <c r="H1611" s="11"/>
      <c r="AU1611" s="11"/>
      <c r="CH1611" s="11"/>
      <c r="CI1611" s="16"/>
      <c r="CJ1611" s="16"/>
      <c r="CK1611" s="16"/>
      <c r="CL1611" s="16"/>
      <c r="CM1611" s="16"/>
      <c r="CN1611" s="16"/>
      <c r="CO1611" s="16"/>
      <c r="CP1611" s="16"/>
      <c r="CQ1611" s="16"/>
      <c r="CR1611" s="16"/>
      <c r="CS1611" s="16"/>
      <c r="CT1611" s="16"/>
      <c r="CU1611" s="16"/>
      <c r="CV1611" s="16"/>
      <c r="CW1611" s="16"/>
      <c r="CX1611" s="16"/>
      <c r="CY1611" s="16"/>
      <c r="CZ1611" s="16"/>
      <c r="DA1611" s="16"/>
      <c r="DB1611" s="16"/>
      <c r="DC1611" s="16"/>
      <c r="DD1611" s="16"/>
      <c r="DE1611" s="17"/>
      <c r="DF1611" s="17"/>
      <c r="DG1611" s="16"/>
      <c r="DH1611" s="16"/>
      <c r="DI1611" s="17"/>
      <c r="DJ1611" s="17"/>
      <c r="DK1611" s="16"/>
      <c r="DL1611" s="16"/>
      <c r="DM1611" s="17"/>
      <c r="DN1611" s="17"/>
      <c r="DO1611" s="16"/>
      <c r="DP1611" s="16"/>
      <c r="DQ1611" s="17"/>
      <c r="DR1611" s="17"/>
      <c r="DS1611" s="16"/>
      <c r="DT1611" s="16"/>
      <c r="DU1611" s="17"/>
      <c r="DV1611" s="17"/>
      <c r="DW1611" s="16"/>
      <c r="DX1611" s="16"/>
      <c r="DY1611" s="17"/>
      <c r="DZ1611" s="17"/>
      <c r="EA1611" s="16"/>
      <c r="EB1611" s="16"/>
      <c r="EC1611" s="17"/>
      <c r="ED1611" s="17"/>
      <c r="EE1611" s="16"/>
      <c r="EF1611" s="16"/>
      <c r="EG1611" s="17"/>
      <c r="EH1611" s="17"/>
      <c r="EI1611" s="16"/>
      <c r="EJ1611" s="16"/>
      <c r="EK1611" s="17"/>
      <c r="EL1611" s="17"/>
      <c r="EM1611" s="16"/>
      <c r="EN1611" s="16"/>
      <c r="EO1611" s="17"/>
      <c r="EP1611" s="17"/>
      <c r="EQ1611" s="16"/>
      <c r="ER1611" s="16"/>
      <c r="ES1611" s="17"/>
      <c r="ET1611" s="17"/>
      <c r="EU1611" s="16"/>
      <c r="EV1611" s="16"/>
      <c r="EW1611" s="18">
        <v>2</v>
      </c>
      <c r="EX1611" s="18">
        <v>3</v>
      </c>
      <c r="EY1611" s="16"/>
      <c r="EZ1611" s="16"/>
      <c r="FA1611" s="17"/>
      <c r="FB1611" s="17"/>
      <c r="FC1611" s="16"/>
      <c r="FD1611" s="16"/>
      <c r="FE1611" s="17"/>
      <c r="FF1611" s="17"/>
      <c r="FG1611" s="11"/>
      <c r="GT1611" s="11"/>
      <c r="IG1611" s="11"/>
      <c r="JT1611" s="11"/>
      <c r="LG1611" s="11"/>
      <c r="MT1611" s="11"/>
      <c r="OG1611" s="11"/>
      <c r="PT1611" s="11"/>
    </row>
    <row r="1612" spans="1:474" ht="15.75" x14ac:dyDescent="0.25">
      <c r="C1612" s="20" t="s">
        <v>1183</v>
      </c>
      <c r="D1612" s="21" t="s">
        <v>93</v>
      </c>
      <c r="H1612" s="11"/>
      <c r="AU1612" s="11"/>
      <c r="CH1612" s="11"/>
      <c r="CI1612" s="16"/>
      <c r="CJ1612" s="16"/>
      <c r="CK1612" s="16"/>
      <c r="CL1612" s="16"/>
      <c r="CM1612" s="16"/>
      <c r="CN1612" s="16"/>
      <c r="CO1612" s="16"/>
      <c r="CP1612" s="16"/>
      <c r="CQ1612" s="16"/>
      <c r="CR1612" s="16"/>
      <c r="CS1612" s="16"/>
      <c r="CT1612" s="16"/>
      <c r="CU1612" s="16"/>
      <c r="CV1612" s="16"/>
      <c r="CW1612" s="16"/>
      <c r="CX1612" s="16"/>
      <c r="CY1612" s="16"/>
      <c r="CZ1612" s="16"/>
      <c r="DA1612" s="16"/>
      <c r="DB1612" s="16"/>
      <c r="DC1612" s="16"/>
      <c r="DD1612" s="16"/>
      <c r="DE1612" s="17"/>
      <c r="DF1612" s="17"/>
      <c r="DG1612" s="16"/>
      <c r="DH1612" s="16"/>
      <c r="DI1612" s="17"/>
      <c r="DJ1612" s="17"/>
      <c r="DK1612" s="16"/>
      <c r="DL1612" s="16"/>
      <c r="DM1612" s="17"/>
      <c r="DN1612" s="17"/>
      <c r="DO1612" s="16"/>
      <c r="DP1612" s="16"/>
      <c r="DQ1612" s="17"/>
      <c r="DR1612" s="17"/>
      <c r="DS1612" s="16"/>
      <c r="DT1612" s="16"/>
      <c r="DU1612" s="17"/>
      <c r="DV1612" s="17"/>
      <c r="DW1612" s="16"/>
      <c r="DX1612" s="16"/>
      <c r="DY1612" s="17"/>
      <c r="DZ1612" s="17"/>
      <c r="EA1612" s="16"/>
      <c r="EB1612" s="16"/>
      <c r="EC1612" s="17"/>
      <c r="ED1612" s="17"/>
      <c r="EE1612" s="16"/>
      <c r="EF1612" s="16"/>
      <c r="EG1612" s="17"/>
      <c r="EH1612" s="17"/>
      <c r="EI1612" s="16"/>
      <c r="EJ1612" s="16"/>
      <c r="EK1612" s="17"/>
      <c r="EL1612" s="17"/>
      <c r="EM1612" s="16"/>
      <c r="EN1612" s="16"/>
      <c r="EO1612" s="17"/>
      <c r="EP1612" s="17"/>
      <c r="EQ1612" s="16"/>
      <c r="ER1612" s="16"/>
      <c r="ES1612" s="17"/>
      <c r="ET1612" s="17"/>
      <c r="EU1612" s="16"/>
      <c r="EV1612" s="16"/>
      <c r="EW1612" s="18">
        <v>1</v>
      </c>
      <c r="EX1612" s="18">
        <v>2</v>
      </c>
      <c r="EY1612" s="16"/>
      <c r="EZ1612" s="16"/>
      <c r="FA1612" s="17"/>
      <c r="FB1612" s="17"/>
      <c r="FC1612" s="16"/>
      <c r="FD1612" s="16"/>
      <c r="FE1612" s="17"/>
      <c r="FF1612" s="17"/>
      <c r="FG1612" s="11"/>
      <c r="GT1612" s="11"/>
      <c r="IG1612" s="11"/>
      <c r="JT1612" s="11"/>
      <c r="LG1612" s="11"/>
      <c r="MT1612" s="11"/>
      <c r="OG1612" s="11"/>
      <c r="PT1612" s="11"/>
    </row>
    <row r="1613" spans="1:474" ht="25.5" x14ac:dyDescent="0.25">
      <c r="C1613" s="20" t="s">
        <v>1184</v>
      </c>
      <c r="D1613" s="21" t="s">
        <v>93</v>
      </c>
      <c r="H1613" s="11"/>
      <c r="AU1613" s="11"/>
      <c r="CH1613" s="11"/>
      <c r="CI1613" s="16"/>
      <c r="CJ1613" s="16"/>
      <c r="CK1613" s="16"/>
      <c r="CL1613" s="16"/>
      <c r="CM1613" s="16"/>
      <c r="CN1613" s="16"/>
      <c r="CO1613" s="16"/>
      <c r="CP1613" s="16"/>
      <c r="CQ1613" s="16"/>
      <c r="CR1613" s="16"/>
      <c r="CS1613" s="16"/>
      <c r="CT1613" s="16"/>
      <c r="CU1613" s="16"/>
      <c r="CV1613" s="16"/>
      <c r="CW1613" s="16"/>
      <c r="CX1613" s="16"/>
      <c r="CY1613" s="16"/>
      <c r="CZ1613" s="16"/>
      <c r="DA1613" s="16"/>
      <c r="DB1613" s="16"/>
      <c r="DC1613" s="16"/>
      <c r="DD1613" s="16"/>
      <c r="DE1613" s="17"/>
      <c r="DF1613" s="17"/>
      <c r="DG1613" s="16"/>
      <c r="DH1613" s="16"/>
      <c r="DI1613" s="17"/>
      <c r="DJ1613" s="17"/>
      <c r="DK1613" s="16"/>
      <c r="DL1613" s="16"/>
      <c r="DM1613" s="17"/>
      <c r="DN1613" s="17"/>
      <c r="DO1613" s="16"/>
      <c r="DP1613" s="16"/>
      <c r="DQ1613" s="17"/>
      <c r="DR1613" s="17"/>
      <c r="DS1613" s="16"/>
      <c r="DT1613" s="16"/>
      <c r="DU1613" s="17"/>
      <c r="DV1613" s="17"/>
      <c r="DW1613" s="16"/>
      <c r="DX1613" s="16"/>
      <c r="DY1613" s="17"/>
      <c r="DZ1613" s="17"/>
      <c r="EA1613" s="16"/>
      <c r="EB1613" s="16"/>
      <c r="EC1613" s="17"/>
      <c r="ED1613" s="17"/>
      <c r="EE1613" s="16"/>
      <c r="EF1613" s="16"/>
      <c r="EG1613" s="17"/>
      <c r="EH1613" s="17"/>
      <c r="EI1613" s="16"/>
      <c r="EJ1613" s="16"/>
      <c r="EK1613" s="17"/>
      <c r="EL1613" s="17"/>
      <c r="EM1613" s="16"/>
      <c r="EN1613" s="16"/>
      <c r="EO1613" s="17"/>
      <c r="EP1613" s="17"/>
      <c r="EQ1613" s="16"/>
      <c r="ER1613" s="16"/>
      <c r="ES1613" s="17"/>
      <c r="ET1613" s="17"/>
      <c r="EU1613" s="16"/>
      <c r="EV1613" s="16"/>
      <c r="EW1613" s="18">
        <v>2</v>
      </c>
      <c r="EX1613" s="18">
        <v>3</v>
      </c>
      <c r="EY1613" s="16"/>
      <c r="EZ1613" s="16"/>
      <c r="FA1613" s="17"/>
      <c r="FB1613" s="17"/>
      <c r="FC1613" s="16"/>
      <c r="FD1613" s="16"/>
      <c r="FE1613" s="17"/>
      <c r="FF1613" s="17"/>
      <c r="FG1613" s="11"/>
      <c r="GT1613" s="11"/>
      <c r="IG1613" s="11"/>
      <c r="JT1613" s="11"/>
      <c r="LG1613" s="11"/>
      <c r="MT1613" s="11"/>
      <c r="OG1613" s="11"/>
      <c r="PT1613" s="11"/>
    </row>
    <row r="1614" spans="1:474" ht="15.75" x14ac:dyDescent="0.25">
      <c r="C1614" s="20" t="s">
        <v>1185</v>
      </c>
      <c r="D1614" s="21" t="s">
        <v>93</v>
      </c>
      <c r="H1614" s="11"/>
      <c r="AU1614" s="11"/>
      <c r="CH1614" s="11"/>
      <c r="CI1614" s="16"/>
      <c r="CJ1614" s="16"/>
      <c r="CK1614" s="16"/>
      <c r="CL1614" s="16"/>
      <c r="CM1614" s="16"/>
      <c r="CN1614" s="16"/>
      <c r="CO1614" s="16"/>
      <c r="CP1614" s="16"/>
      <c r="CQ1614" s="16"/>
      <c r="CR1614" s="16"/>
      <c r="CS1614" s="16"/>
      <c r="CT1614" s="16"/>
      <c r="CU1614" s="16"/>
      <c r="CV1614" s="16"/>
      <c r="CW1614" s="16"/>
      <c r="CX1614" s="16"/>
      <c r="CY1614" s="16"/>
      <c r="CZ1614" s="16"/>
      <c r="DA1614" s="16"/>
      <c r="DB1614" s="16"/>
      <c r="DC1614" s="16"/>
      <c r="DD1614" s="16"/>
      <c r="DE1614" s="17"/>
      <c r="DF1614" s="17"/>
      <c r="DG1614" s="16"/>
      <c r="DH1614" s="16"/>
      <c r="DI1614" s="17"/>
      <c r="DJ1614" s="17"/>
      <c r="DK1614" s="16"/>
      <c r="DL1614" s="16"/>
      <c r="DM1614" s="17"/>
      <c r="DN1614" s="17"/>
      <c r="DO1614" s="16"/>
      <c r="DP1614" s="16"/>
      <c r="DQ1614" s="17"/>
      <c r="DR1614" s="17"/>
      <c r="DS1614" s="16"/>
      <c r="DT1614" s="16"/>
      <c r="DU1614" s="17"/>
      <c r="DV1614" s="17"/>
      <c r="DW1614" s="16"/>
      <c r="DX1614" s="16"/>
      <c r="DY1614" s="17"/>
      <c r="DZ1614" s="17"/>
      <c r="EA1614" s="16"/>
      <c r="EB1614" s="16"/>
      <c r="EC1614" s="17"/>
      <c r="ED1614" s="17"/>
      <c r="EE1614" s="16"/>
      <c r="EF1614" s="16"/>
      <c r="EG1614" s="17"/>
      <c r="EH1614" s="17"/>
      <c r="EI1614" s="16"/>
      <c r="EJ1614" s="16"/>
      <c r="EK1614" s="17"/>
      <c r="EL1614" s="17"/>
      <c r="EM1614" s="16"/>
      <c r="EN1614" s="16"/>
      <c r="EO1614" s="17"/>
      <c r="EP1614" s="17"/>
      <c r="EQ1614" s="16"/>
      <c r="ER1614" s="16"/>
      <c r="ES1614" s="17"/>
      <c r="ET1614" s="17"/>
      <c r="EU1614" s="16"/>
      <c r="EV1614" s="16"/>
      <c r="EW1614" s="18">
        <v>3</v>
      </c>
      <c r="EX1614" s="18">
        <v>5</v>
      </c>
      <c r="EY1614" s="16"/>
      <c r="EZ1614" s="16"/>
      <c r="FA1614" s="17"/>
      <c r="FB1614" s="17"/>
      <c r="FC1614" s="16"/>
      <c r="FD1614" s="16"/>
      <c r="FE1614" s="17"/>
      <c r="FF1614" s="17"/>
      <c r="FG1614" s="11"/>
      <c r="GT1614" s="11"/>
      <c r="IG1614" s="11"/>
      <c r="JT1614" s="11"/>
      <c r="LG1614" s="11"/>
      <c r="MT1614" s="11"/>
      <c r="OG1614" s="11"/>
      <c r="PT1614" s="11"/>
    </row>
    <row r="1615" spans="1:474" ht="15.75" x14ac:dyDescent="0.25">
      <c r="A1615" s="13"/>
      <c r="B1615" s="14" t="s">
        <v>1186</v>
      </c>
      <c r="C1615" s="13"/>
      <c r="D1615" s="13"/>
      <c r="E1615" s="15" t="s">
        <v>127</v>
      </c>
      <c r="F1615" s="15" t="s">
        <v>177</v>
      </c>
      <c r="G1615" s="13"/>
      <c r="H1615" s="11"/>
      <c r="AU1615" s="11"/>
      <c r="CH1615" s="11"/>
      <c r="CI1615" s="16"/>
      <c r="CJ1615" s="16"/>
      <c r="CK1615" s="16"/>
      <c r="CL1615" s="16"/>
      <c r="CM1615" s="16"/>
      <c r="CN1615" s="16"/>
      <c r="CO1615" s="16"/>
      <c r="CP1615" s="16"/>
      <c r="CQ1615" s="16"/>
      <c r="CR1615" s="16"/>
      <c r="CS1615" s="16"/>
      <c r="CT1615" s="16"/>
      <c r="CU1615" s="16"/>
      <c r="CV1615" s="16"/>
      <c r="CW1615" s="16"/>
      <c r="CX1615" s="16"/>
      <c r="CY1615" s="16"/>
      <c r="CZ1615" s="16"/>
      <c r="DA1615" s="16"/>
      <c r="DB1615" s="16"/>
      <c r="DC1615" s="16"/>
      <c r="DD1615" s="16"/>
      <c r="DE1615" s="17"/>
      <c r="DF1615" s="17"/>
      <c r="DG1615" s="16"/>
      <c r="DH1615" s="16"/>
      <c r="DI1615" s="17"/>
      <c r="DJ1615" s="17"/>
      <c r="DK1615" s="16"/>
      <c r="DL1615" s="16"/>
      <c r="DM1615" s="17"/>
      <c r="DN1615" s="17"/>
      <c r="DO1615" s="16"/>
      <c r="DP1615" s="16"/>
      <c r="DQ1615" s="17"/>
      <c r="DR1615" s="17"/>
      <c r="DS1615" s="16"/>
      <c r="DT1615" s="16"/>
      <c r="DU1615" s="17"/>
      <c r="DV1615" s="17"/>
      <c r="DW1615" s="16"/>
      <c r="DX1615" s="16"/>
      <c r="DY1615" s="17"/>
      <c r="DZ1615" s="17"/>
      <c r="EA1615" s="16"/>
      <c r="EB1615" s="16"/>
      <c r="EC1615" s="17"/>
      <c r="ED1615" s="17"/>
      <c r="EE1615" s="16"/>
      <c r="EF1615" s="16"/>
      <c r="EG1615" s="17"/>
      <c r="EH1615" s="17"/>
      <c r="EI1615" s="16"/>
      <c r="EJ1615" s="16"/>
      <c r="EK1615" s="17"/>
      <c r="EL1615" s="17"/>
      <c r="EM1615" s="16"/>
      <c r="EN1615" s="16"/>
      <c r="EO1615" s="17"/>
      <c r="EP1615" s="17"/>
      <c r="EQ1615" s="16"/>
      <c r="ER1615" s="16"/>
      <c r="ES1615" s="17"/>
      <c r="ET1615" s="17"/>
      <c r="EU1615" s="16"/>
      <c r="EV1615" s="16"/>
      <c r="EW1615" s="17"/>
      <c r="EX1615" s="17"/>
      <c r="EY1615" s="16"/>
      <c r="EZ1615" s="16"/>
      <c r="FA1615" s="17"/>
      <c r="FB1615" s="17"/>
      <c r="FC1615" s="16"/>
      <c r="FD1615" s="16"/>
      <c r="FE1615" s="17"/>
      <c r="FF1615" s="17"/>
      <c r="FG1615" s="11"/>
      <c r="GT1615" s="11"/>
      <c r="IG1615" s="11"/>
      <c r="JT1615" s="11"/>
      <c r="LG1615" s="11"/>
      <c r="MT1615" s="11"/>
      <c r="OG1615" s="11"/>
      <c r="PT1615" s="11"/>
    </row>
    <row r="1616" spans="1:474" ht="15.75" x14ac:dyDescent="0.25">
      <c r="A1616" s="13"/>
      <c r="B1616" s="14" t="s">
        <v>1187</v>
      </c>
      <c r="C1616" s="13"/>
      <c r="D1616" s="13"/>
      <c r="E1616" s="15" t="s">
        <v>127</v>
      </c>
      <c r="F1616" s="15" t="s">
        <v>177</v>
      </c>
      <c r="G1616" s="13"/>
      <c r="H1616" s="11"/>
      <c r="AU1616" s="11"/>
      <c r="CH1616" s="11"/>
      <c r="CI1616" s="16"/>
      <c r="CJ1616" s="16"/>
      <c r="CK1616" s="16"/>
      <c r="CL1616" s="16"/>
      <c r="CM1616" s="16"/>
      <c r="CN1616" s="16"/>
      <c r="CO1616" s="16"/>
      <c r="CP1616" s="16"/>
      <c r="CQ1616" s="16"/>
      <c r="CR1616" s="16"/>
      <c r="CS1616" s="16"/>
      <c r="CT1616" s="16"/>
      <c r="CU1616" s="16"/>
      <c r="CV1616" s="16"/>
      <c r="CW1616" s="16"/>
      <c r="CX1616" s="16"/>
      <c r="CY1616" s="16"/>
      <c r="CZ1616" s="16"/>
      <c r="DA1616" s="16"/>
      <c r="DB1616" s="16"/>
      <c r="DC1616" s="16"/>
      <c r="DD1616" s="16"/>
      <c r="DE1616" s="17"/>
      <c r="DF1616" s="17"/>
      <c r="DG1616" s="16"/>
      <c r="DH1616" s="16"/>
      <c r="DI1616" s="17"/>
      <c r="DJ1616" s="17"/>
      <c r="DK1616" s="16"/>
      <c r="DL1616" s="16"/>
      <c r="DM1616" s="17"/>
      <c r="DN1616" s="17"/>
      <c r="DO1616" s="16"/>
      <c r="DP1616" s="16"/>
      <c r="DQ1616" s="17"/>
      <c r="DR1616" s="17"/>
      <c r="DS1616" s="16"/>
      <c r="DT1616" s="16"/>
      <c r="DU1616" s="17"/>
      <c r="DV1616" s="17"/>
      <c r="DW1616" s="16"/>
      <c r="DX1616" s="16"/>
      <c r="DY1616" s="17"/>
      <c r="DZ1616" s="17"/>
      <c r="EA1616" s="16"/>
      <c r="EB1616" s="16"/>
      <c r="EC1616" s="17"/>
      <c r="ED1616" s="17"/>
      <c r="EE1616" s="16"/>
      <c r="EF1616" s="16"/>
      <c r="EG1616" s="17"/>
      <c r="EH1616" s="17"/>
      <c r="EI1616" s="16"/>
      <c r="EJ1616" s="16"/>
      <c r="EK1616" s="17"/>
      <c r="EL1616" s="17"/>
      <c r="EM1616" s="16"/>
      <c r="EN1616" s="16"/>
      <c r="EO1616" s="17"/>
      <c r="EP1616" s="17"/>
      <c r="EQ1616" s="16"/>
      <c r="ER1616" s="16"/>
      <c r="ES1616" s="17"/>
      <c r="ET1616" s="17"/>
      <c r="EU1616" s="16"/>
      <c r="EV1616" s="16"/>
      <c r="EW1616" s="17"/>
      <c r="EX1616" s="17"/>
      <c r="EY1616" s="16"/>
      <c r="EZ1616" s="16"/>
      <c r="FA1616" s="17"/>
      <c r="FB1616" s="17"/>
      <c r="FC1616" s="16"/>
      <c r="FD1616" s="16"/>
      <c r="FE1616" s="17"/>
      <c r="FF1616" s="17"/>
      <c r="FG1616" s="11"/>
      <c r="GT1616" s="11"/>
      <c r="IG1616" s="11"/>
      <c r="JT1616" s="11"/>
      <c r="LG1616" s="11"/>
      <c r="MT1616" s="11"/>
      <c r="OG1616" s="11"/>
      <c r="PT1616" s="11"/>
    </row>
    <row r="1617" spans="1:436" ht="15.75" x14ac:dyDescent="0.25">
      <c r="A1617" s="13"/>
      <c r="B1617" s="14" t="s">
        <v>1188</v>
      </c>
      <c r="C1617" s="13"/>
      <c r="D1617" s="13"/>
      <c r="E1617" s="15" t="s">
        <v>127</v>
      </c>
      <c r="F1617" s="15" t="s">
        <v>177</v>
      </c>
      <c r="G1617" s="13"/>
      <c r="H1617" s="11"/>
      <c r="AU1617" s="11"/>
      <c r="CH1617" s="11"/>
      <c r="CI1617" s="16"/>
      <c r="CJ1617" s="16"/>
      <c r="CK1617" s="16"/>
      <c r="CL1617" s="16"/>
      <c r="CM1617" s="16"/>
      <c r="CN1617" s="16"/>
      <c r="CO1617" s="16"/>
      <c r="CP1617" s="16"/>
      <c r="CQ1617" s="16"/>
      <c r="CR1617" s="16"/>
      <c r="CS1617" s="16"/>
      <c r="CT1617" s="16"/>
      <c r="CU1617" s="16"/>
      <c r="CV1617" s="16"/>
      <c r="CW1617" s="16"/>
      <c r="CX1617" s="16"/>
      <c r="CY1617" s="16"/>
      <c r="CZ1617" s="16"/>
      <c r="DA1617" s="16"/>
      <c r="DB1617" s="16"/>
      <c r="DC1617" s="16"/>
      <c r="DD1617" s="16"/>
      <c r="DE1617" s="17"/>
      <c r="DF1617" s="17"/>
      <c r="DG1617" s="16"/>
      <c r="DH1617" s="16"/>
      <c r="DI1617" s="17"/>
      <c r="DJ1617" s="17"/>
      <c r="DK1617" s="16"/>
      <c r="DL1617" s="16"/>
      <c r="DM1617" s="17"/>
      <c r="DN1617" s="17"/>
      <c r="DO1617" s="16"/>
      <c r="DP1617" s="16"/>
      <c r="DQ1617" s="17"/>
      <c r="DR1617" s="17"/>
      <c r="DS1617" s="16"/>
      <c r="DT1617" s="16"/>
      <c r="DU1617" s="17"/>
      <c r="DV1617" s="17"/>
      <c r="DW1617" s="16"/>
      <c r="DX1617" s="16"/>
      <c r="DY1617" s="17"/>
      <c r="DZ1617" s="17"/>
      <c r="EA1617" s="16"/>
      <c r="EB1617" s="16"/>
      <c r="EC1617" s="17"/>
      <c r="ED1617" s="17"/>
      <c r="EE1617" s="16"/>
      <c r="EF1617" s="16"/>
      <c r="EG1617" s="17"/>
      <c r="EH1617" s="17"/>
      <c r="EI1617" s="16"/>
      <c r="EJ1617" s="16"/>
      <c r="EK1617" s="17"/>
      <c r="EL1617" s="17"/>
      <c r="EM1617" s="16"/>
      <c r="EN1617" s="16"/>
      <c r="EO1617" s="17"/>
      <c r="EP1617" s="17"/>
      <c r="EQ1617" s="16"/>
      <c r="ER1617" s="16"/>
      <c r="ES1617" s="17"/>
      <c r="ET1617" s="17"/>
      <c r="EU1617" s="16"/>
      <c r="EV1617" s="16"/>
      <c r="EW1617" s="17"/>
      <c r="EX1617" s="17"/>
      <c r="EY1617" s="16"/>
      <c r="EZ1617" s="16"/>
      <c r="FA1617" s="17"/>
      <c r="FB1617" s="17"/>
      <c r="FC1617" s="16"/>
      <c r="FD1617" s="16"/>
      <c r="FE1617" s="17"/>
      <c r="FF1617" s="17"/>
      <c r="FG1617" s="11"/>
      <c r="GT1617" s="11"/>
      <c r="IG1617" s="11"/>
      <c r="JT1617" s="11"/>
      <c r="LG1617" s="11"/>
      <c r="MT1617" s="11"/>
      <c r="OG1617" s="11"/>
      <c r="PT1617" s="11"/>
    </row>
    <row r="1618" spans="1:436" ht="15.75" x14ac:dyDescent="0.25">
      <c r="A1618" s="13"/>
      <c r="B1618" s="14" t="s">
        <v>1189</v>
      </c>
      <c r="C1618" s="13"/>
      <c r="D1618" s="13"/>
      <c r="E1618" s="15" t="s">
        <v>76</v>
      </c>
      <c r="F1618" s="15" t="s">
        <v>177</v>
      </c>
      <c r="G1618" s="13"/>
      <c r="H1618" s="11"/>
      <c r="AU1618" s="11"/>
      <c r="CH1618" s="11"/>
      <c r="CI1618" s="16"/>
      <c r="CJ1618" s="16"/>
      <c r="CK1618" s="16"/>
      <c r="CL1618" s="16"/>
      <c r="CM1618" s="16"/>
      <c r="CN1618" s="16"/>
      <c r="CO1618" s="16"/>
      <c r="CP1618" s="16"/>
      <c r="CQ1618" s="16"/>
      <c r="CR1618" s="16"/>
      <c r="CS1618" s="16"/>
      <c r="CT1618" s="16"/>
      <c r="CU1618" s="16"/>
      <c r="CV1618" s="16"/>
      <c r="CW1618" s="16"/>
      <c r="CX1618" s="16"/>
      <c r="CY1618" s="16"/>
      <c r="CZ1618" s="16"/>
      <c r="DA1618" s="16"/>
      <c r="DB1618" s="16"/>
      <c r="DC1618" s="16"/>
      <c r="DD1618" s="16"/>
      <c r="DE1618" s="17"/>
      <c r="DF1618" s="17"/>
      <c r="DG1618" s="16"/>
      <c r="DH1618" s="16"/>
      <c r="DI1618" s="17"/>
      <c r="DJ1618" s="17"/>
      <c r="DK1618" s="16"/>
      <c r="DL1618" s="16"/>
      <c r="DM1618" s="17"/>
      <c r="DN1618" s="17"/>
      <c r="DO1618" s="16"/>
      <c r="DP1618" s="16"/>
      <c r="DQ1618" s="17"/>
      <c r="DR1618" s="17"/>
      <c r="DS1618" s="16"/>
      <c r="DT1618" s="16"/>
      <c r="DU1618" s="17"/>
      <c r="DV1618" s="17"/>
      <c r="DW1618" s="16"/>
      <c r="DX1618" s="16"/>
      <c r="DY1618" s="17"/>
      <c r="DZ1618" s="17"/>
      <c r="EA1618" s="16"/>
      <c r="EB1618" s="16"/>
      <c r="EC1618" s="17"/>
      <c r="ED1618" s="17"/>
      <c r="EE1618" s="16"/>
      <c r="EF1618" s="16"/>
      <c r="EG1618" s="17"/>
      <c r="EH1618" s="17"/>
      <c r="EI1618" s="16"/>
      <c r="EJ1618" s="16"/>
      <c r="EK1618" s="17"/>
      <c r="EL1618" s="17"/>
      <c r="EM1618" s="16"/>
      <c r="EN1618" s="16"/>
      <c r="EO1618" s="17"/>
      <c r="EP1618" s="17"/>
      <c r="EQ1618" s="16"/>
      <c r="ER1618" s="16"/>
      <c r="ES1618" s="17"/>
      <c r="ET1618" s="17"/>
      <c r="EU1618" s="16"/>
      <c r="EV1618" s="16"/>
      <c r="EW1618" s="17"/>
      <c r="EX1618" s="17"/>
      <c r="EY1618" s="16"/>
      <c r="EZ1618" s="16"/>
      <c r="FA1618" s="17"/>
      <c r="FB1618" s="17"/>
      <c r="FC1618" s="16"/>
      <c r="FD1618" s="16"/>
      <c r="FE1618" s="17"/>
      <c r="FF1618" s="17"/>
      <c r="FG1618" s="11"/>
      <c r="GT1618" s="11"/>
      <c r="IG1618" s="11"/>
      <c r="JT1618" s="11"/>
      <c r="LG1618" s="11"/>
      <c r="MT1618" s="11"/>
      <c r="OG1618" s="11"/>
      <c r="PT1618" s="11"/>
    </row>
    <row r="1619" spans="1:436" ht="15.75" x14ac:dyDescent="0.25">
      <c r="A1619" s="13"/>
      <c r="B1619" s="14" t="s">
        <v>1190</v>
      </c>
      <c r="C1619" s="13"/>
      <c r="D1619" s="13"/>
      <c r="E1619" s="15" t="s">
        <v>127</v>
      </c>
      <c r="F1619" s="15" t="s">
        <v>177</v>
      </c>
      <c r="G1619" s="13"/>
      <c r="H1619" s="11"/>
      <c r="AU1619" s="11"/>
      <c r="CH1619" s="11"/>
      <c r="CI1619" s="16"/>
      <c r="CJ1619" s="16"/>
      <c r="CK1619" s="16"/>
      <c r="CL1619" s="16"/>
      <c r="CM1619" s="16"/>
      <c r="CN1619" s="16"/>
      <c r="CO1619" s="16"/>
      <c r="CP1619" s="16"/>
      <c r="CQ1619" s="16"/>
      <c r="CR1619" s="16"/>
      <c r="CS1619" s="16"/>
      <c r="CT1619" s="16"/>
      <c r="CU1619" s="16"/>
      <c r="CV1619" s="16"/>
      <c r="CW1619" s="16"/>
      <c r="CX1619" s="16"/>
      <c r="CY1619" s="16"/>
      <c r="CZ1619" s="16"/>
      <c r="DA1619" s="16"/>
      <c r="DB1619" s="16"/>
      <c r="DC1619" s="16"/>
      <c r="DD1619" s="16"/>
      <c r="DE1619" s="17"/>
      <c r="DF1619" s="17"/>
      <c r="DG1619" s="16"/>
      <c r="DH1619" s="16"/>
      <c r="DI1619" s="17"/>
      <c r="DJ1619" s="17"/>
      <c r="DK1619" s="16"/>
      <c r="DL1619" s="16"/>
      <c r="DM1619" s="17"/>
      <c r="DN1619" s="17"/>
      <c r="DO1619" s="16"/>
      <c r="DP1619" s="16"/>
      <c r="DQ1619" s="17"/>
      <c r="DR1619" s="17"/>
      <c r="DS1619" s="16"/>
      <c r="DT1619" s="16"/>
      <c r="DU1619" s="17"/>
      <c r="DV1619" s="17"/>
      <c r="DW1619" s="16"/>
      <c r="DX1619" s="16"/>
      <c r="DY1619" s="17"/>
      <c r="DZ1619" s="17"/>
      <c r="EA1619" s="16"/>
      <c r="EB1619" s="16"/>
      <c r="EC1619" s="17"/>
      <c r="ED1619" s="17"/>
      <c r="EE1619" s="16"/>
      <c r="EF1619" s="16"/>
      <c r="EG1619" s="17"/>
      <c r="EH1619" s="17"/>
      <c r="EI1619" s="16"/>
      <c r="EJ1619" s="16"/>
      <c r="EK1619" s="17"/>
      <c r="EL1619" s="17"/>
      <c r="EM1619" s="16"/>
      <c r="EN1619" s="16"/>
      <c r="EO1619" s="17"/>
      <c r="EP1619" s="17"/>
      <c r="EQ1619" s="16"/>
      <c r="ER1619" s="16"/>
      <c r="ES1619" s="17"/>
      <c r="ET1619" s="17"/>
      <c r="EU1619" s="16"/>
      <c r="EV1619" s="16"/>
      <c r="EW1619" s="17"/>
      <c r="EX1619" s="17"/>
      <c r="EY1619" s="16"/>
      <c r="EZ1619" s="16"/>
      <c r="FA1619" s="17"/>
      <c r="FB1619" s="17"/>
      <c r="FC1619" s="16"/>
      <c r="FD1619" s="16"/>
      <c r="FE1619" s="17"/>
      <c r="FF1619" s="17"/>
      <c r="FG1619" s="11"/>
      <c r="GT1619" s="11"/>
      <c r="IG1619" s="11"/>
      <c r="JT1619" s="11"/>
      <c r="LG1619" s="11"/>
      <c r="MT1619" s="11"/>
      <c r="OG1619" s="11"/>
      <c r="PT1619" s="11"/>
    </row>
  </sheetData>
  <mergeCells count="68">
    <mergeCell ref="A1602:RF1602"/>
    <mergeCell ref="A1344:RF1344"/>
    <mergeCell ref="A1501:RF1501"/>
    <mergeCell ref="A1518:RF1518"/>
    <mergeCell ref="A1583:RF1583"/>
    <mergeCell ref="A1592:RF1592"/>
    <mergeCell ref="A616:RF616"/>
    <mergeCell ref="A949:RF949"/>
    <mergeCell ref="A1040:RF1040"/>
    <mergeCell ref="A1134:RF1134"/>
    <mergeCell ref="A1216:RF1216"/>
    <mergeCell ref="FA4:FB4"/>
    <mergeCell ref="FC4:FD4"/>
    <mergeCell ref="FE4:FF4"/>
    <mergeCell ref="A5:RF5"/>
    <mergeCell ref="A174:RF174"/>
    <mergeCell ref="EQ4:ER4"/>
    <mergeCell ref="ES4:ET4"/>
    <mergeCell ref="EU4:EV4"/>
    <mergeCell ref="EW4:EX4"/>
    <mergeCell ref="EY4:EZ4"/>
    <mergeCell ref="EG4:EH4"/>
    <mergeCell ref="EI4:EJ4"/>
    <mergeCell ref="EK4:EL4"/>
    <mergeCell ref="EM4:EN4"/>
    <mergeCell ref="EO4:EP4"/>
    <mergeCell ref="DW4:DX4"/>
    <mergeCell ref="DY4:DZ4"/>
    <mergeCell ref="EA4:EB4"/>
    <mergeCell ref="EC4:ED4"/>
    <mergeCell ref="EE4:EF4"/>
    <mergeCell ref="DM4:DN4"/>
    <mergeCell ref="DO4:DP4"/>
    <mergeCell ref="DQ4:DR4"/>
    <mergeCell ref="DS4:DT4"/>
    <mergeCell ref="DU4:DV4"/>
    <mergeCell ref="DC4:DD4"/>
    <mergeCell ref="DE4:DF4"/>
    <mergeCell ref="DG4:DH4"/>
    <mergeCell ref="DI4:DJ4"/>
    <mergeCell ref="DK4:DL4"/>
    <mergeCell ref="CS4:CT4"/>
    <mergeCell ref="CU4:CV4"/>
    <mergeCell ref="CW4:CX4"/>
    <mergeCell ref="CY4:CZ4"/>
    <mergeCell ref="DA4:DB4"/>
    <mergeCell ref="CI4:CJ4"/>
    <mergeCell ref="CK4:CL4"/>
    <mergeCell ref="CM4:CN4"/>
    <mergeCell ref="CO4:CP4"/>
    <mergeCell ref="CQ4:CR4"/>
    <mergeCell ref="OG2:RF2"/>
    <mergeCell ref="I3:AT3"/>
    <mergeCell ref="AV3:CG3"/>
    <mergeCell ref="CI3:FF3"/>
    <mergeCell ref="FH3:GS3"/>
    <mergeCell ref="GU3:IF3"/>
    <mergeCell ref="IH3:JS3"/>
    <mergeCell ref="JU3:LF3"/>
    <mergeCell ref="LH3:MS3"/>
    <mergeCell ref="MU3:OF3"/>
    <mergeCell ref="OH3:PS3"/>
    <mergeCell ref="PU3:RF3"/>
    <mergeCell ref="A2:G3"/>
    <mergeCell ref="H2:AT2"/>
    <mergeCell ref="AU2:CG2"/>
    <mergeCell ref="CH2:IF2"/>
    <mergeCell ref="IG2:O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7"/>
  <sheetViews>
    <sheetView workbookViewId="0"/>
  </sheetViews>
  <sheetFormatPr defaultRowHeight="15" x14ac:dyDescent="0.25"/>
  <cols>
    <col min="1" max="3" width="22.7109375" customWidth="1"/>
    <col min="4" max="4" width="14.7109375" customWidth="1"/>
  </cols>
  <sheetData>
    <row r="1" spans="1:4" x14ac:dyDescent="0.25">
      <c r="A1" s="22" t="s">
        <v>1191</v>
      </c>
      <c r="B1" s="22" t="s">
        <v>1192</v>
      </c>
      <c r="C1" s="22" t="s">
        <v>30</v>
      </c>
      <c r="D1" s="22" t="s">
        <v>1193</v>
      </c>
    </row>
    <row r="2" spans="1:4" x14ac:dyDescent="0.25">
      <c r="A2" s="21" t="s">
        <v>1194</v>
      </c>
      <c r="B2" s="21" t="s">
        <v>63</v>
      </c>
      <c r="C2" s="21" t="s">
        <v>1195</v>
      </c>
      <c r="D2" s="21" t="s">
        <v>1195</v>
      </c>
    </row>
    <row r="3" spans="1:4" x14ac:dyDescent="0.25">
      <c r="A3" s="21" t="s">
        <v>1196</v>
      </c>
      <c r="B3" s="21" t="s">
        <v>66</v>
      </c>
      <c r="C3" s="21" t="s">
        <v>1197</v>
      </c>
      <c r="D3" s="21" t="s">
        <v>1195</v>
      </c>
    </row>
    <row r="4" spans="1:4" x14ac:dyDescent="0.25">
      <c r="A4" s="21" t="s">
        <v>1198</v>
      </c>
      <c r="B4" s="21" t="s">
        <v>66</v>
      </c>
      <c r="C4" s="21" t="s">
        <v>1197</v>
      </c>
      <c r="D4" s="21" t="s">
        <v>1195</v>
      </c>
    </row>
    <row r="5" spans="1:4" x14ac:dyDescent="0.25">
      <c r="A5" s="21" t="s">
        <v>1199</v>
      </c>
      <c r="B5" s="21" t="s">
        <v>67</v>
      </c>
      <c r="C5" s="21" t="s">
        <v>1197</v>
      </c>
      <c r="D5" s="21" t="s">
        <v>1195</v>
      </c>
    </row>
    <row r="6" spans="1:4" x14ac:dyDescent="0.25">
      <c r="A6" s="21" t="s">
        <v>1200</v>
      </c>
      <c r="B6" s="21" t="s">
        <v>65</v>
      </c>
      <c r="C6" s="21" t="s">
        <v>1201</v>
      </c>
      <c r="D6" s="21" t="s">
        <v>1195</v>
      </c>
    </row>
    <row r="7" spans="1:4" x14ac:dyDescent="0.25">
      <c r="A7" s="21" t="s">
        <v>1202</v>
      </c>
      <c r="B7" s="21" t="s">
        <v>65</v>
      </c>
      <c r="C7" s="21" t="s">
        <v>1201</v>
      </c>
      <c r="D7" s="21" t="s">
        <v>1195</v>
      </c>
    </row>
    <row r="8" spans="1:4" x14ac:dyDescent="0.25">
      <c r="A8" s="21" t="s">
        <v>1203</v>
      </c>
      <c r="B8" s="21" t="s">
        <v>65</v>
      </c>
      <c r="C8" s="21" t="s">
        <v>1201</v>
      </c>
      <c r="D8" s="21" t="s">
        <v>1195</v>
      </c>
    </row>
    <row r="9" spans="1:4" x14ac:dyDescent="0.25">
      <c r="A9" s="21" t="s">
        <v>1204</v>
      </c>
      <c r="B9" s="21" t="s">
        <v>65</v>
      </c>
      <c r="C9" s="21" t="s">
        <v>1201</v>
      </c>
      <c r="D9" s="21" t="s">
        <v>1195</v>
      </c>
    </row>
    <row r="10" spans="1:4" x14ac:dyDescent="0.25">
      <c r="A10" s="21" t="s">
        <v>1205</v>
      </c>
      <c r="B10" s="21" t="s">
        <v>65</v>
      </c>
      <c r="C10" s="21" t="s">
        <v>1201</v>
      </c>
      <c r="D10" s="21" t="s">
        <v>1195</v>
      </c>
    </row>
    <row r="11" spans="1:4" x14ac:dyDescent="0.25">
      <c r="A11" s="21" t="s">
        <v>1206</v>
      </c>
      <c r="B11" s="21" t="s">
        <v>59</v>
      </c>
      <c r="C11" s="21" t="s">
        <v>1201</v>
      </c>
      <c r="D11" s="21" t="s">
        <v>1195</v>
      </c>
    </row>
    <row r="12" spans="1:4" x14ac:dyDescent="0.25">
      <c r="A12" s="21" t="s">
        <v>1207</v>
      </c>
      <c r="B12" s="21" t="s">
        <v>52</v>
      </c>
      <c r="C12" s="21" t="s">
        <v>1208</v>
      </c>
      <c r="D12" s="21" t="s">
        <v>1209</v>
      </c>
    </row>
    <row r="13" spans="1:4" x14ac:dyDescent="0.25">
      <c r="A13" s="21" t="s">
        <v>1210</v>
      </c>
      <c r="B13" s="21" t="s">
        <v>61</v>
      </c>
      <c r="C13" s="21" t="s">
        <v>410</v>
      </c>
      <c r="D13" s="21" t="s">
        <v>1209</v>
      </c>
    </row>
    <row r="14" spans="1:4" x14ac:dyDescent="0.25">
      <c r="A14" s="21" t="s">
        <v>1211</v>
      </c>
      <c r="B14" s="21" t="s">
        <v>61</v>
      </c>
      <c r="C14" s="21" t="s">
        <v>410</v>
      </c>
      <c r="D14" s="21" t="s">
        <v>1209</v>
      </c>
    </row>
    <row r="15" spans="1:4" x14ac:dyDescent="0.25">
      <c r="A15" s="21" t="s">
        <v>1212</v>
      </c>
      <c r="B15" s="21" t="s">
        <v>61</v>
      </c>
      <c r="C15" s="21" t="s">
        <v>410</v>
      </c>
      <c r="D15" s="21" t="s">
        <v>1209</v>
      </c>
    </row>
    <row r="16" spans="1:4" x14ac:dyDescent="0.25">
      <c r="A16" s="21" t="s">
        <v>1213</v>
      </c>
      <c r="B16" s="21" t="s">
        <v>62</v>
      </c>
      <c r="C16" s="21" t="s">
        <v>1214</v>
      </c>
      <c r="D16" s="21" t="s">
        <v>1209</v>
      </c>
    </row>
    <row r="17" spans="1:4" x14ac:dyDescent="0.25">
      <c r="A17" s="21" t="s">
        <v>1215</v>
      </c>
      <c r="B17" s="21" t="s">
        <v>62</v>
      </c>
      <c r="C17" s="21" t="s">
        <v>1214</v>
      </c>
      <c r="D17" s="21" t="s">
        <v>1209</v>
      </c>
    </row>
    <row r="18" spans="1:4" x14ac:dyDescent="0.25">
      <c r="A18" s="21" t="s">
        <v>1216</v>
      </c>
      <c r="B18" s="21" t="s">
        <v>62</v>
      </c>
      <c r="C18" s="21" t="s">
        <v>1214</v>
      </c>
      <c r="D18" s="21" t="s">
        <v>1209</v>
      </c>
    </row>
    <row r="19" spans="1:4" x14ac:dyDescent="0.25">
      <c r="A19" s="21" t="s">
        <v>1217</v>
      </c>
      <c r="B19" s="21" t="s">
        <v>53</v>
      </c>
      <c r="C19" s="21" t="s">
        <v>1218</v>
      </c>
      <c r="D19" s="21" t="s">
        <v>1209</v>
      </c>
    </row>
    <row r="20" spans="1:4" x14ac:dyDescent="0.25">
      <c r="A20" s="21" t="s">
        <v>1219</v>
      </c>
      <c r="B20" s="21" t="s">
        <v>53</v>
      </c>
      <c r="C20" s="21" t="s">
        <v>1218</v>
      </c>
      <c r="D20" s="21" t="s">
        <v>1209</v>
      </c>
    </row>
    <row r="21" spans="1:4" x14ac:dyDescent="0.25">
      <c r="A21" s="21" t="s">
        <v>1220</v>
      </c>
      <c r="B21" s="21" t="s">
        <v>53</v>
      </c>
      <c r="C21" s="21" t="s">
        <v>1218</v>
      </c>
      <c r="D21" s="21" t="s">
        <v>1209</v>
      </c>
    </row>
    <row r="22" spans="1:4" x14ac:dyDescent="0.25">
      <c r="A22" s="21" t="s">
        <v>1221</v>
      </c>
      <c r="B22" s="21" t="s">
        <v>53</v>
      </c>
      <c r="C22" s="21" t="s">
        <v>1218</v>
      </c>
      <c r="D22" s="21" t="s">
        <v>1209</v>
      </c>
    </row>
    <row r="23" spans="1:4" x14ac:dyDescent="0.25">
      <c r="A23" s="21" t="s">
        <v>1222</v>
      </c>
      <c r="B23" s="21" t="s">
        <v>54</v>
      </c>
      <c r="C23" s="21" t="s">
        <v>1218</v>
      </c>
      <c r="D23" s="21" t="s">
        <v>1209</v>
      </c>
    </row>
    <row r="24" spans="1:4" x14ac:dyDescent="0.25">
      <c r="A24" s="21" t="s">
        <v>1223</v>
      </c>
      <c r="B24" s="21" t="s">
        <v>55</v>
      </c>
      <c r="C24" s="21" t="s">
        <v>1218</v>
      </c>
      <c r="D24" s="21" t="s">
        <v>1209</v>
      </c>
    </row>
    <row r="25" spans="1:4" x14ac:dyDescent="0.25">
      <c r="A25" s="21" t="s">
        <v>1224</v>
      </c>
      <c r="B25" s="21" t="s">
        <v>59</v>
      </c>
      <c r="C25" s="21" t="s">
        <v>1225</v>
      </c>
      <c r="D25" s="21" t="s">
        <v>1209</v>
      </c>
    </row>
    <row r="26" spans="1:4" x14ac:dyDescent="0.25">
      <c r="A26" s="21" t="s">
        <v>1226</v>
      </c>
      <c r="B26" s="21" t="s">
        <v>59</v>
      </c>
      <c r="C26" s="21" t="s">
        <v>1225</v>
      </c>
      <c r="D26" s="21" t="s">
        <v>1209</v>
      </c>
    </row>
    <row r="27" spans="1:4" x14ac:dyDescent="0.25">
      <c r="A27" s="21" t="s">
        <v>1227</v>
      </c>
      <c r="B27" s="21" t="s">
        <v>60</v>
      </c>
      <c r="C27" s="21" t="s">
        <v>1225</v>
      </c>
      <c r="D27" s="21" t="s">
        <v>1209</v>
      </c>
    </row>
    <row r="28" spans="1:4" x14ac:dyDescent="0.25">
      <c r="A28" s="21" t="s">
        <v>1228</v>
      </c>
      <c r="B28" s="21" t="s">
        <v>56</v>
      </c>
      <c r="C28" s="21" t="s">
        <v>1229</v>
      </c>
      <c r="D28" s="21" t="s">
        <v>1209</v>
      </c>
    </row>
    <row r="29" spans="1:4" x14ac:dyDescent="0.25">
      <c r="A29" s="21" t="s">
        <v>1230</v>
      </c>
      <c r="B29" s="21" t="s">
        <v>56</v>
      </c>
      <c r="C29" s="21" t="s">
        <v>1229</v>
      </c>
      <c r="D29" s="21" t="s">
        <v>1209</v>
      </c>
    </row>
    <row r="30" spans="1:4" x14ac:dyDescent="0.25">
      <c r="A30" s="21" t="s">
        <v>1231</v>
      </c>
      <c r="B30" s="21" t="s">
        <v>56</v>
      </c>
      <c r="C30" s="21" t="s">
        <v>1229</v>
      </c>
      <c r="D30" s="21" t="s">
        <v>1209</v>
      </c>
    </row>
    <row r="31" spans="1:4" x14ac:dyDescent="0.25">
      <c r="A31" s="21" t="s">
        <v>1232</v>
      </c>
      <c r="B31" s="21" t="s">
        <v>57</v>
      </c>
      <c r="C31" s="21" t="s">
        <v>1233</v>
      </c>
      <c r="D31" s="21" t="s">
        <v>1209</v>
      </c>
    </row>
    <row r="32" spans="1:4" x14ac:dyDescent="0.25">
      <c r="A32" s="21" t="s">
        <v>1234</v>
      </c>
      <c r="B32" s="21" t="s">
        <v>57</v>
      </c>
      <c r="C32" s="21" t="s">
        <v>1233</v>
      </c>
      <c r="D32" s="21" t="s">
        <v>1209</v>
      </c>
    </row>
    <row r="33" spans="1:4" x14ac:dyDescent="0.25">
      <c r="A33" s="21" t="s">
        <v>1235</v>
      </c>
      <c r="B33" s="21" t="s">
        <v>57</v>
      </c>
      <c r="C33" s="21" t="s">
        <v>1233</v>
      </c>
      <c r="D33" s="21" t="s">
        <v>1209</v>
      </c>
    </row>
    <row r="34" spans="1:4" x14ac:dyDescent="0.25">
      <c r="A34" s="21" t="s">
        <v>1236</v>
      </c>
      <c r="B34" s="21" t="s">
        <v>57</v>
      </c>
      <c r="C34" s="21" t="s">
        <v>1233</v>
      </c>
      <c r="D34" s="21" t="s">
        <v>1209</v>
      </c>
    </row>
    <row r="35" spans="1:4" x14ac:dyDescent="0.25">
      <c r="A35" s="21" t="s">
        <v>1237</v>
      </c>
      <c r="B35" s="21" t="s">
        <v>58</v>
      </c>
      <c r="C35" s="21" t="s">
        <v>1233</v>
      </c>
      <c r="D35" s="21" t="s">
        <v>1209</v>
      </c>
    </row>
    <row r="36" spans="1:4" x14ac:dyDescent="0.25">
      <c r="A36" s="21" t="s">
        <v>1238</v>
      </c>
      <c r="B36" s="21" t="s">
        <v>57</v>
      </c>
      <c r="C36" s="21" t="s">
        <v>1233</v>
      </c>
      <c r="D36" s="21" t="s">
        <v>1209</v>
      </c>
    </row>
    <row r="37" spans="1:4" x14ac:dyDescent="0.25">
      <c r="A37" s="21" t="s">
        <v>1239</v>
      </c>
      <c r="B37" s="21" t="s">
        <v>44</v>
      </c>
      <c r="C37" s="21" t="s">
        <v>1240</v>
      </c>
      <c r="D37" s="21" t="s">
        <v>559</v>
      </c>
    </row>
    <row r="38" spans="1:4" x14ac:dyDescent="0.25">
      <c r="A38" s="21" t="s">
        <v>1241</v>
      </c>
      <c r="B38" s="21" t="s">
        <v>47</v>
      </c>
      <c r="C38" s="21" t="s">
        <v>1242</v>
      </c>
      <c r="D38" s="21" t="s">
        <v>559</v>
      </c>
    </row>
    <row r="39" spans="1:4" x14ac:dyDescent="0.25">
      <c r="A39" s="21" t="s">
        <v>1243</v>
      </c>
      <c r="B39" s="21" t="s">
        <v>48</v>
      </c>
      <c r="C39" s="21" t="s">
        <v>1242</v>
      </c>
      <c r="D39" s="21" t="s">
        <v>559</v>
      </c>
    </row>
    <row r="40" spans="1:4" x14ac:dyDescent="0.25">
      <c r="A40" s="21" t="s">
        <v>1244</v>
      </c>
      <c r="B40" s="21" t="s">
        <v>50</v>
      </c>
      <c r="C40" s="21" t="s">
        <v>559</v>
      </c>
      <c r="D40" s="21" t="s">
        <v>559</v>
      </c>
    </row>
    <row r="41" spans="1:4" x14ac:dyDescent="0.25">
      <c r="A41" s="21" t="s">
        <v>1245</v>
      </c>
      <c r="B41" s="21" t="s">
        <v>49</v>
      </c>
      <c r="C41" s="21" t="s">
        <v>1246</v>
      </c>
      <c r="D41" s="21" t="s">
        <v>559</v>
      </c>
    </row>
    <row r="42" spans="1:4" x14ac:dyDescent="0.25">
      <c r="A42" s="21" t="s">
        <v>1247</v>
      </c>
      <c r="B42" s="21" t="s">
        <v>49</v>
      </c>
      <c r="C42" s="21" t="s">
        <v>1246</v>
      </c>
      <c r="D42" s="21" t="s">
        <v>559</v>
      </c>
    </row>
    <row r="43" spans="1:4" x14ac:dyDescent="0.25">
      <c r="A43" s="21" t="s">
        <v>1248</v>
      </c>
      <c r="B43" s="21" t="s">
        <v>49</v>
      </c>
      <c r="C43" s="21" t="s">
        <v>1246</v>
      </c>
      <c r="D43" s="21" t="s">
        <v>559</v>
      </c>
    </row>
    <row r="44" spans="1:4" x14ac:dyDescent="0.25">
      <c r="A44" s="21" t="s">
        <v>1249</v>
      </c>
      <c r="B44" s="21" t="s">
        <v>51</v>
      </c>
      <c r="C44" s="21" t="s">
        <v>1250</v>
      </c>
      <c r="D44" s="21" t="s">
        <v>559</v>
      </c>
    </row>
    <row r="45" spans="1:4" x14ac:dyDescent="0.25">
      <c r="A45" s="21" t="s">
        <v>1251</v>
      </c>
      <c r="B45" s="21" t="s">
        <v>70</v>
      </c>
      <c r="C45" s="21" t="s">
        <v>1252</v>
      </c>
      <c r="D45" s="21" t="s">
        <v>408</v>
      </c>
    </row>
    <row r="46" spans="1:4" x14ac:dyDescent="0.25">
      <c r="A46" s="21" t="s">
        <v>1253</v>
      </c>
      <c r="B46" s="21" t="s">
        <v>70</v>
      </c>
      <c r="C46" s="21" t="s">
        <v>1252</v>
      </c>
      <c r="D46" s="21" t="s">
        <v>408</v>
      </c>
    </row>
    <row r="47" spans="1:4" x14ac:dyDescent="0.25">
      <c r="A47" s="21" t="s">
        <v>1254</v>
      </c>
      <c r="B47" s="21" t="s">
        <v>69</v>
      </c>
      <c r="C47" s="21" t="s">
        <v>69</v>
      </c>
      <c r="D47" s="21"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zoomScale="160" zoomScaleNormal="160" workbookViewId="0"/>
  </sheetViews>
  <sheetFormatPr defaultRowHeight="15" x14ac:dyDescent="0.25"/>
  <cols>
    <col min="1" max="3" width="20.7109375" customWidth="1"/>
  </cols>
  <sheetData>
    <row r="1" spans="1:3" x14ac:dyDescent="0.25">
      <c r="A1" s="22" t="s">
        <v>1192</v>
      </c>
      <c r="B1" s="22" t="s">
        <v>1255</v>
      </c>
      <c r="C1" s="22" t="s">
        <v>33</v>
      </c>
    </row>
    <row r="2" spans="1:3" x14ac:dyDescent="0.25">
      <c r="A2" s="21" t="s">
        <v>34</v>
      </c>
      <c r="B2" s="21" t="s">
        <v>1256</v>
      </c>
    </row>
    <row r="3" spans="1:3" x14ac:dyDescent="0.25">
      <c r="A3" s="21" t="s">
        <v>35</v>
      </c>
      <c r="B3" s="21" t="s">
        <v>1256</v>
      </c>
    </row>
    <row r="4" spans="1:3" x14ac:dyDescent="0.25">
      <c r="A4" s="21" t="s">
        <v>36</v>
      </c>
      <c r="B4" s="21" t="s">
        <v>1256</v>
      </c>
    </row>
    <row r="5" spans="1:3" x14ac:dyDescent="0.25">
      <c r="A5" s="21" t="s">
        <v>37</v>
      </c>
      <c r="B5" s="21" t="s">
        <v>1256</v>
      </c>
    </row>
    <row r="6" spans="1:3" x14ac:dyDescent="0.25">
      <c r="A6" s="21" t="s">
        <v>38</v>
      </c>
      <c r="B6" s="21" t="s">
        <v>1256</v>
      </c>
    </row>
    <row r="7" spans="1:3" x14ac:dyDescent="0.25">
      <c r="A7" s="21" t="s">
        <v>39</v>
      </c>
      <c r="B7" s="21" t="s">
        <v>1257</v>
      </c>
    </row>
    <row r="8" spans="1:3" x14ac:dyDescent="0.25">
      <c r="A8" s="21" t="s">
        <v>40</v>
      </c>
      <c r="B8" s="21" t="s">
        <v>1257</v>
      </c>
    </row>
    <row r="9" spans="1:3" x14ac:dyDescent="0.25">
      <c r="A9" s="21" t="s">
        <v>41</v>
      </c>
      <c r="B9" s="21" t="s">
        <v>1257</v>
      </c>
    </row>
    <row r="10" spans="1:3" x14ac:dyDescent="0.25">
      <c r="A10" s="21" t="s">
        <v>42</v>
      </c>
      <c r="B10" s="21" t="s">
        <v>1257</v>
      </c>
    </row>
    <row r="11" spans="1:3" x14ac:dyDescent="0.25">
      <c r="A11" s="21" t="s">
        <v>43</v>
      </c>
      <c r="B11" s="21" t="s">
        <v>1257</v>
      </c>
    </row>
    <row r="12" spans="1:3" x14ac:dyDescent="0.25">
      <c r="A12" s="21" t="s">
        <v>44</v>
      </c>
      <c r="B12" s="21" t="s">
        <v>559</v>
      </c>
    </row>
    <row r="13" spans="1:3" x14ac:dyDescent="0.25">
      <c r="A13" s="21" t="s">
        <v>45</v>
      </c>
      <c r="B13" s="21" t="s">
        <v>559</v>
      </c>
    </row>
    <row r="14" spans="1:3" x14ac:dyDescent="0.25">
      <c r="A14" s="21" t="s">
        <v>46</v>
      </c>
      <c r="B14" s="21" t="s">
        <v>559</v>
      </c>
    </row>
    <row r="15" spans="1:3" x14ac:dyDescent="0.25">
      <c r="A15" s="21" t="s">
        <v>47</v>
      </c>
      <c r="B15" s="21" t="s">
        <v>559</v>
      </c>
    </row>
    <row r="16" spans="1:3" x14ac:dyDescent="0.25">
      <c r="A16" s="21" t="s">
        <v>48</v>
      </c>
      <c r="B16" s="21" t="s">
        <v>559</v>
      </c>
    </row>
    <row r="17" spans="1:2" x14ac:dyDescent="0.25">
      <c r="A17" s="21" t="s">
        <v>49</v>
      </c>
      <c r="B17" s="21" t="s">
        <v>559</v>
      </c>
    </row>
    <row r="18" spans="1:2" x14ac:dyDescent="0.25">
      <c r="A18" s="21" t="s">
        <v>50</v>
      </c>
      <c r="B18" s="21" t="s">
        <v>559</v>
      </c>
    </row>
    <row r="19" spans="1:2" x14ac:dyDescent="0.25">
      <c r="A19" s="21" t="s">
        <v>51</v>
      </c>
      <c r="B19" s="21" t="s">
        <v>559</v>
      </c>
    </row>
    <row r="20" spans="1:2" x14ac:dyDescent="0.25">
      <c r="A20" s="21" t="s">
        <v>52</v>
      </c>
      <c r="B20" s="21" t="s">
        <v>1209</v>
      </c>
    </row>
    <row r="21" spans="1:2" x14ac:dyDescent="0.25">
      <c r="A21" s="21" t="s">
        <v>53</v>
      </c>
      <c r="B21" s="21" t="s">
        <v>1209</v>
      </c>
    </row>
    <row r="22" spans="1:2" x14ac:dyDescent="0.25">
      <c r="A22" s="21" t="s">
        <v>54</v>
      </c>
      <c r="B22" s="21" t="s">
        <v>1209</v>
      </c>
    </row>
    <row r="23" spans="1:2" x14ac:dyDescent="0.25">
      <c r="A23" s="21" t="s">
        <v>55</v>
      </c>
      <c r="B23" s="21" t="s">
        <v>1209</v>
      </c>
    </row>
    <row r="24" spans="1:2" x14ac:dyDescent="0.25">
      <c r="A24" s="21" t="s">
        <v>56</v>
      </c>
      <c r="B24" s="21" t="s">
        <v>1209</v>
      </c>
    </row>
    <row r="25" spans="1:2" x14ac:dyDescent="0.25">
      <c r="A25" s="21" t="s">
        <v>57</v>
      </c>
      <c r="B25" s="21" t="s">
        <v>1209</v>
      </c>
    </row>
    <row r="26" spans="1:2" x14ac:dyDescent="0.25">
      <c r="A26" s="21" t="s">
        <v>58</v>
      </c>
      <c r="B26" s="21" t="s">
        <v>1209</v>
      </c>
    </row>
    <row r="27" spans="1:2" x14ac:dyDescent="0.25">
      <c r="A27" s="21" t="s">
        <v>59</v>
      </c>
      <c r="B27" s="21" t="s">
        <v>1209</v>
      </c>
    </row>
    <row r="28" spans="1:2" x14ac:dyDescent="0.25">
      <c r="A28" s="21" t="s">
        <v>60</v>
      </c>
      <c r="B28" s="21" t="s">
        <v>1209</v>
      </c>
    </row>
    <row r="29" spans="1:2" x14ac:dyDescent="0.25">
      <c r="A29" s="21" t="s">
        <v>61</v>
      </c>
      <c r="B29" s="21" t="s">
        <v>1209</v>
      </c>
    </row>
    <row r="30" spans="1:2" x14ac:dyDescent="0.25">
      <c r="A30" s="21" t="s">
        <v>62</v>
      </c>
      <c r="B30" s="21" t="s">
        <v>1209</v>
      </c>
    </row>
    <row r="31" spans="1:2" x14ac:dyDescent="0.25">
      <c r="A31" s="21" t="s">
        <v>63</v>
      </c>
      <c r="B31" s="21" t="s">
        <v>1195</v>
      </c>
    </row>
    <row r="32" spans="1:2" x14ac:dyDescent="0.25">
      <c r="A32" s="21" t="s">
        <v>64</v>
      </c>
      <c r="B32" s="21" t="s">
        <v>1195</v>
      </c>
    </row>
    <row r="33" spans="1:2" x14ac:dyDescent="0.25">
      <c r="A33" s="21" t="s">
        <v>65</v>
      </c>
      <c r="B33" s="21" t="s">
        <v>1195</v>
      </c>
    </row>
    <row r="34" spans="1:2" x14ac:dyDescent="0.25">
      <c r="A34" s="21" t="s">
        <v>66</v>
      </c>
      <c r="B34" s="21" t="s">
        <v>1195</v>
      </c>
    </row>
    <row r="35" spans="1:2" x14ac:dyDescent="0.25">
      <c r="A35" s="21" t="s">
        <v>67</v>
      </c>
      <c r="B35" s="21" t="s">
        <v>1195</v>
      </c>
    </row>
    <row r="36" spans="1:2" x14ac:dyDescent="0.25">
      <c r="A36" s="21" t="s">
        <v>68</v>
      </c>
      <c r="B36" s="21" t="s">
        <v>1195</v>
      </c>
    </row>
    <row r="37" spans="1:2" x14ac:dyDescent="0.25">
      <c r="A37" s="21" t="s">
        <v>69</v>
      </c>
      <c r="B37" s="21" t="s">
        <v>69</v>
      </c>
    </row>
    <row r="38" spans="1:2" x14ac:dyDescent="0.25">
      <c r="A38" s="21" t="s">
        <v>70</v>
      </c>
      <c r="B38" s="21" t="s">
        <v>408</v>
      </c>
    </row>
    <row r="39" spans="1:2" x14ac:dyDescent="0.25">
      <c r="A39" s="21" t="s">
        <v>71</v>
      </c>
      <c r="B39" s="21" t="s">
        <v>1109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sheetViews>
  <sheetFormatPr defaultRowHeight="15" x14ac:dyDescent="0.25"/>
  <cols>
    <col min="1" max="6" width="20.7109375" customWidth="1"/>
  </cols>
  <sheetData>
    <row r="1" spans="1:6" x14ac:dyDescent="0.25">
      <c r="A1" s="22" t="s">
        <v>1258</v>
      </c>
      <c r="B1" s="22" t="s">
        <v>1259</v>
      </c>
      <c r="D1" s="22" t="s">
        <v>1260</v>
      </c>
      <c r="E1" s="22" t="s">
        <v>1261</v>
      </c>
      <c r="F1" s="22" t="s">
        <v>33</v>
      </c>
    </row>
    <row r="2" spans="1:6" x14ac:dyDescent="0.25">
      <c r="A2" s="21" t="s">
        <v>1262</v>
      </c>
      <c r="B2" s="21" t="s">
        <v>404</v>
      </c>
      <c r="D2" s="21" t="s">
        <v>1263</v>
      </c>
      <c r="E2" s="21" t="s">
        <v>1264</v>
      </c>
      <c r="F2" s="21" t="s">
        <v>1265</v>
      </c>
    </row>
    <row r="3" spans="1:6" x14ac:dyDescent="0.25">
      <c r="A3" s="21" t="s">
        <v>1266</v>
      </c>
      <c r="B3" s="21" t="s">
        <v>1267</v>
      </c>
      <c r="D3" s="21" t="s">
        <v>1268</v>
      </c>
      <c r="E3" s="21" t="s">
        <v>1269</v>
      </c>
      <c r="F3" s="21" t="s">
        <v>1270</v>
      </c>
    </row>
    <row r="4" spans="1:6" x14ac:dyDescent="0.25">
      <c r="A4" s="21" t="s">
        <v>1271</v>
      </c>
      <c r="B4" s="21" t="s">
        <v>1272</v>
      </c>
      <c r="D4" s="21" t="s">
        <v>1273</v>
      </c>
      <c r="E4" s="21" t="s">
        <v>1274</v>
      </c>
      <c r="F4" s="21" t="s">
        <v>1275</v>
      </c>
    </row>
    <row r="5" spans="1:6" x14ac:dyDescent="0.25">
      <c r="A5" s="21" t="s">
        <v>1276</v>
      </c>
      <c r="B5" s="21" t="s">
        <v>1277</v>
      </c>
      <c r="D5" s="21" t="s">
        <v>1278</v>
      </c>
      <c r="E5" s="21" t="s">
        <v>1279</v>
      </c>
      <c r="F5" s="21" t="s">
        <v>1280</v>
      </c>
    </row>
    <row r="6" spans="1:6" x14ac:dyDescent="0.25">
      <c r="A6" s="21" t="s">
        <v>1281</v>
      </c>
      <c r="B6" s="21" t="s">
        <v>1282</v>
      </c>
      <c r="D6" s="21" t="s">
        <v>1283</v>
      </c>
      <c r="E6" s="21" t="s">
        <v>1284</v>
      </c>
      <c r="F6" s="21" t="s">
        <v>1285</v>
      </c>
    </row>
    <row r="7" spans="1:6" x14ac:dyDescent="0.25">
      <c r="A7" s="21" t="s">
        <v>1286</v>
      </c>
      <c r="B7" s="21" t="s">
        <v>1287</v>
      </c>
      <c r="D7" s="21" t="s">
        <v>1288</v>
      </c>
      <c r="E7" s="21" t="s">
        <v>1289</v>
      </c>
      <c r="F7" s="21" t="s">
        <v>1290</v>
      </c>
    </row>
    <row r="8" spans="1:6" x14ac:dyDescent="0.25">
      <c r="A8" s="21" t="s">
        <v>1291</v>
      </c>
      <c r="B8" s="21" t="s">
        <v>1292</v>
      </c>
      <c r="D8" s="21" t="s">
        <v>1288</v>
      </c>
      <c r="E8" s="21" t="s">
        <v>1289</v>
      </c>
      <c r="F8" s="21" t="s">
        <v>1293</v>
      </c>
    </row>
    <row r="9" spans="1:6" x14ac:dyDescent="0.25">
      <c r="A9" s="21" t="s">
        <v>1294</v>
      </c>
      <c r="B9" s="21" t="s">
        <v>1295</v>
      </c>
      <c r="D9" s="21" t="s">
        <v>1288</v>
      </c>
      <c r="E9" s="21" t="s">
        <v>1296</v>
      </c>
      <c r="F9" s="21" t="s">
        <v>1297</v>
      </c>
    </row>
    <row r="10" spans="1:6" x14ac:dyDescent="0.25">
      <c r="A10" s="21" t="s">
        <v>1298</v>
      </c>
      <c r="B10" s="21" t="s">
        <v>1299</v>
      </c>
      <c r="D10" s="21" t="s">
        <v>1300</v>
      </c>
      <c r="E10" s="21" t="s">
        <v>1301</v>
      </c>
      <c r="F10" s="21" t="s">
        <v>1302</v>
      </c>
    </row>
    <row r="11" spans="1:6" x14ac:dyDescent="0.25">
      <c r="A11" s="21" t="s">
        <v>1303</v>
      </c>
      <c r="B11" s="21" t="s">
        <v>1304</v>
      </c>
      <c r="D11" s="21" t="s">
        <v>1305</v>
      </c>
      <c r="E11" s="21" t="s">
        <v>1306</v>
      </c>
      <c r="F11" s="21" t="s">
        <v>1307</v>
      </c>
    </row>
    <row r="12" spans="1:6" x14ac:dyDescent="0.25">
      <c r="A12" s="21" t="s">
        <v>1308</v>
      </c>
      <c r="B12" s="21" t="s">
        <v>1309</v>
      </c>
      <c r="D12" s="21" t="s">
        <v>1310</v>
      </c>
      <c r="E12" s="21" t="s">
        <v>1311</v>
      </c>
      <c r="F12" s="21" t="s">
        <v>1312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workbookViewId="0"/>
  </sheetViews>
  <sheetFormatPr defaultRowHeight="15" x14ac:dyDescent="0.25"/>
  <cols>
    <col min="1" max="3" width="20.7109375" customWidth="1"/>
  </cols>
  <sheetData>
    <row r="1" spans="1:3" x14ac:dyDescent="0.25">
      <c r="A1" s="22" t="s">
        <v>1313</v>
      </c>
      <c r="B1" s="22" t="s">
        <v>1191</v>
      </c>
      <c r="C1" s="22" t="s">
        <v>1314</v>
      </c>
    </row>
    <row r="2" spans="1:3" x14ac:dyDescent="0.25">
      <c r="A2" s="21" t="s">
        <v>1263</v>
      </c>
      <c r="B2" s="21" t="s">
        <v>1264</v>
      </c>
      <c r="C2" s="21" t="s">
        <v>1315</v>
      </c>
    </row>
    <row r="3" spans="1:3" x14ac:dyDescent="0.25">
      <c r="A3" s="21" t="s">
        <v>1316</v>
      </c>
      <c r="B3" s="21" t="s">
        <v>1317</v>
      </c>
      <c r="C3" s="21" t="s">
        <v>1318</v>
      </c>
    </row>
    <row r="4" spans="1:3" x14ac:dyDescent="0.25">
      <c r="A4" s="21" t="s">
        <v>1319</v>
      </c>
      <c r="B4" s="21" t="s">
        <v>1320</v>
      </c>
      <c r="C4" s="21" t="s">
        <v>1321</v>
      </c>
    </row>
    <row r="5" spans="1:3" x14ac:dyDescent="0.25">
      <c r="A5" s="21" t="s">
        <v>1273</v>
      </c>
      <c r="B5" s="21" t="s">
        <v>1274</v>
      </c>
      <c r="C5" s="21" t="s">
        <v>1322</v>
      </c>
    </row>
    <row r="6" spans="1:3" x14ac:dyDescent="0.25">
      <c r="A6" s="21" t="s">
        <v>1278</v>
      </c>
      <c r="B6" s="21" t="s">
        <v>1279</v>
      </c>
      <c r="C6" s="21" t="s">
        <v>1323</v>
      </c>
    </row>
    <row r="7" spans="1:3" x14ac:dyDescent="0.25">
      <c r="A7" s="21" t="s">
        <v>1283</v>
      </c>
      <c r="B7" s="21" t="s">
        <v>1324</v>
      </c>
      <c r="C7" s="21" t="s">
        <v>1325</v>
      </c>
    </row>
    <row r="8" spans="1:3" x14ac:dyDescent="0.25">
      <c r="A8" s="21" t="s">
        <v>1288</v>
      </c>
      <c r="B8" s="21" t="s">
        <v>1326</v>
      </c>
      <c r="C8" s="21" t="s">
        <v>1327</v>
      </c>
    </row>
    <row r="9" spans="1:3" x14ac:dyDescent="0.25">
      <c r="A9" s="21" t="s">
        <v>1305</v>
      </c>
      <c r="B9" s="21" t="s">
        <v>1306</v>
      </c>
      <c r="C9" s="21" t="s">
        <v>1328</v>
      </c>
    </row>
    <row r="10" spans="1:3" x14ac:dyDescent="0.25">
      <c r="A10" s="21" t="s">
        <v>1310</v>
      </c>
      <c r="B10" s="21" t="s">
        <v>1311</v>
      </c>
      <c r="C10" s="21" t="s">
        <v>1329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9"/>
  <sheetViews>
    <sheetView workbookViewId="0"/>
  </sheetViews>
  <sheetFormatPr defaultRowHeight="15" x14ac:dyDescent="0.25"/>
  <cols>
    <col min="1" max="2" width="20.7109375" customWidth="1"/>
  </cols>
  <sheetData>
    <row r="1" spans="1:2" x14ac:dyDescent="0.25">
      <c r="A1" s="22" t="s">
        <v>1330</v>
      </c>
      <c r="B1" s="22" t="s">
        <v>1331</v>
      </c>
    </row>
    <row r="2" spans="1:2" x14ac:dyDescent="0.25">
      <c r="B2" s="21" t="s">
        <v>1332</v>
      </c>
    </row>
    <row r="3" spans="1:2" x14ac:dyDescent="0.25">
      <c r="A3" s="21" t="s">
        <v>404</v>
      </c>
      <c r="B3" s="21" t="s">
        <v>1333</v>
      </c>
    </row>
    <row r="4" spans="1:2" x14ac:dyDescent="0.25">
      <c r="A4" s="21" t="s">
        <v>1267</v>
      </c>
      <c r="B4" s="21" t="s">
        <v>1334</v>
      </c>
    </row>
    <row r="5" spans="1:2" x14ac:dyDescent="0.25">
      <c r="A5" s="21" t="s">
        <v>1257</v>
      </c>
      <c r="B5" s="21" t="s">
        <v>1335</v>
      </c>
    </row>
    <row r="6" spans="1:2" x14ac:dyDescent="0.25">
      <c r="A6" s="21" t="s">
        <v>1336</v>
      </c>
      <c r="B6" s="21" t="s">
        <v>1337</v>
      </c>
    </row>
    <row r="7" spans="1:2" x14ac:dyDescent="0.25">
      <c r="A7" s="21" t="s">
        <v>1338</v>
      </c>
      <c r="B7" s="21" t="s">
        <v>1339</v>
      </c>
    </row>
    <row r="9" spans="1:2" x14ac:dyDescent="0.25">
      <c r="A9" s="21" t="s">
        <v>1255</v>
      </c>
      <c r="B9" s="21" t="s">
        <v>1340</v>
      </c>
    </row>
    <row r="10" spans="1:2" x14ac:dyDescent="0.25">
      <c r="A10" s="21" t="s">
        <v>1256</v>
      </c>
      <c r="B10" s="21" t="s">
        <v>1341</v>
      </c>
    </row>
    <row r="11" spans="1:2" x14ac:dyDescent="0.25">
      <c r="A11" s="21" t="s">
        <v>1257</v>
      </c>
      <c r="B11" s="21" t="s">
        <v>1342</v>
      </c>
    </row>
    <row r="12" spans="1:2" x14ac:dyDescent="0.25">
      <c r="A12" s="21" t="s">
        <v>559</v>
      </c>
      <c r="B12" s="21" t="s">
        <v>1343</v>
      </c>
    </row>
    <row r="13" spans="1:2" x14ac:dyDescent="0.25">
      <c r="A13" s="21" t="s">
        <v>1209</v>
      </c>
      <c r="B13" s="21" t="s">
        <v>1344</v>
      </c>
    </row>
    <row r="14" spans="1:2" x14ac:dyDescent="0.25">
      <c r="A14" s="21" t="s">
        <v>1195</v>
      </c>
      <c r="B14" s="21" t="s">
        <v>1345</v>
      </c>
    </row>
    <row r="15" spans="1:2" x14ac:dyDescent="0.25">
      <c r="A15" s="21" t="s">
        <v>69</v>
      </c>
      <c r="B15" s="21" t="s">
        <v>69</v>
      </c>
    </row>
    <row r="16" spans="1:2" x14ac:dyDescent="0.25">
      <c r="A16" s="21" t="s">
        <v>408</v>
      </c>
      <c r="B16" s="21" t="s">
        <v>70</v>
      </c>
    </row>
    <row r="17" spans="1:2" x14ac:dyDescent="0.25">
      <c r="A17" s="21" t="s">
        <v>1109</v>
      </c>
      <c r="B17" s="21" t="s">
        <v>71</v>
      </c>
    </row>
    <row r="19" spans="1:2" x14ac:dyDescent="0.25">
      <c r="A19" s="21" t="s">
        <v>1346</v>
      </c>
    </row>
    <row r="20" spans="1:2" x14ac:dyDescent="0.25">
      <c r="A20" s="21" t="s">
        <v>217</v>
      </c>
      <c r="B20" s="21" t="s">
        <v>1347</v>
      </c>
    </row>
    <row r="21" spans="1:2" x14ac:dyDescent="0.25">
      <c r="A21" s="21" t="s">
        <v>127</v>
      </c>
      <c r="B21" s="21" t="s">
        <v>1348</v>
      </c>
    </row>
    <row r="22" spans="1:2" x14ac:dyDescent="0.25">
      <c r="A22" s="21" t="s">
        <v>76</v>
      </c>
      <c r="B22" s="21" t="s">
        <v>1349</v>
      </c>
    </row>
    <row r="24" spans="1:2" x14ac:dyDescent="0.25">
      <c r="A24" s="21" t="s">
        <v>1350</v>
      </c>
    </row>
    <row r="25" spans="1:2" x14ac:dyDescent="0.25">
      <c r="A25" s="21" t="s">
        <v>1351</v>
      </c>
      <c r="B25" s="21" t="s">
        <v>1352</v>
      </c>
    </row>
    <row r="26" spans="1:2" x14ac:dyDescent="0.25">
      <c r="A26" s="21" t="s">
        <v>1353</v>
      </c>
      <c r="B26" s="21" t="s">
        <v>1354</v>
      </c>
    </row>
    <row r="27" spans="1:2" x14ac:dyDescent="0.25">
      <c r="A27" s="21" t="s">
        <v>1355</v>
      </c>
      <c r="B27" s="21" t="s">
        <v>1356</v>
      </c>
    </row>
    <row r="28" spans="1:2" x14ac:dyDescent="0.25">
      <c r="A28" s="21" t="s">
        <v>1357</v>
      </c>
      <c r="B28" s="21" t="s">
        <v>1358</v>
      </c>
    </row>
    <row r="29" spans="1:2" x14ac:dyDescent="0.25">
      <c r="A29" s="21" t="s">
        <v>1359</v>
      </c>
      <c r="B29" s="21" t="s">
        <v>1360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15"/>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5.7109375" customWidth="1"/>
    <col min="2" max="2" width="8.7109375" customWidth="1"/>
    <col min="3" max="59" width="10.7109375" customWidth="1"/>
  </cols>
  <sheetData>
    <row r="1" spans="1:59" x14ac:dyDescent="0.25">
      <c r="A1" s="23" t="s">
        <v>27</v>
      </c>
      <c r="B1" s="23" t="s">
        <v>1361</v>
      </c>
      <c r="C1" s="23" t="s">
        <v>1362</v>
      </c>
      <c r="D1" s="23" t="s">
        <v>1363</v>
      </c>
      <c r="E1" s="23" t="s">
        <v>1364</v>
      </c>
      <c r="F1" s="23" t="s">
        <v>1365</v>
      </c>
      <c r="G1" s="23" t="s">
        <v>1366</v>
      </c>
      <c r="H1" s="23" t="s">
        <v>1367</v>
      </c>
      <c r="I1" s="23" t="s">
        <v>1368</v>
      </c>
      <c r="J1" s="23" t="s">
        <v>1369</v>
      </c>
      <c r="K1" s="23" t="s">
        <v>1370</v>
      </c>
      <c r="L1" s="23" t="s">
        <v>1371</v>
      </c>
      <c r="M1" s="23" t="s">
        <v>1372</v>
      </c>
      <c r="N1" s="23" t="s">
        <v>1373</v>
      </c>
      <c r="O1" s="23" t="s">
        <v>1374</v>
      </c>
      <c r="P1" s="23" t="s">
        <v>1375</v>
      </c>
      <c r="Q1" s="23" t="s">
        <v>1376</v>
      </c>
      <c r="R1" s="23" t="s">
        <v>1377</v>
      </c>
      <c r="S1" s="23" t="s">
        <v>1378</v>
      </c>
      <c r="T1" s="23" t="s">
        <v>1379</v>
      </c>
      <c r="U1" s="23" t="s">
        <v>1380</v>
      </c>
      <c r="V1" s="23" t="s">
        <v>1381</v>
      </c>
      <c r="W1" s="23" t="s">
        <v>1382</v>
      </c>
      <c r="X1" s="23" t="s">
        <v>1383</v>
      </c>
      <c r="Y1" s="23" t="s">
        <v>1384</v>
      </c>
      <c r="Z1" s="23" t="s">
        <v>1385</v>
      </c>
      <c r="AA1" s="23" t="s">
        <v>1386</v>
      </c>
      <c r="AB1" s="23" t="s">
        <v>1387</v>
      </c>
      <c r="AC1" s="23" t="s">
        <v>1388</v>
      </c>
      <c r="AD1" s="23" t="s">
        <v>1389</v>
      </c>
      <c r="AE1" s="23" t="s">
        <v>1390</v>
      </c>
      <c r="AF1" s="23" t="s">
        <v>1391</v>
      </c>
      <c r="AG1" s="23" t="s">
        <v>1392</v>
      </c>
      <c r="AH1" s="23" t="s">
        <v>1393</v>
      </c>
      <c r="AI1" s="23" t="s">
        <v>1394</v>
      </c>
      <c r="AJ1" s="23" t="s">
        <v>1395</v>
      </c>
      <c r="AK1" s="23" t="s">
        <v>1396</v>
      </c>
      <c r="AL1" s="23" t="s">
        <v>1397</v>
      </c>
      <c r="AM1" s="23" t="s">
        <v>1398</v>
      </c>
      <c r="AN1" s="23" t="s">
        <v>1399</v>
      </c>
      <c r="AO1" s="23" t="s">
        <v>1400</v>
      </c>
      <c r="AP1" s="23" t="s">
        <v>1401</v>
      </c>
      <c r="AQ1" s="23" t="s">
        <v>1402</v>
      </c>
      <c r="AR1" s="23" t="s">
        <v>1403</v>
      </c>
      <c r="AS1" s="23" t="s">
        <v>1404</v>
      </c>
      <c r="AT1" s="23" t="s">
        <v>1405</v>
      </c>
      <c r="AU1" s="23" t="s">
        <v>1406</v>
      </c>
      <c r="AV1" s="23" t="s">
        <v>1407</v>
      </c>
      <c r="AW1" s="23" t="s">
        <v>1408</v>
      </c>
      <c r="AX1" s="23" t="s">
        <v>1409</v>
      </c>
      <c r="AY1" s="23" t="s">
        <v>1410</v>
      </c>
      <c r="AZ1" s="23" t="s">
        <v>1411</v>
      </c>
      <c r="BA1" s="23" t="s">
        <v>1412</v>
      </c>
      <c r="BB1" s="23" t="s">
        <v>1413</v>
      </c>
      <c r="BC1" s="23" t="s">
        <v>1414</v>
      </c>
      <c r="BD1" s="23" t="s">
        <v>1415</v>
      </c>
      <c r="BE1" s="23" t="s">
        <v>1416</v>
      </c>
      <c r="BF1" s="23" t="s">
        <v>1417</v>
      </c>
      <c r="BG1" s="23" t="s">
        <v>1418</v>
      </c>
    </row>
    <row r="2" spans="1:59" x14ac:dyDescent="0.25">
      <c r="A2" s="24" t="s">
        <v>72</v>
      </c>
      <c r="B2" s="25">
        <f>COUNTA(Plan!C6:C173)</f>
        <v>156</v>
      </c>
      <c r="C2" s="25">
        <f>SUM(Plan!DC6:DC173)</f>
        <v>0</v>
      </c>
      <c r="D2" s="25">
        <f>SUM(Plan!DD6:DD173)</f>
        <v>0</v>
      </c>
      <c r="E2" s="25">
        <f>SUM(Plan!DE6:DE173)</f>
        <v>0</v>
      </c>
      <c r="F2" s="25">
        <f>SUM(Plan!DF6:DF173)</f>
        <v>0</v>
      </c>
      <c r="G2" s="25">
        <f>SUM(Plan!DG6:DG173)</f>
        <v>0</v>
      </c>
      <c r="H2" s="25">
        <f>SUM(Plan!DH6:DH173)</f>
        <v>0</v>
      </c>
      <c r="I2" s="25">
        <f>SUM(Plan!DI6:DI173)</f>
        <v>35.5</v>
      </c>
      <c r="J2" s="25">
        <f>SUM(Plan!DJ6:DJ173)</f>
        <v>169</v>
      </c>
      <c r="K2" s="25">
        <f>SUM(Plan!DK6:DK173)</f>
        <v>0</v>
      </c>
      <c r="L2" s="25">
        <f>SUM(Plan!DL6:DL173)</f>
        <v>0</v>
      </c>
      <c r="M2" s="25">
        <f>SUM(Plan!DM6:DM173)</f>
        <v>7</v>
      </c>
      <c r="N2" s="25">
        <f>SUM(Plan!DN6:DN173)</f>
        <v>10</v>
      </c>
      <c r="O2" s="25">
        <f>SUM(Plan!DO6:DO173)</f>
        <v>0</v>
      </c>
      <c r="P2" s="25">
        <f>SUM(Plan!DP6:DP173)</f>
        <v>0</v>
      </c>
      <c r="Q2" s="25">
        <f>SUM(Plan!DQ6:DQ173)</f>
        <v>0.5</v>
      </c>
      <c r="R2" s="25">
        <f>SUM(Plan!DR6:DR173)</f>
        <v>1</v>
      </c>
      <c r="S2" s="25">
        <f>SUM(Plan!DS6:DS173)</f>
        <v>0</v>
      </c>
      <c r="T2" s="25">
        <f>SUM(Plan!DT6:DT173)</f>
        <v>0</v>
      </c>
      <c r="U2" s="25">
        <f>SUM(Plan!DU6:DU173)</f>
        <v>0</v>
      </c>
      <c r="V2" s="25">
        <f>SUM(Plan!DV6:DV173)</f>
        <v>5</v>
      </c>
      <c r="W2" s="25">
        <f>SUM(Plan!DW6:DW173)</f>
        <v>23</v>
      </c>
      <c r="X2" s="25">
        <f>SUM(Plan!DX6:DX173)</f>
        <v>123</v>
      </c>
      <c r="Y2" s="25">
        <f>SUM(Plan!DY6:DY173)</f>
        <v>0</v>
      </c>
      <c r="Z2" s="25">
        <f>SUM(Plan!DZ6:DZ173)</f>
        <v>0</v>
      </c>
      <c r="AA2" s="25">
        <f>SUM(Plan!EA6:EA173)</f>
        <v>0</v>
      </c>
      <c r="AB2" s="25">
        <f>SUM(Plan!EB6:EB173)</f>
        <v>0</v>
      </c>
      <c r="AC2" s="25">
        <f>SUM(Plan!EC6:EC173)</f>
        <v>64</v>
      </c>
      <c r="AD2" s="25">
        <f>SUM(Plan!ED6:ED173)</f>
        <v>79</v>
      </c>
      <c r="AE2" s="25">
        <f>SUM(Plan!EE6:EE173)</f>
        <v>0</v>
      </c>
      <c r="AF2" s="25">
        <f>SUM(Plan!EF6:EF173)</f>
        <v>5</v>
      </c>
      <c r="AG2" s="25">
        <f>SUM(Plan!EG6:EG173)</f>
        <v>24</v>
      </c>
      <c r="AH2" s="25">
        <f>SUM(Plan!EH6:EH173)</f>
        <v>44</v>
      </c>
      <c r="AI2" s="25">
        <f>SUM(Plan!EI6:EI173)</f>
        <v>0</v>
      </c>
      <c r="AJ2" s="25">
        <f>SUM(Plan!EJ6:EJ173)</f>
        <v>0</v>
      </c>
      <c r="AK2" s="25">
        <f>SUM(Plan!EK6:EK173)</f>
        <v>0</v>
      </c>
      <c r="AL2" s="25">
        <f>SUM(Plan!EL6:EL173)</f>
        <v>22</v>
      </c>
      <c r="AM2" s="25">
        <f>SUM(Plan!EM6:EM173)</f>
        <v>0</v>
      </c>
      <c r="AN2" s="25">
        <f>SUM(Plan!EN6:EN173)</f>
        <v>30</v>
      </c>
      <c r="AO2" s="25">
        <f>SUM(Plan!EO6:EO173)</f>
        <v>0</v>
      </c>
      <c r="AP2" s="25">
        <f>SUM(Plan!EP6:EP173)</f>
        <v>0</v>
      </c>
      <c r="AQ2" s="25">
        <f>SUM(Plan!EQ6:EQ173)</f>
        <v>0</v>
      </c>
      <c r="AR2" s="25">
        <f>SUM(Plan!ER6:ER173)</f>
        <v>0</v>
      </c>
      <c r="AS2" s="25">
        <f>SUM(Plan!ES6:ES173)</f>
        <v>33</v>
      </c>
      <c r="AT2" s="25">
        <f>SUM(Plan!ET6:ET173)</f>
        <v>244</v>
      </c>
      <c r="AU2" s="25">
        <f>SUM(Plan!EU6:EU173)</f>
        <v>0</v>
      </c>
      <c r="AV2" s="25">
        <f>SUM(Plan!EV6:EV173)</f>
        <v>0</v>
      </c>
      <c r="AW2" s="25">
        <f>SUM(Plan!EW6:EW173)</f>
        <v>22</v>
      </c>
      <c r="AX2" s="25">
        <f>SUM(Plan!EX6:EX173)</f>
        <v>36</v>
      </c>
      <c r="AY2" s="25">
        <f>SUM(Plan!EY6:EY173)</f>
        <v>0</v>
      </c>
      <c r="AZ2" s="25">
        <f>SUM(Plan!EZ6:EZ173)</f>
        <v>0</v>
      </c>
      <c r="BA2" s="25">
        <f>SUM(Plan!FA6:FA173)</f>
        <v>0</v>
      </c>
      <c r="BB2" s="25">
        <f>SUM(Plan!FB6:FB173)</f>
        <v>0</v>
      </c>
      <c r="BC2" s="25">
        <f>SUM(Plan!FC6:FC173)</f>
        <v>29</v>
      </c>
      <c r="BD2" s="25">
        <f>SUM(Plan!FD6:FD173)</f>
        <v>49</v>
      </c>
      <c r="BE2" s="25">
        <f>SUM(Plan!FE6:FE173)</f>
        <v>0</v>
      </c>
      <c r="BF2" s="25">
        <f>SUM(Plan!FF6:FF173)</f>
        <v>0</v>
      </c>
      <c r="BG2" s="26">
        <f>SUM(Plan!DD6:DD173)+SUM(Plan!DF6:DF173)+SUM(Plan!DH6:DH173)+SUM(Plan!DJ6:DJ173)+SUM(Plan!DL6:DL173)+SUM(Plan!DN6:DN173)+SUM(Plan!DP6:DP173)+SUM(Plan!DR6:DR173)+SUM(Plan!DT6:DT173)+SUM(Plan!DV6:DV173)+SUM(Plan!DX6:DX173)+SUM(Plan!DZ6:DZ173)+SUM(Plan!EB6:EB173)+SUM(Plan!ED6:ED173)+SUM(Plan!EF6:EF173)+SUM(Plan!EH6:EH173)+SUM(Plan!EJ6:EJ173)+SUM(Plan!EL6:EL173)+SUM(Plan!EN6:EN173)+SUM(Plan!EP6:EP173)+SUM(Plan!ER6:ER173)+SUM(Plan!ET6:ET173)+SUM(Plan!EV6:EV173)+SUM(Plan!EX6:EX173)+SUM(Plan!EZ6:EZ173)+SUM(Plan!FB6:FB173)+SUM(Plan!FD6:FD173)+SUM(Plan!FF6:FF173)</f>
        <v>817</v>
      </c>
    </row>
    <row r="3" spans="1:59" x14ac:dyDescent="0.25">
      <c r="A3" s="24" t="s">
        <v>218</v>
      </c>
      <c r="B3" s="25">
        <f>COUNTA(Plan!C175:C615)</f>
        <v>411</v>
      </c>
      <c r="C3" s="25">
        <f>SUM(Plan!DC175:DC615)</f>
        <v>0</v>
      </c>
      <c r="D3" s="25">
        <f>SUM(Plan!DD175:DD615)</f>
        <v>0</v>
      </c>
      <c r="E3" s="25">
        <f>SUM(Plan!DE175:DE615)</f>
        <v>0</v>
      </c>
      <c r="F3" s="25">
        <f>SUM(Plan!DF175:DF615)</f>
        <v>0</v>
      </c>
      <c r="G3" s="25">
        <f>SUM(Plan!DG175:DG615)</f>
        <v>0</v>
      </c>
      <c r="H3" s="25">
        <f>SUM(Plan!DH175:DH615)</f>
        <v>0</v>
      </c>
      <c r="I3" s="25">
        <f>SUM(Plan!DI175:DI615)</f>
        <v>74.5</v>
      </c>
      <c r="J3" s="25">
        <f>SUM(Plan!DJ175:DJ615)</f>
        <v>222</v>
      </c>
      <c r="K3" s="25">
        <f>SUM(Plan!DK175:DK615)</f>
        <v>0</v>
      </c>
      <c r="L3" s="25">
        <f>SUM(Plan!DL175:DL615)</f>
        <v>10</v>
      </c>
      <c r="M3" s="25">
        <f>SUM(Plan!DM175:DM615)</f>
        <v>32</v>
      </c>
      <c r="N3" s="25">
        <f>SUM(Plan!DN175:DN615)</f>
        <v>101</v>
      </c>
      <c r="O3" s="25">
        <f>SUM(Plan!DO175:DO615)</f>
        <v>0</v>
      </c>
      <c r="P3" s="25">
        <f>SUM(Plan!DP175:DP615)</f>
        <v>0</v>
      </c>
      <c r="Q3" s="25">
        <f>SUM(Plan!DQ175:DQ615)</f>
        <v>2</v>
      </c>
      <c r="R3" s="25">
        <f>SUM(Plan!DR175:DR615)</f>
        <v>6</v>
      </c>
      <c r="S3" s="25">
        <f>SUM(Plan!DS175:DS615)</f>
        <v>0</v>
      </c>
      <c r="T3" s="25">
        <f>SUM(Plan!DT175:DT615)</f>
        <v>0</v>
      </c>
      <c r="U3" s="25">
        <f>SUM(Plan!DU175:DU615)</f>
        <v>0</v>
      </c>
      <c r="V3" s="25">
        <f>SUM(Plan!DV175:DV615)</f>
        <v>0</v>
      </c>
      <c r="W3" s="25">
        <f>SUM(Plan!DW175:DW615)</f>
        <v>4</v>
      </c>
      <c r="X3" s="25">
        <f>SUM(Plan!DX175:DX615)</f>
        <v>60</v>
      </c>
      <c r="Y3" s="25">
        <f>SUM(Plan!DY175:DY615)</f>
        <v>0</v>
      </c>
      <c r="Z3" s="25">
        <f>SUM(Plan!DZ175:DZ615)</f>
        <v>0</v>
      </c>
      <c r="AA3" s="25">
        <f>SUM(Plan!EA175:EA615)</f>
        <v>0</v>
      </c>
      <c r="AB3" s="25">
        <f>SUM(Plan!EB175:EB615)</f>
        <v>0</v>
      </c>
      <c r="AC3" s="25">
        <f>SUM(Plan!EC175:EC615)</f>
        <v>1810.4</v>
      </c>
      <c r="AD3" s="25">
        <f>SUM(Plan!ED175:ED615)</f>
        <v>2274.3999999999996</v>
      </c>
      <c r="AE3" s="25">
        <f>SUM(Plan!EE175:EE615)</f>
        <v>57.2</v>
      </c>
      <c r="AF3" s="25">
        <f>SUM(Plan!EF175:EF615)</f>
        <v>135.19999999999999</v>
      </c>
      <c r="AG3" s="25">
        <f>SUM(Plan!EG175:EG615)</f>
        <v>4</v>
      </c>
      <c r="AH3" s="25">
        <f>SUM(Plan!EH175:EH615)</f>
        <v>20</v>
      </c>
      <c r="AI3" s="25">
        <f>SUM(Plan!EI175:EI615)</f>
        <v>0</v>
      </c>
      <c r="AJ3" s="25">
        <f>SUM(Plan!EJ175:EJ615)</f>
        <v>0</v>
      </c>
      <c r="AK3" s="25">
        <f>SUM(Plan!EK175:EK615)</f>
        <v>0</v>
      </c>
      <c r="AL3" s="25">
        <f>SUM(Plan!EL175:EL615)</f>
        <v>22</v>
      </c>
      <c r="AM3" s="25">
        <f>SUM(Plan!EM175:EM615)</f>
        <v>0</v>
      </c>
      <c r="AN3" s="25">
        <f>SUM(Plan!EN175:EN615)</f>
        <v>100</v>
      </c>
      <c r="AO3" s="25">
        <f>SUM(Plan!EO175:EO615)</f>
        <v>0</v>
      </c>
      <c r="AP3" s="25">
        <f>SUM(Plan!EP175:EP615)</f>
        <v>0</v>
      </c>
      <c r="AQ3" s="25">
        <f>SUM(Plan!EQ175:EQ615)</f>
        <v>0</v>
      </c>
      <c r="AR3" s="25">
        <f>SUM(Plan!ER175:ER615)</f>
        <v>0</v>
      </c>
      <c r="AS3" s="25">
        <f>SUM(Plan!ES175:ES615)</f>
        <v>113.5</v>
      </c>
      <c r="AT3" s="25">
        <f>SUM(Plan!ET175:ET615)</f>
        <v>430</v>
      </c>
      <c r="AU3" s="25">
        <f>SUM(Plan!EU175:EU615)</f>
        <v>0</v>
      </c>
      <c r="AV3" s="25">
        <f>SUM(Plan!EV175:EV615)</f>
        <v>0</v>
      </c>
      <c r="AW3" s="25">
        <f>SUM(Plan!EW175:EW615)</f>
        <v>81</v>
      </c>
      <c r="AX3" s="25">
        <f>SUM(Plan!EX175:EX615)</f>
        <v>179</v>
      </c>
      <c r="AY3" s="25">
        <f>SUM(Plan!EY175:EY615)</f>
        <v>0</v>
      </c>
      <c r="AZ3" s="25">
        <f>SUM(Plan!EZ175:EZ615)</f>
        <v>0</v>
      </c>
      <c r="BA3" s="25">
        <f>SUM(Plan!FA175:FA615)</f>
        <v>0</v>
      </c>
      <c r="BB3" s="25">
        <f>SUM(Plan!FB175:FB615)</f>
        <v>0</v>
      </c>
      <c r="BC3" s="25">
        <f>SUM(Plan!FC175:FC615)</f>
        <v>41.5</v>
      </c>
      <c r="BD3" s="25">
        <f>SUM(Plan!FD175:FD615)</f>
        <v>48</v>
      </c>
      <c r="BE3" s="25">
        <f>SUM(Plan!FE175:FE615)</f>
        <v>0</v>
      </c>
      <c r="BF3" s="25">
        <f>SUM(Plan!FF175:FF615)</f>
        <v>0</v>
      </c>
      <c r="BG3" s="26">
        <f>SUM(Plan!DD175:DD615)+SUM(Plan!DF175:DF615)+SUM(Plan!DH175:DH615)+SUM(Plan!DJ175:DJ615)+SUM(Plan!DL175:DL615)+SUM(Plan!DN175:DN615)+SUM(Plan!DP175:DP615)+SUM(Plan!DR175:DR615)+SUM(Plan!DT175:DT615)+SUM(Plan!DV175:DV615)+SUM(Plan!DX175:DX615)+SUM(Plan!DZ175:DZ615)+SUM(Plan!EB175:EB615)+SUM(Plan!ED175:ED615)+SUM(Plan!EF175:EF615)+SUM(Plan!EH175:EH615)+SUM(Plan!EJ175:EJ615)+SUM(Plan!EL175:EL615)+SUM(Plan!EN175:EN615)+SUM(Plan!EP175:EP615)+SUM(Plan!ER175:ER615)+SUM(Plan!ET175:ET615)+SUM(Plan!EV175:EV615)+SUM(Plan!EX175:EX615)+SUM(Plan!EZ175:EZ615)+SUM(Plan!FB175:FB615)+SUM(Plan!FD175:FD615)+SUM(Plan!FF175:FF615)</f>
        <v>3607.5999999999995</v>
      </c>
    </row>
    <row r="4" spans="1:59" x14ac:dyDescent="0.25">
      <c r="A4" s="24" t="s">
        <v>519</v>
      </c>
      <c r="B4" s="25">
        <f>COUNTA(Plan!C617:C948)</f>
        <v>322</v>
      </c>
      <c r="C4" s="25">
        <f>SUM(Plan!DC617:DC948)</f>
        <v>0</v>
      </c>
      <c r="D4" s="25">
        <f>SUM(Plan!DD617:DD948)</f>
        <v>5</v>
      </c>
      <c r="E4" s="25">
        <f>SUM(Plan!DE617:DE948)</f>
        <v>0</v>
      </c>
      <c r="F4" s="25">
        <f>SUM(Plan!DF617:DF948)</f>
        <v>0</v>
      </c>
      <c r="G4" s="25">
        <f>SUM(Plan!DG617:DG948)</f>
        <v>0</v>
      </c>
      <c r="H4" s="25">
        <f>SUM(Plan!DH617:DH948)</f>
        <v>0</v>
      </c>
      <c r="I4" s="25">
        <f>SUM(Plan!DI617:DI948)</f>
        <v>80.5</v>
      </c>
      <c r="J4" s="25">
        <f>SUM(Plan!DJ617:DJ948)</f>
        <v>277</v>
      </c>
      <c r="K4" s="25">
        <f>SUM(Plan!DK617:DK948)</f>
        <v>0</v>
      </c>
      <c r="L4" s="25">
        <f>SUM(Plan!DL617:DL948)</f>
        <v>5</v>
      </c>
      <c r="M4" s="25">
        <f>SUM(Plan!DM617:DM948)</f>
        <v>3</v>
      </c>
      <c r="N4" s="25">
        <f>SUM(Plan!DN617:DN948)</f>
        <v>10</v>
      </c>
      <c r="O4" s="25">
        <f>SUM(Plan!DO617:DO948)</f>
        <v>0</v>
      </c>
      <c r="P4" s="25">
        <f>SUM(Plan!DP617:DP948)</f>
        <v>0</v>
      </c>
      <c r="Q4" s="25">
        <f>SUM(Plan!DQ617:DQ948)</f>
        <v>1</v>
      </c>
      <c r="R4" s="25">
        <f>SUM(Plan!DR617:DR948)</f>
        <v>1</v>
      </c>
      <c r="S4" s="25">
        <f>SUM(Plan!DS617:DS948)</f>
        <v>0</v>
      </c>
      <c r="T4" s="25">
        <f>SUM(Plan!DT617:DT948)</f>
        <v>0</v>
      </c>
      <c r="U4" s="25">
        <f>SUM(Plan!DU617:DU948)</f>
        <v>0</v>
      </c>
      <c r="V4" s="25">
        <f>SUM(Plan!DV617:DV948)</f>
        <v>12</v>
      </c>
      <c r="W4" s="25">
        <f>SUM(Plan!DW617:DW948)</f>
        <v>26</v>
      </c>
      <c r="X4" s="25">
        <f>SUM(Plan!DX617:DX948)</f>
        <v>102</v>
      </c>
      <c r="Y4" s="25">
        <f>SUM(Plan!DY617:DY948)</f>
        <v>0</v>
      </c>
      <c r="Z4" s="25">
        <f>SUM(Plan!DZ617:DZ948)</f>
        <v>0</v>
      </c>
      <c r="AA4" s="25">
        <f>SUM(Plan!EA617:EA948)</f>
        <v>0</v>
      </c>
      <c r="AB4" s="25">
        <f>SUM(Plan!EB617:EB948)</f>
        <v>15</v>
      </c>
      <c r="AC4" s="25">
        <f>SUM(Plan!EC617:EC948)</f>
        <v>182.8</v>
      </c>
      <c r="AD4" s="25">
        <f>SUM(Plan!ED617:ED948)</f>
        <v>411.4</v>
      </c>
      <c r="AE4" s="25">
        <f>SUM(Plan!EE617:EE948)</f>
        <v>0</v>
      </c>
      <c r="AF4" s="25">
        <f>SUM(Plan!EF617:EF948)</f>
        <v>0</v>
      </c>
      <c r="AG4" s="25">
        <f>SUM(Plan!EG617:EG948)</f>
        <v>97</v>
      </c>
      <c r="AH4" s="25">
        <f>SUM(Plan!EH617:EH948)</f>
        <v>335</v>
      </c>
      <c r="AI4" s="25">
        <f>SUM(Plan!EI617:EI948)</f>
        <v>0</v>
      </c>
      <c r="AJ4" s="25">
        <f>SUM(Plan!EJ617:EJ948)</f>
        <v>65</v>
      </c>
      <c r="AK4" s="25">
        <f>SUM(Plan!EK617:EK948)</f>
        <v>3</v>
      </c>
      <c r="AL4" s="25">
        <f>SUM(Plan!EL617:EL948)</f>
        <v>120</v>
      </c>
      <c r="AM4" s="25">
        <f>SUM(Plan!EM617:EM948)</f>
        <v>0</v>
      </c>
      <c r="AN4" s="25">
        <f>SUM(Plan!EN617:EN948)</f>
        <v>90</v>
      </c>
      <c r="AO4" s="25">
        <f>SUM(Plan!EO617:EO948)</f>
        <v>0</v>
      </c>
      <c r="AP4" s="25">
        <f>SUM(Plan!EP617:EP948)</f>
        <v>0</v>
      </c>
      <c r="AQ4" s="25">
        <f>SUM(Plan!EQ617:EQ948)</f>
        <v>0</v>
      </c>
      <c r="AR4" s="25">
        <f>SUM(Plan!ER617:ER948)</f>
        <v>0</v>
      </c>
      <c r="AS4" s="25">
        <f>SUM(Plan!ES617:ES948)</f>
        <v>157</v>
      </c>
      <c r="AT4" s="25">
        <f>SUM(Plan!ET617:ET948)</f>
        <v>469</v>
      </c>
      <c r="AU4" s="25">
        <f>SUM(Plan!EU617:EU948)</f>
        <v>0</v>
      </c>
      <c r="AV4" s="25">
        <f>SUM(Plan!EV617:EV948)</f>
        <v>0</v>
      </c>
      <c r="AW4" s="25">
        <f>SUM(Plan!EW617:EW948)</f>
        <v>12</v>
      </c>
      <c r="AX4" s="25">
        <f>SUM(Plan!EX617:EX948)</f>
        <v>21</v>
      </c>
      <c r="AY4" s="25">
        <f>SUM(Plan!EY617:EY948)</f>
        <v>0</v>
      </c>
      <c r="AZ4" s="25">
        <f>SUM(Plan!EZ617:EZ948)</f>
        <v>0</v>
      </c>
      <c r="BA4" s="25">
        <f>SUM(Plan!FA617:FA948)</f>
        <v>0</v>
      </c>
      <c r="BB4" s="25">
        <f>SUM(Plan!FB617:FB948)</f>
        <v>0</v>
      </c>
      <c r="BC4" s="25">
        <f>SUM(Plan!FC617:FC948)</f>
        <v>42</v>
      </c>
      <c r="BD4" s="25">
        <f>SUM(Plan!FD617:FD948)</f>
        <v>92</v>
      </c>
      <c r="BE4" s="25">
        <f>SUM(Plan!FE617:FE948)</f>
        <v>0</v>
      </c>
      <c r="BF4" s="25">
        <f>SUM(Plan!FF617:FF948)</f>
        <v>0</v>
      </c>
      <c r="BG4" s="26">
        <f>SUM(Plan!DD617:DD948)+SUM(Plan!DF617:DF948)+SUM(Plan!DH617:DH948)+SUM(Plan!DJ617:DJ948)+SUM(Plan!DL617:DL948)+SUM(Plan!DN617:DN948)+SUM(Plan!DP617:DP948)+SUM(Plan!DR617:DR948)+SUM(Plan!DT617:DT948)+SUM(Plan!DV617:DV948)+SUM(Plan!DX617:DX948)+SUM(Plan!DZ617:DZ948)+SUM(Plan!EB617:EB948)+SUM(Plan!ED617:ED948)+SUM(Plan!EF617:EF948)+SUM(Plan!EH617:EH948)+SUM(Plan!EJ617:EJ948)+SUM(Plan!EL617:EL948)+SUM(Plan!EN617:EN948)+SUM(Plan!EP617:EP948)+SUM(Plan!ER617:ER948)+SUM(Plan!ET617:ET948)+SUM(Plan!EV617:EV948)+SUM(Plan!EX617:EX948)+SUM(Plan!EZ617:EZ948)+SUM(Plan!FB617:FB948)+SUM(Plan!FD617:FD948)+SUM(Plan!FF617:FF948)</f>
        <v>2030.4</v>
      </c>
    </row>
    <row r="5" spans="1:59" x14ac:dyDescent="0.25">
      <c r="A5" s="24" t="s">
        <v>692</v>
      </c>
      <c r="B5" s="25">
        <f>COUNTA(Plan!C950:C1039)</f>
        <v>81</v>
      </c>
      <c r="C5" s="25">
        <f>SUM(Plan!DC950:DC1039)</f>
        <v>0</v>
      </c>
      <c r="D5" s="25">
        <f>SUM(Plan!DD950:DD1039)</f>
        <v>0</v>
      </c>
      <c r="E5" s="25">
        <f>SUM(Plan!DE950:DE1039)</f>
        <v>0</v>
      </c>
      <c r="F5" s="25">
        <f>SUM(Plan!DF950:DF1039)</f>
        <v>0</v>
      </c>
      <c r="G5" s="25">
        <f>SUM(Plan!DG950:DG1039)</f>
        <v>0</v>
      </c>
      <c r="H5" s="25">
        <f>SUM(Plan!DH950:DH1039)</f>
        <v>0</v>
      </c>
      <c r="I5" s="25">
        <f>SUM(Plan!DI950:DI1039)</f>
        <v>5</v>
      </c>
      <c r="J5" s="25">
        <f>SUM(Plan!DJ950:DJ1039)</f>
        <v>26</v>
      </c>
      <c r="K5" s="25">
        <f>SUM(Plan!DK950:DK1039)</f>
        <v>0</v>
      </c>
      <c r="L5" s="25">
        <f>SUM(Plan!DL950:DL1039)</f>
        <v>0</v>
      </c>
      <c r="M5" s="25">
        <f>SUM(Plan!DM950:DM1039)</f>
        <v>5</v>
      </c>
      <c r="N5" s="25">
        <f>SUM(Plan!DN950:DN1039)</f>
        <v>7</v>
      </c>
      <c r="O5" s="25">
        <f>SUM(Plan!DO950:DO1039)</f>
        <v>0</v>
      </c>
      <c r="P5" s="25">
        <f>SUM(Plan!DP950:DP1039)</f>
        <v>0</v>
      </c>
      <c r="Q5" s="25">
        <f>SUM(Plan!DQ950:DQ1039)</f>
        <v>0</v>
      </c>
      <c r="R5" s="25">
        <f>SUM(Plan!DR950:DR1039)</f>
        <v>0</v>
      </c>
      <c r="S5" s="25">
        <f>SUM(Plan!DS950:DS1039)</f>
        <v>0</v>
      </c>
      <c r="T5" s="25">
        <f>SUM(Plan!DT950:DT1039)</f>
        <v>0</v>
      </c>
      <c r="U5" s="25">
        <f>SUM(Plan!DU950:DU1039)</f>
        <v>0</v>
      </c>
      <c r="V5" s="25">
        <f>SUM(Plan!DV950:DV1039)</f>
        <v>25</v>
      </c>
      <c r="W5" s="25">
        <f>SUM(Plan!DW950:DW1039)</f>
        <v>0</v>
      </c>
      <c r="X5" s="25">
        <f>SUM(Plan!DX950:DX1039)</f>
        <v>17</v>
      </c>
      <c r="Y5" s="25">
        <f>SUM(Plan!DY950:DY1039)</f>
        <v>0</v>
      </c>
      <c r="Z5" s="25">
        <f>SUM(Plan!DZ950:DZ1039)</f>
        <v>0</v>
      </c>
      <c r="AA5" s="25">
        <f>SUM(Plan!EA950:EA1039)</f>
        <v>0</v>
      </c>
      <c r="AB5" s="25">
        <f>SUM(Plan!EB950:EB1039)</f>
        <v>0</v>
      </c>
      <c r="AC5" s="25">
        <f>SUM(Plan!EC950:EC1039)</f>
        <v>598.80000000000007</v>
      </c>
      <c r="AD5" s="25">
        <f>SUM(Plan!ED950:ED1039)</f>
        <v>696</v>
      </c>
      <c r="AE5" s="25">
        <f>SUM(Plan!EE950:EE1039)</f>
        <v>51.4</v>
      </c>
      <c r="AF5" s="25">
        <f>SUM(Plan!EF950:EF1039)</f>
        <v>66.400000000000006</v>
      </c>
      <c r="AG5" s="25">
        <f>SUM(Plan!EG950:EG1039)</f>
        <v>2</v>
      </c>
      <c r="AH5" s="25">
        <f>SUM(Plan!EH950:EH1039)</f>
        <v>6</v>
      </c>
      <c r="AI5" s="25">
        <f>SUM(Plan!EI950:EI1039)</f>
        <v>0</v>
      </c>
      <c r="AJ5" s="25">
        <f>SUM(Plan!EJ950:EJ1039)</f>
        <v>0</v>
      </c>
      <c r="AK5" s="25">
        <f>SUM(Plan!EK950:EK1039)</f>
        <v>0</v>
      </c>
      <c r="AL5" s="25">
        <f>SUM(Plan!EL950:EL1039)</f>
        <v>15</v>
      </c>
      <c r="AM5" s="25">
        <f>SUM(Plan!EM950:EM1039)</f>
        <v>0</v>
      </c>
      <c r="AN5" s="25">
        <f>SUM(Plan!EN950:EN1039)</f>
        <v>0</v>
      </c>
      <c r="AO5" s="25">
        <f>SUM(Plan!EO950:EO1039)</f>
        <v>0</v>
      </c>
      <c r="AP5" s="25">
        <f>SUM(Plan!EP950:EP1039)</f>
        <v>0</v>
      </c>
      <c r="AQ5" s="25">
        <f>SUM(Plan!EQ950:EQ1039)</f>
        <v>0</v>
      </c>
      <c r="AR5" s="25">
        <f>SUM(Plan!ER950:ER1039)</f>
        <v>0</v>
      </c>
      <c r="AS5" s="25">
        <f>SUM(Plan!ES950:ES1039)</f>
        <v>53</v>
      </c>
      <c r="AT5" s="25">
        <f>SUM(Plan!ET950:ET1039)</f>
        <v>310</v>
      </c>
      <c r="AU5" s="25">
        <f>SUM(Plan!EU950:EU1039)</f>
        <v>0</v>
      </c>
      <c r="AV5" s="25">
        <f>SUM(Plan!EV950:EV1039)</f>
        <v>0</v>
      </c>
      <c r="AW5" s="25">
        <f>SUM(Plan!EW950:EW1039)</f>
        <v>16</v>
      </c>
      <c r="AX5" s="25">
        <f>SUM(Plan!EX950:EX1039)</f>
        <v>23</v>
      </c>
      <c r="AY5" s="25">
        <f>SUM(Plan!EY950:EY1039)</f>
        <v>0</v>
      </c>
      <c r="AZ5" s="25">
        <f>SUM(Plan!EZ950:EZ1039)</f>
        <v>0</v>
      </c>
      <c r="BA5" s="25">
        <f>SUM(Plan!FA950:FA1039)</f>
        <v>0</v>
      </c>
      <c r="BB5" s="25">
        <f>SUM(Plan!FB950:FB1039)</f>
        <v>0</v>
      </c>
      <c r="BC5" s="25">
        <f>SUM(Plan!FC950:FC1039)</f>
        <v>4.5</v>
      </c>
      <c r="BD5" s="25">
        <f>SUM(Plan!FD950:FD1039)</f>
        <v>9</v>
      </c>
      <c r="BE5" s="25">
        <f>SUM(Plan!FE950:FE1039)</f>
        <v>0</v>
      </c>
      <c r="BF5" s="25">
        <f>SUM(Plan!FF950:FF1039)</f>
        <v>0</v>
      </c>
      <c r="BG5" s="26">
        <f>SUM(Plan!DD950:DD1039)+SUM(Plan!DF950:DF1039)+SUM(Plan!DH950:DH1039)+SUM(Plan!DJ950:DJ1039)+SUM(Plan!DL950:DL1039)+SUM(Plan!DN950:DN1039)+SUM(Plan!DP950:DP1039)+SUM(Plan!DR950:DR1039)+SUM(Plan!DT950:DT1039)+SUM(Plan!DV950:DV1039)+SUM(Plan!DX950:DX1039)+SUM(Plan!DZ950:DZ1039)+SUM(Plan!EB950:EB1039)+SUM(Plan!ED950:ED1039)+SUM(Plan!EF950:EF1039)+SUM(Plan!EH950:EH1039)+SUM(Plan!EJ950:EJ1039)+SUM(Plan!EL950:EL1039)+SUM(Plan!EN950:EN1039)+SUM(Plan!EP950:EP1039)+SUM(Plan!ER950:ER1039)+SUM(Plan!ET950:ET1039)+SUM(Plan!EV950:EV1039)+SUM(Plan!EX950:EX1039)+SUM(Plan!EZ950:EZ1039)+SUM(Plan!FB950:FB1039)+SUM(Plan!FD950:FD1039)+SUM(Plan!FF950:FF1039)</f>
        <v>1200.4000000000001</v>
      </c>
    </row>
    <row r="6" spans="1:59" x14ac:dyDescent="0.25">
      <c r="A6" s="24" t="s">
        <v>766</v>
      </c>
      <c r="B6" s="25">
        <f>COUNTA(Plan!C1041:C1133)</f>
        <v>83</v>
      </c>
      <c r="C6" s="25">
        <f>SUM(Plan!DC1041:DC1133)</f>
        <v>0</v>
      </c>
      <c r="D6" s="25">
        <f>SUM(Plan!DD1041:DD1133)</f>
        <v>0</v>
      </c>
      <c r="E6" s="25">
        <f>SUM(Plan!DE1041:DE1133)</f>
        <v>0</v>
      </c>
      <c r="F6" s="25">
        <f>SUM(Plan!DF1041:DF1133)</f>
        <v>0</v>
      </c>
      <c r="G6" s="25">
        <f>SUM(Plan!DG1041:DG1133)</f>
        <v>0</v>
      </c>
      <c r="H6" s="25">
        <f>SUM(Plan!DH1041:DH1133)</f>
        <v>0</v>
      </c>
      <c r="I6" s="25">
        <f>SUM(Plan!DI1041:DI1133)</f>
        <v>8</v>
      </c>
      <c r="J6" s="25">
        <f>SUM(Plan!DJ1041:DJ1133)</f>
        <v>47</v>
      </c>
      <c r="K6" s="25">
        <f>SUM(Plan!DK1041:DK1133)</f>
        <v>0</v>
      </c>
      <c r="L6" s="25">
        <f>SUM(Plan!DL1041:DL1133)</f>
        <v>2</v>
      </c>
      <c r="M6" s="25">
        <f>SUM(Plan!DM1041:DM1133)</f>
        <v>0</v>
      </c>
      <c r="N6" s="25">
        <f>SUM(Plan!DN1041:DN1133)</f>
        <v>0</v>
      </c>
      <c r="O6" s="25">
        <f>SUM(Plan!DO1041:DO1133)</f>
        <v>0</v>
      </c>
      <c r="P6" s="25">
        <f>SUM(Plan!DP1041:DP1133)</f>
        <v>0</v>
      </c>
      <c r="Q6" s="25">
        <f>SUM(Plan!DQ1041:DQ1133)</f>
        <v>0</v>
      </c>
      <c r="R6" s="25">
        <f>SUM(Plan!DR1041:DR1133)</f>
        <v>0</v>
      </c>
      <c r="S6" s="25">
        <f>SUM(Plan!DS1041:DS1133)</f>
        <v>0</v>
      </c>
      <c r="T6" s="25">
        <f>SUM(Plan!DT1041:DT1133)</f>
        <v>0</v>
      </c>
      <c r="U6" s="25">
        <f>SUM(Plan!DU1041:DU1133)</f>
        <v>0</v>
      </c>
      <c r="V6" s="25">
        <f>SUM(Plan!DV1041:DV1133)</f>
        <v>28</v>
      </c>
      <c r="W6" s="25">
        <f>SUM(Plan!DW1041:DW1133)</f>
        <v>0</v>
      </c>
      <c r="X6" s="25">
        <f>SUM(Plan!DX1041:DX1133)</f>
        <v>86</v>
      </c>
      <c r="Y6" s="25">
        <f>SUM(Plan!DY1041:DY1133)</f>
        <v>0</v>
      </c>
      <c r="Z6" s="25">
        <f>SUM(Plan!DZ1041:DZ1133)</f>
        <v>0</v>
      </c>
      <c r="AA6" s="25">
        <f>SUM(Plan!EA1041:EA1133)</f>
        <v>0</v>
      </c>
      <c r="AB6" s="25">
        <f>SUM(Plan!EB1041:EB1133)</f>
        <v>0</v>
      </c>
      <c r="AC6" s="25">
        <f>SUM(Plan!EC1041:EC1133)</f>
        <v>0</v>
      </c>
      <c r="AD6" s="25">
        <f>SUM(Plan!ED1041:ED1133)</f>
        <v>0</v>
      </c>
      <c r="AE6" s="25">
        <f>SUM(Plan!EE1041:EE1133)</f>
        <v>0</v>
      </c>
      <c r="AF6" s="25">
        <f>SUM(Plan!EF1041:EF1133)</f>
        <v>3</v>
      </c>
      <c r="AG6" s="25">
        <f>SUM(Plan!EG1041:EG1133)</f>
        <v>11</v>
      </c>
      <c r="AH6" s="25">
        <f>SUM(Plan!EH1041:EH1133)</f>
        <v>34</v>
      </c>
      <c r="AI6" s="25">
        <f>SUM(Plan!EI1041:EI1133)</f>
        <v>0</v>
      </c>
      <c r="AJ6" s="25">
        <f>SUM(Plan!EJ1041:EJ1133)</f>
        <v>3</v>
      </c>
      <c r="AK6" s="25">
        <f>SUM(Plan!EK1041:EK1133)</f>
        <v>0</v>
      </c>
      <c r="AL6" s="25">
        <f>SUM(Plan!EL1041:EL1133)</f>
        <v>55</v>
      </c>
      <c r="AM6" s="25">
        <f>SUM(Plan!EM1041:EM1133)</f>
        <v>0</v>
      </c>
      <c r="AN6" s="25">
        <f>SUM(Plan!EN1041:EN1133)</f>
        <v>14</v>
      </c>
      <c r="AO6" s="25">
        <f>SUM(Plan!EO1041:EO1133)</f>
        <v>0</v>
      </c>
      <c r="AP6" s="25">
        <f>SUM(Plan!EP1041:EP1133)</f>
        <v>0</v>
      </c>
      <c r="AQ6" s="25">
        <f>SUM(Plan!EQ1041:EQ1133)</f>
        <v>0</v>
      </c>
      <c r="AR6" s="25">
        <f>SUM(Plan!ER1041:ER1133)</f>
        <v>0</v>
      </c>
      <c r="AS6" s="25">
        <f>SUM(Plan!ES1041:ES1133)</f>
        <v>24</v>
      </c>
      <c r="AT6" s="25">
        <f>SUM(Plan!ET1041:ET1133)</f>
        <v>211</v>
      </c>
      <c r="AU6" s="25">
        <f>SUM(Plan!EU1041:EU1133)</f>
        <v>0</v>
      </c>
      <c r="AV6" s="25">
        <f>SUM(Plan!EV1041:EV1133)</f>
        <v>0</v>
      </c>
      <c r="AW6" s="25">
        <f>SUM(Plan!EW1041:EW1133)</f>
        <v>21</v>
      </c>
      <c r="AX6" s="25">
        <f>SUM(Plan!EX1041:EX1133)</f>
        <v>34</v>
      </c>
      <c r="AY6" s="25">
        <f>SUM(Plan!EY1041:EY1133)</f>
        <v>0</v>
      </c>
      <c r="AZ6" s="25">
        <f>SUM(Plan!EZ1041:EZ1133)</f>
        <v>0</v>
      </c>
      <c r="BA6" s="25">
        <f>SUM(Plan!FA1041:FA1133)</f>
        <v>0</v>
      </c>
      <c r="BB6" s="25">
        <f>SUM(Plan!FB1041:FB1133)</f>
        <v>0</v>
      </c>
      <c r="BC6" s="25">
        <f>SUM(Plan!FC1041:FC1133)</f>
        <v>0</v>
      </c>
      <c r="BD6" s="25">
        <f>SUM(Plan!FD1041:FD1133)</f>
        <v>7</v>
      </c>
      <c r="BE6" s="25">
        <f>SUM(Plan!FE1041:FE1133)</f>
        <v>0</v>
      </c>
      <c r="BF6" s="25">
        <f>SUM(Plan!FF1041:FF1133)</f>
        <v>0</v>
      </c>
      <c r="BG6" s="26">
        <f>SUM(Plan!DD1041:DD1133)+SUM(Plan!DF1041:DF1133)+SUM(Plan!DH1041:DH1133)+SUM(Plan!DJ1041:DJ1133)+SUM(Plan!DL1041:DL1133)+SUM(Plan!DN1041:DN1133)+SUM(Plan!DP1041:DP1133)+SUM(Plan!DR1041:DR1133)+SUM(Plan!DT1041:DT1133)+SUM(Plan!DV1041:DV1133)+SUM(Plan!DX1041:DX1133)+SUM(Plan!DZ1041:DZ1133)+SUM(Plan!EB1041:EB1133)+SUM(Plan!ED1041:ED1133)+SUM(Plan!EF1041:EF1133)+SUM(Plan!EH1041:EH1133)+SUM(Plan!EJ1041:EJ1133)+SUM(Plan!EL1041:EL1133)+SUM(Plan!EN1041:EN1133)+SUM(Plan!EP1041:EP1133)+SUM(Plan!ER1041:ER1133)+SUM(Plan!ET1041:ET1133)+SUM(Plan!EV1041:EV1133)+SUM(Plan!EX1041:EX1133)+SUM(Plan!EZ1041:EZ1133)+SUM(Plan!FB1041:FB1133)+SUM(Plan!FD1041:FD1133)+SUM(Plan!FF1041:FF1133)</f>
        <v>524</v>
      </c>
    </row>
    <row r="7" spans="1:59" x14ac:dyDescent="0.25">
      <c r="A7" s="24" t="s">
        <v>835</v>
      </c>
      <c r="B7" s="25">
        <f>COUNTA(Plan!C1135:C1215)</f>
        <v>73</v>
      </c>
      <c r="C7" s="25">
        <f>SUM(Plan!DC1135:DC1215)</f>
        <v>0</v>
      </c>
      <c r="D7" s="25">
        <f>SUM(Plan!DD1135:DD1215)</f>
        <v>0</v>
      </c>
      <c r="E7" s="25">
        <f>SUM(Plan!DE1135:DE1215)</f>
        <v>0</v>
      </c>
      <c r="F7" s="25">
        <f>SUM(Plan!DF1135:DF1215)</f>
        <v>0</v>
      </c>
      <c r="G7" s="25">
        <f>SUM(Plan!DG1135:DG1215)</f>
        <v>0</v>
      </c>
      <c r="H7" s="25">
        <f>SUM(Plan!DH1135:DH1215)</f>
        <v>0</v>
      </c>
      <c r="I7" s="25">
        <f>SUM(Plan!DI1135:DI1215)</f>
        <v>17</v>
      </c>
      <c r="J7" s="25">
        <f>SUM(Plan!DJ1135:DJ1215)</f>
        <v>129</v>
      </c>
      <c r="K7" s="25">
        <f>SUM(Plan!DK1135:DK1215)</f>
        <v>0</v>
      </c>
      <c r="L7" s="25">
        <f>SUM(Plan!DL1135:DL1215)</f>
        <v>2</v>
      </c>
      <c r="M7" s="25">
        <f>SUM(Plan!DM1135:DM1215)</f>
        <v>0</v>
      </c>
      <c r="N7" s="25">
        <f>SUM(Plan!DN1135:DN1215)</f>
        <v>0</v>
      </c>
      <c r="O7" s="25">
        <f>SUM(Plan!DO1135:DO1215)</f>
        <v>0</v>
      </c>
      <c r="P7" s="25">
        <f>SUM(Plan!DP1135:DP1215)</f>
        <v>0</v>
      </c>
      <c r="Q7" s="25">
        <f>SUM(Plan!DQ1135:DQ1215)</f>
        <v>0</v>
      </c>
      <c r="R7" s="25">
        <f>SUM(Plan!DR1135:DR1215)</f>
        <v>0</v>
      </c>
      <c r="S7" s="25">
        <f>SUM(Plan!DS1135:DS1215)</f>
        <v>0</v>
      </c>
      <c r="T7" s="25">
        <f>SUM(Plan!DT1135:DT1215)</f>
        <v>0</v>
      </c>
      <c r="U7" s="25">
        <f>SUM(Plan!DU1135:DU1215)</f>
        <v>0</v>
      </c>
      <c r="V7" s="25">
        <f>SUM(Plan!DV1135:DV1215)</f>
        <v>12</v>
      </c>
      <c r="W7" s="25">
        <f>SUM(Plan!DW1135:DW1215)</f>
        <v>23</v>
      </c>
      <c r="X7" s="25">
        <f>SUM(Plan!DX1135:DX1215)</f>
        <v>114</v>
      </c>
      <c r="Y7" s="25">
        <f>SUM(Plan!DY1135:DY1215)</f>
        <v>0</v>
      </c>
      <c r="Z7" s="25">
        <f>SUM(Plan!DZ1135:DZ1215)</f>
        <v>0</v>
      </c>
      <c r="AA7" s="25">
        <f>SUM(Plan!EA1135:EA1215)</f>
        <v>0</v>
      </c>
      <c r="AB7" s="25">
        <f>SUM(Plan!EB1135:EB1215)</f>
        <v>0</v>
      </c>
      <c r="AC7" s="25">
        <f>SUM(Plan!EC1135:EC1215)</f>
        <v>0</v>
      </c>
      <c r="AD7" s="25">
        <f>SUM(Plan!ED1135:ED1215)</f>
        <v>0</v>
      </c>
      <c r="AE7" s="25">
        <f>SUM(Plan!EE1135:EE1215)</f>
        <v>0</v>
      </c>
      <c r="AF7" s="25">
        <f>SUM(Plan!EF1135:EF1215)</f>
        <v>88</v>
      </c>
      <c r="AG7" s="25">
        <f>SUM(Plan!EG1135:EG1215)</f>
        <v>3</v>
      </c>
      <c r="AH7" s="25">
        <f>SUM(Plan!EH1135:EH1215)</f>
        <v>5</v>
      </c>
      <c r="AI7" s="25">
        <f>SUM(Plan!EI1135:EI1215)</f>
        <v>0</v>
      </c>
      <c r="AJ7" s="25">
        <f>SUM(Plan!EJ1135:EJ1215)</f>
        <v>0</v>
      </c>
      <c r="AK7" s="25">
        <f>SUM(Plan!EK1135:EK1215)</f>
        <v>0</v>
      </c>
      <c r="AL7" s="25">
        <f>SUM(Plan!EL1135:EL1215)</f>
        <v>0</v>
      </c>
      <c r="AM7" s="25">
        <f>SUM(Plan!EM1135:EM1215)</f>
        <v>0</v>
      </c>
      <c r="AN7" s="25">
        <f>SUM(Plan!EN1135:EN1215)</f>
        <v>0</v>
      </c>
      <c r="AO7" s="25">
        <f>SUM(Plan!EO1135:EO1215)</f>
        <v>0</v>
      </c>
      <c r="AP7" s="25">
        <f>SUM(Plan!EP1135:EP1215)</f>
        <v>0</v>
      </c>
      <c r="AQ7" s="25">
        <f>SUM(Plan!EQ1135:EQ1215)</f>
        <v>0</v>
      </c>
      <c r="AR7" s="25">
        <f>SUM(Plan!ER1135:ER1215)</f>
        <v>0</v>
      </c>
      <c r="AS7" s="25">
        <f>SUM(Plan!ES1135:ES1215)</f>
        <v>26</v>
      </c>
      <c r="AT7" s="25">
        <f>SUM(Plan!ET1135:ET1215)</f>
        <v>339</v>
      </c>
      <c r="AU7" s="25">
        <f>SUM(Plan!EU1135:EU1215)</f>
        <v>0</v>
      </c>
      <c r="AV7" s="25">
        <f>SUM(Plan!EV1135:EV1215)</f>
        <v>0</v>
      </c>
      <c r="AW7" s="25">
        <f>SUM(Plan!EW1135:EW1215)</f>
        <v>40</v>
      </c>
      <c r="AX7" s="25">
        <f>SUM(Plan!EX1135:EX1215)</f>
        <v>95</v>
      </c>
      <c r="AY7" s="25">
        <f>SUM(Plan!EY1135:EY1215)</f>
        <v>0</v>
      </c>
      <c r="AZ7" s="25">
        <f>SUM(Plan!EZ1135:EZ1215)</f>
        <v>0</v>
      </c>
      <c r="BA7" s="25">
        <f>SUM(Plan!FA1135:FA1215)</f>
        <v>0</v>
      </c>
      <c r="BB7" s="25">
        <f>SUM(Plan!FB1135:FB1215)</f>
        <v>0</v>
      </c>
      <c r="BC7" s="25">
        <f>SUM(Plan!FC1135:FC1215)</f>
        <v>7</v>
      </c>
      <c r="BD7" s="25">
        <f>SUM(Plan!FD1135:FD1215)</f>
        <v>10</v>
      </c>
      <c r="BE7" s="25">
        <f>SUM(Plan!FE1135:FE1215)</f>
        <v>0</v>
      </c>
      <c r="BF7" s="25">
        <f>SUM(Plan!FF1135:FF1215)</f>
        <v>0</v>
      </c>
      <c r="BG7" s="26">
        <f>SUM(Plan!DD1135:DD1215)+SUM(Plan!DF1135:DF1215)+SUM(Plan!DH1135:DH1215)+SUM(Plan!DJ1135:DJ1215)+SUM(Plan!DL1135:DL1215)+SUM(Plan!DN1135:DN1215)+SUM(Plan!DP1135:DP1215)+SUM(Plan!DR1135:DR1215)+SUM(Plan!DT1135:DT1215)+SUM(Plan!DV1135:DV1215)+SUM(Plan!DX1135:DX1215)+SUM(Plan!DZ1135:DZ1215)+SUM(Plan!EB1135:EB1215)+SUM(Plan!ED1135:ED1215)+SUM(Plan!EF1135:EF1215)+SUM(Plan!EH1135:EH1215)+SUM(Plan!EJ1135:EJ1215)+SUM(Plan!EL1135:EL1215)+SUM(Plan!EN1135:EN1215)+SUM(Plan!EP1135:EP1215)+SUM(Plan!ER1135:ER1215)+SUM(Plan!ET1135:ET1215)+SUM(Plan!EV1135:EV1215)+SUM(Plan!EX1135:EX1215)+SUM(Plan!EZ1135:EZ1215)+SUM(Plan!FB1135:FB1215)+SUM(Plan!FD1135:FD1215)+SUM(Plan!FF1135:FF1215)</f>
        <v>794</v>
      </c>
    </row>
    <row r="8" spans="1:59" x14ac:dyDescent="0.25">
      <c r="A8" s="24" t="s">
        <v>900</v>
      </c>
      <c r="B8" s="25">
        <f>COUNTA(Plan!C1217:C1343)</f>
        <v>114</v>
      </c>
      <c r="C8" s="25">
        <f>SUM(Plan!DC1217:DC1343)</f>
        <v>0</v>
      </c>
      <c r="D8" s="25">
        <f>SUM(Plan!DD1217:DD1343)</f>
        <v>5</v>
      </c>
      <c r="E8" s="25">
        <f>SUM(Plan!DE1217:DE1343)</f>
        <v>0</v>
      </c>
      <c r="F8" s="25">
        <f>SUM(Plan!DF1217:DF1343)</f>
        <v>0</v>
      </c>
      <c r="G8" s="25">
        <f>SUM(Plan!DG1217:DG1343)</f>
        <v>0</v>
      </c>
      <c r="H8" s="25">
        <f>SUM(Plan!DH1217:DH1343)</f>
        <v>0</v>
      </c>
      <c r="I8" s="25">
        <f>SUM(Plan!DI1217:DI1343)</f>
        <v>116</v>
      </c>
      <c r="J8" s="25">
        <f>SUM(Plan!DJ1217:DJ1343)</f>
        <v>154</v>
      </c>
      <c r="K8" s="25">
        <f>SUM(Plan!DK1217:DK1343)</f>
        <v>0</v>
      </c>
      <c r="L8" s="25">
        <f>SUM(Plan!DL1217:DL1343)</f>
        <v>4</v>
      </c>
      <c r="M8" s="25">
        <f>SUM(Plan!DM1217:DM1343)</f>
        <v>0</v>
      </c>
      <c r="N8" s="25">
        <f>SUM(Plan!DN1217:DN1343)</f>
        <v>0</v>
      </c>
      <c r="O8" s="25">
        <f>SUM(Plan!DO1217:DO1343)</f>
        <v>0</v>
      </c>
      <c r="P8" s="25">
        <f>SUM(Plan!DP1217:DP1343)</f>
        <v>0</v>
      </c>
      <c r="Q8" s="25">
        <f>SUM(Plan!DQ1217:DQ1343)</f>
        <v>4.5</v>
      </c>
      <c r="R8" s="25">
        <f>SUM(Plan!DR1217:DR1343)</f>
        <v>39</v>
      </c>
      <c r="S8" s="25">
        <f>SUM(Plan!DS1217:DS1343)</f>
        <v>0</v>
      </c>
      <c r="T8" s="25">
        <f>SUM(Plan!DT1217:DT1343)</f>
        <v>0</v>
      </c>
      <c r="U8" s="25">
        <f>SUM(Plan!DU1217:DU1343)</f>
        <v>0</v>
      </c>
      <c r="V8" s="25">
        <f>SUM(Plan!DV1217:DV1343)</f>
        <v>0</v>
      </c>
      <c r="W8" s="25">
        <f>SUM(Plan!DW1217:DW1343)</f>
        <v>8</v>
      </c>
      <c r="X8" s="25">
        <f>SUM(Plan!DX1217:DX1343)</f>
        <v>151</v>
      </c>
      <c r="Y8" s="25">
        <f>SUM(Plan!DY1217:DY1343)</f>
        <v>0</v>
      </c>
      <c r="Z8" s="25">
        <f>SUM(Plan!DZ1217:DZ1343)</f>
        <v>0</v>
      </c>
      <c r="AA8" s="25">
        <f>SUM(Plan!EA1217:EA1343)</f>
        <v>0</v>
      </c>
      <c r="AB8" s="25">
        <f>SUM(Plan!EB1217:EB1343)</f>
        <v>0</v>
      </c>
      <c r="AC8" s="25">
        <f>SUM(Plan!EC1217:EC1343)</f>
        <v>0</v>
      </c>
      <c r="AD8" s="25">
        <f>SUM(Plan!ED1217:ED1343)</f>
        <v>0</v>
      </c>
      <c r="AE8" s="25">
        <f>SUM(Plan!EE1217:EE1343)</f>
        <v>0</v>
      </c>
      <c r="AF8" s="25">
        <f>SUM(Plan!EF1217:EF1343)</f>
        <v>0</v>
      </c>
      <c r="AG8" s="25">
        <f>SUM(Plan!EG1217:EG1343)</f>
        <v>3</v>
      </c>
      <c r="AH8" s="25">
        <f>SUM(Plan!EH1217:EH1343)</f>
        <v>5</v>
      </c>
      <c r="AI8" s="25">
        <f>SUM(Plan!EI1217:EI1343)</f>
        <v>0</v>
      </c>
      <c r="AJ8" s="25">
        <f>SUM(Plan!EJ1217:EJ1343)</f>
        <v>0</v>
      </c>
      <c r="AK8" s="25">
        <f>SUM(Plan!EK1217:EK1343)</f>
        <v>0</v>
      </c>
      <c r="AL8" s="25">
        <f>SUM(Plan!EL1217:EL1343)</f>
        <v>0</v>
      </c>
      <c r="AM8" s="25">
        <f>SUM(Plan!EM1217:EM1343)</f>
        <v>0</v>
      </c>
      <c r="AN8" s="25">
        <f>SUM(Plan!EN1217:EN1343)</f>
        <v>0</v>
      </c>
      <c r="AO8" s="25">
        <f>SUM(Plan!EO1217:EO1343)</f>
        <v>0</v>
      </c>
      <c r="AP8" s="25">
        <f>SUM(Plan!EP1217:EP1343)</f>
        <v>0</v>
      </c>
      <c r="AQ8" s="25">
        <f>SUM(Plan!EQ1217:EQ1343)</f>
        <v>0</v>
      </c>
      <c r="AR8" s="25">
        <f>SUM(Plan!ER1217:ER1343)</f>
        <v>0</v>
      </c>
      <c r="AS8" s="25">
        <f>SUM(Plan!ES1217:ES1343)</f>
        <v>51.5</v>
      </c>
      <c r="AT8" s="25">
        <f>SUM(Plan!ET1217:ET1343)</f>
        <v>277.5</v>
      </c>
      <c r="AU8" s="25">
        <f>SUM(Plan!EU1217:EU1343)</f>
        <v>0</v>
      </c>
      <c r="AV8" s="25">
        <f>SUM(Plan!EV1217:EV1343)</f>
        <v>0</v>
      </c>
      <c r="AW8" s="25">
        <f>SUM(Plan!EW1217:EW1343)</f>
        <v>20</v>
      </c>
      <c r="AX8" s="25">
        <f>SUM(Plan!EX1217:EX1343)</f>
        <v>20</v>
      </c>
      <c r="AY8" s="25">
        <f>SUM(Plan!EY1217:EY1343)</f>
        <v>0</v>
      </c>
      <c r="AZ8" s="25">
        <f>SUM(Plan!EZ1217:EZ1343)</f>
        <v>0</v>
      </c>
      <c r="BA8" s="25">
        <f>SUM(Plan!FA1217:FA1343)</f>
        <v>0</v>
      </c>
      <c r="BB8" s="25">
        <f>SUM(Plan!FB1217:FB1343)</f>
        <v>0</v>
      </c>
      <c r="BC8" s="25">
        <f>SUM(Plan!FC1217:FC1343)</f>
        <v>0.5</v>
      </c>
      <c r="BD8" s="25">
        <f>SUM(Plan!FD1217:FD1343)</f>
        <v>11</v>
      </c>
      <c r="BE8" s="25">
        <f>SUM(Plan!FE1217:FE1343)</f>
        <v>0</v>
      </c>
      <c r="BF8" s="25">
        <f>SUM(Plan!FF1217:FF1343)</f>
        <v>0</v>
      </c>
      <c r="BG8" s="26">
        <f>SUM(Plan!DD1217:DD1343)+SUM(Plan!DF1217:DF1343)+SUM(Plan!DH1217:DH1343)+SUM(Plan!DJ1217:DJ1343)+SUM(Plan!DL1217:DL1343)+SUM(Plan!DN1217:DN1343)+SUM(Plan!DP1217:DP1343)+SUM(Plan!DR1217:DR1343)+SUM(Plan!DT1217:DT1343)+SUM(Plan!DV1217:DV1343)+SUM(Plan!DX1217:DX1343)+SUM(Plan!DZ1217:DZ1343)+SUM(Plan!EB1217:EB1343)+SUM(Plan!ED1217:ED1343)+SUM(Plan!EF1217:EF1343)+SUM(Plan!EH1217:EH1343)+SUM(Plan!EJ1217:EJ1343)+SUM(Plan!EL1217:EL1343)+SUM(Plan!EN1217:EN1343)+SUM(Plan!EP1217:EP1343)+SUM(Plan!ER1217:ER1343)+SUM(Plan!ET1217:ET1343)+SUM(Plan!EV1217:EV1343)+SUM(Plan!EX1217:EX1343)+SUM(Plan!EZ1217:EZ1343)+SUM(Plan!FB1217:FB1343)+SUM(Plan!FD1217:FD1343)+SUM(Plan!FF1217:FF1343)</f>
        <v>666.5</v>
      </c>
    </row>
    <row r="9" spans="1:59" x14ac:dyDescent="0.25">
      <c r="A9" s="24" t="s">
        <v>978</v>
      </c>
      <c r="B9" s="25">
        <f>COUNTA(Plan!C1345:C1500)</f>
        <v>145</v>
      </c>
      <c r="C9" s="25">
        <f>SUM(Plan!DC1345:DC1500)</f>
        <v>0</v>
      </c>
      <c r="D9" s="25">
        <f>SUM(Plan!DD1345:DD1500)</f>
        <v>5</v>
      </c>
      <c r="E9" s="25">
        <f>SUM(Plan!DE1345:DE1500)</f>
        <v>0</v>
      </c>
      <c r="F9" s="25">
        <f>SUM(Plan!DF1345:DF1500)</f>
        <v>0</v>
      </c>
      <c r="G9" s="25">
        <f>SUM(Plan!DG1345:DG1500)</f>
        <v>0</v>
      </c>
      <c r="H9" s="25">
        <f>SUM(Plan!DH1345:DH1500)</f>
        <v>0</v>
      </c>
      <c r="I9" s="25">
        <f>SUM(Plan!DI1345:DI1500)</f>
        <v>3</v>
      </c>
      <c r="J9" s="25">
        <f>SUM(Plan!DJ1345:DJ1500)</f>
        <v>61</v>
      </c>
      <c r="K9" s="25">
        <f>SUM(Plan!DK1345:DK1500)</f>
        <v>0</v>
      </c>
      <c r="L9" s="25">
        <f>SUM(Plan!DL1345:DL1500)</f>
        <v>2</v>
      </c>
      <c r="M9" s="25">
        <f>SUM(Plan!DM1345:DM1500)</f>
        <v>4</v>
      </c>
      <c r="N9" s="25">
        <f>SUM(Plan!DN1345:DN1500)</f>
        <v>10</v>
      </c>
      <c r="O9" s="25">
        <f>SUM(Plan!DO1345:DO1500)</f>
        <v>0</v>
      </c>
      <c r="P9" s="25">
        <f>SUM(Plan!DP1345:DP1500)</f>
        <v>0</v>
      </c>
      <c r="Q9" s="25">
        <f>SUM(Plan!DQ1345:DQ1500)</f>
        <v>0</v>
      </c>
      <c r="R9" s="25">
        <f>SUM(Plan!DR1345:DR1500)</f>
        <v>2</v>
      </c>
      <c r="S9" s="25">
        <f>SUM(Plan!DS1345:DS1500)</f>
        <v>0</v>
      </c>
      <c r="T9" s="25">
        <f>SUM(Plan!DT1345:DT1500)</f>
        <v>0</v>
      </c>
      <c r="U9" s="25">
        <f>SUM(Plan!DU1345:DU1500)</f>
        <v>0</v>
      </c>
      <c r="V9" s="25">
        <f>SUM(Plan!DV1345:DV1500)</f>
        <v>1</v>
      </c>
      <c r="W9" s="25">
        <f>SUM(Plan!DW1345:DW1500)</f>
        <v>0</v>
      </c>
      <c r="X9" s="25">
        <f>SUM(Plan!DX1345:DX1500)</f>
        <v>91</v>
      </c>
      <c r="Y9" s="25">
        <f>SUM(Plan!DY1345:DY1500)</f>
        <v>0</v>
      </c>
      <c r="Z9" s="25">
        <f>SUM(Plan!DZ1345:DZ1500)</f>
        <v>0</v>
      </c>
      <c r="AA9" s="25">
        <f>SUM(Plan!EA1345:EA1500)</f>
        <v>0</v>
      </c>
      <c r="AB9" s="25">
        <f>SUM(Plan!EB1345:EB1500)</f>
        <v>0</v>
      </c>
      <c r="AC9" s="25">
        <f>SUM(Plan!EC1345:EC1500)</f>
        <v>373.8</v>
      </c>
      <c r="AD9" s="25">
        <f>SUM(Plan!ED1345:ED1500)</f>
        <v>546.6</v>
      </c>
      <c r="AE9" s="25">
        <f>SUM(Plan!EE1345:EE1500)</f>
        <v>0</v>
      </c>
      <c r="AF9" s="25">
        <f>SUM(Plan!EF1345:EF1500)</f>
        <v>22</v>
      </c>
      <c r="AG9" s="25">
        <f>SUM(Plan!EG1345:EG1500)</f>
        <v>0</v>
      </c>
      <c r="AH9" s="25">
        <f>SUM(Plan!EH1345:EH1500)</f>
        <v>0</v>
      </c>
      <c r="AI9" s="25">
        <f>SUM(Plan!EI1345:EI1500)</f>
        <v>0</v>
      </c>
      <c r="AJ9" s="25">
        <f>SUM(Plan!EJ1345:EJ1500)</f>
        <v>0</v>
      </c>
      <c r="AK9" s="25">
        <f>SUM(Plan!EK1345:EK1500)</f>
        <v>0</v>
      </c>
      <c r="AL9" s="25">
        <f>SUM(Plan!EL1345:EL1500)</f>
        <v>0</v>
      </c>
      <c r="AM9" s="25">
        <f>SUM(Plan!EM1345:EM1500)</f>
        <v>0</v>
      </c>
      <c r="AN9" s="25">
        <f>SUM(Plan!EN1345:EN1500)</f>
        <v>4</v>
      </c>
      <c r="AO9" s="25">
        <f>SUM(Plan!EO1345:EO1500)</f>
        <v>0</v>
      </c>
      <c r="AP9" s="25">
        <f>SUM(Plan!EP1345:EP1500)</f>
        <v>0</v>
      </c>
      <c r="AQ9" s="25">
        <f>SUM(Plan!EQ1345:EQ1500)</f>
        <v>0</v>
      </c>
      <c r="AR9" s="25">
        <f>SUM(Plan!ER1345:ER1500)</f>
        <v>0</v>
      </c>
      <c r="AS9" s="25">
        <f>SUM(Plan!ES1345:ES1500)</f>
        <v>54</v>
      </c>
      <c r="AT9" s="25">
        <f>SUM(Plan!ET1345:ET1500)</f>
        <v>394</v>
      </c>
      <c r="AU9" s="25">
        <f>SUM(Plan!EU1345:EU1500)</f>
        <v>0</v>
      </c>
      <c r="AV9" s="25">
        <f>SUM(Plan!EV1345:EV1500)</f>
        <v>0</v>
      </c>
      <c r="AW9" s="25">
        <f>SUM(Plan!EW1345:EW1500)</f>
        <v>87</v>
      </c>
      <c r="AX9" s="25">
        <f>SUM(Plan!EX1345:EX1500)</f>
        <v>143</v>
      </c>
      <c r="AY9" s="25">
        <f>SUM(Plan!EY1345:EY1500)</f>
        <v>0</v>
      </c>
      <c r="AZ9" s="25">
        <f>SUM(Plan!EZ1345:EZ1500)</f>
        <v>0</v>
      </c>
      <c r="BA9" s="25">
        <f>SUM(Plan!FA1345:FA1500)</f>
        <v>0</v>
      </c>
      <c r="BB9" s="25">
        <f>SUM(Plan!FB1345:FB1500)</f>
        <v>0</v>
      </c>
      <c r="BC9" s="25">
        <f>SUM(Plan!FC1345:FC1500)</f>
        <v>1.5</v>
      </c>
      <c r="BD9" s="25">
        <f>SUM(Plan!FD1345:FD1500)</f>
        <v>2</v>
      </c>
      <c r="BE9" s="25">
        <f>SUM(Plan!FE1345:FE1500)</f>
        <v>0</v>
      </c>
      <c r="BF9" s="25">
        <f>SUM(Plan!FF1345:FF1500)</f>
        <v>0</v>
      </c>
      <c r="BG9" s="26">
        <f>SUM(Plan!DD1345:DD1500)+SUM(Plan!DF1345:DF1500)+SUM(Plan!DH1345:DH1500)+SUM(Plan!DJ1345:DJ1500)+SUM(Plan!DL1345:DL1500)+SUM(Plan!DN1345:DN1500)+SUM(Plan!DP1345:DP1500)+SUM(Plan!DR1345:DR1500)+SUM(Plan!DT1345:DT1500)+SUM(Plan!DV1345:DV1500)+SUM(Plan!DX1345:DX1500)+SUM(Plan!DZ1345:DZ1500)+SUM(Plan!EB1345:EB1500)+SUM(Plan!ED1345:ED1500)+SUM(Plan!EF1345:EF1500)+SUM(Plan!EH1345:EH1500)+SUM(Plan!EJ1345:EJ1500)+SUM(Plan!EL1345:EL1500)+SUM(Plan!EN1345:EN1500)+SUM(Plan!EP1345:EP1500)+SUM(Plan!ER1345:ER1500)+SUM(Plan!ET1345:ET1500)+SUM(Plan!EV1345:EV1500)+SUM(Plan!EX1345:EX1500)+SUM(Plan!EZ1345:EZ1500)+SUM(Plan!FB1345:FB1500)+SUM(Plan!FD1345:FD1500)+SUM(Plan!FF1345:FF1500)</f>
        <v>1283.5999999999999</v>
      </c>
    </row>
    <row r="10" spans="1:59" x14ac:dyDescent="0.25">
      <c r="A10" s="24" t="s">
        <v>1092</v>
      </c>
      <c r="B10" s="25">
        <f>COUNTA(Plan!C1502:C1517)</f>
        <v>9</v>
      </c>
      <c r="C10" s="25">
        <f>SUM(Plan!DC1502:DC1517)</f>
        <v>0</v>
      </c>
      <c r="D10" s="25">
        <f>SUM(Plan!DD1502:DD1517)</f>
        <v>0</v>
      </c>
      <c r="E10" s="25">
        <f>SUM(Plan!DE1502:DE1517)</f>
        <v>0</v>
      </c>
      <c r="F10" s="25">
        <f>SUM(Plan!DF1502:DF1517)</f>
        <v>0</v>
      </c>
      <c r="G10" s="25">
        <f>SUM(Plan!DG1502:DG1517)</f>
        <v>0</v>
      </c>
      <c r="H10" s="25">
        <f>SUM(Plan!DH1502:DH1517)</f>
        <v>0</v>
      </c>
      <c r="I10" s="25">
        <f>SUM(Plan!DI1502:DI1517)</f>
        <v>0</v>
      </c>
      <c r="J10" s="25">
        <f>SUM(Plan!DJ1502:DJ1517)</f>
        <v>40</v>
      </c>
      <c r="K10" s="25">
        <f>SUM(Plan!DK1502:DK1517)</f>
        <v>0</v>
      </c>
      <c r="L10" s="25">
        <f>SUM(Plan!DL1502:DL1517)</f>
        <v>0</v>
      </c>
      <c r="M10" s="25">
        <f>SUM(Plan!DM1502:DM1517)</f>
        <v>0</v>
      </c>
      <c r="N10" s="25">
        <f>SUM(Plan!DN1502:DN1517)</f>
        <v>0</v>
      </c>
      <c r="O10" s="25">
        <f>SUM(Plan!DO1502:DO1517)</f>
        <v>0</v>
      </c>
      <c r="P10" s="25">
        <f>SUM(Plan!DP1502:DP1517)</f>
        <v>0</v>
      </c>
      <c r="Q10" s="25">
        <f>SUM(Plan!DQ1502:DQ1517)</f>
        <v>0</v>
      </c>
      <c r="R10" s="25">
        <f>SUM(Plan!DR1502:DR1517)</f>
        <v>0</v>
      </c>
      <c r="S10" s="25">
        <f>SUM(Plan!DS1502:DS1517)</f>
        <v>0</v>
      </c>
      <c r="T10" s="25">
        <f>SUM(Plan!DT1502:DT1517)</f>
        <v>0</v>
      </c>
      <c r="U10" s="25">
        <f>SUM(Plan!DU1502:DU1517)</f>
        <v>22.8</v>
      </c>
      <c r="V10" s="25">
        <f>SUM(Plan!DV1502:DV1517)</f>
        <v>31.5</v>
      </c>
      <c r="W10" s="25">
        <f>SUM(Plan!DW1502:DW1517)</f>
        <v>5.7</v>
      </c>
      <c r="X10" s="25">
        <f>SUM(Plan!DX1502:DX1517)</f>
        <v>8.6</v>
      </c>
      <c r="Y10" s="25">
        <f>SUM(Plan!DY1502:DY1517)</f>
        <v>0</v>
      </c>
      <c r="Z10" s="25">
        <f>SUM(Plan!DZ1502:DZ1517)</f>
        <v>0</v>
      </c>
      <c r="AA10" s="25">
        <f>SUM(Plan!EA1502:EA1517)</f>
        <v>0</v>
      </c>
      <c r="AB10" s="25">
        <f>SUM(Plan!EB1502:EB1517)</f>
        <v>0</v>
      </c>
      <c r="AC10" s="25">
        <f>SUM(Plan!EC1502:EC1517)</f>
        <v>0</v>
      </c>
      <c r="AD10" s="25">
        <f>SUM(Plan!ED1502:ED1517)</f>
        <v>0</v>
      </c>
      <c r="AE10" s="25">
        <f>SUM(Plan!EE1502:EE1517)</f>
        <v>0</v>
      </c>
      <c r="AF10" s="25">
        <f>SUM(Plan!EF1502:EF1517)</f>
        <v>0</v>
      </c>
      <c r="AG10" s="25">
        <f>SUM(Plan!EG1502:EG1517)</f>
        <v>0</v>
      </c>
      <c r="AH10" s="25">
        <f>SUM(Plan!EH1502:EH1517)</f>
        <v>0</v>
      </c>
      <c r="AI10" s="25">
        <f>SUM(Plan!EI1502:EI1517)</f>
        <v>0</v>
      </c>
      <c r="AJ10" s="25">
        <f>SUM(Plan!EJ1502:EJ1517)</f>
        <v>0</v>
      </c>
      <c r="AK10" s="25">
        <f>SUM(Plan!EK1502:EK1517)</f>
        <v>0</v>
      </c>
      <c r="AL10" s="25">
        <f>SUM(Plan!EL1502:EL1517)</f>
        <v>0</v>
      </c>
      <c r="AM10" s="25">
        <f>SUM(Plan!EM1502:EM1517)</f>
        <v>0</v>
      </c>
      <c r="AN10" s="25">
        <f>SUM(Plan!EN1502:EN1517)</f>
        <v>0</v>
      </c>
      <c r="AO10" s="25">
        <f>SUM(Plan!EO1502:EO1517)</f>
        <v>0</v>
      </c>
      <c r="AP10" s="25">
        <f>SUM(Plan!EP1502:EP1517)</f>
        <v>0</v>
      </c>
      <c r="AQ10" s="25">
        <f>SUM(Plan!EQ1502:EQ1517)</f>
        <v>0</v>
      </c>
      <c r="AR10" s="25">
        <f>SUM(Plan!ER1502:ER1517)</f>
        <v>0</v>
      </c>
      <c r="AS10" s="25">
        <f>SUM(Plan!ES1502:ES1517)</f>
        <v>0</v>
      </c>
      <c r="AT10" s="25">
        <f>SUM(Plan!ET1502:ET1517)</f>
        <v>30</v>
      </c>
      <c r="AU10" s="25">
        <f>SUM(Plan!EU1502:EU1517)</f>
        <v>0</v>
      </c>
      <c r="AV10" s="25">
        <f>SUM(Plan!EV1502:EV1517)</f>
        <v>0</v>
      </c>
      <c r="AW10" s="25">
        <f>SUM(Plan!EW1502:EW1517)</f>
        <v>0</v>
      </c>
      <c r="AX10" s="25">
        <f>SUM(Plan!EX1502:EX1517)</f>
        <v>0</v>
      </c>
      <c r="AY10" s="25">
        <f>SUM(Plan!EY1502:EY1517)</f>
        <v>0</v>
      </c>
      <c r="AZ10" s="25">
        <f>SUM(Plan!EZ1502:EZ1517)</f>
        <v>0</v>
      </c>
      <c r="BA10" s="25">
        <f>SUM(Plan!FA1502:FA1517)</f>
        <v>0</v>
      </c>
      <c r="BB10" s="25">
        <f>SUM(Plan!FB1502:FB1517)</f>
        <v>0</v>
      </c>
      <c r="BC10" s="25">
        <f>SUM(Plan!FC1502:FC1517)</f>
        <v>0</v>
      </c>
      <c r="BD10" s="25">
        <f>SUM(Plan!FD1502:FD1517)</f>
        <v>0</v>
      </c>
      <c r="BE10" s="25">
        <f>SUM(Plan!FE1502:FE1517)</f>
        <v>0</v>
      </c>
      <c r="BF10" s="25">
        <f>SUM(Plan!FF1502:FF1517)</f>
        <v>0</v>
      </c>
      <c r="BG10" s="26">
        <f>SUM(Plan!DD1502:DD1517)+SUM(Plan!DF1502:DF1517)+SUM(Plan!DH1502:DH1517)+SUM(Plan!DJ1502:DJ1517)+SUM(Plan!DL1502:DL1517)+SUM(Plan!DN1502:DN1517)+SUM(Plan!DP1502:DP1517)+SUM(Plan!DR1502:DR1517)+SUM(Plan!DT1502:DT1517)+SUM(Plan!DV1502:DV1517)+SUM(Plan!DX1502:DX1517)+SUM(Plan!DZ1502:DZ1517)+SUM(Plan!EB1502:EB1517)+SUM(Plan!ED1502:ED1517)+SUM(Plan!EF1502:EF1517)+SUM(Plan!EH1502:EH1517)+SUM(Plan!EJ1502:EJ1517)+SUM(Plan!EL1502:EL1517)+SUM(Plan!EN1502:EN1517)+SUM(Plan!EP1502:EP1517)+SUM(Plan!ER1502:ER1517)+SUM(Plan!ET1502:ET1517)+SUM(Plan!EV1502:EV1517)+SUM(Plan!EX1502:EX1517)+SUM(Plan!EZ1502:EZ1517)+SUM(Plan!FB1502:FB1517)+SUM(Plan!FD1502:FD1517)+SUM(Plan!FF1502:FF1517)</f>
        <v>110.1</v>
      </c>
    </row>
    <row r="11" spans="1:59" x14ac:dyDescent="0.25">
      <c r="A11" s="24" t="s">
        <v>1109</v>
      </c>
      <c r="B11" s="25">
        <f>COUNTA(Plan!C1519:C1582)</f>
        <v>44</v>
      </c>
      <c r="C11" s="25">
        <f>SUM(Plan!DC1519:DC1582)</f>
        <v>0</v>
      </c>
      <c r="D11" s="25">
        <f>SUM(Plan!DD1519:DD1582)</f>
        <v>0</v>
      </c>
      <c r="E11" s="25">
        <f>SUM(Plan!DE1519:DE1582)</f>
        <v>0</v>
      </c>
      <c r="F11" s="25">
        <f>SUM(Plan!DF1519:DF1582)</f>
        <v>0</v>
      </c>
      <c r="G11" s="25">
        <f>SUM(Plan!DG1519:DG1582)</f>
        <v>0</v>
      </c>
      <c r="H11" s="25">
        <f>SUM(Plan!DH1519:DH1582)</f>
        <v>0</v>
      </c>
      <c r="I11" s="25">
        <f>SUM(Plan!DI1519:DI1582)</f>
        <v>3</v>
      </c>
      <c r="J11" s="25">
        <f>SUM(Plan!DJ1519:DJ1582)</f>
        <v>5</v>
      </c>
      <c r="K11" s="25">
        <f>SUM(Plan!DK1519:DK1582)</f>
        <v>0</v>
      </c>
      <c r="L11" s="25">
        <f>SUM(Plan!DL1519:DL1582)</f>
        <v>0</v>
      </c>
      <c r="M11" s="25">
        <f>SUM(Plan!DM1519:DM1582)</f>
        <v>0</v>
      </c>
      <c r="N11" s="25">
        <f>SUM(Plan!DN1519:DN1582)</f>
        <v>0</v>
      </c>
      <c r="O11" s="25">
        <f>SUM(Plan!DO1519:DO1582)</f>
        <v>0</v>
      </c>
      <c r="P11" s="25">
        <f>SUM(Plan!DP1519:DP1582)</f>
        <v>0</v>
      </c>
      <c r="Q11" s="25">
        <f>SUM(Plan!DQ1519:DQ1582)</f>
        <v>0</v>
      </c>
      <c r="R11" s="25">
        <f>SUM(Plan!DR1519:DR1582)</f>
        <v>0</v>
      </c>
      <c r="S11" s="25">
        <f>SUM(Plan!DS1519:DS1582)</f>
        <v>0</v>
      </c>
      <c r="T11" s="25">
        <f>SUM(Plan!DT1519:DT1582)</f>
        <v>0</v>
      </c>
      <c r="U11" s="25">
        <f>SUM(Plan!DU1519:DU1582)</f>
        <v>0</v>
      </c>
      <c r="V11" s="25">
        <f>SUM(Plan!DV1519:DV1582)</f>
        <v>0</v>
      </c>
      <c r="W11" s="25">
        <f>SUM(Plan!DW1519:DW1582)</f>
        <v>0</v>
      </c>
      <c r="X11" s="25">
        <f>SUM(Plan!DX1519:DX1582)</f>
        <v>0</v>
      </c>
      <c r="Y11" s="25">
        <f>SUM(Plan!DY1519:DY1582)</f>
        <v>0</v>
      </c>
      <c r="Z11" s="25">
        <f>SUM(Plan!DZ1519:DZ1582)</f>
        <v>0</v>
      </c>
      <c r="AA11" s="25">
        <f>SUM(Plan!EA1519:EA1582)</f>
        <v>0</v>
      </c>
      <c r="AB11" s="25">
        <f>SUM(Plan!EB1519:EB1582)</f>
        <v>0</v>
      </c>
      <c r="AC11" s="25">
        <f>SUM(Plan!EC1519:EC1582)</f>
        <v>0</v>
      </c>
      <c r="AD11" s="25">
        <f>SUM(Plan!ED1519:ED1582)</f>
        <v>0</v>
      </c>
      <c r="AE11" s="25">
        <f>SUM(Plan!EE1519:EE1582)</f>
        <v>0</v>
      </c>
      <c r="AF11" s="25">
        <f>SUM(Plan!EF1519:EF1582)</f>
        <v>0</v>
      </c>
      <c r="AG11" s="25">
        <f>SUM(Plan!EG1519:EG1582)</f>
        <v>0</v>
      </c>
      <c r="AH11" s="25">
        <f>SUM(Plan!EH1519:EH1582)</f>
        <v>0</v>
      </c>
      <c r="AI11" s="25">
        <f>SUM(Plan!EI1519:EI1582)</f>
        <v>0</v>
      </c>
      <c r="AJ11" s="25">
        <f>SUM(Plan!EJ1519:EJ1582)</f>
        <v>0</v>
      </c>
      <c r="AK11" s="25">
        <f>SUM(Plan!EK1519:EK1582)</f>
        <v>0</v>
      </c>
      <c r="AL11" s="25">
        <f>SUM(Plan!EL1519:EL1582)</f>
        <v>0</v>
      </c>
      <c r="AM11" s="25">
        <f>SUM(Plan!EM1519:EM1582)</f>
        <v>0</v>
      </c>
      <c r="AN11" s="25">
        <f>SUM(Plan!EN1519:EN1582)</f>
        <v>0</v>
      </c>
      <c r="AO11" s="25">
        <f>SUM(Plan!EO1519:EO1582)</f>
        <v>0</v>
      </c>
      <c r="AP11" s="25">
        <f>SUM(Plan!EP1519:EP1582)</f>
        <v>0</v>
      </c>
      <c r="AQ11" s="25">
        <f>SUM(Plan!EQ1519:EQ1582)</f>
        <v>0</v>
      </c>
      <c r="AR11" s="25">
        <f>SUM(Plan!ER1519:ER1582)</f>
        <v>0</v>
      </c>
      <c r="AS11" s="25">
        <f>SUM(Plan!ES1519:ES1582)</f>
        <v>22</v>
      </c>
      <c r="AT11" s="25">
        <f>SUM(Plan!ET1519:ET1582)</f>
        <v>258</v>
      </c>
      <c r="AU11" s="25">
        <f>SUM(Plan!EU1519:EU1582)</f>
        <v>0</v>
      </c>
      <c r="AV11" s="25">
        <f>SUM(Plan!EV1519:EV1582)</f>
        <v>0</v>
      </c>
      <c r="AW11" s="25">
        <f>SUM(Plan!EW1519:EW1582)</f>
        <v>39.5</v>
      </c>
      <c r="AX11" s="25">
        <f>SUM(Plan!EX1519:EX1582)</f>
        <v>75</v>
      </c>
      <c r="AY11" s="25">
        <f>SUM(Plan!EY1519:EY1582)</f>
        <v>0</v>
      </c>
      <c r="AZ11" s="25">
        <f>SUM(Plan!EZ1519:EZ1582)</f>
        <v>0</v>
      </c>
      <c r="BA11" s="25">
        <f>SUM(Plan!FA1519:FA1582)</f>
        <v>0</v>
      </c>
      <c r="BB11" s="25">
        <f>SUM(Plan!FB1519:FB1582)</f>
        <v>0</v>
      </c>
      <c r="BC11" s="25">
        <f>SUM(Plan!FC1519:FC1582)</f>
        <v>0</v>
      </c>
      <c r="BD11" s="25">
        <f>SUM(Plan!FD1519:FD1582)</f>
        <v>0</v>
      </c>
      <c r="BE11" s="25">
        <f>SUM(Plan!FE1519:FE1582)</f>
        <v>0</v>
      </c>
      <c r="BF11" s="25">
        <f>SUM(Plan!FF1519:FF1582)</f>
        <v>0</v>
      </c>
      <c r="BG11" s="26">
        <f>SUM(Plan!DD1519:DD1582)+SUM(Plan!DF1519:DF1582)+SUM(Plan!DH1519:DH1582)+SUM(Plan!DJ1519:DJ1582)+SUM(Plan!DL1519:DL1582)+SUM(Plan!DN1519:DN1582)+SUM(Plan!DP1519:DP1582)+SUM(Plan!DR1519:DR1582)+SUM(Plan!DT1519:DT1582)+SUM(Plan!DV1519:DV1582)+SUM(Plan!DX1519:DX1582)+SUM(Plan!DZ1519:DZ1582)+SUM(Plan!EB1519:EB1582)+SUM(Plan!ED1519:ED1582)+SUM(Plan!EF1519:EF1582)+SUM(Plan!EH1519:EH1582)+SUM(Plan!EJ1519:EJ1582)+SUM(Plan!EL1519:EL1582)+SUM(Plan!EN1519:EN1582)+SUM(Plan!EP1519:EP1582)+SUM(Plan!ER1519:ER1582)+SUM(Plan!ET1519:ET1582)+SUM(Plan!EV1519:EV1582)+SUM(Plan!EX1519:EX1582)+SUM(Plan!EZ1519:EZ1582)+SUM(Plan!FB1519:FB1582)+SUM(Plan!FD1519:FD1582)+SUM(Plan!FF1519:FF1582)</f>
        <v>338</v>
      </c>
    </row>
    <row r="12" spans="1:59" x14ac:dyDescent="0.25">
      <c r="A12" s="24" t="s">
        <v>1158</v>
      </c>
      <c r="B12" s="25">
        <f>COUNTA(Plan!C1584:C1591)</f>
        <v>0</v>
      </c>
      <c r="C12" s="25">
        <f>SUM(Plan!DC1584:DC1591)</f>
        <v>0</v>
      </c>
      <c r="D12" s="25">
        <f>SUM(Plan!DD1584:DD1591)</f>
        <v>0</v>
      </c>
      <c r="E12" s="25">
        <f>SUM(Plan!DE1584:DE1591)</f>
        <v>0</v>
      </c>
      <c r="F12" s="25">
        <f>SUM(Plan!DF1584:DF1591)</f>
        <v>0</v>
      </c>
      <c r="G12" s="25">
        <f>SUM(Plan!DG1584:DG1591)</f>
        <v>0</v>
      </c>
      <c r="H12" s="25">
        <f>SUM(Plan!DH1584:DH1591)</f>
        <v>0</v>
      </c>
      <c r="I12" s="25">
        <f>SUM(Plan!DI1584:DI1591)</f>
        <v>0</v>
      </c>
      <c r="J12" s="25">
        <f>SUM(Plan!DJ1584:DJ1591)</f>
        <v>0</v>
      </c>
      <c r="K12" s="25">
        <f>SUM(Plan!DK1584:DK1591)</f>
        <v>0</v>
      </c>
      <c r="L12" s="25">
        <f>SUM(Plan!DL1584:DL1591)</f>
        <v>0</v>
      </c>
      <c r="M12" s="25">
        <f>SUM(Plan!DM1584:DM1591)</f>
        <v>0</v>
      </c>
      <c r="N12" s="25">
        <f>SUM(Plan!DN1584:DN1591)</f>
        <v>0</v>
      </c>
      <c r="O12" s="25">
        <f>SUM(Plan!DO1584:DO1591)</f>
        <v>0</v>
      </c>
      <c r="P12" s="25">
        <f>SUM(Plan!DP1584:DP1591)</f>
        <v>0</v>
      </c>
      <c r="Q12" s="25">
        <f>SUM(Plan!DQ1584:DQ1591)</f>
        <v>0</v>
      </c>
      <c r="R12" s="25">
        <f>SUM(Plan!DR1584:DR1591)</f>
        <v>0</v>
      </c>
      <c r="S12" s="25">
        <f>SUM(Plan!DS1584:DS1591)</f>
        <v>0</v>
      </c>
      <c r="T12" s="25">
        <f>SUM(Plan!DT1584:DT1591)</f>
        <v>0</v>
      </c>
      <c r="U12" s="25">
        <f>SUM(Plan!DU1584:DU1591)</f>
        <v>0</v>
      </c>
      <c r="V12" s="25">
        <f>SUM(Plan!DV1584:DV1591)</f>
        <v>0</v>
      </c>
      <c r="W12" s="25">
        <f>SUM(Plan!DW1584:DW1591)</f>
        <v>0</v>
      </c>
      <c r="X12" s="25">
        <f>SUM(Plan!DX1584:DX1591)</f>
        <v>0</v>
      </c>
      <c r="Y12" s="25">
        <f>SUM(Plan!DY1584:DY1591)</f>
        <v>0</v>
      </c>
      <c r="Z12" s="25">
        <f>SUM(Plan!DZ1584:DZ1591)</f>
        <v>0</v>
      </c>
      <c r="AA12" s="25">
        <f>SUM(Plan!EA1584:EA1591)</f>
        <v>0</v>
      </c>
      <c r="AB12" s="25">
        <f>SUM(Plan!EB1584:EB1591)</f>
        <v>0</v>
      </c>
      <c r="AC12" s="25">
        <f>SUM(Plan!EC1584:EC1591)</f>
        <v>0</v>
      </c>
      <c r="AD12" s="25">
        <f>SUM(Plan!ED1584:ED1591)</f>
        <v>0</v>
      </c>
      <c r="AE12" s="25">
        <f>SUM(Plan!EE1584:EE1591)</f>
        <v>0</v>
      </c>
      <c r="AF12" s="25">
        <f>SUM(Plan!EF1584:EF1591)</f>
        <v>0</v>
      </c>
      <c r="AG12" s="25">
        <f>SUM(Plan!EG1584:EG1591)</f>
        <v>0</v>
      </c>
      <c r="AH12" s="25">
        <f>SUM(Plan!EH1584:EH1591)</f>
        <v>0</v>
      </c>
      <c r="AI12" s="25">
        <f>SUM(Plan!EI1584:EI1591)</f>
        <v>0</v>
      </c>
      <c r="AJ12" s="25">
        <f>SUM(Plan!EJ1584:EJ1591)</f>
        <v>0</v>
      </c>
      <c r="AK12" s="25">
        <f>SUM(Plan!EK1584:EK1591)</f>
        <v>0</v>
      </c>
      <c r="AL12" s="25">
        <f>SUM(Plan!EL1584:EL1591)</f>
        <v>0</v>
      </c>
      <c r="AM12" s="25">
        <f>SUM(Plan!EM1584:EM1591)</f>
        <v>0</v>
      </c>
      <c r="AN12" s="25">
        <f>SUM(Plan!EN1584:EN1591)</f>
        <v>0</v>
      </c>
      <c r="AO12" s="25">
        <f>SUM(Plan!EO1584:EO1591)</f>
        <v>0</v>
      </c>
      <c r="AP12" s="25">
        <f>SUM(Plan!EP1584:EP1591)</f>
        <v>0</v>
      </c>
      <c r="AQ12" s="25">
        <f>SUM(Plan!EQ1584:EQ1591)</f>
        <v>0</v>
      </c>
      <c r="AR12" s="25">
        <f>SUM(Plan!ER1584:ER1591)</f>
        <v>0</v>
      </c>
      <c r="AS12" s="25">
        <f>SUM(Plan!ES1584:ES1591)</f>
        <v>0</v>
      </c>
      <c r="AT12" s="25">
        <f>SUM(Plan!ET1584:ET1591)</f>
        <v>0</v>
      </c>
      <c r="AU12" s="25">
        <f>SUM(Plan!EU1584:EU1591)</f>
        <v>0</v>
      </c>
      <c r="AV12" s="25">
        <f>SUM(Plan!EV1584:EV1591)</f>
        <v>0</v>
      </c>
      <c r="AW12" s="25">
        <f>SUM(Plan!EW1584:EW1591)</f>
        <v>0</v>
      </c>
      <c r="AX12" s="25">
        <f>SUM(Plan!EX1584:EX1591)</f>
        <v>0</v>
      </c>
      <c r="AY12" s="25">
        <f>SUM(Plan!EY1584:EY1591)</f>
        <v>0</v>
      </c>
      <c r="AZ12" s="25">
        <f>SUM(Plan!EZ1584:EZ1591)</f>
        <v>0</v>
      </c>
      <c r="BA12" s="25">
        <f>SUM(Plan!FA1584:FA1591)</f>
        <v>0</v>
      </c>
      <c r="BB12" s="25">
        <f>SUM(Plan!FB1584:FB1591)</f>
        <v>0</v>
      </c>
      <c r="BC12" s="25">
        <f>SUM(Plan!FC1584:FC1591)</f>
        <v>0</v>
      </c>
      <c r="BD12" s="25">
        <f>SUM(Plan!FD1584:FD1591)</f>
        <v>0</v>
      </c>
      <c r="BE12" s="25">
        <f>SUM(Plan!FE1584:FE1591)</f>
        <v>0</v>
      </c>
      <c r="BF12" s="25">
        <f>SUM(Plan!FF1584:FF1591)</f>
        <v>0</v>
      </c>
      <c r="BG12" s="26">
        <f>SUM(Plan!DD1584:DD1591)+SUM(Plan!DF1584:DF1591)+SUM(Plan!DH1584:DH1591)+SUM(Plan!DJ1584:DJ1591)+SUM(Plan!DL1584:DL1591)+SUM(Plan!DN1584:DN1591)+SUM(Plan!DP1584:DP1591)+SUM(Plan!DR1584:DR1591)+SUM(Plan!DT1584:DT1591)+SUM(Plan!DV1584:DV1591)+SUM(Plan!DX1584:DX1591)+SUM(Plan!DZ1584:DZ1591)+SUM(Plan!EB1584:EB1591)+SUM(Plan!ED1584:ED1591)+SUM(Plan!EF1584:EF1591)+SUM(Plan!EH1584:EH1591)+SUM(Plan!EJ1584:EJ1591)+SUM(Plan!EL1584:EL1591)+SUM(Plan!EN1584:EN1591)+SUM(Plan!EP1584:EP1591)+SUM(Plan!ER1584:ER1591)+SUM(Plan!ET1584:ET1591)+SUM(Plan!EV1584:EV1591)+SUM(Plan!EX1584:EX1591)+SUM(Plan!EZ1584:EZ1591)+SUM(Plan!FB1584:FB1591)+SUM(Plan!FD1584:FD1591)+SUM(Plan!FF1584:FF1591)</f>
        <v>0</v>
      </c>
    </row>
    <row r="13" spans="1:59" x14ac:dyDescent="0.25">
      <c r="A13" s="24" t="s">
        <v>1166</v>
      </c>
      <c r="B13" s="25">
        <f>COUNTA(Plan!C1593:C1601)</f>
        <v>0</v>
      </c>
      <c r="C13" s="25">
        <f>SUM(Plan!DC1593:DC1601)</f>
        <v>0</v>
      </c>
      <c r="D13" s="25">
        <f>SUM(Plan!DD1593:DD1601)</f>
        <v>0</v>
      </c>
      <c r="E13" s="25">
        <f>SUM(Plan!DE1593:DE1601)</f>
        <v>0</v>
      </c>
      <c r="F13" s="25">
        <f>SUM(Plan!DF1593:DF1601)</f>
        <v>0</v>
      </c>
      <c r="G13" s="25">
        <f>SUM(Plan!DG1593:DG1601)</f>
        <v>0</v>
      </c>
      <c r="H13" s="25">
        <f>SUM(Plan!DH1593:DH1601)</f>
        <v>0</v>
      </c>
      <c r="I13" s="25">
        <f>SUM(Plan!DI1593:DI1601)</f>
        <v>0</v>
      </c>
      <c r="J13" s="25">
        <f>SUM(Plan!DJ1593:DJ1601)</f>
        <v>0</v>
      </c>
      <c r="K13" s="25">
        <f>SUM(Plan!DK1593:DK1601)</f>
        <v>0</v>
      </c>
      <c r="L13" s="25">
        <f>SUM(Plan!DL1593:DL1601)</f>
        <v>0</v>
      </c>
      <c r="M13" s="25">
        <f>SUM(Plan!DM1593:DM1601)</f>
        <v>0</v>
      </c>
      <c r="N13" s="25">
        <f>SUM(Plan!DN1593:DN1601)</f>
        <v>0</v>
      </c>
      <c r="O13" s="25">
        <f>SUM(Plan!DO1593:DO1601)</f>
        <v>0</v>
      </c>
      <c r="P13" s="25">
        <f>SUM(Plan!DP1593:DP1601)</f>
        <v>0</v>
      </c>
      <c r="Q13" s="25">
        <f>SUM(Plan!DQ1593:DQ1601)</f>
        <v>0</v>
      </c>
      <c r="R13" s="25">
        <f>SUM(Plan!DR1593:DR1601)</f>
        <v>0</v>
      </c>
      <c r="S13" s="25">
        <f>SUM(Plan!DS1593:DS1601)</f>
        <v>0</v>
      </c>
      <c r="T13" s="25">
        <f>SUM(Plan!DT1593:DT1601)</f>
        <v>0</v>
      </c>
      <c r="U13" s="25">
        <f>SUM(Plan!DU1593:DU1601)</f>
        <v>0</v>
      </c>
      <c r="V13" s="25">
        <f>SUM(Plan!DV1593:DV1601)</f>
        <v>0</v>
      </c>
      <c r="W13" s="25">
        <f>SUM(Plan!DW1593:DW1601)</f>
        <v>0</v>
      </c>
      <c r="X13" s="25">
        <f>SUM(Plan!DX1593:DX1601)</f>
        <v>0</v>
      </c>
      <c r="Y13" s="25">
        <f>SUM(Plan!DY1593:DY1601)</f>
        <v>0</v>
      </c>
      <c r="Z13" s="25">
        <f>SUM(Plan!DZ1593:DZ1601)</f>
        <v>0</v>
      </c>
      <c r="AA13" s="25">
        <f>SUM(Plan!EA1593:EA1601)</f>
        <v>0</v>
      </c>
      <c r="AB13" s="25">
        <f>SUM(Plan!EB1593:EB1601)</f>
        <v>0</v>
      </c>
      <c r="AC13" s="25">
        <f>SUM(Plan!EC1593:EC1601)</f>
        <v>0</v>
      </c>
      <c r="AD13" s="25">
        <f>SUM(Plan!ED1593:ED1601)</f>
        <v>0</v>
      </c>
      <c r="AE13" s="25">
        <f>SUM(Plan!EE1593:EE1601)</f>
        <v>0</v>
      </c>
      <c r="AF13" s="25">
        <f>SUM(Plan!EF1593:EF1601)</f>
        <v>0</v>
      </c>
      <c r="AG13" s="25">
        <f>SUM(Plan!EG1593:EG1601)</f>
        <v>0</v>
      </c>
      <c r="AH13" s="25">
        <f>SUM(Plan!EH1593:EH1601)</f>
        <v>0</v>
      </c>
      <c r="AI13" s="25">
        <f>SUM(Plan!EI1593:EI1601)</f>
        <v>0</v>
      </c>
      <c r="AJ13" s="25">
        <f>SUM(Plan!EJ1593:EJ1601)</f>
        <v>0</v>
      </c>
      <c r="AK13" s="25">
        <f>SUM(Plan!EK1593:EK1601)</f>
        <v>0</v>
      </c>
      <c r="AL13" s="25">
        <f>SUM(Plan!EL1593:EL1601)</f>
        <v>0</v>
      </c>
      <c r="AM13" s="25">
        <f>SUM(Plan!EM1593:EM1601)</f>
        <v>0</v>
      </c>
      <c r="AN13" s="25">
        <f>SUM(Plan!EN1593:EN1601)</f>
        <v>0</v>
      </c>
      <c r="AO13" s="25">
        <f>SUM(Plan!EO1593:EO1601)</f>
        <v>0</v>
      </c>
      <c r="AP13" s="25">
        <f>SUM(Plan!EP1593:EP1601)</f>
        <v>0</v>
      </c>
      <c r="AQ13" s="25">
        <f>SUM(Plan!EQ1593:EQ1601)</f>
        <v>0</v>
      </c>
      <c r="AR13" s="25">
        <f>SUM(Plan!ER1593:ER1601)</f>
        <v>0</v>
      </c>
      <c r="AS13" s="25">
        <f>SUM(Plan!ES1593:ES1601)</f>
        <v>0</v>
      </c>
      <c r="AT13" s="25">
        <f>SUM(Plan!ET1593:ET1601)</f>
        <v>0</v>
      </c>
      <c r="AU13" s="25">
        <f>SUM(Plan!EU1593:EU1601)</f>
        <v>0</v>
      </c>
      <c r="AV13" s="25">
        <f>SUM(Plan!EV1593:EV1601)</f>
        <v>0</v>
      </c>
      <c r="AW13" s="25">
        <f>SUM(Plan!EW1593:EW1601)</f>
        <v>0</v>
      </c>
      <c r="AX13" s="25">
        <f>SUM(Plan!EX1593:EX1601)</f>
        <v>0</v>
      </c>
      <c r="AY13" s="25">
        <f>SUM(Plan!EY1593:EY1601)</f>
        <v>0</v>
      </c>
      <c r="AZ13" s="25">
        <f>SUM(Plan!EZ1593:EZ1601)</f>
        <v>0</v>
      </c>
      <c r="BA13" s="25">
        <f>SUM(Plan!FA1593:FA1601)</f>
        <v>0</v>
      </c>
      <c r="BB13" s="25">
        <f>SUM(Plan!FB1593:FB1601)</f>
        <v>0</v>
      </c>
      <c r="BC13" s="25">
        <f>SUM(Plan!FC1593:FC1601)</f>
        <v>0</v>
      </c>
      <c r="BD13" s="25">
        <f>SUM(Plan!FD1593:FD1601)</f>
        <v>0</v>
      </c>
      <c r="BE13" s="25">
        <f>SUM(Plan!FE1593:FE1601)</f>
        <v>0</v>
      </c>
      <c r="BF13" s="25">
        <f>SUM(Plan!FF1593:FF1601)</f>
        <v>0</v>
      </c>
      <c r="BG13" s="26">
        <f>SUM(Plan!DD1593:DD1601)+SUM(Plan!DF1593:DF1601)+SUM(Plan!DH1593:DH1601)+SUM(Plan!DJ1593:DJ1601)+SUM(Plan!DL1593:DL1601)+SUM(Plan!DN1593:DN1601)+SUM(Plan!DP1593:DP1601)+SUM(Plan!DR1593:DR1601)+SUM(Plan!DT1593:DT1601)+SUM(Plan!DV1593:DV1601)+SUM(Plan!DX1593:DX1601)+SUM(Plan!DZ1593:DZ1601)+SUM(Plan!EB1593:EB1601)+SUM(Plan!ED1593:ED1601)+SUM(Plan!EF1593:EF1601)+SUM(Plan!EH1593:EH1601)+SUM(Plan!EJ1593:EJ1601)+SUM(Plan!EL1593:EL1601)+SUM(Plan!EN1593:EN1601)+SUM(Plan!EP1593:EP1601)+SUM(Plan!ER1593:ER1601)+SUM(Plan!ET1593:ET1601)+SUM(Plan!EV1593:EV1601)+SUM(Plan!EX1593:EX1601)+SUM(Plan!EZ1593:EZ1601)+SUM(Plan!FB1593:FB1601)+SUM(Plan!FD1593:FD1601)+SUM(Plan!FF1593:FF1601)</f>
        <v>0</v>
      </c>
    </row>
    <row r="14" spans="1:59" x14ac:dyDescent="0.25">
      <c r="A14" s="24" t="s">
        <v>1174</v>
      </c>
      <c r="B14" s="25">
        <f>COUNTA(Plan!C1603:C1619)</f>
        <v>9</v>
      </c>
      <c r="C14" s="25">
        <f>SUM(Plan!DC1603:DC1619)</f>
        <v>0</v>
      </c>
      <c r="D14" s="25">
        <f>SUM(Plan!DD1603:DD1619)</f>
        <v>0</v>
      </c>
      <c r="E14" s="25">
        <f>SUM(Plan!DE1603:DE1619)</f>
        <v>0</v>
      </c>
      <c r="F14" s="25">
        <f>SUM(Plan!DF1603:DF1619)</f>
        <v>0</v>
      </c>
      <c r="G14" s="25">
        <f>SUM(Plan!DG1603:DG1619)</f>
        <v>0</v>
      </c>
      <c r="H14" s="25">
        <f>SUM(Plan!DH1603:DH1619)</f>
        <v>0</v>
      </c>
      <c r="I14" s="25">
        <f>SUM(Plan!DI1603:DI1619)</f>
        <v>0</v>
      </c>
      <c r="J14" s="25">
        <f>SUM(Plan!DJ1603:DJ1619)</f>
        <v>0</v>
      </c>
      <c r="K14" s="25">
        <f>SUM(Plan!DK1603:DK1619)</f>
        <v>0</v>
      </c>
      <c r="L14" s="25">
        <f>SUM(Plan!DL1603:DL1619)</f>
        <v>0</v>
      </c>
      <c r="M14" s="25">
        <f>SUM(Plan!DM1603:DM1619)</f>
        <v>0</v>
      </c>
      <c r="N14" s="25">
        <f>SUM(Plan!DN1603:DN1619)</f>
        <v>0</v>
      </c>
      <c r="O14" s="25">
        <f>SUM(Plan!DO1603:DO1619)</f>
        <v>0</v>
      </c>
      <c r="P14" s="25">
        <f>SUM(Plan!DP1603:DP1619)</f>
        <v>0</v>
      </c>
      <c r="Q14" s="25">
        <f>SUM(Plan!DQ1603:DQ1619)</f>
        <v>0</v>
      </c>
      <c r="R14" s="25">
        <f>SUM(Plan!DR1603:DR1619)</f>
        <v>0</v>
      </c>
      <c r="S14" s="25">
        <f>SUM(Plan!DS1603:DS1619)</f>
        <v>0</v>
      </c>
      <c r="T14" s="25">
        <f>SUM(Plan!DT1603:DT1619)</f>
        <v>0</v>
      </c>
      <c r="U14" s="25">
        <f>SUM(Plan!DU1603:DU1619)</f>
        <v>0</v>
      </c>
      <c r="V14" s="25">
        <f>SUM(Plan!DV1603:DV1619)</f>
        <v>0</v>
      </c>
      <c r="W14" s="25">
        <f>SUM(Plan!DW1603:DW1619)</f>
        <v>0</v>
      </c>
      <c r="X14" s="25">
        <f>SUM(Plan!DX1603:DX1619)</f>
        <v>0</v>
      </c>
      <c r="Y14" s="25">
        <f>SUM(Plan!DY1603:DY1619)</f>
        <v>0</v>
      </c>
      <c r="Z14" s="25">
        <f>SUM(Plan!DZ1603:DZ1619)</f>
        <v>0</v>
      </c>
      <c r="AA14" s="25">
        <f>SUM(Plan!EA1603:EA1619)</f>
        <v>0</v>
      </c>
      <c r="AB14" s="25">
        <f>SUM(Plan!EB1603:EB1619)</f>
        <v>0</v>
      </c>
      <c r="AC14" s="25">
        <f>SUM(Plan!EC1603:EC1619)</f>
        <v>0</v>
      </c>
      <c r="AD14" s="25">
        <f>SUM(Plan!ED1603:ED1619)</f>
        <v>0</v>
      </c>
      <c r="AE14" s="25">
        <f>SUM(Plan!EE1603:EE1619)</f>
        <v>0</v>
      </c>
      <c r="AF14" s="25">
        <f>SUM(Plan!EF1603:EF1619)</f>
        <v>0</v>
      </c>
      <c r="AG14" s="25">
        <f>SUM(Plan!EG1603:EG1619)</f>
        <v>0</v>
      </c>
      <c r="AH14" s="25">
        <f>SUM(Plan!EH1603:EH1619)</f>
        <v>0</v>
      </c>
      <c r="AI14" s="25">
        <f>SUM(Plan!EI1603:EI1619)</f>
        <v>0</v>
      </c>
      <c r="AJ14" s="25">
        <f>SUM(Plan!EJ1603:EJ1619)</f>
        <v>0</v>
      </c>
      <c r="AK14" s="25">
        <f>SUM(Plan!EK1603:EK1619)</f>
        <v>0</v>
      </c>
      <c r="AL14" s="25">
        <f>SUM(Plan!EL1603:EL1619)</f>
        <v>0</v>
      </c>
      <c r="AM14" s="25">
        <f>SUM(Plan!EM1603:EM1619)</f>
        <v>0</v>
      </c>
      <c r="AN14" s="25">
        <f>SUM(Plan!EN1603:EN1619)</f>
        <v>0</v>
      </c>
      <c r="AO14" s="25">
        <f>SUM(Plan!EO1603:EO1619)</f>
        <v>0</v>
      </c>
      <c r="AP14" s="25">
        <f>SUM(Plan!EP1603:EP1619)</f>
        <v>0</v>
      </c>
      <c r="AQ14" s="25">
        <f>SUM(Plan!EQ1603:EQ1619)</f>
        <v>0</v>
      </c>
      <c r="AR14" s="25">
        <f>SUM(Plan!ER1603:ER1619)</f>
        <v>0</v>
      </c>
      <c r="AS14" s="25">
        <f>SUM(Plan!ES1603:ES1619)</f>
        <v>8</v>
      </c>
      <c r="AT14" s="25">
        <f>SUM(Plan!ET1603:ET1619)</f>
        <v>12</v>
      </c>
      <c r="AU14" s="25">
        <f>SUM(Plan!EU1603:EU1619)</f>
        <v>0</v>
      </c>
      <c r="AV14" s="25">
        <f>SUM(Plan!EV1603:EV1619)</f>
        <v>0</v>
      </c>
      <c r="AW14" s="25">
        <f>SUM(Plan!EW1603:EW1619)</f>
        <v>8</v>
      </c>
      <c r="AX14" s="25">
        <f>SUM(Plan!EX1603:EX1619)</f>
        <v>13</v>
      </c>
      <c r="AY14" s="25">
        <f>SUM(Plan!EY1603:EY1619)</f>
        <v>0</v>
      </c>
      <c r="AZ14" s="25">
        <f>SUM(Plan!EZ1603:EZ1619)</f>
        <v>0</v>
      </c>
      <c r="BA14" s="25">
        <f>SUM(Plan!FA1603:FA1619)</f>
        <v>0</v>
      </c>
      <c r="BB14" s="25">
        <f>SUM(Plan!FB1603:FB1619)</f>
        <v>0</v>
      </c>
      <c r="BC14" s="25">
        <f>SUM(Plan!FC1603:FC1619)</f>
        <v>0</v>
      </c>
      <c r="BD14" s="25">
        <f>SUM(Plan!FD1603:FD1619)</f>
        <v>0</v>
      </c>
      <c r="BE14" s="25">
        <f>SUM(Plan!FE1603:FE1619)</f>
        <v>0</v>
      </c>
      <c r="BF14" s="25">
        <f>SUM(Plan!FF1603:FF1619)</f>
        <v>0</v>
      </c>
      <c r="BG14" s="26">
        <f>SUM(Plan!DD1603:DD1619)+SUM(Plan!DF1603:DF1619)+SUM(Plan!DH1603:DH1619)+SUM(Plan!DJ1603:DJ1619)+SUM(Plan!DL1603:DL1619)+SUM(Plan!DN1603:DN1619)+SUM(Plan!DP1603:DP1619)+SUM(Plan!DR1603:DR1619)+SUM(Plan!DT1603:DT1619)+SUM(Plan!DV1603:DV1619)+SUM(Plan!DX1603:DX1619)+SUM(Plan!DZ1603:DZ1619)+SUM(Plan!EB1603:EB1619)+SUM(Plan!ED1603:ED1619)+SUM(Plan!EF1603:EF1619)+SUM(Plan!EH1603:EH1619)+SUM(Plan!EJ1603:EJ1619)+SUM(Plan!EL1603:EL1619)+SUM(Plan!EN1603:EN1619)+SUM(Plan!EP1603:EP1619)+SUM(Plan!ER1603:ER1619)+SUM(Plan!ET1603:ET1619)+SUM(Plan!EV1603:EV1619)+SUM(Plan!EX1603:EX1619)+SUM(Plan!EZ1603:EZ1619)+SUM(Plan!FB1603:FB1619)+SUM(Plan!FD1603:FD1619)+SUM(Plan!FF1603:FF1619)</f>
        <v>25</v>
      </c>
    </row>
    <row r="15" spans="1:59" x14ac:dyDescent="0.25">
      <c r="A15" s="23" t="s">
        <v>1419</v>
      </c>
      <c r="B15" s="26">
        <f t="shared" ref="B15:AG15" si="0">SUM(B2:B14)</f>
        <v>1447</v>
      </c>
      <c r="C15" s="26">
        <f t="shared" si="0"/>
        <v>0</v>
      </c>
      <c r="D15" s="26">
        <f t="shared" si="0"/>
        <v>15</v>
      </c>
      <c r="E15" s="26">
        <f t="shared" si="0"/>
        <v>0</v>
      </c>
      <c r="F15" s="26">
        <f t="shared" si="0"/>
        <v>0</v>
      </c>
      <c r="G15" s="26">
        <f t="shared" si="0"/>
        <v>0</v>
      </c>
      <c r="H15" s="26">
        <f t="shared" si="0"/>
        <v>0</v>
      </c>
      <c r="I15" s="26">
        <f t="shared" si="0"/>
        <v>342.5</v>
      </c>
      <c r="J15" s="26">
        <f t="shared" si="0"/>
        <v>1130</v>
      </c>
      <c r="K15" s="26">
        <f t="shared" si="0"/>
        <v>0</v>
      </c>
      <c r="L15" s="26">
        <f t="shared" si="0"/>
        <v>25</v>
      </c>
      <c r="M15" s="26">
        <f t="shared" si="0"/>
        <v>51</v>
      </c>
      <c r="N15" s="26">
        <f t="shared" si="0"/>
        <v>138</v>
      </c>
      <c r="O15" s="26">
        <f t="shared" si="0"/>
        <v>0</v>
      </c>
      <c r="P15" s="26">
        <f t="shared" si="0"/>
        <v>0</v>
      </c>
      <c r="Q15" s="26">
        <f t="shared" si="0"/>
        <v>8</v>
      </c>
      <c r="R15" s="26">
        <f t="shared" si="0"/>
        <v>49</v>
      </c>
      <c r="S15" s="26">
        <f t="shared" si="0"/>
        <v>0</v>
      </c>
      <c r="T15" s="26">
        <f t="shared" si="0"/>
        <v>0</v>
      </c>
      <c r="U15" s="26">
        <f t="shared" si="0"/>
        <v>22.8</v>
      </c>
      <c r="V15" s="26">
        <f t="shared" si="0"/>
        <v>114.5</v>
      </c>
      <c r="W15" s="26">
        <f t="shared" si="0"/>
        <v>89.7</v>
      </c>
      <c r="X15" s="26">
        <f t="shared" si="0"/>
        <v>752.6</v>
      </c>
      <c r="Y15" s="26">
        <f t="shared" si="0"/>
        <v>0</v>
      </c>
      <c r="Z15" s="26">
        <f t="shared" si="0"/>
        <v>0</v>
      </c>
      <c r="AA15" s="26">
        <f t="shared" si="0"/>
        <v>0</v>
      </c>
      <c r="AB15" s="26">
        <f t="shared" si="0"/>
        <v>15</v>
      </c>
      <c r="AC15" s="26">
        <f t="shared" si="0"/>
        <v>3029.8000000000006</v>
      </c>
      <c r="AD15" s="26">
        <f t="shared" si="0"/>
        <v>4007.3999999999996</v>
      </c>
      <c r="AE15" s="26">
        <f t="shared" si="0"/>
        <v>108.6</v>
      </c>
      <c r="AF15" s="26">
        <f t="shared" si="0"/>
        <v>319.60000000000002</v>
      </c>
      <c r="AG15" s="26">
        <f t="shared" si="0"/>
        <v>144</v>
      </c>
      <c r="AH15" s="26">
        <f t="shared" ref="AH15:BM15" si="1">SUM(AH2:AH14)</f>
        <v>449</v>
      </c>
      <c r="AI15" s="26">
        <f t="shared" si="1"/>
        <v>0</v>
      </c>
      <c r="AJ15" s="26">
        <f t="shared" si="1"/>
        <v>68</v>
      </c>
      <c r="AK15" s="26">
        <f t="shared" si="1"/>
        <v>3</v>
      </c>
      <c r="AL15" s="26">
        <f t="shared" si="1"/>
        <v>234</v>
      </c>
      <c r="AM15" s="26">
        <f t="shared" si="1"/>
        <v>0</v>
      </c>
      <c r="AN15" s="26">
        <f t="shared" si="1"/>
        <v>238</v>
      </c>
      <c r="AO15" s="26">
        <f t="shared" si="1"/>
        <v>0</v>
      </c>
      <c r="AP15" s="26">
        <f t="shared" si="1"/>
        <v>0</v>
      </c>
      <c r="AQ15" s="26">
        <f t="shared" si="1"/>
        <v>0</v>
      </c>
      <c r="AR15" s="26">
        <f t="shared" si="1"/>
        <v>0</v>
      </c>
      <c r="AS15" s="26">
        <f t="shared" si="1"/>
        <v>542</v>
      </c>
      <c r="AT15" s="26">
        <f t="shared" si="1"/>
        <v>2974.5</v>
      </c>
      <c r="AU15" s="26">
        <f t="shared" si="1"/>
        <v>0</v>
      </c>
      <c r="AV15" s="26">
        <f t="shared" si="1"/>
        <v>0</v>
      </c>
      <c r="AW15" s="26">
        <f t="shared" si="1"/>
        <v>346.5</v>
      </c>
      <c r="AX15" s="26">
        <f t="shared" si="1"/>
        <v>639</v>
      </c>
      <c r="AY15" s="26">
        <f t="shared" si="1"/>
        <v>0</v>
      </c>
      <c r="AZ15" s="26">
        <f t="shared" si="1"/>
        <v>0</v>
      </c>
      <c r="BA15" s="26">
        <f t="shared" si="1"/>
        <v>0</v>
      </c>
      <c r="BB15" s="26">
        <f t="shared" si="1"/>
        <v>0</v>
      </c>
      <c r="BC15" s="26">
        <f t="shared" si="1"/>
        <v>126</v>
      </c>
      <c r="BD15" s="26">
        <f t="shared" si="1"/>
        <v>228</v>
      </c>
      <c r="BE15" s="26">
        <f t="shared" si="1"/>
        <v>0</v>
      </c>
      <c r="BF15" s="26">
        <f t="shared" si="1"/>
        <v>0</v>
      </c>
      <c r="BG15" s="26">
        <f t="shared" si="1"/>
        <v>11396.6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6"/>
  <sheetViews>
    <sheetView workbookViewId="0"/>
  </sheetViews>
  <sheetFormatPr defaultRowHeight="15" x14ac:dyDescent="0.25"/>
  <cols>
    <col min="1" max="1" width="20.7109375" customWidth="1"/>
    <col min="2" max="2" width="55.7109375" customWidth="1"/>
    <col min="3" max="3" width="8.7109375" customWidth="1"/>
    <col min="4" max="4" width="18.7109375" customWidth="1"/>
    <col min="5" max="5" width="8.7109375" customWidth="1"/>
  </cols>
  <sheetData>
    <row r="1" spans="1:5" x14ac:dyDescent="0.25">
      <c r="A1" s="22" t="s">
        <v>27</v>
      </c>
      <c r="B1" s="22" t="s">
        <v>28</v>
      </c>
      <c r="C1" s="22" t="s">
        <v>1420</v>
      </c>
      <c r="D1" s="22" t="s">
        <v>32</v>
      </c>
      <c r="E1" s="22" t="s">
        <v>1361</v>
      </c>
    </row>
    <row r="2" spans="1:5" x14ac:dyDescent="0.25">
      <c r="A2" s="24" t="s">
        <v>72</v>
      </c>
    </row>
    <row r="3" spans="1:5" x14ac:dyDescent="0.25">
      <c r="B3" s="27" t="s">
        <v>75</v>
      </c>
      <c r="C3" s="27" t="s">
        <v>76</v>
      </c>
      <c r="D3" s="27" t="s">
        <v>77</v>
      </c>
      <c r="E3" s="28">
        <f>COUNTIF(Plan!B:B,B3)</f>
        <v>1</v>
      </c>
    </row>
    <row r="4" spans="1:5" x14ac:dyDescent="0.25">
      <c r="B4" s="27" t="s">
        <v>102</v>
      </c>
      <c r="C4" s="27" t="s">
        <v>76</v>
      </c>
      <c r="D4" s="27" t="s">
        <v>77</v>
      </c>
      <c r="E4" s="28">
        <f>COUNTIF(Plan!B:B,B4)</f>
        <v>1</v>
      </c>
    </row>
    <row r="5" spans="1:5" x14ac:dyDescent="0.25">
      <c r="B5" s="27" t="s">
        <v>126</v>
      </c>
      <c r="C5" s="27" t="s">
        <v>127</v>
      </c>
      <c r="D5" s="27" t="s">
        <v>77</v>
      </c>
      <c r="E5" s="28">
        <f>COUNTIF(Plan!B:B,B5)</f>
        <v>1</v>
      </c>
    </row>
    <row r="6" spans="1:5" x14ac:dyDescent="0.25">
      <c r="B6" s="27" t="s">
        <v>130</v>
      </c>
      <c r="C6" s="27" t="s">
        <v>127</v>
      </c>
      <c r="D6" s="27" t="s">
        <v>77</v>
      </c>
      <c r="E6" s="28">
        <f>COUNTIF(Plan!B:B,B6)</f>
        <v>1</v>
      </c>
    </row>
    <row r="7" spans="1:5" x14ac:dyDescent="0.25">
      <c r="B7" s="27" t="s">
        <v>131</v>
      </c>
      <c r="C7" s="27" t="s">
        <v>127</v>
      </c>
      <c r="D7" s="27" t="s">
        <v>132</v>
      </c>
      <c r="E7" s="28">
        <f>COUNTIF(Plan!B:B,B7)</f>
        <v>1</v>
      </c>
    </row>
    <row r="8" spans="1:5" x14ac:dyDescent="0.25">
      <c r="B8" s="27" t="s">
        <v>149</v>
      </c>
      <c r="C8" s="27" t="s">
        <v>76</v>
      </c>
      <c r="D8" s="27" t="s">
        <v>77</v>
      </c>
      <c r="E8" s="28">
        <f>COUNTIF(Plan!B:B,B8)</f>
        <v>1</v>
      </c>
    </row>
    <row r="9" spans="1:5" x14ac:dyDescent="0.25">
      <c r="B9" s="27" t="s">
        <v>176</v>
      </c>
      <c r="C9" s="27" t="s">
        <v>127</v>
      </c>
      <c r="D9" s="27" t="s">
        <v>177</v>
      </c>
      <c r="E9" s="28">
        <f>COUNTIF(Plan!B:B,B9)</f>
        <v>1</v>
      </c>
    </row>
    <row r="10" spans="1:5" x14ac:dyDescent="0.25">
      <c r="B10" s="27" t="s">
        <v>178</v>
      </c>
      <c r="C10" s="27" t="s">
        <v>76</v>
      </c>
      <c r="D10" s="27" t="s">
        <v>77</v>
      </c>
      <c r="E10" s="28">
        <f>COUNTIF(Plan!B:B,B10)</f>
        <v>1</v>
      </c>
    </row>
    <row r="11" spans="1:5" x14ac:dyDescent="0.25">
      <c r="B11" s="27" t="s">
        <v>188</v>
      </c>
      <c r="C11" s="27" t="s">
        <v>127</v>
      </c>
      <c r="D11" s="27" t="s">
        <v>177</v>
      </c>
      <c r="E11" s="28">
        <f>COUNTIF(Plan!B:B,B11)</f>
        <v>1</v>
      </c>
    </row>
    <row r="12" spans="1:5" x14ac:dyDescent="0.25">
      <c r="B12" s="27" t="s">
        <v>215</v>
      </c>
      <c r="C12" s="27" t="s">
        <v>127</v>
      </c>
      <c r="D12" s="27" t="s">
        <v>77</v>
      </c>
      <c r="E12" s="28">
        <f>COUNTIF(Plan!B:B,B12)</f>
        <v>1</v>
      </c>
    </row>
    <row r="13" spans="1:5" x14ac:dyDescent="0.25">
      <c r="B13" s="27" t="s">
        <v>216</v>
      </c>
      <c r="C13" s="27" t="s">
        <v>217</v>
      </c>
      <c r="D13" s="27" t="s">
        <v>177</v>
      </c>
      <c r="E13" s="28">
        <f>COUNTIF(Plan!B:B,B13)</f>
        <v>1</v>
      </c>
    </row>
    <row r="14" spans="1:5" x14ac:dyDescent="0.25">
      <c r="A14" s="24" t="s">
        <v>218</v>
      </c>
    </row>
    <row r="15" spans="1:5" x14ac:dyDescent="0.25">
      <c r="B15" s="27" t="s">
        <v>219</v>
      </c>
      <c r="C15" s="27" t="s">
        <v>127</v>
      </c>
      <c r="D15" s="27" t="s">
        <v>132</v>
      </c>
      <c r="E15" s="28">
        <f>COUNTIF(Plan!B:B,B15)</f>
        <v>1</v>
      </c>
    </row>
    <row r="16" spans="1:5" x14ac:dyDescent="0.25">
      <c r="B16" s="27" t="s">
        <v>254</v>
      </c>
      <c r="C16" s="27" t="s">
        <v>127</v>
      </c>
      <c r="D16" s="27" t="s">
        <v>177</v>
      </c>
      <c r="E16" s="28">
        <f>COUNTIF(Plan!B:B,B16)</f>
        <v>1</v>
      </c>
    </row>
    <row r="17" spans="2:5" x14ac:dyDescent="0.25">
      <c r="B17" s="27" t="s">
        <v>255</v>
      </c>
      <c r="C17" s="27" t="s">
        <v>127</v>
      </c>
      <c r="D17" s="27" t="s">
        <v>177</v>
      </c>
      <c r="E17" s="28">
        <f>COUNTIF(Plan!B:B,B17)</f>
        <v>1</v>
      </c>
    </row>
    <row r="18" spans="2:5" x14ac:dyDescent="0.25">
      <c r="B18" s="27" t="s">
        <v>256</v>
      </c>
      <c r="C18" s="27" t="s">
        <v>127</v>
      </c>
      <c r="D18" s="27" t="s">
        <v>177</v>
      </c>
      <c r="E18" s="28">
        <f>COUNTIF(Plan!B:B,B18)</f>
        <v>1</v>
      </c>
    </row>
    <row r="19" spans="2:5" x14ac:dyDescent="0.25">
      <c r="B19" s="27" t="s">
        <v>257</v>
      </c>
      <c r="C19" s="27" t="s">
        <v>127</v>
      </c>
      <c r="D19" s="27" t="s">
        <v>177</v>
      </c>
      <c r="E19" s="28">
        <f>COUNTIF(Plan!B:B,B19)</f>
        <v>1</v>
      </c>
    </row>
    <row r="20" spans="2:5" x14ac:dyDescent="0.25">
      <c r="B20" s="27" t="s">
        <v>258</v>
      </c>
      <c r="C20" s="27" t="s">
        <v>127</v>
      </c>
      <c r="D20" s="27" t="s">
        <v>177</v>
      </c>
      <c r="E20" s="28">
        <f>COUNTIF(Plan!B:B,B20)</f>
        <v>1</v>
      </c>
    </row>
    <row r="21" spans="2:5" x14ac:dyDescent="0.25">
      <c r="B21" s="27" t="s">
        <v>259</v>
      </c>
      <c r="C21" s="27" t="s">
        <v>127</v>
      </c>
      <c r="D21" s="27" t="s">
        <v>177</v>
      </c>
      <c r="E21" s="28">
        <f>COUNTIF(Plan!B:B,B21)</f>
        <v>1</v>
      </c>
    </row>
    <row r="22" spans="2:5" x14ac:dyDescent="0.25">
      <c r="B22" s="27" t="s">
        <v>260</v>
      </c>
      <c r="C22" s="27" t="s">
        <v>127</v>
      </c>
      <c r="D22" s="27" t="s">
        <v>177</v>
      </c>
      <c r="E22" s="28">
        <f>COUNTIF(Plan!B:B,B22)</f>
        <v>1</v>
      </c>
    </row>
    <row r="23" spans="2:5" x14ac:dyDescent="0.25">
      <c r="B23" s="27" t="s">
        <v>261</v>
      </c>
      <c r="C23" s="27" t="s">
        <v>76</v>
      </c>
      <c r="D23" s="27" t="s">
        <v>132</v>
      </c>
      <c r="E23" s="28">
        <f>COUNTIF(Plan!B:B,B23)</f>
        <v>1</v>
      </c>
    </row>
    <row r="24" spans="2:5" x14ac:dyDescent="0.25">
      <c r="B24" s="27" t="s">
        <v>262</v>
      </c>
      <c r="C24" s="27" t="s">
        <v>76</v>
      </c>
      <c r="D24" s="27" t="s">
        <v>77</v>
      </c>
      <c r="E24" s="28">
        <f>COUNTIF(Plan!B:B,B24)</f>
        <v>1</v>
      </c>
    </row>
    <row r="25" spans="2:5" x14ac:dyDescent="0.25">
      <c r="B25" s="27" t="s">
        <v>271</v>
      </c>
      <c r="C25" s="27" t="s">
        <v>76</v>
      </c>
      <c r="D25" s="27" t="s">
        <v>77</v>
      </c>
      <c r="E25" s="28">
        <f>COUNTIF(Plan!B:B,B25)</f>
        <v>1</v>
      </c>
    </row>
    <row r="26" spans="2:5" x14ac:dyDescent="0.25">
      <c r="B26" s="27" t="s">
        <v>301</v>
      </c>
      <c r="C26" s="27" t="s">
        <v>127</v>
      </c>
      <c r="D26" s="27" t="s">
        <v>177</v>
      </c>
      <c r="E26" s="28">
        <f>COUNTIF(Plan!B:B,B26)</f>
        <v>1</v>
      </c>
    </row>
    <row r="27" spans="2:5" x14ac:dyDescent="0.25">
      <c r="B27" s="27" t="s">
        <v>343</v>
      </c>
      <c r="C27" s="27" t="s">
        <v>127</v>
      </c>
      <c r="D27" s="27" t="s">
        <v>77</v>
      </c>
      <c r="E27" s="28">
        <f>COUNTIF(Plan!B:B,B27)</f>
        <v>1</v>
      </c>
    </row>
    <row r="28" spans="2:5" x14ac:dyDescent="0.25">
      <c r="B28" s="27" t="s">
        <v>344</v>
      </c>
      <c r="C28" s="27" t="s">
        <v>127</v>
      </c>
      <c r="D28" s="27" t="s">
        <v>77</v>
      </c>
      <c r="E28" s="28">
        <f>COUNTIF(Plan!B:B,B28)</f>
        <v>1</v>
      </c>
    </row>
    <row r="29" spans="2:5" x14ac:dyDescent="0.25">
      <c r="B29" s="27" t="s">
        <v>345</v>
      </c>
      <c r="C29" s="27" t="s">
        <v>76</v>
      </c>
      <c r="D29" s="27" t="s">
        <v>177</v>
      </c>
      <c r="E29" s="28">
        <f>COUNTIF(Plan!B:B,B29)</f>
        <v>1</v>
      </c>
    </row>
    <row r="30" spans="2:5" x14ac:dyDescent="0.25">
      <c r="B30" s="27" t="s">
        <v>385</v>
      </c>
      <c r="C30" s="27" t="s">
        <v>76</v>
      </c>
      <c r="D30" s="27" t="s">
        <v>177</v>
      </c>
      <c r="E30" s="28">
        <f>COUNTIF(Plan!B:B,B30)</f>
        <v>1</v>
      </c>
    </row>
    <row r="31" spans="2:5" x14ac:dyDescent="0.25">
      <c r="B31" s="27" t="s">
        <v>422</v>
      </c>
      <c r="C31" s="27" t="s">
        <v>76</v>
      </c>
      <c r="D31" s="27" t="s">
        <v>177</v>
      </c>
      <c r="E31" s="28">
        <f>COUNTIF(Plan!B:B,B31)</f>
        <v>1</v>
      </c>
    </row>
    <row r="32" spans="2:5" x14ac:dyDescent="0.25">
      <c r="B32" s="27" t="s">
        <v>424</v>
      </c>
      <c r="C32" s="27" t="s">
        <v>127</v>
      </c>
      <c r="D32" s="27" t="s">
        <v>77</v>
      </c>
      <c r="E32" s="28">
        <f>COUNTIF(Plan!B:B,B32)</f>
        <v>1</v>
      </c>
    </row>
    <row r="33" spans="1:5" x14ac:dyDescent="0.25">
      <c r="B33" s="27" t="s">
        <v>430</v>
      </c>
      <c r="C33" s="27" t="s">
        <v>76</v>
      </c>
      <c r="D33" s="27" t="s">
        <v>177</v>
      </c>
      <c r="E33" s="28">
        <f>COUNTIF(Plan!B:B,B33)</f>
        <v>1</v>
      </c>
    </row>
    <row r="34" spans="1:5" x14ac:dyDescent="0.25">
      <c r="B34" s="27" t="s">
        <v>431</v>
      </c>
      <c r="C34" s="27" t="s">
        <v>127</v>
      </c>
      <c r="D34" s="27" t="s">
        <v>77</v>
      </c>
      <c r="E34" s="28">
        <f>COUNTIF(Plan!B:B,B34)</f>
        <v>1</v>
      </c>
    </row>
    <row r="35" spans="1:5" x14ac:dyDescent="0.25">
      <c r="B35" s="27" t="s">
        <v>432</v>
      </c>
      <c r="C35" s="27" t="s">
        <v>127</v>
      </c>
      <c r="D35" s="27" t="s">
        <v>433</v>
      </c>
      <c r="E35" s="28">
        <f>COUNTIF(Plan!B:B,B35)</f>
        <v>1</v>
      </c>
    </row>
    <row r="36" spans="1:5" x14ac:dyDescent="0.25">
      <c r="B36" s="27" t="s">
        <v>472</v>
      </c>
      <c r="C36" s="27" t="s">
        <v>127</v>
      </c>
      <c r="D36" s="27" t="s">
        <v>177</v>
      </c>
      <c r="E36" s="28">
        <f>COUNTIF(Plan!B:B,B36)</f>
        <v>1</v>
      </c>
    </row>
    <row r="37" spans="1:5" x14ac:dyDescent="0.25">
      <c r="B37" s="27" t="s">
        <v>482</v>
      </c>
      <c r="C37" s="27" t="s">
        <v>127</v>
      </c>
      <c r="D37" s="27" t="s">
        <v>177</v>
      </c>
      <c r="E37" s="28">
        <f>COUNTIF(Plan!B:B,B37)</f>
        <v>1</v>
      </c>
    </row>
    <row r="38" spans="1:5" x14ac:dyDescent="0.25">
      <c r="B38" s="27" t="s">
        <v>487</v>
      </c>
      <c r="C38" s="27" t="s">
        <v>127</v>
      </c>
      <c r="D38" s="27" t="s">
        <v>177</v>
      </c>
      <c r="E38" s="28">
        <f>COUNTIF(Plan!B:B,B38)</f>
        <v>1</v>
      </c>
    </row>
    <row r="39" spans="1:5" x14ac:dyDescent="0.25">
      <c r="B39" s="27" t="s">
        <v>488</v>
      </c>
      <c r="C39" s="27" t="s">
        <v>127</v>
      </c>
      <c r="D39" s="27" t="s">
        <v>177</v>
      </c>
      <c r="E39" s="28">
        <f>COUNTIF(Plan!B:B,B39)</f>
        <v>1</v>
      </c>
    </row>
    <row r="40" spans="1:5" x14ac:dyDescent="0.25">
      <c r="B40" s="27" t="s">
        <v>498</v>
      </c>
      <c r="C40" s="27" t="s">
        <v>127</v>
      </c>
      <c r="D40" s="27" t="s">
        <v>177</v>
      </c>
      <c r="E40" s="28">
        <f>COUNTIF(Plan!B:B,B40)</f>
        <v>1</v>
      </c>
    </row>
    <row r="41" spans="1:5" x14ac:dyDescent="0.25">
      <c r="B41" s="27" t="s">
        <v>499</v>
      </c>
      <c r="C41" s="27" t="s">
        <v>127</v>
      </c>
      <c r="D41" s="27" t="s">
        <v>177</v>
      </c>
      <c r="E41" s="28">
        <f>COUNTIF(Plan!B:B,B41)</f>
        <v>1</v>
      </c>
    </row>
    <row r="42" spans="1:5" x14ac:dyDescent="0.25">
      <c r="B42" s="27" t="s">
        <v>500</v>
      </c>
      <c r="C42" s="27" t="s">
        <v>127</v>
      </c>
      <c r="D42" s="27" t="s">
        <v>177</v>
      </c>
      <c r="E42" s="28">
        <f>COUNTIF(Plan!B:B,B42)</f>
        <v>1</v>
      </c>
    </row>
    <row r="43" spans="1:5" x14ac:dyDescent="0.25">
      <c r="B43" s="27" t="s">
        <v>501</v>
      </c>
      <c r="C43" s="27" t="s">
        <v>127</v>
      </c>
      <c r="D43" s="27" t="s">
        <v>433</v>
      </c>
      <c r="E43" s="28">
        <f>COUNTIF(Plan!B:B,B43)</f>
        <v>1</v>
      </c>
    </row>
    <row r="44" spans="1:5" x14ac:dyDescent="0.25">
      <c r="A44" s="24" t="s">
        <v>519</v>
      </c>
    </row>
    <row r="45" spans="1:5" x14ac:dyDescent="0.25">
      <c r="B45" s="27" t="s">
        <v>520</v>
      </c>
      <c r="C45" s="27" t="s">
        <v>76</v>
      </c>
      <c r="D45" s="27" t="s">
        <v>132</v>
      </c>
      <c r="E45" s="28">
        <f>COUNTIF(Plan!B:B,B45)</f>
        <v>1</v>
      </c>
    </row>
    <row r="46" spans="1:5" x14ac:dyDescent="0.25">
      <c r="B46" s="27" t="s">
        <v>551</v>
      </c>
      <c r="C46" s="27" t="s">
        <v>127</v>
      </c>
      <c r="D46" s="27" t="s">
        <v>177</v>
      </c>
      <c r="E46" s="28">
        <f>COUNTIF(Plan!B:B,B46)</f>
        <v>1</v>
      </c>
    </row>
    <row r="47" spans="1:5" x14ac:dyDescent="0.25">
      <c r="B47" s="27" t="s">
        <v>555</v>
      </c>
      <c r="C47" s="27" t="s">
        <v>76</v>
      </c>
      <c r="D47" s="27" t="s">
        <v>177</v>
      </c>
      <c r="E47" s="28">
        <f>COUNTIF(Plan!B:B,B47)</f>
        <v>1</v>
      </c>
    </row>
    <row r="48" spans="1:5" x14ac:dyDescent="0.25">
      <c r="B48" s="27" t="s">
        <v>556</v>
      </c>
      <c r="C48" s="27" t="s">
        <v>127</v>
      </c>
      <c r="D48" s="27" t="s">
        <v>177</v>
      </c>
      <c r="E48" s="28">
        <f>COUNTIF(Plan!B:B,B48)</f>
        <v>1</v>
      </c>
    </row>
    <row r="49" spans="1:5" x14ac:dyDescent="0.25">
      <c r="B49" s="27" t="s">
        <v>598</v>
      </c>
      <c r="C49" s="27" t="s">
        <v>76</v>
      </c>
      <c r="D49" s="27" t="s">
        <v>177</v>
      </c>
      <c r="E49" s="28">
        <f>COUNTIF(Plan!B:B,B49)</f>
        <v>1</v>
      </c>
    </row>
    <row r="50" spans="1:5" x14ac:dyDescent="0.25">
      <c r="B50" s="27" t="s">
        <v>624</v>
      </c>
      <c r="C50" s="27" t="s">
        <v>127</v>
      </c>
      <c r="D50" s="27" t="s">
        <v>132</v>
      </c>
      <c r="E50" s="28">
        <f>COUNTIF(Plan!B:B,B50)</f>
        <v>1</v>
      </c>
    </row>
    <row r="51" spans="1:5" x14ac:dyDescent="0.25">
      <c r="B51" s="27" t="s">
        <v>635</v>
      </c>
      <c r="C51" s="27" t="s">
        <v>76</v>
      </c>
      <c r="D51" s="27" t="s">
        <v>77</v>
      </c>
      <c r="E51" s="28">
        <f>COUNTIF(Plan!B:B,B51)</f>
        <v>1</v>
      </c>
    </row>
    <row r="52" spans="1:5" x14ac:dyDescent="0.25">
      <c r="B52" s="27" t="s">
        <v>649</v>
      </c>
      <c r="C52" s="27" t="s">
        <v>76</v>
      </c>
      <c r="D52" s="27" t="s">
        <v>177</v>
      </c>
      <c r="E52" s="28">
        <f>COUNTIF(Plan!B:B,B52)</f>
        <v>1</v>
      </c>
    </row>
    <row r="53" spans="1:5" x14ac:dyDescent="0.25">
      <c r="B53" s="27" t="s">
        <v>664</v>
      </c>
      <c r="C53" s="27" t="s">
        <v>127</v>
      </c>
      <c r="D53" s="27" t="s">
        <v>77</v>
      </c>
      <c r="E53" s="28">
        <f>COUNTIF(Plan!B:B,B53)</f>
        <v>1</v>
      </c>
    </row>
    <row r="54" spans="1:5" x14ac:dyDescent="0.25">
      <c r="A54" s="24" t="s">
        <v>692</v>
      </c>
    </row>
    <row r="55" spans="1:5" x14ac:dyDescent="0.25">
      <c r="B55" s="27" t="s">
        <v>693</v>
      </c>
      <c r="C55" s="27" t="s">
        <v>76</v>
      </c>
      <c r="D55" s="27" t="s">
        <v>132</v>
      </c>
      <c r="E55" s="28">
        <f>COUNTIF(Plan!B:B,B55)</f>
        <v>1</v>
      </c>
    </row>
    <row r="56" spans="1:5" x14ac:dyDescent="0.25">
      <c r="B56" s="27" t="s">
        <v>732</v>
      </c>
      <c r="C56" s="27" t="s">
        <v>127</v>
      </c>
      <c r="D56" s="27" t="s">
        <v>177</v>
      </c>
      <c r="E56" s="28">
        <f>COUNTIF(Plan!B:B,B56)</f>
        <v>1</v>
      </c>
    </row>
    <row r="57" spans="1:5" x14ac:dyDescent="0.25">
      <c r="B57" s="27" t="s">
        <v>741</v>
      </c>
      <c r="C57" s="27" t="s">
        <v>127</v>
      </c>
      <c r="D57" s="27" t="s">
        <v>132</v>
      </c>
      <c r="E57" s="28">
        <f>COUNTIF(Plan!B:B,B57)</f>
        <v>1</v>
      </c>
    </row>
    <row r="58" spans="1:5" x14ac:dyDescent="0.25">
      <c r="B58" s="27" t="s">
        <v>742</v>
      </c>
      <c r="C58" s="27" t="s">
        <v>76</v>
      </c>
      <c r="D58" s="27" t="s">
        <v>77</v>
      </c>
      <c r="E58" s="28">
        <f>COUNTIF(Plan!B:B,B58)</f>
        <v>1</v>
      </c>
    </row>
    <row r="59" spans="1:5" x14ac:dyDescent="0.25">
      <c r="B59" s="27" t="s">
        <v>746</v>
      </c>
      <c r="C59" s="27" t="s">
        <v>127</v>
      </c>
      <c r="D59" s="27" t="s">
        <v>177</v>
      </c>
      <c r="E59" s="28">
        <f>COUNTIF(Plan!B:B,B59)</f>
        <v>1</v>
      </c>
    </row>
    <row r="60" spans="1:5" x14ac:dyDescent="0.25">
      <c r="B60" s="27" t="s">
        <v>747</v>
      </c>
      <c r="C60" s="27" t="s">
        <v>127</v>
      </c>
      <c r="D60" s="27" t="s">
        <v>177</v>
      </c>
      <c r="E60" s="28">
        <f>COUNTIF(Plan!B:B,B60)</f>
        <v>1</v>
      </c>
    </row>
    <row r="61" spans="1:5" x14ac:dyDescent="0.25">
      <c r="B61" s="27" t="s">
        <v>748</v>
      </c>
      <c r="C61" s="27" t="s">
        <v>127</v>
      </c>
      <c r="D61" s="27" t="s">
        <v>77</v>
      </c>
      <c r="E61" s="28">
        <f>COUNTIF(Plan!B:B,B61)</f>
        <v>1</v>
      </c>
    </row>
    <row r="62" spans="1:5" x14ac:dyDescent="0.25">
      <c r="B62" s="27" t="s">
        <v>749</v>
      </c>
      <c r="C62" s="27" t="s">
        <v>217</v>
      </c>
      <c r="D62" s="27" t="s">
        <v>177</v>
      </c>
      <c r="E62" s="28">
        <f>COUNTIF(Plan!B:B,B62)</f>
        <v>1</v>
      </c>
    </row>
    <row r="63" spans="1:5" x14ac:dyDescent="0.25">
      <c r="A63" s="24" t="s">
        <v>766</v>
      </c>
    </row>
    <row r="64" spans="1:5" x14ac:dyDescent="0.25">
      <c r="B64" s="27" t="s">
        <v>767</v>
      </c>
      <c r="C64" s="27" t="s">
        <v>76</v>
      </c>
      <c r="D64" s="27" t="s">
        <v>132</v>
      </c>
      <c r="E64" s="28">
        <f>COUNTIF(Plan!B:B,B64)</f>
        <v>1</v>
      </c>
    </row>
    <row r="65" spans="1:5" x14ac:dyDescent="0.25">
      <c r="B65" s="27" t="s">
        <v>782</v>
      </c>
      <c r="C65" s="27" t="s">
        <v>127</v>
      </c>
      <c r="D65" s="27" t="s">
        <v>132</v>
      </c>
      <c r="E65" s="28">
        <f>COUNTIF(Plan!B:B,B65)</f>
        <v>1</v>
      </c>
    </row>
    <row r="66" spans="1:5" x14ac:dyDescent="0.25">
      <c r="B66" s="27" t="s">
        <v>783</v>
      </c>
      <c r="C66" s="27" t="s">
        <v>127</v>
      </c>
      <c r="D66" s="27" t="s">
        <v>177</v>
      </c>
      <c r="E66" s="28">
        <f>COUNTIF(Plan!B:B,B66)</f>
        <v>1</v>
      </c>
    </row>
    <row r="67" spans="1:5" x14ac:dyDescent="0.25">
      <c r="B67" s="27" t="s">
        <v>796</v>
      </c>
      <c r="C67" s="27" t="s">
        <v>127</v>
      </c>
      <c r="D67" s="27" t="s">
        <v>132</v>
      </c>
      <c r="E67" s="28">
        <f>COUNTIF(Plan!B:B,B67)</f>
        <v>1</v>
      </c>
    </row>
    <row r="68" spans="1:5" x14ac:dyDescent="0.25">
      <c r="B68" s="27" t="s">
        <v>814</v>
      </c>
      <c r="C68" s="27" t="s">
        <v>76</v>
      </c>
      <c r="D68" s="27" t="s">
        <v>77</v>
      </c>
      <c r="E68" s="28">
        <f>COUNTIF(Plan!B:B,B68)</f>
        <v>1</v>
      </c>
    </row>
    <row r="69" spans="1:5" x14ac:dyDescent="0.25">
      <c r="B69" s="27" t="s">
        <v>828</v>
      </c>
      <c r="C69" s="27" t="s">
        <v>127</v>
      </c>
      <c r="D69" s="27" t="s">
        <v>177</v>
      </c>
      <c r="E69" s="28">
        <f>COUNTIF(Plan!B:B,B69)</f>
        <v>1</v>
      </c>
    </row>
    <row r="70" spans="1:5" x14ac:dyDescent="0.25">
      <c r="B70" s="27" t="s">
        <v>829</v>
      </c>
      <c r="C70" s="27" t="s">
        <v>127</v>
      </c>
      <c r="D70" s="27" t="s">
        <v>177</v>
      </c>
      <c r="E70" s="28">
        <f>COUNTIF(Plan!B:B,B70)</f>
        <v>1</v>
      </c>
    </row>
    <row r="71" spans="1:5" x14ac:dyDescent="0.25">
      <c r="B71" s="27" t="s">
        <v>830</v>
      </c>
      <c r="C71" s="27" t="s">
        <v>217</v>
      </c>
      <c r="D71" s="27" t="s">
        <v>132</v>
      </c>
      <c r="E71" s="28">
        <f>COUNTIF(Plan!B:B,B71)</f>
        <v>1</v>
      </c>
    </row>
    <row r="72" spans="1:5" x14ac:dyDescent="0.25">
      <c r="B72" s="27" t="s">
        <v>834</v>
      </c>
      <c r="C72" s="27" t="s">
        <v>217</v>
      </c>
      <c r="D72" s="27" t="s">
        <v>177</v>
      </c>
      <c r="E72" s="28">
        <f>COUNTIF(Plan!B:B,B72)</f>
        <v>1</v>
      </c>
    </row>
    <row r="73" spans="1:5" x14ac:dyDescent="0.25">
      <c r="A73" s="24" t="s">
        <v>835</v>
      </c>
    </row>
    <row r="74" spans="1:5" x14ac:dyDescent="0.25">
      <c r="B74" s="27" t="s">
        <v>836</v>
      </c>
      <c r="C74" s="27" t="s">
        <v>76</v>
      </c>
      <c r="D74" s="27" t="s">
        <v>177</v>
      </c>
      <c r="E74" s="28">
        <f>COUNTIF(Plan!B:B,B74)</f>
        <v>1</v>
      </c>
    </row>
    <row r="75" spans="1:5" x14ac:dyDescent="0.25">
      <c r="B75" s="27" t="s">
        <v>866</v>
      </c>
      <c r="C75" s="27" t="s">
        <v>127</v>
      </c>
      <c r="D75" s="27" t="s">
        <v>177</v>
      </c>
      <c r="E75" s="28">
        <f>COUNTIF(Plan!B:B,B75)</f>
        <v>1</v>
      </c>
    </row>
    <row r="76" spans="1:5" x14ac:dyDescent="0.25">
      <c r="B76" s="27" t="s">
        <v>868</v>
      </c>
      <c r="C76" s="27" t="s">
        <v>76</v>
      </c>
      <c r="D76" s="27" t="s">
        <v>177</v>
      </c>
      <c r="E76" s="28">
        <f>COUNTIF(Plan!B:B,B76)</f>
        <v>1</v>
      </c>
    </row>
    <row r="77" spans="1:5" x14ac:dyDescent="0.25">
      <c r="B77" s="27" t="s">
        <v>869</v>
      </c>
      <c r="C77" s="27" t="s">
        <v>127</v>
      </c>
      <c r="D77" s="27" t="s">
        <v>177</v>
      </c>
      <c r="E77" s="28">
        <f>COUNTIF(Plan!B:B,B77)</f>
        <v>1</v>
      </c>
    </row>
    <row r="78" spans="1:5" x14ac:dyDescent="0.25">
      <c r="B78" s="27" t="s">
        <v>895</v>
      </c>
      <c r="C78" s="27" t="s">
        <v>76</v>
      </c>
      <c r="D78" s="27" t="s">
        <v>177</v>
      </c>
      <c r="E78" s="28">
        <f>COUNTIF(Plan!B:B,B78)</f>
        <v>1</v>
      </c>
    </row>
    <row r="79" spans="1:5" x14ac:dyDescent="0.25">
      <c r="B79" s="27" t="s">
        <v>898</v>
      </c>
      <c r="C79" s="27" t="s">
        <v>76</v>
      </c>
      <c r="D79" s="27" t="s">
        <v>177</v>
      </c>
      <c r="E79" s="28">
        <f>COUNTIF(Plan!B:B,B79)</f>
        <v>1</v>
      </c>
    </row>
    <row r="80" spans="1:5" x14ac:dyDescent="0.25">
      <c r="B80" s="27" t="s">
        <v>899</v>
      </c>
      <c r="C80" s="27" t="s">
        <v>127</v>
      </c>
      <c r="D80" s="27" t="s">
        <v>177</v>
      </c>
      <c r="E80" s="28">
        <f>COUNTIF(Plan!B:B,B80)</f>
        <v>1</v>
      </c>
    </row>
    <row r="81" spans="1:5" x14ac:dyDescent="0.25">
      <c r="A81" s="24" t="s">
        <v>900</v>
      </c>
    </row>
    <row r="82" spans="1:5" x14ac:dyDescent="0.25">
      <c r="B82" s="27" t="s">
        <v>901</v>
      </c>
      <c r="C82" s="27" t="s">
        <v>76</v>
      </c>
      <c r="D82" s="27" t="s">
        <v>132</v>
      </c>
      <c r="E82" s="28">
        <f>COUNTIF(Plan!B:B,B82)</f>
        <v>1</v>
      </c>
    </row>
    <row r="83" spans="1:5" x14ac:dyDescent="0.25">
      <c r="B83" s="27" t="s">
        <v>915</v>
      </c>
      <c r="C83" s="27" t="s">
        <v>127</v>
      </c>
      <c r="D83" s="27" t="s">
        <v>77</v>
      </c>
      <c r="E83" s="28">
        <f>COUNTIF(Plan!B:B,B83)</f>
        <v>1</v>
      </c>
    </row>
    <row r="84" spans="1:5" x14ac:dyDescent="0.25">
      <c r="B84" s="27" t="s">
        <v>916</v>
      </c>
      <c r="C84" s="27" t="s">
        <v>76</v>
      </c>
      <c r="D84" s="27" t="s">
        <v>77</v>
      </c>
      <c r="E84" s="28">
        <f>COUNTIF(Plan!B:B,B84)</f>
        <v>1</v>
      </c>
    </row>
    <row r="85" spans="1:5" x14ac:dyDescent="0.25">
      <c r="B85" s="27" t="s">
        <v>917</v>
      </c>
      <c r="C85" s="27" t="s">
        <v>76</v>
      </c>
      <c r="D85" s="27" t="s">
        <v>132</v>
      </c>
      <c r="E85" s="28">
        <f>COUNTIF(Plan!B:B,B85)</f>
        <v>1</v>
      </c>
    </row>
    <row r="86" spans="1:5" x14ac:dyDescent="0.25">
      <c r="B86" s="27" t="s">
        <v>938</v>
      </c>
      <c r="C86" s="27" t="s">
        <v>127</v>
      </c>
      <c r="D86" s="27" t="s">
        <v>177</v>
      </c>
      <c r="E86" s="28">
        <f>COUNTIF(Plan!B:B,B86)</f>
        <v>1</v>
      </c>
    </row>
    <row r="87" spans="1:5" x14ac:dyDescent="0.25">
      <c r="B87" s="27" t="s">
        <v>912</v>
      </c>
      <c r="C87" s="27" t="s">
        <v>127</v>
      </c>
      <c r="D87" s="27" t="s">
        <v>177</v>
      </c>
      <c r="E87" s="28">
        <f>COUNTIF(Plan!B:B,B87)</f>
        <v>1</v>
      </c>
    </row>
    <row r="88" spans="1:5" x14ac:dyDescent="0.25">
      <c r="B88" s="27" t="s">
        <v>947</v>
      </c>
      <c r="C88" s="27" t="s">
        <v>127</v>
      </c>
      <c r="D88" s="27" t="s">
        <v>177</v>
      </c>
      <c r="E88" s="28">
        <f>COUNTIF(Plan!B:B,B88)</f>
        <v>1</v>
      </c>
    </row>
    <row r="89" spans="1:5" x14ac:dyDescent="0.25">
      <c r="B89" s="27" t="s">
        <v>948</v>
      </c>
      <c r="C89" s="27" t="s">
        <v>76</v>
      </c>
      <c r="D89" s="27" t="s">
        <v>132</v>
      </c>
      <c r="E89" s="28">
        <f>COUNTIF(Plan!B:B,B89)</f>
        <v>1</v>
      </c>
    </row>
    <row r="90" spans="1:5" x14ac:dyDescent="0.25">
      <c r="B90" s="27" t="s">
        <v>956</v>
      </c>
      <c r="C90" s="27" t="s">
        <v>76</v>
      </c>
      <c r="D90" s="27" t="s">
        <v>132</v>
      </c>
      <c r="E90" s="28">
        <f>COUNTIF(Plan!B:B,B90)</f>
        <v>1</v>
      </c>
    </row>
    <row r="91" spans="1:5" x14ac:dyDescent="0.25">
      <c r="B91" s="27" t="s">
        <v>975</v>
      </c>
      <c r="C91" s="27" t="s">
        <v>127</v>
      </c>
      <c r="D91" s="27" t="s">
        <v>177</v>
      </c>
      <c r="E91" s="28">
        <f>COUNTIF(Plan!B:B,B91)</f>
        <v>1</v>
      </c>
    </row>
    <row r="92" spans="1:5" x14ac:dyDescent="0.25">
      <c r="B92" s="27" t="s">
        <v>976</v>
      </c>
      <c r="C92" s="27" t="s">
        <v>76</v>
      </c>
      <c r="D92" s="27" t="s">
        <v>177</v>
      </c>
      <c r="E92" s="28">
        <f>COUNTIF(Plan!B:B,B92)</f>
        <v>1</v>
      </c>
    </row>
    <row r="93" spans="1:5" x14ac:dyDescent="0.25">
      <c r="B93" s="27" t="s">
        <v>977</v>
      </c>
      <c r="C93" s="27" t="s">
        <v>127</v>
      </c>
      <c r="D93" s="27" t="s">
        <v>132</v>
      </c>
      <c r="E93" s="28">
        <f>COUNTIF(Plan!B:B,B93)</f>
        <v>1</v>
      </c>
    </row>
    <row r="94" spans="1:5" x14ac:dyDescent="0.25">
      <c r="A94" s="24" t="s">
        <v>978</v>
      </c>
    </row>
    <row r="95" spans="1:5" x14ac:dyDescent="0.25">
      <c r="B95" s="27" t="s">
        <v>979</v>
      </c>
      <c r="C95" s="27" t="s">
        <v>127</v>
      </c>
      <c r="D95" s="27" t="s">
        <v>77</v>
      </c>
      <c r="E95" s="28">
        <f>COUNTIF(Plan!B:B,B95)</f>
        <v>1</v>
      </c>
    </row>
    <row r="96" spans="1:5" x14ac:dyDescent="0.25">
      <c r="B96" s="27" t="s">
        <v>1015</v>
      </c>
      <c r="C96" s="27" t="s">
        <v>127</v>
      </c>
      <c r="D96" s="27" t="s">
        <v>77</v>
      </c>
      <c r="E96" s="28">
        <f>COUNTIF(Plan!B:B,B96)</f>
        <v>1</v>
      </c>
    </row>
    <row r="97" spans="1:5" x14ac:dyDescent="0.25">
      <c r="B97" s="27" t="s">
        <v>1016</v>
      </c>
      <c r="C97" s="27" t="s">
        <v>76</v>
      </c>
      <c r="D97" s="27" t="s">
        <v>77</v>
      </c>
      <c r="E97" s="28">
        <f>COUNTIF(Plan!B:B,B97)</f>
        <v>1</v>
      </c>
    </row>
    <row r="98" spans="1:5" x14ac:dyDescent="0.25">
      <c r="B98" s="27" t="s">
        <v>1037</v>
      </c>
      <c r="C98" s="27" t="s">
        <v>127</v>
      </c>
      <c r="D98" s="27" t="s">
        <v>77</v>
      </c>
      <c r="E98" s="28">
        <f>COUNTIF(Plan!B:B,B98)</f>
        <v>1</v>
      </c>
    </row>
    <row r="99" spans="1:5" x14ac:dyDescent="0.25">
      <c r="B99" s="27" t="s">
        <v>1054</v>
      </c>
      <c r="C99" s="27" t="s">
        <v>76</v>
      </c>
      <c r="D99" s="27" t="s">
        <v>77</v>
      </c>
      <c r="E99" s="28">
        <f>COUNTIF(Plan!B:B,B99)</f>
        <v>1</v>
      </c>
    </row>
    <row r="100" spans="1:5" x14ac:dyDescent="0.25">
      <c r="B100" s="27" t="s">
        <v>1055</v>
      </c>
      <c r="C100" s="27" t="s">
        <v>127</v>
      </c>
      <c r="D100" s="27" t="s">
        <v>77</v>
      </c>
      <c r="E100" s="28">
        <f>COUNTIF(Plan!B:B,B100)</f>
        <v>1</v>
      </c>
    </row>
    <row r="101" spans="1:5" x14ac:dyDescent="0.25">
      <c r="B101" s="27" t="s">
        <v>1056</v>
      </c>
      <c r="C101" s="27" t="s">
        <v>217</v>
      </c>
      <c r="D101" s="27" t="s">
        <v>132</v>
      </c>
      <c r="E101" s="28">
        <f>COUNTIF(Plan!B:B,B101)</f>
        <v>1</v>
      </c>
    </row>
    <row r="102" spans="1:5" x14ac:dyDescent="0.25">
      <c r="B102" s="27" t="s">
        <v>1075</v>
      </c>
      <c r="C102" s="27" t="s">
        <v>217</v>
      </c>
      <c r="D102" s="27" t="s">
        <v>77</v>
      </c>
      <c r="E102" s="28">
        <f>COUNTIF(Plan!B:B,B102)</f>
        <v>1</v>
      </c>
    </row>
    <row r="103" spans="1:5" x14ac:dyDescent="0.25">
      <c r="B103" s="27" t="s">
        <v>1076</v>
      </c>
      <c r="C103" s="27" t="s">
        <v>127</v>
      </c>
      <c r="D103" s="27" t="s">
        <v>177</v>
      </c>
      <c r="E103" s="28">
        <f>COUNTIF(Plan!B:B,B103)</f>
        <v>1</v>
      </c>
    </row>
    <row r="104" spans="1:5" x14ac:dyDescent="0.25">
      <c r="B104" s="27" t="s">
        <v>1077</v>
      </c>
      <c r="C104" s="27" t="s">
        <v>127</v>
      </c>
      <c r="D104" s="27" t="s">
        <v>177</v>
      </c>
      <c r="E104" s="28">
        <f>COUNTIF(Plan!B:B,B104)</f>
        <v>1</v>
      </c>
    </row>
    <row r="105" spans="1:5" x14ac:dyDescent="0.25">
      <c r="A105" s="24" t="s">
        <v>1092</v>
      </c>
    </row>
    <row r="106" spans="1:5" x14ac:dyDescent="0.25">
      <c r="B106" s="27" t="s">
        <v>1093</v>
      </c>
      <c r="C106" s="27" t="s">
        <v>127</v>
      </c>
      <c r="D106" s="27" t="s">
        <v>177</v>
      </c>
      <c r="E106" s="28">
        <f>COUNTIF(Plan!B:B,B106)</f>
        <v>1</v>
      </c>
    </row>
    <row r="107" spans="1:5" x14ac:dyDescent="0.25">
      <c r="B107" s="27" t="s">
        <v>1095</v>
      </c>
      <c r="C107" s="27" t="s">
        <v>127</v>
      </c>
      <c r="D107" s="27" t="s">
        <v>177</v>
      </c>
      <c r="E107" s="28">
        <f>COUNTIF(Plan!B:B,B107)</f>
        <v>1</v>
      </c>
    </row>
    <row r="108" spans="1:5" x14ac:dyDescent="0.25">
      <c r="B108" s="27" t="s">
        <v>1096</v>
      </c>
      <c r="C108" s="27" t="s">
        <v>127</v>
      </c>
      <c r="D108" s="27" t="s">
        <v>132</v>
      </c>
      <c r="E108" s="28">
        <f>COUNTIF(Plan!B:B,B108)</f>
        <v>1</v>
      </c>
    </row>
    <row r="109" spans="1:5" x14ac:dyDescent="0.25">
      <c r="B109" s="27" t="s">
        <v>1100</v>
      </c>
      <c r="C109" s="27" t="s">
        <v>76</v>
      </c>
      <c r="D109" s="27" t="s">
        <v>1101</v>
      </c>
      <c r="E109" s="28">
        <f>COUNTIF(Plan!B:B,B109)</f>
        <v>1</v>
      </c>
    </row>
    <row r="110" spans="1:5" x14ac:dyDescent="0.25">
      <c r="B110" s="27" t="s">
        <v>1107</v>
      </c>
      <c r="C110" s="27" t="s">
        <v>127</v>
      </c>
      <c r="D110" s="27" t="s">
        <v>177</v>
      </c>
      <c r="E110" s="28">
        <f>COUNTIF(Plan!B:B,B110)</f>
        <v>1</v>
      </c>
    </row>
    <row r="111" spans="1:5" x14ac:dyDescent="0.25">
      <c r="B111" s="27" t="s">
        <v>1108</v>
      </c>
      <c r="C111" s="27" t="s">
        <v>127</v>
      </c>
      <c r="D111" s="27" t="s">
        <v>177</v>
      </c>
      <c r="E111" s="28">
        <f>COUNTIF(Plan!B:B,B111)</f>
        <v>1</v>
      </c>
    </row>
    <row r="112" spans="1:5" x14ac:dyDescent="0.25">
      <c r="A112" s="24" t="s">
        <v>1109</v>
      </c>
    </row>
    <row r="113" spans="2:5" x14ac:dyDescent="0.25">
      <c r="B113" s="27" t="s">
        <v>1110</v>
      </c>
      <c r="C113" s="27" t="s">
        <v>127</v>
      </c>
      <c r="D113" s="27" t="s">
        <v>132</v>
      </c>
      <c r="E113" s="28">
        <f>COUNTIF(Plan!B:B,B113)</f>
        <v>1</v>
      </c>
    </row>
    <row r="114" spans="2:5" x14ac:dyDescent="0.25">
      <c r="B114" s="27" t="s">
        <v>1111</v>
      </c>
      <c r="C114" s="27" t="s">
        <v>127</v>
      </c>
      <c r="D114" s="27" t="s">
        <v>132</v>
      </c>
      <c r="E114" s="28">
        <f>COUNTIF(Plan!B:B,B114)</f>
        <v>1</v>
      </c>
    </row>
    <row r="115" spans="2:5" x14ac:dyDescent="0.25">
      <c r="B115" s="27" t="s">
        <v>1112</v>
      </c>
      <c r="C115" s="27" t="s">
        <v>127</v>
      </c>
      <c r="D115" s="27" t="s">
        <v>77</v>
      </c>
      <c r="E115" s="28">
        <f>COUNTIF(Plan!B:B,B115)</f>
        <v>1</v>
      </c>
    </row>
    <row r="116" spans="2:5" x14ac:dyDescent="0.25">
      <c r="B116" s="27" t="s">
        <v>1113</v>
      </c>
      <c r="C116" s="27" t="s">
        <v>127</v>
      </c>
      <c r="D116" s="27" t="s">
        <v>77</v>
      </c>
      <c r="E116" s="28">
        <f>COUNTIF(Plan!B:B,B116)</f>
        <v>1</v>
      </c>
    </row>
    <row r="117" spans="2:5" x14ac:dyDescent="0.25">
      <c r="B117" s="27" t="s">
        <v>1114</v>
      </c>
      <c r="C117" s="27" t="s">
        <v>127</v>
      </c>
      <c r="D117" s="27" t="s">
        <v>77</v>
      </c>
      <c r="E117" s="28">
        <f>COUNTIF(Plan!B:B,B117)</f>
        <v>1</v>
      </c>
    </row>
    <row r="118" spans="2:5" x14ac:dyDescent="0.25">
      <c r="B118" s="27" t="s">
        <v>1115</v>
      </c>
      <c r="C118" s="27" t="s">
        <v>127</v>
      </c>
      <c r="D118" s="27" t="s">
        <v>77</v>
      </c>
      <c r="E118" s="28">
        <f>COUNTIF(Plan!B:B,B118)</f>
        <v>1</v>
      </c>
    </row>
    <row r="119" spans="2:5" x14ac:dyDescent="0.25">
      <c r="B119" s="27" t="s">
        <v>1116</v>
      </c>
      <c r="C119" s="27" t="s">
        <v>127</v>
      </c>
      <c r="D119" s="27" t="s">
        <v>77</v>
      </c>
      <c r="E119" s="28">
        <f>COUNTIF(Plan!B:B,B119)</f>
        <v>1</v>
      </c>
    </row>
    <row r="120" spans="2:5" x14ac:dyDescent="0.25">
      <c r="B120" s="27" t="s">
        <v>1117</v>
      </c>
      <c r="C120" s="27" t="s">
        <v>76</v>
      </c>
      <c r="D120" s="27" t="s">
        <v>77</v>
      </c>
      <c r="E120" s="28">
        <f>COUNTIF(Plan!B:B,B120)</f>
        <v>1</v>
      </c>
    </row>
    <row r="121" spans="2:5" x14ac:dyDescent="0.25">
      <c r="B121" s="27" t="s">
        <v>1118</v>
      </c>
      <c r="C121" s="27" t="s">
        <v>127</v>
      </c>
      <c r="D121" s="27" t="s">
        <v>77</v>
      </c>
      <c r="E121" s="28">
        <f>COUNTIF(Plan!B:B,B121)</f>
        <v>1</v>
      </c>
    </row>
    <row r="122" spans="2:5" x14ac:dyDescent="0.25">
      <c r="B122" s="27" t="s">
        <v>1119</v>
      </c>
      <c r="C122" s="27" t="s">
        <v>127</v>
      </c>
      <c r="D122" s="27" t="s">
        <v>77</v>
      </c>
      <c r="E122" s="28">
        <f>COUNTIF(Plan!B:B,B122)</f>
        <v>1</v>
      </c>
    </row>
    <row r="123" spans="2:5" x14ac:dyDescent="0.25">
      <c r="B123" s="27" t="s">
        <v>1120</v>
      </c>
      <c r="C123" s="27" t="s">
        <v>127</v>
      </c>
      <c r="D123" s="27" t="s">
        <v>77</v>
      </c>
      <c r="E123" s="28">
        <f>COUNTIF(Plan!B:B,B123)</f>
        <v>1</v>
      </c>
    </row>
    <row r="124" spans="2:5" x14ac:dyDescent="0.25">
      <c r="B124" s="27" t="s">
        <v>1121</v>
      </c>
      <c r="C124" s="27" t="s">
        <v>127</v>
      </c>
      <c r="D124" s="27" t="s">
        <v>77</v>
      </c>
      <c r="E124" s="28">
        <f>COUNTIF(Plan!B:B,B124)</f>
        <v>1</v>
      </c>
    </row>
    <row r="125" spans="2:5" x14ac:dyDescent="0.25">
      <c r="B125" s="27" t="s">
        <v>1122</v>
      </c>
      <c r="C125" s="27" t="s">
        <v>76</v>
      </c>
      <c r="D125" s="27" t="s">
        <v>177</v>
      </c>
      <c r="E125" s="28">
        <f>COUNTIF(Plan!B:B,B125)</f>
        <v>1</v>
      </c>
    </row>
    <row r="126" spans="2:5" x14ac:dyDescent="0.25">
      <c r="B126" s="27" t="s">
        <v>1123</v>
      </c>
      <c r="C126" s="27" t="s">
        <v>76</v>
      </c>
      <c r="D126" s="27" t="s">
        <v>177</v>
      </c>
      <c r="E126" s="28">
        <f>COUNTIF(Plan!B:B,B126)</f>
        <v>1</v>
      </c>
    </row>
    <row r="127" spans="2:5" x14ac:dyDescent="0.25">
      <c r="B127" s="27" t="s">
        <v>1135</v>
      </c>
      <c r="C127" s="27" t="s">
        <v>76</v>
      </c>
      <c r="D127" s="27" t="s">
        <v>132</v>
      </c>
      <c r="E127" s="28">
        <f>COUNTIF(Plan!B:B,B127)</f>
        <v>1</v>
      </c>
    </row>
    <row r="128" spans="2:5" x14ac:dyDescent="0.25">
      <c r="B128" s="27" t="s">
        <v>1136</v>
      </c>
      <c r="C128" s="27" t="s">
        <v>127</v>
      </c>
      <c r="D128" s="27" t="s">
        <v>77</v>
      </c>
      <c r="E128" s="28">
        <f>COUNTIF(Plan!B:B,B128)</f>
        <v>1</v>
      </c>
    </row>
    <row r="129" spans="1:5" x14ac:dyDescent="0.25">
      <c r="B129" s="27" t="s">
        <v>1155</v>
      </c>
      <c r="C129" s="27" t="s">
        <v>127</v>
      </c>
      <c r="D129" s="27" t="s">
        <v>77</v>
      </c>
      <c r="E129" s="28">
        <f>COUNTIF(Plan!B:B,B129)</f>
        <v>1</v>
      </c>
    </row>
    <row r="130" spans="1:5" x14ac:dyDescent="0.25">
      <c r="B130" s="27" t="s">
        <v>1156</v>
      </c>
      <c r="C130" s="27" t="s">
        <v>217</v>
      </c>
      <c r="D130" s="27" t="s">
        <v>177</v>
      </c>
      <c r="E130" s="28">
        <f>COUNTIF(Plan!B:B,B130)</f>
        <v>1</v>
      </c>
    </row>
    <row r="131" spans="1:5" x14ac:dyDescent="0.25">
      <c r="B131" s="27" t="s">
        <v>1157</v>
      </c>
      <c r="C131" s="27" t="s">
        <v>127</v>
      </c>
      <c r="D131" s="27" t="s">
        <v>177</v>
      </c>
      <c r="E131" s="28">
        <f>COUNTIF(Plan!B:B,B131)</f>
        <v>1</v>
      </c>
    </row>
    <row r="132" spans="1:5" x14ac:dyDescent="0.25">
      <c r="A132" s="24" t="s">
        <v>1158</v>
      </c>
    </row>
    <row r="133" spans="1:5" x14ac:dyDescent="0.25">
      <c r="B133" s="27" t="s">
        <v>1159</v>
      </c>
      <c r="C133" s="27" t="s">
        <v>127</v>
      </c>
      <c r="D133" s="27" t="s">
        <v>177</v>
      </c>
      <c r="E133" s="28">
        <f>COUNTIF(Plan!B:B,B133)</f>
        <v>1</v>
      </c>
    </row>
    <row r="134" spans="1:5" x14ac:dyDescent="0.25">
      <c r="B134" s="27" t="s">
        <v>1160</v>
      </c>
      <c r="C134" s="27" t="s">
        <v>76</v>
      </c>
      <c r="D134" s="27" t="s">
        <v>177</v>
      </c>
      <c r="E134" s="28">
        <f>COUNTIF(Plan!B:B,B134)</f>
        <v>1</v>
      </c>
    </row>
    <row r="135" spans="1:5" x14ac:dyDescent="0.25">
      <c r="B135" s="27" t="s">
        <v>1161</v>
      </c>
      <c r="C135" s="27" t="s">
        <v>127</v>
      </c>
      <c r="D135" s="27" t="s">
        <v>177</v>
      </c>
      <c r="E135" s="28">
        <f>COUNTIF(Plan!B:B,B135)</f>
        <v>1</v>
      </c>
    </row>
    <row r="136" spans="1:5" x14ac:dyDescent="0.25">
      <c r="B136" s="27" t="s">
        <v>1162</v>
      </c>
      <c r="C136" s="27" t="s">
        <v>76</v>
      </c>
      <c r="D136" s="27" t="s">
        <v>177</v>
      </c>
      <c r="E136" s="28">
        <f>COUNTIF(Plan!B:B,B136)</f>
        <v>1</v>
      </c>
    </row>
    <row r="137" spans="1:5" x14ac:dyDescent="0.25">
      <c r="B137" s="27" t="s">
        <v>1163</v>
      </c>
      <c r="C137" s="27" t="s">
        <v>127</v>
      </c>
      <c r="D137" s="27" t="s">
        <v>177</v>
      </c>
      <c r="E137" s="28">
        <f>COUNTIF(Plan!B:B,B137)</f>
        <v>1</v>
      </c>
    </row>
    <row r="138" spans="1:5" x14ac:dyDescent="0.25">
      <c r="B138" s="27" t="s">
        <v>1164</v>
      </c>
      <c r="C138" s="27" t="s">
        <v>76</v>
      </c>
      <c r="D138" s="27" t="s">
        <v>177</v>
      </c>
      <c r="E138" s="28">
        <f>COUNTIF(Plan!B:B,B138)</f>
        <v>1</v>
      </c>
    </row>
    <row r="139" spans="1:5" x14ac:dyDescent="0.25">
      <c r="B139" s="27" t="s">
        <v>1165</v>
      </c>
      <c r="C139" s="27" t="s">
        <v>76</v>
      </c>
      <c r="D139" s="27" t="s">
        <v>177</v>
      </c>
      <c r="E139" s="28">
        <f>COUNTIF(Plan!B:B,B139)</f>
        <v>1</v>
      </c>
    </row>
    <row r="140" spans="1:5" x14ac:dyDescent="0.25">
      <c r="A140" s="24" t="s">
        <v>1166</v>
      </c>
    </row>
    <row r="141" spans="1:5" x14ac:dyDescent="0.25">
      <c r="B141" s="27" t="s">
        <v>1167</v>
      </c>
      <c r="C141" s="27" t="s">
        <v>217</v>
      </c>
      <c r="D141" s="27" t="s">
        <v>177</v>
      </c>
      <c r="E141" s="28">
        <f>COUNTIF(Plan!B:B,B141)</f>
        <v>1</v>
      </c>
    </row>
    <row r="142" spans="1:5" x14ac:dyDescent="0.25">
      <c r="B142" s="27" t="s">
        <v>1168</v>
      </c>
      <c r="C142" s="27" t="s">
        <v>217</v>
      </c>
      <c r="D142" s="27" t="s">
        <v>177</v>
      </c>
      <c r="E142" s="28">
        <f>COUNTIF(Plan!B:B,B142)</f>
        <v>1</v>
      </c>
    </row>
    <row r="143" spans="1:5" x14ac:dyDescent="0.25">
      <c r="B143" s="27" t="s">
        <v>1169</v>
      </c>
      <c r="C143" s="27" t="s">
        <v>127</v>
      </c>
      <c r="D143" s="27" t="s">
        <v>177</v>
      </c>
      <c r="E143" s="28">
        <f>COUNTIF(Plan!B:B,B143)</f>
        <v>1</v>
      </c>
    </row>
    <row r="144" spans="1:5" x14ac:dyDescent="0.25">
      <c r="B144" s="27" t="s">
        <v>1170</v>
      </c>
      <c r="C144" s="27" t="s">
        <v>127</v>
      </c>
      <c r="D144" s="27" t="s">
        <v>177</v>
      </c>
      <c r="E144" s="28">
        <f>COUNTIF(Plan!B:B,B144)</f>
        <v>1</v>
      </c>
    </row>
    <row r="145" spans="1:5" x14ac:dyDescent="0.25">
      <c r="B145" s="27" t="s">
        <v>1171</v>
      </c>
      <c r="C145" s="27" t="s">
        <v>127</v>
      </c>
      <c r="D145" s="27" t="s">
        <v>177</v>
      </c>
      <c r="E145" s="28">
        <f>COUNTIF(Plan!B:B,B145)</f>
        <v>1</v>
      </c>
    </row>
    <row r="146" spans="1:5" x14ac:dyDescent="0.25">
      <c r="B146" s="27" t="s">
        <v>1172</v>
      </c>
      <c r="C146" s="27" t="s">
        <v>127</v>
      </c>
      <c r="D146" s="27" t="s">
        <v>177</v>
      </c>
      <c r="E146" s="28">
        <f>COUNTIF(Plan!B:B,B146)</f>
        <v>1</v>
      </c>
    </row>
    <row r="147" spans="1:5" x14ac:dyDescent="0.25">
      <c r="B147" s="27" t="s">
        <v>1166</v>
      </c>
      <c r="C147" s="27" t="s">
        <v>76</v>
      </c>
      <c r="D147" s="27" t="s">
        <v>177</v>
      </c>
      <c r="E147" s="28">
        <f>COUNTIF(Plan!B:B,B147)</f>
        <v>1</v>
      </c>
    </row>
    <row r="148" spans="1:5" x14ac:dyDescent="0.25">
      <c r="B148" s="27" t="s">
        <v>1173</v>
      </c>
      <c r="C148" s="27" t="s">
        <v>127</v>
      </c>
      <c r="D148" s="27" t="s">
        <v>177</v>
      </c>
      <c r="E148" s="28">
        <f>COUNTIF(Plan!B:B,B148)</f>
        <v>1</v>
      </c>
    </row>
    <row r="149" spans="1:5" x14ac:dyDescent="0.25">
      <c r="A149" s="24" t="s">
        <v>1174</v>
      </c>
    </row>
    <row r="150" spans="1:5" x14ac:dyDescent="0.25">
      <c r="B150" s="27" t="s">
        <v>1175</v>
      </c>
      <c r="C150" s="27" t="s">
        <v>127</v>
      </c>
      <c r="D150" s="27" t="s">
        <v>177</v>
      </c>
      <c r="E150" s="28">
        <f>COUNTIF(Plan!B:B,B150)</f>
        <v>1</v>
      </c>
    </row>
    <row r="151" spans="1:5" x14ac:dyDescent="0.25">
      <c r="B151" s="27" t="s">
        <v>1176</v>
      </c>
      <c r="C151" s="27" t="s">
        <v>127</v>
      </c>
      <c r="D151" s="27" t="s">
        <v>177</v>
      </c>
      <c r="E151" s="28">
        <f>COUNTIF(Plan!B:B,B151)</f>
        <v>1</v>
      </c>
    </row>
    <row r="152" spans="1:5" x14ac:dyDescent="0.25">
      <c r="B152" s="27" t="s">
        <v>1186</v>
      </c>
      <c r="C152" s="27" t="s">
        <v>127</v>
      </c>
      <c r="D152" s="27" t="s">
        <v>177</v>
      </c>
      <c r="E152" s="28">
        <f>COUNTIF(Plan!B:B,B152)</f>
        <v>1</v>
      </c>
    </row>
    <row r="153" spans="1:5" x14ac:dyDescent="0.25">
      <c r="B153" s="27" t="s">
        <v>1187</v>
      </c>
      <c r="C153" s="27" t="s">
        <v>127</v>
      </c>
      <c r="D153" s="27" t="s">
        <v>177</v>
      </c>
      <c r="E153" s="28">
        <f>COUNTIF(Plan!B:B,B153)</f>
        <v>1</v>
      </c>
    </row>
    <row r="154" spans="1:5" x14ac:dyDescent="0.25">
      <c r="B154" s="27" t="s">
        <v>1188</v>
      </c>
      <c r="C154" s="27" t="s">
        <v>127</v>
      </c>
      <c r="D154" s="27" t="s">
        <v>177</v>
      </c>
      <c r="E154" s="28">
        <f>COUNTIF(Plan!B:B,B154)</f>
        <v>1</v>
      </c>
    </row>
    <row r="155" spans="1:5" x14ac:dyDescent="0.25">
      <c r="B155" s="27" t="s">
        <v>1189</v>
      </c>
      <c r="C155" s="27" t="s">
        <v>76</v>
      </c>
      <c r="D155" s="27" t="s">
        <v>177</v>
      </c>
      <c r="E155" s="28">
        <f>COUNTIF(Plan!B:B,B155)</f>
        <v>1</v>
      </c>
    </row>
    <row r="156" spans="1:5" x14ac:dyDescent="0.25">
      <c r="B156" s="27" t="s">
        <v>1190</v>
      </c>
      <c r="C156" s="27" t="s">
        <v>127</v>
      </c>
      <c r="D156" s="27" t="s">
        <v>177</v>
      </c>
      <c r="E156" s="28">
        <f>COUNTIF(Plan!B:B,B156)</f>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461"/>
  <sheetViews>
    <sheetView zoomScale="130" zoomScaleNormal="130" workbookViewId="0">
      <pane xSplit="3" ySplit="1" topLeftCell="D204" activePane="bottomRight" state="frozen"/>
      <selection pane="topRight" activeCell="D1" sqref="D1"/>
      <selection pane="bottomLeft" activeCell="A2" sqref="A2"/>
      <selection pane="bottomRight" activeCell="B215" sqref="B215:L229"/>
    </sheetView>
  </sheetViews>
  <sheetFormatPr defaultRowHeight="15" x14ac:dyDescent="0.25"/>
  <cols>
    <col min="1" max="1" width="68.7109375" bestFit="1" customWidth="1"/>
    <col min="2" max="2" width="69.140625" bestFit="1" customWidth="1"/>
    <col min="3" max="3" width="45.7109375" customWidth="1"/>
    <col min="4" max="4" width="20.7109375" customWidth="1"/>
    <col min="5" max="5" width="28.7109375" customWidth="1"/>
    <col min="6" max="7" width="10.7109375" customWidth="1"/>
    <col min="8" max="8" width="22.7109375" customWidth="1"/>
    <col min="9" max="9" width="12.7109375" customWidth="1"/>
    <col min="10" max="10" width="22.7109375" customWidth="1"/>
    <col min="11" max="12" width="12.7109375" customWidth="1"/>
  </cols>
  <sheetData>
    <row r="1" spans="1:12" ht="30" x14ac:dyDescent="0.25">
      <c r="A1" s="29" t="s">
        <v>27</v>
      </c>
      <c r="B1" s="29" t="s">
        <v>28</v>
      </c>
      <c r="C1" s="29" t="s">
        <v>29</v>
      </c>
      <c r="D1" s="29" t="s">
        <v>1192</v>
      </c>
      <c r="E1" s="29" t="s">
        <v>30</v>
      </c>
      <c r="F1" s="29" t="s">
        <v>1421</v>
      </c>
      <c r="G1" s="29" t="s">
        <v>1422</v>
      </c>
      <c r="H1" s="29" t="s">
        <v>1423</v>
      </c>
      <c r="I1" s="29" t="s">
        <v>1424</v>
      </c>
      <c r="J1" s="29" t="s">
        <v>1425</v>
      </c>
      <c r="K1" s="29" t="s">
        <v>1426</v>
      </c>
      <c r="L1" s="29" t="s">
        <v>1427</v>
      </c>
    </row>
    <row r="2" spans="1:12" x14ac:dyDescent="0.25">
      <c r="A2" s="58" t="s">
        <v>72</v>
      </c>
      <c r="B2" s="58"/>
      <c r="C2" s="58"/>
      <c r="D2" s="58"/>
      <c r="E2" s="58"/>
      <c r="F2" s="58"/>
      <c r="G2" s="58"/>
      <c r="H2" s="58"/>
      <c r="I2" s="58"/>
      <c r="J2" s="58"/>
      <c r="K2" s="58"/>
      <c r="L2" s="58"/>
    </row>
    <row r="3" spans="1:12" x14ac:dyDescent="0.25">
      <c r="A3" s="21" t="s">
        <v>75</v>
      </c>
      <c r="B3" s="30" t="s">
        <v>75</v>
      </c>
      <c r="C3" s="21" t="s">
        <v>78</v>
      </c>
      <c r="D3" s="21" t="s">
        <v>47</v>
      </c>
      <c r="E3" s="21" t="s">
        <v>79</v>
      </c>
      <c r="F3" s="31">
        <v>1</v>
      </c>
      <c r="G3" s="31">
        <v>14</v>
      </c>
      <c r="H3" s="32"/>
      <c r="I3" s="32">
        <f t="shared" ref="I3:I34" si="0">IF(H3="",0,G3)</f>
        <v>0</v>
      </c>
      <c r="J3" s="32"/>
      <c r="K3" s="32">
        <v>0</v>
      </c>
      <c r="L3" s="33">
        <f t="shared" ref="L3:L34" si="1">G3-I3-K3</f>
        <v>14</v>
      </c>
    </row>
    <row r="4" spans="1:12" x14ac:dyDescent="0.25">
      <c r="A4" s="15" t="s">
        <v>75</v>
      </c>
      <c r="B4" s="14" t="s">
        <v>75</v>
      </c>
      <c r="C4" s="15" t="s">
        <v>80</v>
      </c>
      <c r="D4" s="15" t="s">
        <v>47</v>
      </c>
      <c r="E4" s="15" t="s">
        <v>79</v>
      </c>
      <c r="F4" s="34">
        <v>0.5</v>
      </c>
      <c r="G4" s="34">
        <v>15</v>
      </c>
      <c r="H4" s="35"/>
      <c r="I4" s="35">
        <f t="shared" si="0"/>
        <v>0</v>
      </c>
      <c r="J4" s="35"/>
      <c r="K4" s="35">
        <v>0</v>
      </c>
      <c r="L4" s="36">
        <f t="shared" si="1"/>
        <v>15</v>
      </c>
    </row>
    <row r="5" spans="1:12" x14ac:dyDescent="0.25">
      <c r="A5" s="21" t="s">
        <v>75</v>
      </c>
      <c r="B5" s="30" t="s">
        <v>75</v>
      </c>
      <c r="C5" s="21" t="s">
        <v>81</v>
      </c>
      <c r="D5" s="21" t="s">
        <v>65</v>
      </c>
      <c r="E5" s="21" t="s">
        <v>82</v>
      </c>
      <c r="F5" s="21"/>
      <c r="G5" s="21"/>
      <c r="H5" s="32"/>
      <c r="I5" s="32">
        <f t="shared" si="0"/>
        <v>0</v>
      </c>
      <c r="J5" s="32"/>
      <c r="K5" s="32">
        <v>0</v>
      </c>
      <c r="L5" s="33">
        <f t="shared" si="1"/>
        <v>0</v>
      </c>
    </row>
    <row r="6" spans="1:12" x14ac:dyDescent="0.25">
      <c r="A6" s="15" t="s">
        <v>75</v>
      </c>
      <c r="B6" s="14" t="s">
        <v>75</v>
      </c>
      <c r="C6" s="15" t="s">
        <v>83</v>
      </c>
      <c r="D6" s="15" t="s">
        <v>54</v>
      </c>
      <c r="E6" s="15" t="s">
        <v>84</v>
      </c>
      <c r="F6" s="34">
        <v>2</v>
      </c>
      <c r="G6" s="34">
        <v>3</v>
      </c>
      <c r="H6" s="35"/>
      <c r="I6" s="35">
        <f t="shared" si="0"/>
        <v>0</v>
      </c>
      <c r="J6" s="35"/>
      <c r="K6" s="35">
        <v>0</v>
      </c>
      <c r="L6" s="36">
        <f t="shared" si="1"/>
        <v>3</v>
      </c>
    </row>
    <row r="7" spans="1:12" x14ac:dyDescent="0.25">
      <c r="A7" s="21" t="s">
        <v>75</v>
      </c>
      <c r="B7" s="30" t="s">
        <v>75</v>
      </c>
      <c r="C7" s="21" t="s">
        <v>85</v>
      </c>
      <c r="D7" s="21" t="s">
        <v>47</v>
      </c>
      <c r="E7" s="21" t="s">
        <v>79</v>
      </c>
      <c r="F7" s="31">
        <v>5</v>
      </c>
      <c r="G7" s="31">
        <v>5</v>
      </c>
      <c r="H7" s="32"/>
      <c r="I7" s="32">
        <f t="shared" si="0"/>
        <v>0</v>
      </c>
      <c r="J7" s="32"/>
      <c r="K7" s="32">
        <v>0</v>
      </c>
      <c r="L7" s="33">
        <f t="shared" si="1"/>
        <v>5</v>
      </c>
    </row>
    <row r="8" spans="1:12" x14ac:dyDescent="0.25">
      <c r="A8" s="15" t="s">
        <v>75</v>
      </c>
      <c r="B8" s="14" t="s">
        <v>75</v>
      </c>
      <c r="C8" s="15" t="s">
        <v>86</v>
      </c>
      <c r="D8" s="15" t="s">
        <v>65</v>
      </c>
      <c r="E8" s="15" t="s">
        <v>82</v>
      </c>
      <c r="F8" s="15"/>
      <c r="G8" s="15"/>
      <c r="H8" s="35"/>
      <c r="I8" s="35">
        <f t="shared" si="0"/>
        <v>0</v>
      </c>
      <c r="J8" s="35"/>
      <c r="K8" s="35">
        <v>0</v>
      </c>
      <c r="L8" s="36">
        <f t="shared" si="1"/>
        <v>0</v>
      </c>
    </row>
    <row r="9" spans="1:12" x14ac:dyDescent="0.25">
      <c r="A9" s="21" t="s">
        <v>75</v>
      </c>
      <c r="B9" s="30" t="s">
        <v>75</v>
      </c>
      <c r="C9" s="21" t="s">
        <v>87</v>
      </c>
      <c r="D9" s="21" t="s">
        <v>47</v>
      </c>
      <c r="E9" s="21" t="s">
        <v>79</v>
      </c>
      <c r="F9" s="31">
        <v>1</v>
      </c>
      <c r="G9" s="31">
        <v>10</v>
      </c>
      <c r="H9" s="32"/>
      <c r="I9" s="32">
        <f t="shared" si="0"/>
        <v>0</v>
      </c>
      <c r="J9" s="32"/>
      <c r="K9" s="32">
        <v>0</v>
      </c>
      <c r="L9" s="33">
        <f t="shared" si="1"/>
        <v>10</v>
      </c>
    </row>
    <row r="10" spans="1:12" x14ac:dyDescent="0.25">
      <c r="A10" s="15" t="s">
        <v>75</v>
      </c>
      <c r="B10" s="14" t="s">
        <v>75</v>
      </c>
      <c r="C10" s="15" t="s">
        <v>88</v>
      </c>
      <c r="D10" s="15" t="s">
        <v>54</v>
      </c>
      <c r="E10" s="15" t="s">
        <v>84</v>
      </c>
      <c r="F10" s="15"/>
      <c r="G10" s="34">
        <v>15</v>
      </c>
      <c r="H10" s="35"/>
      <c r="I10" s="35">
        <f t="shared" si="0"/>
        <v>0</v>
      </c>
      <c r="J10" s="35"/>
      <c r="K10" s="35">
        <v>0</v>
      </c>
      <c r="L10" s="36">
        <f t="shared" si="1"/>
        <v>15</v>
      </c>
    </row>
    <row r="11" spans="1:12" x14ac:dyDescent="0.25">
      <c r="A11" s="21" t="s">
        <v>75</v>
      </c>
      <c r="B11" s="30" t="s">
        <v>75</v>
      </c>
      <c r="C11" s="21" t="s">
        <v>89</v>
      </c>
      <c r="D11" s="21" t="s">
        <v>69</v>
      </c>
      <c r="E11" s="21" t="s">
        <v>90</v>
      </c>
      <c r="F11" s="21"/>
      <c r="G11" s="21"/>
      <c r="H11" s="32"/>
      <c r="I11" s="32">
        <f t="shared" si="0"/>
        <v>0</v>
      </c>
      <c r="J11" s="32"/>
      <c r="K11" s="32">
        <v>0</v>
      </c>
      <c r="L11" s="33">
        <f t="shared" si="1"/>
        <v>0</v>
      </c>
    </row>
    <row r="12" spans="1:12" x14ac:dyDescent="0.25">
      <c r="A12" s="15" t="s">
        <v>75</v>
      </c>
      <c r="B12" s="14" t="s">
        <v>75</v>
      </c>
      <c r="C12" s="15" t="s">
        <v>78</v>
      </c>
      <c r="D12" s="15" t="s">
        <v>47</v>
      </c>
      <c r="E12" s="15" t="s">
        <v>79</v>
      </c>
      <c r="F12" s="15"/>
      <c r="G12" s="15"/>
      <c r="H12" s="35"/>
      <c r="I12" s="35">
        <f t="shared" si="0"/>
        <v>0</v>
      </c>
      <c r="J12" s="35"/>
      <c r="K12" s="35">
        <v>0</v>
      </c>
      <c r="L12" s="36">
        <f t="shared" si="1"/>
        <v>0</v>
      </c>
    </row>
    <row r="13" spans="1:12" x14ac:dyDescent="0.25">
      <c r="A13" s="21" t="s">
        <v>75</v>
      </c>
      <c r="B13" s="30" t="s">
        <v>75</v>
      </c>
      <c r="C13" s="21" t="s">
        <v>80</v>
      </c>
      <c r="D13" s="21" t="s">
        <v>47</v>
      </c>
      <c r="E13" s="21" t="s">
        <v>79</v>
      </c>
      <c r="F13" s="21"/>
      <c r="G13" s="21"/>
      <c r="H13" s="32"/>
      <c r="I13" s="32">
        <f t="shared" si="0"/>
        <v>0</v>
      </c>
      <c r="J13" s="32"/>
      <c r="K13" s="32">
        <v>0</v>
      </c>
      <c r="L13" s="33">
        <f t="shared" si="1"/>
        <v>0</v>
      </c>
    </row>
    <row r="14" spans="1:12" x14ac:dyDescent="0.25">
      <c r="A14" s="15" t="s">
        <v>75</v>
      </c>
      <c r="B14" s="14" t="s">
        <v>75</v>
      </c>
      <c r="C14" s="15" t="s">
        <v>81</v>
      </c>
      <c r="D14" s="15" t="s">
        <v>65</v>
      </c>
      <c r="E14" s="15" t="s">
        <v>82</v>
      </c>
      <c r="F14" s="15"/>
      <c r="G14" s="15"/>
      <c r="H14" s="35"/>
      <c r="I14" s="35">
        <f t="shared" si="0"/>
        <v>0</v>
      </c>
      <c r="J14" s="35"/>
      <c r="K14" s="35">
        <v>0</v>
      </c>
      <c r="L14" s="36">
        <f t="shared" si="1"/>
        <v>0</v>
      </c>
    </row>
    <row r="15" spans="1:12" x14ac:dyDescent="0.25">
      <c r="A15" s="21" t="s">
        <v>75</v>
      </c>
      <c r="B15" s="30" t="s">
        <v>75</v>
      </c>
      <c r="C15" s="21" t="s">
        <v>91</v>
      </c>
      <c r="D15" s="21" t="s">
        <v>65</v>
      </c>
      <c r="E15" s="21" t="s">
        <v>82</v>
      </c>
      <c r="F15" s="31">
        <v>2</v>
      </c>
      <c r="G15" s="31">
        <v>3</v>
      </c>
      <c r="H15" s="32"/>
      <c r="I15" s="32">
        <f t="shared" si="0"/>
        <v>0</v>
      </c>
      <c r="J15" s="32"/>
      <c r="K15" s="32">
        <v>0</v>
      </c>
      <c r="L15" s="33">
        <f t="shared" si="1"/>
        <v>3</v>
      </c>
    </row>
    <row r="16" spans="1:12" x14ac:dyDescent="0.25">
      <c r="A16" s="15" t="s">
        <v>75</v>
      </c>
      <c r="B16" s="14" t="s">
        <v>75</v>
      </c>
      <c r="C16" s="15" t="s">
        <v>92</v>
      </c>
      <c r="D16" s="15" t="s">
        <v>67</v>
      </c>
      <c r="E16" s="15" t="s">
        <v>93</v>
      </c>
      <c r="F16" s="34">
        <v>1</v>
      </c>
      <c r="G16" s="34">
        <v>2</v>
      </c>
      <c r="H16" s="35"/>
      <c r="I16" s="35">
        <f t="shared" si="0"/>
        <v>0</v>
      </c>
      <c r="J16" s="35"/>
      <c r="K16" s="35">
        <v>0</v>
      </c>
      <c r="L16" s="36">
        <f t="shared" si="1"/>
        <v>2</v>
      </c>
    </row>
    <row r="17" spans="1:12" x14ac:dyDescent="0.25">
      <c r="A17" s="21" t="s">
        <v>75</v>
      </c>
      <c r="B17" s="30" t="s">
        <v>75</v>
      </c>
      <c r="C17" s="21" t="s">
        <v>94</v>
      </c>
      <c r="D17" s="21" t="s">
        <v>67</v>
      </c>
      <c r="E17" s="21" t="s">
        <v>93</v>
      </c>
      <c r="F17" s="31">
        <v>1</v>
      </c>
      <c r="G17" s="31">
        <v>2</v>
      </c>
      <c r="H17" s="32"/>
      <c r="I17" s="32">
        <f t="shared" si="0"/>
        <v>0</v>
      </c>
      <c r="J17" s="32"/>
      <c r="K17" s="32">
        <v>0</v>
      </c>
      <c r="L17" s="33">
        <f t="shared" si="1"/>
        <v>2</v>
      </c>
    </row>
    <row r="18" spans="1:12" x14ac:dyDescent="0.25">
      <c r="A18" s="15" t="s">
        <v>75</v>
      </c>
      <c r="B18" s="14" t="s">
        <v>75</v>
      </c>
      <c r="C18" s="15" t="s">
        <v>95</v>
      </c>
      <c r="D18" s="15" t="s">
        <v>65</v>
      </c>
      <c r="E18" s="15" t="s">
        <v>82</v>
      </c>
      <c r="F18" s="34">
        <v>1</v>
      </c>
      <c r="G18" s="34">
        <v>2</v>
      </c>
      <c r="H18" s="35"/>
      <c r="I18" s="35">
        <f t="shared" si="0"/>
        <v>0</v>
      </c>
      <c r="J18" s="35"/>
      <c r="K18" s="35">
        <v>0</v>
      </c>
      <c r="L18" s="36">
        <f t="shared" si="1"/>
        <v>2</v>
      </c>
    </row>
    <row r="19" spans="1:12" x14ac:dyDescent="0.25">
      <c r="A19" s="21" t="s">
        <v>75</v>
      </c>
      <c r="B19" s="30" t="s">
        <v>75</v>
      </c>
      <c r="C19" s="21" t="s">
        <v>83</v>
      </c>
      <c r="D19" s="21" t="s">
        <v>54</v>
      </c>
      <c r="E19" s="21" t="s">
        <v>84</v>
      </c>
      <c r="F19" s="21"/>
      <c r="G19" s="21"/>
      <c r="H19" s="32"/>
      <c r="I19" s="32">
        <f t="shared" si="0"/>
        <v>0</v>
      </c>
      <c r="J19" s="32"/>
      <c r="K19" s="32">
        <v>0</v>
      </c>
      <c r="L19" s="33">
        <f t="shared" si="1"/>
        <v>0</v>
      </c>
    </row>
    <row r="20" spans="1:12" x14ac:dyDescent="0.25">
      <c r="A20" s="15" t="s">
        <v>75</v>
      </c>
      <c r="B20" s="14" t="s">
        <v>75</v>
      </c>
      <c r="C20" s="15" t="s">
        <v>85</v>
      </c>
      <c r="D20" s="15" t="s">
        <v>47</v>
      </c>
      <c r="E20" s="15" t="s">
        <v>79</v>
      </c>
      <c r="F20" s="15"/>
      <c r="G20" s="15"/>
      <c r="H20" s="35"/>
      <c r="I20" s="35">
        <f t="shared" si="0"/>
        <v>0</v>
      </c>
      <c r="J20" s="35"/>
      <c r="K20" s="35">
        <v>0</v>
      </c>
      <c r="L20" s="36">
        <f t="shared" si="1"/>
        <v>0</v>
      </c>
    </row>
    <row r="21" spans="1:12" x14ac:dyDescent="0.25">
      <c r="A21" s="21" t="s">
        <v>75</v>
      </c>
      <c r="B21" s="30" t="s">
        <v>75</v>
      </c>
      <c r="C21" s="21" t="s">
        <v>86</v>
      </c>
      <c r="D21" s="21" t="s">
        <v>65</v>
      </c>
      <c r="E21" s="21" t="s">
        <v>82</v>
      </c>
      <c r="F21" s="21"/>
      <c r="G21" s="21"/>
      <c r="H21" s="32"/>
      <c r="I21" s="32">
        <f t="shared" si="0"/>
        <v>0</v>
      </c>
      <c r="J21" s="32"/>
      <c r="K21" s="32">
        <v>0</v>
      </c>
      <c r="L21" s="33">
        <f t="shared" si="1"/>
        <v>0</v>
      </c>
    </row>
    <row r="22" spans="1:12" x14ac:dyDescent="0.25">
      <c r="A22" s="15" t="s">
        <v>75</v>
      </c>
      <c r="B22" s="14" t="s">
        <v>75</v>
      </c>
      <c r="C22" s="15" t="s">
        <v>96</v>
      </c>
      <c r="D22" s="15" t="s">
        <v>65</v>
      </c>
      <c r="E22" s="15" t="s">
        <v>82</v>
      </c>
      <c r="F22" s="34">
        <v>3</v>
      </c>
      <c r="G22" s="34">
        <v>4</v>
      </c>
      <c r="H22" s="35"/>
      <c r="I22" s="35">
        <f t="shared" si="0"/>
        <v>0</v>
      </c>
      <c r="J22" s="35"/>
      <c r="K22" s="35">
        <v>0</v>
      </c>
      <c r="L22" s="36">
        <f t="shared" si="1"/>
        <v>4</v>
      </c>
    </row>
    <row r="23" spans="1:12" x14ac:dyDescent="0.25">
      <c r="A23" s="21" t="s">
        <v>75</v>
      </c>
      <c r="B23" s="30" t="s">
        <v>75</v>
      </c>
      <c r="C23" s="21" t="s">
        <v>97</v>
      </c>
      <c r="D23" s="21" t="s">
        <v>65</v>
      </c>
      <c r="E23" s="21" t="s">
        <v>82</v>
      </c>
      <c r="F23" s="31">
        <v>3</v>
      </c>
      <c r="G23" s="31">
        <v>5</v>
      </c>
      <c r="H23" s="32"/>
      <c r="I23" s="32">
        <f t="shared" si="0"/>
        <v>0</v>
      </c>
      <c r="J23" s="32"/>
      <c r="K23" s="32">
        <v>0</v>
      </c>
      <c r="L23" s="33">
        <f t="shared" si="1"/>
        <v>5</v>
      </c>
    </row>
    <row r="24" spans="1:12" x14ac:dyDescent="0.25">
      <c r="A24" s="15" t="s">
        <v>75</v>
      </c>
      <c r="B24" s="14" t="s">
        <v>75</v>
      </c>
      <c r="C24" s="15" t="s">
        <v>98</v>
      </c>
      <c r="D24" s="15" t="s">
        <v>67</v>
      </c>
      <c r="E24" s="15" t="s">
        <v>93</v>
      </c>
      <c r="F24" s="34">
        <v>1</v>
      </c>
      <c r="G24" s="34">
        <v>2</v>
      </c>
      <c r="H24" s="35"/>
      <c r="I24" s="35">
        <f t="shared" si="0"/>
        <v>0</v>
      </c>
      <c r="J24" s="35"/>
      <c r="K24" s="35">
        <v>0</v>
      </c>
      <c r="L24" s="36">
        <f t="shared" si="1"/>
        <v>2</v>
      </c>
    </row>
    <row r="25" spans="1:12" x14ac:dyDescent="0.25">
      <c r="A25" s="21" t="s">
        <v>75</v>
      </c>
      <c r="B25" s="30" t="s">
        <v>75</v>
      </c>
      <c r="C25" s="21" t="s">
        <v>99</v>
      </c>
      <c r="D25" s="21" t="s">
        <v>67</v>
      </c>
      <c r="E25" s="21" t="s">
        <v>93</v>
      </c>
      <c r="F25" s="31">
        <v>1</v>
      </c>
      <c r="G25" s="31">
        <v>2</v>
      </c>
      <c r="H25" s="32"/>
      <c r="I25" s="32">
        <f t="shared" si="0"/>
        <v>0</v>
      </c>
      <c r="J25" s="32"/>
      <c r="K25" s="32">
        <v>0</v>
      </c>
      <c r="L25" s="33">
        <f t="shared" si="1"/>
        <v>2</v>
      </c>
    </row>
    <row r="26" spans="1:12" x14ac:dyDescent="0.25">
      <c r="A26" s="15" t="s">
        <v>75</v>
      </c>
      <c r="B26" s="14" t="s">
        <v>75</v>
      </c>
      <c r="C26" s="15" t="s">
        <v>100</v>
      </c>
      <c r="D26" s="15" t="s">
        <v>65</v>
      </c>
      <c r="E26" s="15" t="s">
        <v>82</v>
      </c>
      <c r="F26" s="34">
        <v>1</v>
      </c>
      <c r="G26" s="34">
        <v>20</v>
      </c>
      <c r="H26" s="35"/>
      <c r="I26" s="35">
        <f t="shared" si="0"/>
        <v>0</v>
      </c>
      <c r="J26" s="35"/>
      <c r="K26" s="35">
        <v>0</v>
      </c>
      <c r="L26" s="36">
        <f t="shared" si="1"/>
        <v>20</v>
      </c>
    </row>
    <row r="27" spans="1:12" x14ac:dyDescent="0.25">
      <c r="A27" s="21" t="s">
        <v>75</v>
      </c>
      <c r="B27" s="30" t="s">
        <v>75</v>
      </c>
      <c r="C27" s="21" t="s">
        <v>101</v>
      </c>
      <c r="D27" s="21" t="s">
        <v>65</v>
      </c>
      <c r="E27" s="21" t="s">
        <v>82</v>
      </c>
      <c r="F27" s="31">
        <v>3</v>
      </c>
      <c r="G27" s="31">
        <v>5</v>
      </c>
      <c r="H27" s="32"/>
      <c r="I27" s="32">
        <f t="shared" si="0"/>
        <v>0</v>
      </c>
      <c r="J27" s="32"/>
      <c r="K27" s="32">
        <v>0</v>
      </c>
      <c r="L27" s="33">
        <f t="shared" si="1"/>
        <v>5</v>
      </c>
    </row>
    <row r="28" spans="1:12" x14ac:dyDescent="0.25">
      <c r="A28" s="15" t="s">
        <v>75</v>
      </c>
      <c r="B28" s="14" t="s">
        <v>75</v>
      </c>
      <c r="C28" s="15" t="s">
        <v>87</v>
      </c>
      <c r="D28" s="15" t="s">
        <v>47</v>
      </c>
      <c r="E28" s="15" t="s">
        <v>79</v>
      </c>
      <c r="F28" s="15"/>
      <c r="G28" s="15"/>
      <c r="H28" s="35"/>
      <c r="I28" s="35">
        <f t="shared" si="0"/>
        <v>0</v>
      </c>
      <c r="J28" s="35"/>
      <c r="K28" s="35">
        <v>0</v>
      </c>
      <c r="L28" s="36">
        <f t="shared" si="1"/>
        <v>0</v>
      </c>
    </row>
    <row r="29" spans="1:12" x14ac:dyDescent="0.25">
      <c r="A29" s="21" t="s">
        <v>75</v>
      </c>
      <c r="B29" s="30" t="s">
        <v>75</v>
      </c>
      <c r="C29" s="21" t="s">
        <v>88</v>
      </c>
      <c r="D29" s="21" t="s">
        <v>54</v>
      </c>
      <c r="E29" s="21" t="s">
        <v>84</v>
      </c>
      <c r="F29" s="21"/>
      <c r="G29" s="21"/>
      <c r="H29" s="32"/>
      <c r="I29" s="32">
        <f t="shared" si="0"/>
        <v>0</v>
      </c>
      <c r="J29" s="32"/>
      <c r="K29" s="32">
        <v>0</v>
      </c>
      <c r="L29" s="33">
        <f t="shared" si="1"/>
        <v>0</v>
      </c>
    </row>
    <row r="30" spans="1:12" x14ac:dyDescent="0.25">
      <c r="A30" s="15" t="s">
        <v>75</v>
      </c>
      <c r="B30" s="14" t="s">
        <v>75</v>
      </c>
      <c r="C30" s="15" t="s">
        <v>89</v>
      </c>
      <c r="D30" s="15" t="s">
        <v>69</v>
      </c>
      <c r="E30" s="15" t="s">
        <v>90</v>
      </c>
      <c r="F30" s="15"/>
      <c r="G30" s="15"/>
      <c r="H30" s="35"/>
      <c r="I30" s="35">
        <f t="shared" si="0"/>
        <v>0</v>
      </c>
      <c r="J30" s="35"/>
      <c r="K30" s="35">
        <v>0</v>
      </c>
      <c r="L30" s="36">
        <f t="shared" si="1"/>
        <v>0</v>
      </c>
    </row>
    <row r="31" spans="1:12" x14ac:dyDescent="0.25">
      <c r="A31" s="21" t="s">
        <v>102</v>
      </c>
      <c r="B31" s="30" t="s">
        <v>102</v>
      </c>
      <c r="C31" s="21" t="s">
        <v>103</v>
      </c>
      <c r="D31" s="21" t="s">
        <v>70</v>
      </c>
      <c r="E31" s="21" t="s">
        <v>104</v>
      </c>
      <c r="F31" s="31">
        <v>7</v>
      </c>
      <c r="G31" s="31">
        <v>8</v>
      </c>
      <c r="H31" s="32"/>
      <c r="I31" s="32">
        <f t="shared" si="0"/>
        <v>0</v>
      </c>
      <c r="J31" s="32"/>
      <c r="K31" s="32">
        <v>0</v>
      </c>
      <c r="L31" s="33">
        <f t="shared" si="1"/>
        <v>8</v>
      </c>
    </row>
    <row r="32" spans="1:12" x14ac:dyDescent="0.25">
      <c r="A32" s="15" t="s">
        <v>102</v>
      </c>
      <c r="B32" s="14" t="s">
        <v>102</v>
      </c>
      <c r="C32" s="15" t="s">
        <v>105</v>
      </c>
      <c r="D32" s="15" t="s">
        <v>70</v>
      </c>
      <c r="E32" s="15" t="s">
        <v>104</v>
      </c>
      <c r="F32" s="34">
        <v>7</v>
      </c>
      <c r="G32" s="34">
        <v>8</v>
      </c>
      <c r="H32" s="35"/>
      <c r="I32" s="35">
        <f t="shared" si="0"/>
        <v>0</v>
      </c>
      <c r="J32" s="35"/>
      <c r="K32" s="35">
        <v>0</v>
      </c>
      <c r="L32" s="36">
        <f t="shared" si="1"/>
        <v>8</v>
      </c>
    </row>
    <row r="33" spans="1:12" x14ac:dyDescent="0.25">
      <c r="A33" s="21" t="s">
        <v>102</v>
      </c>
      <c r="B33" s="30" t="s">
        <v>102</v>
      </c>
      <c r="C33" s="21" t="s">
        <v>106</v>
      </c>
      <c r="D33" s="21" t="s">
        <v>47</v>
      </c>
      <c r="E33" s="21" t="s">
        <v>79</v>
      </c>
      <c r="F33" s="31">
        <v>4</v>
      </c>
      <c r="G33" s="31">
        <v>15</v>
      </c>
      <c r="H33" s="32"/>
      <c r="I33" s="32">
        <f t="shared" si="0"/>
        <v>0</v>
      </c>
      <c r="J33" s="32"/>
      <c r="K33" s="32">
        <v>0</v>
      </c>
      <c r="L33" s="33">
        <f t="shared" si="1"/>
        <v>15</v>
      </c>
    </row>
    <row r="34" spans="1:12" x14ac:dyDescent="0.25">
      <c r="A34" s="15" t="s">
        <v>102</v>
      </c>
      <c r="B34" s="14" t="s">
        <v>102</v>
      </c>
      <c r="C34" s="15" t="s">
        <v>107</v>
      </c>
      <c r="D34" s="15" t="s">
        <v>65</v>
      </c>
      <c r="E34" s="15" t="s">
        <v>82</v>
      </c>
      <c r="F34" s="15"/>
      <c r="G34" s="15"/>
      <c r="H34" s="35"/>
      <c r="I34" s="35">
        <f t="shared" si="0"/>
        <v>0</v>
      </c>
      <c r="J34" s="35"/>
      <c r="K34" s="35">
        <v>0</v>
      </c>
      <c r="L34" s="36">
        <f t="shared" si="1"/>
        <v>0</v>
      </c>
    </row>
    <row r="35" spans="1:12" x14ac:dyDescent="0.25">
      <c r="A35" s="21" t="s">
        <v>102</v>
      </c>
      <c r="B35" s="30" t="s">
        <v>102</v>
      </c>
      <c r="C35" s="21" t="s">
        <v>108</v>
      </c>
      <c r="D35" s="21" t="s">
        <v>47</v>
      </c>
      <c r="E35" s="21" t="s">
        <v>79</v>
      </c>
      <c r="F35" s="31">
        <v>4</v>
      </c>
      <c r="G35" s="31">
        <v>5</v>
      </c>
      <c r="H35" s="32"/>
      <c r="I35" s="32">
        <f t="shared" ref="I35:I66" si="2">IF(H35="",0,G35)</f>
        <v>0</v>
      </c>
      <c r="J35" s="32"/>
      <c r="K35" s="32">
        <v>0</v>
      </c>
      <c r="L35" s="33">
        <f t="shared" ref="L35:L66" si="3">G35-I35-K35</f>
        <v>5</v>
      </c>
    </row>
    <row r="36" spans="1:12" x14ac:dyDescent="0.25">
      <c r="A36" s="15" t="s">
        <v>102</v>
      </c>
      <c r="B36" s="14" t="s">
        <v>102</v>
      </c>
      <c r="C36" s="15" t="s">
        <v>109</v>
      </c>
      <c r="D36" s="15" t="s">
        <v>54</v>
      </c>
      <c r="E36" s="15" t="s">
        <v>84</v>
      </c>
      <c r="F36" s="15"/>
      <c r="G36" s="15"/>
      <c r="H36" s="35"/>
      <c r="I36" s="35">
        <f t="shared" si="2"/>
        <v>0</v>
      </c>
      <c r="J36" s="35"/>
      <c r="K36" s="35">
        <v>0</v>
      </c>
      <c r="L36" s="36">
        <f t="shared" si="3"/>
        <v>0</v>
      </c>
    </row>
    <row r="37" spans="1:12" x14ac:dyDescent="0.25">
      <c r="A37" s="21" t="s">
        <v>102</v>
      </c>
      <c r="B37" s="30" t="s">
        <v>102</v>
      </c>
      <c r="C37" s="21" t="s">
        <v>110</v>
      </c>
      <c r="D37" s="21" t="s">
        <v>69</v>
      </c>
      <c r="E37" s="21" t="s">
        <v>90</v>
      </c>
      <c r="F37" s="21"/>
      <c r="G37" s="21"/>
      <c r="H37" s="32"/>
      <c r="I37" s="32">
        <f t="shared" si="2"/>
        <v>0</v>
      </c>
      <c r="J37" s="32"/>
      <c r="K37" s="32">
        <v>0</v>
      </c>
      <c r="L37" s="33">
        <f t="shared" si="3"/>
        <v>0</v>
      </c>
    </row>
    <row r="38" spans="1:12" x14ac:dyDescent="0.25">
      <c r="A38" s="15" t="s">
        <v>102</v>
      </c>
      <c r="B38" s="14" t="s">
        <v>102</v>
      </c>
      <c r="C38" s="15" t="s">
        <v>106</v>
      </c>
      <c r="D38" s="15" t="s">
        <v>47</v>
      </c>
      <c r="E38" s="15" t="s">
        <v>79</v>
      </c>
      <c r="F38" s="15"/>
      <c r="G38" s="15"/>
      <c r="H38" s="35"/>
      <c r="I38" s="35">
        <f t="shared" si="2"/>
        <v>0</v>
      </c>
      <c r="J38" s="35"/>
      <c r="K38" s="35">
        <v>0</v>
      </c>
      <c r="L38" s="36">
        <f t="shared" si="3"/>
        <v>0</v>
      </c>
    </row>
    <row r="39" spans="1:12" x14ac:dyDescent="0.25">
      <c r="A39" s="21" t="s">
        <v>102</v>
      </c>
      <c r="B39" s="30" t="s">
        <v>102</v>
      </c>
      <c r="C39" s="21" t="s">
        <v>107</v>
      </c>
      <c r="D39" s="21" t="s">
        <v>65</v>
      </c>
      <c r="E39" s="21" t="s">
        <v>82</v>
      </c>
      <c r="F39" s="21"/>
      <c r="G39" s="21"/>
      <c r="H39" s="32"/>
      <c r="I39" s="32">
        <f t="shared" si="2"/>
        <v>0</v>
      </c>
      <c r="J39" s="32"/>
      <c r="K39" s="32">
        <v>0</v>
      </c>
      <c r="L39" s="33">
        <f t="shared" si="3"/>
        <v>0</v>
      </c>
    </row>
    <row r="40" spans="1:12" x14ac:dyDescent="0.25">
      <c r="A40" s="15" t="s">
        <v>102</v>
      </c>
      <c r="B40" s="14" t="s">
        <v>102</v>
      </c>
      <c r="C40" s="15" t="s">
        <v>111</v>
      </c>
      <c r="D40" s="15" t="s">
        <v>65</v>
      </c>
      <c r="E40" s="15" t="s">
        <v>82</v>
      </c>
      <c r="F40" s="34">
        <v>4</v>
      </c>
      <c r="G40" s="34">
        <v>6</v>
      </c>
      <c r="H40" s="35"/>
      <c r="I40" s="35">
        <f t="shared" si="2"/>
        <v>0</v>
      </c>
      <c r="J40" s="35"/>
      <c r="K40" s="35">
        <v>0</v>
      </c>
      <c r="L40" s="36">
        <f t="shared" si="3"/>
        <v>6</v>
      </c>
    </row>
    <row r="41" spans="1:12" x14ac:dyDescent="0.25">
      <c r="A41" s="21" t="s">
        <v>102</v>
      </c>
      <c r="B41" s="30" t="s">
        <v>102</v>
      </c>
      <c r="C41" s="21" t="s">
        <v>112</v>
      </c>
      <c r="D41" s="21" t="s">
        <v>65</v>
      </c>
      <c r="E41" s="21" t="s">
        <v>82</v>
      </c>
      <c r="F41" s="31">
        <v>2</v>
      </c>
      <c r="G41" s="31">
        <v>4</v>
      </c>
      <c r="H41" s="32"/>
      <c r="I41" s="32">
        <f t="shared" si="2"/>
        <v>0</v>
      </c>
      <c r="J41" s="32"/>
      <c r="K41" s="32">
        <v>0</v>
      </c>
      <c r="L41" s="33">
        <f t="shared" si="3"/>
        <v>4</v>
      </c>
    </row>
    <row r="42" spans="1:12" x14ac:dyDescent="0.25">
      <c r="A42" s="15" t="s">
        <v>102</v>
      </c>
      <c r="B42" s="14" t="s">
        <v>102</v>
      </c>
      <c r="C42" s="15" t="s">
        <v>113</v>
      </c>
      <c r="D42" s="15" t="s">
        <v>65</v>
      </c>
      <c r="E42" s="15" t="s">
        <v>82</v>
      </c>
      <c r="F42" s="34">
        <v>1</v>
      </c>
      <c r="G42" s="34">
        <v>2</v>
      </c>
      <c r="H42" s="35"/>
      <c r="I42" s="35">
        <f t="shared" si="2"/>
        <v>0</v>
      </c>
      <c r="J42" s="35"/>
      <c r="K42" s="35">
        <v>0</v>
      </c>
      <c r="L42" s="36">
        <f t="shared" si="3"/>
        <v>2</v>
      </c>
    </row>
    <row r="43" spans="1:12" x14ac:dyDescent="0.25">
      <c r="A43" s="21" t="s">
        <v>102</v>
      </c>
      <c r="B43" s="30" t="s">
        <v>102</v>
      </c>
      <c r="C43" s="21" t="s">
        <v>114</v>
      </c>
      <c r="D43" s="21" t="s">
        <v>65</v>
      </c>
      <c r="E43" s="21" t="s">
        <v>82</v>
      </c>
      <c r="F43" s="31">
        <v>1</v>
      </c>
      <c r="G43" s="31">
        <v>2</v>
      </c>
      <c r="H43" s="32"/>
      <c r="I43" s="32">
        <f t="shared" si="2"/>
        <v>0</v>
      </c>
      <c r="J43" s="32"/>
      <c r="K43" s="32">
        <v>0</v>
      </c>
      <c r="L43" s="33">
        <f t="shared" si="3"/>
        <v>2</v>
      </c>
    </row>
    <row r="44" spans="1:12" x14ac:dyDescent="0.25">
      <c r="A44" s="15" t="s">
        <v>102</v>
      </c>
      <c r="B44" s="14" t="s">
        <v>102</v>
      </c>
      <c r="C44" s="15" t="s">
        <v>115</v>
      </c>
      <c r="D44" s="15" t="s">
        <v>65</v>
      </c>
      <c r="E44" s="15" t="s">
        <v>82</v>
      </c>
      <c r="F44" s="34">
        <v>1</v>
      </c>
      <c r="G44" s="34">
        <v>2</v>
      </c>
      <c r="H44" s="35"/>
      <c r="I44" s="35">
        <f t="shared" si="2"/>
        <v>0</v>
      </c>
      <c r="J44" s="35"/>
      <c r="K44" s="35">
        <v>0</v>
      </c>
      <c r="L44" s="36">
        <f t="shared" si="3"/>
        <v>2</v>
      </c>
    </row>
    <row r="45" spans="1:12" x14ac:dyDescent="0.25">
      <c r="A45" s="21" t="s">
        <v>102</v>
      </c>
      <c r="B45" s="30" t="s">
        <v>102</v>
      </c>
      <c r="C45" s="21" t="s">
        <v>116</v>
      </c>
      <c r="D45" s="21" t="s">
        <v>65</v>
      </c>
      <c r="E45" s="21" t="s">
        <v>82</v>
      </c>
      <c r="F45" s="31">
        <v>5</v>
      </c>
      <c r="G45" s="31">
        <v>10</v>
      </c>
      <c r="H45" s="32"/>
      <c r="I45" s="32">
        <f t="shared" si="2"/>
        <v>0</v>
      </c>
      <c r="J45" s="32"/>
      <c r="K45" s="32">
        <v>0</v>
      </c>
      <c r="L45" s="33">
        <f t="shared" si="3"/>
        <v>10</v>
      </c>
    </row>
    <row r="46" spans="1:12" x14ac:dyDescent="0.25">
      <c r="A46" s="15" t="s">
        <v>102</v>
      </c>
      <c r="B46" s="14" t="s">
        <v>102</v>
      </c>
      <c r="C46" s="15" t="s">
        <v>117</v>
      </c>
      <c r="D46" s="15" t="s">
        <v>67</v>
      </c>
      <c r="E46" s="15" t="s">
        <v>93</v>
      </c>
      <c r="F46" s="34">
        <v>3</v>
      </c>
      <c r="G46" s="34">
        <v>4</v>
      </c>
      <c r="H46" s="35"/>
      <c r="I46" s="35">
        <f t="shared" si="2"/>
        <v>0</v>
      </c>
      <c r="J46" s="35"/>
      <c r="K46" s="35">
        <v>0</v>
      </c>
      <c r="L46" s="36">
        <f t="shared" si="3"/>
        <v>4</v>
      </c>
    </row>
    <row r="47" spans="1:12" x14ac:dyDescent="0.25">
      <c r="A47" s="21" t="s">
        <v>102</v>
      </c>
      <c r="B47" s="30" t="s">
        <v>102</v>
      </c>
      <c r="C47" s="21" t="s">
        <v>118</v>
      </c>
      <c r="D47" s="21" t="s">
        <v>67</v>
      </c>
      <c r="E47" s="21" t="s">
        <v>93</v>
      </c>
      <c r="F47" s="31">
        <v>1</v>
      </c>
      <c r="G47" s="31">
        <v>2</v>
      </c>
      <c r="H47" s="32"/>
      <c r="I47" s="32">
        <f t="shared" si="2"/>
        <v>0</v>
      </c>
      <c r="J47" s="32"/>
      <c r="K47" s="32">
        <v>0</v>
      </c>
      <c r="L47" s="33">
        <f t="shared" si="3"/>
        <v>2</v>
      </c>
    </row>
    <row r="48" spans="1:12" x14ac:dyDescent="0.25">
      <c r="A48" s="15" t="s">
        <v>102</v>
      </c>
      <c r="B48" s="14" t="s">
        <v>102</v>
      </c>
      <c r="C48" s="15" t="s">
        <v>119</v>
      </c>
      <c r="D48" s="15" t="s">
        <v>67</v>
      </c>
      <c r="E48" s="15" t="s">
        <v>93</v>
      </c>
      <c r="F48" s="34">
        <v>1</v>
      </c>
      <c r="G48" s="34">
        <v>2</v>
      </c>
      <c r="H48" s="35"/>
      <c r="I48" s="35">
        <f t="shared" si="2"/>
        <v>0</v>
      </c>
      <c r="J48" s="35"/>
      <c r="K48" s="35">
        <v>0</v>
      </c>
      <c r="L48" s="36">
        <f t="shared" si="3"/>
        <v>2</v>
      </c>
    </row>
    <row r="49" spans="1:12" x14ac:dyDescent="0.25">
      <c r="A49" s="21" t="s">
        <v>102</v>
      </c>
      <c r="B49" s="30" t="s">
        <v>102</v>
      </c>
      <c r="C49" s="21" t="s">
        <v>120</v>
      </c>
      <c r="D49" s="21" t="s">
        <v>67</v>
      </c>
      <c r="E49" s="21" t="s">
        <v>93</v>
      </c>
      <c r="F49" s="31">
        <v>1</v>
      </c>
      <c r="G49" s="31">
        <v>2</v>
      </c>
      <c r="H49" s="32"/>
      <c r="I49" s="32">
        <f t="shared" si="2"/>
        <v>0</v>
      </c>
      <c r="J49" s="32"/>
      <c r="K49" s="32">
        <v>0</v>
      </c>
      <c r="L49" s="33">
        <f t="shared" si="3"/>
        <v>2</v>
      </c>
    </row>
    <row r="50" spans="1:12" x14ac:dyDescent="0.25">
      <c r="A50" s="15" t="s">
        <v>102</v>
      </c>
      <c r="B50" s="14" t="s">
        <v>102</v>
      </c>
      <c r="C50" s="15" t="s">
        <v>121</v>
      </c>
      <c r="D50" s="15" t="s">
        <v>67</v>
      </c>
      <c r="E50" s="15" t="s">
        <v>93</v>
      </c>
      <c r="F50" s="34">
        <v>3</v>
      </c>
      <c r="G50" s="34">
        <v>4</v>
      </c>
      <c r="H50" s="35"/>
      <c r="I50" s="35">
        <f t="shared" si="2"/>
        <v>0</v>
      </c>
      <c r="J50" s="35"/>
      <c r="K50" s="35">
        <v>0</v>
      </c>
      <c r="L50" s="36">
        <f t="shared" si="3"/>
        <v>4</v>
      </c>
    </row>
    <row r="51" spans="1:12" x14ac:dyDescent="0.25">
      <c r="A51" s="21" t="s">
        <v>102</v>
      </c>
      <c r="B51" s="30" t="s">
        <v>102</v>
      </c>
      <c r="C51" s="21" t="s">
        <v>122</v>
      </c>
      <c r="D51" s="21" t="s">
        <v>67</v>
      </c>
      <c r="E51" s="21" t="s">
        <v>93</v>
      </c>
      <c r="F51" s="31">
        <v>1</v>
      </c>
      <c r="G51" s="31">
        <v>2</v>
      </c>
      <c r="H51" s="32"/>
      <c r="I51" s="32">
        <f t="shared" si="2"/>
        <v>0</v>
      </c>
      <c r="J51" s="32"/>
      <c r="K51" s="32">
        <v>0</v>
      </c>
      <c r="L51" s="33">
        <f t="shared" si="3"/>
        <v>2</v>
      </c>
    </row>
    <row r="52" spans="1:12" x14ac:dyDescent="0.25">
      <c r="A52" s="15" t="s">
        <v>102</v>
      </c>
      <c r="B52" s="14" t="s">
        <v>102</v>
      </c>
      <c r="C52" s="15" t="s">
        <v>123</v>
      </c>
      <c r="D52" s="15" t="s">
        <v>67</v>
      </c>
      <c r="E52" s="15" t="s">
        <v>93</v>
      </c>
      <c r="F52" s="34">
        <v>1</v>
      </c>
      <c r="G52" s="34">
        <v>2</v>
      </c>
      <c r="H52" s="35"/>
      <c r="I52" s="35">
        <f t="shared" si="2"/>
        <v>0</v>
      </c>
      <c r="J52" s="35"/>
      <c r="K52" s="35">
        <v>0</v>
      </c>
      <c r="L52" s="36">
        <f t="shared" si="3"/>
        <v>2</v>
      </c>
    </row>
    <row r="53" spans="1:12" x14ac:dyDescent="0.25">
      <c r="A53" s="21" t="s">
        <v>102</v>
      </c>
      <c r="B53" s="30" t="s">
        <v>102</v>
      </c>
      <c r="C53" s="21" t="s">
        <v>124</v>
      </c>
      <c r="D53" s="21" t="s">
        <v>67</v>
      </c>
      <c r="E53" s="21" t="s">
        <v>93</v>
      </c>
      <c r="F53" s="31">
        <v>2</v>
      </c>
      <c r="G53" s="31">
        <v>3</v>
      </c>
      <c r="H53" s="32"/>
      <c r="I53" s="32">
        <f t="shared" si="2"/>
        <v>0</v>
      </c>
      <c r="J53" s="32"/>
      <c r="K53" s="32">
        <v>0</v>
      </c>
      <c r="L53" s="33">
        <f t="shared" si="3"/>
        <v>3</v>
      </c>
    </row>
    <row r="54" spans="1:12" x14ac:dyDescent="0.25">
      <c r="A54" s="15" t="s">
        <v>102</v>
      </c>
      <c r="B54" s="14" t="s">
        <v>102</v>
      </c>
      <c r="C54" s="15" t="s">
        <v>125</v>
      </c>
      <c r="D54" s="15" t="s">
        <v>67</v>
      </c>
      <c r="E54" s="15" t="s">
        <v>93</v>
      </c>
      <c r="F54" s="34">
        <v>5</v>
      </c>
      <c r="G54" s="34">
        <v>7</v>
      </c>
      <c r="H54" s="35"/>
      <c r="I54" s="35">
        <f t="shared" si="2"/>
        <v>0</v>
      </c>
      <c r="J54" s="35"/>
      <c r="K54" s="35">
        <v>0</v>
      </c>
      <c r="L54" s="36">
        <f t="shared" si="3"/>
        <v>7</v>
      </c>
    </row>
    <row r="55" spans="1:12" x14ac:dyDescent="0.25">
      <c r="A55" s="21" t="s">
        <v>102</v>
      </c>
      <c r="B55" s="30" t="s">
        <v>102</v>
      </c>
      <c r="C55" s="21" t="s">
        <v>108</v>
      </c>
      <c r="D55" s="21" t="s">
        <v>47</v>
      </c>
      <c r="E55" s="21" t="s">
        <v>79</v>
      </c>
      <c r="F55" s="21"/>
      <c r="G55" s="21"/>
      <c r="H55" s="32"/>
      <c r="I55" s="32">
        <f t="shared" si="2"/>
        <v>0</v>
      </c>
      <c r="J55" s="32"/>
      <c r="K55" s="32">
        <v>0</v>
      </c>
      <c r="L55" s="33">
        <f t="shared" si="3"/>
        <v>0</v>
      </c>
    </row>
    <row r="56" spans="1:12" x14ac:dyDescent="0.25">
      <c r="A56" s="15" t="s">
        <v>102</v>
      </c>
      <c r="B56" s="14" t="s">
        <v>102</v>
      </c>
      <c r="C56" s="15" t="s">
        <v>109</v>
      </c>
      <c r="D56" s="15" t="s">
        <v>54</v>
      </c>
      <c r="E56" s="15" t="s">
        <v>84</v>
      </c>
      <c r="F56" s="15"/>
      <c r="G56" s="15"/>
      <c r="H56" s="35"/>
      <c r="I56" s="35">
        <f t="shared" si="2"/>
        <v>0</v>
      </c>
      <c r="J56" s="35"/>
      <c r="K56" s="35">
        <v>0</v>
      </c>
      <c r="L56" s="36">
        <f t="shared" si="3"/>
        <v>0</v>
      </c>
    </row>
    <row r="57" spans="1:12" x14ac:dyDescent="0.25">
      <c r="A57" s="21" t="s">
        <v>102</v>
      </c>
      <c r="B57" s="30" t="s">
        <v>102</v>
      </c>
      <c r="C57" s="21" t="s">
        <v>110</v>
      </c>
      <c r="D57" s="21" t="s">
        <v>69</v>
      </c>
      <c r="E57" s="21" t="s">
        <v>90</v>
      </c>
      <c r="F57" s="21"/>
      <c r="G57" s="21"/>
      <c r="H57" s="32"/>
      <c r="I57" s="32">
        <f t="shared" si="2"/>
        <v>0</v>
      </c>
      <c r="J57" s="32"/>
      <c r="K57" s="32">
        <v>0</v>
      </c>
      <c r="L57" s="33">
        <f t="shared" si="3"/>
        <v>0</v>
      </c>
    </row>
    <row r="58" spans="1:12" x14ac:dyDescent="0.25">
      <c r="A58" s="21" t="s">
        <v>126</v>
      </c>
      <c r="B58" s="30" t="s">
        <v>126</v>
      </c>
      <c r="C58" s="21" t="s">
        <v>128</v>
      </c>
      <c r="D58" s="21" t="s">
        <v>53</v>
      </c>
      <c r="E58" s="21" t="s">
        <v>129</v>
      </c>
      <c r="F58" s="21"/>
      <c r="G58" s="21"/>
      <c r="H58" s="32"/>
      <c r="I58" s="32">
        <f t="shared" si="2"/>
        <v>0</v>
      </c>
      <c r="J58" s="32"/>
      <c r="K58" s="32">
        <v>0</v>
      </c>
      <c r="L58" s="33">
        <f t="shared" si="3"/>
        <v>0</v>
      </c>
    </row>
    <row r="59" spans="1:12" x14ac:dyDescent="0.25">
      <c r="A59" s="21" t="s">
        <v>131</v>
      </c>
      <c r="B59" s="30" t="s">
        <v>131</v>
      </c>
      <c r="C59" s="21" t="s">
        <v>133</v>
      </c>
      <c r="D59" s="21" t="s">
        <v>49</v>
      </c>
      <c r="E59" s="21" t="s">
        <v>134</v>
      </c>
      <c r="F59" s="31">
        <v>7</v>
      </c>
      <c r="G59" s="31">
        <v>10</v>
      </c>
      <c r="H59" s="32"/>
      <c r="I59" s="32">
        <f t="shared" si="2"/>
        <v>0</v>
      </c>
      <c r="J59" s="32"/>
      <c r="K59" s="32">
        <v>0</v>
      </c>
      <c r="L59" s="33">
        <f t="shared" si="3"/>
        <v>10</v>
      </c>
    </row>
    <row r="60" spans="1:12" x14ac:dyDescent="0.25">
      <c r="A60" s="15" t="s">
        <v>131</v>
      </c>
      <c r="B60" s="14" t="s">
        <v>131</v>
      </c>
      <c r="C60" s="15" t="s">
        <v>135</v>
      </c>
      <c r="D60" s="15" t="s">
        <v>57</v>
      </c>
      <c r="E60" s="15" t="s">
        <v>136</v>
      </c>
      <c r="F60" s="15"/>
      <c r="G60" s="15"/>
      <c r="H60" s="35"/>
      <c r="I60" s="35">
        <f t="shared" si="2"/>
        <v>0</v>
      </c>
      <c r="J60" s="35"/>
      <c r="K60" s="35">
        <v>0</v>
      </c>
      <c r="L60" s="36">
        <f t="shared" si="3"/>
        <v>0</v>
      </c>
    </row>
    <row r="61" spans="1:12" x14ac:dyDescent="0.25">
      <c r="A61" s="21" t="s">
        <v>131</v>
      </c>
      <c r="B61" s="30" t="s">
        <v>131</v>
      </c>
      <c r="C61" s="21" t="s">
        <v>137</v>
      </c>
      <c r="D61" s="21" t="s">
        <v>57</v>
      </c>
      <c r="E61" s="21" t="s">
        <v>136</v>
      </c>
      <c r="F61" s="21"/>
      <c r="G61" s="21"/>
      <c r="H61" s="32"/>
      <c r="I61" s="32">
        <f t="shared" si="2"/>
        <v>0</v>
      </c>
      <c r="J61" s="32"/>
      <c r="K61" s="32">
        <v>0</v>
      </c>
      <c r="L61" s="33">
        <f t="shared" si="3"/>
        <v>0</v>
      </c>
    </row>
    <row r="62" spans="1:12" x14ac:dyDescent="0.25">
      <c r="A62" s="15" t="s">
        <v>131</v>
      </c>
      <c r="B62" s="14" t="s">
        <v>131</v>
      </c>
      <c r="C62" s="15" t="s">
        <v>138</v>
      </c>
      <c r="D62" s="15" t="s">
        <v>70</v>
      </c>
      <c r="E62" s="15" t="s">
        <v>104</v>
      </c>
      <c r="F62" s="34">
        <v>5</v>
      </c>
      <c r="G62" s="34">
        <v>7</v>
      </c>
      <c r="H62" s="35"/>
      <c r="I62" s="35">
        <f t="shared" si="2"/>
        <v>0</v>
      </c>
      <c r="J62" s="35"/>
      <c r="K62" s="35">
        <v>0</v>
      </c>
      <c r="L62" s="36">
        <f t="shared" si="3"/>
        <v>7</v>
      </c>
    </row>
    <row r="63" spans="1:12" x14ac:dyDescent="0.25">
      <c r="A63" s="21" t="s">
        <v>131</v>
      </c>
      <c r="B63" s="30" t="s">
        <v>131</v>
      </c>
      <c r="C63" s="21" t="s">
        <v>139</v>
      </c>
      <c r="D63" s="21" t="s">
        <v>47</v>
      </c>
      <c r="E63" s="21" t="s">
        <v>79</v>
      </c>
      <c r="F63" s="31">
        <v>2</v>
      </c>
      <c r="G63" s="31">
        <v>3</v>
      </c>
      <c r="H63" s="32"/>
      <c r="I63" s="32">
        <f t="shared" si="2"/>
        <v>0</v>
      </c>
      <c r="J63" s="32"/>
      <c r="K63" s="32">
        <v>0</v>
      </c>
      <c r="L63" s="33">
        <f t="shared" si="3"/>
        <v>3</v>
      </c>
    </row>
    <row r="64" spans="1:12" x14ac:dyDescent="0.25">
      <c r="A64" s="15" t="s">
        <v>131</v>
      </c>
      <c r="B64" s="14" t="s">
        <v>131</v>
      </c>
      <c r="C64" s="15" t="s">
        <v>140</v>
      </c>
      <c r="D64" s="15" t="s">
        <v>54</v>
      </c>
      <c r="E64" s="15" t="s">
        <v>84</v>
      </c>
      <c r="F64" s="34">
        <v>4</v>
      </c>
      <c r="G64" s="34">
        <v>6</v>
      </c>
      <c r="H64" s="35"/>
      <c r="I64" s="35">
        <f t="shared" si="2"/>
        <v>0</v>
      </c>
      <c r="J64" s="35"/>
      <c r="K64" s="35">
        <v>0</v>
      </c>
      <c r="L64" s="36">
        <f t="shared" si="3"/>
        <v>6</v>
      </c>
    </row>
    <row r="65" spans="1:12" x14ac:dyDescent="0.25">
      <c r="A65" s="21" t="s">
        <v>131</v>
      </c>
      <c r="B65" s="30" t="s">
        <v>131</v>
      </c>
      <c r="C65" s="21" t="s">
        <v>141</v>
      </c>
      <c r="D65" s="21" t="s">
        <v>61</v>
      </c>
      <c r="E65" s="21" t="s">
        <v>142</v>
      </c>
      <c r="F65" s="21"/>
      <c r="G65" s="21"/>
      <c r="H65" s="32"/>
      <c r="I65" s="32">
        <f t="shared" si="2"/>
        <v>0</v>
      </c>
      <c r="J65" s="32"/>
      <c r="K65" s="32">
        <v>0</v>
      </c>
      <c r="L65" s="33">
        <f t="shared" si="3"/>
        <v>0</v>
      </c>
    </row>
    <row r="66" spans="1:12" x14ac:dyDescent="0.25">
      <c r="A66" s="15" t="s">
        <v>131</v>
      </c>
      <c r="B66" s="14" t="s">
        <v>131</v>
      </c>
      <c r="C66" s="15" t="s">
        <v>143</v>
      </c>
      <c r="D66" s="15" t="s">
        <v>54</v>
      </c>
      <c r="E66" s="15" t="s">
        <v>84</v>
      </c>
      <c r="F66" s="34">
        <v>2</v>
      </c>
      <c r="G66" s="34">
        <v>4</v>
      </c>
      <c r="H66" s="35"/>
      <c r="I66" s="35">
        <f t="shared" si="2"/>
        <v>0</v>
      </c>
      <c r="J66" s="35"/>
      <c r="K66" s="35">
        <v>0</v>
      </c>
      <c r="L66" s="36">
        <f t="shared" si="3"/>
        <v>4</v>
      </c>
    </row>
    <row r="67" spans="1:12" x14ac:dyDescent="0.25">
      <c r="A67" s="21" t="s">
        <v>131</v>
      </c>
      <c r="B67" s="30" t="s">
        <v>131</v>
      </c>
      <c r="C67" s="21" t="s">
        <v>144</v>
      </c>
      <c r="D67" s="21" t="s">
        <v>47</v>
      </c>
      <c r="E67" s="21" t="s">
        <v>79</v>
      </c>
      <c r="F67" s="31">
        <v>1</v>
      </c>
      <c r="G67" s="31">
        <v>2</v>
      </c>
      <c r="H67" s="32"/>
      <c r="I67" s="32">
        <f t="shared" ref="I67:I98" si="4">IF(H67="",0,G67)</f>
        <v>0</v>
      </c>
      <c r="J67" s="32"/>
      <c r="K67" s="32">
        <v>0</v>
      </c>
      <c r="L67" s="33">
        <f t="shared" ref="L67:L98" si="5">G67-I67-K67</f>
        <v>2</v>
      </c>
    </row>
    <row r="68" spans="1:12" x14ac:dyDescent="0.25">
      <c r="A68" s="15" t="s">
        <v>131</v>
      </c>
      <c r="B68" s="14" t="s">
        <v>131</v>
      </c>
      <c r="C68" s="15" t="s">
        <v>145</v>
      </c>
      <c r="D68" s="15" t="s">
        <v>51</v>
      </c>
      <c r="E68" s="15" t="s">
        <v>146</v>
      </c>
      <c r="F68" s="34">
        <v>0.5</v>
      </c>
      <c r="G68" s="34">
        <v>1</v>
      </c>
      <c r="H68" s="35"/>
      <c r="I68" s="35">
        <f t="shared" si="4"/>
        <v>0</v>
      </c>
      <c r="J68" s="35"/>
      <c r="K68" s="35">
        <v>0</v>
      </c>
      <c r="L68" s="36">
        <f t="shared" si="5"/>
        <v>1</v>
      </c>
    </row>
    <row r="69" spans="1:12" x14ac:dyDescent="0.25">
      <c r="A69" s="21" t="s">
        <v>131</v>
      </c>
      <c r="B69" s="30" t="s">
        <v>131</v>
      </c>
      <c r="C69" s="21" t="s">
        <v>147</v>
      </c>
      <c r="D69" s="21" t="s">
        <v>69</v>
      </c>
      <c r="E69" s="21" t="s">
        <v>90</v>
      </c>
      <c r="F69" s="21"/>
      <c r="G69" s="21"/>
      <c r="H69" s="32"/>
      <c r="I69" s="32">
        <f t="shared" si="4"/>
        <v>0</v>
      </c>
      <c r="J69" s="32"/>
      <c r="K69" s="32">
        <v>0</v>
      </c>
      <c r="L69" s="33">
        <f t="shared" si="5"/>
        <v>0</v>
      </c>
    </row>
    <row r="70" spans="1:12" x14ac:dyDescent="0.25">
      <c r="A70" s="15" t="s">
        <v>131</v>
      </c>
      <c r="B70" s="14" t="s">
        <v>131</v>
      </c>
      <c r="C70" s="15" t="s">
        <v>133</v>
      </c>
      <c r="D70" s="15" t="s">
        <v>49</v>
      </c>
      <c r="E70" s="15" t="s">
        <v>134</v>
      </c>
      <c r="F70" s="15"/>
      <c r="G70" s="15"/>
      <c r="H70" s="35"/>
      <c r="I70" s="35">
        <f t="shared" si="4"/>
        <v>0</v>
      </c>
      <c r="J70" s="35"/>
      <c r="K70" s="35">
        <v>0</v>
      </c>
      <c r="L70" s="36">
        <f t="shared" si="5"/>
        <v>0</v>
      </c>
    </row>
    <row r="71" spans="1:12" x14ac:dyDescent="0.25">
      <c r="A71" s="21" t="s">
        <v>131</v>
      </c>
      <c r="B71" s="30" t="s">
        <v>131</v>
      </c>
      <c r="C71" s="21" t="s">
        <v>135</v>
      </c>
      <c r="D71" s="21" t="s">
        <v>57</v>
      </c>
      <c r="E71" s="21" t="s">
        <v>136</v>
      </c>
      <c r="F71" s="21"/>
      <c r="G71" s="21"/>
      <c r="H71" s="32"/>
      <c r="I71" s="32">
        <f t="shared" si="4"/>
        <v>0</v>
      </c>
      <c r="J71" s="32"/>
      <c r="K71" s="32">
        <v>0</v>
      </c>
      <c r="L71" s="33">
        <f t="shared" si="5"/>
        <v>0</v>
      </c>
    </row>
    <row r="72" spans="1:12" x14ac:dyDescent="0.25">
      <c r="A72" s="15" t="s">
        <v>131</v>
      </c>
      <c r="B72" s="14" t="s">
        <v>131</v>
      </c>
      <c r="C72" s="15" t="s">
        <v>137</v>
      </c>
      <c r="D72" s="15" t="s">
        <v>57</v>
      </c>
      <c r="E72" s="15" t="s">
        <v>136</v>
      </c>
      <c r="F72" s="15"/>
      <c r="G72" s="15"/>
      <c r="H72" s="35"/>
      <c r="I72" s="35">
        <f t="shared" si="4"/>
        <v>0</v>
      </c>
      <c r="J72" s="35"/>
      <c r="K72" s="35">
        <v>0</v>
      </c>
      <c r="L72" s="36">
        <f t="shared" si="5"/>
        <v>0</v>
      </c>
    </row>
    <row r="73" spans="1:12" x14ac:dyDescent="0.25">
      <c r="A73" s="21" t="s">
        <v>131</v>
      </c>
      <c r="B73" s="30" t="s">
        <v>131</v>
      </c>
      <c r="C73" s="21" t="s">
        <v>138</v>
      </c>
      <c r="D73" s="21" t="s">
        <v>70</v>
      </c>
      <c r="E73" s="21" t="s">
        <v>104</v>
      </c>
      <c r="F73" s="21"/>
      <c r="G73" s="21"/>
      <c r="H73" s="32"/>
      <c r="I73" s="32">
        <f t="shared" si="4"/>
        <v>0</v>
      </c>
      <c r="J73" s="32"/>
      <c r="K73" s="32">
        <v>0</v>
      </c>
      <c r="L73" s="33">
        <f t="shared" si="5"/>
        <v>0</v>
      </c>
    </row>
    <row r="74" spans="1:12" x14ac:dyDescent="0.25">
      <c r="A74" s="15" t="s">
        <v>131</v>
      </c>
      <c r="B74" s="14" t="s">
        <v>131</v>
      </c>
      <c r="C74" s="15" t="s">
        <v>139</v>
      </c>
      <c r="D74" s="15" t="s">
        <v>47</v>
      </c>
      <c r="E74" s="15" t="s">
        <v>79</v>
      </c>
      <c r="F74" s="15"/>
      <c r="G74" s="15"/>
      <c r="H74" s="35"/>
      <c r="I74" s="35">
        <f t="shared" si="4"/>
        <v>0</v>
      </c>
      <c r="J74" s="35"/>
      <c r="K74" s="35">
        <v>0</v>
      </c>
      <c r="L74" s="36">
        <f t="shared" si="5"/>
        <v>0</v>
      </c>
    </row>
    <row r="75" spans="1:12" x14ac:dyDescent="0.25">
      <c r="A75" s="21" t="s">
        <v>131</v>
      </c>
      <c r="B75" s="30" t="s">
        <v>131</v>
      </c>
      <c r="C75" s="21" t="s">
        <v>140</v>
      </c>
      <c r="D75" s="21" t="s">
        <v>54</v>
      </c>
      <c r="E75" s="21" t="s">
        <v>84</v>
      </c>
      <c r="F75" s="21"/>
      <c r="G75" s="21"/>
      <c r="H75" s="32"/>
      <c r="I75" s="32">
        <f t="shared" si="4"/>
        <v>0</v>
      </c>
      <c r="J75" s="32"/>
      <c r="K75" s="32">
        <v>0</v>
      </c>
      <c r="L75" s="33">
        <f t="shared" si="5"/>
        <v>0</v>
      </c>
    </row>
    <row r="76" spans="1:12" x14ac:dyDescent="0.25">
      <c r="A76" s="15" t="s">
        <v>131</v>
      </c>
      <c r="B76" s="14" t="s">
        <v>131</v>
      </c>
      <c r="C76" s="15" t="s">
        <v>143</v>
      </c>
      <c r="D76" s="15" t="s">
        <v>61</v>
      </c>
      <c r="E76" s="15" t="s">
        <v>142</v>
      </c>
      <c r="F76" s="15"/>
      <c r="G76" s="15"/>
      <c r="H76" s="35"/>
      <c r="I76" s="35">
        <f t="shared" si="4"/>
        <v>0</v>
      </c>
      <c r="J76" s="35"/>
      <c r="K76" s="35">
        <v>0</v>
      </c>
      <c r="L76" s="36">
        <f t="shared" si="5"/>
        <v>0</v>
      </c>
    </row>
    <row r="77" spans="1:12" x14ac:dyDescent="0.25">
      <c r="A77" s="21" t="s">
        <v>131</v>
      </c>
      <c r="B77" s="30" t="s">
        <v>131</v>
      </c>
      <c r="C77" s="21" t="s">
        <v>147</v>
      </c>
      <c r="D77" s="21" t="s">
        <v>69</v>
      </c>
      <c r="E77" s="21" t="s">
        <v>90</v>
      </c>
      <c r="F77" s="21"/>
      <c r="G77" s="21"/>
      <c r="H77" s="32"/>
      <c r="I77" s="32">
        <f t="shared" si="4"/>
        <v>0</v>
      </c>
      <c r="J77" s="32"/>
      <c r="K77" s="32">
        <v>0</v>
      </c>
      <c r="L77" s="33">
        <f t="shared" si="5"/>
        <v>0</v>
      </c>
    </row>
    <row r="78" spans="1:12" x14ac:dyDescent="0.25">
      <c r="A78" s="15" t="s">
        <v>131</v>
      </c>
      <c r="B78" s="14" t="s">
        <v>131</v>
      </c>
      <c r="C78" s="15" t="s">
        <v>148</v>
      </c>
      <c r="D78" s="15" t="s">
        <v>57</v>
      </c>
      <c r="E78" s="15" t="s">
        <v>136</v>
      </c>
      <c r="F78" s="34">
        <v>32</v>
      </c>
      <c r="G78" s="34">
        <v>32</v>
      </c>
      <c r="H78" s="35"/>
      <c r="I78" s="35">
        <f t="shared" si="4"/>
        <v>0</v>
      </c>
      <c r="J78" s="35"/>
      <c r="K78" s="35">
        <v>0</v>
      </c>
      <c r="L78" s="36">
        <f t="shared" si="5"/>
        <v>32</v>
      </c>
    </row>
    <row r="79" spans="1:12" x14ac:dyDescent="0.25">
      <c r="A79" s="21" t="s">
        <v>149</v>
      </c>
      <c r="B79" s="30" t="s">
        <v>149</v>
      </c>
      <c r="C79" s="21" t="s">
        <v>150</v>
      </c>
      <c r="D79" s="21" t="s">
        <v>47</v>
      </c>
      <c r="E79" s="21" t="s">
        <v>79</v>
      </c>
      <c r="F79" s="31">
        <v>2</v>
      </c>
      <c r="G79" s="31">
        <v>5</v>
      </c>
      <c r="H79" s="32"/>
      <c r="I79" s="32">
        <f t="shared" si="4"/>
        <v>0</v>
      </c>
      <c r="J79" s="32"/>
      <c r="K79" s="32">
        <v>0</v>
      </c>
      <c r="L79" s="33">
        <f t="shared" si="5"/>
        <v>5</v>
      </c>
    </row>
    <row r="80" spans="1:12" x14ac:dyDescent="0.25">
      <c r="A80" s="15" t="s">
        <v>149</v>
      </c>
      <c r="B80" s="14" t="s">
        <v>149</v>
      </c>
      <c r="C80" s="15" t="s">
        <v>151</v>
      </c>
      <c r="D80" s="15" t="s">
        <v>70</v>
      </c>
      <c r="E80" s="15" t="s">
        <v>104</v>
      </c>
      <c r="F80" s="34">
        <v>5</v>
      </c>
      <c r="G80" s="34">
        <v>5</v>
      </c>
      <c r="H80" s="35"/>
      <c r="I80" s="35">
        <f t="shared" si="4"/>
        <v>0</v>
      </c>
      <c r="J80" s="35"/>
      <c r="K80" s="35">
        <v>0</v>
      </c>
      <c r="L80" s="36">
        <f t="shared" si="5"/>
        <v>5</v>
      </c>
    </row>
    <row r="81" spans="1:12" x14ac:dyDescent="0.25">
      <c r="A81" s="21" t="s">
        <v>149</v>
      </c>
      <c r="B81" s="30" t="s">
        <v>149</v>
      </c>
      <c r="C81" s="21" t="s">
        <v>152</v>
      </c>
      <c r="D81" s="21" t="s">
        <v>70</v>
      </c>
      <c r="E81" s="21" t="s">
        <v>104</v>
      </c>
      <c r="F81" s="31">
        <v>3</v>
      </c>
      <c r="G81" s="31">
        <v>5</v>
      </c>
      <c r="H81" s="32"/>
      <c r="I81" s="32">
        <f t="shared" si="4"/>
        <v>0</v>
      </c>
      <c r="J81" s="32"/>
      <c r="K81" s="32">
        <v>0</v>
      </c>
      <c r="L81" s="33">
        <f t="shared" si="5"/>
        <v>5</v>
      </c>
    </row>
    <row r="82" spans="1:12" x14ac:dyDescent="0.25">
      <c r="A82" s="15" t="s">
        <v>149</v>
      </c>
      <c r="B82" s="14" t="s">
        <v>149</v>
      </c>
      <c r="C82" s="15" t="s">
        <v>153</v>
      </c>
      <c r="D82" s="15" t="s">
        <v>47</v>
      </c>
      <c r="E82" s="15" t="s">
        <v>79</v>
      </c>
      <c r="F82" s="34">
        <v>3</v>
      </c>
      <c r="G82" s="34">
        <v>5</v>
      </c>
      <c r="H82" s="35"/>
      <c r="I82" s="35">
        <f t="shared" si="4"/>
        <v>0</v>
      </c>
      <c r="J82" s="35"/>
      <c r="K82" s="35">
        <v>0</v>
      </c>
      <c r="L82" s="36">
        <f t="shared" si="5"/>
        <v>5</v>
      </c>
    </row>
    <row r="83" spans="1:12" x14ac:dyDescent="0.25">
      <c r="A83" s="21" t="s">
        <v>149</v>
      </c>
      <c r="B83" s="30" t="s">
        <v>149</v>
      </c>
      <c r="C83" s="21" t="s">
        <v>154</v>
      </c>
      <c r="D83" s="21" t="s">
        <v>53</v>
      </c>
      <c r="E83" s="21" t="s">
        <v>129</v>
      </c>
      <c r="F83" s="21"/>
      <c r="G83" s="21"/>
      <c r="H83" s="32"/>
      <c r="I83" s="32">
        <f t="shared" si="4"/>
        <v>0</v>
      </c>
      <c r="J83" s="32"/>
      <c r="K83" s="32">
        <v>0</v>
      </c>
      <c r="L83" s="33">
        <f t="shared" si="5"/>
        <v>0</v>
      </c>
    </row>
    <row r="84" spans="1:12" x14ac:dyDescent="0.25">
      <c r="A84" s="15" t="s">
        <v>149</v>
      </c>
      <c r="B84" s="14" t="s">
        <v>149</v>
      </c>
      <c r="C84" s="15" t="s">
        <v>155</v>
      </c>
      <c r="D84" s="15" t="s">
        <v>65</v>
      </c>
      <c r="E84" s="15" t="s">
        <v>82</v>
      </c>
      <c r="F84" s="15"/>
      <c r="G84" s="15"/>
      <c r="H84" s="35"/>
      <c r="I84" s="35">
        <f t="shared" si="4"/>
        <v>0</v>
      </c>
      <c r="J84" s="35"/>
      <c r="K84" s="35">
        <v>0</v>
      </c>
      <c r="L84" s="36">
        <f t="shared" si="5"/>
        <v>0</v>
      </c>
    </row>
    <row r="85" spans="1:12" x14ac:dyDescent="0.25">
      <c r="A85" s="21" t="s">
        <v>149</v>
      </c>
      <c r="B85" s="30" t="s">
        <v>149</v>
      </c>
      <c r="C85" s="21" t="s">
        <v>156</v>
      </c>
      <c r="D85" s="21" t="s">
        <v>54</v>
      </c>
      <c r="E85" s="21" t="s">
        <v>84</v>
      </c>
      <c r="F85" s="31">
        <v>5</v>
      </c>
      <c r="G85" s="31">
        <v>10</v>
      </c>
      <c r="H85" s="32"/>
      <c r="I85" s="32">
        <f t="shared" si="4"/>
        <v>0</v>
      </c>
      <c r="J85" s="32"/>
      <c r="K85" s="32">
        <v>0</v>
      </c>
      <c r="L85" s="33">
        <f t="shared" si="5"/>
        <v>10</v>
      </c>
    </row>
    <row r="86" spans="1:12" x14ac:dyDescent="0.25">
      <c r="A86" s="15" t="s">
        <v>149</v>
      </c>
      <c r="B86" s="14" t="s">
        <v>149</v>
      </c>
      <c r="C86" s="15" t="s">
        <v>157</v>
      </c>
      <c r="D86" s="15" t="s">
        <v>61</v>
      </c>
      <c r="E86" s="15" t="s">
        <v>142</v>
      </c>
      <c r="F86" s="15"/>
      <c r="G86" s="15"/>
      <c r="H86" s="35"/>
      <c r="I86" s="35">
        <f t="shared" si="4"/>
        <v>0</v>
      </c>
      <c r="J86" s="35"/>
      <c r="K86" s="35">
        <v>0</v>
      </c>
      <c r="L86" s="36">
        <f t="shared" si="5"/>
        <v>0</v>
      </c>
    </row>
    <row r="87" spans="1:12" x14ac:dyDescent="0.25">
      <c r="A87" s="21" t="s">
        <v>149</v>
      </c>
      <c r="B87" s="30" t="s">
        <v>149</v>
      </c>
      <c r="C87" s="21" t="s">
        <v>158</v>
      </c>
      <c r="D87" s="21" t="s">
        <v>62</v>
      </c>
      <c r="E87" s="21" t="s">
        <v>159</v>
      </c>
      <c r="F87" s="21"/>
      <c r="G87" s="21"/>
      <c r="H87" s="32"/>
      <c r="I87" s="32">
        <f t="shared" si="4"/>
        <v>0</v>
      </c>
      <c r="J87" s="32"/>
      <c r="K87" s="32">
        <v>0</v>
      </c>
      <c r="L87" s="33">
        <f t="shared" si="5"/>
        <v>0</v>
      </c>
    </row>
    <row r="88" spans="1:12" x14ac:dyDescent="0.25">
      <c r="A88" s="15" t="s">
        <v>149</v>
      </c>
      <c r="B88" s="14" t="s">
        <v>149</v>
      </c>
      <c r="C88" s="15" t="s">
        <v>160</v>
      </c>
      <c r="D88" s="15" t="s">
        <v>57</v>
      </c>
      <c r="E88" s="15" t="s">
        <v>136</v>
      </c>
      <c r="F88" s="15"/>
      <c r="G88" s="15"/>
      <c r="H88" s="35"/>
      <c r="I88" s="35">
        <f t="shared" si="4"/>
        <v>0</v>
      </c>
      <c r="J88" s="35"/>
      <c r="K88" s="35">
        <v>0</v>
      </c>
      <c r="L88" s="36">
        <f t="shared" si="5"/>
        <v>0</v>
      </c>
    </row>
    <row r="89" spans="1:12" x14ac:dyDescent="0.25">
      <c r="A89" s="21" t="s">
        <v>149</v>
      </c>
      <c r="B89" s="30" t="s">
        <v>149</v>
      </c>
      <c r="C89" s="21" t="s">
        <v>161</v>
      </c>
      <c r="D89" s="21" t="s">
        <v>56</v>
      </c>
      <c r="E89" s="21" t="s">
        <v>162</v>
      </c>
      <c r="F89" s="21"/>
      <c r="G89" s="21"/>
      <c r="H89" s="32"/>
      <c r="I89" s="32">
        <f t="shared" si="4"/>
        <v>0</v>
      </c>
      <c r="J89" s="32"/>
      <c r="K89" s="32">
        <v>0</v>
      </c>
      <c r="L89" s="33">
        <f t="shared" si="5"/>
        <v>0</v>
      </c>
    </row>
    <row r="90" spans="1:12" x14ac:dyDescent="0.25">
      <c r="A90" s="15" t="s">
        <v>149</v>
      </c>
      <c r="B90" s="14" t="s">
        <v>149</v>
      </c>
      <c r="C90" s="15" t="s">
        <v>163</v>
      </c>
      <c r="D90" s="15" t="s">
        <v>69</v>
      </c>
      <c r="E90" s="15" t="s">
        <v>90</v>
      </c>
      <c r="F90" s="15"/>
      <c r="G90" s="15"/>
      <c r="H90" s="35"/>
      <c r="I90" s="35">
        <f t="shared" si="4"/>
        <v>0</v>
      </c>
      <c r="J90" s="35"/>
      <c r="K90" s="35">
        <v>0</v>
      </c>
      <c r="L90" s="36">
        <f t="shared" si="5"/>
        <v>0</v>
      </c>
    </row>
    <row r="91" spans="1:12" x14ac:dyDescent="0.25">
      <c r="A91" s="21" t="s">
        <v>149</v>
      </c>
      <c r="B91" s="30" t="s">
        <v>149</v>
      </c>
      <c r="C91" s="21" t="s">
        <v>164</v>
      </c>
      <c r="D91" s="21" t="s">
        <v>47</v>
      </c>
      <c r="E91" s="21" t="s">
        <v>79</v>
      </c>
      <c r="F91" s="31">
        <v>3</v>
      </c>
      <c r="G91" s="31">
        <v>3</v>
      </c>
      <c r="H91" s="32"/>
      <c r="I91" s="32">
        <f t="shared" si="4"/>
        <v>0</v>
      </c>
      <c r="J91" s="32"/>
      <c r="K91" s="32">
        <v>0</v>
      </c>
      <c r="L91" s="33">
        <f t="shared" si="5"/>
        <v>3</v>
      </c>
    </row>
    <row r="92" spans="1:12" x14ac:dyDescent="0.25">
      <c r="A92" s="15" t="s">
        <v>149</v>
      </c>
      <c r="B92" s="14" t="s">
        <v>149</v>
      </c>
      <c r="C92" s="15" t="s">
        <v>165</v>
      </c>
      <c r="D92" s="15" t="s">
        <v>57</v>
      </c>
      <c r="E92" s="15" t="s">
        <v>136</v>
      </c>
      <c r="F92" s="15"/>
      <c r="G92" s="15"/>
      <c r="H92" s="35"/>
      <c r="I92" s="35">
        <f t="shared" si="4"/>
        <v>0</v>
      </c>
      <c r="J92" s="35"/>
      <c r="K92" s="35">
        <v>0</v>
      </c>
      <c r="L92" s="36">
        <f t="shared" si="5"/>
        <v>0</v>
      </c>
    </row>
    <row r="93" spans="1:12" x14ac:dyDescent="0.25">
      <c r="A93" s="21" t="s">
        <v>149</v>
      </c>
      <c r="B93" s="30" t="s">
        <v>149</v>
      </c>
      <c r="C93" s="21" t="s">
        <v>166</v>
      </c>
      <c r="D93" s="21" t="s">
        <v>57</v>
      </c>
      <c r="E93" s="21" t="s">
        <v>136</v>
      </c>
      <c r="F93" s="21"/>
      <c r="G93" s="21"/>
      <c r="H93" s="32"/>
      <c r="I93" s="32">
        <f t="shared" si="4"/>
        <v>0</v>
      </c>
      <c r="J93" s="32"/>
      <c r="K93" s="32">
        <v>0</v>
      </c>
      <c r="L93" s="33">
        <f t="shared" si="5"/>
        <v>0</v>
      </c>
    </row>
    <row r="94" spans="1:12" x14ac:dyDescent="0.25">
      <c r="A94" s="15" t="s">
        <v>149</v>
      </c>
      <c r="B94" s="14" t="s">
        <v>149</v>
      </c>
      <c r="C94" s="15" t="s">
        <v>167</v>
      </c>
      <c r="D94" s="15" t="s">
        <v>57</v>
      </c>
      <c r="E94" s="15" t="s">
        <v>136</v>
      </c>
      <c r="F94" s="15"/>
      <c r="G94" s="15"/>
      <c r="H94" s="35"/>
      <c r="I94" s="35">
        <f t="shared" si="4"/>
        <v>0</v>
      </c>
      <c r="J94" s="35"/>
      <c r="K94" s="35">
        <v>0</v>
      </c>
      <c r="L94" s="36">
        <f t="shared" si="5"/>
        <v>0</v>
      </c>
    </row>
    <row r="95" spans="1:12" x14ac:dyDescent="0.25">
      <c r="A95" s="21" t="s">
        <v>149</v>
      </c>
      <c r="B95" s="30" t="s">
        <v>149</v>
      </c>
      <c r="C95" s="21" t="s">
        <v>168</v>
      </c>
      <c r="D95" s="21" t="s">
        <v>54</v>
      </c>
      <c r="E95" s="21" t="s">
        <v>84</v>
      </c>
      <c r="F95" s="21"/>
      <c r="G95" s="31">
        <v>3</v>
      </c>
      <c r="H95" s="32"/>
      <c r="I95" s="32">
        <f t="shared" si="4"/>
        <v>0</v>
      </c>
      <c r="J95" s="32"/>
      <c r="K95" s="32">
        <v>0</v>
      </c>
      <c r="L95" s="33">
        <f t="shared" si="5"/>
        <v>3</v>
      </c>
    </row>
    <row r="96" spans="1:12" x14ac:dyDescent="0.25">
      <c r="A96" s="15" t="s">
        <v>149</v>
      </c>
      <c r="B96" s="14" t="s">
        <v>149</v>
      </c>
      <c r="C96" s="15" t="s">
        <v>169</v>
      </c>
      <c r="D96" s="15" t="s">
        <v>70</v>
      </c>
      <c r="E96" s="15" t="s">
        <v>104</v>
      </c>
      <c r="F96" s="34">
        <v>0</v>
      </c>
      <c r="G96" s="34">
        <v>0</v>
      </c>
      <c r="H96" s="35"/>
      <c r="I96" s="35">
        <f t="shared" si="4"/>
        <v>0</v>
      </c>
      <c r="J96" s="35"/>
      <c r="K96" s="35">
        <v>0</v>
      </c>
      <c r="L96" s="36">
        <f t="shared" si="5"/>
        <v>0</v>
      </c>
    </row>
    <row r="97" spans="1:12" x14ac:dyDescent="0.25">
      <c r="A97" s="21" t="s">
        <v>149</v>
      </c>
      <c r="B97" s="30" t="s">
        <v>149</v>
      </c>
      <c r="C97" s="21" t="s">
        <v>170</v>
      </c>
      <c r="D97" s="21" t="s">
        <v>61</v>
      </c>
      <c r="E97" s="21" t="s">
        <v>142</v>
      </c>
      <c r="F97" s="21"/>
      <c r="G97" s="21"/>
      <c r="H97" s="32"/>
      <c r="I97" s="32">
        <f t="shared" si="4"/>
        <v>0</v>
      </c>
      <c r="J97" s="32"/>
      <c r="K97" s="32">
        <v>0</v>
      </c>
      <c r="L97" s="33">
        <f t="shared" si="5"/>
        <v>0</v>
      </c>
    </row>
    <row r="98" spans="1:12" x14ac:dyDescent="0.25">
      <c r="A98" s="15" t="s">
        <v>149</v>
      </c>
      <c r="B98" s="14" t="s">
        <v>149</v>
      </c>
      <c r="C98" s="15" t="s">
        <v>171</v>
      </c>
      <c r="D98" s="15" t="s">
        <v>69</v>
      </c>
      <c r="E98" s="15" t="s">
        <v>90</v>
      </c>
      <c r="F98" s="15"/>
      <c r="G98" s="15"/>
      <c r="H98" s="35"/>
      <c r="I98" s="35">
        <f t="shared" si="4"/>
        <v>0</v>
      </c>
      <c r="J98" s="35"/>
      <c r="K98" s="35">
        <v>0</v>
      </c>
      <c r="L98" s="36">
        <f t="shared" si="5"/>
        <v>0</v>
      </c>
    </row>
    <row r="99" spans="1:12" x14ac:dyDescent="0.25">
      <c r="A99" s="21" t="s">
        <v>149</v>
      </c>
      <c r="B99" s="30" t="s">
        <v>149</v>
      </c>
      <c r="C99" s="21" t="s">
        <v>153</v>
      </c>
      <c r="D99" s="21" t="s">
        <v>47</v>
      </c>
      <c r="E99" s="21" t="s">
        <v>79</v>
      </c>
      <c r="F99" s="21"/>
      <c r="G99" s="21"/>
      <c r="H99" s="32"/>
      <c r="I99" s="32">
        <f t="shared" ref="I99:I130" si="6">IF(H99="",0,G99)</f>
        <v>0</v>
      </c>
      <c r="J99" s="32"/>
      <c r="K99" s="32">
        <v>0</v>
      </c>
      <c r="L99" s="33">
        <f t="shared" ref="L99:L130" si="7">G99-I99-K99</f>
        <v>0</v>
      </c>
    </row>
    <row r="100" spans="1:12" x14ac:dyDescent="0.25">
      <c r="A100" s="15" t="s">
        <v>149</v>
      </c>
      <c r="B100" s="14" t="s">
        <v>149</v>
      </c>
      <c r="C100" s="15" t="s">
        <v>154</v>
      </c>
      <c r="D100" s="15" t="s">
        <v>53</v>
      </c>
      <c r="E100" s="15" t="s">
        <v>129</v>
      </c>
      <c r="F100" s="15"/>
      <c r="G100" s="15"/>
      <c r="H100" s="35"/>
      <c r="I100" s="35">
        <f t="shared" si="6"/>
        <v>0</v>
      </c>
      <c r="J100" s="35"/>
      <c r="K100" s="35">
        <v>0</v>
      </c>
      <c r="L100" s="36">
        <f t="shared" si="7"/>
        <v>0</v>
      </c>
    </row>
    <row r="101" spans="1:12" x14ac:dyDescent="0.25">
      <c r="A101" s="21" t="s">
        <v>149</v>
      </c>
      <c r="B101" s="30" t="s">
        <v>149</v>
      </c>
      <c r="C101" s="21" t="s">
        <v>155</v>
      </c>
      <c r="D101" s="21" t="s">
        <v>65</v>
      </c>
      <c r="E101" s="21" t="s">
        <v>82</v>
      </c>
      <c r="F101" s="21"/>
      <c r="G101" s="21"/>
      <c r="H101" s="32"/>
      <c r="I101" s="32">
        <f t="shared" si="6"/>
        <v>0</v>
      </c>
      <c r="J101" s="32"/>
      <c r="K101" s="32">
        <v>0</v>
      </c>
      <c r="L101" s="33">
        <f t="shared" si="7"/>
        <v>0</v>
      </c>
    </row>
    <row r="102" spans="1:12" x14ac:dyDescent="0.25">
      <c r="A102" s="15" t="s">
        <v>149</v>
      </c>
      <c r="B102" s="14" t="s">
        <v>149</v>
      </c>
      <c r="C102" s="15" t="s">
        <v>156</v>
      </c>
      <c r="D102" s="15" t="s">
        <v>54</v>
      </c>
      <c r="E102" s="15" t="s">
        <v>84</v>
      </c>
      <c r="F102" s="15"/>
      <c r="G102" s="15"/>
      <c r="H102" s="35"/>
      <c r="I102" s="35">
        <f t="shared" si="6"/>
        <v>0</v>
      </c>
      <c r="J102" s="35"/>
      <c r="K102" s="35">
        <v>0</v>
      </c>
      <c r="L102" s="36">
        <f t="shared" si="7"/>
        <v>0</v>
      </c>
    </row>
    <row r="103" spans="1:12" x14ac:dyDescent="0.25">
      <c r="A103" s="21" t="s">
        <v>149</v>
      </c>
      <c r="B103" s="30" t="s">
        <v>149</v>
      </c>
      <c r="C103" s="21" t="s">
        <v>157</v>
      </c>
      <c r="D103" s="21" t="s">
        <v>61</v>
      </c>
      <c r="E103" s="21" t="s">
        <v>142</v>
      </c>
      <c r="F103" s="21"/>
      <c r="G103" s="21"/>
      <c r="H103" s="32"/>
      <c r="I103" s="32">
        <f t="shared" si="6"/>
        <v>0</v>
      </c>
      <c r="J103" s="32"/>
      <c r="K103" s="32">
        <v>0</v>
      </c>
      <c r="L103" s="33">
        <f t="shared" si="7"/>
        <v>0</v>
      </c>
    </row>
    <row r="104" spans="1:12" x14ac:dyDescent="0.25">
      <c r="A104" s="15" t="s">
        <v>149</v>
      </c>
      <c r="B104" s="14" t="s">
        <v>149</v>
      </c>
      <c r="C104" s="15" t="s">
        <v>158</v>
      </c>
      <c r="D104" s="15" t="s">
        <v>62</v>
      </c>
      <c r="E104" s="15" t="s">
        <v>159</v>
      </c>
      <c r="F104" s="15"/>
      <c r="G104" s="15"/>
      <c r="H104" s="35"/>
      <c r="I104" s="35">
        <f t="shared" si="6"/>
        <v>0</v>
      </c>
      <c r="J104" s="35"/>
      <c r="K104" s="35">
        <v>0</v>
      </c>
      <c r="L104" s="36">
        <f t="shared" si="7"/>
        <v>0</v>
      </c>
    </row>
    <row r="105" spans="1:12" x14ac:dyDescent="0.25">
      <c r="A105" s="21" t="s">
        <v>149</v>
      </c>
      <c r="B105" s="30" t="s">
        <v>149</v>
      </c>
      <c r="C105" s="21" t="s">
        <v>160</v>
      </c>
      <c r="D105" s="21" t="s">
        <v>57</v>
      </c>
      <c r="E105" s="21" t="s">
        <v>136</v>
      </c>
      <c r="F105" s="21"/>
      <c r="G105" s="21"/>
      <c r="H105" s="32"/>
      <c r="I105" s="32">
        <f t="shared" si="6"/>
        <v>0</v>
      </c>
      <c r="J105" s="32"/>
      <c r="K105" s="32">
        <v>0</v>
      </c>
      <c r="L105" s="33">
        <f t="shared" si="7"/>
        <v>0</v>
      </c>
    </row>
    <row r="106" spans="1:12" x14ac:dyDescent="0.25">
      <c r="A106" s="15" t="s">
        <v>149</v>
      </c>
      <c r="B106" s="14" t="s">
        <v>149</v>
      </c>
      <c r="C106" s="15" t="s">
        <v>161</v>
      </c>
      <c r="D106" s="15" t="s">
        <v>56</v>
      </c>
      <c r="E106" s="15" t="s">
        <v>162</v>
      </c>
      <c r="F106" s="15"/>
      <c r="G106" s="15"/>
      <c r="H106" s="35"/>
      <c r="I106" s="35">
        <f t="shared" si="6"/>
        <v>0</v>
      </c>
      <c r="J106" s="35"/>
      <c r="K106" s="35">
        <v>0</v>
      </c>
      <c r="L106" s="36">
        <f t="shared" si="7"/>
        <v>0</v>
      </c>
    </row>
    <row r="107" spans="1:12" x14ac:dyDescent="0.25">
      <c r="A107" s="21" t="s">
        <v>149</v>
      </c>
      <c r="B107" s="30" t="s">
        <v>149</v>
      </c>
      <c r="C107" s="21" t="s">
        <v>163</v>
      </c>
      <c r="D107" s="21" t="s">
        <v>69</v>
      </c>
      <c r="E107" s="21" t="s">
        <v>90</v>
      </c>
      <c r="F107" s="21"/>
      <c r="G107" s="21"/>
      <c r="H107" s="32"/>
      <c r="I107" s="32">
        <f t="shared" si="6"/>
        <v>0</v>
      </c>
      <c r="J107" s="32"/>
      <c r="K107" s="32">
        <v>0</v>
      </c>
      <c r="L107" s="33">
        <f t="shared" si="7"/>
        <v>0</v>
      </c>
    </row>
    <row r="108" spans="1:12" x14ac:dyDescent="0.25">
      <c r="A108" s="15" t="s">
        <v>149</v>
      </c>
      <c r="B108" s="14" t="s">
        <v>149</v>
      </c>
      <c r="C108" s="15" t="s">
        <v>172</v>
      </c>
      <c r="D108" s="15" t="s">
        <v>65</v>
      </c>
      <c r="E108" s="15" t="s">
        <v>82</v>
      </c>
      <c r="F108" s="34">
        <v>2</v>
      </c>
      <c r="G108" s="34">
        <v>3</v>
      </c>
      <c r="H108" s="35"/>
      <c r="I108" s="35">
        <f t="shared" si="6"/>
        <v>0</v>
      </c>
      <c r="J108" s="35"/>
      <c r="K108" s="35">
        <v>0</v>
      </c>
      <c r="L108" s="36">
        <f t="shared" si="7"/>
        <v>3</v>
      </c>
    </row>
    <row r="109" spans="1:12" x14ac:dyDescent="0.25">
      <c r="A109" s="21" t="s">
        <v>149</v>
      </c>
      <c r="B109" s="30" t="s">
        <v>149</v>
      </c>
      <c r="C109" s="21" t="s">
        <v>164</v>
      </c>
      <c r="D109" s="21" t="s">
        <v>47</v>
      </c>
      <c r="E109" s="21" t="s">
        <v>79</v>
      </c>
      <c r="F109" s="21"/>
      <c r="G109" s="21"/>
      <c r="H109" s="32"/>
      <c r="I109" s="32">
        <f t="shared" si="6"/>
        <v>0</v>
      </c>
      <c r="J109" s="32"/>
      <c r="K109" s="32">
        <v>0</v>
      </c>
      <c r="L109" s="33">
        <f t="shared" si="7"/>
        <v>0</v>
      </c>
    </row>
    <row r="110" spans="1:12" x14ac:dyDescent="0.25">
      <c r="A110" s="15" t="s">
        <v>149</v>
      </c>
      <c r="B110" s="14" t="s">
        <v>149</v>
      </c>
      <c r="C110" s="15" t="s">
        <v>165</v>
      </c>
      <c r="D110" s="15" t="s">
        <v>57</v>
      </c>
      <c r="E110" s="15" t="s">
        <v>136</v>
      </c>
      <c r="F110" s="15"/>
      <c r="G110" s="15"/>
      <c r="H110" s="35"/>
      <c r="I110" s="35">
        <f t="shared" si="6"/>
        <v>0</v>
      </c>
      <c r="J110" s="35"/>
      <c r="K110" s="35">
        <v>0</v>
      </c>
      <c r="L110" s="36">
        <f t="shared" si="7"/>
        <v>0</v>
      </c>
    </row>
    <row r="111" spans="1:12" x14ac:dyDescent="0.25">
      <c r="A111" s="21" t="s">
        <v>149</v>
      </c>
      <c r="B111" s="30" t="s">
        <v>149</v>
      </c>
      <c r="C111" s="21" t="s">
        <v>166</v>
      </c>
      <c r="D111" s="21" t="s">
        <v>57</v>
      </c>
      <c r="E111" s="21" t="s">
        <v>136</v>
      </c>
      <c r="F111" s="21"/>
      <c r="G111" s="21"/>
      <c r="H111" s="32"/>
      <c r="I111" s="32">
        <f t="shared" si="6"/>
        <v>0</v>
      </c>
      <c r="J111" s="32"/>
      <c r="K111" s="32">
        <v>0</v>
      </c>
      <c r="L111" s="33">
        <f t="shared" si="7"/>
        <v>0</v>
      </c>
    </row>
    <row r="112" spans="1:12" x14ac:dyDescent="0.25">
      <c r="A112" s="15" t="s">
        <v>149</v>
      </c>
      <c r="B112" s="14" t="s">
        <v>149</v>
      </c>
      <c r="C112" s="15" t="s">
        <v>167</v>
      </c>
      <c r="D112" s="15" t="s">
        <v>57</v>
      </c>
      <c r="E112" s="15" t="s">
        <v>136</v>
      </c>
      <c r="F112" s="15"/>
      <c r="G112" s="15"/>
      <c r="H112" s="35"/>
      <c r="I112" s="35">
        <f t="shared" si="6"/>
        <v>0</v>
      </c>
      <c r="J112" s="35"/>
      <c r="K112" s="35">
        <v>0</v>
      </c>
      <c r="L112" s="36">
        <f t="shared" si="7"/>
        <v>0</v>
      </c>
    </row>
    <row r="113" spans="1:12" x14ac:dyDescent="0.25">
      <c r="A113" s="21" t="s">
        <v>149</v>
      </c>
      <c r="B113" s="30" t="s">
        <v>149</v>
      </c>
      <c r="C113" s="21" t="s">
        <v>168</v>
      </c>
      <c r="D113" s="21" t="s">
        <v>54</v>
      </c>
      <c r="E113" s="21" t="s">
        <v>84</v>
      </c>
      <c r="F113" s="21"/>
      <c r="G113" s="21"/>
      <c r="H113" s="32"/>
      <c r="I113" s="32">
        <f t="shared" si="6"/>
        <v>0</v>
      </c>
      <c r="J113" s="32"/>
      <c r="K113" s="32">
        <v>0</v>
      </c>
      <c r="L113" s="33">
        <f t="shared" si="7"/>
        <v>0</v>
      </c>
    </row>
    <row r="114" spans="1:12" x14ac:dyDescent="0.25">
      <c r="A114" s="15" t="s">
        <v>149</v>
      </c>
      <c r="B114" s="14" t="s">
        <v>149</v>
      </c>
      <c r="C114" s="15" t="s">
        <v>173</v>
      </c>
      <c r="D114" s="15" t="s">
        <v>70</v>
      </c>
      <c r="E114" s="15" t="s">
        <v>104</v>
      </c>
      <c r="F114" s="15"/>
      <c r="G114" s="15"/>
      <c r="H114" s="35"/>
      <c r="I114" s="35">
        <f t="shared" si="6"/>
        <v>0</v>
      </c>
      <c r="J114" s="35"/>
      <c r="K114" s="35">
        <v>0</v>
      </c>
      <c r="L114" s="36">
        <f t="shared" si="7"/>
        <v>0</v>
      </c>
    </row>
    <row r="115" spans="1:12" x14ac:dyDescent="0.25">
      <c r="A115" s="21" t="s">
        <v>149</v>
      </c>
      <c r="B115" s="30" t="s">
        <v>149</v>
      </c>
      <c r="C115" s="21" t="s">
        <v>171</v>
      </c>
      <c r="D115" s="21" t="s">
        <v>69</v>
      </c>
      <c r="E115" s="21" t="s">
        <v>90</v>
      </c>
      <c r="F115" s="21"/>
      <c r="G115" s="21"/>
      <c r="H115" s="32"/>
      <c r="I115" s="32">
        <f t="shared" si="6"/>
        <v>0</v>
      </c>
      <c r="J115" s="32"/>
      <c r="K115" s="32">
        <v>0</v>
      </c>
      <c r="L115" s="33">
        <f t="shared" si="7"/>
        <v>0</v>
      </c>
    </row>
    <row r="116" spans="1:12" x14ac:dyDescent="0.25">
      <c r="A116" s="15" t="s">
        <v>149</v>
      </c>
      <c r="B116" s="14" t="s">
        <v>149</v>
      </c>
      <c r="C116" s="15" t="s">
        <v>174</v>
      </c>
      <c r="D116" s="15" t="s">
        <v>47</v>
      </c>
      <c r="E116" s="15" t="s">
        <v>79</v>
      </c>
      <c r="F116" s="15"/>
      <c r="G116" s="15"/>
      <c r="H116" s="35"/>
      <c r="I116" s="35">
        <f t="shared" si="6"/>
        <v>0</v>
      </c>
      <c r="J116" s="35"/>
      <c r="K116" s="35">
        <v>0</v>
      </c>
      <c r="L116" s="36">
        <f t="shared" si="7"/>
        <v>0</v>
      </c>
    </row>
    <row r="117" spans="1:12" x14ac:dyDescent="0.25">
      <c r="A117" s="21" t="s">
        <v>149</v>
      </c>
      <c r="B117" s="30" t="s">
        <v>149</v>
      </c>
      <c r="C117" s="21" t="s">
        <v>175</v>
      </c>
      <c r="D117" s="21" t="s">
        <v>47</v>
      </c>
      <c r="E117" s="21" t="s">
        <v>79</v>
      </c>
      <c r="F117" s="21"/>
      <c r="G117" s="21"/>
      <c r="H117" s="32"/>
      <c r="I117" s="32">
        <f t="shared" si="6"/>
        <v>0</v>
      </c>
      <c r="J117" s="32"/>
      <c r="K117" s="32">
        <v>0</v>
      </c>
      <c r="L117" s="33">
        <f t="shared" si="7"/>
        <v>0</v>
      </c>
    </row>
    <row r="118" spans="1:12" x14ac:dyDescent="0.25">
      <c r="A118" s="21" t="s">
        <v>178</v>
      </c>
      <c r="B118" s="30" t="s">
        <v>178</v>
      </c>
      <c r="C118" s="21" t="s">
        <v>179</v>
      </c>
      <c r="D118" s="21" t="s">
        <v>56</v>
      </c>
      <c r="E118" s="21" t="s">
        <v>162</v>
      </c>
      <c r="F118" s="21"/>
      <c r="G118" s="21"/>
      <c r="H118" s="32"/>
      <c r="I118" s="32">
        <f t="shared" si="6"/>
        <v>0</v>
      </c>
      <c r="J118" s="32"/>
      <c r="K118" s="32">
        <v>0</v>
      </c>
      <c r="L118" s="33">
        <f t="shared" si="7"/>
        <v>0</v>
      </c>
    </row>
    <row r="119" spans="1:12" x14ac:dyDescent="0.25">
      <c r="A119" s="15" t="s">
        <v>178</v>
      </c>
      <c r="B119" s="14" t="s">
        <v>178</v>
      </c>
      <c r="C119" s="15" t="s">
        <v>180</v>
      </c>
      <c r="D119" s="15" t="s">
        <v>53</v>
      </c>
      <c r="E119" s="15" t="s">
        <v>129</v>
      </c>
      <c r="F119" s="15"/>
      <c r="G119" s="15"/>
      <c r="H119" s="35"/>
      <c r="I119" s="35">
        <f t="shared" si="6"/>
        <v>0</v>
      </c>
      <c r="J119" s="35"/>
      <c r="K119" s="35">
        <v>0</v>
      </c>
      <c r="L119" s="36">
        <f t="shared" si="7"/>
        <v>0</v>
      </c>
    </row>
    <row r="120" spans="1:12" x14ac:dyDescent="0.25">
      <c r="A120" s="21" t="s">
        <v>178</v>
      </c>
      <c r="B120" s="30" t="s">
        <v>178</v>
      </c>
      <c r="C120" s="21" t="s">
        <v>181</v>
      </c>
      <c r="D120" s="21" t="s">
        <v>53</v>
      </c>
      <c r="E120" s="21" t="s">
        <v>129</v>
      </c>
      <c r="F120" s="21"/>
      <c r="G120" s="21"/>
      <c r="H120" s="32"/>
      <c r="I120" s="32">
        <f t="shared" si="6"/>
        <v>0</v>
      </c>
      <c r="J120" s="32"/>
      <c r="K120" s="32">
        <v>0</v>
      </c>
      <c r="L120" s="33">
        <f t="shared" si="7"/>
        <v>0</v>
      </c>
    </row>
    <row r="121" spans="1:12" x14ac:dyDescent="0.25">
      <c r="A121" s="15" t="s">
        <v>178</v>
      </c>
      <c r="B121" s="14" t="s">
        <v>178</v>
      </c>
      <c r="C121" s="15" t="s">
        <v>182</v>
      </c>
      <c r="D121" s="15" t="s">
        <v>53</v>
      </c>
      <c r="E121" s="15" t="s">
        <v>129</v>
      </c>
      <c r="F121" s="15"/>
      <c r="G121" s="15"/>
      <c r="H121" s="35"/>
      <c r="I121" s="35">
        <f t="shared" si="6"/>
        <v>0</v>
      </c>
      <c r="J121" s="35"/>
      <c r="K121" s="35">
        <v>0</v>
      </c>
      <c r="L121" s="36">
        <f t="shared" si="7"/>
        <v>0</v>
      </c>
    </row>
    <row r="122" spans="1:12" x14ac:dyDescent="0.25">
      <c r="A122" s="21" t="s">
        <v>178</v>
      </c>
      <c r="B122" s="30" t="s">
        <v>178</v>
      </c>
      <c r="C122" s="21" t="s">
        <v>183</v>
      </c>
      <c r="D122" s="21" t="s">
        <v>56</v>
      </c>
      <c r="E122" s="21" t="s">
        <v>162</v>
      </c>
      <c r="F122" s="21"/>
      <c r="G122" s="21"/>
      <c r="H122" s="32"/>
      <c r="I122" s="32">
        <f t="shared" si="6"/>
        <v>0</v>
      </c>
      <c r="J122" s="32"/>
      <c r="K122" s="32">
        <v>0</v>
      </c>
      <c r="L122" s="33">
        <f t="shared" si="7"/>
        <v>0</v>
      </c>
    </row>
    <row r="123" spans="1:12" x14ac:dyDescent="0.25">
      <c r="A123" s="15" t="s">
        <v>178</v>
      </c>
      <c r="B123" s="14" t="s">
        <v>178</v>
      </c>
      <c r="C123" s="15" t="s">
        <v>184</v>
      </c>
      <c r="D123" s="15" t="s">
        <v>56</v>
      </c>
      <c r="E123" s="15" t="s">
        <v>162</v>
      </c>
      <c r="F123" s="15"/>
      <c r="G123" s="15"/>
      <c r="H123" s="35"/>
      <c r="I123" s="35">
        <f t="shared" si="6"/>
        <v>0</v>
      </c>
      <c r="J123" s="35"/>
      <c r="K123" s="35">
        <v>0</v>
      </c>
      <c r="L123" s="36">
        <f t="shared" si="7"/>
        <v>0</v>
      </c>
    </row>
    <row r="124" spans="1:12" x14ac:dyDescent="0.25">
      <c r="A124" s="21" t="s">
        <v>178</v>
      </c>
      <c r="B124" s="30" t="s">
        <v>178</v>
      </c>
      <c r="C124" s="21" t="s">
        <v>185</v>
      </c>
      <c r="D124" s="21" t="s">
        <v>56</v>
      </c>
      <c r="E124" s="21" t="s">
        <v>162</v>
      </c>
      <c r="F124" s="21"/>
      <c r="G124" s="21"/>
      <c r="H124" s="32"/>
      <c r="I124" s="32">
        <f t="shared" si="6"/>
        <v>0</v>
      </c>
      <c r="J124" s="32"/>
      <c r="K124" s="32">
        <v>0</v>
      </c>
      <c r="L124" s="33">
        <f t="shared" si="7"/>
        <v>0</v>
      </c>
    </row>
    <row r="125" spans="1:12" x14ac:dyDescent="0.25">
      <c r="A125" s="15" t="s">
        <v>178</v>
      </c>
      <c r="B125" s="14" t="s">
        <v>178</v>
      </c>
      <c r="C125" s="15" t="s">
        <v>186</v>
      </c>
      <c r="D125" s="15" t="s">
        <v>56</v>
      </c>
      <c r="E125" s="15" t="s">
        <v>162</v>
      </c>
      <c r="F125" s="15"/>
      <c r="G125" s="15"/>
      <c r="H125" s="35"/>
      <c r="I125" s="35">
        <f t="shared" si="6"/>
        <v>0</v>
      </c>
      <c r="J125" s="35"/>
      <c r="K125" s="35">
        <v>0</v>
      </c>
      <c r="L125" s="36">
        <f t="shared" si="7"/>
        <v>0</v>
      </c>
    </row>
    <row r="126" spans="1:12" x14ac:dyDescent="0.25">
      <c r="A126" s="21" t="s">
        <v>178</v>
      </c>
      <c r="B126" s="30" t="s">
        <v>178</v>
      </c>
      <c r="C126" s="21" t="s">
        <v>187</v>
      </c>
      <c r="D126" s="21" t="s">
        <v>56</v>
      </c>
      <c r="E126" s="21" t="s">
        <v>162</v>
      </c>
      <c r="F126" s="21"/>
      <c r="G126" s="21"/>
      <c r="H126" s="32"/>
      <c r="I126" s="32">
        <f t="shared" si="6"/>
        <v>0</v>
      </c>
      <c r="J126" s="32"/>
      <c r="K126" s="32">
        <v>0</v>
      </c>
      <c r="L126" s="33">
        <f t="shared" si="7"/>
        <v>0</v>
      </c>
    </row>
    <row r="127" spans="1:12" x14ac:dyDescent="0.25">
      <c r="A127" s="21" t="s">
        <v>188</v>
      </c>
      <c r="B127" s="30" t="s">
        <v>188</v>
      </c>
      <c r="C127" s="21" t="s">
        <v>189</v>
      </c>
      <c r="D127" s="21" t="s">
        <v>47</v>
      </c>
      <c r="E127" s="21" t="s">
        <v>79</v>
      </c>
      <c r="F127" s="31">
        <v>4</v>
      </c>
      <c r="G127" s="31">
        <v>7</v>
      </c>
      <c r="H127" s="32"/>
      <c r="I127" s="32">
        <f t="shared" si="6"/>
        <v>0</v>
      </c>
      <c r="J127" s="32"/>
      <c r="K127" s="32">
        <v>0</v>
      </c>
      <c r="L127" s="33">
        <f t="shared" si="7"/>
        <v>7</v>
      </c>
    </row>
    <row r="128" spans="1:12" x14ac:dyDescent="0.25">
      <c r="A128" s="15" t="s">
        <v>188</v>
      </c>
      <c r="B128" s="14" t="s">
        <v>188</v>
      </c>
      <c r="C128" s="15" t="s">
        <v>190</v>
      </c>
      <c r="D128" s="15" t="s">
        <v>47</v>
      </c>
      <c r="E128" s="15" t="s">
        <v>79</v>
      </c>
      <c r="F128" s="34">
        <v>5</v>
      </c>
      <c r="G128" s="34">
        <v>5</v>
      </c>
      <c r="H128" s="35"/>
      <c r="I128" s="35">
        <f t="shared" si="6"/>
        <v>0</v>
      </c>
      <c r="J128" s="35"/>
      <c r="K128" s="35">
        <v>0</v>
      </c>
      <c r="L128" s="36">
        <f t="shared" si="7"/>
        <v>5</v>
      </c>
    </row>
    <row r="129" spans="1:12" x14ac:dyDescent="0.25">
      <c r="A129" s="21" t="s">
        <v>188</v>
      </c>
      <c r="B129" s="30" t="s">
        <v>188</v>
      </c>
      <c r="C129" s="21" t="s">
        <v>191</v>
      </c>
      <c r="D129" s="21" t="s">
        <v>65</v>
      </c>
      <c r="E129" s="21" t="s">
        <v>82</v>
      </c>
      <c r="F129" s="21"/>
      <c r="G129" s="21"/>
      <c r="H129" s="32"/>
      <c r="I129" s="32">
        <f t="shared" si="6"/>
        <v>0</v>
      </c>
      <c r="J129" s="32"/>
      <c r="K129" s="32">
        <v>0</v>
      </c>
      <c r="L129" s="33">
        <f t="shared" si="7"/>
        <v>0</v>
      </c>
    </row>
    <row r="130" spans="1:12" x14ac:dyDescent="0.25">
      <c r="A130" s="15" t="s">
        <v>188</v>
      </c>
      <c r="B130" s="14" t="s">
        <v>188</v>
      </c>
      <c r="C130" s="15" t="s">
        <v>192</v>
      </c>
      <c r="D130" s="15" t="s">
        <v>54</v>
      </c>
      <c r="E130" s="15" t="s">
        <v>84</v>
      </c>
      <c r="F130" s="34">
        <v>10</v>
      </c>
      <c r="G130" s="34">
        <v>14</v>
      </c>
      <c r="H130" s="35"/>
      <c r="I130" s="35">
        <f t="shared" si="6"/>
        <v>0</v>
      </c>
      <c r="J130" s="35"/>
      <c r="K130" s="35">
        <v>0</v>
      </c>
      <c r="L130" s="36">
        <f t="shared" si="7"/>
        <v>14</v>
      </c>
    </row>
    <row r="131" spans="1:12" x14ac:dyDescent="0.25">
      <c r="A131" s="21" t="s">
        <v>188</v>
      </c>
      <c r="B131" s="30" t="s">
        <v>188</v>
      </c>
      <c r="C131" s="21" t="s">
        <v>193</v>
      </c>
      <c r="D131" s="21" t="s">
        <v>53</v>
      </c>
      <c r="E131" s="21" t="s">
        <v>129</v>
      </c>
      <c r="F131" s="21"/>
      <c r="G131" s="21"/>
      <c r="H131" s="32"/>
      <c r="I131" s="32">
        <f t="shared" ref="I131:I162" si="8">IF(H131="",0,G131)</f>
        <v>0</v>
      </c>
      <c r="J131" s="32"/>
      <c r="K131" s="32">
        <v>0</v>
      </c>
      <c r="L131" s="33">
        <f t="shared" ref="L131:L162" si="9">G131-I131-K131</f>
        <v>0</v>
      </c>
    </row>
    <row r="132" spans="1:12" x14ac:dyDescent="0.25">
      <c r="A132" s="15" t="s">
        <v>188</v>
      </c>
      <c r="B132" s="14" t="s">
        <v>188</v>
      </c>
      <c r="C132" s="15" t="s">
        <v>194</v>
      </c>
      <c r="D132" s="15" t="s">
        <v>56</v>
      </c>
      <c r="E132" s="15" t="s">
        <v>162</v>
      </c>
      <c r="F132" s="15"/>
      <c r="G132" s="15"/>
      <c r="H132" s="35"/>
      <c r="I132" s="35">
        <f t="shared" si="8"/>
        <v>0</v>
      </c>
      <c r="J132" s="35"/>
      <c r="K132" s="35">
        <v>0</v>
      </c>
      <c r="L132" s="36">
        <f t="shared" si="9"/>
        <v>0</v>
      </c>
    </row>
    <row r="133" spans="1:12" x14ac:dyDescent="0.25">
      <c r="A133" s="21" t="s">
        <v>188</v>
      </c>
      <c r="B133" s="30" t="s">
        <v>188</v>
      </c>
      <c r="C133" s="21" t="s">
        <v>195</v>
      </c>
      <c r="D133" s="21" t="s">
        <v>70</v>
      </c>
      <c r="E133" s="21" t="s">
        <v>104</v>
      </c>
      <c r="F133" s="31">
        <v>2</v>
      </c>
      <c r="G133" s="31">
        <v>3</v>
      </c>
      <c r="H133" s="32"/>
      <c r="I133" s="32">
        <f t="shared" si="8"/>
        <v>0</v>
      </c>
      <c r="J133" s="32"/>
      <c r="K133" s="32">
        <v>0</v>
      </c>
      <c r="L133" s="33">
        <f t="shared" si="9"/>
        <v>3</v>
      </c>
    </row>
    <row r="134" spans="1:12" x14ac:dyDescent="0.25">
      <c r="A134" s="15" t="s">
        <v>188</v>
      </c>
      <c r="B134" s="14" t="s">
        <v>188</v>
      </c>
      <c r="C134" s="15" t="s">
        <v>196</v>
      </c>
      <c r="D134" s="15" t="s">
        <v>65</v>
      </c>
      <c r="E134" s="15" t="s">
        <v>82</v>
      </c>
      <c r="F134" s="15"/>
      <c r="G134" s="15"/>
      <c r="H134" s="35"/>
      <c r="I134" s="35">
        <f t="shared" si="8"/>
        <v>0</v>
      </c>
      <c r="J134" s="35"/>
      <c r="K134" s="35">
        <v>0</v>
      </c>
      <c r="L134" s="36">
        <f t="shared" si="9"/>
        <v>0</v>
      </c>
    </row>
    <row r="135" spans="1:12" x14ac:dyDescent="0.25">
      <c r="A135" s="21" t="s">
        <v>188</v>
      </c>
      <c r="B135" s="30" t="s">
        <v>188</v>
      </c>
      <c r="C135" s="21" t="s">
        <v>197</v>
      </c>
      <c r="D135" s="21" t="s">
        <v>69</v>
      </c>
      <c r="E135" s="21" t="s">
        <v>90</v>
      </c>
      <c r="F135" s="21"/>
      <c r="G135" s="21"/>
      <c r="H135" s="32"/>
      <c r="I135" s="32">
        <f t="shared" si="8"/>
        <v>0</v>
      </c>
      <c r="J135" s="32"/>
      <c r="K135" s="32">
        <v>0</v>
      </c>
      <c r="L135" s="33">
        <f t="shared" si="9"/>
        <v>0</v>
      </c>
    </row>
    <row r="136" spans="1:12" x14ac:dyDescent="0.25">
      <c r="A136" s="15" t="s">
        <v>188</v>
      </c>
      <c r="B136" s="14" t="s">
        <v>188</v>
      </c>
      <c r="C136" s="15" t="s">
        <v>198</v>
      </c>
      <c r="D136" s="15" t="s">
        <v>69</v>
      </c>
      <c r="E136" s="15" t="s">
        <v>90</v>
      </c>
      <c r="F136" s="15"/>
      <c r="G136" s="15"/>
      <c r="H136" s="35"/>
      <c r="I136" s="35">
        <f t="shared" si="8"/>
        <v>0</v>
      </c>
      <c r="J136" s="35"/>
      <c r="K136" s="35">
        <v>0</v>
      </c>
      <c r="L136" s="36">
        <f t="shared" si="9"/>
        <v>0</v>
      </c>
    </row>
    <row r="137" spans="1:12" x14ac:dyDescent="0.25">
      <c r="A137" s="21" t="s">
        <v>188</v>
      </c>
      <c r="B137" s="30" t="s">
        <v>188</v>
      </c>
      <c r="C137" s="21" t="s">
        <v>189</v>
      </c>
      <c r="D137" s="21" t="s">
        <v>47</v>
      </c>
      <c r="E137" s="21" t="s">
        <v>79</v>
      </c>
      <c r="F137" s="21"/>
      <c r="G137" s="21"/>
      <c r="H137" s="32"/>
      <c r="I137" s="32">
        <f t="shared" si="8"/>
        <v>0</v>
      </c>
      <c r="J137" s="32"/>
      <c r="K137" s="32">
        <v>0</v>
      </c>
      <c r="L137" s="33">
        <f t="shared" si="9"/>
        <v>0</v>
      </c>
    </row>
    <row r="138" spans="1:12" x14ac:dyDescent="0.25">
      <c r="A138" s="15" t="s">
        <v>188</v>
      </c>
      <c r="B138" s="14" t="s">
        <v>188</v>
      </c>
      <c r="C138" s="15" t="s">
        <v>191</v>
      </c>
      <c r="D138" s="15" t="s">
        <v>65</v>
      </c>
      <c r="E138" s="15" t="s">
        <v>82</v>
      </c>
      <c r="F138" s="15"/>
      <c r="G138" s="15"/>
      <c r="H138" s="35"/>
      <c r="I138" s="35">
        <f t="shared" si="8"/>
        <v>0</v>
      </c>
      <c r="J138" s="35"/>
      <c r="K138" s="35">
        <v>0</v>
      </c>
      <c r="L138" s="36">
        <f t="shared" si="9"/>
        <v>0</v>
      </c>
    </row>
    <row r="139" spans="1:12" x14ac:dyDescent="0.25">
      <c r="A139" s="21" t="s">
        <v>188</v>
      </c>
      <c r="B139" s="30" t="s">
        <v>188</v>
      </c>
      <c r="C139" s="21" t="s">
        <v>199</v>
      </c>
      <c r="D139" s="21" t="s">
        <v>65</v>
      </c>
      <c r="E139" s="21" t="s">
        <v>82</v>
      </c>
      <c r="F139" s="31">
        <v>2</v>
      </c>
      <c r="G139" s="31">
        <v>3</v>
      </c>
      <c r="H139" s="32"/>
      <c r="I139" s="32">
        <f t="shared" si="8"/>
        <v>0</v>
      </c>
      <c r="J139" s="32"/>
      <c r="K139" s="32">
        <v>0</v>
      </c>
      <c r="L139" s="33">
        <f t="shared" si="9"/>
        <v>3</v>
      </c>
    </row>
    <row r="140" spans="1:12" x14ac:dyDescent="0.25">
      <c r="A140" s="15" t="s">
        <v>188</v>
      </c>
      <c r="B140" s="14" t="s">
        <v>188</v>
      </c>
      <c r="C140" s="15" t="s">
        <v>192</v>
      </c>
      <c r="D140" s="15" t="s">
        <v>54</v>
      </c>
      <c r="E140" s="15" t="s">
        <v>84</v>
      </c>
      <c r="F140" s="15"/>
      <c r="G140" s="15"/>
      <c r="H140" s="35"/>
      <c r="I140" s="35">
        <f t="shared" si="8"/>
        <v>0</v>
      </c>
      <c r="J140" s="35"/>
      <c r="K140" s="35">
        <v>0</v>
      </c>
      <c r="L140" s="36">
        <f t="shared" si="9"/>
        <v>0</v>
      </c>
    </row>
    <row r="141" spans="1:12" x14ac:dyDescent="0.25">
      <c r="A141" s="21" t="s">
        <v>188</v>
      </c>
      <c r="B141" s="30" t="s">
        <v>188</v>
      </c>
      <c r="C141" s="21" t="s">
        <v>200</v>
      </c>
      <c r="D141" s="21" t="s">
        <v>53</v>
      </c>
      <c r="E141" s="21" t="s">
        <v>129</v>
      </c>
      <c r="F141" s="21"/>
      <c r="G141" s="21"/>
      <c r="H141" s="32"/>
      <c r="I141" s="32">
        <f t="shared" si="8"/>
        <v>0</v>
      </c>
      <c r="J141" s="32"/>
      <c r="K141" s="32">
        <v>0</v>
      </c>
      <c r="L141" s="33">
        <f t="shared" si="9"/>
        <v>0</v>
      </c>
    </row>
    <row r="142" spans="1:12" x14ac:dyDescent="0.25">
      <c r="A142" s="15" t="s">
        <v>188</v>
      </c>
      <c r="B142" s="14" t="s">
        <v>188</v>
      </c>
      <c r="C142" s="15" t="s">
        <v>194</v>
      </c>
      <c r="D142" s="15" t="s">
        <v>56</v>
      </c>
      <c r="E142" s="15" t="s">
        <v>162</v>
      </c>
      <c r="F142" s="15"/>
      <c r="G142" s="15"/>
      <c r="H142" s="35"/>
      <c r="I142" s="35">
        <f t="shared" si="8"/>
        <v>0</v>
      </c>
      <c r="J142" s="35"/>
      <c r="K142" s="35">
        <v>0</v>
      </c>
      <c r="L142" s="36">
        <f t="shared" si="9"/>
        <v>0</v>
      </c>
    </row>
    <row r="143" spans="1:12" x14ac:dyDescent="0.25">
      <c r="A143" s="21" t="s">
        <v>188</v>
      </c>
      <c r="B143" s="30" t="s">
        <v>188</v>
      </c>
      <c r="C143" s="21" t="s">
        <v>196</v>
      </c>
      <c r="D143" s="21" t="s">
        <v>65</v>
      </c>
      <c r="E143" s="21" t="s">
        <v>82</v>
      </c>
      <c r="F143" s="31">
        <v>2</v>
      </c>
      <c r="G143" s="31">
        <v>3</v>
      </c>
      <c r="H143" s="32"/>
      <c r="I143" s="32">
        <f t="shared" si="8"/>
        <v>0</v>
      </c>
      <c r="J143" s="32"/>
      <c r="K143" s="32">
        <v>0</v>
      </c>
      <c r="L143" s="33">
        <f t="shared" si="9"/>
        <v>3</v>
      </c>
    </row>
    <row r="144" spans="1:12" x14ac:dyDescent="0.25">
      <c r="A144" s="15" t="s">
        <v>188</v>
      </c>
      <c r="B144" s="14" t="s">
        <v>188</v>
      </c>
      <c r="C144" s="15" t="s">
        <v>201</v>
      </c>
      <c r="D144" s="15" t="s">
        <v>62</v>
      </c>
      <c r="E144" s="15" t="s">
        <v>159</v>
      </c>
      <c r="F144" s="15"/>
      <c r="G144" s="15"/>
      <c r="H144" s="35"/>
      <c r="I144" s="35">
        <f t="shared" si="8"/>
        <v>0</v>
      </c>
      <c r="J144" s="35"/>
      <c r="K144" s="35">
        <v>0</v>
      </c>
      <c r="L144" s="36">
        <f t="shared" si="9"/>
        <v>0</v>
      </c>
    </row>
    <row r="145" spans="1:12" x14ac:dyDescent="0.25">
      <c r="A145" s="21" t="s">
        <v>188</v>
      </c>
      <c r="B145" s="30" t="s">
        <v>188</v>
      </c>
      <c r="C145" s="21" t="s">
        <v>202</v>
      </c>
      <c r="D145" s="21" t="s">
        <v>59</v>
      </c>
      <c r="E145" s="21" t="s">
        <v>203</v>
      </c>
      <c r="F145" s="31">
        <v>5</v>
      </c>
      <c r="G145" s="31">
        <v>7</v>
      </c>
      <c r="H145" s="32"/>
      <c r="I145" s="32">
        <f t="shared" si="8"/>
        <v>0</v>
      </c>
      <c r="J145" s="32"/>
      <c r="K145" s="32">
        <v>0</v>
      </c>
      <c r="L145" s="33">
        <f t="shared" si="9"/>
        <v>7</v>
      </c>
    </row>
    <row r="146" spans="1:12" x14ac:dyDescent="0.25">
      <c r="A146" s="15" t="s">
        <v>188</v>
      </c>
      <c r="B146" s="14" t="s">
        <v>188</v>
      </c>
      <c r="C146" s="15" t="s">
        <v>204</v>
      </c>
      <c r="D146" s="15" t="s">
        <v>59</v>
      </c>
      <c r="E146" s="15" t="s">
        <v>203</v>
      </c>
      <c r="F146" s="34">
        <v>3</v>
      </c>
      <c r="G146" s="34">
        <v>5</v>
      </c>
      <c r="H146" s="35"/>
      <c r="I146" s="35">
        <f t="shared" si="8"/>
        <v>0</v>
      </c>
      <c r="J146" s="35"/>
      <c r="K146" s="35">
        <v>0</v>
      </c>
      <c r="L146" s="36">
        <f t="shared" si="9"/>
        <v>5</v>
      </c>
    </row>
    <row r="147" spans="1:12" x14ac:dyDescent="0.25">
      <c r="A147" s="21" t="s">
        <v>188</v>
      </c>
      <c r="B147" s="30" t="s">
        <v>188</v>
      </c>
      <c r="C147" s="21" t="s">
        <v>205</v>
      </c>
      <c r="D147" s="21" t="s">
        <v>59</v>
      </c>
      <c r="E147" s="21" t="s">
        <v>203</v>
      </c>
      <c r="F147" s="31">
        <v>10</v>
      </c>
      <c r="G147" s="31">
        <v>15</v>
      </c>
      <c r="H147" s="32"/>
      <c r="I147" s="32">
        <f t="shared" si="8"/>
        <v>0</v>
      </c>
      <c r="J147" s="32"/>
      <c r="K147" s="32">
        <v>0</v>
      </c>
      <c r="L147" s="33">
        <f t="shared" si="9"/>
        <v>15</v>
      </c>
    </row>
    <row r="148" spans="1:12" x14ac:dyDescent="0.25">
      <c r="A148" s="15" t="s">
        <v>188</v>
      </c>
      <c r="B148" s="14" t="s">
        <v>188</v>
      </c>
      <c r="C148" s="15" t="s">
        <v>206</v>
      </c>
      <c r="D148" s="15" t="s">
        <v>59</v>
      </c>
      <c r="E148" s="15" t="s">
        <v>203</v>
      </c>
      <c r="F148" s="34">
        <v>5</v>
      </c>
      <c r="G148" s="34">
        <v>10</v>
      </c>
      <c r="H148" s="35"/>
      <c r="I148" s="35">
        <f t="shared" si="8"/>
        <v>0</v>
      </c>
      <c r="J148" s="35"/>
      <c r="K148" s="35">
        <v>0</v>
      </c>
      <c r="L148" s="36">
        <f t="shared" si="9"/>
        <v>10</v>
      </c>
    </row>
    <row r="149" spans="1:12" x14ac:dyDescent="0.25">
      <c r="A149" s="21" t="s">
        <v>188</v>
      </c>
      <c r="B149" s="30" t="s">
        <v>188</v>
      </c>
      <c r="C149" s="21" t="s">
        <v>207</v>
      </c>
      <c r="D149" s="21" t="s">
        <v>59</v>
      </c>
      <c r="E149" s="21" t="s">
        <v>203</v>
      </c>
      <c r="F149" s="31">
        <v>1</v>
      </c>
      <c r="G149" s="31">
        <v>2</v>
      </c>
      <c r="H149" s="32"/>
      <c r="I149" s="32">
        <f t="shared" si="8"/>
        <v>0</v>
      </c>
      <c r="J149" s="32"/>
      <c r="K149" s="32">
        <v>0</v>
      </c>
      <c r="L149" s="33">
        <f t="shared" si="9"/>
        <v>2</v>
      </c>
    </row>
    <row r="150" spans="1:12" x14ac:dyDescent="0.25">
      <c r="A150" s="15" t="s">
        <v>188</v>
      </c>
      <c r="B150" s="14" t="s">
        <v>188</v>
      </c>
      <c r="C150" s="15" t="s">
        <v>197</v>
      </c>
      <c r="D150" s="15" t="s">
        <v>69</v>
      </c>
      <c r="E150" s="15" t="s">
        <v>90</v>
      </c>
      <c r="F150" s="15"/>
      <c r="G150" s="15"/>
      <c r="H150" s="35"/>
      <c r="I150" s="35">
        <f t="shared" si="8"/>
        <v>0</v>
      </c>
      <c r="J150" s="35"/>
      <c r="K150" s="35">
        <v>0</v>
      </c>
      <c r="L150" s="36">
        <f t="shared" si="9"/>
        <v>0</v>
      </c>
    </row>
    <row r="151" spans="1:12" x14ac:dyDescent="0.25">
      <c r="A151" s="21" t="s">
        <v>188</v>
      </c>
      <c r="B151" s="30" t="s">
        <v>188</v>
      </c>
      <c r="C151" s="21" t="s">
        <v>198</v>
      </c>
      <c r="D151" s="21" t="s">
        <v>69</v>
      </c>
      <c r="E151" s="21" t="s">
        <v>90</v>
      </c>
      <c r="F151" s="21"/>
      <c r="G151" s="21"/>
      <c r="H151" s="32"/>
      <c r="I151" s="32">
        <f t="shared" si="8"/>
        <v>0</v>
      </c>
      <c r="J151" s="32"/>
      <c r="K151" s="32">
        <v>0</v>
      </c>
      <c r="L151" s="33">
        <f t="shared" si="9"/>
        <v>0</v>
      </c>
    </row>
    <row r="152" spans="1:12" x14ac:dyDescent="0.25">
      <c r="A152" s="15" t="s">
        <v>188</v>
      </c>
      <c r="B152" s="14" t="s">
        <v>188</v>
      </c>
      <c r="C152" s="15" t="s">
        <v>208</v>
      </c>
      <c r="D152" s="15" t="s">
        <v>56</v>
      </c>
      <c r="E152" s="15" t="s">
        <v>162</v>
      </c>
      <c r="F152" s="15"/>
      <c r="G152" s="15"/>
      <c r="H152" s="35"/>
      <c r="I152" s="35">
        <f t="shared" si="8"/>
        <v>0</v>
      </c>
      <c r="J152" s="35"/>
      <c r="K152" s="35">
        <v>0</v>
      </c>
      <c r="L152" s="36">
        <f t="shared" si="9"/>
        <v>0</v>
      </c>
    </row>
    <row r="153" spans="1:12" x14ac:dyDescent="0.25">
      <c r="A153" s="21" t="s">
        <v>188</v>
      </c>
      <c r="B153" s="30" t="s">
        <v>188</v>
      </c>
      <c r="C153" s="21" t="s">
        <v>209</v>
      </c>
      <c r="D153" s="21" t="s">
        <v>56</v>
      </c>
      <c r="E153" s="21" t="s">
        <v>162</v>
      </c>
      <c r="F153" s="21"/>
      <c r="G153" s="21"/>
      <c r="H153" s="32"/>
      <c r="I153" s="32">
        <f t="shared" si="8"/>
        <v>0</v>
      </c>
      <c r="J153" s="32"/>
      <c r="K153" s="32">
        <v>0</v>
      </c>
      <c r="L153" s="33">
        <f t="shared" si="9"/>
        <v>0</v>
      </c>
    </row>
    <row r="154" spans="1:12" x14ac:dyDescent="0.25">
      <c r="A154" s="15" t="s">
        <v>188</v>
      </c>
      <c r="B154" s="14" t="s">
        <v>188</v>
      </c>
      <c r="C154" s="15" t="s">
        <v>210</v>
      </c>
      <c r="D154" s="15" t="s">
        <v>56</v>
      </c>
      <c r="E154" s="15" t="s">
        <v>162</v>
      </c>
      <c r="F154" s="15"/>
      <c r="G154" s="15"/>
      <c r="H154" s="35"/>
      <c r="I154" s="35">
        <f t="shared" si="8"/>
        <v>0</v>
      </c>
      <c r="J154" s="35"/>
      <c r="K154" s="35">
        <v>0</v>
      </c>
      <c r="L154" s="36">
        <f t="shared" si="9"/>
        <v>0</v>
      </c>
    </row>
    <row r="155" spans="1:12" x14ac:dyDescent="0.25">
      <c r="A155" s="21" t="s">
        <v>188</v>
      </c>
      <c r="B155" s="30" t="s">
        <v>188</v>
      </c>
      <c r="C155" s="21" t="s">
        <v>211</v>
      </c>
      <c r="D155" s="21" t="s">
        <v>56</v>
      </c>
      <c r="E155" s="21" t="s">
        <v>162</v>
      </c>
      <c r="F155" s="21"/>
      <c r="G155" s="21"/>
      <c r="H155" s="32"/>
      <c r="I155" s="32">
        <f t="shared" si="8"/>
        <v>0</v>
      </c>
      <c r="J155" s="32"/>
      <c r="K155" s="32">
        <v>0</v>
      </c>
      <c r="L155" s="33">
        <f t="shared" si="9"/>
        <v>0</v>
      </c>
    </row>
    <row r="156" spans="1:12" x14ac:dyDescent="0.25">
      <c r="A156" s="15" t="s">
        <v>188</v>
      </c>
      <c r="B156" s="14" t="s">
        <v>188</v>
      </c>
      <c r="C156" s="15" t="s">
        <v>212</v>
      </c>
      <c r="D156" s="15" t="s">
        <v>56</v>
      </c>
      <c r="E156" s="15" t="s">
        <v>162</v>
      </c>
      <c r="F156" s="15"/>
      <c r="G156" s="15"/>
      <c r="H156" s="35"/>
      <c r="I156" s="35">
        <f t="shared" si="8"/>
        <v>0</v>
      </c>
      <c r="J156" s="35"/>
      <c r="K156" s="35">
        <v>0</v>
      </c>
      <c r="L156" s="36">
        <f t="shared" si="9"/>
        <v>0</v>
      </c>
    </row>
    <row r="157" spans="1:12" x14ac:dyDescent="0.25">
      <c r="A157" s="21" t="s">
        <v>188</v>
      </c>
      <c r="B157" s="30" t="s">
        <v>188</v>
      </c>
      <c r="C157" s="21" t="s">
        <v>213</v>
      </c>
      <c r="D157" s="21" t="s">
        <v>56</v>
      </c>
      <c r="E157" s="21" t="s">
        <v>162</v>
      </c>
      <c r="F157" s="21"/>
      <c r="G157" s="21"/>
      <c r="H157" s="32"/>
      <c r="I157" s="32">
        <f t="shared" si="8"/>
        <v>0</v>
      </c>
      <c r="J157" s="32"/>
      <c r="K157" s="32">
        <v>0</v>
      </c>
      <c r="L157" s="33">
        <f t="shared" si="9"/>
        <v>0</v>
      </c>
    </row>
    <row r="158" spans="1:12" x14ac:dyDescent="0.25">
      <c r="A158" s="15" t="s">
        <v>188</v>
      </c>
      <c r="B158" s="14" t="s">
        <v>188</v>
      </c>
      <c r="C158" s="15" t="s">
        <v>214</v>
      </c>
      <c r="D158" s="15" t="s">
        <v>56</v>
      </c>
      <c r="E158" s="15" t="s">
        <v>162</v>
      </c>
      <c r="F158" s="15"/>
      <c r="G158" s="15"/>
      <c r="H158" s="35"/>
      <c r="I158" s="35">
        <f t="shared" si="8"/>
        <v>0</v>
      </c>
      <c r="J158" s="35"/>
      <c r="K158" s="35">
        <v>0</v>
      </c>
      <c r="L158" s="36">
        <f t="shared" si="9"/>
        <v>0</v>
      </c>
    </row>
    <row r="159" spans="1:12" x14ac:dyDescent="0.25">
      <c r="A159" s="58" t="s">
        <v>218</v>
      </c>
      <c r="B159" s="58"/>
      <c r="C159" s="58"/>
      <c r="D159" s="58"/>
      <c r="E159" s="58"/>
      <c r="F159" s="58"/>
      <c r="G159" s="58"/>
      <c r="H159" s="58"/>
      <c r="I159" s="58"/>
      <c r="J159" s="58"/>
      <c r="K159" s="58"/>
      <c r="L159" s="58"/>
    </row>
    <row r="160" spans="1:12" x14ac:dyDescent="0.25">
      <c r="A160" s="21" t="s">
        <v>219</v>
      </c>
      <c r="B160" s="30" t="s">
        <v>219</v>
      </c>
      <c r="C160" s="21" t="s">
        <v>220</v>
      </c>
      <c r="D160" s="21" t="s">
        <v>47</v>
      </c>
      <c r="E160" s="21" t="s">
        <v>79</v>
      </c>
      <c r="F160" s="31">
        <v>0.5</v>
      </c>
      <c r="G160" s="31">
        <v>1</v>
      </c>
      <c r="H160" s="32"/>
      <c r="I160" s="32">
        <f t="shared" ref="I160:I223" si="10">IF(H160="",0,G160)</f>
        <v>0</v>
      </c>
      <c r="J160" s="32"/>
      <c r="K160" s="32">
        <v>0</v>
      </c>
      <c r="L160" s="33">
        <f t="shared" ref="L160:L223" si="11">G160-I160-K160</f>
        <v>1</v>
      </c>
    </row>
    <row r="161" spans="1:12" x14ac:dyDescent="0.25">
      <c r="A161" s="15" t="s">
        <v>219</v>
      </c>
      <c r="B161" s="14" t="s">
        <v>219</v>
      </c>
      <c r="C161" s="15" t="s">
        <v>221</v>
      </c>
      <c r="D161" s="15" t="s">
        <v>62</v>
      </c>
      <c r="E161" s="15" t="s">
        <v>159</v>
      </c>
      <c r="F161" s="15"/>
      <c r="G161" s="15"/>
      <c r="H161" s="35"/>
      <c r="I161" s="35">
        <f t="shared" si="10"/>
        <v>0</v>
      </c>
      <c r="J161" s="35"/>
      <c r="K161" s="35">
        <v>0</v>
      </c>
      <c r="L161" s="36">
        <f t="shared" si="11"/>
        <v>0</v>
      </c>
    </row>
    <row r="162" spans="1:12" x14ac:dyDescent="0.25">
      <c r="A162" s="21" t="s">
        <v>219</v>
      </c>
      <c r="B162" s="30" t="s">
        <v>219</v>
      </c>
      <c r="C162" s="21" t="s">
        <v>222</v>
      </c>
      <c r="D162" s="21" t="s">
        <v>51</v>
      </c>
      <c r="E162" s="21" t="s">
        <v>146</v>
      </c>
      <c r="F162" s="21"/>
      <c r="G162" s="31">
        <v>1</v>
      </c>
      <c r="H162" s="32"/>
      <c r="I162" s="32">
        <f t="shared" si="10"/>
        <v>0</v>
      </c>
      <c r="J162" s="32"/>
      <c r="K162" s="32">
        <v>0</v>
      </c>
      <c r="L162" s="33">
        <f t="shared" si="11"/>
        <v>1</v>
      </c>
    </row>
    <row r="163" spans="1:12" x14ac:dyDescent="0.25">
      <c r="A163" s="15" t="s">
        <v>219</v>
      </c>
      <c r="B163" s="14" t="s">
        <v>219</v>
      </c>
      <c r="C163" s="15" t="s">
        <v>223</v>
      </c>
      <c r="D163" s="15" t="s">
        <v>57</v>
      </c>
      <c r="E163" s="15" t="s">
        <v>136</v>
      </c>
      <c r="F163" s="15"/>
      <c r="G163" s="15"/>
      <c r="H163" s="35"/>
      <c r="I163" s="35">
        <f t="shared" si="10"/>
        <v>0</v>
      </c>
      <c r="J163" s="35"/>
      <c r="K163" s="35">
        <v>0</v>
      </c>
      <c r="L163" s="36">
        <f t="shared" si="11"/>
        <v>0</v>
      </c>
    </row>
    <row r="164" spans="1:12" x14ac:dyDescent="0.25">
      <c r="A164" s="21" t="s">
        <v>219</v>
      </c>
      <c r="B164" s="30" t="s">
        <v>219</v>
      </c>
      <c r="C164" s="21" t="s">
        <v>224</v>
      </c>
      <c r="D164" s="21" t="s">
        <v>61</v>
      </c>
      <c r="E164" s="21" t="s">
        <v>142</v>
      </c>
      <c r="F164" s="21"/>
      <c r="G164" s="21"/>
      <c r="H164" s="32"/>
      <c r="I164" s="32">
        <f t="shared" si="10"/>
        <v>0</v>
      </c>
      <c r="J164" s="32"/>
      <c r="K164" s="32">
        <v>0</v>
      </c>
      <c r="L164" s="33">
        <f t="shared" si="11"/>
        <v>0</v>
      </c>
    </row>
    <row r="165" spans="1:12" x14ac:dyDescent="0.25">
      <c r="A165" s="15" t="s">
        <v>219</v>
      </c>
      <c r="B165" s="14" t="s">
        <v>219</v>
      </c>
      <c r="C165" s="15" t="s">
        <v>225</v>
      </c>
      <c r="D165" s="15" t="s">
        <v>69</v>
      </c>
      <c r="E165" s="15" t="s">
        <v>90</v>
      </c>
      <c r="F165" s="15"/>
      <c r="G165" s="15"/>
      <c r="H165" s="35"/>
      <c r="I165" s="35">
        <f t="shared" si="10"/>
        <v>0</v>
      </c>
      <c r="J165" s="35"/>
      <c r="K165" s="35">
        <v>0</v>
      </c>
      <c r="L165" s="36">
        <f t="shared" si="11"/>
        <v>0</v>
      </c>
    </row>
    <row r="166" spans="1:12" x14ac:dyDescent="0.25">
      <c r="A166" s="21" t="s">
        <v>219</v>
      </c>
      <c r="B166" s="30" t="s">
        <v>219</v>
      </c>
      <c r="C166" s="21" t="s">
        <v>219</v>
      </c>
      <c r="D166" s="21" t="s">
        <v>47</v>
      </c>
      <c r="E166" s="21" t="s">
        <v>79</v>
      </c>
      <c r="F166" s="21"/>
      <c r="G166" s="21"/>
      <c r="H166" s="32"/>
      <c r="I166" s="32">
        <f t="shared" si="10"/>
        <v>0</v>
      </c>
      <c r="J166" s="32"/>
      <c r="K166" s="32">
        <v>0</v>
      </c>
      <c r="L166" s="33">
        <f t="shared" si="11"/>
        <v>0</v>
      </c>
    </row>
    <row r="167" spans="1:12" x14ac:dyDescent="0.25">
      <c r="A167" s="15" t="s">
        <v>219</v>
      </c>
      <c r="B167" s="14" t="s">
        <v>219</v>
      </c>
      <c r="C167" s="15" t="s">
        <v>226</v>
      </c>
      <c r="D167" s="15" t="s">
        <v>62</v>
      </c>
      <c r="E167" s="15" t="s">
        <v>159</v>
      </c>
      <c r="F167" s="15"/>
      <c r="G167" s="15"/>
      <c r="H167" s="35"/>
      <c r="I167" s="35">
        <f t="shared" si="10"/>
        <v>0</v>
      </c>
      <c r="J167" s="35"/>
      <c r="K167" s="35">
        <v>0</v>
      </c>
      <c r="L167" s="36">
        <f t="shared" si="11"/>
        <v>0</v>
      </c>
    </row>
    <row r="168" spans="1:12" x14ac:dyDescent="0.25">
      <c r="A168" s="21" t="s">
        <v>219</v>
      </c>
      <c r="B168" s="30" t="s">
        <v>219</v>
      </c>
      <c r="C168" s="21" t="s">
        <v>227</v>
      </c>
      <c r="D168" s="21" t="s">
        <v>65</v>
      </c>
      <c r="E168" s="21" t="s">
        <v>82</v>
      </c>
      <c r="F168" s="21"/>
      <c r="G168" s="21"/>
      <c r="H168" s="32"/>
      <c r="I168" s="32">
        <f t="shared" si="10"/>
        <v>0</v>
      </c>
      <c r="J168" s="32"/>
      <c r="K168" s="32">
        <v>0</v>
      </c>
      <c r="L168" s="33">
        <f t="shared" si="11"/>
        <v>0</v>
      </c>
    </row>
    <row r="169" spans="1:12" x14ac:dyDescent="0.25">
      <c r="A169" s="15" t="s">
        <v>219</v>
      </c>
      <c r="B169" s="14" t="s">
        <v>219</v>
      </c>
      <c r="C169" s="15" t="s">
        <v>228</v>
      </c>
      <c r="D169" s="15" t="s">
        <v>61</v>
      </c>
      <c r="E169" s="15" t="s">
        <v>142</v>
      </c>
      <c r="F169" s="15"/>
      <c r="G169" s="15"/>
      <c r="H169" s="35"/>
      <c r="I169" s="35">
        <f t="shared" si="10"/>
        <v>0</v>
      </c>
      <c r="J169" s="35"/>
      <c r="K169" s="35">
        <v>0</v>
      </c>
      <c r="L169" s="36">
        <f t="shared" si="11"/>
        <v>0</v>
      </c>
    </row>
    <row r="170" spans="1:12" x14ac:dyDescent="0.25">
      <c r="A170" s="21" t="s">
        <v>219</v>
      </c>
      <c r="B170" s="30" t="s">
        <v>219</v>
      </c>
      <c r="C170" s="21" t="s">
        <v>229</v>
      </c>
      <c r="D170" s="21" t="s">
        <v>59</v>
      </c>
      <c r="E170" s="21" t="s">
        <v>203</v>
      </c>
      <c r="F170" s="21"/>
      <c r="G170" s="21"/>
      <c r="H170" s="32"/>
      <c r="I170" s="32">
        <f t="shared" si="10"/>
        <v>0</v>
      </c>
      <c r="J170" s="32"/>
      <c r="K170" s="32">
        <v>0</v>
      </c>
      <c r="L170" s="33">
        <f t="shared" si="11"/>
        <v>0</v>
      </c>
    </row>
    <row r="171" spans="1:12" x14ac:dyDescent="0.25">
      <c r="A171" s="15" t="s">
        <v>219</v>
      </c>
      <c r="B171" s="14" t="s">
        <v>219</v>
      </c>
      <c r="C171" s="15" t="s">
        <v>230</v>
      </c>
      <c r="D171" s="15" t="s">
        <v>56</v>
      </c>
      <c r="E171" s="15" t="s">
        <v>162</v>
      </c>
      <c r="F171" s="15"/>
      <c r="G171" s="15"/>
      <c r="H171" s="35"/>
      <c r="I171" s="35">
        <f t="shared" si="10"/>
        <v>0</v>
      </c>
      <c r="J171" s="35"/>
      <c r="K171" s="35">
        <v>0</v>
      </c>
      <c r="L171" s="36">
        <f t="shared" si="11"/>
        <v>0</v>
      </c>
    </row>
    <row r="172" spans="1:12" x14ac:dyDescent="0.25">
      <c r="A172" s="21" t="s">
        <v>219</v>
      </c>
      <c r="B172" s="30" t="s">
        <v>219</v>
      </c>
      <c r="C172" s="21" t="s">
        <v>231</v>
      </c>
      <c r="D172" s="21" t="s">
        <v>47</v>
      </c>
      <c r="E172" s="21" t="s">
        <v>79</v>
      </c>
      <c r="F172" s="31">
        <v>3</v>
      </c>
      <c r="G172" s="31">
        <v>3</v>
      </c>
      <c r="H172" s="32"/>
      <c r="I172" s="32">
        <f t="shared" si="10"/>
        <v>0</v>
      </c>
      <c r="J172" s="32"/>
      <c r="K172" s="32">
        <v>0</v>
      </c>
      <c r="L172" s="33">
        <f t="shared" si="11"/>
        <v>3</v>
      </c>
    </row>
    <row r="173" spans="1:12" x14ac:dyDescent="0.25">
      <c r="A173" s="15" t="s">
        <v>219</v>
      </c>
      <c r="B173" s="14" t="s">
        <v>219</v>
      </c>
      <c r="C173" s="15" t="s">
        <v>232</v>
      </c>
      <c r="D173" s="15" t="s">
        <v>70</v>
      </c>
      <c r="E173" s="15" t="s">
        <v>104</v>
      </c>
      <c r="F173" s="34">
        <v>2</v>
      </c>
      <c r="G173" s="34">
        <v>2</v>
      </c>
      <c r="H173" s="35"/>
      <c r="I173" s="35">
        <f t="shared" si="10"/>
        <v>0</v>
      </c>
      <c r="J173" s="35"/>
      <c r="K173" s="35">
        <v>0</v>
      </c>
      <c r="L173" s="36">
        <f t="shared" si="11"/>
        <v>2</v>
      </c>
    </row>
    <row r="174" spans="1:12" x14ac:dyDescent="0.25">
      <c r="A174" s="21" t="s">
        <v>219</v>
      </c>
      <c r="B174" s="30" t="s">
        <v>219</v>
      </c>
      <c r="C174" s="21" t="s">
        <v>233</v>
      </c>
      <c r="D174" s="21" t="s">
        <v>69</v>
      </c>
      <c r="E174" s="21" t="s">
        <v>90</v>
      </c>
      <c r="F174" s="21"/>
      <c r="G174" s="21"/>
      <c r="H174" s="32"/>
      <c r="I174" s="32">
        <f t="shared" si="10"/>
        <v>0</v>
      </c>
      <c r="J174" s="32"/>
      <c r="K174" s="32">
        <v>0</v>
      </c>
      <c r="L174" s="33">
        <f t="shared" si="11"/>
        <v>0</v>
      </c>
    </row>
    <row r="175" spans="1:12" x14ac:dyDescent="0.25">
      <c r="A175" s="15" t="s">
        <v>219</v>
      </c>
      <c r="B175" s="14" t="s">
        <v>219</v>
      </c>
      <c r="C175" s="15" t="s">
        <v>234</v>
      </c>
      <c r="D175" s="15" t="s">
        <v>47</v>
      </c>
      <c r="E175" s="15" t="s">
        <v>79</v>
      </c>
      <c r="F175" s="34">
        <v>10</v>
      </c>
      <c r="G175" s="34">
        <v>40</v>
      </c>
      <c r="H175" s="35"/>
      <c r="I175" s="35">
        <f t="shared" si="10"/>
        <v>0</v>
      </c>
      <c r="J175" s="35"/>
      <c r="K175" s="35">
        <v>0</v>
      </c>
      <c r="L175" s="36">
        <f t="shared" si="11"/>
        <v>40</v>
      </c>
    </row>
    <row r="176" spans="1:12" x14ac:dyDescent="0.25">
      <c r="A176" s="21" t="s">
        <v>219</v>
      </c>
      <c r="B176" s="30" t="s">
        <v>219</v>
      </c>
      <c r="C176" s="21" t="s">
        <v>235</v>
      </c>
      <c r="D176" s="21" t="s">
        <v>47</v>
      </c>
      <c r="E176" s="21" t="s">
        <v>79</v>
      </c>
      <c r="F176" s="31">
        <v>2</v>
      </c>
      <c r="G176" s="31">
        <v>10</v>
      </c>
      <c r="H176" s="32"/>
      <c r="I176" s="32">
        <f t="shared" si="10"/>
        <v>0</v>
      </c>
      <c r="J176" s="32"/>
      <c r="K176" s="32">
        <v>0</v>
      </c>
      <c r="L176" s="33">
        <f t="shared" si="11"/>
        <v>10</v>
      </c>
    </row>
    <row r="177" spans="1:12" x14ac:dyDescent="0.25">
      <c r="A177" s="15" t="s">
        <v>219</v>
      </c>
      <c r="B177" s="14" t="s">
        <v>219</v>
      </c>
      <c r="C177" s="15" t="s">
        <v>236</v>
      </c>
      <c r="D177" s="15" t="s">
        <v>62</v>
      </c>
      <c r="E177" s="15" t="s">
        <v>159</v>
      </c>
      <c r="F177" s="15"/>
      <c r="G177" s="15"/>
      <c r="H177" s="35"/>
      <c r="I177" s="35">
        <f t="shared" si="10"/>
        <v>0</v>
      </c>
      <c r="J177" s="35"/>
      <c r="K177" s="35">
        <v>0</v>
      </c>
      <c r="L177" s="36">
        <f t="shared" si="11"/>
        <v>0</v>
      </c>
    </row>
    <row r="178" spans="1:12" x14ac:dyDescent="0.25">
      <c r="A178" s="21" t="s">
        <v>219</v>
      </c>
      <c r="B178" s="30" t="s">
        <v>219</v>
      </c>
      <c r="C178" s="21" t="s">
        <v>237</v>
      </c>
      <c r="D178" s="21" t="s">
        <v>65</v>
      </c>
      <c r="E178" s="21" t="s">
        <v>82</v>
      </c>
      <c r="F178" s="21"/>
      <c r="G178" s="21"/>
      <c r="H178" s="32"/>
      <c r="I178" s="32">
        <f t="shared" si="10"/>
        <v>0</v>
      </c>
      <c r="J178" s="32"/>
      <c r="K178" s="32">
        <v>0</v>
      </c>
      <c r="L178" s="33">
        <f t="shared" si="11"/>
        <v>0</v>
      </c>
    </row>
    <row r="179" spans="1:12" x14ac:dyDescent="0.25">
      <c r="A179" s="15" t="s">
        <v>219</v>
      </c>
      <c r="B179" s="14" t="s">
        <v>219</v>
      </c>
      <c r="C179" s="15" t="s">
        <v>238</v>
      </c>
      <c r="D179" s="15" t="s">
        <v>67</v>
      </c>
      <c r="E179" s="15" t="s">
        <v>93</v>
      </c>
      <c r="F179" s="15"/>
      <c r="G179" s="15"/>
      <c r="H179" s="35"/>
      <c r="I179" s="35">
        <f t="shared" si="10"/>
        <v>0</v>
      </c>
      <c r="J179" s="35"/>
      <c r="K179" s="35">
        <v>0</v>
      </c>
      <c r="L179" s="36">
        <f t="shared" si="11"/>
        <v>0</v>
      </c>
    </row>
    <row r="180" spans="1:12" x14ac:dyDescent="0.25">
      <c r="A180" s="21" t="s">
        <v>219</v>
      </c>
      <c r="B180" s="30" t="s">
        <v>219</v>
      </c>
      <c r="C180" s="21" t="s">
        <v>239</v>
      </c>
      <c r="D180" s="21" t="s">
        <v>57</v>
      </c>
      <c r="E180" s="21" t="s">
        <v>136</v>
      </c>
      <c r="F180" s="21"/>
      <c r="G180" s="21"/>
      <c r="H180" s="32"/>
      <c r="I180" s="32">
        <f t="shared" si="10"/>
        <v>0</v>
      </c>
      <c r="J180" s="32"/>
      <c r="K180" s="32">
        <v>0</v>
      </c>
      <c r="L180" s="33">
        <f t="shared" si="11"/>
        <v>0</v>
      </c>
    </row>
    <row r="181" spans="1:12" x14ac:dyDescent="0.25">
      <c r="A181" s="15" t="s">
        <v>219</v>
      </c>
      <c r="B181" s="14" t="s">
        <v>219</v>
      </c>
      <c r="C181" s="15" t="s">
        <v>240</v>
      </c>
      <c r="D181" s="15" t="s">
        <v>61</v>
      </c>
      <c r="E181" s="15" t="s">
        <v>142</v>
      </c>
      <c r="F181" s="15"/>
      <c r="G181" s="15"/>
      <c r="H181" s="35"/>
      <c r="I181" s="35">
        <f t="shared" si="10"/>
        <v>0</v>
      </c>
      <c r="J181" s="35"/>
      <c r="K181" s="35">
        <v>0</v>
      </c>
      <c r="L181" s="36">
        <f t="shared" si="11"/>
        <v>0</v>
      </c>
    </row>
    <row r="182" spans="1:12" x14ac:dyDescent="0.25">
      <c r="A182" s="21" t="s">
        <v>219</v>
      </c>
      <c r="B182" s="30" t="s">
        <v>219</v>
      </c>
      <c r="C182" s="21" t="s">
        <v>241</v>
      </c>
      <c r="D182" s="21" t="s">
        <v>70</v>
      </c>
      <c r="E182" s="21" t="s">
        <v>104</v>
      </c>
      <c r="F182" s="31">
        <v>3</v>
      </c>
      <c r="G182" s="31">
        <v>5</v>
      </c>
      <c r="H182" s="32"/>
      <c r="I182" s="32">
        <f t="shared" si="10"/>
        <v>0</v>
      </c>
      <c r="J182" s="32"/>
      <c r="K182" s="32">
        <v>0</v>
      </c>
      <c r="L182" s="33">
        <f t="shared" si="11"/>
        <v>5</v>
      </c>
    </row>
    <row r="183" spans="1:12" x14ac:dyDescent="0.25">
      <c r="A183" s="15" t="s">
        <v>219</v>
      </c>
      <c r="B183" s="14" t="s">
        <v>219</v>
      </c>
      <c r="C183" s="15" t="s">
        <v>242</v>
      </c>
      <c r="D183" s="15" t="s">
        <v>69</v>
      </c>
      <c r="E183" s="15" t="s">
        <v>90</v>
      </c>
      <c r="F183" s="15"/>
      <c r="G183" s="15"/>
      <c r="H183" s="35"/>
      <c r="I183" s="35">
        <f t="shared" si="10"/>
        <v>0</v>
      </c>
      <c r="J183" s="35"/>
      <c r="K183" s="35">
        <v>0</v>
      </c>
      <c r="L183" s="36">
        <f t="shared" si="11"/>
        <v>0</v>
      </c>
    </row>
    <row r="184" spans="1:12" x14ac:dyDescent="0.25">
      <c r="A184" s="21" t="s">
        <v>219</v>
      </c>
      <c r="B184" s="30" t="s">
        <v>219</v>
      </c>
      <c r="C184" s="21" t="s">
        <v>220</v>
      </c>
      <c r="D184" s="21" t="s">
        <v>47</v>
      </c>
      <c r="E184" s="21" t="s">
        <v>79</v>
      </c>
      <c r="F184" s="21"/>
      <c r="G184" s="21"/>
      <c r="H184" s="32"/>
      <c r="I184" s="32">
        <f t="shared" si="10"/>
        <v>0</v>
      </c>
      <c r="J184" s="32"/>
      <c r="K184" s="32">
        <v>0</v>
      </c>
      <c r="L184" s="33">
        <f t="shared" si="11"/>
        <v>0</v>
      </c>
    </row>
    <row r="185" spans="1:12" x14ac:dyDescent="0.25">
      <c r="A185" s="15" t="s">
        <v>219</v>
      </c>
      <c r="B185" s="14" t="s">
        <v>219</v>
      </c>
      <c r="C185" s="15" t="s">
        <v>221</v>
      </c>
      <c r="D185" s="15" t="s">
        <v>62</v>
      </c>
      <c r="E185" s="15" t="s">
        <v>159</v>
      </c>
      <c r="F185" s="15"/>
      <c r="G185" s="15"/>
      <c r="H185" s="35"/>
      <c r="I185" s="35">
        <f t="shared" si="10"/>
        <v>0</v>
      </c>
      <c r="J185" s="35"/>
      <c r="K185" s="35">
        <v>0</v>
      </c>
      <c r="L185" s="36">
        <f t="shared" si="11"/>
        <v>0</v>
      </c>
    </row>
    <row r="186" spans="1:12" x14ac:dyDescent="0.25">
      <c r="A186" s="21" t="s">
        <v>219</v>
      </c>
      <c r="B186" s="30" t="s">
        <v>219</v>
      </c>
      <c r="C186" s="21" t="s">
        <v>223</v>
      </c>
      <c r="D186" s="21" t="s">
        <v>57</v>
      </c>
      <c r="E186" s="21" t="s">
        <v>136</v>
      </c>
      <c r="F186" s="21"/>
      <c r="G186" s="21"/>
      <c r="H186" s="32"/>
      <c r="I186" s="32">
        <f t="shared" si="10"/>
        <v>0</v>
      </c>
      <c r="J186" s="32"/>
      <c r="K186" s="32">
        <v>0</v>
      </c>
      <c r="L186" s="33">
        <f t="shared" si="11"/>
        <v>0</v>
      </c>
    </row>
    <row r="187" spans="1:12" x14ac:dyDescent="0.25">
      <c r="A187" s="15" t="s">
        <v>219</v>
      </c>
      <c r="B187" s="14" t="s">
        <v>219</v>
      </c>
      <c r="C187" s="15" t="s">
        <v>224</v>
      </c>
      <c r="D187" s="15" t="s">
        <v>61</v>
      </c>
      <c r="E187" s="15" t="s">
        <v>142</v>
      </c>
      <c r="F187" s="15"/>
      <c r="G187" s="15"/>
      <c r="H187" s="35"/>
      <c r="I187" s="35">
        <f t="shared" si="10"/>
        <v>0</v>
      </c>
      <c r="J187" s="35"/>
      <c r="K187" s="35">
        <v>0</v>
      </c>
      <c r="L187" s="36">
        <f t="shared" si="11"/>
        <v>0</v>
      </c>
    </row>
    <row r="188" spans="1:12" x14ac:dyDescent="0.25">
      <c r="A188" s="21" t="s">
        <v>219</v>
      </c>
      <c r="B188" s="30" t="s">
        <v>219</v>
      </c>
      <c r="C188" s="21" t="s">
        <v>225</v>
      </c>
      <c r="D188" s="21" t="s">
        <v>69</v>
      </c>
      <c r="E188" s="21" t="s">
        <v>90</v>
      </c>
      <c r="F188" s="21"/>
      <c r="G188" s="21"/>
      <c r="H188" s="32"/>
      <c r="I188" s="32">
        <f t="shared" si="10"/>
        <v>0</v>
      </c>
      <c r="J188" s="32"/>
      <c r="K188" s="32">
        <v>0</v>
      </c>
      <c r="L188" s="33">
        <f t="shared" si="11"/>
        <v>0</v>
      </c>
    </row>
    <row r="189" spans="1:12" x14ac:dyDescent="0.25">
      <c r="A189" s="15" t="s">
        <v>219</v>
      </c>
      <c r="B189" s="14" t="s">
        <v>219</v>
      </c>
      <c r="C189" s="15" t="s">
        <v>219</v>
      </c>
      <c r="D189" s="15" t="s">
        <v>47</v>
      </c>
      <c r="E189" s="15" t="s">
        <v>79</v>
      </c>
      <c r="F189" s="15"/>
      <c r="G189" s="15"/>
      <c r="H189" s="35"/>
      <c r="I189" s="35">
        <f t="shared" si="10"/>
        <v>0</v>
      </c>
      <c r="J189" s="35"/>
      <c r="K189" s="35">
        <v>0</v>
      </c>
      <c r="L189" s="36">
        <f t="shared" si="11"/>
        <v>0</v>
      </c>
    </row>
    <row r="190" spans="1:12" x14ac:dyDescent="0.25">
      <c r="A190" s="21" t="s">
        <v>219</v>
      </c>
      <c r="B190" s="30" t="s">
        <v>219</v>
      </c>
      <c r="C190" s="21" t="s">
        <v>226</v>
      </c>
      <c r="D190" s="21" t="s">
        <v>62</v>
      </c>
      <c r="E190" s="21" t="s">
        <v>159</v>
      </c>
      <c r="F190" s="21"/>
      <c r="G190" s="21"/>
      <c r="H190" s="32"/>
      <c r="I190" s="32">
        <f t="shared" si="10"/>
        <v>0</v>
      </c>
      <c r="J190" s="32"/>
      <c r="K190" s="32">
        <v>0</v>
      </c>
      <c r="L190" s="33">
        <f t="shared" si="11"/>
        <v>0</v>
      </c>
    </row>
    <row r="191" spans="1:12" x14ac:dyDescent="0.25">
      <c r="A191" s="15" t="s">
        <v>219</v>
      </c>
      <c r="B191" s="14" t="s">
        <v>219</v>
      </c>
      <c r="C191" s="15" t="s">
        <v>227</v>
      </c>
      <c r="D191" s="15" t="s">
        <v>65</v>
      </c>
      <c r="E191" s="15" t="s">
        <v>82</v>
      </c>
      <c r="F191" s="34">
        <v>4</v>
      </c>
      <c r="G191" s="34">
        <v>5</v>
      </c>
      <c r="H191" s="35"/>
      <c r="I191" s="35">
        <f t="shared" si="10"/>
        <v>0</v>
      </c>
      <c r="J191" s="35"/>
      <c r="K191" s="35">
        <v>0</v>
      </c>
      <c r="L191" s="36">
        <f t="shared" si="11"/>
        <v>5</v>
      </c>
    </row>
    <row r="192" spans="1:12" x14ac:dyDescent="0.25">
      <c r="A192" s="21" t="s">
        <v>219</v>
      </c>
      <c r="B192" s="30" t="s">
        <v>219</v>
      </c>
      <c r="C192" s="21" t="s">
        <v>228</v>
      </c>
      <c r="D192" s="21" t="s">
        <v>61</v>
      </c>
      <c r="E192" s="21" t="s">
        <v>142</v>
      </c>
      <c r="F192" s="21"/>
      <c r="G192" s="21"/>
      <c r="H192" s="32"/>
      <c r="I192" s="32">
        <f t="shared" si="10"/>
        <v>0</v>
      </c>
      <c r="J192" s="32"/>
      <c r="K192" s="32">
        <v>0</v>
      </c>
      <c r="L192" s="33">
        <f t="shared" si="11"/>
        <v>0</v>
      </c>
    </row>
    <row r="193" spans="1:12" x14ac:dyDescent="0.25">
      <c r="A193" s="15" t="s">
        <v>219</v>
      </c>
      <c r="B193" s="14" t="s">
        <v>219</v>
      </c>
      <c r="C193" s="15" t="s">
        <v>229</v>
      </c>
      <c r="D193" s="15" t="s">
        <v>59</v>
      </c>
      <c r="E193" s="15" t="s">
        <v>203</v>
      </c>
      <c r="F193" s="34">
        <v>2</v>
      </c>
      <c r="G193" s="34">
        <v>3</v>
      </c>
      <c r="H193" s="35"/>
      <c r="I193" s="35">
        <f t="shared" si="10"/>
        <v>0</v>
      </c>
      <c r="J193" s="35"/>
      <c r="K193" s="35">
        <v>0</v>
      </c>
      <c r="L193" s="36">
        <f t="shared" si="11"/>
        <v>3</v>
      </c>
    </row>
    <row r="194" spans="1:12" x14ac:dyDescent="0.25">
      <c r="A194" s="21" t="s">
        <v>219</v>
      </c>
      <c r="B194" s="30" t="s">
        <v>219</v>
      </c>
      <c r="C194" s="21" t="s">
        <v>243</v>
      </c>
      <c r="D194" s="21" t="s">
        <v>65</v>
      </c>
      <c r="E194" s="21" t="s">
        <v>82</v>
      </c>
      <c r="F194" s="31">
        <v>1</v>
      </c>
      <c r="G194" s="31">
        <v>2</v>
      </c>
      <c r="H194" s="32"/>
      <c r="I194" s="32">
        <f t="shared" si="10"/>
        <v>0</v>
      </c>
      <c r="J194" s="32"/>
      <c r="K194" s="32">
        <v>0</v>
      </c>
      <c r="L194" s="33">
        <f t="shared" si="11"/>
        <v>2</v>
      </c>
    </row>
    <row r="195" spans="1:12" x14ac:dyDescent="0.25">
      <c r="A195" s="15" t="s">
        <v>219</v>
      </c>
      <c r="B195" s="14" t="s">
        <v>219</v>
      </c>
      <c r="C195" s="15" t="s">
        <v>244</v>
      </c>
      <c r="D195" s="15" t="s">
        <v>65</v>
      </c>
      <c r="E195" s="15" t="s">
        <v>82</v>
      </c>
      <c r="F195" s="34">
        <v>1</v>
      </c>
      <c r="G195" s="34">
        <v>2</v>
      </c>
      <c r="H195" s="35"/>
      <c r="I195" s="35">
        <f t="shared" si="10"/>
        <v>0</v>
      </c>
      <c r="J195" s="35"/>
      <c r="K195" s="35">
        <v>0</v>
      </c>
      <c r="L195" s="36">
        <f t="shared" si="11"/>
        <v>2</v>
      </c>
    </row>
    <row r="196" spans="1:12" x14ac:dyDescent="0.25">
      <c r="A196" s="21" t="s">
        <v>219</v>
      </c>
      <c r="B196" s="30" t="s">
        <v>219</v>
      </c>
      <c r="C196" s="21" t="s">
        <v>245</v>
      </c>
      <c r="D196" s="21" t="s">
        <v>65</v>
      </c>
      <c r="E196" s="21" t="s">
        <v>82</v>
      </c>
      <c r="F196" s="31">
        <v>1</v>
      </c>
      <c r="G196" s="31">
        <v>2</v>
      </c>
      <c r="H196" s="32"/>
      <c r="I196" s="32">
        <f t="shared" si="10"/>
        <v>0</v>
      </c>
      <c r="J196" s="32"/>
      <c r="K196" s="32">
        <v>0</v>
      </c>
      <c r="L196" s="33">
        <f t="shared" si="11"/>
        <v>2</v>
      </c>
    </row>
    <row r="197" spans="1:12" x14ac:dyDescent="0.25">
      <c r="A197" s="15" t="s">
        <v>219</v>
      </c>
      <c r="B197" s="14" t="s">
        <v>219</v>
      </c>
      <c r="C197" s="15" t="s">
        <v>246</v>
      </c>
      <c r="D197" s="15" t="s">
        <v>65</v>
      </c>
      <c r="E197" s="15" t="s">
        <v>82</v>
      </c>
      <c r="F197" s="34">
        <v>2</v>
      </c>
      <c r="G197" s="34">
        <v>4</v>
      </c>
      <c r="H197" s="35"/>
      <c r="I197" s="35">
        <f t="shared" si="10"/>
        <v>0</v>
      </c>
      <c r="J197" s="35"/>
      <c r="K197" s="35">
        <v>0</v>
      </c>
      <c r="L197" s="36">
        <f t="shared" si="11"/>
        <v>4</v>
      </c>
    </row>
    <row r="198" spans="1:12" x14ac:dyDescent="0.25">
      <c r="A198" s="21" t="s">
        <v>219</v>
      </c>
      <c r="B198" s="30" t="s">
        <v>219</v>
      </c>
      <c r="C198" s="21" t="s">
        <v>230</v>
      </c>
      <c r="D198" s="21" t="s">
        <v>56</v>
      </c>
      <c r="E198" s="21" t="s">
        <v>162</v>
      </c>
      <c r="F198" s="21"/>
      <c r="G198" s="21"/>
      <c r="H198" s="32"/>
      <c r="I198" s="32">
        <f t="shared" si="10"/>
        <v>0</v>
      </c>
      <c r="J198" s="32"/>
      <c r="K198" s="32">
        <v>0</v>
      </c>
      <c r="L198" s="33">
        <f t="shared" si="11"/>
        <v>0</v>
      </c>
    </row>
    <row r="199" spans="1:12" x14ac:dyDescent="0.25">
      <c r="A199" s="15" t="s">
        <v>219</v>
      </c>
      <c r="B199" s="14" t="s">
        <v>219</v>
      </c>
      <c r="C199" s="15" t="s">
        <v>232</v>
      </c>
      <c r="D199" s="15" t="s">
        <v>70</v>
      </c>
      <c r="E199" s="15" t="s">
        <v>104</v>
      </c>
      <c r="F199" s="15"/>
      <c r="G199" s="15"/>
      <c r="H199" s="35"/>
      <c r="I199" s="35">
        <f t="shared" si="10"/>
        <v>0</v>
      </c>
      <c r="J199" s="35"/>
      <c r="K199" s="35">
        <v>0</v>
      </c>
      <c r="L199" s="36">
        <f t="shared" si="11"/>
        <v>0</v>
      </c>
    </row>
    <row r="200" spans="1:12" x14ac:dyDescent="0.25">
      <c r="A200" s="21" t="s">
        <v>219</v>
      </c>
      <c r="B200" s="30" t="s">
        <v>219</v>
      </c>
      <c r="C200" s="21" t="s">
        <v>233</v>
      </c>
      <c r="D200" s="21" t="s">
        <v>69</v>
      </c>
      <c r="E200" s="21" t="s">
        <v>90</v>
      </c>
      <c r="F200" s="21"/>
      <c r="G200" s="21"/>
      <c r="H200" s="32"/>
      <c r="I200" s="32">
        <f t="shared" si="10"/>
        <v>0</v>
      </c>
      <c r="J200" s="32"/>
      <c r="K200" s="32">
        <v>0</v>
      </c>
      <c r="L200" s="33">
        <f t="shared" si="11"/>
        <v>0</v>
      </c>
    </row>
    <row r="201" spans="1:12" x14ac:dyDescent="0.25">
      <c r="A201" s="15" t="s">
        <v>219</v>
      </c>
      <c r="B201" s="14" t="s">
        <v>219</v>
      </c>
      <c r="C201" s="15" t="s">
        <v>234</v>
      </c>
      <c r="D201" s="15" t="s">
        <v>47</v>
      </c>
      <c r="E201" s="15" t="s">
        <v>79</v>
      </c>
      <c r="F201" s="15"/>
      <c r="G201" s="15"/>
      <c r="H201" s="35"/>
      <c r="I201" s="35">
        <f t="shared" si="10"/>
        <v>0</v>
      </c>
      <c r="J201" s="35"/>
      <c r="K201" s="35">
        <v>0</v>
      </c>
      <c r="L201" s="36">
        <f t="shared" si="11"/>
        <v>0</v>
      </c>
    </row>
    <row r="202" spans="1:12" x14ac:dyDescent="0.25">
      <c r="A202" s="21" t="s">
        <v>219</v>
      </c>
      <c r="B202" s="30" t="s">
        <v>219</v>
      </c>
      <c r="C202" s="21" t="s">
        <v>235</v>
      </c>
      <c r="D202" s="21" t="s">
        <v>47</v>
      </c>
      <c r="E202" s="21" t="s">
        <v>79</v>
      </c>
      <c r="F202" s="21"/>
      <c r="G202" s="21"/>
      <c r="H202" s="32"/>
      <c r="I202" s="32">
        <f t="shared" si="10"/>
        <v>0</v>
      </c>
      <c r="J202" s="32"/>
      <c r="K202" s="32">
        <v>0</v>
      </c>
      <c r="L202" s="33">
        <f t="shared" si="11"/>
        <v>0</v>
      </c>
    </row>
    <row r="203" spans="1:12" x14ac:dyDescent="0.25">
      <c r="A203" s="15" t="s">
        <v>219</v>
      </c>
      <c r="B203" s="14" t="s">
        <v>219</v>
      </c>
      <c r="C203" s="15" t="s">
        <v>236</v>
      </c>
      <c r="D203" s="15" t="s">
        <v>62</v>
      </c>
      <c r="E203" s="15" t="s">
        <v>159</v>
      </c>
      <c r="F203" s="15"/>
      <c r="G203" s="15"/>
      <c r="H203" s="35"/>
      <c r="I203" s="35">
        <f t="shared" si="10"/>
        <v>0</v>
      </c>
      <c r="J203" s="35"/>
      <c r="K203" s="35">
        <v>0</v>
      </c>
      <c r="L203" s="36">
        <f t="shared" si="11"/>
        <v>0</v>
      </c>
    </row>
    <row r="204" spans="1:12" x14ac:dyDescent="0.25">
      <c r="A204" s="21" t="s">
        <v>219</v>
      </c>
      <c r="B204" s="30" t="s">
        <v>219</v>
      </c>
      <c r="C204" s="21" t="s">
        <v>247</v>
      </c>
      <c r="D204" s="21" t="s">
        <v>65</v>
      </c>
      <c r="E204" s="21" t="s">
        <v>82</v>
      </c>
      <c r="F204" s="31">
        <v>1</v>
      </c>
      <c r="G204" s="31">
        <v>2</v>
      </c>
      <c r="H204" s="32"/>
      <c r="I204" s="32">
        <f t="shared" si="10"/>
        <v>0</v>
      </c>
      <c r="J204" s="32"/>
      <c r="K204" s="32">
        <v>0</v>
      </c>
      <c r="L204" s="33">
        <f t="shared" si="11"/>
        <v>2</v>
      </c>
    </row>
    <row r="205" spans="1:12" x14ac:dyDescent="0.25">
      <c r="A205" s="15" t="s">
        <v>219</v>
      </c>
      <c r="B205" s="14" t="s">
        <v>219</v>
      </c>
      <c r="C205" s="15" t="s">
        <v>248</v>
      </c>
      <c r="D205" s="15" t="s">
        <v>65</v>
      </c>
      <c r="E205" s="15" t="s">
        <v>82</v>
      </c>
      <c r="F205" s="34">
        <v>2</v>
      </c>
      <c r="G205" s="34">
        <v>3</v>
      </c>
      <c r="H205" s="35"/>
      <c r="I205" s="35">
        <f t="shared" si="10"/>
        <v>0</v>
      </c>
      <c r="J205" s="35"/>
      <c r="K205" s="35">
        <v>0</v>
      </c>
      <c r="L205" s="36">
        <f t="shared" si="11"/>
        <v>3</v>
      </c>
    </row>
    <row r="206" spans="1:12" x14ac:dyDescent="0.25">
      <c r="A206" s="21" t="s">
        <v>219</v>
      </c>
      <c r="B206" s="30" t="s">
        <v>219</v>
      </c>
      <c r="C206" s="21" t="s">
        <v>249</v>
      </c>
      <c r="D206" s="21" t="s">
        <v>65</v>
      </c>
      <c r="E206" s="21" t="s">
        <v>82</v>
      </c>
      <c r="F206" s="31">
        <v>1</v>
      </c>
      <c r="G206" s="31">
        <v>2</v>
      </c>
      <c r="H206" s="32"/>
      <c r="I206" s="32">
        <f t="shared" si="10"/>
        <v>0</v>
      </c>
      <c r="J206" s="32"/>
      <c r="K206" s="32">
        <v>0</v>
      </c>
      <c r="L206" s="33">
        <f t="shared" si="11"/>
        <v>2</v>
      </c>
    </row>
    <row r="207" spans="1:12" x14ac:dyDescent="0.25">
      <c r="A207" s="15" t="s">
        <v>219</v>
      </c>
      <c r="B207" s="14" t="s">
        <v>219</v>
      </c>
      <c r="C207" s="15" t="s">
        <v>250</v>
      </c>
      <c r="D207" s="15" t="s">
        <v>65</v>
      </c>
      <c r="E207" s="15" t="s">
        <v>82</v>
      </c>
      <c r="F207" s="34">
        <v>1</v>
      </c>
      <c r="G207" s="34">
        <v>2</v>
      </c>
      <c r="H207" s="35"/>
      <c r="I207" s="35">
        <f t="shared" si="10"/>
        <v>0</v>
      </c>
      <c r="J207" s="35"/>
      <c r="K207" s="35">
        <v>0</v>
      </c>
      <c r="L207" s="36">
        <f t="shared" si="11"/>
        <v>2</v>
      </c>
    </row>
    <row r="208" spans="1:12" x14ac:dyDescent="0.25">
      <c r="A208" s="21" t="s">
        <v>219</v>
      </c>
      <c r="B208" s="30" t="s">
        <v>219</v>
      </c>
      <c r="C208" s="21" t="s">
        <v>251</v>
      </c>
      <c r="D208" s="21" t="s">
        <v>65</v>
      </c>
      <c r="E208" s="21" t="s">
        <v>82</v>
      </c>
      <c r="F208" s="31">
        <v>1</v>
      </c>
      <c r="G208" s="31">
        <v>1</v>
      </c>
      <c r="H208" s="32"/>
      <c r="I208" s="32">
        <f t="shared" si="10"/>
        <v>0</v>
      </c>
      <c r="J208" s="32"/>
      <c r="K208" s="32">
        <v>0</v>
      </c>
      <c r="L208" s="33">
        <f t="shared" si="11"/>
        <v>1</v>
      </c>
    </row>
    <row r="209" spans="1:12" x14ac:dyDescent="0.25">
      <c r="A209" s="15" t="s">
        <v>219</v>
      </c>
      <c r="B209" s="14" t="s">
        <v>219</v>
      </c>
      <c r="C209" s="15" t="s">
        <v>239</v>
      </c>
      <c r="D209" s="15" t="s">
        <v>57</v>
      </c>
      <c r="E209" s="15" t="s">
        <v>136</v>
      </c>
      <c r="F209" s="15"/>
      <c r="G209" s="15"/>
      <c r="H209" s="35"/>
      <c r="I209" s="35">
        <f t="shared" si="10"/>
        <v>0</v>
      </c>
      <c r="J209" s="35"/>
      <c r="K209" s="35">
        <v>0</v>
      </c>
      <c r="L209" s="36">
        <f t="shared" si="11"/>
        <v>0</v>
      </c>
    </row>
    <row r="210" spans="1:12" x14ac:dyDescent="0.25">
      <c r="A210" s="21" t="s">
        <v>219</v>
      </c>
      <c r="B210" s="30" t="s">
        <v>219</v>
      </c>
      <c r="C210" s="21" t="s">
        <v>240</v>
      </c>
      <c r="D210" s="21" t="s">
        <v>61</v>
      </c>
      <c r="E210" s="21" t="s">
        <v>142</v>
      </c>
      <c r="F210" s="21"/>
      <c r="G210" s="21"/>
      <c r="H210" s="32"/>
      <c r="I210" s="32">
        <f t="shared" si="10"/>
        <v>0</v>
      </c>
      <c r="J210" s="32"/>
      <c r="K210" s="32">
        <v>0</v>
      </c>
      <c r="L210" s="33">
        <f t="shared" si="11"/>
        <v>0</v>
      </c>
    </row>
    <row r="211" spans="1:12" x14ac:dyDescent="0.25">
      <c r="A211" s="15" t="s">
        <v>219</v>
      </c>
      <c r="B211" s="14" t="s">
        <v>219</v>
      </c>
      <c r="C211" s="15" t="s">
        <v>241</v>
      </c>
      <c r="D211" s="15" t="s">
        <v>70</v>
      </c>
      <c r="E211" s="15" t="s">
        <v>104</v>
      </c>
      <c r="F211" s="15"/>
      <c r="G211" s="15"/>
      <c r="H211" s="35"/>
      <c r="I211" s="35">
        <f t="shared" si="10"/>
        <v>0</v>
      </c>
      <c r="J211" s="35"/>
      <c r="K211" s="35">
        <v>0</v>
      </c>
      <c r="L211" s="36">
        <f t="shared" si="11"/>
        <v>0</v>
      </c>
    </row>
    <row r="212" spans="1:12" x14ac:dyDescent="0.25">
      <c r="A212" s="21" t="s">
        <v>219</v>
      </c>
      <c r="B212" s="30" t="s">
        <v>219</v>
      </c>
      <c r="C212" s="21" t="s">
        <v>242</v>
      </c>
      <c r="D212" s="21" t="s">
        <v>69</v>
      </c>
      <c r="E212" s="21" t="s">
        <v>90</v>
      </c>
      <c r="F212" s="21"/>
      <c r="G212" s="21"/>
      <c r="H212" s="32"/>
      <c r="I212" s="32">
        <f t="shared" si="10"/>
        <v>0</v>
      </c>
      <c r="J212" s="32"/>
      <c r="K212" s="32">
        <v>0</v>
      </c>
      <c r="L212" s="33">
        <f t="shared" si="11"/>
        <v>0</v>
      </c>
    </row>
    <row r="213" spans="1:12" x14ac:dyDescent="0.25">
      <c r="A213" s="15" t="s">
        <v>219</v>
      </c>
      <c r="B213" s="14" t="s">
        <v>219</v>
      </c>
      <c r="C213" s="15" t="s">
        <v>252</v>
      </c>
      <c r="D213" s="15" t="s">
        <v>61</v>
      </c>
      <c r="E213" s="15" t="s">
        <v>142</v>
      </c>
      <c r="F213" s="15"/>
      <c r="G213" s="15"/>
      <c r="H213" s="35"/>
      <c r="I213" s="35">
        <f t="shared" si="10"/>
        <v>0</v>
      </c>
      <c r="J213" s="35"/>
      <c r="K213" s="35">
        <v>0</v>
      </c>
      <c r="L213" s="36">
        <f t="shared" si="11"/>
        <v>0</v>
      </c>
    </row>
    <row r="214" spans="1:12" x14ac:dyDescent="0.25">
      <c r="A214" s="21" t="s">
        <v>219</v>
      </c>
      <c r="B214" s="30" t="s">
        <v>219</v>
      </c>
      <c r="C214" s="21" t="s">
        <v>253</v>
      </c>
      <c r="D214" s="21" t="s">
        <v>62</v>
      </c>
      <c r="E214" s="21" t="s">
        <v>159</v>
      </c>
      <c r="F214" s="21"/>
      <c r="G214" s="21"/>
      <c r="H214" s="32"/>
      <c r="I214" s="32">
        <f t="shared" si="10"/>
        <v>0</v>
      </c>
      <c r="J214" s="32"/>
      <c r="K214" s="32">
        <v>0</v>
      </c>
      <c r="L214" s="33">
        <f t="shared" si="11"/>
        <v>0</v>
      </c>
    </row>
    <row r="215" spans="1:12" x14ac:dyDescent="0.25">
      <c r="A215" s="21" t="s">
        <v>262</v>
      </c>
      <c r="B215" s="30" t="s">
        <v>262</v>
      </c>
      <c r="C215" s="21" t="s">
        <v>263</v>
      </c>
      <c r="D215" s="21" t="s">
        <v>65</v>
      </c>
      <c r="E215" s="21" t="s">
        <v>82</v>
      </c>
      <c r="F215" s="21"/>
      <c r="G215" s="21"/>
      <c r="H215" s="32"/>
      <c r="I215" s="32">
        <f t="shared" si="10"/>
        <v>0</v>
      </c>
      <c r="J215" s="32"/>
      <c r="K215" s="32">
        <v>0</v>
      </c>
      <c r="L215" s="33">
        <f t="shared" si="11"/>
        <v>0</v>
      </c>
    </row>
    <row r="216" spans="1:12" x14ac:dyDescent="0.25">
      <c r="A216" s="15" t="s">
        <v>262</v>
      </c>
      <c r="B216" s="14" t="s">
        <v>262</v>
      </c>
      <c r="C216" s="15" t="s">
        <v>264</v>
      </c>
      <c r="D216" s="15" t="s">
        <v>65</v>
      </c>
      <c r="E216" s="15" t="s">
        <v>82</v>
      </c>
      <c r="F216" s="15"/>
      <c r="G216" s="15"/>
      <c r="H216" s="35"/>
      <c r="I216" s="35">
        <f t="shared" si="10"/>
        <v>0</v>
      </c>
      <c r="J216" s="35"/>
      <c r="K216" s="35">
        <v>0</v>
      </c>
      <c r="L216" s="36">
        <f t="shared" si="11"/>
        <v>0</v>
      </c>
    </row>
    <row r="217" spans="1:12" x14ac:dyDescent="0.25">
      <c r="A217" s="21" t="s">
        <v>262</v>
      </c>
      <c r="B217" s="30" t="s">
        <v>262</v>
      </c>
      <c r="C217" s="21" t="s">
        <v>265</v>
      </c>
      <c r="D217" s="21" t="s">
        <v>65</v>
      </c>
      <c r="E217" s="21" t="s">
        <v>82</v>
      </c>
      <c r="F217" s="21"/>
      <c r="G217" s="21"/>
      <c r="H217" s="32"/>
      <c r="I217" s="32">
        <f t="shared" si="10"/>
        <v>0</v>
      </c>
      <c r="J217" s="32"/>
      <c r="K217" s="32">
        <v>0</v>
      </c>
      <c r="L217" s="33">
        <f t="shared" si="11"/>
        <v>0</v>
      </c>
    </row>
    <row r="218" spans="1:12" x14ac:dyDescent="0.25">
      <c r="A218" s="15" t="s">
        <v>262</v>
      </c>
      <c r="B218" s="14" t="s">
        <v>262</v>
      </c>
      <c r="C218" s="15" t="s">
        <v>266</v>
      </c>
      <c r="D218" s="15" t="s">
        <v>65</v>
      </c>
      <c r="E218" s="15" t="s">
        <v>82</v>
      </c>
      <c r="F218" s="15"/>
      <c r="G218" s="15"/>
      <c r="H218" s="35"/>
      <c r="I218" s="35">
        <f t="shared" si="10"/>
        <v>0</v>
      </c>
      <c r="J218" s="35"/>
      <c r="K218" s="35">
        <v>0</v>
      </c>
      <c r="L218" s="36">
        <f t="shared" si="11"/>
        <v>0</v>
      </c>
    </row>
    <row r="219" spans="1:12" x14ac:dyDescent="0.25">
      <c r="A219" s="21" t="s">
        <v>262</v>
      </c>
      <c r="B219" s="30" t="s">
        <v>262</v>
      </c>
      <c r="C219" s="21" t="s">
        <v>267</v>
      </c>
      <c r="D219" s="21" t="s">
        <v>65</v>
      </c>
      <c r="E219" s="21" t="s">
        <v>82</v>
      </c>
      <c r="F219" s="21"/>
      <c r="G219" s="21"/>
      <c r="H219" s="32"/>
      <c r="I219" s="32">
        <f t="shared" si="10"/>
        <v>0</v>
      </c>
      <c r="J219" s="32"/>
      <c r="K219" s="32">
        <v>0</v>
      </c>
      <c r="L219" s="33">
        <f t="shared" si="11"/>
        <v>0</v>
      </c>
    </row>
    <row r="220" spans="1:12" x14ac:dyDescent="0.25">
      <c r="A220" s="15" t="s">
        <v>262</v>
      </c>
      <c r="B220" s="14" t="s">
        <v>262</v>
      </c>
      <c r="C220" s="15" t="s">
        <v>268</v>
      </c>
      <c r="D220" s="15" t="s">
        <v>65</v>
      </c>
      <c r="E220" s="15" t="s">
        <v>82</v>
      </c>
      <c r="F220" s="15"/>
      <c r="G220" s="15"/>
      <c r="H220" s="35"/>
      <c r="I220" s="35">
        <f t="shared" si="10"/>
        <v>0</v>
      </c>
      <c r="J220" s="35"/>
      <c r="K220" s="35">
        <v>0</v>
      </c>
      <c r="L220" s="36">
        <f t="shared" si="11"/>
        <v>0</v>
      </c>
    </row>
    <row r="221" spans="1:12" x14ac:dyDescent="0.25">
      <c r="A221" s="21" t="s">
        <v>262</v>
      </c>
      <c r="B221" s="30" t="s">
        <v>262</v>
      </c>
      <c r="C221" s="21" t="s">
        <v>269</v>
      </c>
      <c r="D221" s="21" t="s">
        <v>47</v>
      </c>
      <c r="E221" s="21" t="s">
        <v>79</v>
      </c>
      <c r="F221" s="21"/>
      <c r="G221" s="31">
        <v>5</v>
      </c>
      <c r="H221" s="32"/>
      <c r="I221" s="32">
        <f t="shared" si="10"/>
        <v>0</v>
      </c>
      <c r="J221" s="32"/>
      <c r="K221" s="32">
        <v>0</v>
      </c>
      <c r="L221" s="33">
        <f t="shared" si="11"/>
        <v>5</v>
      </c>
    </row>
    <row r="222" spans="1:12" x14ac:dyDescent="0.25">
      <c r="A222" s="15" t="s">
        <v>262</v>
      </c>
      <c r="B222" s="14" t="s">
        <v>262</v>
      </c>
      <c r="C222" s="15" t="s">
        <v>270</v>
      </c>
      <c r="D222" s="15" t="s">
        <v>69</v>
      </c>
      <c r="E222" s="15" t="s">
        <v>90</v>
      </c>
      <c r="F222" s="15"/>
      <c r="G222" s="15"/>
      <c r="H222" s="35"/>
      <c r="I222" s="35">
        <f t="shared" si="10"/>
        <v>0</v>
      </c>
      <c r="J222" s="35"/>
      <c r="K222" s="35">
        <v>0</v>
      </c>
      <c r="L222" s="36">
        <f t="shared" si="11"/>
        <v>0</v>
      </c>
    </row>
    <row r="223" spans="1:12" x14ac:dyDescent="0.25">
      <c r="A223" s="21" t="s">
        <v>262</v>
      </c>
      <c r="B223" s="30" t="s">
        <v>262</v>
      </c>
      <c r="C223" s="21" t="s">
        <v>263</v>
      </c>
      <c r="D223" s="21" t="s">
        <v>65</v>
      </c>
      <c r="E223" s="21" t="s">
        <v>82</v>
      </c>
      <c r="F223" s="21"/>
      <c r="G223" s="21"/>
      <c r="H223" s="32"/>
      <c r="I223" s="32">
        <f t="shared" si="10"/>
        <v>0</v>
      </c>
      <c r="J223" s="32"/>
      <c r="K223" s="32">
        <v>0</v>
      </c>
      <c r="L223" s="33">
        <f t="shared" si="11"/>
        <v>0</v>
      </c>
    </row>
    <row r="224" spans="1:12" x14ac:dyDescent="0.25">
      <c r="A224" s="15" t="s">
        <v>262</v>
      </c>
      <c r="B224" s="14" t="s">
        <v>262</v>
      </c>
      <c r="C224" s="15" t="s">
        <v>264</v>
      </c>
      <c r="D224" s="15" t="s">
        <v>65</v>
      </c>
      <c r="E224" s="15" t="s">
        <v>82</v>
      </c>
      <c r="F224" s="34">
        <v>0.5</v>
      </c>
      <c r="G224" s="34">
        <v>1</v>
      </c>
      <c r="H224" s="35"/>
      <c r="I224" s="35">
        <f t="shared" ref="I224:I287" si="12">IF(H224="",0,G224)</f>
        <v>0</v>
      </c>
      <c r="J224" s="35"/>
      <c r="K224" s="35">
        <v>0</v>
      </c>
      <c r="L224" s="36">
        <f t="shared" ref="L224:L287" si="13">G224-I224-K224</f>
        <v>1</v>
      </c>
    </row>
    <row r="225" spans="1:12" x14ac:dyDescent="0.25">
      <c r="A225" s="21" t="s">
        <v>262</v>
      </c>
      <c r="B225" s="30" t="s">
        <v>262</v>
      </c>
      <c r="C225" s="21" t="s">
        <v>265</v>
      </c>
      <c r="D225" s="21" t="s">
        <v>65</v>
      </c>
      <c r="E225" s="21" t="s">
        <v>82</v>
      </c>
      <c r="F225" s="31">
        <v>0.5</v>
      </c>
      <c r="G225" s="31">
        <v>1</v>
      </c>
      <c r="H225" s="32"/>
      <c r="I225" s="32">
        <f t="shared" si="12"/>
        <v>0</v>
      </c>
      <c r="J225" s="32"/>
      <c r="K225" s="32">
        <v>0</v>
      </c>
      <c r="L225" s="33">
        <f t="shared" si="13"/>
        <v>1</v>
      </c>
    </row>
    <row r="226" spans="1:12" x14ac:dyDescent="0.25">
      <c r="A226" s="15" t="s">
        <v>262</v>
      </c>
      <c r="B226" s="14" t="s">
        <v>262</v>
      </c>
      <c r="C226" s="15" t="s">
        <v>266</v>
      </c>
      <c r="D226" s="15" t="s">
        <v>65</v>
      </c>
      <c r="E226" s="15" t="s">
        <v>82</v>
      </c>
      <c r="F226" s="34">
        <v>0.5</v>
      </c>
      <c r="G226" s="34">
        <v>1</v>
      </c>
      <c r="H226" s="35"/>
      <c r="I226" s="35">
        <f t="shared" si="12"/>
        <v>0</v>
      </c>
      <c r="J226" s="35"/>
      <c r="K226" s="35">
        <v>0</v>
      </c>
      <c r="L226" s="36">
        <f t="shared" si="13"/>
        <v>1</v>
      </c>
    </row>
    <row r="227" spans="1:12" x14ac:dyDescent="0.25">
      <c r="A227" s="21" t="s">
        <v>262</v>
      </c>
      <c r="B227" s="30" t="s">
        <v>262</v>
      </c>
      <c r="C227" s="21" t="s">
        <v>267</v>
      </c>
      <c r="D227" s="21" t="s">
        <v>65</v>
      </c>
      <c r="E227" s="21" t="s">
        <v>82</v>
      </c>
      <c r="F227" s="31">
        <v>0.5</v>
      </c>
      <c r="G227" s="31">
        <v>1</v>
      </c>
      <c r="H227" s="32"/>
      <c r="I227" s="32">
        <f t="shared" si="12"/>
        <v>0</v>
      </c>
      <c r="J227" s="32"/>
      <c r="K227" s="32">
        <v>0</v>
      </c>
      <c r="L227" s="33">
        <f t="shared" si="13"/>
        <v>1</v>
      </c>
    </row>
    <row r="228" spans="1:12" x14ac:dyDescent="0.25">
      <c r="A228" s="15" t="s">
        <v>262</v>
      </c>
      <c r="B228" s="14" t="s">
        <v>262</v>
      </c>
      <c r="C228" s="15" t="s">
        <v>268</v>
      </c>
      <c r="D228" s="15" t="s">
        <v>65</v>
      </c>
      <c r="E228" s="15" t="s">
        <v>82</v>
      </c>
      <c r="F228" s="34">
        <v>0.5</v>
      </c>
      <c r="G228" s="34">
        <v>1</v>
      </c>
      <c r="H228" s="35"/>
      <c r="I228" s="35">
        <f t="shared" si="12"/>
        <v>0</v>
      </c>
      <c r="J228" s="35"/>
      <c r="K228" s="35">
        <v>0</v>
      </c>
      <c r="L228" s="36">
        <f t="shared" si="13"/>
        <v>1</v>
      </c>
    </row>
    <row r="229" spans="1:12" x14ac:dyDescent="0.25">
      <c r="A229" s="21" t="s">
        <v>262</v>
      </c>
      <c r="B229" s="30" t="s">
        <v>262</v>
      </c>
      <c r="C229" s="21" t="s">
        <v>270</v>
      </c>
      <c r="D229" s="21" t="s">
        <v>69</v>
      </c>
      <c r="E229" s="21" t="s">
        <v>90</v>
      </c>
      <c r="F229" s="21"/>
      <c r="G229" s="21"/>
      <c r="H229" s="32"/>
      <c r="I229" s="32">
        <f t="shared" si="12"/>
        <v>0</v>
      </c>
      <c r="J229" s="32"/>
      <c r="K229" s="32">
        <v>0</v>
      </c>
      <c r="L229" s="33">
        <f t="shared" si="13"/>
        <v>0</v>
      </c>
    </row>
    <row r="230" spans="1:12" x14ac:dyDescent="0.25">
      <c r="A230" s="21" t="s">
        <v>271</v>
      </c>
      <c r="B230" s="30" t="s">
        <v>271</v>
      </c>
      <c r="C230" s="21" t="s">
        <v>272</v>
      </c>
      <c r="D230" s="21" t="s">
        <v>54</v>
      </c>
      <c r="E230" s="21" t="s">
        <v>84</v>
      </c>
      <c r="F230" s="31">
        <v>2</v>
      </c>
      <c r="G230" s="31">
        <v>2</v>
      </c>
      <c r="H230" s="32"/>
      <c r="I230" s="32">
        <f t="shared" si="12"/>
        <v>0</v>
      </c>
      <c r="J230" s="32"/>
      <c r="K230" s="32">
        <v>0</v>
      </c>
      <c r="L230" s="33">
        <f t="shared" si="13"/>
        <v>2</v>
      </c>
    </row>
    <row r="231" spans="1:12" x14ac:dyDescent="0.25">
      <c r="A231" s="15" t="s">
        <v>271</v>
      </c>
      <c r="B231" s="14" t="s">
        <v>271</v>
      </c>
      <c r="C231" s="15" t="s">
        <v>273</v>
      </c>
      <c r="D231" s="15" t="s">
        <v>53</v>
      </c>
      <c r="E231" s="15" t="s">
        <v>129</v>
      </c>
      <c r="F231" s="15"/>
      <c r="G231" s="15"/>
      <c r="H231" s="35"/>
      <c r="I231" s="35">
        <f t="shared" si="12"/>
        <v>0</v>
      </c>
      <c r="J231" s="35"/>
      <c r="K231" s="35">
        <v>0</v>
      </c>
      <c r="L231" s="36">
        <f t="shared" si="13"/>
        <v>0</v>
      </c>
    </row>
    <row r="232" spans="1:12" x14ac:dyDescent="0.25">
      <c r="A232" s="21" t="s">
        <v>271</v>
      </c>
      <c r="B232" s="30" t="s">
        <v>271</v>
      </c>
      <c r="C232" s="21" t="s">
        <v>274</v>
      </c>
      <c r="D232" s="21" t="s">
        <v>65</v>
      </c>
      <c r="E232" s="21" t="s">
        <v>82</v>
      </c>
      <c r="F232" s="21"/>
      <c r="G232" s="21"/>
      <c r="H232" s="32"/>
      <c r="I232" s="32">
        <f t="shared" si="12"/>
        <v>0</v>
      </c>
      <c r="J232" s="32"/>
      <c r="K232" s="32">
        <v>0</v>
      </c>
      <c r="L232" s="33">
        <f t="shared" si="13"/>
        <v>0</v>
      </c>
    </row>
    <row r="233" spans="1:12" x14ac:dyDescent="0.25">
      <c r="A233" s="15" t="s">
        <v>271</v>
      </c>
      <c r="B233" s="14" t="s">
        <v>271</v>
      </c>
      <c r="C233" s="15" t="s">
        <v>275</v>
      </c>
      <c r="D233" s="15" t="s">
        <v>59</v>
      </c>
      <c r="E233" s="15" t="s">
        <v>203</v>
      </c>
      <c r="F233" s="15"/>
      <c r="G233" s="15"/>
      <c r="H233" s="35"/>
      <c r="I233" s="35">
        <f t="shared" si="12"/>
        <v>0</v>
      </c>
      <c r="J233" s="35"/>
      <c r="K233" s="35">
        <v>0</v>
      </c>
      <c r="L233" s="36">
        <f t="shared" si="13"/>
        <v>0</v>
      </c>
    </row>
    <row r="234" spans="1:12" x14ac:dyDescent="0.25">
      <c r="A234" s="21" t="s">
        <v>271</v>
      </c>
      <c r="B234" s="30" t="s">
        <v>271</v>
      </c>
      <c r="C234" s="21" t="s">
        <v>276</v>
      </c>
      <c r="D234" s="21" t="s">
        <v>70</v>
      </c>
      <c r="E234" s="21" t="s">
        <v>104</v>
      </c>
      <c r="F234" s="31">
        <v>1</v>
      </c>
      <c r="G234" s="31">
        <v>2</v>
      </c>
      <c r="H234" s="32"/>
      <c r="I234" s="32">
        <f t="shared" si="12"/>
        <v>0</v>
      </c>
      <c r="J234" s="32"/>
      <c r="K234" s="32">
        <v>0</v>
      </c>
      <c r="L234" s="33">
        <f t="shared" si="13"/>
        <v>2</v>
      </c>
    </row>
    <row r="235" spans="1:12" x14ac:dyDescent="0.25">
      <c r="A235" s="15" t="s">
        <v>271</v>
      </c>
      <c r="B235" s="14" t="s">
        <v>271</v>
      </c>
      <c r="C235" s="15" t="s">
        <v>277</v>
      </c>
      <c r="D235" s="15" t="s">
        <v>61</v>
      </c>
      <c r="E235" s="15" t="s">
        <v>142</v>
      </c>
      <c r="F235" s="15"/>
      <c r="G235" s="15"/>
      <c r="H235" s="35"/>
      <c r="I235" s="35">
        <f t="shared" si="12"/>
        <v>0</v>
      </c>
      <c r="J235" s="35"/>
      <c r="K235" s="35">
        <v>0</v>
      </c>
      <c r="L235" s="36">
        <f t="shared" si="13"/>
        <v>0</v>
      </c>
    </row>
    <row r="236" spans="1:12" x14ac:dyDescent="0.25">
      <c r="A236" s="21" t="s">
        <v>271</v>
      </c>
      <c r="B236" s="30" t="s">
        <v>271</v>
      </c>
      <c r="C236" s="21" t="s">
        <v>278</v>
      </c>
      <c r="D236" s="21" t="s">
        <v>56</v>
      </c>
      <c r="E236" s="21" t="s">
        <v>162</v>
      </c>
      <c r="F236" s="21"/>
      <c r="G236" s="21"/>
      <c r="H236" s="32"/>
      <c r="I236" s="32">
        <f t="shared" si="12"/>
        <v>0</v>
      </c>
      <c r="J236" s="32"/>
      <c r="K236" s="32">
        <v>0</v>
      </c>
      <c r="L236" s="33">
        <f t="shared" si="13"/>
        <v>0</v>
      </c>
    </row>
    <row r="237" spans="1:12" x14ac:dyDescent="0.25">
      <c r="A237" s="15" t="s">
        <v>271</v>
      </c>
      <c r="B237" s="14" t="s">
        <v>271</v>
      </c>
      <c r="C237" s="15" t="s">
        <v>279</v>
      </c>
      <c r="D237" s="15" t="s">
        <v>69</v>
      </c>
      <c r="E237" s="15" t="s">
        <v>90</v>
      </c>
      <c r="F237" s="15"/>
      <c r="G237" s="15"/>
      <c r="H237" s="35"/>
      <c r="I237" s="35">
        <f t="shared" si="12"/>
        <v>0</v>
      </c>
      <c r="J237" s="35"/>
      <c r="K237" s="35">
        <v>0</v>
      </c>
      <c r="L237" s="36">
        <f t="shared" si="13"/>
        <v>0</v>
      </c>
    </row>
    <row r="238" spans="1:12" x14ac:dyDescent="0.25">
      <c r="A238" s="21" t="s">
        <v>271</v>
      </c>
      <c r="B238" s="30" t="s">
        <v>271</v>
      </c>
      <c r="C238" s="21" t="s">
        <v>280</v>
      </c>
      <c r="D238" s="21" t="s">
        <v>65</v>
      </c>
      <c r="E238" s="21" t="s">
        <v>82</v>
      </c>
      <c r="F238" s="21"/>
      <c r="G238" s="21"/>
      <c r="H238" s="32"/>
      <c r="I238" s="32">
        <f t="shared" si="12"/>
        <v>0</v>
      </c>
      <c r="J238" s="32"/>
      <c r="K238" s="32">
        <v>0</v>
      </c>
      <c r="L238" s="33">
        <f t="shared" si="13"/>
        <v>0</v>
      </c>
    </row>
    <row r="239" spans="1:12" x14ac:dyDescent="0.25">
      <c r="A239" s="15" t="s">
        <v>271</v>
      </c>
      <c r="B239" s="14" t="s">
        <v>271</v>
      </c>
      <c r="C239" s="15" t="s">
        <v>281</v>
      </c>
      <c r="D239" s="15" t="s">
        <v>51</v>
      </c>
      <c r="E239" s="15" t="s">
        <v>146</v>
      </c>
      <c r="F239" s="34">
        <v>1</v>
      </c>
      <c r="G239" s="34">
        <v>2</v>
      </c>
      <c r="H239" s="35"/>
      <c r="I239" s="35">
        <f t="shared" si="12"/>
        <v>0</v>
      </c>
      <c r="J239" s="35"/>
      <c r="K239" s="35">
        <v>0</v>
      </c>
      <c r="L239" s="36">
        <f t="shared" si="13"/>
        <v>2</v>
      </c>
    </row>
    <row r="240" spans="1:12" x14ac:dyDescent="0.25">
      <c r="A240" s="21" t="s">
        <v>271</v>
      </c>
      <c r="B240" s="30" t="s">
        <v>271</v>
      </c>
      <c r="C240" s="21" t="s">
        <v>282</v>
      </c>
      <c r="D240" s="21" t="s">
        <v>70</v>
      </c>
      <c r="E240" s="21" t="s">
        <v>104</v>
      </c>
      <c r="F240" s="31">
        <v>2</v>
      </c>
      <c r="G240" s="31">
        <v>4</v>
      </c>
      <c r="H240" s="32"/>
      <c r="I240" s="32">
        <f t="shared" si="12"/>
        <v>0</v>
      </c>
      <c r="J240" s="32"/>
      <c r="K240" s="32">
        <v>0</v>
      </c>
      <c r="L240" s="33">
        <f t="shared" si="13"/>
        <v>4</v>
      </c>
    </row>
    <row r="241" spans="1:12" x14ac:dyDescent="0.25">
      <c r="A241" s="15" t="s">
        <v>271</v>
      </c>
      <c r="B241" s="14" t="s">
        <v>271</v>
      </c>
      <c r="C241" s="15" t="s">
        <v>283</v>
      </c>
      <c r="D241" s="15" t="s">
        <v>47</v>
      </c>
      <c r="E241" s="15" t="s">
        <v>79</v>
      </c>
      <c r="F241" s="34">
        <v>5</v>
      </c>
      <c r="G241" s="34">
        <v>8</v>
      </c>
      <c r="H241" s="35"/>
      <c r="I241" s="35">
        <f t="shared" si="12"/>
        <v>0</v>
      </c>
      <c r="J241" s="35"/>
      <c r="K241" s="35">
        <v>0</v>
      </c>
      <c r="L241" s="36">
        <f t="shared" si="13"/>
        <v>8</v>
      </c>
    </row>
    <row r="242" spans="1:12" x14ac:dyDescent="0.25">
      <c r="A242" s="21" t="s">
        <v>271</v>
      </c>
      <c r="B242" s="30" t="s">
        <v>271</v>
      </c>
      <c r="C242" s="21" t="s">
        <v>284</v>
      </c>
      <c r="D242" s="21" t="s">
        <v>51</v>
      </c>
      <c r="E242" s="21" t="s">
        <v>146</v>
      </c>
      <c r="F242" s="31">
        <v>0.5</v>
      </c>
      <c r="G242" s="31">
        <v>2</v>
      </c>
      <c r="H242" s="32"/>
      <c r="I242" s="32">
        <f t="shared" si="12"/>
        <v>0</v>
      </c>
      <c r="J242" s="32"/>
      <c r="K242" s="32">
        <v>0</v>
      </c>
      <c r="L242" s="33">
        <f t="shared" si="13"/>
        <v>2</v>
      </c>
    </row>
    <row r="243" spans="1:12" x14ac:dyDescent="0.25">
      <c r="A243" s="15" t="s">
        <v>271</v>
      </c>
      <c r="B243" s="14" t="s">
        <v>271</v>
      </c>
      <c r="C243" s="15" t="s">
        <v>285</v>
      </c>
      <c r="D243" s="15" t="s">
        <v>70</v>
      </c>
      <c r="E243" s="15" t="s">
        <v>104</v>
      </c>
      <c r="F243" s="34">
        <v>7</v>
      </c>
      <c r="G243" s="34">
        <v>8</v>
      </c>
      <c r="H243" s="35"/>
      <c r="I243" s="35">
        <f t="shared" si="12"/>
        <v>0</v>
      </c>
      <c r="J243" s="35"/>
      <c r="K243" s="35">
        <v>0</v>
      </c>
      <c r="L243" s="36">
        <f t="shared" si="13"/>
        <v>8</v>
      </c>
    </row>
    <row r="244" spans="1:12" x14ac:dyDescent="0.25">
      <c r="A244" s="21" t="s">
        <v>271</v>
      </c>
      <c r="B244" s="30" t="s">
        <v>271</v>
      </c>
      <c r="C244" s="21" t="s">
        <v>286</v>
      </c>
      <c r="D244" s="21" t="s">
        <v>69</v>
      </c>
      <c r="E244" s="21" t="s">
        <v>90</v>
      </c>
      <c r="F244" s="21"/>
      <c r="G244" s="21"/>
      <c r="H244" s="32"/>
      <c r="I244" s="32">
        <f t="shared" si="12"/>
        <v>0</v>
      </c>
      <c r="J244" s="32"/>
      <c r="K244" s="32">
        <v>0</v>
      </c>
      <c r="L244" s="33">
        <f t="shared" si="13"/>
        <v>0</v>
      </c>
    </row>
    <row r="245" spans="1:12" x14ac:dyDescent="0.25">
      <c r="A245" s="15" t="s">
        <v>271</v>
      </c>
      <c r="B245" s="14" t="s">
        <v>271</v>
      </c>
      <c r="C245" s="15" t="s">
        <v>287</v>
      </c>
      <c r="D245" s="15" t="s">
        <v>47</v>
      </c>
      <c r="E245" s="15" t="s">
        <v>79</v>
      </c>
      <c r="F245" s="34">
        <v>3</v>
      </c>
      <c r="G245" s="34">
        <v>3</v>
      </c>
      <c r="H245" s="35"/>
      <c r="I245" s="35">
        <f t="shared" si="12"/>
        <v>0</v>
      </c>
      <c r="J245" s="35"/>
      <c r="K245" s="35">
        <v>0</v>
      </c>
      <c r="L245" s="36">
        <f t="shared" si="13"/>
        <v>3</v>
      </c>
    </row>
    <row r="246" spans="1:12" x14ac:dyDescent="0.25">
      <c r="A246" s="21" t="s">
        <v>271</v>
      </c>
      <c r="B246" s="30" t="s">
        <v>271</v>
      </c>
      <c r="C246" s="21" t="s">
        <v>288</v>
      </c>
      <c r="D246" s="21" t="s">
        <v>47</v>
      </c>
      <c r="E246" s="21" t="s">
        <v>79</v>
      </c>
      <c r="F246" s="21"/>
      <c r="G246" s="31">
        <v>3</v>
      </c>
      <c r="H246" s="32"/>
      <c r="I246" s="32">
        <f t="shared" si="12"/>
        <v>0</v>
      </c>
      <c r="J246" s="32"/>
      <c r="K246" s="32">
        <v>0</v>
      </c>
      <c r="L246" s="33">
        <f t="shared" si="13"/>
        <v>3</v>
      </c>
    </row>
    <row r="247" spans="1:12" x14ac:dyDescent="0.25">
      <c r="A247" s="15" t="s">
        <v>271</v>
      </c>
      <c r="B247" s="14" t="s">
        <v>271</v>
      </c>
      <c r="C247" s="15" t="s">
        <v>289</v>
      </c>
      <c r="D247" s="15" t="s">
        <v>67</v>
      </c>
      <c r="E247" s="15" t="s">
        <v>93</v>
      </c>
      <c r="F247" s="15"/>
      <c r="G247" s="15"/>
      <c r="H247" s="35"/>
      <c r="I247" s="35">
        <f t="shared" si="12"/>
        <v>0</v>
      </c>
      <c r="J247" s="35"/>
      <c r="K247" s="35">
        <v>0</v>
      </c>
      <c r="L247" s="36">
        <f t="shared" si="13"/>
        <v>0</v>
      </c>
    </row>
    <row r="248" spans="1:12" x14ac:dyDescent="0.25">
      <c r="A248" s="21" t="s">
        <v>271</v>
      </c>
      <c r="B248" s="30" t="s">
        <v>271</v>
      </c>
      <c r="C248" s="21" t="s">
        <v>290</v>
      </c>
      <c r="D248" s="21" t="s">
        <v>47</v>
      </c>
      <c r="E248" s="21" t="s">
        <v>79</v>
      </c>
      <c r="F248" s="31">
        <v>1</v>
      </c>
      <c r="G248" s="31">
        <v>7</v>
      </c>
      <c r="H248" s="32"/>
      <c r="I248" s="32">
        <f t="shared" si="12"/>
        <v>0</v>
      </c>
      <c r="J248" s="32"/>
      <c r="K248" s="32">
        <v>0</v>
      </c>
      <c r="L248" s="33">
        <f t="shared" si="13"/>
        <v>7</v>
      </c>
    </row>
    <row r="249" spans="1:12" x14ac:dyDescent="0.25">
      <c r="A249" s="15" t="s">
        <v>271</v>
      </c>
      <c r="B249" s="14" t="s">
        <v>271</v>
      </c>
      <c r="C249" s="15" t="s">
        <v>291</v>
      </c>
      <c r="D249" s="15" t="s">
        <v>57</v>
      </c>
      <c r="E249" s="15" t="s">
        <v>136</v>
      </c>
      <c r="F249" s="15"/>
      <c r="G249" s="15"/>
      <c r="H249" s="35"/>
      <c r="I249" s="35">
        <f t="shared" si="12"/>
        <v>0</v>
      </c>
      <c r="J249" s="35"/>
      <c r="K249" s="35">
        <v>0</v>
      </c>
      <c r="L249" s="36">
        <f t="shared" si="13"/>
        <v>0</v>
      </c>
    </row>
    <row r="250" spans="1:12" x14ac:dyDescent="0.25">
      <c r="A250" s="21" t="s">
        <v>271</v>
      </c>
      <c r="B250" s="30" t="s">
        <v>271</v>
      </c>
      <c r="C250" s="21" t="s">
        <v>292</v>
      </c>
      <c r="D250" s="21" t="s">
        <v>61</v>
      </c>
      <c r="E250" s="21" t="s">
        <v>142</v>
      </c>
      <c r="F250" s="21"/>
      <c r="G250" s="21"/>
      <c r="H250" s="32"/>
      <c r="I250" s="32">
        <f t="shared" si="12"/>
        <v>0</v>
      </c>
      <c r="J250" s="32"/>
      <c r="K250" s="32">
        <v>0</v>
      </c>
      <c r="L250" s="33">
        <f t="shared" si="13"/>
        <v>0</v>
      </c>
    </row>
    <row r="251" spans="1:12" x14ac:dyDescent="0.25">
      <c r="A251" s="15" t="s">
        <v>271</v>
      </c>
      <c r="B251" s="14" t="s">
        <v>271</v>
      </c>
      <c r="C251" s="15" t="s">
        <v>293</v>
      </c>
      <c r="D251" s="15" t="s">
        <v>61</v>
      </c>
      <c r="E251" s="15" t="s">
        <v>142</v>
      </c>
      <c r="F251" s="15"/>
      <c r="G251" s="15"/>
      <c r="H251" s="35"/>
      <c r="I251" s="35">
        <f t="shared" si="12"/>
        <v>0</v>
      </c>
      <c r="J251" s="35"/>
      <c r="K251" s="35">
        <v>0</v>
      </c>
      <c r="L251" s="36">
        <f t="shared" si="13"/>
        <v>0</v>
      </c>
    </row>
    <row r="252" spans="1:12" x14ac:dyDescent="0.25">
      <c r="A252" s="21" t="s">
        <v>271</v>
      </c>
      <c r="B252" s="30" t="s">
        <v>271</v>
      </c>
      <c r="C252" s="21" t="s">
        <v>294</v>
      </c>
      <c r="D252" s="21" t="s">
        <v>70</v>
      </c>
      <c r="E252" s="21" t="s">
        <v>104</v>
      </c>
      <c r="F252" s="31">
        <v>0</v>
      </c>
      <c r="G252" s="31">
        <v>0</v>
      </c>
      <c r="H252" s="32"/>
      <c r="I252" s="32">
        <f t="shared" si="12"/>
        <v>0</v>
      </c>
      <c r="J252" s="32"/>
      <c r="K252" s="32">
        <v>0</v>
      </c>
      <c r="L252" s="33">
        <f t="shared" si="13"/>
        <v>0</v>
      </c>
    </row>
    <row r="253" spans="1:12" x14ac:dyDescent="0.25">
      <c r="A253" s="15" t="s">
        <v>271</v>
      </c>
      <c r="B253" s="14" t="s">
        <v>271</v>
      </c>
      <c r="C253" s="15" t="s">
        <v>295</v>
      </c>
      <c r="D253" s="15" t="s">
        <v>69</v>
      </c>
      <c r="E253" s="15" t="s">
        <v>90</v>
      </c>
      <c r="F253" s="15"/>
      <c r="G253" s="15"/>
      <c r="H253" s="35"/>
      <c r="I253" s="35">
        <f t="shared" si="12"/>
        <v>0</v>
      </c>
      <c r="J253" s="35"/>
      <c r="K253" s="35">
        <v>0</v>
      </c>
      <c r="L253" s="36">
        <f t="shared" si="13"/>
        <v>0</v>
      </c>
    </row>
    <row r="254" spans="1:12" x14ac:dyDescent="0.25">
      <c r="A254" s="21" t="s">
        <v>271</v>
      </c>
      <c r="B254" s="30" t="s">
        <v>271</v>
      </c>
      <c r="C254" s="21" t="s">
        <v>273</v>
      </c>
      <c r="D254" s="21" t="s">
        <v>53</v>
      </c>
      <c r="E254" s="21" t="s">
        <v>129</v>
      </c>
      <c r="F254" s="21"/>
      <c r="G254" s="21"/>
      <c r="H254" s="32"/>
      <c r="I254" s="32">
        <f t="shared" si="12"/>
        <v>0</v>
      </c>
      <c r="J254" s="32"/>
      <c r="K254" s="32">
        <v>0</v>
      </c>
      <c r="L254" s="33">
        <f t="shared" si="13"/>
        <v>0</v>
      </c>
    </row>
    <row r="255" spans="1:12" x14ac:dyDescent="0.25">
      <c r="A255" s="15" t="s">
        <v>271</v>
      </c>
      <c r="B255" s="14" t="s">
        <v>271</v>
      </c>
      <c r="C255" s="15" t="s">
        <v>296</v>
      </c>
      <c r="D255" s="15" t="s">
        <v>59</v>
      </c>
      <c r="E255" s="15" t="s">
        <v>203</v>
      </c>
      <c r="F255" s="34">
        <v>1</v>
      </c>
      <c r="G255" s="34">
        <v>1</v>
      </c>
      <c r="H255" s="35"/>
      <c r="I255" s="35">
        <f t="shared" si="12"/>
        <v>0</v>
      </c>
      <c r="J255" s="35"/>
      <c r="K255" s="35">
        <v>0</v>
      </c>
      <c r="L255" s="36">
        <f t="shared" si="13"/>
        <v>1</v>
      </c>
    </row>
    <row r="256" spans="1:12" x14ac:dyDescent="0.25">
      <c r="A256" s="21" t="s">
        <v>271</v>
      </c>
      <c r="B256" s="30" t="s">
        <v>271</v>
      </c>
      <c r="C256" s="21" t="s">
        <v>297</v>
      </c>
      <c r="D256" s="21" t="s">
        <v>65</v>
      </c>
      <c r="E256" s="21" t="s">
        <v>82</v>
      </c>
      <c r="F256" s="31">
        <v>2</v>
      </c>
      <c r="G256" s="31">
        <v>3</v>
      </c>
      <c r="H256" s="32"/>
      <c r="I256" s="32">
        <f t="shared" si="12"/>
        <v>0</v>
      </c>
      <c r="J256" s="32"/>
      <c r="K256" s="32">
        <v>0</v>
      </c>
      <c r="L256" s="33">
        <f t="shared" si="13"/>
        <v>3</v>
      </c>
    </row>
    <row r="257" spans="1:12" x14ac:dyDescent="0.25">
      <c r="A257" s="15" t="s">
        <v>271</v>
      </c>
      <c r="B257" s="14" t="s">
        <v>271</v>
      </c>
      <c r="C257" s="15" t="s">
        <v>298</v>
      </c>
      <c r="D257" s="15" t="s">
        <v>65</v>
      </c>
      <c r="E257" s="15" t="s">
        <v>82</v>
      </c>
      <c r="F257" s="34">
        <v>1</v>
      </c>
      <c r="G257" s="34">
        <v>1</v>
      </c>
      <c r="H257" s="35"/>
      <c r="I257" s="35">
        <f t="shared" si="12"/>
        <v>0</v>
      </c>
      <c r="J257" s="35"/>
      <c r="K257" s="35">
        <v>0</v>
      </c>
      <c r="L257" s="36">
        <f t="shared" si="13"/>
        <v>1</v>
      </c>
    </row>
    <row r="258" spans="1:12" x14ac:dyDescent="0.25">
      <c r="A258" s="21" t="s">
        <v>271</v>
      </c>
      <c r="B258" s="30" t="s">
        <v>271</v>
      </c>
      <c r="C258" s="21" t="s">
        <v>275</v>
      </c>
      <c r="D258" s="21" t="s">
        <v>59</v>
      </c>
      <c r="E258" s="21" t="s">
        <v>203</v>
      </c>
      <c r="F258" s="31">
        <v>1</v>
      </c>
      <c r="G258" s="31">
        <v>1</v>
      </c>
      <c r="H258" s="32"/>
      <c r="I258" s="32">
        <f t="shared" si="12"/>
        <v>0</v>
      </c>
      <c r="J258" s="32"/>
      <c r="K258" s="32">
        <v>0</v>
      </c>
      <c r="L258" s="33">
        <f t="shared" si="13"/>
        <v>1</v>
      </c>
    </row>
    <row r="259" spans="1:12" x14ac:dyDescent="0.25">
      <c r="A259" s="15" t="s">
        <v>271</v>
      </c>
      <c r="B259" s="14" t="s">
        <v>271</v>
      </c>
      <c r="C259" s="15" t="s">
        <v>277</v>
      </c>
      <c r="D259" s="15" t="s">
        <v>61</v>
      </c>
      <c r="E259" s="15" t="s">
        <v>142</v>
      </c>
      <c r="F259" s="15"/>
      <c r="G259" s="15"/>
      <c r="H259" s="35"/>
      <c r="I259" s="35">
        <f t="shared" si="12"/>
        <v>0</v>
      </c>
      <c r="J259" s="35"/>
      <c r="K259" s="35">
        <v>0</v>
      </c>
      <c r="L259" s="36">
        <f t="shared" si="13"/>
        <v>0</v>
      </c>
    </row>
    <row r="260" spans="1:12" x14ac:dyDescent="0.25">
      <c r="A260" s="21" t="s">
        <v>271</v>
      </c>
      <c r="B260" s="30" t="s">
        <v>271</v>
      </c>
      <c r="C260" s="21" t="s">
        <v>278</v>
      </c>
      <c r="D260" s="21" t="s">
        <v>56</v>
      </c>
      <c r="E260" s="21" t="s">
        <v>162</v>
      </c>
      <c r="F260" s="21"/>
      <c r="G260" s="21"/>
      <c r="H260" s="32"/>
      <c r="I260" s="32">
        <f t="shared" si="12"/>
        <v>0</v>
      </c>
      <c r="J260" s="32"/>
      <c r="K260" s="32">
        <v>0</v>
      </c>
      <c r="L260" s="33">
        <f t="shared" si="13"/>
        <v>0</v>
      </c>
    </row>
    <row r="261" spans="1:12" x14ac:dyDescent="0.25">
      <c r="A261" s="15" t="s">
        <v>271</v>
      </c>
      <c r="B261" s="14" t="s">
        <v>271</v>
      </c>
      <c r="C261" s="15" t="s">
        <v>279</v>
      </c>
      <c r="D261" s="15" t="s">
        <v>69</v>
      </c>
      <c r="E261" s="15" t="s">
        <v>90</v>
      </c>
      <c r="F261" s="15"/>
      <c r="G261" s="15"/>
      <c r="H261" s="35"/>
      <c r="I261" s="35">
        <f t="shared" si="12"/>
        <v>0</v>
      </c>
      <c r="J261" s="35"/>
      <c r="K261" s="35">
        <v>0</v>
      </c>
      <c r="L261" s="36">
        <f t="shared" si="13"/>
        <v>0</v>
      </c>
    </row>
    <row r="262" spans="1:12" x14ac:dyDescent="0.25">
      <c r="A262" s="21" t="s">
        <v>271</v>
      </c>
      <c r="B262" s="30" t="s">
        <v>271</v>
      </c>
      <c r="C262" s="21" t="s">
        <v>280</v>
      </c>
      <c r="D262" s="21" t="s">
        <v>65</v>
      </c>
      <c r="E262" s="21" t="s">
        <v>82</v>
      </c>
      <c r="F262" s="31">
        <v>2</v>
      </c>
      <c r="G262" s="31">
        <v>4</v>
      </c>
      <c r="H262" s="32"/>
      <c r="I262" s="32">
        <f t="shared" si="12"/>
        <v>0</v>
      </c>
      <c r="J262" s="32"/>
      <c r="K262" s="32">
        <v>0</v>
      </c>
      <c r="L262" s="33">
        <f t="shared" si="13"/>
        <v>4</v>
      </c>
    </row>
    <row r="263" spans="1:12" x14ac:dyDescent="0.25">
      <c r="A263" s="15" t="s">
        <v>271</v>
      </c>
      <c r="B263" s="14" t="s">
        <v>271</v>
      </c>
      <c r="C263" s="15" t="s">
        <v>286</v>
      </c>
      <c r="D263" s="15" t="s">
        <v>69</v>
      </c>
      <c r="E263" s="15" t="s">
        <v>90</v>
      </c>
      <c r="F263" s="15"/>
      <c r="G263" s="15"/>
      <c r="H263" s="35"/>
      <c r="I263" s="35">
        <f t="shared" si="12"/>
        <v>0</v>
      </c>
      <c r="J263" s="35"/>
      <c r="K263" s="35">
        <v>0</v>
      </c>
      <c r="L263" s="36">
        <f t="shared" si="13"/>
        <v>0</v>
      </c>
    </row>
    <row r="264" spans="1:12" x14ac:dyDescent="0.25">
      <c r="A264" s="21" t="s">
        <v>271</v>
      </c>
      <c r="B264" s="30" t="s">
        <v>271</v>
      </c>
      <c r="C264" s="21" t="s">
        <v>289</v>
      </c>
      <c r="D264" s="21" t="s">
        <v>67</v>
      </c>
      <c r="E264" s="21" t="s">
        <v>93</v>
      </c>
      <c r="F264" s="31">
        <v>1</v>
      </c>
      <c r="G264" s="31">
        <v>2</v>
      </c>
      <c r="H264" s="32"/>
      <c r="I264" s="32">
        <f t="shared" si="12"/>
        <v>0</v>
      </c>
      <c r="J264" s="32"/>
      <c r="K264" s="32">
        <v>0</v>
      </c>
      <c r="L264" s="33">
        <f t="shared" si="13"/>
        <v>2</v>
      </c>
    </row>
    <row r="265" spans="1:12" x14ac:dyDescent="0.25">
      <c r="A265" s="15" t="s">
        <v>271</v>
      </c>
      <c r="B265" s="14" t="s">
        <v>271</v>
      </c>
      <c r="C265" s="15" t="s">
        <v>290</v>
      </c>
      <c r="D265" s="15" t="s">
        <v>47</v>
      </c>
      <c r="E265" s="15" t="s">
        <v>79</v>
      </c>
      <c r="F265" s="15"/>
      <c r="G265" s="15"/>
      <c r="H265" s="35"/>
      <c r="I265" s="35">
        <f t="shared" si="12"/>
        <v>0</v>
      </c>
      <c r="J265" s="35"/>
      <c r="K265" s="35">
        <v>0</v>
      </c>
      <c r="L265" s="36">
        <f t="shared" si="13"/>
        <v>0</v>
      </c>
    </row>
    <row r="266" spans="1:12" x14ac:dyDescent="0.25">
      <c r="A266" s="21" t="s">
        <v>271</v>
      </c>
      <c r="B266" s="30" t="s">
        <v>271</v>
      </c>
      <c r="C266" s="21" t="s">
        <v>291</v>
      </c>
      <c r="D266" s="21" t="s">
        <v>57</v>
      </c>
      <c r="E266" s="21" t="s">
        <v>136</v>
      </c>
      <c r="F266" s="21"/>
      <c r="G266" s="21"/>
      <c r="H266" s="32"/>
      <c r="I266" s="32">
        <f t="shared" si="12"/>
        <v>0</v>
      </c>
      <c r="J266" s="32"/>
      <c r="K266" s="32">
        <v>0</v>
      </c>
      <c r="L266" s="33">
        <f t="shared" si="13"/>
        <v>0</v>
      </c>
    </row>
    <row r="267" spans="1:12" x14ac:dyDescent="0.25">
      <c r="A267" s="15" t="s">
        <v>271</v>
      </c>
      <c r="B267" s="14" t="s">
        <v>271</v>
      </c>
      <c r="C267" s="15" t="s">
        <v>292</v>
      </c>
      <c r="D267" s="15" t="s">
        <v>61</v>
      </c>
      <c r="E267" s="15" t="s">
        <v>142</v>
      </c>
      <c r="F267" s="15"/>
      <c r="G267" s="15"/>
      <c r="H267" s="35"/>
      <c r="I267" s="35">
        <f t="shared" si="12"/>
        <v>0</v>
      </c>
      <c r="J267" s="35"/>
      <c r="K267" s="35">
        <v>0</v>
      </c>
      <c r="L267" s="36">
        <f t="shared" si="13"/>
        <v>0</v>
      </c>
    </row>
    <row r="268" spans="1:12" x14ac:dyDescent="0.25">
      <c r="A268" s="21" t="s">
        <v>271</v>
      </c>
      <c r="B268" s="30" t="s">
        <v>271</v>
      </c>
      <c r="C268" s="21" t="s">
        <v>293</v>
      </c>
      <c r="D268" s="21" t="s">
        <v>61</v>
      </c>
      <c r="E268" s="21" t="s">
        <v>142</v>
      </c>
      <c r="F268" s="21"/>
      <c r="G268" s="21"/>
      <c r="H268" s="32"/>
      <c r="I268" s="32">
        <f t="shared" si="12"/>
        <v>0</v>
      </c>
      <c r="J268" s="32"/>
      <c r="K268" s="32">
        <v>0</v>
      </c>
      <c r="L268" s="33">
        <f t="shared" si="13"/>
        <v>0</v>
      </c>
    </row>
    <row r="269" spans="1:12" x14ac:dyDescent="0.25">
      <c r="A269" s="15" t="s">
        <v>271</v>
      </c>
      <c r="B269" s="14" t="s">
        <v>271</v>
      </c>
      <c r="C269" s="15" t="s">
        <v>294</v>
      </c>
      <c r="D269" s="15" t="s">
        <v>70</v>
      </c>
      <c r="E269" s="15" t="s">
        <v>104</v>
      </c>
      <c r="F269" s="15"/>
      <c r="G269" s="15"/>
      <c r="H269" s="35"/>
      <c r="I269" s="35">
        <f t="shared" si="12"/>
        <v>0</v>
      </c>
      <c r="J269" s="35"/>
      <c r="K269" s="35">
        <v>0</v>
      </c>
      <c r="L269" s="36">
        <f t="shared" si="13"/>
        <v>0</v>
      </c>
    </row>
    <row r="270" spans="1:12" x14ac:dyDescent="0.25">
      <c r="A270" s="21" t="s">
        <v>271</v>
      </c>
      <c r="B270" s="30" t="s">
        <v>271</v>
      </c>
      <c r="C270" s="21" t="s">
        <v>295</v>
      </c>
      <c r="D270" s="21" t="s">
        <v>69</v>
      </c>
      <c r="E270" s="21" t="s">
        <v>90</v>
      </c>
      <c r="F270" s="21"/>
      <c r="G270" s="21"/>
      <c r="H270" s="32"/>
      <c r="I270" s="32">
        <f t="shared" si="12"/>
        <v>0</v>
      </c>
      <c r="J270" s="32"/>
      <c r="K270" s="32">
        <v>0</v>
      </c>
      <c r="L270" s="33">
        <f t="shared" si="13"/>
        <v>0</v>
      </c>
    </row>
    <row r="271" spans="1:12" x14ac:dyDescent="0.25">
      <c r="A271" s="15" t="s">
        <v>271</v>
      </c>
      <c r="B271" s="14" t="s">
        <v>271</v>
      </c>
      <c r="C271" s="15" t="s">
        <v>299</v>
      </c>
      <c r="D271" s="15" t="s">
        <v>59</v>
      </c>
      <c r="E271" s="15" t="s">
        <v>203</v>
      </c>
      <c r="F271" s="15"/>
      <c r="G271" s="15"/>
      <c r="H271" s="35"/>
      <c r="I271" s="35">
        <f t="shared" si="12"/>
        <v>0</v>
      </c>
      <c r="J271" s="35"/>
      <c r="K271" s="35">
        <v>0</v>
      </c>
      <c r="L271" s="36">
        <f t="shared" si="13"/>
        <v>0</v>
      </c>
    </row>
    <row r="272" spans="1:12" x14ac:dyDescent="0.25">
      <c r="A272" s="21" t="s">
        <v>271</v>
      </c>
      <c r="B272" s="30" t="s">
        <v>271</v>
      </c>
      <c r="C272" s="21" t="s">
        <v>300</v>
      </c>
      <c r="D272" s="21" t="s">
        <v>59</v>
      </c>
      <c r="E272" s="21" t="s">
        <v>203</v>
      </c>
      <c r="F272" s="21"/>
      <c r="G272" s="21"/>
      <c r="H272" s="32"/>
      <c r="I272" s="32">
        <f t="shared" si="12"/>
        <v>0</v>
      </c>
      <c r="J272" s="32"/>
      <c r="K272" s="32">
        <v>0</v>
      </c>
      <c r="L272" s="33">
        <f t="shared" si="13"/>
        <v>0</v>
      </c>
    </row>
    <row r="273" spans="1:12" x14ac:dyDescent="0.25">
      <c r="A273" s="21" t="s">
        <v>301</v>
      </c>
      <c r="B273" s="30" t="s">
        <v>301</v>
      </c>
      <c r="C273" s="21" t="s">
        <v>302</v>
      </c>
      <c r="D273" s="21" t="s">
        <v>47</v>
      </c>
      <c r="E273" s="21" t="s">
        <v>79</v>
      </c>
      <c r="F273" s="31">
        <v>10</v>
      </c>
      <c r="G273" s="31">
        <v>10</v>
      </c>
      <c r="H273" s="32"/>
      <c r="I273" s="32">
        <f t="shared" si="12"/>
        <v>0</v>
      </c>
      <c r="J273" s="32"/>
      <c r="K273" s="32">
        <v>0</v>
      </c>
      <c r="L273" s="33">
        <f t="shared" si="13"/>
        <v>10</v>
      </c>
    </row>
    <row r="274" spans="1:12" x14ac:dyDescent="0.25">
      <c r="A274" s="15" t="s">
        <v>301</v>
      </c>
      <c r="B274" s="14" t="s">
        <v>301</v>
      </c>
      <c r="C274" s="15" t="s">
        <v>303</v>
      </c>
      <c r="D274" s="15" t="s">
        <v>70</v>
      </c>
      <c r="E274" s="15" t="s">
        <v>104</v>
      </c>
      <c r="F274" s="34">
        <v>0.5</v>
      </c>
      <c r="G274" s="34">
        <v>1</v>
      </c>
      <c r="H274" s="35"/>
      <c r="I274" s="35">
        <f t="shared" si="12"/>
        <v>0</v>
      </c>
      <c r="J274" s="35"/>
      <c r="K274" s="35">
        <v>0</v>
      </c>
      <c r="L274" s="36">
        <f t="shared" si="13"/>
        <v>1</v>
      </c>
    </row>
    <row r="275" spans="1:12" x14ac:dyDescent="0.25">
      <c r="A275" s="21" t="s">
        <v>301</v>
      </c>
      <c r="B275" s="30" t="s">
        <v>301</v>
      </c>
      <c r="C275" s="21" t="s">
        <v>304</v>
      </c>
      <c r="D275" s="21" t="s">
        <v>53</v>
      </c>
      <c r="E275" s="21" t="s">
        <v>129</v>
      </c>
      <c r="F275" s="21"/>
      <c r="G275" s="21"/>
      <c r="H275" s="32"/>
      <c r="I275" s="32">
        <f t="shared" si="12"/>
        <v>0</v>
      </c>
      <c r="J275" s="32"/>
      <c r="K275" s="32">
        <v>0</v>
      </c>
      <c r="L275" s="33">
        <f t="shared" si="13"/>
        <v>0</v>
      </c>
    </row>
    <row r="276" spans="1:12" x14ac:dyDescent="0.25">
      <c r="A276" s="15" t="s">
        <v>301</v>
      </c>
      <c r="B276" s="14" t="s">
        <v>301</v>
      </c>
      <c r="C276" s="15" t="s">
        <v>305</v>
      </c>
      <c r="D276" s="15" t="s">
        <v>65</v>
      </c>
      <c r="E276" s="15" t="s">
        <v>82</v>
      </c>
      <c r="F276" s="15"/>
      <c r="G276" s="15"/>
      <c r="H276" s="35"/>
      <c r="I276" s="35">
        <f t="shared" si="12"/>
        <v>0</v>
      </c>
      <c r="J276" s="35"/>
      <c r="K276" s="35">
        <v>0</v>
      </c>
      <c r="L276" s="36">
        <f t="shared" si="13"/>
        <v>0</v>
      </c>
    </row>
    <row r="277" spans="1:12" x14ac:dyDescent="0.25">
      <c r="A277" s="21" t="s">
        <v>301</v>
      </c>
      <c r="B277" s="30" t="s">
        <v>301</v>
      </c>
      <c r="C277" s="21" t="s">
        <v>306</v>
      </c>
      <c r="D277" s="21" t="s">
        <v>54</v>
      </c>
      <c r="E277" s="21" t="s">
        <v>84</v>
      </c>
      <c r="F277" s="21"/>
      <c r="G277" s="31">
        <v>10</v>
      </c>
      <c r="H277" s="32"/>
      <c r="I277" s="32">
        <f t="shared" si="12"/>
        <v>0</v>
      </c>
      <c r="J277" s="32"/>
      <c r="K277" s="32">
        <v>0</v>
      </c>
      <c r="L277" s="33">
        <f t="shared" si="13"/>
        <v>10</v>
      </c>
    </row>
    <row r="278" spans="1:12" x14ac:dyDescent="0.25">
      <c r="A278" s="15" t="s">
        <v>301</v>
      </c>
      <c r="B278" s="14" t="s">
        <v>301</v>
      </c>
      <c r="C278" s="15" t="s">
        <v>307</v>
      </c>
      <c r="D278" s="15" t="s">
        <v>65</v>
      </c>
      <c r="E278" s="15" t="s">
        <v>82</v>
      </c>
      <c r="F278" s="15"/>
      <c r="G278" s="15"/>
      <c r="H278" s="35"/>
      <c r="I278" s="35">
        <f t="shared" si="12"/>
        <v>0</v>
      </c>
      <c r="J278" s="35"/>
      <c r="K278" s="35">
        <v>0</v>
      </c>
      <c r="L278" s="36">
        <f t="shared" si="13"/>
        <v>0</v>
      </c>
    </row>
    <row r="279" spans="1:12" x14ac:dyDescent="0.25">
      <c r="A279" s="21" t="s">
        <v>301</v>
      </c>
      <c r="B279" s="30" t="s">
        <v>301</v>
      </c>
      <c r="C279" s="21" t="s">
        <v>308</v>
      </c>
      <c r="D279" s="21" t="s">
        <v>69</v>
      </c>
      <c r="E279" s="21" t="s">
        <v>90</v>
      </c>
      <c r="F279" s="21"/>
      <c r="G279" s="21"/>
      <c r="H279" s="32"/>
      <c r="I279" s="32">
        <f t="shared" si="12"/>
        <v>0</v>
      </c>
      <c r="J279" s="32"/>
      <c r="K279" s="32">
        <v>0</v>
      </c>
      <c r="L279" s="33">
        <f t="shared" si="13"/>
        <v>0</v>
      </c>
    </row>
    <row r="280" spans="1:12" x14ac:dyDescent="0.25">
      <c r="A280" s="15" t="s">
        <v>301</v>
      </c>
      <c r="B280" s="14" t="s">
        <v>301</v>
      </c>
      <c r="C280" s="15" t="s">
        <v>309</v>
      </c>
      <c r="D280" s="15" t="s">
        <v>65</v>
      </c>
      <c r="E280" s="15" t="s">
        <v>82</v>
      </c>
      <c r="F280" s="15"/>
      <c r="G280" s="15"/>
      <c r="H280" s="35"/>
      <c r="I280" s="35">
        <f t="shared" si="12"/>
        <v>0</v>
      </c>
      <c r="J280" s="35"/>
      <c r="K280" s="35">
        <v>0</v>
      </c>
      <c r="L280" s="36">
        <f t="shared" si="13"/>
        <v>0</v>
      </c>
    </row>
    <row r="281" spans="1:12" x14ac:dyDescent="0.25">
      <c r="A281" s="21" t="s">
        <v>301</v>
      </c>
      <c r="B281" s="30" t="s">
        <v>301</v>
      </c>
      <c r="C281" s="21" t="s">
        <v>310</v>
      </c>
      <c r="D281" s="21" t="s">
        <v>69</v>
      </c>
      <c r="E281" s="21" t="s">
        <v>90</v>
      </c>
      <c r="F281" s="21"/>
      <c r="G281" s="21"/>
      <c r="H281" s="32"/>
      <c r="I281" s="32">
        <f t="shared" si="12"/>
        <v>0</v>
      </c>
      <c r="J281" s="32"/>
      <c r="K281" s="32">
        <v>0</v>
      </c>
      <c r="L281" s="33">
        <f t="shared" si="13"/>
        <v>0</v>
      </c>
    </row>
    <row r="282" spans="1:12" x14ac:dyDescent="0.25">
      <c r="A282" s="15" t="s">
        <v>301</v>
      </c>
      <c r="B282" s="14" t="s">
        <v>301</v>
      </c>
      <c r="C282" s="15" t="s">
        <v>311</v>
      </c>
      <c r="D282" s="15" t="s">
        <v>65</v>
      </c>
      <c r="E282" s="15" t="s">
        <v>82</v>
      </c>
      <c r="F282" s="15"/>
      <c r="G282" s="15"/>
      <c r="H282" s="35"/>
      <c r="I282" s="35">
        <f t="shared" si="12"/>
        <v>0</v>
      </c>
      <c r="J282" s="35"/>
      <c r="K282" s="35">
        <v>0</v>
      </c>
      <c r="L282" s="36">
        <f t="shared" si="13"/>
        <v>0</v>
      </c>
    </row>
    <row r="283" spans="1:12" x14ac:dyDescent="0.25">
      <c r="A283" s="21" t="s">
        <v>301</v>
      </c>
      <c r="B283" s="30" t="s">
        <v>301</v>
      </c>
      <c r="C283" s="21" t="s">
        <v>312</v>
      </c>
      <c r="D283" s="21" t="s">
        <v>47</v>
      </c>
      <c r="E283" s="21" t="s">
        <v>79</v>
      </c>
      <c r="F283" s="31">
        <v>5</v>
      </c>
      <c r="G283" s="31">
        <v>5</v>
      </c>
      <c r="H283" s="32"/>
      <c r="I283" s="32">
        <f t="shared" si="12"/>
        <v>0</v>
      </c>
      <c r="J283" s="32"/>
      <c r="K283" s="32">
        <v>0</v>
      </c>
      <c r="L283" s="33">
        <f t="shared" si="13"/>
        <v>5</v>
      </c>
    </row>
    <row r="284" spans="1:12" x14ac:dyDescent="0.25">
      <c r="A284" s="15" t="s">
        <v>301</v>
      </c>
      <c r="B284" s="14" t="s">
        <v>301</v>
      </c>
      <c r="C284" s="15" t="s">
        <v>313</v>
      </c>
      <c r="D284" s="15" t="s">
        <v>54</v>
      </c>
      <c r="E284" s="15" t="s">
        <v>84</v>
      </c>
      <c r="F284" s="15"/>
      <c r="G284" s="34">
        <v>10</v>
      </c>
      <c r="H284" s="35"/>
      <c r="I284" s="35">
        <f t="shared" si="12"/>
        <v>0</v>
      </c>
      <c r="J284" s="35"/>
      <c r="K284" s="35">
        <v>0</v>
      </c>
      <c r="L284" s="36">
        <f t="shared" si="13"/>
        <v>10</v>
      </c>
    </row>
    <row r="285" spans="1:12" x14ac:dyDescent="0.25">
      <c r="A285" s="21" t="s">
        <v>301</v>
      </c>
      <c r="B285" s="30" t="s">
        <v>301</v>
      </c>
      <c r="C285" s="21" t="s">
        <v>314</v>
      </c>
      <c r="D285" s="21" t="s">
        <v>53</v>
      </c>
      <c r="E285" s="21" t="s">
        <v>129</v>
      </c>
      <c r="F285" s="21"/>
      <c r="G285" s="21"/>
      <c r="H285" s="32"/>
      <c r="I285" s="32">
        <f t="shared" si="12"/>
        <v>0</v>
      </c>
      <c r="J285" s="32"/>
      <c r="K285" s="32">
        <v>0</v>
      </c>
      <c r="L285" s="33">
        <f t="shared" si="13"/>
        <v>0</v>
      </c>
    </row>
    <row r="286" spans="1:12" x14ac:dyDescent="0.25">
      <c r="A286" s="15" t="s">
        <v>301</v>
      </c>
      <c r="B286" s="14" t="s">
        <v>301</v>
      </c>
      <c r="C286" s="15" t="s">
        <v>315</v>
      </c>
      <c r="D286" s="15" t="s">
        <v>65</v>
      </c>
      <c r="E286" s="15" t="s">
        <v>82</v>
      </c>
      <c r="F286" s="15"/>
      <c r="G286" s="15"/>
      <c r="H286" s="35"/>
      <c r="I286" s="35">
        <f t="shared" si="12"/>
        <v>0</v>
      </c>
      <c r="J286" s="35"/>
      <c r="K286" s="35">
        <v>0</v>
      </c>
      <c r="L286" s="36">
        <f t="shared" si="13"/>
        <v>0</v>
      </c>
    </row>
    <row r="287" spans="1:12" x14ac:dyDescent="0.25">
      <c r="A287" s="21" t="s">
        <v>301</v>
      </c>
      <c r="B287" s="30" t="s">
        <v>301</v>
      </c>
      <c r="C287" s="21" t="s">
        <v>316</v>
      </c>
      <c r="D287" s="21" t="s">
        <v>69</v>
      </c>
      <c r="E287" s="21" t="s">
        <v>90</v>
      </c>
      <c r="F287" s="21"/>
      <c r="G287" s="21"/>
      <c r="H287" s="32"/>
      <c r="I287" s="32">
        <f t="shared" si="12"/>
        <v>0</v>
      </c>
      <c r="J287" s="32"/>
      <c r="K287" s="32">
        <v>0</v>
      </c>
      <c r="L287" s="33">
        <f t="shared" si="13"/>
        <v>0</v>
      </c>
    </row>
    <row r="288" spans="1:12" x14ac:dyDescent="0.25">
      <c r="A288" s="15" t="s">
        <v>301</v>
      </c>
      <c r="B288" s="14" t="s">
        <v>301</v>
      </c>
      <c r="C288" s="15" t="s">
        <v>317</v>
      </c>
      <c r="D288" s="15" t="s">
        <v>65</v>
      </c>
      <c r="E288" s="15" t="s">
        <v>82</v>
      </c>
      <c r="F288" s="15"/>
      <c r="G288" s="15"/>
      <c r="H288" s="35"/>
      <c r="I288" s="35">
        <f t="shared" ref="I288:I351" si="14">IF(H288="",0,G288)</f>
        <v>0</v>
      </c>
      <c r="J288" s="35"/>
      <c r="K288" s="35">
        <v>0</v>
      </c>
      <c r="L288" s="36">
        <f t="shared" ref="L288:L351" si="15">G288-I288-K288</f>
        <v>0</v>
      </c>
    </row>
    <row r="289" spans="1:12" x14ac:dyDescent="0.25">
      <c r="A289" s="21" t="s">
        <v>301</v>
      </c>
      <c r="B289" s="30" t="s">
        <v>301</v>
      </c>
      <c r="C289" s="21" t="s">
        <v>318</v>
      </c>
      <c r="D289" s="21" t="s">
        <v>54</v>
      </c>
      <c r="E289" s="21" t="s">
        <v>84</v>
      </c>
      <c r="F289" s="31">
        <v>2</v>
      </c>
      <c r="G289" s="31">
        <v>10</v>
      </c>
      <c r="H289" s="32"/>
      <c r="I289" s="32">
        <f t="shared" si="14"/>
        <v>0</v>
      </c>
      <c r="J289" s="32"/>
      <c r="K289" s="32">
        <v>0</v>
      </c>
      <c r="L289" s="33">
        <f t="shared" si="15"/>
        <v>10</v>
      </c>
    </row>
    <row r="290" spans="1:12" x14ac:dyDescent="0.25">
      <c r="A290" s="15" t="s">
        <v>301</v>
      </c>
      <c r="B290" s="14" t="s">
        <v>301</v>
      </c>
      <c r="C290" s="15" t="s">
        <v>319</v>
      </c>
      <c r="D290" s="15" t="s">
        <v>65</v>
      </c>
      <c r="E290" s="15" t="s">
        <v>82</v>
      </c>
      <c r="F290" s="15"/>
      <c r="G290" s="15"/>
      <c r="H290" s="35"/>
      <c r="I290" s="35">
        <f t="shared" si="14"/>
        <v>0</v>
      </c>
      <c r="J290" s="35"/>
      <c r="K290" s="35">
        <v>0</v>
      </c>
      <c r="L290" s="36">
        <f t="shared" si="15"/>
        <v>0</v>
      </c>
    </row>
    <row r="291" spans="1:12" x14ac:dyDescent="0.25">
      <c r="A291" s="21" t="s">
        <v>301</v>
      </c>
      <c r="B291" s="30" t="s">
        <v>301</v>
      </c>
      <c r="C291" s="21" t="s">
        <v>320</v>
      </c>
      <c r="D291" s="21" t="s">
        <v>69</v>
      </c>
      <c r="E291" s="21" t="s">
        <v>90</v>
      </c>
      <c r="F291" s="21"/>
      <c r="G291" s="21"/>
      <c r="H291" s="32"/>
      <c r="I291" s="32">
        <f t="shared" si="14"/>
        <v>0</v>
      </c>
      <c r="J291" s="32"/>
      <c r="K291" s="32">
        <v>0</v>
      </c>
      <c r="L291" s="33">
        <f t="shared" si="15"/>
        <v>0</v>
      </c>
    </row>
    <row r="292" spans="1:12" x14ac:dyDescent="0.25">
      <c r="A292" s="15" t="s">
        <v>301</v>
      </c>
      <c r="B292" s="14" t="s">
        <v>301</v>
      </c>
      <c r="C292" s="15" t="s">
        <v>302</v>
      </c>
      <c r="D292" s="15" t="s">
        <v>47</v>
      </c>
      <c r="E292" s="15" t="s">
        <v>79</v>
      </c>
      <c r="F292" s="15"/>
      <c r="G292" s="15"/>
      <c r="H292" s="35"/>
      <c r="I292" s="35">
        <f t="shared" si="14"/>
        <v>0</v>
      </c>
      <c r="J292" s="35"/>
      <c r="K292" s="35">
        <v>0</v>
      </c>
      <c r="L292" s="36">
        <f t="shared" si="15"/>
        <v>0</v>
      </c>
    </row>
    <row r="293" spans="1:12" x14ac:dyDescent="0.25">
      <c r="A293" s="21" t="s">
        <v>301</v>
      </c>
      <c r="B293" s="30" t="s">
        <v>301</v>
      </c>
      <c r="C293" s="21" t="s">
        <v>304</v>
      </c>
      <c r="D293" s="21" t="s">
        <v>53</v>
      </c>
      <c r="E293" s="21" t="s">
        <v>129</v>
      </c>
      <c r="F293" s="21"/>
      <c r="G293" s="21"/>
      <c r="H293" s="32"/>
      <c r="I293" s="32">
        <f t="shared" si="14"/>
        <v>0</v>
      </c>
      <c r="J293" s="32"/>
      <c r="K293" s="32">
        <v>0</v>
      </c>
      <c r="L293" s="33">
        <f t="shared" si="15"/>
        <v>0</v>
      </c>
    </row>
    <row r="294" spans="1:12" x14ac:dyDescent="0.25">
      <c r="A294" s="15" t="s">
        <v>301</v>
      </c>
      <c r="B294" s="14" t="s">
        <v>301</v>
      </c>
      <c r="C294" s="15" t="s">
        <v>305</v>
      </c>
      <c r="D294" s="15" t="s">
        <v>65</v>
      </c>
      <c r="E294" s="15" t="s">
        <v>82</v>
      </c>
      <c r="F294" s="34">
        <v>1</v>
      </c>
      <c r="G294" s="34">
        <v>2</v>
      </c>
      <c r="H294" s="35"/>
      <c r="I294" s="35">
        <f t="shared" si="14"/>
        <v>0</v>
      </c>
      <c r="J294" s="35"/>
      <c r="K294" s="35">
        <v>0</v>
      </c>
      <c r="L294" s="36">
        <f t="shared" si="15"/>
        <v>2</v>
      </c>
    </row>
    <row r="295" spans="1:12" x14ac:dyDescent="0.25">
      <c r="A295" s="21" t="s">
        <v>301</v>
      </c>
      <c r="B295" s="30" t="s">
        <v>301</v>
      </c>
      <c r="C295" s="21" t="s">
        <v>306</v>
      </c>
      <c r="D295" s="21" t="s">
        <v>54</v>
      </c>
      <c r="E295" s="21" t="s">
        <v>84</v>
      </c>
      <c r="F295" s="21"/>
      <c r="G295" s="21"/>
      <c r="H295" s="32"/>
      <c r="I295" s="32">
        <f t="shared" si="14"/>
        <v>0</v>
      </c>
      <c r="J295" s="32"/>
      <c r="K295" s="32">
        <v>0</v>
      </c>
      <c r="L295" s="33">
        <f t="shared" si="15"/>
        <v>0</v>
      </c>
    </row>
    <row r="296" spans="1:12" x14ac:dyDescent="0.25">
      <c r="A296" s="15" t="s">
        <v>301</v>
      </c>
      <c r="B296" s="14" t="s">
        <v>301</v>
      </c>
      <c r="C296" s="15" t="s">
        <v>321</v>
      </c>
      <c r="D296" s="15" t="s">
        <v>65</v>
      </c>
      <c r="E296" s="15" t="s">
        <v>82</v>
      </c>
      <c r="F296" s="34">
        <v>5</v>
      </c>
      <c r="G296" s="34">
        <v>7</v>
      </c>
      <c r="H296" s="35"/>
      <c r="I296" s="35">
        <f t="shared" si="14"/>
        <v>0</v>
      </c>
      <c r="J296" s="35"/>
      <c r="K296" s="35">
        <v>0</v>
      </c>
      <c r="L296" s="36">
        <f t="shared" si="15"/>
        <v>7</v>
      </c>
    </row>
    <row r="297" spans="1:12" x14ac:dyDescent="0.25">
      <c r="A297" s="21" t="s">
        <v>301</v>
      </c>
      <c r="B297" s="30" t="s">
        <v>301</v>
      </c>
      <c r="C297" s="21" t="s">
        <v>322</v>
      </c>
      <c r="D297" s="21" t="s">
        <v>65</v>
      </c>
      <c r="E297" s="21" t="s">
        <v>82</v>
      </c>
      <c r="F297" s="31">
        <v>2</v>
      </c>
      <c r="G297" s="31">
        <v>3</v>
      </c>
      <c r="H297" s="32"/>
      <c r="I297" s="32">
        <f t="shared" si="14"/>
        <v>0</v>
      </c>
      <c r="J297" s="32"/>
      <c r="K297" s="32">
        <v>0</v>
      </c>
      <c r="L297" s="33">
        <f t="shared" si="15"/>
        <v>3</v>
      </c>
    </row>
    <row r="298" spans="1:12" x14ac:dyDescent="0.25">
      <c r="A298" s="15" t="s">
        <v>301</v>
      </c>
      <c r="B298" s="14" t="s">
        <v>301</v>
      </c>
      <c r="C298" s="15" t="s">
        <v>323</v>
      </c>
      <c r="D298" s="15" t="s">
        <v>65</v>
      </c>
      <c r="E298" s="15" t="s">
        <v>82</v>
      </c>
      <c r="F298" s="34">
        <v>1</v>
      </c>
      <c r="G298" s="34">
        <v>2</v>
      </c>
      <c r="H298" s="35"/>
      <c r="I298" s="35">
        <f t="shared" si="14"/>
        <v>0</v>
      </c>
      <c r="J298" s="35"/>
      <c r="K298" s="35">
        <v>0</v>
      </c>
      <c r="L298" s="36">
        <f t="shared" si="15"/>
        <v>2</v>
      </c>
    </row>
    <row r="299" spans="1:12" x14ac:dyDescent="0.25">
      <c r="A299" s="21" t="s">
        <v>301</v>
      </c>
      <c r="B299" s="30" t="s">
        <v>301</v>
      </c>
      <c r="C299" s="21" t="s">
        <v>324</v>
      </c>
      <c r="D299" s="21" t="s">
        <v>65</v>
      </c>
      <c r="E299" s="21" t="s">
        <v>82</v>
      </c>
      <c r="F299" s="31">
        <v>1</v>
      </c>
      <c r="G299" s="31">
        <v>2</v>
      </c>
      <c r="H299" s="32"/>
      <c r="I299" s="32">
        <f t="shared" si="14"/>
        <v>0</v>
      </c>
      <c r="J299" s="32"/>
      <c r="K299" s="32">
        <v>0</v>
      </c>
      <c r="L299" s="33">
        <f t="shared" si="15"/>
        <v>2</v>
      </c>
    </row>
    <row r="300" spans="1:12" x14ac:dyDescent="0.25">
      <c r="A300" s="15" t="s">
        <v>301</v>
      </c>
      <c r="B300" s="14" t="s">
        <v>301</v>
      </c>
      <c r="C300" s="15" t="s">
        <v>325</v>
      </c>
      <c r="D300" s="15" t="s">
        <v>65</v>
      </c>
      <c r="E300" s="15" t="s">
        <v>82</v>
      </c>
      <c r="F300" s="34">
        <v>1</v>
      </c>
      <c r="G300" s="34">
        <v>1</v>
      </c>
      <c r="H300" s="35"/>
      <c r="I300" s="35">
        <f t="shared" si="14"/>
        <v>0</v>
      </c>
      <c r="J300" s="35"/>
      <c r="K300" s="35">
        <v>0</v>
      </c>
      <c r="L300" s="36">
        <f t="shared" si="15"/>
        <v>1</v>
      </c>
    </row>
    <row r="301" spans="1:12" x14ac:dyDescent="0.25">
      <c r="A301" s="21" t="s">
        <v>301</v>
      </c>
      <c r="B301" s="30" t="s">
        <v>301</v>
      </c>
      <c r="C301" s="21" t="s">
        <v>326</v>
      </c>
      <c r="D301" s="21" t="s">
        <v>65</v>
      </c>
      <c r="E301" s="21" t="s">
        <v>82</v>
      </c>
      <c r="F301" s="31">
        <v>3</v>
      </c>
      <c r="G301" s="31">
        <v>4</v>
      </c>
      <c r="H301" s="32"/>
      <c r="I301" s="32">
        <f t="shared" si="14"/>
        <v>0</v>
      </c>
      <c r="J301" s="32"/>
      <c r="K301" s="32">
        <v>0</v>
      </c>
      <c r="L301" s="33">
        <f t="shared" si="15"/>
        <v>4</v>
      </c>
    </row>
    <row r="302" spans="1:12" x14ac:dyDescent="0.25">
      <c r="A302" s="15" t="s">
        <v>301</v>
      </c>
      <c r="B302" s="14" t="s">
        <v>301</v>
      </c>
      <c r="C302" s="15" t="s">
        <v>308</v>
      </c>
      <c r="D302" s="15" t="s">
        <v>69</v>
      </c>
      <c r="E302" s="15" t="s">
        <v>90</v>
      </c>
      <c r="F302" s="15"/>
      <c r="G302" s="15"/>
      <c r="H302" s="35"/>
      <c r="I302" s="35">
        <f t="shared" si="14"/>
        <v>0</v>
      </c>
      <c r="J302" s="35"/>
      <c r="K302" s="35">
        <v>0</v>
      </c>
      <c r="L302" s="36">
        <f t="shared" si="15"/>
        <v>0</v>
      </c>
    </row>
    <row r="303" spans="1:12" x14ac:dyDescent="0.25">
      <c r="A303" s="21" t="s">
        <v>301</v>
      </c>
      <c r="B303" s="30" t="s">
        <v>301</v>
      </c>
      <c r="C303" s="21" t="s">
        <v>309</v>
      </c>
      <c r="D303" s="21" t="s">
        <v>65</v>
      </c>
      <c r="E303" s="21" t="s">
        <v>82</v>
      </c>
      <c r="F303" s="21"/>
      <c r="G303" s="21"/>
      <c r="H303" s="32"/>
      <c r="I303" s="32">
        <f t="shared" si="14"/>
        <v>0</v>
      </c>
      <c r="J303" s="32"/>
      <c r="K303" s="32">
        <v>0</v>
      </c>
      <c r="L303" s="33">
        <f t="shared" si="15"/>
        <v>0</v>
      </c>
    </row>
    <row r="304" spans="1:12" x14ac:dyDescent="0.25">
      <c r="A304" s="15" t="s">
        <v>301</v>
      </c>
      <c r="B304" s="14" t="s">
        <v>301</v>
      </c>
      <c r="C304" s="15" t="s">
        <v>327</v>
      </c>
      <c r="D304" s="15" t="s">
        <v>62</v>
      </c>
      <c r="E304" s="15" t="s">
        <v>159</v>
      </c>
      <c r="F304" s="15"/>
      <c r="G304" s="15"/>
      <c r="H304" s="35"/>
      <c r="I304" s="35">
        <f t="shared" si="14"/>
        <v>0</v>
      </c>
      <c r="J304" s="35"/>
      <c r="K304" s="35">
        <v>0</v>
      </c>
      <c r="L304" s="36">
        <f t="shared" si="15"/>
        <v>0</v>
      </c>
    </row>
    <row r="305" spans="1:12" x14ac:dyDescent="0.25">
      <c r="A305" s="21" t="s">
        <v>301</v>
      </c>
      <c r="B305" s="30" t="s">
        <v>301</v>
      </c>
      <c r="C305" s="21" t="s">
        <v>328</v>
      </c>
      <c r="D305" s="21" t="s">
        <v>65</v>
      </c>
      <c r="E305" s="21" t="s">
        <v>82</v>
      </c>
      <c r="F305" s="31">
        <v>2</v>
      </c>
      <c r="G305" s="31">
        <v>3</v>
      </c>
      <c r="H305" s="32"/>
      <c r="I305" s="32">
        <f t="shared" si="14"/>
        <v>0</v>
      </c>
      <c r="J305" s="32"/>
      <c r="K305" s="32">
        <v>0</v>
      </c>
      <c r="L305" s="33">
        <f t="shared" si="15"/>
        <v>3</v>
      </c>
    </row>
    <row r="306" spans="1:12" x14ac:dyDescent="0.25">
      <c r="A306" s="15" t="s">
        <v>301</v>
      </c>
      <c r="B306" s="14" t="s">
        <v>301</v>
      </c>
      <c r="C306" s="15" t="s">
        <v>329</v>
      </c>
      <c r="D306" s="15" t="s">
        <v>65</v>
      </c>
      <c r="E306" s="15" t="s">
        <v>82</v>
      </c>
      <c r="F306" s="34">
        <v>2</v>
      </c>
      <c r="G306" s="34">
        <v>3</v>
      </c>
      <c r="H306" s="35"/>
      <c r="I306" s="35">
        <f t="shared" si="14"/>
        <v>0</v>
      </c>
      <c r="J306" s="35"/>
      <c r="K306" s="35">
        <v>0</v>
      </c>
      <c r="L306" s="36">
        <f t="shared" si="15"/>
        <v>3</v>
      </c>
    </row>
    <row r="307" spans="1:12" x14ac:dyDescent="0.25">
      <c r="A307" s="21" t="s">
        <v>301</v>
      </c>
      <c r="B307" s="30" t="s">
        <v>301</v>
      </c>
      <c r="C307" s="21" t="s">
        <v>330</v>
      </c>
      <c r="D307" s="21" t="s">
        <v>65</v>
      </c>
      <c r="E307" s="21" t="s">
        <v>82</v>
      </c>
      <c r="F307" s="31">
        <v>2</v>
      </c>
      <c r="G307" s="31">
        <v>3</v>
      </c>
      <c r="H307" s="32"/>
      <c r="I307" s="32">
        <f t="shared" si="14"/>
        <v>0</v>
      </c>
      <c r="J307" s="32"/>
      <c r="K307" s="32">
        <v>0</v>
      </c>
      <c r="L307" s="33">
        <f t="shared" si="15"/>
        <v>3</v>
      </c>
    </row>
    <row r="308" spans="1:12" x14ac:dyDescent="0.25">
      <c r="A308" s="15" t="s">
        <v>301</v>
      </c>
      <c r="B308" s="14" t="s">
        <v>301</v>
      </c>
      <c r="C308" s="15" t="s">
        <v>331</v>
      </c>
      <c r="D308" s="15" t="s">
        <v>65</v>
      </c>
      <c r="E308" s="15" t="s">
        <v>82</v>
      </c>
      <c r="F308" s="34">
        <v>1</v>
      </c>
      <c r="G308" s="34">
        <v>2</v>
      </c>
      <c r="H308" s="35"/>
      <c r="I308" s="35">
        <f t="shared" si="14"/>
        <v>0</v>
      </c>
      <c r="J308" s="35"/>
      <c r="K308" s="35">
        <v>0</v>
      </c>
      <c r="L308" s="36">
        <f t="shared" si="15"/>
        <v>2</v>
      </c>
    </row>
    <row r="309" spans="1:12" x14ac:dyDescent="0.25">
      <c r="A309" s="21" t="s">
        <v>301</v>
      </c>
      <c r="B309" s="30" t="s">
        <v>301</v>
      </c>
      <c r="C309" s="21" t="s">
        <v>332</v>
      </c>
      <c r="D309" s="21" t="s">
        <v>67</v>
      </c>
      <c r="E309" s="21" t="s">
        <v>93</v>
      </c>
      <c r="F309" s="31">
        <v>5</v>
      </c>
      <c r="G309" s="31">
        <v>5</v>
      </c>
      <c r="H309" s="32"/>
      <c r="I309" s="32">
        <f t="shared" si="14"/>
        <v>0</v>
      </c>
      <c r="J309" s="32"/>
      <c r="K309" s="32">
        <v>0</v>
      </c>
      <c r="L309" s="33">
        <f t="shared" si="15"/>
        <v>5</v>
      </c>
    </row>
    <row r="310" spans="1:12" x14ac:dyDescent="0.25">
      <c r="A310" s="15" t="s">
        <v>301</v>
      </c>
      <c r="B310" s="14" t="s">
        <v>301</v>
      </c>
      <c r="C310" s="15" t="s">
        <v>310</v>
      </c>
      <c r="D310" s="15" t="s">
        <v>69</v>
      </c>
      <c r="E310" s="15" t="s">
        <v>90</v>
      </c>
      <c r="F310" s="15"/>
      <c r="G310" s="15"/>
      <c r="H310" s="35"/>
      <c r="I310" s="35">
        <f t="shared" si="14"/>
        <v>0</v>
      </c>
      <c r="J310" s="35"/>
      <c r="K310" s="35">
        <v>0</v>
      </c>
      <c r="L310" s="36">
        <f t="shared" si="15"/>
        <v>0</v>
      </c>
    </row>
    <row r="311" spans="1:12" x14ac:dyDescent="0.25">
      <c r="A311" s="21" t="s">
        <v>301</v>
      </c>
      <c r="B311" s="30" t="s">
        <v>301</v>
      </c>
      <c r="C311" s="21" t="s">
        <v>311</v>
      </c>
      <c r="D311" s="21" t="s">
        <v>65</v>
      </c>
      <c r="E311" s="21" t="s">
        <v>82</v>
      </c>
      <c r="F311" s="21"/>
      <c r="G311" s="21"/>
      <c r="H311" s="32"/>
      <c r="I311" s="32">
        <f t="shared" si="14"/>
        <v>0</v>
      </c>
      <c r="J311" s="32"/>
      <c r="K311" s="32">
        <v>0</v>
      </c>
      <c r="L311" s="33">
        <f t="shared" si="15"/>
        <v>0</v>
      </c>
    </row>
    <row r="312" spans="1:12" x14ac:dyDescent="0.25">
      <c r="A312" s="15" t="s">
        <v>301</v>
      </c>
      <c r="B312" s="14" t="s">
        <v>301</v>
      </c>
      <c r="C312" s="15" t="s">
        <v>313</v>
      </c>
      <c r="D312" s="15" t="s">
        <v>54</v>
      </c>
      <c r="E312" s="15" t="s">
        <v>84</v>
      </c>
      <c r="F312" s="15"/>
      <c r="G312" s="15"/>
      <c r="H312" s="35"/>
      <c r="I312" s="35">
        <f t="shared" si="14"/>
        <v>0</v>
      </c>
      <c r="J312" s="35"/>
      <c r="K312" s="35">
        <v>0</v>
      </c>
      <c r="L312" s="36">
        <f t="shared" si="15"/>
        <v>0</v>
      </c>
    </row>
    <row r="313" spans="1:12" x14ac:dyDescent="0.25">
      <c r="A313" s="21" t="s">
        <v>301</v>
      </c>
      <c r="B313" s="30" t="s">
        <v>301</v>
      </c>
      <c r="C313" s="21" t="s">
        <v>314</v>
      </c>
      <c r="D313" s="21" t="s">
        <v>53</v>
      </c>
      <c r="E313" s="21" t="s">
        <v>129</v>
      </c>
      <c r="F313" s="21"/>
      <c r="G313" s="21"/>
      <c r="H313" s="32"/>
      <c r="I313" s="32">
        <f t="shared" si="14"/>
        <v>0</v>
      </c>
      <c r="J313" s="32"/>
      <c r="K313" s="32">
        <v>0</v>
      </c>
      <c r="L313" s="33">
        <f t="shared" si="15"/>
        <v>0</v>
      </c>
    </row>
    <row r="314" spans="1:12" x14ac:dyDescent="0.25">
      <c r="A314" s="15" t="s">
        <v>301</v>
      </c>
      <c r="B314" s="14" t="s">
        <v>301</v>
      </c>
      <c r="C314" s="15" t="s">
        <v>315</v>
      </c>
      <c r="D314" s="15" t="s">
        <v>65</v>
      </c>
      <c r="E314" s="15" t="s">
        <v>82</v>
      </c>
      <c r="F314" s="34">
        <v>3</v>
      </c>
      <c r="G314" s="34">
        <v>4</v>
      </c>
      <c r="H314" s="35"/>
      <c r="I314" s="35">
        <f t="shared" si="14"/>
        <v>0</v>
      </c>
      <c r="J314" s="35"/>
      <c r="K314" s="35">
        <v>0</v>
      </c>
      <c r="L314" s="36">
        <f t="shared" si="15"/>
        <v>4</v>
      </c>
    </row>
    <row r="315" spans="1:12" x14ac:dyDescent="0.25">
      <c r="A315" s="21" t="s">
        <v>301</v>
      </c>
      <c r="B315" s="30" t="s">
        <v>301</v>
      </c>
      <c r="C315" s="21" t="s">
        <v>322</v>
      </c>
      <c r="D315" s="21" t="s">
        <v>65</v>
      </c>
      <c r="E315" s="21" t="s">
        <v>82</v>
      </c>
      <c r="F315" s="31">
        <v>2</v>
      </c>
      <c r="G315" s="31">
        <v>3</v>
      </c>
      <c r="H315" s="32"/>
      <c r="I315" s="32">
        <f t="shared" si="14"/>
        <v>0</v>
      </c>
      <c r="J315" s="32"/>
      <c r="K315" s="32">
        <v>0</v>
      </c>
      <c r="L315" s="33">
        <f t="shared" si="15"/>
        <v>3</v>
      </c>
    </row>
    <row r="316" spans="1:12" x14ac:dyDescent="0.25">
      <c r="A316" s="15" t="s">
        <v>301</v>
      </c>
      <c r="B316" s="14" t="s">
        <v>301</v>
      </c>
      <c r="C316" s="15" t="s">
        <v>323</v>
      </c>
      <c r="D316" s="15" t="s">
        <v>65</v>
      </c>
      <c r="E316" s="15" t="s">
        <v>82</v>
      </c>
      <c r="F316" s="34">
        <v>1</v>
      </c>
      <c r="G316" s="34">
        <v>1</v>
      </c>
      <c r="H316" s="35"/>
      <c r="I316" s="35">
        <f t="shared" si="14"/>
        <v>0</v>
      </c>
      <c r="J316" s="35"/>
      <c r="K316" s="35">
        <v>0</v>
      </c>
      <c r="L316" s="36">
        <f t="shared" si="15"/>
        <v>1</v>
      </c>
    </row>
    <row r="317" spans="1:12" x14ac:dyDescent="0.25">
      <c r="A317" s="21" t="s">
        <v>301</v>
      </c>
      <c r="B317" s="30" t="s">
        <v>301</v>
      </c>
      <c r="C317" s="21" t="s">
        <v>324</v>
      </c>
      <c r="D317" s="21" t="s">
        <v>65</v>
      </c>
      <c r="E317" s="21" t="s">
        <v>82</v>
      </c>
      <c r="F317" s="31">
        <v>1</v>
      </c>
      <c r="G317" s="31">
        <v>2</v>
      </c>
      <c r="H317" s="32"/>
      <c r="I317" s="32">
        <f t="shared" si="14"/>
        <v>0</v>
      </c>
      <c r="J317" s="32"/>
      <c r="K317" s="32">
        <v>0</v>
      </c>
      <c r="L317" s="33">
        <f t="shared" si="15"/>
        <v>2</v>
      </c>
    </row>
    <row r="318" spans="1:12" x14ac:dyDescent="0.25">
      <c r="A318" s="15" t="s">
        <v>301</v>
      </c>
      <c r="B318" s="14" t="s">
        <v>301</v>
      </c>
      <c r="C318" s="15" t="s">
        <v>316</v>
      </c>
      <c r="D318" s="15" t="s">
        <v>69</v>
      </c>
      <c r="E318" s="15" t="s">
        <v>90</v>
      </c>
      <c r="F318" s="15"/>
      <c r="G318" s="15"/>
      <c r="H318" s="35"/>
      <c r="I318" s="35">
        <f t="shared" si="14"/>
        <v>0</v>
      </c>
      <c r="J318" s="35"/>
      <c r="K318" s="35">
        <v>0</v>
      </c>
      <c r="L318" s="36">
        <f t="shared" si="15"/>
        <v>0</v>
      </c>
    </row>
    <row r="319" spans="1:12" x14ac:dyDescent="0.25">
      <c r="A319" s="21" t="s">
        <v>301</v>
      </c>
      <c r="B319" s="30" t="s">
        <v>301</v>
      </c>
      <c r="C319" s="21" t="s">
        <v>317</v>
      </c>
      <c r="D319" s="21" t="s">
        <v>65</v>
      </c>
      <c r="E319" s="21" t="s">
        <v>82</v>
      </c>
      <c r="F319" s="21"/>
      <c r="G319" s="21"/>
      <c r="H319" s="32"/>
      <c r="I319" s="32">
        <f t="shared" si="14"/>
        <v>0</v>
      </c>
      <c r="J319" s="32"/>
      <c r="K319" s="32">
        <v>0</v>
      </c>
      <c r="L319" s="33">
        <f t="shared" si="15"/>
        <v>0</v>
      </c>
    </row>
    <row r="320" spans="1:12" x14ac:dyDescent="0.25">
      <c r="A320" s="15" t="s">
        <v>301</v>
      </c>
      <c r="B320" s="14" t="s">
        <v>301</v>
      </c>
      <c r="C320" s="15" t="s">
        <v>318</v>
      </c>
      <c r="D320" s="15" t="s">
        <v>54</v>
      </c>
      <c r="E320" s="15" t="s">
        <v>84</v>
      </c>
      <c r="F320" s="15"/>
      <c r="G320" s="15"/>
      <c r="H320" s="35"/>
      <c r="I320" s="35">
        <f t="shared" si="14"/>
        <v>0</v>
      </c>
      <c r="J320" s="35"/>
      <c r="K320" s="35">
        <v>0</v>
      </c>
      <c r="L320" s="36">
        <f t="shared" si="15"/>
        <v>0</v>
      </c>
    </row>
    <row r="321" spans="1:12" x14ac:dyDescent="0.25">
      <c r="A321" s="21" t="s">
        <v>301</v>
      </c>
      <c r="B321" s="30" t="s">
        <v>301</v>
      </c>
      <c r="C321" s="21" t="s">
        <v>333</v>
      </c>
      <c r="D321" s="21" t="s">
        <v>65</v>
      </c>
      <c r="E321" s="21" t="s">
        <v>82</v>
      </c>
      <c r="F321" s="31">
        <v>3</v>
      </c>
      <c r="G321" s="31">
        <v>5</v>
      </c>
      <c r="H321" s="32"/>
      <c r="I321" s="32">
        <f t="shared" si="14"/>
        <v>0</v>
      </c>
      <c r="J321" s="32"/>
      <c r="K321" s="32">
        <v>0</v>
      </c>
      <c r="L321" s="33">
        <f t="shared" si="15"/>
        <v>5</v>
      </c>
    </row>
    <row r="322" spans="1:12" x14ac:dyDescent="0.25">
      <c r="A322" s="15" t="s">
        <v>301</v>
      </c>
      <c r="B322" s="14" t="s">
        <v>301</v>
      </c>
      <c r="C322" s="15" t="s">
        <v>334</v>
      </c>
      <c r="D322" s="15" t="s">
        <v>65</v>
      </c>
      <c r="E322" s="15" t="s">
        <v>82</v>
      </c>
      <c r="F322" s="34">
        <v>1</v>
      </c>
      <c r="G322" s="34">
        <v>2</v>
      </c>
      <c r="H322" s="35"/>
      <c r="I322" s="35">
        <f t="shared" si="14"/>
        <v>0</v>
      </c>
      <c r="J322" s="35"/>
      <c r="K322" s="35">
        <v>0</v>
      </c>
      <c r="L322" s="36">
        <f t="shared" si="15"/>
        <v>2</v>
      </c>
    </row>
    <row r="323" spans="1:12" x14ac:dyDescent="0.25">
      <c r="A323" s="21" t="s">
        <v>301</v>
      </c>
      <c r="B323" s="30" t="s">
        <v>301</v>
      </c>
      <c r="C323" s="21" t="s">
        <v>335</v>
      </c>
      <c r="D323" s="21" t="s">
        <v>65</v>
      </c>
      <c r="E323" s="21" t="s">
        <v>82</v>
      </c>
      <c r="F323" s="31">
        <v>1</v>
      </c>
      <c r="G323" s="31">
        <v>2</v>
      </c>
      <c r="H323" s="32"/>
      <c r="I323" s="32">
        <f t="shared" si="14"/>
        <v>0</v>
      </c>
      <c r="J323" s="32"/>
      <c r="K323" s="32">
        <v>0</v>
      </c>
      <c r="L323" s="33">
        <f t="shared" si="15"/>
        <v>2</v>
      </c>
    </row>
    <row r="324" spans="1:12" x14ac:dyDescent="0.25">
      <c r="A324" s="15" t="s">
        <v>301</v>
      </c>
      <c r="B324" s="14" t="s">
        <v>301</v>
      </c>
      <c r="C324" s="15" t="s">
        <v>336</v>
      </c>
      <c r="D324" s="15" t="s">
        <v>65</v>
      </c>
      <c r="E324" s="15" t="s">
        <v>82</v>
      </c>
      <c r="F324" s="34">
        <v>1</v>
      </c>
      <c r="G324" s="34">
        <v>2</v>
      </c>
      <c r="H324" s="35"/>
      <c r="I324" s="35">
        <f t="shared" si="14"/>
        <v>0</v>
      </c>
      <c r="J324" s="35"/>
      <c r="K324" s="35">
        <v>0</v>
      </c>
      <c r="L324" s="36">
        <f t="shared" si="15"/>
        <v>2</v>
      </c>
    </row>
    <row r="325" spans="1:12" x14ac:dyDescent="0.25">
      <c r="A325" s="21" t="s">
        <v>301</v>
      </c>
      <c r="B325" s="30" t="s">
        <v>301</v>
      </c>
      <c r="C325" s="21" t="s">
        <v>337</v>
      </c>
      <c r="D325" s="21" t="s">
        <v>65</v>
      </c>
      <c r="E325" s="21" t="s">
        <v>82</v>
      </c>
      <c r="F325" s="31">
        <v>1</v>
      </c>
      <c r="G325" s="31">
        <v>2</v>
      </c>
      <c r="H325" s="32"/>
      <c r="I325" s="32">
        <f t="shared" si="14"/>
        <v>0</v>
      </c>
      <c r="J325" s="32"/>
      <c r="K325" s="32">
        <v>0</v>
      </c>
      <c r="L325" s="33">
        <f t="shared" si="15"/>
        <v>2</v>
      </c>
    </row>
    <row r="326" spans="1:12" x14ac:dyDescent="0.25">
      <c r="A326" s="15" t="s">
        <v>301</v>
      </c>
      <c r="B326" s="14" t="s">
        <v>301</v>
      </c>
      <c r="C326" s="15" t="s">
        <v>338</v>
      </c>
      <c r="D326" s="15" t="s">
        <v>65</v>
      </c>
      <c r="E326" s="15" t="s">
        <v>82</v>
      </c>
      <c r="F326" s="34">
        <v>1</v>
      </c>
      <c r="G326" s="34">
        <v>2</v>
      </c>
      <c r="H326" s="35"/>
      <c r="I326" s="35">
        <f t="shared" si="14"/>
        <v>0</v>
      </c>
      <c r="J326" s="35"/>
      <c r="K326" s="35">
        <v>0</v>
      </c>
      <c r="L326" s="36">
        <f t="shared" si="15"/>
        <v>2</v>
      </c>
    </row>
    <row r="327" spans="1:12" x14ac:dyDescent="0.25">
      <c r="A327" s="21" t="s">
        <v>301</v>
      </c>
      <c r="B327" s="30" t="s">
        <v>301</v>
      </c>
      <c r="C327" s="21" t="s">
        <v>339</v>
      </c>
      <c r="D327" s="21" t="s">
        <v>65</v>
      </c>
      <c r="E327" s="21" t="s">
        <v>82</v>
      </c>
      <c r="F327" s="31">
        <v>3</v>
      </c>
      <c r="G327" s="31">
        <v>5</v>
      </c>
      <c r="H327" s="32"/>
      <c r="I327" s="32">
        <f t="shared" si="14"/>
        <v>0</v>
      </c>
      <c r="J327" s="32"/>
      <c r="K327" s="32">
        <v>0</v>
      </c>
      <c r="L327" s="33">
        <f t="shared" si="15"/>
        <v>5</v>
      </c>
    </row>
    <row r="328" spans="1:12" x14ac:dyDescent="0.25">
      <c r="A328" s="15" t="s">
        <v>301</v>
      </c>
      <c r="B328" s="14" t="s">
        <v>301</v>
      </c>
      <c r="C328" s="15" t="s">
        <v>320</v>
      </c>
      <c r="D328" s="15" t="s">
        <v>69</v>
      </c>
      <c r="E328" s="15" t="s">
        <v>90</v>
      </c>
      <c r="F328" s="15"/>
      <c r="G328" s="15"/>
      <c r="H328" s="35"/>
      <c r="I328" s="35">
        <f t="shared" si="14"/>
        <v>0</v>
      </c>
      <c r="J328" s="35"/>
      <c r="K328" s="35">
        <v>0</v>
      </c>
      <c r="L328" s="36">
        <f t="shared" si="15"/>
        <v>0</v>
      </c>
    </row>
    <row r="329" spans="1:12" x14ac:dyDescent="0.25">
      <c r="A329" s="21" t="s">
        <v>301</v>
      </c>
      <c r="B329" s="30" t="s">
        <v>301</v>
      </c>
      <c r="C329" s="21" t="s">
        <v>340</v>
      </c>
      <c r="D329" s="21" t="s">
        <v>57</v>
      </c>
      <c r="E329" s="21" t="s">
        <v>136</v>
      </c>
      <c r="F329" s="21"/>
      <c r="G329" s="21"/>
      <c r="H329" s="32"/>
      <c r="I329" s="32">
        <f t="shared" si="14"/>
        <v>0</v>
      </c>
      <c r="J329" s="32"/>
      <c r="K329" s="32">
        <v>0</v>
      </c>
      <c r="L329" s="33">
        <f t="shared" si="15"/>
        <v>0</v>
      </c>
    </row>
    <row r="330" spans="1:12" x14ac:dyDescent="0.25">
      <c r="A330" s="15" t="s">
        <v>301</v>
      </c>
      <c r="B330" s="14" t="s">
        <v>301</v>
      </c>
      <c r="C330" s="15" t="s">
        <v>341</v>
      </c>
      <c r="D330" s="15" t="s">
        <v>57</v>
      </c>
      <c r="E330" s="15" t="s">
        <v>136</v>
      </c>
      <c r="F330" s="15"/>
      <c r="G330" s="15"/>
      <c r="H330" s="35"/>
      <c r="I330" s="35">
        <f t="shared" si="14"/>
        <v>0</v>
      </c>
      <c r="J330" s="35"/>
      <c r="K330" s="35">
        <v>0</v>
      </c>
      <c r="L330" s="36">
        <f t="shared" si="15"/>
        <v>0</v>
      </c>
    </row>
    <row r="331" spans="1:12" x14ac:dyDescent="0.25">
      <c r="A331" s="21" t="s">
        <v>301</v>
      </c>
      <c r="B331" s="30" t="s">
        <v>301</v>
      </c>
      <c r="C331" s="21" t="s">
        <v>342</v>
      </c>
      <c r="D331" s="21" t="s">
        <v>57</v>
      </c>
      <c r="E331" s="21" t="s">
        <v>136</v>
      </c>
      <c r="F331" s="21"/>
      <c r="G331" s="21"/>
      <c r="H331" s="32"/>
      <c r="I331" s="32">
        <f t="shared" si="14"/>
        <v>0</v>
      </c>
      <c r="J331" s="32"/>
      <c r="K331" s="32">
        <v>0</v>
      </c>
      <c r="L331" s="33">
        <f t="shared" si="15"/>
        <v>0</v>
      </c>
    </row>
    <row r="332" spans="1:12" x14ac:dyDescent="0.25">
      <c r="A332" s="21" t="s">
        <v>345</v>
      </c>
      <c r="B332" s="30" t="s">
        <v>345</v>
      </c>
      <c r="C332" s="21" t="s">
        <v>346</v>
      </c>
      <c r="D332" s="21" t="s">
        <v>47</v>
      </c>
      <c r="E332" s="21" t="s">
        <v>79</v>
      </c>
      <c r="F332" s="31">
        <v>3</v>
      </c>
      <c r="G332" s="31">
        <v>2</v>
      </c>
      <c r="H332" s="32"/>
      <c r="I332" s="32">
        <f t="shared" si="14"/>
        <v>0</v>
      </c>
      <c r="J332" s="32"/>
      <c r="K332" s="32">
        <v>0</v>
      </c>
      <c r="L332" s="33">
        <f t="shared" si="15"/>
        <v>2</v>
      </c>
    </row>
    <row r="333" spans="1:12" x14ac:dyDescent="0.25">
      <c r="A333" s="15" t="s">
        <v>345</v>
      </c>
      <c r="B333" s="14" t="s">
        <v>345</v>
      </c>
      <c r="C333" s="15" t="s">
        <v>347</v>
      </c>
      <c r="D333" s="15" t="s">
        <v>67</v>
      </c>
      <c r="E333" s="15" t="s">
        <v>93</v>
      </c>
      <c r="F333" s="15"/>
      <c r="G333" s="15"/>
      <c r="H333" s="35"/>
      <c r="I333" s="35">
        <f t="shared" si="14"/>
        <v>0</v>
      </c>
      <c r="J333" s="35"/>
      <c r="K333" s="35">
        <v>0</v>
      </c>
      <c r="L333" s="36">
        <f t="shared" si="15"/>
        <v>0</v>
      </c>
    </row>
    <row r="334" spans="1:12" x14ac:dyDescent="0.25">
      <c r="A334" s="21" t="s">
        <v>345</v>
      </c>
      <c r="B334" s="30" t="s">
        <v>345</v>
      </c>
      <c r="C334" s="21" t="s">
        <v>348</v>
      </c>
      <c r="D334" s="21" t="s">
        <v>67</v>
      </c>
      <c r="E334" s="21" t="s">
        <v>93</v>
      </c>
      <c r="F334" s="21"/>
      <c r="G334" s="21"/>
      <c r="H334" s="32"/>
      <c r="I334" s="32">
        <f t="shared" si="14"/>
        <v>0</v>
      </c>
      <c r="J334" s="32"/>
      <c r="K334" s="32">
        <v>0</v>
      </c>
      <c r="L334" s="33">
        <f t="shared" si="15"/>
        <v>0</v>
      </c>
    </row>
    <row r="335" spans="1:12" x14ac:dyDescent="0.25">
      <c r="A335" s="15" t="s">
        <v>345</v>
      </c>
      <c r="B335" s="14" t="s">
        <v>345</v>
      </c>
      <c r="C335" s="15" t="s">
        <v>349</v>
      </c>
      <c r="D335" s="15" t="s">
        <v>67</v>
      </c>
      <c r="E335" s="15" t="s">
        <v>93</v>
      </c>
      <c r="F335" s="15"/>
      <c r="G335" s="15"/>
      <c r="H335" s="35"/>
      <c r="I335" s="35">
        <f t="shared" si="14"/>
        <v>0</v>
      </c>
      <c r="J335" s="35"/>
      <c r="K335" s="35">
        <v>0</v>
      </c>
      <c r="L335" s="36">
        <f t="shared" si="15"/>
        <v>0</v>
      </c>
    </row>
    <row r="336" spans="1:12" x14ac:dyDescent="0.25">
      <c r="A336" s="21" t="s">
        <v>345</v>
      </c>
      <c r="B336" s="30" t="s">
        <v>345</v>
      </c>
      <c r="C336" s="21" t="s">
        <v>350</v>
      </c>
      <c r="D336" s="21" t="s">
        <v>67</v>
      </c>
      <c r="E336" s="21" t="s">
        <v>93</v>
      </c>
      <c r="F336" s="21"/>
      <c r="G336" s="21"/>
      <c r="H336" s="32"/>
      <c r="I336" s="32">
        <f t="shared" si="14"/>
        <v>0</v>
      </c>
      <c r="J336" s="32"/>
      <c r="K336" s="32">
        <v>0</v>
      </c>
      <c r="L336" s="33">
        <f t="shared" si="15"/>
        <v>0</v>
      </c>
    </row>
    <row r="337" spans="1:12" x14ac:dyDescent="0.25">
      <c r="A337" s="15" t="s">
        <v>345</v>
      </c>
      <c r="B337" s="14" t="s">
        <v>345</v>
      </c>
      <c r="C337" s="15" t="s">
        <v>351</v>
      </c>
      <c r="D337" s="15" t="s">
        <v>67</v>
      </c>
      <c r="E337" s="15" t="s">
        <v>93</v>
      </c>
      <c r="F337" s="15"/>
      <c r="G337" s="15"/>
      <c r="H337" s="35"/>
      <c r="I337" s="35">
        <f t="shared" si="14"/>
        <v>0</v>
      </c>
      <c r="J337" s="35"/>
      <c r="K337" s="35">
        <v>0</v>
      </c>
      <c r="L337" s="36">
        <f t="shared" si="15"/>
        <v>0</v>
      </c>
    </row>
    <row r="338" spans="1:12" x14ac:dyDescent="0.25">
      <c r="A338" s="21" t="s">
        <v>345</v>
      </c>
      <c r="B338" s="30" t="s">
        <v>345</v>
      </c>
      <c r="C338" s="21" t="s">
        <v>352</v>
      </c>
      <c r="D338" s="21" t="s">
        <v>69</v>
      </c>
      <c r="E338" s="21" t="s">
        <v>90</v>
      </c>
      <c r="F338" s="21"/>
      <c r="G338" s="21"/>
      <c r="H338" s="32"/>
      <c r="I338" s="32">
        <f t="shared" si="14"/>
        <v>0</v>
      </c>
      <c r="J338" s="32"/>
      <c r="K338" s="32">
        <v>0</v>
      </c>
      <c r="L338" s="33">
        <f t="shared" si="15"/>
        <v>0</v>
      </c>
    </row>
    <row r="339" spans="1:12" x14ac:dyDescent="0.25">
      <c r="A339" s="15" t="s">
        <v>345</v>
      </c>
      <c r="B339" s="14" t="s">
        <v>345</v>
      </c>
      <c r="C339" s="15" t="s">
        <v>353</v>
      </c>
      <c r="D339" s="15" t="s">
        <v>67</v>
      </c>
      <c r="E339" s="15" t="s">
        <v>93</v>
      </c>
      <c r="F339" s="34">
        <v>1</v>
      </c>
      <c r="G339" s="34">
        <v>5</v>
      </c>
      <c r="H339" s="35"/>
      <c r="I339" s="35">
        <f t="shared" si="14"/>
        <v>0</v>
      </c>
      <c r="J339" s="35"/>
      <c r="K339" s="35">
        <v>0</v>
      </c>
      <c r="L339" s="36">
        <f t="shared" si="15"/>
        <v>5</v>
      </c>
    </row>
    <row r="340" spans="1:12" x14ac:dyDescent="0.25">
      <c r="A340" s="21" t="s">
        <v>345</v>
      </c>
      <c r="B340" s="30" t="s">
        <v>345</v>
      </c>
      <c r="C340" s="21" t="s">
        <v>353</v>
      </c>
      <c r="D340" s="21" t="s">
        <v>65</v>
      </c>
      <c r="E340" s="21" t="s">
        <v>82</v>
      </c>
      <c r="F340" s="31">
        <v>3</v>
      </c>
      <c r="G340" s="31">
        <v>5</v>
      </c>
      <c r="H340" s="32"/>
      <c r="I340" s="32">
        <f t="shared" si="14"/>
        <v>0</v>
      </c>
      <c r="J340" s="32"/>
      <c r="K340" s="32">
        <v>0</v>
      </c>
      <c r="L340" s="33">
        <f t="shared" si="15"/>
        <v>5</v>
      </c>
    </row>
    <row r="341" spans="1:12" x14ac:dyDescent="0.25">
      <c r="A341" s="15" t="s">
        <v>345</v>
      </c>
      <c r="B341" s="14" t="s">
        <v>345</v>
      </c>
      <c r="C341" s="15" t="s">
        <v>354</v>
      </c>
      <c r="D341" s="15" t="s">
        <v>67</v>
      </c>
      <c r="E341" s="15" t="s">
        <v>93</v>
      </c>
      <c r="F341" s="34">
        <v>2</v>
      </c>
      <c r="G341" s="34">
        <v>5</v>
      </c>
      <c r="H341" s="35"/>
      <c r="I341" s="35">
        <f t="shared" si="14"/>
        <v>0</v>
      </c>
      <c r="J341" s="35"/>
      <c r="K341" s="35">
        <v>0</v>
      </c>
      <c r="L341" s="36">
        <f t="shared" si="15"/>
        <v>5</v>
      </c>
    </row>
    <row r="342" spans="1:12" x14ac:dyDescent="0.25">
      <c r="A342" s="21" t="s">
        <v>345</v>
      </c>
      <c r="B342" s="30" t="s">
        <v>345</v>
      </c>
      <c r="C342" s="21" t="s">
        <v>354</v>
      </c>
      <c r="D342" s="21" t="s">
        <v>67</v>
      </c>
      <c r="E342" s="21" t="s">
        <v>93</v>
      </c>
      <c r="F342" s="31">
        <v>1</v>
      </c>
      <c r="G342" s="31">
        <v>7</v>
      </c>
      <c r="H342" s="32"/>
      <c r="I342" s="32">
        <f t="shared" si="14"/>
        <v>0</v>
      </c>
      <c r="J342" s="32"/>
      <c r="K342" s="32">
        <v>0</v>
      </c>
      <c r="L342" s="33">
        <f t="shared" si="15"/>
        <v>7</v>
      </c>
    </row>
    <row r="343" spans="1:12" x14ac:dyDescent="0.25">
      <c r="A343" s="15" t="s">
        <v>345</v>
      </c>
      <c r="B343" s="14" t="s">
        <v>345</v>
      </c>
      <c r="C343" s="15" t="s">
        <v>355</v>
      </c>
      <c r="D343" s="15" t="s">
        <v>65</v>
      </c>
      <c r="E343" s="15" t="s">
        <v>82</v>
      </c>
      <c r="F343" s="34">
        <v>7</v>
      </c>
      <c r="G343" s="34">
        <v>20</v>
      </c>
      <c r="H343" s="35"/>
      <c r="I343" s="35">
        <f t="shared" si="14"/>
        <v>0</v>
      </c>
      <c r="J343" s="35"/>
      <c r="K343" s="35">
        <v>0</v>
      </c>
      <c r="L343" s="36">
        <f t="shared" si="15"/>
        <v>20</v>
      </c>
    </row>
    <row r="344" spans="1:12" x14ac:dyDescent="0.25">
      <c r="A344" s="21" t="s">
        <v>345</v>
      </c>
      <c r="B344" s="30" t="s">
        <v>345</v>
      </c>
      <c r="C344" s="21" t="s">
        <v>355</v>
      </c>
      <c r="D344" s="21" t="s">
        <v>67</v>
      </c>
      <c r="E344" s="21" t="s">
        <v>93</v>
      </c>
      <c r="F344" s="31">
        <v>3</v>
      </c>
      <c r="G344" s="31">
        <v>50</v>
      </c>
      <c r="H344" s="32"/>
      <c r="I344" s="32">
        <f t="shared" si="14"/>
        <v>0</v>
      </c>
      <c r="J344" s="32"/>
      <c r="K344" s="32">
        <v>0</v>
      </c>
      <c r="L344" s="33">
        <f t="shared" si="15"/>
        <v>50</v>
      </c>
    </row>
    <row r="345" spans="1:12" x14ac:dyDescent="0.25">
      <c r="A345" s="15" t="s">
        <v>345</v>
      </c>
      <c r="B345" s="14" t="s">
        <v>345</v>
      </c>
      <c r="C345" s="15" t="s">
        <v>356</v>
      </c>
      <c r="D345" s="15" t="s">
        <v>67</v>
      </c>
      <c r="E345" s="15" t="s">
        <v>93</v>
      </c>
      <c r="F345" s="15"/>
      <c r="G345" s="15"/>
      <c r="H345" s="35"/>
      <c r="I345" s="35">
        <f t="shared" si="14"/>
        <v>0</v>
      </c>
      <c r="J345" s="35"/>
      <c r="K345" s="35">
        <v>0</v>
      </c>
      <c r="L345" s="36">
        <f t="shared" si="15"/>
        <v>0</v>
      </c>
    </row>
    <row r="346" spans="1:12" x14ac:dyDescent="0.25">
      <c r="A346" s="21" t="s">
        <v>345</v>
      </c>
      <c r="B346" s="30" t="s">
        <v>345</v>
      </c>
      <c r="C346" s="21" t="s">
        <v>357</v>
      </c>
      <c r="D346" s="21" t="s">
        <v>67</v>
      </c>
      <c r="E346" s="21" t="s">
        <v>93</v>
      </c>
      <c r="F346" s="31">
        <v>3</v>
      </c>
      <c r="G346" s="31">
        <v>4</v>
      </c>
      <c r="H346" s="32"/>
      <c r="I346" s="32">
        <f t="shared" si="14"/>
        <v>0</v>
      </c>
      <c r="J346" s="32"/>
      <c r="K346" s="32">
        <v>0</v>
      </c>
      <c r="L346" s="33">
        <f t="shared" si="15"/>
        <v>4</v>
      </c>
    </row>
    <row r="347" spans="1:12" x14ac:dyDescent="0.25">
      <c r="A347" s="15" t="s">
        <v>345</v>
      </c>
      <c r="B347" s="14" t="s">
        <v>345</v>
      </c>
      <c r="C347" s="15" t="s">
        <v>358</v>
      </c>
      <c r="D347" s="15" t="s">
        <v>67</v>
      </c>
      <c r="E347" s="15" t="s">
        <v>93</v>
      </c>
      <c r="F347" s="34">
        <v>1</v>
      </c>
      <c r="G347" s="34">
        <v>2</v>
      </c>
      <c r="H347" s="35"/>
      <c r="I347" s="35">
        <f t="shared" si="14"/>
        <v>0</v>
      </c>
      <c r="J347" s="35"/>
      <c r="K347" s="35">
        <v>0</v>
      </c>
      <c r="L347" s="36">
        <f t="shared" si="15"/>
        <v>2</v>
      </c>
    </row>
    <row r="348" spans="1:12" x14ac:dyDescent="0.25">
      <c r="A348" s="21" t="s">
        <v>345</v>
      </c>
      <c r="B348" s="30" t="s">
        <v>345</v>
      </c>
      <c r="C348" s="21" t="s">
        <v>347</v>
      </c>
      <c r="D348" s="21" t="s">
        <v>67</v>
      </c>
      <c r="E348" s="21" t="s">
        <v>93</v>
      </c>
      <c r="F348" s="31">
        <v>2</v>
      </c>
      <c r="G348" s="31">
        <v>3</v>
      </c>
      <c r="H348" s="32"/>
      <c r="I348" s="32">
        <f t="shared" si="14"/>
        <v>0</v>
      </c>
      <c r="J348" s="32"/>
      <c r="K348" s="32">
        <v>0</v>
      </c>
      <c r="L348" s="33">
        <f t="shared" si="15"/>
        <v>3</v>
      </c>
    </row>
    <row r="349" spans="1:12" x14ac:dyDescent="0.25">
      <c r="A349" s="15" t="s">
        <v>345</v>
      </c>
      <c r="B349" s="14" t="s">
        <v>345</v>
      </c>
      <c r="C349" s="15" t="s">
        <v>359</v>
      </c>
      <c r="D349" s="15" t="s">
        <v>67</v>
      </c>
      <c r="E349" s="15" t="s">
        <v>93</v>
      </c>
      <c r="F349" s="15"/>
      <c r="G349" s="15"/>
      <c r="H349" s="35"/>
      <c r="I349" s="35">
        <f t="shared" si="14"/>
        <v>0</v>
      </c>
      <c r="J349" s="35"/>
      <c r="K349" s="35">
        <v>0</v>
      </c>
      <c r="L349" s="36">
        <f t="shared" si="15"/>
        <v>0</v>
      </c>
    </row>
    <row r="350" spans="1:12" x14ac:dyDescent="0.25">
      <c r="A350" s="21" t="s">
        <v>345</v>
      </c>
      <c r="B350" s="30" t="s">
        <v>345</v>
      </c>
      <c r="C350" s="21" t="s">
        <v>360</v>
      </c>
      <c r="D350" s="21" t="s">
        <v>67</v>
      </c>
      <c r="E350" s="21" t="s">
        <v>93</v>
      </c>
      <c r="F350" s="31">
        <v>1</v>
      </c>
      <c r="G350" s="31">
        <v>2</v>
      </c>
      <c r="H350" s="32"/>
      <c r="I350" s="32">
        <f t="shared" si="14"/>
        <v>0</v>
      </c>
      <c r="J350" s="32"/>
      <c r="K350" s="32">
        <v>0</v>
      </c>
      <c r="L350" s="33">
        <f t="shared" si="15"/>
        <v>2</v>
      </c>
    </row>
    <row r="351" spans="1:12" x14ac:dyDescent="0.25">
      <c r="A351" s="15" t="s">
        <v>345</v>
      </c>
      <c r="B351" s="14" t="s">
        <v>345</v>
      </c>
      <c r="C351" s="15" t="s">
        <v>361</v>
      </c>
      <c r="D351" s="15" t="s">
        <v>67</v>
      </c>
      <c r="E351" s="15" t="s">
        <v>93</v>
      </c>
      <c r="F351" s="34">
        <v>3</v>
      </c>
      <c r="G351" s="34">
        <v>5</v>
      </c>
      <c r="H351" s="35"/>
      <c r="I351" s="35">
        <f t="shared" si="14"/>
        <v>0</v>
      </c>
      <c r="J351" s="35"/>
      <c r="K351" s="35">
        <v>0</v>
      </c>
      <c r="L351" s="36">
        <f t="shared" si="15"/>
        <v>5</v>
      </c>
    </row>
    <row r="352" spans="1:12" x14ac:dyDescent="0.25">
      <c r="A352" s="21" t="s">
        <v>345</v>
      </c>
      <c r="B352" s="30" t="s">
        <v>345</v>
      </c>
      <c r="C352" s="21" t="s">
        <v>362</v>
      </c>
      <c r="D352" s="21" t="s">
        <v>67</v>
      </c>
      <c r="E352" s="21" t="s">
        <v>93</v>
      </c>
      <c r="F352" s="31">
        <v>4</v>
      </c>
      <c r="G352" s="31">
        <v>6</v>
      </c>
      <c r="H352" s="32"/>
      <c r="I352" s="32">
        <f t="shared" ref="I352:I415" si="16">IF(H352="",0,G352)</f>
        <v>0</v>
      </c>
      <c r="J352" s="32"/>
      <c r="K352" s="32">
        <v>0</v>
      </c>
      <c r="L352" s="33">
        <f t="shared" ref="L352:L415" si="17">G352-I352-K352</f>
        <v>6</v>
      </c>
    </row>
    <row r="353" spans="1:12" x14ac:dyDescent="0.25">
      <c r="A353" s="15" t="s">
        <v>345</v>
      </c>
      <c r="B353" s="14" t="s">
        <v>345</v>
      </c>
      <c r="C353" s="15" t="s">
        <v>363</v>
      </c>
      <c r="D353" s="15" t="s">
        <v>67</v>
      </c>
      <c r="E353" s="15" t="s">
        <v>93</v>
      </c>
      <c r="F353" s="34">
        <v>4</v>
      </c>
      <c r="G353" s="34">
        <v>6</v>
      </c>
      <c r="H353" s="35"/>
      <c r="I353" s="35">
        <f t="shared" si="16"/>
        <v>0</v>
      </c>
      <c r="J353" s="35"/>
      <c r="K353" s="35">
        <v>0</v>
      </c>
      <c r="L353" s="36">
        <f t="shared" si="17"/>
        <v>6</v>
      </c>
    </row>
    <row r="354" spans="1:12" x14ac:dyDescent="0.25">
      <c r="A354" s="21" t="s">
        <v>345</v>
      </c>
      <c r="B354" s="30" t="s">
        <v>345</v>
      </c>
      <c r="C354" s="21" t="s">
        <v>364</v>
      </c>
      <c r="D354" s="21" t="s">
        <v>67</v>
      </c>
      <c r="E354" s="21" t="s">
        <v>93</v>
      </c>
      <c r="F354" s="21"/>
      <c r="G354" s="21"/>
      <c r="H354" s="32"/>
      <c r="I354" s="32">
        <f t="shared" si="16"/>
        <v>0</v>
      </c>
      <c r="J354" s="32"/>
      <c r="K354" s="32">
        <v>0</v>
      </c>
      <c r="L354" s="33">
        <f t="shared" si="17"/>
        <v>0</v>
      </c>
    </row>
    <row r="355" spans="1:12" x14ac:dyDescent="0.25">
      <c r="A355" s="15" t="s">
        <v>345</v>
      </c>
      <c r="B355" s="14" t="s">
        <v>345</v>
      </c>
      <c r="C355" s="15" t="s">
        <v>365</v>
      </c>
      <c r="D355" s="15" t="s">
        <v>67</v>
      </c>
      <c r="E355" s="15" t="s">
        <v>93</v>
      </c>
      <c r="F355" s="34">
        <v>2</v>
      </c>
      <c r="G355" s="34">
        <v>3</v>
      </c>
      <c r="H355" s="35"/>
      <c r="I355" s="35">
        <f t="shared" si="16"/>
        <v>0</v>
      </c>
      <c r="J355" s="35"/>
      <c r="K355" s="35">
        <v>0</v>
      </c>
      <c r="L355" s="36">
        <f t="shared" si="17"/>
        <v>3</v>
      </c>
    </row>
    <row r="356" spans="1:12" x14ac:dyDescent="0.25">
      <c r="A356" s="21" t="s">
        <v>345</v>
      </c>
      <c r="B356" s="30" t="s">
        <v>345</v>
      </c>
      <c r="C356" s="21" t="s">
        <v>366</v>
      </c>
      <c r="D356" s="21" t="s">
        <v>67</v>
      </c>
      <c r="E356" s="21" t="s">
        <v>93</v>
      </c>
      <c r="F356" s="21"/>
      <c r="G356" s="21"/>
      <c r="H356" s="32"/>
      <c r="I356" s="32">
        <f t="shared" si="16"/>
        <v>0</v>
      </c>
      <c r="J356" s="32"/>
      <c r="K356" s="32">
        <v>0</v>
      </c>
      <c r="L356" s="33">
        <f t="shared" si="17"/>
        <v>0</v>
      </c>
    </row>
    <row r="357" spans="1:12" x14ac:dyDescent="0.25">
      <c r="A357" s="15" t="s">
        <v>345</v>
      </c>
      <c r="B357" s="14" t="s">
        <v>345</v>
      </c>
      <c r="C357" s="15" t="s">
        <v>367</v>
      </c>
      <c r="D357" s="15" t="s">
        <v>67</v>
      </c>
      <c r="E357" s="15" t="s">
        <v>93</v>
      </c>
      <c r="F357" s="34">
        <v>1</v>
      </c>
      <c r="G357" s="34">
        <v>2</v>
      </c>
      <c r="H357" s="35"/>
      <c r="I357" s="35">
        <f t="shared" si="16"/>
        <v>0</v>
      </c>
      <c r="J357" s="35"/>
      <c r="K357" s="35">
        <v>0</v>
      </c>
      <c r="L357" s="36">
        <f t="shared" si="17"/>
        <v>2</v>
      </c>
    </row>
    <row r="358" spans="1:12" x14ac:dyDescent="0.25">
      <c r="A358" s="21" t="s">
        <v>345</v>
      </c>
      <c r="B358" s="30" t="s">
        <v>345</v>
      </c>
      <c r="C358" s="21" t="s">
        <v>368</v>
      </c>
      <c r="D358" s="21" t="s">
        <v>67</v>
      </c>
      <c r="E358" s="21" t="s">
        <v>93</v>
      </c>
      <c r="F358" s="31">
        <v>3</v>
      </c>
      <c r="G358" s="31">
        <v>4</v>
      </c>
      <c r="H358" s="32"/>
      <c r="I358" s="32">
        <f t="shared" si="16"/>
        <v>0</v>
      </c>
      <c r="J358" s="32"/>
      <c r="K358" s="32">
        <v>0</v>
      </c>
      <c r="L358" s="33">
        <f t="shared" si="17"/>
        <v>4</v>
      </c>
    </row>
    <row r="359" spans="1:12" x14ac:dyDescent="0.25">
      <c r="A359" s="15" t="s">
        <v>345</v>
      </c>
      <c r="B359" s="14" t="s">
        <v>345</v>
      </c>
      <c r="C359" s="15" t="s">
        <v>369</v>
      </c>
      <c r="D359" s="15" t="s">
        <v>67</v>
      </c>
      <c r="E359" s="15" t="s">
        <v>93</v>
      </c>
      <c r="F359" s="34">
        <v>2</v>
      </c>
      <c r="G359" s="34">
        <v>3</v>
      </c>
      <c r="H359" s="35"/>
      <c r="I359" s="35">
        <f t="shared" si="16"/>
        <v>0</v>
      </c>
      <c r="J359" s="35"/>
      <c r="K359" s="35">
        <v>0</v>
      </c>
      <c r="L359" s="36">
        <f t="shared" si="17"/>
        <v>3</v>
      </c>
    </row>
    <row r="360" spans="1:12" x14ac:dyDescent="0.25">
      <c r="A360" s="21" t="s">
        <v>345</v>
      </c>
      <c r="B360" s="30" t="s">
        <v>345</v>
      </c>
      <c r="C360" s="21" t="s">
        <v>370</v>
      </c>
      <c r="D360" s="21" t="s">
        <v>67</v>
      </c>
      <c r="E360" s="21" t="s">
        <v>93</v>
      </c>
      <c r="F360" s="31">
        <v>2</v>
      </c>
      <c r="G360" s="31">
        <v>3</v>
      </c>
      <c r="H360" s="32"/>
      <c r="I360" s="32">
        <f t="shared" si="16"/>
        <v>0</v>
      </c>
      <c r="J360" s="32"/>
      <c r="K360" s="32">
        <v>0</v>
      </c>
      <c r="L360" s="33">
        <f t="shared" si="17"/>
        <v>3</v>
      </c>
    </row>
    <row r="361" spans="1:12" x14ac:dyDescent="0.25">
      <c r="A361" s="15" t="s">
        <v>345</v>
      </c>
      <c r="B361" s="14" t="s">
        <v>345</v>
      </c>
      <c r="C361" s="15" t="s">
        <v>371</v>
      </c>
      <c r="D361" s="15" t="s">
        <v>67</v>
      </c>
      <c r="E361" s="15" t="s">
        <v>93</v>
      </c>
      <c r="F361" s="34">
        <v>2</v>
      </c>
      <c r="G361" s="34">
        <v>3</v>
      </c>
      <c r="H361" s="35"/>
      <c r="I361" s="35">
        <f t="shared" si="16"/>
        <v>0</v>
      </c>
      <c r="J361" s="35"/>
      <c r="K361" s="35">
        <v>0</v>
      </c>
      <c r="L361" s="36">
        <f t="shared" si="17"/>
        <v>3</v>
      </c>
    </row>
    <row r="362" spans="1:12" x14ac:dyDescent="0.25">
      <c r="A362" s="21" t="s">
        <v>345</v>
      </c>
      <c r="B362" s="30" t="s">
        <v>345</v>
      </c>
      <c r="C362" s="21" t="s">
        <v>372</v>
      </c>
      <c r="D362" s="21" t="s">
        <v>67</v>
      </c>
      <c r="E362" s="21" t="s">
        <v>93</v>
      </c>
      <c r="F362" s="31">
        <v>1</v>
      </c>
      <c r="G362" s="31">
        <v>2</v>
      </c>
      <c r="H362" s="32"/>
      <c r="I362" s="32">
        <f t="shared" si="16"/>
        <v>0</v>
      </c>
      <c r="J362" s="32"/>
      <c r="K362" s="32">
        <v>0</v>
      </c>
      <c r="L362" s="33">
        <f t="shared" si="17"/>
        <v>2</v>
      </c>
    </row>
    <row r="363" spans="1:12" x14ac:dyDescent="0.25">
      <c r="A363" s="15" t="s">
        <v>345</v>
      </c>
      <c r="B363" s="14" t="s">
        <v>345</v>
      </c>
      <c r="C363" s="15" t="s">
        <v>373</v>
      </c>
      <c r="D363" s="15" t="s">
        <v>65</v>
      </c>
      <c r="E363" s="15" t="s">
        <v>82</v>
      </c>
      <c r="F363" s="34">
        <v>1</v>
      </c>
      <c r="G363" s="34">
        <v>2</v>
      </c>
      <c r="H363" s="35"/>
      <c r="I363" s="35">
        <f t="shared" si="16"/>
        <v>0</v>
      </c>
      <c r="J363" s="35"/>
      <c r="K363" s="35">
        <v>0</v>
      </c>
      <c r="L363" s="36">
        <f t="shared" si="17"/>
        <v>2</v>
      </c>
    </row>
    <row r="364" spans="1:12" x14ac:dyDescent="0.25">
      <c r="A364" s="21" t="s">
        <v>345</v>
      </c>
      <c r="B364" s="30" t="s">
        <v>345</v>
      </c>
      <c r="C364" s="21" t="s">
        <v>374</v>
      </c>
      <c r="D364" s="21" t="s">
        <v>67</v>
      </c>
      <c r="E364" s="21" t="s">
        <v>93</v>
      </c>
      <c r="F364" s="21"/>
      <c r="G364" s="21"/>
      <c r="H364" s="32"/>
      <c r="I364" s="32">
        <f t="shared" si="16"/>
        <v>0</v>
      </c>
      <c r="J364" s="32"/>
      <c r="K364" s="32">
        <v>0</v>
      </c>
      <c r="L364" s="33">
        <f t="shared" si="17"/>
        <v>0</v>
      </c>
    </row>
    <row r="365" spans="1:12" x14ac:dyDescent="0.25">
      <c r="A365" s="15" t="s">
        <v>345</v>
      </c>
      <c r="B365" s="14" t="s">
        <v>345</v>
      </c>
      <c r="C365" s="15" t="s">
        <v>367</v>
      </c>
      <c r="D365" s="15" t="s">
        <v>67</v>
      </c>
      <c r="E365" s="15" t="s">
        <v>93</v>
      </c>
      <c r="F365" s="34">
        <v>1</v>
      </c>
      <c r="G365" s="34">
        <v>2</v>
      </c>
      <c r="H365" s="35"/>
      <c r="I365" s="35">
        <f t="shared" si="16"/>
        <v>0</v>
      </c>
      <c r="J365" s="35"/>
      <c r="K365" s="35">
        <v>0</v>
      </c>
      <c r="L365" s="36">
        <f t="shared" si="17"/>
        <v>2</v>
      </c>
    </row>
    <row r="366" spans="1:12" x14ac:dyDescent="0.25">
      <c r="A366" s="21" t="s">
        <v>345</v>
      </c>
      <c r="B366" s="30" t="s">
        <v>345</v>
      </c>
      <c r="C366" s="21" t="s">
        <v>375</v>
      </c>
      <c r="D366" s="21" t="s">
        <v>67</v>
      </c>
      <c r="E366" s="21" t="s">
        <v>93</v>
      </c>
      <c r="F366" s="31">
        <v>3</v>
      </c>
      <c r="G366" s="31">
        <v>4</v>
      </c>
      <c r="H366" s="32"/>
      <c r="I366" s="32">
        <f t="shared" si="16"/>
        <v>0</v>
      </c>
      <c r="J366" s="32"/>
      <c r="K366" s="32">
        <v>0</v>
      </c>
      <c r="L366" s="33">
        <f t="shared" si="17"/>
        <v>4</v>
      </c>
    </row>
    <row r="367" spans="1:12" x14ac:dyDescent="0.25">
      <c r="A367" s="15" t="s">
        <v>345</v>
      </c>
      <c r="B367" s="14" t="s">
        <v>345</v>
      </c>
      <c r="C367" s="15" t="s">
        <v>376</v>
      </c>
      <c r="D367" s="15" t="s">
        <v>67</v>
      </c>
      <c r="E367" s="15" t="s">
        <v>93</v>
      </c>
      <c r="F367" s="15"/>
      <c r="G367" s="15"/>
      <c r="H367" s="35"/>
      <c r="I367" s="35">
        <f t="shared" si="16"/>
        <v>0</v>
      </c>
      <c r="J367" s="35"/>
      <c r="K367" s="35">
        <v>0</v>
      </c>
      <c r="L367" s="36">
        <f t="shared" si="17"/>
        <v>0</v>
      </c>
    </row>
    <row r="368" spans="1:12" x14ac:dyDescent="0.25">
      <c r="A368" s="21" t="s">
        <v>345</v>
      </c>
      <c r="B368" s="30" t="s">
        <v>345</v>
      </c>
      <c r="C368" s="21" t="s">
        <v>367</v>
      </c>
      <c r="D368" s="21" t="s">
        <v>67</v>
      </c>
      <c r="E368" s="21" t="s">
        <v>93</v>
      </c>
      <c r="F368" s="31">
        <v>1</v>
      </c>
      <c r="G368" s="31">
        <v>2</v>
      </c>
      <c r="H368" s="32"/>
      <c r="I368" s="32">
        <f t="shared" si="16"/>
        <v>0</v>
      </c>
      <c r="J368" s="32"/>
      <c r="K368" s="32">
        <v>0</v>
      </c>
      <c r="L368" s="33">
        <f t="shared" si="17"/>
        <v>2</v>
      </c>
    </row>
    <row r="369" spans="1:12" x14ac:dyDescent="0.25">
      <c r="A369" s="15" t="s">
        <v>345</v>
      </c>
      <c r="B369" s="14" t="s">
        <v>345</v>
      </c>
      <c r="C369" s="15" t="s">
        <v>377</v>
      </c>
      <c r="D369" s="15" t="s">
        <v>67</v>
      </c>
      <c r="E369" s="15" t="s">
        <v>93</v>
      </c>
      <c r="F369" s="34">
        <v>3</v>
      </c>
      <c r="G369" s="34">
        <v>4</v>
      </c>
      <c r="H369" s="35"/>
      <c r="I369" s="35">
        <f t="shared" si="16"/>
        <v>0</v>
      </c>
      <c r="J369" s="35"/>
      <c r="K369" s="35">
        <v>0</v>
      </c>
      <c r="L369" s="36">
        <f t="shared" si="17"/>
        <v>4</v>
      </c>
    </row>
    <row r="370" spans="1:12" x14ac:dyDescent="0.25">
      <c r="A370" s="21" t="s">
        <v>345</v>
      </c>
      <c r="B370" s="30" t="s">
        <v>345</v>
      </c>
      <c r="C370" s="21" t="s">
        <v>378</v>
      </c>
      <c r="D370" s="21" t="s">
        <v>67</v>
      </c>
      <c r="E370" s="21" t="s">
        <v>93</v>
      </c>
      <c r="F370" s="31">
        <v>2</v>
      </c>
      <c r="G370" s="31">
        <v>3</v>
      </c>
      <c r="H370" s="32"/>
      <c r="I370" s="32">
        <f t="shared" si="16"/>
        <v>0</v>
      </c>
      <c r="J370" s="32"/>
      <c r="K370" s="32">
        <v>0</v>
      </c>
      <c r="L370" s="33">
        <f t="shared" si="17"/>
        <v>3</v>
      </c>
    </row>
    <row r="371" spans="1:12" x14ac:dyDescent="0.25">
      <c r="A371" s="15" t="s">
        <v>345</v>
      </c>
      <c r="B371" s="14" t="s">
        <v>345</v>
      </c>
      <c r="C371" s="15" t="s">
        <v>379</v>
      </c>
      <c r="D371" s="15" t="s">
        <v>67</v>
      </c>
      <c r="E371" s="15" t="s">
        <v>93</v>
      </c>
      <c r="F371" s="34">
        <v>2</v>
      </c>
      <c r="G371" s="34">
        <v>3</v>
      </c>
      <c r="H371" s="35"/>
      <c r="I371" s="35">
        <f t="shared" si="16"/>
        <v>0</v>
      </c>
      <c r="J371" s="35"/>
      <c r="K371" s="35">
        <v>0</v>
      </c>
      <c r="L371" s="36">
        <f t="shared" si="17"/>
        <v>3</v>
      </c>
    </row>
    <row r="372" spans="1:12" x14ac:dyDescent="0.25">
      <c r="A372" s="21" t="s">
        <v>345</v>
      </c>
      <c r="B372" s="30" t="s">
        <v>345</v>
      </c>
      <c r="C372" s="21" t="s">
        <v>380</v>
      </c>
      <c r="D372" s="21" t="s">
        <v>67</v>
      </c>
      <c r="E372" s="21" t="s">
        <v>93</v>
      </c>
      <c r="F372" s="31">
        <v>2</v>
      </c>
      <c r="G372" s="31">
        <v>3</v>
      </c>
      <c r="H372" s="32"/>
      <c r="I372" s="32">
        <f t="shared" si="16"/>
        <v>0</v>
      </c>
      <c r="J372" s="32"/>
      <c r="K372" s="32">
        <v>0</v>
      </c>
      <c r="L372" s="33">
        <f t="shared" si="17"/>
        <v>3</v>
      </c>
    </row>
    <row r="373" spans="1:12" x14ac:dyDescent="0.25">
      <c r="A373" s="15" t="s">
        <v>345</v>
      </c>
      <c r="B373" s="14" t="s">
        <v>345</v>
      </c>
      <c r="C373" s="15" t="s">
        <v>381</v>
      </c>
      <c r="D373" s="15" t="s">
        <v>67</v>
      </c>
      <c r="E373" s="15" t="s">
        <v>93</v>
      </c>
      <c r="F373" s="34">
        <v>2</v>
      </c>
      <c r="G373" s="34">
        <v>3</v>
      </c>
      <c r="H373" s="35"/>
      <c r="I373" s="35">
        <f t="shared" si="16"/>
        <v>0</v>
      </c>
      <c r="J373" s="35"/>
      <c r="K373" s="35">
        <v>0</v>
      </c>
      <c r="L373" s="36">
        <f t="shared" si="17"/>
        <v>3</v>
      </c>
    </row>
    <row r="374" spans="1:12" x14ac:dyDescent="0.25">
      <c r="A374" s="21" t="s">
        <v>345</v>
      </c>
      <c r="B374" s="30" t="s">
        <v>345</v>
      </c>
      <c r="C374" s="21" t="s">
        <v>382</v>
      </c>
      <c r="D374" s="21" t="s">
        <v>65</v>
      </c>
      <c r="E374" s="21" t="s">
        <v>82</v>
      </c>
      <c r="F374" s="31">
        <v>2</v>
      </c>
      <c r="G374" s="31">
        <v>3</v>
      </c>
      <c r="H374" s="32"/>
      <c r="I374" s="32">
        <f t="shared" si="16"/>
        <v>0</v>
      </c>
      <c r="J374" s="32"/>
      <c r="K374" s="32">
        <v>0</v>
      </c>
      <c r="L374" s="33">
        <f t="shared" si="17"/>
        <v>3</v>
      </c>
    </row>
    <row r="375" spans="1:12" x14ac:dyDescent="0.25">
      <c r="A375" s="15" t="s">
        <v>345</v>
      </c>
      <c r="B375" s="14" t="s">
        <v>345</v>
      </c>
      <c r="C375" s="15" t="s">
        <v>383</v>
      </c>
      <c r="D375" s="15" t="s">
        <v>65</v>
      </c>
      <c r="E375" s="15" t="s">
        <v>82</v>
      </c>
      <c r="F375" s="34">
        <v>2</v>
      </c>
      <c r="G375" s="34">
        <v>3</v>
      </c>
      <c r="H375" s="35"/>
      <c r="I375" s="35">
        <f t="shared" si="16"/>
        <v>0</v>
      </c>
      <c r="J375" s="35"/>
      <c r="K375" s="35">
        <v>0</v>
      </c>
      <c r="L375" s="36">
        <f t="shared" si="17"/>
        <v>3</v>
      </c>
    </row>
    <row r="376" spans="1:12" x14ac:dyDescent="0.25">
      <c r="A376" s="21" t="s">
        <v>345</v>
      </c>
      <c r="B376" s="30" t="s">
        <v>345</v>
      </c>
      <c r="C376" s="21" t="s">
        <v>383</v>
      </c>
      <c r="D376" s="21" t="s">
        <v>67</v>
      </c>
      <c r="E376" s="21" t="s">
        <v>93</v>
      </c>
      <c r="F376" s="31">
        <v>3</v>
      </c>
      <c r="G376" s="31">
        <v>4</v>
      </c>
      <c r="H376" s="32"/>
      <c r="I376" s="32">
        <f t="shared" si="16"/>
        <v>0</v>
      </c>
      <c r="J376" s="32"/>
      <c r="K376" s="32">
        <v>0</v>
      </c>
      <c r="L376" s="33">
        <f t="shared" si="17"/>
        <v>4</v>
      </c>
    </row>
    <row r="377" spans="1:12" x14ac:dyDescent="0.25">
      <c r="A377" s="15" t="s">
        <v>345</v>
      </c>
      <c r="B377" s="14" t="s">
        <v>345</v>
      </c>
      <c r="C377" s="15" t="s">
        <v>384</v>
      </c>
      <c r="D377" s="15" t="s">
        <v>67</v>
      </c>
      <c r="E377" s="15" t="s">
        <v>93</v>
      </c>
      <c r="F377" s="15"/>
      <c r="G377" s="15"/>
      <c r="H377" s="35"/>
      <c r="I377" s="35">
        <f t="shared" si="16"/>
        <v>0</v>
      </c>
      <c r="J377" s="35"/>
      <c r="K377" s="35">
        <v>0</v>
      </c>
      <c r="L377" s="36">
        <f t="shared" si="17"/>
        <v>0</v>
      </c>
    </row>
    <row r="378" spans="1:12" x14ac:dyDescent="0.25">
      <c r="A378" s="21" t="s">
        <v>345</v>
      </c>
      <c r="B378" s="30" t="s">
        <v>345</v>
      </c>
      <c r="C378" s="21" t="s">
        <v>360</v>
      </c>
      <c r="D378" s="21" t="s">
        <v>67</v>
      </c>
      <c r="E378" s="21" t="s">
        <v>93</v>
      </c>
      <c r="F378" s="31">
        <v>3</v>
      </c>
      <c r="G378" s="31">
        <v>4</v>
      </c>
      <c r="H378" s="32"/>
      <c r="I378" s="32">
        <f t="shared" si="16"/>
        <v>0</v>
      </c>
      <c r="J378" s="32"/>
      <c r="K378" s="32">
        <v>0</v>
      </c>
      <c r="L378" s="33">
        <f t="shared" si="17"/>
        <v>4</v>
      </c>
    </row>
    <row r="379" spans="1:12" x14ac:dyDescent="0.25">
      <c r="A379" s="15" t="s">
        <v>345</v>
      </c>
      <c r="B379" s="14" t="s">
        <v>345</v>
      </c>
      <c r="C379" s="15" t="s">
        <v>352</v>
      </c>
      <c r="D379" s="15" t="s">
        <v>69</v>
      </c>
      <c r="E379" s="15" t="s">
        <v>90</v>
      </c>
      <c r="F379" s="15"/>
      <c r="G379" s="15"/>
      <c r="H379" s="35"/>
      <c r="I379" s="35">
        <f t="shared" si="16"/>
        <v>0</v>
      </c>
      <c r="J379" s="35"/>
      <c r="K379" s="35">
        <v>0</v>
      </c>
      <c r="L379" s="36">
        <f t="shared" si="17"/>
        <v>0</v>
      </c>
    </row>
    <row r="380" spans="1:12" x14ac:dyDescent="0.25">
      <c r="A380" s="21" t="s">
        <v>385</v>
      </c>
      <c r="B380" s="30" t="s">
        <v>385</v>
      </c>
      <c r="C380" s="21" t="s">
        <v>386</v>
      </c>
      <c r="D380" s="21" t="s">
        <v>47</v>
      </c>
      <c r="E380" s="21" t="s">
        <v>79</v>
      </c>
      <c r="F380" s="31">
        <v>2</v>
      </c>
      <c r="G380" s="31">
        <v>5</v>
      </c>
      <c r="H380" s="32"/>
      <c r="I380" s="32">
        <f t="shared" si="16"/>
        <v>0</v>
      </c>
      <c r="J380" s="32"/>
      <c r="K380" s="32">
        <v>0</v>
      </c>
      <c r="L380" s="33">
        <f t="shared" si="17"/>
        <v>5</v>
      </c>
    </row>
    <row r="381" spans="1:12" x14ac:dyDescent="0.25">
      <c r="A381" s="15" t="s">
        <v>385</v>
      </c>
      <c r="B381" s="14" t="s">
        <v>385</v>
      </c>
      <c r="C381" s="15" t="s">
        <v>145</v>
      </c>
      <c r="D381" s="15" t="s">
        <v>51</v>
      </c>
      <c r="E381" s="15" t="s">
        <v>146</v>
      </c>
      <c r="F381" s="34">
        <v>0.5</v>
      </c>
      <c r="G381" s="34">
        <v>1</v>
      </c>
      <c r="H381" s="35"/>
      <c r="I381" s="35">
        <f t="shared" si="16"/>
        <v>0</v>
      </c>
      <c r="J381" s="35"/>
      <c r="K381" s="35">
        <v>0</v>
      </c>
      <c r="L381" s="36">
        <f t="shared" si="17"/>
        <v>1</v>
      </c>
    </row>
    <row r="382" spans="1:12" x14ac:dyDescent="0.25">
      <c r="A382" s="21" t="s">
        <v>385</v>
      </c>
      <c r="B382" s="30" t="s">
        <v>385</v>
      </c>
      <c r="C382" s="21" t="s">
        <v>387</v>
      </c>
      <c r="D382" s="21" t="s">
        <v>47</v>
      </c>
      <c r="E382" s="21" t="s">
        <v>79</v>
      </c>
      <c r="F382" s="31">
        <v>5</v>
      </c>
      <c r="G382" s="31">
        <v>12</v>
      </c>
      <c r="H382" s="32"/>
      <c r="I382" s="32">
        <f t="shared" si="16"/>
        <v>0</v>
      </c>
      <c r="J382" s="32"/>
      <c r="K382" s="32">
        <v>0</v>
      </c>
      <c r="L382" s="33">
        <f t="shared" si="17"/>
        <v>12</v>
      </c>
    </row>
    <row r="383" spans="1:12" x14ac:dyDescent="0.25">
      <c r="A383" s="15" t="s">
        <v>385</v>
      </c>
      <c r="B383" s="14" t="s">
        <v>385</v>
      </c>
      <c r="C383" s="15" t="s">
        <v>388</v>
      </c>
      <c r="D383" s="15" t="s">
        <v>49</v>
      </c>
      <c r="E383" s="15" t="s">
        <v>134</v>
      </c>
      <c r="F383" s="34">
        <v>4</v>
      </c>
      <c r="G383" s="34">
        <v>10</v>
      </c>
      <c r="H383" s="35"/>
      <c r="I383" s="35">
        <f t="shared" si="16"/>
        <v>0</v>
      </c>
      <c r="J383" s="35"/>
      <c r="K383" s="35">
        <v>0</v>
      </c>
      <c r="L383" s="36">
        <f t="shared" si="17"/>
        <v>10</v>
      </c>
    </row>
    <row r="384" spans="1:12" x14ac:dyDescent="0.25">
      <c r="A384" s="21" t="s">
        <v>385</v>
      </c>
      <c r="B384" s="30" t="s">
        <v>385</v>
      </c>
      <c r="C384" s="21" t="s">
        <v>389</v>
      </c>
      <c r="D384" s="21" t="s">
        <v>65</v>
      </c>
      <c r="E384" s="21" t="s">
        <v>82</v>
      </c>
      <c r="F384" s="21"/>
      <c r="G384" s="21"/>
      <c r="H384" s="32"/>
      <c r="I384" s="32">
        <f t="shared" si="16"/>
        <v>0</v>
      </c>
      <c r="J384" s="32"/>
      <c r="K384" s="32">
        <v>0</v>
      </c>
      <c r="L384" s="33">
        <f t="shared" si="17"/>
        <v>0</v>
      </c>
    </row>
    <row r="385" spans="1:12" x14ac:dyDescent="0.25">
      <c r="A385" s="15" t="s">
        <v>385</v>
      </c>
      <c r="B385" s="14" t="s">
        <v>385</v>
      </c>
      <c r="C385" s="15" t="s">
        <v>390</v>
      </c>
      <c r="D385" s="15" t="s">
        <v>69</v>
      </c>
      <c r="E385" s="15" t="s">
        <v>90</v>
      </c>
      <c r="F385" s="15"/>
      <c r="G385" s="15"/>
      <c r="H385" s="35"/>
      <c r="I385" s="35">
        <f t="shared" si="16"/>
        <v>0</v>
      </c>
      <c r="J385" s="35"/>
      <c r="K385" s="35">
        <v>0</v>
      </c>
      <c r="L385" s="36">
        <f t="shared" si="17"/>
        <v>0</v>
      </c>
    </row>
    <row r="386" spans="1:12" x14ac:dyDescent="0.25">
      <c r="A386" s="21" t="s">
        <v>385</v>
      </c>
      <c r="B386" s="30" t="s">
        <v>385</v>
      </c>
      <c r="C386" s="21" t="s">
        <v>391</v>
      </c>
      <c r="D386" s="21" t="s">
        <v>47</v>
      </c>
      <c r="E386" s="21" t="s">
        <v>79</v>
      </c>
      <c r="F386" s="31">
        <v>2</v>
      </c>
      <c r="G386" s="31">
        <v>5</v>
      </c>
      <c r="H386" s="32"/>
      <c r="I386" s="32">
        <f t="shared" si="16"/>
        <v>0</v>
      </c>
      <c r="J386" s="32"/>
      <c r="K386" s="32">
        <v>0</v>
      </c>
      <c r="L386" s="33">
        <f t="shared" si="17"/>
        <v>5</v>
      </c>
    </row>
    <row r="387" spans="1:12" x14ac:dyDescent="0.25">
      <c r="A387" s="15" t="s">
        <v>385</v>
      </c>
      <c r="B387" s="14" t="s">
        <v>385</v>
      </c>
      <c r="C387" s="15" t="s">
        <v>392</v>
      </c>
      <c r="D387" s="15" t="s">
        <v>47</v>
      </c>
      <c r="E387" s="15" t="s">
        <v>79</v>
      </c>
      <c r="F387" s="34">
        <v>3</v>
      </c>
      <c r="G387" s="34">
        <v>8</v>
      </c>
      <c r="H387" s="35"/>
      <c r="I387" s="35">
        <f t="shared" si="16"/>
        <v>0</v>
      </c>
      <c r="J387" s="35"/>
      <c r="K387" s="35">
        <v>0</v>
      </c>
      <c r="L387" s="36">
        <f t="shared" si="17"/>
        <v>8</v>
      </c>
    </row>
    <row r="388" spans="1:12" x14ac:dyDescent="0.25">
      <c r="A388" s="21" t="s">
        <v>385</v>
      </c>
      <c r="B388" s="30" t="s">
        <v>385</v>
      </c>
      <c r="C388" s="21" t="s">
        <v>393</v>
      </c>
      <c r="D388" s="21" t="s">
        <v>49</v>
      </c>
      <c r="E388" s="21" t="s">
        <v>134</v>
      </c>
      <c r="F388" s="31">
        <v>3</v>
      </c>
      <c r="G388" s="31">
        <v>4</v>
      </c>
      <c r="H388" s="32"/>
      <c r="I388" s="32">
        <f t="shared" si="16"/>
        <v>0</v>
      </c>
      <c r="J388" s="32"/>
      <c r="K388" s="32">
        <v>0</v>
      </c>
      <c r="L388" s="33">
        <f t="shared" si="17"/>
        <v>4</v>
      </c>
    </row>
    <row r="389" spans="1:12" x14ac:dyDescent="0.25">
      <c r="A389" s="15" t="s">
        <v>385</v>
      </c>
      <c r="B389" s="14" t="s">
        <v>385</v>
      </c>
      <c r="C389" s="15" t="s">
        <v>394</v>
      </c>
      <c r="D389" s="15" t="s">
        <v>67</v>
      </c>
      <c r="E389" s="15" t="s">
        <v>93</v>
      </c>
      <c r="F389" s="15"/>
      <c r="G389" s="15"/>
      <c r="H389" s="35"/>
      <c r="I389" s="35">
        <f t="shared" si="16"/>
        <v>0</v>
      </c>
      <c r="J389" s="35"/>
      <c r="K389" s="35">
        <v>0</v>
      </c>
      <c r="L389" s="36">
        <f t="shared" si="17"/>
        <v>0</v>
      </c>
    </row>
    <row r="390" spans="1:12" x14ac:dyDescent="0.25">
      <c r="A390" s="21" t="s">
        <v>385</v>
      </c>
      <c r="B390" s="30" t="s">
        <v>385</v>
      </c>
      <c r="C390" s="21" t="s">
        <v>395</v>
      </c>
      <c r="D390" s="21" t="s">
        <v>53</v>
      </c>
      <c r="E390" s="21" t="s">
        <v>129</v>
      </c>
      <c r="F390" s="21"/>
      <c r="G390" s="21"/>
      <c r="H390" s="32"/>
      <c r="I390" s="32">
        <f t="shared" si="16"/>
        <v>0</v>
      </c>
      <c r="J390" s="32"/>
      <c r="K390" s="32">
        <v>0</v>
      </c>
      <c r="L390" s="33">
        <f t="shared" si="17"/>
        <v>0</v>
      </c>
    </row>
    <row r="391" spans="1:12" x14ac:dyDescent="0.25">
      <c r="A391" s="15" t="s">
        <v>385</v>
      </c>
      <c r="B391" s="14" t="s">
        <v>385</v>
      </c>
      <c r="C391" s="15" t="s">
        <v>396</v>
      </c>
      <c r="D391" s="15" t="s">
        <v>57</v>
      </c>
      <c r="E391" s="15" t="s">
        <v>136</v>
      </c>
      <c r="F391" s="15"/>
      <c r="G391" s="15"/>
      <c r="H391" s="35"/>
      <c r="I391" s="35">
        <f t="shared" si="16"/>
        <v>0</v>
      </c>
      <c r="J391" s="35"/>
      <c r="K391" s="35">
        <v>0</v>
      </c>
      <c r="L391" s="36">
        <f t="shared" si="17"/>
        <v>0</v>
      </c>
    </row>
    <row r="392" spans="1:12" x14ac:dyDescent="0.25">
      <c r="A392" s="21" t="s">
        <v>385</v>
      </c>
      <c r="B392" s="30" t="s">
        <v>385</v>
      </c>
      <c r="C392" s="21" t="s">
        <v>397</v>
      </c>
      <c r="D392" s="21" t="s">
        <v>57</v>
      </c>
      <c r="E392" s="21" t="s">
        <v>136</v>
      </c>
      <c r="F392" s="21"/>
      <c r="G392" s="21"/>
      <c r="H392" s="32"/>
      <c r="I392" s="32">
        <f t="shared" si="16"/>
        <v>0</v>
      </c>
      <c r="J392" s="32"/>
      <c r="K392" s="32">
        <v>0</v>
      </c>
      <c r="L392" s="33">
        <f t="shared" si="17"/>
        <v>0</v>
      </c>
    </row>
    <row r="393" spans="1:12" x14ac:dyDescent="0.25">
      <c r="A393" s="15" t="s">
        <v>385</v>
      </c>
      <c r="B393" s="14" t="s">
        <v>385</v>
      </c>
      <c r="C393" s="15" t="s">
        <v>398</v>
      </c>
      <c r="D393" s="15" t="s">
        <v>57</v>
      </c>
      <c r="E393" s="15" t="s">
        <v>136</v>
      </c>
      <c r="F393" s="15"/>
      <c r="G393" s="15"/>
      <c r="H393" s="35"/>
      <c r="I393" s="35">
        <f t="shared" si="16"/>
        <v>0</v>
      </c>
      <c r="J393" s="35"/>
      <c r="K393" s="35">
        <v>0</v>
      </c>
      <c r="L393" s="36">
        <f t="shared" si="17"/>
        <v>0</v>
      </c>
    </row>
    <row r="394" spans="1:12" x14ac:dyDescent="0.25">
      <c r="A394" s="21" t="s">
        <v>385</v>
      </c>
      <c r="B394" s="30" t="s">
        <v>385</v>
      </c>
      <c r="C394" s="21" t="s">
        <v>399</v>
      </c>
      <c r="D394" s="21" t="s">
        <v>57</v>
      </c>
      <c r="E394" s="21" t="s">
        <v>136</v>
      </c>
      <c r="F394" s="21"/>
      <c r="G394" s="21"/>
      <c r="H394" s="32"/>
      <c r="I394" s="32">
        <f t="shared" si="16"/>
        <v>0</v>
      </c>
      <c r="J394" s="32"/>
      <c r="K394" s="32">
        <v>0</v>
      </c>
      <c r="L394" s="33">
        <f t="shared" si="17"/>
        <v>0</v>
      </c>
    </row>
    <row r="395" spans="1:12" x14ac:dyDescent="0.25">
      <c r="A395" s="15" t="s">
        <v>385</v>
      </c>
      <c r="B395" s="14" t="s">
        <v>385</v>
      </c>
      <c r="C395" s="15" t="s">
        <v>400</v>
      </c>
      <c r="D395" s="15" t="s">
        <v>57</v>
      </c>
      <c r="E395" s="15" t="s">
        <v>136</v>
      </c>
      <c r="F395" s="15"/>
      <c r="G395" s="15"/>
      <c r="H395" s="35"/>
      <c r="I395" s="35">
        <f t="shared" si="16"/>
        <v>0</v>
      </c>
      <c r="J395" s="35"/>
      <c r="K395" s="35">
        <v>0</v>
      </c>
      <c r="L395" s="36">
        <f t="shared" si="17"/>
        <v>0</v>
      </c>
    </row>
    <row r="396" spans="1:12" x14ac:dyDescent="0.25">
      <c r="A396" s="21" t="s">
        <v>385</v>
      </c>
      <c r="B396" s="30" t="s">
        <v>385</v>
      </c>
      <c r="C396" s="21" t="s">
        <v>401</v>
      </c>
      <c r="D396" s="21" t="s">
        <v>56</v>
      </c>
      <c r="E396" s="21" t="s">
        <v>162</v>
      </c>
      <c r="F396" s="21"/>
      <c r="G396" s="21"/>
      <c r="H396" s="32"/>
      <c r="I396" s="32">
        <f t="shared" si="16"/>
        <v>0</v>
      </c>
      <c r="J396" s="32"/>
      <c r="K396" s="32">
        <v>0</v>
      </c>
      <c r="L396" s="33">
        <f t="shared" si="17"/>
        <v>0</v>
      </c>
    </row>
    <row r="397" spans="1:12" x14ac:dyDescent="0.25">
      <c r="A397" s="15" t="s">
        <v>385</v>
      </c>
      <c r="B397" s="14" t="s">
        <v>385</v>
      </c>
      <c r="C397" s="15" t="s">
        <v>402</v>
      </c>
      <c r="D397" s="15" t="s">
        <v>47</v>
      </c>
      <c r="E397" s="15" t="s">
        <v>79</v>
      </c>
      <c r="F397" s="15"/>
      <c r="G397" s="15"/>
      <c r="H397" s="35"/>
      <c r="I397" s="35">
        <f t="shared" si="16"/>
        <v>0</v>
      </c>
      <c r="J397" s="35"/>
      <c r="K397" s="35">
        <v>0</v>
      </c>
      <c r="L397" s="36">
        <f t="shared" si="17"/>
        <v>0</v>
      </c>
    </row>
    <row r="398" spans="1:12" x14ac:dyDescent="0.25">
      <c r="A398" s="21" t="s">
        <v>385</v>
      </c>
      <c r="B398" s="30" t="s">
        <v>385</v>
      </c>
      <c r="C398" s="21" t="s">
        <v>403</v>
      </c>
      <c r="D398" s="21" t="s">
        <v>47</v>
      </c>
      <c r="E398" s="21" t="s">
        <v>79</v>
      </c>
      <c r="F398" s="31">
        <v>1</v>
      </c>
      <c r="G398" s="31">
        <v>1</v>
      </c>
      <c r="H398" s="32"/>
      <c r="I398" s="32">
        <f t="shared" si="16"/>
        <v>0</v>
      </c>
      <c r="J398" s="32"/>
      <c r="K398" s="32">
        <v>0</v>
      </c>
      <c r="L398" s="33">
        <f t="shared" si="17"/>
        <v>1</v>
      </c>
    </row>
    <row r="399" spans="1:12" x14ac:dyDescent="0.25">
      <c r="A399" s="15" t="s">
        <v>385</v>
      </c>
      <c r="B399" s="14" t="s">
        <v>385</v>
      </c>
      <c r="C399" s="15" t="s">
        <v>404</v>
      </c>
      <c r="D399" s="15" t="s">
        <v>53</v>
      </c>
      <c r="E399" s="15" t="s">
        <v>129</v>
      </c>
      <c r="F399" s="15"/>
      <c r="G399" s="15"/>
      <c r="H399" s="35"/>
      <c r="I399" s="35">
        <f t="shared" si="16"/>
        <v>0</v>
      </c>
      <c r="J399" s="35"/>
      <c r="K399" s="35">
        <v>0</v>
      </c>
      <c r="L399" s="36">
        <f t="shared" si="17"/>
        <v>0</v>
      </c>
    </row>
    <row r="400" spans="1:12" x14ac:dyDescent="0.25">
      <c r="A400" s="21" t="s">
        <v>385</v>
      </c>
      <c r="B400" s="30" t="s">
        <v>385</v>
      </c>
      <c r="C400" s="21" t="s">
        <v>405</v>
      </c>
      <c r="D400" s="21" t="s">
        <v>57</v>
      </c>
      <c r="E400" s="21" t="s">
        <v>136</v>
      </c>
      <c r="F400" s="21"/>
      <c r="G400" s="21"/>
      <c r="H400" s="32"/>
      <c r="I400" s="32">
        <f t="shared" si="16"/>
        <v>0</v>
      </c>
      <c r="J400" s="32"/>
      <c r="K400" s="32">
        <v>0</v>
      </c>
      <c r="L400" s="33">
        <f t="shared" si="17"/>
        <v>0</v>
      </c>
    </row>
    <row r="401" spans="1:12" x14ac:dyDescent="0.25">
      <c r="A401" s="15" t="s">
        <v>385</v>
      </c>
      <c r="B401" s="14" t="s">
        <v>385</v>
      </c>
      <c r="C401" s="15" t="s">
        <v>406</v>
      </c>
      <c r="D401" s="15" t="s">
        <v>62</v>
      </c>
      <c r="E401" s="15" t="s">
        <v>159</v>
      </c>
      <c r="F401" s="15"/>
      <c r="G401" s="15"/>
      <c r="H401" s="35"/>
      <c r="I401" s="35">
        <f t="shared" si="16"/>
        <v>0</v>
      </c>
      <c r="J401" s="35"/>
      <c r="K401" s="35">
        <v>0</v>
      </c>
      <c r="L401" s="36">
        <f t="shared" si="17"/>
        <v>0</v>
      </c>
    </row>
    <row r="402" spans="1:12" x14ac:dyDescent="0.25">
      <c r="A402" s="21" t="s">
        <v>385</v>
      </c>
      <c r="B402" s="30" t="s">
        <v>385</v>
      </c>
      <c r="C402" s="21" t="s">
        <v>407</v>
      </c>
      <c r="D402" s="21" t="s">
        <v>65</v>
      </c>
      <c r="E402" s="21" t="s">
        <v>82</v>
      </c>
      <c r="F402" s="21"/>
      <c r="G402" s="21"/>
      <c r="H402" s="32"/>
      <c r="I402" s="32">
        <f t="shared" si="16"/>
        <v>0</v>
      </c>
      <c r="J402" s="32"/>
      <c r="K402" s="32">
        <v>0</v>
      </c>
      <c r="L402" s="33">
        <f t="shared" si="17"/>
        <v>0</v>
      </c>
    </row>
    <row r="403" spans="1:12" x14ac:dyDescent="0.25">
      <c r="A403" s="15" t="s">
        <v>385</v>
      </c>
      <c r="B403" s="14" t="s">
        <v>385</v>
      </c>
      <c r="C403" s="15" t="s">
        <v>408</v>
      </c>
      <c r="D403" s="15" t="s">
        <v>70</v>
      </c>
      <c r="E403" s="15" t="s">
        <v>104</v>
      </c>
      <c r="F403" s="34">
        <v>0.5</v>
      </c>
      <c r="G403" s="34">
        <v>1</v>
      </c>
      <c r="H403" s="35"/>
      <c r="I403" s="35">
        <f t="shared" si="16"/>
        <v>0</v>
      </c>
      <c r="J403" s="35"/>
      <c r="K403" s="35">
        <v>0</v>
      </c>
      <c r="L403" s="36">
        <f t="shared" si="17"/>
        <v>1</v>
      </c>
    </row>
    <row r="404" spans="1:12" x14ac:dyDescent="0.25">
      <c r="A404" s="21" t="s">
        <v>385</v>
      </c>
      <c r="B404" s="30" t="s">
        <v>385</v>
      </c>
      <c r="C404" s="21" t="s">
        <v>409</v>
      </c>
      <c r="D404" s="21" t="s">
        <v>54</v>
      </c>
      <c r="E404" s="21" t="s">
        <v>84</v>
      </c>
      <c r="F404" s="21"/>
      <c r="G404" s="31">
        <v>5</v>
      </c>
      <c r="H404" s="32"/>
      <c r="I404" s="32">
        <f t="shared" si="16"/>
        <v>0</v>
      </c>
      <c r="J404" s="32"/>
      <c r="K404" s="32">
        <v>0</v>
      </c>
      <c r="L404" s="33">
        <f t="shared" si="17"/>
        <v>5</v>
      </c>
    </row>
    <row r="405" spans="1:12" x14ac:dyDescent="0.25">
      <c r="A405" s="15" t="s">
        <v>385</v>
      </c>
      <c r="B405" s="14" t="s">
        <v>385</v>
      </c>
      <c r="C405" s="15" t="s">
        <v>410</v>
      </c>
      <c r="D405" s="15" t="s">
        <v>61</v>
      </c>
      <c r="E405" s="15" t="s">
        <v>142</v>
      </c>
      <c r="F405" s="15"/>
      <c r="G405" s="15"/>
      <c r="H405" s="35"/>
      <c r="I405" s="35">
        <f t="shared" si="16"/>
        <v>0</v>
      </c>
      <c r="J405" s="35"/>
      <c r="K405" s="35">
        <v>0</v>
      </c>
      <c r="L405" s="36">
        <f t="shared" si="17"/>
        <v>0</v>
      </c>
    </row>
    <row r="406" spans="1:12" x14ac:dyDescent="0.25">
      <c r="A406" s="21" t="s">
        <v>385</v>
      </c>
      <c r="B406" s="30" t="s">
        <v>385</v>
      </c>
      <c r="C406" s="21" t="s">
        <v>69</v>
      </c>
      <c r="D406" s="21" t="s">
        <v>69</v>
      </c>
      <c r="E406" s="21" t="s">
        <v>90</v>
      </c>
      <c r="F406" s="21"/>
      <c r="G406" s="21"/>
      <c r="H406" s="32"/>
      <c r="I406" s="32">
        <f t="shared" si="16"/>
        <v>0</v>
      </c>
      <c r="J406" s="32"/>
      <c r="K406" s="32">
        <v>0</v>
      </c>
      <c r="L406" s="33">
        <f t="shared" si="17"/>
        <v>0</v>
      </c>
    </row>
    <row r="407" spans="1:12" x14ac:dyDescent="0.25">
      <c r="A407" s="15" t="s">
        <v>385</v>
      </c>
      <c r="B407" s="14" t="s">
        <v>385</v>
      </c>
      <c r="C407" s="15" t="s">
        <v>386</v>
      </c>
      <c r="D407" s="15" t="s">
        <v>47</v>
      </c>
      <c r="E407" s="15" t="s">
        <v>79</v>
      </c>
      <c r="F407" s="15"/>
      <c r="G407" s="15"/>
      <c r="H407" s="35"/>
      <c r="I407" s="35">
        <f t="shared" si="16"/>
        <v>0</v>
      </c>
      <c r="J407" s="35"/>
      <c r="K407" s="35">
        <v>0</v>
      </c>
      <c r="L407" s="36">
        <f t="shared" si="17"/>
        <v>0</v>
      </c>
    </row>
    <row r="408" spans="1:12" x14ac:dyDescent="0.25">
      <c r="A408" s="21" t="s">
        <v>385</v>
      </c>
      <c r="B408" s="30" t="s">
        <v>385</v>
      </c>
      <c r="C408" s="21" t="s">
        <v>411</v>
      </c>
      <c r="D408" s="21" t="s">
        <v>65</v>
      </c>
      <c r="E408" s="21" t="s">
        <v>82</v>
      </c>
      <c r="F408" s="31">
        <v>1</v>
      </c>
      <c r="G408" s="31">
        <v>2</v>
      </c>
      <c r="H408" s="32"/>
      <c r="I408" s="32">
        <f t="shared" si="16"/>
        <v>0</v>
      </c>
      <c r="J408" s="32"/>
      <c r="K408" s="32">
        <v>0</v>
      </c>
      <c r="L408" s="33">
        <f t="shared" si="17"/>
        <v>2</v>
      </c>
    </row>
    <row r="409" spans="1:12" x14ac:dyDescent="0.25">
      <c r="A409" s="15" t="s">
        <v>385</v>
      </c>
      <c r="B409" s="14" t="s">
        <v>385</v>
      </c>
      <c r="C409" s="15" t="s">
        <v>412</v>
      </c>
      <c r="D409" s="15" t="s">
        <v>65</v>
      </c>
      <c r="E409" s="15" t="s">
        <v>82</v>
      </c>
      <c r="F409" s="34">
        <v>3</v>
      </c>
      <c r="G409" s="34">
        <v>5</v>
      </c>
      <c r="H409" s="35"/>
      <c r="I409" s="35">
        <f t="shared" si="16"/>
        <v>0</v>
      </c>
      <c r="J409" s="35"/>
      <c r="K409" s="35">
        <v>0</v>
      </c>
      <c r="L409" s="36">
        <f t="shared" si="17"/>
        <v>5</v>
      </c>
    </row>
    <row r="410" spans="1:12" x14ac:dyDescent="0.25">
      <c r="A410" s="21" t="s">
        <v>385</v>
      </c>
      <c r="B410" s="30" t="s">
        <v>385</v>
      </c>
      <c r="C410" s="21" t="s">
        <v>413</v>
      </c>
      <c r="D410" s="21" t="s">
        <v>65</v>
      </c>
      <c r="E410" s="21" t="s">
        <v>82</v>
      </c>
      <c r="F410" s="31">
        <v>1</v>
      </c>
      <c r="G410" s="31">
        <v>2</v>
      </c>
      <c r="H410" s="32"/>
      <c r="I410" s="32">
        <f t="shared" si="16"/>
        <v>0</v>
      </c>
      <c r="J410" s="32"/>
      <c r="K410" s="32">
        <v>0</v>
      </c>
      <c r="L410" s="33">
        <f t="shared" si="17"/>
        <v>2</v>
      </c>
    </row>
    <row r="411" spans="1:12" x14ac:dyDescent="0.25">
      <c r="A411" s="15" t="s">
        <v>385</v>
      </c>
      <c r="B411" s="14" t="s">
        <v>385</v>
      </c>
      <c r="C411" s="15" t="s">
        <v>414</v>
      </c>
      <c r="D411" s="15" t="s">
        <v>65</v>
      </c>
      <c r="E411" s="15" t="s">
        <v>82</v>
      </c>
      <c r="F411" s="34">
        <v>10</v>
      </c>
      <c r="G411" s="34">
        <v>20</v>
      </c>
      <c r="H411" s="35"/>
      <c r="I411" s="35">
        <f t="shared" si="16"/>
        <v>0</v>
      </c>
      <c r="J411" s="35"/>
      <c r="K411" s="35">
        <v>0</v>
      </c>
      <c r="L411" s="36">
        <f t="shared" si="17"/>
        <v>20</v>
      </c>
    </row>
    <row r="412" spans="1:12" x14ac:dyDescent="0.25">
      <c r="A412" s="21" t="s">
        <v>385</v>
      </c>
      <c r="B412" s="30" t="s">
        <v>385</v>
      </c>
      <c r="C412" s="21" t="s">
        <v>415</v>
      </c>
      <c r="D412" s="21" t="s">
        <v>65</v>
      </c>
      <c r="E412" s="21" t="s">
        <v>82</v>
      </c>
      <c r="F412" s="31">
        <v>3</v>
      </c>
      <c r="G412" s="31">
        <v>4</v>
      </c>
      <c r="H412" s="32"/>
      <c r="I412" s="32">
        <f t="shared" si="16"/>
        <v>0</v>
      </c>
      <c r="J412" s="32"/>
      <c r="K412" s="32">
        <v>0</v>
      </c>
      <c r="L412" s="33">
        <f t="shared" si="17"/>
        <v>4</v>
      </c>
    </row>
    <row r="413" spans="1:12" x14ac:dyDescent="0.25">
      <c r="A413" s="15" t="s">
        <v>385</v>
      </c>
      <c r="B413" s="14" t="s">
        <v>385</v>
      </c>
      <c r="C413" s="15" t="s">
        <v>416</v>
      </c>
      <c r="D413" s="15" t="s">
        <v>65</v>
      </c>
      <c r="E413" s="15" t="s">
        <v>82</v>
      </c>
      <c r="F413" s="34">
        <v>3</v>
      </c>
      <c r="G413" s="34">
        <v>5</v>
      </c>
      <c r="H413" s="35"/>
      <c r="I413" s="35">
        <f t="shared" si="16"/>
        <v>0</v>
      </c>
      <c r="J413" s="35"/>
      <c r="K413" s="35">
        <v>0</v>
      </c>
      <c r="L413" s="36">
        <f t="shared" si="17"/>
        <v>5</v>
      </c>
    </row>
    <row r="414" spans="1:12" x14ac:dyDescent="0.25">
      <c r="A414" s="21" t="s">
        <v>385</v>
      </c>
      <c r="B414" s="30" t="s">
        <v>385</v>
      </c>
      <c r="C414" s="21" t="s">
        <v>417</v>
      </c>
      <c r="D414" s="21" t="s">
        <v>65</v>
      </c>
      <c r="E414" s="21" t="s">
        <v>82</v>
      </c>
      <c r="F414" s="31">
        <v>2</v>
      </c>
      <c r="G414" s="31">
        <v>3</v>
      </c>
      <c r="H414" s="32"/>
      <c r="I414" s="32">
        <f t="shared" si="16"/>
        <v>0</v>
      </c>
      <c r="J414" s="32"/>
      <c r="K414" s="32">
        <v>0</v>
      </c>
      <c r="L414" s="33">
        <f t="shared" si="17"/>
        <v>3</v>
      </c>
    </row>
    <row r="415" spans="1:12" x14ac:dyDescent="0.25">
      <c r="A415" s="15" t="s">
        <v>385</v>
      </c>
      <c r="B415" s="14" t="s">
        <v>385</v>
      </c>
      <c r="C415" s="15" t="s">
        <v>418</v>
      </c>
      <c r="D415" s="15" t="s">
        <v>65</v>
      </c>
      <c r="E415" s="15" t="s">
        <v>82</v>
      </c>
      <c r="F415" s="34">
        <v>1</v>
      </c>
      <c r="G415" s="34">
        <v>2</v>
      </c>
      <c r="H415" s="35"/>
      <c r="I415" s="35">
        <f t="shared" si="16"/>
        <v>0</v>
      </c>
      <c r="J415" s="35"/>
      <c r="K415" s="35">
        <v>0</v>
      </c>
      <c r="L415" s="36">
        <f t="shared" si="17"/>
        <v>2</v>
      </c>
    </row>
    <row r="416" spans="1:12" x14ac:dyDescent="0.25">
      <c r="A416" s="21" t="s">
        <v>385</v>
      </c>
      <c r="B416" s="30" t="s">
        <v>385</v>
      </c>
      <c r="C416" s="21" t="s">
        <v>387</v>
      </c>
      <c r="D416" s="21" t="s">
        <v>47</v>
      </c>
      <c r="E416" s="21" t="s">
        <v>79</v>
      </c>
      <c r="F416" s="21"/>
      <c r="G416" s="21"/>
      <c r="H416" s="32"/>
      <c r="I416" s="32">
        <f t="shared" ref="I416:I479" si="18">IF(H416="",0,G416)</f>
        <v>0</v>
      </c>
      <c r="J416" s="32"/>
      <c r="K416" s="32">
        <v>0</v>
      </c>
      <c r="L416" s="33">
        <f t="shared" ref="L416:L479" si="19">G416-I416-K416</f>
        <v>0</v>
      </c>
    </row>
    <row r="417" spans="1:12" x14ac:dyDescent="0.25">
      <c r="A417" s="15" t="s">
        <v>385</v>
      </c>
      <c r="B417" s="14" t="s">
        <v>385</v>
      </c>
      <c r="C417" s="15" t="s">
        <v>388</v>
      </c>
      <c r="D417" s="15" t="s">
        <v>49</v>
      </c>
      <c r="E417" s="15" t="s">
        <v>134</v>
      </c>
      <c r="F417" s="15"/>
      <c r="G417" s="15"/>
      <c r="H417" s="35"/>
      <c r="I417" s="35">
        <f t="shared" si="18"/>
        <v>0</v>
      </c>
      <c r="J417" s="35"/>
      <c r="K417" s="35">
        <v>0</v>
      </c>
      <c r="L417" s="36">
        <f t="shared" si="19"/>
        <v>0</v>
      </c>
    </row>
    <row r="418" spans="1:12" x14ac:dyDescent="0.25">
      <c r="A418" s="21" t="s">
        <v>385</v>
      </c>
      <c r="B418" s="30" t="s">
        <v>385</v>
      </c>
      <c r="C418" s="21" t="s">
        <v>389</v>
      </c>
      <c r="D418" s="21" t="s">
        <v>65</v>
      </c>
      <c r="E418" s="21" t="s">
        <v>82</v>
      </c>
      <c r="F418" s="21"/>
      <c r="G418" s="21"/>
      <c r="H418" s="32"/>
      <c r="I418" s="32">
        <f t="shared" si="18"/>
        <v>0</v>
      </c>
      <c r="J418" s="32"/>
      <c r="K418" s="32">
        <v>0</v>
      </c>
      <c r="L418" s="33">
        <f t="shared" si="19"/>
        <v>0</v>
      </c>
    </row>
    <row r="419" spans="1:12" x14ac:dyDescent="0.25">
      <c r="A419" s="15" t="s">
        <v>385</v>
      </c>
      <c r="B419" s="14" t="s">
        <v>385</v>
      </c>
      <c r="C419" s="15" t="s">
        <v>419</v>
      </c>
      <c r="D419" s="15" t="s">
        <v>65</v>
      </c>
      <c r="E419" s="15" t="s">
        <v>82</v>
      </c>
      <c r="F419" s="34">
        <v>5</v>
      </c>
      <c r="G419" s="34">
        <v>10</v>
      </c>
      <c r="H419" s="35"/>
      <c r="I419" s="35">
        <f t="shared" si="18"/>
        <v>0</v>
      </c>
      <c r="J419" s="35"/>
      <c r="K419" s="35">
        <v>0</v>
      </c>
      <c r="L419" s="36">
        <f t="shared" si="19"/>
        <v>10</v>
      </c>
    </row>
    <row r="420" spans="1:12" x14ac:dyDescent="0.25">
      <c r="A420" s="21" t="s">
        <v>385</v>
      </c>
      <c r="B420" s="30" t="s">
        <v>385</v>
      </c>
      <c r="C420" s="21" t="s">
        <v>390</v>
      </c>
      <c r="D420" s="21" t="s">
        <v>69</v>
      </c>
      <c r="E420" s="21" t="s">
        <v>90</v>
      </c>
      <c r="F420" s="21"/>
      <c r="G420" s="21"/>
      <c r="H420" s="32"/>
      <c r="I420" s="32">
        <f t="shared" si="18"/>
        <v>0</v>
      </c>
      <c r="J420" s="32"/>
      <c r="K420" s="32">
        <v>0</v>
      </c>
      <c r="L420" s="33">
        <f t="shared" si="19"/>
        <v>0</v>
      </c>
    </row>
    <row r="421" spans="1:12" x14ac:dyDescent="0.25">
      <c r="A421" s="15" t="s">
        <v>385</v>
      </c>
      <c r="B421" s="14" t="s">
        <v>385</v>
      </c>
      <c r="C421" s="15" t="s">
        <v>391</v>
      </c>
      <c r="D421" s="15" t="s">
        <v>47</v>
      </c>
      <c r="E421" s="15" t="s">
        <v>79</v>
      </c>
      <c r="F421" s="15"/>
      <c r="G421" s="15"/>
      <c r="H421" s="35"/>
      <c r="I421" s="35">
        <f t="shared" si="18"/>
        <v>0</v>
      </c>
      <c r="J421" s="35"/>
      <c r="K421" s="35">
        <v>0</v>
      </c>
      <c r="L421" s="36">
        <f t="shared" si="19"/>
        <v>0</v>
      </c>
    </row>
    <row r="422" spans="1:12" x14ac:dyDescent="0.25">
      <c r="A422" s="21" t="s">
        <v>385</v>
      </c>
      <c r="B422" s="30" t="s">
        <v>385</v>
      </c>
      <c r="C422" s="21" t="s">
        <v>394</v>
      </c>
      <c r="D422" s="21" t="s">
        <v>67</v>
      </c>
      <c r="E422" s="21" t="s">
        <v>93</v>
      </c>
      <c r="F422" s="31">
        <v>5</v>
      </c>
      <c r="G422" s="31">
        <v>10</v>
      </c>
      <c r="H422" s="32"/>
      <c r="I422" s="32">
        <f t="shared" si="18"/>
        <v>0</v>
      </c>
      <c r="J422" s="32"/>
      <c r="K422" s="32">
        <v>0</v>
      </c>
      <c r="L422" s="33">
        <f t="shared" si="19"/>
        <v>10</v>
      </c>
    </row>
    <row r="423" spans="1:12" x14ac:dyDescent="0.25">
      <c r="A423" s="15" t="s">
        <v>385</v>
      </c>
      <c r="B423" s="14" t="s">
        <v>385</v>
      </c>
      <c r="C423" s="15" t="s">
        <v>395</v>
      </c>
      <c r="D423" s="15" t="s">
        <v>53</v>
      </c>
      <c r="E423" s="15" t="s">
        <v>129</v>
      </c>
      <c r="F423" s="15"/>
      <c r="G423" s="15"/>
      <c r="H423" s="35"/>
      <c r="I423" s="35">
        <f t="shared" si="18"/>
        <v>0</v>
      </c>
      <c r="J423" s="35"/>
      <c r="K423" s="35">
        <v>0</v>
      </c>
      <c r="L423" s="36">
        <f t="shared" si="19"/>
        <v>0</v>
      </c>
    </row>
    <row r="424" spans="1:12" x14ac:dyDescent="0.25">
      <c r="A424" s="21" t="s">
        <v>385</v>
      </c>
      <c r="B424" s="30" t="s">
        <v>385</v>
      </c>
      <c r="C424" s="21" t="s">
        <v>396</v>
      </c>
      <c r="D424" s="21" t="s">
        <v>57</v>
      </c>
      <c r="E424" s="21" t="s">
        <v>136</v>
      </c>
      <c r="F424" s="21"/>
      <c r="G424" s="21"/>
      <c r="H424" s="32"/>
      <c r="I424" s="32">
        <f t="shared" si="18"/>
        <v>0</v>
      </c>
      <c r="J424" s="32"/>
      <c r="K424" s="32">
        <v>0</v>
      </c>
      <c r="L424" s="33">
        <f t="shared" si="19"/>
        <v>0</v>
      </c>
    </row>
    <row r="425" spans="1:12" x14ac:dyDescent="0.25">
      <c r="A425" s="15" t="s">
        <v>385</v>
      </c>
      <c r="B425" s="14" t="s">
        <v>385</v>
      </c>
      <c r="C425" s="15" t="s">
        <v>397</v>
      </c>
      <c r="D425" s="15" t="s">
        <v>57</v>
      </c>
      <c r="E425" s="15" t="s">
        <v>136</v>
      </c>
      <c r="F425" s="15"/>
      <c r="G425" s="15"/>
      <c r="H425" s="35"/>
      <c r="I425" s="35">
        <f t="shared" si="18"/>
        <v>0</v>
      </c>
      <c r="J425" s="35"/>
      <c r="K425" s="35">
        <v>0</v>
      </c>
      <c r="L425" s="36">
        <f t="shared" si="19"/>
        <v>0</v>
      </c>
    </row>
    <row r="426" spans="1:12" x14ac:dyDescent="0.25">
      <c r="A426" s="21" t="s">
        <v>385</v>
      </c>
      <c r="B426" s="30" t="s">
        <v>385</v>
      </c>
      <c r="C426" s="21" t="s">
        <v>398</v>
      </c>
      <c r="D426" s="21" t="s">
        <v>57</v>
      </c>
      <c r="E426" s="21" t="s">
        <v>136</v>
      </c>
      <c r="F426" s="21"/>
      <c r="G426" s="21"/>
      <c r="H426" s="32"/>
      <c r="I426" s="32">
        <f t="shared" si="18"/>
        <v>0</v>
      </c>
      <c r="J426" s="32"/>
      <c r="K426" s="32">
        <v>0</v>
      </c>
      <c r="L426" s="33">
        <f t="shared" si="19"/>
        <v>0</v>
      </c>
    </row>
    <row r="427" spans="1:12" x14ac:dyDescent="0.25">
      <c r="A427" s="15" t="s">
        <v>385</v>
      </c>
      <c r="B427" s="14" t="s">
        <v>385</v>
      </c>
      <c r="C427" s="15" t="s">
        <v>399</v>
      </c>
      <c r="D427" s="15" t="s">
        <v>57</v>
      </c>
      <c r="E427" s="15" t="s">
        <v>136</v>
      </c>
      <c r="F427" s="15"/>
      <c r="G427" s="15"/>
      <c r="H427" s="35"/>
      <c r="I427" s="35">
        <f t="shared" si="18"/>
        <v>0</v>
      </c>
      <c r="J427" s="35"/>
      <c r="K427" s="35">
        <v>0</v>
      </c>
      <c r="L427" s="36">
        <f t="shared" si="19"/>
        <v>0</v>
      </c>
    </row>
    <row r="428" spans="1:12" x14ac:dyDescent="0.25">
      <c r="A428" s="21" t="s">
        <v>385</v>
      </c>
      <c r="B428" s="30" t="s">
        <v>385</v>
      </c>
      <c r="C428" s="21" t="s">
        <v>400</v>
      </c>
      <c r="D428" s="21" t="s">
        <v>57</v>
      </c>
      <c r="E428" s="21" t="s">
        <v>136</v>
      </c>
      <c r="F428" s="21"/>
      <c r="G428" s="21"/>
      <c r="H428" s="32"/>
      <c r="I428" s="32">
        <f t="shared" si="18"/>
        <v>0</v>
      </c>
      <c r="J428" s="32"/>
      <c r="K428" s="32">
        <v>0</v>
      </c>
      <c r="L428" s="33">
        <f t="shared" si="19"/>
        <v>0</v>
      </c>
    </row>
    <row r="429" spans="1:12" x14ac:dyDescent="0.25">
      <c r="A429" s="15" t="s">
        <v>385</v>
      </c>
      <c r="B429" s="14" t="s">
        <v>385</v>
      </c>
      <c r="C429" s="15" t="s">
        <v>401</v>
      </c>
      <c r="D429" s="15" t="s">
        <v>56</v>
      </c>
      <c r="E429" s="15" t="s">
        <v>162</v>
      </c>
      <c r="F429" s="15"/>
      <c r="G429" s="15"/>
      <c r="H429" s="35"/>
      <c r="I429" s="35">
        <f t="shared" si="18"/>
        <v>0</v>
      </c>
      <c r="J429" s="35"/>
      <c r="K429" s="35">
        <v>0</v>
      </c>
      <c r="L429" s="36">
        <f t="shared" si="19"/>
        <v>0</v>
      </c>
    </row>
    <row r="430" spans="1:12" x14ac:dyDescent="0.25">
      <c r="A430" s="21" t="s">
        <v>385</v>
      </c>
      <c r="B430" s="30" t="s">
        <v>385</v>
      </c>
      <c r="C430" s="21" t="s">
        <v>402</v>
      </c>
      <c r="D430" s="21" t="s">
        <v>47</v>
      </c>
      <c r="E430" s="21" t="s">
        <v>79</v>
      </c>
      <c r="F430" s="21"/>
      <c r="G430" s="21"/>
      <c r="H430" s="32"/>
      <c r="I430" s="32">
        <f t="shared" si="18"/>
        <v>0</v>
      </c>
      <c r="J430" s="32"/>
      <c r="K430" s="32">
        <v>0</v>
      </c>
      <c r="L430" s="33">
        <f t="shared" si="19"/>
        <v>0</v>
      </c>
    </row>
    <row r="431" spans="1:12" x14ac:dyDescent="0.25">
      <c r="A431" s="15" t="s">
        <v>385</v>
      </c>
      <c r="B431" s="14" t="s">
        <v>385</v>
      </c>
      <c r="C431" s="15" t="s">
        <v>403</v>
      </c>
      <c r="D431" s="15" t="s">
        <v>47</v>
      </c>
      <c r="E431" s="15" t="s">
        <v>79</v>
      </c>
      <c r="F431" s="15"/>
      <c r="G431" s="15"/>
      <c r="H431" s="35"/>
      <c r="I431" s="35">
        <f t="shared" si="18"/>
        <v>0</v>
      </c>
      <c r="J431" s="35"/>
      <c r="K431" s="35">
        <v>0</v>
      </c>
      <c r="L431" s="36">
        <f t="shared" si="19"/>
        <v>0</v>
      </c>
    </row>
    <row r="432" spans="1:12" x14ac:dyDescent="0.25">
      <c r="A432" s="21" t="s">
        <v>385</v>
      </c>
      <c r="B432" s="30" t="s">
        <v>385</v>
      </c>
      <c r="C432" s="21" t="s">
        <v>404</v>
      </c>
      <c r="D432" s="21" t="s">
        <v>53</v>
      </c>
      <c r="E432" s="21" t="s">
        <v>129</v>
      </c>
      <c r="F432" s="21"/>
      <c r="G432" s="21"/>
      <c r="H432" s="32"/>
      <c r="I432" s="32">
        <f t="shared" si="18"/>
        <v>0</v>
      </c>
      <c r="J432" s="32"/>
      <c r="K432" s="32">
        <v>0</v>
      </c>
      <c r="L432" s="33">
        <f t="shared" si="19"/>
        <v>0</v>
      </c>
    </row>
    <row r="433" spans="1:12" x14ac:dyDescent="0.25">
      <c r="A433" s="15" t="s">
        <v>385</v>
      </c>
      <c r="B433" s="14" t="s">
        <v>385</v>
      </c>
      <c r="C433" s="15" t="s">
        <v>405</v>
      </c>
      <c r="D433" s="15" t="s">
        <v>57</v>
      </c>
      <c r="E433" s="15" t="s">
        <v>136</v>
      </c>
      <c r="F433" s="15"/>
      <c r="G433" s="15"/>
      <c r="H433" s="35"/>
      <c r="I433" s="35">
        <f t="shared" si="18"/>
        <v>0</v>
      </c>
      <c r="J433" s="35"/>
      <c r="K433" s="35">
        <v>0</v>
      </c>
      <c r="L433" s="36">
        <f t="shared" si="19"/>
        <v>0</v>
      </c>
    </row>
    <row r="434" spans="1:12" x14ac:dyDescent="0.25">
      <c r="A434" s="21" t="s">
        <v>385</v>
      </c>
      <c r="B434" s="30" t="s">
        <v>385</v>
      </c>
      <c r="C434" s="21" t="s">
        <v>406</v>
      </c>
      <c r="D434" s="21" t="s">
        <v>62</v>
      </c>
      <c r="E434" s="21" t="s">
        <v>159</v>
      </c>
      <c r="F434" s="21"/>
      <c r="G434" s="21"/>
      <c r="H434" s="32"/>
      <c r="I434" s="32">
        <f t="shared" si="18"/>
        <v>0</v>
      </c>
      <c r="J434" s="32"/>
      <c r="K434" s="32">
        <v>0</v>
      </c>
      <c r="L434" s="33">
        <f t="shared" si="19"/>
        <v>0</v>
      </c>
    </row>
    <row r="435" spans="1:12" x14ac:dyDescent="0.25">
      <c r="A435" s="15" t="s">
        <v>385</v>
      </c>
      <c r="B435" s="14" t="s">
        <v>385</v>
      </c>
      <c r="C435" s="15" t="s">
        <v>407</v>
      </c>
      <c r="D435" s="15" t="s">
        <v>65</v>
      </c>
      <c r="E435" s="15" t="s">
        <v>82</v>
      </c>
      <c r="F435" s="34">
        <v>3</v>
      </c>
      <c r="G435" s="34">
        <v>4</v>
      </c>
      <c r="H435" s="35"/>
      <c r="I435" s="35">
        <f t="shared" si="18"/>
        <v>0</v>
      </c>
      <c r="J435" s="35"/>
      <c r="K435" s="35">
        <v>0</v>
      </c>
      <c r="L435" s="36">
        <f t="shared" si="19"/>
        <v>4</v>
      </c>
    </row>
    <row r="436" spans="1:12" x14ac:dyDescent="0.25">
      <c r="A436" s="21" t="s">
        <v>385</v>
      </c>
      <c r="B436" s="30" t="s">
        <v>385</v>
      </c>
      <c r="C436" s="21" t="s">
        <v>408</v>
      </c>
      <c r="D436" s="21" t="s">
        <v>70</v>
      </c>
      <c r="E436" s="21" t="s">
        <v>104</v>
      </c>
      <c r="F436" s="21"/>
      <c r="G436" s="21"/>
      <c r="H436" s="32"/>
      <c r="I436" s="32">
        <f t="shared" si="18"/>
        <v>0</v>
      </c>
      <c r="J436" s="32"/>
      <c r="K436" s="32">
        <v>0</v>
      </c>
      <c r="L436" s="33">
        <f t="shared" si="19"/>
        <v>0</v>
      </c>
    </row>
    <row r="437" spans="1:12" x14ac:dyDescent="0.25">
      <c r="A437" s="15" t="s">
        <v>385</v>
      </c>
      <c r="B437" s="14" t="s">
        <v>385</v>
      </c>
      <c r="C437" s="15" t="s">
        <v>409</v>
      </c>
      <c r="D437" s="15" t="s">
        <v>54</v>
      </c>
      <c r="E437" s="15" t="s">
        <v>84</v>
      </c>
      <c r="F437" s="15"/>
      <c r="G437" s="15"/>
      <c r="H437" s="35"/>
      <c r="I437" s="35">
        <f t="shared" si="18"/>
        <v>0</v>
      </c>
      <c r="J437" s="35"/>
      <c r="K437" s="35">
        <v>0</v>
      </c>
      <c r="L437" s="36">
        <f t="shared" si="19"/>
        <v>0</v>
      </c>
    </row>
    <row r="438" spans="1:12" x14ac:dyDescent="0.25">
      <c r="A438" s="21" t="s">
        <v>385</v>
      </c>
      <c r="B438" s="30" t="s">
        <v>385</v>
      </c>
      <c r="C438" s="21" t="s">
        <v>410</v>
      </c>
      <c r="D438" s="21" t="s">
        <v>61</v>
      </c>
      <c r="E438" s="21" t="s">
        <v>142</v>
      </c>
      <c r="F438" s="21"/>
      <c r="G438" s="21"/>
      <c r="H438" s="32"/>
      <c r="I438" s="32">
        <f t="shared" si="18"/>
        <v>0</v>
      </c>
      <c r="J438" s="32"/>
      <c r="K438" s="32">
        <v>0</v>
      </c>
      <c r="L438" s="33">
        <f t="shared" si="19"/>
        <v>0</v>
      </c>
    </row>
    <row r="439" spans="1:12" x14ac:dyDescent="0.25">
      <c r="A439" s="15" t="s">
        <v>385</v>
      </c>
      <c r="B439" s="14" t="s">
        <v>385</v>
      </c>
      <c r="C439" s="15" t="s">
        <v>69</v>
      </c>
      <c r="D439" s="15" t="s">
        <v>69</v>
      </c>
      <c r="E439" s="15" t="s">
        <v>90</v>
      </c>
      <c r="F439" s="15"/>
      <c r="G439" s="15"/>
      <c r="H439" s="35"/>
      <c r="I439" s="35">
        <f t="shared" si="18"/>
        <v>0</v>
      </c>
      <c r="J439" s="35"/>
      <c r="K439" s="35">
        <v>0</v>
      </c>
      <c r="L439" s="36">
        <f t="shared" si="19"/>
        <v>0</v>
      </c>
    </row>
    <row r="440" spans="1:12" x14ac:dyDescent="0.25">
      <c r="A440" s="21" t="s">
        <v>385</v>
      </c>
      <c r="B440" s="30" t="s">
        <v>385</v>
      </c>
      <c r="C440" s="21" t="s">
        <v>420</v>
      </c>
      <c r="D440" s="21" t="s">
        <v>57</v>
      </c>
      <c r="E440" s="21" t="s">
        <v>136</v>
      </c>
      <c r="F440" s="31">
        <v>11.4</v>
      </c>
      <c r="G440" s="31">
        <v>17.100000000000001</v>
      </c>
      <c r="H440" s="32"/>
      <c r="I440" s="32">
        <f t="shared" si="18"/>
        <v>0</v>
      </c>
      <c r="J440" s="32"/>
      <c r="K440" s="32">
        <v>0</v>
      </c>
      <c r="L440" s="33">
        <f t="shared" si="19"/>
        <v>17.100000000000001</v>
      </c>
    </row>
    <row r="441" spans="1:12" x14ac:dyDescent="0.25">
      <c r="A441" s="15" t="s">
        <v>385</v>
      </c>
      <c r="B441" s="14" t="s">
        <v>385</v>
      </c>
      <c r="C441" s="15" t="s">
        <v>421</v>
      </c>
      <c r="D441" s="15" t="s">
        <v>57</v>
      </c>
      <c r="E441" s="15" t="s">
        <v>136</v>
      </c>
      <c r="F441" s="15"/>
      <c r="G441" s="15"/>
      <c r="H441" s="35"/>
      <c r="I441" s="35">
        <f t="shared" si="18"/>
        <v>0</v>
      </c>
      <c r="J441" s="35"/>
      <c r="K441" s="35">
        <v>0</v>
      </c>
      <c r="L441" s="36">
        <f t="shared" si="19"/>
        <v>0</v>
      </c>
    </row>
    <row r="442" spans="1:12" x14ac:dyDescent="0.25">
      <c r="A442" s="21" t="s">
        <v>422</v>
      </c>
      <c r="B442" s="30" t="s">
        <v>422</v>
      </c>
      <c r="C442" s="21" t="s">
        <v>423</v>
      </c>
      <c r="D442" s="21" t="s">
        <v>57</v>
      </c>
      <c r="E442" s="21" t="s">
        <v>136</v>
      </c>
      <c r="F442" s="31">
        <v>68.599999999999994</v>
      </c>
      <c r="G442" s="31">
        <v>68.599999999999994</v>
      </c>
      <c r="H442" s="32"/>
      <c r="I442" s="32">
        <f t="shared" si="18"/>
        <v>0</v>
      </c>
      <c r="J442" s="32"/>
      <c r="K442" s="32">
        <v>0</v>
      </c>
      <c r="L442" s="33">
        <f t="shared" si="19"/>
        <v>68.599999999999994</v>
      </c>
    </row>
    <row r="443" spans="1:12" x14ac:dyDescent="0.25">
      <c r="A443" s="21" t="s">
        <v>424</v>
      </c>
      <c r="B443" s="30" t="s">
        <v>424</v>
      </c>
      <c r="C443" s="21" t="s">
        <v>425</v>
      </c>
      <c r="D443" s="21" t="s">
        <v>47</v>
      </c>
      <c r="E443" s="21" t="s">
        <v>79</v>
      </c>
      <c r="F443" s="21"/>
      <c r="G443" s="31">
        <v>1</v>
      </c>
      <c r="H443" s="32"/>
      <c r="I443" s="32">
        <f t="shared" si="18"/>
        <v>0</v>
      </c>
      <c r="J443" s="32"/>
      <c r="K443" s="32">
        <v>0</v>
      </c>
      <c r="L443" s="33">
        <f t="shared" si="19"/>
        <v>1</v>
      </c>
    </row>
    <row r="444" spans="1:12" x14ac:dyDescent="0.25">
      <c r="A444" s="15" t="s">
        <v>424</v>
      </c>
      <c r="B444" s="14" t="s">
        <v>424</v>
      </c>
      <c r="C444" s="15" t="s">
        <v>426</v>
      </c>
      <c r="D444" s="15" t="s">
        <v>47</v>
      </c>
      <c r="E444" s="15" t="s">
        <v>79</v>
      </c>
      <c r="F444" s="15"/>
      <c r="G444" s="34">
        <v>1</v>
      </c>
      <c r="H444" s="35"/>
      <c r="I444" s="35">
        <f t="shared" si="18"/>
        <v>0</v>
      </c>
      <c r="J444" s="35"/>
      <c r="K444" s="35">
        <v>0</v>
      </c>
      <c r="L444" s="36">
        <f t="shared" si="19"/>
        <v>1</v>
      </c>
    </row>
    <row r="445" spans="1:12" x14ac:dyDescent="0.25">
      <c r="A445" s="21" t="s">
        <v>424</v>
      </c>
      <c r="B445" s="30" t="s">
        <v>424</v>
      </c>
      <c r="C445" s="21" t="s">
        <v>427</v>
      </c>
      <c r="D445" s="21" t="s">
        <v>67</v>
      </c>
      <c r="E445" s="21" t="s">
        <v>93</v>
      </c>
      <c r="F445" s="21"/>
      <c r="G445" s="21"/>
      <c r="H445" s="32"/>
      <c r="I445" s="32">
        <f t="shared" si="18"/>
        <v>0</v>
      </c>
      <c r="J445" s="32"/>
      <c r="K445" s="32">
        <v>0</v>
      </c>
      <c r="L445" s="33">
        <f t="shared" si="19"/>
        <v>0</v>
      </c>
    </row>
    <row r="446" spans="1:12" x14ac:dyDescent="0.25">
      <c r="A446" s="15" t="s">
        <v>424</v>
      </c>
      <c r="B446" s="14" t="s">
        <v>424</v>
      </c>
      <c r="C446" s="15" t="s">
        <v>428</v>
      </c>
      <c r="D446" s="15" t="s">
        <v>61</v>
      </c>
      <c r="E446" s="15" t="s">
        <v>142</v>
      </c>
      <c r="F446" s="15"/>
      <c r="G446" s="15"/>
      <c r="H446" s="35"/>
      <c r="I446" s="35">
        <f t="shared" si="18"/>
        <v>0</v>
      </c>
      <c r="J446" s="35"/>
      <c r="K446" s="35">
        <v>0</v>
      </c>
      <c r="L446" s="36">
        <f t="shared" si="19"/>
        <v>0</v>
      </c>
    </row>
    <row r="447" spans="1:12" x14ac:dyDescent="0.25">
      <c r="A447" s="21" t="s">
        <v>424</v>
      </c>
      <c r="B447" s="30" t="s">
        <v>424</v>
      </c>
      <c r="C447" s="21" t="s">
        <v>429</v>
      </c>
      <c r="D447" s="21" t="s">
        <v>57</v>
      </c>
      <c r="E447" s="21" t="s">
        <v>136</v>
      </c>
      <c r="F447" s="21"/>
      <c r="G447" s="21"/>
      <c r="H447" s="32"/>
      <c r="I447" s="32">
        <f t="shared" si="18"/>
        <v>0</v>
      </c>
      <c r="J447" s="32"/>
      <c r="K447" s="32">
        <v>0</v>
      </c>
      <c r="L447" s="33">
        <f t="shared" si="19"/>
        <v>0</v>
      </c>
    </row>
    <row r="448" spans="1:12" x14ac:dyDescent="0.25">
      <c r="A448" s="15" t="s">
        <v>424</v>
      </c>
      <c r="B448" s="14" t="s">
        <v>424</v>
      </c>
      <c r="C448" s="15" t="s">
        <v>427</v>
      </c>
      <c r="D448" s="15" t="s">
        <v>67</v>
      </c>
      <c r="E448" s="15" t="s">
        <v>93</v>
      </c>
      <c r="F448" s="34">
        <v>10</v>
      </c>
      <c r="G448" s="34">
        <v>15</v>
      </c>
      <c r="H448" s="35"/>
      <c r="I448" s="35">
        <f t="shared" si="18"/>
        <v>0</v>
      </c>
      <c r="J448" s="35"/>
      <c r="K448" s="35">
        <v>0</v>
      </c>
      <c r="L448" s="36">
        <f t="shared" si="19"/>
        <v>15</v>
      </c>
    </row>
    <row r="449" spans="1:12" x14ac:dyDescent="0.25">
      <c r="A449" s="21" t="s">
        <v>424</v>
      </c>
      <c r="B449" s="30" t="s">
        <v>424</v>
      </c>
      <c r="C449" s="21" t="s">
        <v>427</v>
      </c>
      <c r="D449" s="21" t="s">
        <v>65</v>
      </c>
      <c r="E449" s="21" t="s">
        <v>82</v>
      </c>
      <c r="F449" s="31">
        <v>5</v>
      </c>
      <c r="G449" s="31">
        <v>10</v>
      </c>
      <c r="H449" s="32"/>
      <c r="I449" s="32">
        <f t="shared" si="18"/>
        <v>0</v>
      </c>
      <c r="J449" s="32"/>
      <c r="K449" s="32">
        <v>0</v>
      </c>
      <c r="L449" s="33">
        <f t="shared" si="19"/>
        <v>10</v>
      </c>
    </row>
    <row r="450" spans="1:12" x14ac:dyDescent="0.25">
      <c r="A450" s="15" t="s">
        <v>424</v>
      </c>
      <c r="B450" s="14" t="s">
        <v>424</v>
      </c>
      <c r="C450" s="15" t="s">
        <v>428</v>
      </c>
      <c r="D450" s="15" t="s">
        <v>61</v>
      </c>
      <c r="E450" s="15" t="s">
        <v>142</v>
      </c>
      <c r="F450" s="15"/>
      <c r="G450" s="15"/>
      <c r="H450" s="35"/>
      <c r="I450" s="35">
        <f t="shared" si="18"/>
        <v>0</v>
      </c>
      <c r="J450" s="35"/>
      <c r="K450" s="35">
        <v>0</v>
      </c>
      <c r="L450" s="36">
        <f t="shared" si="19"/>
        <v>0</v>
      </c>
    </row>
    <row r="451" spans="1:12" x14ac:dyDescent="0.25">
      <c r="A451" s="21" t="s">
        <v>424</v>
      </c>
      <c r="B451" s="30" t="s">
        <v>424</v>
      </c>
      <c r="C451" s="21" t="s">
        <v>429</v>
      </c>
      <c r="D451" s="21" t="s">
        <v>57</v>
      </c>
      <c r="E451" s="21" t="s">
        <v>136</v>
      </c>
      <c r="F451" s="21"/>
      <c r="G451" s="21"/>
      <c r="H451" s="32"/>
      <c r="I451" s="32">
        <f t="shared" si="18"/>
        <v>0</v>
      </c>
      <c r="J451" s="32"/>
      <c r="K451" s="32">
        <v>0</v>
      </c>
      <c r="L451" s="33">
        <f t="shared" si="19"/>
        <v>0</v>
      </c>
    </row>
    <row r="452" spans="1:12" x14ac:dyDescent="0.25">
      <c r="A452" s="21" t="s">
        <v>432</v>
      </c>
      <c r="B452" s="30" t="s">
        <v>432</v>
      </c>
      <c r="C452" s="21" t="s">
        <v>434</v>
      </c>
      <c r="D452" s="21" t="s">
        <v>47</v>
      </c>
      <c r="E452" s="21" t="s">
        <v>79</v>
      </c>
      <c r="F452" s="31">
        <v>3</v>
      </c>
      <c r="G452" s="31">
        <v>5</v>
      </c>
      <c r="H452" s="32"/>
      <c r="I452" s="32">
        <f t="shared" si="18"/>
        <v>0</v>
      </c>
      <c r="J452" s="32"/>
      <c r="K452" s="32">
        <v>0</v>
      </c>
      <c r="L452" s="33">
        <f t="shared" si="19"/>
        <v>5</v>
      </c>
    </row>
    <row r="453" spans="1:12" x14ac:dyDescent="0.25">
      <c r="A453" s="15" t="s">
        <v>432</v>
      </c>
      <c r="B453" s="14" t="s">
        <v>432</v>
      </c>
      <c r="C453" s="15" t="s">
        <v>435</v>
      </c>
      <c r="D453" s="15" t="s">
        <v>49</v>
      </c>
      <c r="E453" s="15" t="s">
        <v>134</v>
      </c>
      <c r="F453" s="34">
        <v>10</v>
      </c>
      <c r="G453" s="34">
        <v>20</v>
      </c>
      <c r="H453" s="35"/>
      <c r="I453" s="35">
        <f t="shared" si="18"/>
        <v>0</v>
      </c>
      <c r="J453" s="35"/>
      <c r="K453" s="35">
        <v>0</v>
      </c>
      <c r="L453" s="36">
        <f t="shared" si="19"/>
        <v>20</v>
      </c>
    </row>
    <row r="454" spans="1:12" x14ac:dyDescent="0.25">
      <c r="A454" s="21" t="s">
        <v>432</v>
      </c>
      <c r="B454" s="30" t="s">
        <v>432</v>
      </c>
      <c r="C454" s="21" t="s">
        <v>436</v>
      </c>
      <c r="D454" s="21" t="s">
        <v>53</v>
      </c>
      <c r="E454" s="21" t="s">
        <v>129</v>
      </c>
      <c r="F454" s="21"/>
      <c r="G454" s="21"/>
      <c r="H454" s="32"/>
      <c r="I454" s="32">
        <f t="shared" si="18"/>
        <v>0</v>
      </c>
      <c r="J454" s="32"/>
      <c r="K454" s="32">
        <v>0</v>
      </c>
      <c r="L454" s="33">
        <f t="shared" si="19"/>
        <v>0</v>
      </c>
    </row>
    <row r="455" spans="1:12" x14ac:dyDescent="0.25">
      <c r="A455" s="15" t="s">
        <v>432</v>
      </c>
      <c r="B455" s="14" t="s">
        <v>432</v>
      </c>
      <c r="C455" s="15" t="s">
        <v>437</v>
      </c>
      <c r="D455" s="15" t="s">
        <v>57</v>
      </c>
      <c r="E455" s="15" t="s">
        <v>136</v>
      </c>
      <c r="F455" s="15"/>
      <c r="G455" s="15"/>
      <c r="H455" s="35"/>
      <c r="I455" s="35">
        <f t="shared" si="18"/>
        <v>0</v>
      </c>
      <c r="J455" s="35"/>
      <c r="K455" s="35">
        <v>0</v>
      </c>
      <c r="L455" s="36">
        <f t="shared" si="19"/>
        <v>0</v>
      </c>
    </row>
    <row r="456" spans="1:12" x14ac:dyDescent="0.25">
      <c r="A456" s="21" t="s">
        <v>432</v>
      </c>
      <c r="B456" s="30" t="s">
        <v>432</v>
      </c>
      <c r="C456" s="21" t="s">
        <v>438</v>
      </c>
      <c r="D456" s="21" t="s">
        <v>57</v>
      </c>
      <c r="E456" s="21" t="s">
        <v>136</v>
      </c>
      <c r="F456" s="21"/>
      <c r="G456" s="21"/>
      <c r="H456" s="32"/>
      <c r="I456" s="32">
        <f t="shared" si="18"/>
        <v>0</v>
      </c>
      <c r="J456" s="32"/>
      <c r="K456" s="32">
        <v>0</v>
      </c>
      <c r="L456" s="33">
        <f t="shared" si="19"/>
        <v>0</v>
      </c>
    </row>
    <row r="457" spans="1:12" x14ac:dyDescent="0.25">
      <c r="A457" s="15" t="s">
        <v>432</v>
      </c>
      <c r="B457" s="14" t="s">
        <v>432</v>
      </c>
      <c r="C457" s="15" t="s">
        <v>439</v>
      </c>
      <c r="D457" s="15" t="s">
        <v>57</v>
      </c>
      <c r="E457" s="15" t="s">
        <v>136</v>
      </c>
      <c r="F457" s="15"/>
      <c r="G457" s="15"/>
      <c r="H457" s="35"/>
      <c r="I457" s="35">
        <f t="shared" si="18"/>
        <v>0</v>
      </c>
      <c r="J457" s="35"/>
      <c r="K457" s="35">
        <v>0</v>
      </c>
      <c r="L457" s="36">
        <f t="shared" si="19"/>
        <v>0</v>
      </c>
    </row>
    <row r="458" spans="1:12" x14ac:dyDescent="0.25">
      <c r="A458" s="21" t="s">
        <v>432</v>
      </c>
      <c r="B458" s="30" t="s">
        <v>432</v>
      </c>
      <c r="C458" s="21" t="s">
        <v>440</v>
      </c>
      <c r="D458" s="21" t="s">
        <v>70</v>
      </c>
      <c r="E458" s="21" t="s">
        <v>104</v>
      </c>
      <c r="F458" s="31">
        <v>14</v>
      </c>
      <c r="G458" s="31">
        <v>15</v>
      </c>
      <c r="H458" s="32"/>
      <c r="I458" s="32">
        <f t="shared" si="18"/>
        <v>0</v>
      </c>
      <c r="J458" s="32"/>
      <c r="K458" s="32">
        <v>0</v>
      </c>
      <c r="L458" s="33">
        <f t="shared" si="19"/>
        <v>15</v>
      </c>
    </row>
    <row r="459" spans="1:12" x14ac:dyDescent="0.25">
      <c r="A459" s="15" t="s">
        <v>432</v>
      </c>
      <c r="B459" s="14" t="s">
        <v>432</v>
      </c>
      <c r="C459" s="15" t="s">
        <v>441</v>
      </c>
      <c r="D459" s="15" t="s">
        <v>69</v>
      </c>
      <c r="E459" s="15" t="s">
        <v>90</v>
      </c>
      <c r="F459" s="15"/>
      <c r="G459" s="15"/>
      <c r="H459" s="35"/>
      <c r="I459" s="35">
        <f t="shared" si="18"/>
        <v>0</v>
      </c>
      <c r="J459" s="35"/>
      <c r="K459" s="35">
        <v>0</v>
      </c>
      <c r="L459" s="36">
        <f t="shared" si="19"/>
        <v>0</v>
      </c>
    </row>
    <row r="460" spans="1:12" x14ac:dyDescent="0.25">
      <c r="A460" s="21" t="s">
        <v>432</v>
      </c>
      <c r="B460" s="30" t="s">
        <v>432</v>
      </c>
      <c r="C460" s="21" t="s">
        <v>442</v>
      </c>
      <c r="D460" s="21" t="s">
        <v>47</v>
      </c>
      <c r="E460" s="21" t="s">
        <v>79</v>
      </c>
      <c r="F460" s="31">
        <v>1</v>
      </c>
      <c r="G460" s="31">
        <v>1</v>
      </c>
      <c r="H460" s="32"/>
      <c r="I460" s="32">
        <f t="shared" si="18"/>
        <v>0</v>
      </c>
      <c r="J460" s="32"/>
      <c r="K460" s="32">
        <v>0</v>
      </c>
      <c r="L460" s="33">
        <f t="shared" si="19"/>
        <v>1</v>
      </c>
    </row>
    <row r="461" spans="1:12" x14ac:dyDescent="0.25">
      <c r="A461" s="15" t="s">
        <v>432</v>
      </c>
      <c r="B461" s="14" t="s">
        <v>432</v>
      </c>
      <c r="C461" s="15" t="s">
        <v>443</v>
      </c>
      <c r="D461" s="15" t="s">
        <v>49</v>
      </c>
      <c r="E461" s="15" t="s">
        <v>134</v>
      </c>
      <c r="F461" s="34">
        <v>1</v>
      </c>
      <c r="G461" s="34">
        <v>15</v>
      </c>
      <c r="H461" s="35"/>
      <c r="I461" s="35">
        <f t="shared" si="18"/>
        <v>0</v>
      </c>
      <c r="J461" s="35"/>
      <c r="K461" s="35">
        <v>0</v>
      </c>
      <c r="L461" s="36">
        <f t="shared" si="19"/>
        <v>15</v>
      </c>
    </row>
    <row r="462" spans="1:12" x14ac:dyDescent="0.25">
      <c r="A462" s="21" t="s">
        <v>432</v>
      </c>
      <c r="B462" s="30" t="s">
        <v>432</v>
      </c>
      <c r="C462" s="21" t="s">
        <v>444</v>
      </c>
      <c r="D462" s="21" t="s">
        <v>53</v>
      </c>
      <c r="E462" s="21" t="s">
        <v>129</v>
      </c>
      <c r="F462" s="21"/>
      <c r="G462" s="21"/>
      <c r="H462" s="32"/>
      <c r="I462" s="32">
        <f t="shared" si="18"/>
        <v>0</v>
      </c>
      <c r="J462" s="32"/>
      <c r="K462" s="32">
        <v>0</v>
      </c>
      <c r="L462" s="33">
        <f t="shared" si="19"/>
        <v>0</v>
      </c>
    </row>
    <row r="463" spans="1:12" x14ac:dyDescent="0.25">
      <c r="A463" s="15" t="s">
        <v>432</v>
      </c>
      <c r="B463" s="14" t="s">
        <v>432</v>
      </c>
      <c r="C463" s="15" t="s">
        <v>445</v>
      </c>
      <c r="D463" s="15" t="s">
        <v>57</v>
      </c>
      <c r="E463" s="15" t="s">
        <v>136</v>
      </c>
      <c r="F463" s="15"/>
      <c r="G463" s="15"/>
      <c r="H463" s="35"/>
      <c r="I463" s="35">
        <f t="shared" si="18"/>
        <v>0</v>
      </c>
      <c r="J463" s="35"/>
      <c r="K463" s="35">
        <v>0</v>
      </c>
      <c r="L463" s="36">
        <f t="shared" si="19"/>
        <v>0</v>
      </c>
    </row>
    <row r="464" spans="1:12" x14ac:dyDescent="0.25">
      <c r="A464" s="21" t="s">
        <v>432</v>
      </c>
      <c r="B464" s="30" t="s">
        <v>432</v>
      </c>
      <c r="C464" s="21" t="s">
        <v>446</v>
      </c>
      <c r="D464" s="21" t="s">
        <v>57</v>
      </c>
      <c r="E464" s="21" t="s">
        <v>136</v>
      </c>
      <c r="F464" s="21"/>
      <c r="G464" s="21"/>
      <c r="H464" s="32"/>
      <c r="I464" s="32">
        <f t="shared" si="18"/>
        <v>0</v>
      </c>
      <c r="J464" s="32"/>
      <c r="K464" s="32">
        <v>0</v>
      </c>
      <c r="L464" s="33">
        <f t="shared" si="19"/>
        <v>0</v>
      </c>
    </row>
    <row r="465" spans="1:12" x14ac:dyDescent="0.25">
      <c r="A465" s="15" t="s">
        <v>432</v>
      </c>
      <c r="B465" s="14" t="s">
        <v>432</v>
      </c>
      <c r="C465" s="15" t="s">
        <v>447</v>
      </c>
      <c r="D465" s="15" t="s">
        <v>57</v>
      </c>
      <c r="E465" s="15" t="s">
        <v>136</v>
      </c>
      <c r="F465" s="15"/>
      <c r="G465" s="15"/>
      <c r="H465" s="35"/>
      <c r="I465" s="35">
        <f t="shared" si="18"/>
        <v>0</v>
      </c>
      <c r="J465" s="35"/>
      <c r="K465" s="35">
        <v>0</v>
      </c>
      <c r="L465" s="36">
        <f t="shared" si="19"/>
        <v>0</v>
      </c>
    </row>
    <row r="466" spans="1:12" x14ac:dyDescent="0.25">
      <c r="A466" s="21" t="s">
        <v>432</v>
      </c>
      <c r="B466" s="30" t="s">
        <v>432</v>
      </c>
      <c r="C466" s="21" t="s">
        <v>448</v>
      </c>
      <c r="D466" s="21" t="s">
        <v>70</v>
      </c>
      <c r="E466" s="21" t="s">
        <v>104</v>
      </c>
      <c r="F466" s="31">
        <v>0.5</v>
      </c>
      <c r="G466" s="31">
        <v>1</v>
      </c>
      <c r="H466" s="32"/>
      <c r="I466" s="32">
        <f t="shared" si="18"/>
        <v>0</v>
      </c>
      <c r="J466" s="32"/>
      <c r="K466" s="32">
        <v>0</v>
      </c>
      <c r="L466" s="33">
        <f t="shared" si="19"/>
        <v>1</v>
      </c>
    </row>
    <row r="467" spans="1:12" x14ac:dyDescent="0.25">
      <c r="A467" s="15" t="s">
        <v>432</v>
      </c>
      <c r="B467" s="14" t="s">
        <v>432</v>
      </c>
      <c r="C467" s="15" t="s">
        <v>449</v>
      </c>
      <c r="D467" s="15" t="s">
        <v>69</v>
      </c>
      <c r="E467" s="15" t="s">
        <v>90</v>
      </c>
      <c r="F467" s="15"/>
      <c r="G467" s="15"/>
      <c r="H467" s="35"/>
      <c r="I467" s="35">
        <f t="shared" si="18"/>
        <v>0</v>
      </c>
      <c r="J467" s="35"/>
      <c r="K467" s="35">
        <v>0</v>
      </c>
      <c r="L467" s="36">
        <f t="shared" si="19"/>
        <v>0</v>
      </c>
    </row>
    <row r="468" spans="1:12" x14ac:dyDescent="0.25">
      <c r="A468" s="21" t="s">
        <v>432</v>
      </c>
      <c r="B468" s="30" t="s">
        <v>432</v>
      </c>
      <c r="C468" s="21" t="s">
        <v>450</v>
      </c>
      <c r="D468" s="21" t="s">
        <v>47</v>
      </c>
      <c r="E468" s="21" t="s">
        <v>79</v>
      </c>
      <c r="F468" s="31">
        <v>1</v>
      </c>
      <c r="G468" s="31">
        <v>1</v>
      </c>
      <c r="H468" s="32"/>
      <c r="I468" s="32">
        <f t="shared" si="18"/>
        <v>0</v>
      </c>
      <c r="J468" s="32"/>
      <c r="K468" s="32">
        <v>0</v>
      </c>
      <c r="L468" s="33">
        <f t="shared" si="19"/>
        <v>1</v>
      </c>
    </row>
    <row r="469" spans="1:12" x14ac:dyDescent="0.25">
      <c r="A469" s="15" t="s">
        <v>432</v>
      </c>
      <c r="B469" s="14" t="s">
        <v>432</v>
      </c>
      <c r="C469" s="15" t="s">
        <v>451</v>
      </c>
      <c r="D469" s="15" t="s">
        <v>49</v>
      </c>
      <c r="E469" s="15" t="s">
        <v>134</v>
      </c>
      <c r="F469" s="34">
        <v>1</v>
      </c>
      <c r="G469" s="34">
        <v>5</v>
      </c>
      <c r="H469" s="35"/>
      <c r="I469" s="35">
        <f t="shared" si="18"/>
        <v>0</v>
      </c>
      <c r="J469" s="35"/>
      <c r="K469" s="35">
        <v>0</v>
      </c>
      <c r="L469" s="36">
        <f t="shared" si="19"/>
        <v>5</v>
      </c>
    </row>
    <row r="470" spans="1:12" x14ac:dyDescent="0.25">
      <c r="A470" s="21" t="s">
        <v>432</v>
      </c>
      <c r="B470" s="30" t="s">
        <v>432</v>
      </c>
      <c r="C470" s="21" t="s">
        <v>452</v>
      </c>
      <c r="D470" s="21" t="s">
        <v>53</v>
      </c>
      <c r="E470" s="21" t="s">
        <v>129</v>
      </c>
      <c r="F470" s="21"/>
      <c r="G470" s="21"/>
      <c r="H470" s="32"/>
      <c r="I470" s="32">
        <f t="shared" si="18"/>
        <v>0</v>
      </c>
      <c r="J470" s="32"/>
      <c r="K470" s="32">
        <v>0</v>
      </c>
      <c r="L470" s="33">
        <f t="shared" si="19"/>
        <v>0</v>
      </c>
    </row>
    <row r="471" spans="1:12" x14ac:dyDescent="0.25">
      <c r="A471" s="15" t="s">
        <v>432</v>
      </c>
      <c r="B471" s="14" t="s">
        <v>432</v>
      </c>
      <c r="C471" s="15" t="s">
        <v>453</v>
      </c>
      <c r="D471" s="15" t="s">
        <v>57</v>
      </c>
      <c r="E471" s="15" t="s">
        <v>136</v>
      </c>
      <c r="F471" s="15"/>
      <c r="G471" s="15"/>
      <c r="H471" s="35"/>
      <c r="I471" s="35">
        <f t="shared" si="18"/>
        <v>0</v>
      </c>
      <c r="J471" s="35"/>
      <c r="K471" s="35">
        <v>0</v>
      </c>
      <c r="L471" s="36">
        <f t="shared" si="19"/>
        <v>0</v>
      </c>
    </row>
    <row r="472" spans="1:12" x14ac:dyDescent="0.25">
      <c r="A472" s="21" t="s">
        <v>432</v>
      </c>
      <c r="B472" s="30" t="s">
        <v>432</v>
      </c>
      <c r="C472" s="21" t="s">
        <v>454</v>
      </c>
      <c r="D472" s="21" t="s">
        <v>57</v>
      </c>
      <c r="E472" s="21" t="s">
        <v>136</v>
      </c>
      <c r="F472" s="21"/>
      <c r="G472" s="21"/>
      <c r="H472" s="32"/>
      <c r="I472" s="32">
        <f t="shared" si="18"/>
        <v>0</v>
      </c>
      <c r="J472" s="32"/>
      <c r="K472" s="32">
        <v>0</v>
      </c>
      <c r="L472" s="33">
        <f t="shared" si="19"/>
        <v>0</v>
      </c>
    </row>
    <row r="473" spans="1:12" x14ac:dyDescent="0.25">
      <c r="A473" s="15" t="s">
        <v>432</v>
      </c>
      <c r="B473" s="14" t="s">
        <v>432</v>
      </c>
      <c r="C473" s="15" t="s">
        <v>455</v>
      </c>
      <c r="D473" s="15" t="s">
        <v>57</v>
      </c>
      <c r="E473" s="15" t="s">
        <v>136</v>
      </c>
      <c r="F473" s="15"/>
      <c r="G473" s="15"/>
      <c r="H473" s="35"/>
      <c r="I473" s="35">
        <f t="shared" si="18"/>
        <v>0</v>
      </c>
      <c r="J473" s="35"/>
      <c r="K473" s="35">
        <v>0</v>
      </c>
      <c r="L473" s="36">
        <f t="shared" si="19"/>
        <v>0</v>
      </c>
    </row>
    <row r="474" spans="1:12" x14ac:dyDescent="0.25">
      <c r="A474" s="21" t="s">
        <v>432</v>
      </c>
      <c r="B474" s="30" t="s">
        <v>432</v>
      </c>
      <c r="C474" s="21" t="s">
        <v>456</v>
      </c>
      <c r="D474" s="21" t="s">
        <v>70</v>
      </c>
      <c r="E474" s="21" t="s">
        <v>104</v>
      </c>
      <c r="F474" s="31">
        <v>3</v>
      </c>
      <c r="G474" s="31">
        <v>2</v>
      </c>
      <c r="H474" s="32"/>
      <c r="I474" s="32">
        <f t="shared" si="18"/>
        <v>0</v>
      </c>
      <c r="J474" s="32"/>
      <c r="K474" s="32">
        <v>0</v>
      </c>
      <c r="L474" s="33">
        <f t="shared" si="19"/>
        <v>2</v>
      </c>
    </row>
    <row r="475" spans="1:12" x14ac:dyDescent="0.25">
      <c r="A475" s="15" t="s">
        <v>432</v>
      </c>
      <c r="B475" s="14" t="s">
        <v>432</v>
      </c>
      <c r="C475" s="15" t="s">
        <v>449</v>
      </c>
      <c r="D475" s="15" t="s">
        <v>69</v>
      </c>
      <c r="E475" s="15" t="s">
        <v>90</v>
      </c>
      <c r="F475" s="15"/>
      <c r="G475" s="15"/>
      <c r="H475" s="35"/>
      <c r="I475" s="35">
        <f t="shared" si="18"/>
        <v>0</v>
      </c>
      <c r="J475" s="35"/>
      <c r="K475" s="35">
        <v>0</v>
      </c>
      <c r="L475" s="36">
        <f t="shared" si="19"/>
        <v>0</v>
      </c>
    </row>
    <row r="476" spans="1:12" x14ac:dyDescent="0.25">
      <c r="A476" s="21" t="s">
        <v>432</v>
      </c>
      <c r="B476" s="30" t="s">
        <v>432</v>
      </c>
      <c r="C476" s="21" t="s">
        <v>434</v>
      </c>
      <c r="D476" s="21" t="s">
        <v>47</v>
      </c>
      <c r="E476" s="21" t="s">
        <v>79</v>
      </c>
      <c r="F476" s="21"/>
      <c r="G476" s="21"/>
      <c r="H476" s="32"/>
      <c r="I476" s="32">
        <f t="shared" si="18"/>
        <v>0</v>
      </c>
      <c r="J476" s="32"/>
      <c r="K476" s="32">
        <v>0</v>
      </c>
      <c r="L476" s="33">
        <f t="shared" si="19"/>
        <v>0</v>
      </c>
    </row>
    <row r="477" spans="1:12" x14ac:dyDescent="0.25">
      <c r="A477" s="15" t="s">
        <v>432</v>
      </c>
      <c r="B477" s="14" t="s">
        <v>432</v>
      </c>
      <c r="C477" s="15" t="s">
        <v>435</v>
      </c>
      <c r="D477" s="15" t="s">
        <v>49</v>
      </c>
      <c r="E477" s="15" t="s">
        <v>134</v>
      </c>
      <c r="F477" s="15"/>
      <c r="G477" s="15"/>
      <c r="H477" s="35"/>
      <c r="I477" s="35">
        <f t="shared" si="18"/>
        <v>0</v>
      </c>
      <c r="J477" s="35"/>
      <c r="K477" s="35">
        <v>0</v>
      </c>
      <c r="L477" s="36">
        <f t="shared" si="19"/>
        <v>0</v>
      </c>
    </row>
    <row r="478" spans="1:12" x14ac:dyDescent="0.25">
      <c r="A478" s="21" t="s">
        <v>432</v>
      </c>
      <c r="B478" s="30" t="s">
        <v>432</v>
      </c>
      <c r="C478" s="21" t="s">
        <v>436</v>
      </c>
      <c r="D478" s="21" t="s">
        <v>53</v>
      </c>
      <c r="E478" s="21" t="s">
        <v>129</v>
      </c>
      <c r="F478" s="21"/>
      <c r="G478" s="21"/>
      <c r="H478" s="32"/>
      <c r="I478" s="32">
        <f t="shared" si="18"/>
        <v>0</v>
      </c>
      <c r="J478" s="32"/>
      <c r="K478" s="32">
        <v>0</v>
      </c>
      <c r="L478" s="33">
        <f t="shared" si="19"/>
        <v>0</v>
      </c>
    </row>
    <row r="479" spans="1:12" x14ac:dyDescent="0.25">
      <c r="A479" s="15" t="s">
        <v>432</v>
      </c>
      <c r="B479" s="14" t="s">
        <v>432</v>
      </c>
      <c r="C479" s="15" t="s">
        <v>437</v>
      </c>
      <c r="D479" s="15" t="s">
        <v>57</v>
      </c>
      <c r="E479" s="15" t="s">
        <v>136</v>
      </c>
      <c r="F479" s="15"/>
      <c r="G479" s="15"/>
      <c r="H479" s="35"/>
      <c r="I479" s="35">
        <f t="shared" si="18"/>
        <v>0</v>
      </c>
      <c r="J479" s="35"/>
      <c r="K479" s="35">
        <v>0</v>
      </c>
      <c r="L479" s="36">
        <f t="shared" si="19"/>
        <v>0</v>
      </c>
    </row>
    <row r="480" spans="1:12" x14ac:dyDescent="0.25">
      <c r="A480" s="21" t="s">
        <v>432</v>
      </c>
      <c r="B480" s="30" t="s">
        <v>432</v>
      </c>
      <c r="C480" s="21" t="s">
        <v>438</v>
      </c>
      <c r="D480" s="21" t="s">
        <v>57</v>
      </c>
      <c r="E480" s="21" t="s">
        <v>136</v>
      </c>
      <c r="F480" s="21"/>
      <c r="G480" s="21"/>
      <c r="H480" s="32"/>
      <c r="I480" s="32">
        <f t="shared" ref="I480:I543" si="20">IF(H480="",0,G480)</f>
        <v>0</v>
      </c>
      <c r="J480" s="32"/>
      <c r="K480" s="32">
        <v>0</v>
      </c>
      <c r="L480" s="33">
        <f t="shared" ref="L480:L543" si="21">G480-I480-K480</f>
        <v>0</v>
      </c>
    </row>
    <row r="481" spans="1:12" x14ac:dyDescent="0.25">
      <c r="A481" s="15" t="s">
        <v>432</v>
      </c>
      <c r="B481" s="14" t="s">
        <v>432</v>
      </c>
      <c r="C481" s="15" t="s">
        <v>439</v>
      </c>
      <c r="D481" s="15" t="s">
        <v>57</v>
      </c>
      <c r="E481" s="15" t="s">
        <v>136</v>
      </c>
      <c r="F481" s="15"/>
      <c r="G481" s="15"/>
      <c r="H481" s="35"/>
      <c r="I481" s="35">
        <f t="shared" si="20"/>
        <v>0</v>
      </c>
      <c r="J481" s="35"/>
      <c r="K481" s="35">
        <v>0</v>
      </c>
      <c r="L481" s="36">
        <f t="shared" si="21"/>
        <v>0</v>
      </c>
    </row>
    <row r="482" spans="1:12" x14ac:dyDescent="0.25">
      <c r="A482" s="21" t="s">
        <v>432</v>
      </c>
      <c r="B482" s="30" t="s">
        <v>432</v>
      </c>
      <c r="C482" s="21" t="s">
        <v>440</v>
      </c>
      <c r="D482" s="21" t="s">
        <v>70</v>
      </c>
      <c r="E482" s="21" t="s">
        <v>104</v>
      </c>
      <c r="F482" s="21"/>
      <c r="G482" s="21"/>
      <c r="H482" s="32"/>
      <c r="I482" s="32">
        <f t="shared" si="20"/>
        <v>0</v>
      </c>
      <c r="J482" s="32"/>
      <c r="K482" s="32">
        <v>0</v>
      </c>
      <c r="L482" s="33">
        <f t="shared" si="21"/>
        <v>0</v>
      </c>
    </row>
    <row r="483" spans="1:12" x14ac:dyDescent="0.25">
      <c r="A483" s="15" t="s">
        <v>432</v>
      </c>
      <c r="B483" s="14" t="s">
        <v>432</v>
      </c>
      <c r="C483" s="15" t="s">
        <v>441</v>
      </c>
      <c r="D483" s="15" t="s">
        <v>69</v>
      </c>
      <c r="E483" s="15" t="s">
        <v>90</v>
      </c>
      <c r="F483" s="15"/>
      <c r="G483" s="15"/>
      <c r="H483" s="35"/>
      <c r="I483" s="35">
        <f t="shared" si="20"/>
        <v>0</v>
      </c>
      <c r="J483" s="35"/>
      <c r="K483" s="35">
        <v>0</v>
      </c>
      <c r="L483" s="36">
        <f t="shared" si="21"/>
        <v>0</v>
      </c>
    </row>
    <row r="484" spans="1:12" x14ac:dyDescent="0.25">
      <c r="A484" s="21" t="s">
        <v>432</v>
      </c>
      <c r="B484" s="30" t="s">
        <v>432</v>
      </c>
      <c r="C484" s="21" t="s">
        <v>442</v>
      </c>
      <c r="D484" s="21" t="s">
        <v>47</v>
      </c>
      <c r="E484" s="21" t="s">
        <v>79</v>
      </c>
      <c r="F484" s="21"/>
      <c r="G484" s="21"/>
      <c r="H484" s="32"/>
      <c r="I484" s="32">
        <f t="shared" si="20"/>
        <v>0</v>
      </c>
      <c r="J484" s="32"/>
      <c r="K484" s="32">
        <v>0</v>
      </c>
      <c r="L484" s="33">
        <f t="shared" si="21"/>
        <v>0</v>
      </c>
    </row>
    <row r="485" spans="1:12" x14ac:dyDescent="0.25">
      <c r="A485" s="15" t="s">
        <v>432</v>
      </c>
      <c r="B485" s="14" t="s">
        <v>432</v>
      </c>
      <c r="C485" s="15" t="s">
        <v>443</v>
      </c>
      <c r="D485" s="15" t="s">
        <v>49</v>
      </c>
      <c r="E485" s="15" t="s">
        <v>134</v>
      </c>
      <c r="F485" s="15"/>
      <c r="G485" s="15"/>
      <c r="H485" s="35"/>
      <c r="I485" s="35">
        <f t="shared" si="20"/>
        <v>0</v>
      </c>
      <c r="J485" s="35"/>
      <c r="K485" s="35">
        <v>0</v>
      </c>
      <c r="L485" s="36">
        <f t="shared" si="21"/>
        <v>0</v>
      </c>
    </row>
    <row r="486" spans="1:12" x14ac:dyDescent="0.25">
      <c r="A486" s="21" t="s">
        <v>432</v>
      </c>
      <c r="B486" s="30" t="s">
        <v>432</v>
      </c>
      <c r="C486" s="21" t="s">
        <v>444</v>
      </c>
      <c r="D486" s="21" t="s">
        <v>53</v>
      </c>
      <c r="E486" s="21" t="s">
        <v>129</v>
      </c>
      <c r="F486" s="21"/>
      <c r="G486" s="21"/>
      <c r="H486" s="32"/>
      <c r="I486" s="32">
        <f t="shared" si="20"/>
        <v>0</v>
      </c>
      <c r="J486" s="32"/>
      <c r="K486" s="32">
        <v>0</v>
      </c>
      <c r="L486" s="33">
        <f t="shared" si="21"/>
        <v>0</v>
      </c>
    </row>
    <row r="487" spans="1:12" x14ac:dyDescent="0.25">
      <c r="A487" s="15" t="s">
        <v>432</v>
      </c>
      <c r="B487" s="14" t="s">
        <v>432</v>
      </c>
      <c r="C487" s="15" t="s">
        <v>445</v>
      </c>
      <c r="D487" s="15" t="s">
        <v>57</v>
      </c>
      <c r="E487" s="15" t="s">
        <v>136</v>
      </c>
      <c r="F487" s="15"/>
      <c r="G487" s="15"/>
      <c r="H487" s="35"/>
      <c r="I487" s="35">
        <f t="shared" si="20"/>
        <v>0</v>
      </c>
      <c r="J487" s="35"/>
      <c r="K487" s="35">
        <v>0</v>
      </c>
      <c r="L487" s="36">
        <f t="shared" si="21"/>
        <v>0</v>
      </c>
    </row>
    <row r="488" spans="1:12" x14ac:dyDescent="0.25">
      <c r="A488" s="21" t="s">
        <v>432</v>
      </c>
      <c r="B488" s="30" t="s">
        <v>432</v>
      </c>
      <c r="C488" s="21" t="s">
        <v>446</v>
      </c>
      <c r="D488" s="21" t="s">
        <v>57</v>
      </c>
      <c r="E488" s="21" t="s">
        <v>136</v>
      </c>
      <c r="F488" s="21"/>
      <c r="G488" s="21"/>
      <c r="H488" s="32"/>
      <c r="I488" s="32">
        <f t="shared" si="20"/>
        <v>0</v>
      </c>
      <c r="J488" s="32"/>
      <c r="K488" s="32">
        <v>0</v>
      </c>
      <c r="L488" s="33">
        <f t="shared" si="21"/>
        <v>0</v>
      </c>
    </row>
    <row r="489" spans="1:12" x14ac:dyDescent="0.25">
      <c r="A489" s="15" t="s">
        <v>432</v>
      </c>
      <c r="B489" s="14" t="s">
        <v>432</v>
      </c>
      <c r="C489" s="15" t="s">
        <v>447</v>
      </c>
      <c r="D489" s="15" t="s">
        <v>57</v>
      </c>
      <c r="E489" s="15" t="s">
        <v>136</v>
      </c>
      <c r="F489" s="15"/>
      <c r="G489" s="15"/>
      <c r="H489" s="35"/>
      <c r="I489" s="35">
        <f t="shared" si="20"/>
        <v>0</v>
      </c>
      <c r="J489" s="35"/>
      <c r="K489" s="35">
        <v>0</v>
      </c>
      <c r="L489" s="36">
        <f t="shared" si="21"/>
        <v>0</v>
      </c>
    </row>
    <row r="490" spans="1:12" x14ac:dyDescent="0.25">
      <c r="A490" s="21" t="s">
        <v>432</v>
      </c>
      <c r="B490" s="30" t="s">
        <v>432</v>
      </c>
      <c r="C490" s="21" t="s">
        <v>448</v>
      </c>
      <c r="D490" s="21" t="s">
        <v>70</v>
      </c>
      <c r="E490" s="21" t="s">
        <v>104</v>
      </c>
      <c r="F490" s="21"/>
      <c r="G490" s="21"/>
      <c r="H490" s="32"/>
      <c r="I490" s="32">
        <f t="shared" si="20"/>
        <v>0</v>
      </c>
      <c r="J490" s="32"/>
      <c r="K490" s="32">
        <v>0</v>
      </c>
      <c r="L490" s="33">
        <f t="shared" si="21"/>
        <v>0</v>
      </c>
    </row>
    <row r="491" spans="1:12" x14ac:dyDescent="0.25">
      <c r="A491" s="15" t="s">
        <v>432</v>
      </c>
      <c r="B491" s="14" t="s">
        <v>432</v>
      </c>
      <c r="C491" s="15" t="s">
        <v>449</v>
      </c>
      <c r="D491" s="15" t="s">
        <v>69</v>
      </c>
      <c r="E491" s="15" t="s">
        <v>90</v>
      </c>
      <c r="F491" s="15"/>
      <c r="G491" s="15"/>
      <c r="H491" s="35"/>
      <c r="I491" s="35">
        <f t="shared" si="20"/>
        <v>0</v>
      </c>
      <c r="J491" s="35"/>
      <c r="K491" s="35">
        <v>0</v>
      </c>
      <c r="L491" s="36">
        <f t="shared" si="21"/>
        <v>0</v>
      </c>
    </row>
    <row r="492" spans="1:12" x14ac:dyDescent="0.25">
      <c r="A492" s="21" t="s">
        <v>432</v>
      </c>
      <c r="B492" s="30" t="s">
        <v>432</v>
      </c>
      <c r="C492" s="21" t="s">
        <v>457</v>
      </c>
      <c r="D492" s="21" t="s">
        <v>57</v>
      </c>
      <c r="E492" s="21" t="s">
        <v>136</v>
      </c>
      <c r="F492" s="31">
        <v>5.7</v>
      </c>
      <c r="G492" s="31">
        <v>11.4</v>
      </c>
      <c r="H492" s="32"/>
      <c r="I492" s="32">
        <f t="shared" si="20"/>
        <v>0</v>
      </c>
      <c r="J492" s="32"/>
      <c r="K492" s="32">
        <v>0</v>
      </c>
      <c r="L492" s="33">
        <f t="shared" si="21"/>
        <v>11.4</v>
      </c>
    </row>
    <row r="493" spans="1:12" x14ac:dyDescent="0.25">
      <c r="A493" s="15" t="s">
        <v>432</v>
      </c>
      <c r="B493" s="14" t="s">
        <v>432</v>
      </c>
      <c r="C493" s="15" t="s">
        <v>458</v>
      </c>
      <c r="D493" s="15" t="s">
        <v>57</v>
      </c>
      <c r="E493" s="15" t="s">
        <v>136</v>
      </c>
      <c r="F493" s="34">
        <v>5.7</v>
      </c>
      <c r="G493" s="34">
        <v>11.4</v>
      </c>
      <c r="H493" s="35"/>
      <c r="I493" s="35">
        <f t="shared" si="20"/>
        <v>0</v>
      </c>
      <c r="J493" s="35"/>
      <c r="K493" s="35">
        <v>0</v>
      </c>
      <c r="L493" s="36">
        <f t="shared" si="21"/>
        <v>11.4</v>
      </c>
    </row>
    <row r="494" spans="1:12" x14ac:dyDescent="0.25">
      <c r="A494" s="21" t="s">
        <v>432</v>
      </c>
      <c r="B494" s="30" t="s">
        <v>432</v>
      </c>
      <c r="C494" s="21" t="s">
        <v>459</v>
      </c>
      <c r="D494" s="21" t="s">
        <v>57</v>
      </c>
      <c r="E494" s="21" t="s">
        <v>136</v>
      </c>
      <c r="F494" s="31">
        <v>68.599999999999994</v>
      </c>
      <c r="G494" s="31">
        <v>114.3</v>
      </c>
      <c r="H494" s="32"/>
      <c r="I494" s="32">
        <f t="shared" si="20"/>
        <v>0</v>
      </c>
      <c r="J494" s="32"/>
      <c r="K494" s="32">
        <v>0</v>
      </c>
      <c r="L494" s="33">
        <f t="shared" si="21"/>
        <v>114.3</v>
      </c>
    </row>
    <row r="495" spans="1:12" x14ac:dyDescent="0.25">
      <c r="A495" s="15" t="s">
        <v>432</v>
      </c>
      <c r="B495" s="14" t="s">
        <v>432</v>
      </c>
      <c r="C495" s="15" t="s">
        <v>460</v>
      </c>
      <c r="D495" s="15" t="s">
        <v>57</v>
      </c>
      <c r="E495" s="15" t="s">
        <v>136</v>
      </c>
      <c r="F495" s="34">
        <v>11.4</v>
      </c>
      <c r="G495" s="34">
        <v>17.100000000000001</v>
      </c>
      <c r="H495" s="35"/>
      <c r="I495" s="35">
        <f t="shared" si="20"/>
        <v>0</v>
      </c>
      <c r="J495" s="35"/>
      <c r="K495" s="35">
        <v>0</v>
      </c>
      <c r="L495" s="36">
        <f t="shared" si="21"/>
        <v>17.100000000000001</v>
      </c>
    </row>
    <row r="496" spans="1:12" x14ac:dyDescent="0.25">
      <c r="A496" s="21" t="s">
        <v>432</v>
      </c>
      <c r="B496" s="30" t="s">
        <v>432</v>
      </c>
      <c r="C496" s="21" t="s">
        <v>461</v>
      </c>
      <c r="D496" s="21" t="s">
        <v>57</v>
      </c>
      <c r="E496" s="21" t="s">
        <v>136</v>
      </c>
      <c r="F496" s="31">
        <v>17.100000000000001</v>
      </c>
      <c r="G496" s="31">
        <v>22.9</v>
      </c>
      <c r="H496" s="32"/>
      <c r="I496" s="32">
        <f t="shared" si="20"/>
        <v>0</v>
      </c>
      <c r="J496" s="32"/>
      <c r="K496" s="32">
        <v>0</v>
      </c>
      <c r="L496" s="33">
        <f t="shared" si="21"/>
        <v>22.9</v>
      </c>
    </row>
    <row r="497" spans="1:12" x14ac:dyDescent="0.25">
      <c r="A497" s="15" t="s">
        <v>432</v>
      </c>
      <c r="B497" s="14" t="s">
        <v>432</v>
      </c>
      <c r="C497" s="15" t="s">
        <v>462</v>
      </c>
      <c r="D497" s="15" t="s">
        <v>57</v>
      </c>
      <c r="E497" s="15" t="s">
        <v>136</v>
      </c>
      <c r="F497" s="34">
        <v>28.6</v>
      </c>
      <c r="G497" s="34">
        <v>28.6</v>
      </c>
      <c r="H497" s="35"/>
      <c r="I497" s="35">
        <f t="shared" si="20"/>
        <v>0</v>
      </c>
      <c r="J497" s="35"/>
      <c r="K497" s="35">
        <v>0</v>
      </c>
      <c r="L497" s="36">
        <f t="shared" si="21"/>
        <v>28.6</v>
      </c>
    </row>
    <row r="498" spans="1:12" x14ac:dyDescent="0.25">
      <c r="A498" s="21" t="s">
        <v>432</v>
      </c>
      <c r="B498" s="30" t="s">
        <v>432</v>
      </c>
      <c r="C498" s="21" t="s">
        <v>463</v>
      </c>
      <c r="D498" s="21" t="s">
        <v>57</v>
      </c>
      <c r="E498" s="21" t="s">
        <v>136</v>
      </c>
      <c r="F498" s="31">
        <v>45.7</v>
      </c>
      <c r="G498" s="31">
        <v>60</v>
      </c>
      <c r="H498" s="32"/>
      <c r="I498" s="32">
        <f t="shared" si="20"/>
        <v>0</v>
      </c>
      <c r="J498" s="32"/>
      <c r="K498" s="32">
        <v>0</v>
      </c>
      <c r="L498" s="33">
        <f t="shared" si="21"/>
        <v>60</v>
      </c>
    </row>
    <row r="499" spans="1:12" x14ac:dyDescent="0.25">
      <c r="A499" s="15" t="s">
        <v>432</v>
      </c>
      <c r="B499" s="14" t="s">
        <v>432</v>
      </c>
      <c r="C499" s="15" t="s">
        <v>464</v>
      </c>
      <c r="D499" s="15" t="s">
        <v>57</v>
      </c>
      <c r="E499" s="15" t="s">
        <v>136</v>
      </c>
      <c r="F499" s="34">
        <v>27.4</v>
      </c>
      <c r="G499" s="34">
        <v>27.4</v>
      </c>
      <c r="H499" s="35"/>
      <c r="I499" s="35">
        <f t="shared" si="20"/>
        <v>0</v>
      </c>
      <c r="J499" s="35"/>
      <c r="K499" s="35">
        <v>0</v>
      </c>
      <c r="L499" s="36">
        <f t="shared" si="21"/>
        <v>27.4</v>
      </c>
    </row>
    <row r="500" spans="1:12" x14ac:dyDescent="0.25">
      <c r="A500" s="21" t="s">
        <v>432</v>
      </c>
      <c r="B500" s="30" t="s">
        <v>432</v>
      </c>
      <c r="C500" s="21" t="s">
        <v>465</v>
      </c>
      <c r="D500" s="21" t="s">
        <v>57</v>
      </c>
      <c r="E500" s="21" t="s">
        <v>136</v>
      </c>
      <c r="F500" s="31">
        <v>28.6</v>
      </c>
      <c r="G500" s="31">
        <v>57.1</v>
      </c>
      <c r="H500" s="32"/>
      <c r="I500" s="32">
        <f t="shared" si="20"/>
        <v>0</v>
      </c>
      <c r="J500" s="32"/>
      <c r="K500" s="32">
        <v>0</v>
      </c>
      <c r="L500" s="33">
        <f t="shared" si="21"/>
        <v>57.1</v>
      </c>
    </row>
    <row r="501" spans="1:12" x14ac:dyDescent="0.25">
      <c r="A501" s="15" t="s">
        <v>432</v>
      </c>
      <c r="B501" s="14" t="s">
        <v>432</v>
      </c>
      <c r="C501" s="15" t="s">
        <v>466</v>
      </c>
      <c r="D501" s="15" t="s">
        <v>57</v>
      </c>
      <c r="E501" s="15" t="s">
        <v>136</v>
      </c>
      <c r="F501" s="34">
        <v>28.6</v>
      </c>
      <c r="G501" s="34">
        <v>57.1</v>
      </c>
      <c r="H501" s="35"/>
      <c r="I501" s="35">
        <f t="shared" si="20"/>
        <v>0</v>
      </c>
      <c r="J501" s="35"/>
      <c r="K501" s="35">
        <v>0</v>
      </c>
      <c r="L501" s="36">
        <f t="shared" si="21"/>
        <v>57.1</v>
      </c>
    </row>
    <row r="502" spans="1:12" x14ac:dyDescent="0.25">
      <c r="A502" s="21" t="s">
        <v>432</v>
      </c>
      <c r="B502" s="30" t="s">
        <v>432</v>
      </c>
      <c r="C502" s="21" t="s">
        <v>467</v>
      </c>
      <c r="D502" s="21" t="s">
        <v>57</v>
      </c>
      <c r="E502" s="21" t="s">
        <v>136</v>
      </c>
      <c r="F502" s="31">
        <v>50</v>
      </c>
      <c r="G502" s="31">
        <v>57.1</v>
      </c>
      <c r="H502" s="32"/>
      <c r="I502" s="32">
        <f t="shared" si="20"/>
        <v>0</v>
      </c>
      <c r="J502" s="32"/>
      <c r="K502" s="32">
        <v>0</v>
      </c>
      <c r="L502" s="33">
        <f t="shared" si="21"/>
        <v>57.1</v>
      </c>
    </row>
    <row r="503" spans="1:12" x14ac:dyDescent="0.25">
      <c r="A503" s="15" t="s">
        <v>432</v>
      </c>
      <c r="B503" s="14" t="s">
        <v>432</v>
      </c>
      <c r="C503" s="15" t="s">
        <v>468</v>
      </c>
      <c r="D503" s="15" t="s">
        <v>57</v>
      </c>
      <c r="E503" s="15" t="s">
        <v>136</v>
      </c>
      <c r="F503" s="34">
        <v>81.099999999999994</v>
      </c>
      <c r="G503" s="34">
        <v>91.4</v>
      </c>
      <c r="H503" s="35"/>
      <c r="I503" s="35">
        <f t="shared" si="20"/>
        <v>0</v>
      </c>
      <c r="J503" s="35"/>
      <c r="K503" s="35">
        <v>0</v>
      </c>
      <c r="L503" s="36">
        <f t="shared" si="21"/>
        <v>91.4</v>
      </c>
    </row>
    <row r="504" spans="1:12" x14ac:dyDescent="0.25">
      <c r="A504" s="21" t="s">
        <v>432</v>
      </c>
      <c r="B504" s="30" t="s">
        <v>432</v>
      </c>
      <c r="C504" s="21" t="s">
        <v>469</v>
      </c>
      <c r="D504" s="21" t="s">
        <v>57</v>
      </c>
      <c r="E504" s="21" t="s">
        <v>136</v>
      </c>
      <c r="F504" s="31">
        <v>32</v>
      </c>
      <c r="G504" s="31">
        <v>42.9</v>
      </c>
      <c r="H504" s="32"/>
      <c r="I504" s="32">
        <f t="shared" si="20"/>
        <v>0</v>
      </c>
      <c r="J504" s="32"/>
      <c r="K504" s="32">
        <v>0</v>
      </c>
      <c r="L504" s="33">
        <f t="shared" si="21"/>
        <v>42.9</v>
      </c>
    </row>
    <row r="505" spans="1:12" x14ac:dyDescent="0.25">
      <c r="A505" s="15" t="s">
        <v>432</v>
      </c>
      <c r="B505" s="14" t="s">
        <v>432</v>
      </c>
      <c r="C505" s="15" t="s">
        <v>470</v>
      </c>
      <c r="D505" s="15" t="s">
        <v>57</v>
      </c>
      <c r="E505" s="15" t="s">
        <v>136</v>
      </c>
      <c r="F505" s="34">
        <v>11.4</v>
      </c>
      <c r="G505" s="34">
        <v>17.100000000000001</v>
      </c>
      <c r="H505" s="35"/>
      <c r="I505" s="35">
        <f t="shared" si="20"/>
        <v>0</v>
      </c>
      <c r="J505" s="35"/>
      <c r="K505" s="35">
        <v>0</v>
      </c>
      <c r="L505" s="36">
        <f t="shared" si="21"/>
        <v>17.100000000000001</v>
      </c>
    </row>
    <row r="506" spans="1:12" x14ac:dyDescent="0.25">
      <c r="A506" s="21" t="s">
        <v>432</v>
      </c>
      <c r="B506" s="30" t="s">
        <v>432</v>
      </c>
      <c r="C506" s="21" t="s">
        <v>471</v>
      </c>
      <c r="D506" s="21" t="s">
        <v>57</v>
      </c>
      <c r="E506" s="21" t="s">
        <v>136</v>
      </c>
      <c r="F506" s="21"/>
      <c r="G506" s="21"/>
      <c r="H506" s="32"/>
      <c r="I506" s="32">
        <f t="shared" si="20"/>
        <v>0</v>
      </c>
      <c r="J506" s="32"/>
      <c r="K506" s="32">
        <v>0</v>
      </c>
      <c r="L506" s="33">
        <f t="shared" si="21"/>
        <v>0</v>
      </c>
    </row>
    <row r="507" spans="1:12" x14ac:dyDescent="0.25">
      <c r="A507" s="21" t="s">
        <v>472</v>
      </c>
      <c r="B507" s="30" t="s">
        <v>472</v>
      </c>
      <c r="C507" s="21" t="s">
        <v>473</v>
      </c>
      <c r="D507" s="21" t="s">
        <v>47</v>
      </c>
      <c r="E507" s="21" t="s">
        <v>79</v>
      </c>
      <c r="F507" s="31">
        <v>4</v>
      </c>
      <c r="G507" s="31">
        <v>5</v>
      </c>
      <c r="H507" s="32"/>
      <c r="I507" s="32">
        <f t="shared" si="20"/>
        <v>0</v>
      </c>
      <c r="J507" s="32"/>
      <c r="K507" s="32">
        <v>0</v>
      </c>
      <c r="L507" s="33">
        <f t="shared" si="21"/>
        <v>5</v>
      </c>
    </row>
    <row r="508" spans="1:12" x14ac:dyDescent="0.25">
      <c r="A508" s="15" t="s">
        <v>472</v>
      </c>
      <c r="B508" s="14" t="s">
        <v>472</v>
      </c>
      <c r="C508" s="15" t="s">
        <v>474</v>
      </c>
      <c r="D508" s="15" t="s">
        <v>49</v>
      </c>
      <c r="E508" s="15" t="s">
        <v>134</v>
      </c>
      <c r="F508" s="34">
        <v>3</v>
      </c>
      <c r="G508" s="34">
        <v>15</v>
      </c>
      <c r="H508" s="35"/>
      <c r="I508" s="35">
        <f t="shared" si="20"/>
        <v>0</v>
      </c>
      <c r="J508" s="35"/>
      <c r="K508" s="35">
        <v>0</v>
      </c>
      <c r="L508" s="36">
        <f t="shared" si="21"/>
        <v>15</v>
      </c>
    </row>
    <row r="509" spans="1:12" x14ac:dyDescent="0.25">
      <c r="A509" s="21" t="s">
        <v>472</v>
      </c>
      <c r="B509" s="30" t="s">
        <v>472</v>
      </c>
      <c r="C509" s="21" t="s">
        <v>475</v>
      </c>
      <c r="D509" s="21" t="s">
        <v>53</v>
      </c>
      <c r="E509" s="21" t="s">
        <v>129</v>
      </c>
      <c r="F509" s="21"/>
      <c r="G509" s="21"/>
      <c r="H509" s="32"/>
      <c r="I509" s="32">
        <f t="shared" si="20"/>
        <v>0</v>
      </c>
      <c r="J509" s="32"/>
      <c r="K509" s="32">
        <v>0</v>
      </c>
      <c r="L509" s="33">
        <f t="shared" si="21"/>
        <v>0</v>
      </c>
    </row>
    <row r="510" spans="1:12" x14ac:dyDescent="0.25">
      <c r="A510" s="15" t="s">
        <v>472</v>
      </c>
      <c r="B510" s="14" t="s">
        <v>472</v>
      </c>
      <c r="C510" s="15" t="s">
        <v>476</v>
      </c>
      <c r="D510" s="15" t="s">
        <v>57</v>
      </c>
      <c r="E510" s="15" t="s">
        <v>136</v>
      </c>
      <c r="F510" s="15"/>
      <c r="G510" s="15"/>
      <c r="H510" s="35"/>
      <c r="I510" s="35">
        <f t="shared" si="20"/>
        <v>0</v>
      </c>
      <c r="J510" s="35"/>
      <c r="K510" s="35">
        <v>0</v>
      </c>
      <c r="L510" s="36">
        <f t="shared" si="21"/>
        <v>0</v>
      </c>
    </row>
    <row r="511" spans="1:12" x14ac:dyDescent="0.25">
      <c r="A511" s="21" t="s">
        <v>472</v>
      </c>
      <c r="B511" s="30" t="s">
        <v>472</v>
      </c>
      <c r="C511" s="21" t="s">
        <v>477</v>
      </c>
      <c r="D511" s="21" t="s">
        <v>57</v>
      </c>
      <c r="E511" s="21" t="s">
        <v>136</v>
      </c>
      <c r="F511" s="21"/>
      <c r="G511" s="21"/>
      <c r="H511" s="32"/>
      <c r="I511" s="32">
        <f t="shared" si="20"/>
        <v>0</v>
      </c>
      <c r="J511" s="32"/>
      <c r="K511" s="32">
        <v>0</v>
      </c>
      <c r="L511" s="33">
        <f t="shared" si="21"/>
        <v>0</v>
      </c>
    </row>
    <row r="512" spans="1:12" x14ac:dyDescent="0.25">
      <c r="A512" s="15" t="s">
        <v>472</v>
      </c>
      <c r="B512" s="14" t="s">
        <v>472</v>
      </c>
      <c r="C512" s="15" t="s">
        <v>478</v>
      </c>
      <c r="D512" s="15" t="s">
        <v>57</v>
      </c>
      <c r="E512" s="15" t="s">
        <v>136</v>
      </c>
      <c r="F512" s="15"/>
      <c r="G512" s="15"/>
      <c r="H512" s="35"/>
      <c r="I512" s="35">
        <f t="shared" si="20"/>
        <v>0</v>
      </c>
      <c r="J512" s="35"/>
      <c r="K512" s="35">
        <v>0</v>
      </c>
      <c r="L512" s="36">
        <f t="shared" si="21"/>
        <v>0</v>
      </c>
    </row>
    <row r="513" spans="1:12" x14ac:dyDescent="0.25">
      <c r="A513" s="21" t="s">
        <v>472</v>
      </c>
      <c r="B513" s="30" t="s">
        <v>472</v>
      </c>
      <c r="C513" s="21" t="s">
        <v>479</v>
      </c>
      <c r="D513" s="21" t="s">
        <v>70</v>
      </c>
      <c r="E513" s="21" t="s">
        <v>104</v>
      </c>
      <c r="F513" s="31">
        <v>4</v>
      </c>
      <c r="G513" s="31">
        <v>4</v>
      </c>
      <c r="H513" s="32"/>
      <c r="I513" s="32">
        <f t="shared" si="20"/>
        <v>0</v>
      </c>
      <c r="J513" s="32"/>
      <c r="K513" s="32">
        <v>0</v>
      </c>
      <c r="L513" s="33">
        <f t="shared" si="21"/>
        <v>4</v>
      </c>
    </row>
    <row r="514" spans="1:12" x14ac:dyDescent="0.25">
      <c r="A514" s="15" t="s">
        <v>472</v>
      </c>
      <c r="B514" s="14" t="s">
        <v>472</v>
      </c>
      <c r="C514" s="15" t="s">
        <v>480</v>
      </c>
      <c r="D514" s="15" t="s">
        <v>69</v>
      </c>
      <c r="E514" s="15" t="s">
        <v>90</v>
      </c>
      <c r="F514" s="15"/>
      <c r="G514" s="15"/>
      <c r="H514" s="35"/>
      <c r="I514" s="35">
        <f t="shared" si="20"/>
        <v>0</v>
      </c>
      <c r="J514" s="35"/>
      <c r="K514" s="35">
        <v>0</v>
      </c>
      <c r="L514" s="36">
        <f t="shared" si="21"/>
        <v>0</v>
      </c>
    </row>
    <row r="515" spans="1:12" x14ac:dyDescent="0.25">
      <c r="A515" s="21" t="s">
        <v>472</v>
      </c>
      <c r="B515" s="30" t="s">
        <v>472</v>
      </c>
      <c r="C515" s="21" t="s">
        <v>473</v>
      </c>
      <c r="D515" s="21" t="s">
        <v>47</v>
      </c>
      <c r="E515" s="21" t="s">
        <v>79</v>
      </c>
      <c r="F515" s="21"/>
      <c r="G515" s="21"/>
      <c r="H515" s="32"/>
      <c r="I515" s="32">
        <f t="shared" si="20"/>
        <v>0</v>
      </c>
      <c r="J515" s="32"/>
      <c r="K515" s="32">
        <v>0</v>
      </c>
      <c r="L515" s="33">
        <f t="shared" si="21"/>
        <v>0</v>
      </c>
    </row>
    <row r="516" spans="1:12" x14ac:dyDescent="0.25">
      <c r="A516" s="15" t="s">
        <v>472</v>
      </c>
      <c r="B516" s="14" t="s">
        <v>472</v>
      </c>
      <c r="C516" s="15" t="s">
        <v>474</v>
      </c>
      <c r="D516" s="15" t="s">
        <v>49</v>
      </c>
      <c r="E516" s="15" t="s">
        <v>134</v>
      </c>
      <c r="F516" s="15"/>
      <c r="G516" s="15"/>
      <c r="H516" s="35"/>
      <c r="I516" s="35">
        <f t="shared" si="20"/>
        <v>0</v>
      </c>
      <c r="J516" s="35"/>
      <c r="K516" s="35">
        <v>0</v>
      </c>
      <c r="L516" s="36">
        <f t="shared" si="21"/>
        <v>0</v>
      </c>
    </row>
    <row r="517" spans="1:12" x14ac:dyDescent="0.25">
      <c r="A517" s="21" t="s">
        <v>472</v>
      </c>
      <c r="B517" s="30" t="s">
        <v>472</v>
      </c>
      <c r="C517" s="21" t="s">
        <v>475</v>
      </c>
      <c r="D517" s="21" t="s">
        <v>53</v>
      </c>
      <c r="E517" s="21" t="s">
        <v>129</v>
      </c>
      <c r="F517" s="21"/>
      <c r="G517" s="21"/>
      <c r="H517" s="32"/>
      <c r="I517" s="32">
        <f t="shared" si="20"/>
        <v>0</v>
      </c>
      <c r="J517" s="32"/>
      <c r="K517" s="32">
        <v>0</v>
      </c>
      <c r="L517" s="33">
        <f t="shared" si="21"/>
        <v>0</v>
      </c>
    </row>
    <row r="518" spans="1:12" x14ac:dyDescent="0.25">
      <c r="A518" s="15" t="s">
        <v>472</v>
      </c>
      <c r="B518" s="14" t="s">
        <v>472</v>
      </c>
      <c r="C518" s="15" t="s">
        <v>476</v>
      </c>
      <c r="D518" s="15" t="s">
        <v>57</v>
      </c>
      <c r="E518" s="15" t="s">
        <v>136</v>
      </c>
      <c r="F518" s="15"/>
      <c r="G518" s="15"/>
      <c r="H518" s="35"/>
      <c r="I518" s="35">
        <f t="shared" si="20"/>
        <v>0</v>
      </c>
      <c r="J518" s="35"/>
      <c r="K518" s="35">
        <v>0</v>
      </c>
      <c r="L518" s="36">
        <f t="shared" si="21"/>
        <v>0</v>
      </c>
    </row>
    <row r="519" spans="1:12" x14ac:dyDescent="0.25">
      <c r="A519" s="21" t="s">
        <v>472</v>
      </c>
      <c r="B519" s="30" t="s">
        <v>472</v>
      </c>
      <c r="C519" s="21" t="s">
        <v>477</v>
      </c>
      <c r="D519" s="21" t="s">
        <v>57</v>
      </c>
      <c r="E519" s="21" t="s">
        <v>136</v>
      </c>
      <c r="F519" s="21"/>
      <c r="G519" s="21"/>
      <c r="H519" s="32"/>
      <c r="I519" s="32">
        <f t="shared" si="20"/>
        <v>0</v>
      </c>
      <c r="J519" s="32"/>
      <c r="K519" s="32">
        <v>0</v>
      </c>
      <c r="L519" s="33">
        <f t="shared" si="21"/>
        <v>0</v>
      </c>
    </row>
    <row r="520" spans="1:12" x14ac:dyDescent="0.25">
      <c r="A520" s="15" t="s">
        <v>472</v>
      </c>
      <c r="B520" s="14" t="s">
        <v>472</v>
      </c>
      <c r="C520" s="15" t="s">
        <v>478</v>
      </c>
      <c r="D520" s="15" t="s">
        <v>57</v>
      </c>
      <c r="E520" s="15" t="s">
        <v>136</v>
      </c>
      <c r="F520" s="15"/>
      <c r="G520" s="15"/>
      <c r="H520" s="35"/>
      <c r="I520" s="35">
        <f t="shared" si="20"/>
        <v>0</v>
      </c>
      <c r="J520" s="35"/>
      <c r="K520" s="35">
        <v>0</v>
      </c>
      <c r="L520" s="36">
        <f t="shared" si="21"/>
        <v>0</v>
      </c>
    </row>
    <row r="521" spans="1:12" x14ac:dyDescent="0.25">
      <c r="A521" s="21" t="s">
        <v>472</v>
      </c>
      <c r="B521" s="30" t="s">
        <v>472</v>
      </c>
      <c r="C521" s="21" t="s">
        <v>479</v>
      </c>
      <c r="D521" s="21" t="s">
        <v>70</v>
      </c>
      <c r="E521" s="21" t="s">
        <v>104</v>
      </c>
      <c r="F521" s="21"/>
      <c r="G521" s="21"/>
      <c r="H521" s="32"/>
      <c r="I521" s="32">
        <f t="shared" si="20"/>
        <v>0</v>
      </c>
      <c r="J521" s="32"/>
      <c r="K521" s="32">
        <v>0</v>
      </c>
      <c r="L521" s="33">
        <f t="shared" si="21"/>
        <v>0</v>
      </c>
    </row>
    <row r="522" spans="1:12" x14ac:dyDescent="0.25">
      <c r="A522" s="15" t="s">
        <v>472</v>
      </c>
      <c r="B522" s="14" t="s">
        <v>472</v>
      </c>
      <c r="C522" s="15" t="s">
        <v>480</v>
      </c>
      <c r="D522" s="15" t="s">
        <v>69</v>
      </c>
      <c r="E522" s="15" t="s">
        <v>90</v>
      </c>
      <c r="F522" s="15"/>
      <c r="G522" s="15"/>
      <c r="H522" s="35"/>
      <c r="I522" s="35">
        <f t="shared" si="20"/>
        <v>0</v>
      </c>
      <c r="J522" s="35"/>
      <c r="K522" s="35">
        <v>0</v>
      </c>
      <c r="L522" s="36">
        <f t="shared" si="21"/>
        <v>0</v>
      </c>
    </row>
    <row r="523" spans="1:12" x14ac:dyDescent="0.25">
      <c r="A523" s="21" t="s">
        <v>472</v>
      </c>
      <c r="B523" s="30" t="s">
        <v>472</v>
      </c>
      <c r="C523" s="21" t="s">
        <v>481</v>
      </c>
      <c r="D523" s="21" t="s">
        <v>57</v>
      </c>
      <c r="E523" s="21" t="s">
        <v>136</v>
      </c>
      <c r="F523" s="31">
        <v>81.099999999999994</v>
      </c>
      <c r="G523" s="31">
        <v>91.4</v>
      </c>
      <c r="H523" s="32"/>
      <c r="I523" s="32">
        <f t="shared" si="20"/>
        <v>0</v>
      </c>
      <c r="J523" s="32"/>
      <c r="K523" s="32">
        <v>0</v>
      </c>
      <c r="L523" s="33">
        <f t="shared" si="21"/>
        <v>91.4</v>
      </c>
    </row>
    <row r="524" spans="1:12" x14ac:dyDescent="0.25">
      <c r="A524" s="21" t="s">
        <v>482</v>
      </c>
      <c r="B524" s="30" t="s">
        <v>482</v>
      </c>
      <c r="C524" s="21" t="s">
        <v>483</v>
      </c>
      <c r="D524" s="21" t="s">
        <v>57</v>
      </c>
      <c r="E524" s="21" t="s">
        <v>136</v>
      </c>
      <c r="F524" s="31">
        <v>81.099999999999994</v>
      </c>
      <c r="G524" s="31">
        <v>92.6</v>
      </c>
      <c r="H524" s="32"/>
      <c r="I524" s="32">
        <f t="shared" si="20"/>
        <v>0</v>
      </c>
      <c r="J524" s="32"/>
      <c r="K524" s="32">
        <v>0</v>
      </c>
      <c r="L524" s="33">
        <f t="shared" si="21"/>
        <v>92.6</v>
      </c>
    </row>
    <row r="525" spans="1:12" x14ac:dyDescent="0.25">
      <c r="A525" s="15" t="s">
        <v>482</v>
      </c>
      <c r="B525" s="14" t="s">
        <v>482</v>
      </c>
      <c r="C525" s="15" t="s">
        <v>484</v>
      </c>
      <c r="D525" s="15" t="s">
        <v>57</v>
      </c>
      <c r="E525" s="15" t="s">
        <v>136</v>
      </c>
      <c r="F525" s="34">
        <v>50</v>
      </c>
      <c r="G525" s="34">
        <v>57.1</v>
      </c>
      <c r="H525" s="35"/>
      <c r="I525" s="35">
        <f t="shared" si="20"/>
        <v>0</v>
      </c>
      <c r="J525" s="35"/>
      <c r="K525" s="35">
        <v>0</v>
      </c>
      <c r="L525" s="36">
        <f t="shared" si="21"/>
        <v>57.1</v>
      </c>
    </row>
    <row r="526" spans="1:12" x14ac:dyDescent="0.25">
      <c r="A526" s="21" t="s">
        <v>482</v>
      </c>
      <c r="B526" s="30" t="s">
        <v>482</v>
      </c>
      <c r="C526" s="21" t="s">
        <v>485</v>
      </c>
      <c r="D526" s="21" t="s">
        <v>57</v>
      </c>
      <c r="E526" s="21" t="s">
        <v>136</v>
      </c>
      <c r="F526" s="31">
        <v>45.7</v>
      </c>
      <c r="G526" s="31">
        <v>45.7</v>
      </c>
      <c r="H526" s="32"/>
      <c r="I526" s="32">
        <f t="shared" si="20"/>
        <v>0</v>
      </c>
      <c r="J526" s="32"/>
      <c r="K526" s="32">
        <v>0</v>
      </c>
      <c r="L526" s="33">
        <f t="shared" si="21"/>
        <v>45.7</v>
      </c>
    </row>
    <row r="527" spans="1:12" x14ac:dyDescent="0.25">
      <c r="A527" s="15" t="s">
        <v>482</v>
      </c>
      <c r="B527" s="14" t="s">
        <v>482</v>
      </c>
      <c r="C527" s="15" t="s">
        <v>486</v>
      </c>
      <c r="D527" s="15" t="s">
        <v>57</v>
      </c>
      <c r="E527" s="15" t="s">
        <v>136</v>
      </c>
      <c r="F527" s="15"/>
      <c r="G527" s="15"/>
      <c r="H527" s="35"/>
      <c r="I527" s="35">
        <f t="shared" si="20"/>
        <v>0</v>
      </c>
      <c r="J527" s="35"/>
      <c r="K527" s="35">
        <v>0</v>
      </c>
      <c r="L527" s="36">
        <f t="shared" si="21"/>
        <v>0</v>
      </c>
    </row>
    <row r="528" spans="1:12" x14ac:dyDescent="0.25">
      <c r="A528" s="21" t="s">
        <v>488</v>
      </c>
      <c r="B528" s="30" t="s">
        <v>488</v>
      </c>
      <c r="C528" s="21" t="s">
        <v>489</v>
      </c>
      <c r="D528" s="21" t="s">
        <v>53</v>
      </c>
      <c r="E528" s="21" t="s">
        <v>129</v>
      </c>
      <c r="F528" s="21"/>
      <c r="G528" s="21"/>
      <c r="H528" s="32"/>
      <c r="I528" s="32">
        <f t="shared" si="20"/>
        <v>0</v>
      </c>
      <c r="J528" s="32"/>
      <c r="K528" s="32">
        <v>0</v>
      </c>
      <c r="L528" s="33">
        <f t="shared" si="21"/>
        <v>0</v>
      </c>
    </row>
    <row r="529" spans="1:12" x14ac:dyDescent="0.25">
      <c r="A529" s="15" t="s">
        <v>488</v>
      </c>
      <c r="B529" s="14" t="s">
        <v>488</v>
      </c>
      <c r="C529" s="15" t="s">
        <v>490</v>
      </c>
      <c r="D529" s="15" t="s">
        <v>47</v>
      </c>
      <c r="E529" s="15" t="s">
        <v>79</v>
      </c>
      <c r="F529" s="34">
        <v>2</v>
      </c>
      <c r="G529" s="34">
        <v>2</v>
      </c>
      <c r="H529" s="35"/>
      <c r="I529" s="35">
        <f t="shared" si="20"/>
        <v>0</v>
      </c>
      <c r="J529" s="35"/>
      <c r="K529" s="35">
        <v>0</v>
      </c>
      <c r="L529" s="36">
        <f t="shared" si="21"/>
        <v>2</v>
      </c>
    </row>
    <row r="530" spans="1:12" x14ac:dyDescent="0.25">
      <c r="A530" s="21" t="s">
        <v>488</v>
      </c>
      <c r="B530" s="30" t="s">
        <v>488</v>
      </c>
      <c r="C530" s="21" t="s">
        <v>491</v>
      </c>
      <c r="D530" s="21" t="s">
        <v>49</v>
      </c>
      <c r="E530" s="21" t="s">
        <v>134</v>
      </c>
      <c r="F530" s="31">
        <v>1</v>
      </c>
      <c r="G530" s="31">
        <v>4</v>
      </c>
      <c r="H530" s="32"/>
      <c r="I530" s="32">
        <f t="shared" si="20"/>
        <v>0</v>
      </c>
      <c r="J530" s="32"/>
      <c r="K530" s="32">
        <v>0</v>
      </c>
      <c r="L530" s="33">
        <f t="shared" si="21"/>
        <v>4</v>
      </c>
    </row>
    <row r="531" spans="1:12" x14ac:dyDescent="0.25">
      <c r="A531" s="15" t="s">
        <v>488</v>
      </c>
      <c r="B531" s="14" t="s">
        <v>488</v>
      </c>
      <c r="C531" s="15" t="s">
        <v>492</v>
      </c>
      <c r="D531" s="15" t="s">
        <v>57</v>
      </c>
      <c r="E531" s="15" t="s">
        <v>136</v>
      </c>
      <c r="F531" s="15"/>
      <c r="G531" s="15"/>
      <c r="H531" s="35"/>
      <c r="I531" s="35">
        <f t="shared" si="20"/>
        <v>0</v>
      </c>
      <c r="J531" s="35"/>
      <c r="K531" s="35">
        <v>0</v>
      </c>
      <c r="L531" s="36">
        <f t="shared" si="21"/>
        <v>0</v>
      </c>
    </row>
    <row r="532" spans="1:12" x14ac:dyDescent="0.25">
      <c r="A532" s="21" t="s">
        <v>488</v>
      </c>
      <c r="B532" s="30" t="s">
        <v>488</v>
      </c>
      <c r="C532" s="21" t="s">
        <v>493</v>
      </c>
      <c r="D532" s="21" t="s">
        <v>57</v>
      </c>
      <c r="E532" s="21" t="s">
        <v>136</v>
      </c>
      <c r="F532" s="21"/>
      <c r="G532" s="21"/>
      <c r="H532" s="32"/>
      <c r="I532" s="32">
        <f t="shared" si="20"/>
        <v>0</v>
      </c>
      <c r="J532" s="32"/>
      <c r="K532" s="32">
        <v>0</v>
      </c>
      <c r="L532" s="33">
        <f t="shared" si="21"/>
        <v>0</v>
      </c>
    </row>
    <row r="533" spans="1:12" x14ac:dyDescent="0.25">
      <c r="A533" s="15" t="s">
        <v>488</v>
      </c>
      <c r="B533" s="14" t="s">
        <v>488</v>
      </c>
      <c r="C533" s="15" t="s">
        <v>494</v>
      </c>
      <c r="D533" s="15" t="s">
        <v>57</v>
      </c>
      <c r="E533" s="15" t="s">
        <v>136</v>
      </c>
      <c r="F533" s="15"/>
      <c r="G533" s="15"/>
      <c r="H533" s="35"/>
      <c r="I533" s="35">
        <f t="shared" si="20"/>
        <v>0</v>
      </c>
      <c r="J533" s="35"/>
      <c r="K533" s="35">
        <v>0</v>
      </c>
      <c r="L533" s="36">
        <f t="shared" si="21"/>
        <v>0</v>
      </c>
    </row>
    <row r="534" spans="1:12" x14ac:dyDescent="0.25">
      <c r="A534" s="21" t="s">
        <v>488</v>
      </c>
      <c r="B534" s="30" t="s">
        <v>488</v>
      </c>
      <c r="C534" s="21" t="s">
        <v>495</v>
      </c>
      <c r="D534" s="21" t="s">
        <v>70</v>
      </c>
      <c r="E534" s="21" t="s">
        <v>104</v>
      </c>
      <c r="F534" s="31">
        <v>4</v>
      </c>
      <c r="G534" s="31">
        <v>3</v>
      </c>
      <c r="H534" s="32"/>
      <c r="I534" s="32">
        <f t="shared" si="20"/>
        <v>0</v>
      </c>
      <c r="J534" s="32"/>
      <c r="K534" s="32">
        <v>0</v>
      </c>
      <c r="L534" s="33">
        <f t="shared" si="21"/>
        <v>3</v>
      </c>
    </row>
    <row r="535" spans="1:12" x14ac:dyDescent="0.25">
      <c r="A535" s="15" t="s">
        <v>488</v>
      </c>
      <c r="B535" s="14" t="s">
        <v>488</v>
      </c>
      <c r="C535" s="15" t="s">
        <v>496</v>
      </c>
      <c r="D535" s="15" t="s">
        <v>69</v>
      </c>
      <c r="E535" s="15" t="s">
        <v>90</v>
      </c>
      <c r="F535" s="15"/>
      <c r="G535" s="15"/>
      <c r="H535" s="35"/>
      <c r="I535" s="35">
        <f t="shared" si="20"/>
        <v>0</v>
      </c>
      <c r="J535" s="35"/>
      <c r="K535" s="35">
        <v>0</v>
      </c>
      <c r="L535" s="36">
        <f t="shared" si="21"/>
        <v>0</v>
      </c>
    </row>
    <row r="536" spans="1:12" x14ac:dyDescent="0.25">
      <c r="A536" s="21" t="s">
        <v>488</v>
      </c>
      <c r="B536" s="30" t="s">
        <v>488</v>
      </c>
      <c r="C536" s="21" t="s">
        <v>490</v>
      </c>
      <c r="D536" s="21" t="s">
        <v>47</v>
      </c>
      <c r="E536" s="21" t="s">
        <v>79</v>
      </c>
      <c r="F536" s="21"/>
      <c r="G536" s="21"/>
      <c r="H536" s="32"/>
      <c r="I536" s="32">
        <f t="shared" si="20"/>
        <v>0</v>
      </c>
      <c r="J536" s="32"/>
      <c r="K536" s="32">
        <v>0</v>
      </c>
      <c r="L536" s="33">
        <f t="shared" si="21"/>
        <v>0</v>
      </c>
    </row>
    <row r="537" spans="1:12" x14ac:dyDescent="0.25">
      <c r="A537" s="15" t="s">
        <v>488</v>
      </c>
      <c r="B537" s="14" t="s">
        <v>488</v>
      </c>
      <c r="C537" s="15" t="s">
        <v>491</v>
      </c>
      <c r="D537" s="15" t="s">
        <v>49</v>
      </c>
      <c r="E537" s="15" t="s">
        <v>134</v>
      </c>
      <c r="F537" s="15"/>
      <c r="G537" s="15"/>
      <c r="H537" s="35"/>
      <c r="I537" s="35">
        <f t="shared" si="20"/>
        <v>0</v>
      </c>
      <c r="J537" s="35"/>
      <c r="K537" s="35">
        <v>0</v>
      </c>
      <c r="L537" s="36">
        <f t="shared" si="21"/>
        <v>0</v>
      </c>
    </row>
    <row r="538" spans="1:12" x14ac:dyDescent="0.25">
      <c r="A538" s="21" t="s">
        <v>488</v>
      </c>
      <c r="B538" s="30" t="s">
        <v>488</v>
      </c>
      <c r="C538" s="21" t="s">
        <v>489</v>
      </c>
      <c r="D538" s="21" t="s">
        <v>53</v>
      </c>
      <c r="E538" s="21" t="s">
        <v>129</v>
      </c>
      <c r="F538" s="21"/>
      <c r="G538" s="21"/>
      <c r="H538" s="32"/>
      <c r="I538" s="32">
        <f t="shared" si="20"/>
        <v>0</v>
      </c>
      <c r="J538" s="32"/>
      <c r="K538" s="32">
        <v>0</v>
      </c>
      <c r="L538" s="33">
        <f t="shared" si="21"/>
        <v>0</v>
      </c>
    </row>
    <row r="539" spans="1:12" x14ac:dyDescent="0.25">
      <c r="A539" s="15" t="s">
        <v>488</v>
      </c>
      <c r="B539" s="14" t="s">
        <v>488</v>
      </c>
      <c r="C539" s="15" t="s">
        <v>492</v>
      </c>
      <c r="D539" s="15" t="s">
        <v>57</v>
      </c>
      <c r="E539" s="15" t="s">
        <v>136</v>
      </c>
      <c r="F539" s="15"/>
      <c r="G539" s="15"/>
      <c r="H539" s="35"/>
      <c r="I539" s="35">
        <f t="shared" si="20"/>
        <v>0</v>
      </c>
      <c r="J539" s="35"/>
      <c r="K539" s="35">
        <v>0</v>
      </c>
      <c r="L539" s="36">
        <f t="shared" si="21"/>
        <v>0</v>
      </c>
    </row>
    <row r="540" spans="1:12" x14ac:dyDescent="0.25">
      <c r="A540" s="21" t="s">
        <v>488</v>
      </c>
      <c r="B540" s="30" t="s">
        <v>488</v>
      </c>
      <c r="C540" s="21" t="s">
        <v>493</v>
      </c>
      <c r="D540" s="21" t="s">
        <v>57</v>
      </c>
      <c r="E540" s="21" t="s">
        <v>136</v>
      </c>
      <c r="F540" s="21"/>
      <c r="G540" s="21"/>
      <c r="H540" s="32"/>
      <c r="I540" s="32">
        <f t="shared" si="20"/>
        <v>0</v>
      </c>
      <c r="J540" s="32"/>
      <c r="K540" s="32">
        <v>0</v>
      </c>
      <c r="L540" s="33">
        <f t="shared" si="21"/>
        <v>0</v>
      </c>
    </row>
    <row r="541" spans="1:12" x14ac:dyDescent="0.25">
      <c r="A541" s="15" t="s">
        <v>488</v>
      </c>
      <c r="B541" s="14" t="s">
        <v>488</v>
      </c>
      <c r="C541" s="15" t="s">
        <v>494</v>
      </c>
      <c r="D541" s="15" t="s">
        <v>57</v>
      </c>
      <c r="E541" s="15" t="s">
        <v>136</v>
      </c>
      <c r="F541" s="15"/>
      <c r="G541" s="15"/>
      <c r="H541" s="35"/>
      <c r="I541" s="35">
        <f t="shared" si="20"/>
        <v>0</v>
      </c>
      <c r="J541" s="35"/>
      <c r="K541" s="35">
        <v>0</v>
      </c>
      <c r="L541" s="36">
        <f t="shared" si="21"/>
        <v>0</v>
      </c>
    </row>
    <row r="542" spans="1:12" x14ac:dyDescent="0.25">
      <c r="A542" s="21" t="s">
        <v>488</v>
      </c>
      <c r="B542" s="30" t="s">
        <v>488</v>
      </c>
      <c r="C542" s="21" t="s">
        <v>495</v>
      </c>
      <c r="D542" s="21" t="s">
        <v>70</v>
      </c>
      <c r="E542" s="21" t="s">
        <v>104</v>
      </c>
      <c r="F542" s="21"/>
      <c r="G542" s="21"/>
      <c r="H542" s="32"/>
      <c r="I542" s="32">
        <f t="shared" si="20"/>
        <v>0</v>
      </c>
      <c r="J542" s="32"/>
      <c r="K542" s="32">
        <v>0</v>
      </c>
      <c r="L542" s="33">
        <f t="shared" si="21"/>
        <v>0</v>
      </c>
    </row>
    <row r="543" spans="1:12" x14ac:dyDescent="0.25">
      <c r="A543" s="15" t="s">
        <v>488</v>
      </c>
      <c r="B543" s="14" t="s">
        <v>488</v>
      </c>
      <c r="C543" s="15" t="s">
        <v>496</v>
      </c>
      <c r="D543" s="15" t="s">
        <v>69</v>
      </c>
      <c r="E543" s="15" t="s">
        <v>90</v>
      </c>
      <c r="F543" s="15"/>
      <c r="G543" s="15"/>
      <c r="H543" s="35"/>
      <c r="I543" s="35">
        <f t="shared" si="20"/>
        <v>0</v>
      </c>
      <c r="J543" s="35"/>
      <c r="K543" s="35">
        <v>0</v>
      </c>
      <c r="L543" s="36">
        <f t="shared" si="21"/>
        <v>0</v>
      </c>
    </row>
    <row r="544" spans="1:12" x14ac:dyDescent="0.25">
      <c r="A544" s="21" t="s">
        <v>488</v>
      </c>
      <c r="B544" s="30" t="s">
        <v>488</v>
      </c>
      <c r="C544" s="21" t="s">
        <v>497</v>
      </c>
      <c r="D544" s="21" t="s">
        <v>57</v>
      </c>
      <c r="E544" s="21" t="s">
        <v>136</v>
      </c>
      <c r="F544" s="31">
        <v>11.4</v>
      </c>
      <c r="G544" s="31">
        <v>17.100000000000001</v>
      </c>
      <c r="H544" s="32"/>
      <c r="I544" s="32">
        <f t="shared" ref="I544:I607" si="22">IF(H544="",0,G544)</f>
        <v>0</v>
      </c>
      <c r="J544" s="32"/>
      <c r="K544" s="32">
        <v>0</v>
      </c>
      <c r="L544" s="33">
        <f t="shared" ref="L544:L607" si="23">G544-I544-K544</f>
        <v>17.100000000000001</v>
      </c>
    </row>
    <row r="545" spans="1:12" x14ac:dyDescent="0.25">
      <c r="A545" s="21" t="s">
        <v>501</v>
      </c>
      <c r="B545" s="30" t="s">
        <v>501</v>
      </c>
      <c r="C545" s="21" t="s">
        <v>502</v>
      </c>
      <c r="D545" s="21" t="s">
        <v>47</v>
      </c>
      <c r="E545" s="21" t="s">
        <v>79</v>
      </c>
      <c r="F545" s="31">
        <v>2</v>
      </c>
      <c r="G545" s="31">
        <v>2</v>
      </c>
      <c r="H545" s="32"/>
      <c r="I545" s="32">
        <f t="shared" si="22"/>
        <v>0</v>
      </c>
      <c r="J545" s="32"/>
      <c r="K545" s="32">
        <v>0</v>
      </c>
      <c r="L545" s="33">
        <f t="shared" si="23"/>
        <v>2</v>
      </c>
    </row>
    <row r="546" spans="1:12" x14ac:dyDescent="0.25">
      <c r="A546" s="15" t="s">
        <v>501</v>
      </c>
      <c r="B546" s="14" t="s">
        <v>501</v>
      </c>
      <c r="C546" s="15" t="s">
        <v>503</v>
      </c>
      <c r="D546" s="15" t="s">
        <v>47</v>
      </c>
      <c r="E546" s="15" t="s">
        <v>79</v>
      </c>
      <c r="F546" s="34">
        <v>2</v>
      </c>
      <c r="G546" s="34">
        <v>2</v>
      </c>
      <c r="H546" s="35"/>
      <c r="I546" s="35">
        <f t="shared" si="22"/>
        <v>0</v>
      </c>
      <c r="J546" s="35"/>
      <c r="K546" s="35">
        <v>0</v>
      </c>
      <c r="L546" s="36">
        <f t="shared" si="23"/>
        <v>2</v>
      </c>
    </row>
    <row r="547" spans="1:12" x14ac:dyDescent="0.25">
      <c r="A547" s="21" t="s">
        <v>501</v>
      </c>
      <c r="B547" s="30" t="s">
        <v>501</v>
      </c>
      <c r="C547" s="21" t="s">
        <v>504</v>
      </c>
      <c r="D547" s="21" t="s">
        <v>49</v>
      </c>
      <c r="E547" s="21" t="s">
        <v>134</v>
      </c>
      <c r="F547" s="31">
        <v>6</v>
      </c>
      <c r="G547" s="31">
        <v>6</v>
      </c>
      <c r="H547" s="32"/>
      <c r="I547" s="32">
        <f t="shared" si="22"/>
        <v>0</v>
      </c>
      <c r="J547" s="32"/>
      <c r="K547" s="32">
        <v>0</v>
      </c>
      <c r="L547" s="33">
        <f t="shared" si="23"/>
        <v>6</v>
      </c>
    </row>
    <row r="548" spans="1:12" x14ac:dyDescent="0.25">
      <c r="A548" s="15" t="s">
        <v>501</v>
      </c>
      <c r="B548" s="14" t="s">
        <v>501</v>
      </c>
      <c r="C548" s="15" t="s">
        <v>505</v>
      </c>
      <c r="D548" s="15" t="s">
        <v>49</v>
      </c>
      <c r="E548" s="15" t="s">
        <v>134</v>
      </c>
      <c r="F548" s="34">
        <v>3</v>
      </c>
      <c r="G548" s="34">
        <v>7</v>
      </c>
      <c r="H548" s="35"/>
      <c r="I548" s="35">
        <f t="shared" si="22"/>
        <v>0</v>
      </c>
      <c r="J548" s="35"/>
      <c r="K548" s="35">
        <v>0</v>
      </c>
      <c r="L548" s="36">
        <f t="shared" si="23"/>
        <v>7</v>
      </c>
    </row>
    <row r="549" spans="1:12" x14ac:dyDescent="0.25">
      <c r="A549" s="21" t="s">
        <v>501</v>
      </c>
      <c r="B549" s="30" t="s">
        <v>501</v>
      </c>
      <c r="C549" s="21" t="s">
        <v>506</v>
      </c>
      <c r="D549" s="21" t="s">
        <v>53</v>
      </c>
      <c r="E549" s="21" t="s">
        <v>129</v>
      </c>
      <c r="F549" s="21"/>
      <c r="G549" s="21"/>
      <c r="H549" s="32"/>
      <c r="I549" s="32">
        <f t="shared" si="22"/>
        <v>0</v>
      </c>
      <c r="J549" s="32"/>
      <c r="K549" s="32">
        <v>0</v>
      </c>
      <c r="L549" s="33">
        <f t="shared" si="23"/>
        <v>0</v>
      </c>
    </row>
    <row r="550" spans="1:12" x14ac:dyDescent="0.25">
      <c r="A550" s="15" t="s">
        <v>501</v>
      </c>
      <c r="B550" s="14" t="s">
        <v>501</v>
      </c>
      <c r="C550" s="15" t="s">
        <v>507</v>
      </c>
      <c r="D550" s="15" t="s">
        <v>57</v>
      </c>
      <c r="E550" s="15" t="s">
        <v>136</v>
      </c>
      <c r="F550" s="15"/>
      <c r="G550" s="15"/>
      <c r="H550" s="35"/>
      <c r="I550" s="35">
        <f t="shared" si="22"/>
        <v>0</v>
      </c>
      <c r="J550" s="35"/>
      <c r="K550" s="35">
        <v>0</v>
      </c>
      <c r="L550" s="36">
        <f t="shared" si="23"/>
        <v>0</v>
      </c>
    </row>
    <row r="551" spans="1:12" x14ac:dyDescent="0.25">
      <c r="A551" s="21" t="s">
        <v>501</v>
      </c>
      <c r="B551" s="30" t="s">
        <v>501</v>
      </c>
      <c r="C551" s="21" t="s">
        <v>508</v>
      </c>
      <c r="D551" s="21" t="s">
        <v>57</v>
      </c>
      <c r="E551" s="21" t="s">
        <v>136</v>
      </c>
      <c r="F551" s="21"/>
      <c r="G551" s="21"/>
      <c r="H551" s="32"/>
      <c r="I551" s="32">
        <f t="shared" si="22"/>
        <v>0</v>
      </c>
      <c r="J551" s="32"/>
      <c r="K551" s="32">
        <v>0</v>
      </c>
      <c r="L551" s="33">
        <f t="shared" si="23"/>
        <v>0</v>
      </c>
    </row>
    <row r="552" spans="1:12" x14ac:dyDescent="0.25">
      <c r="A552" s="15" t="s">
        <v>501</v>
      </c>
      <c r="B552" s="14" t="s">
        <v>501</v>
      </c>
      <c r="C552" s="15" t="s">
        <v>509</v>
      </c>
      <c r="D552" s="15" t="s">
        <v>47</v>
      </c>
      <c r="E552" s="15" t="s">
        <v>79</v>
      </c>
      <c r="F552" s="15"/>
      <c r="G552" s="34">
        <v>2</v>
      </c>
      <c r="H552" s="35"/>
      <c r="I552" s="35">
        <f t="shared" si="22"/>
        <v>0</v>
      </c>
      <c r="J552" s="35"/>
      <c r="K552" s="35">
        <v>0</v>
      </c>
      <c r="L552" s="36">
        <f t="shared" si="23"/>
        <v>2</v>
      </c>
    </row>
    <row r="553" spans="1:12" x14ac:dyDescent="0.25">
      <c r="A553" s="21" t="s">
        <v>501</v>
      </c>
      <c r="B553" s="30" t="s">
        <v>501</v>
      </c>
      <c r="C553" s="21" t="s">
        <v>510</v>
      </c>
      <c r="D553" s="21" t="s">
        <v>47</v>
      </c>
      <c r="E553" s="21" t="s">
        <v>79</v>
      </c>
      <c r="F553" s="31">
        <v>4</v>
      </c>
      <c r="G553" s="31">
        <v>5</v>
      </c>
      <c r="H553" s="32"/>
      <c r="I553" s="32">
        <f t="shared" si="22"/>
        <v>0</v>
      </c>
      <c r="J553" s="32"/>
      <c r="K553" s="32">
        <v>0</v>
      </c>
      <c r="L553" s="33">
        <f t="shared" si="23"/>
        <v>5</v>
      </c>
    </row>
    <row r="554" spans="1:12" x14ac:dyDescent="0.25">
      <c r="A554" s="15" t="s">
        <v>501</v>
      </c>
      <c r="B554" s="14" t="s">
        <v>501</v>
      </c>
      <c r="C554" s="15" t="s">
        <v>511</v>
      </c>
      <c r="D554" s="15" t="s">
        <v>57</v>
      </c>
      <c r="E554" s="15" t="s">
        <v>136</v>
      </c>
      <c r="F554" s="15"/>
      <c r="G554" s="15"/>
      <c r="H554" s="35"/>
      <c r="I554" s="35">
        <f t="shared" si="22"/>
        <v>0</v>
      </c>
      <c r="J554" s="35"/>
      <c r="K554" s="35">
        <v>0</v>
      </c>
      <c r="L554" s="36">
        <f t="shared" si="23"/>
        <v>0</v>
      </c>
    </row>
    <row r="555" spans="1:12" x14ac:dyDescent="0.25">
      <c r="A555" s="21" t="s">
        <v>501</v>
      </c>
      <c r="B555" s="30" t="s">
        <v>501</v>
      </c>
      <c r="C555" s="21" t="s">
        <v>512</v>
      </c>
      <c r="D555" s="21" t="s">
        <v>57</v>
      </c>
      <c r="E555" s="21" t="s">
        <v>136</v>
      </c>
      <c r="F555" s="21"/>
      <c r="G555" s="21"/>
      <c r="H555" s="32"/>
      <c r="I555" s="32">
        <f t="shared" si="22"/>
        <v>0</v>
      </c>
      <c r="J555" s="32"/>
      <c r="K555" s="32">
        <v>0</v>
      </c>
      <c r="L555" s="33">
        <f t="shared" si="23"/>
        <v>0</v>
      </c>
    </row>
    <row r="556" spans="1:12" x14ac:dyDescent="0.25">
      <c r="A556" s="15" t="s">
        <v>501</v>
      </c>
      <c r="B556" s="14" t="s">
        <v>501</v>
      </c>
      <c r="C556" s="15" t="s">
        <v>513</v>
      </c>
      <c r="D556" s="15" t="s">
        <v>57</v>
      </c>
      <c r="E556" s="15" t="s">
        <v>136</v>
      </c>
      <c r="F556" s="15"/>
      <c r="G556" s="15"/>
      <c r="H556" s="35"/>
      <c r="I556" s="35">
        <f t="shared" si="22"/>
        <v>0</v>
      </c>
      <c r="J556" s="35"/>
      <c r="K556" s="35">
        <v>0</v>
      </c>
      <c r="L556" s="36">
        <f t="shared" si="23"/>
        <v>0</v>
      </c>
    </row>
    <row r="557" spans="1:12" x14ac:dyDescent="0.25">
      <c r="A557" s="21" t="s">
        <v>501</v>
      </c>
      <c r="B557" s="30" t="s">
        <v>501</v>
      </c>
      <c r="C557" s="21" t="s">
        <v>514</v>
      </c>
      <c r="D557" s="21" t="s">
        <v>57</v>
      </c>
      <c r="E557" s="21" t="s">
        <v>136</v>
      </c>
      <c r="F557" s="21"/>
      <c r="G557" s="21"/>
      <c r="H557" s="32"/>
      <c r="I557" s="32">
        <f t="shared" si="22"/>
        <v>0</v>
      </c>
      <c r="J557" s="32"/>
      <c r="K557" s="32">
        <v>0</v>
      </c>
      <c r="L557" s="33">
        <f t="shared" si="23"/>
        <v>0</v>
      </c>
    </row>
    <row r="558" spans="1:12" x14ac:dyDescent="0.25">
      <c r="A558" s="15" t="s">
        <v>501</v>
      </c>
      <c r="B558" s="14" t="s">
        <v>501</v>
      </c>
      <c r="C558" s="15" t="s">
        <v>515</v>
      </c>
      <c r="D558" s="15" t="s">
        <v>69</v>
      </c>
      <c r="E558" s="15" t="s">
        <v>90</v>
      </c>
      <c r="F558" s="15"/>
      <c r="G558" s="15"/>
      <c r="H558" s="35"/>
      <c r="I558" s="35">
        <f t="shared" si="22"/>
        <v>0</v>
      </c>
      <c r="J558" s="35"/>
      <c r="K558" s="35">
        <v>0</v>
      </c>
      <c r="L558" s="36">
        <f t="shared" si="23"/>
        <v>0</v>
      </c>
    </row>
    <row r="559" spans="1:12" x14ac:dyDescent="0.25">
      <c r="A559" s="21" t="s">
        <v>501</v>
      </c>
      <c r="B559" s="30" t="s">
        <v>501</v>
      </c>
      <c r="C559" s="21" t="s">
        <v>506</v>
      </c>
      <c r="D559" s="21" t="s">
        <v>53</v>
      </c>
      <c r="E559" s="21" t="s">
        <v>129</v>
      </c>
      <c r="F559" s="21"/>
      <c r="G559" s="21"/>
      <c r="H559" s="32"/>
      <c r="I559" s="32">
        <f t="shared" si="22"/>
        <v>0</v>
      </c>
      <c r="J559" s="32"/>
      <c r="K559" s="32">
        <v>0</v>
      </c>
      <c r="L559" s="33">
        <f t="shared" si="23"/>
        <v>0</v>
      </c>
    </row>
    <row r="560" spans="1:12" x14ac:dyDescent="0.25">
      <c r="A560" s="15" t="s">
        <v>501</v>
      </c>
      <c r="B560" s="14" t="s">
        <v>501</v>
      </c>
      <c r="C560" s="15" t="s">
        <v>507</v>
      </c>
      <c r="D560" s="15" t="s">
        <v>57</v>
      </c>
      <c r="E560" s="15" t="s">
        <v>136</v>
      </c>
      <c r="F560" s="15"/>
      <c r="G560" s="15"/>
      <c r="H560" s="35"/>
      <c r="I560" s="35">
        <f t="shared" si="22"/>
        <v>0</v>
      </c>
      <c r="J560" s="35"/>
      <c r="K560" s="35">
        <v>0</v>
      </c>
      <c r="L560" s="36">
        <f t="shared" si="23"/>
        <v>0</v>
      </c>
    </row>
    <row r="561" spans="1:12" x14ac:dyDescent="0.25">
      <c r="A561" s="21" t="s">
        <v>501</v>
      </c>
      <c r="B561" s="30" t="s">
        <v>501</v>
      </c>
      <c r="C561" s="21" t="s">
        <v>508</v>
      </c>
      <c r="D561" s="21" t="s">
        <v>57</v>
      </c>
      <c r="E561" s="21" t="s">
        <v>136</v>
      </c>
      <c r="F561" s="21"/>
      <c r="G561" s="21"/>
      <c r="H561" s="32"/>
      <c r="I561" s="32">
        <f t="shared" si="22"/>
        <v>0</v>
      </c>
      <c r="J561" s="32"/>
      <c r="K561" s="32">
        <v>0</v>
      </c>
      <c r="L561" s="33">
        <f t="shared" si="23"/>
        <v>0</v>
      </c>
    </row>
    <row r="562" spans="1:12" x14ac:dyDescent="0.25">
      <c r="A562" s="15" t="s">
        <v>501</v>
      </c>
      <c r="B562" s="14" t="s">
        <v>501</v>
      </c>
      <c r="C562" s="15" t="s">
        <v>510</v>
      </c>
      <c r="D562" s="15" t="s">
        <v>47</v>
      </c>
      <c r="E562" s="15" t="s">
        <v>79</v>
      </c>
      <c r="F562" s="15"/>
      <c r="G562" s="15"/>
      <c r="H562" s="35"/>
      <c r="I562" s="35">
        <f t="shared" si="22"/>
        <v>0</v>
      </c>
      <c r="J562" s="35"/>
      <c r="K562" s="35">
        <v>0</v>
      </c>
      <c r="L562" s="36">
        <f t="shared" si="23"/>
        <v>0</v>
      </c>
    </row>
    <row r="563" spans="1:12" x14ac:dyDescent="0.25">
      <c r="A563" s="21" t="s">
        <v>501</v>
      </c>
      <c r="B563" s="30" t="s">
        <v>501</v>
      </c>
      <c r="C563" s="21" t="s">
        <v>511</v>
      </c>
      <c r="D563" s="21" t="s">
        <v>57</v>
      </c>
      <c r="E563" s="21" t="s">
        <v>136</v>
      </c>
      <c r="F563" s="21"/>
      <c r="G563" s="21"/>
      <c r="H563" s="32"/>
      <c r="I563" s="32">
        <f t="shared" si="22"/>
        <v>0</v>
      </c>
      <c r="J563" s="32"/>
      <c r="K563" s="32">
        <v>0</v>
      </c>
      <c r="L563" s="33">
        <f t="shared" si="23"/>
        <v>0</v>
      </c>
    </row>
    <row r="564" spans="1:12" x14ac:dyDescent="0.25">
      <c r="A564" s="15" t="s">
        <v>501</v>
      </c>
      <c r="B564" s="14" t="s">
        <v>501</v>
      </c>
      <c r="C564" s="15" t="s">
        <v>512</v>
      </c>
      <c r="D564" s="15" t="s">
        <v>57</v>
      </c>
      <c r="E564" s="15" t="s">
        <v>136</v>
      </c>
      <c r="F564" s="15"/>
      <c r="G564" s="15"/>
      <c r="H564" s="35"/>
      <c r="I564" s="35">
        <f t="shared" si="22"/>
        <v>0</v>
      </c>
      <c r="J564" s="35"/>
      <c r="K564" s="35">
        <v>0</v>
      </c>
      <c r="L564" s="36">
        <f t="shared" si="23"/>
        <v>0</v>
      </c>
    </row>
    <row r="565" spans="1:12" x14ac:dyDescent="0.25">
      <c r="A565" s="21" t="s">
        <v>501</v>
      </c>
      <c r="B565" s="30" t="s">
        <v>501</v>
      </c>
      <c r="C565" s="21" t="s">
        <v>513</v>
      </c>
      <c r="D565" s="21" t="s">
        <v>57</v>
      </c>
      <c r="E565" s="21" t="s">
        <v>136</v>
      </c>
      <c r="F565" s="21"/>
      <c r="G565" s="21"/>
      <c r="H565" s="32"/>
      <c r="I565" s="32">
        <f t="shared" si="22"/>
        <v>0</v>
      </c>
      <c r="J565" s="32"/>
      <c r="K565" s="32">
        <v>0</v>
      </c>
      <c r="L565" s="33">
        <f t="shared" si="23"/>
        <v>0</v>
      </c>
    </row>
    <row r="566" spans="1:12" x14ac:dyDescent="0.25">
      <c r="A566" s="15" t="s">
        <v>501</v>
      </c>
      <c r="B566" s="14" t="s">
        <v>501</v>
      </c>
      <c r="C566" s="15" t="s">
        <v>514</v>
      </c>
      <c r="D566" s="15" t="s">
        <v>57</v>
      </c>
      <c r="E566" s="15" t="s">
        <v>136</v>
      </c>
      <c r="F566" s="15"/>
      <c r="G566" s="15"/>
      <c r="H566" s="35"/>
      <c r="I566" s="35">
        <f t="shared" si="22"/>
        <v>0</v>
      </c>
      <c r="J566" s="35"/>
      <c r="K566" s="35">
        <v>0</v>
      </c>
      <c r="L566" s="36">
        <f t="shared" si="23"/>
        <v>0</v>
      </c>
    </row>
    <row r="567" spans="1:12" x14ac:dyDescent="0.25">
      <c r="A567" s="21" t="s">
        <v>501</v>
      </c>
      <c r="B567" s="30" t="s">
        <v>501</v>
      </c>
      <c r="C567" s="21" t="s">
        <v>515</v>
      </c>
      <c r="D567" s="21" t="s">
        <v>69</v>
      </c>
      <c r="E567" s="21" t="s">
        <v>90</v>
      </c>
      <c r="F567" s="21"/>
      <c r="G567" s="21"/>
      <c r="H567" s="32"/>
      <c r="I567" s="32">
        <f t="shared" si="22"/>
        <v>0</v>
      </c>
      <c r="J567" s="32"/>
      <c r="K567" s="32">
        <v>0</v>
      </c>
      <c r="L567" s="33">
        <f t="shared" si="23"/>
        <v>0</v>
      </c>
    </row>
    <row r="568" spans="1:12" x14ac:dyDescent="0.25">
      <c r="A568" s="15" t="s">
        <v>501</v>
      </c>
      <c r="B568" s="14" t="s">
        <v>501</v>
      </c>
      <c r="C568" s="15" t="s">
        <v>516</v>
      </c>
      <c r="D568" s="15" t="s">
        <v>57</v>
      </c>
      <c r="E568" s="15" t="s">
        <v>136</v>
      </c>
      <c r="F568" s="34">
        <v>92.6</v>
      </c>
      <c r="G568" s="34">
        <v>114.3</v>
      </c>
      <c r="H568" s="35"/>
      <c r="I568" s="35">
        <f t="shared" si="22"/>
        <v>0</v>
      </c>
      <c r="J568" s="35"/>
      <c r="K568" s="35">
        <v>0</v>
      </c>
      <c r="L568" s="36">
        <f t="shared" si="23"/>
        <v>114.3</v>
      </c>
    </row>
    <row r="569" spans="1:12" x14ac:dyDescent="0.25">
      <c r="A569" s="21" t="s">
        <v>501</v>
      </c>
      <c r="B569" s="30" t="s">
        <v>501</v>
      </c>
      <c r="C569" s="21" t="s">
        <v>517</v>
      </c>
      <c r="D569" s="21" t="s">
        <v>57</v>
      </c>
      <c r="E569" s="21" t="s">
        <v>136</v>
      </c>
      <c r="F569" s="31">
        <v>50</v>
      </c>
      <c r="G569" s="31">
        <v>57.1</v>
      </c>
      <c r="H569" s="32"/>
      <c r="I569" s="32">
        <f t="shared" si="22"/>
        <v>0</v>
      </c>
      <c r="J569" s="32"/>
      <c r="K569" s="32">
        <v>0</v>
      </c>
      <c r="L569" s="33">
        <f t="shared" si="23"/>
        <v>57.1</v>
      </c>
    </row>
    <row r="570" spans="1:12" x14ac:dyDescent="0.25">
      <c r="A570" s="15" t="s">
        <v>501</v>
      </c>
      <c r="B570" s="14" t="s">
        <v>501</v>
      </c>
      <c r="C570" s="15" t="s">
        <v>518</v>
      </c>
      <c r="D570" s="15" t="s">
        <v>57</v>
      </c>
      <c r="E570" s="15" t="s">
        <v>136</v>
      </c>
      <c r="F570" s="15"/>
      <c r="G570" s="15"/>
      <c r="H570" s="35"/>
      <c r="I570" s="35">
        <f t="shared" si="22"/>
        <v>0</v>
      </c>
      <c r="J570" s="35"/>
      <c r="K570" s="35">
        <v>0</v>
      </c>
      <c r="L570" s="36">
        <f t="shared" si="23"/>
        <v>0</v>
      </c>
    </row>
    <row r="571" spans="1:12" x14ac:dyDescent="0.25">
      <c r="A571" s="58" t="s">
        <v>519</v>
      </c>
      <c r="B571" s="58"/>
      <c r="C571" s="58"/>
      <c r="D571" s="58"/>
      <c r="E571" s="58"/>
      <c r="F571" s="58"/>
      <c r="G571" s="58"/>
      <c r="H571" s="58"/>
      <c r="I571" s="58"/>
      <c r="J571" s="58"/>
      <c r="K571" s="58"/>
      <c r="L571" s="58"/>
    </row>
    <row r="572" spans="1:12" x14ac:dyDescent="0.25">
      <c r="A572" s="21" t="s">
        <v>520</v>
      </c>
      <c r="B572" s="30" t="s">
        <v>520</v>
      </c>
      <c r="C572" s="21" t="s">
        <v>521</v>
      </c>
      <c r="D572" s="21" t="s">
        <v>47</v>
      </c>
      <c r="E572" s="21" t="s">
        <v>79</v>
      </c>
      <c r="F572" s="31">
        <v>15</v>
      </c>
      <c r="G572" s="31">
        <v>15</v>
      </c>
      <c r="H572" s="32"/>
      <c r="I572" s="32">
        <f t="shared" ref="I572:I635" si="24">IF(H572="",0,G572)</f>
        <v>0</v>
      </c>
      <c r="J572" s="32"/>
      <c r="K572" s="32">
        <v>0</v>
      </c>
      <c r="L572" s="33">
        <f t="shared" ref="L572:L635" si="25">G572-I572-K572</f>
        <v>15</v>
      </c>
    </row>
    <row r="573" spans="1:12" x14ac:dyDescent="0.25">
      <c r="A573" s="15" t="s">
        <v>520</v>
      </c>
      <c r="B573" s="14" t="s">
        <v>520</v>
      </c>
      <c r="C573" s="15" t="s">
        <v>522</v>
      </c>
      <c r="D573" s="15" t="s">
        <v>47</v>
      </c>
      <c r="E573" s="15" t="s">
        <v>79</v>
      </c>
      <c r="F573" s="34">
        <v>3</v>
      </c>
      <c r="G573" s="34">
        <v>4</v>
      </c>
      <c r="H573" s="35"/>
      <c r="I573" s="35">
        <f t="shared" si="24"/>
        <v>0</v>
      </c>
      <c r="J573" s="35"/>
      <c r="K573" s="35">
        <v>0</v>
      </c>
      <c r="L573" s="36">
        <f t="shared" si="25"/>
        <v>4</v>
      </c>
    </row>
    <row r="574" spans="1:12" x14ac:dyDescent="0.25">
      <c r="A574" s="21" t="s">
        <v>520</v>
      </c>
      <c r="B574" s="30" t="s">
        <v>520</v>
      </c>
      <c r="C574" s="21" t="s">
        <v>523</v>
      </c>
      <c r="D574" s="21" t="s">
        <v>47</v>
      </c>
      <c r="E574" s="21" t="s">
        <v>79</v>
      </c>
      <c r="F574" s="31">
        <v>1</v>
      </c>
      <c r="G574" s="31">
        <v>1</v>
      </c>
      <c r="H574" s="32"/>
      <c r="I574" s="32">
        <f t="shared" si="24"/>
        <v>0</v>
      </c>
      <c r="J574" s="32"/>
      <c r="K574" s="32">
        <v>0</v>
      </c>
      <c r="L574" s="33">
        <f t="shared" si="25"/>
        <v>1</v>
      </c>
    </row>
    <row r="575" spans="1:12" x14ac:dyDescent="0.25">
      <c r="A575" s="15" t="s">
        <v>520</v>
      </c>
      <c r="B575" s="14" t="s">
        <v>520</v>
      </c>
      <c r="C575" s="15" t="s">
        <v>524</v>
      </c>
      <c r="D575" s="15" t="s">
        <v>59</v>
      </c>
      <c r="E575" s="15" t="s">
        <v>203</v>
      </c>
      <c r="F575" s="15"/>
      <c r="G575" s="15"/>
      <c r="H575" s="35"/>
      <c r="I575" s="35">
        <f t="shared" si="24"/>
        <v>0</v>
      </c>
      <c r="J575" s="35"/>
      <c r="K575" s="35">
        <v>0</v>
      </c>
      <c r="L575" s="36">
        <f t="shared" si="25"/>
        <v>0</v>
      </c>
    </row>
    <row r="576" spans="1:12" x14ac:dyDescent="0.25">
      <c r="A576" s="21" t="s">
        <v>520</v>
      </c>
      <c r="B576" s="30" t="s">
        <v>520</v>
      </c>
      <c r="C576" s="21" t="s">
        <v>525</v>
      </c>
      <c r="D576" s="21" t="s">
        <v>59</v>
      </c>
      <c r="E576" s="21" t="s">
        <v>203</v>
      </c>
      <c r="F576" s="21"/>
      <c r="G576" s="21"/>
      <c r="H576" s="32"/>
      <c r="I576" s="32">
        <f t="shared" si="24"/>
        <v>0</v>
      </c>
      <c r="J576" s="32"/>
      <c r="K576" s="32">
        <v>0</v>
      </c>
      <c r="L576" s="33">
        <f t="shared" si="25"/>
        <v>0</v>
      </c>
    </row>
    <row r="577" spans="1:12" x14ac:dyDescent="0.25">
      <c r="A577" s="15" t="s">
        <v>520</v>
      </c>
      <c r="B577" s="14" t="s">
        <v>520</v>
      </c>
      <c r="C577" s="15" t="s">
        <v>526</v>
      </c>
      <c r="D577" s="15" t="s">
        <v>59</v>
      </c>
      <c r="E577" s="15" t="s">
        <v>203</v>
      </c>
      <c r="F577" s="15"/>
      <c r="G577" s="15"/>
      <c r="H577" s="35"/>
      <c r="I577" s="35">
        <f t="shared" si="24"/>
        <v>0</v>
      </c>
      <c r="J577" s="35"/>
      <c r="K577" s="35">
        <v>0</v>
      </c>
      <c r="L577" s="36">
        <f t="shared" si="25"/>
        <v>0</v>
      </c>
    </row>
    <row r="578" spans="1:12" x14ac:dyDescent="0.25">
      <c r="A578" s="21" t="s">
        <v>520</v>
      </c>
      <c r="B578" s="30" t="s">
        <v>520</v>
      </c>
      <c r="C578" s="21" t="s">
        <v>527</v>
      </c>
      <c r="D578" s="21" t="s">
        <v>65</v>
      </c>
      <c r="E578" s="21" t="s">
        <v>82</v>
      </c>
      <c r="F578" s="21"/>
      <c r="G578" s="21"/>
      <c r="H578" s="32"/>
      <c r="I578" s="32">
        <f t="shared" si="24"/>
        <v>0</v>
      </c>
      <c r="J578" s="32"/>
      <c r="K578" s="32">
        <v>0</v>
      </c>
      <c r="L578" s="33">
        <f t="shared" si="25"/>
        <v>0</v>
      </c>
    </row>
    <row r="579" spans="1:12" x14ac:dyDescent="0.25">
      <c r="A579" s="15" t="s">
        <v>520</v>
      </c>
      <c r="B579" s="14" t="s">
        <v>520</v>
      </c>
      <c r="C579" s="15" t="s">
        <v>528</v>
      </c>
      <c r="D579" s="15" t="s">
        <v>56</v>
      </c>
      <c r="E579" s="15" t="s">
        <v>162</v>
      </c>
      <c r="F579" s="15"/>
      <c r="G579" s="15"/>
      <c r="H579" s="35"/>
      <c r="I579" s="35">
        <f t="shared" si="24"/>
        <v>0</v>
      </c>
      <c r="J579" s="35"/>
      <c r="K579" s="35">
        <v>0</v>
      </c>
      <c r="L579" s="36">
        <f t="shared" si="25"/>
        <v>0</v>
      </c>
    </row>
    <row r="580" spans="1:12" x14ac:dyDescent="0.25">
      <c r="A580" s="21" t="s">
        <v>520</v>
      </c>
      <c r="B580" s="30" t="s">
        <v>520</v>
      </c>
      <c r="C580" s="21" t="s">
        <v>529</v>
      </c>
      <c r="D580" s="21" t="s">
        <v>61</v>
      </c>
      <c r="E580" s="21" t="s">
        <v>142</v>
      </c>
      <c r="F580" s="21"/>
      <c r="G580" s="21"/>
      <c r="H580" s="32"/>
      <c r="I580" s="32">
        <f t="shared" si="24"/>
        <v>0</v>
      </c>
      <c r="J580" s="32"/>
      <c r="K580" s="32">
        <v>0</v>
      </c>
      <c r="L580" s="33">
        <f t="shared" si="25"/>
        <v>0</v>
      </c>
    </row>
    <row r="581" spans="1:12" x14ac:dyDescent="0.25">
      <c r="A581" s="15" t="s">
        <v>520</v>
      </c>
      <c r="B581" s="14" t="s">
        <v>520</v>
      </c>
      <c r="C581" s="15" t="s">
        <v>530</v>
      </c>
      <c r="D581" s="15" t="s">
        <v>69</v>
      </c>
      <c r="E581" s="15" t="s">
        <v>90</v>
      </c>
      <c r="F581" s="15"/>
      <c r="G581" s="15"/>
      <c r="H581" s="35"/>
      <c r="I581" s="35">
        <f t="shared" si="24"/>
        <v>0</v>
      </c>
      <c r="J581" s="35"/>
      <c r="K581" s="35">
        <v>0</v>
      </c>
      <c r="L581" s="36">
        <f t="shared" si="25"/>
        <v>0</v>
      </c>
    </row>
    <row r="582" spans="1:12" x14ac:dyDescent="0.25">
      <c r="A582" s="21" t="s">
        <v>520</v>
      </c>
      <c r="B582" s="30" t="s">
        <v>520</v>
      </c>
      <c r="C582" s="21" t="s">
        <v>521</v>
      </c>
      <c r="D582" s="21" t="s">
        <v>47</v>
      </c>
      <c r="E582" s="21" t="s">
        <v>79</v>
      </c>
      <c r="F582" s="21"/>
      <c r="G582" s="21"/>
      <c r="H582" s="32"/>
      <c r="I582" s="32">
        <f t="shared" si="24"/>
        <v>0</v>
      </c>
      <c r="J582" s="32"/>
      <c r="K582" s="32">
        <v>0</v>
      </c>
      <c r="L582" s="33">
        <f t="shared" si="25"/>
        <v>0</v>
      </c>
    </row>
    <row r="583" spans="1:12" x14ac:dyDescent="0.25">
      <c r="A583" s="15" t="s">
        <v>520</v>
      </c>
      <c r="B583" s="14" t="s">
        <v>520</v>
      </c>
      <c r="C583" s="15" t="s">
        <v>524</v>
      </c>
      <c r="D583" s="15" t="s">
        <v>59</v>
      </c>
      <c r="E583" s="15" t="s">
        <v>203</v>
      </c>
      <c r="F583" s="15"/>
      <c r="G583" s="15"/>
      <c r="H583" s="35"/>
      <c r="I583" s="35">
        <f t="shared" si="24"/>
        <v>0</v>
      </c>
      <c r="J583" s="35"/>
      <c r="K583" s="35">
        <v>0</v>
      </c>
      <c r="L583" s="36">
        <f t="shared" si="25"/>
        <v>0</v>
      </c>
    </row>
    <row r="584" spans="1:12" x14ac:dyDescent="0.25">
      <c r="A584" s="21" t="s">
        <v>520</v>
      </c>
      <c r="B584" s="30" t="s">
        <v>520</v>
      </c>
      <c r="C584" s="21" t="s">
        <v>526</v>
      </c>
      <c r="D584" s="21" t="s">
        <v>59</v>
      </c>
      <c r="E584" s="21" t="s">
        <v>203</v>
      </c>
      <c r="F584" s="31">
        <v>10</v>
      </c>
      <c r="G584" s="31">
        <v>20</v>
      </c>
      <c r="H584" s="32"/>
      <c r="I584" s="32">
        <f t="shared" si="24"/>
        <v>0</v>
      </c>
      <c r="J584" s="32"/>
      <c r="K584" s="32">
        <v>0</v>
      </c>
      <c r="L584" s="33">
        <f t="shared" si="25"/>
        <v>20</v>
      </c>
    </row>
    <row r="585" spans="1:12" x14ac:dyDescent="0.25">
      <c r="A585" s="15" t="s">
        <v>520</v>
      </c>
      <c r="B585" s="14" t="s">
        <v>520</v>
      </c>
      <c r="C585" s="15" t="s">
        <v>531</v>
      </c>
      <c r="D585" s="15" t="s">
        <v>59</v>
      </c>
      <c r="E585" s="15" t="s">
        <v>203</v>
      </c>
      <c r="F585" s="34">
        <v>2</v>
      </c>
      <c r="G585" s="34">
        <v>2</v>
      </c>
      <c r="H585" s="35"/>
      <c r="I585" s="35">
        <f t="shared" si="24"/>
        <v>0</v>
      </c>
      <c r="J585" s="35"/>
      <c r="K585" s="35">
        <v>0</v>
      </c>
      <c r="L585" s="36">
        <f t="shared" si="25"/>
        <v>2</v>
      </c>
    </row>
    <row r="586" spans="1:12" x14ac:dyDescent="0.25">
      <c r="A586" s="21" t="s">
        <v>520</v>
      </c>
      <c r="B586" s="30" t="s">
        <v>520</v>
      </c>
      <c r="C586" s="21" t="s">
        <v>532</v>
      </c>
      <c r="D586" s="21" t="s">
        <v>59</v>
      </c>
      <c r="E586" s="21" t="s">
        <v>203</v>
      </c>
      <c r="F586" s="31">
        <v>2</v>
      </c>
      <c r="G586" s="31">
        <v>4</v>
      </c>
      <c r="H586" s="32"/>
      <c r="I586" s="32">
        <f t="shared" si="24"/>
        <v>0</v>
      </c>
      <c r="J586" s="32"/>
      <c r="K586" s="32">
        <v>0</v>
      </c>
      <c r="L586" s="33">
        <f t="shared" si="25"/>
        <v>4</v>
      </c>
    </row>
    <row r="587" spans="1:12" x14ac:dyDescent="0.25">
      <c r="A587" s="15" t="s">
        <v>520</v>
      </c>
      <c r="B587" s="14" t="s">
        <v>520</v>
      </c>
      <c r="C587" s="15" t="s">
        <v>533</v>
      </c>
      <c r="D587" s="15" t="s">
        <v>65</v>
      </c>
      <c r="E587" s="15" t="s">
        <v>82</v>
      </c>
      <c r="F587" s="34">
        <v>5</v>
      </c>
      <c r="G587" s="34">
        <v>5</v>
      </c>
      <c r="H587" s="35"/>
      <c r="I587" s="35">
        <f t="shared" si="24"/>
        <v>0</v>
      </c>
      <c r="J587" s="35"/>
      <c r="K587" s="35">
        <v>0</v>
      </c>
      <c r="L587" s="36">
        <f t="shared" si="25"/>
        <v>5</v>
      </c>
    </row>
    <row r="588" spans="1:12" x14ac:dyDescent="0.25">
      <c r="A588" s="21" t="s">
        <v>520</v>
      </c>
      <c r="B588" s="30" t="s">
        <v>520</v>
      </c>
      <c r="C588" s="21" t="s">
        <v>534</v>
      </c>
      <c r="D588" s="21" t="s">
        <v>65</v>
      </c>
      <c r="E588" s="21" t="s">
        <v>82</v>
      </c>
      <c r="F588" s="31">
        <v>1</v>
      </c>
      <c r="G588" s="31">
        <v>2</v>
      </c>
      <c r="H588" s="32"/>
      <c r="I588" s="32">
        <f t="shared" si="24"/>
        <v>0</v>
      </c>
      <c r="J588" s="32"/>
      <c r="K588" s="32">
        <v>0</v>
      </c>
      <c r="L588" s="33">
        <f t="shared" si="25"/>
        <v>2</v>
      </c>
    </row>
    <row r="589" spans="1:12" x14ac:dyDescent="0.25">
      <c r="A589" s="15" t="s">
        <v>520</v>
      </c>
      <c r="B589" s="14" t="s">
        <v>520</v>
      </c>
      <c r="C589" s="15" t="s">
        <v>528</v>
      </c>
      <c r="D589" s="15" t="s">
        <v>56</v>
      </c>
      <c r="E589" s="15" t="s">
        <v>162</v>
      </c>
      <c r="F589" s="15"/>
      <c r="G589" s="15"/>
      <c r="H589" s="35"/>
      <c r="I589" s="35">
        <f t="shared" si="24"/>
        <v>0</v>
      </c>
      <c r="J589" s="35"/>
      <c r="K589" s="35">
        <v>0</v>
      </c>
      <c r="L589" s="36">
        <f t="shared" si="25"/>
        <v>0</v>
      </c>
    </row>
    <row r="590" spans="1:12" x14ac:dyDescent="0.25">
      <c r="A590" s="21" t="s">
        <v>520</v>
      </c>
      <c r="B590" s="30" t="s">
        <v>520</v>
      </c>
      <c r="C590" s="21" t="s">
        <v>529</v>
      </c>
      <c r="D590" s="21" t="s">
        <v>61</v>
      </c>
      <c r="E590" s="21" t="s">
        <v>142</v>
      </c>
      <c r="F590" s="21"/>
      <c r="G590" s="21"/>
      <c r="H590" s="32"/>
      <c r="I590" s="32">
        <f t="shared" si="24"/>
        <v>0</v>
      </c>
      <c r="J590" s="32"/>
      <c r="K590" s="32">
        <v>0</v>
      </c>
      <c r="L590" s="33">
        <f t="shared" si="25"/>
        <v>0</v>
      </c>
    </row>
    <row r="591" spans="1:12" x14ac:dyDescent="0.25">
      <c r="A591" s="15" t="s">
        <v>520</v>
      </c>
      <c r="B591" s="14" t="s">
        <v>520</v>
      </c>
      <c r="C591" s="15" t="s">
        <v>530</v>
      </c>
      <c r="D591" s="15" t="s">
        <v>69</v>
      </c>
      <c r="E591" s="15" t="s">
        <v>90</v>
      </c>
      <c r="F591" s="15"/>
      <c r="G591" s="15"/>
      <c r="H591" s="35"/>
      <c r="I591" s="35">
        <f t="shared" si="24"/>
        <v>0</v>
      </c>
      <c r="J591" s="35"/>
      <c r="K591" s="35">
        <v>0</v>
      </c>
      <c r="L591" s="36">
        <f t="shared" si="25"/>
        <v>0</v>
      </c>
    </row>
    <row r="592" spans="1:12" x14ac:dyDescent="0.25">
      <c r="A592" s="21" t="s">
        <v>520</v>
      </c>
      <c r="B592" s="30" t="s">
        <v>520</v>
      </c>
      <c r="C592" s="21" t="s">
        <v>535</v>
      </c>
      <c r="D592" s="21" t="s">
        <v>65</v>
      </c>
      <c r="E592" s="21" t="s">
        <v>82</v>
      </c>
      <c r="F592" s="31">
        <v>5</v>
      </c>
      <c r="G592" s="31">
        <v>8</v>
      </c>
      <c r="H592" s="32"/>
      <c r="I592" s="32">
        <f t="shared" si="24"/>
        <v>0</v>
      </c>
      <c r="J592" s="32"/>
      <c r="K592" s="32">
        <v>0</v>
      </c>
      <c r="L592" s="33">
        <f t="shared" si="25"/>
        <v>8</v>
      </c>
    </row>
    <row r="593" spans="1:12" x14ac:dyDescent="0.25">
      <c r="A593" s="15" t="s">
        <v>520</v>
      </c>
      <c r="B593" s="14" t="s">
        <v>520</v>
      </c>
      <c r="C593" s="15" t="s">
        <v>536</v>
      </c>
      <c r="D593" s="15" t="s">
        <v>65</v>
      </c>
      <c r="E593" s="15" t="s">
        <v>82</v>
      </c>
      <c r="F593" s="34">
        <v>1</v>
      </c>
      <c r="G593" s="34">
        <v>2</v>
      </c>
      <c r="H593" s="35"/>
      <c r="I593" s="35">
        <f t="shared" si="24"/>
        <v>0</v>
      </c>
      <c r="J593" s="35"/>
      <c r="K593" s="35">
        <v>0</v>
      </c>
      <c r="L593" s="36">
        <f t="shared" si="25"/>
        <v>2</v>
      </c>
    </row>
    <row r="594" spans="1:12" x14ac:dyDescent="0.25">
      <c r="A594" s="21" t="s">
        <v>520</v>
      </c>
      <c r="B594" s="30" t="s">
        <v>520</v>
      </c>
      <c r="C594" s="21" t="s">
        <v>537</v>
      </c>
      <c r="D594" s="21" t="s">
        <v>65</v>
      </c>
      <c r="E594" s="21" t="s">
        <v>82</v>
      </c>
      <c r="F594" s="31">
        <v>1</v>
      </c>
      <c r="G594" s="31">
        <v>2</v>
      </c>
      <c r="H594" s="32"/>
      <c r="I594" s="32">
        <f t="shared" si="24"/>
        <v>0</v>
      </c>
      <c r="J594" s="32"/>
      <c r="K594" s="32">
        <v>0</v>
      </c>
      <c r="L594" s="33">
        <f t="shared" si="25"/>
        <v>2</v>
      </c>
    </row>
    <row r="595" spans="1:12" x14ac:dyDescent="0.25">
      <c r="A595" s="15" t="s">
        <v>520</v>
      </c>
      <c r="B595" s="14" t="s">
        <v>520</v>
      </c>
      <c r="C595" s="15" t="s">
        <v>538</v>
      </c>
      <c r="D595" s="15" t="s">
        <v>65</v>
      </c>
      <c r="E595" s="15" t="s">
        <v>82</v>
      </c>
      <c r="F595" s="34">
        <v>5</v>
      </c>
      <c r="G595" s="34">
        <v>10</v>
      </c>
      <c r="H595" s="35"/>
      <c r="I595" s="35">
        <f t="shared" si="24"/>
        <v>0</v>
      </c>
      <c r="J595" s="35"/>
      <c r="K595" s="35">
        <v>0</v>
      </c>
      <c r="L595" s="36">
        <f t="shared" si="25"/>
        <v>10</v>
      </c>
    </row>
    <row r="596" spans="1:12" x14ac:dyDescent="0.25">
      <c r="A596" s="21" t="s">
        <v>520</v>
      </c>
      <c r="B596" s="30" t="s">
        <v>520</v>
      </c>
      <c r="C596" s="21" t="s">
        <v>539</v>
      </c>
      <c r="D596" s="21" t="s">
        <v>65</v>
      </c>
      <c r="E596" s="21" t="s">
        <v>82</v>
      </c>
      <c r="F596" s="31">
        <v>1</v>
      </c>
      <c r="G596" s="31">
        <v>2</v>
      </c>
      <c r="H596" s="32"/>
      <c r="I596" s="32">
        <f t="shared" si="24"/>
        <v>0</v>
      </c>
      <c r="J596" s="32"/>
      <c r="K596" s="32">
        <v>0</v>
      </c>
      <c r="L596" s="33">
        <f t="shared" si="25"/>
        <v>2</v>
      </c>
    </row>
    <row r="597" spans="1:12" x14ac:dyDescent="0.25">
      <c r="A597" s="15" t="s">
        <v>520</v>
      </c>
      <c r="B597" s="14" t="s">
        <v>520</v>
      </c>
      <c r="C597" s="15" t="s">
        <v>540</v>
      </c>
      <c r="D597" s="15" t="s">
        <v>65</v>
      </c>
      <c r="E597" s="15" t="s">
        <v>82</v>
      </c>
      <c r="F597" s="34">
        <v>3</v>
      </c>
      <c r="G597" s="34">
        <v>5</v>
      </c>
      <c r="H597" s="35"/>
      <c r="I597" s="35">
        <f t="shared" si="24"/>
        <v>0</v>
      </c>
      <c r="J597" s="35"/>
      <c r="K597" s="35">
        <v>0</v>
      </c>
      <c r="L597" s="36">
        <f t="shared" si="25"/>
        <v>5</v>
      </c>
    </row>
    <row r="598" spans="1:12" x14ac:dyDescent="0.25">
      <c r="A598" s="21" t="s">
        <v>520</v>
      </c>
      <c r="B598" s="30" t="s">
        <v>520</v>
      </c>
      <c r="C598" s="21" t="s">
        <v>541</v>
      </c>
      <c r="D598" s="21" t="s">
        <v>65</v>
      </c>
      <c r="E598" s="21" t="s">
        <v>82</v>
      </c>
      <c r="F598" s="31">
        <v>3</v>
      </c>
      <c r="G598" s="31">
        <v>5</v>
      </c>
      <c r="H598" s="32"/>
      <c r="I598" s="32">
        <f t="shared" si="24"/>
        <v>0</v>
      </c>
      <c r="J598" s="32"/>
      <c r="K598" s="32">
        <v>0</v>
      </c>
      <c r="L598" s="33">
        <f t="shared" si="25"/>
        <v>5</v>
      </c>
    </row>
    <row r="599" spans="1:12" x14ac:dyDescent="0.25">
      <c r="A599" s="15" t="s">
        <v>520</v>
      </c>
      <c r="B599" s="14" t="s">
        <v>520</v>
      </c>
      <c r="C599" s="15" t="s">
        <v>542</v>
      </c>
      <c r="D599" s="15" t="s">
        <v>65</v>
      </c>
      <c r="E599" s="15" t="s">
        <v>82</v>
      </c>
      <c r="F599" s="34">
        <v>5</v>
      </c>
      <c r="G599" s="34">
        <v>10</v>
      </c>
      <c r="H599" s="35"/>
      <c r="I599" s="35">
        <f t="shared" si="24"/>
        <v>0</v>
      </c>
      <c r="J599" s="35"/>
      <c r="K599" s="35">
        <v>0</v>
      </c>
      <c r="L599" s="36">
        <f t="shared" si="25"/>
        <v>10</v>
      </c>
    </row>
    <row r="600" spans="1:12" x14ac:dyDescent="0.25">
      <c r="A600" s="21" t="s">
        <v>520</v>
      </c>
      <c r="B600" s="30" t="s">
        <v>520</v>
      </c>
      <c r="C600" s="21" t="s">
        <v>543</v>
      </c>
      <c r="D600" s="21" t="s">
        <v>65</v>
      </c>
      <c r="E600" s="21" t="s">
        <v>82</v>
      </c>
      <c r="F600" s="31">
        <v>5</v>
      </c>
      <c r="G600" s="31">
        <v>10</v>
      </c>
      <c r="H600" s="32"/>
      <c r="I600" s="32">
        <f t="shared" si="24"/>
        <v>0</v>
      </c>
      <c r="J600" s="32"/>
      <c r="K600" s="32">
        <v>0</v>
      </c>
      <c r="L600" s="33">
        <f t="shared" si="25"/>
        <v>10</v>
      </c>
    </row>
    <row r="601" spans="1:12" x14ac:dyDescent="0.25">
      <c r="A601" s="15" t="s">
        <v>520</v>
      </c>
      <c r="B601" s="14" t="s">
        <v>520</v>
      </c>
      <c r="C601" s="15" t="s">
        <v>544</v>
      </c>
      <c r="D601" s="15" t="s">
        <v>65</v>
      </c>
      <c r="E601" s="15" t="s">
        <v>82</v>
      </c>
      <c r="F601" s="34">
        <v>5</v>
      </c>
      <c r="G601" s="34">
        <v>10</v>
      </c>
      <c r="H601" s="35"/>
      <c r="I601" s="35">
        <f t="shared" si="24"/>
        <v>0</v>
      </c>
      <c r="J601" s="35"/>
      <c r="K601" s="35">
        <v>0</v>
      </c>
      <c r="L601" s="36">
        <f t="shared" si="25"/>
        <v>10</v>
      </c>
    </row>
    <row r="602" spans="1:12" x14ac:dyDescent="0.25">
      <c r="A602" s="21" t="s">
        <v>520</v>
      </c>
      <c r="B602" s="30" t="s">
        <v>520</v>
      </c>
      <c r="C602" s="21" t="s">
        <v>545</v>
      </c>
      <c r="D602" s="21" t="s">
        <v>65</v>
      </c>
      <c r="E602" s="21" t="s">
        <v>82</v>
      </c>
      <c r="F602" s="31">
        <v>5</v>
      </c>
      <c r="G602" s="31">
        <v>10</v>
      </c>
      <c r="H602" s="32"/>
      <c r="I602" s="32">
        <f t="shared" si="24"/>
        <v>0</v>
      </c>
      <c r="J602" s="32"/>
      <c r="K602" s="32">
        <v>0</v>
      </c>
      <c r="L602" s="33">
        <f t="shared" si="25"/>
        <v>10</v>
      </c>
    </row>
    <row r="603" spans="1:12" x14ac:dyDescent="0.25">
      <c r="A603" s="15" t="s">
        <v>520</v>
      </c>
      <c r="B603" s="14" t="s">
        <v>520</v>
      </c>
      <c r="C603" s="15" t="s">
        <v>546</v>
      </c>
      <c r="D603" s="15" t="s">
        <v>65</v>
      </c>
      <c r="E603" s="15" t="s">
        <v>82</v>
      </c>
      <c r="F603" s="34">
        <v>2</v>
      </c>
      <c r="G603" s="34">
        <v>4</v>
      </c>
      <c r="H603" s="35"/>
      <c r="I603" s="35">
        <f t="shared" si="24"/>
        <v>0</v>
      </c>
      <c r="J603" s="35"/>
      <c r="K603" s="35">
        <v>0</v>
      </c>
      <c r="L603" s="36">
        <f t="shared" si="25"/>
        <v>4</v>
      </c>
    </row>
    <row r="604" spans="1:12" x14ac:dyDescent="0.25">
      <c r="A604" s="21" t="s">
        <v>520</v>
      </c>
      <c r="B604" s="30" t="s">
        <v>520</v>
      </c>
      <c r="C604" s="21" t="s">
        <v>547</v>
      </c>
      <c r="D604" s="21" t="s">
        <v>65</v>
      </c>
      <c r="E604" s="21" t="s">
        <v>82</v>
      </c>
      <c r="F604" s="31">
        <v>5</v>
      </c>
      <c r="G604" s="31">
        <v>10</v>
      </c>
      <c r="H604" s="32"/>
      <c r="I604" s="32">
        <f t="shared" si="24"/>
        <v>0</v>
      </c>
      <c r="J604" s="32"/>
      <c r="K604" s="32">
        <v>0</v>
      </c>
      <c r="L604" s="33">
        <f t="shared" si="25"/>
        <v>10</v>
      </c>
    </row>
    <row r="605" spans="1:12" x14ac:dyDescent="0.25">
      <c r="A605" s="15" t="s">
        <v>520</v>
      </c>
      <c r="B605" s="14" t="s">
        <v>520</v>
      </c>
      <c r="C605" s="15" t="s">
        <v>548</v>
      </c>
      <c r="D605" s="15" t="s">
        <v>65</v>
      </c>
      <c r="E605" s="15" t="s">
        <v>82</v>
      </c>
      <c r="F605" s="34">
        <v>2</v>
      </c>
      <c r="G605" s="34">
        <v>4</v>
      </c>
      <c r="H605" s="35"/>
      <c r="I605" s="35">
        <f t="shared" si="24"/>
        <v>0</v>
      </c>
      <c r="J605" s="35"/>
      <c r="K605" s="35">
        <v>0</v>
      </c>
      <c r="L605" s="36">
        <f t="shared" si="25"/>
        <v>4</v>
      </c>
    </row>
    <row r="606" spans="1:12" x14ac:dyDescent="0.25">
      <c r="A606" s="21" t="s">
        <v>520</v>
      </c>
      <c r="B606" s="30" t="s">
        <v>520</v>
      </c>
      <c r="C606" s="21" t="s">
        <v>549</v>
      </c>
      <c r="D606" s="21" t="s">
        <v>65</v>
      </c>
      <c r="E606" s="21" t="s">
        <v>82</v>
      </c>
      <c r="F606" s="31">
        <v>2</v>
      </c>
      <c r="G606" s="31">
        <v>4</v>
      </c>
      <c r="H606" s="32"/>
      <c r="I606" s="32">
        <f t="shared" si="24"/>
        <v>0</v>
      </c>
      <c r="J606" s="32"/>
      <c r="K606" s="32">
        <v>0</v>
      </c>
      <c r="L606" s="33">
        <f t="shared" si="25"/>
        <v>4</v>
      </c>
    </row>
    <row r="607" spans="1:12" x14ac:dyDescent="0.25">
      <c r="A607" s="15" t="s">
        <v>520</v>
      </c>
      <c r="B607" s="14" t="s">
        <v>520</v>
      </c>
      <c r="C607" s="15" t="s">
        <v>550</v>
      </c>
      <c r="D607" s="15" t="s">
        <v>65</v>
      </c>
      <c r="E607" s="15" t="s">
        <v>82</v>
      </c>
      <c r="F607" s="34">
        <v>2</v>
      </c>
      <c r="G607" s="34">
        <v>4</v>
      </c>
      <c r="H607" s="35"/>
      <c r="I607" s="35">
        <f t="shared" si="24"/>
        <v>0</v>
      </c>
      <c r="J607" s="35"/>
      <c r="K607" s="35">
        <v>0</v>
      </c>
      <c r="L607" s="36">
        <f t="shared" si="25"/>
        <v>4</v>
      </c>
    </row>
    <row r="608" spans="1:12" x14ac:dyDescent="0.25">
      <c r="A608" s="21" t="s">
        <v>551</v>
      </c>
      <c r="B608" s="30" t="s">
        <v>551</v>
      </c>
      <c r="C608" s="21" t="s">
        <v>552</v>
      </c>
      <c r="D608" s="21" t="s">
        <v>47</v>
      </c>
      <c r="E608" s="21" t="s">
        <v>79</v>
      </c>
      <c r="F608" s="31">
        <v>2</v>
      </c>
      <c r="G608" s="31">
        <v>4</v>
      </c>
      <c r="H608" s="32"/>
      <c r="I608" s="32">
        <f t="shared" si="24"/>
        <v>0</v>
      </c>
      <c r="J608" s="32"/>
      <c r="K608" s="32">
        <v>0</v>
      </c>
      <c r="L608" s="33">
        <f t="shared" si="25"/>
        <v>4</v>
      </c>
    </row>
    <row r="609" spans="1:12" x14ac:dyDescent="0.25">
      <c r="A609" s="15" t="s">
        <v>551</v>
      </c>
      <c r="B609" s="14" t="s">
        <v>551</v>
      </c>
      <c r="C609" s="15" t="s">
        <v>553</v>
      </c>
      <c r="D609" s="15" t="s">
        <v>47</v>
      </c>
      <c r="E609" s="15" t="s">
        <v>79</v>
      </c>
      <c r="F609" s="34">
        <v>5</v>
      </c>
      <c r="G609" s="34">
        <v>5</v>
      </c>
      <c r="H609" s="35"/>
      <c r="I609" s="35">
        <f t="shared" si="24"/>
        <v>0</v>
      </c>
      <c r="J609" s="35"/>
      <c r="K609" s="35">
        <v>0</v>
      </c>
      <c r="L609" s="36">
        <f t="shared" si="25"/>
        <v>5</v>
      </c>
    </row>
    <row r="610" spans="1:12" x14ac:dyDescent="0.25">
      <c r="A610" s="21" t="s">
        <v>551</v>
      </c>
      <c r="B610" s="30" t="s">
        <v>551</v>
      </c>
      <c r="C610" s="21" t="s">
        <v>554</v>
      </c>
      <c r="D610" s="21" t="s">
        <v>59</v>
      </c>
      <c r="E610" s="21" t="s">
        <v>203</v>
      </c>
      <c r="F610" s="21"/>
      <c r="G610" s="21"/>
      <c r="H610" s="32"/>
      <c r="I610" s="32">
        <f t="shared" si="24"/>
        <v>0</v>
      </c>
      <c r="J610" s="32"/>
      <c r="K610" s="32">
        <v>0</v>
      </c>
      <c r="L610" s="33">
        <f t="shared" si="25"/>
        <v>0</v>
      </c>
    </row>
    <row r="611" spans="1:12" x14ac:dyDescent="0.25">
      <c r="A611" s="21" t="s">
        <v>556</v>
      </c>
      <c r="B611" s="30" t="s">
        <v>556</v>
      </c>
      <c r="C611" s="21" t="s">
        <v>557</v>
      </c>
      <c r="D611" s="21" t="s">
        <v>59</v>
      </c>
      <c r="E611" s="21" t="s">
        <v>203</v>
      </c>
      <c r="F611" s="21"/>
      <c r="G611" s="21"/>
      <c r="H611" s="32"/>
      <c r="I611" s="32">
        <f t="shared" si="24"/>
        <v>0</v>
      </c>
      <c r="J611" s="32"/>
      <c r="K611" s="32">
        <v>0</v>
      </c>
      <c r="L611" s="33">
        <f t="shared" si="25"/>
        <v>0</v>
      </c>
    </row>
    <row r="612" spans="1:12" x14ac:dyDescent="0.25">
      <c r="A612" s="15" t="s">
        <v>556</v>
      </c>
      <c r="B612" s="14" t="s">
        <v>556</v>
      </c>
      <c r="C612" s="15" t="s">
        <v>558</v>
      </c>
      <c r="D612" s="15" t="s">
        <v>47</v>
      </c>
      <c r="E612" s="15" t="s">
        <v>79</v>
      </c>
      <c r="F612" s="15"/>
      <c r="G612" s="34">
        <v>2</v>
      </c>
      <c r="H612" s="35"/>
      <c r="I612" s="35">
        <f t="shared" si="24"/>
        <v>0</v>
      </c>
      <c r="J612" s="35"/>
      <c r="K612" s="35">
        <v>0</v>
      </c>
      <c r="L612" s="36">
        <f t="shared" si="25"/>
        <v>2</v>
      </c>
    </row>
    <row r="613" spans="1:12" x14ac:dyDescent="0.25">
      <c r="A613" s="21" t="s">
        <v>556</v>
      </c>
      <c r="B613" s="30" t="s">
        <v>556</v>
      </c>
      <c r="C613" s="21" t="s">
        <v>559</v>
      </c>
      <c r="D613" s="21" t="s">
        <v>47</v>
      </c>
      <c r="E613" s="21" t="s">
        <v>79</v>
      </c>
      <c r="F613" s="31">
        <v>3</v>
      </c>
      <c r="G613" s="31">
        <v>5</v>
      </c>
      <c r="H613" s="32"/>
      <c r="I613" s="32">
        <f t="shared" si="24"/>
        <v>0</v>
      </c>
      <c r="J613" s="32"/>
      <c r="K613" s="32">
        <v>0</v>
      </c>
      <c r="L613" s="33">
        <f t="shared" si="25"/>
        <v>5</v>
      </c>
    </row>
    <row r="614" spans="1:12" x14ac:dyDescent="0.25">
      <c r="A614" s="15" t="s">
        <v>556</v>
      </c>
      <c r="B614" s="14" t="s">
        <v>556</v>
      </c>
      <c r="C614" s="15" t="s">
        <v>404</v>
      </c>
      <c r="D614" s="15" t="s">
        <v>53</v>
      </c>
      <c r="E614" s="15" t="s">
        <v>129</v>
      </c>
      <c r="F614" s="15"/>
      <c r="G614" s="15"/>
      <c r="H614" s="35"/>
      <c r="I614" s="35">
        <f t="shared" si="24"/>
        <v>0</v>
      </c>
      <c r="J614" s="35"/>
      <c r="K614" s="35">
        <v>0</v>
      </c>
      <c r="L614" s="36">
        <f t="shared" si="25"/>
        <v>0</v>
      </c>
    </row>
    <row r="615" spans="1:12" x14ac:dyDescent="0.25">
      <c r="A615" s="21" t="s">
        <v>556</v>
      </c>
      <c r="B615" s="30" t="s">
        <v>556</v>
      </c>
      <c r="C615" s="21" t="s">
        <v>405</v>
      </c>
      <c r="D615" s="21" t="s">
        <v>56</v>
      </c>
      <c r="E615" s="21" t="s">
        <v>162</v>
      </c>
      <c r="F615" s="21"/>
      <c r="G615" s="21"/>
      <c r="H615" s="32"/>
      <c r="I615" s="32">
        <f t="shared" si="24"/>
        <v>0</v>
      </c>
      <c r="J615" s="32"/>
      <c r="K615" s="32">
        <v>0</v>
      </c>
      <c r="L615" s="33">
        <f t="shared" si="25"/>
        <v>0</v>
      </c>
    </row>
    <row r="616" spans="1:12" x14ac:dyDescent="0.25">
      <c r="A616" s="15" t="s">
        <v>556</v>
      </c>
      <c r="B616" s="14" t="s">
        <v>556</v>
      </c>
      <c r="C616" s="15" t="s">
        <v>560</v>
      </c>
      <c r="D616" s="15" t="s">
        <v>59</v>
      </c>
      <c r="E616" s="15" t="s">
        <v>203</v>
      </c>
      <c r="F616" s="15"/>
      <c r="G616" s="15"/>
      <c r="H616" s="35"/>
      <c r="I616" s="35">
        <f t="shared" si="24"/>
        <v>0</v>
      </c>
      <c r="J616" s="35"/>
      <c r="K616" s="35">
        <v>0</v>
      </c>
      <c r="L616" s="36">
        <f t="shared" si="25"/>
        <v>0</v>
      </c>
    </row>
    <row r="617" spans="1:12" x14ac:dyDescent="0.25">
      <c r="A617" s="21" t="s">
        <v>556</v>
      </c>
      <c r="B617" s="30" t="s">
        <v>556</v>
      </c>
      <c r="C617" s="21" t="s">
        <v>561</v>
      </c>
      <c r="D617" s="21" t="s">
        <v>59</v>
      </c>
      <c r="E617" s="21" t="s">
        <v>203</v>
      </c>
      <c r="F617" s="21"/>
      <c r="G617" s="21"/>
      <c r="H617" s="32"/>
      <c r="I617" s="32">
        <f t="shared" si="24"/>
        <v>0</v>
      </c>
      <c r="J617" s="32"/>
      <c r="K617" s="32">
        <v>0</v>
      </c>
      <c r="L617" s="33">
        <f t="shared" si="25"/>
        <v>0</v>
      </c>
    </row>
    <row r="618" spans="1:12" x14ac:dyDescent="0.25">
      <c r="A618" s="15" t="s">
        <v>556</v>
      </c>
      <c r="B618" s="14" t="s">
        <v>556</v>
      </c>
      <c r="C618" s="15" t="s">
        <v>562</v>
      </c>
      <c r="D618" s="15" t="s">
        <v>62</v>
      </c>
      <c r="E618" s="15" t="s">
        <v>159</v>
      </c>
      <c r="F618" s="15"/>
      <c r="G618" s="15"/>
      <c r="H618" s="35"/>
      <c r="I618" s="35">
        <f t="shared" si="24"/>
        <v>0</v>
      </c>
      <c r="J618" s="35"/>
      <c r="K618" s="35">
        <v>0</v>
      </c>
      <c r="L618" s="36">
        <f t="shared" si="25"/>
        <v>0</v>
      </c>
    </row>
    <row r="619" spans="1:12" x14ac:dyDescent="0.25">
      <c r="A619" s="21" t="s">
        <v>556</v>
      </c>
      <c r="B619" s="30" t="s">
        <v>556</v>
      </c>
      <c r="C619" s="21" t="s">
        <v>563</v>
      </c>
      <c r="D619" s="21" t="s">
        <v>65</v>
      </c>
      <c r="E619" s="21" t="s">
        <v>82</v>
      </c>
      <c r="F619" s="21"/>
      <c r="G619" s="21"/>
      <c r="H619" s="32"/>
      <c r="I619" s="32">
        <f t="shared" si="24"/>
        <v>0</v>
      </c>
      <c r="J619" s="32"/>
      <c r="K619" s="32">
        <v>0</v>
      </c>
      <c r="L619" s="33">
        <f t="shared" si="25"/>
        <v>0</v>
      </c>
    </row>
    <row r="620" spans="1:12" x14ac:dyDescent="0.25">
      <c r="A620" s="15" t="s">
        <v>556</v>
      </c>
      <c r="B620" s="14" t="s">
        <v>556</v>
      </c>
      <c r="C620" s="15" t="s">
        <v>410</v>
      </c>
      <c r="D620" s="15" t="s">
        <v>61</v>
      </c>
      <c r="E620" s="15" t="s">
        <v>142</v>
      </c>
      <c r="F620" s="15"/>
      <c r="G620" s="15"/>
      <c r="H620" s="35"/>
      <c r="I620" s="35">
        <f t="shared" si="24"/>
        <v>0</v>
      </c>
      <c r="J620" s="35"/>
      <c r="K620" s="35">
        <v>0</v>
      </c>
      <c r="L620" s="36">
        <f t="shared" si="25"/>
        <v>0</v>
      </c>
    </row>
    <row r="621" spans="1:12" x14ac:dyDescent="0.25">
      <c r="A621" s="21" t="s">
        <v>556</v>
      </c>
      <c r="B621" s="30" t="s">
        <v>556</v>
      </c>
      <c r="C621" s="21" t="s">
        <v>564</v>
      </c>
      <c r="D621" s="21" t="s">
        <v>70</v>
      </c>
      <c r="E621" s="21" t="s">
        <v>104</v>
      </c>
      <c r="F621" s="31">
        <v>0</v>
      </c>
      <c r="G621" s="31">
        <v>0</v>
      </c>
      <c r="H621" s="32"/>
      <c r="I621" s="32">
        <f t="shared" si="24"/>
        <v>0</v>
      </c>
      <c r="J621" s="32"/>
      <c r="K621" s="32">
        <v>0</v>
      </c>
      <c r="L621" s="33">
        <f t="shared" si="25"/>
        <v>0</v>
      </c>
    </row>
    <row r="622" spans="1:12" x14ac:dyDescent="0.25">
      <c r="A622" s="15" t="s">
        <v>556</v>
      </c>
      <c r="B622" s="14" t="s">
        <v>556</v>
      </c>
      <c r="C622" s="15" t="s">
        <v>565</v>
      </c>
      <c r="D622" s="15" t="s">
        <v>69</v>
      </c>
      <c r="E622" s="15" t="s">
        <v>90</v>
      </c>
      <c r="F622" s="15"/>
      <c r="G622" s="15"/>
      <c r="H622" s="35"/>
      <c r="I622" s="35">
        <f t="shared" si="24"/>
        <v>0</v>
      </c>
      <c r="J622" s="35"/>
      <c r="K622" s="35">
        <v>0</v>
      </c>
      <c r="L622" s="36">
        <f t="shared" si="25"/>
        <v>0</v>
      </c>
    </row>
    <row r="623" spans="1:12" x14ac:dyDescent="0.25">
      <c r="A623" s="21" t="s">
        <v>556</v>
      </c>
      <c r="B623" s="30" t="s">
        <v>556</v>
      </c>
      <c r="C623" s="21" t="s">
        <v>566</v>
      </c>
      <c r="D623" s="21" t="s">
        <v>59</v>
      </c>
      <c r="E623" s="21" t="s">
        <v>203</v>
      </c>
      <c r="F623" s="21"/>
      <c r="G623" s="21"/>
      <c r="H623" s="32"/>
      <c r="I623" s="32">
        <f t="shared" si="24"/>
        <v>0</v>
      </c>
      <c r="J623" s="32"/>
      <c r="K623" s="32">
        <v>0</v>
      </c>
      <c r="L623" s="33">
        <f t="shared" si="25"/>
        <v>0</v>
      </c>
    </row>
    <row r="624" spans="1:12" x14ac:dyDescent="0.25">
      <c r="A624" s="15" t="s">
        <v>556</v>
      </c>
      <c r="B624" s="14" t="s">
        <v>556</v>
      </c>
      <c r="C624" s="15" t="s">
        <v>567</v>
      </c>
      <c r="D624" s="15" t="s">
        <v>47</v>
      </c>
      <c r="E624" s="15" t="s">
        <v>79</v>
      </c>
      <c r="F624" s="15"/>
      <c r="G624" s="34">
        <v>4</v>
      </c>
      <c r="H624" s="35"/>
      <c r="I624" s="35">
        <f t="shared" si="24"/>
        <v>0</v>
      </c>
      <c r="J624" s="35"/>
      <c r="K624" s="35">
        <v>0</v>
      </c>
      <c r="L624" s="36">
        <f t="shared" si="25"/>
        <v>4</v>
      </c>
    </row>
    <row r="625" spans="1:12" x14ac:dyDescent="0.25">
      <c r="A625" s="21" t="s">
        <v>556</v>
      </c>
      <c r="B625" s="30" t="s">
        <v>556</v>
      </c>
      <c r="C625" s="21" t="s">
        <v>559</v>
      </c>
      <c r="D625" s="21" t="s">
        <v>47</v>
      </c>
      <c r="E625" s="21" t="s">
        <v>79</v>
      </c>
      <c r="F625" s="31">
        <v>3</v>
      </c>
      <c r="G625" s="31">
        <v>9</v>
      </c>
      <c r="H625" s="32"/>
      <c r="I625" s="32">
        <f t="shared" si="24"/>
        <v>0</v>
      </c>
      <c r="J625" s="32"/>
      <c r="K625" s="32">
        <v>0</v>
      </c>
      <c r="L625" s="33">
        <f t="shared" si="25"/>
        <v>9</v>
      </c>
    </row>
    <row r="626" spans="1:12" x14ac:dyDescent="0.25">
      <c r="A626" s="15" t="s">
        <v>556</v>
      </c>
      <c r="B626" s="14" t="s">
        <v>556</v>
      </c>
      <c r="C626" s="15" t="s">
        <v>404</v>
      </c>
      <c r="D626" s="15" t="s">
        <v>53</v>
      </c>
      <c r="E626" s="15" t="s">
        <v>129</v>
      </c>
      <c r="F626" s="15"/>
      <c r="G626" s="15"/>
      <c r="H626" s="35"/>
      <c r="I626" s="35">
        <f t="shared" si="24"/>
        <v>0</v>
      </c>
      <c r="J626" s="35"/>
      <c r="K626" s="35">
        <v>0</v>
      </c>
      <c r="L626" s="36">
        <f t="shared" si="25"/>
        <v>0</v>
      </c>
    </row>
    <row r="627" spans="1:12" x14ac:dyDescent="0.25">
      <c r="A627" s="21" t="s">
        <v>556</v>
      </c>
      <c r="B627" s="30" t="s">
        <v>556</v>
      </c>
      <c r="C627" s="21" t="s">
        <v>405</v>
      </c>
      <c r="D627" s="21" t="s">
        <v>56</v>
      </c>
      <c r="E627" s="21" t="s">
        <v>162</v>
      </c>
      <c r="F627" s="21"/>
      <c r="G627" s="21"/>
      <c r="H627" s="32"/>
      <c r="I627" s="32">
        <f t="shared" si="24"/>
        <v>0</v>
      </c>
      <c r="J627" s="32"/>
      <c r="K627" s="32">
        <v>0</v>
      </c>
      <c r="L627" s="33">
        <f t="shared" si="25"/>
        <v>0</v>
      </c>
    </row>
    <row r="628" spans="1:12" x14ac:dyDescent="0.25">
      <c r="A628" s="15" t="s">
        <v>556</v>
      </c>
      <c r="B628" s="14" t="s">
        <v>556</v>
      </c>
      <c r="C628" s="15" t="s">
        <v>560</v>
      </c>
      <c r="D628" s="15" t="s">
        <v>59</v>
      </c>
      <c r="E628" s="15" t="s">
        <v>203</v>
      </c>
      <c r="F628" s="15"/>
      <c r="G628" s="15"/>
      <c r="H628" s="35"/>
      <c r="I628" s="35">
        <f t="shared" si="24"/>
        <v>0</v>
      </c>
      <c r="J628" s="35"/>
      <c r="K628" s="35">
        <v>0</v>
      </c>
      <c r="L628" s="36">
        <f t="shared" si="25"/>
        <v>0</v>
      </c>
    </row>
    <row r="629" spans="1:12" x14ac:dyDescent="0.25">
      <c r="A629" s="21" t="s">
        <v>556</v>
      </c>
      <c r="B629" s="30" t="s">
        <v>556</v>
      </c>
      <c r="C629" s="21" t="s">
        <v>561</v>
      </c>
      <c r="D629" s="21" t="s">
        <v>59</v>
      </c>
      <c r="E629" s="21" t="s">
        <v>203</v>
      </c>
      <c r="F629" s="21"/>
      <c r="G629" s="21"/>
      <c r="H629" s="32"/>
      <c r="I629" s="32">
        <f t="shared" si="24"/>
        <v>0</v>
      </c>
      <c r="J629" s="32"/>
      <c r="K629" s="32">
        <v>0</v>
      </c>
      <c r="L629" s="33">
        <f t="shared" si="25"/>
        <v>0</v>
      </c>
    </row>
    <row r="630" spans="1:12" x14ac:dyDescent="0.25">
      <c r="A630" s="15" t="s">
        <v>556</v>
      </c>
      <c r="B630" s="14" t="s">
        <v>556</v>
      </c>
      <c r="C630" s="15" t="s">
        <v>562</v>
      </c>
      <c r="D630" s="15" t="s">
        <v>62</v>
      </c>
      <c r="E630" s="15" t="s">
        <v>159</v>
      </c>
      <c r="F630" s="15"/>
      <c r="G630" s="15"/>
      <c r="H630" s="35"/>
      <c r="I630" s="35">
        <f t="shared" si="24"/>
        <v>0</v>
      </c>
      <c r="J630" s="35"/>
      <c r="K630" s="35">
        <v>0</v>
      </c>
      <c r="L630" s="36">
        <f t="shared" si="25"/>
        <v>0</v>
      </c>
    </row>
    <row r="631" spans="1:12" x14ac:dyDescent="0.25">
      <c r="A631" s="21" t="s">
        <v>556</v>
      </c>
      <c r="B631" s="30" t="s">
        <v>556</v>
      </c>
      <c r="C631" s="21" t="s">
        <v>563</v>
      </c>
      <c r="D631" s="21" t="s">
        <v>65</v>
      </c>
      <c r="E631" s="21" t="s">
        <v>82</v>
      </c>
      <c r="F631" s="21"/>
      <c r="G631" s="21"/>
      <c r="H631" s="32"/>
      <c r="I631" s="32">
        <f t="shared" si="24"/>
        <v>0</v>
      </c>
      <c r="J631" s="32"/>
      <c r="K631" s="32">
        <v>0</v>
      </c>
      <c r="L631" s="33">
        <f t="shared" si="25"/>
        <v>0</v>
      </c>
    </row>
    <row r="632" spans="1:12" x14ac:dyDescent="0.25">
      <c r="A632" s="15" t="s">
        <v>556</v>
      </c>
      <c r="B632" s="14" t="s">
        <v>556</v>
      </c>
      <c r="C632" s="15" t="s">
        <v>410</v>
      </c>
      <c r="D632" s="15" t="s">
        <v>61</v>
      </c>
      <c r="E632" s="15" t="s">
        <v>142</v>
      </c>
      <c r="F632" s="15"/>
      <c r="G632" s="15"/>
      <c r="H632" s="35"/>
      <c r="I632" s="35">
        <f t="shared" si="24"/>
        <v>0</v>
      </c>
      <c r="J632" s="35"/>
      <c r="K632" s="35">
        <v>0</v>
      </c>
      <c r="L632" s="36">
        <f t="shared" si="25"/>
        <v>0</v>
      </c>
    </row>
    <row r="633" spans="1:12" x14ac:dyDescent="0.25">
      <c r="A633" s="21" t="s">
        <v>556</v>
      </c>
      <c r="B633" s="30" t="s">
        <v>556</v>
      </c>
      <c r="C633" s="21" t="s">
        <v>568</v>
      </c>
      <c r="D633" s="21" t="s">
        <v>70</v>
      </c>
      <c r="E633" s="21" t="s">
        <v>104</v>
      </c>
      <c r="F633" s="31">
        <v>7</v>
      </c>
      <c r="G633" s="31">
        <v>7</v>
      </c>
      <c r="H633" s="32"/>
      <c r="I633" s="32">
        <f t="shared" si="24"/>
        <v>0</v>
      </c>
      <c r="J633" s="32"/>
      <c r="K633" s="32">
        <v>0</v>
      </c>
      <c r="L633" s="33">
        <f t="shared" si="25"/>
        <v>7</v>
      </c>
    </row>
    <row r="634" spans="1:12" x14ac:dyDescent="0.25">
      <c r="A634" s="15" t="s">
        <v>556</v>
      </c>
      <c r="B634" s="14" t="s">
        <v>556</v>
      </c>
      <c r="C634" s="15" t="s">
        <v>569</v>
      </c>
      <c r="D634" s="15" t="s">
        <v>69</v>
      </c>
      <c r="E634" s="15" t="s">
        <v>90</v>
      </c>
      <c r="F634" s="15"/>
      <c r="G634" s="15"/>
      <c r="H634" s="35"/>
      <c r="I634" s="35">
        <f t="shared" si="24"/>
        <v>0</v>
      </c>
      <c r="J634" s="35"/>
      <c r="K634" s="35">
        <v>0</v>
      </c>
      <c r="L634" s="36">
        <f t="shared" si="25"/>
        <v>0</v>
      </c>
    </row>
    <row r="635" spans="1:12" x14ac:dyDescent="0.25">
      <c r="A635" s="21" t="s">
        <v>556</v>
      </c>
      <c r="B635" s="30" t="s">
        <v>556</v>
      </c>
      <c r="C635" s="21" t="s">
        <v>570</v>
      </c>
      <c r="D635" s="21" t="s">
        <v>59</v>
      </c>
      <c r="E635" s="21" t="s">
        <v>203</v>
      </c>
      <c r="F635" s="21"/>
      <c r="G635" s="21"/>
      <c r="H635" s="32"/>
      <c r="I635" s="32">
        <f t="shared" si="24"/>
        <v>0</v>
      </c>
      <c r="J635" s="32"/>
      <c r="K635" s="32">
        <v>0</v>
      </c>
      <c r="L635" s="33">
        <f t="shared" si="25"/>
        <v>0</v>
      </c>
    </row>
    <row r="636" spans="1:12" x14ac:dyDescent="0.25">
      <c r="A636" s="15" t="s">
        <v>556</v>
      </c>
      <c r="B636" s="14" t="s">
        <v>556</v>
      </c>
      <c r="C636" s="15" t="s">
        <v>571</v>
      </c>
      <c r="D636" s="15" t="s">
        <v>47</v>
      </c>
      <c r="E636" s="15" t="s">
        <v>79</v>
      </c>
      <c r="F636" s="15"/>
      <c r="G636" s="34">
        <v>4</v>
      </c>
      <c r="H636" s="35"/>
      <c r="I636" s="35">
        <f t="shared" ref="I636:I699" si="26">IF(H636="",0,G636)</f>
        <v>0</v>
      </c>
      <c r="J636" s="35"/>
      <c r="K636" s="35">
        <v>0</v>
      </c>
      <c r="L636" s="36">
        <f t="shared" ref="L636:L699" si="27">G636-I636-K636</f>
        <v>4</v>
      </c>
    </row>
    <row r="637" spans="1:12" x14ac:dyDescent="0.25">
      <c r="A637" s="21" t="s">
        <v>556</v>
      </c>
      <c r="B637" s="30" t="s">
        <v>556</v>
      </c>
      <c r="C637" s="21" t="s">
        <v>559</v>
      </c>
      <c r="D637" s="21" t="s">
        <v>47</v>
      </c>
      <c r="E637" s="21" t="s">
        <v>79</v>
      </c>
      <c r="F637" s="31">
        <v>3</v>
      </c>
      <c r="G637" s="31">
        <v>9</v>
      </c>
      <c r="H637" s="32"/>
      <c r="I637" s="32">
        <f t="shared" si="26"/>
        <v>0</v>
      </c>
      <c r="J637" s="32"/>
      <c r="K637" s="32">
        <v>0</v>
      </c>
      <c r="L637" s="33">
        <f t="shared" si="27"/>
        <v>9</v>
      </c>
    </row>
    <row r="638" spans="1:12" x14ac:dyDescent="0.25">
      <c r="A638" s="15" t="s">
        <v>556</v>
      </c>
      <c r="B638" s="14" t="s">
        <v>556</v>
      </c>
      <c r="C638" s="15" t="s">
        <v>404</v>
      </c>
      <c r="D638" s="15" t="s">
        <v>53</v>
      </c>
      <c r="E638" s="15" t="s">
        <v>129</v>
      </c>
      <c r="F638" s="15"/>
      <c r="G638" s="15"/>
      <c r="H638" s="35"/>
      <c r="I638" s="35">
        <f t="shared" si="26"/>
        <v>0</v>
      </c>
      <c r="J638" s="35"/>
      <c r="K638" s="35">
        <v>0</v>
      </c>
      <c r="L638" s="36">
        <f t="shared" si="27"/>
        <v>0</v>
      </c>
    </row>
    <row r="639" spans="1:12" x14ac:dyDescent="0.25">
      <c r="A639" s="21" t="s">
        <v>556</v>
      </c>
      <c r="B639" s="30" t="s">
        <v>556</v>
      </c>
      <c r="C639" s="21" t="s">
        <v>405</v>
      </c>
      <c r="D639" s="21" t="s">
        <v>56</v>
      </c>
      <c r="E639" s="21" t="s">
        <v>162</v>
      </c>
      <c r="F639" s="21"/>
      <c r="G639" s="21"/>
      <c r="H639" s="32"/>
      <c r="I639" s="32">
        <f t="shared" si="26"/>
        <v>0</v>
      </c>
      <c r="J639" s="32"/>
      <c r="K639" s="32">
        <v>0</v>
      </c>
      <c r="L639" s="33">
        <f t="shared" si="27"/>
        <v>0</v>
      </c>
    </row>
    <row r="640" spans="1:12" x14ac:dyDescent="0.25">
      <c r="A640" s="15" t="s">
        <v>556</v>
      </c>
      <c r="B640" s="14" t="s">
        <v>556</v>
      </c>
      <c r="C640" s="15" t="s">
        <v>560</v>
      </c>
      <c r="D640" s="15" t="s">
        <v>59</v>
      </c>
      <c r="E640" s="15" t="s">
        <v>203</v>
      </c>
      <c r="F640" s="15"/>
      <c r="G640" s="15"/>
      <c r="H640" s="35"/>
      <c r="I640" s="35">
        <f t="shared" si="26"/>
        <v>0</v>
      </c>
      <c r="J640" s="35"/>
      <c r="K640" s="35">
        <v>0</v>
      </c>
      <c r="L640" s="36">
        <f t="shared" si="27"/>
        <v>0</v>
      </c>
    </row>
    <row r="641" spans="1:12" x14ac:dyDescent="0.25">
      <c r="A641" s="21" t="s">
        <v>556</v>
      </c>
      <c r="B641" s="30" t="s">
        <v>556</v>
      </c>
      <c r="C641" s="21" t="s">
        <v>561</v>
      </c>
      <c r="D641" s="21" t="s">
        <v>59</v>
      </c>
      <c r="E641" s="21" t="s">
        <v>203</v>
      </c>
      <c r="F641" s="21"/>
      <c r="G641" s="21"/>
      <c r="H641" s="32"/>
      <c r="I641" s="32">
        <f t="shared" si="26"/>
        <v>0</v>
      </c>
      <c r="J641" s="32"/>
      <c r="K641" s="32">
        <v>0</v>
      </c>
      <c r="L641" s="33">
        <f t="shared" si="27"/>
        <v>0</v>
      </c>
    </row>
    <row r="642" spans="1:12" x14ac:dyDescent="0.25">
      <c r="A642" s="15" t="s">
        <v>556</v>
      </c>
      <c r="B642" s="14" t="s">
        <v>556</v>
      </c>
      <c r="C642" s="15" t="s">
        <v>562</v>
      </c>
      <c r="D642" s="15" t="s">
        <v>62</v>
      </c>
      <c r="E642" s="15" t="s">
        <v>159</v>
      </c>
      <c r="F642" s="15"/>
      <c r="G642" s="15"/>
      <c r="H642" s="35"/>
      <c r="I642" s="35">
        <f t="shared" si="26"/>
        <v>0</v>
      </c>
      <c r="J642" s="35"/>
      <c r="K642" s="35">
        <v>0</v>
      </c>
      <c r="L642" s="36">
        <f t="shared" si="27"/>
        <v>0</v>
      </c>
    </row>
    <row r="643" spans="1:12" x14ac:dyDescent="0.25">
      <c r="A643" s="21" t="s">
        <v>556</v>
      </c>
      <c r="B643" s="30" t="s">
        <v>556</v>
      </c>
      <c r="C643" s="21" t="s">
        <v>563</v>
      </c>
      <c r="D643" s="21" t="s">
        <v>65</v>
      </c>
      <c r="E643" s="21" t="s">
        <v>82</v>
      </c>
      <c r="F643" s="21"/>
      <c r="G643" s="21"/>
      <c r="H643" s="32"/>
      <c r="I643" s="32">
        <f t="shared" si="26"/>
        <v>0</v>
      </c>
      <c r="J643" s="32"/>
      <c r="K643" s="32">
        <v>0</v>
      </c>
      <c r="L643" s="33">
        <f t="shared" si="27"/>
        <v>0</v>
      </c>
    </row>
    <row r="644" spans="1:12" x14ac:dyDescent="0.25">
      <c r="A644" s="15" t="s">
        <v>556</v>
      </c>
      <c r="B644" s="14" t="s">
        <v>556</v>
      </c>
      <c r="C644" s="15" t="s">
        <v>410</v>
      </c>
      <c r="D644" s="15" t="s">
        <v>61</v>
      </c>
      <c r="E644" s="15" t="s">
        <v>142</v>
      </c>
      <c r="F644" s="15"/>
      <c r="G644" s="15"/>
      <c r="H644" s="35"/>
      <c r="I644" s="35">
        <f t="shared" si="26"/>
        <v>0</v>
      </c>
      <c r="J644" s="35"/>
      <c r="K644" s="35">
        <v>0</v>
      </c>
      <c r="L644" s="36">
        <f t="shared" si="27"/>
        <v>0</v>
      </c>
    </row>
    <row r="645" spans="1:12" x14ac:dyDescent="0.25">
      <c r="A645" s="21" t="s">
        <v>556</v>
      </c>
      <c r="B645" s="30" t="s">
        <v>556</v>
      </c>
      <c r="C645" s="21" t="s">
        <v>568</v>
      </c>
      <c r="D645" s="21" t="s">
        <v>70</v>
      </c>
      <c r="E645" s="21" t="s">
        <v>104</v>
      </c>
      <c r="F645" s="31">
        <v>0</v>
      </c>
      <c r="G645" s="31">
        <v>0</v>
      </c>
      <c r="H645" s="32"/>
      <c r="I645" s="32">
        <f t="shared" si="26"/>
        <v>0</v>
      </c>
      <c r="J645" s="32"/>
      <c r="K645" s="32">
        <v>0</v>
      </c>
      <c r="L645" s="33">
        <f t="shared" si="27"/>
        <v>0</v>
      </c>
    </row>
    <row r="646" spans="1:12" x14ac:dyDescent="0.25">
      <c r="A646" s="15" t="s">
        <v>556</v>
      </c>
      <c r="B646" s="14" t="s">
        <v>556</v>
      </c>
      <c r="C646" s="15" t="s">
        <v>572</v>
      </c>
      <c r="D646" s="15" t="s">
        <v>69</v>
      </c>
      <c r="E646" s="15" t="s">
        <v>90</v>
      </c>
      <c r="F646" s="15"/>
      <c r="G646" s="15"/>
      <c r="H646" s="35"/>
      <c r="I646" s="35">
        <f t="shared" si="26"/>
        <v>0</v>
      </c>
      <c r="J646" s="35"/>
      <c r="K646" s="35">
        <v>0</v>
      </c>
      <c r="L646" s="36">
        <f t="shared" si="27"/>
        <v>0</v>
      </c>
    </row>
    <row r="647" spans="1:12" x14ac:dyDescent="0.25">
      <c r="A647" s="21" t="s">
        <v>556</v>
      </c>
      <c r="B647" s="30" t="s">
        <v>556</v>
      </c>
      <c r="C647" s="21" t="s">
        <v>559</v>
      </c>
      <c r="D647" s="21" t="s">
        <v>47</v>
      </c>
      <c r="E647" s="21" t="s">
        <v>79</v>
      </c>
      <c r="F647" s="31">
        <v>3</v>
      </c>
      <c r="G647" s="31">
        <v>5</v>
      </c>
      <c r="H647" s="32"/>
      <c r="I647" s="32">
        <f t="shared" si="26"/>
        <v>0</v>
      </c>
      <c r="J647" s="32"/>
      <c r="K647" s="32">
        <v>0</v>
      </c>
      <c r="L647" s="33">
        <f t="shared" si="27"/>
        <v>5</v>
      </c>
    </row>
    <row r="648" spans="1:12" x14ac:dyDescent="0.25">
      <c r="A648" s="15" t="s">
        <v>556</v>
      </c>
      <c r="B648" s="14" t="s">
        <v>556</v>
      </c>
      <c r="C648" s="15" t="s">
        <v>573</v>
      </c>
      <c r="D648" s="15" t="s">
        <v>47</v>
      </c>
      <c r="E648" s="15" t="s">
        <v>79</v>
      </c>
      <c r="F648" s="15"/>
      <c r="G648" s="34">
        <v>2</v>
      </c>
      <c r="H648" s="35"/>
      <c r="I648" s="35">
        <f t="shared" si="26"/>
        <v>0</v>
      </c>
      <c r="J648" s="35"/>
      <c r="K648" s="35">
        <v>0</v>
      </c>
      <c r="L648" s="36">
        <f t="shared" si="27"/>
        <v>2</v>
      </c>
    </row>
    <row r="649" spans="1:12" x14ac:dyDescent="0.25">
      <c r="A649" s="21" t="s">
        <v>556</v>
      </c>
      <c r="B649" s="30" t="s">
        <v>556</v>
      </c>
      <c r="C649" s="21" t="s">
        <v>404</v>
      </c>
      <c r="D649" s="21" t="s">
        <v>53</v>
      </c>
      <c r="E649" s="21" t="s">
        <v>129</v>
      </c>
      <c r="F649" s="21"/>
      <c r="G649" s="21"/>
      <c r="H649" s="32"/>
      <c r="I649" s="32">
        <f t="shared" si="26"/>
        <v>0</v>
      </c>
      <c r="J649" s="32"/>
      <c r="K649" s="32">
        <v>0</v>
      </c>
      <c r="L649" s="33">
        <f t="shared" si="27"/>
        <v>0</v>
      </c>
    </row>
    <row r="650" spans="1:12" x14ac:dyDescent="0.25">
      <c r="A650" s="15" t="s">
        <v>556</v>
      </c>
      <c r="B650" s="14" t="s">
        <v>556</v>
      </c>
      <c r="C650" s="15" t="s">
        <v>405</v>
      </c>
      <c r="D650" s="15" t="s">
        <v>56</v>
      </c>
      <c r="E650" s="15" t="s">
        <v>162</v>
      </c>
      <c r="F650" s="15"/>
      <c r="G650" s="15"/>
      <c r="H650" s="35"/>
      <c r="I650" s="35">
        <f t="shared" si="26"/>
        <v>0</v>
      </c>
      <c r="J650" s="35"/>
      <c r="K650" s="35">
        <v>0</v>
      </c>
      <c r="L650" s="36">
        <f t="shared" si="27"/>
        <v>0</v>
      </c>
    </row>
    <row r="651" spans="1:12" x14ac:dyDescent="0.25">
      <c r="A651" s="21" t="s">
        <v>556</v>
      </c>
      <c r="B651" s="30" t="s">
        <v>556</v>
      </c>
      <c r="C651" s="21" t="s">
        <v>560</v>
      </c>
      <c r="D651" s="21" t="s">
        <v>59</v>
      </c>
      <c r="E651" s="21" t="s">
        <v>203</v>
      </c>
      <c r="F651" s="21"/>
      <c r="G651" s="21"/>
      <c r="H651" s="32"/>
      <c r="I651" s="32">
        <f t="shared" si="26"/>
        <v>0</v>
      </c>
      <c r="J651" s="32"/>
      <c r="K651" s="32">
        <v>0</v>
      </c>
      <c r="L651" s="33">
        <f t="shared" si="27"/>
        <v>0</v>
      </c>
    </row>
    <row r="652" spans="1:12" x14ac:dyDescent="0.25">
      <c r="A652" s="15" t="s">
        <v>556</v>
      </c>
      <c r="B652" s="14" t="s">
        <v>556</v>
      </c>
      <c r="C652" s="15" t="s">
        <v>561</v>
      </c>
      <c r="D652" s="15" t="s">
        <v>59</v>
      </c>
      <c r="E652" s="15" t="s">
        <v>203</v>
      </c>
      <c r="F652" s="15"/>
      <c r="G652" s="15"/>
      <c r="H652" s="35"/>
      <c r="I652" s="35">
        <f t="shared" si="26"/>
        <v>0</v>
      </c>
      <c r="J652" s="35"/>
      <c r="K652" s="35">
        <v>0</v>
      </c>
      <c r="L652" s="36">
        <f t="shared" si="27"/>
        <v>0</v>
      </c>
    </row>
    <row r="653" spans="1:12" x14ac:dyDescent="0.25">
      <c r="A653" s="21" t="s">
        <v>556</v>
      </c>
      <c r="B653" s="30" t="s">
        <v>556</v>
      </c>
      <c r="C653" s="21" t="s">
        <v>562</v>
      </c>
      <c r="D653" s="21" t="s">
        <v>62</v>
      </c>
      <c r="E653" s="21" t="s">
        <v>159</v>
      </c>
      <c r="F653" s="21"/>
      <c r="G653" s="21"/>
      <c r="H653" s="32"/>
      <c r="I653" s="32">
        <f t="shared" si="26"/>
        <v>0</v>
      </c>
      <c r="J653" s="32"/>
      <c r="K653" s="32">
        <v>0</v>
      </c>
      <c r="L653" s="33">
        <f t="shared" si="27"/>
        <v>0</v>
      </c>
    </row>
    <row r="654" spans="1:12" x14ac:dyDescent="0.25">
      <c r="A654" s="15" t="s">
        <v>556</v>
      </c>
      <c r="B654" s="14" t="s">
        <v>556</v>
      </c>
      <c r="C654" s="15" t="s">
        <v>563</v>
      </c>
      <c r="D654" s="15" t="s">
        <v>65</v>
      </c>
      <c r="E654" s="15" t="s">
        <v>82</v>
      </c>
      <c r="F654" s="15"/>
      <c r="G654" s="15"/>
      <c r="H654" s="35"/>
      <c r="I654" s="35">
        <f t="shared" si="26"/>
        <v>0</v>
      </c>
      <c r="J654" s="35"/>
      <c r="K654" s="35">
        <v>0</v>
      </c>
      <c r="L654" s="36">
        <f t="shared" si="27"/>
        <v>0</v>
      </c>
    </row>
    <row r="655" spans="1:12" x14ac:dyDescent="0.25">
      <c r="A655" s="21" t="s">
        <v>556</v>
      </c>
      <c r="B655" s="30" t="s">
        <v>556</v>
      </c>
      <c r="C655" s="21" t="s">
        <v>410</v>
      </c>
      <c r="D655" s="21" t="s">
        <v>61</v>
      </c>
      <c r="E655" s="21" t="s">
        <v>142</v>
      </c>
      <c r="F655" s="21"/>
      <c r="G655" s="21"/>
      <c r="H655" s="32"/>
      <c r="I655" s="32">
        <f t="shared" si="26"/>
        <v>0</v>
      </c>
      <c r="J655" s="32"/>
      <c r="K655" s="32">
        <v>0</v>
      </c>
      <c r="L655" s="33">
        <f t="shared" si="27"/>
        <v>0</v>
      </c>
    </row>
    <row r="656" spans="1:12" x14ac:dyDescent="0.25">
      <c r="A656" s="15" t="s">
        <v>556</v>
      </c>
      <c r="B656" s="14" t="s">
        <v>556</v>
      </c>
      <c r="C656" s="15" t="s">
        <v>568</v>
      </c>
      <c r="D656" s="15" t="s">
        <v>70</v>
      </c>
      <c r="E656" s="15" t="s">
        <v>104</v>
      </c>
      <c r="F656" s="34">
        <v>0</v>
      </c>
      <c r="G656" s="34">
        <v>0</v>
      </c>
      <c r="H656" s="35"/>
      <c r="I656" s="35">
        <f t="shared" si="26"/>
        <v>0</v>
      </c>
      <c r="J656" s="35"/>
      <c r="K656" s="35">
        <v>0</v>
      </c>
      <c r="L656" s="36">
        <f t="shared" si="27"/>
        <v>0</v>
      </c>
    </row>
    <row r="657" spans="1:12" x14ac:dyDescent="0.25">
      <c r="A657" s="21" t="s">
        <v>556</v>
      </c>
      <c r="B657" s="30" t="s">
        <v>556</v>
      </c>
      <c r="C657" s="21" t="s">
        <v>574</v>
      </c>
      <c r="D657" s="21" t="s">
        <v>69</v>
      </c>
      <c r="E657" s="21" t="s">
        <v>90</v>
      </c>
      <c r="F657" s="21"/>
      <c r="G657" s="21"/>
      <c r="H657" s="32"/>
      <c r="I657" s="32">
        <f t="shared" si="26"/>
        <v>0</v>
      </c>
      <c r="J657" s="32"/>
      <c r="K657" s="32">
        <v>0</v>
      </c>
      <c r="L657" s="33">
        <f t="shared" si="27"/>
        <v>0</v>
      </c>
    </row>
    <row r="658" spans="1:12" x14ac:dyDescent="0.25">
      <c r="A658" s="15" t="s">
        <v>556</v>
      </c>
      <c r="B658" s="14" t="s">
        <v>556</v>
      </c>
      <c r="C658" s="15" t="s">
        <v>145</v>
      </c>
      <c r="D658" s="15" t="s">
        <v>47</v>
      </c>
      <c r="E658" s="15" t="s">
        <v>79</v>
      </c>
      <c r="F658" s="34">
        <v>2</v>
      </c>
      <c r="G658" s="34">
        <v>1</v>
      </c>
      <c r="H658" s="35"/>
      <c r="I658" s="35">
        <f t="shared" si="26"/>
        <v>0</v>
      </c>
      <c r="J658" s="35"/>
      <c r="K658" s="35">
        <v>0</v>
      </c>
      <c r="L658" s="36">
        <f t="shared" si="27"/>
        <v>1</v>
      </c>
    </row>
    <row r="659" spans="1:12" x14ac:dyDescent="0.25">
      <c r="A659" s="21" t="s">
        <v>556</v>
      </c>
      <c r="B659" s="30" t="s">
        <v>556</v>
      </c>
      <c r="C659" s="21" t="s">
        <v>559</v>
      </c>
      <c r="D659" s="21" t="s">
        <v>47</v>
      </c>
      <c r="E659" s="21" t="s">
        <v>79</v>
      </c>
      <c r="F659" s="31">
        <v>2</v>
      </c>
      <c r="G659" s="31">
        <v>2</v>
      </c>
      <c r="H659" s="32"/>
      <c r="I659" s="32">
        <f t="shared" si="26"/>
        <v>0</v>
      </c>
      <c r="J659" s="32"/>
      <c r="K659" s="32">
        <v>0</v>
      </c>
      <c r="L659" s="33">
        <f t="shared" si="27"/>
        <v>2</v>
      </c>
    </row>
    <row r="660" spans="1:12" x14ac:dyDescent="0.25">
      <c r="A660" s="15" t="s">
        <v>556</v>
      </c>
      <c r="B660" s="14" t="s">
        <v>556</v>
      </c>
      <c r="C660" s="15" t="s">
        <v>575</v>
      </c>
      <c r="D660" s="15" t="s">
        <v>47</v>
      </c>
      <c r="E660" s="15" t="s">
        <v>79</v>
      </c>
      <c r="F660" s="34">
        <v>1</v>
      </c>
      <c r="G660" s="34">
        <v>4</v>
      </c>
      <c r="H660" s="35"/>
      <c r="I660" s="35">
        <f t="shared" si="26"/>
        <v>0</v>
      </c>
      <c r="J660" s="35"/>
      <c r="K660" s="35">
        <v>0</v>
      </c>
      <c r="L660" s="36">
        <f t="shared" si="27"/>
        <v>4</v>
      </c>
    </row>
    <row r="661" spans="1:12" x14ac:dyDescent="0.25">
      <c r="A661" s="21" t="s">
        <v>556</v>
      </c>
      <c r="B661" s="30" t="s">
        <v>556</v>
      </c>
      <c r="C661" s="21" t="s">
        <v>404</v>
      </c>
      <c r="D661" s="21" t="s">
        <v>53</v>
      </c>
      <c r="E661" s="21" t="s">
        <v>129</v>
      </c>
      <c r="F661" s="21"/>
      <c r="G661" s="21"/>
      <c r="H661" s="32"/>
      <c r="I661" s="32">
        <f t="shared" si="26"/>
        <v>0</v>
      </c>
      <c r="J661" s="32"/>
      <c r="K661" s="32">
        <v>0</v>
      </c>
      <c r="L661" s="33">
        <f t="shared" si="27"/>
        <v>0</v>
      </c>
    </row>
    <row r="662" spans="1:12" x14ac:dyDescent="0.25">
      <c r="A662" s="15" t="s">
        <v>556</v>
      </c>
      <c r="B662" s="14" t="s">
        <v>556</v>
      </c>
      <c r="C662" s="15" t="s">
        <v>405</v>
      </c>
      <c r="D662" s="15" t="s">
        <v>56</v>
      </c>
      <c r="E662" s="15" t="s">
        <v>162</v>
      </c>
      <c r="F662" s="15"/>
      <c r="G662" s="15"/>
      <c r="H662" s="35"/>
      <c r="I662" s="35">
        <f t="shared" si="26"/>
        <v>0</v>
      </c>
      <c r="J662" s="35"/>
      <c r="K662" s="35">
        <v>0</v>
      </c>
      <c r="L662" s="36">
        <f t="shared" si="27"/>
        <v>0</v>
      </c>
    </row>
    <row r="663" spans="1:12" x14ac:dyDescent="0.25">
      <c r="A663" s="21" t="s">
        <v>556</v>
      </c>
      <c r="B663" s="30" t="s">
        <v>556</v>
      </c>
      <c r="C663" s="21" t="s">
        <v>560</v>
      </c>
      <c r="D663" s="21" t="s">
        <v>59</v>
      </c>
      <c r="E663" s="21" t="s">
        <v>203</v>
      </c>
      <c r="F663" s="21"/>
      <c r="G663" s="21"/>
      <c r="H663" s="32"/>
      <c r="I663" s="32">
        <f t="shared" si="26"/>
        <v>0</v>
      </c>
      <c r="J663" s="32"/>
      <c r="K663" s="32">
        <v>0</v>
      </c>
      <c r="L663" s="33">
        <f t="shared" si="27"/>
        <v>0</v>
      </c>
    </row>
    <row r="664" spans="1:12" x14ac:dyDescent="0.25">
      <c r="A664" s="15" t="s">
        <v>556</v>
      </c>
      <c r="B664" s="14" t="s">
        <v>556</v>
      </c>
      <c r="C664" s="15" t="s">
        <v>561</v>
      </c>
      <c r="D664" s="15" t="s">
        <v>59</v>
      </c>
      <c r="E664" s="15" t="s">
        <v>203</v>
      </c>
      <c r="F664" s="15"/>
      <c r="G664" s="15"/>
      <c r="H664" s="35"/>
      <c r="I664" s="35">
        <f t="shared" si="26"/>
        <v>0</v>
      </c>
      <c r="J664" s="35"/>
      <c r="K664" s="35">
        <v>0</v>
      </c>
      <c r="L664" s="36">
        <f t="shared" si="27"/>
        <v>0</v>
      </c>
    </row>
    <row r="665" spans="1:12" x14ac:dyDescent="0.25">
      <c r="A665" s="21" t="s">
        <v>556</v>
      </c>
      <c r="B665" s="30" t="s">
        <v>556</v>
      </c>
      <c r="C665" s="21" t="s">
        <v>562</v>
      </c>
      <c r="D665" s="21" t="s">
        <v>62</v>
      </c>
      <c r="E665" s="21" t="s">
        <v>159</v>
      </c>
      <c r="F665" s="21"/>
      <c r="G665" s="21"/>
      <c r="H665" s="32"/>
      <c r="I665" s="32">
        <f t="shared" si="26"/>
        <v>0</v>
      </c>
      <c r="J665" s="32"/>
      <c r="K665" s="32">
        <v>0</v>
      </c>
      <c r="L665" s="33">
        <f t="shared" si="27"/>
        <v>0</v>
      </c>
    </row>
    <row r="666" spans="1:12" x14ac:dyDescent="0.25">
      <c r="A666" s="15" t="s">
        <v>556</v>
      </c>
      <c r="B666" s="14" t="s">
        <v>556</v>
      </c>
      <c r="C666" s="15" t="s">
        <v>410</v>
      </c>
      <c r="D666" s="15" t="s">
        <v>61</v>
      </c>
      <c r="E666" s="15" t="s">
        <v>142</v>
      </c>
      <c r="F666" s="15"/>
      <c r="G666" s="15"/>
      <c r="H666" s="35"/>
      <c r="I666" s="35">
        <f t="shared" si="26"/>
        <v>0</v>
      </c>
      <c r="J666" s="35"/>
      <c r="K666" s="35">
        <v>0</v>
      </c>
      <c r="L666" s="36">
        <f t="shared" si="27"/>
        <v>0</v>
      </c>
    </row>
    <row r="667" spans="1:12" x14ac:dyDescent="0.25">
      <c r="A667" s="21" t="s">
        <v>556</v>
      </c>
      <c r="B667" s="30" t="s">
        <v>556</v>
      </c>
      <c r="C667" s="21" t="s">
        <v>568</v>
      </c>
      <c r="D667" s="21" t="s">
        <v>70</v>
      </c>
      <c r="E667" s="21" t="s">
        <v>104</v>
      </c>
      <c r="F667" s="31">
        <v>3</v>
      </c>
      <c r="G667" s="31">
        <v>3</v>
      </c>
      <c r="H667" s="32"/>
      <c r="I667" s="32">
        <f t="shared" si="26"/>
        <v>0</v>
      </c>
      <c r="J667" s="32"/>
      <c r="K667" s="32">
        <v>0</v>
      </c>
      <c r="L667" s="33">
        <f t="shared" si="27"/>
        <v>3</v>
      </c>
    </row>
    <row r="668" spans="1:12" x14ac:dyDescent="0.25">
      <c r="A668" s="15" t="s">
        <v>556</v>
      </c>
      <c r="B668" s="14" t="s">
        <v>556</v>
      </c>
      <c r="C668" s="15" t="s">
        <v>576</v>
      </c>
      <c r="D668" s="15" t="s">
        <v>69</v>
      </c>
      <c r="E668" s="15" t="s">
        <v>90</v>
      </c>
      <c r="F668" s="15"/>
      <c r="G668" s="15"/>
      <c r="H668" s="35"/>
      <c r="I668" s="35">
        <f t="shared" si="26"/>
        <v>0</v>
      </c>
      <c r="J668" s="35"/>
      <c r="K668" s="35">
        <v>0</v>
      </c>
      <c r="L668" s="36">
        <f t="shared" si="27"/>
        <v>0</v>
      </c>
    </row>
    <row r="669" spans="1:12" x14ac:dyDescent="0.25">
      <c r="A669" s="21" t="s">
        <v>556</v>
      </c>
      <c r="B669" s="30" t="s">
        <v>556</v>
      </c>
      <c r="C669" s="21" t="s">
        <v>559</v>
      </c>
      <c r="D669" s="21" t="s">
        <v>47</v>
      </c>
      <c r="E669" s="21" t="s">
        <v>79</v>
      </c>
      <c r="F669" s="31">
        <v>2</v>
      </c>
      <c r="G669" s="31">
        <v>5</v>
      </c>
      <c r="H669" s="32"/>
      <c r="I669" s="32">
        <f t="shared" si="26"/>
        <v>0</v>
      </c>
      <c r="J669" s="32"/>
      <c r="K669" s="32">
        <v>0</v>
      </c>
      <c r="L669" s="33">
        <f t="shared" si="27"/>
        <v>5</v>
      </c>
    </row>
    <row r="670" spans="1:12" x14ac:dyDescent="0.25">
      <c r="A670" s="15" t="s">
        <v>556</v>
      </c>
      <c r="B670" s="14" t="s">
        <v>556</v>
      </c>
      <c r="C670" s="15" t="s">
        <v>577</v>
      </c>
      <c r="D670" s="15" t="s">
        <v>47</v>
      </c>
      <c r="E670" s="15" t="s">
        <v>79</v>
      </c>
      <c r="F670" s="15"/>
      <c r="G670" s="34">
        <v>4</v>
      </c>
      <c r="H670" s="35"/>
      <c r="I670" s="35">
        <f t="shared" si="26"/>
        <v>0</v>
      </c>
      <c r="J670" s="35"/>
      <c r="K670" s="35">
        <v>0</v>
      </c>
      <c r="L670" s="36">
        <f t="shared" si="27"/>
        <v>4</v>
      </c>
    </row>
    <row r="671" spans="1:12" x14ac:dyDescent="0.25">
      <c r="A671" s="21" t="s">
        <v>556</v>
      </c>
      <c r="B671" s="30" t="s">
        <v>556</v>
      </c>
      <c r="C671" s="21" t="s">
        <v>404</v>
      </c>
      <c r="D671" s="21" t="s">
        <v>53</v>
      </c>
      <c r="E671" s="21" t="s">
        <v>129</v>
      </c>
      <c r="F671" s="21"/>
      <c r="G671" s="21"/>
      <c r="H671" s="32"/>
      <c r="I671" s="32">
        <f t="shared" si="26"/>
        <v>0</v>
      </c>
      <c r="J671" s="32"/>
      <c r="K671" s="32">
        <v>0</v>
      </c>
      <c r="L671" s="33">
        <f t="shared" si="27"/>
        <v>0</v>
      </c>
    </row>
    <row r="672" spans="1:12" x14ac:dyDescent="0.25">
      <c r="A672" s="15" t="s">
        <v>556</v>
      </c>
      <c r="B672" s="14" t="s">
        <v>556</v>
      </c>
      <c r="C672" s="15" t="s">
        <v>405</v>
      </c>
      <c r="D672" s="15" t="s">
        <v>56</v>
      </c>
      <c r="E672" s="15" t="s">
        <v>162</v>
      </c>
      <c r="F672" s="15"/>
      <c r="G672" s="15"/>
      <c r="H672" s="35"/>
      <c r="I672" s="35">
        <f t="shared" si="26"/>
        <v>0</v>
      </c>
      <c r="J672" s="35"/>
      <c r="K672" s="35">
        <v>0</v>
      </c>
      <c r="L672" s="36">
        <f t="shared" si="27"/>
        <v>0</v>
      </c>
    </row>
    <row r="673" spans="1:12" x14ac:dyDescent="0.25">
      <c r="A673" s="21" t="s">
        <v>556</v>
      </c>
      <c r="B673" s="30" t="s">
        <v>556</v>
      </c>
      <c r="C673" s="21" t="s">
        <v>560</v>
      </c>
      <c r="D673" s="21" t="s">
        <v>59</v>
      </c>
      <c r="E673" s="21" t="s">
        <v>203</v>
      </c>
      <c r="F673" s="21"/>
      <c r="G673" s="21"/>
      <c r="H673" s="32"/>
      <c r="I673" s="32">
        <f t="shared" si="26"/>
        <v>0</v>
      </c>
      <c r="J673" s="32"/>
      <c r="K673" s="32">
        <v>0</v>
      </c>
      <c r="L673" s="33">
        <f t="shared" si="27"/>
        <v>0</v>
      </c>
    </row>
    <row r="674" spans="1:12" x14ac:dyDescent="0.25">
      <c r="A674" s="15" t="s">
        <v>556</v>
      </c>
      <c r="B674" s="14" t="s">
        <v>556</v>
      </c>
      <c r="C674" s="15" t="s">
        <v>561</v>
      </c>
      <c r="D674" s="15" t="s">
        <v>59</v>
      </c>
      <c r="E674" s="15" t="s">
        <v>203</v>
      </c>
      <c r="F674" s="15"/>
      <c r="G674" s="15"/>
      <c r="H674" s="35"/>
      <c r="I674" s="35">
        <f t="shared" si="26"/>
        <v>0</v>
      </c>
      <c r="J674" s="35"/>
      <c r="K674" s="35">
        <v>0</v>
      </c>
      <c r="L674" s="36">
        <f t="shared" si="27"/>
        <v>0</v>
      </c>
    </row>
    <row r="675" spans="1:12" x14ac:dyDescent="0.25">
      <c r="A675" s="21" t="s">
        <v>556</v>
      </c>
      <c r="B675" s="30" t="s">
        <v>556</v>
      </c>
      <c r="C675" s="21" t="s">
        <v>562</v>
      </c>
      <c r="D675" s="21" t="s">
        <v>62</v>
      </c>
      <c r="E675" s="21" t="s">
        <v>159</v>
      </c>
      <c r="F675" s="21"/>
      <c r="G675" s="21"/>
      <c r="H675" s="32"/>
      <c r="I675" s="32">
        <f t="shared" si="26"/>
        <v>0</v>
      </c>
      <c r="J675" s="32"/>
      <c r="K675" s="32">
        <v>0</v>
      </c>
      <c r="L675" s="33">
        <f t="shared" si="27"/>
        <v>0</v>
      </c>
    </row>
    <row r="676" spans="1:12" x14ac:dyDescent="0.25">
      <c r="A676" s="15" t="s">
        <v>556</v>
      </c>
      <c r="B676" s="14" t="s">
        <v>556</v>
      </c>
      <c r="C676" s="15" t="s">
        <v>563</v>
      </c>
      <c r="D676" s="15" t="s">
        <v>65</v>
      </c>
      <c r="E676" s="15" t="s">
        <v>82</v>
      </c>
      <c r="F676" s="15"/>
      <c r="G676" s="15"/>
      <c r="H676" s="35"/>
      <c r="I676" s="35">
        <f t="shared" si="26"/>
        <v>0</v>
      </c>
      <c r="J676" s="35"/>
      <c r="K676" s="35">
        <v>0</v>
      </c>
      <c r="L676" s="36">
        <f t="shared" si="27"/>
        <v>0</v>
      </c>
    </row>
    <row r="677" spans="1:12" x14ac:dyDescent="0.25">
      <c r="A677" s="21" t="s">
        <v>556</v>
      </c>
      <c r="B677" s="30" t="s">
        <v>556</v>
      </c>
      <c r="C677" s="21" t="s">
        <v>410</v>
      </c>
      <c r="D677" s="21" t="s">
        <v>61</v>
      </c>
      <c r="E677" s="21" t="s">
        <v>142</v>
      </c>
      <c r="F677" s="21"/>
      <c r="G677" s="21"/>
      <c r="H677" s="32"/>
      <c r="I677" s="32">
        <f t="shared" si="26"/>
        <v>0</v>
      </c>
      <c r="J677" s="32"/>
      <c r="K677" s="32">
        <v>0</v>
      </c>
      <c r="L677" s="33">
        <f t="shared" si="27"/>
        <v>0</v>
      </c>
    </row>
    <row r="678" spans="1:12" x14ac:dyDescent="0.25">
      <c r="A678" s="15" t="s">
        <v>556</v>
      </c>
      <c r="B678" s="14" t="s">
        <v>556</v>
      </c>
      <c r="C678" s="15" t="s">
        <v>568</v>
      </c>
      <c r="D678" s="15" t="s">
        <v>70</v>
      </c>
      <c r="E678" s="15" t="s">
        <v>104</v>
      </c>
      <c r="F678" s="34">
        <v>5</v>
      </c>
      <c r="G678" s="34">
        <v>7</v>
      </c>
      <c r="H678" s="35"/>
      <c r="I678" s="35">
        <f t="shared" si="26"/>
        <v>0</v>
      </c>
      <c r="J678" s="35"/>
      <c r="K678" s="35">
        <v>0</v>
      </c>
      <c r="L678" s="36">
        <f t="shared" si="27"/>
        <v>7</v>
      </c>
    </row>
    <row r="679" spans="1:12" x14ac:dyDescent="0.25">
      <c r="A679" s="21" t="s">
        <v>556</v>
      </c>
      <c r="B679" s="30" t="s">
        <v>556</v>
      </c>
      <c r="C679" s="21" t="s">
        <v>578</v>
      </c>
      <c r="D679" s="21" t="s">
        <v>69</v>
      </c>
      <c r="E679" s="21" t="s">
        <v>90</v>
      </c>
      <c r="F679" s="21"/>
      <c r="G679" s="21"/>
      <c r="H679" s="32"/>
      <c r="I679" s="32">
        <f t="shared" si="26"/>
        <v>0</v>
      </c>
      <c r="J679" s="32"/>
      <c r="K679" s="32">
        <v>0</v>
      </c>
      <c r="L679" s="33">
        <f t="shared" si="27"/>
        <v>0</v>
      </c>
    </row>
    <row r="680" spans="1:12" x14ac:dyDescent="0.25">
      <c r="A680" s="15" t="s">
        <v>556</v>
      </c>
      <c r="B680" s="14" t="s">
        <v>556</v>
      </c>
      <c r="C680" s="15" t="s">
        <v>559</v>
      </c>
      <c r="D680" s="15" t="s">
        <v>47</v>
      </c>
      <c r="E680" s="15" t="s">
        <v>79</v>
      </c>
      <c r="F680" s="15"/>
      <c r="G680" s="15"/>
      <c r="H680" s="35"/>
      <c r="I680" s="35">
        <f t="shared" si="26"/>
        <v>0</v>
      </c>
      <c r="J680" s="35"/>
      <c r="K680" s="35">
        <v>0</v>
      </c>
      <c r="L680" s="36">
        <f t="shared" si="27"/>
        <v>0</v>
      </c>
    </row>
    <row r="681" spans="1:12" x14ac:dyDescent="0.25">
      <c r="A681" s="21" t="s">
        <v>556</v>
      </c>
      <c r="B681" s="30" t="s">
        <v>556</v>
      </c>
      <c r="C681" s="21" t="s">
        <v>404</v>
      </c>
      <c r="D681" s="21" t="s">
        <v>53</v>
      </c>
      <c r="E681" s="21" t="s">
        <v>129</v>
      </c>
      <c r="F681" s="21"/>
      <c r="G681" s="21"/>
      <c r="H681" s="32"/>
      <c r="I681" s="32">
        <f t="shared" si="26"/>
        <v>0</v>
      </c>
      <c r="J681" s="32"/>
      <c r="K681" s="32">
        <v>0</v>
      </c>
      <c r="L681" s="33">
        <f t="shared" si="27"/>
        <v>0</v>
      </c>
    </row>
    <row r="682" spans="1:12" x14ac:dyDescent="0.25">
      <c r="A682" s="15" t="s">
        <v>556</v>
      </c>
      <c r="B682" s="14" t="s">
        <v>556</v>
      </c>
      <c r="C682" s="15" t="s">
        <v>405</v>
      </c>
      <c r="D682" s="15" t="s">
        <v>56</v>
      </c>
      <c r="E682" s="15" t="s">
        <v>162</v>
      </c>
      <c r="F682" s="15"/>
      <c r="G682" s="15"/>
      <c r="H682" s="35"/>
      <c r="I682" s="35">
        <f t="shared" si="26"/>
        <v>0</v>
      </c>
      <c r="J682" s="35"/>
      <c r="K682" s="35">
        <v>0</v>
      </c>
      <c r="L682" s="36">
        <f t="shared" si="27"/>
        <v>0</v>
      </c>
    </row>
    <row r="683" spans="1:12" x14ac:dyDescent="0.25">
      <c r="A683" s="21" t="s">
        <v>556</v>
      </c>
      <c r="B683" s="30" t="s">
        <v>556</v>
      </c>
      <c r="C683" s="21" t="s">
        <v>560</v>
      </c>
      <c r="D683" s="21" t="s">
        <v>59</v>
      </c>
      <c r="E683" s="21" t="s">
        <v>203</v>
      </c>
      <c r="F683" s="31">
        <v>10</v>
      </c>
      <c r="G683" s="31">
        <v>10</v>
      </c>
      <c r="H683" s="32"/>
      <c r="I683" s="32">
        <f t="shared" si="26"/>
        <v>0</v>
      </c>
      <c r="J683" s="32"/>
      <c r="K683" s="32">
        <v>0</v>
      </c>
      <c r="L683" s="33">
        <f t="shared" si="27"/>
        <v>10</v>
      </c>
    </row>
    <row r="684" spans="1:12" x14ac:dyDescent="0.25">
      <c r="A684" s="15" t="s">
        <v>556</v>
      </c>
      <c r="B684" s="14" t="s">
        <v>556</v>
      </c>
      <c r="C684" s="15" t="s">
        <v>561</v>
      </c>
      <c r="D684" s="15" t="s">
        <v>59</v>
      </c>
      <c r="E684" s="15" t="s">
        <v>203</v>
      </c>
      <c r="F684" s="15"/>
      <c r="G684" s="15"/>
      <c r="H684" s="35"/>
      <c r="I684" s="35">
        <f t="shared" si="26"/>
        <v>0</v>
      </c>
      <c r="J684" s="35"/>
      <c r="K684" s="35">
        <v>0</v>
      </c>
      <c r="L684" s="36">
        <f t="shared" si="27"/>
        <v>0</v>
      </c>
    </row>
    <row r="685" spans="1:12" x14ac:dyDescent="0.25">
      <c r="A685" s="21" t="s">
        <v>556</v>
      </c>
      <c r="B685" s="30" t="s">
        <v>556</v>
      </c>
      <c r="C685" s="21" t="s">
        <v>579</v>
      </c>
      <c r="D685" s="21" t="s">
        <v>59</v>
      </c>
      <c r="E685" s="21" t="s">
        <v>203</v>
      </c>
      <c r="F685" s="31">
        <v>3</v>
      </c>
      <c r="G685" s="31">
        <v>5</v>
      </c>
      <c r="H685" s="32"/>
      <c r="I685" s="32">
        <f t="shared" si="26"/>
        <v>0</v>
      </c>
      <c r="J685" s="32"/>
      <c r="K685" s="32">
        <v>0</v>
      </c>
      <c r="L685" s="33">
        <f t="shared" si="27"/>
        <v>5</v>
      </c>
    </row>
    <row r="686" spans="1:12" x14ac:dyDescent="0.25">
      <c r="A686" s="15" t="s">
        <v>556</v>
      </c>
      <c r="B686" s="14" t="s">
        <v>556</v>
      </c>
      <c r="C686" s="15" t="s">
        <v>580</v>
      </c>
      <c r="D686" s="15" t="s">
        <v>59</v>
      </c>
      <c r="E686" s="15" t="s">
        <v>203</v>
      </c>
      <c r="F686" s="34">
        <v>1</v>
      </c>
      <c r="G686" s="34">
        <v>2</v>
      </c>
      <c r="H686" s="35"/>
      <c r="I686" s="35">
        <f t="shared" si="26"/>
        <v>0</v>
      </c>
      <c r="J686" s="35"/>
      <c r="K686" s="35">
        <v>0</v>
      </c>
      <c r="L686" s="36">
        <f t="shared" si="27"/>
        <v>2</v>
      </c>
    </row>
    <row r="687" spans="1:12" x14ac:dyDescent="0.25">
      <c r="A687" s="21" t="s">
        <v>556</v>
      </c>
      <c r="B687" s="30" t="s">
        <v>556</v>
      </c>
      <c r="C687" s="21" t="s">
        <v>562</v>
      </c>
      <c r="D687" s="21" t="s">
        <v>62</v>
      </c>
      <c r="E687" s="21" t="s">
        <v>159</v>
      </c>
      <c r="F687" s="21"/>
      <c r="G687" s="21"/>
      <c r="H687" s="32"/>
      <c r="I687" s="32">
        <f t="shared" si="26"/>
        <v>0</v>
      </c>
      <c r="J687" s="32"/>
      <c r="K687" s="32">
        <v>0</v>
      </c>
      <c r="L687" s="33">
        <f t="shared" si="27"/>
        <v>0</v>
      </c>
    </row>
    <row r="688" spans="1:12" x14ac:dyDescent="0.25">
      <c r="A688" s="15" t="s">
        <v>556</v>
      </c>
      <c r="B688" s="14" t="s">
        <v>556</v>
      </c>
      <c r="C688" s="15" t="s">
        <v>563</v>
      </c>
      <c r="D688" s="15" t="s">
        <v>65</v>
      </c>
      <c r="E688" s="15" t="s">
        <v>82</v>
      </c>
      <c r="F688" s="15"/>
      <c r="G688" s="15"/>
      <c r="H688" s="35"/>
      <c r="I688" s="35">
        <f t="shared" si="26"/>
        <v>0</v>
      </c>
      <c r="J688" s="35"/>
      <c r="K688" s="35">
        <v>0</v>
      </c>
      <c r="L688" s="36">
        <f t="shared" si="27"/>
        <v>0</v>
      </c>
    </row>
    <row r="689" spans="1:12" x14ac:dyDescent="0.25">
      <c r="A689" s="21" t="s">
        <v>556</v>
      </c>
      <c r="B689" s="30" t="s">
        <v>556</v>
      </c>
      <c r="C689" s="21" t="s">
        <v>581</v>
      </c>
      <c r="D689" s="21" t="s">
        <v>65</v>
      </c>
      <c r="E689" s="21" t="s">
        <v>82</v>
      </c>
      <c r="F689" s="31">
        <v>5</v>
      </c>
      <c r="G689" s="31">
        <v>10</v>
      </c>
      <c r="H689" s="32"/>
      <c r="I689" s="32">
        <f t="shared" si="26"/>
        <v>0</v>
      </c>
      <c r="J689" s="32"/>
      <c r="K689" s="32">
        <v>0</v>
      </c>
      <c r="L689" s="33">
        <f t="shared" si="27"/>
        <v>10</v>
      </c>
    </row>
    <row r="690" spans="1:12" x14ac:dyDescent="0.25">
      <c r="A690" s="15" t="s">
        <v>556</v>
      </c>
      <c r="B690" s="14" t="s">
        <v>556</v>
      </c>
      <c r="C690" s="15" t="s">
        <v>410</v>
      </c>
      <c r="D690" s="15" t="s">
        <v>61</v>
      </c>
      <c r="E690" s="15" t="s">
        <v>142</v>
      </c>
      <c r="F690" s="15"/>
      <c r="G690" s="15"/>
      <c r="H690" s="35"/>
      <c r="I690" s="35">
        <f t="shared" si="26"/>
        <v>0</v>
      </c>
      <c r="J690" s="35"/>
      <c r="K690" s="35">
        <v>0</v>
      </c>
      <c r="L690" s="36">
        <f t="shared" si="27"/>
        <v>0</v>
      </c>
    </row>
    <row r="691" spans="1:12" x14ac:dyDescent="0.25">
      <c r="A691" s="21" t="s">
        <v>556</v>
      </c>
      <c r="B691" s="30" t="s">
        <v>556</v>
      </c>
      <c r="C691" s="21" t="s">
        <v>565</v>
      </c>
      <c r="D691" s="21" t="s">
        <v>69</v>
      </c>
      <c r="E691" s="21" t="s">
        <v>90</v>
      </c>
      <c r="F691" s="21"/>
      <c r="G691" s="21"/>
      <c r="H691" s="32"/>
      <c r="I691" s="32">
        <f t="shared" si="26"/>
        <v>0</v>
      </c>
      <c r="J691" s="32"/>
      <c r="K691" s="32">
        <v>0</v>
      </c>
      <c r="L691" s="33">
        <f t="shared" si="27"/>
        <v>0</v>
      </c>
    </row>
    <row r="692" spans="1:12" x14ac:dyDescent="0.25">
      <c r="A692" s="15" t="s">
        <v>556</v>
      </c>
      <c r="B692" s="14" t="s">
        <v>556</v>
      </c>
      <c r="C692" s="15" t="s">
        <v>559</v>
      </c>
      <c r="D692" s="15" t="s">
        <v>47</v>
      </c>
      <c r="E692" s="15" t="s">
        <v>79</v>
      </c>
      <c r="F692" s="15"/>
      <c r="G692" s="15"/>
      <c r="H692" s="35"/>
      <c r="I692" s="35">
        <f t="shared" si="26"/>
        <v>0</v>
      </c>
      <c r="J692" s="35"/>
      <c r="K692" s="35">
        <v>0</v>
      </c>
      <c r="L692" s="36">
        <f t="shared" si="27"/>
        <v>0</v>
      </c>
    </row>
    <row r="693" spans="1:12" x14ac:dyDescent="0.25">
      <c r="A693" s="21" t="s">
        <v>556</v>
      </c>
      <c r="B693" s="30" t="s">
        <v>556</v>
      </c>
      <c r="C693" s="21" t="s">
        <v>404</v>
      </c>
      <c r="D693" s="21" t="s">
        <v>53</v>
      </c>
      <c r="E693" s="21" t="s">
        <v>129</v>
      </c>
      <c r="F693" s="21"/>
      <c r="G693" s="21"/>
      <c r="H693" s="32"/>
      <c r="I693" s="32">
        <f t="shared" si="26"/>
        <v>0</v>
      </c>
      <c r="J693" s="32"/>
      <c r="K693" s="32">
        <v>0</v>
      </c>
      <c r="L693" s="33">
        <f t="shared" si="27"/>
        <v>0</v>
      </c>
    </row>
    <row r="694" spans="1:12" x14ac:dyDescent="0.25">
      <c r="A694" s="15" t="s">
        <v>556</v>
      </c>
      <c r="B694" s="14" t="s">
        <v>556</v>
      </c>
      <c r="C694" s="15" t="s">
        <v>405</v>
      </c>
      <c r="D694" s="15" t="s">
        <v>56</v>
      </c>
      <c r="E694" s="15" t="s">
        <v>162</v>
      </c>
      <c r="F694" s="15"/>
      <c r="G694" s="15"/>
      <c r="H694" s="35"/>
      <c r="I694" s="35">
        <f t="shared" si="26"/>
        <v>0</v>
      </c>
      <c r="J694" s="35"/>
      <c r="K694" s="35">
        <v>0</v>
      </c>
      <c r="L694" s="36">
        <f t="shared" si="27"/>
        <v>0</v>
      </c>
    </row>
    <row r="695" spans="1:12" x14ac:dyDescent="0.25">
      <c r="A695" s="21" t="s">
        <v>556</v>
      </c>
      <c r="B695" s="30" t="s">
        <v>556</v>
      </c>
      <c r="C695" s="21" t="s">
        <v>560</v>
      </c>
      <c r="D695" s="21" t="s">
        <v>59</v>
      </c>
      <c r="E695" s="21" t="s">
        <v>203</v>
      </c>
      <c r="F695" s="31">
        <v>10</v>
      </c>
      <c r="G695" s="31">
        <v>10</v>
      </c>
      <c r="H695" s="32"/>
      <c r="I695" s="32">
        <f t="shared" si="26"/>
        <v>0</v>
      </c>
      <c r="J695" s="32"/>
      <c r="K695" s="32">
        <v>0</v>
      </c>
      <c r="L695" s="33">
        <f t="shared" si="27"/>
        <v>10</v>
      </c>
    </row>
    <row r="696" spans="1:12" x14ac:dyDescent="0.25">
      <c r="A696" s="15" t="s">
        <v>556</v>
      </c>
      <c r="B696" s="14" t="s">
        <v>556</v>
      </c>
      <c r="C696" s="15" t="s">
        <v>561</v>
      </c>
      <c r="D696" s="15" t="s">
        <v>59</v>
      </c>
      <c r="E696" s="15" t="s">
        <v>203</v>
      </c>
      <c r="F696" s="15"/>
      <c r="G696" s="15"/>
      <c r="H696" s="35"/>
      <c r="I696" s="35">
        <f t="shared" si="26"/>
        <v>0</v>
      </c>
      <c r="J696" s="35"/>
      <c r="K696" s="35">
        <v>0</v>
      </c>
      <c r="L696" s="36">
        <f t="shared" si="27"/>
        <v>0</v>
      </c>
    </row>
    <row r="697" spans="1:12" x14ac:dyDescent="0.25">
      <c r="A697" s="21" t="s">
        <v>556</v>
      </c>
      <c r="B697" s="30" t="s">
        <v>556</v>
      </c>
      <c r="C697" s="21" t="s">
        <v>579</v>
      </c>
      <c r="D697" s="21" t="s">
        <v>59</v>
      </c>
      <c r="E697" s="21" t="s">
        <v>203</v>
      </c>
      <c r="F697" s="31">
        <v>3</v>
      </c>
      <c r="G697" s="31">
        <v>5</v>
      </c>
      <c r="H697" s="32"/>
      <c r="I697" s="32">
        <f t="shared" si="26"/>
        <v>0</v>
      </c>
      <c r="J697" s="32"/>
      <c r="K697" s="32">
        <v>0</v>
      </c>
      <c r="L697" s="33">
        <f t="shared" si="27"/>
        <v>5</v>
      </c>
    </row>
    <row r="698" spans="1:12" x14ac:dyDescent="0.25">
      <c r="A698" s="15" t="s">
        <v>556</v>
      </c>
      <c r="B698" s="14" t="s">
        <v>556</v>
      </c>
      <c r="C698" s="15" t="s">
        <v>582</v>
      </c>
      <c r="D698" s="15" t="s">
        <v>59</v>
      </c>
      <c r="E698" s="15" t="s">
        <v>203</v>
      </c>
      <c r="F698" s="34">
        <v>2</v>
      </c>
      <c r="G698" s="34">
        <v>4</v>
      </c>
      <c r="H698" s="35"/>
      <c r="I698" s="35">
        <f t="shared" si="26"/>
        <v>0</v>
      </c>
      <c r="J698" s="35"/>
      <c r="K698" s="35">
        <v>0</v>
      </c>
      <c r="L698" s="36">
        <f t="shared" si="27"/>
        <v>4</v>
      </c>
    </row>
    <row r="699" spans="1:12" x14ac:dyDescent="0.25">
      <c r="A699" s="21" t="s">
        <v>556</v>
      </c>
      <c r="B699" s="30" t="s">
        <v>556</v>
      </c>
      <c r="C699" s="21" t="s">
        <v>580</v>
      </c>
      <c r="D699" s="21" t="s">
        <v>59</v>
      </c>
      <c r="E699" s="21" t="s">
        <v>203</v>
      </c>
      <c r="F699" s="31">
        <v>1</v>
      </c>
      <c r="G699" s="31">
        <v>2</v>
      </c>
      <c r="H699" s="32"/>
      <c r="I699" s="32">
        <f t="shared" si="26"/>
        <v>0</v>
      </c>
      <c r="J699" s="32"/>
      <c r="K699" s="32">
        <v>0</v>
      </c>
      <c r="L699" s="33">
        <f t="shared" si="27"/>
        <v>2</v>
      </c>
    </row>
    <row r="700" spans="1:12" x14ac:dyDescent="0.25">
      <c r="A700" s="15" t="s">
        <v>556</v>
      </c>
      <c r="B700" s="14" t="s">
        <v>556</v>
      </c>
      <c r="C700" s="15" t="s">
        <v>562</v>
      </c>
      <c r="D700" s="15" t="s">
        <v>62</v>
      </c>
      <c r="E700" s="15" t="s">
        <v>159</v>
      </c>
      <c r="F700" s="15"/>
      <c r="G700" s="15"/>
      <c r="H700" s="35"/>
      <c r="I700" s="35">
        <f t="shared" ref="I700:I763" si="28">IF(H700="",0,G700)</f>
        <v>0</v>
      </c>
      <c r="J700" s="35"/>
      <c r="K700" s="35">
        <v>0</v>
      </c>
      <c r="L700" s="36">
        <f t="shared" ref="L700:L763" si="29">G700-I700-K700</f>
        <v>0</v>
      </c>
    </row>
    <row r="701" spans="1:12" x14ac:dyDescent="0.25">
      <c r="A701" s="21" t="s">
        <v>556</v>
      </c>
      <c r="B701" s="30" t="s">
        <v>556</v>
      </c>
      <c r="C701" s="21" t="s">
        <v>563</v>
      </c>
      <c r="D701" s="21" t="s">
        <v>65</v>
      </c>
      <c r="E701" s="21" t="s">
        <v>82</v>
      </c>
      <c r="F701" s="21"/>
      <c r="G701" s="21"/>
      <c r="H701" s="32"/>
      <c r="I701" s="32">
        <f t="shared" si="28"/>
        <v>0</v>
      </c>
      <c r="J701" s="32"/>
      <c r="K701" s="32">
        <v>0</v>
      </c>
      <c r="L701" s="33">
        <f t="shared" si="29"/>
        <v>0</v>
      </c>
    </row>
    <row r="702" spans="1:12" x14ac:dyDescent="0.25">
      <c r="A702" s="15" t="s">
        <v>556</v>
      </c>
      <c r="B702" s="14" t="s">
        <v>556</v>
      </c>
      <c r="C702" s="15" t="s">
        <v>581</v>
      </c>
      <c r="D702" s="15" t="s">
        <v>65</v>
      </c>
      <c r="E702" s="15" t="s">
        <v>82</v>
      </c>
      <c r="F702" s="34">
        <v>5</v>
      </c>
      <c r="G702" s="34">
        <v>10</v>
      </c>
      <c r="H702" s="35"/>
      <c r="I702" s="35">
        <f t="shared" si="28"/>
        <v>0</v>
      </c>
      <c r="J702" s="35"/>
      <c r="K702" s="35">
        <v>0</v>
      </c>
      <c r="L702" s="36">
        <f t="shared" si="29"/>
        <v>10</v>
      </c>
    </row>
    <row r="703" spans="1:12" x14ac:dyDescent="0.25">
      <c r="A703" s="21" t="s">
        <v>556</v>
      </c>
      <c r="B703" s="30" t="s">
        <v>556</v>
      </c>
      <c r="C703" s="21" t="s">
        <v>410</v>
      </c>
      <c r="D703" s="21" t="s">
        <v>61</v>
      </c>
      <c r="E703" s="21" t="s">
        <v>142</v>
      </c>
      <c r="F703" s="21"/>
      <c r="G703" s="21"/>
      <c r="H703" s="32"/>
      <c r="I703" s="32">
        <f t="shared" si="28"/>
        <v>0</v>
      </c>
      <c r="J703" s="32"/>
      <c r="K703" s="32">
        <v>0</v>
      </c>
      <c r="L703" s="33">
        <f t="shared" si="29"/>
        <v>0</v>
      </c>
    </row>
    <row r="704" spans="1:12" x14ac:dyDescent="0.25">
      <c r="A704" s="15" t="s">
        <v>556</v>
      </c>
      <c r="B704" s="14" t="s">
        <v>556</v>
      </c>
      <c r="C704" s="15" t="s">
        <v>569</v>
      </c>
      <c r="D704" s="15" t="s">
        <v>69</v>
      </c>
      <c r="E704" s="15" t="s">
        <v>90</v>
      </c>
      <c r="F704" s="15"/>
      <c r="G704" s="15"/>
      <c r="H704" s="35"/>
      <c r="I704" s="35">
        <f t="shared" si="28"/>
        <v>0</v>
      </c>
      <c r="J704" s="35"/>
      <c r="K704" s="35">
        <v>0</v>
      </c>
      <c r="L704" s="36">
        <f t="shared" si="29"/>
        <v>0</v>
      </c>
    </row>
    <row r="705" spans="1:12" x14ac:dyDescent="0.25">
      <c r="A705" s="21" t="s">
        <v>556</v>
      </c>
      <c r="B705" s="30" t="s">
        <v>556</v>
      </c>
      <c r="C705" s="21" t="s">
        <v>559</v>
      </c>
      <c r="D705" s="21" t="s">
        <v>47</v>
      </c>
      <c r="E705" s="21" t="s">
        <v>79</v>
      </c>
      <c r="F705" s="21"/>
      <c r="G705" s="21"/>
      <c r="H705" s="32"/>
      <c r="I705" s="32">
        <f t="shared" si="28"/>
        <v>0</v>
      </c>
      <c r="J705" s="32"/>
      <c r="K705" s="32">
        <v>0</v>
      </c>
      <c r="L705" s="33">
        <f t="shared" si="29"/>
        <v>0</v>
      </c>
    </row>
    <row r="706" spans="1:12" x14ac:dyDescent="0.25">
      <c r="A706" s="15" t="s">
        <v>556</v>
      </c>
      <c r="B706" s="14" t="s">
        <v>556</v>
      </c>
      <c r="C706" s="15" t="s">
        <v>404</v>
      </c>
      <c r="D706" s="15" t="s">
        <v>53</v>
      </c>
      <c r="E706" s="15" t="s">
        <v>129</v>
      </c>
      <c r="F706" s="15"/>
      <c r="G706" s="15"/>
      <c r="H706" s="35"/>
      <c r="I706" s="35">
        <f t="shared" si="28"/>
        <v>0</v>
      </c>
      <c r="J706" s="35"/>
      <c r="K706" s="35">
        <v>0</v>
      </c>
      <c r="L706" s="36">
        <f t="shared" si="29"/>
        <v>0</v>
      </c>
    </row>
    <row r="707" spans="1:12" x14ac:dyDescent="0.25">
      <c r="A707" s="21" t="s">
        <v>556</v>
      </c>
      <c r="B707" s="30" t="s">
        <v>556</v>
      </c>
      <c r="C707" s="21" t="s">
        <v>405</v>
      </c>
      <c r="D707" s="21" t="s">
        <v>56</v>
      </c>
      <c r="E707" s="21" t="s">
        <v>162</v>
      </c>
      <c r="F707" s="21"/>
      <c r="G707" s="21"/>
      <c r="H707" s="32"/>
      <c r="I707" s="32">
        <f t="shared" si="28"/>
        <v>0</v>
      </c>
      <c r="J707" s="32"/>
      <c r="K707" s="32">
        <v>0</v>
      </c>
      <c r="L707" s="33">
        <f t="shared" si="29"/>
        <v>0</v>
      </c>
    </row>
    <row r="708" spans="1:12" x14ac:dyDescent="0.25">
      <c r="A708" s="15" t="s">
        <v>556</v>
      </c>
      <c r="B708" s="14" t="s">
        <v>556</v>
      </c>
      <c r="C708" s="15" t="s">
        <v>560</v>
      </c>
      <c r="D708" s="15" t="s">
        <v>59</v>
      </c>
      <c r="E708" s="15" t="s">
        <v>203</v>
      </c>
      <c r="F708" s="34">
        <v>10</v>
      </c>
      <c r="G708" s="34">
        <v>10</v>
      </c>
      <c r="H708" s="35"/>
      <c r="I708" s="35">
        <f t="shared" si="28"/>
        <v>0</v>
      </c>
      <c r="J708" s="35"/>
      <c r="K708" s="35">
        <v>0</v>
      </c>
      <c r="L708" s="36">
        <f t="shared" si="29"/>
        <v>10</v>
      </c>
    </row>
    <row r="709" spans="1:12" x14ac:dyDescent="0.25">
      <c r="A709" s="21" t="s">
        <v>556</v>
      </c>
      <c r="B709" s="30" t="s">
        <v>556</v>
      </c>
      <c r="C709" s="21" t="s">
        <v>561</v>
      </c>
      <c r="D709" s="21" t="s">
        <v>59</v>
      </c>
      <c r="E709" s="21" t="s">
        <v>203</v>
      </c>
      <c r="F709" s="21"/>
      <c r="G709" s="21"/>
      <c r="H709" s="32"/>
      <c r="I709" s="32">
        <f t="shared" si="28"/>
        <v>0</v>
      </c>
      <c r="J709" s="32"/>
      <c r="K709" s="32">
        <v>0</v>
      </c>
      <c r="L709" s="33">
        <f t="shared" si="29"/>
        <v>0</v>
      </c>
    </row>
    <row r="710" spans="1:12" x14ac:dyDescent="0.25">
      <c r="A710" s="15" t="s">
        <v>556</v>
      </c>
      <c r="B710" s="14" t="s">
        <v>556</v>
      </c>
      <c r="C710" s="15" t="s">
        <v>579</v>
      </c>
      <c r="D710" s="15" t="s">
        <v>59</v>
      </c>
      <c r="E710" s="15" t="s">
        <v>203</v>
      </c>
      <c r="F710" s="34">
        <v>3</v>
      </c>
      <c r="G710" s="34">
        <v>5</v>
      </c>
      <c r="H710" s="35"/>
      <c r="I710" s="35">
        <f t="shared" si="28"/>
        <v>0</v>
      </c>
      <c r="J710" s="35"/>
      <c r="K710" s="35">
        <v>0</v>
      </c>
      <c r="L710" s="36">
        <f t="shared" si="29"/>
        <v>5</v>
      </c>
    </row>
    <row r="711" spans="1:12" x14ac:dyDescent="0.25">
      <c r="A711" s="21" t="s">
        <v>556</v>
      </c>
      <c r="B711" s="30" t="s">
        <v>556</v>
      </c>
      <c r="C711" s="21" t="s">
        <v>583</v>
      </c>
      <c r="D711" s="21" t="s">
        <v>59</v>
      </c>
      <c r="E711" s="21" t="s">
        <v>203</v>
      </c>
      <c r="F711" s="31">
        <v>5</v>
      </c>
      <c r="G711" s="31">
        <v>7</v>
      </c>
      <c r="H711" s="32"/>
      <c r="I711" s="32">
        <f t="shared" si="28"/>
        <v>0</v>
      </c>
      <c r="J711" s="32"/>
      <c r="K711" s="32">
        <v>0</v>
      </c>
      <c r="L711" s="33">
        <f t="shared" si="29"/>
        <v>7</v>
      </c>
    </row>
    <row r="712" spans="1:12" x14ac:dyDescent="0.25">
      <c r="A712" s="15" t="s">
        <v>556</v>
      </c>
      <c r="B712" s="14" t="s">
        <v>556</v>
      </c>
      <c r="C712" s="15" t="s">
        <v>584</v>
      </c>
      <c r="D712" s="15" t="s">
        <v>59</v>
      </c>
      <c r="E712" s="15" t="s">
        <v>203</v>
      </c>
      <c r="F712" s="34">
        <v>5</v>
      </c>
      <c r="G712" s="34">
        <v>7</v>
      </c>
      <c r="H712" s="35"/>
      <c r="I712" s="35">
        <f t="shared" si="28"/>
        <v>0</v>
      </c>
      <c r="J712" s="35"/>
      <c r="K712" s="35">
        <v>0</v>
      </c>
      <c r="L712" s="36">
        <f t="shared" si="29"/>
        <v>7</v>
      </c>
    </row>
    <row r="713" spans="1:12" x14ac:dyDescent="0.25">
      <c r="A713" s="21" t="s">
        <v>556</v>
      </c>
      <c r="B713" s="30" t="s">
        <v>556</v>
      </c>
      <c r="C713" s="21" t="s">
        <v>580</v>
      </c>
      <c r="D713" s="21" t="s">
        <v>59</v>
      </c>
      <c r="E713" s="21" t="s">
        <v>203</v>
      </c>
      <c r="F713" s="31">
        <v>1</v>
      </c>
      <c r="G713" s="31">
        <v>2</v>
      </c>
      <c r="H713" s="32"/>
      <c r="I713" s="32">
        <f t="shared" si="28"/>
        <v>0</v>
      </c>
      <c r="J713" s="32"/>
      <c r="K713" s="32">
        <v>0</v>
      </c>
      <c r="L713" s="33">
        <f t="shared" si="29"/>
        <v>2</v>
      </c>
    </row>
    <row r="714" spans="1:12" x14ac:dyDescent="0.25">
      <c r="A714" s="15" t="s">
        <v>556</v>
      </c>
      <c r="B714" s="14" t="s">
        <v>556</v>
      </c>
      <c r="C714" s="15" t="s">
        <v>562</v>
      </c>
      <c r="D714" s="15" t="s">
        <v>62</v>
      </c>
      <c r="E714" s="15" t="s">
        <v>159</v>
      </c>
      <c r="F714" s="15"/>
      <c r="G714" s="15"/>
      <c r="H714" s="35"/>
      <c r="I714" s="35">
        <f t="shared" si="28"/>
        <v>0</v>
      </c>
      <c r="J714" s="35"/>
      <c r="K714" s="35">
        <v>0</v>
      </c>
      <c r="L714" s="36">
        <f t="shared" si="29"/>
        <v>0</v>
      </c>
    </row>
    <row r="715" spans="1:12" x14ac:dyDescent="0.25">
      <c r="A715" s="21" t="s">
        <v>556</v>
      </c>
      <c r="B715" s="30" t="s">
        <v>556</v>
      </c>
      <c r="C715" s="21" t="s">
        <v>563</v>
      </c>
      <c r="D715" s="21" t="s">
        <v>65</v>
      </c>
      <c r="E715" s="21" t="s">
        <v>82</v>
      </c>
      <c r="F715" s="21"/>
      <c r="G715" s="21"/>
      <c r="H715" s="32"/>
      <c r="I715" s="32">
        <f t="shared" si="28"/>
        <v>0</v>
      </c>
      <c r="J715" s="32"/>
      <c r="K715" s="32">
        <v>0</v>
      </c>
      <c r="L715" s="33">
        <f t="shared" si="29"/>
        <v>0</v>
      </c>
    </row>
    <row r="716" spans="1:12" x14ac:dyDescent="0.25">
      <c r="A716" s="15" t="s">
        <v>556</v>
      </c>
      <c r="B716" s="14" t="s">
        <v>556</v>
      </c>
      <c r="C716" s="15" t="s">
        <v>581</v>
      </c>
      <c r="D716" s="15" t="s">
        <v>65</v>
      </c>
      <c r="E716" s="15" t="s">
        <v>82</v>
      </c>
      <c r="F716" s="34">
        <v>5</v>
      </c>
      <c r="G716" s="34">
        <v>10</v>
      </c>
      <c r="H716" s="35"/>
      <c r="I716" s="35">
        <f t="shared" si="28"/>
        <v>0</v>
      </c>
      <c r="J716" s="35"/>
      <c r="K716" s="35">
        <v>0</v>
      </c>
      <c r="L716" s="36">
        <f t="shared" si="29"/>
        <v>10</v>
      </c>
    </row>
    <row r="717" spans="1:12" x14ac:dyDescent="0.25">
      <c r="A717" s="21" t="s">
        <v>556</v>
      </c>
      <c r="B717" s="30" t="s">
        <v>556</v>
      </c>
      <c r="C717" s="21" t="s">
        <v>410</v>
      </c>
      <c r="D717" s="21" t="s">
        <v>61</v>
      </c>
      <c r="E717" s="21" t="s">
        <v>142</v>
      </c>
      <c r="F717" s="21"/>
      <c r="G717" s="21"/>
      <c r="H717" s="32"/>
      <c r="I717" s="32">
        <f t="shared" si="28"/>
        <v>0</v>
      </c>
      <c r="J717" s="32"/>
      <c r="K717" s="32">
        <v>0</v>
      </c>
      <c r="L717" s="33">
        <f t="shared" si="29"/>
        <v>0</v>
      </c>
    </row>
    <row r="718" spans="1:12" x14ac:dyDescent="0.25">
      <c r="A718" s="15" t="s">
        <v>556</v>
      </c>
      <c r="B718" s="14" t="s">
        <v>556</v>
      </c>
      <c r="C718" s="15" t="s">
        <v>572</v>
      </c>
      <c r="D718" s="15" t="s">
        <v>69</v>
      </c>
      <c r="E718" s="15" t="s">
        <v>90</v>
      </c>
      <c r="F718" s="15"/>
      <c r="G718" s="15"/>
      <c r="H718" s="35"/>
      <c r="I718" s="35">
        <f t="shared" si="28"/>
        <v>0</v>
      </c>
      <c r="J718" s="35"/>
      <c r="K718" s="35">
        <v>0</v>
      </c>
      <c r="L718" s="36">
        <f t="shared" si="29"/>
        <v>0</v>
      </c>
    </row>
    <row r="719" spans="1:12" x14ac:dyDescent="0.25">
      <c r="A719" s="21" t="s">
        <v>556</v>
      </c>
      <c r="B719" s="30" t="s">
        <v>556</v>
      </c>
      <c r="C719" s="21" t="s">
        <v>559</v>
      </c>
      <c r="D719" s="21" t="s">
        <v>47</v>
      </c>
      <c r="E719" s="21" t="s">
        <v>79</v>
      </c>
      <c r="F719" s="21"/>
      <c r="G719" s="21"/>
      <c r="H719" s="32"/>
      <c r="I719" s="32">
        <f t="shared" si="28"/>
        <v>0</v>
      </c>
      <c r="J719" s="32"/>
      <c r="K719" s="32">
        <v>0</v>
      </c>
      <c r="L719" s="33">
        <f t="shared" si="29"/>
        <v>0</v>
      </c>
    </row>
    <row r="720" spans="1:12" x14ac:dyDescent="0.25">
      <c r="A720" s="15" t="s">
        <v>556</v>
      </c>
      <c r="B720" s="14" t="s">
        <v>556</v>
      </c>
      <c r="C720" s="15" t="s">
        <v>404</v>
      </c>
      <c r="D720" s="15" t="s">
        <v>53</v>
      </c>
      <c r="E720" s="15" t="s">
        <v>129</v>
      </c>
      <c r="F720" s="15"/>
      <c r="G720" s="15"/>
      <c r="H720" s="35"/>
      <c r="I720" s="35">
        <f t="shared" si="28"/>
        <v>0</v>
      </c>
      <c r="J720" s="35"/>
      <c r="K720" s="35">
        <v>0</v>
      </c>
      <c r="L720" s="36">
        <f t="shared" si="29"/>
        <v>0</v>
      </c>
    </row>
    <row r="721" spans="1:12" x14ac:dyDescent="0.25">
      <c r="A721" s="21" t="s">
        <v>556</v>
      </c>
      <c r="B721" s="30" t="s">
        <v>556</v>
      </c>
      <c r="C721" s="21" t="s">
        <v>405</v>
      </c>
      <c r="D721" s="21" t="s">
        <v>56</v>
      </c>
      <c r="E721" s="21" t="s">
        <v>162</v>
      </c>
      <c r="F721" s="21"/>
      <c r="G721" s="21"/>
      <c r="H721" s="32"/>
      <c r="I721" s="32">
        <f t="shared" si="28"/>
        <v>0</v>
      </c>
      <c r="J721" s="32"/>
      <c r="K721" s="32">
        <v>0</v>
      </c>
      <c r="L721" s="33">
        <f t="shared" si="29"/>
        <v>0</v>
      </c>
    </row>
    <row r="722" spans="1:12" x14ac:dyDescent="0.25">
      <c r="A722" s="15" t="s">
        <v>556</v>
      </c>
      <c r="B722" s="14" t="s">
        <v>556</v>
      </c>
      <c r="C722" s="15" t="s">
        <v>560</v>
      </c>
      <c r="D722" s="15" t="s">
        <v>59</v>
      </c>
      <c r="E722" s="15" t="s">
        <v>203</v>
      </c>
      <c r="F722" s="34">
        <v>2</v>
      </c>
      <c r="G722" s="34">
        <v>2</v>
      </c>
      <c r="H722" s="35"/>
      <c r="I722" s="35">
        <f t="shared" si="28"/>
        <v>0</v>
      </c>
      <c r="J722" s="35"/>
      <c r="K722" s="35">
        <v>0</v>
      </c>
      <c r="L722" s="36">
        <f t="shared" si="29"/>
        <v>2</v>
      </c>
    </row>
    <row r="723" spans="1:12" x14ac:dyDescent="0.25">
      <c r="A723" s="21" t="s">
        <v>556</v>
      </c>
      <c r="B723" s="30" t="s">
        <v>556</v>
      </c>
      <c r="C723" s="21" t="s">
        <v>561</v>
      </c>
      <c r="D723" s="21" t="s">
        <v>59</v>
      </c>
      <c r="E723" s="21" t="s">
        <v>203</v>
      </c>
      <c r="F723" s="21"/>
      <c r="G723" s="21"/>
      <c r="H723" s="32"/>
      <c r="I723" s="32">
        <f t="shared" si="28"/>
        <v>0</v>
      </c>
      <c r="J723" s="32"/>
      <c r="K723" s="32">
        <v>0</v>
      </c>
      <c r="L723" s="33">
        <f t="shared" si="29"/>
        <v>0</v>
      </c>
    </row>
    <row r="724" spans="1:12" x14ac:dyDescent="0.25">
      <c r="A724" s="15" t="s">
        <v>556</v>
      </c>
      <c r="B724" s="14" t="s">
        <v>556</v>
      </c>
      <c r="C724" s="15" t="s">
        <v>579</v>
      </c>
      <c r="D724" s="15" t="s">
        <v>59</v>
      </c>
      <c r="E724" s="15" t="s">
        <v>203</v>
      </c>
      <c r="F724" s="34">
        <v>2</v>
      </c>
      <c r="G724" s="34">
        <v>2</v>
      </c>
      <c r="H724" s="35"/>
      <c r="I724" s="35">
        <f t="shared" si="28"/>
        <v>0</v>
      </c>
      <c r="J724" s="35"/>
      <c r="K724" s="35">
        <v>0</v>
      </c>
      <c r="L724" s="36">
        <f t="shared" si="29"/>
        <v>2</v>
      </c>
    </row>
    <row r="725" spans="1:12" x14ac:dyDescent="0.25">
      <c r="A725" s="21" t="s">
        <v>556</v>
      </c>
      <c r="B725" s="30" t="s">
        <v>556</v>
      </c>
      <c r="C725" s="21" t="s">
        <v>562</v>
      </c>
      <c r="D725" s="21" t="s">
        <v>62</v>
      </c>
      <c r="E725" s="21" t="s">
        <v>159</v>
      </c>
      <c r="F725" s="21"/>
      <c r="G725" s="21"/>
      <c r="H725" s="32"/>
      <c r="I725" s="32">
        <f t="shared" si="28"/>
        <v>0</v>
      </c>
      <c r="J725" s="32"/>
      <c r="K725" s="32">
        <v>0</v>
      </c>
      <c r="L725" s="33">
        <f t="shared" si="29"/>
        <v>0</v>
      </c>
    </row>
    <row r="726" spans="1:12" x14ac:dyDescent="0.25">
      <c r="A726" s="15" t="s">
        <v>556</v>
      </c>
      <c r="B726" s="14" t="s">
        <v>556</v>
      </c>
      <c r="C726" s="15" t="s">
        <v>563</v>
      </c>
      <c r="D726" s="15" t="s">
        <v>65</v>
      </c>
      <c r="E726" s="15" t="s">
        <v>82</v>
      </c>
      <c r="F726" s="15"/>
      <c r="G726" s="15"/>
      <c r="H726" s="35"/>
      <c r="I726" s="35">
        <f t="shared" si="28"/>
        <v>0</v>
      </c>
      <c r="J726" s="35"/>
      <c r="K726" s="35">
        <v>0</v>
      </c>
      <c r="L726" s="36">
        <f t="shared" si="29"/>
        <v>0</v>
      </c>
    </row>
    <row r="727" spans="1:12" x14ac:dyDescent="0.25">
      <c r="A727" s="21" t="s">
        <v>556</v>
      </c>
      <c r="B727" s="30" t="s">
        <v>556</v>
      </c>
      <c r="C727" s="21" t="s">
        <v>581</v>
      </c>
      <c r="D727" s="21" t="s">
        <v>65</v>
      </c>
      <c r="E727" s="21" t="s">
        <v>82</v>
      </c>
      <c r="F727" s="31">
        <v>5</v>
      </c>
      <c r="G727" s="31">
        <v>10</v>
      </c>
      <c r="H727" s="32"/>
      <c r="I727" s="32">
        <f t="shared" si="28"/>
        <v>0</v>
      </c>
      <c r="J727" s="32"/>
      <c r="K727" s="32">
        <v>0</v>
      </c>
      <c r="L727" s="33">
        <f t="shared" si="29"/>
        <v>10</v>
      </c>
    </row>
    <row r="728" spans="1:12" x14ac:dyDescent="0.25">
      <c r="A728" s="15" t="s">
        <v>556</v>
      </c>
      <c r="B728" s="14" t="s">
        <v>556</v>
      </c>
      <c r="C728" s="15" t="s">
        <v>410</v>
      </c>
      <c r="D728" s="15" t="s">
        <v>61</v>
      </c>
      <c r="E728" s="15" t="s">
        <v>142</v>
      </c>
      <c r="F728" s="15"/>
      <c r="G728" s="15"/>
      <c r="H728" s="35"/>
      <c r="I728" s="35">
        <f t="shared" si="28"/>
        <v>0</v>
      </c>
      <c r="J728" s="35"/>
      <c r="K728" s="35">
        <v>0</v>
      </c>
      <c r="L728" s="36">
        <f t="shared" si="29"/>
        <v>0</v>
      </c>
    </row>
    <row r="729" spans="1:12" x14ac:dyDescent="0.25">
      <c r="A729" s="21" t="s">
        <v>556</v>
      </c>
      <c r="B729" s="30" t="s">
        <v>556</v>
      </c>
      <c r="C729" s="21" t="s">
        <v>574</v>
      </c>
      <c r="D729" s="21" t="s">
        <v>69</v>
      </c>
      <c r="E729" s="21" t="s">
        <v>90</v>
      </c>
      <c r="F729" s="21"/>
      <c r="G729" s="21"/>
      <c r="H729" s="32"/>
      <c r="I729" s="32">
        <f t="shared" si="28"/>
        <v>0</v>
      </c>
      <c r="J729" s="32"/>
      <c r="K729" s="32">
        <v>0</v>
      </c>
      <c r="L729" s="33">
        <f t="shared" si="29"/>
        <v>0</v>
      </c>
    </row>
    <row r="730" spans="1:12" x14ac:dyDescent="0.25">
      <c r="A730" s="15" t="s">
        <v>556</v>
      </c>
      <c r="B730" s="14" t="s">
        <v>556</v>
      </c>
      <c r="C730" s="15" t="s">
        <v>559</v>
      </c>
      <c r="D730" s="15" t="s">
        <v>47</v>
      </c>
      <c r="E730" s="15" t="s">
        <v>79</v>
      </c>
      <c r="F730" s="15"/>
      <c r="G730" s="15"/>
      <c r="H730" s="35"/>
      <c r="I730" s="35">
        <f t="shared" si="28"/>
        <v>0</v>
      </c>
      <c r="J730" s="35"/>
      <c r="K730" s="35">
        <v>0</v>
      </c>
      <c r="L730" s="36">
        <f t="shared" si="29"/>
        <v>0</v>
      </c>
    </row>
    <row r="731" spans="1:12" x14ac:dyDescent="0.25">
      <c r="A731" s="21" t="s">
        <v>556</v>
      </c>
      <c r="B731" s="30" t="s">
        <v>556</v>
      </c>
      <c r="C731" s="21" t="s">
        <v>404</v>
      </c>
      <c r="D731" s="21" t="s">
        <v>53</v>
      </c>
      <c r="E731" s="21" t="s">
        <v>129</v>
      </c>
      <c r="F731" s="21"/>
      <c r="G731" s="21"/>
      <c r="H731" s="32"/>
      <c r="I731" s="32">
        <f t="shared" si="28"/>
        <v>0</v>
      </c>
      <c r="J731" s="32"/>
      <c r="K731" s="32">
        <v>0</v>
      </c>
      <c r="L731" s="33">
        <f t="shared" si="29"/>
        <v>0</v>
      </c>
    </row>
    <row r="732" spans="1:12" x14ac:dyDescent="0.25">
      <c r="A732" s="15" t="s">
        <v>556</v>
      </c>
      <c r="B732" s="14" t="s">
        <v>556</v>
      </c>
      <c r="C732" s="15" t="s">
        <v>405</v>
      </c>
      <c r="D732" s="15" t="s">
        <v>56</v>
      </c>
      <c r="E732" s="15" t="s">
        <v>162</v>
      </c>
      <c r="F732" s="15"/>
      <c r="G732" s="15"/>
      <c r="H732" s="35"/>
      <c r="I732" s="35">
        <f t="shared" si="28"/>
        <v>0</v>
      </c>
      <c r="J732" s="35"/>
      <c r="K732" s="35">
        <v>0</v>
      </c>
      <c r="L732" s="36">
        <f t="shared" si="29"/>
        <v>0</v>
      </c>
    </row>
    <row r="733" spans="1:12" x14ac:dyDescent="0.25">
      <c r="A733" s="21" t="s">
        <v>556</v>
      </c>
      <c r="B733" s="30" t="s">
        <v>556</v>
      </c>
      <c r="C733" s="21" t="s">
        <v>560</v>
      </c>
      <c r="D733" s="21" t="s">
        <v>59</v>
      </c>
      <c r="E733" s="21" t="s">
        <v>203</v>
      </c>
      <c r="F733" s="31">
        <v>5</v>
      </c>
      <c r="G733" s="31">
        <v>15</v>
      </c>
      <c r="H733" s="32"/>
      <c r="I733" s="32">
        <f t="shared" si="28"/>
        <v>0</v>
      </c>
      <c r="J733" s="32"/>
      <c r="K733" s="32">
        <v>0</v>
      </c>
      <c r="L733" s="33">
        <f t="shared" si="29"/>
        <v>15</v>
      </c>
    </row>
    <row r="734" spans="1:12" x14ac:dyDescent="0.25">
      <c r="A734" s="15" t="s">
        <v>556</v>
      </c>
      <c r="B734" s="14" t="s">
        <v>556</v>
      </c>
      <c r="C734" s="15" t="s">
        <v>561</v>
      </c>
      <c r="D734" s="15" t="s">
        <v>59</v>
      </c>
      <c r="E734" s="15" t="s">
        <v>203</v>
      </c>
      <c r="F734" s="15"/>
      <c r="G734" s="15"/>
      <c r="H734" s="35"/>
      <c r="I734" s="35">
        <f t="shared" si="28"/>
        <v>0</v>
      </c>
      <c r="J734" s="35"/>
      <c r="K734" s="35">
        <v>0</v>
      </c>
      <c r="L734" s="36">
        <f t="shared" si="29"/>
        <v>0</v>
      </c>
    </row>
    <row r="735" spans="1:12" x14ac:dyDescent="0.25">
      <c r="A735" s="21" t="s">
        <v>556</v>
      </c>
      <c r="B735" s="30" t="s">
        <v>556</v>
      </c>
      <c r="C735" s="21" t="s">
        <v>562</v>
      </c>
      <c r="D735" s="21" t="s">
        <v>62</v>
      </c>
      <c r="E735" s="21" t="s">
        <v>159</v>
      </c>
      <c r="F735" s="21"/>
      <c r="G735" s="21"/>
      <c r="H735" s="32"/>
      <c r="I735" s="32">
        <f t="shared" si="28"/>
        <v>0</v>
      </c>
      <c r="J735" s="32"/>
      <c r="K735" s="32">
        <v>0</v>
      </c>
      <c r="L735" s="33">
        <f t="shared" si="29"/>
        <v>0</v>
      </c>
    </row>
    <row r="736" spans="1:12" x14ac:dyDescent="0.25">
      <c r="A736" s="15" t="s">
        <v>556</v>
      </c>
      <c r="B736" s="14" t="s">
        <v>556</v>
      </c>
      <c r="C736" s="15" t="s">
        <v>563</v>
      </c>
      <c r="D736" s="15" t="s">
        <v>65</v>
      </c>
      <c r="E736" s="15" t="s">
        <v>82</v>
      </c>
      <c r="F736" s="15"/>
      <c r="G736" s="15"/>
      <c r="H736" s="35"/>
      <c r="I736" s="35">
        <f t="shared" si="28"/>
        <v>0</v>
      </c>
      <c r="J736" s="35"/>
      <c r="K736" s="35">
        <v>0</v>
      </c>
      <c r="L736" s="36">
        <f t="shared" si="29"/>
        <v>0</v>
      </c>
    </row>
    <row r="737" spans="1:12" x14ac:dyDescent="0.25">
      <c r="A737" s="21" t="s">
        <v>556</v>
      </c>
      <c r="B737" s="30" t="s">
        <v>556</v>
      </c>
      <c r="C737" s="21" t="s">
        <v>581</v>
      </c>
      <c r="D737" s="21" t="s">
        <v>65</v>
      </c>
      <c r="E737" s="21" t="s">
        <v>82</v>
      </c>
      <c r="F737" s="31">
        <v>5</v>
      </c>
      <c r="G737" s="31">
        <v>10</v>
      </c>
      <c r="H737" s="32"/>
      <c r="I737" s="32">
        <f t="shared" si="28"/>
        <v>0</v>
      </c>
      <c r="J737" s="32"/>
      <c r="K737" s="32">
        <v>0</v>
      </c>
      <c r="L737" s="33">
        <f t="shared" si="29"/>
        <v>10</v>
      </c>
    </row>
    <row r="738" spans="1:12" x14ac:dyDescent="0.25">
      <c r="A738" s="15" t="s">
        <v>556</v>
      </c>
      <c r="B738" s="14" t="s">
        <v>556</v>
      </c>
      <c r="C738" s="15" t="s">
        <v>410</v>
      </c>
      <c r="D738" s="15" t="s">
        <v>61</v>
      </c>
      <c r="E738" s="15" t="s">
        <v>142</v>
      </c>
      <c r="F738" s="34">
        <v>3</v>
      </c>
      <c r="G738" s="34">
        <v>10</v>
      </c>
      <c r="H738" s="35"/>
      <c r="I738" s="35">
        <f t="shared" si="28"/>
        <v>0</v>
      </c>
      <c r="J738" s="35"/>
      <c r="K738" s="35">
        <v>0</v>
      </c>
      <c r="L738" s="36">
        <f t="shared" si="29"/>
        <v>10</v>
      </c>
    </row>
    <row r="739" spans="1:12" x14ac:dyDescent="0.25">
      <c r="A739" s="21" t="s">
        <v>556</v>
      </c>
      <c r="B739" s="30" t="s">
        <v>556</v>
      </c>
      <c r="C739" s="21" t="s">
        <v>576</v>
      </c>
      <c r="D739" s="21" t="s">
        <v>69</v>
      </c>
      <c r="E739" s="21" t="s">
        <v>90</v>
      </c>
      <c r="F739" s="21"/>
      <c r="G739" s="21"/>
      <c r="H739" s="32"/>
      <c r="I739" s="32">
        <f t="shared" si="28"/>
        <v>0</v>
      </c>
      <c r="J739" s="32"/>
      <c r="K739" s="32">
        <v>0</v>
      </c>
      <c r="L739" s="33">
        <f t="shared" si="29"/>
        <v>0</v>
      </c>
    </row>
    <row r="740" spans="1:12" x14ac:dyDescent="0.25">
      <c r="A740" s="15" t="s">
        <v>556</v>
      </c>
      <c r="B740" s="14" t="s">
        <v>556</v>
      </c>
      <c r="C740" s="15" t="s">
        <v>559</v>
      </c>
      <c r="D740" s="15" t="s">
        <v>47</v>
      </c>
      <c r="E740" s="15" t="s">
        <v>79</v>
      </c>
      <c r="F740" s="15"/>
      <c r="G740" s="15"/>
      <c r="H740" s="35"/>
      <c r="I740" s="35">
        <f t="shared" si="28"/>
        <v>0</v>
      </c>
      <c r="J740" s="35"/>
      <c r="K740" s="35">
        <v>0</v>
      </c>
      <c r="L740" s="36">
        <f t="shared" si="29"/>
        <v>0</v>
      </c>
    </row>
    <row r="741" spans="1:12" x14ac:dyDescent="0.25">
      <c r="A741" s="21" t="s">
        <v>556</v>
      </c>
      <c r="B741" s="30" t="s">
        <v>556</v>
      </c>
      <c r="C741" s="21" t="s">
        <v>404</v>
      </c>
      <c r="D741" s="21" t="s">
        <v>53</v>
      </c>
      <c r="E741" s="21" t="s">
        <v>129</v>
      </c>
      <c r="F741" s="21"/>
      <c r="G741" s="21"/>
      <c r="H741" s="32"/>
      <c r="I741" s="32">
        <f t="shared" si="28"/>
        <v>0</v>
      </c>
      <c r="J741" s="32"/>
      <c r="K741" s="32">
        <v>0</v>
      </c>
      <c r="L741" s="33">
        <f t="shared" si="29"/>
        <v>0</v>
      </c>
    </row>
    <row r="742" spans="1:12" x14ac:dyDescent="0.25">
      <c r="A742" s="15" t="s">
        <v>556</v>
      </c>
      <c r="B742" s="14" t="s">
        <v>556</v>
      </c>
      <c r="C742" s="15" t="s">
        <v>405</v>
      </c>
      <c r="D742" s="15" t="s">
        <v>56</v>
      </c>
      <c r="E742" s="15" t="s">
        <v>162</v>
      </c>
      <c r="F742" s="15"/>
      <c r="G742" s="15"/>
      <c r="H742" s="35"/>
      <c r="I742" s="35">
        <f t="shared" si="28"/>
        <v>0</v>
      </c>
      <c r="J742" s="35"/>
      <c r="K742" s="35">
        <v>0</v>
      </c>
      <c r="L742" s="36">
        <f t="shared" si="29"/>
        <v>0</v>
      </c>
    </row>
    <row r="743" spans="1:12" x14ac:dyDescent="0.25">
      <c r="A743" s="21" t="s">
        <v>556</v>
      </c>
      <c r="B743" s="30" t="s">
        <v>556</v>
      </c>
      <c r="C743" s="21" t="s">
        <v>560</v>
      </c>
      <c r="D743" s="21" t="s">
        <v>59</v>
      </c>
      <c r="E743" s="21" t="s">
        <v>203</v>
      </c>
      <c r="F743" s="31">
        <v>10</v>
      </c>
      <c r="G743" s="31">
        <v>10</v>
      </c>
      <c r="H743" s="32"/>
      <c r="I743" s="32">
        <f t="shared" si="28"/>
        <v>0</v>
      </c>
      <c r="J743" s="32"/>
      <c r="K743" s="32">
        <v>0</v>
      </c>
      <c r="L743" s="33">
        <f t="shared" si="29"/>
        <v>10</v>
      </c>
    </row>
    <row r="744" spans="1:12" x14ac:dyDescent="0.25">
      <c r="A744" s="15" t="s">
        <v>556</v>
      </c>
      <c r="B744" s="14" t="s">
        <v>556</v>
      </c>
      <c r="C744" s="15" t="s">
        <v>561</v>
      </c>
      <c r="D744" s="15" t="s">
        <v>59</v>
      </c>
      <c r="E744" s="15" t="s">
        <v>203</v>
      </c>
      <c r="F744" s="15"/>
      <c r="G744" s="15"/>
      <c r="H744" s="35"/>
      <c r="I744" s="35">
        <f t="shared" si="28"/>
        <v>0</v>
      </c>
      <c r="J744" s="35"/>
      <c r="K744" s="35">
        <v>0</v>
      </c>
      <c r="L744" s="36">
        <f t="shared" si="29"/>
        <v>0</v>
      </c>
    </row>
    <row r="745" spans="1:12" x14ac:dyDescent="0.25">
      <c r="A745" s="21" t="s">
        <v>556</v>
      </c>
      <c r="B745" s="30" t="s">
        <v>556</v>
      </c>
      <c r="C745" s="21" t="s">
        <v>579</v>
      </c>
      <c r="D745" s="21" t="s">
        <v>59</v>
      </c>
      <c r="E745" s="21" t="s">
        <v>203</v>
      </c>
      <c r="F745" s="31">
        <v>3</v>
      </c>
      <c r="G745" s="31">
        <v>5</v>
      </c>
      <c r="H745" s="32"/>
      <c r="I745" s="32">
        <f t="shared" si="28"/>
        <v>0</v>
      </c>
      <c r="J745" s="32"/>
      <c r="K745" s="32">
        <v>0</v>
      </c>
      <c r="L745" s="33">
        <f t="shared" si="29"/>
        <v>5</v>
      </c>
    </row>
    <row r="746" spans="1:12" x14ac:dyDescent="0.25">
      <c r="A746" s="15" t="s">
        <v>556</v>
      </c>
      <c r="B746" s="14" t="s">
        <v>556</v>
      </c>
      <c r="C746" s="15" t="s">
        <v>583</v>
      </c>
      <c r="D746" s="15" t="s">
        <v>59</v>
      </c>
      <c r="E746" s="15" t="s">
        <v>203</v>
      </c>
      <c r="F746" s="34">
        <v>2</v>
      </c>
      <c r="G746" s="34">
        <v>2</v>
      </c>
      <c r="H746" s="35"/>
      <c r="I746" s="35">
        <f t="shared" si="28"/>
        <v>0</v>
      </c>
      <c r="J746" s="35"/>
      <c r="K746" s="35">
        <v>0</v>
      </c>
      <c r="L746" s="36">
        <f t="shared" si="29"/>
        <v>2</v>
      </c>
    </row>
    <row r="747" spans="1:12" x14ac:dyDescent="0.25">
      <c r="A747" s="21" t="s">
        <v>556</v>
      </c>
      <c r="B747" s="30" t="s">
        <v>556</v>
      </c>
      <c r="C747" s="21" t="s">
        <v>584</v>
      </c>
      <c r="D747" s="21" t="s">
        <v>59</v>
      </c>
      <c r="E747" s="21" t="s">
        <v>203</v>
      </c>
      <c r="F747" s="31">
        <v>1</v>
      </c>
      <c r="G747" s="31">
        <v>2</v>
      </c>
      <c r="H747" s="32"/>
      <c r="I747" s="32">
        <f t="shared" si="28"/>
        <v>0</v>
      </c>
      <c r="J747" s="32"/>
      <c r="K747" s="32">
        <v>0</v>
      </c>
      <c r="L747" s="33">
        <f t="shared" si="29"/>
        <v>2</v>
      </c>
    </row>
    <row r="748" spans="1:12" x14ac:dyDescent="0.25">
      <c r="A748" s="15" t="s">
        <v>556</v>
      </c>
      <c r="B748" s="14" t="s">
        <v>556</v>
      </c>
      <c r="C748" s="15" t="s">
        <v>580</v>
      </c>
      <c r="D748" s="15" t="s">
        <v>59</v>
      </c>
      <c r="E748" s="15" t="s">
        <v>203</v>
      </c>
      <c r="F748" s="34">
        <v>1</v>
      </c>
      <c r="G748" s="34">
        <v>2</v>
      </c>
      <c r="H748" s="35"/>
      <c r="I748" s="35">
        <f t="shared" si="28"/>
        <v>0</v>
      </c>
      <c r="J748" s="35"/>
      <c r="K748" s="35">
        <v>0</v>
      </c>
      <c r="L748" s="36">
        <f t="shared" si="29"/>
        <v>2</v>
      </c>
    </row>
    <row r="749" spans="1:12" x14ac:dyDescent="0.25">
      <c r="A749" s="21" t="s">
        <v>556</v>
      </c>
      <c r="B749" s="30" t="s">
        <v>556</v>
      </c>
      <c r="C749" s="21" t="s">
        <v>562</v>
      </c>
      <c r="D749" s="21" t="s">
        <v>62</v>
      </c>
      <c r="E749" s="21" t="s">
        <v>159</v>
      </c>
      <c r="F749" s="21"/>
      <c r="G749" s="21"/>
      <c r="H749" s="32"/>
      <c r="I749" s="32">
        <f t="shared" si="28"/>
        <v>0</v>
      </c>
      <c r="J749" s="32"/>
      <c r="K749" s="32">
        <v>0</v>
      </c>
      <c r="L749" s="33">
        <f t="shared" si="29"/>
        <v>0</v>
      </c>
    </row>
    <row r="750" spans="1:12" x14ac:dyDescent="0.25">
      <c r="A750" s="15" t="s">
        <v>556</v>
      </c>
      <c r="B750" s="14" t="s">
        <v>556</v>
      </c>
      <c r="C750" s="15" t="s">
        <v>563</v>
      </c>
      <c r="D750" s="15" t="s">
        <v>65</v>
      </c>
      <c r="E750" s="15" t="s">
        <v>82</v>
      </c>
      <c r="F750" s="15"/>
      <c r="G750" s="15"/>
      <c r="H750" s="35"/>
      <c r="I750" s="35">
        <f t="shared" si="28"/>
        <v>0</v>
      </c>
      <c r="J750" s="35"/>
      <c r="K750" s="35">
        <v>0</v>
      </c>
      <c r="L750" s="36">
        <f t="shared" si="29"/>
        <v>0</v>
      </c>
    </row>
    <row r="751" spans="1:12" x14ac:dyDescent="0.25">
      <c r="A751" s="21" t="s">
        <v>556</v>
      </c>
      <c r="B751" s="30" t="s">
        <v>556</v>
      </c>
      <c r="C751" s="21" t="s">
        <v>581</v>
      </c>
      <c r="D751" s="21" t="s">
        <v>65</v>
      </c>
      <c r="E751" s="21" t="s">
        <v>82</v>
      </c>
      <c r="F751" s="31">
        <v>5</v>
      </c>
      <c r="G751" s="31">
        <v>10</v>
      </c>
      <c r="H751" s="32"/>
      <c r="I751" s="32">
        <f t="shared" si="28"/>
        <v>0</v>
      </c>
      <c r="J751" s="32"/>
      <c r="K751" s="32">
        <v>0</v>
      </c>
      <c r="L751" s="33">
        <f t="shared" si="29"/>
        <v>10</v>
      </c>
    </row>
    <row r="752" spans="1:12" x14ac:dyDescent="0.25">
      <c r="A752" s="15" t="s">
        <v>556</v>
      </c>
      <c r="B752" s="14" t="s">
        <v>556</v>
      </c>
      <c r="C752" s="15" t="s">
        <v>410</v>
      </c>
      <c r="D752" s="15" t="s">
        <v>61</v>
      </c>
      <c r="E752" s="15" t="s">
        <v>142</v>
      </c>
      <c r="F752" s="15"/>
      <c r="G752" s="15"/>
      <c r="H752" s="35"/>
      <c r="I752" s="35">
        <f t="shared" si="28"/>
        <v>0</v>
      </c>
      <c r="J752" s="35"/>
      <c r="K752" s="35">
        <v>0</v>
      </c>
      <c r="L752" s="36">
        <f t="shared" si="29"/>
        <v>0</v>
      </c>
    </row>
    <row r="753" spans="1:12" x14ac:dyDescent="0.25">
      <c r="A753" s="21" t="s">
        <v>556</v>
      </c>
      <c r="B753" s="30" t="s">
        <v>556</v>
      </c>
      <c r="C753" s="21" t="s">
        <v>578</v>
      </c>
      <c r="D753" s="21" t="s">
        <v>69</v>
      </c>
      <c r="E753" s="21" t="s">
        <v>90</v>
      </c>
      <c r="F753" s="21"/>
      <c r="G753" s="21"/>
      <c r="H753" s="32"/>
      <c r="I753" s="32">
        <f t="shared" si="28"/>
        <v>0</v>
      </c>
      <c r="J753" s="32"/>
      <c r="K753" s="32">
        <v>0</v>
      </c>
      <c r="L753" s="33">
        <f t="shared" si="29"/>
        <v>0</v>
      </c>
    </row>
    <row r="754" spans="1:12" x14ac:dyDescent="0.25">
      <c r="A754" s="15" t="s">
        <v>556</v>
      </c>
      <c r="B754" s="14" t="s">
        <v>556</v>
      </c>
      <c r="C754" s="15" t="s">
        <v>585</v>
      </c>
      <c r="D754" s="15" t="s">
        <v>56</v>
      </c>
      <c r="E754" s="15" t="s">
        <v>162</v>
      </c>
      <c r="F754" s="15"/>
      <c r="G754" s="15"/>
      <c r="H754" s="35"/>
      <c r="I754" s="35">
        <f t="shared" si="28"/>
        <v>0</v>
      </c>
      <c r="J754" s="35"/>
      <c r="K754" s="35">
        <v>0</v>
      </c>
      <c r="L754" s="36">
        <f t="shared" si="29"/>
        <v>0</v>
      </c>
    </row>
    <row r="755" spans="1:12" x14ac:dyDescent="0.25">
      <c r="A755" s="21" t="s">
        <v>556</v>
      </c>
      <c r="B755" s="30" t="s">
        <v>556</v>
      </c>
      <c r="C755" s="21" t="s">
        <v>586</v>
      </c>
      <c r="D755" s="21" t="s">
        <v>56</v>
      </c>
      <c r="E755" s="21" t="s">
        <v>162</v>
      </c>
      <c r="F755" s="21"/>
      <c r="G755" s="21"/>
      <c r="H755" s="32"/>
      <c r="I755" s="32">
        <f t="shared" si="28"/>
        <v>0</v>
      </c>
      <c r="J755" s="32"/>
      <c r="K755" s="32">
        <v>0</v>
      </c>
      <c r="L755" s="33">
        <f t="shared" si="29"/>
        <v>0</v>
      </c>
    </row>
    <row r="756" spans="1:12" x14ac:dyDescent="0.25">
      <c r="A756" s="15" t="s">
        <v>556</v>
      </c>
      <c r="B756" s="14" t="s">
        <v>556</v>
      </c>
      <c r="C756" s="15" t="s">
        <v>587</v>
      </c>
      <c r="D756" s="15" t="s">
        <v>56</v>
      </c>
      <c r="E756" s="15" t="s">
        <v>162</v>
      </c>
      <c r="F756" s="15"/>
      <c r="G756" s="15"/>
      <c r="H756" s="35"/>
      <c r="I756" s="35">
        <f t="shared" si="28"/>
        <v>0</v>
      </c>
      <c r="J756" s="35"/>
      <c r="K756" s="35">
        <v>0</v>
      </c>
      <c r="L756" s="36">
        <f t="shared" si="29"/>
        <v>0</v>
      </c>
    </row>
    <row r="757" spans="1:12" x14ac:dyDescent="0.25">
      <c r="A757" s="21" t="s">
        <v>556</v>
      </c>
      <c r="B757" s="30" t="s">
        <v>556</v>
      </c>
      <c r="C757" s="21" t="s">
        <v>588</v>
      </c>
      <c r="D757" s="21" t="s">
        <v>56</v>
      </c>
      <c r="E757" s="21" t="s">
        <v>162</v>
      </c>
      <c r="F757" s="21"/>
      <c r="G757" s="21"/>
      <c r="H757" s="32"/>
      <c r="I757" s="32">
        <f t="shared" si="28"/>
        <v>0</v>
      </c>
      <c r="J757" s="32"/>
      <c r="K757" s="32">
        <v>0</v>
      </c>
      <c r="L757" s="33">
        <f t="shared" si="29"/>
        <v>0</v>
      </c>
    </row>
    <row r="758" spans="1:12" x14ac:dyDescent="0.25">
      <c r="A758" s="15" t="s">
        <v>556</v>
      </c>
      <c r="B758" s="14" t="s">
        <v>556</v>
      </c>
      <c r="C758" s="15" t="s">
        <v>589</v>
      </c>
      <c r="D758" s="15" t="s">
        <v>56</v>
      </c>
      <c r="E758" s="15" t="s">
        <v>162</v>
      </c>
      <c r="F758" s="15"/>
      <c r="G758" s="15"/>
      <c r="H758" s="35"/>
      <c r="I758" s="35">
        <f t="shared" si="28"/>
        <v>0</v>
      </c>
      <c r="J758" s="35"/>
      <c r="K758" s="35">
        <v>0</v>
      </c>
      <c r="L758" s="36">
        <f t="shared" si="29"/>
        <v>0</v>
      </c>
    </row>
    <row r="759" spans="1:12" x14ac:dyDescent="0.25">
      <c r="A759" s="21" t="s">
        <v>556</v>
      </c>
      <c r="B759" s="30" t="s">
        <v>556</v>
      </c>
      <c r="C759" s="21" t="s">
        <v>590</v>
      </c>
      <c r="D759" s="21" t="s">
        <v>56</v>
      </c>
      <c r="E759" s="21" t="s">
        <v>162</v>
      </c>
      <c r="F759" s="21"/>
      <c r="G759" s="21"/>
      <c r="H759" s="32"/>
      <c r="I759" s="32">
        <f t="shared" si="28"/>
        <v>0</v>
      </c>
      <c r="J759" s="32"/>
      <c r="K759" s="32">
        <v>0</v>
      </c>
      <c r="L759" s="33">
        <f t="shared" si="29"/>
        <v>0</v>
      </c>
    </row>
    <row r="760" spans="1:12" x14ac:dyDescent="0.25">
      <c r="A760" s="15" t="s">
        <v>556</v>
      </c>
      <c r="B760" s="14" t="s">
        <v>556</v>
      </c>
      <c r="C760" s="15" t="s">
        <v>591</v>
      </c>
      <c r="D760" s="15" t="s">
        <v>56</v>
      </c>
      <c r="E760" s="15" t="s">
        <v>162</v>
      </c>
      <c r="F760" s="15"/>
      <c r="G760" s="15"/>
      <c r="H760" s="35"/>
      <c r="I760" s="35">
        <f t="shared" si="28"/>
        <v>0</v>
      </c>
      <c r="J760" s="35"/>
      <c r="K760" s="35">
        <v>0</v>
      </c>
      <c r="L760" s="36">
        <f t="shared" si="29"/>
        <v>0</v>
      </c>
    </row>
    <row r="761" spans="1:12" x14ac:dyDescent="0.25">
      <c r="A761" s="21" t="s">
        <v>556</v>
      </c>
      <c r="B761" s="30" t="s">
        <v>556</v>
      </c>
      <c r="C761" s="21" t="s">
        <v>592</v>
      </c>
      <c r="D761" s="21" t="s">
        <v>56</v>
      </c>
      <c r="E761" s="21" t="s">
        <v>162</v>
      </c>
      <c r="F761" s="21"/>
      <c r="G761" s="21"/>
      <c r="H761" s="32"/>
      <c r="I761" s="32">
        <f t="shared" si="28"/>
        <v>0</v>
      </c>
      <c r="J761" s="32"/>
      <c r="K761" s="32">
        <v>0</v>
      </c>
      <c r="L761" s="33">
        <f t="shared" si="29"/>
        <v>0</v>
      </c>
    </row>
    <row r="762" spans="1:12" x14ac:dyDescent="0.25">
      <c r="A762" s="15" t="s">
        <v>556</v>
      </c>
      <c r="B762" s="14" t="s">
        <v>556</v>
      </c>
      <c r="C762" s="15" t="s">
        <v>593</v>
      </c>
      <c r="D762" s="15" t="s">
        <v>56</v>
      </c>
      <c r="E762" s="15" t="s">
        <v>162</v>
      </c>
      <c r="F762" s="15"/>
      <c r="G762" s="15"/>
      <c r="H762" s="35"/>
      <c r="I762" s="35">
        <f t="shared" si="28"/>
        <v>0</v>
      </c>
      <c r="J762" s="35"/>
      <c r="K762" s="35">
        <v>0</v>
      </c>
      <c r="L762" s="36">
        <f t="shared" si="29"/>
        <v>0</v>
      </c>
    </row>
    <row r="763" spans="1:12" x14ac:dyDescent="0.25">
      <c r="A763" s="21" t="s">
        <v>556</v>
      </c>
      <c r="B763" s="30" t="s">
        <v>556</v>
      </c>
      <c r="C763" s="21" t="s">
        <v>594</v>
      </c>
      <c r="D763" s="21" t="s">
        <v>56</v>
      </c>
      <c r="E763" s="21" t="s">
        <v>162</v>
      </c>
      <c r="F763" s="21"/>
      <c r="G763" s="21"/>
      <c r="H763" s="32"/>
      <c r="I763" s="32">
        <f t="shared" si="28"/>
        <v>0</v>
      </c>
      <c r="J763" s="32"/>
      <c r="K763" s="32">
        <v>0</v>
      </c>
      <c r="L763" s="33">
        <f t="shared" si="29"/>
        <v>0</v>
      </c>
    </row>
    <row r="764" spans="1:12" x14ac:dyDescent="0.25">
      <c r="A764" s="15" t="s">
        <v>556</v>
      </c>
      <c r="B764" s="14" t="s">
        <v>556</v>
      </c>
      <c r="C764" s="15" t="s">
        <v>595</v>
      </c>
      <c r="D764" s="15" t="s">
        <v>56</v>
      </c>
      <c r="E764" s="15" t="s">
        <v>162</v>
      </c>
      <c r="F764" s="15"/>
      <c r="G764" s="15"/>
      <c r="H764" s="35"/>
      <c r="I764" s="35">
        <f t="shared" ref="I764:I827" si="30">IF(H764="",0,G764)</f>
        <v>0</v>
      </c>
      <c r="J764" s="35"/>
      <c r="K764" s="35">
        <v>0</v>
      </c>
      <c r="L764" s="36">
        <f t="shared" ref="L764:L827" si="31">G764-I764-K764</f>
        <v>0</v>
      </c>
    </row>
    <row r="765" spans="1:12" x14ac:dyDescent="0.25">
      <c r="A765" s="21" t="s">
        <v>556</v>
      </c>
      <c r="B765" s="30" t="s">
        <v>556</v>
      </c>
      <c r="C765" s="21" t="s">
        <v>596</v>
      </c>
      <c r="D765" s="21" t="s">
        <v>56</v>
      </c>
      <c r="E765" s="21" t="s">
        <v>162</v>
      </c>
      <c r="F765" s="21"/>
      <c r="G765" s="21"/>
      <c r="H765" s="32"/>
      <c r="I765" s="32">
        <f t="shared" si="30"/>
        <v>0</v>
      </c>
      <c r="J765" s="32"/>
      <c r="K765" s="32">
        <v>0</v>
      </c>
      <c r="L765" s="33">
        <f t="shared" si="31"/>
        <v>0</v>
      </c>
    </row>
    <row r="766" spans="1:12" x14ac:dyDescent="0.25">
      <c r="A766" s="15" t="s">
        <v>556</v>
      </c>
      <c r="B766" s="14" t="s">
        <v>556</v>
      </c>
      <c r="C766" s="15" t="s">
        <v>597</v>
      </c>
      <c r="D766" s="15" t="s">
        <v>56</v>
      </c>
      <c r="E766" s="15" t="s">
        <v>162</v>
      </c>
      <c r="F766" s="15"/>
      <c r="G766" s="15"/>
      <c r="H766" s="35"/>
      <c r="I766" s="35">
        <f t="shared" si="30"/>
        <v>0</v>
      </c>
      <c r="J766" s="35"/>
      <c r="K766" s="35">
        <v>0</v>
      </c>
      <c r="L766" s="36">
        <f t="shared" si="31"/>
        <v>0</v>
      </c>
    </row>
    <row r="767" spans="1:12" x14ac:dyDescent="0.25">
      <c r="A767" s="21" t="s">
        <v>598</v>
      </c>
      <c r="B767" s="30" t="s">
        <v>598</v>
      </c>
      <c r="C767" s="21" t="s">
        <v>599</v>
      </c>
      <c r="D767" s="21" t="s">
        <v>47</v>
      </c>
      <c r="E767" s="21" t="s">
        <v>79</v>
      </c>
      <c r="F767" s="31">
        <v>5</v>
      </c>
      <c r="G767" s="31">
        <v>12</v>
      </c>
      <c r="H767" s="32"/>
      <c r="I767" s="32">
        <f t="shared" si="30"/>
        <v>0</v>
      </c>
      <c r="J767" s="32"/>
      <c r="K767" s="32">
        <v>0</v>
      </c>
      <c r="L767" s="33">
        <f t="shared" si="31"/>
        <v>12</v>
      </c>
    </row>
    <row r="768" spans="1:12" x14ac:dyDescent="0.25">
      <c r="A768" s="15" t="s">
        <v>598</v>
      </c>
      <c r="B768" s="14" t="s">
        <v>598</v>
      </c>
      <c r="C768" s="15" t="s">
        <v>600</v>
      </c>
      <c r="D768" s="15" t="s">
        <v>65</v>
      </c>
      <c r="E768" s="15" t="s">
        <v>82</v>
      </c>
      <c r="F768" s="15"/>
      <c r="G768" s="15"/>
      <c r="H768" s="35"/>
      <c r="I768" s="35">
        <f t="shared" si="30"/>
        <v>0</v>
      </c>
      <c r="J768" s="35"/>
      <c r="K768" s="35">
        <v>0</v>
      </c>
      <c r="L768" s="36">
        <f t="shared" si="31"/>
        <v>0</v>
      </c>
    </row>
    <row r="769" spans="1:12" x14ac:dyDescent="0.25">
      <c r="A769" s="21" t="s">
        <v>598</v>
      </c>
      <c r="B769" s="30" t="s">
        <v>598</v>
      </c>
      <c r="C769" s="21" t="s">
        <v>601</v>
      </c>
      <c r="D769" s="21" t="s">
        <v>65</v>
      </c>
      <c r="E769" s="21" t="s">
        <v>82</v>
      </c>
      <c r="F769" s="21"/>
      <c r="G769" s="21"/>
      <c r="H769" s="32"/>
      <c r="I769" s="32">
        <f t="shared" si="30"/>
        <v>0</v>
      </c>
      <c r="J769" s="32"/>
      <c r="K769" s="32">
        <v>0</v>
      </c>
      <c r="L769" s="33">
        <f t="shared" si="31"/>
        <v>0</v>
      </c>
    </row>
    <row r="770" spans="1:12" x14ac:dyDescent="0.25">
      <c r="A770" s="15" t="s">
        <v>598</v>
      </c>
      <c r="B770" s="14" t="s">
        <v>598</v>
      </c>
      <c r="C770" s="15" t="s">
        <v>602</v>
      </c>
      <c r="D770" s="15" t="s">
        <v>47</v>
      </c>
      <c r="E770" s="15" t="s">
        <v>79</v>
      </c>
      <c r="F770" s="34">
        <v>6</v>
      </c>
      <c r="G770" s="34">
        <v>7</v>
      </c>
      <c r="H770" s="35"/>
      <c r="I770" s="35">
        <f t="shared" si="30"/>
        <v>0</v>
      </c>
      <c r="J770" s="35"/>
      <c r="K770" s="35">
        <v>0</v>
      </c>
      <c r="L770" s="36">
        <f t="shared" si="31"/>
        <v>7</v>
      </c>
    </row>
    <row r="771" spans="1:12" x14ac:dyDescent="0.25">
      <c r="A771" s="21" t="s">
        <v>598</v>
      </c>
      <c r="B771" s="30" t="s">
        <v>598</v>
      </c>
      <c r="C771" s="21" t="s">
        <v>603</v>
      </c>
      <c r="D771" s="21" t="s">
        <v>47</v>
      </c>
      <c r="E771" s="21" t="s">
        <v>79</v>
      </c>
      <c r="F771" s="21"/>
      <c r="G771" s="31">
        <v>6</v>
      </c>
      <c r="H771" s="32"/>
      <c r="I771" s="32">
        <f t="shared" si="30"/>
        <v>0</v>
      </c>
      <c r="J771" s="32"/>
      <c r="K771" s="32">
        <v>0</v>
      </c>
      <c r="L771" s="33">
        <f t="shared" si="31"/>
        <v>6</v>
      </c>
    </row>
    <row r="772" spans="1:12" x14ac:dyDescent="0.25">
      <c r="A772" s="15" t="s">
        <v>598</v>
      </c>
      <c r="B772" s="14" t="s">
        <v>598</v>
      </c>
      <c r="C772" s="15" t="s">
        <v>604</v>
      </c>
      <c r="D772" s="15" t="s">
        <v>53</v>
      </c>
      <c r="E772" s="15" t="s">
        <v>129</v>
      </c>
      <c r="F772" s="15"/>
      <c r="G772" s="15"/>
      <c r="H772" s="35"/>
      <c r="I772" s="35">
        <f t="shared" si="30"/>
        <v>0</v>
      </c>
      <c r="J772" s="35"/>
      <c r="K772" s="35">
        <v>0</v>
      </c>
      <c r="L772" s="36">
        <f t="shared" si="31"/>
        <v>0</v>
      </c>
    </row>
    <row r="773" spans="1:12" x14ac:dyDescent="0.25">
      <c r="A773" s="21" t="s">
        <v>598</v>
      </c>
      <c r="B773" s="30" t="s">
        <v>598</v>
      </c>
      <c r="C773" s="21" t="s">
        <v>605</v>
      </c>
      <c r="D773" s="21" t="s">
        <v>49</v>
      </c>
      <c r="E773" s="21" t="s">
        <v>134</v>
      </c>
      <c r="F773" s="31">
        <v>3</v>
      </c>
      <c r="G773" s="31">
        <v>10</v>
      </c>
      <c r="H773" s="32"/>
      <c r="I773" s="32">
        <f t="shared" si="30"/>
        <v>0</v>
      </c>
      <c r="J773" s="32"/>
      <c r="K773" s="32">
        <v>0</v>
      </c>
      <c r="L773" s="33">
        <f t="shared" si="31"/>
        <v>10</v>
      </c>
    </row>
    <row r="774" spans="1:12" x14ac:dyDescent="0.25">
      <c r="A774" s="15" t="s">
        <v>598</v>
      </c>
      <c r="B774" s="14" t="s">
        <v>598</v>
      </c>
      <c r="C774" s="15" t="s">
        <v>606</v>
      </c>
      <c r="D774" s="15" t="s">
        <v>57</v>
      </c>
      <c r="E774" s="15" t="s">
        <v>136</v>
      </c>
      <c r="F774" s="15"/>
      <c r="G774" s="15"/>
      <c r="H774" s="35"/>
      <c r="I774" s="35">
        <f t="shared" si="30"/>
        <v>0</v>
      </c>
      <c r="J774" s="35"/>
      <c r="K774" s="35">
        <v>0</v>
      </c>
      <c r="L774" s="36">
        <f t="shared" si="31"/>
        <v>0</v>
      </c>
    </row>
    <row r="775" spans="1:12" x14ac:dyDescent="0.25">
      <c r="A775" s="21" t="s">
        <v>598</v>
      </c>
      <c r="B775" s="30" t="s">
        <v>598</v>
      </c>
      <c r="C775" s="21" t="s">
        <v>607</v>
      </c>
      <c r="D775" s="21" t="s">
        <v>57</v>
      </c>
      <c r="E775" s="21" t="s">
        <v>136</v>
      </c>
      <c r="F775" s="21"/>
      <c r="G775" s="21"/>
      <c r="H775" s="32"/>
      <c r="I775" s="32">
        <f t="shared" si="30"/>
        <v>0</v>
      </c>
      <c r="J775" s="32"/>
      <c r="K775" s="32">
        <v>0</v>
      </c>
      <c r="L775" s="33">
        <f t="shared" si="31"/>
        <v>0</v>
      </c>
    </row>
    <row r="776" spans="1:12" x14ac:dyDescent="0.25">
      <c r="A776" s="15" t="s">
        <v>598</v>
      </c>
      <c r="B776" s="14" t="s">
        <v>598</v>
      </c>
      <c r="C776" s="15" t="s">
        <v>608</v>
      </c>
      <c r="D776" s="15" t="s">
        <v>57</v>
      </c>
      <c r="E776" s="15" t="s">
        <v>136</v>
      </c>
      <c r="F776" s="15"/>
      <c r="G776" s="15"/>
      <c r="H776" s="35"/>
      <c r="I776" s="35">
        <f t="shared" si="30"/>
        <v>0</v>
      </c>
      <c r="J776" s="35"/>
      <c r="K776" s="35">
        <v>0</v>
      </c>
      <c r="L776" s="36">
        <f t="shared" si="31"/>
        <v>0</v>
      </c>
    </row>
    <row r="777" spans="1:12" x14ac:dyDescent="0.25">
      <c r="A777" s="21" t="s">
        <v>598</v>
      </c>
      <c r="B777" s="30" t="s">
        <v>598</v>
      </c>
      <c r="C777" s="21" t="s">
        <v>609</v>
      </c>
      <c r="D777" s="21" t="s">
        <v>70</v>
      </c>
      <c r="E777" s="21" t="s">
        <v>104</v>
      </c>
      <c r="F777" s="31">
        <v>7</v>
      </c>
      <c r="G777" s="31">
        <v>5</v>
      </c>
      <c r="H777" s="32"/>
      <c r="I777" s="32">
        <f t="shared" si="30"/>
        <v>0</v>
      </c>
      <c r="J777" s="32"/>
      <c r="K777" s="32">
        <v>0</v>
      </c>
      <c r="L777" s="33">
        <f t="shared" si="31"/>
        <v>5</v>
      </c>
    </row>
    <row r="778" spans="1:12" x14ac:dyDescent="0.25">
      <c r="A778" s="15" t="s">
        <v>598</v>
      </c>
      <c r="B778" s="14" t="s">
        <v>598</v>
      </c>
      <c r="C778" s="15" t="s">
        <v>610</v>
      </c>
      <c r="D778" s="15" t="s">
        <v>69</v>
      </c>
      <c r="E778" s="15" t="s">
        <v>90</v>
      </c>
      <c r="F778" s="15"/>
      <c r="G778" s="15"/>
      <c r="H778" s="35"/>
      <c r="I778" s="35">
        <f t="shared" si="30"/>
        <v>0</v>
      </c>
      <c r="J778" s="35"/>
      <c r="K778" s="35">
        <v>0</v>
      </c>
      <c r="L778" s="36">
        <f t="shared" si="31"/>
        <v>0</v>
      </c>
    </row>
    <row r="779" spans="1:12" x14ac:dyDescent="0.25">
      <c r="A779" s="21" t="s">
        <v>598</v>
      </c>
      <c r="B779" s="30" t="s">
        <v>598</v>
      </c>
      <c r="C779" s="21" t="s">
        <v>599</v>
      </c>
      <c r="D779" s="21" t="s">
        <v>47</v>
      </c>
      <c r="E779" s="21" t="s">
        <v>79</v>
      </c>
      <c r="F779" s="21"/>
      <c r="G779" s="21"/>
      <c r="H779" s="32"/>
      <c r="I779" s="32">
        <f t="shared" si="30"/>
        <v>0</v>
      </c>
      <c r="J779" s="32"/>
      <c r="K779" s="32">
        <v>0</v>
      </c>
      <c r="L779" s="33">
        <f t="shared" si="31"/>
        <v>0</v>
      </c>
    </row>
    <row r="780" spans="1:12" x14ac:dyDescent="0.25">
      <c r="A780" s="15" t="s">
        <v>598</v>
      </c>
      <c r="B780" s="14" t="s">
        <v>598</v>
      </c>
      <c r="C780" s="15" t="s">
        <v>611</v>
      </c>
      <c r="D780" s="15" t="s">
        <v>65</v>
      </c>
      <c r="E780" s="15" t="s">
        <v>82</v>
      </c>
      <c r="F780" s="34">
        <v>1</v>
      </c>
      <c r="G780" s="34">
        <v>3</v>
      </c>
      <c r="H780" s="35"/>
      <c r="I780" s="35">
        <f t="shared" si="30"/>
        <v>0</v>
      </c>
      <c r="J780" s="35"/>
      <c r="K780" s="35">
        <v>0</v>
      </c>
      <c r="L780" s="36">
        <f t="shared" si="31"/>
        <v>3</v>
      </c>
    </row>
    <row r="781" spans="1:12" x14ac:dyDescent="0.25">
      <c r="A781" s="21" t="s">
        <v>598</v>
      </c>
      <c r="B781" s="30" t="s">
        <v>598</v>
      </c>
      <c r="C781" s="21" t="s">
        <v>612</v>
      </c>
      <c r="D781" s="21" t="s">
        <v>65</v>
      </c>
      <c r="E781" s="21" t="s">
        <v>82</v>
      </c>
      <c r="F781" s="31">
        <v>5</v>
      </c>
      <c r="G781" s="31">
        <v>10</v>
      </c>
      <c r="H781" s="32"/>
      <c r="I781" s="32">
        <f t="shared" si="30"/>
        <v>0</v>
      </c>
      <c r="J781" s="32"/>
      <c r="K781" s="32">
        <v>0</v>
      </c>
      <c r="L781" s="33">
        <f t="shared" si="31"/>
        <v>10</v>
      </c>
    </row>
    <row r="782" spans="1:12" x14ac:dyDescent="0.25">
      <c r="A782" s="15" t="s">
        <v>598</v>
      </c>
      <c r="B782" s="14" t="s">
        <v>598</v>
      </c>
      <c r="C782" s="15" t="s">
        <v>613</v>
      </c>
      <c r="D782" s="15" t="s">
        <v>65</v>
      </c>
      <c r="E782" s="15" t="s">
        <v>82</v>
      </c>
      <c r="F782" s="34">
        <v>2</v>
      </c>
      <c r="G782" s="34">
        <v>4</v>
      </c>
      <c r="H782" s="35"/>
      <c r="I782" s="35">
        <f t="shared" si="30"/>
        <v>0</v>
      </c>
      <c r="J782" s="35"/>
      <c r="K782" s="35">
        <v>0</v>
      </c>
      <c r="L782" s="36">
        <f t="shared" si="31"/>
        <v>4</v>
      </c>
    </row>
    <row r="783" spans="1:12" x14ac:dyDescent="0.25">
      <c r="A783" s="21" t="s">
        <v>598</v>
      </c>
      <c r="B783" s="30" t="s">
        <v>598</v>
      </c>
      <c r="C783" s="21" t="s">
        <v>614</v>
      </c>
      <c r="D783" s="21" t="s">
        <v>65</v>
      </c>
      <c r="E783" s="21" t="s">
        <v>82</v>
      </c>
      <c r="F783" s="31">
        <v>1</v>
      </c>
      <c r="G783" s="31">
        <v>2</v>
      </c>
      <c r="H783" s="32"/>
      <c r="I783" s="32">
        <f t="shared" si="30"/>
        <v>0</v>
      </c>
      <c r="J783" s="32"/>
      <c r="K783" s="32">
        <v>0</v>
      </c>
      <c r="L783" s="33">
        <f t="shared" si="31"/>
        <v>2</v>
      </c>
    </row>
    <row r="784" spans="1:12" x14ac:dyDescent="0.25">
      <c r="A784" s="15" t="s">
        <v>598</v>
      </c>
      <c r="B784" s="14" t="s">
        <v>598</v>
      </c>
      <c r="C784" s="15" t="s">
        <v>615</v>
      </c>
      <c r="D784" s="15" t="s">
        <v>65</v>
      </c>
      <c r="E784" s="15" t="s">
        <v>82</v>
      </c>
      <c r="F784" s="34">
        <v>1</v>
      </c>
      <c r="G784" s="34">
        <v>2</v>
      </c>
      <c r="H784" s="35"/>
      <c r="I784" s="35">
        <f t="shared" si="30"/>
        <v>0</v>
      </c>
      <c r="J784" s="35"/>
      <c r="K784" s="35">
        <v>0</v>
      </c>
      <c r="L784" s="36">
        <f t="shared" si="31"/>
        <v>2</v>
      </c>
    </row>
    <row r="785" spans="1:12" x14ac:dyDescent="0.25">
      <c r="A785" s="21" t="s">
        <v>598</v>
      </c>
      <c r="B785" s="30" t="s">
        <v>598</v>
      </c>
      <c r="C785" s="21" t="s">
        <v>616</v>
      </c>
      <c r="D785" s="21" t="s">
        <v>65</v>
      </c>
      <c r="E785" s="21" t="s">
        <v>82</v>
      </c>
      <c r="F785" s="31">
        <v>1</v>
      </c>
      <c r="G785" s="31">
        <v>2</v>
      </c>
      <c r="H785" s="32"/>
      <c r="I785" s="32">
        <f t="shared" si="30"/>
        <v>0</v>
      </c>
      <c r="J785" s="32"/>
      <c r="K785" s="32">
        <v>0</v>
      </c>
      <c r="L785" s="33">
        <f t="shared" si="31"/>
        <v>2</v>
      </c>
    </row>
    <row r="786" spans="1:12" x14ac:dyDescent="0.25">
      <c r="A786" s="15" t="s">
        <v>598</v>
      </c>
      <c r="B786" s="14" t="s">
        <v>598</v>
      </c>
      <c r="C786" s="15" t="s">
        <v>617</v>
      </c>
      <c r="D786" s="15" t="s">
        <v>65</v>
      </c>
      <c r="E786" s="15" t="s">
        <v>82</v>
      </c>
      <c r="F786" s="34">
        <v>1</v>
      </c>
      <c r="G786" s="34">
        <v>2</v>
      </c>
      <c r="H786" s="35"/>
      <c r="I786" s="35">
        <f t="shared" si="30"/>
        <v>0</v>
      </c>
      <c r="J786" s="35"/>
      <c r="K786" s="35">
        <v>0</v>
      </c>
      <c r="L786" s="36">
        <f t="shared" si="31"/>
        <v>2</v>
      </c>
    </row>
    <row r="787" spans="1:12" x14ac:dyDescent="0.25">
      <c r="A787" s="21" t="s">
        <v>598</v>
      </c>
      <c r="B787" s="30" t="s">
        <v>598</v>
      </c>
      <c r="C787" s="21" t="s">
        <v>618</v>
      </c>
      <c r="D787" s="21" t="s">
        <v>65</v>
      </c>
      <c r="E787" s="21" t="s">
        <v>82</v>
      </c>
      <c r="F787" s="31">
        <v>2</v>
      </c>
      <c r="G787" s="31">
        <v>4</v>
      </c>
      <c r="H787" s="32"/>
      <c r="I787" s="32">
        <f t="shared" si="30"/>
        <v>0</v>
      </c>
      <c r="J787" s="32"/>
      <c r="K787" s="32">
        <v>0</v>
      </c>
      <c r="L787" s="33">
        <f t="shared" si="31"/>
        <v>4</v>
      </c>
    </row>
    <row r="788" spans="1:12" x14ac:dyDescent="0.25">
      <c r="A788" s="15" t="s">
        <v>598</v>
      </c>
      <c r="B788" s="14" t="s">
        <v>598</v>
      </c>
      <c r="C788" s="15" t="s">
        <v>619</v>
      </c>
      <c r="D788" s="15" t="s">
        <v>65</v>
      </c>
      <c r="E788" s="15" t="s">
        <v>82</v>
      </c>
      <c r="F788" s="34">
        <v>1</v>
      </c>
      <c r="G788" s="34">
        <v>2</v>
      </c>
      <c r="H788" s="35"/>
      <c r="I788" s="35">
        <f t="shared" si="30"/>
        <v>0</v>
      </c>
      <c r="J788" s="35"/>
      <c r="K788" s="35">
        <v>0</v>
      </c>
      <c r="L788" s="36">
        <f t="shared" si="31"/>
        <v>2</v>
      </c>
    </row>
    <row r="789" spans="1:12" x14ac:dyDescent="0.25">
      <c r="A789" s="21" t="s">
        <v>598</v>
      </c>
      <c r="B789" s="30" t="s">
        <v>598</v>
      </c>
      <c r="C789" s="21" t="s">
        <v>600</v>
      </c>
      <c r="D789" s="21" t="s">
        <v>65</v>
      </c>
      <c r="E789" s="21" t="s">
        <v>82</v>
      </c>
      <c r="F789" s="31">
        <v>3</v>
      </c>
      <c r="G789" s="31">
        <v>5</v>
      </c>
      <c r="H789" s="32"/>
      <c r="I789" s="32">
        <f t="shared" si="30"/>
        <v>0</v>
      </c>
      <c r="J789" s="32"/>
      <c r="K789" s="32">
        <v>0</v>
      </c>
      <c r="L789" s="33">
        <f t="shared" si="31"/>
        <v>5</v>
      </c>
    </row>
    <row r="790" spans="1:12" x14ac:dyDescent="0.25">
      <c r="A790" s="15" t="s">
        <v>598</v>
      </c>
      <c r="B790" s="14" t="s">
        <v>598</v>
      </c>
      <c r="C790" s="15" t="s">
        <v>601</v>
      </c>
      <c r="D790" s="15" t="s">
        <v>65</v>
      </c>
      <c r="E790" s="15" t="s">
        <v>82</v>
      </c>
      <c r="F790" s="34">
        <v>1</v>
      </c>
      <c r="G790" s="34">
        <v>2</v>
      </c>
      <c r="H790" s="35"/>
      <c r="I790" s="35">
        <f t="shared" si="30"/>
        <v>0</v>
      </c>
      <c r="J790" s="35"/>
      <c r="K790" s="35">
        <v>0</v>
      </c>
      <c r="L790" s="36">
        <f t="shared" si="31"/>
        <v>2</v>
      </c>
    </row>
    <row r="791" spans="1:12" x14ac:dyDescent="0.25">
      <c r="A791" s="21" t="s">
        <v>598</v>
      </c>
      <c r="B791" s="30" t="s">
        <v>598</v>
      </c>
      <c r="C791" s="21" t="s">
        <v>620</v>
      </c>
      <c r="D791" s="21" t="s">
        <v>54</v>
      </c>
      <c r="E791" s="21" t="s">
        <v>84</v>
      </c>
      <c r="F791" s="21"/>
      <c r="G791" s="21"/>
      <c r="H791" s="32"/>
      <c r="I791" s="32">
        <f t="shared" si="30"/>
        <v>0</v>
      </c>
      <c r="J791" s="32"/>
      <c r="K791" s="32">
        <v>0</v>
      </c>
      <c r="L791" s="33">
        <f t="shared" si="31"/>
        <v>0</v>
      </c>
    </row>
    <row r="792" spans="1:12" x14ac:dyDescent="0.25">
      <c r="A792" s="15" t="s">
        <v>598</v>
      </c>
      <c r="B792" s="14" t="s">
        <v>598</v>
      </c>
      <c r="C792" s="15" t="s">
        <v>621</v>
      </c>
      <c r="D792" s="15" t="s">
        <v>65</v>
      </c>
      <c r="E792" s="15" t="s">
        <v>82</v>
      </c>
      <c r="F792" s="34">
        <v>2</v>
      </c>
      <c r="G792" s="34">
        <v>3</v>
      </c>
      <c r="H792" s="35"/>
      <c r="I792" s="35">
        <f t="shared" si="30"/>
        <v>0</v>
      </c>
      <c r="J792" s="35"/>
      <c r="K792" s="35">
        <v>0</v>
      </c>
      <c r="L792" s="36">
        <f t="shared" si="31"/>
        <v>3</v>
      </c>
    </row>
    <row r="793" spans="1:12" x14ac:dyDescent="0.25">
      <c r="A793" s="21" t="s">
        <v>598</v>
      </c>
      <c r="B793" s="30" t="s">
        <v>598</v>
      </c>
      <c r="C793" s="21" t="s">
        <v>602</v>
      </c>
      <c r="D793" s="21" t="s">
        <v>47</v>
      </c>
      <c r="E793" s="21" t="s">
        <v>79</v>
      </c>
      <c r="F793" s="21"/>
      <c r="G793" s="21"/>
      <c r="H793" s="32"/>
      <c r="I793" s="32">
        <f t="shared" si="30"/>
        <v>0</v>
      </c>
      <c r="J793" s="32"/>
      <c r="K793" s="32">
        <v>0</v>
      </c>
      <c r="L793" s="33">
        <f t="shared" si="31"/>
        <v>0</v>
      </c>
    </row>
    <row r="794" spans="1:12" x14ac:dyDescent="0.25">
      <c r="A794" s="15" t="s">
        <v>598</v>
      </c>
      <c r="B794" s="14" t="s">
        <v>598</v>
      </c>
      <c r="C794" s="15" t="s">
        <v>604</v>
      </c>
      <c r="D794" s="15" t="s">
        <v>53</v>
      </c>
      <c r="E794" s="15" t="s">
        <v>129</v>
      </c>
      <c r="F794" s="15"/>
      <c r="G794" s="15"/>
      <c r="H794" s="35"/>
      <c r="I794" s="35">
        <f t="shared" si="30"/>
        <v>0</v>
      </c>
      <c r="J794" s="35"/>
      <c r="K794" s="35">
        <v>0</v>
      </c>
      <c r="L794" s="36">
        <f t="shared" si="31"/>
        <v>0</v>
      </c>
    </row>
    <row r="795" spans="1:12" x14ac:dyDescent="0.25">
      <c r="A795" s="21" t="s">
        <v>598</v>
      </c>
      <c r="B795" s="30" t="s">
        <v>598</v>
      </c>
      <c r="C795" s="21" t="s">
        <v>605</v>
      </c>
      <c r="D795" s="21" t="s">
        <v>49</v>
      </c>
      <c r="E795" s="21" t="s">
        <v>134</v>
      </c>
      <c r="F795" s="21"/>
      <c r="G795" s="21"/>
      <c r="H795" s="32"/>
      <c r="I795" s="32">
        <f t="shared" si="30"/>
        <v>0</v>
      </c>
      <c r="J795" s="32"/>
      <c r="K795" s="32">
        <v>0</v>
      </c>
      <c r="L795" s="33">
        <f t="shared" si="31"/>
        <v>0</v>
      </c>
    </row>
    <row r="796" spans="1:12" x14ac:dyDescent="0.25">
      <c r="A796" s="15" t="s">
        <v>598</v>
      </c>
      <c r="B796" s="14" t="s">
        <v>598</v>
      </c>
      <c r="C796" s="15" t="s">
        <v>606</v>
      </c>
      <c r="D796" s="15" t="s">
        <v>57</v>
      </c>
      <c r="E796" s="15" t="s">
        <v>136</v>
      </c>
      <c r="F796" s="15"/>
      <c r="G796" s="15"/>
      <c r="H796" s="35"/>
      <c r="I796" s="35">
        <f t="shared" si="30"/>
        <v>0</v>
      </c>
      <c r="J796" s="35"/>
      <c r="K796" s="35">
        <v>0</v>
      </c>
      <c r="L796" s="36">
        <f t="shared" si="31"/>
        <v>0</v>
      </c>
    </row>
    <row r="797" spans="1:12" x14ac:dyDescent="0.25">
      <c r="A797" s="21" t="s">
        <v>598</v>
      </c>
      <c r="B797" s="30" t="s">
        <v>598</v>
      </c>
      <c r="C797" s="21" t="s">
        <v>607</v>
      </c>
      <c r="D797" s="21" t="s">
        <v>57</v>
      </c>
      <c r="E797" s="21" t="s">
        <v>136</v>
      </c>
      <c r="F797" s="21"/>
      <c r="G797" s="21"/>
      <c r="H797" s="32"/>
      <c r="I797" s="32">
        <f t="shared" si="30"/>
        <v>0</v>
      </c>
      <c r="J797" s="32"/>
      <c r="K797" s="32">
        <v>0</v>
      </c>
      <c r="L797" s="33">
        <f t="shared" si="31"/>
        <v>0</v>
      </c>
    </row>
    <row r="798" spans="1:12" x14ac:dyDescent="0.25">
      <c r="A798" s="15" t="s">
        <v>598</v>
      </c>
      <c r="B798" s="14" t="s">
        <v>598</v>
      </c>
      <c r="C798" s="15" t="s">
        <v>608</v>
      </c>
      <c r="D798" s="15" t="s">
        <v>57</v>
      </c>
      <c r="E798" s="15" t="s">
        <v>136</v>
      </c>
      <c r="F798" s="15"/>
      <c r="G798" s="15"/>
      <c r="H798" s="35"/>
      <c r="I798" s="35">
        <f t="shared" si="30"/>
        <v>0</v>
      </c>
      <c r="J798" s="35"/>
      <c r="K798" s="35">
        <v>0</v>
      </c>
      <c r="L798" s="36">
        <f t="shared" si="31"/>
        <v>0</v>
      </c>
    </row>
    <row r="799" spans="1:12" x14ac:dyDescent="0.25">
      <c r="A799" s="21" t="s">
        <v>598</v>
      </c>
      <c r="B799" s="30" t="s">
        <v>598</v>
      </c>
      <c r="C799" s="21" t="s">
        <v>609</v>
      </c>
      <c r="D799" s="21" t="s">
        <v>70</v>
      </c>
      <c r="E799" s="21" t="s">
        <v>104</v>
      </c>
      <c r="F799" s="21"/>
      <c r="G799" s="21"/>
      <c r="H799" s="32"/>
      <c r="I799" s="32">
        <f t="shared" si="30"/>
        <v>0</v>
      </c>
      <c r="J799" s="32"/>
      <c r="K799" s="32">
        <v>0</v>
      </c>
      <c r="L799" s="33">
        <f t="shared" si="31"/>
        <v>0</v>
      </c>
    </row>
    <row r="800" spans="1:12" x14ac:dyDescent="0.25">
      <c r="A800" s="15" t="s">
        <v>598</v>
      </c>
      <c r="B800" s="14" t="s">
        <v>598</v>
      </c>
      <c r="C800" s="15" t="s">
        <v>610</v>
      </c>
      <c r="D800" s="15" t="s">
        <v>69</v>
      </c>
      <c r="E800" s="15" t="s">
        <v>90</v>
      </c>
      <c r="F800" s="15"/>
      <c r="G800" s="15"/>
      <c r="H800" s="35"/>
      <c r="I800" s="35">
        <f t="shared" si="30"/>
        <v>0</v>
      </c>
      <c r="J800" s="35"/>
      <c r="K800" s="35">
        <v>0</v>
      </c>
      <c r="L800" s="36">
        <f t="shared" si="31"/>
        <v>0</v>
      </c>
    </row>
    <row r="801" spans="1:12" x14ac:dyDescent="0.25">
      <c r="A801" s="21" t="s">
        <v>598</v>
      </c>
      <c r="B801" s="30" t="s">
        <v>598</v>
      </c>
      <c r="C801" s="21" t="s">
        <v>622</v>
      </c>
      <c r="D801" s="21" t="s">
        <v>57</v>
      </c>
      <c r="E801" s="21" t="s">
        <v>136</v>
      </c>
      <c r="F801" s="31">
        <v>34.299999999999997</v>
      </c>
      <c r="G801" s="31">
        <v>114.3</v>
      </c>
      <c r="H801" s="32"/>
      <c r="I801" s="32">
        <f t="shared" si="30"/>
        <v>0</v>
      </c>
      <c r="J801" s="32"/>
      <c r="K801" s="32">
        <v>0</v>
      </c>
      <c r="L801" s="33">
        <f t="shared" si="31"/>
        <v>114.3</v>
      </c>
    </row>
    <row r="802" spans="1:12" x14ac:dyDescent="0.25">
      <c r="A802" s="15" t="s">
        <v>598</v>
      </c>
      <c r="B802" s="14" t="s">
        <v>598</v>
      </c>
      <c r="C802" s="15" t="s">
        <v>623</v>
      </c>
      <c r="D802" s="15" t="s">
        <v>57</v>
      </c>
      <c r="E802" s="15" t="s">
        <v>136</v>
      </c>
      <c r="F802" s="34">
        <v>57.1</v>
      </c>
      <c r="G802" s="34">
        <v>91.4</v>
      </c>
      <c r="H802" s="35"/>
      <c r="I802" s="35">
        <f t="shared" si="30"/>
        <v>0</v>
      </c>
      <c r="J802" s="35"/>
      <c r="K802" s="35">
        <v>0</v>
      </c>
      <c r="L802" s="36">
        <f t="shared" si="31"/>
        <v>91.4</v>
      </c>
    </row>
    <row r="803" spans="1:12" x14ac:dyDescent="0.25">
      <c r="A803" s="21" t="s">
        <v>624</v>
      </c>
      <c r="B803" s="30" t="s">
        <v>624</v>
      </c>
      <c r="C803" s="21" t="s">
        <v>625</v>
      </c>
      <c r="D803" s="21" t="s">
        <v>67</v>
      </c>
      <c r="E803" s="21" t="s">
        <v>93</v>
      </c>
      <c r="F803" s="31">
        <v>2</v>
      </c>
      <c r="G803" s="31">
        <v>3</v>
      </c>
      <c r="H803" s="32"/>
      <c r="I803" s="32">
        <f t="shared" si="30"/>
        <v>0</v>
      </c>
      <c r="J803" s="32"/>
      <c r="K803" s="32">
        <v>0</v>
      </c>
      <c r="L803" s="33">
        <f t="shared" si="31"/>
        <v>3</v>
      </c>
    </row>
    <row r="804" spans="1:12" x14ac:dyDescent="0.25">
      <c r="A804" s="15" t="s">
        <v>624</v>
      </c>
      <c r="B804" s="14" t="s">
        <v>624</v>
      </c>
      <c r="C804" s="15" t="s">
        <v>626</v>
      </c>
      <c r="D804" s="15" t="s">
        <v>67</v>
      </c>
      <c r="E804" s="15" t="s">
        <v>93</v>
      </c>
      <c r="F804" s="34">
        <v>2</v>
      </c>
      <c r="G804" s="34">
        <v>4</v>
      </c>
      <c r="H804" s="35"/>
      <c r="I804" s="35">
        <f t="shared" si="30"/>
        <v>0</v>
      </c>
      <c r="J804" s="35"/>
      <c r="K804" s="35">
        <v>0</v>
      </c>
      <c r="L804" s="36">
        <f t="shared" si="31"/>
        <v>4</v>
      </c>
    </row>
    <row r="805" spans="1:12" x14ac:dyDescent="0.25">
      <c r="A805" s="21" t="s">
        <v>624</v>
      </c>
      <c r="B805" s="30" t="s">
        <v>624</v>
      </c>
      <c r="C805" s="21" t="s">
        <v>627</v>
      </c>
      <c r="D805" s="21" t="s">
        <v>67</v>
      </c>
      <c r="E805" s="21" t="s">
        <v>93</v>
      </c>
      <c r="F805" s="31">
        <v>1</v>
      </c>
      <c r="G805" s="31">
        <v>2</v>
      </c>
      <c r="H805" s="32"/>
      <c r="I805" s="32">
        <f t="shared" si="30"/>
        <v>0</v>
      </c>
      <c r="J805" s="32"/>
      <c r="K805" s="32">
        <v>0</v>
      </c>
      <c r="L805" s="33">
        <f t="shared" si="31"/>
        <v>2</v>
      </c>
    </row>
    <row r="806" spans="1:12" x14ac:dyDescent="0.25">
      <c r="A806" s="15" t="s">
        <v>624</v>
      </c>
      <c r="B806" s="14" t="s">
        <v>624</v>
      </c>
      <c r="C806" s="15" t="s">
        <v>628</v>
      </c>
      <c r="D806" s="15" t="s">
        <v>67</v>
      </c>
      <c r="E806" s="15" t="s">
        <v>93</v>
      </c>
      <c r="F806" s="34">
        <v>1</v>
      </c>
      <c r="G806" s="34">
        <v>2</v>
      </c>
      <c r="H806" s="35"/>
      <c r="I806" s="35">
        <f t="shared" si="30"/>
        <v>0</v>
      </c>
      <c r="J806" s="35"/>
      <c r="K806" s="35">
        <v>0</v>
      </c>
      <c r="L806" s="36">
        <f t="shared" si="31"/>
        <v>2</v>
      </c>
    </row>
    <row r="807" spans="1:12" x14ac:dyDescent="0.25">
      <c r="A807" s="21" t="s">
        <v>624</v>
      </c>
      <c r="B807" s="30" t="s">
        <v>624</v>
      </c>
      <c r="C807" s="21" t="s">
        <v>629</v>
      </c>
      <c r="D807" s="21" t="s">
        <v>67</v>
      </c>
      <c r="E807" s="21" t="s">
        <v>93</v>
      </c>
      <c r="F807" s="31">
        <v>2</v>
      </c>
      <c r="G807" s="31">
        <v>3</v>
      </c>
      <c r="H807" s="32"/>
      <c r="I807" s="32">
        <f t="shared" si="30"/>
        <v>0</v>
      </c>
      <c r="J807" s="32"/>
      <c r="K807" s="32">
        <v>0</v>
      </c>
      <c r="L807" s="33">
        <f t="shared" si="31"/>
        <v>3</v>
      </c>
    </row>
    <row r="808" spans="1:12" x14ac:dyDescent="0.25">
      <c r="A808" s="15" t="s">
        <v>624</v>
      </c>
      <c r="B808" s="14" t="s">
        <v>624</v>
      </c>
      <c r="C808" s="15" t="s">
        <v>630</v>
      </c>
      <c r="D808" s="15" t="s">
        <v>67</v>
      </c>
      <c r="E808" s="15" t="s">
        <v>93</v>
      </c>
      <c r="F808" s="34">
        <v>1</v>
      </c>
      <c r="G808" s="34">
        <v>2</v>
      </c>
      <c r="H808" s="35"/>
      <c r="I808" s="35">
        <f t="shared" si="30"/>
        <v>0</v>
      </c>
      <c r="J808" s="35"/>
      <c r="K808" s="35">
        <v>0</v>
      </c>
      <c r="L808" s="36">
        <f t="shared" si="31"/>
        <v>2</v>
      </c>
    </row>
    <row r="809" spans="1:12" x14ac:dyDescent="0.25">
      <c r="A809" s="21" t="s">
        <v>624</v>
      </c>
      <c r="B809" s="30" t="s">
        <v>624</v>
      </c>
      <c r="C809" s="21" t="s">
        <v>631</v>
      </c>
      <c r="D809" s="21" t="s">
        <v>67</v>
      </c>
      <c r="E809" s="21" t="s">
        <v>93</v>
      </c>
      <c r="F809" s="31">
        <v>2</v>
      </c>
      <c r="G809" s="31">
        <v>3</v>
      </c>
      <c r="H809" s="32"/>
      <c r="I809" s="32">
        <f t="shared" si="30"/>
        <v>0</v>
      </c>
      <c r="J809" s="32"/>
      <c r="K809" s="32">
        <v>0</v>
      </c>
      <c r="L809" s="33">
        <f t="shared" si="31"/>
        <v>3</v>
      </c>
    </row>
    <row r="810" spans="1:12" x14ac:dyDescent="0.25">
      <c r="A810" s="15" t="s">
        <v>624</v>
      </c>
      <c r="B810" s="14" t="s">
        <v>624</v>
      </c>
      <c r="C810" s="15" t="s">
        <v>632</v>
      </c>
      <c r="D810" s="15" t="s">
        <v>67</v>
      </c>
      <c r="E810" s="15" t="s">
        <v>93</v>
      </c>
      <c r="F810" s="34">
        <v>1</v>
      </c>
      <c r="G810" s="34">
        <v>2</v>
      </c>
      <c r="H810" s="35"/>
      <c r="I810" s="35">
        <f t="shared" si="30"/>
        <v>0</v>
      </c>
      <c r="J810" s="35"/>
      <c r="K810" s="35">
        <v>0</v>
      </c>
      <c r="L810" s="36">
        <f t="shared" si="31"/>
        <v>2</v>
      </c>
    </row>
    <row r="811" spans="1:12" x14ac:dyDescent="0.25">
      <c r="A811" s="21" t="s">
        <v>624</v>
      </c>
      <c r="B811" s="30" t="s">
        <v>624</v>
      </c>
      <c r="C811" s="21" t="s">
        <v>633</v>
      </c>
      <c r="D811" s="21" t="s">
        <v>65</v>
      </c>
      <c r="E811" s="21" t="s">
        <v>82</v>
      </c>
      <c r="F811" s="31">
        <v>1</v>
      </c>
      <c r="G811" s="31">
        <v>2</v>
      </c>
      <c r="H811" s="32"/>
      <c r="I811" s="32">
        <f t="shared" si="30"/>
        <v>0</v>
      </c>
      <c r="J811" s="32"/>
      <c r="K811" s="32">
        <v>0</v>
      </c>
      <c r="L811" s="33">
        <f t="shared" si="31"/>
        <v>2</v>
      </c>
    </row>
    <row r="812" spans="1:12" x14ac:dyDescent="0.25">
      <c r="A812" s="15" t="s">
        <v>624</v>
      </c>
      <c r="B812" s="14" t="s">
        <v>624</v>
      </c>
      <c r="C812" s="15" t="s">
        <v>634</v>
      </c>
      <c r="D812" s="15" t="s">
        <v>65</v>
      </c>
      <c r="E812" s="15" t="s">
        <v>82</v>
      </c>
      <c r="F812" s="34">
        <v>1</v>
      </c>
      <c r="G812" s="34">
        <v>2</v>
      </c>
      <c r="H812" s="35"/>
      <c r="I812" s="35">
        <f t="shared" si="30"/>
        <v>0</v>
      </c>
      <c r="J812" s="35"/>
      <c r="K812" s="35">
        <v>0</v>
      </c>
      <c r="L812" s="36">
        <f t="shared" si="31"/>
        <v>2</v>
      </c>
    </row>
    <row r="813" spans="1:12" x14ac:dyDescent="0.25">
      <c r="A813" s="21" t="s">
        <v>635</v>
      </c>
      <c r="B813" s="30" t="s">
        <v>635</v>
      </c>
      <c r="C813" s="21" t="s">
        <v>636</v>
      </c>
      <c r="D813" s="21" t="s">
        <v>47</v>
      </c>
      <c r="E813" s="21" t="s">
        <v>79</v>
      </c>
      <c r="F813" s="31">
        <v>8</v>
      </c>
      <c r="G813" s="31">
        <v>9</v>
      </c>
      <c r="H813" s="32"/>
      <c r="I813" s="32">
        <f t="shared" si="30"/>
        <v>0</v>
      </c>
      <c r="J813" s="32"/>
      <c r="K813" s="32">
        <v>0</v>
      </c>
      <c r="L813" s="33">
        <f t="shared" si="31"/>
        <v>9</v>
      </c>
    </row>
    <row r="814" spans="1:12" x14ac:dyDescent="0.25">
      <c r="A814" s="15" t="s">
        <v>635</v>
      </c>
      <c r="B814" s="14" t="s">
        <v>635</v>
      </c>
      <c r="C814" s="15" t="s">
        <v>637</v>
      </c>
      <c r="D814" s="15" t="s">
        <v>47</v>
      </c>
      <c r="E814" s="15" t="s">
        <v>79</v>
      </c>
      <c r="F814" s="34">
        <v>5</v>
      </c>
      <c r="G814" s="34">
        <v>20</v>
      </c>
      <c r="H814" s="35"/>
      <c r="I814" s="35">
        <f t="shared" si="30"/>
        <v>0</v>
      </c>
      <c r="J814" s="35"/>
      <c r="K814" s="35">
        <v>0</v>
      </c>
      <c r="L814" s="36">
        <f t="shared" si="31"/>
        <v>20</v>
      </c>
    </row>
    <row r="815" spans="1:12" x14ac:dyDescent="0.25">
      <c r="A815" s="21" t="s">
        <v>635</v>
      </c>
      <c r="B815" s="30" t="s">
        <v>635</v>
      </c>
      <c r="C815" s="21" t="s">
        <v>638</v>
      </c>
      <c r="D815" s="21" t="s">
        <v>47</v>
      </c>
      <c r="E815" s="21" t="s">
        <v>79</v>
      </c>
      <c r="F815" s="31">
        <v>3</v>
      </c>
      <c r="G815" s="31">
        <v>5</v>
      </c>
      <c r="H815" s="32"/>
      <c r="I815" s="32">
        <f t="shared" si="30"/>
        <v>0</v>
      </c>
      <c r="J815" s="32"/>
      <c r="K815" s="32">
        <v>0</v>
      </c>
      <c r="L815" s="33">
        <f t="shared" si="31"/>
        <v>5</v>
      </c>
    </row>
    <row r="816" spans="1:12" x14ac:dyDescent="0.25">
      <c r="A816" s="15" t="s">
        <v>635</v>
      </c>
      <c r="B816" s="14" t="s">
        <v>635</v>
      </c>
      <c r="C816" s="15" t="s">
        <v>639</v>
      </c>
      <c r="D816" s="15" t="s">
        <v>54</v>
      </c>
      <c r="E816" s="15" t="s">
        <v>84</v>
      </c>
      <c r="F816" s="34">
        <v>8</v>
      </c>
      <c r="G816" s="34">
        <v>15</v>
      </c>
      <c r="H816" s="35"/>
      <c r="I816" s="35">
        <f t="shared" si="30"/>
        <v>0</v>
      </c>
      <c r="J816" s="35"/>
      <c r="K816" s="35">
        <v>0</v>
      </c>
      <c r="L816" s="36">
        <f t="shared" si="31"/>
        <v>15</v>
      </c>
    </row>
    <row r="817" spans="1:12" x14ac:dyDescent="0.25">
      <c r="A817" s="21" t="s">
        <v>635</v>
      </c>
      <c r="B817" s="30" t="s">
        <v>635</v>
      </c>
      <c r="C817" s="21" t="s">
        <v>640</v>
      </c>
      <c r="D817" s="21" t="s">
        <v>54</v>
      </c>
      <c r="E817" s="21" t="s">
        <v>84</v>
      </c>
      <c r="F817" s="31">
        <v>8</v>
      </c>
      <c r="G817" s="31">
        <v>5</v>
      </c>
      <c r="H817" s="32"/>
      <c r="I817" s="32">
        <f t="shared" si="30"/>
        <v>0</v>
      </c>
      <c r="J817" s="32"/>
      <c r="K817" s="32">
        <v>0</v>
      </c>
      <c r="L817" s="33">
        <f t="shared" si="31"/>
        <v>5</v>
      </c>
    </row>
    <row r="818" spans="1:12" x14ac:dyDescent="0.25">
      <c r="A818" s="15" t="s">
        <v>635</v>
      </c>
      <c r="B818" s="14" t="s">
        <v>635</v>
      </c>
      <c r="C818" s="15" t="s">
        <v>641</v>
      </c>
      <c r="D818" s="15" t="s">
        <v>54</v>
      </c>
      <c r="E818" s="15" t="s">
        <v>84</v>
      </c>
      <c r="F818" s="34">
        <v>5</v>
      </c>
      <c r="G818" s="34">
        <v>7</v>
      </c>
      <c r="H818" s="35"/>
      <c r="I818" s="35">
        <f t="shared" si="30"/>
        <v>0</v>
      </c>
      <c r="J818" s="35"/>
      <c r="K818" s="35">
        <v>0</v>
      </c>
      <c r="L818" s="36">
        <f t="shared" si="31"/>
        <v>7</v>
      </c>
    </row>
    <row r="819" spans="1:12" x14ac:dyDescent="0.25">
      <c r="A819" s="21" t="s">
        <v>635</v>
      </c>
      <c r="B819" s="30" t="s">
        <v>635</v>
      </c>
      <c r="C819" s="21" t="s">
        <v>642</v>
      </c>
      <c r="D819" s="21" t="s">
        <v>65</v>
      </c>
      <c r="E819" s="21" t="s">
        <v>82</v>
      </c>
      <c r="F819" s="21"/>
      <c r="G819" s="21"/>
      <c r="H819" s="32"/>
      <c r="I819" s="32">
        <f t="shared" si="30"/>
        <v>0</v>
      </c>
      <c r="J819" s="32"/>
      <c r="K819" s="32">
        <v>0</v>
      </c>
      <c r="L819" s="33">
        <f t="shared" si="31"/>
        <v>0</v>
      </c>
    </row>
    <row r="820" spans="1:12" x14ac:dyDescent="0.25">
      <c r="A820" s="15" t="s">
        <v>635</v>
      </c>
      <c r="B820" s="14" t="s">
        <v>635</v>
      </c>
      <c r="C820" s="15" t="s">
        <v>643</v>
      </c>
      <c r="D820" s="15" t="s">
        <v>59</v>
      </c>
      <c r="E820" s="15" t="s">
        <v>203</v>
      </c>
      <c r="F820" s="15"/>
      <c r="G820" s="15"/>
      <c r="H820" s="35"/>
      <c r="I820" s="35">
        <f t="shared" si="30"/>
        <v>0</v>
      </c>
      <c r="J820" s="35"/>
      <c r="K820" s="35">
        <v>0</v>
      </c>
      <c r="L820" s="36">
        <f t="shared" si="31"/>
        <v>0</v>
      </c>
    </row>
    <row r="821" spans="1:12" x14ac:dyDescent="0.25">
      <c r="A821" s="21" t="s">
        <v>635</v>
      </c>
      <c r="B821" s="30" t="s">
        <v>635</v>
      </c>
      <c r="C821" s="21" t="s">
        <v>644</v>
      </c>
      <c r="D821" s="21" t="s">
        <v>69</v>
      </c>
      <c r="E821" s="21" t="s">
        <v>90</v>
      </c>
      <c r="F821" s="21"/>
      <c r="G821" s="21"/>
      <c r="H821" s="32"/>
      <c r="I821" s="32">
        <f t="shared" si="30"/>
        <v>0</v>
      </c>
      <c r="J821" s="32"/>
      <c r="K821" s="32">
        <v>0</v>
      </c>
      <c r="L821" s="33">
        <f t="shared" si="31"/>
        <v>0</v>
      </c>
    </row>
    <row r="822" spans="1:12" x14ac:dyDescent="0.25">
      <c r="A822" s="15" t="s">
        <v>635</v>
      </c>
      <c r="B822" s="14" t="s">
        <v>635</v>
      </c>
      <c r="C822" s="15" t="s">
        <v>645</v>
      </c>
      <c r="D822" s="15" t="s">
        <v>70</v>
      </c>
      <c r="E822" s="15" t="s">
        <v>104</v>
      </c>
      <c r="F822" s="34">
        <v>7</v>
      </c>
      <c r="G822" s="34">
        <v>7</v>
      </c>
      <c r="H822" s="35"/>
      <c r="I822" s="35">
        <f t="shared" si="30"/>
        <v>0</v>
      </c>
      <c r="J822" s="35"/>
      <c r="K822" s="35">
        <v>0</v>
      </c>
      <c r="L822" s="36">
        <f t="shared" si="31"/>
        <v>7</v>
      </c>
    </row>
    <row r="823" spans="1:12" x14ac:dyDescent="0.25">
      <c r="A823" s="21" t="s">
        <v>635</v>
      </c>
      <c r="B823" s="30" t="s">
        <v>635</v>
      </c>
      <c r="C823" s="21" t="s">
        <v>636</v>
      </c>
      <c r="D823" s="21" t="s">
        <v>47</v>
      </c>
      <c r="E823" s="21" t="s">
        <v>79</v>
      </c>
      <c r="F823" s="21"/>
      <c r="G823" s="21"/>
      <c r="H823" s="32"/>
      <c r="I823" s="32">
        <f t="shared" si="30"/>
        <v>0</v>
      </c>
      <c r="J823" s="32"/>
      <c r="K823" s="32">
        <v>0</v>
      </c>
      <c r="L823" s="33">
        <f t="shared" si="31"/>
        <v>0</v>
      </c>
    </row>
    <row r="824" spans="1:12" x14ac:dyDescent="0.25">
      <c r="A824" s="15" t="s">
        <v>635</v>
      </c>
      <c r="B824" s="14" t="s">
        <v>635</v>
      </c>
      <c r="C824" s="15" t="s">
        <v>639</v>
      </c>
      <c r="D824" s="15" t="s">
        <v>54</v>
      </c>
      <c r="E824" s="15" t="s">
        <v>84</v>
      </c>
      <c r="F824" s="15"/>
      <c r="G824" s="15"/>
      <c r="H824" s="35"/>
      <c r="I824" s="35">
        <f t="shared" si="30"/>
        <v>0</v>
      </c>
      <c r="J824" s="35"/>
      <c r="K824" s="35">
        <v>0</v>
      </c>
      <c r="L824" s="36">
        <f t="shared" si="31"/>
        <v>0</v>
      </c>
    </row>
    <row r="825" spans="1:12" x14ac:dyDescent="0.25">
      <c r="A825" s="21" t="s">
        <v>635</v>
      </c>
      <c r="B825" s="30" t="s">
        <v>635</v>
      </c>
      <c r="C825" s="21" t="s">
        <v>646</v>
      </c>
      <c r="D825" s="21" t="s">
        <v>65</v>
      </c>
      <c r="E825" s="21" t="s">
        <v>82</v>
      </c>
      <c r="F825" s="31">
        <v>2</v>
      </c>
      <c r="G825" s="31">
        <v>3</v>
      </c>
      <c r="H825" s="32"/>
      <c r="I825" s="32">
        <f t="shared" si="30"/>
        <v>0</v>
      </c>
      <c r="J825" s="32"/>
      <c r="K825" s="32">
        <v>0</v>
      </c>
      <c r="L825" s="33">
        <f t="shared" si="31"/>
        <v>3</v>
      </c>
    </row>
    <row r="826" spans="1:12" x14ac:dyDescent="0.25">
      <c r="A826" s="15" t="s">
        <v>635</v>
      </c>
      <c r="B826" s="14" t="s">
        <v>635</v>
      </c>
      <c r="C826" s="15" t="s">
        <v>647</v>
      </c>
      <c r="D826" s="15" t="s">
        <v>65</v>
      </c>
      <c r="E826" s="15" t="s">
        <v>82</v>
      </c>
      <c r="F826" s="34">
        <v>10</v>
      </c>
      <c r="G826" s="34">
        <v>12</v>
      </c>
      <c r="H826" s="35"/>
      <c r="I826" s="35">
        <f t="shared" si="30"/>
        <v>0</v>
      </c>
      <c r="J826" s="35"/>
      <c r="K826" s="35">
        <v>0</v>
      </c>
      <c r="L826" s="36">
        <f t="shared" si="31"/>
        <v>12</v>
      </c>
    </row>
    <row r="827" spans="1:12" x14ac:dyDescent="0.25">
      <c r="A827" s="21" t="s">
        <v>635</v>
      </c>
      <c r="B827" s="30" t="s">
        <v>635</v>
      </c>
      <c r="C827" s="21" t="s">
        <v>643</v>
      </c>
      <c r="D827" s="21" t="s">
        <v>59</v>
      </c>
      <c r="E827" s="21" t="s">
        <v>203</v>
      </c>
      <c r="F827" s="31">
        <v>3</v>
      </c>
      <c r="G827" s="31">
        <v>5</v>
      </c>
      <c r="H827" s="32"/>
      <c r="I827" s="32">
        <f t="shared" si="30"/>
        <v>0</v>
      </c>
      <c r="J827" s="32"/>
      <c r="K827" s="32">
        <v>0</v>
      </c>
      <c r="L827" s="33">
        <f t="shared" si="31"/>
        <v>5</v>
      </c>
    </row>
    <row r="828" spans="1:12" x14ac:dyDescent="0.25">
      <c r="A828" s="15" t="s">
        <v>635</v>
      </c>
      <c r="B828" s="14" t="s">
        <v>635</v>
      </c>
      <c r="C828" s="15" t="s">
        <v>644</v>
      </c>
      <c r="D828" s="15" t="s">
        <v>69</v>
      </c>
      <c r="E828" s="15" t="s">
        <v>90</v>
      </c>
      <c r="F828" s="15"/>
      <c r="G828" s="15"/>
      <c r="H828" s="35"/>
      <c r="I828" s="35">
        <f t="shared" ref="I828:I891" si="32">IF(H828="",0,G828)</f>
        <v>0</v>
      </c>
      <c r="J828" s="35"/>
      <c r="K828" s="35">
        <v>0</v>
      </c>
      <c r="L828" s="36">
        <f t="shared" ref="L828:L891" si="33">G828-I828-K828</f>
        <v>0</v>
      </c>
    </row>
    <row r="829" spans="1:12" x14ac:dyDescent="0.25">
      <c r="A829" s="21" t="s">
        <v>635</v>
      </c>
      <c r="B829" s="30" t="s">
        <v>635</v>
      </c>
      <c r="C829" s="21" t="s">
        <v>648</v>
      </c>
      <c r="D829" s="21" t="s">
        <v>70</v>
      </c>
      <c r="E829" s="21" t="s">
        <v>104</v>
      </c>
      <c r="F829" s="21"/>
      <c r="G829" s="21"/>
      <c r="H829" s="32"/>
      <c r="I829" s="32">
        <f t="shared" si="32"/>
        <v>0</v>
      </c>
      <c r="J829" s="32"/>
      <c r="K829" s="32">
        <v>0</v>
      </c>
      <c r="L829" s="33">
        <f t="shared" si="33"/>
        <v>0</v>
      </c>
    </row>
    <row r="830" spans="1:12" x14ac:dyDescent="0.25">
      <c r="A830" s="21" t="s">
        <v>649</v>
      </c>
      <c r="B830" s="30" t="s">
        <v>649</v>
      </c>
      <c r="C830" s="21" t="s">
        <v>650</v>
      </c>
      <c r="D830" s="21" t="s">
        <v>47</v>
      </c>
      <c r="E830" s="21" t="s">
        <v>79</v>
      </c>
      <c r="F830" s="31">
        <v>3</v>
      </c>
      <c r="G830" s="31">
        <v>5</v>
      </c>
      <c r="H830" s="32"/>
      <c r="I830" s="32">
        <f t="shared" si="32"/>
        <v>0</v>
      </c>
      <c r="J830" s="32"/>
      <c r="K830" s="32">
        <v>0</v>
      </c>
      <c r="L830" s="33">
        <f t="shared" si="33"/>
        <v>5</v>
      </c>
    </row>
    <row r="831" spans="1:12" x14ac:dyDescent="0.25">
      <c r="A831" s="15" t="s">
        <v>649</v>
      </c>
      <c r="B831" s="14" t="s">
        <v>649</v>
      </c>
      <c r="C831" s="15" t="s">
        <v>651</v>
      </c>
      <c r="D831" s="15" t="s">
        <v>57</v>
      </c>
      <c r="E831" s="15" t="s">
        <v>136</v>
      </c>
      <c r="F831" s="15"/>
      <c r="G831" s="15"/>
      <c r="H831" s="35"/>
      <c r="I831" s="35">
        <f t="shared" si="32"/>
        <v>0</v>
      </c>
      <c r="J831" s="35"/>
      <c r="K831" s="35">
        <v>0</v>
      </c>
      <c r="L831" s="36">
        <f t="shared" si="33"/>
        <v>0</v>
      </c>
    </row>
    <row r="832" spans="1:12" x14ac:dyDescent="0.25">
      <c r="A832" s="21" t="s">
        <v>649</v>
      </c>
      <c r="B832" s="30" t="s">
        <v>649</v>
      </c>
      <c r="C832" s="21" t="s">
        <v>652</v>
      </c>
      <c r="D832" s="21" t="s">
        <v>47</v>
      </c>
      <c r="E832" s="21" t="s">
        <v>79</v>
      </c>
      <c r="F832" s="31">
        <v>5</v>
      </c>
      <c r="G832" s="31">
        <v>10</v>
      </c>
      <c r="H832" s="32"/>
      <c r="I832" s="32">
        <f t="shared" si="32"/>
        <v>0</v>
      </c>
      <c r="J832" s="32"/>
      <c r="K832" s="32">
        <v>0</v>
      </c>
      <c r="L832" s="33">
        <f t="shared" si="33"/>
        <v>10</v>
      </c>
    </row>
    <row r="833" spans="1:12" x14ac:dyDescent="0.25">
      <c r="A833" s="15" t="s">
        <v>649</v>
      </c>
      <c r="B833" s="14" t="s">
        <v>649</v>
      </c>
      <c r="C833" s="15" t="s">
        <v>653</v>
      </c>
      <c r="D833" s="15" t="s">
        <v>65</v>
      </c>
      <c r="E833" s="15" t="s">
        <v>82</v>
      </c>
      <c r="F833" s="15"/>
      <c r="G833" s="15"/>
      <c r="H833" s="35"/>
      <c r="I833" s="35">
        <f t="shared" si="32"/>
        <v>0</v>
      </c>
      <c r="J833" s="35"/>
      <c r="K833" s="35">
        <v>0</v>
      </c>
      <c r="L833" s="36">
        <f t="shared" si="33"/>
        <v>0</v>
      </c>
    </row>
    <row r="834" spans="1:12" x14ac:dyDescent="0.25">
      <c r="A834" s="21" t="s">
        <v>649</v>
      </c>
      <c r="B834" s="30" t="s">
        <v>649</v>
      </c>
      <c r="C834" s="21" t="s">
        <v>654</v>
      </c>
      <c r="D834" s="21" t="s">
        <v>54</v>
      </c>
      <c r="E834" s="21" t="s">
        <v>84</v>
      </c>
      <c r="F834" s="31">
        <v>5</v>
      </c>
      <c r="G834" s="31">
        <v>7</v>
      </c>
      <c r="H834" s="32"/>
      <c r="I834" s="32">
        <f t="shared" si="32"/>
        <v>0</v>
      </c>
      <c r="J834" s="32"/>
      <c r="K834" s="32">
        <v>0</v>
      </c>
      <c r="L834" s="33">
        <f t="shared" si="33"/>
        <v>7</v>
      </c>
    </row>
    <row r="835" spans="1:12" x14ac:dyDescent="0.25">
      <c r="A835" s="15" t="s">
        <v>649</v>
      </c>
      <c r="B835" s="14" t="s">
        <v>649</v>
      </c>
      <c r="C835" s="15" t="s">
        <v>655</v>
      </c>
      <c r="D835" s="15" t="s">
        <v>59</v>
      </c>
      <c r="E835" s="15" t="s">
        <v>203</v>
      </c>
      <c r="F835" s="15"/>
      <c r="G835" s="15"/>
      <c r="H835" s="35"/>
      <c r="I835" s="35">
        <f t="shared" si="32"/>
        <v>0</v>
      </c>
      <c r="J835" s="35"/>
      <c r="K835" s="35">
        <v>0</v>
      </c>
      <c r="L835" s="36">
        <f t="shared" si="33"/>
        <v>0</v>
      </c>
    </row>
    <row r="836" spans="1:12" x14ac:dyDescent="0.25">
      <c r="A836" s="21" t="s">
        <v>649</v>
      </c>
      <c r="B836" s="30" t="s">
        <v>649</v>
      </c>
      <c r="C836" s="21" t="s">
        <v>656</v>
      </c>
      <c r="D836" s="21" t="s">
        <v>70</v>
      </c>
      <c r="E836" s="21" t="s">
        <v>104</v>
      </c>
      <c r="F836" s="31">
        <v>7</v>
      </c>
      <c r="G836" s="31">
        <v>5</v>
      </c>
      <c r="H836" s="32"/>
      <c r="I836" s="32">
        <f t="shared" si="32"/>
        <v>0</v>
      </c>
      <c r="J836" s="32"/>
      <c r="K836" s="32">
        <v>0</v>
      </c>
      <c r="L836" s="33">
        <f t="shared" si="33"/>
        <v>5</v>
      </c>
    </row>
    <row r="837" spans="1:12" x14ac:dyDescent="0.25">
      <c r="A837" s="15" t="s">
        <v>649</v>
      </c>
      <c r="B837" s="14" t="s">
        <v>649</v>
      </c>
      <c r="C837" s="15" t="s">
        <v>657</v>
      </c>
      <c r="D837" s="15" t="s">
        <v>61</v>
      </c>
      <c r="E837" s="15" t="s">
        <v>142</v>
      </c>
      <c r="F837" s="15"/>
      <c r="G837" s="15"/>
      <c r="H837" s="35"/>
      <c r="I837" s="35">
        <f t="shared" si="32"/>
        <v>0</v>
      </c>
      <c r="J837" s="35"/>
      <c r="K837" s="35">
        <v>0</v>
      </c>
      <c r="L837" s="36">
        <f t="shared" si="33"/>
        <v>0</v>
      </c>
    </row>
    <row r="838" spans="1:12" x14ac:dyDescent="0.25">
      <c r="A838" s="21" t="s">
        <v>649</v>
      </c>
      <c r="B838" s="30" t="s">
        <v>649</v>
      </c>
      <c r="C838" s="21" t="s">
        <v>658</v>
      </c>
      <c r="D838" s="21" t="s">
        <v>69</v>
      </c>
      <c r="E838" s="21" t="s">
        <v>90</v>
      </c>
      <c r="F838" s="21"/>
      <c r="G838" s="21"/>
      <c r="H838" s="32"/>
      <c r="I838" s="32">
        <f t="shared" si="32"/>
        <v>0</v>
      </c>
      <c r="J838" s="32"/>
      <c r="K838" s="32">
        <v>0</v>
      </c>
      <c r="L838" s="33">
        <f t="shared" si="33"/>
        <v>0</v>
      </c>
    </row>
    <row r="839" spans="1:12" x14ac:dyDescent="0.25">
      <c r="A839" s="15" t="s">
        <v>649</v>
      </c>
      <c r="B839" s="14" t="s">
        <v>649</v>
      </c>
      <c r="C839" s="15" t="s">
        <v>659</v>
      </c>
      <c r="D839" s="15" t="s">
        <v>47</v>
      </c>
      <c r="E839" s="15" t="s">
        <v>79</v>
      </c>
      <c r="F839" s="15"/>
      <c r="G839" s="15"/>
      <c r="H839" s="35"/>
      <c r="I839" s="35">
        <f t="shared" si="32"/>
        <v>0</v>
      </c>
      <c r="J839" s="35"/>
      <c r="K839" s="35">
        <v>0</v>
      </c>
      <c r="L839" s="36">
        <f t="shared" si="33"/>
        <v>0</v>
      </c>
    </row>
    <row r="840" spans="1:12" x14ac:dyDescent="0.25">
      <c r="A840" s="21" t="s">
        <v>649</v>
      </c>
      <c r="B840" s="30" t="s">
        <v>649</v>
      </c>
      <c r="C840" s="21" t="s">
        <v>660</v>
      </c>
      <c r="D840" s="21" t="s">
        <v>65</v>
      </c>
      <c r="E840" s="21" t="s">
        <v>82</v>
      </c>
      <c r="F840" s="31">
        <v>10</v>
      </c>
      <c r="G840" s="31">
        <v>15</v>
      </c>
      <c r="H840" s="32"/>
      <c r="I840" s="32">
        <f t="shared" si="32"/>
        <v>0</v>
      </c>
      <c r="J840" s="32"/>
      <c r="K840" s="32">
        <v>0</v>
      </c>
      <c r="L840" s="33">
        <f t="shared" si="33"/>
        <v>15</v>
      </c>
    </row>
    <row r="841" spans="1:12" x14ac:dyDescent="0.25">
      <c r="A841" s="15" t="s">
        <v>649</v>
      </c>
      <c r="B841" s="14" t="s">
        <v>649</v>
      </c>
      <c r="C841" s="15" t="s">
        <v>661</v>
      </c>
      <c r="D841" s="15" t="s">
        <v>65</v>
      </c>
      <c r="E841" s="15" t="s">
        <v>82</v>
      </c>
      <c r="F841" s="34">
        <v>2</v>
      </c>
      <c r="G841" s="34">
        <v>3</v>
      </c>
      <c r="H841" s="35"/>
      <c r="I841" s="35">
        <f t="shared" si="32"/>
        <v>0</v>
      </c>
      <c r="J841" s="35"/>
      <c r="K841" s="35">
        <v>0</v>
      </c>
      <c r="L841" s="36">
        <f t="shared" si="33"/>
        <v>3</v>
      </c>
    </row>
    <row r="842" spans="1:12" x14ac:dyDescent="0.25">
      <c r="A842" s="21" t="s">
        <v>649</v>
      </c>
      <c r="B842" s="30" t="s">
        <v>649</v>
      </c>
      <c r="C842" s="21" t="s">
        <v>662</v>
      </c>
      <c r="D842" s="21" t="s">
        <v>65</v>
      </c>
      <c r="E842" s="21" t="s">
        <v>82</v>
      </c>
      <c r="F842" s="31">
        <v>1</v>
      </c>
      <c r="G842" s="31">
        <v>1</v>
      </c>
      <c r="H842" s="32"/>
      <c r="I842" s="32">
        <f t="shared" si="32"/>
        <v>0</v>
      </c>
      <c r="J842" s="32"/>
      <c r="K842" s="32">
        <v>0</v>
      </c>
      <c r="L842" s="33">
        <f t="shared" si="33"/>
        <v>1</v>
      </c>
    </row>
    <row r="843" spans="1:12" x14ac:dyDescent="0.25">
      <c r="A843" s="15" t="s">
        <v>649</v>
      </c>
      <c r="B843" s="14" t="s">
        <v>649</v>
      </c>
      <c r="C843" s="15" t="s">
        <v>663</v>
      </c>
      <c r="D843" s="15" t="s">
        <v>65</v>
      </c>
      <c r="E843" s="15" t="s">
        <v>82</v>
      </c>
      <c r="F843" s="34">
        <v>1</v>
      </c>
      <c r="G843" s="34">
        <v>1</v>
      </c>
      <c r="H843" s="35"/>
      <c r="I843" s="35">
        <f t="shared" si="32"/>
        <v>0</v>
      </c>
      <c r="J843" s="35"/>
      <c r="K843" s="35">
        <v>0</v>
      </c>
      <c r="L843" s="36">
        <f t="shared" si="33"/>
        <v>1</v>
      </c>
    </row>
    <row r="844" spans="1:12" x14ac:dyDescent="0.25">
      <c r="A844" s="21" t="s">
        <v>649</v>
      </c>
      <c r="B844" s="30" t="s">
        <v>649</v>
      </c>
      <c r="C844" s="21" t="s">
        <v>654</v>
      </c>
      <c r="D844" s="21" t="s">
        <v>54</v>
      </c>
      <c r="E844" s="21" t="s">
        <v>84</v>
      </c>
      <c r="F844" s="21"/>
      <c r="G844" s="21"/>
      <c r="H844" s="32"/>
      <c r="I844" s="32">
        <f t="shared" si="32"/>
        <v>0</v>
      </c>
      <c r="J844" s="32"/>
      <c r="K844" s="32">
        <v>0</v>
      </c>
      <c r="L844" s="33">
        <f t="shared" si="33"/>
        <v>0</v>
      </c>
    </row>
    <row r="845" spans="1:12" x14ac:dyDescent="0.25">
      <c r="A845" s="15" t="s">
        <v>649</v>
      </c>
      <c r="B845" s="14" t="s">
        <v>649</v>
      </c>
      <c r="C845" s="15" t="s">
        <v>655</v>
      </c>
      <c r="D845" s="15" t="s">
        <v>59</v>
      </c>
      <c r="E845" s="15" t="s">
        <v>203</v>
      </c>
      <c r="F845" s="15"/>
      <c r="G845" s="15"/>
      <c r="H845" s="35"/>
      <c r="I845" s="35">
        <f t="shared" si="32"/>
        <v>0</v>
      </c>
      <c r="J845" s="35"/>
      <c r="K845" s="35">
        <v>0</v>
      </c>
      <c r="L845" s="36">
        <f t="shared" si="33"/>
        <v>0</v>
      </c>
    </row>
    <row r="846" spans="1:12" x14ac:dyDescent="0.25">
      <c r="A846" s="21" t="s">
        <v>649</v>
      </c>
      <c r="B846" s="30" t="s">
        <v>649</v>
      </c>
      <c r="C846" s="21" t="s">
        <v>656</v>
      </c>
      <c r="D846" s="21" t="s">
        <v>70</v>
      </c>
      <c r="E846" s="21" t="s">
        <v>104</v>
      </c>
      <c r="F846" s="21"/>
      <c r="G846" s="21"/>
      <c r="H846" s="32"/>
      <c r="I846" s="32">
        <f t="shared" si="32"/>
        <v>0</v>
      </c>
      <c r="J846" s="32"/>
      <c r="K846" s="32">
        <v>0</v>
      </c>
      <c r="L846" s="33">
        <f t="shared" si="33"/>
        <v>0</v>
      </c>
    </row>
    <row r="847" spans="1:12" x14ac:dyDescent="0.25">
      <c r="A847" s="15" t="s">
        <v>649</v>
      </c>
      <c r="B847" s="14" t="s">
        <v>649</v>
      </c>
      <c r="C847" s="15" t="s">
        <v>657</v>
      </c>
      <c r="D847" s="15" t="s">
        <v>61</v>
      </c>
      <c r="E847" s="15" t="s">
        <v>142</v>
      </c>
      <c r="F847" s="15"/>
      <c r="G847" s="15"/>
      <c r="H847" s="35"/>
      <c r="I847" s="35">
        <f t="shared" si="32"/>
        <v>0</v>
      </c>
      <c r="J847" s="35"/>
      <c r="K847" s="35">
        <v>0</v>
      </c>
      <c r="L847" s="36">
        <f t="shared" si="33"/>
        <v>0</v>
      </c>
    </row>
    <row r="848" spans="1:12" x14ac:dyDescent="0.25">
      <c r="A848" s="21" t="s">
        <v>649</v>
      </c>
      <c r="B848" s="30" t="s">
        <v>649</v>
      </c>
      <c r="C848" s="21" t="s">
        <v>658</v>
      </c>
      <c r="D848" s="21" t="s">
        <v>69</v>
      </c>
      <c r="E848" s="21" t="s">
        <v>90</v>
      </c>
      <c r="F848" s="21"/>
      <c r="G848" s="21"/>
      <c r="H848" s="32"/>
      <c r="I848" s="32">
        <f t="shared" si="32"/>
        <v>0</v>
      </c>
      <c r="J848" s="32"/>
      <c r="K848" s="32">
        <v>0</v>
      </c>
      <c r="L848" s="33">
        <f t="shared" si="33"/>
        <v>0</v>
      </c>
    </row>
    <row r="849" spans="1:12" x14ac:dyDescent="0.25">
      <c r="A849" s="21" t="s">
        <v>664</v>
      </c>
      <c r="B849" s="30" t="s">
        <v>664</v>
      </c>
      <c r="C849" s="21" t="s">
        <v>665</v>
      </c>
      <c r="D849" s="21" t="s">
        <v>67</v>
      </c>
      <c r="E849" s="21" t="s">
        <v>93</v>
      </c>
      <c r="F849" s="21"/>
      <c r="G849" s="21"/>
      <c r="H849" s="32"/>
      <c r="I849" s="32">
        <f t="shared" si="32"/>
        <v>0</v>
      </c>
      <c r="J849" s="32"/>
      <c r="K849" s="32">
        <v>0</v>
      </c>
      <c r="L849" s="33">
        <f t="shared" si="33"/>
        <v>0</v>
      </c>
    </row>
    <row r="850" spans="1:12" x14ac:dyDescent="0.25">
      <c r="A850" s="15" t="s">
        <v>664</v>
      </c>
      <c r="B850" s="14" t="s">
        <v>664</v>
      </c>
      <c r="C850" s="15" t="s">
        <v>666</v>
      </c>
      <c r="D850" s="15" t="s">
        <v>67</v>
      </c>
      <c r="E850" s="15" t="s">
        <v>93</v>
      </c>
      <c r="F850" s="15"/>
      <c r="G850" s="15"/>
      <c r="H850" s="35"/>
      <c r="I850" s="35">
        <f t="shared" si="32"/>
        <v>0</v>
      </c>
      <c r="J850" s="35"/>
      <c r="K850" s="35">
        <v>0</v>
      </c>
      <c r="L850" s="36">
        <f t="shared" si="33"/>
        <v>0</v>
      </c>
    </row>
    <row r="851" spans="1:12" x14ac:dyDescent="0.25">
      <c r="A851" s="21" t="s">
        <v>664</v>
      </c>
      <c r="B851" s="30" t="s">
        <v>664</v>
      </c>
      <c r="C851" s="21" t="s">
        <v>667</v>
      </c>
      <c r="D851" s="21" t="s">
        <v>67</v>
      </c>
      <c r="E851" s="21" t="s">
        <v>93</v>
      </c>
      <c r="F851" s="21"/>
      <c r="G851" s="21"/>
      <c r="H851" s="32"/>
      <c r="I851" s="32">
        <f t="shared" si="32"/>
        <v>0</v>
      </c>
      <c r="J851" s="32"/>
      <c r="K851" s="32">
        <v>0</v>
      </c>
      <c r="L851" s="33">
        <f t="shared" si="33"/>
        <v>0</v>
      </c>
    </row>
    <row r="852" spans="1:12" x14ac:dyDescent="0.25">
      <c r="A852" s="15" t="s">
        <v>664</v>
      </c>
      <c r="B852" s="14" t="s">
        <v>664</v>
      </c>
      <c r="C852" s="15" t="s">
        <v>668</v>
      </c>
      <c r="D852" s="15" t="s">
        <v>67</v>
      </c>
      <c r="E852" s="15" t="s">
        <v>93</v>
      </c>
      <c r="F852" s="15"/>
      <c r="G852" s="15"/>
      <c r="H852" s="35"/>
      <c r="I852" s="35">
        <f t="shared" si="32"/>
        <v>0</v>
      </c>
      <c r="J852" s="35"/>
      <c r="K852" s="35">
        <v>0</v>
      </c>
      <c r="L852" s="36">
        <f t="shared" si="33"/>
        <v>0</v>
      </c>
    </row>
    <row r="853" spans="1:12" x14ac:dyDescent="0.25">
      <c r="A853" s="21" t="s">
        <v>664</v>
      </c>
      <c r="B853" s="30" t="s">
        <v>664</v>
      </c>
      <c r="C853" s="21" t="s">
        <v>669</v>
      </c>
      <c r="D853" s="21" t="s">
        <v>57</v>
      </c>
      <c r="E853" s="21" t="s">
        <v>136</v>
      </c>
      <c r="F853" s="21"/>
      <c r="G853" s="21"/>
      <c r="H853" s="32"/>
      <c r="I853" s="32">
        <f t="shared" si="32"/>
        <v>0</v>
      </c>
      <c r="J853" s="32"/>
      <c r="K853" s="32">
        <v>0</v>
      </c>
      <c r="L853" s="33">
        <f t="shared" si="33"/>
        <v>0</v>
      </c>
    </row>
    <row r="854" spans="1:12" x14ac:dyDescent="0.25">
      <c r="A854" s="15" t="s">
        <v>664</v>
      </c>
      <c r="B854" s="14" t="s">
        <v>664</v>
      </c>
      <c r="C854" s="15" t="s">
        <v>670</v>
      </c>
      <c r="D854" s="15" t="s">
        <v>67</v>
      </c>
      <c r="E854" s="15" t="s">
        <v>93</v>
      </c>
      <c r="F854" s="15"/>
      <c r="G854" s="15"/>
      <c r="H854" s="35"/>
      <c r="I854" s="35">
        <f t="shared" si="32"/>
        <v>0</v>
      </c>
      <c r="J854" s="35"/>
      <c r="K854" s="35">
        <v>0</v>
      </c>
      <c r="L854" s="36">
        <f t="shared" si="33"/>
        <v>0</v>
      </c>
    </row>
    <row r="855" spans="1:12" x14ac:dyDescent="0.25">
      <c r="A855" s="21" t="s">
        <v>664</v>
      </c>
      <c r="B855" s="30" t="s">
        <v>664</v>
      </c>
      <c r="C855" s="21" t="s">
        <v>671</v>
      </c>
      <c r="D855" s="21" t="s">
        <v>69</v>
      </c>
      <c r="E855" s="21" t="s">
        <v>90</v>
      </c>
      <c r="F855" s="21"/>
      <c r="G855" s="21"/>
      <c r="H855" s="32"/>
      <c r="I855" s="32">
        <f t="shared" si="32"/>
        <v>0</v>
      </c>
      <c r="J855" s="32"/>
      <c r="K855" s="32">
        <v>0</v>
      </c>
      <c r="L855" s="33">
        <f t="shared" si="33"/>
        <v>0</v>
      </c>
    </row>
    <row r="856" spans="1:12" x14ac:dyDescent="0.25">
      <c r="A856" s="15" t="s">
        <v>664</v>
      </c>
      <c r="B856" s="14" t="s">
        <v>664</v>
      </c>
      <c r="C856" s="15" t="s">
        <v>672</v>
      </c>
      <c r="D856" s="15" t="s">
        <v>67</v>
      </c>
      <c r="E856" s="15" t="s">
        <v>93</v>
      </c>
      <c r="F856" s="15"/>
      <c r="G856" s="15"/>
      <c r="H856" s="35"/>
      <c r="I856" s="35">
        <f t="shared" si="32"/>
        <v>0</v>
      </c>
      <c r="J856" s="35"/>
      <c r="K856" s="35">
        <v>0</v>
      </c>
      <c r="L856" s="36">
        <f t="shared" si="33"/>
        <v>0</v>
      </c>
    </row>
    <row r="857" spans="1:12" x14ac:dyDescent="0.25">
      <c r="A857" s="21" t="s">
        <v>664</v>
      </c>
      <c r="B857" s="30" t="s">
        <v>664</v>
      </c>
      <c r="C857" s="21" t="s">
        <v>673</v>
      </c>
      <c r="D857" s="21" t="s">
        <v>51</v>
      </c>
      <c r="E857" s="21" t="s">
        <v>146</v>
      </c>
      <c r="F857" s="31">
        <v>1</v>
      </c>
      <c r="G857" s="31">
        <v>1</v>
      </c>
      <c r="H857" s="32"/>
      <c r="I857" s="32">
        <f t="shared" si="32"/>
        <v>0</v>
      </c>
      <c r="J857" s="32"/>
      <c r="K857" s="32">
        <v>0</v>
      </c>
      <c r="L857" s="33">
        <f t="shared" si="33"/>
        <v>1</v>
      </c>
    </row>
    <row r="858" spans="1:12" x14ac:dyDescent="0.25">
      <c r="A858" s="15" t="s">
        <v>664</v>
      </c>
      <c r="B858" s="14" t="s">
        <v>664</v>
      </c>
      <c r="C858" s="15" t="s">
        <v>674</v>
      </c>
      <c r="D858" s="15" t="s">
        <v>67</v>
      </c>
      <c r="E858" s="15" t="s">
        <v>93</v>
      </c>
      <c r="F858" s="15"/>
      <c r="G858" s="15"/>
      <c r="H858" s="35"/>
      <c r="I858" s="35">
        <f t="shared" si="32"/>
        <v>0</v>
      </c>
      <c r="J858" s="35"/>
      <c r="K858" s="35">
        <v>0</v>
      </c>
      <c r="L858" s="36">
        <f t="shared" si="33"/>
        <v>0</v>
      </c>
    </row>
    <row r="859" spans="1:12" x14ac:dyDescent="0.25">
      <c r="A859" s="21" t="s">
        <v>664</v>
      </c>
      <c r="B859" s="30" t="s">
        <v>664</v>
      </c>
      <c r="C859" s="21" t="s">
        <v>675</v>
      </c>
      <c r="D859" s="21" t="s">
        <v>67</v>
      </c>
      <c r="E859" s="21" t="s">
        <v>93</v>
      </c>
      <c r="F859" s="21"/>
      <c r="G859" s="21"/>
      <c r="H859" s="32"/>
      <c r="I859" s="32">
        <f t="shared" si="32"/>
        <v>0</v>
      </c>
      <c r="J859" s="32"/>
      <c r="K859" s="32">
        <v>0</v>
      </c>
      <c r="L859" s="33">
        <f t="shared" si="33"/>
        <v>0</v>
      </c>
    </row>
    <row r="860" spans="1:12" x14ac:dyDescent="0.25">
      <c r="A860" s="15" t="s">
        <v>664</v>
      </c>
      <c r="B860" s="14" t="s">
        <v>664</v>
      </c>
      <c r="C860" s="15" t="s">
        <v>676</v>
      </c>
      <c r="D860" s="15" t="s">
        <v>67</v>
      </c>
      <c r="E860" s="15" t="s">
        <v>93</v>
      </c>
      <c r="F860" s="15"/>
      <c r="G860" s="15"/>
      <c r="H860" s="35"/>
      <c r="I860" s="35">
        <f t="shared" si="32"/>
        <v>0</v>
      </c>
      <c r="J860" s="35"/>
      <c r="K860" s="35">
        <v>0</v>
      </c>
      <c r="L860" s="36">
        <f t="shared" si="33"/>
        <v>0</v>
      </c>
    </row>
    <row r="861" spans="1:12" x14ac:dyDescent="0.25">
      <c r="A861" s="21" t="s">
        <v>664</v>
      </c>
      <c r="B861" s="30" t="s">
        <v>664</v>
      </c>
      <c r="C861" s="21" t="s">
        <v>677</v>
      </c>
      <c r="D861" s="21" t="s">
        <v>67</v>
      </c>
      <c r="E861" s="21" t="s">
        <v>93</v>
      </c>
      <c r="F861" s="21"/>
      <c r="G861" s="21"/>
      <c r="H861" s="32"/>
      <c r="I861" s="32">
        <f t="shared" si="32"/>
        <v>0</v>
      </c>
      <c r="J861" s="32"/>
      <c r="K861" s="32">
        <v>0</v>
      </c>
      <c r="L861" s="33">
        <f t="shared" si="33"/>
        <v>0</v>
      </c>
    </row>
    <row r="862" spans="1:12" x14ac:dyDescent="0.25">
      <c r="A862" s="15" t="s">
        <v>664</v>
      </c>
      <c r="B862" s="14" t="s">
        <v>664</v>
      </c>
      <c r="C862" s="15" t="s">
        <v>678</v>
      </c>
      <c r="D862" s="15" t="s">
        <v>67</v>
      </c>
      <c r="E862" s="15" t="s">
        <v>93</v>
      </c>
      <c r="F862" s="15"/>
      <c r="G862" s="15"/>
      <c r="H862" s="35"/>
      <c r="I862" s="35">
        <f t="shared" si="32"/>
        <v>0</v>
      </c>
      <c r="J862" s="35"/>
      <c r="K862" s="35">
        <v>0</v>
      </c>
      <c r="L862" s="36">
        <f t="shared" si="33"/>
        <v>0</v>
      </c>
    </row>
    <row r="863" spans="1:12" x14ac:dyDescent="0.25">
      <c r="A863" s="21" t="s">
        <v>664</v>
      </c>
      <c r="B863" s="30" t="s">
        <v>664</v>
      </c>
      <c r="C863" s="21" t="s">
        <v>679</v>
      </c>
      <c r="D863" s="21" t="s">
        <v>67</v>
      </c>
      <c r="E863" s="21" t="s">
        <v>93</v>
      </c>
      <c r="F863" s="21"/>
      <c r="G863" s="21"/>
      <c r="H863" s="32"/>
      <c r="I863" s="32">
        <f t="shared" si="32"/>
        <v>0</v>
      </c>
      <c r="J863" s="32"/>
      <c r="K863" s="32">
        <v>0</v>
      </c>
      <c r="L863" s="33">
        <f t="shared" si="33"/>
        <v>0</v>
      </c>
    </row>
    <row r="864" spans="1:12" x14ac:dyDescent="0.25">
      <c r="A864" s="15" t="s">
        <v>664</v>
      </c>
      <c r="B864" s="14" t="s">
        <v>664</v>
      </c>
      <c r="C864" s="15" t="s">
        <v>680</v>
      </c>
      <c r="D864" s="15" t="s">
        <v>67</v>
      </c>
      <c r="E864" s="15" t="s">
        <v>93</v>
      </c>
      <c r="F864" s="15"/>
      <c r="G864" s="15"/>
      <c r="H864" s="35"/>
      <c r="I864" s="35">
        <f t="shared" si="32"/>
        <v>0</v>
      </c>
      <c r="J864" s="35"/>
      <c r="K864" s="35">
        <v>0</v>
      </c>
      <c r="L864" s="36">
        <f t="shared" si="33"/>
        <v>0</v>
      </c>
    </row>
    <row r="865" spans="1:12" x14ac:dyDescent="0.25">
      <c r="A865" s="21" t="s">
        <v>664</v>
      </c>
      <c r="B865" s="30" t="s">
        <v>664</v>
      </c>
      <c r="C865" s="21" t="s">
        <v>681</v>
      </c>
      <c r="D865" s="21" t="s">
        <v>53</v>
      </c>
      <c r="E865" s="21" t="s">
        <v>129</v>
      </c>
      <c r="F865" s="21"/>
      <c r="G865" s="21"/>
      <c r="H865" s="32"/>
      <c r="I865" s="32">
        <f t="shared" si="32"/>
        <v>0</v>
      </c>
      <c r="J865" s="32"/>
      <c r="K865" s="32">
        <v>0</v>
      </c>
      <c r="L865" s="33">
        <f t="shared" si="33"/>
        <v>0</v>
      </c>
    </row>
    <row r="866" spans="1:12" x14ac:dyDescent="0.25">
      <c r="A866" s="15" t="s">
        <v>664</v>
      </c>
      <c r="B866" s="14" t="s">
        <v>664</v>
      </c>
      <c r="C866" s="15" t="s">
        <v>682</v>
      </c>
      <c r="D866" s="15" t="s">
        <v>70</v>
      </c>
      <c r="E866" s="15" t="s">
        <v>104</v>
      </c>
      <c r="F866" s="34">
        <v>6</v>
      </c>
      <c r="G866" s="34">
        <v>3</v>
      </c>
      <c r="H866" s="35"/>
      <c r="I866" s="35">
        <f t="shared" si="32"/>
        <v>0</v>
      </c>
      <c r="J866" s="35"/>
      <c r="K866" s="35">
        <v>0</v>
      </c>
      <c r="L866" s="36">
        <f t="shared" si="33"/>
        <v>3</v>
      </c>
    </row>
    <row r="867" spans="1:12" x14ac:dyDescent="0.25">
      <c r="A867" s="21" t="s">
        <v>664</v>
      </c>
      <c r="B867" s="30" t="s">
        <v>664</v>
      </c>
      <c r="C867" s="21" t="s">
        <v>683</v>
      </c>
      <c r="D867" s="21" t="s">
        <v>47</v>
      </c>
      <c r="E867" s="21" t="s">
        <v>79</v>
      </c>
      <c r="F867" s="31">
        <v>0.5</v>
      </c>
      <c r="G867" s="31">
        <v>1</v>
      </c>
      <c r="H867" s="32"/>
      <c r="I867" s="32">
        <f t="shared" si="32"/>
        <v>0</v>
      </c>
      <c r="J867" s="32"/>
      <c r="K867" s="32">
        <v>0</v>
      </c>
      <c r="L867" s="33">
        <f t="shared" si="33"/>
        <v>1</v>
      </c>
    </row>
    <row r="868" spans="1:12" x14ac:dyDescent="0.25">
      <c r="A868" s="15" t="s">
        <v>664</v>
      </c>
      <c r="B868" s="14" t="s">
        <v>664</v>
      </c>
      <c r="C868" s="15" t="s">
        <v>684</v>
      </c>
      <c r="D868" s="15" t="s">
        <v>67</v>
      </c>
      <c r="E868" s="15" t="s">
        <v>93</v>
      </c>
      <c r="F868" s="15"/>
      <c r="G868" s="15"/>
      <c r="H868" s="35"/>
      <c r="I868" s="35">
        <f t="shared" si="32"/>
        <v>0</v>
      </c>
      <c r="J868" s="35"/>
      <c r="K868" s="35">
        <v>0</v>
      </c>
      <c r="L868" s="36">
        <f t="shared" si="33"/>
        <v>0</v>
      </c>
    </row>
    <row r="869" spans="1:12" x14ac:dyDescent="0.25">
      <c r="A869" s="21" t="s">
        <v>664</v>
      </c>
      <c r="B869" s="30" t="s">
        <v>664</v>
      </c>
      <c r="C869" s="21" t="s">
        <v>685</v>
      </c>
      <c r="D869" s="21" t="s">
        <v>69</v>
      </c>
      <c r="E869" s="21" t="s">
        <v>90</v>
      </c>
      <c r="F869" s="21"/>
      <c r="G869" s="21"/>
      <c r="H869" s="32"/>
      <c r="I869" s="32">
        <f t="shared" si="32"/>
        <v>0</v>
      </c>
      <c r="J869" s="32"/>
      <c r="K869" s="32">
        <v>0</v>
      </c>
      <c r="L869" s="33">
        <f t="shared" si="33"/>
        <v>0</v>
      </c>
    </row>
    <row r="870" spans="1:12" x14ac:dyDescent="0.25">
      <c r="A870" s="15" t="s">
        <v>664</v>
      </c>
      <c r="B870" s="14" t="s">
        <v>664</v>
      </c>
      <c r="C870" s="15" t="s">
        <v>665</v>
      </c>
      <c r="D870" s="15" t="s">
        <v>65</v>
      </c>
      <c r="E870" s="15" t="s">
        <v>82</v>
      </c>
      <c r="F870" s="15"/>
      <c r="G870" s="15"/>
      <c r="H870" s="35"/>
      <c r="I870" s="35">
        <f t="shared" si="32"/>
        <v>0</v>
      </c>
      <c r="J870" s="35"/>
      <c r="K870" s="35">
        <v>0</v>
      </c>
      <c r="L870" s="36">
        <f t="shared" si="33"/>
        <v>0</v>
      </c>
    </row>
    <row r="871" spans="1:12" x14ac:dyDescent="0.25">
      <c r="A871" s="21" t="s">
        <v>664</v>
      </c>
      <c r="B871" s="30" t="s">
        <v>664</v>
      </c>
      <c r="C871" s="21" t="s">
        <v>686</v>
      </c>
      <c r="D871" s="21" t="s">
        <v>65</v>
      </c>
      <c r="E871" s="21" t="s">
        <v>82</v>
      </c>
      <c r="F871" s="31">
        <v>2</v>
      </c>
      <c r="G871" s="31">
        <v>4</v>
      </c>
      <c r="H871" s="32"/>
      <c r="I871" s="32">
        <f t="shared" si="32"/>
        <v>0</v>
      </c>
      <c r="J871" s="32"/>
      <c r="K871" s="32">
        <v>0</v>
      </c>
      <c r="L871" s="33">
        <f t="shared" si="33"/>
        <v>4</v>
      </c>
    </row>
    <row r="872" spans="1:12" x14ac:dyDescent="0.25">
      <c r="A872" s="15" t="s">
        <v>664</v>
      </c>
      <c r="B872" s="14" t="s">
        <v>664</v>
      </c>
      <c r="C872" s="15" t="s">
        <v>687</v>
      </c>
      <c r="D872" s="15" t="s">
        <v>65</v>
      </c>
      <c r="E872" s="15" t="s">
        <v>82</v>
      </c>
      <c r="F872" s="34">
        <v>0.5</v>
      </c>
      <c r="G872" s="34">
        <v>1</v>
      </c>
      <c r="H872" s="35"/>
      <c r="I872" s="35">
        <f t="shared" si="32"/>
        <v>0</v>
      </c>
      <c r="J872" s="35"/>
      <c r="K872" s="35">
        <v>0</v>
      </c>
      <c r="L872" s="36">
        <f t="shared" si="33"/>
        <v>1</v>
      </c>
    </row>
    <row r="873" spans="1:12" x14ac:dyDescent="0.25">
      <c r="A873" s="21" t="s">
        <v>664</v>
      </c>
      <c r="B873" s="30" t="s">
        <v>664</v>
      </c>
      <c r="C873" s="21" t="s">
        <v>667</v>
      </c>
      <c r="D873" s="21" t="s">
        <v>65</v>
      </c>
      <c r="E873" s="21" t="s">
        <v>82</v>
      </c>
      <c r="F873" s="31">
        <v>1</v>
      </c>
      <c r="G873" s="31">
        <v>2</v>
      </c>
      <c r="H873" s="32"/>
      <c r="I873" s="32">
        <f t="shared" si="32"/>
        <v>0</v>
      </c>
      <c r="J873" s="32"/>
      <c r="K873" s="32">
        <v>0</v>
      </c>
      <c r="L873" s="33">
        <f t="shared" si="33"/>
        <v>2</v>
      </c>
    </row>
    <row r="874" spans="1:12" x14ac:dyDescent="0.25">
      <c r="A874" s="15" t="s">
        <v>664</v>
      </c>
      <c r="B874" s="14" t="s">
        <v>664</v>
      </c>
      <c r="C874" s="15" t="s">
        <v>688</v>
      </c>
      <c r="D874" s="15" t="s">
        <v>65</v>
      </c>
      <c r="E874" s="15" t="s">
        <v>82</v>
      </c>
      <c r="F874" s="34">
        <v>1</v>
      </c>
      <c r="G874" s="34">
        <v>2</v>
      </c>
      <c r="H874" s="35"/>
      <c r="I874" s="35">
        <f t="shared" si="32"/>
        <v>0</v>
      </c>
      <c r="J874" s="35"/>
      <c r="K874" s="35">
        <v>0</v>
      </c>
      <c r="L874" s="36">
        <f t="shared" si="33"/>
        <v>2</v>
      </c>
    </row>
    <row r="875" spans="1:12" x14ac:dyDescent="0.25">
      <c r="A875" s="21" t="s">
        <v>664</v>
      </c>
      <c r="B875" s="30" t="s">
        <v>664</v>
      </c>
      <c r="C875" s="21" t="s">
        <v>669</v>
      </c>
      <c r="D875" s="21" t="s">
        <v>57</v>
      </c>
      <c r="E875" s="21" t="s">
        <v>136</v>
      </c>
      <c r="F875" s="21"/>
      <c r="G875" s="21"/>
      <c r="H875" s="32"/>
      <c r="I875" s="32">
        <f t="shared" si="32"/>
        <v>0</v>
      </c>
      <c r="J875" s="32"/>
      <c r="K875" s="32">
        <v>0</v>
      </c>
      <c r="L875" s="33">
        <f t="shared" si="33"/>
        <v>0</v>
      </c>
    </row>
    <row r="876" spans="1:12" x14ac:dyDescent="0.25">
      <c r="A876" s="15" t="s">
        <v>664</v>
      </c>
      <c r="B876" s="14" t="s">
        <v>664</v>
      </c>
      <c r="C876" s="15" t="s">
        <v>670</v>
      </c>
      <c r="D876" s="15" t="s">
        <v>65</v>
      </c>
      <c r="E876" s="15" t="s">
        <v>82</v>
      </c>
      <c r="F876" s="15"/>
      <c r="G876" s="15"/>
      <c r="H876" s="35"/>
      <c r="I876" s="35">
        <f t="shared" si="32"/>
        <v>0</v>
      </c>
      <c r="J876" s="35"/>
      <c r="K876" s="35">
        <v>0</v>
      </c>
      <c r="L876" s="36">
        <f t="shared" si="33"/>
        <v>0</v>
      </c>
    </row>
    <row r="877" spans="1:12" x14ac:dyDescent="0.25">
      <c r="A877" s="21" t="s">
        <v>664</v>
      </c>
      <c r="B877" s="30" t="s">
        <v>664</v>
      </c>
      <c r="C877" s="21" t="s">
        <v>671</v>
      </c>
      <c r="D877" s="21" t="s">
        <v>69</v>
      </c>
      <c r="E877" s="21" t="s">
        <v>90</v>
      </c>
      <c r="F877" s="21"/>
      <c r="G877" s="21"/>
      <c r="H877" s="32"/>
      <c r="I877" s="32">
        <f t="shared" si="32"/>
        <v>0</v>
      </c>
      <c r="J877" s="32"/>
      <c r="K877" s="32">
        <v>0</v>
      </c>
      <c r="L877" s="33">
        <f t="shared" si="33"/>
        <v>0</v>
      </c>
    </row>
    <row r="878" spans="1:12" x14ac:dyDescent="0.25">
      <c r="A878" s="15" t="s">
        <v>664</v>
      </c>
      <c r="B878" s="14" t="s">
        <v>664</v>
      </c>
      <c r="C878" s="15" t="s">
        <v>674</v>
      </c>
      <c r="D878" s="15" t="s">
        <v>65</v>
      </c>
      <c r="E878" s="15" t="s">
        <v>82</v>
      </c>
      <c r="F878" s="15"/>
      <c r="G878" s="15"/>
      <c r="H878" s="35"/>
      <c r="I878" s="35">
        <f t="shared" si="32"/>
        <v>0</v>
      </c>
      <c r="J878" s="35"/>
      <c r="K878" s="35">
        <v>0</v>
      </c>
      <c r="L878" s="36">
        <f t="shared" si="33"/>
        <v>0</v>
      </c>
    </row>
    <row r="879" spans="1:12" x14ac:dyDescent="0.25">
      <c r="A879" s="21" t="s">
        <v>664</v>
      </c>
      <c r="B879" s="30" t="s">
        <v>664</v>
      </c>
      <c r="C879" s="21" t="s">
        <v>675</v>
      </c>
      <c r="D879" s="21" t="s">
        <v>65</v>
      </c>
      <c r="E879" s="21" t="s">
        <v>82</v>
      </c>
      <c r="F879" s="21"/>
      <c r="G879" s="21"/>
      <c r="H879" s="32"/>
      <c r="I879" s="32">
        <f t="shared" si="32"/>
        <v>0</v>
      </c>
      <c r="J879" s="32"/>
      <c r="K879" s="32">
        <v>0</v>
      </c>
      <c r="L879" s="33">
        <f t="shared" si="33"/>
        <v>0</v>
      </c>
    </row>
    <row r="880" spans="1:12" x14ac:dyDescent="0.25">
      <c r="A880" s="15" t="s">
        <v>664</v>
      </c>
      <c r="B880" s="14" t="s">
        <v>664</v>
      </c>
      <c r="C880" s="15" t="s">
        <v>687</v>
      </c>
      <c r="D880" s="15" t="s">
        <v>65</v>
      </c>
      <c r="E880" s="15" t="s">
        <v>82</v>
      </c>
      <c r="F880" s="34">
        <v>0.5</v>
      </c>
      <c r="G880" s="34">
        <v>1</v>
      </c>
      <c r="H880" s="35"/>
      <c r="I880" s="35">
        <f t="shared" si="32"/>
        <v>0</v>
      </c>
      <c r="J880" s="35"/>
      <c r="K880" s="35">
        <v>0</v>
      </c>
      <c r="L880" s="36">
        <f t="shared" si="33"/>
        <v>1</v>
      </c>
    </row>
    <row r="881" spans="1:12" x14ac:dyDescent="0.25">
      <c r="A881" s="21" t="s">
        <v>664</v>
      </c>
      <c r="B881" s="30" t="s">
        <v>664</v>
      </c>
      <c r="C881" s="21" t="s">
        <v>689</v>
      </c>
      <c r="D881" s="21" t="s">
        <v>65</v>
      </c>
      <c r="E881" s="21" t="s">
        <v>82</v>
      </c>
      <c r="F881" s="31">
        <v>2</v>
      </c>
      <c r="G881" s="31">
        <v>3</v>
      </c>
      <c r="H881" s="32"/>
      <c r="I881" s="32">
        <f t="shared" si="32"/>
        <v>0</v>
      </c>
      <c r="J881" s="32"/>
      <c r="K881" s="32">
        <v>0</v>
      </c>
      <c r="L881" s="33">
        <f t="shared" si="33"/>
        <v>3</v>
      </c>
    </row>
    <row r="882" spans="1:12" x14ac:dyDescent="0.25">
      <c r="A882" s="15" t="s">
        <v>664</v>
      </c>
      <c r="B882" s="14" t="s">
        <v>664</v>
      </c>
      <c r="C882" s="15" t="s">
        <v>676</v>
      </c>
      <c r="D882" s="15" t="s">
        <v>65</v>
      </c>
      <c r="E882" s="15" t="s">
        <v>82</v>
      </c>
      <c r="F882" s="34">
        <v>3</v>
      </c>
      <c r="G882" s="34">
        <v>5</v>
      </c>
      <c r="H882" s="35"/>
      <c r="I882" s="35">
        <f t="shared" si="32"/>
        <v>0</v>
      </c>
      <c r="J882" s="35"/>
      <c r="K882" s="35">
        <v>0</v>
      </c>
      <c r="L882" s="36">
        <f t="shared" si="33"/>
        <v>5</v>
      </c>
    </row>
    <row r="883" spans="1:12" x14ac:dyDescent="0.25">
      <c r="A883" s="21" t="s">
        <v>664</v>
      </c>
      <c r="B883" s="30" t="s">
        <v>664</v>
      </c>
      <c r="C883" s="21" t="s">
        <v>690</v>
      </c>
      <c r="D883" s="21" t="s">
        <v>65</v>
      </c>
      <c r="E883" s="21" t="s">
        <v>82</v>
      </c>
      <c r="F883" s="31">
        <v>5</v>
      </c>
      <c r="G883" s="31">
        <v>10</v>
      </c>
      <c r="H883" s="32"/>
      <c r="I883" s="32">
        <f t="shared" si="32"/>
        <v>0</v>
      </c>
      <c r="J883" s="32"/>
      <c r="K883" s="32">
        <v>0</v>
      </c>
      <c r="L883" s="33">
        <f t="shared" si="33"/>
        <v>10</v>
      </c>
    </row>
    <row r="884" spans="1:12" x14ac:dyDescent="0.25">
      <c r="A884" s="15" t="s">
        <v>664</v>
      </c>
      <c r="B884" s="14" t="s">
        <v>664</v>
      </c>
      <c r="C884" s="15" t="s">
        <v>691</v>
      </c>
      <c r="D884" s="15" t="s">
        <v>54</v>
      </c>
      <c r="E884" s="15" t="s">
        <v>84</v>
      </c>
      <c r="F884" s="15"/>
      <c r="G884" s="15"/>
      <c r="H884" s="35"/>
      <c r="I884" s="35">
        <f t="shared" si="32"/>
        <v>0</v>
      </c>
      <c r="J884" s="35"/>
      <c r="K884" s="35">
        <v>0</v>
      </c>
      <c r="L884" s="36">
        <f t="shared" si="33"/>
        <v>0</v>
      </c>
    </row>
    <row r="885" spans="1:12" x14ac:dyDescent="0.25">
      <c r="A885" s="21" t="s">
        <v>664</v>
      </c>
      <c r="B885" s="30" t="s">
        <v>664</v>
      </c>
      <c r="C885" s="21" t="s">
        <v>677</v>
      </c>
      <c r="D885" s="21" t="s">
        <v>65</v>
      </c>
      <c r="E885" s="21" t="s">
        <v>82</v>
      </c>
      <c r="F885" s="31">
        <v>1</v>
      </c>
      <c r="G885" s="31">
        <v>2</v>
      </c>
      <c r="H885" s="32"/>
      <c r="I885" s="32">
        <f t="shared" si="32"/>
        <v>0</v>
      </c>
      <c r="J885" s="32"/>
      <c r="K885" s="32">
        <v>0</v>
      </c>
      <c r="L885" s="33">
        <f t="shared" si="33"/>
        <v>2</v>
      </c>
    </row>
    <row r="886" spans="1:12" x14ac:dyDescent="0.25">
      <c r="A886" s="15" t="s">
        <v>664</v>
      </c>
      <c r="B886" s="14" t="s">
        <v>664</v>
      </c>
      <c r="C886" s="15" t="s">
        <v>678</v>
      </c>
      <c r="D886" s="15" t="s">
        <v>65</v>
      </c>
      <c r="E886" s="15" t="s">
        <v>82</v>
      </c>
      <c r="F886" s="34">
        <v>2</v>
      </c>
      <c r="G886" s="34">
        <v>3</v>
      </c>
      <c r="H886" s="35"/>
      <c r="I886" s="35">
        <f t="shared" si="32"/>
        <v>0</v>
      </c>
      <c r="J886" s="35"/>
      <c r="K886" s="35">
        <v>0</v>
      </c>
      <c r="L886" s="36">
        <f t="shared" si="33"/>
        <v>3</v>
      </c>
    </row>
    <row r="887" spans="1:12" x14ac:dyDescent="0.25">
      <c r="A887" s="21" t="s">
        <v>664</v>
      </c>
      <c r="B887" s="30" t="s">
        <v>664</v>
      </c>
      <c r="C887" s="21" t="s">
        <v>679</v>
      </c>
      <c r="D887" s="21" t="s">
        <v>65</v>
      </c>
      <c r="E887" s="21" t="s">
        <v>82</v>
      </c>
      <c r="F887" s="31">
        <v>1</v>
      </c>
      <c r="G887" s="31">
        <v>2</v>
      </c>
      <c r="H887" s="32"/>
      <c r="I887" s="32">
        <f t="shared" si="32"/>
        <v>0</v>
      </c>
      <c r="J887" s="32"/>
      <c r="K887" s="32">
        <v>0</v>
      </c>
      <c r="L887" s="33">
        <f t="shared" si="33"/>
        <v>2</v>
      </c>
    </row>
    <row r="888" spans="1:12" x14ac:dyDescent="0.25">
      <c r="A888" s="15" t="s">
        <v>664</v>
      </c>
      <c r="B888" s="14" t="s">
        <v>664</v>
      </c>
      <c r="C888" s="15" t="s">
        <v>680</v>
      </c>
      <c r="D888" s="15" t="s">
        <v>65</v>
      </c>
      <c r="E888" s="15" t="s">
        <v>82</v>
      </c>
      <c r="F888" s="34">
        <v>1</v>
      </c>
      <c r="G888" s="34">
        <v>2</v>
      </c>
      <c r="H888" s="35"/>
      <c r="I888" s="35">
        <f t="shared" si="32"/>
        <v>0</v>
      </c>
      <c r="J888" s="35"/>
      <c r="K888" s="35">
        <v>0</v>
      </c>
      <c r="L888" s="36">
        <f t="shared" si="33"/>
        <v>2</v>
      </c>
    </row>
    <row r="889" spans="1:12" x14ac:dyDescent="0.25">
      <c r="A889" s="21" t="s">
        <v>664</v>
      </c>
      <c r="B889" s="30" t="s">
        <v>664</v>
      </c>
      <c r="C889" s="21" t="s">
        <v>681</v>
      </c>
      <c r="D889" s="21" t="s">
        <v>53</v>
      </c>
      <c r="E889" s="21" t="s">
        <v>129</v>
      </c>
      <c r="F889" s="21"/>
      <c r="G889" s="21"/>
      <c r="H889" s="32"/>
      <c r="I889" s="32">
        <f t="shared" si="32"/>
        <v>0</v>
      </c>
      <c r="J889" s="32"/>
      <c r="K889" s="32">
        <v>0</v>
      </c>
      <c r="L889" s="33">
        <f t="shared" si="33"/>
        <v>0</v>
      </c>
    </row>
    <row r="890" spans="1:12" x14ac:dyDescent="0.25">
      <c r="A890" s="15" t="s">
        <v>664</v>
      </c>
      <c r="B890" s="14" t="s">
        <v>664</v>
      </c>
      <c r="C890" s="15" t="s">
        <v>682</v>
      </c>
      <c r="D890" s="15" t="s">
        <v>47</v>
      </c>
      <c r="E890" s="15" t="s">
        <v>79</v>
      </c>
      <c r="F890" s="15"/>
      <c r="G890" s="15"/>
      <c r="H890" s="35"/>
      <c r="I890" s="35">
        <f t="shared" si="32"/>
        <v>0</v>
      </c>
      <c r="J890" s="35"/>
      <c r="K890" s="35">
        <v>0</v>
      </c>
      <c r="L890" s="36">
        <f t="shared" si="33"/>
        <v>0</v>
      </c>
    </row>
    <row r="891" spans="1:12" x14ac:dyDescent="0.25">
      <c r="A891" s="21" t="s">
        <v>664</v>
      </c>
      <c r="B891" s="30" t="s">
        <v>664</v>
      </c>
      <c r="C891" s="21" t="s">
        <v>683</v>
      </c>
      <c r="D891" s="21" t="s">
        <v>47</v>
      </c>
      <c r="E891" s="21" t="s">
        <v>79</v>
      </c>
      <c r="F891" s="21"/>
      <c r="G891" s="21"/>
      <c r="H891" s="32"/>
      <c r="I891" s="32">
        <f t="shared" si="32"/>
        <v>0</v>
      </c>
      <c r="J891" s="32"/>
      <c r="K891" s="32">
        <v>0</v>
      </c>
      <c r="L891" s="33">
        <f t="shared" si="33"/>
        <v>0</v>
      </c>
    </row>
    <row r="892" spans="1:12" x14ac:dyDescent="0.25">
      <c r="A892" s="15" t="s">
        <v>664</v>
      </c>
      <c r="B892" s="14" t="s">
        <v>664</v>
      </c>
      <c r="C892" s="15" t="s">
        <v>684</v>
      </c>
      <c r="D892" s="15" t="s">
        <v>47</v>
      </c>
      <c r="E892" s="15" t="s">
        <v>79</v>
      </c>
      <c r="F892" s="15"/>
      <c r="G892" s="15"/>
      <c r="H892" s="35"/>
      <c r="I892" s="35">
        <f t="shared" ref="I892:I955" si="34">IF(H892="",0,G892)</f>
        <v>0</v>
      </c>
      <c r="J892" s="35"/>
      <c r="K892" s="35">
        <v>0</v>
      </c>
      <c r="L892" s="36">
        <f t="shared" ref="L892:L955" si="35">G892-I892-K892</f>
        <v>0</v>
      </c>
    </row>
    <row r="893" spans="1:12" x14ac:dyDescent="0.25">
      <c r="A893" s="21" t="s">
        <v>664</v>
      </c>
      <c r="B893" s="30" t="s">
        <v>664</v>
      </c>
      <c r="C893" s="21" t="s">
        <v>685</v>
      </c>
      <c r="D893" s="21" t="s">
        <v>69</v>
      </c>
      <c r="E893" s="21" t="s">
        <v>90</v>
      </c>
      <c r="F893" s="21"/>
      <c r="G893" s="21"/>
      <c r="H893" s="32"/>
      <c r="I893" s="32">
        <f t="shared" si="34"/>
        <v>0</v>
      </c>
      <c r="J893" s="32"/>
      <c r="K893" s="32">
        <v>0</v>
      </c>
      <c r="L893" s="33">
        <f t="shared" si="35"/>
        <v>0</v>
      </c>
    </row>
    <row r="894" spans="1:12" x14ac:dyDescent="0.25">
      <c r="A894" s="58" t="s">
        <v>692</v>
      </c>
      <c r="B894" s="58"/>
      <c r="C894" s="58"/>
      <c r="D894" s="58"/>
      <c r="E894" s="58"/>
      <c r="F894" s="58"/>
      <c r="G894" s="58"/>
      <c r="H894" s="58"/>
      <c r="I894" s="58"/>
      <c r="J894" s="58"/>
      <c r="K894" s="58"/>
      <c r="L894" s="58"/>
    </row>
    <row r="895" spans="1:12" x14ac:dyDescent="0.25">
      <c r="A895" s="21" t="s">
        <v>693</v>
      </c>
      <c r="B895" s="30" t="s">
        <v>693</v>
      </c>
      <c r="C895" s="21" t="s">
        <v>694</v>
      </c>
      <c r="D895" s="21" t="s">
        <v>47</v>
      </c>
      <c r="E895" s="21" t="s">
        <v>79</v>
      </c>
      <c r="F895" s="31">
        <v>3</v>
      </c>
      <c r="G895" s="31">
        <v>5</v>
      </c>
      <c r="H895" s="32"/>
      <c r="I895" s="32">
        <f t="shared" ref="I895:I926" si="36">IF(H895="",0,G895)</f>
        <v>0</v>
      </c>
      <c r="J895" s="32"/>
      <c r="K895" s="32">
        <v>0</v>
      </c>
      <c r="L895" s="33">
        <f t="shared" ref="L895:L926" si="37">G895-I895-K895</f>
        <v>5</v>
      </c>
    </row>
    <row r="896" spans="1:12" x14ac:dyDescent="0.25">
      <c r="A896" s="15" t="s">
        <v>693</v>
      </c>
      <c r="B896" s="14" t="s">
        <v>693</v>
      </c>
      <c r="C896" s="15" t="s">
        <v>695</v>
      </c>
      <c r="D896" s="15" t="s">
        <v>54</v>
      </c>
      <c r="E896" s="15" t="s">
        <v>84</v>
      </c>
      <c r="F896" s="15"/>
      <c r="G896" s="34">
        <v>5</v>
      </c>
      <c r="H896" s="35"/>
      <c r="I896" s="35">
        <f t="shared" si="36"/>
        <v>0</v>
      </c>
      <c r="J896" s="35"/>
      <c r="K896" s="35">
        <v>0</v>
      </c>
      <c r="L896" s="36">
        <f t="shared" si="37"/>
        <v>5</v>
      </c>
    </row>
    <row r="897" spans="1:12" x14ac:dyDescent="0.25">
      <c r="A897" s="21" t="s">
        <v>693</v>
      </c>
      <c r="B897" s="30" t="s">
        <v>693</v>
      </c>
      <c r="C897" s="21" t="s">
        <v>696</v>
      </c>
      <c r="D897" s="21" t="s">
        <v>70</v>
      </c>
      <c r="E897" s="21" t="s">
        <v>104</v>
      </c>
      <c r="F897" s="31">
        <v>2</v>
      </c>
      <c r="G897" s="31">
        <v>2</v>
      </c>
      <c r="H897" s="32"/>
      <c r="I897" s="32">
        <f t="shared" si="36"/>
        <v>0</v>
      </c>
      <c r="J897" s="32"/>
      <c r="K897" s="32">
        <v>0</v>
      </c>
      <c r="L897" s="33">
        <f t="shared" si="37"/>
        <v>2</v>
      </c>
    </row>
    <row r="898" spans="1:12" x14ac:dyDescent="0.25">
      <c r="A898" s="15" t="s">
        <v>693</v>
      </c>
      <c r="B898" s="14" t="s">
        <v>693</v>
      </c>
      <c r="C898" s="15" t="s">
        <v>697</v>
      </c>
      <c r="D898" s="15" t="s">
        <v>47</v>
      </c>
      <c r="E898" s="15" t="s">
        <v>79</v>
      </c>
      <c r="F898" s="34">
        <v>2</v>
      </c>
      <c r="G898" s="34">
        <v>4</v>
      </c>
      <c r="H898" s="35"/>
      <c r="I898" s="35">
        <f t="shared" si="36"/>
        <v>0</v>
      </c>
      <c r="J898" s="35"/>
      <c r="K898" s="35">
        <v>0</v>
      </c>
      <c r="L898" s="36">
        <f t="shared" si="37"/>
        <v>4</v>
      </c>
    </row>
    <row r="899" spans="1:12" x14ac:dyDescent="0.25">
      <c r="A899" s="21" t="s">
        <v>693</v>
      </c>
      <c r="B899" s="30" t="s">
        <v>693</v>
      </c>
      <c r="C899" s="21" t="s">
        <v>698</v>
      </c>
      <c r="D899" s="21" t="s">
        <v>54</v>
      </c>
      <c r="E899" s="21" t="s">
        <v>84</v>
      </c>
      <c r="F899" s="21"/>
      <c r="G899" s="31">
        <v>5</v>
      </c>
      <c r="H899" s="32"/>
      <c r="I899" s="32">
        <f t="shared" si="36"/>
        <v>0</v>
      </c>
      <c r="J899" s="32"/>
      <c r="K899" s="32">
        <v>0</v>
      </c>
      <c r="L899" s="33">
        <f t="shared" si="37"/>
        <v>5</v>
      </c>
    </row>
    <row r="900" spans="1:12" x14ac:dyDescent="0.25">
      <c r="A900" s="15" t="s">
        <v>693</v>
      </c>
      <c r="B900" s="14" t="s">
        <v>693</v>
      </c>
      <c r="C900" s="15" t="s">
        <v>699</v>
      </c>
      <c r="D900" s="15" t="s">
        <v>47</v>
      </c>
      <c r="E900" s="15" t="s">
        <v>79</v>
      </c>
      <c r="F900" s="15"/>
      <c r="G900" s="34">
        <v>1</v>
      </c>
      <c r="H900" s="35"/>
      <c r="I900" s="35">
        <f t="shared" si="36"/>
        <v>0</v>
      </c>
      <c r="J900" s="35"/>
      <c r="K900" s="35">
        <v>0</v>
      </c>
      <c r="L900" s="36">
        <f t="shared" si="37"/>
        <v>1</v>
      </c>
    </row>
    <row r="901" spans="1:12" x14ac:dyDescent="0.25">
      <c r="A901" s="21" t="s">
        <v>693</v>
      </c>
      <c r="B901" s="30" t="s">
        <v>693</v>
      </c>
      <c r="C901" s="21" t="s">
        <v>700</v>
      </c>
      <c r="D901" s="21" t="s">
        <v>54</v>
      </c>
      <c r="E901" s="21" t="s">
        <v>84</v>
      </c>
      <c r="F901" s="21"/>
      <c r="G901" s="31">
        <v>4</v>
      </c>
      <c r="H901" s="32"/>
      <c r="I901" s="32">
        <f t="shared" si="36"/>
        <v>0</v>
      </c>
      <c r="J901" s="32"/>
      <c r="K901" s="32">
        <v>0</v>
      </c>
      <c r="L901" s="33">
        <f t="shared" si="37"/>
        <v>4</v>
      </c>
    </row>
    <row r="902" spans="1:12" x14ac:dyDescent="0.25">
      <c r="A902" s="15" t="s">
        <v>693</v>
      </c>
      <c r="B902" s="14" t="s">
        <v>693</v>
      </c>
      <c r="C902" s="15" t="s">
        <v>701</v>
      </c>
      <c r="D902" s="15" t="s">
        <v>67</v>
      </c>
      <c r="E902" s="15" t="s">
        <v>93</v>
      </c>
      <c r="F902" s="15"/>
      <c r="G902" s="15"/>
      <c r="H902" s="35"/>
      <c r="I902" s="35">
        <f t="shared" si="36"/>
        <v>0</v>
      </c>
      <c r="J902" s="35"/>
      <c r="K902" s="35">
        <v>0</v>
      </c>
      <c r="L902" s="36">
        <f t="shared" si="37"/>
        <v>0</v>
      </c>
    </row>
    <row r="903" spans="1:12" x14ac:dyDescent="0.25">
      <c r="A903" s="21" t="s">
        <v>693</v>
      </c>
      <c r="B903" s="30" t="s">
        <v>693</v>
      </c>
      <c r="C903" s="21" t="s">
        <v>702</v>
      </c>
      <c r="D903" s="21" t="s">
        <v>65</v>
      </c>
      <c r="E903" s="21" t="s">
        <v>82</v>
      </c>
      <c r="F903" s="21"/>
      <c r="G903" s="21"/>
      <c r="H903" s="32"/>
      <c r="I903" s="32">
        <f t="shared" si="36"/>
        <v>0</v>
      </c>
      <c r="J903" s="32"/>
      <c r="K903" s="32">
        <v>0</v>
      </c>
      <c r="L903" s="33">
        <f t="shared" si="37"/>
        <v>0</v>
      </c>
    </row>
    <row r="904" spans="1:12" x14ac:dyDescent="0.25">
      <c r="A904" s="15" t="s">
        <v>693</v>
      </c>
      <c r="B904" s="14" t="s">
        <v>693</v>
      </c>
      <c r="C904" s="15" t="s">
        <v>703</v>
      </c>
      <c r="D904" s="15" t="s">
        <v>70</v>
      </c>
      <c r="E904" s="15" t="s">
        <v>104</v>
      </c>
      <c r="F904" s="34">
        <v>1</v>
      </c>
      <c r="G904" s="34">
        <v>1</v>
      </c>
      <c r="H904" s="35"/>
      <c r="I904" s="35">
        <f t="shared" si="36"/>
        <v>0</v>
      </c>
      <c r="J904" s="35"/>
      <c r="K904" s="35">
        <v>0</v>
      </c>
      <c r="L904" s="36">
        <f t="shared" si="37"/>
        <v>1</v>
      </c>
    </row>
    <row r="905" spans="1:12" x14ac:dyDescent="0.25">
      <c r="A905" s="21" t="s">
        <v>693</v>
      </c>
      <c r="B905" s="30" t="s">
        <v>693</v>
      </c>
      <c r="C905" s="21" t="s">
        <v>704</v>
      </c>
      <c r="D905" s="21" t="s">
        <v>70</v>
      </c>
      <c r="E905" s="21" t="s">
        <v>104</v>
      </c>
      <c r="F905" s="31">
        <v>0.5</v>
      </c>
      <c r="G905" s="31">
        <v>1</v>
      </c>
      <c r="H905" s="32"/>
      <c r="I905" s="32">
        <f t="shared" si="36"/>
        <v>0</v>
      </c>
      <c r="J905" s="32"/>
      <c r="K905" s="32">
        <v>0</v>
      </c>
      <c r="L905" s="33">
        <f t="shared" si="37"/>
        <v>1</v>
      </c>
    </row>
    <row r="906" spans="1:12" x14ac:dyDescent="0.25">
      <c r="A906" s="15" t="s">
        <v>693</v>
      </c>
      <c r="B906" s="14" t="s">
        <v>693</v>
      </c>
      <c r="C906" s="15" t="s">
        <v>705</v>
      </c>
      <c r="D906" s="15" t="s">
        <v>70</v>
      </c>
      <c r="E906" s="15" t="s">
        <v>104</v>
      </c>
      <c r="F906" s="34">
        <v>1</v>
      </c>
      <c r="G906" s="34">
        <v>1</v>
      </c>
      <c r="H906" s="35"/>
      <c r="I906" s="35">
        <f t="shared" si="36"/>
        <v>0</v>
      </c>
      <c r="J906" s="35"/>
      <c r="K906" s="35">
        <v>0</v>
      </c>
      <c r="L906" s="36">
        <f t="shared" si="37"/>
        <v>1</v>
      </c>
    </row>
    <row r="907" spans="1:12" x14ac:dyDescent="0.25">
      <c r="A907" s="21" t="s">
        <v>693</v>
      </c>
      <c r="B907" s="30" t="s">
        <v>693</v>
      </c>
      <c r="C907" s="21" t="s">
        <v>706</v>
      </c>
      <c r="D907" s="21" t="s">
        <v>61</v>
      </c>
      <c r="E907" s="21" t="s">
        <v>142</v>
      </c>
      <c r="F907" s="21"/>
      <c r="G907" s="21"/>
      <c r="H907" s="32"/>
      <c r="I907" s="32">
        <f t="shared" si="36"/>
        <v>0</v>
      </c>
      <c r="J907" s="32"/>
      <c r="K907" s="32">
        <v>0</v>
      </c>
      <c r="L907" s="33">
        <f t="shared" si="37"/>
        <v>0</v>
      </c>
    </row>
    <row r="908" spans="1:12" x14ac:dyDescent="0.25">
      <c r="A908" s="15" t="s">
        <v>693</v>
      </c>
      <c r="B908" s="14" t="s">
        <v>693</v>
      </c>
      <c r="C908" s="15" t="s">
        <v>707</v>
      </c>
      <c r="D908" s="15" t="s">
        <v>69</v>
      </c>
      <c r="E908" s="15" t="s">
        <v>90</v>
      </c>
      <c r="F908" s="15"/>
      <c r="G908" s="15"/>
      <c r="H908" s="35"/>
      <c r="I908" s="35">
        <f t="shared" si="36"/>
        <v>0</v>
      </c>
      <c r="J908" s="35"/>
      <c r="K908" s="35">
        <v>0</v>
      </c>
      <c r="L908" s="36">
        <f t="shared" si="37"/>
        <v>0</v>
      </c>
    </row>
    <row r="909" spans="1:12" x14ac:dyDescent="0.25">
      <c r="A909" s="21" t="s">
        <v>693</v>
      </c>
      <c r="B909" s="30" t="s">
        <v>693</v>
      </c>
      <c r="C909" s="21" t="s">
        <v>708</v>
      </c>
      <c r="D909" s="21" t="s">
        <v>47</v>
      </c>
      <c r="E909" s="21" t="s">
        <v>79</v>
      </c>
      <c r="F909" s="21"/>
      <c r="G909" s="31">
        <v>1</v>
      </c>
      <c r="H909" s="32"/>
      <c r="I909" s="32">
        <f t="shared" si="36"/>
        <v>0</v>
      </c>
      <c r="J909" s="32"/>
      <c r="K909" s="32">
        <v>0</v>
      </c>
      <c r="L909" s="33">
        <f t="shared" si="37"/>
        <v>1</v>
      </c>
    </row>
    <row r="910" spans="1:12" x14ac:dyDescent="0.25">
      <c r="A910" s="15" t="s">
        <v>693</v>
      </c>
      <c r="B910" s="14" t="s">
        <v>693</v>
      </c>
      <c r="C910" s="15" t="s">
        <v>709</v>
      </c>
      <c r="D910" s="15" t="s">
        <v>53</v>
      </c>
      <c r="E910" s="15" t="s">
        <v>129</v>
      </c>
      <c r="F910" s="15"/>
      <c r="G910" s="15"/>
      <c r="H910" s="35"/>
      <c r="I910" s="35">
        <f t="shared" si="36"/>
        <v>0</v>
      </c>
      <c r="J910" s="35"/>
      <c r="K910" s="35">
        <v>0</v>
      </c>
      <c r="L910" s="36">
        <f t="shared" si="37"/>
        <v>0</v>
      </c>
    </row>
    <row r="911" spans="1:12" x14ac:dyDescent="0.25">
      <c r="A911" s="21" t="s">
        <v>693</v>
      </c>
      <c r="B911" s="30" t="s">
        <v>693</v>
      </c>
      <c r="C911" s="21" t="s">
        <v>710</v>
      </c>
      <c r="D911" s="21" t="s">
        <v>49</v>
      </c>
      <c r="E911" s="21" t="s">
        <v>134</v>
      </c>
      <c r="F911" s="31">
        <v>5</v>
      </c>
      <c r="G911" s="31">
        <v>7</v>
      </c>
      <c r="H911" s="32"/>
      <c r="I911" s="32">
        <f t="shared" si="36"/>
        <v>0</v>
      </c>
      <c r="J911" s="32"/>
      <c r="K911" s="32">
        <v>0</v>
      </c>
      <c r="L911" s="33">
        <f t="shared" si="37"/>
        <v>7</v>
      </c>
    </row>
    <row r="912" spans="1:12" x14ac:dyDescent="0.25">
      <c r="A912" s="15" t="s">
        <v>693</v>
      </c>
      <c r="B912" s="14" t="s">
        <v>693</v>
      </c>
      <c r="C912" s="15" t="s">
        <v>711</v>
      </c>
      <c r="D912" s="15" t="s">
        <v>57</v>
      </c>
      <c r="E912" s="15" t="s">
        <v>136</v>
      </c>
      <c r="F912" s="15"/>
      <c r="G912" s="15"/>
      <c r="H912" s="35"/>
      <c r="I912" s="35">
        <f t="shared" si="36"/>
        <v>0</v>
      </c>
      <c r="J912" s="35"/>
      <c r="K912" s="35">
        <v>0</v>
      </c>
      <c r="L912" s="36">
        <f t="shared" si="37"/>
        <v>0</v>
      </c>
    </row>
    <row r="913" spans="1:12" x14ac:dyDescent="0.25">
      <c r="A913" s="21" t="s">
        <v>693</v>
      </c>
      <c r="B913" s="30" t="s">
        <v>693</v>
      </c>
      <c r="C913" s="21" t="s">
        <v>712</v>
      </c>
      <c r="D913" s="21" t="s">
        <v>57</v>
      </c>
      <c r="E913" s="21" t="s">
        <v>136</v>
      </c>
      <c r="F913" s="21"/>
      <c r="G913" s="21"/>
      <c r="H913" s="32"/>
      <c r="I913" s="32">
        <f t="shared" si="36"/>
        <v>0</v>
      </c>
      <c r="J913" s="32"/>
      <c r="K913" s="32">
        <v>0</v>
      </c>
      <c r="L913" s="33">
        <f t="shared" si="37"/>
        <v>0</v>
      </c>
    </row>
    <row r="914" spans="1:12" x14ac:dyDescent="0.25">
      <c r="A914" s="15" t="s">
        <v>693</v>
      </c>
      <c r="B914" s="14" t="s">
        <v>693</v>
      </c>
      <c r="C914" s="15" t="s">
        <v>713</v>
      </c>
      <c r="D914" s="15" t="s">
        <v>57</v>
      </c>
      <c r="E914" s="15" t="s">
        <v>136</v>
      </c>
      <c r="F914" s="15"/>
      <c r="G914" s="15"/>
      <c r="H914" s="35"/>
      <c r="I914" s="35">
        <f t="shared" si="36"/>
        <v>0</v>
      </c>
      <c r="J914" s="35"/>
      <c r="K914" s="35">
        <v>0</v>
      </c>
      <c r="L914" s="36">
        <f t="shared" si="37"/>
        <v>0</v>
      </c>
    </row>
    <row r="915" spans="1:12" x14ac:dyDescent="0.25">
      <c r="A915" s="21" t="s">
        <v>693</v>
      </c>
      <c r="B915" s="30" t="s">
        <v>693</v>
      </c>
      <c r="C915" s="21" t="s">
        <v>714</v>
      </c>
      <c r="D915" s="21" t="s">
        <v>69</v>
      </c>
      <c r="E915" s="21" t="s">
        <v>90</v>
      </c>
      <c r="F915" s="21"/>
      <c r="G915" s="21"/>
      <c r="H915" s="32"/>
      <c r="I915" s="32">
        <f t="shared" si="36"/>
        <v>0</v>
      </c>
      <c r="J915" s="32"/>
      <c r="K915" s="32">
        <v>0</v>
      </c>
      <c r="L915" s="33">
        <f t="shared" si="37"/>
        <v>0</v>
      </c>
    </row>
    <row r="916" spans="1:12" x14ac:dyDescent="0.25">
      <c r="A916" s="15" t="s">
        <v>693</v>
      </c>
      <c r="B916" s="14" t="s">
        <v>693</v>
      </c>
      <c r="C916" s="15" t="s">
        <v>701</v>
      </c>
      <c r="D916" s="15" t="s">
        <v>67</v>
      </c>
      <c r="E916" s="15" t="s">
        <v>93</v>
      </c>
      <c r="F916" s="15"/>
      <c r="G916" s="15"/>
      <c r="H916" s="35"/>
      <c r="I916" s="35">
        <f t="shared" si="36"/>
        <v>0</v>
      </c>
      <c r="J916" s="35"/>
      <c r="K916" s="35">
        <v>0</v>
      </c>
      <c r="L916" s="36">
        <f t="shared" si="37"/>
        <v>0</v>
      </c>
    </row>
    <row r="917" spans="1:12" x14ac:dyDescent="0.25">
      <c r="A917" s="21" t="s">
        <v>693</v>
      </c>
      <c r="B917" s="30" t="s">
        <v>693</v>
      </c>
      <c r="C917" s="21" t="s">
        <v>715</v>
      </c>
      <c r="D917" s="21" t="s">
        <v>67</v>
      </c>
      <c r="E917" s="21" t="s">
        <v>93</v>
      </c>
      <c r="F917" s="31">
        <v>2</v>
      </c>
      <c r="G917" s="31">
        <v>3</v>
      </c>
      <c r="H917" s="32"/>
      <c r="I917" s="32">
        <f t="shared" si="36"/>
        <v>0</v>
      </c>
      <c r="J917" s="32"/>
      <c r="K917" s="32">
        <v>0</v>
      </c>
      <c r="L917" s="33">
        <f t="shared" si="37"/>
        <v>3</v>
      </c>
    </row>
    <row r="918" spans="1:12" x14ac:dyDescent="0.25">
      <c r="A918" s="15" t="s">
        <v>693</v>
      </c>
      <c r="B918" s="14" t="s">
        <v>693</v>
      </c>
      <c r="C918" s="15" t="s">
        <v>716</v>
      </c>
      <c r="D918" s="15" t="s">
        <v>67</v>
      </c>
      <c r="E918" s="15" t="s">
        <v>93</v>
      </c>
      <c r="F918" s="34">
        <v>5</v>
      </c>
      <c r="G918" s="34">
        <v>6</v>
      </c>
      <c r="H918" s="35"/>
      <c r="I918" s="35">
        <f t="shared" si="36"/>
        <v>0</v>
      </c>
      <c r="J918" s="35"/>
      <c r="K918" s="35">
        <v>0</v>
      </c>
      <c r="L918" s="36">
        <f t="shared" si="37"/>
        <v>6</v>
      </c>
    </row>
    <row r="919" spans="1:12" x14ac:dyDescent="0.25">
      <c r="A919" s="21" t="s">
        <v>693</v>
      </c>
      <c r="B919" s="30" t="s">
        <v>693</v>
      </c>
      <c r="C919" s="21" t="s">
        <v>717</v>
      </c>
      <c r="D919" s="21" t="s">
        <v>65</v>
      </c>
      <c r="E919" s="21" t="s">
        <v>82</v>
      </c>
      <c r="F919" s="31">
        <v>10</v>
      </c>
      <c r="G919" s="31">
        <v>20</v>
      </c>
      <c r="H919" s="32"/>
      <c r="I919" s="32">
        <f t="shared" si="36"/>
        <v>0</v>
      </c>
      <c r="J919" s="32"/>
      <c r="K919" s="32">
        <v>0</v>
      </c>
      <c r="L919" s="33">
        <f t="shared" si="37"/>
        <v>20</v>
      </c>
    </row>
    <row r="920" spans="1:12" x14ac:dyDescent="0.25">
      <c r="A920" s="15" t="s">
        <v>693</v>
      </c>
      <c r="B920" s="14" t="s">
        <v>693</v>
      </c>
      <c r="C920" s="15" t="s">
        <v>718</v>
      </c>
      <c r="D920" s="15" t="s">
        <v>67</v>
      </c>
      <c r="E920" s="15" t="s">
        <v>93</v>
      </c>
      <c r="F920" s="34">
        <v>3</v>
      </c>
      <c r="G920" s="34">
        <v>4</v>
      </c>
      <c r="H920" s="35"/>
      <c r="I920" s="35">
        <f t="shared" si="36"/>
        <v>0</v>
      </c>
      <c r="J920" s="35"/>
      <c r="K920" s="35">
        <v>0</v>
      </c>
      <c r="L920" s="36">
        <f t="shared" si="37"/>
        <v>4</v>
      </c>
    </row>
    <row r="921" spans="1:12" x14ac:dyDescent="0.25">
      <c r="A921" s="21" t="s">
        <v>693</v>
      </c>
      <c r="B921" s="30" t="s">
        <v>693</v>
      </c>
      <c r="C921" s="21" t="s">
        <v>719</v>
      </c>
      <c r="D921" s="21" t="s">
        <v>65</v>
      </c>
      <c r="E921" s="21" t="s">
        <v>82</v>
      </c>
      <c r="F921" s="31">
        <v>5</v>
      </c>
      <c r="G921" s="31">
        <v>10</v>
      </c>
      <c r="H921" s="32"/>
      <c r="I921" s="32">
        <f t="shared" si="36"/>
        <v>0</v>
      </c>
      <c r="J921" s="32"/>
      <c r="K921" s="32">
        <v>0</v>
      </c>
      <c r="L921" s="33">
        <f t="shared" si="37"/>
        <v>10</v>
      </c>
    </row>
    <row r="922" spans="1:12" x14ac:dyDescent="0.25">
      <c r="A922" s="15" t="s">
        <v>693</v>
      </c>
      <c r="B922" s="14" t="s">
        <v>693</v>
      </c>
      <c r="C922" s="15" t="s">
        <v>720</v>
      </c>
      <c r="D922" s="15" t="s">
        <v>65</v>
      </c>
      <c r="E922" s="15" t="s">
        <v>82</v>
      </c>
      <c r="F922" s="34">
        <v>5</v>
      </c>
      <c r="G922" s="34">
        <v>10</v>
      </c>
      <c r="H922" s="35"/>
      <c r="I922" s="35">
        <f t="shared" si="36"/>
        <v>0</v>
      </c>
      <c r="J922" s="35"/>
      <c r="K922" s="35">
        <v>0</v>
      </c>
      <c r="L922" s="36">
        <f t="shared" si="37"/>
        <v>10</v>
      </c>
    </row>
    <row r="923" spans="1:12" x14ac:dyDescent="0.25">
      <c r="A923" s="21" t="s">
        <v>693</v>
      </c>
      <c r="B923" s="30" t="s">
        <v>693</v>
      </c>
      <c r="C923" s="21" t="s">
        <v>721</v>
      </c>
      <c r="D923" s="21" t="s">
        <v>67</v>
      </c>
      <c r="E923" s="21" t="s">
        <v>93</v>
      </c>
      <c r="F923" s="31">
        <v>3</v>
      </c>
      <c r="G923" s="31">
        <v>4</v>
      </c>
      <c r="H923" s="32"/>
      <c r="I923" s="32">
        <f t="shared" si="36"/>
        <v>0</v>
      </c>
      <c r="J923" s="32"/>
      <c r="K923" s="32">
        <v>0</v>
      </c>
      <c r="L923" s="33">
        <f t="shared" si="37"/>
        <v>4</v>
      </c>
    </row>
    <row r="924" spans="1:12" x14ac:dyDescent="0.25">
      <c r="A924" s="15" t="s">
        <v>693</v>
      </c>
      <c r="B924" s="14" t="s">
        <v>693</v>
      </c>
      <c r="C924" s="15" t="s">
        <v>722</v>
      </c>
      <c r="D924" s="15" t="s">
        <v>65</v>
      </c>
      <c r="E924" s="15" t="s">
        <v>82</v>
      </c>
      <c r="F924" s="34">
        <v>1</v>
      </c>
      <c r="G924" s="34">
        <v>2</v>
      </c>
      <c r="H924" s="35"/>
      <c r="I924" s="35">
        <f t="shared" si="36"/>
        <v>0</v>
      </c>
      <c r="J924" s="35"/>
      <c r="K924" s="35">
        <v>0</v>
      </c>
      <c r="L924" s="36">
        <f t="shared" si="37"/>
        <v>2</v>
      </c>
    </row>
    <row r="925" spans="1:12" x14ac:dyDescent="0.25">
      <c r="A925" s="21" t="s">
        <v>693</v>
      </c>
      <c r="B925" s="30" t="s">
        <v>693</v>
      </c>
      <c r="C925" s="21" t="s">
        <v>723</v>
      </c>
      <c r="D925" s="21" t="s">
        <v>65</v>
      </c>
      <c r="E925" s="21" t="s">
        <v>82</v>
      </c>
      <c r="F925" s="31">
        <v>4</v>
      </c>
      <c r="G925" s="31">
        <v>5</v>
      </c>
      <c r="H925" s="32"/>
      <c r="I925" s="32">
        <f t="shared" si="36"/>
        <v>0</v>
      </c>
      <c r="J925" s="32"/>
      <c r="K925" s="32">
        <v>0</v>
      </c>
      <c r="L925" s="33">
        <f t="shared" si="37"/>
        <v>5</v>
      </c>
    </row>
    <row r="926" spans="1:12" x14ac:dyDescent="0.25">
      <c r="A926" s="15" t="s">
        <v>693</v>
      </c>
      <c r="B926" s="14" t="s">
        <v>693</v>
      </c>
      <c r="C926" s="15" t="s">
        <v>724</v>
      </c>
      <c r="D926" s="15" t="s">
        <v>65</v>
      </c>
      <c r="E926" s="15" t="s">
        <v>82</v>
      </c>
      <c r="F926" s="34">
        <v>5</v>
      </c>
      <c r="G926" s="34">
        <v>10</v>
      </c>
      <c r="H926" s="35"/>
      <c r="I926" s="35">
        <f t="shared" si="36"/>
        <v>0</v>
      </c>
      <c r="J926" s="35"/>
      <c r="K926" s="35">
        <v>0</v>
      </c>
      <c r="L926" s="36">
        <f t="shared" si="37"/>
        <v>10</v>
      </c>
    </row>
    <row r="927" spans="1:12" x14ac:dyDescent="0.25">
      <c r="A927" s="21" t="s">
        <v>693</v>
      </c>
      <c r="B927" s="30" t="s">
        <v>693</v>
      </c>
      <c r="C927" s="21" t="s">
        <v>725</v>
      </c>
      <c r="D927" s="21" t="s">
        <v>65</v>
      </c>
      <c r="E927" s="21" t="s">
        <v>82</v>
      </c>
      <c r="F927" s="31">
        <v>2</v>
      </c>
      <c r="G927" s="31">
        <v>3</v>
      </c>
      <c r="H927" s="32"/>
      <c r="I927" s="32">
        <f t="shared" ref="I927:I958" si="38">IF(H927="",0,G927)</f>
        <v>0</v>
      </c>
      <c r="J927" s="32"/>
      <c r="K927" s="32">
        <v>0</v>
      </c>
      <c r="L927" s="33">
        <f t="shared" ref="L927:L958" si="39">G927-I927-K927</f>
        <v>3</v>
      </c>
    </row>
    <row r="928" spans="1:12" x14ac:dyDescent="0.25">
      <c r="A928" s="15" t="s">
        <v>693</v>
      </c>
      <c r="B928" s="14" t="s">
        <v>693</v>
      </c>
      <c r="C928" s="15" t="s">
        <v>726</v>
      </c>
      <c r="D928" s="15" t="s">
        <v>65</v>
      </c>
      <c r="E928" s="15" t="s">
        <v>82</v>
      </c>
      <c r="F928" s="34">
        <v>5</v>
      </c>
      <c r="G928" s="34">
        <v>7</v>
      </c>
      <c r="H928" s="35"/>
      <c r="I928" s="35">
        <f t="shared" si="38"/>
        <v>0</v>
      </c>
      <c r="J928" s="35"/>
      <c r="K928" s="35">
        <v>0</v>
      </c>
      <c r="L928" s="36">
        <f t="shared" si="39"/>
        <v>7</v>
      </c>
    </row>
    <row r="929" spans="1:12" x14ac:dyDescent="0.25">
      <c r="A929" s="21" t="s">
        <v>693</v>
      </c>
      <c r="B929" s="30" t="s">
        <v>693</v>
      </c>
      <c r="C929" s="21" t="s">
        <v>702</v>
      </c>
      <c r="D929" s="21" t="s">
        <v>65</v>
      </c>
      <c r="E929" s="21" t="s">
        <v>82</v>
      </c>
      <c r="F929" s="21"/>
      <c r="G929" s="21"/>
      <c r="H929" s="32"/>
      <c r="I929" s="32">
        <f t="shared" si="38"/>
        <v>0</v>
      </c>
      <c r="J929" s="32"/>
      <c r="K929" s="32">
        <v>0</v>
      </c>
      <c r="L929" s="33">
        <f t="shared" si="39"/>
        <v>0</v>
      </c>
    </row>
    <row r="930" spans="1:12" x14ac:dyDescent="0.25">
      <c r="A930" s="15" t="s">
        <v>693</v>
      </c>
      <c r="B930" s="14" t="s">
        <v>693</v>
      </c>
      <c r="C930" s="15" t="s">
        <v>727</v>
      </c>
      <c r="D930" s="15" t="s">
        <v>59</v>
      </c>
      <c r="E930" s="15" t="s">
        <v>203</v>
      </c>
      <c r="F930" s="34">
        <v>1</v>
      </c>
      <c r="G930" s="34">
        <v>1</v>
      </c>
      <c r="H930" s="35"/>
      <c r="I930" s="35">
        <f t="shared" si="38"/>
        <v>0</v>
      </c>
      <c r="J930" s="35"/>
      <c r="K930" s="35">
        <v>0</v>
      </c>
      <c r="L930" s="36">
        <f t="shared" si="39"/>
        <v>1</v>
      </c>
    </row>
    <row r="931" spans="1:12" x14ac:dyDescent="0.25">
      <c r="A931" s="21" t="s">
        <v>693</v>
      </c>
      <c r="B931" s="30" t="s">
        <v>693</v>
      </c>
      <c r="C931" s="21" t="s">
        <v>728</v>
      </c>
      <c r="D931" s="21" t="s">
        <v>59</v>
      </c>
      <c r="E931" s="21" t="s">
        <v>203</v>
      </c>
      <c r="F931" s="31">
        <v>1</v>
      </c>
      <c r="G931" s="31">
        <v>5</v>
      </c>
      <c r="H931" s="32"/>
      <c r="I931" s="32">
        <f t="shared" si="38"/>
        <v>0</v>
      </c>
      <c r="J931" s="32"/>
      <c r="K931" s="32">
        <v>0</v>
      </c>
      <c r="L931" s="33">
        <f t="shared" si="39"/>
        <v>5</v>
      </c>
    </row>
    <row r="932" spans="1:12" x14ac:dyDescent="0.25">
      <c r="A932" s="15" t="s">
        <v>693</v>
      </c>
      <c r="B932" s="14" t="s">
        <v>693</v>
      </c>
      <c r="C932" s="15" t="s">
        <v>703</v>
      </c>
      <c r="D932" s="15" t="s">
        <v>70</v>
      </c>
      <c r="E932" s="15" t="s">
        <v>104</v>
      </c>
      <c r="F932" s="15"/>
      <c r="G932" s="15"/>
      <c r="H932" s="35"/>
      <c r="I932" s="35">
        <f t="shared" si="38"/>
        <v>0</v>
      </c>
      <c r="J932" s="35"/>
      <c r="K932" s="35">
        <v>0</v>
      </c>
      <c r="L932" s="36">
        <f t="shared" si="39"/>
        <v>0</v>
      </c>
    </row>
    <row r="933" spans="1:12" x14ac:dyDescent="0.25">
      <c r="A933" s="21" t="s">
        <v>693</v>
      </c>
      <c r="B933" s="30" t="s">
        <v>693</v>
      </c>
      <c r="C933" s="21" t="s">
        <v>706</v>
      </c>
      <c r="D933" s="21" t="s">
        <v>61</v>
      </c>
      <c r="E933" s="21" t="s">
        <v>142</v>
      </c>
      <c r="F933" s="21"/>
      <c r="G933" s="21"/>
      <c r="H933" s="32"/>
      <c r="I933" s="32">
        <f t="shared" si="38"/>
        <v>0</v>
      </c>
      <c r="J933" s="32"/>
      <c r="K933" s="32">
        <v>0</v>
      </c>
      <c r="L933" s="33">
        <f t="shared" si="39"/>
        <v>0</v>
      </c>
    </row>
    <row r="934" spans="1:12" x14ac:dyDescent="0.25">
      <c r="A934" s="15" t="s">
        <v>693</v>
      </c>
      <c r="B934" s="14" t="s">
        <v>693</v>
      </c>
      <c r="C934" s="15" t="s">
        <v>707</v>
      </c>
      <c r="D934" s="15" t="s">
        <v>69</v>
      </c>
      <c r="E934" s="15" t="s">
        <v>90</v>
      </c>
      <c r="F934" s="15"/>
      <c r="G934" s="15"/>
      <c r="H934" s="35"/>
      <c r="I934" s="35">
        <f t="shared" si="38"/>
        <v>0</v>
      </c>
      <c r="J934" s="35"/>
      <c r="K934" s="35">
        <v>0</v>
      </c>
      <c r="L934" s="36">
        <f t="shared" si="39"/>
        <v>0</v>
      </c>
    </row>
    <row r="935" spans="1:12" x14ac:dyDescent="0.25">
      <c r="A935" s="21" t="s">
        <v>693</v>
      </c>
      <c r="B935" s="30" t="s">
        <v>693</v>
      </c>
      <c r="C935" s="21" t="s">
        <v>709</v>
      </c>
      <c r="D935" s="21" t="s">
        <v>53</v>
      </c>
      <c r="E935" s="21" t="s">
        <v>129</v>
      </c>
      <c r="F935" s="21"/>
      <c r="G935" s="21"/>
      <c r="H935" s="32"/>
      <c r="I935" s="32">
        <f t="shared" si="38"/>
        <v>0</v>
      </c>
      <c r="J935" s="32"/>
      <c r="K935" s="32">
        <v>0</v>
      </c>
      <c r="L935" s="33">
        <f t="shared" si="39"/>
        <v>0</v>
      </c>
    </row>
    <row r="936" spans="1:12" x14ac:dyDescent="0.25">
      <c r="A936" s="15" t="s">
        <v>693</v>
      </c>
      <c r="B936" s="14" t="s">
        <v>693</v>
      </c>
      <c r="C936" s="15" t="s">
        <v>710</v>
      </c>
      <c r="D936" s="15" t="s">
        <v>49</v>
      </c>
      <c r="E936" s="15" t="s">
        <v>134</v>
      </c>
      <c r="F936" s="15"/>
      <c r="G936" s="15"/>
      <c r="H936" s="35"/>
      <c r="I936" s="35">
        <f t="shared" si="38"/>
        <v>0</v>
      </c>
      <c r="J936" s="35"/>
      <c r="K936" s="35">
        <v>0</v>
      </c>
      <c r="L936" s="36">
        <f t="shared" si="39"/>
        <v>0</v>
      </c>
    </row>
    <row r="937" spans="1:12" x14ac:dyDescent="0.25">
      <c r="A937" s="21" t="s">
        <v>693</v>
      </c>
      <c r="B937" s="30" t="s">
        <v>693</v>
      </c>
      <c r="C937" s="21" t="s">
        <v>711</v>
      </c>
      <c r="D937" s="21" t="s">
        <v>57</v>
      </c>
      <c r="E937" s="21" t="s">
        <v>136</v>
      </c>
      <c r="F937" s="21"/>
      <c r="G937" s="21"/>
      <c r="H937" s="32"/>
      <c r="I937" s="32">
        <f t="shared" si="38"/>
        <v>0</v>
      </c>
      <c r="J937" s="32"/>
      <c r="K937" s="32">
        <v>0</v>
      </c>
      <c r="L937" s="33">
        <f t="shared" si="39"/>
        <v>0</v>
      </c>
    </row>
    <row r="938" spans="1:12" x14ac:dyDescent="0.25">
      <c r="A938" s="15" t="s">
        <v>693</v>
      </c>
      <c r="B938" s="14" t="s">
        <v>693</v>
      </c>
      <c r="C938" s="15" t="s">
        <v>712</v>
      </c>
      <c r="D938" s="15" t="s">
        <v>57</v>
      </c>
      <c r="E938" s="15" t="s">
        <v>136</v>
      </c>
      <c r="F938" s="15"/>
      <c r="G938" s="15"/>
      <c r="H938" s="35"/>
      <c r="I938" s="35">
        <f t="shared" si="38"/>
        <v>0</v>
      </c>
      <c r="J938" s="35"/>
      <c r="K938" s="35">
        <v>0</v>
      </c>
      <c r="L938" s="36">
        <f t="shared" si="39"/>
        <v>0</v>
      </c>
    </row>
    <row r="939" spans="1:12" x14ac:dyDescent="0.25">
      <c r="A939" s="21" t="s">
        <v>693</v>
      </c>
      <c r="B939" s="30" t="s">
        <v>693</v>
      </c>
      <c r="C939" s="21" t="s">
        <v>713</v>
      </c>
      <c r="D939" s="21" t="s">
        <v>57</v>
      </c>
      <c r="E939" s="21" t="s">
        <v>136</v>
      </c>
      <c r="F939" s="21"/>
      <c r="G939" s="21"/>
      <c r="H939" s="32"/>
      <c r="I939" s="32">
        <f t="shared" si="38"/>
        <v>0</v>
      </c>
      <c r="J939" s="32"/>
      <c r="K939" s="32">
        <v>0</v>
      </c>
      <c r="L939" s="33">
        <f t="shared" si="39"/>
        <v>0</v>
      </c>
    </row>
    <row r="940" spans="1:12" x14ac:dyDescent="0.25">
      <c r="A940" s="15" t="s">
        <v>693</v>
      </c>
      <c r="B940" s="14" t="s">
        <v>693</v>
      </c>
      <c r="C940" s="15" t="s">
        <v>714</v>
      </c>
      <c r="D940" s="15" t="s">
        <v>69</v>
      </c>
      <c r="E940" s="15" t="s">
        <v>90</v>
      </c>
      <c r="F940" s="15"/>
      <c r="G940" s="15"/>
      <c r="H940" s="35"/>
      <c r="I940" s="35">
        <f t="shared" si="38"/>
        <v>0</v>
      </c>
      <c r="J940" s="35"/>
      <c r="K940" s="35">
        <v>0</v>
      </c>
      <c r="L940" s="36">
        <f t="shared" si="39"/>
        <v>0</v>
      </c>
    </row>
    <row r="941" spans="1:12" x14ac:dyDescent="0.25">
      <c r="A941" s="21" t="s">
        <v>693</v>
      </c>
      <c r="B941" s="30" t="s">
        <v>693</v>
      </c>
      <c r="C941" s="21" t="s">
        <v>729</v>
      </c>
      <c r="D941" s="21" t="s">
        <v>57</v>
      </c>
      <c r="E941" s="21" t="s">
        <v>136</v>
      </c>
      <c r="F941" s="31">
        <v>69.7</v>
      </c>
      <c r="G941" s="31">
        <v>69.7</v>
      </c>
      <c r="H941" s="32"/>
      <c r="I941" s="32">
        <f t="shared" si="38"/>
        <v>0</v>
      </c>
      <c r="J941" s="32"/>
      <c r="K941" s="32">
        <v>0</v>
      </c>
      <c r="L941" s="33">
        <f t="shared" si="39"/>
        <v>69.7</v>
      </c>
    </row>
    <row r="942" spans="1:12" x14ac:dyDescent="0.25">
      <c r="A942" s="15" t="s">
        <v>693</v>
      </c>
      <c r="B942" s="14" t="s">
        <v>693</v>
      </c>
      <c r="C942" s="15" t="s">
        <v>730</v>
      </c>
      <c r="D942" s="15" t="s">
        <v>57</v>
      </c>
      <c r="E942" s="15" t="s">
        <v>136</v>
      </c>
      <c r="F942" s="34">
        <v>69.7</v>
      </c>
      <c r="G942" s="34">
        <v>69.7</v>
      </c>
      <c r="H942" s="35"/>
      <c r="I942" s="35">
        <f t="shared" si="38"/>
        <v>0</v>
      </c>
      <c r="J942" s="35"/>
      <c r="K942" s="35">
        <v>0</v>
      </c>
      <c r="L942" s="36">
        <f t="shared" si="39"/>
        <v>69.7</v>
      </c>
    </row>
    <row r="943" spans="1:12" x14ac:dyDescent="0.25">
      <c r="A943" s="21" t="s">
        <v>693</v>
      </c>
      <c r="B943" s="30" t="s">
        <v>693</v>
      </c>
      <c r="C943" s="21" t="s">
        <v>731</v>
      </c>
      <c r="D943" s="21" t="s">
        <v>57</v>
      </c>
      <c r="E943" s="21" t="s">
        <v>136</v>
      </c>
      <c r="F943" s="21"/>
      <c r="G943" s="21"/>
      <c r="H943" s="32"/>
      <c r="I943" s="32">
        <f t="shared" si="38"/>
        <v>0</v>
      </c>
      <c r="J943" s="32"/>
      <c r="K943" s="32">
        <v>0</v>
      </c>
      <c r="L943" s="33">
        <f t="shared" si="39"/>
        <v>0</v>
      </c>
    </row>
    <row r="944" spans="1:12" x14ac:dyDescent="0.25">
      <c r="A944" s="21" t="s">
        <v>732</v>
      </c>
      <c r="B944" s="30" t="s">
        <v>732</v>
      </c>
      <c r="C944" s="21" t="s">
        <v>733</v>
      </c>
      <c r="D944" s="21" t="s">
        <v>53</v>
      </c>
      <c r="E944" s="21" t="s">
        <v>129</v>
      </c>
      <c r="F944" s="21"/>
      <c r="G944" s="21"/>
      <c r="H944" s="32"/>
      <c r="I944" s="32">
        <f t="shared" si="38"/>
        <v>0</v>
      </c>
      <c r="J944" s="32"/>
      <c r="K944" s="32">
        <v>0</v>
      </c>
      <c r="L944" s="33">
        <f t="shared" si="39"/>
        <v>0</v>
      </c>
    </row>
    <row r="945" spans="1:12" x14ac:dyDescent="0.25">
      <c r="A945" s="15" t="s">
        <v>732</v>
      </c>
      <c r="B945" s="14" t="s">
        <v>732</v>
      </c>
      <c r="C945" s="15" t="s">
        <v>734</v>
      </c>
      <c r="D945" s="15" t="s">
        <v>57</v>
      </c>
      <c r="E945" s="15" t="s">
        <v>136</v>
      </c>
      <c r="F945" s="15"/>
      <c r="G945" s="15"/>
      <c r="H945" s="35"/>
      <c r="I945" s="35">
        <f t="shared" si="38"/>
        <v>0</v>
      </c>
      <c r="J945" s="35"/>
      <c r="K945" s="35">
        <v>0</v>
      </c>
      <c r="L945" s="36">
        <f t="shared" si="39"/>
        <v>0</v>
      </c>
    </row>
    <row r="946" spans="1:12" x14ac:dyDescent="0.25">
      <c r="A946" s="21" t="s">
        <v>732</v>
      </c>
      <c r="B946" s="30" t="s">
        <v>732</v>
      </c>
      <c r="C946" s="21" t="s">
        <v>735</v>
      </c>
      <c r="D946" s="21" t="s">
        <v>57</v>
      </c>
      <c r="E946" s="21" t="s">
        <v>136</v>
      </c>
      <c r="F946" s="21"/>
      <c r="G946" s="21"/>
      <c r="H946" s="32"/>
      <c r="I946" s="32">
        <f t="shared" si="38"/>
        <v>0</v>
      </c>
      <c r="J946" s="32"/>
      <c r="K946" s="32">
        <v>0</v>
      </c>
      <c r="L946" s="33">
        <f t="shared" si="39"/>
        <v>0</v>
      </c>
    </row>
    <row r="947" spans="1:12" x14ac:dyDescent="0.25">
      <c r="A947" s="15" t="s">
        <v>732</v>
      </c>
      <c r="B947" s="14" t="s">
        <v>732</v>
      </c>
      <c r="C947" s="15" t="s">
        <v>733</v>
      </c>
      <c r="D947" s="15" t="s">
        <v>53</v>
      </c>
      <c r="E947" s="15" t="s">
        <v>129</v>
      </c>
      <c r="F947" s="15"/>
      <c r="G947" s="15"/>
      <c r="H947" s="35"/>
      <c r="I947" s="35">
        <f t="shared" si="38"/>
        <v>0</v>
      </c>
      <c r="J947" s="35"/>
      <c r="K947" s="35">
        <v>0</v>
      </c>
      <c r="L947" s="36">
        <f t="shared" si="39"/>
        <v>0</v>
      </c>
    </row>
    <row r="948" spans="1:12" x14ac:dyDescent="0.25">
      <c r="A948" s="21" t="s">
        <v>732</v>
      </c>
      <c r="B948" s="30" t="s">
        <v>732</v>
      </c>
      <c r="C948" s="21" t="s">
        <v>734</v>
      </c>
      <c r="D948" s="21" t="s">
        <v>57</v>
      </c>
      <c r="E948" s="21" t="s">
        <v>136</v>
      </c>
      <c r="F948" s="21"/>
      <c r="G948" s="21"/>
      <c r="H948" s="32"/>
      <c r="I948" s="32">
        <f t="shared" si="38"/>
        <v>0</v>
      </c>
      <c r="J948" s="32"/>
      <c r="K948" s="32">
        <v>0</v>
      </c>
      <c r="L948" s="33">
        <f t="shared" si="39"/>
        <v>0</v>
      </c>
    </row>
    <row r="949" spans="1:12" x14ac:dyDescent="0.25">
      <c r="A949" s="15" t="s">
        <v>732</v>
      </c>
      <c r="B949" s="14" t="s">
        <v>732</v>
      </c>
      <c r="C949" s="15" t="s">
        <v>735</v>
      </c>
      <c r="D949" s="15" t="s">
        <v>57</v>
      </c>
      <c r="E949" s="15" t="s">
        <v>136</v>
      </c>
      <c r="F949" s="15"/>
      <c r="G949" s="15"/>
      <c r="H949" s="35"/>
      <c r="I949" s="35">
        <f t="shared" si="38"/>
        <v>0</v>
      </c>
      <c r="J949" s="35"/>
      <c r="K949" s="35">
        <v>0</v>
      </c>
      <c r="L949" s="36">
        <f t="shared" si="39"/>
        <v>0</v>
      </c>
    </row>
    <row r="950" spans="1:12" x14ac:dyDescent="0.25">
      <c r="A950" s="21" t="s">
        <v>732</v>
      </c>
      <c r="B950" s="30" t="s">
        <v>732</v>
      </c>
      <c r="C950" s="21" t="s">
        <v>736</v>
      </c>
      <c r="D950" s="21" t="s">
        <v>57</v>
      </c>
      <c r="E950" s="21" t="s">
        <v>136</v>
      </c>
      <c r="F950" s="31">
        <v>5.7</v>
      </c>
      <c r="G950" s="31">
        <v>5.7</v>
      </c>
      <c r="H950" s="32"/>
      <c r="I950" s="32">
        <f t="shared" si="38"/>
        <v>0</v>
      </c>
      <c r="J950" s="32"/>
      <c r="K950" s="32">
        <v>0</v>
      </c>
      <c r="L950" s="33">
        <f t="shared" si="39"/>
        <v>5.7</v>
      </c>
    </row>
    <row r="951" spans="1:12" x14ac:dyDescent="0.25">
      <c r="A951" s="15" t="s">
        <v>732</v>
      </c>
      <c r="B951" s="14" t="s">
        <v>732</v>
      </c>
      <c r="C951" s="15" t="s">
        <v>737</v>
      </c>
      <c r="D951" s="15" t="s">
        <v>57</v>
      </c>
      <c r="E951" s="15" t="s">
        <v>136</v>
      </c>
      <c r="F951" s="34">
        <v>45.7</v>
      </c>
      <c r="G951" s="34">
        <v>45.7</v>
      </c>
      <c r="H951" s="35"/>
      <c r="I951" s="35">
        <f t="shared" si="38"/>
        <v>0</v>
      </c>
      <c r="J951" s="35"/>
      <c r="K951" s="35">
        <v>0</v>
      </c>
      <c r="L951" s="36">
        <f t="shared" si="39"/>
        <v>45.7</v>
      </c>
    </row>
    <row r="952" spans="1:12" x14ac:dyDescent="0.25">
      <c r="A952" s="21" t="s">
        <v>732</v>
      </c>
      <c r="B952" s="30" t="s">
        <v>732</v>
      </c>
      <c r="C952" s="21" t="s">
        <v>738</v>
      </c>
      <c r="D952" s="21" t="s">
        <v>65</v>
      </c>
      <c r="E952" s="21" t="s">
        <v>82</v>
      </c>
      <c r="F952" s="21"/>
      <c r="G952" s="21"/>
      <c r="H952" s="32"/>
      <c r="I952" s="32">
        <f t="shared" si="38"/>
        <v>0</v>
      </c>
      <c r="J952" s="32"/>
      <c r="K952" s="32">
        <v>0</v>
      </c>
      <c r="L952" s="33">
        <f t="shared" si="39"/>
        <v>0</v>
      </c>
    </row>
    <row r="953" spans="1:12" x14ac:dyDescent="0.25">
      <c r="A953" s="15" t="s">
        <v>732</v>
      </c>
      <c r="B953" s="14" t="s">
        <v>732</v>
      </c>
      <c r="C953" s="15" t="s">
        <v>739</v>
      </c>
      <c r="D953" s="15" t="s">
        <v>57</v>
      </c>
      <c r="E953" s="15" t="s">
        <v>136</v>
      </c>
      <c r="F953" s="15"/>
      <c r="G953" s="15"/>
      <c r="H953" s="35"/>
      <c r="I953" s="35">
        <f t="shared" si="38"/>
        <v>0</v>
      </c>
      <c r="J953" s="35"/>
      <c r="K953" s="35">
        <v>0</v>
      </c>
      <c r="L953" s="36">
        <f t="shared" si="39"/>
        <v>0</v>
      </c>
    </row>
    <row r="954" spans="1:12" x14ac:dyDescent="0.25">
      <c r="A954" s="21" t="s">
        <v>732</v>
      </c>
      <c r="B954" s="30" t="s">
        <v>732</v>
      </c>
      <c r="C954" s="21" t="s">
        <v>740</v>
      </c>
      <c r="D954" s="21" t="s">
        <v>57</v>
      </c>
      <c r="E954" s="21" t="s">
        <v>136</v>
      </c>
      <c r="F954" s="21"/>
      <c r="G954" s="21"/>
      <c r="H954" s="32"/>
      <c r="I954" s="32">
        <f t="shared" si="38"/>
        <v>0</v>
      </c>
      <c r="J954" s="32"/>
      <c r="K954" s="32">
        <v>0</v>
      </c>
      <c r="L954" s="33">
        <f t="shared" si="39"/>
        <v>0</v>
      </c>
    </row>
    <row r="955" spans="1:12" x14ac:dyDescent="0.25">
      <c r="A955" s="21" t="s">
        <v>742</v>
      </c>
      <c r="B955" s="30" t="s">
        <v>742</v>
      </c>
      <c r="C955" s="21" t="s">
        <v>743</v>
      </c>
      <c r="D955" s="21" t="s">
        <v>57</v>
      </c>
      <c r="E955" s="21" t="s">
        <v>136</v>
      </c>
      <c r="F955" s="31">
        <v>65.7</v>
      </c>
      <c r="G955" s="31">
        <v>114.3</v>
      </c>
      <c r="H955" s="32"/>
      <c r="I955" s="32">
        <f t="shared" si="38"/>
        <v>0</v>
      </c>
      <c r="J955" s="32"/>
      <c r="K955" s="32">
        <v>0</v>
      </c>
      <c r="L955" s="33">
        <f t="shared" si="39"/>
        <v>114.3</v>
      </c>
    </row>
    <row r="956" spans="1:12" x14ac:dyDescent="0.25">
      <c r="A956" s="15" t="s">
        <v>742</v>
      </c>
      <c r="B956" s="14" t="s">
        <v>742</v>
      </c>
      <c r="C956" s="15" t="s">
        <v>744</v>
      </c>
      <c r="D956" s="15" t="s">
        <v>57</v>
      </c>
      <c r="E956" s="15" t="s">
        <v>136</v>
      </c>
      <c r="F956" s="34">
        <v>68.599999999999994</v>
      </c>
      <c r="G956" s="34">
        <v>68.599999999999994</v>
      </c>
      <c r="H956" s="35"/>
      <c r="I956" s="35">
        <f t="shared" si="38"/>
        <v>0</v>
      </c>
      <c r="J956" s="35"/>
      <c r="K956" s="35">
        <v>0</v>
      </c>
      <c r="L956" s="36">
        <f t="shared" si="39"/>
        <v>68.599999999999994</v>
      </c>
    </row>
    <row r="957" spans="1:12" x14ac:dyDescent="0.25">
      <c r="A957" s="21" t="s">
        <v>742</v>
      </c>
      <c r="B957" s="30" t="s">
        <v>742</v>
      </c>
      <c r="C957" s="21" t="s">
        <v>745</v>
      </c>
      <c r="D957" s="21" t="s">
        <v>57</v>
      </c>
      <c r="E957" s="21" t="s">
        <v>136</v>
      </c>
      <c r="F957" s="21"/>
      <c r="G957" s="21"/>
      <c r="H957" s="32"/>
      <c r="I957" s="32">
        <f t="shared" si="38"/>
        <v>0</v>
      </c>
      <c r="J957" s="32"/>
      <c r="K957" s="32">
        <v>0</v>
      </c>
      <c r="L957" s="33">
        <f t="shared" si="39"/>
        <v>0</v>
      </c>
    </row>
    <row r="958" spans="1:12" x14ac:dyDescent="0.25">
      <c r="A958" s="21" t="s">
        <v>749</v>
      </c>
      <c r="B958" s="30" t="s">
        <v>749</v>
      </c>
      <c r="C958" s="21" t="s">
        <v>750</v>
      </c>
      <c r="D958" s="21" t="s">
        <v>65</v>
      </c>
      <c r="E958" s="21" t="s">
        <v>82</v>
      </c>
      <c r="F958" s="21"/>
      <c r="G958" s="21"/>
      <c r="H958" s="32"/>
      <c r="I958" s="32">
        <f t="shared" si="38"/>
        <v>0</v>
      </c>
      <c r="J958" s="32"/>
      <c r="K958" s="32">
        <v>0</v>
      </c>
      <c r="L958" s="33">
        <f t="shared" si="39"/>
        <v>0</v>
      </c>
    </row>
    <row r="959" spans="1:12" x14ac:dyDescent="0.25">
      <c r="A959" s="15" t="s">
        <v>749</v>
      </c>
      <c r="B959" s="14" t="s">
        <v>749</v>
      </c>
      <c r="C959" s="15" t="s">
        <v>751</v>
      </c>
      <c r="D959" s="15" t="s">
        <v>69</v>
      </c>
      <c r="E959" s="15" t="s">
        <v>90</v>
      </c>
      <c r="F959" s="15"/>
      <c r="G959" s="15"/>
      <c r="H959" s="35"/>
      <c r="I959" s="35">
        <f t="shared" ref="I959:I990" si="40">IF(H959="",0,G959)</f>
        <v>0</v>
      </c>
      <c r="J959" s="35"/>
      <c r="K959" s="35">
        <v>0</v>
      </c>
      <c r="L959" s="36">
        <f t="shared" ref="L959:L990" si="41">G959-I959-K959</f>
        <v>0</v>
      </c>
    </row>
    <row r="960" spans="1:12" x14ac:dyDescent="0.25">
      <c r="A960" s="21" t="s">
        <v>749</v>
      </c>
      <c r="B960" s="30" t="s">
        <v>749</v>
      </c>
      <c r="C960" s="21" t="s">
        <v>750</v>
      </c>
      <c r="D960" s="21" t="s">
        <v>65</v>
      </c>
      <c r="E960" s="21" t="s">
        <v>82</v>
      </c>
      <c r="F960" s="31">
        <v>2</v>
      </c>
      <c r="G960" s="31">
        <v>3</v>
      </c>
      <c r="H960" s="32"/>
      <c r="I960" s="32">
        <f t="shared" si="40"/>
        <v>0</v>
      </c>
      <c r="J960" s="32"/>
      <c r="K960" s="32">
        <v>0</v>
      </c>
      <c r="L960" s="33">
        <f t="shared" si="41"/>
        <v>3</v>
      </c>
    </row>
    <row r="961" spans="1:12" x14ac:dyDescent="0.25">
      <c r="A961" s="15" t="s">
        <v>749</v>
      </c>
      <c r="B961" s="14" t="s">
        <v>749</v>
      </c>
      <c r="C961" s="15" t="s">
        <v>752</v>
      </c>
      <c r="D961" s="15" t="s">
        <v>67</v>
      </c>
      <c r="E961" s="15" t="s">
        <v>93</v>
      </c>
      <c r="F961" s="34">
        <v>1</v>
      </c>
      <c r="G961" s="34">
        <v>2</v>
      </c>
      <c r="H961" s="35"/>
      <c r="I961" s="35">
        <f t="shared" si="40"/>
        <v>0</v>
      </c>
      <c r="J961" s="35"/>
      <c r="K961" s="35">
        <v>0</v>
      </c>
      <c r="L961" s="36">
        <f t="shared" si="41"/>
        <v>2</v>
      </c>
    </row>
    <row r="962" spans="1:12" x14ac:dyDescent="0.25">
      <c r="A962" s="21" t="s">
        <v>749</v>
      </c>
      <c r="B962" s="30" t="s">
        <v>749</v>
      </c>
      <c r="C962" s="21" t="s">
        <v>753</v>
      </c>
      <c r="D962" s="21" t="s">
        <v>67</v>
      </c>
      <c r="E962" s="21" t="s">
        <v>93</v>
      </c>
      <c r="F962" s="31">
        <v>1</v>
      </c>
      <c r="G962" s="31">
        <v>2</v>
      </c>
      <c r="H962" s="32"/>
      <c r="I962" s="32">
        <f t="shared" si="40"/>
        <v>0</v>
      </c>
      <c r="J962" s="32"/>
      <c r="K962" s="32">
        <v>0</v>
      </c>
      <c r="L962" s="33">
        <f t="shared" si="41"/>
        <v>2</v>
      </c>
    </row>
    <row r="963" spans="1:12" x14ac:dyDescent="0.25">
      <c r="A963" s="15" t="s">
        <v>749</v>
      </c>
      <c r="B963" s="14" t="s">
        <v>749</v>
      </c>
      <c r="C963" s="15" t="s">
        <v>754</v>
      </c>
      <c r="D963" s="15" t="s">
        <v>65</v>
      </c>
      <c r="E963" s="15" t="s">
        <v>82</v>
      </c>
      <c r="F963" s="34">
        <v>1</v>
      </c>
      <c r="G963" s="34">
        <v>2</v>
      </c>
      <c r="H963" s="35"/>
      <c r="I963" s="35">
        <f t="shared" si="40"/>
        <v>0</v>
      </c>
      <c r="J963" s="35"/>
      <c r="K963" s="35">
        <v>0</v>
      </c>
      <c r="L963" s="36">
        <f t="shared" si="41"/>
        <v>2</v>
      </c>
    </row>
    <row r="964" spans="1:12" x14ac:dyDescent="0.25">
      <c r="A964" s="21" t="s">
        <v>749</v>
      </c>
      <c r="B964" s="30" t="s">
        <v>749</v>
      </c>
      <c r="C964" s="21" t="s">
        <v>755</v>
      </c>
      <c r="D964" s="21" t="s">
        <v>65</v>
      </c>
      <c r="E964" s="21" t="s">
        <v>82</v>
      </c>
      <c r="F964" s="31">
        <v>1</v>
      </c>
      <c r="G964" s="31">
        <v>2</v>
      </c>
      <c r="H964" s="32"/>
      <c r="I964" s="32">
        <f t="shared" si="40"/>
        <v>0</v>
      </c>
      <c r="J964" s="32"/>
      <c r="K964" s="32">
        <v>0</v>
      </c>
      <c r="L964" s="33">
        <f t="shared" si="41"/>
        <v>2</v>
      </c>
    </row>
    <row r="965" spans="1:12" x14ac:dyDescent="0.25">
      <c r="A965" s="15" t="s">
        <v>749</v>
      </c>
      <c r="B965" s="14" t="s">
        <v>749</v>
      </c>
      <c r="C965" s="15" t="s">
        <v>756</v>
      </c>
      <c r="D965" s="15" t="s">
        <v>67</v>
      </c>
      <c r="E965" s="15" t="s">
        <v>93</v>
      </c>
      <c r="F965" s="34">
        <v>1</v>
      </c>
      <c r="G965" s="34">
        <v>2</v>
      </c>
      <c r="H965" s="35"/>
      <c r="I965" s="35">
        <f t="shared" si="40"/>
        <v>0</v>
      </c>
      <c r="J965" s="35"/>
      <c r="K965" s="35">
        <v>0</v>
      </c>
      <c r="L965" s="36">
        <f t="shared" si="41"/>
        <v>2</v>
      </c>
    </row>
    <row r="966" spans="1:12" x14ac:dyDescent="0.25">
      <c r="A966" s="21" t="s">
        <v>749</v>
      </c>
      <c r="B966" s="30" t="s">
        <v>749</v>
      </c>
      <c r="C966" s="21" t="s">
        <v>757</v>
      </c>
      <c r="D966" s="21" t="s">
        <v>65</v>
      </c>
      <c r="E966" s="21" t="s">
        <v>82</v>
      </c>
      <c r="F966" s="31">
        <v>2</v>
      </c>
      <c r="G966" s="31">
        <v>3</v>
      </c>
      <c r="H966" s="32"/>
      <c r="I966" s="32">
        <f t="shared" si="40"/>
        <v>0</v>
      </c>
      <c r="J966" s="32"/>
      <c r="K966" s="32">
        <v>0</v>
      </c>
      <c r="L966" s="33">
        <f t="shared" si="41"/>
        <v>3</v>
      </c>
    </row>
    <row r="967" spans="1:12" x14ac:dyDescent="0.25">
      <c r="A967" s="15" t="s">
        <v>749</v>
      </c>
      <c r="B967" s="14" t="s">
        <v>749</v>
      </c>
      <c r="C967" s="15" t="s">
        <v>758</v>
      </c>
      <c r="D967" s="15" t="s">
        <v>65</v>
      </c>
      <c r="E967" s="15" t="s">
        <v>82</v>
      </c>
      <c r="F967" s="34">
        <v>1</v>
      </c>
      <c r="G967" s="34">
        <v>2</v>
      </c>
      <c r="H967" s="35"/>
      <c r="I967" s="35">
        <f t="shared" si="40"/>
        <v>0</v>
      </c>
      <c r="J967" s="35"/>
      <c r="K967" s="35">
        <v>0</v>
      </c>
      <c r="L967" s="36">
        <f t="shared" si="41"/>
        <v>2</v>
      </c>
    </row>
    <row r="968" spans="1:12" x14ac:dyDescent="0.25">
      <c r="A968" s="21" t="s">
        <v>749</v>
      </c>
      <c r="B968" s="30" t="s">
        <v>749</v>
      </c>
      <c r="C968" s="21" t="s">
        <v>759</v>
      </c>
      <c r="D968" s="21" t="s">
        <v>65</v>
      </c>
      <c r="E968" s="21" t="s">
        <v>82</v>
      </c>
      <c r="F968" s="31">
        <v>1</v>
      </c>
      <c r="G968" s="31">
        <v>2</v>
      </c>
      <c r="H968" s="32"/>
      <c r="I968" s="32">
        <f t="shared" si="40"/>
        <v>0</v>
      </c>
      <c r="J968" s="32"/>
      <c r="K968" s="32">
        <v>0</v>
      </c>
      <c r="L968" s="33">
        <f t="shared" si="41"/>
        <v>2</v>
      </c>
    </row>
    <row r="969" spans="1:12" x14ac:dyDescent="0.25">
      <c r="A969" s="15" t="s">
        <v>749</v>
      </c>
      <c r="B969" s="14" t="s">
        <v>749</v>
      </c>
      <c r="C969" s="15" t="s">
        <v>760</v>
      </c>
      <c r="D969" s="15" t="s">
        <v>65</v>
      </c>
      <c r="E969" s="15" t="s">
        <v>82</v>
      </c>
      <c r="F969" s="34">
        <v>1</v>
      </c>
      <c r="G969" s="34">
        <v>2</v>
      </c>
      <c r="H969" s="35"/>
      <c r="I969" s="35">
        <f t="shared" si="40"/>
        <v>0</v>
      </c>
      <c r="J969" s="35"/>
      <c r="K969" s="35">
        <v>0</v>
      </c>
      <c r="L969" s="36">
        <f t="shared" si="41"/>
        <v>2</v>
      </c>
    </row>
    <row r="970" spans="1:12" x14ac:dyDescent="0.25">
      <c r="A970" s="21" t="s">
        <v>749</v>
      </c>
      <c r="B970" s="30" t="s">
        <v>749</v>
      </c>
      <c r="C970" s="21" t="s">
        <v>761</v>
      </c>
      <c r="D970" s="21" t="s">
        <v>65</v>
      </c>
      <c r="E970" s="21" t="s">
        <v>82</v>
      </c>
      <c r="F970" s="31">
        <v>3</v>
      </c>
      <c r="G970" s="31">
        <v>4</v>
      </c>
      <c r="H970" s="32"/>
      <c r="I970" s="32">
        <f t="shared" si="40"/>
        <v>0</v>
      </c>
      <c r="J970" s="32"/>
      <c r="K970" s="32">
        <v>0</v>
      </c>
      <c r="L970" s="33">
        <f t="shared" si="41"/>
        <v>4</v>
      </c>
    </row>
    <row r="971" spans="1:12" x14ac:dyDescent="0.25">
      <c r="A971" s="15" t="s">
        <v>749</v>
      </c>
      <c r="B971" s="14" t="s">
        <v>749</v>
      </c>
      <c r="C971" s="15" t="s">
        <v>762</v>
      </c>
      <c r="D971" s="15" t="s">
        <v>65</v>
      </c>
      <c r="E971" s="15" t="s">
        <v>82</v>
      </c>
      <c r="F971" s="34">
        <v>1</v>
      </c>
      <c r="G971" s="34">
        <v>2</v>
      </c>
      <c r="H971" s="35"/>
      <c r="I971" s="35">
        <f t="shared" si="40"/>
        <v>0</v>
      </c>
      <c r="J971" s="35"/>
      <c r="K971" s="35">
        <v>0</v>
      </c>
      <c r="L971" s="36">
        <f t="shared" si="41"/>
        <v>2</v>
      </c>
    </row>
    <row r="972" spans="1:12" x14ac:dyDescent="0.25">
      <c r="A972" s="21" t="s">
        <v>749</v>
      </c>
      <c r="B972" s="30" t="s">
        <v>749</v>
      </c>
      <c r="C972" s="21" t="s">
        <v>763</v>
      </c>
      <c r="D972" s="21" t="s">
        <v>65</v>
      </c>
      <c r="E972" s="21" t="s">
        <v>82</v>
      </c>
      <c r="F972" s="31">
        <v>1</v>
      </c>
      <c r="G972" s="31">
        <v>2</v>
      </c>
      <c r="H972" s="32"/>
      <c r="I972" s="32">
        <f t="shared" si="40"/>
        <v>0</v>
      </c>
      <c r="J972" s="32"/>
      <c r="K972" s="32">
        <v>0</v>
      </c>
      <c r="L972" s="33">
        <f t="shared" si="41"/>
        <v>2</v>
      </c>
    </row>
    <row r="973" spans="1:12" x14ac:dyDescent="0.25">
      <c r="A973" s="15" t="s">
        <v>749</v>
      </c>
      <c r="B973" s="14" t="s">
        <v>749</v>
      </c>
      <c r="C973" s="15" t="s">
        <v>764</v>
      </c>
      <c r="D973" s="15" t="s">
        <v>65</v>
      </c>
      <c r="E973" s="15" t="s">
        <v>82</v>
      </c>
      <c r="F973" s="34">
        <v>1</v>
      </c>
      <c r="G973" s="34">
        <v>2</v>
      </c>
      <c r="H973" s="35"/>
      <c r="I973" s="35">
        <f t="shared" si="40"/>
        <v>0</v>
      </c>
      <c r="J973" s="35"/>
      <c r="K973" s="35">
        <v>0</v>
      </c>
      <c r="L973" s="36">
        <f t="shared" si="41"/>
        <v>2</v>
      </c>
    </row>
    <row r="974" spans="1:12" x14ac:dyDescent="0.25">
      <c r="A974" s="21" t="s">
        <v>749</v>
      </c>
      <c r="B974" s="30" t="s">
        <v>749</v>
      </c>
      <c r="C974" s="21" t="s">
        <v>765</v>
      </c>
      <c r="D974" s="21" t="s">
        <v>65</v>
      </c>
      <c r="E974" s="21" t="s">
        <v>82</v>
      </c>
      <c r="F974" s="31">
        <v>1</v>
      </c>
      <c r="G974" s="31">
        <v>2</v>
      </c>
      <c r="H974" s="32"/>
      <c r="I974" s="32">
        <f t="shared" si="40"/>
        <v>0</v>
      </c>
      <c r="J974" s="32"/>
      <c r="K974" s="32">
        <v>0</v>
      </c>
      <c r="L974" s="33">
        <f t="shared" si="41"/>
        <v>2</v>
      </c>
    </row>
    <row r="975" spans="1:12" x14ac:dyDescent="0.25">
      <c r="A975" s="15" t="s">
        <v>749</v>
      </c>
      <c r="B975" s="14" t="s">
        <v>749</v>
      </c>
      <c r="C975" s="15" t="s">
        <v>751</v>
      </c>
      <c r="D975" s="15" t="s">
        <v>69</v>
      </c>
      <c r="E975" s="15" t="s">
        <v>90</v>
      </c>
      <c r="F975" s="15"/>
      <c r="G975" s="15"/>
      <c r="H975" s="35"/>
      <c r="I975" s="35">
        <f t="shared" si="40"/>
        <v>0</v>
      </c>
      <c r="J975" s="35"/>
      <c r="K975" s="35">
        <v>0</v>
      </c>
      <c r="L975" s="36">
        <f t="shared" si="41"/>
        <v>0</v>
      </c>
    </row>
    <row r="976" spans="1:12" x14ac:dyDescent="0.25">
      <c r="A976" s="58" t="s">
        <v>766</v>
      </c>
      <c r="B976" s="58"/>
      <c r="C976" s="58"/>
      <c r="D976" s="58"/>
      <c r="E976" s="58"/>
      <c r="F976" s="58"/>
      <c r="G976" s="58"/>
      <c r="H976" s="58"/>
      <c r="I976" s="58"/>
      <c r="J976" s="58"/>
      <c r="K976" s="58"/>
      <c r="L976" s="58"/>
    </row>
    <row r="977" spans="1:12" x14ac:dyDescent="0.25">
      <c r="A977" s="21" t="s">
        <v>767</v>
      </c>
      <c r="B977" s="30" t="s">
        <v>767</v>
      </c>
      <c r="C977" s="21" t="s">
        <v>768</v>
      </c>
      <c r="D977" s="21" t="s">
        <v>47</v>
      </c>
      <c r="E977" s="21" t="s">
        <v>79</v>
      </c>
      <c r="F977" s="31">
        <v>0.5</v>
      </c>
      <c r="G977" s="31">
        <v>5</v>
      </c>
      <c r="H977" s="32"/>
      <c r="I977" s="32">
        <f t="shared" ref="I977:I1008" si="42">IF(H977="",0,G977)</f>
        <v>0</v>
      </c>
      <c r="J977" s="32"/>
      <c r="K977" s="32">
        <v>0</v>
      </c>
      <c r="L977" s="33">
        <f t="shared" ref="L977:L1008" si="43">G977-I977-K977</f>
        <v>5</v>
      </c>
    </row>
    <row r="978" spans="1:12" x14ac:dyDescent="0.25">
      <c r="A978" s="15" t="s">
        <v>767</v>
      </c>
      <c r="B978" s="14" t="s">
        <v>767</v>
      </c>
      <c r="C978" s="15" t="s">
        <v>769</v>
      </c>
      <c r="D978" s="15" t="s">
        <v>53</v>
      </c>
      <c r="E978" s="15" t="s">
        <v>129</v>
      </c>
      <c r="F978" s="15"/>
      <c r="G978" s="15"/>
      <c r="H978" s="35"/>
      <c r="I978" s="35">
        <f t="shared" si="42"/>
        <v>0</v>
      </c>
      <c r="J978" s="35"/>
      <c r="K978" s="35">
        <v>0</v>
      </c>
      <c r="L978" s="36">
        <f t="shared" si="43"/>
        <v>0</v>
      </c>
    </row>
    <row r="979" spans="1:12" x14ac:dyDescent="0.25">
      <c r="A979" s="21" t="s">
        <v>767</v>
      </c>
      <c r="B979" s="30" t="s">
        <v>767</v>
      </c>
      <c r="C979" s="21" t="s">
        <v>770</v>
      </c>
      <c r="D979" s="21" t="s">
        <v>57</v>
      </c>
      <c r="E979" s="21" t="s">
        <v>136</v>
      </c>
      <c r="F979" s="21"/>
      <c r="G979" s="21"/>
      <c r="H979" s="32"/>
      <c r="I979" s="32">
        <f t="shared" si="42"/>
        <v>0</v>
      </c>
      <c r="J979" s="32"/>
      <c r="K979" s="32">
        <v>0</v>
      </c>
      <c r="L979" s="33">
        <f t="shared" si="43"/>
        <v>0</v>
      </c>
    </row>
    <row r="980" spans="1:12" x14ac:dyDescent="0.25">
      <c r="A980" s="15" t="s">
        <v>767</v>
      </c>
      <c r="B980" s="14" t="s">
        <v>767</v>
      </c>
      <c r="C980" s="15" t="s">
        <v>771</v>
      </c>
      <c r="D980" s="15" t="s">
        <v>59</v>
      </c>
      <c r="E980" s="15" t="s">
        <v>203</v>
      </c>
      <c r="F980" s="15"/>
      <c r="G980" s="15"/>
      <c r="H980" s="35"/>
      <c r="I980" s="35">
        <f t="shared" si="42"/>
        <v>0</v>
      </c>
      <c r="J980" s="35"/>
      <c r="K980" s="35">
        <v>0</v>
      </c>
      <c r="L980" s="36">
        <f t="shared" si="43"/>
        <v>0</v>
      </c>
    </row>
    <row r="981" spans="1:12" x14ac:dyDescent="0.25">
      <c r="A981" s="21" t="s">
        <v>767</v>
      </c>
      <c r="B981" s="30" t="s">
        <v>767</v>
      </c>
      <c r="C981" s="21" t="s">
        <v>772</v>
      </c>
      <c r="D981" s="21" t="s">
        <v>61</v>
      </c>
      <c r="E981" s="21" t="s">
        <v>142</v>
      </c>
      <c r="F981" s="21"/>
      <c r="G981" s="21"/>
      <c r="H981" s="32"/>
      <c r="I981" s="32">
        <f t="shared" si="42"/>
        <v>0</v>
      </c>
      <c r="J981" s="32"/>
      <c r="K981" s="32">
        <v>0</v>
      </c>
      <c r="L981" s="33">
        <f t="shared" si="43"/>
        <v>0</v>
      </c>
    </row>
    <row r="982" spans="1:12" x14ac:dyDescent="0.25">
      <c r="A982" s="15" t="s">
        <v>767</v>
      </c>
      <c r="B982" s="14" t="s">
        <v>767</v>
      </c>
      <c r="C982" s="15" t="s">
        <v>773</v>
      </c>
      <c r="D982" s="15" t="s">
        <v>69</v>
      </c>
      <c r="E982" s="15" t="s">
        <v>90</v>
      </c>
      <c r="F982" s="15"/>
      <c r="G982" s="15"/>
      <c r="H982" s="35"/>
      <c r="I982" s="35">
        <f t="shared" si="42"/>
        <v>0</v>
      </c>
      <c r="J982" s="35"/>
      <c r="K982" s="35">
        <v>0</v>
      </c>
      <c r="L982" s="36">
        <f t="shared" si="43"/>
        <v>0</v>
      </c>
    </row>
    <row r="983" spans="1:12" x14ac:dyDescent="0.25">
      <c r="A983" s="21" t="s">
        <v>767</v>
      </c>
      <c r="B983" s="30" t="s">
        <v>767</v>
      </c>
      <c r="C983" s="21" t="s">
        <v>774</v>
      </c>
      <c r="D983" s="21" t="s">
        <v>47</v>
      </c>
      <c r="E983" s="21" t="s">
        <v>79</v>
      </c>
      <c r="F983" s="31">
        <v>2</v>
      </c>
      <c r="G983" s="31">
        <v>4</v>
      </c>
      <c r="H983" s="32"/>
      <c r="I983" s="32">
        <f t="shared" si="42"/>
        <v>0</v>
      </c>
      <c r="J983" s="32"/>
      <c r="K983" s="32">
        <v>0</v>
      </c>
      <c r="L983" s="33">
        <f t="shared" si="43"/>
        <v>4</v>
      </c>
    </row>
    <row r="984" spans="1:12" x14ac:dyDescent="0.25">
      <c r="A984" s="15" t="s">
        <v>767</v>
      </c>
      <c r="B984" s="14" t="s">
        <v>767</v>
      </c>
      <c r="C984" s="15" t="s">
        <v>775</v>
      </c>
      <c r="D984" s="15" t="s">
        <v>59</v>
      </c>
      <c r="E984" s="15" t="s">
        <v>203</v>
      </c>
      <c r="F984" s="15"/>
      <c r="G984" s="15"/>
      <c r="H984" s="35"/>
      <c r="I984" s="35">
        <f t="shared" si="42"/>
        <v>0</v>
      </c>
      <c r="J984" s="35"/>
      <c r="K984" s="35">
        <v>0</v>
      </c>
      <c r="L984" s="36">
        <f t="shared" si="43"/>
        <v>0</v>
      </c>
    </row>
    <row r="985" spans="1:12" x14ac:dyDescent="0.25">
      <c r="A985" s="21" t="s">
        <v>767</v>
      </c>
      <c r="B985" s="30" t="s">
        <v>767</v>
      </c>
      <c r="C985" s="21" t="s">
        <v>776</v>
      </c>
      <c r="D985" s="21" t="s">
        <v>57</v>
      </c>
      <c r="E985" s="21" t="s">
        <v>136</v>
      </c>
      <c r="F985" s="21"/>
      <c r="G985" s="21"/>
      <c r="H985" s="32"/>
      <c r="I985" s="32">
        <f t="shared" si="42"/>
        <v>0</v>
      </c>
      <c r="J985" s="32"/>
      <c r="K985" s="32">
        <v>0</v>
      </c>
      <c r="L985" s="33">
        <f t="shared" si="43"/>
        <v>0</v>
      </c>
    </row>
    <row r="986" spans="1:12" x14ac:dyDescent="0.25">
      <c r="A986" s="15" t="s">
        <v>767</v>
      </c>
      <c r="B986" s="14" t="s">
        <v>767</v>
      </c>
      <c r="C986" s="15" t="s">
        <v>777</v>
      </c>
      <c r="D986" s="15" t="s">
        <v>47</v>
      </c>
      <c r="E986" s="15" t="s">
        <v>79</v>
      </c>
      <c r="F986" s="34">
        <v>0.5</v>
      </c>
      <c r="G986" s="34">
        <v>4</v>
      </c>
      <c r="H986" s="35"/>
      <c r="I986" s="35">
        <f t="shared" si="42"/>
        <v>0</v>
      </c>
      <c r="J986" s="35"/>
      <c r="K986" s="35">
        <v>0</v>
      </c>
      <c r="L986" s="36">
        <f t="shared" si="43"/>
        <v>4</v>
      </c>
    </row>
    <row r="987" spans="1:12" x14ac:dyDescent="0.25">
      <c r="A987" s="21" t="s">
        <v>767</v>
      </c>
      <c r="B987" s="30" t="s">
        <v>767</v>
      </c>
      <c r="C987" s="21" t="s">
        <v>778</v>
      </c>
      <c r="D987" s="21" t="s">
        <v>53</v>
      </c>
      <c r="E987" s="21" t="s">
        <v>129</v>
      </c>
      <c r="F987" s="21"/>
      <c r="G987" s="21"/>
      <c r="H987" s="32"/>
      <c r="I987" s="32">
        <f t="shared" si="42"/>
        <v>0</v>
      </c>
      <c r="J987" s="32"/>
      <c r="K987" s="32">
        <v>0</v>
      </c>
      <c r="L987" s="33">
        <f t="shared" si="43"/>
        <v>0</v>
      </c>
    </row>
    <row r="988" spans="1:12" x14ac:dyDescent="0.25">
      <c r="A988" s="15" t="s">
        <v>767</v>
      </c>
      <c r="B988" s="14" t="s">
        <v>767</v>
      </c>
      <c r="C988" s="15" t="s">
        <v>779</v>
      </c>
      <c r="D988" s="15" t="s">
        <v>56</v>
      </c>
      <c r="E988" s="15" t="s">
        <v>162</v>
      </c>
      <c r="F988" s="15"/>
      <c r="G988" s="15"/>
      <c r="H988" s="35"/>
      <c r="I988" s="35">
        <f t="shared" si="42"/>
        <v>0</v>
      </c>
      <c r="J988" s="35"/>
      <c r="K988" s="35">
        <v>0</v>
      </c>
      <c r="L988" s="36">
        <f t="shared" si="43"/>
        <v>0</v>
      </c>
    </row>
    <row r="989" spans="1:12" x14ac:dyDescent="0.25">
      <c r="A989" s="21" t="s">
        <v>767</v>
      </c>
      <c r="B989" s="30" t="s">
        <v>767</v>
      </c>
      <c r="C989" s="21" t="s">
        <v>780</v>
      </c>
      <c r="D989" s="21" t="s">
        <v>59</v>
      </c>
      <c r="E989" s="21" t="s">
        <v>203</v>
      </c>
      <c r="F989" s="21"/>
      <c r="G989" s="21"/>
      <c r="H989" s="32"/>
      <c r="I989" s="32">
        <f t="shared" si="42"/>
        <v>0</v>
      </c>
      <c r="J989" s="32"/>
      <c r="K989" s="32">
        <v>0</v>
      </c>
      <c r="L989" s="33">
        <f t="shared" si="43"/>
        <v>0</v>
      </c>
    </row>
    <row r="990" spans="1:12" x14ac:dyDescent="0.25">
      <c r="A990" s="15" t="s">
        <v>767</v>
      </c>
      <c r="B990" s="14" t="s">
        <v>767</v>
      </c>
      <c r="C990" s="15" t="s">
        <v>781</v>
      </c>
      <c r="D990" s="15" t="s">
        <v>61</v>
      </c>
      <c r="E990" s="15" t="s">
        <v>142</v>
      </c>
      <c r="F990" s="15"/>
      <c r="G990" s="15"/>
      <c r="H990" s="35"/>
      <c r="I990" s="35">
        <f t="shared" si="42"/>
        <v>0</v>
      </c>
      <c r="J990" s="35"/>
      <c r="K990" s="35">
        <v>0</v>
      </c>
      <c r="L990" s="36">
        <f t="shared" si="43"/>
        <v>0</v>
      </c>
    </row>
    <row r="991" spans="1:12" x14ac:dyDescent="0.25">
      <c r="A991" s="21" t="s">
        <v>767</v>
      </c>
      <c r="B991" s="30" t="s">
        <v>767</v>
      </c>
      <c r="C991" s="21" t="s">
        <v>196</v>
      </c>
      <c r="D991" s="21" t="s">
        <v>47</v>
      </c>
      <c r="E991" s="21" t="s">
        <v>79</v>
      </c>
      <c r="F991" s="31">
        <v>5</v>
      </c>
      <c r="G991" s="31">
        <v>5</v>
      </c>
      <c r="H991" s="32"/>
      <c r="I991" s="32">
        <f t="shared" si="42"/>
        <v>0</v>
      </c>
      <c r="J991" s="32"/>
      <c r="K991" s="32">
        <v>0</v>
      </c>
      <c r="L991" s="33">
        <f t="shared" si="43"/>
        <v>5</v>
      </c>
    </row>
    <row r="992" spans="1:12" x14ac:dyDescent="0.25">
      <c r="A992" s="15" t="s">
        <v>767</v>
      </c>
      <c r="B992" s="14" t="s">
        <v>767</v>
      </c>
      <c r="C992" s="15" t="s">
        <v>196</v>
      </c>
      <c r="D992" s="15" t="s">
        <v>65</v>
      </c>
      <c r="E992" s="15" t="s">
        <v>82</v>
      </c>
      <c r="F992" s="15"/>
      <c r="G992" s="15"/>
      <c r="H992" s="35"/>
      <c r="I992" s="35">
        <f t="shared" si="42"/>
        <v>0</v>
      </c>
      <c r="J992" s="35"/>
      <c r="K992" s="35">
        <v>0</v>
      </c>
      <c r="L992" s="36">
        <f t="shared" si="43"/>
        <v>0</v>
      </c>
    </row>
    <row r="993" spans="1:12" x14ac:dyDescent="0.25">
      <c r="A993" s="21" t="s">
        <v>767</v>
      </c>
      <c r="B993" s="30" t="s">
        <v>767</v>
      </c>
      <c r="C993" s="21" t="s">
        <v>773</v>
      </c>
      <c r="D993" s="21" t="s">
        <v>69</v>
      </c>
      <c r="E993" s="21" t="s">
        <v>90</v>
      </c>
      <c r="F993" s="21"/>
      <c r="G993" s="21"/>
      <c r="H993" s="32"/>
      <c r="I993" s="32">
        <f t="shared" si="42"/>
        <v>0</v>
      </c>
      <c r="J993" s="32"/>
      <c r="K993" s="32">
        <v>0</v>
      </c>
      <c r="L993" s="33">
        <f t="shared" si="43"/>
        <v>0</v>
      </c>
    </row>
    <row r="994" spans="1:12" x14ac:dyDescent="0.25">
      <c r="A994" s="15" t="s">
        <v>767</v>
      </c>
      <c r="B994" s="14" t="s">
        <v>767</v>
      </c>
      <c r="C994" s="15" t="s">
        <v>768</v>
      </c>
      <c r="D994" s="15" t="s">
        <v>47</v>
      </c>
      <c r="E994" s="15" t="s">
        <v>79</v>
      </c>
      <c r="F994" s="15"/>
      <c r="G994" s="15"/>
      <c r="H994" s="35"/>
      <c r="I994" s="35">
        <f t="shared" si="42"/>
        <v>0</v>
      </c>
      <c r="J994" s="35"/>
      <c r="K994" s="35">
        <v>0</v>
      </c>
      <c r="L994" s="36">
        <f t="shared" si="43"/>
        <v>0</v>
      </c>
    </row>
    <row r="995" spans="1:12" x14ac:dyDescent="0.25">
      <c r="A995" s="21" t="s">
        <v>767</v>
      </c>
      <c r="B995" s="30" t="s">
        <v>767</v>
      </c>
      <c r="C995" s="21" t="s">
        <v>769</v>
      </c>
      <c r="D995" s="21" t="s">
        <v>53</v>
      </c>
      <c r="E995" s="21" t="s">
        <v>129</v>
      </c>
      <c r="F995" s="21"/>
      <c r="G995" s="21"/>
      <c r="H995" s="32"/>
      <c r="I995" s="32">
        <f t="shared" si="42"/>
        <v>0</v>
      </c>
      <c r="J995" s="32"/>
      <c r="K995" s="32">
        <v>0</v>
      </c>
      <c r="L995" s="33">
        <f t="shared" si="43"/>
        <v>0</v>
      </c>
    </row>
    <row r="996" spans="1:12" x14ac:dyDescent="0.25">
      <c r="A996" s="15" t="s">
        <v>767</v>
      </c>
      <c r="B996" s="14" t="s">
        <v>767</v>
      </c>
      <c r="C996" s="15" t="s">
        <v>770</v>
      </c>
      <c r="D996" s="15" t="s">
        <v>57</v>
      </c>
      <c r="E996" s="15" t="s">
        <v>136</v>
      </c>
      <c r="F996" s="15"/>
      <c r="G996" s="15"/>
      <c r="H996" s="35"/>
      <c r="I996" s="35">
        <f t="shared" si="42"/>
        <v>0</v>
      </c>
      <c r="J996" s="35"/>
      <c r="K996" s="35">
        <v>0</v>
      </c>
      <c r="L996" s="36">
        <f t="shared" si="43"/>
        <v>0</v>
      </c>
    </row>
    <row r="997" spans="1:12" x14ac:dyDescent="0.25">
      <c r="A997" s="21" t="s">
        <v>767</v>
      </c>
      <c r="B997" s="30" t="s">
        <v>767</v>
      </c>
      <c r="C997" s="21" t="s">
        <v>771</v>
      </c>
      <c r="D997" s="21" t="s">
        <v>59</v>
      </c>
      <c r="E997" s="21" t="s">
        <v>203</v>
      </c>
      <c r="F997" s="31">
        <v>1</v>
      </c>
      <c r="G997" s="31">
        <v>1</v>
      </c>
      <c r="H997" s="32"/>
      <c r="I997" s="32">
        <f t="shared" si="42"/>
        <v>0</v>
      </c>
      <c r="J997" s="32"/>
      <c r="K997" s="32">
        <v>0</v>
      </c>
      <c r="L997" s="33">
        <f t="shared" si="43"/>
        <v>1</v>
      </c>
    </row>
    <row r="998" spans="1:12" x14ac:dyDescent="0.25">
      <c r="A998" s="15" t="s">
        <v>767</v>
      </c>
      <c r="B998" s="14" t="s">
        <v>767</v>
      </c>
      <c r="C998" s="15" t="s">
        <v>772</v>
      </c>
      <c r="D998" s="15" t="s">
        <v>61</v>
      </c>
      <c r="E998" s="15" t="s">
        <v>142</v>
      </c>
      <c r="F998" s="15"/>
      <c r="G998" s="15"/>
      <c r="H998" s="35"/>
      <c r="I998" s="35">
        <f t="shared" si="42"/>
        <v>0</v>
      </c>
      <c r="J998" s="35"/>
      <c r="K998" s="35">
        <v>0</v>
      </c>
      <c r="L998" s="36">
        <f t="shared" si="43"/>
        <v>0</v>
      </c>
    </row>
    <row r="999" spans="1:12" x14ac:dyDescent="0.25">
      <c r="A999" s="21" t="s">
        <v>767</v>
      </c>
      <c r="B999" s="30" t="s">
        <v>767</v>
      </c>
      <c r="C999" s="21" t="s">
        <v>773</v>
      </c>
      <c r="D999" s="21" t="s">
        <v>69</v>
      </c>
      <c r="E999" s="21" t="s">
        <v>90</v>
      </c>
      <c r="F999" s="21"/>
      <c r="G999" s="21"/>
      <c r="H999" s="32"/>
      <c r="I999" s="32">
        <f t="shared" si="42"/>
        <v>0</v>
      </c>
      <c r="J999" s="32"/>
      <c r="K999" s="32">
        <v>0</v>
      </c>
      <c r="L999" s="33">
        <f t="shared" si="43"/>
        <v>0</v>
      </c>
    </row>
    <row r="1000" spans="1:12" x14ac:dyDescent="0.25">
      <c r="A1000" s="15" t="s">
        <v>767</v>
      </c>
      <c r="B1000" s="14" t="s">
        <v>767</v>
      </c>
      <c r="C1000" s="15" t="s">
        <v>777</v>
      </c>
      <c r="D1000" s="15" t="s">
        <v>47</v>
      </c>
      <c r="E1000" s="15" t="s">
        <v>79</v>
      </c>
      <c r="F1000" s="15"/>
      <c r="G1000" s="15"/>
      <c r="H1000" s="35"/>
      <c r="I1000" s="35">
        <f t="shared" si="42"/>
        <v>0</v>
      </c>
      <c r="J1000" s="35"/>
      <c r="K1000" s="35">
        <v>0</v>
      </c>
      <c r="L1000" s="36">
        <f t="shared" si="43"/>
        <v>0</v>
      </c>
    </row>
    <row r="1001" spans="1:12" x14ac:dyDescent="0.25">
      <c r="A1001" s="21" t="s">
        <v>767</v>
      </c>
      <c r="B1001" s="30" t="s">
        <v>767</v>
      </c>
      <c r="C1001" s="21" t="s">
        <v>778</v>
      </c>
      <c r="D1001" s="21" t="s">
        <v>53</v>
      </c>
      <c r="E1001" s="21" t="s">
        <v>129</v>
      </c>
      <c r="F1001" s="21"/>
      <c r="G1001" s="21"/>
      <c r="H1001" s="32"/>
      <c r="I1001" s="32">
        <f t="shared" si="42"/>
        <v>0</v>
      </c>
      <c r="J1001" s="32"/>
      <c r="K1001" s="32">
        <v>0</v>
      </c>
      <c r="L1001" s="33">
        <f t="shared" si="43"/>
        <v>0</v>
      </c>
    </row>
    <row r="1002" spans="1:12" x14ac:dyDescent="0.25">
      <c r="A1002" s="15" t="s">
        <v>767</v>
      </c>
      <c r="B1002" s="14" t="s">
        <v>767</v>
      </c>
      <c r="C1002" s="15" t="s">
        <v>779</v>
      </c>
      <c r="D1002" s="15" t="s">
        <v>56</v>
      </c>
      <c r="E1002" s="15" t="s">
        <v>162</v>
      </c>
      <c r="F1002" s="15"/>
      <c r="G1002" s="15"/>
      <c r="H1002" s="35"/>
      <c r="I1002" s="35">
        <f t="shared" si="42"/>
        <v>0</v>
      </c>
      <c r="J1002" s="35"/>
      <c r="K1002" s="35">
        <v>0</v>
      </c>
      <c r="L1002" s="36">
        <f t="shared" si="43"/>
        <v>0</v>
      </c>
    </row>
    <row r="1003" spans="1:12" x14ac:dyDescent="0.25">
      <c r="A1003" s="21" t="s">
        <v>767</v>
      </c>
      <c r="B1003" s="30" t="s">
        <v>767</v>
      </c>
      <c r="C1003" s="21" t="s">
        <v>780</v>
      </c>
      <c r="D1003" s="21" t="s">
        <v>59</v>
      </c>
      <c r="E1003" s="21" t="s">
        <v>203</v>
      </c>
      <c r="F1003" s="31">
        <v>5</v>
      </c>
      <c r="G1003" s="31">
        <v>10</v>
      </c>
      <c r="H1003" s="32"/>
      <c r="I1003" s="32">
        <f t="shared" si="42"/>
        <v>0</v>
      </c>
      <c r="J1003" s="32"/>
      <c r="K1003" s="32">
        <v>0</v>
      </c>
      <c r="L1003" s="33">
        <f t="shared" si="43"/>
        <v>10</v>
      </c>
    </row>
    <row r="1004" spans="1:12" x14ac:dyDescent="0.25">
      <c r="A1004" s="15" t="s">
        <v>767</v>
      </c>
      <c r="B1004" s="14" t="s">
        <v>767</v>
      </c>
      <c r="C1004" s="15" t="s">
        <v>781</v>
      </c>
      <c r="D1004" s="15" t="s">
        <v>61</v>
      </c>
      <c r="E1004" s="15" t="s">
        <v>142</v>
      </c>
      <c r="F1004" s="15"/>
      <c r="G1004" s="15"/>
      <c r="H1004" s="35"/>
      <c r="I1004" s="35">
        <f t="shared" si="42"/>
        <v>0</v>
      </c>
      <c r="J1004" s="35"/>
      <c r="K1004" s="35">
        <v>0</v>
      </c>
      <c r="L1004" s="36">
        <f t="shared" si="43"/>
        <v>0</v>
      </c>
    </row>
    <row r="1005" spans="1:12" x14ac:dyDescent="0.25">
      <c r="A1005" s="21" t="s">
        <v>767</v>
      </c>
      <c r="B1005" s="30" t="s">
        <v>767</v>
      </c>
      <c r="C1005" s="21" t="s">
        <v>196</v>
      </c>
      <c r="D1005" s="21" t="s">
        <v>65</v>
      </c>
      <c r="E1005" s="21" t="s">
        <v>82</v>
      </c>
      <c r="F1005" s="21"/>
      <c r="G1005" s="21"/>
      <c r="H1005" s="32"/>
      <c r="I1005" s="32">
        <f t="shared" si="42"/>
        <v>0</v>
      </c>
      <c r="J1005" s="32"/>
      <c r="K1005" s="32">
        <v>0</v>
      </c>
      <c r="L1005" s="33">
        <f t="shared" si="43"/>
        <v>0</v>
      </c>
    </row>
    <row r="1006" spans="1:12" x14ac:dyDescent="0.25">
      <c r="A1006" s="15" t="s">
        <v>767</v>
      </c>
      <c r="B1006" s="14" t="s">
        <v>767</v>
      </c>
      <c r="C1006" s="15" t="s">
        <v>773</v>
      </c>
      <c r="D1006" s="15" t="s">
        <v>69</v>
      </c>
      <c r="E1006" s="15" t="s">
        <v>90</v>
      </c>
      <c r="F1006" s="15"/>
      <c r="G1006" s="15"/>
      <c r="H1006" s="35"/>
      <c r="I1006" s="35">
        <f t="shared" si="42"/>
        <v>0</v>
      </c>
      <c r="J1006" s="35"/>
      <c r="K1006" s="35">
        <v>0</v>
      </c>
      <c r="L1006" s="36">
        <f t="shared" si="43"/>
        <v>0</v>
      </c>
    </row>
    <row r="1007" spans="1:12" x14ac:dyDescent="0.25">
      <c r="A1007" s="21" t="s">
        <v>783</v>
      </c>
      <c r="B1007" s="30" t="s">
        <v>783</v>
      </c>
      <c r="C1007" s="21" t="s">
        <v>784</v>
      </c>
      <c r="D1007" s="21" t="s">
        <v>67</v>
      </c>
      <c r="E1007" s="21" t="s">
        <v>93</v>
      </c>
      <c r="F1007" s="31">
        <v>2</v>
      </c>
      <c r="G1007" s="31">
        <v>3</v>
      </c>
      <c r="H1007" s="32"/>
      <c r="I1007" s="32">
        <f t="shared" si="42"/>
        <v>0</v>
      </c>
      <c r="J1007" s="32"/>
      <c r="K1007" s="32">
        <v>0</v>
      </c>
      <c r="L1007" s="33">
        <f t="shared" si="43"/>
        <v>3</v>
      </c>
    </row>
    <row r="1008" spans="1:12" x14ac:dyDescent="0.25">
      <c r="A1008" s="15" t="s">
        <v>783</v>
      </c>
      <c r="B1008" s="14" t="s">
        <v>783</v>
      </c>
      <c r="C1008" s="15" t="s">
        <v>785</v>
      </c>
      <c r="D1008" s="15" t="s">
        <v>67</v>
      </c>
      <c r="E1008" s="15" t="s">
        <v>93</v>
      </c>
      <c r="F1008" s="34">
        <v>1</v>
      </c>
      <c r="G1008" s="34">
        <v>2</v>
      </c>
      <c r="H1008" s="35"/>
      <c r="I1008" s="35">
        <f t="shared" si="42"/>
        <v>0</v>
      </c>
      <c r="J1008" s="35"/>
      <c r="K1008" s="35">
        <v>0</v>
      </c>
      <c r="L1008" s="36">
        <f t="shared" si="43"/>
        <v>2</v>
      </c>
    </row>
    <row r="1009" spans="1:12" x14ac:dyDescent="0.25">
      <c r="A1009" s="21" t="s">
        <v>783</v>
      </c>
      <c r="B1009" s="30" t="s">
        <v>783</v>
      </c>
      <c r="C1009" s="21" t="s">
        <v>786</v>
      </c>
      <c r="D1009" s="21" t="s">
        <v>67</v>
      </c>
      <c r="E1009" s="21" t="s">
        <v>93</v>
      </c>
      <c r="F1009" s="31">
        <v>1</v>
      </c>
      <c r="G1009" s="31">
        <v>2</v>
      </c>
      <c r="H1009" s="32"/>
      <c r="I1009" s="32">
        <f t="shared" ref="I1009:I1040" si="44">IF(H1009="",0,G1009)</f>
        <v>0</v>
      </c>
      <c r="J1009" s="32"/>
      <c r="K1009" s="32">
        <v>0</v>
      </c>
      <c r="L1009" s="33">
        <f t="shared" ref="L1009:L1040" si="45">G1009-I1009-K1009</f>
        <v>2</v>
      </c>
    </row>
    <row r="1010" spans="1:12" x14ac:dyDescent="0.25">
      <c r="A1010" s="15" t="s">
        <v>783</v>
      </c>
      <c r="B1010" s="14" t="s">
        <v>783</v>
      </c>
      <c r="C1010" s="15" t="s">
        <v>787</v>
      </c>
      <c r="D1010" s="15" t="s">
        <v>67</v>
      </c>
      <c r="E1010" s="15" t="s">
        <v>93</v>
      </c>
      <c r="F1010" s="34">
        <v>1</v>
      </c>
      <c r="G1010" s="34">
        <v>2</v>
      </c>
      <c r="H1010" s="35"/>
      <c r="I1010" s="35">
        <f t="shared" si="44"/>
        <v>0</v>
      </c>
      <c r="J1010" s="35"/>
      <c r="K1010" s="35">
        <v>0</v>
      </c>
      <c r="L1010" s="36">
        <f t="shared" si="45"/>
        <v>2</v>
      </c>
    </row>
    <row r="1011" spans="1:12" x14ac:dyDescent="0.25">
      <c r="A1011" s="21" t="s">
        <v>783</v>
      </c>
      <c r="B1011" s="30" t="s">
        <v>783</v>
      </c>
      <c r="C1011" s="21" t="s">
        <v>788</v>
      </c>
      <c r="D1011" s="21" t="s">
        <v>67</v>
      </c>
      <c r="E1011" s="21" t="s">
        <v>93</v>
      </c>
      <c r="F1011" s="31">
        <v>1</v>
      </c>
      <c r="G1011" s="31">
        <v>2</v>
      </c>
      <c r="H1011" s="32"/>
      <c r="I1011" s="32">
        <f t="shared" si="44"/>
        <v>0</v>
      </c>
      <c r="J1011" s="32"/>
      <c r="K1011" s="32">
        <v>0</v>
      </c>
      <c r="L1011" s="33">
        <f t="shared" si="45"/>
        <v>2</v>
      </c>
    </row>
    <row r="1012" spans="1:12" x14ac:dyDescent="0.25">
      <c r="A1012" s="15" t="s">
        <v>783</v>
      </c>
      <c r="B1012" s="14" t="s">
        <v>783</v>
      </c>
      <c r="C1012" s="15" t="s">
        <v>789</v>
      </c>
      <c r="D1012" s="15" t="s">
        <v>67</v>
      </c>
      <c r="E1012" s="15" t="s">
        <v>93</v>
      </c>
      <c r="F1012" s="34">
        <v>2</v>
      </c>
      <c r="G1012" s="34">
        <v>3</v>
      </c>
      <c r="H1012" s="35"/>
      <c r="I1012" s="35">
        <f t="shared" si="44"/>
        <v>0</v>
      </c>
      <c r="J1012" s="35"/>
      <c r="K1012" s="35">
        <v>0</v>
      </c>
      <c r="L1012" s="36">
        <f t="shared" si="45"/>
        <v>3</v>
      </c>
    </row>
    <row r="1013" spans="1:12" x14ac:dyDescent="0.25">
      <c r="A1013" s="21" t="s">
        <v>783</v>
      </c>
      <c r="B1013" s="30" t="s">
        <v>783</v>
      </c>
      <c r="C1013" s="21" t="s">
        <v>790</v>
      </c>
      <c r="D1013" s="21" t="s">
        <v>67</v>
      </c>
      <c r="E1013" s="21" t="s">
        <v>93</v>
      </c>
      <c r="F1013" s="31">
        <v>2</v>
      </c>
      <c r="G1013" s="31">
        <v>3</v>
      </c>
      <c r="H1013" s="32"/>
      <c r="I1013" s="32">
        <f t="shared" si="44"/>
        <v>0</v>
      </c>
      <c r="J1013" s="32"/>
      <c r="K1013" s="32">
        <v>0</v>
      </c>
      <c r="L1013" s="33">
        <f t="shared" si="45"/>
        <v>3</v>
      </c>
    </row>
    <row r="1014" spans="1:12" x14ac:dyDescent="0.25">
      <c r="A1014" s="15" t="s">
        <v>783</v>
      </c>
      <c r="B1014" s="14" t="s">
        <v>783</v>
      </c>
      <c r="C1014" s="15" t="s">
        <v>791</v>
      </c>
      <c r="D1014" s="15" t="s">
        <v>67</v>
      </c>
      <c r="E1014" s="15" t="s">
        <v>93</v>
      </c>
      <c r="F1014" s="34">
        <v>1</v>
      </c>
      <c r="G1014" s="34">
        <v>2</v>
      </c>
      <c r="H1014" s="35"/>
      <c r="I1014" s="35">
        <f t="shared" si="44"/>
        <v>0</v>
      </c>
      <c r="J1014" s="35"/>
      <c r="K1014" s="35">
        <v>0</v>
      </c>
      <c r="L1014" s="36">
        <f t="shared" si="45"/>
        <v>2</v>
      </c>
    </row>
    <row r="1015" spans="1:12" x14ac:dyDescent="0.25">
      <c r="A1015" s="21" t="s">
        <v>783</v>
      </c>
      <c r="B1015" s="30" t="s">
        <v>783</v>
      </c>
      <c r="C1015" s="21" t="s">
        <v>792</v>
      </c>
      <c r="D1015" s="21" t="s">
        <v>67</v>
      </c>
      <c r="E1015" s="21" t="s">
        <v>93</v>
      </c>
      <c r="F1015" s="31">
        <v>1</v>
      </c>
      <c r="G1015" s="31">
        <v>2</v>
      </c>
      <c r="H1015" s="32"/>
      <c r="I1015" s="32">
        <f t="shared" si="44"/>
        <v>0</v>
      </c>
      <c r="J1015" s="32"/>
      <c r="K1015" s="32">
        <v>0</v>
      </c>
      <c r="L1015" s="33">
        <f t="shared" si="45"/>
        <v>2</v>
      </c>
    </row>
    <row r="1016" spans="1:12" x14ac:dyDescent="0.25">
      <c r="A1016" s="15" t="s">
        <v>783</v>
      </c>
      <c r="B1016" s="14" t="s">
        <v>783</v>
      </c>
      <c r="C1016" s="15" t="s">
        <v>793</v>
      </c>
      <c r="D1016" s="15" t="s">
        <v>65</v>
      </c>
      <c r="E1016" s="15" t="s">
        <v>82</v>
      </c>
      <c r="F1016" s="34">
        <v>2</v>
      </c>
      <c r="G1016" s="34">
        <v>3</v>
      </c>
      <c r="H1016" s="35"/>
      <c r="I1016" s="35">
        <f t="shared" si="44"/>
        <v>0</v>
      </c>
      <c r="J1016" s="35"/>
      <c r="K1016" s="35">
        <v>0</v>
      </c>
      <c r="L1016" s="36">
        <f t="shared" si="45"/>
        <v>3</v>
      </c>
    </row>
    <row r="1017" spans="1:12" x14ac:dyDescent="0.25">
      <c r="A1017" s="21" t="s">
        <v>783</v>
      </c>
      <c r="B1017" s="30" t="s">
        <v>783</v>
      </c>
      <c r="C1017" s="21" t="s">
        <v>794</v>
      </c>
      <c r="D1017" s="21" t="s">
        <v>65</v>
      </c>
      <c r="E1017" s="21" t="s">
        <v>82</v>
      </c>
      <c r="F1017" s="31">
        <v>1</v>
      </c>
      <c r="G1017" s="31">
        <v>3</v>
      </c>
      <c r="H1017" s="32"/>
      <c r="I1017" s="32">
        <f t="shared" si="44"/>
        <v>0</v>
      </c>
      <c r="J1017" s="32"/>
      <c r="K1017" s="32">
        <v>0</v>
      </c>
      <c r="L1017" s="33">
        <f t="shared" si="45"/>
        <v>3</v>
      </c>
    </row>
    <row r="1018" spans="1:12" x14ac:dyDescent="0.25">
      <c r="A1018" s="15" t="s">
        <v>783</v>
      </c>
      <c r="B1018" s="14" t="s">
        <v>783</v>
      </c>
      <c r="C1018" s="15" t="s">
        <v>795</v>
      </c>
      <c r="D1018" s="15" t="s">
        <v>65</v>
      </c>
      <c r="E1018" s="15" t="s">
        <v>82</v>
      </c>
      <c r="F1018" s="34">
        <v>2</v>
      </c>
      <c r="G1018" s="34">
        <v>3</v>
      </c>
      <c r="H1018" s="35"/>
      <c r="I1018" s="35">
        <f t="shared" si="44"/>
        <v>0</v>
      </c>
      <c r="J1018" s="35"/>
      <c r="K1018" s="35">
        <v>0</v>
      </c>
      <c r="L1018" s="36">
        <f t="shared" si="45"/>
        <v>3</v>
      </c>
    </row>
    <row r="1019" spans="1:12" x14ac:dyDescent="0.25">
      <c r="A1019" s="21" t="s">
        <v>796</v>
      </c>
      <c r="B1019" s="30" t="s">
        <v>796</v>
      </c>
      <c r="C1019" s="21" t="s">
        <v>797</v>
      </c>
      <c r="D1019" s="21" t="s">
        <v>47</v>
      </c>
      <c r="E1019" s="21" t="s">
        <v>79</v>
      </c>
      <c r="F1019" s="21"/>
      <c r="G1019" s="31">
        <v>3</v>
      </c>
      <c r="H1019" s="32"/>
      <c r="I1019" s="32">
        <f t="shared" si="44"/>
        <v>0</v>
      </c>
      <c r="J1019" s="32"/>
      <c r="K1019" s="32">
        <v>0</v>
      </c>
      <c r="L1019" s="33">
        <f t="shared" si="45"/>
        <v>3</v>
      </c>
    </row>
    <row r="1020" spans="1:12" x14ac:dyDescent="0.25">
      <c r="A1020" s="15" t="s">
        <v>796</v>
      </c>
      <c r="B1020" s="14" t="s">
        <v>796</v>
      </c>
      <c r="C1020" s="15" t="s">
        <v>798</v>
      </c>
      <c r="D1020" s="15" t="s">
        <v>65</v>
      </c>
      <c r="E1020" s="15" t="s">
        <v>82</v>
      </c>
      <c r="F1020" s="15"/>
      <c r="G1020" s="15"/>
      <c r="H1020" s="35"/>
      <c r="I1020" s="35">
        <f t="shared" si="44"/>
        <v>0</v>
      </c>
      <c r="J1020" s="35"/>
      <c r="K1020" s="35">
        <v>0</v>
      </c>
      <c r="L1020" s="36">
        <f t="shared" si="45"/>
        <v>0</v>
      </c>
    </row>
    <row r="1021" spans="1:12" x14ac:dyDescent="0.25">
      <c r="A1021" s="21" t="s">
        <v>796</v>
      </c>
      <c r="B1021" s="30" t="s">
        <v>796</v>
      </c>
      <c r="C1021" s="21" t="s">
        <v>799</v>
      </c>
      <c r="D1021" s="21" t="s">
        <v>69</v>
      </c>
      <c r="E1021" s="21" t="s">
        <v>90</v>
      </c>
      <c r="F1021" s="21"/>
      <c r="G1021" s="21"/>
      <c r="H1021" s="32"/>
      <c r="I1021" s="32">
        <f t="shared" si="44"/>
        <v>0</v>
      </c>
      <c r="J1021" s="32"/>
      <c r="K1021" s="32">
        <v>0</v>
      </c>
      <c r="L1021" s="33">
        <f t="shared" si="45"/>
        <v>0</v>
      </c>
    </row>
    <row r="1022" spans="1:12" x14ac:dyDescent="0.25">
      <c r="A1022" s="15" t="s">
        <v>796</v>
      </c>
      <c r="B1022" s="14" t="s">
        <v>796</v>
      </c>
      <c r="C1022" s="15" t="s">
        <v>798</v>
      </c>
      <c r="D1022" s="15" t="s">
        <v>65</v>
      </c>
      <c r="E1022" s="15" t="s">
        <v>82</v>
      </c>
      <c r="F1022" s="15"/>
      <c r="G1022" s="15"/>
      <c r="H1022" s="35"/>
      <c r="I1022" s="35">
        <f t="shared" si="44"/>
        <v>0</v>
      </c>
      <c r="J1022" s="35"/>
      <c r="K1022" s="35">
        <v>0</v>
      </c>
      <c r="L1022" s="36">
        <f t="shared" si="45"/>
        <v>0</v>
      </c>
    </row>
    <row r="1023" spans="1:12" x14ac:dyDescent="0.25">
      <c r="A1023" s="21" t="s">
        <v>796</v>
      </c>
      <c r="B1023" s="30" t="s">
        <v>796</v>
      </c>
      <c r="C1023" s="21" t="s">
        <v>800</v>
      </c>
      <c r="D1023" s="21" t="s">
        <v>67</v>
      </c>
      <c r="E1023" s="21" t="s">
        <v>93</v>
      </c>
      <c r="F1023" s="31">
        <v>2</v>
      </c>
      <c r="G1023" s="31">
        <v>3</v>
      </c>
      <c r="H1023" s="32"/>
      <c r="I1023" s="32">
        <f t="shared" si="44"/>
        <v>0</v>
      </c>
      <c r="J1023" s="32"/>
      <c r="K1023" s="32">
        <v>0</v>
      </c>
      <c r="L1023" s="33">
        <f t="shared" si="45"/>
        <v>3</v>
      </c>
    </row>
    <row r="1024" spans="1:12" x14ac:dyDescent="0.25">
      <c r="A1024" s="15" t="s">
        <v>796</v>
      </c>
      <c r="B1024" s="14" t="s">
        <v>796</v>
      </c>
      <c r="C1024" s="15" t="s">
        <v>801</v>
      </c>
      <c r="D1024" s="15" t="s">
        <v>67</v>
      </c>
      <c r="E1024" s="15" t="s">
        <v>93</v>
      </c>
      <c r="F1024" s="34">
        <v>2</v>
      </c>
      <c r="G1024" s="34">
        <v>3</v>
      </c>
      <c r="H1024" s="35"/>
      <c r="I1024" s="35">
        <f t="shared" si="44"/>
        <v>0</v>
      </c>
      <c r="J1024" s="35"/>
      <c r="K1024" s="35">
        <v>0</v>
      </c>
      <c r="L1024" s="36">
        <f t="shared" si="45"/>
        <v>3</v>
      </c>
    </row>
    <row r="1025" spans="1:12" x14ac:dyDescent="0.25">
      <c r="A1025" s="21" t="s">
        <v>796</v>
      </c>
      <c r="B1025" s="30" t="s">
        <v>796</v>
      </c>
      <c r="C1025" s="21" t="s">
        <v>802</v>
      </c>
      <c r="D1025" s="21" t="s">
        <v>67</v>
      </c>
      <c r="E1025" s="21" t="s">
        <v>93</v>
      </c>
      <c r="F1025" s="31">
        <v>2</v>
      </c>
      <c r="G1025" s="31">
        <v>3</v>
      </c>
      <c r="H1025" s="32"/>
      <c r="I1025" s="32">
        <f t="shared" si="44"/>
        <v>0</v>
      </c>
      <c r="J1025" s="32"/>
      <c r="K1025" s="32">
        <v>0</v>
      </c>
      <c r="L1025" s="33">
        <f t="shared" si="45"/>
        <v>3</v>
      </c>
    </row>
    <row r="1026" spans="1:12" x14ac:dyDescent="0.25">
      <c r="A1026" s="15" t="s">
        <v>796</v>
      </c>
      <c r="B1026" s="14" t="s">
        <v>796</v>
      </c>
      <c r="C1026" s="15" t="s">
        <v>803</v>
      </c>
      <c r="D1026" s="15" t="s">
        <v>67</v>
      </c>
      <c r="E1026" s="15" t="s">
        <v>93</v>
      </c>
      <c r="F1026" s="34">
        <v>3</v>
      </c>
      <c r="G1026" s="34">
        <v>4</v>
      </c>
      <c r="H1026" s="35"/>
      <c r="I1026" s="35">
        <f t="shared" si="44"/>
        <v>0</v>
      </c>
      <c r="J1026" s="35"/>
      <c r="K1026" s="35">
        <v>0</v>
      </c>
      <c r="L1026" s="36">
        <f t="shared" si="45"/>
        <v>4</v>
      </c>
    </row>
    <row r="1027" spans="1:12" x14ac:dyDescent="0.25">
      <c r="A1027" s="21" t="s">
        <v>796</v>
      </c>
      <c r="B1027" s="30" t="s">
        <v>796</v>
      </c>
      <c r="C1027" s="21" t="s">
        <v>804</v>
      </c>
      <c r="D1027" s="21" t="s">
        <v>65</v>
      </c>
      <c r="E1027" s="21" t="s">
        <v>82</v>
      </c>
      <c r="F1027" s="31">
        <v>1</v>
      </c>
      <c r="G1027" s="31">
        <v>2</v>
      </c>
      <c r="H1027" s="32"/>
      <c r="I1027" s="32">
        <f t="shared" si="44"/>
        <v>0</v>
      </c>
      <c r="J1027" s="32"/>
      <c r="K1027" s="32">
        <v>0</v>
      </c>
      <c r="L1027" s="33">
        <f t="shared" si="45"/>
        <v>2</v>
      </c>
    </row>
    <row r="1028" spans="1:12" x14ac:dyDescent="0.25">
      <c r="A1028" s="15" t="s">
        <v>796</v>
      </c>
      <c r="B1028" s="14" t="s">
        <v>796</v>
      </c>
      <c r="C1028" s="15" t="s">
        <v>805</v>
      </c>
      <c r="D1028" s="15" t="s">
        <v>65</v>
      </c>
      <c r="E1028" s="15" t="s">
        <v>82</v>
      </c>
      <c r="F1028" s="34">
        <v>2</v>
      </c>
      <c r="G1028" s="34">
        <v>3</v>
      </c>
      <c r="H1028" s="35"/>
      <c r="I1028" s="35">
        <f t="shared" si="44"/>
        <v>0</v>
      </c>
      <c r="J1028" s="35"/>
      <c r="K1028" s="35">
        <v>0</v>
      </c>
      <c r="L1028" s="36">
        <f t="shared" si="45"/>
        <v>3</v>
      </c>
    </row>
    <row r="1029" spans="1:12" x14ac:dyDescent="0.25">
      <c r="A1029" s="21" t="s">
        <v>796</v>
      </c>
      <c r="B1029" s="30" t="s">
        <v>796</v>
      </c>
      <c r="C1029" s="21" t="s">
        <v>806</v>
      </c>
      <c r="D1029" s="21" t="s">
        <v>65</v>
      </c>
      <c r="E1029" s="21" t="s">
        <v>82</v>
      </c>
      <c r="F1029" s="31">
        <v>1</v>
      </c>
      <c r="G1029" s="31">
        <v>2</v>
      </c>
      <c r="H1029" s="32"/>
      <c r="I1029" s="32">
        <f t="shared" si="44"/>
        <v>0</v>
      </c>
      <c r="J1029" s="32"/>
      <c r="K1029" s="32">
        <v>0</v>
      </c>
      <c r="L1029" s="33">
        <f t="shared" si="45"/>
        <v>2</v>
      </c>
    </row>
    <row r="1030" spans="1:12" x14ac:dyDescent="0.25">
      <c r="A1030" s="15" t="s">
        <v>796</v>
      </c>
      <c r="B1030" s="14" t="s">
        <v>796</v>
      </c>
      <c r="C1030" s="15" t="s">
        <v>807</v>
      </c>
      <c r="D1030" s="15" t="s">
        <v>65</v>
      </c>
      <c r="E1030" s="15" t="s">
        <v>82</v>
      </c>
      <c r="F1030" s="34">
        <v>2</v>
      </c>
      <c r="G1030" s="34">
        <v>3</v>
      </c>
      <c r="H1030" s="35"/>
      <c r="I1030" s="35">
        <f t="shared" si="44"/>
        <v>0</v>
      </c>
      <c r="J1030" s="35"/>
      <c r="K1030" s="35">
        <v>0</v>
      </c>
      <c r="L1030" s="36">
        <f t="shared" si="45"/>
        <v>3</v>
      </c>
    </row>
    <row r="1031" spans="1:12" x14ac:dyDescent="0.25">
      <c r="A1031" s="21" t="s">
        <v>796</v>
      </c>
      <c r="B1031" s="30" t="s">
        <v>796</v>
      </c>
      <c r="C1031" s="21" t="s">
        <v>808</v>
      </c>
      <c r="D1031" s="21" t="s">
        <v>65</v>
      </c>
      <c r="E1031" s="21" t="s">
        <v>82</v>
      </c>
      <c r="F1031" s="31">
        <v>2</v>
      </c>
      <c r="G1031" s="31">
        <v>3</v>
      </c>
      <c r="H1031" s="32"/>
      <c r="I1031" s="32">
        <f t="shared" si="44"/>
        <v>0</v>
      </c>
      <c r="J1031" s="32"/>
      <c r="K1031" s="32">
        <v>0</v>
      </c>
      <c r="L1031" s="33">
        <f t="shared" si="45"/>
        <v>3</v>
      </c>
    </row>
    <row r="1032" spans="1:12" x14ac:dyDescent="0.25">
      <c r="A1032" s="15" t="s">
        <v>796</v>
      </c>
      <c r="B1032" s="14" t="s">
        <v>796</v>
      </c>
      <c r="C1032" s="15" t="s">
        <v>809</v>
      </c>
      <c r="D1032" s="15" t="s">
        <v>65</v>
      </c>
      <c r="E1032" s="15" t="s">
        <v>82</v>
      </c>
      <c r="F1032" s="34">
        <v>2</v>
      </c>
      <c r="G1032" s="34">
        <v>3</v>
      </c>
      <c r="H1032" s="35"/>
      <c r="I1032" s="35">
        <f t="shared" si="44"/>
        <v>0</v>
      </c>
      <c r="J1032" s="35"/>
      <c r="K1032" s="35">
        <v>0</v>
      </c>
      <c r="L1032" s="36">
        <f t="shared" si="45"/>
        <v>3</v>
      </c>
    </row>
    <row r="1033" spans="1:12" x14ac:dyDescent="0.25">
      <c r="A1033" s="21" t="s">
        <v>796</v>
      </c>
      <c r="B1033" s="30" t="s">
        <v>796</v>
      </c>
      <c r="C1033" s="21" t="s">
        <v>810</v>
      </c>
      <c r="D1033" s="21" t="s">
        <v>65</v>
      </c>
      <c r="E1033" s="21" t="s">
        <v>82</v>
      </c>
      <c r="F1033" s="31">
        <v>2</v>
      </c>
      <c r="G1033" s="31">
        <v>3</v>
      </c>
      <c r="H1033" s="32"/>
      <c r="I1033" s="32">
        <f t="shared" si="44"/>
        <v>0</v>
      </c>
      <c r="J1033" s="32"/>
      <c r="K1033" s="32">
        <v>0</v>
      </c>
      <c r="L1033" s="33">
        <f t="shared" si="45"/>
        <v>3</v>
      </c>
    </row>
    <row r="1034" spans="1:12" x14ac:dyDescent="0.25">
      <c r="A1034" s="15" t="s">
        <v>796</v>
      </c>
      <c r="B1034" s="14" t="s">
        <v>796</v>
      </c>
      <c r="C1034" s="15" t="s">
        <v>811</v>
      </c>
      <c r="D1034" s="15" t="s">
        <v>65</v>
      </c>
      <c r="E1034" s="15" t="s">
        <v>82</v>
      </c>
      <c r="F1034" s="34">
        <v>1</v>
      </c>
      <c r="G1034" s="34">
        <v>2</v>
      </c>
      <c r="H1034" s="35"/>
      <c r="I1034" s="35">
        <f t="shared" si="44"/>
        <v>0</v>
      </c>
      <c r="J1034" s="35"/>
      <c r="K1034" s="35">
        <v>0</v>
      </c>
      <c r="L1034" s="36">
        <f t="shared" si="45"/>
        <v>2</v>
      </c>
    </row>
    <row r="1035" spans="1:12" x14ac:dyDescent="0.25">
      <c r="A1035" s="21" t="s">
        <v>796</v>
      </c>
      <c r="B1035" s="30" t="s">
        <v>796</v>
      </c>
      <c r="C1035" s="21" t="s">
        <v>812</v>
      </c>
      <c r="D1035" s="21" t="s">
        <v>65</v>
      </c>
      <c r="E1035" s="21" t="s">
        <v>82</v>
      </c>
      <c r="F1035" s="31">
        <v>1</v>
      </c>
      <c r="G1035" s="31">
        <v>2</v>
      </c>
      <c r="H1035" s="32"/>
      <c r="I1035" s="32">
        <f t="shared" si="44"/>
        <v>0</v>
      </c>
      <c r="J1035" s="32"/>
      <c r="K1035" s="32">
        <v>0</v>
      </c>
      <c r="L1035" s="33">
        <f t="shared" si="45"/>
        <v>2</v>
      </c>
    </row>
    <row r="1036" spans="1:12" x14ac:dyDescent="0.25">
      <c r="A1036" s="15" t="s">
        <v>796</v>
      </c>
      <c r="B1036" s="14" t="s">
        <v>796</v>
      </c>
      <c r="C1036" s="15" t="s">
        <v>813</v>
      </c>
      <c r="D1036" s="15" t="s">
        <v>65</v>
      </c>
      <c r="E1036" s="15" t="s">
        <v>82</v>
      </c>
      <c r="F1036" s="34">
        <v>3</v>
      </c>
      <c r="G1036" s="34">
        <v>5</v>
      </c>
      <c r="H1036" s="35"/>
      <c r="I1036" s="35">
        <f t="shared" si="44"/>
        <v>0</v>
      </c>
      <c r="J1036" s="35"/>
      <c r="K1036" s="35">
        <v>0</v>
      </c>
      <c r="L1036" s="36">
        <f t="shared" si="45"/>
        <v>5</v>
      </c>
    </row>
    <row r="1037" spans="1:12" x14ac:dyDescent="0.25">
      <c r="A1037" s="21" t="s">
        <v>796</v>
      </c>
      <c r="B1037" s="30" t="s">
        <v>796</v>
      </c>
      <c r="C1037" s="21" t="s">
        <v>799</v>
      </c>
      <c r="D1037" s="21" t="s">
        <v>69</v>
      </c>
      <c r="E1037" s="21" t="s">
        <v>90</v>
      </c>
      <c r="F1037" s="21"/>
      <c r="G1037" s="21"/>
      <c r="H1037" s="32"/>
      <c r="I1037" s="32">
        <f t="shared" si="44"/>
        <v>0</v>
      </c>
      <c r="J1037" s="32"/>
      <c r="K1037" s="32">
        <v>0</v>
      </c>
      <c r="L1037" s="33">
        <f t="shared" si="45"/>
        <v>0</v>
      </c>
    </row>
    <row r="1038" spans="1:12" x14ac:dyDescent="0.25">
      <c r="A1038" s="21" t="s">
        <v>814</v>
      </c>
      <c r="B1038" s="30" t="s">
        <v>814</v>
      </c>
      <c r="C1038" s="21" t="s">
        <v>815</v>
      </c>
      <c r="D1038" s="21" t="s">
        <v>47</v>
      </c>
      <c r="E1038" s="21" t="s">
        <v>79</v>
      </c>
      <c r="F1038" s="21"/>
      <c r="G1038" s="31">
        <v>4</v>
      </c>
      <c r="H1038" s="32"/>
      <c r="I1038" s="32">
        <f t="shared" si="44"/>
        <v>0</v>
      </c>
      <c r="J1038" s="32"/>
      <c r="K1038" s="32">
        <v>0</v>
      </c>
      <c r="L1038" s="33">
        <f t="shared" si="45"/>
        <v>4</v>
      </c>
    </row>
    <row r="1039" spans="1:12" x14ac:dyDescent="0.25">
      <c r="A1039" s="15" t="s">
        <v>814</v>
      </c>
      <c r="B1039" s="14" t="s">
        <v>814</v>
      </c>
      <c r="C1039" s="15" t="s">
        <v>816</v>
      </c>
      <c r="D1039" s="15" t="s">
        <v>53</v>
      </c>
      <c r="E1039" s="15" t="s">
        <v>129</v>
      </c>
      <c r="F1039" s="15"/>
      <c r="G1039" s="15"/>
      <c r="H1039" s="35"/>
      <c r="I1039" s="35">
        <f t="shared" si="44"/>
        <v>0</v>
      </c>
      <c r="J1039" s="35"/>
      <c r="K1039" s="35">
        <v>0</v>
      </c>
      <c r="L1039" s="36">
        <f t="shared" si="45"/>
        <v>0</v>
      </c>
    </row>
    <row r="1040" spans="1:12" x14ac:dyDescent="0.25">
      <c r="A1040" s="21" t="s">
        <v>814</v>
      </c>
      <c r="B1040" s="30" t="s">
        <v>814</v>
      </c>
      <c r="C1040" s="21" t="s">
        <v>817</v>
      </c>
      <c r="D1040" s="21" t="s">
        <v>56</v>
      </c>
      <c r="E1040" s="21" t="s">
        <v>162</v>
      </c>
      <c r="F1040" s="21"/>
      <c r="G1040" s="21"/>
      <c r="H1040" s="32"/>
      <c r="I1040" s="32">
        <f t="shared" si="44"/>
        <v>0</v>
      </c>
      <c r="J1040" s="32"/>
      <c r="K1040" s="32">
        <v>0</v>
      </c>
      <c r="L1040" s="33">
        <f t="shared" si="45"/>
        <v>0</v>
      </c>
    </row>
    <row r="1041" spans="1:12" x14ac:dyDescent="0.25">
      <c r="A1041" s="15" t="s">
        <v>814</v>
      </c>
      <c r="B1041" s="14" t="s">
        <v>814</v>
      </c>
      <c r="C1041" s="15" t="s">
        <v>818</v>
      </c>
      <c r="D1041" s="15" t="s">
        <v>59</v>
      </c>
      <c r="E1041" s="15" t="s">
        <v>203</v>
      </c>
      <c r="F1041" s="15"/>
      <c r="G1041" s="15"/>
      <c r="H1041" s="35"/>
      <c r="I1041" s="35">
        <f t="shared" ref="I1041:I1072" si="46">IF(H1041="",0,G1041)</f>
        <v>0</v>
      </c>
      <c r="J1041" s="35"/>
      <c r="K1041" s="35">
        <v>0</v>
      </c>
      <c r="L1041" s="36">
        <f t="shared" ref="L1041:L1072" si="47">G1041-I1041-K1041</f>
        <v>0</v>
      </c>
    </row>
    <row r="1042" spans="1:12" x14ac:dyDescent="0.25">
      <c r="A1042" s="21" t="s">
        <v>814</v>
      </c>
      <c r="B1042" s="30" t="s">
        <v>814</v>
      </c>
      <c r="C1042" s="21" t="s">
        <v>819</v>
      </c>
      <c r="D1042" s="21" t="s">
        <v>61</v>
      </c>
      <c r="E1042" s="21" t="s">
        <v>142</v>
      </c>
      <c r="F1042" s="21"/>
      <c r="G1042" s="21"/>
      <c r="H1042" s="32"/>
      <c r="I1042" s="32">
        <f t="shared" si="46"/>
        <v>0</v>
      </c>
      <c r="J1042" s="32"/>
      <c r="K1042" s="32">
        <v>0</v>
      </c>
      <c r="L1042" s="33">
        <f t="shared" si="47"/>
        <v>0</v>
      </c>
    </row>
    <row r="1043" spans="1:12" x14ac:dyDescent="0.25">
      <c r="A1043" s="15" t="s">
        <v>814</v>
      </c>
      <c r="B1043" s="14" t="s">
        <v>814</v>
      </c>
      <c r="C1043" s="15" t="s">
        <v>820</v>
      </c>
      <c r="D1043" s="15" t="s">
        <v>65</v>
      </c>
      <c r="E1043" s="15" t="s">
        <v>82</v>
      </c>
      <c r="F1043" s="15"/>
      <c r="G1043" s="15"/>
      <c r="H1043" s="35"/>
      <c r="I1043" s="35">
        <f t="shared" si="46"/>
        <v>0</v>
      </c>
      <c r="J1043" s="35"/>
      <c r="K1043" s="35">
        <v>0</v>
      </c>
      <c r="L1043" s="36">
        <f t="shared" si="47"/>
        <v>0</v>
      </c>
    </row>
    <row r="1044" spans="1:12" x14ac:dyDescent="0.25">
      <c r="A1044" s="21" t="s">
        <v>814</v>
      </c>
      <c r="B1044" s="30" t="s">
        <v>814</v>
      </c>
      <c r="C1044" s="21" t="s">
        <v>821</v>
      </c>
      <c r="D1044" s="21" t="s">
        <v>65</v>
      </c>
      <c r="E1044" s="21" t="s">
        <v>82</v>
      </c>
      <c r="F1044" s="21"/>
      <c r="G1044" s="21"/>
      <c r="H1044" s="32"/>
      <c r="I1044" s="32">
        <f t="shared" si="46"/>
        <v>0</v>
      </c>
      <c r="J1044" s="32"/>
      <c r="K1044" s="32">
        <v>0</v>
      </c>
      <c r="L1044" s="33">
        <f t="shared" si="47"/>
        <v>0</v>
      </c>
    </row>
    <row r="1045" spans="1:12" x14ac:dyDescent="0.25">
      <c r="A1045" s="15" t="s">
        <v>814</v>
      </c>
      <c r="B1045" s="14" t="s">
        <v>814</v>
      </c>
      <c r="C1045" s="15" t="s">
        <v>822</v>
      </c>
      <c r="D1045" s="15" t="s">
        <v>69</v>
      </c>
      <c r="E1045" s="15" t="s">
        <v>90</v>
      </c>
      <c r="F1045" s="15"/>
      <c r="G1045" s="15"/>
      <c r="H1045" s="35"/>
      <c r="I1045" s="35">
        <f t="shared" si="46"/>
        <v>0</v>
      </c>
      <c r="J1045" s="35"/>
      <c r="K1045" s="35">
        <v>0</v>
      </c>
      <c r="L1045" s="36">
        <f t="shared" si="47"/>
        <v>0</v>
      </c>
    </row>
    <row r="1046" spans="1:12" x14ac:dyDescent="0.25">
      <c r="A1046" s="21" t="s">
        <v>814</v>
      </c>
      <c r="B1046" s="30" t="s">
        <v>814</v>
      </c>
      <c r="C1046" s="21" t="s">
        <v>823</v>
      </c>
      <c r="D1046" s="21" t="s">
        <v>65</v>
      </c>
      <c r="E1046" s="21" t="s">
        <v>82</v>
      </c>
      <c r="F1046" s="31">
        <v>1</v>
      </c>
      <c r="G1046" s="31">
        <v>2</v>
      </c>
      <c r="H1046" s="32"/>
      <c r="I1046" s="32">
        <f t="shared" si="46"/>
        <v>0</v>
      </c>
      <c r="J1046" s="32"/>
      <c r="K1046" s="32">
        <v>0</v>
      </c>
      <c r="L1046" s="33">
        <f t="shared" si="47"/>
        <v>2</v>
      </c>
    </row>
    <row r="1047" spans="1:12" x14ac:dyDescent="0.25">
      <c r="A1047" s="15" t="s">
        <v>814</v>
      </c>
      <c r="B1047" s="14" t="s">
        <v>814</v>
      </c>
      <c r="C1047" s="15" t="s">
        <v>824</v>
      </c>
      <c r="D1047" s="15" t="s">
        <v>65</v>
      </c>
      <c r="E1047" s="15" t="s">
        <v>82</v>
      </c>
      <c r="F1047" s="34">
        <v>1</v>
      </c>
      <c r="G1047" s="34">
        <v>2</v>
      </c>
      <c r="H1047" s="35"/>
      <c r="I1047" s="35">
        <f t="shared" si="46"/>
        <v>0</v>
      </c>
      <c r="J1047" s="35"/>
      <c r="K1047" s="35">
        <v>0</v>
      </c>
      <c r="L1047" s="36">
        <f t="shared" si="47"/>
        <v>2</v>
      </c>
    </row>
    <row r="1048" spans="1:12" x14ac:dyDescent="0.25">
      <c r="A1048" s="21" t="s">
        <v>814</v>
      </c>
      <c r="B1048" s="30" t="s">
        <v>814</v>
      </c>
      <c r="C1048" s="21" t="s">
        <v>816</v>
      </c>
      <c r="D1048" s="21" t="s">
        <v>53</v>
      </c>
      <c r="E1048" s="21" t="s">
        <v>129</v>
      </c>
      <c r="F1048" s="21"/>
      <c r="G1048" s="21"/>
      <c r="H1048" s="32"/>
      <c r="I1048" s="32">
        <f t="shared" si="46"/>
        <v>0</v>
      </c>
      <c r="J1048" s="32"/>
      <c r="K1048" s="32">
        <v>0</v>
      </c>
      <c r="L1048" s="33">
        <f t="shared" si="47"/>
        <v>0</v>
      </c>
    </row>
    <row r="1049" spans="1:12" x14ac:dyDescent="0.25">
      <c r="A1049" s="15" t="s">
        <v>814</v>
      </c>
      <c r="B1049" s="14" t="s">
        <v>814</v>
      </c>
      <c r="C1049" s="15" t="s">
        <v>817</v>
      </c>
      <c r="D1049" s="15" t="s">
        <v>56</v>
      </c>
      <c r="E1049" s="15" t="s">
        <v>162</v>
      </c>
      <c r="F1049" s="15"/>
      <c r="G1049" s="15"/>
      <c r="H1049" s="35"/>
      <c r="I1049" s="35">
        <f t="shared" si="46"/>
        <v>0</v>
      </c>
      <c r="J1049" s="35"/>
      <c r="K1049" s="35">
        <v>0</v>
      </c>
      <c r="L1049" s="36">
        <f t="shared" si="47"/>
        <v>0</v>
      </c>
    </row>
    <row r="1050" spans="1:12" x14ac:dyDescent="0.25">
      <c r="A1050" s="21" t="s">
        <v>814</v>
      </c>
      <c r="B1050" s="30" t="s">
        <v>814</v>
      </c>
      <c r="C1050" s="21" t="s">
        <v>818</v>
      </c>
      <c r="D1050" s="21" t="s">
        <v>59</v>
      </c>
      <c r="E1050" s="21" t="s">
        <v>203</v>
      </c>
      <c r="F1050" s="21"/>
      <c r="G1050" s="21"/>
      <c r="H1050" s="32"/>
      <c r="I1050" s="32">
        <f t="shared" si="46"/>
        <v>0</v>
      </c>
      <c r="J1050" s="32"/>
      <c r="K1050" s="32">
        <v>0</v>
      </c>
      <c r="L1050" s="33">
        <f t="shared" si="47"/>
        <v>0</v>
      </c>
    </row>
    <row r="1051" spans="1:12" x14ac:dyDescent="0.25">
      <c r="A1051" s="15" t="s">
        <v>814</v>
      </c>
      <c r="B1051" s="14" t="s">
        <v>814</v>
      </c>
      <c r="C1051" s="15" t="s">
        <v>819</v>
      </c>
      <c r="D1051" s="15" t="s">
        <v>61</v>
      </c>
      <c r="E1051" s="15" t="s">
        <v>142</v>
      </c>
      <c r="F1051" s="15"/>
      <c r="G1051" s="15"/>
      <c r="H1051" s="35"/>
      <c r="I1051" s="35">
        <f t="shared" si="46"/>
        <v>0</v>
      </c>
      <c r="J1051" s="35"/>
      <c r="K1051" s="35">
        <v>0</v>
      </c>
      <c r="L1051" s="36">
        <f t="shared" si="47"/>
        <v>0</v>
      </c>
    </row>
    <row r="1052" spans="1:12" x14ac:dyDescent="0.25">
      <c r="A1052" s="21" t="s">
        <v>814</v>
      </c>
      <c r="B1052" s="30" t="s">
        <v>814</v>
      </c>
      <c r="C1052" s="21" t="s">
        <v>825</v>
      </c>
      <c r="D1052" s="21" t="s">
        <v>59</v>
      </c>
      <c r="E1052" s="21" t="s">
        <v>203</v>
      </c>
      <c r="F1052" s="31">
        <v>2</v>
      </c>
      <c r="G1052" s="31">
        <v>2</v>
      </c>
      <c r="H1052" s="32"/>
      <c r="I1052" s="32">
        <f t="shared" si="46"/>
        <v>0</v>
      </c>
      <c r="J1052" s="32"/>
      <c r="K1052" s="32">
        <v>0</v>
      </c>
      <c r="L1052" s="33">
        <f t="shared" si="47"/>
        <v>2</v>
      </c>
    </row>
    <row r="1053" spans="1:12" x14ac:dyDescent="0.25">
      <c r="A1053" s="15" t="s">
        <v>814</v>
      </c>
      <c r="B1053" s="14" t="s">
        <v>814</v>
      </c>
      <c r="C1053" s="15" t="s">
        <v>826</v>
      </c>
      <c r="D1053" s="15" t="s">
        <v>59</v>
      </c>
      <c r="E1053" s="15" t="s">
        <v>203</v>
      </c>
      <c r="F1053" s="34">
        <v>2</v>
      </c>
      <c r="G1053" s="34">
        <v>2</v>
      </c>
      <c r="H1053" s="35"/>
      <c r="I1053" s="35">
        <f t="shared" si="46"/>
        <v>0</v>
      </c>
      <c r="J1053" s="35"/>
      <c r="K1053" s="35">
        <v>0</v>
      </c>
      <c r="L1053" s="36">
        <f t="shared" si="47"/>
        <v>2</v>
      </c>
    </row>
    <row r="1054" spans="1:12" x14ac:dyDescent="0.25">
      <c r="A1054" s="21" t="s">
        <v>814</v>
      </c>
      <c r="B1054" s="30" t="s">
        <v>814</v>
      </c>
      <c r="C1054" s="21" t="s">
        <v>822</v>
      </c>
      <c r="D1054" s="21" t="s">
        <v>69</v>
      </c>
      <c r="E1054" s="21" t="s">
        <v>90</v>
      </c>
      <c r="F1054" s="21"/>
      <c r="G1054" s="21"/>
      <c r="H1054" s="32"/>
      <c r="I1054" s="32">
        <f t="shared" si="46"/>
        <v>0</v>
      </c>
      <c r="J1054" s="32"/>
      <c r="K1054" s="32">
        <v>0</v>
      </c>
      <c r="L1054" s="33">
        <f t="shared" si="47"/>
        <v>0</v>
      </c>
    </row>
    <row r="1055" spans="1:12" x14ac:dyDescent="0.25">
      <c r="A1055" s="15" t="s">
        <v>814</v>
      </c>
      <c r="B1055" s="14" t="s">
        <v>814</v>
      </c>
      <c r="C1055" s="15" t="s">
        <v>827</v>
      </c>
      <c r="D1055" s="15" t="s">
        <v>56</v>
      </c>
      <c r="E1055" s="15" t="s">
        <v>162</v>
      </c>
      <c r="F1055" s="15"/>
      <c r="G1055" s="15"/>
      <c r="H1055" s="35"/>
      <c r="I1055" s="35">
        <f t="shared" si="46"/>
        <v>0</v>
      </c>
      <c r="J1055" s="35"/>
      <c r="K1055" s="35">
        <v>0</v>
      </c>
      <c r="L1055" s="36">
        <f t="shared" si="47"/>
        <v>0</v>
      </c>
    </row>
    <row r="1056" spans="1:12" x14ac:dyDescent="0.25">
      <c r="A1056" s="21" t="s">
        <v>830</v>
      </c>
      <c r="B1056" s="30" t="s">
        <v>830</v>
      </c>
      <c r="C1056" s="21" t="s">
        <v>831</v>
      </c>
      <c r="D1056" s="21" t="s">
        <v>69</v>
      </c>
      <c r="E1056" s="21" t="s">
        <v>90</v>
      </c>
      <c r="F1056" s="21"/>
      <c r="G1056" s="21"/>
      <c r="H1056" s="32"/>
      <c r="I1056" s="32">
        <f t="shared" si="46"/>
        <v>0</v>
      </c>
      <c r="J1056" s="32"/>
      <c r="K1056" s="32">
        <v>0</v>
      </c>
      <c r="L1056" s="33">
        <f t="shared" si="47"/>
        <v>0</v>
      </c>
    </row>
    <row r="1057" spans="1:12" x14ac:dyDescent="0.25">
      <c r="A1057" s="15" t="s">
        <v>830</v>
      </c>
      <c r="B1057" s="14" t="s">
        <v>830</v>
      </c>
      <c r="C1057" s="15" t="s">
        <v>832</v>
      </c>
      <c r="D1057" s="15" t="s">
        <v>59</v>
      </c>
      <c r="E1057" s="15" t="s">
        <v>203</v>
      </c>
      <c r="F1057" s="34">
        <v>1</v>
      </c>
      <c r="G1057" s="34">
        <v>1</v>
      </c>
      <c r="H1057" s="35"/>
      <c r="I1057" s="35">
        <f t="shared" si="46"/>
        <v>0</v>
      </c>
      <c r="J1057" s="35"/>
      <c r="K1057" s="35">
        <v>0</v>
      </c>
      <c r="L1057" s="36">
        <f t="shared" si="47"/>
        <v>1</v>
      </c>
    </row>
    <row r="1058" spans="1:12" x14ac:dyDescent="0.25">
      <c r="A1058" s="21" t="s">
        <v>830</v>
      </c>
      <c r="B1058" s="30" t="s">
        <v>830</v>
      </c>
      <c r="C1058" s="21" t="s">
        <v>831</v>
      </c>
      <c r="D1058" s="21" t="s">
        <v>69</v>
      </c>
      <c r="E1058" s="21" t="s">
        <v>90</v>
      </c>
      <c r="F1058" s="21"/>
      <c r="G1058" s="21"/>
      <c r="H1058" s="32"/>
      <c r="I1058" s="32">
        <f t="shared" si="46"/>
        <v>0</v>
      </c>
      <c r="J1058" s="32"/>
      <c r="K1058" s="32">
        <v>0</v>
      </c>
      <c r="L1058" s="33">
        <f t="shared" si="47"/>
        <v>0</v>
      </c>
    </row>
    <row r="1059" spans="1:12" x14ac:dyDescent="0.25">
      <c r="A1059" s="15" t="s">
        <v>830</v>
      </c>
      <c r="B1059" s="14" t="s">
        <v>830</v>
      </c>
      <c r="C1059" s="15" t="s">
        <v>833</v>
      </c>
      <c r="D1059" s="15" t="s">
        <v>53</v>
      </c>
      <c r="E1059" s="15" t="s">
        <v>129</v>
      </c>
      <c r="F1059" s="15"/>
      <c r="G1059" s="15"/>
      <c r="H1059" s="35"/>
      <c r="I1059" s="35">
        <f t="shared" si="46"/>
        <v>0</v>
      </c>
      <c r="J1059" s="35"/>
      <c r="K1059" s="35">
        <v>0</v>
      </c>
      <c r="L1059" s="36">
        <f t="shared" si="47"/>
        <v>0</v>
      </c>
    </row>
    <row r="1060" spans="1:12" x14ac:dyDescent="0.25">
      <c r="A1060" s="58" t="s">
        <v>835</v>
      </c>
      <c r="B1060" s="58"/>
      <c r="C1060" s="58"/>
      <c r="D1060" s="58"/>
      <c r="E1060" s="58"/>
      <c r="F1060" s="58"/>
      <c r="G1060" s="58"/>
      <c r="H1060" s="58"/>
      <c r="I1060" s="58"/>
      <c r="J1060" s="58"/>
      <c r="K1060" s="58"/>
      <c r="L1060" s="58"/>
    </row>
    <row r="1061" spans="1:12" x14ac:dyDescent="0.25">
      <c r="A1061" s="21" t="s">
        <v>836</v>
      </c>
      <c r="B1061" s="30" t="s">
        <v>836</v>
      </c>
      <c r="C1061" s="21" t="s">
        <v>837</v>
      </c>
      <c r="D1061" s="21" t="s">
        <v>47</v>
      </c>
      <c r="E1061" s="21" t="s">
        <v>79</v>
      </c>
      <c r="F1061" s="31">
        <v>5</v>
      </c>
      <c r="G1061" s="31">
        <v>1</v>
      </c>
      <c r="H1061" s="32"/>
      <c r="I1061" s="32">
        <f t="shared" ref="I1061:I1092" si="48">IF(H1061="",0,G1061)</f>
        <v>0</v>
      </c>
      <c r="J1061" s="32"/>
      <c r="K1061" s="32">
        <v>0</v>
      </c>
      <c r="L1061" s="33">
        <f t="shared" ref="L1061:L1092" si="49">G1061-I1061-K1061</f>
        <v>1</v>
      </c>
    </row>
    <row r="1062" spans="1:12" x14ac:dyDescent="0.25">
      <c r="A1062" s="15" t="s">
        <v>836</v>
      </c>
      <c r="B1062" s="14" t="s">
        <v>836</v>
      </c>
      <c r="C1062" s="15" t="s">
        <v>838</v>
      </c>
      <c r="D1062" s="15" t="s">
        <v>47</v>
      </c>
      <c r="E1062" s="15" t="s">
        <v>79</v>
      </c>
      <c r="F1062" s="34">
        <v>2</v>
      </c>
      <c r="G1062" s="34">
        <v>3</v>
      </c>
      <c r="H1062" s="35"/>
      <c r="I1062" s="35">
        <f t="shared" si="48"/>
        <v>0</v>
      </c>
      <c r="J1062" s="35"/>
      <c r="K1062" s="35">
        <v>0</v>
      </c>
      <c r="L1062" s="36">
        <f t="shared" si="49"/>
        <v>3</v>
      </c>
    </row>
    <row r="1063" spans="1:12" x14ac:dyDescent="0.25">
      <c r="A1063" s="21" t="s">
        <v>836</v>
      </c>
      <c r="B1063" s="30" t="s">
        <v>836</v>
      </c>
      <c r="C1063" s="21" t="s">
        <v>839</v>
      </c>
      <c r="D1063" s="21" t="s">
        <v>53</v>
      </c>
      <c r="E1063" s="21" t="s">
        <v>129</v>
      </c>
      <c r="F1063" s="21"/>
      <c r="G1063" s="21"/>
      <c r="H1063" s="32"/>
      <c r="I1063" s="32">
        <f t="shared" si="48"/>
        <v>0</v>
      </c>
      <c r="J1063" s="32"/>
      <c r="K1063" s="32">
        <v>0</v>
      </c>
      <c r="L1063" s="33">
        <f t="shared" si="49"/>
        <v>0</v>
      </c>
    </row>
    <row r="1064" spans="1:12" x14ac:dyDescent="0.25">
      <c r="A1064" s="15" t="s">
        <v>836</v>
      </c>
      <c r="B1064" s="14" t="s">
        <v>836</v>
      </c>
      <c r="C1064" s="15" t="s">
        <v>840</v>
      </c>
      <c r="D1064" s="15" t="s">
        <v>57</v>
      </c>
      <c r="E1064" s="15" t="s">
        <v>136</v>
      </c>
      <c r="F1064" s="15"/>
      <c r="G1064" s="15"/>
      <c r="H1064" s="35"/>
      <c r="I1064" s="35">
        <f t="shared" si="48"/>
        <v>0</v>
      </c>
      <c r="J1064" s="35"/>
      <c r="K1064" s="35">
        <v>0</v>
      </c>
      <c r="L1064" s="36">
        <f t="shared" si="49"/>
        <v>0</v>
      </c>
    </row>
    <row r="1065" spans="1:12" x14ac:dyDescent="0.25">
      <c r="A1065" s="21" t="s">
        <v>836</v>
      </c>
      <c r="B1065" s="30" t="s">
        <v>836</v>
      </c>
      <c r="C1065" s="21" t="s">
        <v>841</v>
      </c>
      <c r="D1065" s="21" t="s">
        <v>57</v>
      </c>
      <c r="E1065" s="21" t="s">
        <v>136</v>
      </c>
      <c r="F1065" s="21"/>
      <c r="G1065" s="21"/>
      <c r="H1065" s="32"/>
      <c r="I1065" s="32">
        <f t="shared" si="48"/>
        <v>0</v>
      </c>
      <c r="J1065" s="32"/>
      <c r="K1065" s="32">
        <v>0</v>
      </c>
      <c r="L1065" s="33">
        <f t="shared" si="49"/>
        <v>0</v>
      </c>
    </row>
    <row r="1066" spans="1:12" x14ac:dyDescent="0.25">
      <c r="A1066" s="15" t="s">
        <v>836</v>
      </c>
      <c r="B1066" s="14" t="s">
        <v>836</v>
      </c>
      <c r="C1066" s="15" t="s">
        <v>842</v>
      </c>
      <c r="D1066" s="15" t="s">
        <v>53</v>
      </c>
      <c r="E1066" s="15" t="s">
        <v>129</v>
      </c>
      <c r="F1066" s="15"/>
      <c r="G1066" s="15"/>
      <c r="H1066" s="35"/>
      <c r="I1066" s="35">
        <f t="shared" si="48"/>
        <v>0</v>
      </c>
      <c r="J1066" s="35"/>
      <c r="K1066" s="35">
        <v>0</v>
      </c>
      <c r="L1066" s="36">
        <f t="shared" si="49"/>
        <v>0</v>
      </c>
    </row>
    <row r="1067" spans="1:12" x14ac:dyDescent="0.25">
      <c r="A1067" s="21" t="s">
        <v>836</v>
      </c>
      <c r="B1067" s="30" t="s">
        <v>836</v>
      </c>
      <c r="C1067" s="21" t="s">
        <v>843</v>
      </c>
      <c r="D1067" s="21" t="s">
        <v>56</v>
      </c>
      <c r="E1067" s="21" t="s">
        <v>162</v>
      </c>
      <c r="F1067" s="21"/>
      <c r="G1067" s="21"/>
      <c r="H1067" s="32"/>
      <c r="I1067" s="32">
        <f t="shared" si="48"/>
        <v>0</v>
      </c>
      <c r="J1067" s="32"/>
      <c r="K1067" s="32">
        <v>0</v>
      </c>
      <c r="L1067" s="33">
        <f t="shared" si="49"/>
        <v>0</v>
      </c>
    </row>
    <row r="1068" spans="1:12" x14ac:dyDescent="0.25">
      <c r="A1068" s="15" t="s">
        <v>836</v>
      </c>
      <c r="B1068" s="14" t="s">
        <v>836</v>
      </c>
      <c r="C1068" s="15" t="s">
        <v>844</v>
      </c>
      <c r="D1068" s="15" t="s">
        <v>59</v>
      </c>
      <c r="E1068" s="15" t="s">
        <v>203</v>
      </c>
      <c r="F1068" s="15"/>
      <c r="G1068" s="15"/>
      <c r="H1068" s="35"/>
      <c r="I1068" s="35">
        <f t="shared" si="48"/>
        <v>0</v>
      </c>
      <c r="J1068" s="35"/>
      <c r="K1068" s="35">
        <v>0</v>
      </c>
      <c r="L1068" s="36">
        <f t="shared" si="49"/>
        <v>0</v>
      </c>
    </row>
    <row r="1069" spans="1:12" x14ac:dyDescent="0.25">
      <c r="A1069" s="21" t="s">
        <v>836</v>
      </c>
      <c r="B1069" s="30" t="s">
        <v>836</v>
      </c>
      <c r="C1069" s="21" t="s">
        <v>845</v>
      </c>
      <c r="D1069" s="21" t="s">
        <v>54</v>
      </c>
      <c r="E1069" s="21" t="s">
        <v>84</v>
      </c>
      <c r="F1069" s="31">
        <v>15</v>
      </c>
      <c r="G1069" s="31">
        <v>15</v>
      </c>
      <c r="H1069" s="32"/>
      <c r="I1069" s="32">
        <f t="shared" si="48"/>
        <v>0</v>
      </c>
      <c r="J1069" s="32"/>
      <c r="K1069" s="32">
        <v>0</v>
      </c>
      <c r="L1069" s="33">
        <f t="shared" si="49"/>
        <v>15</v>
      </c>
    </row>
    <row r="1070" spans="1:12" x14ac:dyDescent="0.25">
      <c r="A1070" s="15" t="s">
        <v>836</v>
      </c>
      <c r="B1070" s="14" t="s">
        <v>836</v>
      </c>
      <c r="C1070" s="15" t="s">
        <v>846</v>
      </c>
      <c r="D1070" s="15" t="s">
        <v>65</v>
      </c>
      <c r="E1070" s="15" t="s">
        <v>82</v>
      </c>
      <c r="F1070" s="15"/>
      <c r="G1070" s="15"/>
      <c r="H1070" s="35"/>
      <c r="I1070" s="35">
        <f t="shared" si="48"/>
        <v>0</v>
      </c>
      <c r="J1070" s="35"/>
      <c r="K1070" s="35">
        <v>0</v>
      </c>
      <c r="L1070" s="36">
        <f t="shared" si="49"/>
        <v>0</v>
      </c>
    </row>
    <row r="1071" spans="1:12" x14ac:dyDescent="0.25">
      <c r="A1071" s="21" t="s">
        <v>836</v>
      </c>
      <c r="B1071" s="30" t="s">
        <v>836</v>
      </c>
      <c r="C1071" s="21" t="s">
        <v>847</v>
      </c>
      <c r="D1071" s="21" t="s">
        <v>53</v>
      </c>
      <c r="E1071" s="21" t="s">
        <v>129</v>
      </c>
      <c r="F1071" s="21"/>
      <c r="G1071" s="21"/>
      <c r="H1071" s="32"/>
      <c r="I1071" s="32">
        <f t="shared" si="48"/>
        <v>0</v>
      </c>
      <c r="J1071" s="32"/>
      <c r="K1071" s="32">
        <v>0</v>
      </c>
      <c r="L1071" s="33">
        <f t="shared" si="49"/>
        <v>0</v>
      </c>
    </row>
    <row r="1072" spans="1:12" x14ac:dyDescent="0.25">
      <c r="A1072" s="15" t="s">
        <v>836</v>
      </c>
      <c r="B1072" s="14" t="s">
        <v>836</v>
      </c>
      <c r="C1072" s="15" t="s">
        <v>848</v>
      </c>
      <c r="D1072" s="15" t="s">
        <v>53</v>
      </c>
      <c r="E1072" s="15" t="s">
        <v>129</v>
      </c>
      <c r="F1072" s="15"/>
      <c r="G1072" s="15"/>
      <c r="H1072" s="35"/>
      <c r="I1072" s="35">
        <f t="shared" si="48"/>
        <v>0</v>
      </c>
      <c r="J1072" s="35"/>
      <c r="K1072" s="35">
        <v>0</v>
      </c>
      <c r="L1072" s="36">
        <f t="shared" si="49"/>
        <v>0</v>
      </c>
    </row>
    <row r="1073" spans="1:12" x14ac:dyDescent="0.25">
      <c r="A1073" s="21" t="s">
        <v>836</v>
      </c>
      <c r="B1073" s="30" t="s">
        <v>836</v>
      </c>
      <c r="C1073" s="21" t="s">
        <v>839</v>
      </c>
      <c r="D1073" s="21" t="s">
        <v>53</v>
      </c>
      <c r="E1073" s="21" t="s">
        <v>129</v>
      </c>
      <c r="F1073" s="21"/>
      <c r="G1073" s="21"/>
      <c r="H1073" s="32"/>
      <c r="I1073" s="32">
        <f t="shared" si="48"/>
        <v>0</v>
      </c>
      <c r="J1073" s="32"/>
      <c r="K1073" s="32">
        <v>0</v>
      </c>
      <c r="L1073" s="33">
        <f t="shared" si="49"/>
        <v>0</v>
      </c>
    </row>
    <row r="1074" spans="1:12" x14ac:dyDescent="0.25">
      <c r="A1074" s="15" t="s">
        <v>836</v>
      </c>
      <c r="B1074" s="14" t="s">
        <v>836</v>
      </c>
      <c r="C1074" s="15" t="s">
        <v>840</v>
      </c>
      <c r="D1074" s="15" t="s">
        <v>57</v>
      </c>
      <c r="E1074" s="15" t="s">
        <v>136</v>
      </c>
      <c r="F1074" s="15"/>
      <c r="G1074" s="15"/>
      <c r="H1074" s="35"/>
      <c r="I1074" s="35">
        <f t="shared" si="48"/>
        <v>0</v>
      </c>
      <c r="J1074" s="35"/>
      <c r="K1074" s="35">
        <v>0</v>
      </c>
      <c r="L1074" s="36">
        <f t="shared" si="49"/>
        <v>0</v>
      </c>
    </row>
    <row r="1075" spans="1:12" x14ac:dyDescent="0.25">
      <c r="A1075" s="21" t="s">
        <v>836</v>
      </c>
      <c r="B1075" s="30" t="s">
        <v>836</v>
      </c>
      <c r="C1075" s="21" t="s">
        <v>841</v>
      </c>
      <c r="D1075" s="21" t="s">
        <v>57</v>
      </c>
      <c r="E1075" s="21" t="s">
        <v>136</v>
      </c>
      <c r="F1075" s="21"/>
      <c r="G1075" s="21"/>
      <c r="H1075" s="32"/>
      <c r="I1075" s="32">
        <f t="shared" si="48"/>
        <v>0</v>
      </c>
      <c r="J1075" s="32"/>
      <c r="K1075" s="32">
        <v>0</v>
      </c>
      <c r="L1075" s="33">
        <f t="shared" si="49"/>
        <v>0</v>
      </c>
    </row>
    <row r="1076" spans="1:12" x14ac:dyDescent="0.25">
      <c r="A1076" s="15" t="s">
        <v>836</v>
      </c>
      <c r="B1076" s="14" t="s">
        <v>836</v>
      </c>
      <c r="C1076" s="15" t="s">
        <v>842</v>
      </c>
      <c r="D1076" s="15" t="s">
        <v>53</v>
      </c>
      <c r="E1076" s="15" t="s">
        <v>129</v>
      </c>
      <c r="F1076" s="15"/>
      <c r="G1076" s="15"/>
      <c r="H1076" s="35"/>
      <c r="I1076" s="35">
        <f t="shared" si="48"/>
        <v>0</v>
      </c>
      <c r="J1076" s="35"/>
      <c r="K1076" s="35">
        <v>0</v>
      </c>
      <c r="L1076" s="36">
        <f t="shared" si="49"/>
        <v>0</v>
      </c>
    </row>
    <row r="1077" spans="1:12" x14ac:dyDescent="0.25">
      <c r="A1077" s="21" t="s">
        <v>836</v>
      </c>
      <c r="B1077" s="30" t="s">
        <v>836</v>
      </c>
      <c r="C1077" s="21" t="s">
        <v>843</v>
      </c>
      <c r="D1077" s="21" t="s">
        <v>56</v>
      </c>
      <c r="E1077" s="21" t="s">
        <v>162</v>
      </c>
      <c r="F1077" s="21"/>
      <c r="G1077" s="21"/>
      <c r="H1077" s="32"/>
      <c r="I1077" s="32">
        <f t="shared" si="48"/>
        <v>0</v>
      </c>
      <c r="J1077" s="32"/>
      <c r="K1077" s="32">
        <v>0</v>
      </c>
      <c r="L1077" s="33">
        <f t="shared" si="49"/>
        <v>0</v>
      </c>
    </row>
    <row r="1078" spans="1:12" x14ac:dyDescent="0.25">
      <c r="A1078" s="15" t="s">
        <v>836</v>
      </c>
      <c r="B1078" s="14" t="s">
        <v>836</v>
      </c>
      <c r="C1078" s="15" t="s">
        <v>844</v>
      </c>
      <c r="D1078" s="15" t="s">
        <v>59</v>
      </c>
      <c r="E1078" s="15" t="s">
        <v>203</v>
      </c>
      <c r="F1078" s="34">
        <v>3</v>
      </c>
      <c r="G1078" s="34">
        <v>5</v>
      </c>
      <c r="H1078" s="35"/>
      <c r="I1078" s="35">
        <f t="shared" si="48"/>
        <v>0</v>
      </c>
      <c r="J1078" s="35"/>
      <c r="K1078" s="35">
        <v>0</v>
      </c>
      <c r="L1078" s="36">
        <f t="shared" si="49"/>
        <v>5</v>
      </c>
    </row>
    <row r="1079" spans="1:12" x14ac:dyDescent="0.25">
      <c r="A1079" s="21" t="s">
        <v>836</v>
      </c>
      <c r="B1079" s="30" t="s">
        <v>836</v>
      </c>
      <c r="C1079" s="21" t="s">
        <v>845</v>
      </c>
      <c r="D1079" s="21" t="s">
        <v>54</v>
      </c>
      <c r="E1079" s="21" t="s">
        <v>84</v>
      </c>
      <c r="F1079" s="21"/>
      <c r="G1079" s="21"/>
      <c r="H1079" s="32"/>
      <c r="I1079" s="32">
        <f t="shared" si="48"/>
        <v>0</v>
      </c>
      <c r="J1079" s="32"/>
      <c r="K1079" s="32">
        <v>0</v>
      </c>
      <c r="L1079" s="33">
        <f t="shared" si="49"/>
        <v>0</v>
      </c>
    </row>
    <row r="1080" spans="1:12" x14ac:dyDescent="0.25">
      <c r="A1080" s="15" t="s">
        <v>836</v>
      </c>
      <c r="B1080" s="14" t="s">
        <v>836</v>
      </c>
      <c r="C1080" s="15" t="s">
        <v>846</v>
      </c>
      <c r="D1080" s="15" t="s">
        <v>65</v>
      </c>
      <c r="E1080" s="15" t="s">
        <v>82</v>
      </c>
      <c r="F1080" s="34">
        <v>2</v>
      </c>
      <c r="G1080" s="34">
        <v>3</v>
      </c>
      <c r="H1080" s="35"/>
      <c r="I1080" s="35">
        <f t="shared" si="48"/>
        <v>0</v>
      </c>
      <c r="J1080" s="35"/>
      <c r="K1080" s="35">
        <v>0</v>
      </c>
      <c r="L1080" s="36">
        <f t="shared" si="49"/>
        <v>3</v>
      </c>
    </row>
    <row r="1081" spans="1:12" x14ac:dyDescent="0.25">
      <c r="A1081" s="21" t="s">
        <v>836</v>
      </c>
      <c r="B1081" s="30" t="s">
        <v>836</v>
      </c>
      <c r="C1081" s="21" t="s">
        <v>847</v>
      </c>
      <c r="D1081" s="21" t="s">
        <v>53</v>
      </c>
      <c r="E1081" s="21" t="s">
        <v>129</v>
      </c>
      <c r="F1081" s="21"/>
      <c r="G1081" s="21"/>
      <c r="H1081" s="32"/>
      <c r="I1081" s="32">
        <f t="shared" si="48"/>
        <v>0</v>
      </c>
      <c r="J1081" s="32"/>
      <c r="K1081" s="32">
        <v>0</v>
      </c>
      <c r="L1081" s="33">
        <f t="shared" si="49"/>
        <v>0</v>
      </c>
    </row>
    <row r="1082" spans="1:12" x14ac:dyDescent="0.25">
      <c r="A1082" s="15" t="s">
        <v>836</v>
      </c>
      <c r="B1082" s="14" t="s">
        <v>836</v>
      </c>
      <c r="C1082" s="15" t="s">
        <v>848</v>
      </c>
      <c r="D1082" s="15" t="s">
        <v>53</v>
      </c>
      <c r="E1082" s="15" t="s">
        <v>129</v>
      </c>
      <c r="F1082" s="15"/>
      <c r="G1082" s="15"/>
      <c r="H1082" s="35"/>
      <c r="I1082" s="35">
        <f t="shared" si="48"/>
        <v>0</v>
      </c>
      <c r="J1082" s="35"/>
      <c r="K1082" s="35">
        <v>0</v>
      </c>
      <c r="L1082" s="36">
        <f t="shared" si="49"/>
        <v>0</v>
      </c>
    </row>
    <row r="1083" spans="1:12" x14ac:dyDescent="0.25">
      <c r="A1083" s="21" t="s">
        <v>836</v>
      </c>
      <c r="B1083" s="30" t="s">
        <v>836</v>
      </c>
      <c r="C1083" s="21" t="s">
        <v>849</v>
      </c>
      <c r="D1083" s="21" t="s">
        <v>67</v>
      </c>
      <c r="E1083" s="21" t="s">
        <v>93</v>
      </c>
      <c r="F1083" s="31">
        <v>4</v>
      </c>
      <c r="G1083" s="31">
        <v>40</v>
      </c>
      <c r="H1083" s="32"/>
      <c r="I1083" s="32">
        <f t="shared" si="48"/>
        <v>0</v>
      </c>
      <c r="J1083" s="32"/>
      <c r="K1083" s="32">
        <v>0</v>
      </c>
      <c r="L1083" s="33">
        <f t="shared" si="49"/>
        <v>40</v>
      </c>
    </row>
    <row r="1084" spans="1:12" x14ac:dyDescent="0.25">
      <c r="A1084" s="15" t="s">
        <v>836</v>
      </c>
      <c r="B1084" s="14" t="s">
        <v>836</v>
      </c>
      <c r="C1084" s="15" t="s">
        <v>850</v>
      </c>
      <c r="D1084" s="15" t="s">
        <v>69</v>
      </c>
      <c r="E1084" s="15" t="s">
        <v>90</v>
      </c>
      <c r="F1084" s="15"/>
      <c r="G1084" s="15"/>
      <c r="H1084" s="35"/>
      <c r="I1084" s="35">
        <f t="shared" si="48"/>
        <v>0</v>
      </c>
      <c r="J1084" s="35"/>
      <c r="K1084" s="35">
        <v>0</v>
      </c>
      <c r="L1084" s="36">
        <f t="shared" si="49"/>
        <v>0</v>
      </c>
    </row>
    <row r="1085" spans="1:12" x14ac:dyDescent="0.25">
      <c r="A1085" s="21" t="s">
        <v>836</v>
      </c>
      <c r="B1085" s="30" t="s">
        <v>836</v>
      </c>
      <c r="C1085" s="21" t="s">
        <v>851</v>
      </c>
      <c r="D1085" s="21" t="s">
        <v>67</v>
      </c>
      <c r="E1085" s="21" t="s">
        <v>93</v>
      </c>
      <c r="F1085" s="31">
        <v>1</v>
      </c>
      <c r="G1085" s="31">
        <v>2</v>
      </c>
      <c r="H1085" s="32"/>
      <c r="I1085" s="32">
        <f t="shared" si="48"/>
        <v>0</v>
      </c>
      <c r="J1085" s="32"/>
      <c r="K1085" s="32">
        <v>0</v>
      </c>
      <c r="L1085" s="33">
        <f t="shared" si="49"/>
        <v>2</v>
      </c>
    </row>
    <row r="1086" spans="1:12" x14ac:dyDescent="0.25">
      <c r="A1086" s="15" t="s">
        <v>836</v>
      </c>
      <c r="B1086" s="14" t="s">
        <v>836</v>
      </c>
      <c r="C1086" s="15" t="s">
        <v>852</v>
      </c>
      <c r="D1086" s="15" t="s">
        <v>67</v>
      </c>
      <c r="E1086" s="15" t="s">
        <v>93</v>
      </c>
      <c r="F1086" s="34">
        <v>2</v>
      </c>
      <c r="G1086" s="34">
        <v>3</v>
      </c>
      <c r="H1086" s="35"/>
      <c r="I1086" s="35">
        <f t="shared" si="48"/>
        <v>0</v>
      </c>
      <c r="J1086" s="35"/>
      <c r="K1086" s="35">
        <v>0</v>
      </c>
      <c r="L1086" s="36">
        <f t="shared" si="49"/>
        <v>3</v>
      </c>
    </row>
    <row r="1087" spans="1:12" x14ac:dyDescent="0.25">
      <c r="A1087" s="21" t="s">
        <v>836</v>
      </c>
      <c r="B1087" s="30" t="s">
        <v>836</v>
      </c>
      <c r="C1087" s="21" t="s">
        <v>853</v>
      </c>
      <c r="D1087" s="21" t="s">
        <v>67</v>
      </c>
      <c r="E1087" s="21" t="s">
        <v>93</v>
      </c>
      <c r="F1087" s="31">
        <v>2</v>
      </c>
      <c r="G1087" s="31">
        <v>3</v>
      </c>
      <c r="H1087" s="32"/>
      <c r="I1087" s="32">
        <f t="shared" si="48"/>
        <v>0</v>
      </c>
      <c r="J1087" s="32"/>
      <c r="K1087" s="32">
        <v>0</v>
      </c>
      <c r="L1087" s="33">
        <f t="shared" si="49"/>
        <v>3</v>
      </c>
    </row>
    <row r="1088" spans="1:12" x14ac:dyDescent="0.25">
      <c r="A1088" s="15" t="s">
        <v>836</v>
      </c>
      <c r="B1088" s="14" t="s">
        <v>836</v>
      </c>
      <c r="C1088" s="15" t="s">
        <v>854</v>
      </c>
      <c r="D1088" s="15" t="s">
        <v>67</v>
      </c>
      <c r="E1088" s="15" t="s">
        <v>93</v>
      </c>
      <c r="F1088" s="34">
        <v>3</v>
      </c>
      <c r="G1088" s="34">
        <v>4</v>
      </c>
      <c r="H1088" s="35"/>
      <c r="I1088" s="35">
        <f t="shared" si="48"/>
        <v>0</v>
      </c>
      <c r="J1088" s="35"/>
      <c r="K1088" s="35">
        <v>0</v>
      </c>
      <c r="L1088" s="36">
        <f t="shared" si="49"/>
        <v>4</v>
      </c>
    </row>
    <row r="1089" spans="1:12" x14ac:dyDescent="0.25">
      <c r="A1089" s="21" t="s">
        <v>836</v>
      </c>
      <c r="B1089" s="30" t="s">
        <v>836</v>
      </c>
      <c r="C1089" s="21" t="s">
        <v>855</v>
      </c>
      <c r="D1089" s="21" t="s">
        <v>67</v>
      </c>
      <c r="E1089" s="21" t="s">
        <v>93</v>
      </c>
      <c r="F1089" s="31">
        <v>2</v>
      </c>
      <c r="G1089" s="31">
        <v>3</v>
      </c>
      <c r="H1089" s="32"/>
      <c r="I1089" s="32">
        <f t="shared" si="48"/>
        <v>0</v>
      </c>
      <c r="J1089" s="32"/>
      <c r="K1089" s="32">
        <v>0</v>
      </c>
      <c r="L1089" s="33">
        <f t="shared" si="49"/>
        <v>3</v>
      </c>
    </row>
    <row r="1090" spans="1:12" x14ac:dyDescent="0.25">
      <c r="A1090" s="15" t="s">
        <v>836</v>
      </c>
      <c r="B1090" s="14" t="s">
        <v>836</v>
      </c>
      <c r="C1090" s="15" t="s">
        <v>856</v>
      </c>
      <c r="D1090" s="15" t="s">
        <v>65</v>
      </c>
      <c r="E1090" s="15" t="s">
        <v>82</v>
      </c>
      <c r="F1090" s="34">
        <v>3</v>
      </c>
      <c r="G1090" s="34">
        <v>4</v>
      </c>
      <c r="H1090" s="35"/>
      <c r="I1090" s="35">
        <f t="shared" si="48"/>
        <v>0</v>
      </c>
      <c r="J1090" s="35"/>
      <c r="K1090" s="35">
        <v>0</v>
      </c>
      <c r="L1090" s="36">
        <f t="shared" si="49"/>
        <v>4</v>
      </c>
    </row>
    <row r="1091" spans="1:12" x14ac:dyDescent="0.25">
      <c r="A1091" s="21" t="s">
        <v>836</v>
      </c>
      <c r="B1091" s="30" t="s">
        <v>836</v>
      </c>
      <c r="C1091" s="21" t="s">
        <v>857</v>
      </c>
      <c r="D1091" s="21" t="s">
        <v>67</v>
      </c>
      <c r="E1091" s="21" t="s">
        <v>93</v>
      </c>
      <c r="F1091" s="31">
        <v>2</v>
      </c>
      <c r="G1091" s="31">
        <v>3</v>
      </c>
      <c r="H1091" s="32"/>
      <c r="I1091" s="32">
        <f t="shared" si="48"/>
        <v>0</v>
      </c>
      <c r="J1091" s="32"/>
      <c r="K1091" s="32">
        <v>0</v>
      </c>
      <c r="L1091" s="33">
        <f t="shared" si="49"/>
        <v>3</v>
      </c>
    </row>
    <row r="1092" spans="1:12" x14ac:dyDescent="0.25">
      <c r="A1092" s="15" t="s">
        <v>836</v>
      </c>
      <c r="B1092" s="14" t="s">
        <v>836</v>
      </c>
      <c r="C1092" s="15" t="s">
        <v>858</v>
      </c>
      <c r="D1092" s="15" t="s">
        <v>65</v>
      </c>
      <c r="E1092" s="15" t="s">
        <v>82</v>
      </c>
      <c r="F1092" s="34">
        <v>3</v>
      </c>
      <c r="G1092" s="34">
        <v>4</v>
      </c>
      <c r="H1092" s="35"/>
      <c r="I1092" s="35">
        <f t="shared" si="48"/>
        <v>0</v>
      </c>
      <c r="J1092" s="35"/>
      <c r="K1092" s="35">
        <v>0</v>
      </c>
      <c r="L1092" s="36">
        <f t="shared" si="49"/>
        <v>4</v>
      </c>
    </row>
    <row r="1093" spans="1:12" x14ac:dyDescent="0.25">
      <c r="A1093" s="21" t="s">
        <v>836</v>
      </c>
      <c r="B1093" s="30" t="s">
        <v>836</v>
      </c>
      <c r="C1093" s="21" t="s">
        <v>859</v>
      </c>
      <c r="D1093" s="21" t="s">
        <v>67</v>
      </c>
      <c r="E1093" s="21" t="s">
        <v>93</v>
      </c>
      <c r="F1093" s="31">
        <v>5</v>
      </c>
      <c r="G1093" s="31">
        <v>7</v>
      </c>
      <c r="H1093" s="32"/>
      <c r="I1093" s="32">
        <f t="shared" ref="I1093:I1124" si="50">IF(H1093="",0,G1093)</f>
        <v>0</v>
      </c>
      <c r="J1093" s="32"/>
      <c r="K1093" s="32">
        <v>0</v>
      </c>
      <c r="L1093" s="33">
        <f t="shared" ref="L1093:L1124" si="51">G1093-I1093-K1093</f>
        <v>7</v>
      </c>
    </row>
    <row r="1094" spans="1:12" x14ac:dyDescent="0.25">
      <c r="A1094" s="15" t="s">
        <v>836</v>
      </c>
      <c r="B1094" s="14" t="s">
        <v>836</v>
      </c>
      <c r="C1094" s="15" t="s">
        <v>860</v>
      </c>
      <c r="D1094" s="15" t="s">
        <v>65</v>
      </c>
      <c r="E1094" s="15" t="s">
        <v>82</v>
      </c>
      <c r="F1094" s="34">
        <v>2</v>
      </c>
      <c r="G1094" s="34">
        <v>3</v>
      </c>
      <c r="H1094" s="35"/>
      <c r="I1094" s="35">
        <f t="shared" si="50"/>
        <v>0</v>
      </c>
      <c r="J1094" s="35"/>
      <c r="K1094" s="35">
        <v>0</v>
      </c>
      <c r="L1094" s="36">
        <f t="shared" si="51"/>
        <v>3</v>
      </c>
    </row>
    <row r="1095" spans="1:12" x14ac:dyDescent="0.25">
      <c r="A1095" s="21" t="s">
        <v>836</v>
      </c>
      <c r="B1095" s="30" t="s">
        <v>836</v>
      </c>
      <c r="C1095" s="21" t="s">
        <v>861</v>
      </c>
      <c r="D1095" s="21" t="s">
        <v>67</v>
      </c>
      <c r="E1095" s="21" t="s">
        <v>93</v>
      </c>
      <c r="F1095" s="31">
        <v>2</v>
      </c>
      <c r="G1095" s="31">
        <v>3</v>
      </c>
      <c r="H1095" s="32"/>
      <c r="I1095" s="32">
        <f t="shared" si="50"/>
        <v>0</v>
      </c>
      <c r="J1095" s="32"/>
      <c r="K1095" s="32">
        <v>0</v>
      </c>
      <c r="L1095" s="33">
        <f t="shared" si="51"/>
        <v>3</v>
      </c>
    </row>
    <row r="1096" spans="1:12" x14ac:dyDescent="0.25">
      <c r="A1096" s="15" t="s">
        <v>836</v>
      </c>
      <c r="B1096" s="14" t="s">
        <v>836</v>
      </c>
      <c r="C1096" s="15" t="s">
        <v>862</v>
      </c>
      <c r="D1096" s="15" t="s">
        <v>67</v>
      </c>
      <c r="E1096" s="15" t="s">
        <v>93</v>
      </c>
      <c r="F1096" s="34">
        <v>2</v>
      </c>
      <c r="G1096" s="34">
        <v>3</v>
      </c>
      <c r="H1096" s="35"/>
      <c r="I1096" s="35">
        <f t="shared" si="50"/>
        <v>0</v>
      </c>
      <c r="J1096" s="35"/>
      <c r="K1096" s="35">
        <v>0</v>
      </c>
      <c r="L1096" s="36">
        <f t="shared" si="51"/>
        <v>3</v>
      </c>
    </row>
    <row r="1097" spans="1:12" x14ac:dyDescent="0.25">
      <c r="A1097" s="21" t="s">
        <v>836</v>
      </c>
      <c r="B1097" s="30" t="s">
        <v>836</v>
      </c>
      <c r="C1097" s="21" t="s">
        <v>863</v>
      </c>
      <c r="D1097" s="21" t="s">
        <v>65</v>
      </c>
      <c r="E1097" s="21" t="s">
        <v>82</v>
      </c>
      <c r="F1097" s="31">
        <v>2</v>
      </c>
      <c r="G1097" s="31">
        <v>3</v>
      </c>
      <c r="H1097" s="32"/>
      <c r="I1097" s="32">
        <f t="shared" si="50"/>
        <v>0</v>
      </c>
      <c r="J1097" s="32"/>
      <c r="K1097" s="32">
        <v>0</v>
      </c>
      <c r="L1097" s="33">
        <f t="shared" si="51"/>
        <v>3</v>
      </c>
    </row>
    <row r="1098" spans="1:12" x14ac:dyDescent="0.25">
      <c r="A1098" s="15" t="s">
        <v>836</v>
      </c>
      <c r="B1098" s="14" t="s">
        <v>836</v>
      </c>
      <c r="C1098" s="15" t="s">
        <v>864</v>
      </c>
      <c r="D1098" s="15" t="s">
        <v>65</v>
      </c>
      <c r="E1098" s="15" t="s">
        <v>82</v>
      </c>
      <c r="F1098" s="34">
        <v>2</v>
      </c>
      <c r="G1098" s="34">
        <v>3</v>
      </c>
      <c r="H1098" s="35"/>
      <c r="I1098" s="35">
        <f t="shared" si="50"/>
        <v>0</v>
      </c>
      <c r="J1098" s="35"/>
      <c r="K1098" s="35">
        <v>0</v>
      </c>
      <c r="L1098" s="36">
        <f t="shared" si="51"/>
        <v>3</v>
      </c>
    </row>
    <row r="1099" spans="1:12" x14ac:dyDescent="0.25">
      <c r="A1099" s="21" t="s">
        <v>836</v>
      </c>
      <c r="B1099" s="30" t="s">
        <v>836</v>
      </c>
      <c r="C1099" s="21" t="s">
        <v>865</v>
      </c>
      <c r="D1099" s="21" t="s">
        <v>65</v>
      </c>
      <c r="E1099" s="21" t="s">
        <v>82</v>
      </c>
      <c r="F1099" s="31">
        <v>1</v>
      </c>
      <c r="G1099" s="31">
        <v>2</v>
      </c>
      <c r="H1099" s="32"/>
      <c r="I1099" s="32">
        <f t="shared" si="50"/>
        <v>0</v>
      </c>
      <c r="J1099" s="32"/>
      <c r="K1099" s="32">
        <v>0</v>
      </c>
      <c r="L1099" s="33">
        <f t="shared" si="51"/>
        <v>2</v>
      </c>
    </row>
    <row r="1100" spans="1:12" x14ac:dyDescent="0.25">
      <c r="A1100" s="21" t="s">
        <v>866</v>
      </c>
      <c r="B1100" s="30" t="s">
        <v>866</v>
      </c>
      <c r="C1100" s="21" t="s">
        <v>867</v>
      </c>
      <c r="D1100" s="21" t="s">
        <v>53</v>
      </c>
      <c r="E1100" s="21" t="s">
        <v>129</v>
      </c>
      <c r="F1100" s="21"/>
      <c r="G1100" s="21"/>
      <c r="H1100" s="32"/>
      <c r="I1100" s="32">
        <f t="shared" si="50"/>
        <v>0</v>
      </c>
      <c r="J1100" s="32"/>
      <c r="K1100" s="32">
        <v>0</v>
      </c>
      <c r="L1100" s="33">
        <f t="shared" si="51"/>
        <v>0</v>
      </c>
    </row>
    <row r="1101" spans="1:12" x14ac:dyDescent="0.25">
      <c r="A1101" s="21" t="s">
        <v>868</v>
      </c>
      <c r="B1101" s="30" t="s">
        <v>868</v>
      </c>
      <c r="C1101" s="21" t="s">
        <v>849</v>
      </c>
      <c r="D1101" s="21" t="s">
        <v>67</v>
      </c>
      <c r="E1101" s="21" t="s">
        <v>93</v>
      </c>
      <c r="F1101" s="21"/>
      <c r="G1101" s="21"/>
      <c r="H1101" s="32"/>
      <c r="I1101" s="32">
        <f t="shared" si="50"/>
        <v>0</v>
      </c>
      <c r="J1101" s="32"/>
      <c r="K1101" s="32">
        <v>0</v>
      </c>
      <c r="L1101" s="33">
        <f t="shared" si="51"/>
        <v>0</v>
      </c>
    </row>
    <row r="1102" spans="1:12" x14ac:dyDescent="0.25">
      <c r="A1102" s="15" t="s">
        <v>868</v>
      </c>
      <c r="B1102" s="14" t="s">
        <v>868</v>
      </c>
      <c r="C1102" s="15" t="s">
        <v>850</v>
      </c>
      <c r="D1102" s="15" t="s">
        <v>69</v>
      </c>
      <c r="E1102" s="15" t="s">
        <v>90</v>
      </c>
      <c r="F1102" s="15"/>
      <c r="G1102" s="15"/>
      <c r="H1102" s="35"/>
      <c r="I1102" s="35">
        <f t="shared" si="50"/>
        <v>0</v>
      </c>
      <c r="J1102" s="35"/>
      <c r="K1102" s="35">
        <v>0</v>
      </c>
      <c r="L1102" s="36">
        <f t="shared" si="51"/>
        <v>0</v>
      </c>
    </row>
    <row r="1103" spans="1:12" x14ac:dyDescent="0.25">
      <c r="A1103" s="21" t="s">
        <v>869</v>
      </c>
      <c r="B1103" s="30" t="s">
        <v>869</v>
      </c>
      <c r="C1103" s="21" t="s">
        <v>870</v>
      </c>
      <c r="D1103" s="21" t="s">
        <v>47</v>
      </c>
      <c r="E1103" s="21" t="s">
        <v>79</v>
      </c>
      <c r="F1103" s="21"/>
      <c r="G1103" s="31">
        <v>2</v>
      </c>
      <c r="H1103" s="32"/>
      <c r="I1103" s="32">
        <f t="shared" si="50"/>
        <v>0</v>
      </c>
      <c r="J1103" s="32"/>
      <c r="K1103" s="32">
        <v>0</v>
      </c>
      <c r="L1103" s="33">
        <f t="shared" si="51"/>
        <v>2</v>
      </c>
    </row>
    <row r="1104" spans="1:12" x14ac:dyDescent="0.25">
      <c r="A1104" s="15" t="s">
        <v>869</v>
      </c>
      <c r="B1104" s="14" t="s">
        <v>869</v>
      </c>
      <c r="C1104" s="15" t="s">
        <v>871</v>
      </c>
      <c r="D1104" s="15" t="s">
        <v>54</v>
      </c>
      <c r="E1104" s="15" t="s">
        <v>84</v>
      </c>
      <c r="F1104" s="34">
        <v>8</v>
      </c>
      <c r="G1104" s="34">
        <v>3</v>
      </c>
      <c r="H1104" s="35"/>
      <c r="I1104" s="35">
        <f t="shared" si="50"/>
        <v>0</v>
      </c>
      <c r="J1104" s="35"/>
      <c r="K1104" s="35">
        <v>0</v>
      </c>
      <c r="L1104" s="36">
        <f t="shared" si="51"/>
        <v>3</v>
      </c>
    </row>
    <row r="1105" spans="1:12" x14ac:dyDescent="0.25">
      <c r="A1105" s="21" t="s">
        <v>869</v>
      </c>
      <c r="B1105" s="30" t="s">
        <v>869</v>
      </c>
      <c r="C1105" s="21" t="s">
        <v>872</v>
      </c>
      <c r="D1105" s="21" t="s">
        <v>54</v>
      </c>
      <c r="E1105" s="21" t="s">
        <v>84</v>
      </c>
      <c r="F1105" s="21"/>
      <c r="G1105" s="31">
        <v>3</v>
      </c>
      <c r="H1105" s="32"/>
      <c r="I1105" s="32">
        <f t="shared" si="50"/>
        <v>0</v>
      </c>
      <c r="J1105" s="32"/>
      <c r="K1105" s="32">
        <v>0</v>
      </c>
      <c r="L1105" s="33">
        <f t="shared" si="51"/>
        <v>3</v>
      </c>
    </row>
    <row r="1106" spans="1:12" x14ac:dyDescent="0.25">
      <c r="A1106" s="15" t="s">
        <v>869</v>
      </c>
      <c r="B1106" s="14" t="s">
        <v>869</v>
      </c>
      <c r="C1106" s="15" t="s">
        <v>873</v>
      </c>
      <c r="D1106" s="15" t="s">
        <v>54</v>
      </c>
      <c r="E1106" s="15" t="s">
        <v>84</v>
      </c>
      <c r="F1106" s="15"/>
      <c r="G1106" s="34">
        <v>3</v>
      </c>
      <c r="H1106" s="35"/>
      <c r="I1106" s="35">
        <f t="shared" si="50"/>
        <v>0</v>
      </c>
      <c r="J1106" s="35"/>
      <c r="K1106" s="35">
        <v>0</v>
      </c>
      <c r="L1106" s="36">
        <f t="shared" si="51"/>
        <v>3</v>
      </c>
    </row>
    <row r="1107" spans="1:12" x14ac:dyDescent="0.25">
      <c r="A1107" s="21" t="s">
        <v>869</v>
      </c>
      <c r="B1107" s="30" t="s">
        <v>869</v>
      </c>
      <c r="C1107" s="21" t="s">
        <v>874</v>
      </c>
      <c r="D1107" s="21" t="s">
        <v>67</v>
      </c>
      <c r="E1107" s="21" t="s">
        <v>93</v>
      </c>
      <c r="F1107" s="21"/>
      <c r="G1107" s="21"/>
      <c r="H1107" s="32"/>
      <c r="I1107" s="32">
        <f t="shared" si="50"/>
        <v>0</v>
      </c>
      <c r="J1107" s="32"/>
      <c r="K1107" s="32">
        <v>0</v>
      </c>
      <c r="L1107" s="33">
        <f t="shared" si="51"/>
        <v>0</v>
      </c>
    </row>
    <row r="1108" spans="1:12" x14ac:dyDescent="0.25">
      <c r="A1108" s="15" t="s">
        <v>869</v>
      </c>
      <c r="B1108" s="14" t="s">
        <v>869</v>
      </c>
      <c r="C1108" s="15" t="s">
        <v>875</v>
      </c>
      <c r="D1108" s="15" t="s">
        <v>70</v>
      </c>
      <c r="E1108" s="15" t="s">
        <v>104</v>
      </c>
      <c r="F1108" s="34">
        <v>7</v>
      </c>
      <c r="G1108" s="34">
        <v>7</v>
      </c>
      <c r="H1108" s="35"/>
      <c r="I1108" s="35">
        <f t="shared" si="50"/>
        <v>0</v>
      </c>
      <c r="J1108" s="35"/>
      <c r="K1108" s="35">
        <v>0</v>
      </c>
      <c r="L1108" s="36">
        <f t="shared" si="51"/>
        <v>7</v>
      </c>
    </row>
    <row r="1109" spans="1:12" x14ac:dyDescent="0.25">
      <c r="A1109" s="21" t="s">
        <v>869</v>
      </c>
      <c r="B1109" s="30" t="s">
        <v>869</v>
      </c>
      <c r="C1109" s="21" t="s">
        <v>876</v>
      </c>
      <c r="D1109" s="21" t="s">
        <v>69</v>
      </c>
      <c r="E1109" s="21" t="s">
        <v>90</v>
      </c>
      <c r="F1109" s="21"/>
      <c r="G1109" s="21"/>
      <c r="H1109" s="32"/>
      <c r="I1109" s="32">
        <f t="shared" si="50"/>
        <v>0</v>
      </c>
      <c r="J1109" s="32"/>
      <c r="K1109" s="32">
        <v>0</v>
      </c>
      <c r="L1109" s="33">
        <f t="shared" si="51"/>
        <v>0</v>
      </c>
    </row>
    <row r="1110" spans="1:12" x14ac:dyDescent="0.25">
      <c r="A1110" s="15" t="s">
        <v>869</v>
      </c>
      <c r="B1110" s="14" t="s">
        <v>869</v>
      </c>
      <c r="C1110" s="15" t="s">
        <v>877</v>
      </c>
      <c r="D1110" s="15" t="s">
        <v>47</v>
      </c>
      <c r="E1110" s="15" t="s">
        <v>79</v>
      </c>
      <c r="F1110" s="15"/>
      <c r="G1110" s="15"/>
      <c r="H1110" s="35"/>
      <c r="I1110" s="35">
        <f t="shared" si="50"/>
        <v>0</v>
      </c>
      <c r="J1110" s="35"/>
      <c r="K1110" s="35">
        <v>0</v>
      </c>
      <c r="L1110" s="36">
        <f t="shared" si="51"/>
        <v>0</v>
      </c>
    </row>
    <row r="1111" spans="1:12" x14ac:dyDescent="0.25">
      <c r="A1111" s="21" t="s">
        <v>869</v>
      </c>
      <c r="B1111" s="30" t="s">
        <v>869</v>
      </c>
      <c r="C1111" s="21" t="s">
        <v>878</v>
      </c>
      <c r="D1111" s="21" t="s">
        <v>65</v>
      </c>
      <c r="E1111" s="21" t="s">
        <v>82</v>
      </c>
      <c r="F1111" s="31">
        <v>1</v>
      </c>
      <c r="G1111" s="31">
        <v>2</v>
      </c>
      <c r="H1111" s="32"/>
      <c r="I1111" s="32">
        <f t="shared" si="50"/>
        <v>0</v>
      </c>
      <c r="J1111" s="32"/>
      <c r="K1111" s="32">
        <v>0</v>
      </c>
      <c r="L1111" s="33">
        <f t="shared" si="51"/>
        <v>2</v>
      </c>
    </row>
    <row r="1112" spans="1:12" x14ac:dyDescent="0.25">
      <c r="A1112" s="15" t="s">
        <v>869</v>
      </c>
      <c r="B1112" s="14" t="s">
        <v>869</v>
      </c>
      <c r="C1112" s="15" t="s">
        <v>879</v>
      </c>
      <c r="D1112" s="15" t="s">
        <v>67</v>
      </c>
      <c r="E1112" s="15" t="s">
        <v>93</v>
      </c>
      <c r="F1112" s="34">
        <v>1</v>
      </c>
      <c r="G1112" s="34">
        <v>2</v>
      </c>
      <c r="H1112" s="35"/>
      <c r="I1112" s="35">
        <f t="shared" si="50"/>
        <v>0</v>
      </c>
      <c r="J1112" s="35"/>
      <c r="K1112" s="35">
        <v>0</v>
      </c>
      <c r="L1112" s="36">
        <f t="shared" si="51"/>
        <v>2</v>
      </c>
    </row>
    <row r="1113" spans="1:12" x14ac:dyDescent="0.25">
      <c r="A1113" s="21" t="s">
        <v>869</v>
      </c>
      <c r="B1113" s="30" t="s">
        <v>869</v>
      </c>
      <c r="C1113" s="21" t="s">
        <v>880</v>
      </c>
      <c r="D1113" s="21" t="s">
        <v>65</v>
      </c>
      <c r="E1113" s="21" t="s">
        <v>82</v>
      </c>
      <c r="F1113" s="31">
        <v>1</v>
      </c>
      <c r="G1113" s="31">
        <v>2</v>
      </c>
      <c r="H1113" s="32"/>
      <c r="I1113" s="32">
        <f t="shared" si="50"/>
        <v>0</v>
      </c>
      <c r="J1113" s="32"/>
      <c r="K1113" s="32">
        <v>0</v>
      </c>
      <c r="L1113" s="33">
        <f t="shared" si="51"/>
        <v>2</v>
      </c>
    </row>
    <row r="1114" spans="1:12" x14ac:dyDescent="0.25">
      <c r="A1114" s="15" t="s">
        <v>869</v>
      </c>
      <c r="B1114" s="14" t="s">
        <v>869</v>
      </c>
      <c r="C1114" s="15" t="s">
        <v>881</v>
      </c>
      <c r="D1114" s="15" t="s">
        <v>67</v>
      </c>
      <c r="E1114" s="15" t="s">
        <v>93</v>
      </c>
      <c r="F1114" s="34">
        <v>1</v>
      </c>
      <c r="G1114" s="34">
        <v>2</v>
      </c>
      <c r="H1114" s="35"/>
      <c r="I1114" s="35">
        <f t="shared" si="50"/>
        <v>0</v>
      </c>
      <c r="J1114" s="35"/>
      <c r="K1114" s="35">
        <v>0</v>
      </c>
      <c r="L1114" s="36">
        <f t="shared" si="51"/>
        <v>2</v>
      </c>
    </row>
    <row r="1115" spans="1:12" x14ac:dyDescent="0.25">
      <c r="A1115" s="21" t="s">
        <v>869</v>
      </c>
      <c r="B1115" s="30" t="s">
        <v>869</v>
      </c>
      <c r="C1115" s="21" t="s">
        <v>882</v>
      </c>
      <c r="D1115" s="21" t="s">
        <v>67</v>
      </c>
      <c r="E1115" s="21" t="s">
        <v>93</v>
      </c>
      <c r="F1115" s="31">
        <v>1</v>
      </c>
      <c r="G1115" s="31">
        <v>2</v>
      </c>
      <c r="H1115" s="32"/>
      <c r="I1115" s="32">
        <f t="shared" si="50"/>
        <v>0</v>
      </c>
      <c r="J1115" s="32"/>
      <c r="K1115" s="32">
        <v>0</v>
      </c>
      <c r="L1115" s="33">
        <f t="shared" si="51"/>
        <v>2</v>
      </c>
    </row>
    <row r="1116" spans="1:12" x14ac:dyDescent="0.25">
      <c r="A1116" s="15" t="s">
        <v>869</v>
      </c>
      <c r="B1116" s="14" t="s">
        <v>869</v>
      </c>
      <c r="C1116" s="15" t="s">
        <v>883</v>
      </c>
      <c r="D1116" s="15" t="s">
        <v>65</v>
      </c>
      <c r="E1116" s="15" t="s">
        <v>82</v>
      </c>
      <c r="F1116" s="34">
        <v>2</v>
      </c>
      <c r="G1116" s="34">
        <v>3</v>
      </c>
      <c r="H1116" s="35"/>
      <c r="I1116" s="35">
        <f t="shared" si="50"/>
        <v>0</v>
      </c>
      <c r="J1116" s="35"/>
      <c r="K1116" s="35">
        <v>0</v>
      </c>
      <c r="L1116" s="36">
        <f t="shared" si="51"/>
        <v>3</v>
      </c>
    </row>
    <row r="1117" spans="1:12" x14ac:dyDescent="0.25">
      <c r="A1117" s="21" t="s">
        <v>869</v>
      </c>
      <c r="B1117" s="30" t="s">
        <v>869</v>
      </c>
      <c r="C1117" s="21" t="s">
        <v>884</v>
      </c>
      <c r="D1117" s="21" t="s">
        <v>67</v>
      </c>
      <c r="E1117" s="21" t="s">
        <v>93</v>
      </c>
      <c r="F1117" s="31">
        <v>2</v>
      </c>
      <c r="G1117" s="31">
        <v>3</v>
      </c>
      <c r="H1117" s="32"/>
      <c r="I1117" s="32">
        <f t="shared" si="50"/>
        <v>0</v>
      </c>
      <c r="J1117" s="32"/>
      <c r="K1117" s="32">
        <v>0</v>
      </c>
      <c r="L1117" s="33">
        <f t="shared" si="51"/>
        <v>3</v>
      </c>
    </row>
    <row r="1118" spans="1:12" x14ac:dyDescent="0.25">
      <c r="A1118" s="15" t="s">
        <v>869</v>
      </c>
      <c r="B1118" s="14" t="s">
        <v>869</v>
      </c>
      <c r="C1118" s="15" t="s">
        <v>885</v>
      </c>
      <c r="D1118" s="15" t="s">
        <v>65</v>
      </c>
      <c r="E1118" s="15" t="s">
        <v>82</v>
      </c>
      <c r="F1118" s="34">
        <v>2</v>
      </c>
      <c r="G1118" s="34">
        <v>3</v>
      </c>
      <c r="H1118" s="35"/>
      <c r="I1118" s="35">
        <f t="shared" si="50"/>
        <v>0</v>
      </c>
      <c r="J1118" s="35"/>
      <c r="K1118" s="35">
        <v>0</v>
      </c>
      <c r="L1118" s="36">
        <f t="shared" si="51"/>
        <v>3</v>
      </c>
    </row>
    <row r="1119" spans="1:12" x14ac:dyDescent="0.25">
      <c r="A1119" s="21" t="s">
        <v>869</v>
      </c>
      <c r="B1119" s="30" t="s">
        <v>869</v>
      </c>
      <c r="C1119" s="21" t="s">
        <v>886</v>
      </c>
      <c r="D1119" s="21" t="s">
        <v>67</v>
      </c>
      <c r="E1119" s="21" t="s">
        <v>93</v>
      </c>
      <c r="F1119" s="31">
        <v>4</v>
      </c>
      <c r="G1119" s="31">
        <v>5</v>
      </c>
      <c r="H1119" s="32"/>
      <c r="I1119" s="32">
        <f t="shared" si="50"/>
        <v>0</v>
      </c>
      <c r="J1119" s="32"/>
      <c r="K1119" s="32">
        <v>0</v>
      </c>
      <c r="L1119" s="33">
        <f t="shared" si="51"/>
        <v>5</v>
      </c>
    </row>
    <row r="1120" spans="1:12" x14ac:dyDescent="0.25">
      <c r="A1120" s="15" t="s">
        <v>869</v>
      </c>
      <c r="B1120" s="14" t="s">
        <v>869</v>
      </c>
      <c r="C1120" s="15" t="s">
        <v>887</v>
      </c>
      <c r="D1120" s="15" t="s">
        <v>67</v>
      </c>
      <c r="E1120" s="15" t="s">
        <v>93</v>
      </c>
      <c r="F1120" s="34">
        <v>2</v>
      </c>
      <c r="G1120" s="34">
        <v>3</v>
      </c>
      <c r="H1120" s="35"/>
      <c r="I1120" s="35">
        <f t="shared" si="50"/>
        <v>0</v>
      </c>
      <c r="J1120" s="35"/>
      <c r="K1120" s="35">
        <v>0</v>
      </c>
      <c r="L1120" s="36">
        <f t="shared" si="51"/>
        <v>3</v>
      </c>
    </row>
    <row r="1121" spans="1:12" x14ac:dyDescent="0.25">
      <c r="A1121" s="21" t="s">
        <v>869</v>
      </c>
      <c r="B1121" s="30" t="s">
        <v>869</v>
      </c>
      <c r="C1121" s="21" t="s">
        <v>888</v>
      </c>
      <c r="D1121" s="21" t="s">
        <v>67</v>
      </c>
      <c r="E1121" s="21" t="s">
        <v>93</v>
      </c>
      <c r="F1121" s="31">
        <v>1</v>
      </c>
      <c r="G1121" s="31">
        <v>2</v>
      </c>
      <c r="H1121" s="32"/>
      <c r="I1121" s="32">
        <f t="shared" si="50"/>
        <v>0</v>
      </c>
      <c r="J1121" s="32"/>
      <c r="K1121" s="32">
        <v>0</v>
      </c>
      <c r="L1121" s="33">
        <f t="shared" si="51"/>
        <v>2</v>
      </c>
    </row>
    <row r="1122" spans="1:12" x14ac:dyDescent="0.25">
      <c r="A1122" s="15" t="s">
        <v>869</v>
      </c>
      <c r="B1122" s="14" t="s">
        <v>869</v>
      </c>
      <c r="C1122" s="15" t="s">
        <v>889</v>
      </c>
      <c r="D1122" s="15" t="s">
        <v>67</v>
      </c>
      <c r="E1122" s="15" t="s">
        <v>93</v>
      </c>
      <c r="F1122" s="34">
        <v>1</v>
      </c>
      <c r="G1122" s="34">
        <v>2</v>
      </c>
      <c r="H1122" s="35"/>
      <c r="I1122" s="35">
        <f t="shared" si="50"/>
        <v>0</v>
      </c>
      <c r="J1122" s="35"/>
      <c r="K1122" s="35">
        <v>0</v>
      </c>
      <c r="L1122" s="36">
        <f t="shared" si="51"/>
        <v>2</v>
      </c>
    </row>
    <row r="1123" spans="1:12" x14ac:dyDescent="0.25">
      <c r="A1123" s="21" t="s">
        <v>869</v>
      </c>
      <c r="B1123" s="30" t="s">
        <v>869</v>
      </c>
      <c r="C1123" s="21" t="s">
        <v>890</v>
      </c>
      <c r="D1123" s="21" t="s">
        <v>65</v>
      </c>
      <c r="E1123" s="21" t="s">
        <v>82</v>
      </c>
      <c r="F1123" s="31">
        <v>2</v>
      </c>
      <c r="G1123" s="31">
        <v>3</v>
      </c>
      <c r="H1123" s="32"/>
      <c r="I1123" s="32">
        <f t="shared" si="50"/>
        <v>0</v>
      </c>
      <c r="J1123" s="32"/>
      <c r="K1123" s="32">
        <v>0</v>
      </c>
      <c r="L1123" s="33">
        <f t="shared" si="51"/>
        <v>3</v>
      </c>
    </row>
    <row r="1124" spans="1:12" x14ac:dyDescent="0.25">
      <c r="A1124" s="15" t="s">
        <v>869</v>
      </c>
      <c r="B1124" s="14" t="s">
        <v>869</v>
      </c>
      <c r="C1124" s="15" t="s">
        <v>891</v>
      </c>
      <c r="D1124" s="15" t="s">
        <v>67</v>
      </c>
      <c r="E1124" s="15" t="s">
        <v>93</v>
      </c>
      <c r="F1124" s="34">
        <v>2</v>
      </c>
      <c r="G1124" s="34">
        <v>3</v>
      </c>
      <c r="H1124" s="35"/>
      <c r="I1124" s="35">
        <f t="shared" si="50"/>
        <v>0</v>
      </c>
      <c r="J1124" s="35"/>
      <c r="K1124" s="35">
        <v>0</v>
      </c>
      <c r="L1124" s="36">
        <f t="shared" si="51"/>
        <v>3</v>
      </c>
    </row>
    <row r="1125" spans="1:12" x14ac:dyDescent="0.25">
      <c r="A1125" s="21" t="s">
        <v>869</v>
      </c>
      <c r="B1125" s="30" t="s">
        <v>869</v>
      </c>
      <c r="C1125" s="21" t="s">
        <v>892</v>
      </c>
      <c r="D1125" s="21" t="s">
        <v>65</v>
      </c>
      <c r="E1125" s="21" t="s">
        <v>82</v>
      </c>
      <c r="F1125" s="31">
        <v>3</v>
      </c>
      <c r="G1125" s="31">
        <v>4</v>
      </c>
      <c r="H1125" s="32"/>
      <c r="I1125" s="32">
        <f t="shared" ref="I1125:I1156" si="52">IF(H1125="",0,G1125)</f>
        <v>0</v>
      </c>
      <c r="J1125" s="32"/>
      <c r="K1125" s="32">
        <v>0</v>
      </c>
      <c r="L1125" s="33">
        <f t="shared" ref="L1125:L1156" si="53">G1125-I1125-K1125</f>
        <v>4</v>
      </c>
    </row>
    <row r="1126" spans="1:12" x14ac:dyDescent="0.25">
      <c r="A1126" s="15" t="s">
        <v>869</v>
      </c>
      <c r="B1126" s="14" t="s">
        <v>869</v>
      </c>
      <c r="C1126" s="15" t="s">
        <v>893</v>
      </c>
      <c r="D1126" s="15" t="s">
        <v>54</v>
      </c>
      <c r="E1126" s="15" t="s">
        <v>84</v>
      </c>
      <c r="F1126" s="15"/>
      <c r="G1126" s="15"/>
      <c r="H1126" s="35"/>
      <c r="I1126" s="35">
        <f t="shared" si="52"/>
        <v>0</v>
      </c>
      <c r="J1126" s="35"/>
      <c r="K1126" s="35">
        <v>0</v>
      </c>
      <c r="L1126" s="36">
        <f t="shared" si="53"/>
        <v>0</v>
      </c>
    </row>
    <row r="1127" spans="1:12" x14ac:dyDescent="0.25">
      <c r="A1127" s="21" t="s">
        <v>869</v>
      </c>
      <c r="B1127" s="30" t="s">
        <v>869</v>
      </c>
      <c r="C1127" s="21" t="s">
        <v>894</v>
      </c>
      <c r="D1127" s="21" t="s">
        <v>47</v>
      </c>
      <c r="E1127" s="21" t="s">
        <v>79</v>
      </c>
      <c r="F1127" s="21"/>
      <c r="G1127" s="21"/>
      <c r="H1127" s="32"/>
      <c r="I1127" s="32">
        <f t="shared" si="52"/>
        <v>0</v>
      </c>
      <c r="J1127" s="32"/>
      <c r="K1127" s="32">
        <v>0</v>
      </c>
      <c r="L1127" s="33">
        <f t="shared" si="53"/>
        <v>0</v>
      </c>
    </row>
    <row r="1128" spans="1:12" x14ac:dyDescent="0.25">
      <c r="A1128" s="15" t="s">
        <v>869</v>
      </c>
      <c r="B1128" s="14" t="s">
        <v>869</v>
      </c>
      <c r="C1128" s="15" t="s">
        <v>875</v>
      </c>
      <c r="D1128" s="15" t="s">
        <v>70</v>
      </c>
      <c r="E1128" s="15" t="s">
        <v>104</v>
      </c>
      <c r="F1128" s="15"/>
      <c r="G1128" s="15"/>
      <c r="H1128" s="35"/>
      <c r="I1128" s="35">
        <f t="shared" si="52"/>
        <v>0</v>
      </c>
      <c r="J1128" s="35"/>
      <c r="K1128" s="35">
        <v>0</v>
      </c>
      <c r="L1128" s="36">
        <f t="shared" si="53"/>
        <v>0</v>
      </c>
    </row>
    <row r="1129" spans="1:12" x14ac:dyDescent="0.25">
      <c r="A1129" s="21" t="s">
        <v>869</v>
      </c>
      <c r="B1129" s="30" t="s">
        <v>869</v>
      </c>
      <c r="C1129" s="21" t="s">
        <v>876</v>
      </c>
      <c r="D1129" s="21" t="s">
        <v>69</v>
      </c>
      <c r="E1129" s="21" t="s">
        <v>90</v>
      </c>
      <c r="F1129" s="21"/>
      <c r="G1129" s="21"/>
      <c r="H1129" s="32"/>
      <c r="I1129" s="32">
        <f t="shared" si="52"/>
        <v>0</v>
      </c>
      <c r="J1129" s="32"/>
      <c r="K1129" s="32">
        <v>0</v>
      </c>
      <c r="L1129" s="33">
        <f t="shared" si="53"/>
        <v>0</v>
      </c>
    </row>
    <row r="1130" spans="1:12" x14ac:dyDescent="0.25">
      <c r="A1130" s="21" t="s">
        <v>895</v>
      </c>
      <c r="B1130" s="30" t="s">
        <v>895</v>
      </c>
      <c r="C1130" s="21" t="s">
        <v>896</v>
      </c>
      <c r="D1130" s="21" t="s">
        <v>47</v>
      </c>
      <c r="E1130" s="21" t="s">
        <v>79</v>
      </c>
      <c r="F1130" s="31">
        <v>10</v>
      </c>
      <c r="G1130" s="31">
        <v>5</v>
      </c>
      <c r="H1130" s="32"/>
      <c r="I1130" s="32">
        <f t="shared" si="52"/>
        <v>0</v>
      </c>
      <c r="J1130" s="32"/>
      <c r="K1130" s="32">
        <v>0</v>
      </c>
      <c r="L1130" s="33">
        <f t="shared" si="53"/>
        <v>5</v>
      </c>
    </row>
    <row r="1131" spans="1:12" x14ac:dyDescent="0.25">
      <c r="A1131" s="15" t="s">
        <v>895</v>
      </c>
      <c r="B1131" s="14" t="s">
        <v>895</v>
      </c>
      <c r="C1131" s="15" t="s">
        <v>897</v>
      </c>
      <c r="D1131" s="15" t="s">
        <v>69</v>
      </c>
      <c r="E1131" s="15" t="s">
        <v>90</v>
      </c>
      <c r="F1131" s="15"/>
      <c r="G1131" s="15"/>
      <c r="H1131" s="35"/>
      <c r="I1131" s="35">
        <f t="shared" si="52"/>
        <v>0</v>
      </c>
      <c r="J1131" s="35"/>
      <c r="K1131" s="35">
        <v>0</v>
      </c>
      <c r="L1131" s="36">
        <f t="shared" si="53"/>
        <v>0</v>
      </c>
    </row>
    <row r="1132" spans="1:12" x14ac:dyDescent="0.25">
      <c r="A1132" s="21" t="s">
        <v>895</v>
      </c>
      <c r="B1132" s="30" t="s">
        <v>895</v>
      </c>
      <c r="C1132" s="21" t="s">
        <v>896</v>
      </c>
      <c r="D1132" s="21" t="s">
        <v>47</v>
      </c>
      <c r="E1132" s="21" t="s">
        <v>79</v>
      </c>
      <c r="F1132" s="21"/>
      <c r="G1132" s="21"/>
      <c r="H1132" s="32"/>
      <c r="I1132" s="32">
        <f t="shared" si="52"/>
        <v>0</v>
      </c>
      <c r="J1132" s="32"/>
      <c r="K1132" s="32">
        <v>0</v>
      </c>
      <c r="L1132" s="33">
        <f t="shared" si="53"/>
        <v>0</v>
      </c>
    </row>
    <row r="1133" spans="1:12" x14ac:dyDescent="0.25">
      <c r="A1133" s="15" t="s">
        <v>895</v>
      </c>
      <c r="B1133" s="14" t="s">
        <v>895</v>
      </c>
      <c r="C1133" s="15" t="s">
        <v>897</v>
      </c>
      <c r="D1133" s="15" t="s">
        <v>69</v>
      </c>
      <c r="E1133" s="15" t="s">
        <v>90</v>
      </c>
      <c r="F1133" s="15"/>
      <c r="G1133" s="15"/>
      <c r="H1133" s="35"/>
      <c r="I1133" s="35">
        <f t="shared" si="52"/>
        <v>0</v>
      </c>
      <c r="J1133" s="35"/>
      <c r="K1133" s="35">
        <v>0</v>
      </c>
      <c r="L1133" s="36">
        <f t="shared" si="53"/>
        <v>0</v>
      </c>
    </row>
    <row r="1134" spans="1:12" x14ac:dyDescent="0.25">
      <c r="A1134" s="58" t="s">
        <v>900</v>
      </c>
      <c r="B1134" s="58"/>
      <c r="C1134" s="58"/>
      <c r="D1134" s="58"/>
      <c r="E1134" s="58"/>
      <c r="F1134" s="58"/>
      <c r="G1134" s="58"/>
      <c r="H1134" s="58"/>
      <c r="I1134" s="58"/>
      <c r="J1134" s="58"/>
      <c r="K1134" s="58"/>
      <c r="L1134" s="58"/>
    </row>
    <row r="1135" spans="1:12" x14ac:dyDescent="0.25">
      <c r="A1135" s="21" t="s">
        <v>901</v>
      </c>
      <c r="B1135" s="30" t="s">
        <v>901</v>
      </c>
      <c r="C1135" s="21" t="s">
        <v>902</v>
      </c>
      <c r="D1135" s="21" t="s">
        <v>47</v>
      </c>
      <c r="E1135" s="21" t="s">
        <v>79</v>
      </c>
      <c r="F1135" s="31">
        <v>7</v>
      </c>
      <c r="G1135" s="31">
        <v>10</v>
      </c>
      <c r="H1135" s="32"/>
      <c r="I1135" s="32">
        <f t="shared" ref="I1135:I1166" si="54">IF(H1135="",0,G1135)</f>
        <v>0</v>
      </c>
      <c r="J1135" s="32"/>
      <c r="K1135" s="32">
        <v>0</v>
      </c>
      <c r="L1135" s="33">
        <f t="shared" ref="L1135:L1166" si="55">G1135-I1135-K1135</f>
        <v>10</v>
      </c>
    </row>
    <row r="1136" spans="1:12" x14ac:dyDescent="0.25">
      <c r="A1136" s="15" t="s">
        <v>901</v>
      </c>
      <c r="B1136" s="14" t="s">
        <v>901</v>
      </c>
      <c r="C1136" s="15" t="s">
        <v>773</v>
      </c>
      <c r="D1136" s="15" t="s">
        <v>69</v>
      </c>
      <c r="E1136" s="15" t="s">
        <v>90</v>
      </c>
      <c r="F1136" s="15"/>
      <c r="G1136" s="15"/>
      <c r="H1136" s="35"/>
      <c r="I1136" s="35">
        <f t="shared" si="54"/>
        <v>0</v>
      </c>
      <c r="J1136" s="35"/>
      <c r="K1136" s="35">
        <v>0</v>
      </c>
      <c r="L1136" s="36">
        <f t="shared" si="55"/>
        <v>0</v>
      </c>
    </row>
    <row r="1137" spans="1:12" x14ac:dyDescent="0.25">
      <c r="A1137" s="21" t="s">
        <v>901</v>
      </c>
      <c r="B1137" s="30" t="s">
        <v>901</v>
      </c>
      <c r="C1137" s="21" t="s">
        <v>903</v>
      </c>
      <c r="D1137" s="21" t="s">
        <v>53</v>
      </c>
      <c r="E1137" s="21" t="s">
        <v>129</v>
      </c>
      <c r="F1137" s="21"/>
      <c r="G1137" s="21"/>
      <c r="H1137" s="32"/>
      <c r="I1137" s="32">
        <f t="shared" si="54"/>
        <v>0</v>
      </c>
      <c r="J1137" s="32"/>
      <c r="K1137" s="32">
        <v>0</v>
      </c>
      <c r="L1137" s="33">
        <f t="shared" si="55"/>
        <v>0</v>
      </c>
    </row>
    <row r="1138" spans="1:12" x14ac:dyDescent="0.25">
      <c r="A1138" s="15" t="s">
        <v>901</v>
      </c>
      <c r="B1138" s="14" t="s">
        <v>901</v>
      </c>
      <c r="C1138" s="15" t="s">
        <v>904</v>
      </c>
      <c r="D1138" s="15" t="s">
        <v>56</v>
      </c>
      <c r="E1138" s="15" t="s">
        <v>162</v>
      </c>
      <c r="F1138" s="15"/>
      <c r="G1138" s="15"/>
      <c r="H1138" s="35"/>
      <c r="I1138" s="35">
        <f t="shared" si="54"/>
        <v>0</v>
      </c>
      <c r="J1138" s="35"/>
      <c r="K1138" s="35">
        <v>0</v>
      </c>
      <c r="L1138" s="36">
        <f t="shared" si="55"/>
        <v>0</v>
      </c>
    </row>
    <row r="1139" spans="1:12" x14ac:dyDescent="0.25">
      <c r="A1139" s="21" t="s">
        <v>901</v>
      </c>
      <c r="B1139" s="30" t="s">
        <v>901</v>
      </c>
      <c r="C1139" s="21" t="s">
        <v>905</v>
      </c>
      <c r="D1139" s="21" t="s">
        <v>59</v>
      </c>
      <c r="E1139" s="21" t="s">
        <v>203</v>
      </c>
      <c r="F1139" s="21"/>
      <c r="G1139" s="21"/>
      <c r="H1139" s="32"/>
      <c r="I1139" s="32">
        <f t="shared" si="54"/>
        <v>0</v>
      </c>
      <c r="J1139" s="32"/>
      <c r="K1139" s="32">
        <v>0</v>
      </c>
      <c r="L1139" s="33">
        <f t="shared" si="55"/>
        <v>0</v>
      </c>
    </row>
    <row r="1140" spans="1:12" x14ac:dyDescent="0.25">
      <c r="A1140" s="15" t="s">
        <v>901</v>
      </c>
      <c r="B1140" s="14" t="s">
        <v>901</v>
      </c>
      <c r="C1140" s="15" t="s">
        <v>906</v>
      </c>
      <c r="D1140" s="15" t="s">
        <v>51</v>
      </c>
      <c r="E1140" s="15" t="s">
        <v>146</v>
      </c>
      <c r="F1140" s="34">
        <v>1</v>
      </c>
      <c r="G1140" s="34">
        <v>2</v>
      </c>
      <c r="H1140" s="35"/>
      <c r="I1140" s="35">
        <f t="shared" si="54"/>
        <v>0</v>
      </c>
      <c r="J1140" s="35"/>
      <c r="K1140" s="35">
        <v>0</v>
      </c>
      <c r="L1140" s="36">
        <f t="shared" si="55"/>
        <v>2</v>
      </c>
    </row>
    <row r="1141" spans="1:12" x14ac:dyDescent="0.25">
      <c r="A1141" s="21" t="s">
        <v>901</v>
      </c>
      <c r="B1141" s="30" t="s">
        <v>901</v>
      </c>
      <c r="C1141" s="21" t="s">
        <v>907</v>
      </c>
      <c r="D1141" s="21" t="s">
        <v>47</v>
      </c>
      <c r="E1141" s="21" t="s">
        <v>79</v>
      </c>
      <c r="F1141" s="31">
        <v>2</v>
      </c>
      <c r="G1141" s="31">
        <v>2</v>
      </c>
      <c r="H1141" s="32"/>
      <c r="I1141" s="32">
        <f t="shared" si="54"/>
        <v>0</v>
      </c>
      <c r="J1141" s="32"/>
      <c r="K1141" s="32">
        <v>0</v>
      </c>
      <c r="L1141" s="33">
        <f t="shared" si="55"/>
        <v>2</v>
      </c>
    </row>
    <row r="1142" spans="1:12" x14ac:dyDescent="0.25">
      <c r="A1142" s="15" t="s">
        <v>901</v>
      </c>
      <c r="B1142" s="14" t="s">
        <v>901</v>
      </c>
      <c r="C1142" s="15" t="s">
        <v>773</v>
      </c>
      <c r="D1142" s="15" t="s">
        <v>69</v>
      </c>
      <c r="E1142" s="15" t="s">
        <v>90</v>
      </c>
      <c r="F1142" s="15"/>
      <c r="G1142" s="15"/>
      <c r="H1142" s="35"/>
      <c r="I1142" s="35">
        <f t="shared" si="54"/>
        <v>0</v>
      </c>
      <c r="J1142" s="35"/>
      <c r="K1142" s="35">
        <v>0</v>
      </c>
      <c r="L1142" s="36">
        <f t="shared" si="55"/>
        <v>0</v>
      </c>
    </row>
    <row r="1143" spans="1:12" x14ac:dyDescent="0.25">
      <c r="A1143" s="21" t="s">
        <v>901</v>
      </c>
      <c r="B1143" s="30" t="s">
        <v>901</v>
      </c>
      <c r="C1143" s="21" t="s">
        <v>908</v>
      </c>
      <c r="D1143" s="21" t="s">
        <v>47</v>
      </c>
      <c r="E1143" s="21" t="s">
        <v>79</v>
      </c>
      <c r="F1143" s="31">
        <v>5</v>
      </c>
      <c r="G1143" s="31">
        <v>2</v>
      </c>
      <c r="H1143" s="32"/>
      <c r="I1143" s="32">
        <f t="shared" si="54"/>
        <v>0</v>
      </c>
      <c r="J1143" s="32"/>
      <c r="K1143" s="32">
        <v>0</v>
      </c>
      <c r="L1143" s="33">
        <f t="shared" si="55"/>
        <v>2</v>
      </c>
    </row>
    <row r="1144" spans="1:12" x14ac:dyDescent="0.25">
      <c r="A1144" s="15" t="s">
        <v>901</v>
      </c>
      <c r="B1144" s="14" t="s">
        <v>901</v>
      </c>
      <c r="C1144" s="15" t="s">
        <v>909</v>
      </c>
      <c r="D1144" s="15" t="s">
        <v>47</v>
      </c>
      <c r="E1144" s="15" t="s">
        <v>79</v>
      </c>
      <c r="F1144" s="34">
        <v>3</v>
      </c>
      <c r="G1144" s="34">
        <v>3</v>
      </c>
      <c r="H1144" s="35"/>
      <c r="I1144" s="35">
        <f t="shared" si="54"/>
        <v>0</v>
      </c>
      <c r="J1144" s="35"/>
      <c r="K1144" s="35">
        <v>0</v>
      </c>
      <c r="L1144" s="36">
        <f t="shared" si="55"/>
        <v>3</v>
      </c>
    </row>
    <row r="1145" spans="1:12" x14ac:dyDescent="0.25">
      <c r="A1145" s="21" t="s">
        <v>901</v>
      </c>
      <c r="B1145" s="30" t="s">
        <v>901</v>
      </c>
      <c r="C1145" s="21" t="s">
        <v>910</v>
      </c>
      <c r="D1145" s="21" t="s">
        <v>67</v>
      </c>
      <c r="E1145" s="21" t="s">
        <v>93</v>
      </c>
      <c r="F1145" s="21"/>
      <c r="G1145" s="21"/>
      <c r="H1145" s="32"/>
      <c r="I1145" s="32">
        <f t="shared" si="54"/>
        <v>0</v>
      </c>
      <c r="J1145" s="32"/>
      <c r="K1145" s="32">
        <v>0</v>
      </c>
      <c r="L1145" s="33">
        <f t="shared" si="55"/>
        <v>0</v>
      </c>
    </row>
    <row r="1146" spans="1:12" x14ac:dyDescent="0.25">
      <c r="A1146" s="15" t="s">
        <v>901</v>
      </c>
      <c r="B1146" s="14" t="s">
        <v>901</v>
      </c>
      <c r="C1146" s="15" t="s">
        <v>911</v>
      </c>
      <c r="D1146" s="15" t="s">
        <v>54</v>
      </c>
      <c r="E1146" s="15" t="s">
        <v>84</v>
      </c>
      <c r="F1146" s="15"/>
      <c r="G1146" s="34">
        <v>10</v>
      </c>
      <c r="H1146" s="35"/>
      <c r="I1146" s="35">
        <f t="shared" si="54"/>
        <v>0</v>
      </c>
      <c r="J1146" s="35"/>
      <c r="K1146" s="35">
        <v>0</v>
      </c>
      <c r="L1146" s="36">
        <f t="shared" si="55"/>
        <v>10</v>
      </c>
    </row>
    <row r="1147" spans="1:12" x14ac:dyDescent="0.25">
      <c r="A1147" s="21" t="s">
        <v>901</v>
      </c>
      <c r="B1147" s="30" t="s">
        <v>901</v>
      </c>
      <c r="C1147" s="21" t="s">
        <v>912</v>
      </c>
      <c r="D1147" s="21" t="s">
        <v>67</v>
      </c>
      <c r="E1147" s="21" t="s">
        <v>93</v>
      </c>
      <c r="F1147" s="21"/>
      <c r="G1147" s="21"/>
      <c r="H1147" s="32"/>
      <c r="I1147" s="32">
        <f t="shared" si="54"/>
        <v>0</v>
      </c>
      <c r="J1147" s="32"/>
      <c r="K1147" s="32">
        <v>0</v>
      </c>
      <c r="L1147" s="33">
        <f t="shared" si="55"/>
        <v>0</v>
      </c>
    </row>
    <row r="1148" spans="1:12" x14ac:dyDescent="0.25">
      <c r="A1148" s="15" t="s">
        <v>901</v>
      </c>
      <c r="B1148" s="14" t="s">
        <v>901</v>
      </c>
      <c r="C1148" s="15" t="s">
        <v>913</v>
      </c>
      <c r="D1148" s="15" t="s">
        <v>69</v>
      </c>
      <c r="E1148" s="15" t="s">
        <v>90</v>
      </c>
      <c r="F1148" s="15"/>
      <c r="G1148" s="15"/>
      <c r="H1148" s="35"/>
      <c r="I1148" s="35">
        <f t="shared" si="54"/>
        <v>0</v>
      </c>
      <c r="J1148" s="35"/>
      <c r="K1148" s="35">
        <v>0</v>
      </c>
      <c r="L1148" s="36">
        <f t="shared" si="55"/>
        <v>0</v>
      </c>
    </row>
    <row r="1149" spans="1:12" x14ac:dyDescent="0.25">
      <c r="A1149" s="21" t="s">
        <v>901</v>
      </c>
      <c r="B1149" s="30" t="s">
        <v>901</v>
      </c>
      <c r="C1149" s="21" t="s">
        <v>914</v>
      </c>
      <c r="D1149" s="21" t="s">
        <v>47</v>
      </c>
      <c r="E1149" s="21" t="s">
        <v>79</v>
      </c>
      <c r="F1149" s="31">
        <v>2</v>
      </c>
      <c r="G1149" s="31">
        <v>2</v>
      </c>
      <c r="H1149" s="32"/>
      <c r="I1149" s="32">
        <f t="shared" si="54"/>
        <v>0</v>
      </c>
      <c r="J1149" s="32"/>
      <c r="K1149" s="32">
        <v>0</v>
      </c>
      <c r="L1149" s="33">
        <f t="shared" si="55"/>
        <v>2</v>
      </c>
    </row>
    <row r="1150" spans="1:12" x14ac:dyDescent="0.25">
      <c r="A1150" s="15" t="s">
        <v>901</v>
      </c>
      <c r="B1150" s="14" t="s">
        <v>901</v>
      </c>
      <c r="C1150" s="15" t="s">
        <v>902</v>
      </c>
      <c r="D1150" s="15" t="s">
        <v>47</v>
      </c>
      <c r="E1150" s="15" t="s">
        <v>79</v>
      </c>
      <c r="F1150" s="15"/>
      <c r="G1150" s="15"/>
      <c r="H1150" s="35"/>
      <c r="I1150" s="35">
        <f t="shared" si="54"/>
        <v>0</v>
      </c>
      <c r="J1150" s="35"/>
      <c r="K1150" s="35">
        <v>0</v>
      </c>
      <c r="L1150" s="36">
        <f t="shared" si="55"/>
        <v>0</v>
      </c>
    </row>
    <row r="1151" spans="1:12" x14ac:dyDescent="0.25">
      <c r="A1151" s="21" t="s">
        <v>901</v>
      </c>
      <c r="B1151" s="30" t="s">
        <v>901</v>
      </c>
      <c r="C1151" s="21" t="s">
        <v>773</v>
      </c>
      <c r="D1151" s="21" t="s">
        <v>69</v>
      </c>
      <c r="E1151" s="21" t="s">
        <v>90</v>
      </c>
      <c r="F1151" s="21"/>
      <c r="G1151" s="21"/>
      <c r="H1151" s="32"/>
      <c r="I1151" s="32">
        <f t="shared" si="54"/>
        <v>0</v>
      </c>
      <c r="J1151" s="32"/>
      <c r="K1151" s="32">
        <v>0</v>
      </c>
      <c r="L1151" s="33">
        <f t="shared" si="55"/>
        <v>0</v>
      </c>
    </row>
    <row r="1152" spans="1:12" x14ac:dyDescent="0.25">
      <c r="A1152" s="15" t="s">
        <v>901</v>
      </c>
      <c r="B1152" s="14" t="s">
        <v>901</v>
      </c>
      <c r="C1152" s="15" t="s">
        <v>903</v>
      </c>
      <c r="D1152" s="15" t="s">
        <v>53</v>
      </c>
      <c r="E1152" s="15" t="s">
        <v>129</v>
      </c>
      <c r="F1152" s="15"/>
      <c r="G1152" s="15"/>
      <c r="H1152" s="35"/>
      <c r="I1152" s="35">
        <f t="shared" si="54"/>
        <v>0</v>
      </c>
      <c r="J1152" s="35"/>
      <c r="K1152" s="35">
        <v>0</v>
      </c>
      <c r="L1152" s="36">
        <f t="shared" si="55"/>
        <v>0</v>
      </c>
    </row>
    <row r="1153" spans="1:12" x14ac:dyDescent="0.25">
      <c r="A1153" s="21" t="s">
        <v>901</v>
      </c>
      <c r="B1153" s="30" t="s">
        <v>901</v>
      </c>
      <c r="C1153" s="21" t="s">
        <v>904</v>
      </c>
      <c r="D1153" s="21" t="s">
        <v>56</v>
      </c>
      <c r="E1153" s="21" t="s">
        <v>162</v>
      </c>
      <c r="F1153" s="21"/>
      <c r="G1153" s="21"/>
      <c r="H1153" s="32"/>
      <c r="I1153" s="32">
        <f t="shared" si="54"/>
        <v>0</v>
      </c>
      <c r="J1153" s="32"/>
      <c r="K1153" s="32">
        <v>0</v>
      </c>
      <c r="L1153" s="33">
        <f t="shared" si="55"/>
        <v>0</v>
      </c>
    </row>
    <row r="1154" spans="1:12" x14ac:dyDescent="0.25">
      <c r="A1154" s="15" t="s">
        <v>901</v>
      </c>
      <c r="B1154" s="14" t="s">
        <v>901</v>
      </c>
      <c r="C1154" s="15" t="s">
        <v>905</v>
      </c>
      <c r="D1154" s="15" t="s">
        <v>59</v>
      </c>
      <c r="E1154" s="15" t="s">
        <v>203</v>
      </c>
      <c r="F1154" s="34">
        <v>3</v>
      </c>
      <c r="G1154" s="34">
        <v>5</v>
      </c>
      <c r="H1154" s="35"/>
      <c r="I1154" s="35">
        <f t="shared" si="54"/>
        <v>0</v>
      </c>
      <c r="J1154" s="35"/>
      <c r="K1154" s="35">
        <v>0</v>
      </c>
      <c r="L1154" s="36">
        <f t="shared" si="55"/>
        <v>5</v>
      </c>
    </row>
    <row r="1155" spans="1:12" x14ac:dyDescent="0.25">
      <c r="A1155" s="21" t="s">
        <v>901</v>
      </c>
      <c r="B1155" s="30" t="s">
        <v>901</v>
      </c>
      <c r="C1155" s="21" t="s">
        <v>906</v>
      </c>
      <c r="D1155" s="21" t="s">
        <v>47</v>
      </c>
      <c r="E1155" s="21" t="s">
        <v>79</v>
      </c>
      <c r="F1155" s="21"/>
      <c r="G1155" s="21"/>
      <c r="H1155" s="32"/>
      <c r="I1155" s="32">
        <f t="shared" si="54"/>
        <v>0</v>
      </c>
      <c r="J1155" s="32"/>
      <c r="K1155" s="32">
        <v>0</v>
      </c>
      <c r="L1155" s="33">
        <f t="shared" si="55"/>
        <v>0</v>
      </c>
    </row>
    <row r="1156" spans="1:12" x14ac:dyDescent="0.25">
      <c r="A1156" s="15" t="s">
        <v>901</v>
      </c>
      <c r="B1156" s="14" t="s">
        <v>901</v>
      </c>
      <c r="C1156" s="15" t="s">
        <v>907</v>
      </c>
      <c r="D1156" s="15" t="s">
        <v>47</v>
      </c>
      <c r="E1156" s="15" t="s">
        <v>79</v>
      </c>
      <c r="F1156" s="15"/>
      <c r="G1156" s="15"/>
      <c r="H1156" s="35"/>
      <c r="I1156" s="35">
        <f t="shared" si="54"/>
        <v>0</v>
      </c>
      <c r="J1156" s="35"/>
      <c r="K1156" s="35">
        <v>0</v>
      </c>
      <c r="L1156" s="36">
        <f t="shared" si="55"/>
        <v>0</v>
      </c>
    </row>
    <row r="1157" spans="1:12" x14ac:dyDescent="0.25">
      <c r="A1157" s="21" t="s">
        <v>901</v>
      </c>
      <c r="B1157" s="30" t="s">
        <v>901</v>
      </c>
      <c r="C1157" s="21" t="s">
        <v>773</v>
      </c>
      <c r="D1157" s="21" t="s">
        <v>69</v>
      </c>
      <c r="E1157" s="21" t="s">
        <v>90</v>
      </c>
      <c r="F1157" s="21"/>
      <c r="G1157" s="21"/>
      <c r="H1157" s="32"/>
      <c r="I1157" s="32">
        <f t="shared" si="54"/>
        <v>0</v>
      </c>
      <c r="J1157" s="32"/>
      <c r="K1157" s="32">
        <v>0</v>
      </c>
      <c r="L1157" s="33">
        <f t="shared" si="55"/>
        <v>0</v>
      </c>
    </row>
    <row r="1158" spans="1:12" x14ac:dyDescent="0.25">
      <c r="A1158" s="15" t="s">
        <v>901</v>
      </c>
      <c r="B1158" s="14" t="s">
        <v>901</v>
      </c>
      <c r="C1158" s="15" t="s">
        <v>910</v>
      </c>
      <c r="D1158" s="15" t="s">
        <v>65</v>
      </c>
      <c r="E1158" s="15" t="s">
        <v>82</v>
      </c>
      <c r="F1158" s="34">
        <v>1</v>
      </c>
      <c r="G1158" s="34">
        <v>15</v>
      </c>
      <c r="H1158" s="35"/>
      <c r="I1158" s="35">
        <f t="shared" si="54"/>
        <v>0</v>
      </c>
      <c r="J1158" s="35"/>
      <c r="K1158" s="35">
        <v>0</v>
      </c>
      <c r="L1158" s="36">
        <f t="shared" si="55"/>
        <v>15</v>
      </c>
    </row>
    <row r="1159" spans="1:12" x14ac:dyDescent="0.25">
      <c r="A1159" s="21" t="s">
        <v>901</v>
      </c>
      <c r="B1159" s="30" t="s">
        <v>901</v>
      </c>
      <c r="C1159" s="21" t="s">
        <v>911</v>
      </c>
      <c r="D1159" s="21" t="s">
        <v>54</v>
      </c>
      <c r="E1159" s="21" t="s">
        <v>84</v>
      </c>
      <c r="F1159" s="21"/>
      <c r="G1159" s="21"/>
      <c r="H1159" s="32"/>
      <c r="I1159" s="32">
        <f t="shared" si="54"/>
        <v>0</v>
      </c>
      <c r="J1159" s="32"/>
      <c r="K1159" s="32">
        <v>0</v>
      </c>
      <c r="L1159" s="33">
        <f t="shared" si="55"/>
        <v>0</v>
      </c>
    </row>
    <row r="1160" spans="1:12" x14ac:dyDescent="0.25">
      <c r="A1160" s="15" t="s">
        <v>901</v>
      </c>
      <c r="B1160" s="14" t="s">
        <v>901</v>
      </c>
      <c r="C1160" s="15" t="s">
        <v>912</v>
      </c>
      <c r="D1160" s="15" t="s">
        <v>65</v>
      </c>
      <c r="E1160" s="15" t="s">
        <v>82</v>
      </c>
      <c r="F1160" s="34">
        <v>5</v>
      </c>
      <c r="G1160" s="34">
        <v>10</v>
      </c>
      <c r="H1160" s="35"/>
      <c r="I1160" s="35">
        <f t="shared" si="54"/>
        <v>0</v>
      </c>
      <c r="J1160" s="35"/>
      <c r="K1160" s="35">
        <v>0</v>
      </c>
      <c r="L1160" s="36">
        <f t="shared" si="55"/>
        <v>10</v>
      </c>
    </row>
    <row r="1161" spans="1:12" x14ac:dyDescent="0.25">
      <c r="A1161" s="21" t="s">
        <v>901</v>
      </c>
      <c r="B1161" s="30" t="s">
        <v>901</v>
      </c>
      <c r="C1161" s="21" t="s">
        <v>913</v>
      </c>
      <c r="D1161" s="21" t="s">
        <v>69</v>
      </c>
      <c r="E1161" s="21" t="s">
        <v>90</v>
      </c>
      <c r="F1161" s="21"/>
      <c r="G1161" s="21"/>
      <c r="H1161" s="32"/>
      <c r="I1161" s="32">
        <f t="shared" si="54"/>
        <v>0</v>
      </c>
      <c r="J1161" s="32"/>
      <c r="K1161" s="32">
        <v>0</v>
      </c>
      <c r="L1161" s="33">
        <f t="shared" si="55"/>
        <v>0</v>
      </c>
    </row>
    <row r="1162" spans="1:12" x14ac:dyDescent="0.25">
      <c r="A1162" s="21" t="s">
        <v>917</v>
      </c>
      <c r="B1162" s="30" t="s">
        <v>917</v>
      </c>
      <c r="C1162" s="21" t="s">
        <v>918</v>
      </c>
      <c r="D1162" s="21" t="s">
        <v>47</v>
      </c>
      <c r="E1162" s="21" t="s">
        <v>79</v>
      </c>
      <c r="F1162" s="31">
        <v>7</v>
      </c>
      <c r="G1162" s="31">
        <v>2</v>
      </c>
      <c r="H1162" s="32"/>
      <c r="I1162" s="32">
        <f t="shared" si="54"/>
        <v>0</v>
      </c>
      <c r="J1162" s="32"/>
      <c r="K1162" s="32">
        <v>0</v>
      </c>
      <c r="L1162" s="33">
        <f t="shared" si="55"/>
        <v>2</v>
      </c>
    </row>
    <row r="1163" spans="1:12" x14ac:dyDescent="0.25">
      <c r="A1163" s="15" t="s">
        <v>917</v>
      </c>
      <c r="B1163" s="14" t="s">
        <v>917</v>
      </c>
      <c r="C1163" s="15" t="s">
        <v>919</v>
      </c>
      <c r="D1163" s="15" t="s">
        <v>53</v>
      </c>
      <c r="E1163" s="15" t="s">
        <v>129</v>
      </c>
      <c r="F1163" s="15"/>
      <c r="G1163" s="15"/>
      <c r="H1163" s="35"/>
      <c r="I1163" s="35">
        <f t="shared" si="54"/>
        <v>0</v>
      </c>
      <c r="J1163" s="35"/>
      <c r="K1163" s="35">
        <v>0</v>
      </c>
      <c r="L1163" s="36">
        <f t="shared" si="55"/>
        <v>0</v>
      </c>
    </row>
    <row r="1164" spans="1:12" x14ac:dyDescent="0.25">
      <c r="A1164" s="21" t="s">
        <v>917</v>
      </c>
      <c r="B1164" s="30" t="s">
        <v>917</v>
      </c>
      <c r="C1164" s="21" t="s">
        <v>920</v>
      </c>
      <c r="D1164" s="21" t="s">
        <v>54</v>
      </c>
      <c r="E1164" s="21" t="s">
        <v>84</v>
      </c>
      <c r="F1164" s="31">
        <v>8</v>
      </c>
      <c r="G1164" s="31">
        <v>6</v>
      </c>
      <c r="H1164" s="32"/>
      <c r="I1164" s="32">
        <f t="shared" si="54"/>
        <v>0</v>
      </c>
      <c r="J1164" s="32"/>
      <c r="K1164" s="32">
        <v>0</v>
      </c>
      <c r="L1164" s="33">
        <f t="shared" si="55"/>
        <v>6</v>
      </c>
    </row>
    <row r="1165" spans="1:12" x14ac:dyDescent="0.25">
      <c r="A1165" s="15" t="s">
        <v>917</v>
      </c>
      <c r="B1165" s="14" t="s">
        <v>917</v>
      </c>
      <c r="C1165" s="15" t="s">
        <v>921</v>
      </c>
      <c r="D1165" s="15" t="s">
        <v>65</v>
      </c>
      <c r="E1165" s="15" t="s">
        <v>82</v>
      </c>
      <c r="F1165" s="15"/>
      <c r="G1165" s="15"/>
      <c r="H1165" s="35"/>
      <c r="I1165" s="35">
        <f t="shared" si="54"/>
        <v>0</v>
      </c>
      <c r="J1165" s="35"/>
      <c r="K1165" s="35">
        <v>0</v>
      </c>
      <c r="L1165" s="36">
        <f t="shared" si="55"/>
        <v>0</v>
      </c>
    </row>
    <row r="1166" spans="1:12" x14ac:dyDescent="0.25">
      <c r="A1166" s="21" t="s">
        <v>917</v>
      </c>
      <c r="B1166" s="30" t="s">
        <v>917</v>
      </c>
      <c r="C1166" s="21" t="s">
        <v>922</v>
      </c>
      <c r="D1166" s="21" t="s">
        <v>62</v>
      </c>
      <c r="E1166" s="21" t="s">
        <v>159</v>
      </c>
      <c r="F1166" s="21"/>
      <c r="G1166" s="21"/>
      <c r="H1166" s="32"/>
      <c r="I1166" s="32">
        <f t="shared" si="54"/>
        <v>0</v>
      </c>
      <c r="J1166" s="32"/>
      <c r="K1166" s="32">
        <v>0</v>
      </c>
      <c r="L1166" s="33">
        <f t="shared" si="55"/>
        <v>0</v>
      </c>
    </row>
    <row r="1167" spans="1:12" x14ac:dyDescent="0.25">
      <c r="A1167" s="15" t="s">
        <v>917</v>
      </c>
      <c r="B1167" s="14" t="s">
        <v>917</v>
      </c>
      <c r="C1167" s="15" t="s">
        <v>923</v>
      </c>
      <c r="D1167" s="15" t="s">
        <v>69</v>
      </c>
      <c r="E1167" s="15" t="s">
        <v>90</v>
      </c>
      <c r="F1167" s="15"/>
      <c r="G1167" s="15"/>
      <c r="H1167" s="35"/>
      <c r="I1167" s="35">
        <f t="shared" ref="I1167:I1198" si="56">IF(H1167="",0,G1167)</f>
        <v>0</v>
      </c>
      <c r="J1167" s="35"/>
      <c r="K1167" s="35">
        <v>0</v>
      </c>
      <c r="L1167" s="36">
        <f t="shared" ref="L1167:L1198" si="57">G1167-I1167-K1167</f>
        <v>0</v>
      </c>
    </row>
    <row r="1168" spans="1:12" x14ac:dyDescent="0.25">
      <c r="A1168" s="21" t="s">
        <v>917</v>
      </c>
      <c r="B1168" s="30" t="s">
        <v>917</v>
      </c>
      <c r="C1168" s="21" t="s">
        <v>924</v>
      </c>
      <c r="D1168" s="21" t="s">
        <v>47</v>
      </c>
      <c r="E1168" s="21" t="s">
        <v>79</v>
      </c>
      <c r="F1168" s="31">
        <v>2</v>
      </c>
      <c r="G1168" s="31">
        <v>5</v>
      </c>
      <c r="H1168" s="32"/>
      <c r="I1168" s="32">
        <f t="shared" si="56"/>
        <v>0</v>
      </c>
      <c r="J1168" s="32"/>
      <c r="K1168" s="32">
        <v>0</v>
      </c>
      <c r="L1168" s="33">
        <f t="shared" si="57"/>
        <v>5</v>
      </c>
    </row>
    <row r="1169" spans="1:12" x14ac:dyDescent="0.25">
      <c r="A1169" s="15" t="s">
        <v>917</v>
      </c>
      <c r="B1169" s="14" t="s">
        <v>917</v>
      </c>
      <c r="C1169" s="15" t="s">
        <v>925</v>
      </c>
      <c r="D1169" s="15" t="s">
        <v>65</v>
      </c>
      <c r="E1169" s="15" t="s">
        <v>82</v>
      </c>
      <c r="F1169" s="15"/>
      <c r="G1169" s="15"/>
      <c r="H1169" s="35"/>
      <c r="I1169" s="35">
        <f t="shared" si="56"/>
        <v>0</v>
      </c>
      <c r="J1169" s="35"/>
      <c r="K1169" s="35">
        <v>0</v>
      </c>
      <c r="L1169" s="36">
        <f t="shared" si="57"/>
        <v>0</v>
      </c>
    </row>
    <row r="1170" spans="1:12" x14ac:dyDescent="0.25">
      <c r="A1170" s="21" t="s">
        <v>917</v>
      </c>
      <c r="B1170" s="30" t="s">
        <v>917</v>
      </c>
      <c r="C1170" s="21" t="s">
        <v>918</v>
      </c>
      <c r="D1170" s="21" t="s">
        <v>47</v>
      </c>
      <c r="E1170" s="21" t="s">
        <v>79</v>
      </c>
      <c r="F1170" s="21"/>
      <c r="G1170" s="21"/>
      <c r="H1170" s="32"/>
      <c r="I1170" s="32">
        <f t="shared" si="56"/>
        <v>0</v>
      </c>
      <c r="J1170" s="32"/>
      <c r="K1170" s="32">
        <v>0</v>
      </c>
      <c r="L1170" s="33">
        <f t="shared" si="57"/>
        <v>0</v>
      </c>
    </row>
    <row r="1171" spans="1:12" x14ac:dyDescent="0.25">
      <c r="A1171" s="15" t="s">
        <v>917</v>
      </c>
      <c r="B1171" s="14" t="s">
        <v>917</v>
      </c>
      <c r="C1171" s="15" t="s">
        <v>919</v>
      </c>
      <c r="D1171" s="15" t="s">
        <v>53</v>
      </c>
      <c r="E1171" s="15" t="s">
        <v>129</v>
      </c>
      <c r="F1171" s="15"/>
      <c r="G1171" s="15"/>
      <c r="H1171" s="35"/>
      <c r="I1171" s="35">
        <f t="shared" si="56"/>
        <v>0</v>
      </c>
      <c r="J1171" s="35"/>
      <c r="K1171" s="35">
        <v>0</v>
      </c>
      <c r="L1171" s="36">
        <f t="shared" si="57"/>
        <v>0</v>
      </c>
    </row>
    <row r="1172" spans="1:12" x14ac:dyDescent="0.25">
      <c r="A1172" s="21" t="s">
        <v>917</v>
      </c>
      <c r="B1172" s="30" t="s">
        <v>917</v>
      </c>
      <c r="C1172" s="21" t="s">
        <v>920</v>
      </c>
      <c r="D1172" s="21" t="s">
        <v>54</v>
      </c>
      <c r="E1172" s="21" t="s">
        <v>84</v>
      </c>
      <c r="F1172" s="21"/>
      <c r="G1172" s="21"/>
      <c r="H1172" s="32"/>
      <c r="I1172" s="32">
        <f t="shared" si="56"/>
        <v>0</v>
      </c>
      <c r="J1172" s="32"/>
      <c r="K1172" s="32">
        <v>0</v>
      </c>
      <c r="L1172" s="33">
        <f t="shared" si="57"/>
        <v>0</v>
      </c>
    </row>
    <row r="1173" spans="1:12" x14ac:dyDescent="0.25">
      <c r="A1173" s="15" t="s">
        <v>917</v>
      </c>
      <c r="B1173" s="14" t="s">
        <v>917</v>
      </c>
      <c r="C1173" s="15" t="s">
        <v>926</v>
      </c>
      <c r="D1173" s="15" t="s">
        <v>65</v>
      </c>
      <c r="E1173" s="15" t="s">
        <v>82</v>
      </c>
      <c r="F1173" s="34">
        <v>2</v>
      </c>
      <c r="G1173" s="34">
        <v>3</v>
      </c>
      <c r="H1173" s="35"/>
      <c r="I1173" s="35">
        <f t="shared" si="56"/>
        <v>0</v>
      </c>
      <c r="J1173" s="35"/>
      <c r="K1173" s="35">
        <v>0</v>
      </c>
      <c r="L1173" s="36">
        <f t="shared" si="57"/>
        <v>3</v>
      </c>
    </row>
    <row r="1174" spans="1:12" x14ac:dyDescent="0.25">
      <c r="A1174" s="21" t="s">
        <v>917</v>
      </c>
      <c r="B1174" s="30" t="s">
        <v>917</v>
      </c>
      <c r="C1174" s="21" t="s">
        <v>927</v>
      </c>
      <c r="D1174" s="21" t="s">
        <v>65</v>
      </c>
      <c r="E1174" s="21" t="s">
        <v>82</v>
      </c>
      <c r="F1174" s="31">
        <v>1</v>
      </c>
      <c r="G1174" s="31">
        <v>2</v>
      </c>
      <c r="H1174" s="32"/>
      <c r="I1174" s="32">
        <f t="shared" si="56"/>
        <v>0</v>
      </c>
      <c r="J1174" s="32"/>
      <c r="K1174" s="32">
        <v>0</v>
      </c>
      <c r="L1174" s="33">
        <f t="shared" si="57"/>
        <v>2</v>
      </c>
    </row>
    <row r="1175" spans="1:12" x14ac:dyDescent="0.25">
      <c r="A1175" s="15" t="s">
        <v>917</v>
      </c>
      <c r="B1175" s="14" t="s">
        <v>917</v>
      </c>
      <c r="C1175" s="15" t="s">
        <v>928</v>
      </c>
      <c r="D1175" s="15" t="s">
        <v>65</v>
      </c>
      <c r="E1175" s="15" t="s">
        <v>82</v>
      </c>
      <c r="F1175" s="34">
        <v>1</v>
      </c>
      <c r="G1175" s="34">
        <v>1</v>
      </c>
      <c r="H1175" s="35"/>
      <c r="I1175" s="35">
        <f t="shared" si="56"/>
        <v>0</v>
      </c>
      <c r="J1175" s="35"/>
      <c r="K1175" s="35">
        <v>0</v>
      </c>
      <c r="L1175" s="36">
        <f t="shared" si="57"/>
        <v>1</v>
      </c>
    </row>
    <row r="1176" spans="1:12" x14ac:dyDescent="0.25">
      <c r="A1176" s="21" t="s">
        <v>917</v>
      </c>
      <c r="B1176" s="30" t="s">
        <v>917</v>
      </c>
      <c r="C1176" s="21" t="s">
        <v>929</v>
      </c>
      <c r="D1176" s="21" t="s">
        <v>65</v>
      </c>
      <c r="E1176" s="21" t="s">
        <v>82</v>
      </c>
      <c r="F1176" s="31">
        <v>1</v>
      </c>
      <c r="G1176" s="31">
        <v>2</v>
      </c>
      <c r="H1176" s="32"/>
      <c r="I1176" s="32">
        <f t="shared" si="56"/>
        <v>0</v>
      </c>
      <c r="J1176" s="32"/>
      <c r="K1176" s="32">
        <v>0</v>
      </c>
      <c r="L1176" s="33">
        <f t="shared" si="57"/>
        <v>2</v>
      </c>
    </row>
    <row r="1177" spans="1:12" x14ac:dyDescent="0.25">
      <c r="A1177" s="15" t="s">
        <v>917</v>
      </c>
      <c r="B1177" s="14" t="s">
        <v>917</v>
      </c>
      <c r="C1177" s="15" t="s">
        <v>930</v>
      </c>
      <c r="D1177" s="15" t="s">
        <v>65</v>
      </c>
      <c r="E1177" s="15" t="s">
        <v>82</v>
      </c>
      <c r="F1177" s="34">
        <v>1</v>
      </c>
      <c r="G1177" s="34">
        <v>2</v>
      </c>
      <c r="H1177" s="35"/>
      <c r="I1177" s="35">
        <f t="shared" si="56"/>
        <v>0</v>
      </c>
      <c r="J1177" s="35"/>
      <c r="K1177" s="35">
        <v>0</v>
      </c>
      <c r="L1177" s="36">
        <f t="shared" si="57"/>
        <v>2</v>
      </c>
    </row>
    <row r="1178" spans="1:12" x14ac:dyDescent="0.25">
      <c r="A1178" s="21" t="s">
        <v>917</v>
      </c>
      <c r="B1178" s="30" t="s">
        <v>917</v>
      </c>
      <c r="C1178" s="21" t="s">
        <v>931</v>
      </c>
      <c r="D1178" s="21" t="s">
        <v>65</v>
      </c>
      <c r="E1178" s="21" t="s">
        <v>82</v>
      </c>
      <c r="F1178" s="31">
        <v>2</v>
      </c>
      <c r="G1178" s="31">
        <v>4</v>
      </c>
      <c r="H1178" s="32"/>
      <c r="I1178" s="32">
        <f t="shared" si="56"/>
        <v>0</v>
      </c>
      <c r="J1178" s="32"/>
      <c r="K1178" s="32">
        <v>0</v>
      </c>
      <c r="L1178" s="33">
        <f t="shared" si="57"/>
        <v>4</v>
      </c>
    </row>
    <row r="1179" spans="1:12" x14ac:dyDescent="0.25">
      <c r="A1179" s="15" t="s">
        <v>917</v>
      </c>
      <c r="B1179" s="14" t="s">
        <v>917</v>
      </c>
      <c r="C1179" s="15" t="s">
        <v>932</v>
      </c>
      <c r="D1179" s="15" t="s">
        <v>65</v>
      </c>
      <c r="E1179" s="15" t="s">
        <v>82</v>
      </c>
      <c r="F1179" s="34">
        <v>0.5</v>
      </c>
      <c r="G1179" s="34">
        <v>0.5</v>
      </c>
      <c r="H1179" s="35"/>
      <c r="I1179" s="35">
        <f t="shared" si="56"/>
        <v>0</v>
      </c>
      <c r="J1179" s="35"/>
      <c r="K1179" s="35">
        <v>0</v>
      </c>
      <c r="L1179" s="36">
        <f t="shared" si="57"/>
        <v>0.5</v>
      </c>
    </row>
    <row r="1180" spans="1:12" x14ac:dyDescent="0.25">
      <c r="A1180" s="21" t="s">
        <v>917</v>
      </c>
      <c r="B1180" s="30" t="s">
        <v>917</v>
      </c>
      <c r="C1180" s="21" t="s">
        <v>933</v>
      </c>
      <c r="D1180" s="21" t="s">
        <v>65</v>
      </c>
      <c r="E1180" s="21" t="s">
        <v>82</v>
      </c>
      <c r="F1180" s="31">
        <v>5</v>
      </c>
      <c r="G1180" s="31">
        <v>10</v>
      </c>
      <c r="H1180" s="32"/>
      <c r="I1180" s="32">
        <f t="shared" si="56"/>
        <v>0</v>
      </c>
      <c r="J1180" s="32"/>
      <c r="K1180" s="32">
        <v>0</v>
      </c>
      <c r="L1180" s="33">
        <f t="shared" si="57"/>
        <v>10</v>
      </c>
    </row>
    <row r="1181" spans="1:12" x14ac:dyDescent="0.25">
      <c r="A1181" s="15" t="s">
        <v>917</v>
      </c>
      <c r="B1181" s="14" t="s">
        <v>917</v>
      </c>
      <c r="C1181" s="15" t="s">
        <v>410</v>
      </c>
      <c r="D1181" s="15" t="s">
        <v>61</v>
      </c>
      <c r="E1181" s="15" t="s">
        <v>142</v>
      </c>
      <c r="F1181" s="15"/>
      <c r="G1181" s="15"/>
      <c r="H1181" s="35"/>
      <c r="I1181" s="35">
        <f t="shared" si="56"/>
        <v>0</v>
      </c>
      <c r="J1181" s="35"/>
      <c r="K1181" s="35">
        <v>0</v>
      </c>
      <c r="L1181" s="36">
        <f t="shared" si="57"/>
        <v>0</v>
      </c>
    </row>
    <row r="1182" spans="1:12" x14ac:dyDescent="0.25">
      <c r="A1182" s="21" t="s">
        <v>917</v>
      </c>
      <c r="B1182" s="30" t="s">
        <v>917</v>
      </c>
      <c r="C1182" s="21" t="s">
        <v>568</v>
      </c>
      <c r="D1182" s="21" t="s">
        <v>70</v>
      </c>
      <c r="E1182" s="21" t="s">
        <v>104</v>
      </c>
      <c r="F1182" s="21"/>
      <c r="G1182" s="21"/>
      <c r="H1182" s="32"/>
      <c r="I1182" s="32">
        <f t="shared" si="56"/>
        <v>0</v>
      </c>
      <c r="J1182" s="32"/>
      <c r="K1182" s="32">
        <v>0</v>
      </c>
      <c r="L1182" s="33">
        <f t="shared" si="57"/>
        <v>0</v>
      </c>
    </row>
    <row r="1183" spans="1:12" x14ac:dyDescent="0.25">
      <c r="A1183" s="15" t="s">
        <v>917</v>
      </c>
      <c r="B1183" s="14" t="s">
        <v>917</v>
      </c>
      <c r="C1183" s="15" t="s">
        <v>934</v>
      </c>
      <c r="D1183" s="15" t="s">
        <v>65</v>
      </c>
      <c r="E1183" s="15" t="s">
        <v>82</v>
      </c>
      <c r="F1183" s="34">
        <v>1</v>
      </c>
      <c r="G1183" s="34">
        <v>2</v>
      </c>
      <c r="H1183" s="35"/>
      <c r="I1183" s="35">
        <f t="shared" si="56"/>
        <v>0</v>
      </c>
      <c r="J1183" s="35"/>
      <c r="K1183" s="35">
        <v>0</v>
      </c>
      <c r="L1183" s="36">
        <f t="shared" si="57"/>
        <v>2</v>
      </c>
    </row>
    <row r="1184" spans="1:12" x14ac:dyDescent="0.25">
      <c r="A1184" s="21" t="s">
        <v>917</v>
      </c>
      <c r="B1184" s="30" t="s">
        <v>917</v>
      </c>
      <c r="C1184" s="21" t="s">
        <v>922</v>
      </c>
      <c r="D1184" s="21" t="s">
        <v>62</v>
      </c>
      <c r="E1184" s="21" t="s">
        <v>159</v>
      </c>
      <c r="F1184" s="21"/>
      <c r="G1184" s="21"/>
      <c r="H1184" s="32"/>
      <c r="I1184" s="32">
        <f t="shared" si="56"/>
        <v>0</v>
      </c>
      <c r="J1184" s="32"/>
      <c r="K1184" s="32">
        <v>0</v>
      </c>
      <c r="L1184" s="33">
        <f t="shared" si="57"/>
        <v>0</v>
      </c>
    </row>
    <row r="1185" spans="1:12" x14ac:dyDescent="0.25">
      <c r="A1185" s="15" t="s">
        <v>917</v>
      </c>
      <c r="B1185" s="14" t="s">
        <v>917</v>
      </c>
      <c r="C1185" s="15" t="s">
        <v>923</v>
      </c>
      <c r="D1185" s="15" t="s">
        <v>69</v>
      </c>
      <c r="E1185" s="15" t="s">
        <v>90</v>
      </c>
      <c r="F1185" s="15"/>
      <c r="G1185" s="15"/>
      <c r="H1185" s="35"/>
      <c r="I1185" s="35">
        <f t="shared" si="56"/>
        <v>0</v>
      </c>
      <c r="J1185" s="35"/>
      <c r="K1185" s="35">
        <v>0</v>
      </c>
      <c r="L1185" s="36">
        <f t="shared" si="57"/>
        <v>0</v>
      </c>
    </row>
    <row r="1186" spans="1:12" x14ac:dyDescent="0.25">
      <c r="A1186" s="21" t="s">
        <v>917</v>
      </c>
      <c r="B1186" s="30" t="s">
        <v>917</v>
      </c>
      <c r="C1186" s="21" t="s">
        <v>924</v>
      </c>
      <c r="D1186" s="21" t="s">
        <v>47</v>
      </c>
      <c r="E1186" s="21" t="s">
        <v>79</v>
      </c>
      <c r="F1186" s="21"/>
      <c r="G1186" s="21"/>
      <c r="H1186" s="32"/>
      <c r="I1186" s="32">
        <f t="shared" si="56"/>
        <v>0</v>
      </c>
      <c r="J1186" s="32"/>
      <c r="K1186" s="32">
        <v>0</v>
      </c>
      <c r="L1186" s="33">
        <f t="shared" si="57"/>
        <v>0</v>
      </c>
    </row>
    <row r="1187" spans="1:12" x14ac:dyDescent="0.25">
      <c r="A1187" s="15" t="s">
        <v>917</v>
      </c>
      <c r="B1187" s="14" t="s">
        <v>917</v>
      </c>
      <c r="C1187" s="15" t="s">
        <v>925</v>
      </c>
      <c r="D1187" s="15" t="s">
        <v>65</v>
      </c>
      <c r="E1187" s="15" t="s">
        <v>82</v>
      </c>
      <c r="F1187" s="15"/>
      <c r="G1187" s="15"/>
      <c r="H1187" s="35"/>
      <c r="I1187" s="35">
        <f t="shared" si="56"/>
        <v>0</v>
      </c>
      <c r="J1187" s="35"/>
      <c r="K1187" s="35">
        <v>0</v>
      </c>
      <c r="L1187" s="36">
        <f t="shared" si="57"/>
        <v>0</v>
      </c>
    </row>
    <row r="1188" spans="1:12" x14ac:dyDescent="0.25">
      <c r="A1188" s="21" t="s">
        <v>917</v>
      </c>
      <c r="B1188" s="30" t="s">
        <v>917</v>
      </c>
      <c r="C1188" s="21" t="s">
        <v>935</v>
      </c>
      <c r="D1188" s="21" t="s">
        <v>65</v>
      </c>
      <c r="E1188" s="21" t="s">
        <v>82</v>
      </c>
      <c r="F1188" s="31">
        <v>20</v>
      </c>
      <c r="G1188" s="31">
        <v>20</v>
      </c>
      <c r="H1188" s="32"/>
      <c r="I1188" s="32">
        <f t="shared" si="56"/>
        <v>0</v>
      </c>
      <c r="J1188" s="32"/>
      <c r="K1188" s="32">
        <v>0</v>
      </c>
      <c r="L1188" s="33">
        <f t="shared" si="57"/>
        <v>20</v>
      </c>
    </row>
    <row r="1189" spans="1:12" x14ac:dyDescent="0.25">
      <c r="A1189" s="15" t="s">
        <v>917</v>
      </c>
      <c r="B1189" s="14" t="s">
        <v>917</v>
      </c>
      <c r="C1189" s="15" t="s">
        <v>936</v>
      </c>
      <c r="D1189" s="15" t="s">
        <v>67</v>
      </c>
      <c r="E1189" s="15" t="s">
        <v>93</v>
      </c>
      <c r="F1189" s="34">
        <v>20</v>
      </c>
      <c r="G1189" s="34">
        <v>20</v>
      </c>
      <c r="H1189" s="35"/>
      <c r="I1189" s="35">
        <f t="shared" si="56"/>
        <v>0</v>
      </c>
      <c r="J1189" s="35"/>
      <c r="K1189" s="35">
        <v>0</v>
      </c>
      <c r="L1189" s="36">
        <f t="shared" si="57"/>
        <v>20</v>
      </c>
    </row>
    <row r="1190" spans="1:12" x14ac:dyDescent="0.25">
      <c r="A1190" s="21" t="s">
        <v>917</v>
      </c>
      <c r="B1190" s="30" t="s">
        <v>917</v>
      </c>
      <c r="C1190" s="21" t="s">
        <v>937</v>
      </c>
      <c r="D1190" s="21" t="s">
        <v>47</v>
      </c>
      <c r="E1190" s="21" t="s">
        <v>79</v>
      </c>
      <c r="F1190" s="21"/>
      <c r="G1190" s="21"/>
      <c r="H1190" s="32"/>
      <c r="I1190" s="32">
        <f t="shared" si="56"/>
        <v>0</v>
      </c>
      <c r="J1190" s="32"/>
      <c r="K1190" s="32">
        <v>0</v>
      </c>
      <c r="L1190" s="33">
        <f t="shared" si="57"/>
        <v>0</v>
      </c>
    </row>
    <row r="1191" spans="1:12" x14ac:dyDescent="0.25">
      <c r="A1191" s="21" t="s">
        <v>938</v>
      </c>
      <c r="B1191" s="30" t="s">
        <v>938</v>
      </c>
      <c r="C1191" s="21" t="s">
        <v>939</v>
      </c>
      <c r="D1191" s="21" t="s">
        <v>70</v>
      </c>
      <c r="E1191" s="21" t="s">
        <v>104</v>
      </c>
      <c r="F1191" s="31">
        <v>0.5</v>
      </c>
      <c r="G1191" s="31">
        <v>1</v>
      </c>
      <c r="H1191" s="32"/>
      <c r="I1191" s="32">
        <f t="shared" si="56"/>
        <v>0</v>
      </c>
      <c r="J1191" s="32"/>
      <c r="K1191" s="32">
        <v>0</v>
      </c>
      <c r="L1191" s="33">
        <f t="shared" si="57"/>
        <v>1</v>
      </c>
    </row>
    <row r="1192" spans="1:12" x14ac:dyDescent="0.25">
      <c r="A1192" s="15" t="s">
        <v>938</v>
      </c>
      <c r="B1192" s="14" t="s">
        <v>938</v>
      </c>
      <c r="C1192" s="15" t="s">
        <v>940</v>
      </c>
      <c r="D1192" s="15" t="s">
        <v>54</v>
      </c>
      <c r="E1192" s="15" t="s">
        <v>84</v>
      </c>
      <c r="F1192" s="15"/>
      <c r="G1192" s="34">
        <v>5</v>
      </c>
      <c r="H1192" s="35"/>
      <c r="I1192" s="35">
        <f t="shared" si="56"/>
        <v>0</v>
      </c>
      <c r="J1192" s="35"/>
      <c r="K1192" s="35">
        <v>0</v>
      </c>
      <c r="L1192" s="36">
        <f t="shared" si="57"/>
        <v>5</v>
      </c>
    </row>
    <row r="1193" spans="1:12" x14ac:dyDescent="0.25">
      <c r="A1193" s="21" t="s">
        <v>938</v>
      </c>
      <c r="B1193" s="30" t="s">
        <v>938</v>
      </c>
      <c r="C1193" s="21" t="s">
        <v>941</v>
      </c>
      <c r="D1193" s="21" t="s">
        <v>47</v>
      </c>
      <c r="E1193" s="21" t="s">
        <v>79</v>
      </c>
      <c r="F1193" s="21"/>
      <c r="G1193" s="31">
        <v>2</v>
      </c>
      <c r="H1193" s="32"/>
      <c r="I1193" s="32">
        <f t="shared" si="56"/>
        <v>0</v>
      </c>
      <c r="J1193" s="32"/>
      <c r="K1193" s="32">
        <v>0</v>
      </c>
      <c r="L1193" s="33">
        <f t="shared" si="57"/>
        <v>2</v>
      </c>
    </row>
    <row r="1194" spans="1:12" x14ac:dyDescent="0.25">
      <c r="A1194" s="15" t="s">
        <v>938</v>
      </c>
      <c r="B1194" s="14" t="s">
        <v>938</v>
      </c>
      <c r="C1194" s="15" t="s">
        <v>942</v>
      </c>
      <c r="D1194" s="15" t="s">
        <v>47</v>
      </c>
      <c r="E1194" s="15" t="s">
        <v>79</v>
      </c>
      <c r="F1194" s="34">
        <v>2</v>
      </c>
      <c r="G1194" s="34">
        <v>2</v>
      </c>
      <c r="H1194" s="35"/>
      <c r="I1194" s="35">
        <f t="shared" si="56"/>
        <v>0</v>
      </c>
      <c r="J1194" s="35"/>
      <c r="K1194" s="35">
        <v>0</v>
      </c>
      <c r="L1194" s="36">
        <f t="shared" si="57"/>
        <v>2</v>
      </c>
    </row>
    <row r="1195" spans="1:12" x14ac:dyDescent="0.25">
      <c r="A1195" s="21" t="s">
        <v>938</v>
      </c>
      <c r="B1195" s="30" t="s">
        <v>938</v>
      </c>
      <c r="C1195" s="21" t="s">
        <v>943</v>
      </c>
      <c r="D1195" s="21" t="s">
        <v>65</v>
      </c>
      <c r="E1195" s="21" t="s">
        <v>82</v>
      </c>
      <c r="F1195" s="21"/>
      <c r="G1195" s="21"/>
      <c r="H1195" s="32"/>
      <c r="I1195" s="32">
        <f t="shared" si="56"/>
        <v>0</v>
      </c>
      <c r="J1195" s="32"/>
      <c r="K1195" s="32">
        <v>0</v>
      </c>
      <c r="L1195" s="33">
        <f t="shared" si="57"/>
        <v>0</v>
      </c>
    </row>
    <row r="1196" spans="1:12" x14ac:dyDescent="0.25">
      <c r="A1196" s="15" t="s">
        <v>938</v>
      </c>
      <c r="B1196" s="14" t="s">
        <v>938</v>
      </c>
      <c r="C1196" s="15" t="s">
        <v>944</v>
      </c>
      <c r="D1196" s="15" t="s">
        <v>69</v>
      </c>
      <c r="E1196" s="15" t="s">
        <v>90</v>
      </c>
      <c r="F1196" s="15"/>
      <c r="G1196" s="15"/>
      <c r="H1196" s="35"/>
      <c r="I1196" s="35">
        <f t="shared" si="56"/>
        <v>0</v>
      </c>
      <c r="J1196" s="35"/>
      <c r="K1196" s="35">
        <v>0</v>
      </c>
      <c r="L1196" s="36">
        <f t="shared" si="57"/>
        <v>0</v>
      </c>
    </row>
    <row r="1197" spans="1:12" x14ac:dyDescent="0.25">
      <c r="A1197" s="21" t="s">
        <v>938</v>
      </c>
      <c r="B1197" s="30" t="s">
        <v>938</v>
      </c>
      <c r="C1197" s="21" t="s">
        <v>943</v>
      </c>
      <c r="D1197" s="21" t="s">
        <v>65</v>
      </c>
      <c r="E1197" s="21" t="s">
        <v>82</v>
      </c>
      <c r="F1197" s="21"/>
      <c r="G1197" s="21"/>
      <c r="H1197" s="32"/>
      <c r="I1197" s="32">
        <f t="shared" si="56"/>
        <v>0</v>
      </c>
      <c r="J1197" s="32"/>
      <c r="K1197" s="32">
        <v>0</v>
      </c>
      <c r="L1197" s="33">
        <f t="shared" si="57"/>
        <v>0</v>
      </c>
    </row>
    <row r="1198" spans="1:12" x14ac:dyDescent="0.25">
      <c r="A1198" s="15" t="s">
        <v>938</v>
      </c>
      <c r="B1198" s="14" t="s">
        <v>938</v>
      </c>
      <c r="C1198" s="15" t="s">
        <v>944</v>
      </c>
      <c r="D1198" s="15" t="s">
        <v>69</v>
      </c>
      <c r="E1198" s="15" t="s">
        <v>90</v>
      </c>
      <c r="F1198" s="15"/>
      <c r="G1198" s="15"/>
      <c r="H1198" s="35"/>
      <c r="I1198" s="35">
        <f t="shared" si="56"/>
        <v>0</v>
      </c>
      <c r="J1198" s="35"/>
      <c r="K1198" s="35">
        <v>0</v>
      </c>
      <c r="L1198" s="36">
        <f t="shared" si="57"/>
        <v>0</v>
      </c>
    </row>
    <row r="1199" spans="1:12" x14ac:dyDescent="0.25">
      <c r="A1199" s="21" t="s">
        <v>938</v>
      </c>
      <c r="B1199" s="30" t="s">
        <v>938</v>
      </c>
      <c r="C1199" s="21" t="s">
        <v>945</v>
      </c>
      <c r="D1199" s="21" t="s">
        <v>53</v>
      </c>
      <c r="E1199" s="21" t="s">
        <v>129</v>
      </c>
      <c r="F1199" s="21"/>
      <c r="G1199" s="21"/>
      <c r="H1199" s="32"/>
      <c r="I1199" s="32">
        <f t="shared" ref="I1199:I1230" si="58">IF(H1199="",0,G1199)</f>
        <v>0</v>
      </c>
      <c r="J1199" s="32"/>
      <c r="K1199" s="32">
        <v>0</v>
      </c>
      <c r="L1199" s="33">
        <f t="shared" ref="L1199:L1230" si="59">G1199-I1199-K1199</f>
        <v>0</v>
      </c>
    </row>
    <row r="1200" spans="1:12" x14ac:dyDescent="0.25">
      <c r="A1200" s="15" t="s">
        <v>938</v>
      </c>
      <c r="B1200" s="14" t="s">
        <v>938</v>
      </c>
      <c r="C1200" s="15" t="s">
        <v>946</v>
      </c>
      <c r="D1200" s="15" t="s">
        <v>53</v>
      </c>
      <c r="E1200" s="15" t="s">
        <v>129</v>
      </c>
      <c r="F1200" s="15"/>
      <c r="G1200" s="15"/>
      <c r="H1200" s="35"/>
      <c r="I1200" s="35">
        <f t="shared" si="58"/>
        <v>0</v>
      </c>
      <c r="J1200" s="35"/>
      <c r="K1200" s="35">
        <v>0</v>
      </c>
      <c r="L1200" s="36">
        <f t="shared" si="59"/>
        <v>0</v>
      </c>
    </row>
    <row r="1201" spans="1:12" x14ac:dyDescent="0.25">
      <c r="A1201" s="21" t="s">
        <v>948</v>
      </c>
      <c r="B1201" s="30" t="s">
        <v>948</v>
      </c>
      <c r="C1201" s="21" t="s">
        <v>949</v>
      </c>
      <c r="D1201" s="21" t="s">
        <v>47</v>
      </c>
      <c r="E1201" s="21" t="s">
        <v>79</v>
      </c>
      <c r="F1201" s="31">
        <v>2</v>
      </c>
      <c r="G1201" s="31">
        <v>3</v>
      </c>
      <c r="H1201" s="32"/>
      <c r="I1201" s="32">
        <f t="shared" si="58"/>
        <v>0</v>
      </c>
      <c r="J1201" s="32"/>
      <c r="K1201" s="32">
        <v>0</v>
      </c>
      <c r="L1201" s="33">
        <f t="shared" si="59"/>
        <v>3</v>
      </c>
    </row>
    <row r="1202" spans="1:12" x14ac:dyDescent="0.25">
      <c r="A1202" s="15" t="s">
        <v>948</v>
      </c>
      <c r="B1202" s="14" t="s">
        <v>948</v>
      </c>
      <c r="C1202" s="15" t="s">
        <v>950</v>
      </c>
      <c r="D1202" s="15" t="s">
        <v>47</v>
      </c>
      <c r="E1202" s="15" t="s">
        <v>79</v>
      </c>
      <c r="F1202" s="15"/>
      <c r="G1202" s="15"/>
      <c r="H1202" s="35"/>
      <c r="I1202" s="35">
        <f t="shared" si="58"/>
        <v>0</v>
      </c>
      <c r="J1202" s="35"/>
      <c r="K1202" s="35">
        <v>0</v>
      </c>
      <c r="L1202" s="36">
        <f t="shared" si="59"/>
        <v>0</v>
      </c>
    </row>
    <row r="1203" spans="1:12" x14ac:dyDescent="0.25">
      <c r="A1203" s="21" t="s">
        <v>948</v>
      </c>
      <c r="B1203" s="30" t="s">
        <v>948</v>
      </c>
      <c r="C1203" s="21" t="s">
        <v>951</v>
      </c>
      <c r="D1203" s="21" t="s">
        <v>51</v>
      </c>
      <c r="E1203" s="21" t="s">
        <v>146</v>
      </c>
      <c r="F1203" s="31">
        <v>1</v>
      </c>
      <c r="G1203" s="31">
        <v>1</v>
      </c>
      <c r="H1203" s="32"/>
      <c r="I1203" s="32">
        <f t="shared" si="58"/>
        <v>0</v>
      </c>
      <c r="J1203" s="32"/>
      <c r="K1203" s="32">
        <v>0</v>
      </c>
      <c r="L1203" s="33">
        <f t="shared" si="59"/>
        <v>1</v>
      </c>
    </row>
    <row r="1204" spans="1:12" x14ac:dyDescent="0.25">
      <c r="A1204" s="15" t="s">
        <v>948</v>
      </c>
      <c r="B1204" s="14" t="s">
        <v>948</v>
      </c>
      <c r="C1204" s="15" t="s">
        <v>952</v>
      </c>
      <c r="D1204" s="15" t="s">
        <v>47</v>
      </c>
      <c r="E1204" s="15" t="s">
        <v>79</v>
      </c>
      <c r="F1204" s="34">
        <v>3</v>
      </c>
      <c r="G1204" s="34">
        <v>4</v>
      </c>
      <c r="H1204" s="35"/>
      <c r="I1204" s="35">
        <f t="shared" si="58"/>
        <v>0</v>
      </c>
      <c r="J1204" s="35"/>
      <c r="K1204" s="35">
        <v>0</v>
      </c>
      <c r="L1204" s="36">
        <f t="shared" si="59"/>
        <v>4</v>
      </c>
    </row>
    <row r="1205" spans="1:12" x14ac:dyDescent="0.25">
      <c r="A1205" s="21" t="s">
        <v>948</v>
      </c>
      <c r="B1205" s="30" t="s">
        <v>948</v>
      </c>
      <c r="C1205" s="21" t="s">
        <v>953</v>
      </c>
      <c r="D1205" s="21" t="s">
        <v>47</v>
      </c>
      <c r="E1205" s="21" t="s">
        <v>79</v>
      </c>
      <c r="F1205" s="31">
        <v>3</v>
      </c>
      <c r="G1205" s="31">
        <v>5</v>
      </c>
      <c r="H1205" s="32"/>
      <c r="I1205" s="32">
        <f t="shared" si="58"/>
        <v>0</v>
      </c>
      <c r="J1205" s="32"/>
      <c r="K1205" s="32">
        <v>0</v>
      </c>
      <c r="L1205" s="33">
        <f t="shared" si="59"/>
        <v>5</v>
      </c>
    </row>
    <row r="1206" spans="1:12" x14ac:dyDescent="0.25">
      <c r="A1206" s="15" t="s">
        <v>948</v>
      </c>
      <c r="B1206" s="14" t="s">
        <v>948</v>
      </c>
      <c r="C1206" s="15" t="s">
        <v>954</v>
      </c>
      <c r="D1206" s="15" t="s">
        <v>47</v>
      </c>
      <c r="E1206" s="15" t="s">
        <v>79</v>
      </c>
      <c r="F1206" s="34">
        <v>2</v>
      </c>
      <c r="G1206" s="34">
        <v>2</v>
      </c>
      <c r="H1206" s="35"/>
      <c r="I1206" s="35">
        <f t="shared" si="58"/>
        <v>0</v>
      </c>
      <c r="J1206" s="35"/>
      <c r="K1206" s="35">
        <v>0</v>
      </c>
      <c r="L1206" s="36">
        <f t="shared" si="59"/>
        <v>2</v>
      </c>
    </row>
    <row r="1207" spans="1:12" x14ac:dyDescent="0.25">
      <c r="A1207" s="21" t="s">
        <v>948</v>
      </c>
      <c r="B1207" s="30" t="s">
        <v>948</v>
      </c>
      <c r="C1207" s="21" t="s">
        <v>951</v>
      </c>
      <c r="D1207" s="21" t="s">
        <v>51</v>
      </c>
      <c r="E1207" s="21" t="s">
        <v>146</v>
      </c>
      <c r="F1207" s="31">
        <v>0.5</v>
      </c>
      <c r="G1207" s="31">
        <v>2</v>
      </c>
      <c r="H1207" s="32"/>
      <c r="I1207" s="32">
        <f t="shared" si="58"/>
        <v>0</v>
      </c>
      <c r="J1207" s="32"/>
      <c r="K1207" s="32">
        <v>0</v>
      </c>
      <c r="L1207" s="33">
        <f t="shared" si="59"/>
        <v>2</v>
      </c>
    </row>
    <row r="1208" spans="1:12" x14ac:dyDescent="0.25">
      <c r="A1208" s="15" t="s">
        <v>948</v>
      </c>
      <c r="B1208" s="14" t="s">
        <v>948</v>
      </c>
      <c r="C1208" s="15" t="s">
        <v>952</v>
      </c>
      <c r="D1208" s="15" t="s">
        <v>47</v>
      </c>
      <c r="E1208" s="15" t="s">
        <v>79</v>
      </c>
      <c r="F1208" s="34">
        <v>3</v>
      </c>
      <c r="G1208" s="34">
        <v>5</v>
      </c>
      <c r="H1208" s="35"/>
      <c r="I1208" s="35">
        <f t="shared" si="58"/>
        <v>0</v>
      </c>
      <c r="J1208" s="35"/>
      <c r="K1208" s="35">
        <v>0</v>
      </c>
      <c r="L1208" s="36">
        <f t="shared" si="59"/>
        <v>5</v>
      </c>
    </row>
    <row r="1209" spans="1:12" x14ac:dyDescent="0.25">
      <c r="A1209" s="21" t="s">
        <v>948</v>
      </c>
      <c r="B1209" s="30" t="s">
        <v>948</v>
      </c>
      <c r="C1209" s="21" t="s">
        <v>953</v>
      </c>
      <c r="D1209" s="21" t="s">
        <v>47</v>
      </c>
      <c r="E1209" s="21" t="s">
        <v>79</v>
      </c>
      <c r="F1209" s="31">
        <v>4</v>
      </c>
      <c r="G1209" s="31">
        <v>6</v>
      </c>
      <c r="H1209" s="32"/>
      <c r="I1209" s="32">
        <f t="shared" si="58"/>
        <v>0</v>
      </c>
      <c r="J1209" s="32"/>
      <c r="K1209" s="32">
        <v>0</v>
      </c>
      <c r="L1209" s="33">
        <f t="shared" si="59"/>
        <v>6</v>
      </c>
    </row>
    <row r="1210" spans="1:12" x14ac:dyDescent="0.25">
      <c r="A1210" s="15" t="s">
        <v>948</v>
      </c>
      <c r="B1210" s="14" t="s">
        <v>948</v>
      </c>
      <c r="C1210" s="15" t="s">
        <v>954</v>
      </c>
      <c r="D1210" s="15" t="s">
        <v>47</v>
      </c>
      <c r="E1210" s="15" t="s">
        <v>79</v>
      </c>
      <c r="F1210" s="34">
        <v>2</v>
      </c>
      <c r="G1210" s="34">
        <v>3</v>
      </c>
      <c r="H1210" s="35"/>
      <c r="I1210" s="35">
        <f t="shared" si="58"/>
        <v>0</v>
      </c>
      <c r="J1210" s="35"/>
      <c r="K1210" s="35">
        <v>0</v>
      </c>
      <c r="L1210" s="36">
        <f t="shared" si="59"/>
        <v>3</v>
      </c>
    </row>
    <row r="1211" spans="1:12" x14ac:dyDescent="0.25">
      <c r="A1211" s="21" t="s">
        <v>948</v>
      </c>
      <c r="B1211" s="30" t="s">
        <v>948</v>
      </c>
      <c r="C1211" s="21" t="s">
        <v>951</v>
      </c>
      <c r="D1211" s="21" t="s">
        <v>51</v>
      </c>
      <c r="E1211" s="21" t="s">
        <v>146</v>
      </c>
      <c r="F1211" s="31">
        <v>1</v>
      </c>
      <c r="G1211" s="31">
        <v>1</v>
      </c>
      <c r="H1211" s="32"/>
      <c r="I1211" s="32">
        <f t="shared" si="58"/>
        <v>0</v>
      </c>
      <c r="J1211" s="32"/>
      <c r="K1211" s="32">
        <v>0</v>
      </c>
      <c r="L1211" s="33">
        <f t="shared" si="59"/>
        <v>1</v>
      </c>
    </row>
    <row r="1212" spans="1:12" x14ac:dyDescent="0.25">
      <c r="A1212" s="15" t="s">
        <v>948</v>
      </c>
      <c r="B1212" s="14" t="s">
        <v>948</v>
      </c>
      <c r="C1212" s="15" t="s">
        <v>952</v>
      </c>
      <c r="D1212" s="15" t="s">
        <v>47</v>
      </c>
      <c r="E1212" s="15" t="s">
        <v>79</v>
      </c>
      <c r="F1212" s="34">
        <v>3</v>
      </c>
      <c r="G1212" s="34">
        <v>3</v>
      </c>
      <c r="H1212" s="35"/>
      <c r="I1212" s="35">
        <f t="shared" si="58"/>
        <v>0</v>
      </c>
      <c r="J1212" s="35"/>
      <c r="K1212" s="35">
        <v>0</v>
      </c>
      <c r="L1212" s="36">
        <f t="shared" si="59"/>
        <v>3</v>
      </c>
    </row>
    <row r="1213" spans="1:12" x14ac:dyDescent="0.25">
      <c r="A1213" s="21" t="s">
        <v>948</v>
      </c>
      <c r="B1213" s="30" t="s">
        <v>948</v>
      </c>
      <c r="C1213" s="21" t="s">
        <v>953</v>
      </c>
      <c r="D1213" s="21" t="s">
        <v>47</v>
      </c>
      <c r="E1213" s="21" t="s">
        <v>79</v>
      </c>
      <c r="F1213" s="31">
        <v>3</v>
      </c>
      <c r="G1213" s="31">
        <v>5</v>
      </c>
      <c r="H1213" s="32"/>
      <c r="I1213" s="32">
        <f t="shared" si="58"/>
        <v>0</v>
      </c>
      <c r="J1213" s="32"/>
      <c r="K1213" s="32">
        <v>0</v>
      </c>
      <c r="L1213" s="33">
        <f t="shared" si="59"/>
        <v>5</v>
      </c>
    </row>
    <row r="1214" spans="1:12" x14ac:dyDescent="0.25">
      <c r="A1214" s="15" t="s">
        <v>948</v>
      </c>
      <c r="B1214" s="14" t="s">
        <v>948</v>
      </c>
      <c r="C1214" s="15" t="s">
        <v>954</v>
      </c>
      <c r="D1214" s="15" t="s">
        <v>47</v>
      </c>
      <c r="E1214" s="15" t="s">
        <v>79</v>
      </c>
      <c r="F1214" s="34">
        <v>2</v>
      </c>
      <c r="G1214" s="34">
        <v>5</v>
      </c>
      <c r="H1214" s="35"/>
      <c r="I1214" s="35">
        <f t="shared" si="58"/>
        <v>0</v>
      </c>
      <c r="J1214" s="35"/>
      <c r="K1214" s="35">
        <v>0</v>
      </c>
      <c r="L1214" s="36">
        <f t="shared" si="59"/>
        <v>5</v>
      </c>
    </row>
    <row r="1215" spans="1:12" x14ac:dyDescent="0.25">
      <c r="A1215" s="21" t="s">
        <v>948</v>
      </c>
      <c r="B1215" s="30" t="s">
        <v>948</v>
      </c>
      <c r="C1215" s="21" t="s">
        <v>951</v>
      </c>
      <c r="D1215" s="21" t="s">
        <v>51</v>
      </c>
      <c r="E1215" s="21" t="s">
        <v>146</v>
      </c>
      <c r="F1215" s="31">
        <v>0.5</v>
      </c>
      <c r="G1215" s="31">
        <v>1</v>
      </c>
      <c r="H1215" s="32"/>
      <c r="I1215" s="32">
        <f t="shared" si="58"/>
        <v>0</v>
      </c>
      <c r="J1215" s="32"/>
      <c r="K1215" s="32">
        <v>0</v>
      </c>
      <c r="L1215" s="33">
        <f t="shared" si="59"/>
        <v>1</v>
      </c>
    </row>
    <row r="1216" spans="1:12" x14ac:dyDescent="0.25">
      <c r="A1216" s="15" t="s">
        <v>948</v>
      </c>
      <c r="B1216" s="14" t="s">
        <v>948</v>
      </c>
      <c r="C1216" s="15" t="s">
        <v>952</v>
      </c>
      <c r="D1216" s="15" t="s">
        <v>47</v>
      </c>
      <c r="E1216" s="15" t="s">
        <v>79</v>
      </c>
      <c r="F1216" s="34">
        <v>3</v>
      </c>
      <c r="G1216" s="34">
        <v>3</v>
      </c>
      <c r="H1216" s="35"/>
      <c r="I1216" s="35">
        <f t="shared" si="58"/>
        <v>0</v>
      </c>
      <c r="J1216" s="35"/>
      <c r="K1216" s="35">
        <v>0</v>
      </c>
      <c r="L1216" s="36">
        <f t="shared" si="59"/>
        <v>3</v>
      </c>
    </row>
    <row r="1217" spans="1:12" x14ac:dyDescent="0.25">
      <c r="A1217" s="21" t="s">
        <v>948</v>
      </c>
      <c r="B1217" s="30" t="s">
        <v>948</v>
      </c>
      <c r="C1217" s="21" t="s">
        <v>953</v>
      </c>
      <c r="D1217" s="21" t="s">
        <v>47</v>
      </c>
      <c r="E1217" s="21" t="s">
        <v>79</v>
      </c>
      <c r="F1217" s="31">
        <v>3</v>
      </c>
      <c r="G1217" s="31">
        <v>3</v>
      </c>
      <c r="H1217" s="32"/>
      <c r="I1217" s="32">
        <f t="shared" si="58"/>
        <v>0</v>
      </c>
      <c r="J1217" s="32"/>
      <c r="K1217" s="32">
        <v>0</v>
      </c>
      <c r="L1217" s="33">
        <f t="shared" si="59"/>
        <v>3</v>
      </c>
    </row>
    <row r="1218" spans="1:12" x14ac:dyDescent="0.25">
      <c r="A1218" s="15" t="s">
        <v>948</v>
      </c>
      <c r="B1218" s="14" t="s">
        <v>948</v>
      </c>
      <c r="C1218" s="15" t="s">
        <v>954</v>
      </c>
      <c r="D1218" s="15" t="s">
        <v>47</v>
      </c>
      <c r="E1218" s="15" t="s">
        <v>79</v>
      </c>
      <c r="F1218" s="34">
        <v>2</v>
      </c>
      <c r="G1218" s="34">
        <v>5</v>
      </c>
      <c r="H1218" s="35"/>
      <c r="I1218" s="35">
        <f t="shared" si="58"/>
        <v>0</v>
      </c>
      <c r="J1218" s="35"/>
      <c r="K1218" s="35">
        <v>0</v>
      </c>
      <c r="L1218" s="36">
        <f t="shared" si="59"/>
        <v>5</v>
      </c>
    </row>
    <row r="1219" spans="1:12" x14ac:dyDescent="0.25">
      <c r="A1219" s="21" t="s">
        <v>948</v>
      </c>
      <c r="B1219" s="30" t="s">
        <v>948</v>
      </c>
      <c r="C1219" s="21" t="s">
        <v>955</v>
      </c>
      <c r="D1219" s="21" t="s">
        <v>47</v>
      </c>
      <c r="E1219" s="21" t="s">
        <v>79</v>
      </c>
      <c r="F1219" s="31">
        <v>7</v>
      </c>
      <c r="G1219" s="31">
        <v>7</v>
      </c>
      <c r="H1219" s="32"/>
      <c r="I1219" s="32">
        <f t="shared" si="58"/>
        <v>0</v>
      </c>
      <c r="J1219" s="32"/>
      <c r="K1219" s="32">
        <v>0</v>
      </c>
      <c r="L1219" s="33">
        <f t="shared" si="59"/>
        <v>7</v>
      </c>
    </row>
    <row r="1220" spans="1:12" x14ac:dyDescent="0.25">
      <c r="A1220" s="15" t="s">
        <v>948</v>
      </c>
      <c r="B1220" s="14" t="s">
        <v>948</v>
      </c>
      <c r="C1220" s="15" t="s">
        <v>955</v>
      </c>
      <c r="D1220" s="15" t="s">
        <v>47</v>
      </c>
      <c r="E1220" s="15" t="s">
        <v>79</v>
      </c>
      <c r="F1220" s="34">
        <v>7</v>
      </c>
      <c r="G1220" s="34">
        <v>7</v>
      </c>
      <c r="H1220" s="35"/>
      <c r="I1220" s="35">
        <f t="shared" si="58"/>
        <v>0</v>
      </c>
      <c r="J1220" s="35"/>
      <c r="K1220" s="35">
        <v>0</v>
      </c>
      <c r="L1220" s="36">
        <f t="shared" si="59"/>
        <v>7</v>
      </c>
    </row>
    <row r="1221" spans="1:12" x14ac:dyDescent="0.25">
      <c r="A1221" s="21" t="s">
        <v>948</v>
      </c>
      <c r="B1221" s="30" t="s">
        <v>948</v>
      </c>
      <c r="C1221" s="21" t="s">
        <v>955</v>
      </c>
      <c r="D1221" s="21" t="s">
        <v>47</v>
      </c>
      <c r="E1221" s="21" t="s">
        <v>79</v>
      </c>
      <c r="F1221" s="31">
        <v>7</v>
      </c>
      <c r="G1221" s="31">
        <v>7</v>
      </c>
      <c r="H1221" s="32"/>
      <c r="I1221" s="32">
        <f t="shared" si="58"/>
        <v>0</v>
      </c>
      <c r="J1221" s="32"/>
      <c r="K1221" s="32">
        <v>0</v>
      </c>
      <c r="L1221" s="33">
        <f t="shared" si="59"/>
        <v>7</v>
      </c>
    </row>
    <row r="1222" spans="1:12" x14ac:dyDescent="0.25">
      <c r="A1222" s="15" t="s">
        <v>948</v>
      </c>
      <c r="B1222" s="14" t="s">
        <v>948</v>
      </c>
      <c r="C1222" s="15" t="s">
        <v>955</v>
      </c>
      <c r="D1222" s="15" t="s">
        <v>47</v>
      </c>
      <c r="E1222" s="15" t="s">
        <v>79</v>
      </c>
      <c r="F1222" s="34">
        <v>7</v>
      </c>
      <c r="G1222" s="34">
        <v>7</v>
      </c>
      <c r="H1222" s="35"/>
      <c r="I1222" s="35">
        <f t="shared" si="58"/>
        <v>0</v>
      </c>
      <c r="J1222" s="35"/>
      <c r="K1222" s="35">
        <v>0</v>
      </c>
      <c r="L1222" s="36">
        <f t="shared" si="59"/>
        <v>7</v>
      </c>
    </row>
    <row r="1223" spans="1:12" x14ac:dyDescent="0.25">
      <c r="A1223" s="21" t="s">
        <v>948</v>
      </c>
      <c r="B1223" s="30" t="s">
        <v>948</v>
      </c>
      <c r="C1223" s="21" t="s">
        <v>955</v>
      </c>
      <c r="D1223" s="21" t="s">
        <v>47</v>
      </c>
      <c r="E1223" s="21" t="s">
        <v>79</v>
      </c>
      <c r="F1223" s="31">
        <v>7</v>
      </c>
      <c r="G1223" s="31">
        <v>7</v>
      </c>
      <c r="H1223" s="32"/>
      <c r="I1223" s="32">
        <f t="shared" si="58"/>
        <v>0</v>
      </c>
      <c r="J1223" s="32"/>
      <c r="K1223" s="32">
        <v>0</v>
      </c>
      <c r="L1223" s="33">
        <f t="shared" si="59"/>
        <v>7</v>
      </c>
    </row>
    <row r="1224" spans="1:12" x14ac:dyDescent="0.25">
      <c r="A1224" s="15" t="s">
        <v>948</v>
      </c>
      <c r="B1224" s="14" t="s">
        <v>948</v>
      </c>
      <c r="C1224" s="15" t="s">
        <v>955</v>
      </c>
      <c r="D1224" s="15" t="s">
        <v>47</v>
      </c>
      <c r="E1224" s="15" t="s">
        <v>79</v>
      </c>
      <c r="F1224" s="34">
        <v>7</v>
      </c>
      <c r="G1224" s="34">
        <v>7</v>
      </c>
      <c r="H1224" s="35"/>
      <c r="I1224" s="35">
        <f t="shared" si="58"/>
        <v>0</v>
      </c>
      <c r="J1224" s="35"/>
      <c r="K1224" s="35">
        <v>0</v>
      </c>
      <c r="L1224" s="36">
        <f t="shared" si="59"/>
        <v>7</v>
      </c>
    </row>
    <row r="1225" spans="1:12" x14ac:dyDescent="0.25">
      <c r="A1225" s="21" t="s">
        <v>956</v>
      </c>
      <c r="B1225" s="30" t="s">
        <v>956</v>
      </c>
      <c r="C1225" s="21" t="s">
        <v>957</v>
      </c>
      <c r="D1225" s="21" t="s">
        <v>65</v>
      </c>
      <c r="E1225" s="21" t="s">
        <v>82</v>
      </c>
      <c r="F1225" s="21"/>
      <c r="G1225" s="21"/>
      <c r="H1225" s="32"/>
      <c r="I1225" s="32">
        <f t="shared" si="58"/>
        <v>0</v>
      </c>
      <c r="J1225" s="32"/>
      <c r="K1225" s="32">
        <v>0</v>
      </c>
      <c r="L1225" s="33">
        <f t="shared" si="59"/>
        <v>0</v>
      </c>
    </row>
    <row r="1226" spans="1:12" x14ac:dyDescent="0.25">
      <c r="A1226" s="15" t="s">
        <v>956</v>
      </c>
      <c r="B1226" s="14" t="s">
        <v>956</v>
      </c>
      <c r="C1226" s="15" t="s">
        <v>958</v>
      </c>
      <c r="D1226" s="15" t="s">
        <v>65</v>
      </c>
      <c r="E1226" s="15" t="s">
        <v>82</v>
      </c>
      <c r="F1226" s="15"/>
      <c r="G1226" s="15"/>
      <c r="H1226" s="35"/>
      <c r="I1226" s="35">
        <f t="shared" si="58"/>
        <v>0</v>
      </c>
      <c r="J1226" s="35"/>
      <c r="K1226" s="35">
        <v>0</v>
      </c>
      <c r="L1226" s="36">
        <f t="shared" si="59"/>
        <v>0</v>
      </c>
    </row>
    <row r="1227" spans="1:12" x14ac:dyDescent="0.25">
      <c r="A1227" s="21" t="s">
        <v>956</v>
      </c>
      <c r="B1227" s="30" t="s">
        <v>956</v>
      </c>
      <c r="C1227" s="21" t="s">
        <v>959</v>
      </c>
      <c r="D1227" s="21" t="s">
        <v>65</v>
      </c>
      <c r="E1227" s="21" t="s">
        <v>82</v>
      </c>
      <c r="F1227" s="21"/>
      <c r="G1227" s="21"/>
      <c r="H1227" s="32"/>
      <c r="I1227" s="32">
        <f t="shared" si="58"/>
        <v>0</v>
      </c>
      <c r="J1227" s="32"/>
      <c r="K1227" s="32">
        <v>0</v>
      </c>
      <c r="L1227" s="33">
        <f t="shared" si="59"/>
        <v>0</v>
      </c>
    </row>
    <row r="1228" spans="1:12" x14ac:dyDescent="0.25">
      <c r="A1228" s="15" t="s">
        <v>956</v>
      </c>
      <c r="B1228" s="14" t="s">
        <v>956</v>
      </c>
      <c r="C1228" s="15" t="s">
        <v>960</v>
      </c>
      <c r="D1228" s="15" t="s">
        <v>65</v>
      </c>
      <c r="E1228" s="15" t="s">
        <v>82</v>
      </c>
      <c r="F1228" s="15"/>
      <c r="G1228" s="15"/>
      <c r="H1228" s="35"/>
      <c r="I1228" s="35">
        <f t="shared" si="58"/>
        <v>0</v>
      </c>
      <c r="J1228" s="35"/>
      <c r="K1228" s="35">
        <v>0</v>
      </c>
      <c r="L1228" s="36">
        <f t="shared" si="59"/>
        <v>0</v>
      </c>
    </row>
    <row r="1229" spans="1:12" x14ac:dyDescent="0.25">
      <c r="A1229" s="21" t="s">
        <v>956</v>
      </c>
      <c r="B1229" s="30" t="s">
        <v>956</v>
      </c>
      <c r="C1229" s="21" t="s">
        <v>961</v>
      </c>
      <c r="D1229" s="21" t="s">
        <v>65</v>
      </c>
      <c r="E1229" s="21" t="s">
        <v>82</v>
      </c>
      <c r="F1229" s="21"/>
      <c r="G1229" s="21"/>
      <c r="H1229" s="32"/>
      <c r="I1229" s="32">
        <f t="shared" si="58"/>
        <v>0</v>
      </c>
      <c r="J1229" s="32"/>
      <c r="K1229" s="32">
        <v>0</v>
      </c>
      <c r="L1229" s="33">
        <f t="shared" si="59"/>
        <v>0</v>
      </c>
    </row>
    <row r="1230" spans="1:12" x14ac:dyDescent="0.25">
      <c r="A1230" s="15" t="s">
        <v>956</v>
      </c>
      <c r="B1230" s="14" t="s">
        <v>956</v>
      </c>
      <c r="C1230" s="15" t="s">
        <v>962</v>
      </c>
      <c r="D1230" s="15" t="s">
        <v>65</v>
      </c>
      <c r="E1230" s="15" t="s">
        <v>82</v>
      </c>
      <c r="F1230" s="15"/>
      <c r="G1230" s="15"/>
      <c r="H1230" s="35"/>
      <c r="I1230" s="35">
        <f t="shared" si="58"/>
        <v>0</v>
      </c>
      <c r="J1230" s="35"/>
      <c r="K1230" s="35">
        <v>0</v>
      </c>
      <c r="L1230" s="36">
        <f t="shared" si="59"/>
        <v>0</v>
      </c>
    </row>
    <row r="1231" spans="1:12" x14ac:dyDescent="0.25">
      <c r="A1231" s="21" t="s">
        <v>956</v>
      </c>
      <c r="B1231" s="30" t="s">
        <v>956</v>
      </c>
      <c r="C1231" s="21" t="s">
        <v>963</v>
      </c>
      <c r="D1231" s="21" t="s">
        <v>65</v>
      </c>
      <c r="E1231" s="21" t="s">
        <v>82</v>
      </c>
      <c r="F1231" s="21"/>
      <c r="G1231" s="21"/>
      <c r="H1231" s="32"/>
      <c r="I1231" s="32">
        <f t="shared" ref="I1231:I1262" si="60">IF(H1231="",0,G1231)</f>
        <v>0</v>
      </c>
      <c r="J1231" s="32"/>
      <c r="K1231" s="32">
        <v>0</v>
      </c>
      <c r="L1231" s="33">
        <f t="shared" ref="L1231:L1262" si="61">G1231-I1231-K1231</f>
        <v>0</v>
      </c>
    </row>
    <row r="1232" spans="1:12" x14ac:dyDescent="0.25">
      <c r="A1232" s="15" t="s">
        <v>956</v>
      </c>
      <c r="B1232" s="14" t="s">
        <v>956</v>
      </c>
      <c r="C1232" s="15" t="s">
        <v>964</v>
      </c>
      <c r="D1232" s="15" t="s">
        <v>65</v>
      </c>
      <c r="E1232" s="15" t="s">
        <v>82</v>
      </c>
      <c r="F1232" s="15"/>
      <c r="G1232" s="15"/>
      <c r="H1232" s="35"/>
      <c r="I1232" s="35">
        <f t="shared" si="60"/>
        <v>0</v>
      </c>
      <c r="J1232" s="35"/>
      <c r="K1232" s="35">
        <v>0</v>
      </c>
      <c r="L1232" s="36">
        <f t="shared" si="61"/>
        <v>0</v>
      </c>
    </row>
    <row r="1233" spans="1:12" x14ac:dyDescent="0.25">
      <c r="A1233" s="21" t="s">
        <v>956</v>
      </c>
      <c r="B1233" s="30" t="s">
        <v>956</v>
      </c>
      <c r="C1233" s="21" t="s">
        <v>965</v>
      </c>
      <c r="D1233" s="21" t="s">
        <v>65</v>
      </c>
      <c r="E1233" s="21" t="s">
        <v>82</v>
      </c>
      <c r="F1233" s="21"/>
      <c r="G1233" s="21"/>
      <c r="H1233" s="32"/>
      <c r="I1233" s="32">
        <f t="shared" si="60"/>
        <v>0</v>
      </c>
      <c r="J1233" s="32"/>
      <c r="K1233" s="32">
        <v>0</v>
      </c>
      <c r="L1233" s="33">
        <f t="shared" si="61"/>
        <v>0</v>
      </c>
    </row>
    <row r="1234" spans="1:12" x14ac:dyDescent="0.25">
      <c r="A1234" s="15" t="s">
        <v>956</v>
      </c>
      <c r="B1234" s="14" t="s">
        <v>956</v>
      </c>
      <c r="C1234" s="15" t="s">
        <v>966</v>
      </c>
      <c r="D1234" s="15" t="s">
        <v>69</v>
      </c>
      <c r="E1234" s="15" t="s">
        <v>90</v>
      </c>
      <c r="F1234" s="15"/>
      <c r="G1234" s="15"/>
      <c r="H1234" s="35"/>
      <c r="I1234" s="35">
        <f t="shared" si="60"/>
        <v>0</v>
      </c>
      <c r="J1234" s="35"/>
      <c r="K1234" s="35">
        <v>0</v>
      </c>
      <c r="L1234" s="36">
        <f t="shared" si="61"/>
        <v>0</v>
      </c>
    </row>
    <row r="1235" spans="1:12" x14ac:dyDescent="0.25">
      <c r="A1235" s="21" t="s">
        <v>956</v>
      </c>
      <c r="B1235" s="30" t="s">
        <v>956</v>
      </c>
      <c r="C1235" s="21" t="s">
        <v>967</v>
      </c>
      <c r="D1235" s="21" t="s">
        <v>47</v>
      </c>
      <c r="E1235" s="21" t="s">
        <v>79</v>
      </c>
      <c r="F1235" s="31">
        <v>5</v>
      </c>
      <c r="G1235" s="31">
        <v>5</v>
      </c>
      <c r="H1235" s="32"/>
      <c r="I1235" s="32">
        <f t="shared" si="60"/>
        <v>0</v>
      </c>
      <c r="J1235" s="32"/>
      <c r="K1235" s="32">
        <v>0</v>
      </c>
      <c r="L1235" s="33">
        <f t="shared" si="61"/>
        <v>5</v>
      </c>
    </row>
    <row r="1236" spans="1:12" x14ac:dyDescent="0.25">
      <c r="A1236" s="15" t="s">
        <v>956</v>
      </c>
      <c r="B1236" s="14" t="s">
        <v>956</v>
      </c>
      <c r="C1236" s="15" t="s">
        <v>145</v>
      </c>
      <c r="D1236" s="15" t="s">
        <v>51</v>
      </c>
      <c r="E1236" s="15" t="s">
        <v>146</v>
      </c>
      <c r="F1236" s="34">
        <v>0.5</v>
      </c>
      <c r="G1236" s="34">
        <v>1</v>
      </c>
      <c r="H1236" s="35"/>
      <c r="I1236" s="35">
        <f t="shared" si="60"/>
        <v>0</v>
      </c>
      <c r="J1236" s="35"/>
      <c r="K1236" s="35">
        <v>0</v>
      </c>
      <c r="L1236" s="36">
        <f t="shared" si="61"/>
        <v>1</v>
      </c>
    </row>
    <row r="1237" spans="1:12" x14ac:dyDescent="0.25">
      <c r="A1237" s="21" t="s">
        <v>956</v>
      </c>
      <c r="B1237" s="30" t="s">
        <v>956</v>
      </c>
      <c r="C1237" s="21" t="s">
        <v>968</v>
      </c>
      <c r="D1237" s="21" t="s">
        <v>65</v>
      </c>
      <c r="E1237" s="21" t="s">
        <v>82</v>
      </c>
      <c r="F1237" s="21"/>
      <c r="G1237" s="21"/>
      <c r="H1237" s="32"/>
      <c r="I1237" s="32">
        <f t="shared" si="60"/>
        <v>0</v>
      </c>
      <c r="J1237" s="32"/>
      <c r="K1237" s="32">
        <v>0</v>
      </c>
      <c r="L1237" s="33">
        <f t="shared" si="61"/>
        <v>0</v>
      </c>
    </row>
    <row r="1238" spans="1:12" x14ac:dyDescent="0.25">
      <c r="A1238" s="15" t="s">
        <v>956</v>
      </c>
      <c r="B1238" s="14" t="s">
        <v>956</v>
      </c>
      <c r="C1238" s="15" t="s">
        <v>969</v>
      </c>
      <c r="D1238" s="15" t="s">
        <v>47</v>
      </c>
      <c r="E1238" s="15" t="s">
        <v>79</v>
      </c>
      <c r="F1238" s="34">
        <v>4</v>
      </c>
      <c r="G1238" s="34">
        <v>9</v>
      </c>
      <c r="H1238" s="35"/>
      <c r="I1238" s="35">
        <f t="shared" si="60"/>
        <v>0</v>
      </c>
      <c r="J1238" s="35"/>
      <c r="K1238" s="35">
        <v>0</v>
      </c>
      <c r="L1238" s="36">
        <f t="shared" si="61"/>
        <v>9</v>
      </c>
    </row>
    <row r="1239" spans="1:12" x14ac:dyDescent="0.25">
      <c r="A1239" s="21" t="s">
        <v>956</v>
      </c>
      <c r="B1239" s="30" t="s">
        <v>956</v>
      </c>
      <c r="C1239" s="21" t="s">
        <v>970</v>
      </c>
      <c r="D1239" s="21" t="s">
        <v>69</v>
      </c>
      <c r="E1239" s="21" t="s">
        <v>90</v>
      </c>
      <c r="F1239" s="21"/>
      <c r="G1239" s="21"/>
      <c r="H1239" s="32"/>
      <c r="I1239" s="32">
        <f t="shared" si="60"/>
        <v>0</v>
      </c>
      <c r="J1239" s="32"/>
      <c r="K1239" s="32">
        <v>0</v>
      </c>
      <c r="L1239" s="33">
        <f t="shared" si="61"/>
        <v>0</v>
      </c>
    </row>
    <row r="1240" spans="1:12" x14ac:dyDescent="0.25">
      <c r="A1240" s="15" t="s">
        <v>956</v>
      </c>
      <c r="B1240" s="14" t="s">
        <v>956</v>
      </c>
      <c r="C1240" s="15" t="s">
        <v>957</v>
      </c>
      <c r="D1240" s="15" t="s">
        <v>65</v>
      </c>
      <c r="E1240" s="15" t="s">
        <v>82</v>
      </c>
      <c r="F1240" s="15"/>
      <c r="G1240" s="15"/>
      <c r="H1240" s="35"/>
      <c r="I1240" s="35">
        <f t="shared" si="60"/>
        <v>0</v>
      </c>
      <c r="J1240" s="35"/>
      <c r="K1240" s="35">
        <v>0</v>
      </c>
      <c r="L1240" s="36">
        <f t="shared" si="61"/>
        <v>0</v>
      </c>
    </row>
    <row r="1241" spans="1:12" x14ac:dyDescent="0.25">
      <c r="A1241" s="21" t="s">
        <v>956</v>
      </c>
      <c r="B1241" s="30" t="s">
        <v>956</v>
      </c>
      <c r="C1241" s="21" t="s">
        <v>971</v>
      </c>
      <c r="D1241" s="21" t="s">
        <v>65</v>
      </c>
      <c r="E1241" s="21" t="s">
        <v>82</v>
      </c>
      <c r="F1241" s="31">
        <v>1</v>
      </c>
      <c r="G1241" s="31">
        <v>2</v>
      </c>
      <c r="H1241" s="32"/>
      <c r="I1241" s="32">
        <f t="shared" si="60"/>
        <v>0</v>
      </c>
      <c r="J1241" s="32"/>
      <c r="K1241" s="32">
        <v>0</v>
      </c>
      <c r="L1241" s="33">
        <f t="shared" si="61"/>
        <v>2</v>
      </c>
    </row>
    <row r="1242" spans="1:12" x14ac:dyDescent="0.25">
      <c r="A1242" s="15" t="s">
        <v>956</v>
      </c>
      <c r="B1242" s="14" t="s">
        <v>956</v>
      </c>
      <c r="C1242" s="15" t="s">
        <v>972</v>
      </c>
      <c r="D1242" s="15" t="s">
        <v>65</v>
      </c>
      <c r="E1242" s="15" t="s">
        <v>82</v>
      </c>
      <c r="F1242" s="34">
        <v>1</v>
      </c>
      <c r="G1242" s="34">
        <v>2</v>
      </c>
      <c r="H1242" s="35"/>
      <c r="I1242" s="35">
        <f t="shared" si="60"/>
        <v>0</v>
      </c>
      <c r="J1242" s="35"/>
      <c r="K1242" s="35">
        <v>0</v>
      </c>
      <c r="L1242" s="36">
        <f t="shared" si="61"/>
        <v>2</v>
      </c>
    </row>
    <row r="1243" spans="1:12" x14ac:dyDescent="0.25">
      <c r="A1243" s="21" t="s">
        <v>956</v>
      </c>
      <c r="B1243" s="30" t="s">
        <v>956</v>
      </c>
      <c r="C1243" s="21" t="s">
        <v>973</v>
      </c>
      <c r="D1243" s="21" t="s">
        <v>65</v>
      </c>
      <c r="E1243" s="21" t="s">
        <v>82</v>
      </c>
      <c r="F1243" s="31">
        <v>3</v>
      </c>
      <c r="G1243" s="31">
        <v>5</v>
      </c>
      <c r="H1243" s="32"/>
      <c r="I1243" s="32">
        <f t="shared" si="60"/>
        <v>0</v>
      </c>
      <c r="J1243" s="32"/>
      <c r="K1243" s="32">
        <v>0</v>
      </c>
      <c r="L1243" s="33">
        <f t="shared" si="61"/>
        <v>5</v>
      </c>
    </row>
    <row r="1244" spans="1:12" x14ac:dyDescent="0.25">
      <c r="A1244" s="15" t="s">
        <v>956</v>
      </c>
      <c r="B1244" s="14" t="s">
        <v>956</v>
      </c>
      <c r="C1244" s="15" t="s">
        <v>966</v>
      </c>
      <c r="D1244" s="15" t="s">
        <v>69</v>
      </c>
      <c r="E1244" s="15" t="s">
        <v>90</v>
      </c>
      <c r="F1244" s="15"/>
      <c r="G1244" s="15"/>
      <c r="H1244" s="35"/>
      <c r="I1244" s="35">
        <f t="shared" si="60"/>
        <v>0</v>
      </c>
      <c r="J1244" s="35"/>
      <c r="K1244" s="35">
        <v>0</v>
      </c>
      <c r="L1244" s="36">
        <f t="shared" si="61"/>
        <v>0</v>
      </c>
    </row>
    <row r="1245" spans="1:12" x14ac:dyDescent="0.25">
      <c r="A1245" s="21" t="s">
        <v>956</v>
      </c>
      <c r="B1245" s="30" t="s">
        <v>956</v>
      </c>
      <c r="C1245" s="21" t="s">
        <v>967</v>
      </c>
      <c r="D1245" s="21" t="s">
        <v>47</v>
      </c>
      <c r="E1245" s="21" t="s">
        <v>79</v>
      </c>
      <c r="F1245" s="21"/>
      <c r="G1245" s="21"/>
      <c r="H1245" s="32"/>
      <c r="I1245" s="32">
        <f t="shared" si="60"/>
        <v>0</v>
      </c>
      <c r="J1245" s="32"/>
      <c r="K1245" s="32">
        <v>0</v>
      </c>
      <c r="L1245" s="33">
        <f t="shared" si="61"/>
        <v>0</v>
      </c>
    </row>
    <row r="1246" spans="1:12" x14ac:dyDescent="0.25">
      <c r="A1246" s="15" t="s">
        <v>956</v>
      </c>
      <c r="B1246" s="14" t="s">
        <v>956</v>
      </c>
      <c r="C1246" s="15" t="s">
        <v>968</v>
      </c>
      <c r="D1246" s="15" t="s">
        <v>65</v>
      </c>
      <c r="E1246" s="15" t="s">
        <v>82</v>
      </c>
      <c r="F1246" s="15"/>
      <c r="G1246" s="15"/>
      <c r="H1246" s="35"/>
      <c r="I1246" s="35">
        <f t="shared" si="60"/>
        <v>0</v>
      </c>
      <c r="J1246" s="35"/>
      <c r="K1246" s="35">
        <v>0</v>
      </c>
      <c r="L1246" s="36">
        <f t="shared" si="61"/>
        <v>0</v>
      </c>
    </row>
    <row r="1247" spans="1:12" x14ac:dyDescent="0.25">
      <c r="A1247" s="21" t="s">
        <v>956</v>
      </c>
      <c r="B1247" s="30" t="s">
        <v>956</v>
      </c>
      <c r="C1247" s="21" t="s">
        <v>974</v>
      </c>
      <c r="D1247" s="21" t="s">
        <v>65</v>
      </c>
      <c r="E1247" s="21" t="s">
        <v>82</v>
      </c>
      <c r="F1247" s="31">
        <v>6</v>
      </c>
      <c r="G1247" s="31">
        <v>7</v>
      </c>
      <c r="H1247" s="32"/>
      <c r="I1247" s="32">
        <f t="shared" si="60"/>
        <v>0</v>
      </c>
      <c r="J1247" s="32"/>
      <c r="K1247" s="32">
        <v>0</v>
      </c>
      <c r="L1247" s="33">
        <f t="shared" si="61"/>
        <v>7</v>
      </c>
    </row>
    <row r="1248" spans="1:12" x14ac:dyDescent="0.25">
      <c r="A1248" s="15" t="s">
        <v>956</v>
      </c>
      <c r="B1248" s="14" t="s">
        <v>956</v>
      </c>
      <c r="C1248" s="15" t="s">
        <v>970</v>
      </c>
      <c r="D1248" s="15" t="s">
        <v>69</v>
      </c>
      <c r="E1248" s="15" t="s">
        <v>90</v>
      </c>
      <c r="F1248" s="15"/>
      <c r="G1248" s="15"/>
      <c r="H1248" s="35"/>
      <c r="I1248" s="35">
        <f t="shared" si="60"/>
        <v>0</v>
      </c>
      <c r="J1248" s="35"/>
      <c r="K1248" s="35">
        <v>0</v>
      </c>
      <c r="L1248" s="36">
        <f t="shared" si="61"/>
        <v>0</v>
      </c>
    </row>
    <row r="1249" spans="1:12" x14ac:dyDescent="0.25">
      <c r="A1249" s="58" t="s">
        <v>978</v>
      </c>
      <c r="B1249" s="58"/>
      <c r="C1249" s="58"/>
      <c r="D1249" s="58"/>
      <c r="E1249" s="58"/>
      <c r="F1249" s="58"/>
      <c r="G1249" s="58"/>
      <c r="H1249" s="58"/>
      <c r="I1249" s="58"/>
      <c r="J1249" s="58"/>
      <c r="K1249" s="58"/>
      <c r="L1249" s="58"/>
    </row>
    <row r="1250" spans="1:12" x14ac:dyDescent="0.25">
      <c r="A1250" s="21" t="s">
        <v>979</v>
      </c>
      <c r="B1250" s="30" t="s">
        <v>979</v>
      </c>
      <c r="C1250" s="21" t="s">
        <v>980</v>
      </c>
      <c r="D1250" s="21" t="s">
        <v>67</v>
      </c>
      <c r="E1250" s="21" t="s">
        <v>93</v>
      </c>
      <c r="F1250" s="21"/>
      <c r="G1250" s="21"/>
      <c r="H1250" s="32"/>
      <c r="I1250" s="32">
        <f t="shared" ref="I1250:I1281" si="62">IF(H1250="",0,G1250)</f>
        <v>0</v>
      </c>
      <c r="J1250" s="32"/>
      <c r="K1250" s="32">
        <v>0</v>
      </c>
      <c r="L1250" s="33">
        <f t="shared" ref="L1250:L1281" si="63">G1250-I1250-K1250</f>
        <v>0</v>
      </c>
    </row>
    <row r="1251" spans="1:12" x14ac:dyDescent="0.25">
      <c r="A1251" s="15" t="s">
        <v>979</v>
      </c>
      <c r="B1251" s="14" t="s">
        <v>979</v>
      </c>
      <c r="C1251" s="15" t="s">
        <v>981</v>
      </c>
      <c r="D1251" s="15" t="s">
        <v>67</v>
      </c>
      <c r="E1251" s="15" t="s">
        <v>93</v>
      </c>
      <c r="F1251" s="34">
        <v>2</v>
      </c>
      <c r="G1251" s="34">
        <v>3</v>
      </c>
      <c r="H1251" s="35"/>
      <c r="I1251" s="35">
        <f t="shared" si="62"/>
        <v>0</v>
      </c>
      <c r="J1251" s="35"/>
      <c r="K1251" s="35">
        <v>0</v>
      </c>
      <c r="L1251" s="36">
        <f t="shared" si="63"/>
        <v>3</v>
      </c>
    </row>
    <row r="1252" spans="1:12" x14ac:dyDescent="0.25">
      <c r="A1252" s="21" t="s">
        <v>979</v>
      </c>
      <c r="B1252" s="30" t="s">
        <v>979</v>
      </c>
      <c r="C1252" s="21" t="s">
        <v>982</v>
      </c>
      <c r="D1252" s="21" t="s">
        <v>67</v>
      </c>
      <c r="E1252" s="21" t="s">
        <v>93</v>
      </c>
      <c r="F1252" s="31">
        <v>1</v>
      </c>
      <c r="G1252" s="31">
        <v>2</v>
      </c>
      <c r="H1252" s="32"/>
      <c r="I1252" s="32">
        <f t="shared" si="62"/>
        <v>0</v>
      </c>
      <c r="J1252" s="32"/>
      <c r="K1252" s="32">
        <v>0</v>
      </c>
      <c r="L1252" s="33">
        <f t="shared" si="63"/>
        <v>2</v>
      </c>
    </row>
    <row r="1253" spans="1:12" x14ac:dyDescent="0.25">
      <c r="A1253" s="15" t="s">
        <v>979</v>
      </c>
      <c r="B1253" s="14" t="s">
        <v>979</v>
      </c>
      <c r="C1253" s="15" t="s">
        <v>983</v>
      </c>
      <c r="D1253" s="15" t="s">
        <v>67</v>
      </c>
      <c r="E1253" s="15" t="s">
        <v>93</v>
      </c>
      <c r="F1253" s="34">
        <v>2</v>
      </c>
      <c r="G1253" s="34">
        <v>3</v>
      </c>
      <c r="H1253" s="35"/>
      <c r="I1253" s="35">
        <f t="shared" si="62"/>
        <v>0</v>
      </c>
      <c r="J1253" s="35"/>
      <c r="K1253" s="35">
        <v>0</v>
      </c>
      <c r="L1253" s="36">
        <f t="shared" si="63"/>
        <v>3</v>
      </c>
    </row>
    <row r="1254" spans="1:12" x14ac:dyDescent="0.25">
      <c r="A1254" s="21" t="s">
        <v>979</v>
      </c>
      <c r="B1254" s="30" t="s">
        <v>979</v>
      </c>
      <c r="C1254" s="21" t="s">
        <v>984</v>
      </c>
      <c r="D1254" s="21" t="s">
        <v>67</v>
      </c>
      <c r="E1254" s="21" t="s">
        <v>93</v>
      </c>
      <c r="F1254" s="31">
        <v>2</v>
      </c>
      <c r="G1254" s="31">
        <v>3</v>
      </c>
      <c r="H1254" s="32"/>
      <c r="I1254" s="32">
        <f t="shared" si="62"/>
        <v>0</v>
      </c>
      <c r="J1254" s="32"/>
      <c r="K1254" s="32">
        <v>0</v>
      </c>
      <c r="L1254" s="33">
        <f t="shared" si="63"/>
        <v>3</v>
      </c>
    </row>
    <row r="1255" spans="1:12" x14ac:dyDescent="0.25">
      <c r="A1255" s="15" t="s">
        <v>979</v>
      </c>
      <c r="B1255" s="14" t="s">
        <v>979</v>
      </c>
      <c r="C1255" s="15" t="s">
        <v>985</v>
      </c>
      <c r="D1255" s="15" t="s">
        <v>67</v>
      </c>
      <c r="E1255" s="15" t="s">
        <v>93</v>
      </c>
      <c r="F1255" s="34">
        <v>3</v>
      </c>
      <c r="G1255" s="34">
        <v>4</v>
      </c>
      <c r="H1255" s="35"/>
      <c r="I1255" s="35">
        <f t="shared" si="62"/>
        <v>0</v>
      </c>
      <c r="J1255" s="35"/>
      <c r="K1255" s="35">
        <v>0</v>
      </c>
      <c r="L1255" s="36">
        <f t="shared" si="63"/>
        <v>4</v>
      </c>
    </row>
    <row r="1256" spans="1:12" x14ac:dyDescent="0.25">
      <c r="A1256" s="21" t="s">
        <v>979</v>
      </c>
      <c r="B1256" s="30" t="s">
        <v>979</v>
      </c>
      <c r="C1256" s="21" t="s">
        <v>986</v>
      </c>
      <c r="D1256" s="21" t="s">
        <v>67</v>
      </c>
      <c r="E1256" s="21" t="s">
        <v>93</v>
      </c>
      <c r="F1256" s="31">
        <v>3</v>
      </c>
      <c r="G1256" s="31">
        <v>4</v>
      </c>
      <c r="H1256" s="32"/>
      <c r="I1256" s="32">
        <f t="shared" si="62"/>
        <v>0</v>
      </c>
      <c r="J1256" s="32"/>
      <c r="K1256" s="32">
        <v>0</v>
      </c>
      <c r="L1256" s="33">
        <f t="shared" si="63"/>
        <v>4</v>
      </c>
    </row>
    <row r="1257" spans="1:12" x14ac:dyDescent="0.25">
      <c r="A1257" s="15" t="s">
        <v>979</v>
      </c>
      <c r="B1257" s="14" t="s">
        <v>979</v>
      </c>
      <c r="C1257" s="15" t="s">
        <v>987</v>
      </c>
      <c r="D1257" s="15" t="s">
        <v>67</v>
      </c>
      <c r="E1257" s="15" t="s">
        <v>93</v>
      </c>
      <c r="F1257" s="34">
        <v>1</v>
      </c>
      <c r="G1257" s="34">
        <v>2</v>
      </c>
      <c r="H1257" s="35"/>
      <c r="I1257" s="35">
        <f t="shared" si="62"/>
        <v>0</v>
      </c>
      <c r="J1257" s="35"/>
      <c r="K1257" s="35">
        <v>0</v>
      </c>
      <c r="L1257" s="36">
        <f t="shared" si="63"/>
        <v>2</v>
      </c>
    </row>
    <row r="1258" spans="1:12" x14ac:dyDescent="0.25">
      <c r="A1258" s="21" t="s">
        <v>979</v>
      </c>
      <c r="B1258" s="30" t="s">
        <v>979</v>
      </c>
      <c r="C1258" s="21" t="s">
        <v>988</v>
      </c>
      <c r="D1258" s="21" t="s">
        <v>67</v>
      </c>
      <c r="E1258" s="21" t="s">
        <v>93</v>
      </c>
      <c r="F1258" s="31">
        <v>3</v>
      </c>
      <c r="G1258" s="31">
        <v>4</v>
      </c>
      <c r="H1258" s="32"/>
      <c r="I1258" s="32">
        <f t="shared" si="62"/>
        <v>0</v>
      </c>
      <c r="J1258" s="32"/>
      <c r="K1258" s="32">
        <v>0</v>
      </c>
      <c r="L1258" s="33">
        <f t="shared" si="63"/>
        <v>4</v>
      </c>
    </row>
    <row r="1259" spans="1:12" x14ac:dyDescent="0.25">
      <c r="A1259" s="15" t="s">
        <v>979</v>
      </c>
      <c r="B1259" s="14" t="s">
        <v>979</v>
      </c>
      <c r="C1259" s="15" t="s">
        <v>989</v>
      </c>
      <c r="D1259" s="15" t="s">
        <v>67</v>
      </c>
      <c r="E1259" s="15" t="s">
        <v>93</v>
      </c>
      <c r="F1259" s="34">
        <v>1</v>
      </c>
      <c r="G1259" s="34">
        <v>2</v>
      </c>
      <c r="H1259" s="35"/>
      <c r="I1259" s="35">
        <f t="shared" si="62"/>
        <v>0</v>
      </c>
      <c r="J1259" s="35"/>
      <c r="K1259" s="35">
        <v>0</v>
      </c>
      <c r="L1259" s="36">
        <f t="shared" si="63"/>
        <v>2</v>
      </c>
    </row>
    <row r="1260" spans="1:12" x14ac:dyDescent="0.25">
      <c r="A1260" s="21" t="s">
        <v>979</v>
      </c>
      <c r="B1260" s="30" t="s">
        <v>979</v>
      </c>
      <c r="C1260" s="21" t="s">
        <v>990</v>
      </c>
      <c r="D1260" s="21" t="s">
        <v>67</v>
      </c>
      <c r="E1260" s="21" t="s">
        <v>93</v>
      </c>
      <c r="F1260" s="21"/>
      <c r="G1260" s="21"/>
      <c r="H1260" s="32"/>
      <c r="I1260" s="32">
        <f t="shared" si="62"/>
        <v>0</v>
      </c>
      <c r="J1260" s="32"/>
      <c r="K1260" s="32">
        <v>0</v>
      </c>
      <c r="L1260" s="33">
        <f t="shared" si="63"/>
        <v>0</v>
      </c>
    </row>
    <row r="1261" spans="1:12" x14ac:dyDescent="0.25">
      <c r="A1261" s="15" t="s">
        <v>979</v>
      </c>
      <c r="B1261" s="14" t="s">
        <v>979</v>
      </c>
      <c r="C1261" s="15" t="s">
        <v>991</v>
      </c>
      <c r="D1261" s="15" t="s">
        <v>67</v>
      </c>
      <c r="E1261" s="15" t="s">
        <v>93</v>
      </c>
      <c r="F1261" s="34">
        <v>4</v>
      </c>
      <c r="G1261" s="34">
        <v>5</v>
      </c>
      <c r="H1261" s="35"/>
      <c r="I1261" s="35">
        <f t="shared" si="62"/>
        <v>0</v>
      </c>
      <c r="J1261" s="35"/>
      <c r="K1261" s="35">
        <v>0</v>
      </c>
      <c r="L1261" s="36">
        <f t="shared" si="63"/>
        <v>5</v>
      </c>
    </row>
    <row r="1262" spans="1:12" x14ac:dyDescent="0.25">
      <c r="A1262" s="21" t="s">
        <v>979</v>
      </c>
      <c r="B1262" s="30" t="s">
        <v>979</v>
      </c>
      <c r="C1262" s="21" t="s">
        <v>992</v>
      </c>
      <c r="D1262" s="21" t="s">
        <v>67</v>
      </c>
      <c r="E1262" s="21" t="s">
        <v>93</v>
      </c>
      <c r="F1262" s="21"/>
      <c r="G1262" s="21"/>
      <c r="H1262" s="32"/>
      <c r="I1262" s="32">
        <f t="shared" si="62"/>
        <v>0</v>
      </c>
      <c r="J1262" s="32"/>
      <c r="K1262" s="32">
        <v>0</v>
      </c>
      <c r="L1262" s="33">
        <f t="shared" si="63"/>
        <v>0</v>
      </c>
    </row>
    <row r="1263" spans="1:12" x14ac:dyDescent="0.25">
      <c r="A1263" s="15" t="s">
        <v>979</v>
      </c>
      <c r="B1263" s="14" t="s">
        <v>979</v>
      </c>
      <c r="C1263" s="15" t="s">
        <v>993</v>
      </c>
      <c r="D1263" s="15" t="s">
        <v>67</v>
      </c>
      <c r="E1263" s="15" t="s">
        <v>93</v>
      </c>
      <c r="F1263" s="34">
        <v>3</v>
      </c>
      <c r="G1263" s="34">
        <v>4</v>
      </c>
      <c r="H1263" s="35"/>
      <c r="I1263" s="35">
        <f t="shared" si="62"/>
        <v>0</v>
      </c>
      <c r="J1263" s="35"/>
      <c r="K1263" s="35">
        <v>0</v>
      </c>
      <c r="L1263" s="36">
        <f t="shared" si="63"/>
        <v>4</v>
      </c>
    </row>
    <row r="1264" spans="1:12" x14ac:dyDescent="0.25">
      <c r="A1264" s="21" t="s">
        <v>979</v>
      </c>
      <c r="B1264" s="30" t="s">
        <v>979</v>
      </c>
      <c r="C1264" s="21" t="s">
        <v>994</v>
      </c>
      <c r="D1264" s="21" t="s">
        <v>67</v>
      </c>
      <c r="E1264" s="21" t="s">
        <v>93</v>
      </c>
      <c r="F1264" s="21"/>
      <c r="G1264" s="21"/>
      <c r="H1264" s="32"/>
      <c r="I1264" s="32">
        <f t="shared" si="62"/>
        <v>0</v>
      </c>
      <c r="J1264" s="32"/>
      <c r="K1264" s="32">
        <v>0</v>
      </c>
      <c r="L1264" s="33">
        <f t="shared" si="63"/>
        <v>0</v>
      </c>
    </row>
    <row r="1265" spans="1:12" x14ac:dyDescent="0.25">
      <c r="A1265" s="15" t="s">
        <v>979</v>
      </c>
      <c r="B1265" s="14" t="s">
        <v>979</v>
      </c>
      <c r="C1265" s="15" t="s">
        <v>995</v>
      </c>
      <c r="D1265" s="15" t="s">
        <v>67</v>
      </c>
      <c r="E1265" s="15" t="s">
        <v>93</v>
      </c>
      <c r="F1265" s="34">
        <v>3</v>
      </c>
      <c r="G1265" s="34">
        <v>4</v>
      </c>
      <c r="H1265" s="35"/>
      <c r="I1265" s="35">
        <f t="shared" si="62"/>
        <v>0</v>
      </c>
      <c r="J1265" s="35"/>
      <c r="K1265" s="35">
        <v>0</v>
      </c>
      <c r="L1265" s="36">
        <f t="shared" si="63"/>
        <v>4</v>
      </c>
    </row>
    <row r="1266" spans="1:12" x14ac:dyDescent="0.25">
      <c r="A1266" s="21" t="s">
        <v>979</v>
      </c>
      <c r="B1266" s="30" t="s">
        <v>979</v>
      </c>
      <c r="C1266" s="21" t="s">
        <v>996</v>
      </c>
      <c r="D1266" s="21" t="s">
        <v>67</v>
      </c>
      <c r="E1266" s="21" t="s">
        <v>93</v>
      </c>
      <c r="F1266" s="21"/>
      <c r="G1266" s="21"/>
      <c r="H1266" s="32"/>
      <c r="I1266" s="32">
        <f t="shared" si="62"/>
        <v>0</v>
      </c>
      <c r="J1266" s="32"/>
      <c r="K1266" s="32">
        <v>0</v>
      </c>
      <c r="L1266" s="33">
        <f t="shared" si="63"/>
        <v>0</v>
      </c>
    </row>
    <row r="1267" spans="1:12" x14ac:dyDescent="0.25">
      <c r="A1267" s="15" t="s">
        <v>979</v>
      </c>
      <c r="B1267" s="14" t="s">
        <v>979</v>
      </c>
      <c r="C1267" s="15" t="s">
        <v>997</v>
      </c>
      <c r="D1267" s="15" t="s">
        <v>67</v>
      </c>
      <c r="E1267" s="15" t="s">
        <v>93</v>
      </c>
      <c r="F1267" s="34">
        <v>4</v>
      </c>
      <c r="G1267" s="34">
        <v>5</v>
      </c>
      <c r="H1267" s="35"/>
      <c r="I1267" s="35">
        <f t="shared" si="62"/>
        <v>0</v>
      </c>
      <c r="J1267" s="35"/>
      <c r="K1267" s="35">
        <v>0</v>
      </c>
      <c r="L1267" s="36">
        <f t="shared" si="63"/>
        <v>5</v>
      </c>
    </row>
    <row r="1268" spans="1:12" x14ac:dyDescent="0.25">
      <c r="A1268" s="21" t="s">
        <v>979</v>
      </c>
      <c r="B1268" s="30" t="s">
        <v>979</v>
      </c>
      <c r="C1268" s="21" t="s">
        <v>998</v>
      </c>
      <c r="D1268" s="21" t="s">
        <v>67</v>
      </c>
      <c r="E1268" s="21" t="s">
        <v>93</v>
      </c>
      <c r="F1268" s="21"/>
      <c r="G1268" s="21"/>
      <c r="H1268" s="32"/>
      <c r="I1268" s="32">
        <f t="shared" si="62"/>
        <v>0</v>
      </c>
      <c r="J1268" s="32"/>
      <c r="K1268" s="32">
        <v>0</v>
      </c>
      <c r="L1268" s="33">
        <f t="shared" si="63"/>
        <v>0</v>
      </c>
    </row>
    <row r="1269" spans="1:12" x14ac:dyDescent="0.25">
      <c r="A1269" s="15" t="s">
        <v>979</v>
      </c>
      <c r="B1269" s="14" t="s">
        <v>979</v>
      </c>
      <c r="C1269" s="15" t="s">
        <v>999</v>
      </c>
      <c r="D1269" s="15" t="s">
        <v>67</v>
      </c>
      <c r="E1269" s="15" t="s">
        <v>93</v>
      </c>
      <c r="F1269" s="34">
        <v>3</v>
      </c>
      <c r="G1269" s="34">
        <v>4</v>
      </c>
      <c r="H1269" s="35"/>
      <c r="I1269" s="35">
        <f t="shared" si="62"/>
        <v>0</v>
      </c>
      <c r="J1269" s="35"/>
      <c r="K1269" s="35">
        <v>0</v>
      </c>
      <c r="L1269" s="36">
        <f t="shared" si="63"/>
        <v>4</v>
      </c>
    </row>
    <row r="1270" spans="1:12" x14ac:dyDescent="0.25">
      <c r="A1270" s="21" t="s">
        <v>979</v>
      </c>
      <c r="B1270" s="30" t="s">
        <v>979</v>
      </c>
      <c r="C1270" s="21" t="s">
        <v>1000</v>
      </c>
      <c r="D1270" s="21" t="s">
        <v>67</v>
      </c>
      <c r="E1270" s="21" t="s">
        <v>93</v>
      </c>
      <c r="F1270" s="21"/>
      <c r="G1270" s="21"/>
      <c r="H1270" s="32"/>
      <c r="I1270" s="32">
        <f t="shared" si="62"/>
        <v>0</v>
      </c>
      <c r="J1270" s="32"/>
      <c r="K1270" s="32">
        <v>0</v>
      </c>
      <c r="L1270" s="33">
        <f t="shared" si="63"/>
        <v>0</v>
      </c>
    </row>
    <row r="1271" spans="1:12" x14ac:dyDescent="0.25">
      <c r="A1271" s="15" t="s">
        <v>979</v>
      </c>
      <c r="B1271" s="14" t="s">
        <v>979</v>
      </c>
      <c r="C1271" s="15" t="s">
        <v>1001</v>
      </c>
      <c r="D1271" s="15" t="s">
        <v>67</v>
      </c>
      <c r="E1271" s="15" t="s">
        <v>93</v>
      </c>
      <c r="F1271" s="34">
        <v>4</v>
      </c>
      <c r="G1271" s="34">
        <v>5</v>
      </c>
      <c r="H1271" s="35"/>
      <c r="I1271" s="35">
        <f t="shared" si="62"/>
        <v>0</v>
      </c>
      <c r="J1271" s="35"/>
      <c r="K1271" s="35">
        <v>0</v>
      </c>
      <c r="L1271" s="36">
        <f t="shared" si="63"/>
        <v>5</v>
      </c>
    </row>
    <row r="1272" spans="1:12" x14ac:dyDescent="0.25">
      <c r="A1272" s="21" t="s">
        <v>979</v>
      </c>
      <c r="B1272" s="30" t="s">
        <v>979</v>
      </c>
      <c r="C1272" s="21" t="s">
        <v>1002</v>
      </c>
      <c r="D1272" s="21" t="s">
        <v>67</v>
      </c>
      <c r="E1272" s="21" t="s">
        <v>93</v>
      </c>
      <c r="F1272" s="21"/>
      <c r="G1272" s="21"/>
      <c r="H1272" s="32"/>
      <c r="I1272" s="32">
        <f t="shared" si="62"/>
        <v>0</v>
      </c>
      <c r="J1272" s="32"/>
      <c r="K1272" s="32">
        <v>0</v>
      </c>
      <c r="L1272" s="33">
        <f t="shared" si="63"/>
        <v>0</v>
      </c>
    </row>
    <row r="1273" spans="1:12" x14ac:dyDescent="0.25">
      <c r="A1273" s="15" t="s">
        <v>979</v>
      </c>
      <c r="B1273" s="14" t="s">
        <v>979</v>
      </c>
      <c r="C1273" s="15" t="s">
        <v>1003</v>
      </c>
      <c r="D1273" s="15" t="s">
        <v>67</v>
      </c>
      <c r="E1273" s="15" t="s">
        <v>93</v>
      </c>
      <c r="F1273" s="34">
        <v>1</v>
      </c>
      <c r="G1273" s="34">
        <v>2</v>
      </c>
      <c r="H1273" s="35"/>
      <c r="I1273" s="35">
        <f t="shared" si="62"/>
        <v>0</v>
      </c>
      <c r="J1273" s="35"/>
      <c r="K1273" s="35">
        <v>0</v>
      </c>
      <c r="L1273" s="36">
        <f t="shared" si="63"/>
        <v>2</v>
      </c>
    </row>
    <row r="1274" spans="1:12" x14ac:dyDescent="0.25">
      <c r="A1274" s="21" t="s">
        <v>979</v>
      </c>
      <c r="B1274" s="30" t="s">
        <v>979</v>
      </c>
      <c r="C1274" s="21" t="s">
        <v>1004</v>
      </c>
      <c r="D1274" s="21" t="s">
        <v>67</v>
      </c>
      <c r="E1274" s="21" t="s">
        <v>93</v>
      </c>
      <c r="F1274" s="21"/>
      <c r="G1274" s="21"/>
      <c r="H1274" s="32"/>
      <c r="I1274" s="32">
        <f t="shared" si="62"/>
        <v>0</v>
      </c>
      <c r="J1274" s="32"/>
      <c r="K1274" s="32">
        <v>0</v>
      </c>
      <c r="L1274" s="33">
        <f t="shared" si="63"/>
        <v>0</v>
      </c>
    </row>
    <row r="1275" spans="1:12" x14ac:dyDescent="0.25">
      <c r="A1275" s="15" t="s">
        <v>979</v>
      </c>
      <c r="B1275" s="14" t="s">
        <v>979</v>
      </c>
      <c r="C1275" s="15" t="s">
        <v>1005</v>
      </c>
      <c r="D1275" s="15" t="s">
        <v>67</v>
      </c>
      <c r="E1275" s="15" t="s">
        <v>93</v>
      </c>
      <c r="F1275" s="34">
        <v>1</v>
      </c>
      <c r="G1275" s="34">
        <v>2</v>
      </c>
      <c r="H1275" s="35"/>
      <c r="I1275" s="35">
        <f t="shared" si="62"/>
        <v>0</v>
      </c>
      <c r="J1275" s="35"/>
      <c r="K1275" s="35">
        <v>0</v>
      </c>
      <c r="L1275" s="36">
        <f t="shared" si="63"/>
        <v>2</v>
      </c>
    </row>
    <row r="1276" spans="1:12" x14ac:dyDescent="0.25">
      <c r="A1276" s="21" t="s">
        <v>979</v>
      </c>
      <c r="B1276" s="30" t="s">
        <v>979</v>
      </c>
      <c r="C1276" s="21" t="s">
        <v>1006</v>
      </c>
      <c r="D1276" s="21" t="s">
        <v>67</v>
      </c>
      <c r="E1276" s="21" t="s">
        <v>93</v>
      </c>
      <c r="F1276" s="21"/>
      <c r="G1276" s="21"/>
      <c r="H1276" s="32"/>
      <c r="I1276" s="32">
        <f t="shared" si="62"/>
        <v>0</v>
      </c>
      <c r="J1276" s="32"/>
      <c r="K1276" s="32">
        <v>0</v>
      </c>
      <c r="L1276" s="33">
        <f t="shared" si="63"/>
        <v>0</v>
      </c>
    </row>
    <row r="1277" spans="1:12" x14ac:dyDescent="0.25">
      <c r="A1277" s="15" t="s">
        <v>979</v>
      </c>
      <c r="B1277" s="14" t="s">
        <v>979</v>
      </c>
      <c r="C1277" s="15" t="s">
        <v>1007</v>
      </c>
      <c r="D1277" s="15" t="s">
        <v>67</v>
      </c>
      <c r="E1277" s="15" t="s">
        <v>93</v>
      </c>
      <c r="F1277" s="34">
        <v>3</v>
      </c>
      <c r="G1277" s="34">
        <v>5</v>
      </c>
      <c r="H1277" s="35"/>
      <c r="I1277" s="35">
        <f t="shared" si="62"/>
        <v>0</v>
      </c>
      <c r="J1277" s="35"/>
      <c r="K1277" s="35">
        <v>0</v>
      </c>
      <c r="L1277" s="36">
        <f t="shared" si="63"/>
        <v>5</v>
      </c>
    </row>
    <row r="1278" spans="1:12" x14ac:dyDescent="0.25">
      <c r="A1278" s="21" t="s">
        <v>979</v>
      </c>
      <c r="B1278" s="30" t="s">
        <v>979</v>
      </c>
      <c r="C1278" s="21" t="s">
        <v>1008</v>
      </c>
      <c r="D1278" s="21" t="s">
        <v>54</v>
      </c>
      <c r="E1278" s="21" t="s">
        <v>84</v>
      </c>
      <c r="F1278" s="21"/>
      <c r="G1278" s="21"/>
      <c r="H1278" s="32"/>
      <c r="I1278" s="32">
        <f t="shared" si="62"/>
        <v>0</v>
      </c>
      <c r="J1278" s="32"/>
      <c r="K1278" s="32">
        <v>0</v>
      </c>
      <c r="L1278" s="33">
        <f t="shared" si="63"/>
        <v>0</v>
      </c>
    </row>
    <row r="1279" spans="1:12" x14ac:dyDescent="0.25">
      <c r="A1279" s="15" t="s">
        <v>979</v>
      </c>
      <c r="B1279" s="14" t="s">
        <v>979</v>
      </c>
      <c r="C1279" s="15" t="s">
        <v>1009</v>
      </c>
      <c r="D1279" s="15" t="s">
        <v>54</v>
      </c>
      <c r="E1279" s="15" t="s">
        <v>84</v>
      </c>
      <c r="F1279" s="15"/>
      <c r="G1279" s="15"/>
      <c r="H1279" s="35"/>
      <c r="I1279" s="35">
        <f t="shared" si="62"/>
        <v>0</v>
      </c>
      <c r="J1279" s="35"/>
      <c r="K1279" s="35">
        <v>0</v>
      </c>
      <c r="L1279" s="36">
        <f t="shared" si="63"/>
        <v>0</v>
      </c>
    </row>
    <row r="1280" spans="1:12" x14ac:dyDescent="0.25">
      <c r="A1280" s="21" t="s">
        <v>979</v>
      </c>
      <c r="B1280" s="30" t="s">
        <v>979</v>
      </c>
      <c r="C1280" s="21" t="s">
        <v>1010</v>
      </c>
      <c r="D1280" s="21" t="s">
        <v>54</v>
      </c>
      <c r="E1280" s="21" t="s">
        <v>84</v>
      </c>
      <c r="F1280" s="21"/>
      <c r="G1280" s="21"/>
      <c r="H1280" s="32"/>
      <c r="I1280" s="32">
        <f t="shared" si="62"/>
        <v>0</v>
      </c>
      <c r="J1280" s="32"/>
      <c r="K1280" s="32">
        <v>0</v>
      </c>
      <c r="L1280" s="33">
        <f t="shared" si="63"/>
        <v>0</v>
      </c>
    </row>
    <row r="1281" spans="1:12" x14ac:dyDescent="0.25">
      <c r="A1281" s="15" t="s">
        <v>979</v>
      </c>
      <c r="B1281" s="14" t="s">
        <v>979</v>
      </c>
      <c r="C1281" s="15" t="s">
        <v>1011</v>
      </c>
      <c r="D1281" s="15" t="s">
        <v>65</v>
      </c>
      <c r="E1281" s="15" t="s">
        <v>82</v>
      </c>
      <c r="F1281" s="15"/>
      <c r="G1281" s="15"/>
      <c r="H1281" s="35"/>
      <c r="I1281" s="35">
        <f t="shared" si="62"/>
        <v>0</v>
      </c>
      <c r="J1281" s="35"/>
      <c r="K1281" s="35">
        <v>0</v>
      </c>
      <c r="L1281" s="36">
        <f t="shared" si="63"/>
        <v>0</v>
      </c>
    </row>
    <row r="1282" spans="1:12" x14ac:dyDescent="0.25">
      <c r="A1282" s="21" t="s">
        <v>979</v>
      </c>
      <c r="B1282" s="30" t="s">
        <v>979</v>
      </c>
      <c r="C1282" s="21" t="s">
        <v>1012</v>
      </c>
      <c r="D1282" s="21" t="s">
        <v>65</v>
      </c>
      <c r="E1282" s="21" t="s">
        <v>82</v>
      </c>
      <c r="F1282" s="31">
        <v>3</v>
      </c>
      <c r="G1282" s="31">
        <v>4</v>
      </c>
      <c r="H1282" s="32"/>
      <c r="I1282" s="32">
        <f t="shared" ref="I1282:I1313" si="64">IF(H1282="",0,G1282)</f>
        <v>0</v>
      </c>
      <c r="J1282" s="32"/>
      <c r="K1282" s="32">
        <v>0</v>
      </c>
      <c r="L1282" s="33">
        <f t="shared" ref="L1282:L1313" si="65">G1282-I1282-K1282</f>
        <v>4</v>
      </c>
    </row>
    <row r="1283" spans="1:12" x14ac:dyDescent="0.25">
      <c r="A1283" s="15" t="s">
        <v>979</v>
      </c>
      <c r="B1283" s="14" t="s">
        <v>979</v>
      </c>
      <c r="C1283" s="15" t="s">
        <v>1013</v>
      </c>
      <c r="D1283" s="15" t="s">
        <v>65</v>
      </c>
      <c r="E1283" s="15" t="s">
        <v>82</v>
      </c>
      <c r="F1283" s="34">
        <v>3</v>
      </c>
      <c r="G1283" s="34">
        <v>4</v>
      </c>
      <c r="H1283" s="35"/>
      <c r="I1283" s="35">
        <f t="shared" si="64"/>
        <v>0</v>
      </c>
      <c r="J1283" s="35"/>
      <c r="K1283" s="35">
        <v>0</v>
      </c>
      <c r="L1283" s="36">
        <f t="shared" si="65"/>
        <v>4</v>
      </c>
    </row>
    <row r="1284" spans="1:12" x14ac:dyDescent="0.25">
      <c r="A1284" s="21" t="s">
        <v>979</v>
      </c>
      <c r="B1284" s="30" t="s">
        <v>979</v>
      </c>
      <c r="C1284" s="21" t="s">
        <v>1014</v>
      </c>
      <c r="D1284" s="21" t="s">
        <v>65</v>
      </c>
      <c r="E1284" s="21" t="s">
        <v>82</v>
      </c>
      <c r="F1284" s="31">
        <v>3</v>
      </c>
      <c r="G1284" s="31">
        <v>4</v>
      </c>
      <c r="H1284" s="32"/>
      <c r="I1284" s="32">
        <f t="shared" si="64"/>
        <v>0</v>
      </c>
      <c r="J1284" s="32"/>
      <c r="K1284" s="32">
        <v>0</v>
      </c>
      <c r="L1284" s="33">
        <f t="shared" si="65"/>
        <v>4</v>
      </c>
    </row>
    <row r="1285" spans="1:12" x14ac:dyDescent="0.25">
      <c r="A1285" s="21" t="s">
        <v>1016</v>
      </c>
      <c r="B1285" s="30" t="s">
        <v>1016</v>
      </c>
      <c r="C1285" s="21" t="s">
        <v>1017</v>
      </c>
      <c r="D1285" s="21" t="s">
        <v>47</v>
      </c>
      <c r="E1285" s="21" t="s">
        <v>79</v>
      </c>
      <c r="F1285" s="21"/>
      <c r="G1285" s="31">
        <v>15</v>
      </c>
      <c r="H1285" s="32"/>
      <c r="I1285" s="32">
        <f t="shared" si="64"/>
        <v>0</v>
      </c>
      <c r="J1285" s="32"/>
      <c r="K1285" s="32">
        <v>0</v>
      </c>
      <c r="L1285" s="33">
        <f t="shared" si="65"/>
        <v>15</v>
      </c>
    </row>
    <row r="1286" spans="1:12" x14ac:dyDescent="0.25">
      <c r="A1286" s="15" t="s">
        <v>1016</v>
      </c>
      <c r="B1286" s="14" t="s">
        <v>1016</v>
      </c>
      <c r="C1286" s="15" t="s">
        <v>1018</v>
      </c>
      <c r="D1286" s="15" t="s">
        <v>67</v>
      </c>
      <c r="E1286" s="15" t="s">
        <v>93</v>
      </c>
      <c r="F1286" s="15"/>
      <c r="G1286" s="15"/>
      <c r="H1286" s="35"/>
      <c r="I1286" s="35">
        <f t="shared" si="64"/>
        <v>0</v>
      </c>
      <c r="J1286" s="35"/>
      <c r="K1286" s="35">
        <v>0</v>
      </c>
      <c r="L1286" s="36">
        <f t="shared" si="65"/>
        <v>0</v>
      </c>
    </row>
    <row r="1287" spans="1:12" x14ac:dyDescent="0.25">
      <c r="A1287" s="21" t="s">
        <v>1016</v>
      </c>
      <c r="B1287" s="30" t="s">
        <v>1016</v>
      </c>
      <c r="C1287" s="21" t="s">
        <v>1019</v>
      </c>
      <c r="D1287" s="21" t="s">
        <v>53</v>
      </c>
      <c r="E1287" s="21" t="s">
        <v>129</v>
      </c>
      <c r="F1287" s="21"/>
      <c r="G1287" s="21"/>
      <c r="H1287" s="32"/>
      <c r="I1287" s="32">
        <f t="shared" si="64"/>
        <v>0</v>
      </c>
      <c r="J1287" s="32"/>
      <c r="K1287" s="32">
        <v>0</v>
      </c>
      <c r="L1287" s="33">
        <f t="shared" si="65"/>
        <v>0</v>
      </c>
    </row>
    <row r="1288" spans="1:12" x14ac:dyDescent="0.25">
      <c r="A1288" s="15" t="s">
        <v>1016</v>
      </c>
      <c r="B1288" s="14" t="s">
        <v>1016</v>
      </c>
      <c r="C1288" s="15" t="s">
        <v>1020</v>
      </c>
      <c r="D1288" s="15" t="s">
        <v>57</v>
      </c>
      <c r="E1288" s="15" t="s">
        <v>136</v>
      </c>
      <c r="F1288" s="15"/>
      <c r="G1288" s="15"/>
      <c r="H1288" s="35"/>
      <c r="I1288" s="35">
        <f t="shared" si="64"/>
        <v>0</v>
      </c>
      <c r="J1288" s="35"/>
      <c r="K1288" s="35">
        <v>0</v>
      </c>
      <c r="L1288" s="36">
        <f t="shared" si="65"/>
        <v>0</v>
      </c>
    </row>
    <row r="1289" spans="1:12" x14ac:dyDescent="0.25">
      <c r="A1289" s="21" t="s">
        <v>1016</v>
      </c>
      <c r="B1289" s="30" t="s">
        <v>1016</v>
      </c>
      <c r="C1289" s="21" t="s">
        <v>1021</v>
      </c>
      <c r="D1289" s="21" t="s">
        <v>57</v>
      </c>
      <c r="E1289" s="21" t="s">
        <v>136</v>
      </c>
      <c r="F1289" s="21"/>
      <c r="G1289" s="21"/>
      <c r="H1289" s="32"/>
      <c r="I1289" s="32">
        <f t="shared" si="64"/>
        <v>0</v>
      </c>
      <c r="J1289" s="32"/>
      <c r="K1289" s="32">
        <v>0</v>
      </c>
      <c r="L1289" s="33">
        <f t="shared" si="65"/>
        <v>0</v>
      </c>
    </row>
    <row r="1290" spans="1:12" x14ac:dyDescent="0.25">
      <c r="A1290" s="15" t="s">
        <v>1016</v>
      </c>
      <c r="B1290" s="14" t="s">
        <v>1016</v>
      </c>
      <c r="C1290" s="15" t="s">
        <v>1022</v>
      </c>
      <c r="D1290" s="15" t="s">
        <v>57</v>
      </c>
      <c r="E1290" s="15" t="s">
        <v>136</v>
      </c>
      <c r="F1290" s="15"/>
      <c r="G1290" s="15"/>
      <c r="H1290" s="35"/>
      <c r="I1290" s="35">
        <f t="shared" si="64"/>
        <v>0</v>
      </c>
      <c r="J1290" s="35"/>
      <c r="K1290" s="35">
        <v>0</v>
      </c>
      <c r="L1290" s="36">
        <f t="shared" si="65"/>
        <v>0</v>
      </c>
    </row>
    <row r="1291" spans="1:12" x14ac:dyDescent="0.25">
      <c r="A1291" s="21" t="s">
        <v>1016</v>
      </c>
      <c r="B1291" s="30" t="s">
        <v>1016</v>
      </c>
      <c r="C1291" s="21" t="s">
        <v>1023</v>
      </c>
      <c r="D1291" s="21" t="s">
        <v>56</v>
      </c>
      <c r="E1291" s="21" t="s">
        <v>162</v>
      </c>
      <c r="F1291" s="21"/>
      <c r="G1291" s="21"/>
      <c r="H1291" s="32"/>
      <c r="I1291" s="32">
        <f t="shared" si="64"/>
        <v>0</v>
      </c>
      <c r="J1291" s="32"/>
      <c r="K1291" s="32">
        <v>0</v>
      </c>
      <c r="L1291" s="33">
        <f t="shared" si="65"/>
        <v>0</v>
      </c>
    </row>
    <row r="1292" spans="1:12" x14ac:dyDescent="0.25">
      <c r="A1292" s="15" t="s">
        <v>1016</v>
      </c>
      <c r="B1292" s="14" t="s">
        <v>1016</v>
      </c>
      <c r="C1292" s="15" t="s">
        <v>1024</v>
      </c>
      <c r="D1292" s="15" t="s">
        <v>49</v>
      </c>
      <c r="E1292" s="15" t="s">
        <v>134</v>
      </c>
      <c r="F1292" s="34">
        <v>4</v>
      </c>
      <c r="G1292" s="34">
        <v>10</v>
      </c>
      <c r="H1292" s="35"/>
      <c r="I1292" s="35">
        <f t="shared" si="64"/>
        <v>0</v>
      </c>
      <c r="J1292" s="35"/>
      <c r="K1292" s="35">
        <v>0</v>
      </c>
      <c r="L1292" s="36">
        <f t="shared" si="65"/>
        <v>10</v>
      </c>
    </row>
    <row r="1293" spans="1:12" x14ac:dyDescent="0.25">
      <c r="A1293" s="21" t="s">
        <v>1016</v>
      </c>
      <c r="B1293" s="30" t="s">
        <v>1016</v>
      </c>
      <c r="C1293" s="21" t="s">
        <v>1025</v>
      </c>
      <c r="D1293" s="21" t="s">
        <v>59</v>
      </c>
      <c r="E1293" s="21" t="s">
        <v>203</v>
      </c>
      <c r="F1293" s="21"/>
      <c r="G1293" s="21"/>
      <c r="H1293" s="32"/>
      <c r="I1293" s="32">
        <f t="shared" si="64"/>
        <v>0</v>
      </c>
      <c r="J1293" s="32"/>
      <c r="K1293" s="32">
        <v>0</v>
      </c>
      <c r="L1293" s="33">
        <f t="shared" si="65"/>
        <v>0</v>
      </c>
    </row>
    <row r="1294" spans="1:12" x14ac:dyDescent="0.25">
      <c r="A1294" s="15" t="s">
        <v>1016</v>
      </c>
      <c r="B1294" s="14" t="s">
        <v>1016</v>
      </c>
      <c r="C1294" s="15" t="s">
        <v>1026</v>
      </c>
      <c r="D1294" s="15" t="s">
        <v>54</v>
      </c>
      <c r="E1294" s="15" t="s">
        <v>84</v>
      </c>
      <c r="F1294" s="15"/>
      <c r="G1294" s="34">
        <v>3</v>
      </c>
      <c r="H1294" s="35"/>
      <c r="I1294" s="35">
        <f t="shared" si="64"/>
        <v>0</v>
      </c>
      <c r="J1294" s="35"/>
      <c r="K1294" s="35">
        <v>0</v>
      </c>
      <c r="L1294" s="36">
        <f t="shared" si="65"/>
        <v>3</v>
      </c>
    </row>
    <row r="1295" spans="1:12" x14ac:dyDescent="0.25">
      <c r="A1295" s="21" t="s">
        <v>1016</v>
      </c>
      <c r="B1295" s="30" t="s">
        <v>1016</v>
      </c>
      <c r="C1295" s="21" t="s">
        <v>998</v>
      </c>
      <c r="D1295" s="21" t="s">
        <v>65</v>
      </c>
      <c r="E1295" s="21" t="s">
        <v>82</v>
      </c>
      <c r="F1295" s="21"/>
      <c r="G1295" s="21"/>
      <c r="H1295" s="32"/>
      <c r="I1295" s="32">
        <f t="shared" si="64"/>
        <v>0</v>
      </c>
      <c r="J1295" s="32"/>
      <c r="K1295" s="32">
        <v>0</v>
      </c>
      <c r="L1295" s="33">
        <f t="shared" si="65"/>
        <v>0</v>
      </c>
    </row>
    <row r="1296" spans="1:12" x14ac:dyDescent="0.25">
      <c r="A1296" s="15" t="s">
        <v>1016</v>
      </c>
      <c r="B1296" s="14" t="s">
        <v>1016</v>
      </c>
      <c r="C1296" s="15" t="s">
        <v>1027</v>
      </c>
      <c r="D1296" s="15" t="s">
        <v>47</v>
      </c>
      <c r="E1296" s="15" t="s">
        <v>79</v>
      </c>
      <c r="F1296" s="34">
        <v>3</v>
      </c>
      <c r="G1296" s="34">
        <v>1</v>
      </c>
      <c r="H1296" s="35"/>
      <c r="I1296" s="35">
        <f t="shared" si="64"/>
        <v>0</v>
      </c>
      <c r="J1296" s="35"/>
      <c r="K1296" s="35">
        <v>0</v>
      </c>
      <c r="L1296" s="36">
        <f t="shared" si="65"/>
        <v>1</v>
      </c>
    </row>
    <row r="1297" spans="1:12" x14ac:dyDescent="0.25">
      <c r="A1297" s="21" t="s">
        <v>1016</v>
      </c>
      <c r="B1297" s="30" t="s">
        <v>1016</v>
      </c>
      <c r="C1297" s="21" t="s">
        <v>1028</v>
      </c>
      <c r="D1297" s="21" t="s">
        <v>69</v>
      </c>
      <c r="E1297" s="21" t="s">
        <v>90</v>
      </c>
      <c r="F1297" s="21"/>
      <c r="G1297" s="21"/>
      <c r="H1297" s="32"/>
      <c r="I1297" s="32">
        <f t="shared" si="64"/>
        <v>0</v>
      </c>
      <c r="J1297" s="32"/>
      <c r="K1297" s="32">
        <v>0</v>
      </c>
      <c r="L1297" s="33">
        <f t="shared" si="65"/>
        <v>0</v>
      </c>
    </row>
    <row r="1298" spans="1:12" x14ac:dyDescent="0.25">
      <c r="A1298" s="15" t="s">
        <v>1016</v>
      </c>
      <c r="B1298" s="14" t="s">
        <v>1016</v>
      </c>
      <c r="C1298" s="15" t="s">
        <v>1029</v>
      </c>
      <c r="D1298" s="15" t="s">
        <v>65</v>
      </c>
      <c r="E1298" s="15" t="s">
        <v>82</v>
      </c>
      <c r="F1298" s="15"/>
      <c r="G1298" s="15"/>
      <c r="H1298" s="35"/>
      <c r="I1298" s="35">
        <f t="shared" si="64"/>
        <v>0</v>
      </c>
      <c r="J1298" s="35"/>
      <c r="K1298" s="35">
        <v>0</v>
      </c>
      <c r="L1298" s="36">
        <f t="shared" si="65"/>
        <v>0</v>
      </c>
    </row>
    <row r="1299" spans="1:12" x14ac:dyDescent="0.25">
      <c r="A1299" s="21" t="s">
        <v>1016</v>
      </c>
      <c r="B1299" s="30" t="s">
        <v>1016</v>
      </c>
      <c r="C1299" s="21" t="s">
        <v>1030</v>
      </c>
      <c r="D1299" s="21" t="s">
        <v>65</v>
      </c>
      <c r="E1299" s="21" t="s">
        <v>82</v>
      </c>
      <c r="F1299" s="31">
        <v>1</v>
      </c>
      <c r="G1299" s="31">
        <v>2</v>
      </c>
      <c r="H1299" s="32"/>
      <c r="I1299" s="32">
        <f t="shared" si="64"/>
        <v>0</v>
      </c>
      <c r="J1299" s="32"/>
      <c r="K1299" s="32">
        <v>0</v>
      </c>
      <c r="L1299" s="33">
        <f t="shared" si="65"/>
        <v>2</v>
      </c>
    </row>
    <row r="1300" spans="1:12" x14ac:dyDescent="0.25">
      <c r="A1300" s="15" t="s">
        <v>1016</v>
      </c>
      <c r="B1300" s="14" t="s">
        <v>1016</v>
      </c>
      <c r="C1300" s="15" t="s">
        <v>1031</v>
      </c>
      <c r="D1300" s="15" t="s">
        <v>65</v>
      </c>
      <c r="E1300" s="15" t="s">
        <v>82</v>
      </c>
      <c r="F1300" s="34">
        <v>1</v>
      </c>
      <c r="G1300" s="34">
        <v>2</v>
      </c>
      <c r="H1300" s="35"/>
      <c r="I1300" s="35">
        <f t="shared" si="64"/>
        <v>0</v>
      </c>
      <c r="J1300" s="35"/>
      <c r="K1300" s="35">
        <v>0</v>
      </c>
      <c r="L1300" s="36">
        <f t="shared" si="65"/>
        <v>2</v>
      </c>
    </row>
    <row r="1301" spans="1:12" x14ac:dyDescent="0.25">
      <c r="A1301" s="21" t="s">
        <v>1016</v>
      </c>
      <c r="B1301" s="30" t="s">
        <v>1016</v>
      </c>
      <c r="C1301" s="21" t="s">
        <v>1032</v>
      </c>
      <c r="D1301" s="21" t="s">
        <v>65</v>
      </c>
      <c r="E1301" s="21" t="s">
        <v>82</v>
      </c>
      <c r="F1301" s="31">
        <v>1</v>
      </c>
      <c r="G1301" s="31">
        <v>2</v>
      </c>
      <c r="H1301" s="32"/>
      <c r="I1301" s="32">
        <f t="shared" si="64"/>
        <v>0</v>
      </c>
      <c r="J1301" s="32"/>
      <c r="K1301" s="32">
        <v>0</v>
      </c>
      <c r="L1301" s="33">
        <f t="shared" si="65"/>
        <v>2</v>
      </c>
    </row>
    <row r="1302" spans="1:12" x14ac:dyDescent="0.25">
      <c r="A1302" s="15" t="s">
        <v>1016</v>
      </c>
      <c r="B1302" s="14" t="s">
        <v>1016</v>
      </c>
      <c r="C1302" s="15" t="s">
        <v>1019</v>
      </c>
      <c r="D1302" s="15" t="s">
        <v>53</v>
      </c>
      <c r="E1302" s="15" t="s">
        <v>129</v>
      </c>
      <c r="F1302" s="15"/>
      <c r="G1302" s="15"/>
      <c r="H1302" s="35"/>
      <c r="I1302" s="35">
        <f t="shared" si="64"/>
        <v>0</v>
      </c>
      <c r="J1302" s="35"/>
      <c r="K1302" s="35">
        <v>0</v>
      </c>
      <c r="L1302" s="36">
        <f t="shared" si="65"/>
        <v>0</v>
      </c>
    </row>
    <row r="1303" spans="1:12" x14ac:dyDescent="0.25">
      <c r="A1303" s="21" t="s">
        <v>1016</v>
      </c>
      <c r="B1303" s="30" t="s">
        <v>1016</v>
      </c>
      <c r="C1303" s="21" t="s">
        <v>1020</v>
      </c>
      <c r="D1303" s="21" t="s">
        <v>57</v>
      </c>
      <c r="E1303" s="21" t="s">
        <v>136</v>
      </c>
      <c r="F1303" s="21"/>
      <c r="G1303" s="21"/>
      <c r="H1303" s="32"/>
      <c r="I1303" s="32">
        <f t="shared" si="64"/>
        <v>0</v>
      </c>
      <c r="J1303" s="32"/>
      <c r="K1303" s="32">
        <v>0</v>
      </c>
      <c r="L1303" s="33">
        <f t="shared" si="65"/>
        <v>0</v>
      </c>
    </row>
    <row r="1304" spans="1:12" x14ac:dyDescent="0.25">
      <c r="A1304" s="15" t="s">
        <v>1016</v>
      </c>
      <c r="B1304" s="14" t="s">
        <v>1016</v>
      </c>
      <c r="C1304" s="15" t="s">
        <v>1021</v>
      </c>
      <c r="D1304" s="15" t="s">
        <v>57</v>
      </c>
      <c r="E1304" s="15" t="s">
        <v>136</v>
      </c>
      <c r="F1304" s="15"/>
      <c r="G1304" s="15"/>
      <c r="H1304" s="35"/>
      <c r="I1304" s="35">
        <f t="shared" si="64"/>
        <v>0</v>
      </c>
      <c r="J1304" s="35"/>
      <c r="K1304" s="35">
        <v>0</v>
      </c>
      <c r="L1304" s="36">
        <f t="shared" si="65"/>
        <v>0</v>
      </c>
    </row>
    <row r="1305" spans="1:12" x14ac:dyDescent="0.25">
      <c r="A1305" s="21" t="s">
        <v>1016</v>
      </c>
      <c r="B1305" s="30" t="s">
        <v>1016</v>
      </c>
      <c r="C1305" s="21" t="s">
        <v>1022</v>
      </c>
      <c r="D1305" s="21" t="s">
        <v>57</v>
      </c>
      <c r="E1305" s="21" t="s">
        <v>136</v>
      </c>
      <c r="F1305" s="21"/>
      <c r="G1305" s="21"/>
      <c r="H1305" s="32"/>
      <c r="I1305" s="32">
        <f t="shared" si="64"/>
        <v>0</v>
      </c>
      <c r="J1305" s="32"/>
      <c r="K1305" s="32">
        <v>0</v>
      </c>
      <c r="L1305" s="33">
        <f t="shared" si="65"/>
        <v>0</v>
      </c>
    </row>
    <row r="1306" spans="1:12" x14ac:dyDescent="0.25">
      <c r="A1306" s="15" t="s">
        <v>1016</v>
      </c>
      <c r="B1306" s="14" t="s">
        <v>1016</v>
      </c>
      <c r="C1306" s="15" t="s">
        <v>1023</v>
      </c>
      <c r="D1306" s="15" t="s">
        <v>56</v>
      </c>
      <c r="E1306" s="15" t="s">
        <v>162</v>
      </c>
      <c r="F1306" s="15"/>
      <c r="G1306" s="15"/>
      <c r="H1306" s="35"/>
      <c r="I1306" s="35">
        <f t="shared" si="64"/>
        <v>0</v>
      </c>
      <c r="J1306" s="35"/>
      <c r="K1306" s="35">
        <v>0</v>
      </c>
      <c r="L1306" s="36">
        <f t="shared" si="65"/>
        <v>0</v>
      </c>
    </row>
    <row r="1307" spans="1:12" x14ac:dyDescent="0.25">
      <c r="A1307" s="21" t="s">
        <v>1016</v>
      </c>
      <c r="B1307" s="30" t="s">
        <v>1016</v>
      </c>
      <c r="C1307" s="21" t="s">
        <v>1025</v>
      </c>
      <c r="D1307" s="21" t="s">
        <v>59</v>
      </c>
      <c r="E1307" s="21" t="s">
        <v>203</v>
      </c>
      <c r="F1307" s="21"/>
      <c r="G1307" s="21"/>
      <c r="H1307" s="32"/>
      <c r="I1307" s="32">
        <f t="shared" si="64"/>
        <v>0</v>
      </c>
      <c r="J1307" s="32"/>
      <c r="K1307" s="32">
        <v>0</v>
      </c>
      <c r="L1307" s="33">
        <f t="shared" si="65"/>
        <v>0</v>
      </c>
    </row>
    <row r="1308" spans="1:12" x14ac:dyDescent="0.25">
      <c r="A1308" s="15" t="s">
        <v>1016</v>
      </c>
      <c r="B1308" s="14" t="s">
        <v>1016</v>
      </c>
      <c r="C1308" s="15" t="s">
        <v>1033</v>
      </c>
      <c r="D1308" s="15" t="s">
        <v>65</v>
      </c>
      <c r="E1308" s="15" t="s">
        <v>82</v>
      </c>
      <c r="F1308" s="34">
        <v>3</v>
      </c>
      <c r="G1308" s="34">
        <v>5</v>
      </c>
      <c r="H1308" s="35"/>
      <c r="I1308" s="35">
        <f t="shared" si="64"/>
        <v>0</v>
      </c>
      <c r="J1308" s="35"/>
      <c r="K1308" s="35">
        <v>0</v>
      </c>
      <c r="L1308" s="36">
        <f t="shared" si="65"/>
        <v>5</v>
      </c>
    </row>
    <row r="1309" spans="1:12" x14ac:dyDescent="0.25">
      <c r="A1309" s="21" t="s">
        <v>1016</v>
      </c>
      <c r="B1309" s="30" t="s">
        <v>1016</v>
      </c>
      <c r="C1309" s="21" t="s">
        <v>1026</v>
      </c>
      <c r="D1309" s="21" t="s">
        <v>54</v>
      </c>
      <c r="E1309" s="21" t="s">
        <v>84</v>
      </c>
      <c r="F1309" s="21"/>
      <c r="G1309" s="21"/>
      <c r="H1309" s="32"/>
      <c r="I1309" s="32">
        <f t="shared" si="64"/>
        <v>0</v>
      </c>
      <c r="J1309" s="32"/>
      <c r="K1309" s="32">
        <v>0</v>
      </c>
      <c r="L1309" s="33">
        <f t="shared" si="65"/>
        <v>0</v>
      </c>
    </row>
    <row r="1310" spans="1:12" x14ac:dyDescent="0.25">
      <c r="A1310" s="15" t="s">
        <v>1016</v>
      </c>
      <c r="B1310" s="14" t="s">
        <v>1016</v>
      </c>
      <c r="C1310" s="15" t="s">
        <v>998</v>
      </c>
      <c r="D1310" s="15" t="s">
        <v>65</v>
      </c>
      <c r="E1310" s="15" t="s">
        <v>82</v>
      </c>
      <c r="F1310" s="15"/>
      <c r="G1310" s="15"/>
      <c r="H1310" s="35"/>
      <c r="I1310" s="35">
        <f t="shared" si="64"/>
        <v>0</v>
      </c>
      <c r="J1310" s="35"/>
      <c r="K1310" s="35">
        <v>0</v>
      </c>
      <c r="L1310" s="36">
        <f t="shared" si="65"/>
        <v>0</v>
      </c>
    </row>
    <row r="1311" spans="1:12" x14ac:dyDescent="0.25">
      <c r="A1311" s="21" t="s">
        <v>1016</v>
      </c>
      <c r="B1311" s="30" t="s">
        <v>1016</v>
      </c>
      <c r="C1311" s="21" t="s">
        <v>1028</v>
      </c>
      <c r="D1311" s="21" t="s">
        <v>69</v>
      </c>
      <c r="E1311" s="21" t="s">
        <v>90</v>
      </c>
      <c r="F1311" s="21"/>
      <c r="G1311" s="21"/>
      <c r="H1311" s="32"/>
      <c r="I1311" s="32">
        <f t="shared" si="64"/>
        <v>0</v>
      </c>
      <c r="J1311" s="32"/>
      <c r="K1311" s="32">
        <v>0</v>
      </c>
      <c r="L1311" s="33">
        <f t="shared" si="65"/>
        <v>0</v>
      </c>
    </row>
    <row r="1312" spans="1:12" x14ac:dyDescent="0.25">
      <c r="A1312" s="15" t="s">
        <v>1016</v>
      </c>
      <c r="B1312" s="14" t="s">
        <v>1016</v>
      </c>
      <c r="C1312" s="15" t="s">
        <v>1034</v>
      </c>
      <c r="D1312" s="15" t="s">
        <v>57</v>
      </c>
      <c r="E1312" s="15" t="s">
        <v>136</v>
      </c>
      <c r="F1312" s="34">
        <v>82.9</v>
      </c>
      <c r="G1312" s="34">
        <v>135</v>
      </c>
      <c r="H1312" s="35"/>
      <c r="I1312" s="35">
        <f t="shared" si="64"/>
        <v>0</v>
      </c>
      <c r="J1312" s="35"/>
      <c r="K1312" s="35">
        <v>0</v>
      </c>
      <c r="L1312" s="36">
        <f t="shared" si="65"/>
        <v>135</v>
      </c>
    </row>
    <row r="1313" spans="1:12" x14ac:dyDescent="0.25">
      <c r="A1313" s="21" t="s">
        <v>1016</v>
      </c>
      <c r="B1313" s="30" t="s">
        <v>1016</v>
      </c>
      <c r="C1313" s="21" t="s">
        <v>1035</v>
      </c>
      <c r="D1313" s="21" t="s">
        <v>57</v>
      </c>
      <c r="E1313" s="21" t="s">
        <v>136</v>
      </c>
      <c r="F1313" s="31">
        <v>69.7</v>
      </c>
      <c r="G1313" s="31">
        <v>69.7</v>
      </c>
      <c r="H1313" s="32"/>
      <c r="I1313" s="32">
        <f t="shared" si="64"/>
        <v>0</v>
      </c>
      <c r="J1313" s="32"/>
      <c r="K1313" s="32">
        <v>0</v>
      </c>
      <c r="L1313" s="33">
        <f t="shared" si="65"/>
        <v>69.7</v>
      </c>
    </row>
    <row r="1314" spans="1:12" x14ac:dyDescent="0.25">
      <c r="A1314" s="15" t="s">
        <v>1016</v>
      </c>
      <c r="B1314" s="14" t="s">
        <v>1016</v>
      </c>
      <c r="C1314" s="15" t="s">
        <v>1036</v>
      </c>
      <c r="D1314" s="15" t="s">
        <v>57</v>
      </c>
      <c r="E1314" s="15" t="s">
        <v>136</v>
      </c>
      <c r="F1314" s="34">
        <v>34.299999999999997</v>
      </c>
      <c r="G1314" s="34">
        <v>68.599999999999994</v>
      </c>
      <c r="H1314" s="35"/>
      <c r="I1314" s="35">
        <f t="shared" ref="I1314:I1345" si="66">IF(H1314="",0,G1314)</f>
        <v>0</v>
      </c>
      <c r="J1314" s="35"/>
      <c r="K1314" s="35">
        <v>0</v>
      </c>
      <c r="L1314" s="36">
        <f t="shared" ref="L1314:L1345" si="67">G1314-I1314-K1314</f>
        <v>68.599999999999994</v>
      </c>
    </row>
    <row r="1315" spans="1:12" x14ac:dyDescent="0.25">
      <c r="A1315" s="21" t="s">
        <v>1037</v>
      </c>
      <c r="B1315" s="30" t="s">
        <v>1037</v>
      </c>
      <c r="C1315" s="21" t="s">
        <v>1038</v>
      </c>
      <c r="D1315" s="21" t="s">
        <v>67</v>
      </c>
      <c r="E1315" s="21" t="s">
        <v>93</v>
      </c>
      <c r="F1315" s="31">
        <v>3</v>
      </c>
      <c r="G1315" s="31">
        <v>8</v>
      </c>
      <c r="H1315" s="32"/>
      <c r="I1315" s="32">
        <f t="shared" si="66"/>
        <v>0</v>
      </c>
      <c r="J1315" s="32"/>
      <c r="K1315" s="32">
        <v>0</v>
      </c>
      <c r="L1315" s="33">
        <f t="shared" si="67"/>
        <v>8</v>
      </c>
    </row>
    <row r="1316" spans="1:12" x14ac:dyDescent="0.25">
      <c r="A1316" s="15" t="s">
        <v>1037</v>
      </c>
      <c r="B1316" s="14" t="s">
        <v>1037</v>
      </c>
      <c r="C1316" s="15" t="s">
        <v>1039</v>
      </c>
      <c r="D1316" s="15" t="s">
        <v>47</v>
      </c>
      <c r="E1316" s="15" t="s">
        <v>79</v>
      </c>
      <c r="F1316" s="15"/>
      <c r="G1316" s="34">
        <v>5</v>
      </c>
      <c r="H1316" s="35"/>
      <c r="I1316" s="35">
        <f t="shared" si="66"/>
        <v>0</v>
      </c>
      <c r="J1316" s="35"/>
      <c r="K1316" s="35">
        <v>0</v>
      </c>
      <c r="L1316" s="36">
        <f t="shared" si="67"/>
        <v>5</v>
      </c>
    </row>
    <row r="1317" spans="1:12" x14ac:dyDescent="0.25">
      <c r="A1317" s="21" t="s">
        <v>1037</v>
      </c>
      <c r="B1317" s="30" t="s">
        <v>1037</v>
      </c>
      <c r="C1317" s="21" t="s">
        <v>996</v>
      </c>
      <c r="D1317" s="21" t="s">
        <v>47</v>
      </c>
      <c r="E1317" s="21" t="s">
        <v>79</v>
      </c>
      <c r="F1317" s="21"/>
      <c r="G1317" s="21"/>
      <c r="H1317" s="32"/>
      <c r="I1317" s="32">
        <f t="shared" si="66"/>
        <v>0</v>
      </c>
      <c r="J1317" s="32"/>
      <c r="K1317" s="32">
        <v>0</v>
      </c>
      <c r="L1317" s="33">
        <f t="shared" si="67"/>
        <v>0</v>
      </c>
    </row>
    <row r="1318" spans="1:12" x14ac:dyDescent="0.25">
      <c r="A1318" s="15" t="s">
        <v>1037</v>
      </c>
      <c r="B1318" s="14" t="s">
        <v>1037</v>
      </c>
      <c r="C1318" s="15" t="s">
        <v>1040</v>
      </c>
      <c r="D1318" s="15" t="s">
        <v>67</v>
      </c>
      <c r="E1318" s="15" t="s">
        <v>93</v>
      </c>
      <c r="F1318" s="15"/>
      <c r="G1318" s="15"/>
      <c r="H1318" s="35"/>
      <c r="I1318" s="35">
        <f t="shared" si="66"/>
        <v>0</v>
      </c>
      <c r="J1318" s="35"/>
      <c r="K1318" s="35">
        <v>0</v>
      </c>
      <c r="L1318" s="36">
        <f t="shared" si="67"/>
        <v>0</v>
      </c>
    </row>
    <row r="1319" spans="1:12" x14ac:dyDescent="0.25">
      <c r="A1319" s="21" t="s">
        <v>1037</v>
      </c>
      <c r="B1319" s="30" t="s">
        <v>1037</v>
      </c>
      <c r="C1319" s="21" t="s">
        <v>1041</v>
      </c>
      <c r="D1319" s="21" t="s">
        <v>54</v>
      </c>
      <c r="E1319" s="21" t="s">
        <v>84</v>
      </c>
      <c r="F1319" s="21"/>
      <c r="G1319" s="31">
        <v>2</v>
      </c>
      <c r="H1319" s="32"/>
      <c r="I1319" s="32">
        <f t="shared" si="66"/>
        <v>0</v>
      </c>
      <c r="J1319" s="32"/>
      <c r="K1319" s="32">
        <v>0</v>
      </c>
      <c r="L1319" s="33">
        <f t="shared" si="67"/>
        <v>2</v>
      </c>
    </row>
    <row r="1320" spans="1:12" x14ac:dyDescent="0.25">
      <c r="A1320" s="15" t="s">
        <v>1037</v>
      </c>
      <c r="B1320" s="14" t="s">
        <v>1037</v>
      </c>
      <c r="C1320" s="15" t="s">
        <v>996</v>
      </c>
      <c r="D1320" s="15" t="s">
        <v>65</v>
      </c>
      <c r="E1320" s="15" t="s">
        <v>82</v>
      </c>
      <c r="F1320" s="15"/>
      <c r="G1320" s="15"/>
      <c r="H1320" s="35"/>
      <c r="I1320" s="35">
        <f t="shared" si="66"/>
        <v>0</v>
      </c>
      <c r="J1320" s="35"/>
      <c r="K1320" s="35">
        <v>0</v>
      </c>
      <c r="L1320" s="36">
        <f t="shared" si="67"/>
        <v>0</v>
      </c>
    </row>
    <row r="1321" spans="1:12" x14ac:dyDescent="0.25">
      <c r="A1321" s="21" t="s">
        <v>1037</v>
      </c>
      <c r="B1321" s="30" t="s">
        <v>1037</v>
      </c>
      <c r="C1321" s="21" t="s">
        <v>1042</v>
      </c>
      <c r="D1321" s="21" t="s">
        <v>69</v>
      </c>
      <c r="E1321" s="21" t="s">
        <v>90</v>
      </c>
      <c r="F1321" s="21"/>
      <c r="G1321" s="21"/>
      <c r="H1321" s="32"/>
      <c r="I1321" s="32">
        <f t="shared" si="66"/>
        <v>0</v>
      </c>
      <c r="J1321" s="32"/>
      <c r="K1321" s="32">
        <v>0</v>
      </c>
      <c r="L1321" s="33">
        <f t="shared" si="67"/>
        <v>0</v>
      </c>
    </row>
    <row r="1322" spans="1:12" x14ac:dyDescent="0.25">
      <c r="A1322" s="15" t="s">
        <v>1037</v>
      </c>
      <c r="B1322" s="14" t="s">
        <v>1037</v>
      </c>
      <c r="C1322" s="15" t="s">
        <v>1038</v>
      </c>
      <c r="D1322" s="15" t="s">
        <v>67</v>
      </c>
      <c r="E1322" s="15" t="s">
        <v>93</v>
      </c>
      <c r="F1322" s="15"/>
      <c r="G1322" s="15"/>
      <c r="H1322" s="35"/>
      <c r="I1322" s="35">
        <f t="shared" si="66"/>
        <v>0</v>
      </c>
      <c r="J1322" s="35"/>
      <c r="K1322" s="35">
        <v>0</v>
      </c>
      <c r="L1322" s="36">
        <f t="shared" si="67"/>
        <v>0</v>
      </c>
    </row>
    <row r="1323" spans="1:12" x14ac:dyDescent="0.25">
      <c r="A1323" s="21" t="s">
        <v>1037</v>
      </c>
      <c r="B1323" s="30" t="s">
        <v>1037</v>
      </c>
      <c r="C1323" s="21" t="s">
        <v>1040</v>
      </c>
      <c r="D1323" s="21" t="s">
        <v>67</v>
      </c>
      <c r="E1323" s="21" t="s">
        <v>93</v>
      </c>
      <c r="F1323" s="21"/>
      <c r="G1323" s="21"/>
      <c r="H1323" s="32"/>
      <c r="I1323" s="32">
        <f t="shared" si="66"/>
        <v>0</v>
      </c>
      <c r="J1323" s="32"/>
      <c r="K1323" s="32">
        <v>0</v>
      </c>
      <c r="L1323" s="33">
        <f t="shared" si="67"/>
        <v>0</v>
      </c>
    </row>
    <row r="1324" spans="1:12" x14ac:dyDescent="0.25">
      <c r="A1324" s="15" t="s">
        <v>1037</v>
      </c>
      <c r="B1324" s="14" t="s">
        <v>1037</v>
      </c>
      <c r="C1324" s="15" t="s">
        <v>1041</v>
      </c>
      <c r="D1324" s="15" t="s">
        <v>54</v>
      </c>
      <c r="E1324" s="15" t="s">
        <v>84</v>
      </c>
      <c r="F1324" s="15"/>
      <c r="G1324" s="15"/>
      <c r="H1324" s="35"/>
      <c r="I1324" s="35">
        <f t="shared" si="66"/>
        <v>0</v>
      </c>
      <c r="J1324" s="35"/>
      <c r="K1324" s="35">
        <v>0</v>
      </c>
      <c r="L1324" s="36">
        <f t="shared" si="67"/>
        <v>0</v>
      </c>
    </row>
    <row r="1325" spans="1:12" x14ac:dyDescent="0.25">
      <c r="A1325" s="21" t="s">
        <v>1037</v>
      </c>
      <c r="B1325" s="30" t="s">
        <v>1037</v>
      </c>
      <c r="C1325" s="21" t="s">
        <v>996</v>
      </c>
      <c r="D1325" s="21" t="s">
        <v>65</v>
      </c>
      <c r="E1325" s="21" t="s">
        <v>82</v>
      </c>
      <c r="F1325" s="21"/>
      <c r="G1325" s="21"/>
      <c r="H1325" s="32"/>
      <c r="I1325" s="32">
        <f t="shared" si="66"/>
        <v>0</v>
      </c>
      <c r="J1325" s="32"/>
      <c r="K1325" s="32">
        <v>0</v>
      </c>
      <c r="L1325" s="33">
        <f t="shared" si="67"/>
        <v>0</v>
      </c>
    </row>
    <row r="1326" spans="1:12" x14ac:dyDescent="0.25">
      <c r="A1326" s="15" t="s">
        <v>1037</v>
      </c>
      <c r="B1326" s="14" t="s">
        <v>1037</v>
      </c>
      <c r="C1326" s="15" t="s">
        <v>1043</v>
      </c>
      <c r="D1326" s="15" t="s">
        <v>65</v>
      </c>
      <c r="E1326" s="15" t="s">
        <v>82</v>
      </c>
      <c r="F1326" s="15"/>
      <c r="G1326" s="15"/>
      <c r="H1326" s="35"/>
      <c r="I1326" s="35">
        <f t="shared" si="66"/>
        <v>0</v>
      </c>
      <c r="J1326" s="35"/>
      <c r="K1326" s="35">
        <v>0</v>
      </c>
      <c r="L1326" s="36">
        <f t="shared" si="67"/>
        <v>0</v>
      </c>
    </row>
    <row r="1327" spans="1:12" x14ac:dyDescent="0.25">
      <c r="A1327" s="21" t="s">
        <v>1037</v>
      </c>
      <c r="B1327" s="30" t="s">
        <v>1037</v>
      </c>
      <c r="C1327" s="21" t="s">
        <v>1044</v>
      </c>
      <c r="D1327" s="21" t="s">
        <v>65</v>
      </c>
      <c r="E1327" s="21" t="s">
        <v>82</v>
      </c>
      <c r="F1327" s="31">
        <v>5</v>
      </c>
      <c r="G1327" s="31">
        <v>5</v>
      </c>
      <c r="H1327" s="32"/>
      <c r="I1327" s="32">
        <f t="shared" si="66"/>
        <v>0</v>
      </c>
      <c r="J1327" s="32"/>
      <c r="K1327" s="32">
        <v>0</v>
      </c>
      <c r="L1327" s="33">
        <f t="shared" si="67"/>
        <v>5</v>
      </c>
    </row>
    <row r="1328" spans="1:12" x14ac:dyDescent="0.25">
      <c r="A1328" s="15" t="s">
        <v>1037</v>
      </c>
      <c r="B1328" s="14" t="s">
        <v>1037</v>
      </c>
      <c r="C1328" s="15" t="s">
        <v>1042</v>
      </c>
      <c r="D1328" s="15" t="s">
        <v>69</v>
      </c>
      <c r="E1328" s="15" t="s">
        <v>90</v>
      </c>
      <c r="F1328" s="15"/>
      <c r="G1328" s="15"/>
      <c r="H1328" s="35"/>
      <c r="I1328" s="35">
        <f t="shared" si="66"/>
        <v>0</v>
      </c>
      <c r="J1328" s="35"/>
      <c r="K1328" s="35">
        <v>0</v>
      </c>
      <c r="L1328" s="36">
        <f t="shared" si="67"/>
        <v>0</v>
      </c>
    </row>
    <row r="1329" spans="1:12" x14ac:dyDescent="0.25">
      <c r="A1329" s="21" t="s">
        <v>1037</v>
      </c>
      <c r="B1329" s="30" t="s">
        <v>1037</v>
      </c>
      <c r="C1329" s="21" t="s">
        <v>981</v>
      </c>
      <c r="D1329" s="21" t="s">
        <v>67</v>
      </c>
      <c r="E1329" s="21" t="s">
        <v>93</v>
      </c>
      <c r="F1329" s="31">
        <v>2</v>
      </c>
      <c r="G1329" s="31">
        <v>3</v>
      </c>
      <c r="H1329" s="32"/>
      <c r="I1329" s="32">
        <f t="shared" si="66"/>
        <v>0</v>
      </c>
      <c r="J1329" s="32"/>
      <c r="K1329" s="32">
        <v>0</v>
      </c>
      <c r="L1329" s="33">
        <f t="shared" si="67"/>
        <v>3</v>
      </c>
    </row>
    <row r="1330" spans="1:12" x14ac:dyDescent="0.25">
      <c r="A1330" s="15" t="s">
        <v>1037</v>
      </c>
      <c r="B1330" s="14" t="s">
        <v>1037</v>
      </c>
      <c r="C1330" s="15" t="s">
        <v>1045</v>
      </c>
      <c r="D1330" s="15" t="s">
        <v>67</v>
      </c>
      <c r="E1330" s="15" t="s">
        <v>93</v>
      </c>
      <c r="F1330" s="34">
        <v>1</v>
      </c>
      <c r="G1330" s="34">
        <v>2</v>
      </c>
      <c r="H1330" s="35"/>
      <c r="I1330" s="35">
        <f t="shared" si="66"/>
        <v>0</v>
      </c>
      <c r="J1330" s="35"/>
      <c r="K1330" s="35">
        <v>0</v>
      </c>
      <c r="L1330" s="36">
        <f t="shared" si="67"/>
        <v>2</v>
      </c>
    </row>
    <row r="1331" spans="1:12" x14ac:dyDescent="0.25">
      <c r="A1331" s="21" t="s">
        <v>1037</v>
      </c>
      <c r="B1331" s="30" t="s">
        <v>1037</v>
      </c>
      <c r="C1331" s="21" t="s">
        <v>983</v>
      </c>
      <c r="D1331" s="21" t="s">
        <v>67</v>
      </c>
      <c r="E1331" s="21" t="s">
        <v>93</v>
      </c>
      <c r="F1331" s="31">
        <v>1</v>
      </c>
      <c r="G1331" s="31">
        <v>2</v>
      </c>
      <c r="H1331" s="32"/>
      <c r="I1331" s="32">
        <f t="shared" si="66"/>
        <v>0</v>
      </c>
      <c r="J1331" s="32"/>
      <c r="K1331" s="32">
        <v>0</v>
      </c>
      <c r="L1331" s="33">
        <f t="shared" si="67"/>
        <v>2</v>
      </c>
    </row>
    <row r="1332" spans="1:12" x14ac:dyDescent="0.25">
      <c r="A1332" s="15" t="s">
        <v>1037</v>
      </c>
      <c r="B1332" s="14" t="s">
        <v>1037</v>
      </c>
      <c r="C1332" s="15" t="s">
        <v>984</v>
      </c>
      <c r="D1332" s="15" t="s">
        <v>67</v>
      </c>
      <c r="E1332" s="15" t="s">
        <v>93</v>
      </c>
      <c r="F1332" s="34">
        <v>1</v>
      </c>
      <c r="G1332" s="34">
        <v>2</v>
      </c>
      <c r="H1332" s="35"/>
      <c r="I1332" s="35">
        <f t="shared" si="66"/>
        <v>0</v>
      </c>
      <c r="J1332" s="35"/>
      <c r="K1332" s="35">
        <v>0</v>
      </c>
      <c r="L1332" s="36">
        <f t="shared" si="67"/>
        <v>2</v>
      </c>
    </row>
    <row r="1333" spans="1:12" x14ac:dyDescent="0.25">
      <c r="A1333" s="21" t="s">
        <v>1037</v>
      </c>
      <c r="B1333" s="30" t="s">
        <v>1037</v>
      </c>
      <c r="C1333" s="21" t="s">
        <v>985</v>
      </c>
      <c r="D1333" s="21" t="s">
        <v>67</v>
      </c>
      <c r="E1333" s="21" t="s">
        <v>93</v>
      </c>
      <c r="F1333" s="31">
        <v>1</v>
      </c>
      <c r="G1333" s="31">
        <v>2</v>
      </c>
      <c r="H1333" s="32"/>
      <c r="I1333" s="32">
        <f t="shared" si="66"/>
        <v>0</v>
      </c>
      <c r="J1333" s="32"/>
      <c r="K1333" s="32">
        <v>0</v>
      </c>
      <c r="L1333" s="33">
        <f t="shared" si="67"/>
        <v>2</v>
      </c>
    </row>
    <row r="1334" spans="1:12" x14ac:dyDescent="0.25">
      <c r="A1334" s="15" t="s">
        <v>1037</v>
      </c>
      <c r="B1334" s="14" t="s">
        <v>1037</v>
      </c>
      <c r="C1334" s="15" t="s">
        <v>986</v>
      </c>
      <c r="D1334" s="15" t="s">
        <v>67</v>
      </c>
      <c r="E1334" s="15" t="s">
        <v>93</v>
      </c>
      <c r="F1334" s="34">
        <v>1</v>
      </c>
      <c r="G1334" s="34">
        <v>2</v>
      </c>
      <c r="H1334" s="35"/>
      <c r="I1334" s="35">
        <f t="shared" si="66"/>
        <v>0</v>
      </c>
      <c r="J1334" s="35"/>
      <c r="K1334" s="35">
        <v>0</v>
      </c>
      <c r="L1334" s="36">
        <f t="shared" si="67"/>
        <v>2</v>
      </c>
    </row>
    <row r="1335" spans="1:12" x14ac:dyDescent="0.25">
      <c r="A1335" s="21" t="s">
        <v>1037</v>
      </c>
      <c r="B1335" s="30" t="s">
        <v>1037</v>
      </c>
      <c r="C1335" s="21" t="s">
        <v>987</v>
      </c>
      <c r="D1335" s="21" t="s">
        <v>67</v>
      </c>
      <c r="E1335" s="21" t="s">
        <v>93</v>
      </c>
      <c r="F1335" s="31">
        <v>1</v>
      </c>
      <c r="G1335" s="31">
        <v>2</v>
      </c>
      <c r="H1335" s="32"/>
      <c r="I1335" s="32">
        <f t="shared" si="66"/>
        <v>0</v>
      </c>
      <c r="J1335" s="32"/>
      <c r="K1335" s="32">
        <v>0</v>
      </c>
      <c r="L1335" s="33">
        <f t="shared" si="67"/>
        <v>2</v>
      </c>
    </row>
    <row r="1336" spans="1:12" x14ac:dyDescent="0.25">
      <c r="A1336" s="15" t="s">
        <v>1037</v>
      </c>
      <c r="B1336" s="14" t="s">
        <v>1037</v>
      </c>
      <c r="C1336" s="15" t="s">
        <v>988</v>
      </c>
      <c r="D1336" s="15" t="s">
        <v>67</v>
      </c>
      <c r="E1336" s="15" t="s">
        <v>93</v>
      </c>
      <c r="F1336" s="34">
        <v>1</v>
      </c>
      <c r="G1336" s="34">
        <v>2</v>
      </c>
      <c r="H1336" s="35"/>
      <c r="I1336" s="35">
        <f t="shared" si="66"/>
        <v>0</v>
      </c>
      <c r="J1336" s="35"/>
      <c r="K1336" s="35">
        <v>0</v>
      </c>
      <c r="L1336" s="36">
        <f t="shared" si="67"/>
        <v>2</v>
      </c>
    </row>
    <row r="1337" spans="1:12" x14ac:dyDescent="0.25">
      <c r="A1337" s="21" t="s">
        <v>1037</v>
      </c>
      <c r="B1337" s="30" t="s">
        <v>1037</v>
      </c>
      <c r="C1337" s="21" t="s">
        <v>989</v>
      </c>
      <c r="D1337" s="21" t="s">
        <v>67</v>
      </c>
      <c r="E1337" s="21" t="s">
        <v>93</v>
      </c>
      <c r="F1337" s="31">
        <v>1</v>
      </c>
      <c r="G1337" s="31">
        <v>2</v>
      </c>
      <c r="H1337" s="32"/>
      <c r="I1337" s="32">
        <f t="shared" si="66"/>
        <v>0</v>
      </c>
      <c r="J1337" s="32"/>
      <c r="K1337" s="32">
        <v>0</v>
      </c>
      <c r="L1337" s="33">
        <f t="shared" si="67"/>
        <v>2</v>
      </c>
    </row>
    <row r="1338" spans="1:12" x14ac:dyDescent="0.25">
      <c r="A1338" s="15" t="s">
        <v>1037</v>
      </c>
      <c r="B1338" s="14" t="s">
        <v>1037</v>
      </c>
      <c r="C1338" s="15" t="s">
        <v>1046</v>
      </c>
      <c r="D1338" s="15" t="s">
        <v>67</v>
      </c>
      <c r="E1338" s="15" t="s">
        <v>93</v>
      </c>
      <c r="F1338" s="34">
        <v>1</v>
      </c>
      <c r="G1338" s="34">
        <v>2</v>
      </c>
      <c r="H1338" s="35"/>
      <c r="I1338" s="35">
        <f t="shared" si="66"/>
        <v>0</v>
      </c>
      <c r="J1338" s="35"/>
      <c r="K1338" s="35">
        <v>0</v>
      </c>
      <c r="L1338" s="36">
        <f t="shared" si="67"/>
        <v>2</v>
      </c>
    </row>
    <row r="1339" spans="1:12" x14ac:dyDescent="0.25">
      <c r="A1339" s="21" t="s">
        <v>1037</v>
      </c>
      <c r="B1339" s="30" t="s">
        <v>1037</v>
      </c>
      <c r="C1339" s="21" t="s">
        <v>1047</v>
      </c>
      <c r="D1339" s="21" t="s">
        <v>67</v>
      </c>
      <c r="E1339" s="21" t="s">
        <v>93</v>
      </c>
      <c r="F1339" s="31">
        <v>1</v>
      </c>
      <c r="G1339" s="31">
        <v>2</v>
      </c>
      <c r="H1339" s="32"/>
      <c r="I1339" s="32">
        <f t="shared" si="66"/>
        <v>0</v>
      </c>
      <c r="J1339" s="32"/>
      <c r="K1339" s="32">
        <v>0</v>
      </c>
      <c r="L1339" s="33">
        <f t="shared" si="67"/>
        <v>2</v>
      </c>
    </row>
    <row r="1340" spans="1:12" x14ac:dyDescent="0.25">
      <c r="A1340" s="15" t="s">
        <v>1037</v>
      </c>
      <c r="B1340" s="14" t="s">
        <v>1037</v>
      </c>
      <c r="C1340" s="15" t="s">
        <v>1048</v>
      </c>
      <c r="D1340" s="15" t="s">
        <v>67</v>
      </c>
      <c r="E1340" s="15" t="s">
        <v>93</v>
      </c>
      <c r="F1340" s="34">
        <v>1</v>
      </c>
      <c r="G1340" s="34">
        <v>2</v>
      </c>
      <c r="H1340" s="35"/>
      <c r="I1340" s="35">
        <f t="shared" si="66"/>
        <v>0</v>
      </c>
      <c r="J1340" s="35"/>
      <c r="K1340" s="35">
        <v>0</v>
      </c>
      <c r="L1340" s="36">
        <f t="shared" si="67"/>
        <v>2</v>
      </c>
    </row>
    <row r="1341" spans="1:12" x14ac:dyDescent="0.25">
      <c r="A1341" s="21" t="s">
        <v>1037</v>
      </c>
      <c r="B1341" s="30" t="s">
        <v>1037</v>
      </c>
      <c r="C1341" s="21" t="s">
        <v>1049</v>
      </c>
      <c r="D1341" s="21" t="s">
        <v>67</v>
      </c>
      <c r="E1341" s="21" t="s">
        <v>93</v>
      </c>
      <c r="F1341" s="31">
        <v>1</v>
      </c>
      <c r="G1341" s="31">
        <v>2</v>
      </c>
      <c r="H1341" s="32"/>
      <c r="I1341" s="32">
        <f t="shared" si="66"/>
        <v>0</v>
      </c>
      <c r="J1341" s="32"/>
      <c r="K1341" s="32">
        <v>0</v>
      </c>
      <c r="L1341" s="33">
        <f t="shared" si="67"/>
        <v>2</v>
      </c>
    </row>
    <row r="1342" spans="1:12" x14ac:dyDescent="0.25">
      <c r="A1342" s="15" t="s">
        <v>1037</v>
      </c>
      <c r="B1342" s="14" t="s">
        <v>1037</v>
      </c>
      <c r="C1342" s="15" t="s">
        <v>1050</v>
      </c>
      <c r="D1342" s="15" t="s">
        <v>67</v>
      </c>
      <c r="E1342" s="15" t="s">
        <v>93</v>
      </c>
      <c r="F1342" s="34">
        <v>1</v>
      </c>
      <c r="G1342" s="34">
        <v>2</v>
      </c>
      <c r="H1342" s="35"/>
      <c r="I1342" s="35">
        <f t="shared" si="66"/>
        <v>0</v>
      </c>
      <c r="J1342" s="35"/>
      <c r="K1342" s="35">
        <v>0</v>
      </c>
      <c r="L1342" s="36">
        <f t="shared" si="67"/>
        <v>2</v>
      </c>
    </row>
    <row r="1343" spans="1:12" x14ac:dyDescent="0.25">
      <c r="A1343" s="21" t="s">
        <v>1037</v>
      </c>
      <c r="B1343" s="30" t="s">
        <v>1037</v>
      </c>
      <c r="C1343" s="21" t="s">
        <v>1051</v>
      </c>
      <c r="D1343" s="21" t="s">
        <v>67</v>
      </c>
      <c r="E1343" s="21" t="s">
        <v>93</v>
      </c>
      <c r="F1343" s="31">
        <v>1</v>
      </c>
      <c r="G1343" s="31">
        <v>2</v>
      </c>
      <c r="H1343" s="32"/>
      <c r="I1343" s="32">
        <f t="shared" si="66"/>
        <v>0</v>
      </c>
      <c r="J1343" s="32"/>
      <c r="K1343" s="32">
        <v>0</v>
      </c>
      <c r="L1343" s="33">
        <f t="shared" si="67"/>
        <v>2</v>
      </c>
    </row>
    <row r="1344" spans="1:12" x14ac:dyDescent="0.25">
      <c r="A1344" s="15" t="s">
        <v>1037</v>
      </c>
      <c r="B1344" s="14" t="s">
        <v>1037</v>
      </c>
      <c r="C1344" s="15" t="s">
        <v>1052</v>
      </c>
      <c r="D1344" s="15" t="s">
        <v>67</v>
      </c>
      <c r="E1344" s="15" t="s">
        <v>93</v>
      </c>
      <c r="F1344" s="34">
        <v>1</v>
      </c>
      <c r="G1344" s="34">
        <v>2</v>
      </c>
      <c r="H1344" s="35"/>
      <c r="I1344" s="35">
        <f t="shared" si="66"/>
        <v>0</v>
      </c>
      <c r="J1344" s="35"/>
      <c r="K1344" s="35">
        <v>0</v>
      </c>
      <c r="L1344" s="36">
        <f t="shared" si="67"/>
        <v>2</v>
      </c>
    </row>
    <row r="1345" spans="1:12" x14ac:dyDescent="0.25">
      <c r="A1345" s="21" t="s">
        <v>1037</v>
      </c>
      <c r="B1345" s="30" t="s">
        <v>1037</v>
      </c>
      <c r="C1345" s="21" t="s">
        <v>1053</v>
      </c>
      <c r="D1345" s="21" t="s">
        <v>67</v>
      </c>
      <c r="E1345" s="21" t="s">
        <v>93</v>
      </c>
      <c r="F1345" s="31">
        <v>3</v>
      </c>
      <c r="G1345" s="31">
        <v>4</v>
      </c>
      <c r="H1345" s="32"/>
      <c r="I1345" s="32">
        <f t="shared" si="66"/>
        <v>0</v>
      </c>
      <c r="J1345" s="32"/>
      <c r="K1345" s="32">
        <v>0</v>
      </c>
      <c r="L1345" s="33">
        <f t="shared" si="67"/>
        <v>4</v>
      </c>
    </row>
    <row r="1346" spans="1:12" x14ac:dyDescent="0.25">
      <c r="A1346" s="15" t="s">
        <v>1037</v>
      </c>
      <c r="B1346" s="14" t="s">
        <v>1037</v>
      </c>
      <c r="C1346" s="15" t="s">
        <v>1046</v>
      </c>
      <c r="D1346" s="15" t="s">
        <v>65</v>
      </c>
      <c r="E1346" s="15" t="s">
        <v>82</v>
      </c>
      <c r="F1346" s="34">
        <v>2</v>
      </c>
      <c r="G1346" s="34">
        <v>3</v>
      </c>
      <c r="H1346" s="35"/>
      <c r="I1346" s="35">
        <f t="shared" ref="I1346:I1377" si="68">IF(H1346="",0,G1346)</f>
        <v>0</v>
      </c>
      <c r="J1346" s="35"/>
      <c r="K1346" s="35">
        <v>0</v>
      </c>
      <c r="L1346" s="36">
        <f t="shared" ref="L1346:L1377" si="69">G1346-I1346-K1346</f>
        <v>3</v>
      </c>
    </row>
    <row r="1347" spans="1:12" x14ac:dyDescent="0.25">
      <c r="A1347" s="21" t="s">
        <v>1037</v>
      </c>
      <c r="B1347" s="30" t="s">
        <v>1037</v>
      </c>
      <c r="C1347" s="21" t="s">
        <v>1047</v>
      </c>
      <c r="D1347" s="21" t="s">
        <v>65</v>
      </c>
      <c r="E1347" s="21" t="s">
        <v>82</v>
      </c>
      <c r="F1347" s="31">
        <v>2</v>
      </c>
      <c r="G1347" s="31">
        <v>3</v>
      </c>
      <c r="H1347" s="32"/>
      <c r="I1347" s="32">
        <f t="shared" si="68"/>
        <v>0</v>
      </c>
      <c r="J1347" s="32"/>
      <c r="K1347" s="32">
        <v>0</v>
      </c>
      <c r="L1347" s="33">
        <f t="shared" si="69"/>
        <v>3</v>
      </c>
    </row>
    <row r="1348" spans="1:12" x14ac:dyDescent="0.25">
      <c r="A1348" s="15" t="s">
        <v>1037</v>
      </c>
      <c r="B1348" s="14" t="s">
        <v>1037</v>
      </c>
      <c r="C1348" s="15" t="s">
        <v>1048</v>
      </c>
      <c r="D1348" s="15" t="s">
        <v>65</v>
      </c>
      <c r="E1348" s="15" t="s">
        <v>82</v>
      </c>
      <c r="F1348" s="34">
        <v>2</v>
      </c>
      <c r="G1348" s="34">
        <v>3</v>
      </c>
      <c r="H1348" s="35"/>
      <c r="I1348" s="35">
        <f t="shared" si="68"/>
        <v>0</v>
      </c>
      <c r="J1348" s="35"/>
      <c r="K1348" s="35">
        <v>0</v>
      </c>
      <c r="L1348" s="36">
        <f t="shared" si="69"/>
        <v>3</v>
      </c>
    </row>
    <row r="1349" spans="1:12" x14ac:dyDescent="0.25">
      <c r="A1349" s="21" t="s">
        <v>1037</v>
      </c>
      <c r="B1349" s="30" t="s">
        <v>1037</v>
      </c>
      <c r="C1349" s="21" t="s">
        <v>1049</v>
      </c>
      <c r="D1349" s="21" t="s">
        <v>65</v>
      </c>
      <c r="E1349" s="21" t="s">
        <v>82</v>
      </c>
      <c r="F1349" s="31">
        <v>2</v>
      </c>
      <c r="G1349" s="31">
        <v>3</v>
      </c>
      <c r="H1349" s="32"/>
      <c r="I1349" s="32">
        <f t="shared" si="68"/>
        <v>0</v>
      </c>
      <c r="J1349" s="32"/>
      <c r="K1349" s="32">
        <v>0</v>
      </c>
      <c r="L1349" s="33">
        <f t="shared" si="69"/>
        <v>3</v>
      </c>
    </row>
    <row r="1350" spans="1:12" x14ac:dyDescent="0.25">
      <c r="A1350" s="15" t="s">
        <v>1037</v>
      </c>
      <c r="B1350" s="14" t="s">
        <v>1037</v>
      </c>
      <c r="C1350" s="15" t="s">
        <v>1050</v>
      </c>
      <c r="D1350" s="15" t="s">
        <v>65</v>
      </c>
      <c r="E1350" s="15" t="s">
        <v>82</v>
      </c>
      <c r="F1350" s="34">
        <v>1</v>
      </c>
      <c r="G1350" s="34">
        <v>2</v>
      </c>
      <c r="H1350" s="35"/>
      <c r="I1350" s="35">
        <f t="shared" si="68"/>
        <v>0</v>
      </c>
      <c r="J1350" s="35"/>
      <c r="K1350" s="35">
        <v>0</v>
      </c>
      <c r="L1350" s="36">
        <f t="shared" si="69"/>
        <v>2</v>
      </c>
    </row>
    <row r="1351" spans="1:12" x14ac:dyDescent="0.25">
      <c r="A1351" s="21" t="s">
        <v>1037</v>
      </c>
      <c r="B1351" s="30" t="s">
        <v>1037</v>
      </c>
      <c r="C1351" s="21" t="s">
        <v>1051</v>
      </c>
      <c r="D1351" s="21" t="s">
        <v>65</v>
      </c>
      <c r="E1351" s="21" t="s">
        <v>82</v>
      </c>
      <c r="F1351" s="31">
        <v>2</v>
      </c>
      <c r="G1351" s="31">
        <v>3</v>
      </c>
      <c r="H1351" s="32"/>
      <c r="I1351" s="32">
        <f t="shared" si="68"/>
        <v>0</v>
      </c>
      <c r="J1351" s="32"/>
      <c r="K1351" s="32">
        <v>0</v>
      </c>
      <c r="L1351" s="33">
        <f t="shared" si="69"/>
        <v>3</v>
      </c>
    </row>
    <row r="1352" spans="1:12" x14ac:dyDescent="0.25">
      <c r="A1352" s="15" t="s">
        <v>1037</v>
      </c>
      <c r="B1352" s="14" t="s">
        <v>1037</v>
      </c>
      <c r="C1352" s="15" t="s">
        <v>1052</v>
      </c>
      <c r="D1352" s="15" t="s">
        <v>65</v>
      </c>
      <c r="E1352" s="15" t="s">
        <v>82</v>
      </c>
      <c r="F1352" s="34">
        <v>1</v>
      </c>
      <c r="G1352" s="34">
        <v>2</v>
      </c>
      <c r="H1352" s="35"/>
      <c r="I1352" s="35">
        <f t="shared" si="68"/>
        <v>0</v>
      </c>
      <c r="J1352" s="35"/>
      <c r="K1352" s="35">
        <v>0</v>
      </c>
      <c r="L1352" s="36">
        <f t="shared" si="69"/>
        <v>2</v>
      </c>
    </row>
    <row r="1353" spans="1:12" x14ac:dyDescent="0.25">
      <c r="A1353" s="21" t="s">
        <v>1037</v>
      </c>
      <c r="B1353" s="30" t="s">
        <v>1037</v>
      </c>
      <c r="C1353" s="21" t="s">
        <v>1053</v>
      </c>
      <c r="D1353" s="21" t="s">
        <v>65</v>
      </c>
      <c r="E1353" s="21" t="s">
        <v>82</v>
      </c>
      <c r="F1353" s="31">
        <v>3</v>
      </c>
      <c r="G1353" s="31">
        <v>4</v>
      </c>
      <c r="H1353" s="32"/>
      <c r="I1353" s="32">
        <f t="shared" si="68"/>
        <v>0</v>
      </c>
      <c r="J1353" s="32"/>
      <c r="K1353" s="32">
        <v>0</v>
      </c>
      <c r="L1353" s="33">
        <f t="shared" si="69"/>
        <v>4</v>
      </c>
    </row>
    <row r="1354" spans="1:12" x14ac:dyDescent="0.25">
      <c r="A1354" s="21" t="s">
        <v>1056</v>
      </c>
      <c r="B1354" s="30" t="s">
        <v>1056</v>
      </c>
      <c r="C1354" s="21" t="s">
        <v>1057</v>
      </c>
      <c r="D1354" s="21" t="s">
        <v>67</v>
      </c>
      <c r="E1354" s="21" t="s">
        <v>93</v>
      </c>
      <c r="F1354" s="21"/>
      <c r="G1354" s="21"/>
      <c r="H1354" s="32"/>
      <c r="I1354" s="32">
        <f t="shared" si="68"/>
        <v>0</v>
      </c>
      <c r="J1354" s="32"/>
      <c r="K1354" s="32">
        <v>0</v>
      </c>
      <c r="L1354" s="33">
        <f t="shared" si="69"/>
        <v>0</v>
      </c>
    </row>
    <row r="1355" spans="1:12" x14ac:dyDescent="0.25">
      <c r="A1355" s="15" t="s">
        <v>1056</v>
      </c>
      <c r="B1355" s="14" t="s">
        <v>1056</v>
      </c>
      <c r="C1355" s="15" t="s">
        <v>1058</v>
      </c>
      <c r="D1355" s="15" t="s">
        <v>54</v>
      </c>
      <c r="E1355" s="15" t="s">
        <v>84</v>
      </c>
      <c r="F1355" s="15"/>
      <c r="G1355" s="34">
        <v>10</v>
      </c>
      <c r="H1355" s="35"/>
      <c r="I1355" s="35">
        <f t="shared" si="68"/>
        <v>0</v>
      </c>
      <c r="J1355" s="35"/>
      <c r="K1355" s="35">
        <v>0</v>
      </c>
      <c r="L1355" s="36">
        <f t="shared" si="69"/>
        <v>10</v>
      </c>
    </row>
    <row r="1356" spans="1:12" x14ac:dyDescent="0.25">
      <c r="A1356" s="21" t="s">
        <v>1056</v>
      </c>
      <c r="B1356" s="30" t="s">
        <v>1056</v>
      </c>
      <c r="C1356" s="21" t="s">
        <v>1059</v>
      </c>
      <c r="D1356" s="21" t="s">
        <v>65</v>
      </c>
      <c r="E1356" s="21" t="s">
        <v>82</v>
      </c>
      <c r="F1356" s="21"/>
      <c r="G1356" s="21"/>
      <c r="H1356" s="32"/>
      <c r="I1356" s="32">
        <f t="shared" si="68"/>
        <v>0</v>
      </c>
      <c r="J1356" s="32"/>
      <c r="K1356" s="32">
        <v>0</v>
      </c>
      <c r="L1356" s="33">
        <f t="shared" si="69"/>
        <v>0</v>
      </c>
    </row>
    <row r="1357" spans="1:12" x14ac:dyDescent="0.25">
      <c r="A1357" s="15" t="s">
        <v>1056</v>
      </c>
      <c r="B1357" s="14" t="s">
        <v>1056</v>
      </c>
      <c r="C1357" s="15" t="s">
        <v>1060</v>
      </c>
      <c r="D1357" s="15" t="s">
        <v>70</v>
      </c>
      <c r="E1357" s="15" t="s">
        <v>104</v>
      </c>
      <c r="F1357" s="34">
        <v>0.5</v>
      </c>
      <c r="G1357" s="34">
        <v>1</v>
      </c>
      <c r="H1357" s="35"/>
      <c r="I1357" s="35">
        <f t="shared" si="68"/>
        <v>0</v>
      </c>
      <c r="J1357" s="35"/>
      <c r="K1357" s="35">
        <v>0</v>
      </c>
      <c r="L1357" s="36">
        <f t="shared" si="69"/>
        <v>1</v>
      </c>
    </row>
    <row r="1358" spans="1:12" x14ac:dyDescent="0.25">
      <c r="A1358" s="21" t="s">
        <v>1056</v>
      </c>
      <c r="B1358" s="30" t="s">
        <v>1056</v>
      </c>
      <c r="C1358" s="21" t="s">
        <v>1061</v>
      </c>
      <c r="D1358" s="21" t="s">
        <v>69</v>
      </c>
      <c r="E1358" s="21" t="s">
        <v>90</v>
      </c>
      <c r="F1358" s="21"/>
      <c r="G1358" s="21"/>
      <c r="H1358" s="32"/>
      <c r="I1358" s="32">
        <f t="shared" si="68"/>
        <v>0</v>
      </c>
      <c r="J1358" s="32"/>
      <c r="K1358" s="32">
        <v>0</v>
      </c>
      <c r="L1358" s="33">
        <f t="shared" si="69"/>
        <v>0</v>
      </c>
    </row>
    <row r="1359" spans="1:12" x14ac:dyDescent="0.25">
      <c r="A1359" s="15" t="s">
        <v>1056</v>
      </c>
      <c r="B1359" s="14" t="s">
        <v>1056</v>
      </c>
      <c r="C1359" s="15" t="s">
        <v>1062</v>
      </c>
      <c r="D1359" s="15" t="s">
        <v>53</v>
      </c>
      <c r="E1359" s="15" t="s">
        <v>129</v>
      </c>
      <c r="F1359" s="15"/>
      <c r="G1359" s="15"/>
      <c r="H1359" s="35"/>
      <c r="I1359" s="35">
        <f t="shared" si="68"/>
        <v>0</v>
      </c>
      <c r="J1359" s="35"/>
      <c r="K1359" s="35">
        <v>0</v>
      </c>
      <c r="L1359" s="36">
        <f t="shared" si="69"/>
        <v>0</v>
      </c>
    </row>
    <row r="1360" spans="1:12" x14ac:dyDescent="0.25">
      <c r="A1360" s="21" t="s">
        <v>1056</v>
      </c>
      <c r="B1360" s="30" t="s">
        <v>1056</v>
      </c>
      <c r="C1360" s="21" t="s">
        <v>1063</v>
      </c>
      <c r="D1360" s="21" t="s">
        <v>61</v>
      </c>
      <c r="E1360" s="21" t="s">
        <v>142</v>
      </c>
      <c r="F1360" s="21"/>
      <c r="G1360" s="21"/>
      <c r="H1360" s="32"/>
      <c r="I1360" s="32">
        <f t="shared" si="68"/>
        <v>0</v>
      </c>
      <c r="J1360" s="32"/>
      <c r="K1360" s="32">
        <v>0</v>
      </c>
      <c r="L1360" s="33">
        <f t="shared" si="69"/>
        <v>0</v>
      </c>
    </row>
    <row r="1361" spans="1:12" x14ac:dyDescent="0.25">
      <c r="A1361" s="15" t="s">
        <v>1056</v>
      </c>
      <c r="B1361" s="14" t="s">
        <v>1056</v>
      </c>
      <c r="C1361" s="15" t="s">
        <v>1064</v>
      </c>
      <c r="D1361" s="15" t="s">
        <v>70</v>
      </c>
      <c r="E1361" s="15" t="s">
        <v>104</v>
      </c>
      <c r="F1361" s="34">
        <v>1</v>
      </c>
      <c r="G1361" s="34">
        <v>1</v>
      </c>
      <c r="H1361" s="35"/>
      <c r="I1361" s="35">
        <f t="shared" si="68"/>
        <v>0</v>
      </c>
      <c r="J1361" s="35"/>
      <c r="K1361" s="35">
        <v>0</v>
      </c>
      <c r="L1361" s="36">
        <f t="shared" si="69"/>
        <v>1</v>
      </c>
    </row>
    <row r="1362" spans="1:12" x14ac:dyDescent="0.25">
      <c r="A1362" s="21" t="s">
        <v>1056</v>
      </c>
      <c r="B1362" s="30" t="s">
        <v>1056</v>
      </c>
      <c r="C1362" s="21" t="s">
        <v>1065</v>
      </c>
      <c r="D1362" s="21" t="s">
        <v>57</v>
      </c>
      <c r="E1362" s="21" t="s">
        <v>136</v>
      </c>
      <c r="F1362" s="21"/>
      <c r="G1362" s="21"/>
      <c r="H1362" s="32"/>
      <c r="I1362" s="32">
        <f t="shared" si="68"/>
        <v>0</v>
      </c>
      <c r="J1362" s="32"/>
      <c r="K1362" s="32">
        <v>0</v>
      </c>
      <c r="L1362" s="33">
        <f t="shared" si="69"/>
        <v>0</v>
      </c>
    </row>
    <row r="1363" spans="1:12" x14ac:dyDescent="0.25">
      <c r="A1363" s="15" t="s">
        <v>1056</v>
      </c>
      <c r="B1363" s="14" t="s">
        <v>1056</v>
      </c>
      <c r="C1363" s="15" t="s">
        <v>1066</v>
      </c>
      <c r="D1363" s="15" t="s">
        <v>67</v>
      </c>
      <c r="E1363" s="15" t="s">
        <v>93</v>
      </c>
      <c r="F1363" s="34">
        <v>1</v>
      </c>
      <c r="G1363" s="34">
        <v>2</v>
      </c>
      <c r="H1363" s="35"/>
      <c r="I1363" s="35">
        <f t="shared" si="68"/>
        <v>0</v>
      </c>
      <c r="J1363" s="35"/>
      <c r="K1363" s="35">
        <v>0</v>
      </c>
      <c r="L1363" s="36">
        <f t="shared" si="69"/>
        <v>2</v>
      </c>
    </row>
    <row r="1364" spans="1:12" x14ac:dyDescent="0.25">
      <c r="A1364" s="21" t="s">
        <v>1056</v>
      </c>
      <c r="B1364" s="30" t="s">
        <v>1056</v>
      </c>
      <c r="C1364" s="21" t="s">
        <v>1067</v>
      </c>
      <c r="D1364" s="21" t="s">
        <v>67</v>
      </c>
      <c r="E1364" s="21" t="s">
        <v>93</v>
      </c>
      <c r="F1364" s="31">
        <v>1</v>
      </c>
      <c r="G1364" s="31">
        <v>2</v>
      </c>
      <c r="H1364" s="32"/>
      <c r="I1364" s="32">
        <f t="shared" si="68"/>
        <v>0</v>
      </c>
      <c r="J1364" s="32"/>
      <c r="K1364" s="32">
        <v>0</v>
      </c>
      <c r="L1364" s="33">
        <f t="shared" si="69"/>
        <v>2</v>
      </c>
    </row>
    <row r="1365" spans="1:12" x14ac:dyDescent="0.25">
      <c r="A1365" s="15" t="s">
        <v>1056</v>
      </c>
      <c r="B1365" s="14" t="s">
        <v>1056</v>
      </c>
      <c r="C1365" s="15" t="s">
        <v>1068</v>
      </c>
      <c r="D1365" s="15" t="s">
        <v>67</v>
      </c>
      <c r="E1365" s="15" t="s">
        <v>93</v>
      </c>
      <c r="F1365" s="34">
        <v>1</v>
      </c>
      <c r="G1365" s="34">
        <v>2</v>
      </c>
      <c r="H1365" s="35"/>
      <c r="I1365" s="35">
        <f t="shared" si="68"/>
        <v>0</v>
      </c>
      <c r="J1365" s="35"/>
      <c r="K1365" s="35">
        <v>0</v>
      </c>
      <c r="L1365" s="36">
        <f t="shared" si="69"/>
        <v>2</v>
      </c>
    </row>
    <row r="1366" spans="1:12" x14ac:dyDescent="0.25">
      <c r="A1366" s="21" t="s">
        <v>1056</v>
      </c>
      <c r="B1366" s="30" t="s">
        <v>1056</v>
      </c>
      <c r="C1366" s="21" t="s">
        <v>1069</v>
      </c>
      <c r="D1366" s="21" t="s">
        <v>67</v>
      </c>
      <c r="E1366" s="21" t="s">
        <v>93</v>
      </c>
      <c r="F1366" s="31">
        <v>1</v>
      </c>
      <c r="G1366" s="31">
        <v>2</v>
      </c>
      <c r="H1366" s="32"/>
      <c r="I1366" s="32">
        <f t="shared" si="68"/>
        <v>0</v>
      </c>
      <c r="J1366" s="32"/>
      <c r="K1366" s="32">
        <v>0</v>
      </c>
      <c r="L1366" s="33">
        <f t="shared" si="69"/>
        <v>2</v>
      </c>
    </row>
    <row r="1367" spans="1:12" x14ac:dyDescent="0.25">
      <c r="A1367" s="15" t="s">
        <v>1056</v>
      </c>
      <c r="B1367" s="14" t="s">
        <v>1056</v>
      </c>
      <c r="C1367" s="15" t="s">
        <v>1070</v>
      </c>
      <c r="D1367" s="15" t="s">
        <v>67</v>
      </c>
      <c r="E1367" s="15" t="s">
        <v>93</v>
      </c>
      <c r="F1367" s="34">
        <v>1</v>
      </c>
      <c r="G1367" s="34">
        <v>2</v>
      </c>
      <c r="H1367" s="35"/>
      <c r="I1367" s="35">
        <f t="shared" si="68"/>
        <v>0</v>
      </c>
      <c r="J1367" s="35"/>
      <c r="K1367" s="35">
        <v>0</v>
      </c>
      <c r="L1367" s="36">
        <f t="shared" si="69"/>
        <v>2</v>
      </c>
    </row>
    <row r="1368" spans="1:12" x14ac:dyDescent="0.25">
      <c r="A1368" s="21" t="s">
        <v>1056</v>
      </c>
      <c r="B1368" s="30" t="s">
        <v>1056</v>
      </c>
      <c r="C1368" s="21" t="s">
        <v>1066</v>
      </c>
      <c r="D1368" s="21" t="s">
        <v>65</v>
      </c>
      <c r="E1368" s="21" t="s">
        <v>82</v>
      </c>
      <c r="F1368" s="31">
        <v>1</v>
      </c>
      <c r="G1368" s="31">
        <v>2</v>
      </c>
      <c r="H1368" s="32"/>
      <c r="I1368" s="32">
        <f t="shared" si="68"/>
        <v>0</v>
      </c>
      <c r="J1368" s="32"/>
      <c r="K1368" s="32">
        <v>0</v>
      </c>
      <c r="L1368" s="33">
        <f t="shared" si="69"/>
        <v>2</v>
      </c>
    </row>
    <row r="1369" spans="1:12" x14ac:dyDescent="0.25">
      <c r="A1369" s="15" t="s">
        <v>1056</v>
      </c>
      <c r="B1369" s="14" t="s">
        <v>1056</v>
      </c>
      <c r="C1369" s="15" t="s">
        <v>1067</v>
      </c>
      <c r="D1369" s="15" t="s">
        <v>65</v>
      </c>
      <c r="E1369" s="15" t="s">
        <v>82</v>
      </c>
      <c r="F1369" s="34">
        <v>1</v>
      </c>
      <c r="G1369" s="34">
        <v>2</v>
      </c>
      <c r="H1369" s="35"/>
      <c r="I1369" s="35">
        <f t="shared" si="68"/>
        <v>0</v>
      </c>
      <c r="J1369" s="35"/>
      <c r="K1369" s="35">
        <v>0</v>
      </c>
      <c r="L1369" s="36">
        <f t="shared" si="69"/>
        <v>2</v>
      </c>
    </row>
    <row r="1370" spans="1:12" x14ac:dyDescent="0.25">
      <c r="A1370" s="21" t="s">
        <v>1056</v>
      </c>
      <c r="B1370" s="30" t="s">
        <v>1056</v>
      </c>
      <c r="C1370" s="21" t="s">
        <v>1068</v>
      </c>
      <c r="D1370" s="21" t="s">
        <v>65</v>
      </c>
      <c r="E1370" s="21" t="s">
        <v>82</v>
      </c>
      <c r="F1370" s="31">
        <v>2</v>
      </c>
      <c r="G1370" s="31">
        <v>3</v>
      </c>
      <c r="H1370" s="32"/>
      <c r="I1370" s="32">
        <f t="shared" si="68"/>
        <v>0</v>
      </c>
      <c r="J1370" s="32"/>
      <c r="K1370" s="32">
        <v>0</v>
      </c>
      <c r="L1370" s="33">
        <f t="shared" si="69"/>
        <v>3</v>
      </c>
    </row>
    <row r="1371" spans="1:12" x14ac:dyDescent="0.25">
      <c r="A1371" s="15" t="s">
        <v>1056</v>
      </c>
      <c r="B1371" s="14" t="s">
        <v>1056</v>
      </c>
      <c r="C1371" s="15" t="s">
        <v>1069</v>
      </c>
      <c r="D1371" s="15" t="s">
        <v>65</v>
      </c>
      <c r="E1371" s="15" t="s">
        <v>82</v>
      </c>
      <c r="F1371" s="34">
        <v>1</v>
      </c>
      <c r="G1371" s="34">
        <v>2</v>
      </c>
      <c r="H1371" s="35"/>
      <c r="I1371" s="35">
        <f t="shared" si="68"/>
        <v>0</v>
      </c>
      <c r="J1371" s="35"/>
      <c r="K1371" s="35">
        <v>0</v>
      </c>
      <c r="L1371" s="36">
        <f t="shared" si="69"/>
        <v>2</v>
      </c>
    </row>
    <row r="1372" spans="1:12" x14ac:dyDescent="0.25">
      <c r="A1372" s="21" t="s">
        <v>1056</v>
      </c>
      <c r="B1372" s="30" t="s">
        <v>1056</v>
      </c>
      <c r="C1372" s="21" t="s">
        <v>1071</v>
      </c>
      <c r="D1372" s="21" t="s">
        <v>65</v>
      </c>
      <c r="E1372" s="21" t="s">
        <v>82</v>
      </c>
      <c r="F1372" s="31">
        <v>1</v>
      </c>
      <c r="G1372" s="31">
        <v>2</v>
      </c>
      <c r="H1372" s="32"/>
      <c r="I1372" s="32">
        <f t="shared" si="68"/>
        <v>0</v>
      </c>
      <c r="J1372" s="32"/>
      <c r="K1372" s="32">
        <v>0</v>
      </c>
      <c r="L1372" s="33">
        <f t="shared" si="69"/>
        <v>2</v>
      </c>
    </row>
    <row r="1373" spans="1:12" x14ac:dyDescent="0.25">
      <c r="A1373" s="15" t="s">
        <v>1056</v>
      </c>
      <c r="B1373" s="14" t="s">
        <v>1056</v>
      </c>
      <c r="C1373" s="15" t="s">
        <v>1070</v>
      </c>
      <c r="D1373" s="15" t="s">
        <v>65</v>
      </c>
      <c r="E1373" s="15" t="s">
        <v>82</v>
      </c>
      <c r="F1373" s="34">
        <v>2</v>
      </c>
      <c r="G1373" s="34">
        <v>3</v>
      </c>
      <c r="H1373" s="35"/>
      <c r="I1373" s="35">
        <f t="shared" si="68"/>
        <v>0</v>
      </c>
      <c r="J1373" s="35"/>
      <c r="K1373" s="35">
        <v>0</v>
      </c>
      <c r="L1373" s="36">
        <f t="shared" si="69"/>
        <v>3</v>
      </c>
    </row>
    <row r="1374" spans="1:12" x14ac:dyDescent="0.25">
      <c r="A1374" s="21" t="s">
        <v>1056</v>
      </c>
      <c r="B1374" s="30" t="s">
        <v>1056</v>
      </c>
      <c r="C1374" s="21" t="s">
        <v>1072</v>
      </c>
      <c r="D1374" s="21" t="s">
        <v>54</v>
      </c>
      <c r="E1374" s="21" t="s">
        <v>84</v>
      </c>
      <c r="F1374" s="21"/>
      <c r="G1374" s="21"/>
      <c r="H1374" s="32"/>
      <c r="I1374" s="32">
        <f t="shared" si="68"/>
        <v>0</v>
      </c>
      <c r="J1374" s="32"/>
      <c r="K1374" s="32">
        <v>0</v>
      </c>
      <c r="L1374" s="33">
        <f t="shared" si="69"/>
        <v>0</v>
      </c>
    </row>
    <row r="1375" spans="1:12" x14ac:dyDescent="0.25">
      <c r="A1375" s="15" t="s">
        <v>1056</v>
      </c>
      <c r="B1375" s="14" t="s">
        <v>1056</v>
      </c>
      <c r="C1375" s="15" t="s">
        <v>1073</v>
      </c>
      <c r="D1375" s="15" t="s">
        <v>70</v>
      </c>
      <c r="E1375" s="15" t="s">
        <v>104</v>
      </c>
      <c r="F1375" s="15"/>
      <c r="G1375" s="15"/>
      <c r="H1375" s="35"/>
      <c r="I1375" s="35">
        <f t="shared" si="68"/>
        <v>0</v>
      </c>
      <c r="J1375" s="35"/>
      <c r="K1375" s="35">
        <v>0</v>
      </c>
      <c r="L1375" s="36">
        <f t="shared" si="69"/>
        <v>0</v>
      </c>
    </row>
    <row r="1376" spans="1:12" x14ac:dyDescent="0.25">
      <c r="A1376" s="21" t="s">
        <v>1056</v>
      </c>
      <c r="B1376" s="30" t="s">
        <v>1056</v>
      </c>
      <c r="C1376" s="21" t="s">
        <v>1074</v>
      </c>
      <c r="D1376" s="21" t="s">
        <v>57</v>
      </c>
      <c r="E1376" s="21" t="s">
        <v>136</v>
      </c>
      <c r="F1376" s="21"/>
      <c r="G1376" s="21"/>
      <c r="H1376" s="32"/>
      <c r="I1376" s="32">
        <f t="shared" si="68"/>
        <v>0</v>
      </c>
      <c r="J1376" s="32"/>
      <c r="K1376" s="32">
        <v>0</v>
      </c>
      <c r="L1376" s="33">
        <f t="shared" si="69"/>
        <v>0</v>
      </c>
    </row>
    <row r="1377" spans="1:12" x14ac:dyDescent="0.25">
      <c r="A1377" s="15" t="s">
        <v>1056</v>
      </c>
      <c r="B1377" s="14" t="s">
        <v>1056</v>
      </c>
      <c r="C1377" s="15" t="s">
        <v>1061</v>
      </c>
      <c r="D1377" s="15" t="s">
        <v>69</v>
      </c>
      <c r="E1377" s="15" t="s">
        <v>90</v>
      </c>
      <c r="F1377" s="15"/>
      <c r="G1377" s="15"/>
      <c r="H1377" s="35"/>
      <c r="I1377" s="35">
        <f t="shared" si="68"/>
        <v>0</v>
      </c>
      <c r="J1377" s="35"/>
      <c r="K1377" s="35">
        <v>0</v>
      </c>
      <c r="L1377" s="36">
        <f t="shared" si="69"/>
        <v>0</v>
      </c>
    </row>
    <row r="1378" spans="1:12" x14ac:dyDescent="0.25">
      <c r="A1378" s="21" t="s">
        <v>1077</v>
      </c>
      <c r="B1378" s="30" t="s">
        <v>1077</v>
      </c>
      <c r="C1378" s="21" t="s">
        <v>1078</v>
      </c>
      <c r="D1378" s="21" t="s">
        <v>54</v>
      </c>
      <c r="E1378" s="21" t="s">
        <v>84</v>
      </c>
      <c r="F1378" s="21"/>
      <c r="G1378" s="21"/>
      <c r="H1378" s="32"/>
      <c r="I1378" s="32">
        <f t="shared" ref="I1378:I1409" si="70">IF(H1378="",0,G1378)</f>
        <v>0</v>
      </c>
      <c r="J1378" s="32"/>
      <c r="K1378" s="32">
        <v>0</v>
      </c>
      <c r="L1378" s="33">
        <f t="shared" ref="L1378:L1409" si="71">G1378-I1378-K1378</f>
        <v>0</v>
      </c>
    </row>
    <row r="1379" spans="1:12" x14ac:dyDescent="0.25">
      <c r="A1379" s="15" t="s">
        <v>1077</v>
      </c>
      <c r="B1379" s="14" t="s">
        <v>1077</v>
      </c>
      <c r="C1379" s="15" t="s">
        <v>1079</v>
      </c>
      <c r="D1379" s="15" t="s">
        <v>65</v>
      </c>
      <c r="E1379" s="15" t="s">
        <v>82</v>
      </c>
      <c r="F1379" s="34">
        <v>5</v>
      </c>
      <c r="G1379" s="34">
        <v>8</v>
      </c>
      <c r="H1379" s="35"/>
      <c r="I1379" s="35">
        <f t="shared" si="70"/>
        <v>0</v>
      </c>
      <c r="J1379" s="35"/>
      <c r="K1379" s="35">
        <v>0</v>
      </c>
      <c r="L1379" s="36">
        <f t="shared" si="71"/>
        <v>8</v>
      </c>
    </row>
    <row r="1380" spans="1:12" x14ac:dyDescent="0.25">
      <c r="A1380" s="21" t="s">
        <v>1077</v>
      </c>
      <c r="B1380" s="30" t="s">
        <v>1077</v>
      </c>
      <c r="C1380" s="21" t="s">
        <v>981</v>
      </c>
      <c r="D1380" s="21" t="s">
        <v>67</v>
      </c>
      <c r="E1380" s="21" t="s">
        <v>93</v>
      </c>
      <c r="F1380" s="31">
        <v>2</v>
      </c>
      <c r="G1380" s="31">
        <v>3</v>
      </c>
      <c r="H1380" s="32"/>
      <c r="I1380" s="32">
        <f t="shared" si="70"/>
        <v>0</v>
      </c>
      <c r="J1380" s="32"/>
      <c r="K1380" s="32">
        <v>0</v>
      </c>
      <c r="L1380" s="33">
        <f t="shared" si="71"/>
        <v>3</v>
      </c>
    </row>
    <row r="1381" spans="1:12" x14ac:dyDescent="0.25">
      <c r="A1381" s="15" t="s">
        <v>1077</v>
      </c>
      <c r="B1381" s="14" t="s">
        <v>1077</v>
      </c>
      <c r="C1381" s="15" t="s">
        <v>1080</v>
      </c>
      <c r="D1381" s="15" t="s">
        <v>67</v>
      </c>
      <c r="E1381" s="15" t="s">
        <v>93</v>
      </c>
      <c r="F1381" s="34">
        <v>1</v>
      </c>
      <c r="G1381" s="34">
        <v>2</v>
      </c>
      <c r="H1381" s="35"/>
      <c r="I1381" s="35">
        <f t="shared" si="70"/>
        <v>0</v>
      </c>
      <c r="J1381" s="35"/>
      <c r="K1381" s="35">
        <v>0</v>
      </c>
      <c r="L1381" s="36">
        <f t="shared" si="71"/>
        <v>2</v>
      </c>
    </row>
    <row r="1382" spans="1:12" x14ac:dyDescent="0.25">
      <c r="A1382" s="21" t="s">
        <v>1077</v>
      </c>
      <c r="B1382" s="30" t="s">
        <v>1077</v>
      </c>
      <c r="C1382" s="21" t="s">
        <v>1081</v>
      </c>
      <c r="D1382" s="21" t="s">
        <v>67</v>
      </c>
      <c r="E1382" s="21" t="s">
        <v>93</v>
      </c>
      <c r="F1382" s="31">
        <v>2</v>
      </c>
      <c r="G1382" s="31">
        <v>3</v>
      </c>
      <c r="H1382" s="32"/>
      <c r="I1382" s="32">
        <f t="shared" si="70"/>
        <v>0</v>
      </c>
      <c r="J1382" s="32"/>
      <c r="K1382" s="32">
        <v>0</v>
      </c>
      <c r="L1382" s="33">
        <f t="shared" si="71"/>
        <v>3</v>
      </c>
    </row>
    <row r="1383" spans="1:12" x14ac:dyDescent="0.25">
      <c r="A1383" s="15" t="s">
        <v>1077</v>
      </c>
      <c r="B1383" s="14" t="s">
        <v>1077</v>
      </c>
      <c r="C1383" s="15" t="s">
        <v>1082</v>
      </c>
      <c r="D1383" s="15" t="s">
        <v>67</v>
      </c>
      <c r="E1383" s="15" t="s">
        <v>93</v>
      </c>
      <c r="F1383" s="34">
        <v>1</v>
      </c>
      <c r="G1383" s="34">
        <v>2</v>
      </c>
      <c r="H1383" s="35"/>
      <c r="I1383" s="35">
        <f t="shared" si="70"/>
        <v>0</v>
      </c>
      <c r="J1383" s="35"/>
      <c r="K1383" s="35">
        <v>0</v>
      </c>
      <c r="L1383" s="36">
        <f t="shared" si="71"/>
        <v>2</v>
      </c>
    </row>
    <row r="1384" spans="1:12" x14ac:dyDescent="0.25">
      <c r="A1384" s="21" t="s">
        <v>1077</v>
      </c>
      <c r="B1384" s="30" t="s">
        <v>1077</v>
      </c>
      <c r="C1384" s="21" t="s">
        <v>1083</v>
      </c>
      <c r="D1384" s="21" t="s">
        <v>67</v>
      </c>
      <c r="E1384" s="21" t="s">
        <v>93</v>
      </c>
      <c r="F1384" s="31">
        <v>2</v>
      </c>
      <c r="G1384" s="31">
        <v>3</v>
      </c>
      <c r="H1384" s="32"/>
      <c r="I1384" s="32">
        <f t="shared" si="70"/>
        <v>0</v>
      </c>
      <c r="J1384" s="32"/>
      <c r="K1384" s="32">
        <v>0</v>
      </c>
      <c r="L1384" s="33">
        <f t="shared" si="71"/>
        <v>3</v>
      </c>
    </row>
    <row r="1385" spans="1:12" x14ac:dyDescent="0.25">
      <c r="A1385" s="15" t="s">
        <v>1077</v>
      </c>
      <c r="B1385" s="14" t="s">
        <v>1077</v>
      </c>
      <c r="C1385" s="15" t="s">
        <v>989</v>
      </c>
      <c r="D1385" s="15" t="s">
        <v>67</v>
      </c>
      <c r="E1385" s="15" t="s">
        <v>93</v>
      </c>
      <c r="F1385" s="34">
        <v>1</v>
      </c>
      <c r="G1385" s="34">
        <v>2</v>
      </c>
      <c r="H1385" s="35"/>
      <c r="I1385" s="35">
        <f t="shared" si="70"/>
        <v>0</v>
      </c>
      <c r="J1385" s="35"/>
      <c r="K1385" s="35">
        <v>0</v>
      </c>
      <c r="L1385" s="36">
        <f t="shared" si="71"/>
        <v>2</v>
      </c>
    </row>
    <row r="1386" spans="1:12" x14ac:dyDescent="0.25">
      <c r="A1386" s="21" t="s">
        <v>1077</v>
      </c>
      <c r="B1386" s="30" t="s">
        <v>1077</v>
      </c>
      <c r="C1386" s="21" t="s">
        <v>1084</v>
      </c>
      <c r="D1386" s="21" t="s">
        <v>67</v>
      </c>
      <c r="E1386" s="21" t="s">
        <v>93</v>
      </c>
      <c r="F1386" s="31">
        <v>2</v>
      </c>
      <c r="G1386" s="31">
        <v>3</v>
      </c>
      <c r="H1386" s="32"/>
      <c r="I1386" s="32">
        <f t="shared" si="70"/>
        <v>0</v>
      </c>
      <c r="J1386" s="32"/>
      <c r="K1386" s="32">
        <v>0</v>
      </c>
      <c r="L1386" s="33">
        <f t="shared" si="71"/>
        <v>3</v>
      </c>
    </row>
    <row r="1387" spans="1:12" x14ac:dyDescent="0.25">
      <c r="A1387" s="15" t="s">
        <v>1077</v>
      </c>
      <c r="B1387" s="14" t="s">
        <v>1077</v>
      </c>
      <c r="C1387" s="15" t="s">
        <v>1085</v>
      </c>
      <c r="D1387" s="15" t="s">
        <v>67</v>
      </c>
      <c r="E1387" s="15" t="s">
        <v>93</v>
      </c>
      <c r="F1387" s="34">
        <v>2</v>
      </c>
      <c r="G1387" s="34">
        <v>3</v>
      </c>
      <c r="H1387" s="35"/>
      <c r="I1387" s="35">
        <f t="shared" si="70"/>
        <v>0</v>
      </c>
      <c r="J1387" s="35"/>
      <c r="K1387" s="35">
        <v>0</v>
      </c>
      <c r="L1387" s="36">
        <f t="shared" si="71"/>
        <v>3</v>
      </c>
    </row>
    <row r="1388" spans="1:12" x14ac:dyDescent="0.25">
      <c r="A1388" s="21" t="s">
        <v>1077</v>
      </c>
      <c r="B1388" s="30" t="s">
        <v>1077</v>
      </c>
      <c r="C1388" s="21" t="s">
        <v>1086</v>
      </c>
      <c r="D1388" s="21" t="s">
        <v>65</v>
      </c>
      <c r="E1388" s="21" t="s">
        <v>82</v>
      </c>
      <c r="F1388" s="31">
        <v>1</v>
      </c>
      <c r="G1388" s="31">
        <v>2</v>
      </c>
      <c r="H1388" s="32"/>
      <c r="I1388" s="32">
        <f t="shared" si="70"/>
        <v>0</v>
      </c>
      <c r="J1388" s="32"/>
      <c r="K1388" s="32">
        <v>0</v>
      </c>
      <c r="L1388" s="33">
        <f t="shared" si="71"/>
        <v>2</v>
      </c>
    </row>
    <row r="1389" spans="1:12" x14ac:dyDescent="0.25">
      <c r="A1389" s="15" t="s">
        <v>1077</v>
      </c>
      <c r="B1389" s="14" t="s">
        <v>1077</v>
      </c>
      <c r="C1389" s="15" t="s">
        <v>1087</v>
      </c>
      <c r="D1389" s="15" t="s">
        <v>65</v>
      </c>
      <c r="E1389" s="15" t="s">
        <v>82</v>
      </c>
      <c r="F1389" s="34">
        <v>1</v>
      </c>
      <c r="G1389" s="34">
        <v>2</v>
      </c>
      <c r="H1389" s="35"/>
      <c r="I1389" s="35">
        <f t="shared" si="70"/>
        <v>0</v>
      </c>
      <c r="J1389" s="35"/>
      <c r="K1389" s="35">
        <v>0</v>
      </c>
      <c r="L1389" s="36">
        <f t="shared" si="71"/>
        <v>2</v>
      </c>
    </row>
    <row r="1390" spans="1:12" x14ac:dyDescent="0.25">
      <c r="A1390" s="21" t="s">
        <v>1077</v>
      </c>
      <c r="B1390" s="30" t="s">
        <v>1077</v>
      </c>
      <c r="C1390" s="21" t="s">
        <v>1088</v>
      </c>
      <c r="D1390" s="21" t="s">
        <v>65</v>
      </c>
      <c r="E1390" s="21" t="s">
        <v>82</v>
      </c>
      <c r="F1390" s="31">
        <v>1</v>
      </c>
      <c r="G1390" s="31">
        <v>2</v>
      </c>
      <c r="H1390" s="32"/>
      <c r="I1390" s="32">
        <f t="shared" si="70"/>
        <v>0</v>
      </c>
      <c r="J1390" s="32"/>
      <c r="K1390" s="32">
        <v>0</v>
      </c>
      <c r="L1390" s="33">
        <f t="shared" si="71"/>
        <v>2</v>
      </c>
    </row>
    <row r="1391" spans="1:12" x14ac:dyDescent="0.25">
      <c r="A1391" s="15" t="s">
        <v>1077</v>
      </c>
      <c r="B1391" s="14" t="s">
        <v>1077</v>
      </c>
      <c r="C1391" s="15" t="s">
        <v>1089</v>
      </c>
      <c r="D1391" s="15" t="s">
        <v>67</v>
      </c>
      <c r="E1391" s="15" t="s">
        <v>93</v>
      </c>
      <c r="F1391" s="34">
        <v>1</v>
      </c>
      <c r="G1391" s="34">
        <v>2</v>
      </c>
      <c r="H1391" s="35"/>
      <c r="I1391" s="35">
        <f t="shared" si="70"/>
        <v>0</v>
      </c>
      <c r="J1391" s="35"/>
      <c r="K1391" s="35">
        <v>0</v>
      </c>
      <c r="L1391" s="36">
        <f t="shared" si="71"/>
        <v>2</v>
      </c>
    </row>
    <row r="1392" spans="1:12" x14ac:dyDescent="0.25">
      <c r="A1392" s="21" t="s">
        <v>1077</v>
      </c>
      <c r="B1392" s="30" t="s">
        <v>1077</v>
      </c>
      <c r="C1392" s="21" t="s">
        <v>1089</v>
      </c>
      <c r="D1392" s="21" t="s">
        <v>65</v>
      </c>
      <c r="E1392" s="21" t="s">
        <v>82</v>
      </c>
      <c r="F1392" s="31">
        <v>2</v>
      </c>
      <c r="G1392" s="31">
        <v>3</v>
      </c>
      <c r="H1392" s="32"/>
      <c r="I1392" s="32">
        <f t="shared" si="70"/>
        <v>0</v>
      </c>
      <c r="J1392" s="32"/>
      <c r="K1392" s="32">
        <v>0</v>
      </c>
      <c r="L1392" s="33">
        <f t="shared" si="71"/>
        <v>3</v>
      </c>
    </row>
    <row r="1393" spans="1:12" x14ac:dyDescent="0.25">
      <c r="A1393" s="15" t="s">
        <v>1077</v>
      </c>
      <c r="B1393" s="14" t="s">
        <v>1077</v>
      </c>
      <c r="C1393" s="15" t="s">
        <v>1090</v>
      </c>
      <c r="D1393" s="15" t="s">
        <v>67</v>
      </c>
      <c r="E1393" s="15" t="s">
        <v>93</v>
      </c>
      <c r="F1393" s="34">
        <v>1</v>
      </c>
      <c r="G1393" s="34">
        <v>2</v>
      </c>
      <c r="H1393" s="35"/>
      <c r="I1393" s="35">
        <f t="shared" si="70"/>
        <v>0</v>
      </c>
      <c r="J1393" s="35"/>
      <c r="K1393" s="35">
        <v>0</v>
      </c>
      <c r="L1393" s="36">
        <f t="shared" si="71"/>
        <v>2</v>
      </c>
    </row>
    <row r="1394" spans="1:12" x14ac:dyDescent="0.25">
      <c r="A1394" s="21" t="s">
        <v>1077</v>
      </c>
      <c r="B1394" s="30" t="s">
        <v>1077</v>
      </c>
      <c r="C1394" s="21" t="s">
        <v>1091</v>
      </c>
      <c r="D1394" s="21" t="s">
        <v>65</v>
      </c>
      <c r="E1394" s="21" t="s">
        <v>82</v>
      </c>
      <c r="F1394" s="31">
        <v>1</v>
      </c>
      <c r="G1394" s="31">
        <v>2</v>
      </c>
      <c r="H1394" s="32"/>
      <c r="I1394" s="32">
        <f t="shared" si="70"/>
        <v>0</v>
      </c>
      <c r="J1394" s="32"/>
      <c r="K1394" s="32">
        <v>0</v>
      </c>
      <c r="L1394" s="33">
        <f t="shared" si="71"/>
        <v>2</v>
      </c>
    </row>
    <row r="1395" spans="1:12" x14ac:dyDescent="0.25">
      <c r="A1395" s="58" t="s">
        <v>1092</v>
      </c>
      <c r="B1395" s="58"/>
      <c r="C1395" s="58"/>
      <c r="D1395" s="58"/>
      <c r="E1395" s="58"/>
      <c r="F1395" s="58"/>
      <c r="G1395" s="58"/>
      <c r="H1395" s="58"/>
      <c r="I1395" s="58"/>
      <c r="J1395" s="58"/>
      <c r="K1395" s="58"/>
      <c r="L1395" s="58"/>
    </row>
    <row r="1396" spans="1:12" x14ac:dyDescent="0.25">
      <c r="A1396" s="21" t="s">
        <v>1093</v>
      </c>
      <c r="B1396" s="30" t="s">
        <v>1093</v>
      </c>
      <c r="C1396" s="21" t="s">
        <v>1094</v>
      </c>
      <c r="D1396" s="21" t="s">
        <v>54</v>
      </c>
      <c r="E1396" s="21" t="s">
        <v>84</v>
      </c>
      <c r="F1396" s="31">
        <v>5.7</v>
      </c>
      <c r="G1396" s="31">
        <v>8.6</v>
      </c>
      <c r="H1396" s="32"/>
      <c r="I1396" s="32">
        <f t="shared" ref="I1396:I1404" si="72">IF(H1396="",0,G1396)</f>
        <v>0</v>
      </c>
      <c r="J1396" s="32"/>
      <c r="K1396" s="32">
        <v>0</v>
      </c>
      <c r="L1396" s="33">
        <f t="shared" ref="L1396:L1404" si="73">G1396-I1396-K1396</f>
        <v>8.6</v>
      </c>
    </row>
    <row r="1397" spans="1:12" x14ac:dyDescent="0.25">
      <c r="A1397" s="21" t="s">
        <v>1096</v>
      </c>
      <c r="B1397" s="30" t="s">
        <v>1096</v>
      </c>
      <c r="C1397" s="21" t="s">
        <v>1097</v>
      </c>
      <c r="D1397" s="21" t="s">
        <v>53</v>
      </c>
      <c r="E1397" s="21" t="s">
        <v>129</v>
      </c>
      <c r="F1397" s="31">
        <v>5.7</v>
      </c>
      <c r="G1397" s="31">
        <v>8.6</v>
      </c>
      <c r="H1397" s="32"/>
      <c r="I1397" s="32">
        <f t="shared" si="72"/>
        <v>0</v>
      </c>
      <c r="J1397" s="32"/>
      <c r="K1397" s="32">
        <v>0</v>
      </c>
      <c r="L1397" s="33">
        <f t="shared" si="73"/>
        <v>8.6</v>
      </c>
    </row>
    <row r="1398" spans="1:12" x14ac:dyDescent="0.25">
      <c r="A1398" s="15" t="s">
        <v>1096</v>
      </c>
      <c r="B1398" s="14" t="s">
        <v>1096</v>
      </c>
      <c r="C1398" s="15" t="s">
        <v>1098</v>
      </c>
      <c r="D1398" s="15" t="s">
        <v>53</v>
      </c>
      <c r="E1398" s="15" t="s">
        <v>129</v>
      </c>
      <c r="F1398" s="34">
        <v>5.7</v>
      </c>
      <c r="G1398" s="34">
        <v>8.6</v>
      </c>
      <c r="H1398" s="35"/>
      <c r="I1398" s="35">
        <f t="shared" si="72"/>
        <v>0</v>
      </c>
      <c r="J1398" s="35"/>
      <c r="K1398" s="35">
        <v>0</v>
      </c>
      <c r="L1398" s="36">
        <f t="shared" si="73"/>
        <v>8.6</v>
      </c>
    </row>
    <row r="1399" spans="1:12" x14ac:dyDescent="0.25">
      <c r="A1399" s="21" t="s">
        <v>1096</v>
      </c>
      <c r="B1399" s="30" t="s">
        <v>1096</v>
      </c>
      <c r="C1399" s="21" t="s">
        <v>1099</v>
      </c>
      <c r="D1399" s="21" t="s">
        <v>53</v>
      </c>
      <c r="E1399" s="21" t="s">
        <v>129</v>
      </c>
      <c r="F1399" s="31">
        <v>11.4</v>
      </c>
      <c r="G1399" s="31">
        <v>14.3</v>
      </c>
      <c r="H1399" s="32"/>
      <c r="I1399" s="32">
        <f t="shared" si="72"/>
        <v>0</v>
      </c>
      <c r="J1399" s="32"/>
      <c r="K1399" s="32">
        <v>0</v>
      </c>
      <c r="L1399" s="33">
        <f t="shared" si="73"/>
        <v>14.3</v>
      </c>
    </row>
    <row r="1400" spans="1:12" x14ac:dyDescent="0.25">
      <c r="A1400" s="21" t="s">
        <v>1100</v>
      </c>
      <c r="B1400" s="30" t="s">
        <v>1100</v>
      </c>
      <c r="C1400" s="21" t="s">
        <v>1102</v>
      </c>
      <c r="D1400" s="21" t="s">
        <v>57</v>
      </c>
      <c r="E1400" s="21" t="s">
        <v>136</v>
      </c>
      <c r="F1400" s="21"/>
      <c r="G1400" s="21"/>
      <c r="H1400" s="32"/>
      <c r="I1400" s="32">
        <f t="shared" si="72"/>
        <v>0</v>
      </c>
      <c r="J1400" s="32"/>
      <c r="K1400" s="32">
        <v>0</v>
      </c>
      <c r="L1400" s="33">
        <f t="shared" si="73"/>
        <v>0</v>
      </c>
    </row>
    <row r="1401" spans="1:12" x14ac:dyDescent="0.25">
      <c r="A1401" s="15" t="s">
        <v>1100</v>
      </c>
      <c r="B1401" s="14" t="s">
        <v>1100</v>
      </c>
      <c r="C1401" s="15" t="s">
        <v>1103</v>
      </c>
      <c r="D1401" s="15" t="s">
        <v>59</v>
      </c>
      <c r="E1401" s="15" t="s">
        <v>203</v>
      </c>
      <c r="F1401" s="15"/>
      <c r="G1401" s="15"/>
      <c r="H1401" s="35"/>
      <c r="I1401" s="35">
        <f t="shared" si="72"/>
        <v>0</v>
      </c>
      <c r="J1401" s="35"/>
      <c r="K1401" s="35">
        <v>0</v>
      </c>
      <c r="L1401" s="36">
        <f t="shared" si="73"/>
        <v>0</v>
      </c>
    </row>
    <row r="1402" spans="1:12" x14ac:dyDescent="0.25">
      <c r="A1402" s="21" t="s">
        <v>1100</v>
      </c>
      <c r="B1402" s="30" t="s">
        <v>1100</v>
      </c>
      <c r="C1402" s="21" t="s">
        <v>1104</v>
      </c>
      <c r="D1402" s="21" t="s">
        <v>56</v>
      </c>
      <c r="E1402" s="21" t="s">
        <v>162</v>
      </c>
      <c r="F1402" s="21"/>
      <c r="G1402" s="21"/>
      <c r="H1402" s="32"/>
      <c r="I1402" s="32">
        <f t="shared" si="72"/>
        <v>0</v>
      </c>
      <c r="J1402" s="32"/>
      <c r="K1402" s="32">
        <v>0</v>
      </c>
      <c r="L1402" s="33">
        <f t="shared" si="73"/>
        <v>0</v>
      </c>
    </row>
    <row r="1403" spans="1:12" x14ac:dyDescent="0.25">
      <c r="A1403" s="15" t="s">
        <v>1100</v>
      </c>
      <c r="B1403" s="14" t="s">
        <v>1100</v>
      </c>
      <c r="C1403" s="15" t="s">
        <v>1105</v>
      </c>
      <c r="D1403" s="15" t="s">
        <v>61</v>
      </c>
      <c r="E1403" s="15" t="s">
        <v>142</v>
      </c>
      <c r="F1403" s="15"/>
      <c r="G1403" s="15"/>
      <c r="H1403" s="35"/>
      <c r="I1403" s="35">
        <f t="shared" si="72"/>
        <v>0</v>
      </c>
      <c r="J1403" s="35"/>
      <c r="K1403" s="35">
        <v>0</v>
      </c>
      <c r="L1403" s="36">
        <f t="shared" si="73"/>
        <v>0</v>
      </c>
    </row>
    <row r="1404" spans="1:12" x14ac:dyDescent="0.25">
      <c r="A1404" s="21" t="s">
        <v>1100</v>
      </c>
      <c r="B1404" s="30" t="s">
        <v>1100</v>
      </c>
      <c r="C1404" s="21" t="s">
        <v>1106</v>
      </c>
      <c r="D1404" s="21" t="s">
        <v>53</v>
      </c>
      <c r="E1404" s="21" t="s">
        <v>129</v>
      </c>
      <c r="F1404" s="21"/>
      <c r="G1404" s="21"/>
      <c r="H1404" s="32"/>
      <c r="I1404" s="32">
        <f t="shared" si="72"/>
        <v>0</v>
      </c>
      <c r="J1404" s="32"/>
      <c r="K1404" s="32">
        <v>0</v>
      </c>
      <c r="L1404" s="33">
        <f t="shared" si="73"/>
        <v>0</v>
      </c>
    </row>
    <row r="1405" spans="1:12" x14ac:dyDescent="0.25">
      <c r="A1405" s="58" t="s">
        <v>1109</v>
      </c>
      <c r="B1405" s="58"/>
      <c r="C1405" s="58"/>
      <c r="D1405" s="58"/>
      <c r="E1405" s="58"/>
      <c r="F1405" s="58"/>
      <c r="G1405" s="58"/>
      <c r="H1405" s="58"/>
      <c r="I1405" s="58"/>
      <c r="J1405" s="58"/>
      <c r="K1405" s="58"/>
      <c r="L1405" s="58"/>
    </row>
    <row r="1406" spans="1:12" x14ac:dyDescent="0.25">
      <c r="A1406" s="21" t="s">
        <v>1123</v>
      </c>
      <c r="B1406" s="30" t="s">
        <v>1123</v>
      </c>
      <c r="C1406" s="21" t="s">
        <v>1124</v>
      </c>
      <c r="D1406" s="21" t="s">
        <v>67</v>
      </c>
      <c r="E1406" s="21" t="s">
        <v>93</v>
      </c>
      <c r="F1406" s="31">
        <v>4</v>
      </c>
      <c r="G1406" s="31">
        <v>5</v>
      </c>
      <c r="H1406" s="32"/>
      <c r="I1406" s="32">
        <f t="shared" ref="I1406:I1449" si="74">IF(H1406="",0,G1406)</f>
        <v>0</v>
      </c>
      <c r="J1406" s="32"/>
      <c r="K1406" s="32">
        <v>0</v>
      </c>
      <c r="L1406" s="33">
        <f t="shared" ref="L1406:L1449" si="75">G1406-I1406-K1406</f>
        <v>5</v>
      </c>
    </row>
    <row r="1407" spans="1:12" x14ac:dyDescent="0.25">
      <c r="A1407" s="15" t="s">
        <v>1123</v>
      </c>
      <c r="B1407" s="14" t="s">
        <v>1123</v>
      </c>
      <c r="C1407" s="15" t="s">
        <v>1125</v>
      </c>
      <c r="D1407" s="15" t="s">
        <v>67</v>
      </c>
      <c r="E1407" s="15" t="s">
        <v>93</v>
      </c>
      <c r="F1407" s="34">
        <v>2</v>
      </c>
      <c r="G1407" s="34">
        <v>3</v>
      </c>
      <c r="H1407" s="35"/>
      <c r="I1407" s="35">
        <f t="shared" si="74"/>
        <v>0</v>
      </c>
      <c r="J1407" s="35"/>
      <c r="K1407" s="35">
        <v>0</v>
      </c>
      <c r="L1407" s="36">
        <f t="shared" si="75"/>
        <v>3</v>
      </c>
    </row>
    <row r="1408" spans="1:12" x14ac:dyDescent="0.25">
      <c r="A1408" s="21" t="s">
        <v>1123</v>
      </c>
      <c r="B1408" s="30" t="s">
        <v>1123</v>
      </c>
      <c r="C1408" s="21" t="s">
        <v>1126</v>
      </c>
      <c r="D1408" s="21" t="s">
        <v>67</v>
      </c>
      <c r="E1408" s="21" t="s">
        <v>93</v>
      </c>
      <c r="F1408" s="31">
        <v>1</v>
      </c>
      <c r="G1408" s="31">
        <v>2</v>
      </c>
      <c r="H1408" s="32"/>
      <c r="I1408" s="32">
        <f t="shared" si="74"/>
        <v>0</v>
      </c>
      <c r="J1408" s="32"/>
      <c r="K1408" s="32">
        <v>0</v>
      </c>
      <c r="L1408" s="33">
        <f t="shared" si="75"/>
        <v>2</v>
      </c>
    </row>
    <row r="1409" spans="1:12" x14ac:dyDescent="0.25">
      <c r="A1409" s="15" t="s">
        <v>1123</v>
      </c>
      <c r="B1409" s="14" t="s">
        <v>1123</v>
      </c>
      <c r="C1409" s="15" t="s">
        <v>1127</v>
      </c>
      <c r="D1409" s="15" t="s">
        <v>67</v>
      </c>
      <c r="E1409" s="15" t="s">
        <v>93</v>
      </c>
      <c r="F1409" s="34">
        <v>1</v>
      </c>
      <c r="G1409" s="34">
        <v>2</v>
      </c>
      <c r="H1409" s="35"/>
      <c r="I1409" s="35">
        <f t="shared" si="74"/>
        <v>0</v>
      </c>
      <c r="J1409" s="35"/>
      <c r="K1409" s="35">
        <v>0</v>
      </c>
      <c r="L1409" s="36">
        <f t="shared" si="75"/>
        <v>2</v>
      </c>
    </row>
    <row r="1410" spans="1:12" x14ac:dyDescent="0.25">
      <c r="A1410" s="21" t="s">
        <v>1123</v>
      </c>
      <c r="B1410" s="30" t="s">
        <v>1123</v>
      </c>
      <c r="C1410" s="21" t="s">
        <v>1128</v>
      </c>
      <c r="D1410" s="21" t="s">
        <v>65</v>
      </c>
      <c r="E1410" s="21" t="s">
        <v>82</v>
      </c>
      <c r="F1410" s="31">
        <v>1</v>
      </c>
      <c r="G1410" s="31">
        <v>2</v>
      </c>
      <c r="H1410" s="32"/>
      <c r="I1410" s="32">
        <f t="shared" si="74"/>
        <v>0</v>
      </c>
      <c r="J1410" s="32"/>
      <c r="K1410" s="32">
        <v>0</v>
      </c>
      <c r="L1410" s="33">
        <f t="shared" si="75"/>
        <v>2</v>
      </c>
    </row>
    <row r="1411" spans="1:12" x14ac:dyDescent="0.25">
      <c r="A1411" s="15" t="s">
        <v>1123</v>
      </c>
      <c r="B1411" s="14" t="s">
        <v>1123</v>
      </c>
      <c r="C1411" s="15" t="s">
        <v>1129</v>
      </c>
      <c r="D1411" s="15" t="s">
        <v>65</v>
      </c>
      <c r="E1411" s="15" t="s">
        <v>82</v>
      </c>
      <c r="F1411" s="34">
        <v>1</v>
      </c>
      <c r="G1411" s="34">
        <v>2</v>
      </c>
      <c r="H1411" s="35"/>
      <c r="I1411" s="35">
        <f t="shared" si="74"/>
        <v>0</v>
      </c>
      <c r="J1411" s="35"/>
      <c r="K1411" s="35">
        <v>0</v>
      </c>
      <c r="L1411" s="36">
        <f t="shared" si="75"/>
        <v>2</v>
      </c>
    </row>
    <row r="1412" spans="1:12" x14ac:dyDescent="0.25">
      <c r="A1412" s="21" t="s">
        <v>1123</v>
      </c>
      <c r="B1412" s="30" t="s">
        <v>1123</v>
      </c>
      <c r="C1412" s="21" t="s">
        <v>1130</v>
      </c>
      <c r="D1412" s="21" t="s">
        <v>65</v>
      </c>
      <c r="E1412" s="21" t="s">
        <v>82</v>
      </c>
      <c r="F1412" s="31">
        <v>3</v>
      </c>
      <c r="G1412" s="31">
        <v>4</v>
      </c>
      <c r="H1412" s="32"/>
      <c r="I1412" s="32">
        <f t="shared" si="74"/>
        <v>0</v>
      </c>
      <c r="J1412" s="32"/>
      <c r="K1412" s="32">
        <v>0</v>
      </c>
      <c r="L1412" s="33">
        <f t="shared" si="75"/>
        <v>4</v>
      </c>
    </row>
    <row r="1413" spans="1:12" x14ac:dyDescent="0.25">
      <c r="A1413" s="15" t="s">
        <v>1123</v>
      </c>
      <c r="B1413" s="14" t="s">
        <v>1123</v>
      </c>
      <c r="C1413" s="15" t="s">
        <v>1131</v>
      </c>
      <c r="D1413" s="15" t="s">
        <v>65</v>
      </c>
      <c r="E1413" s="15" t="s">
        <v>82</v>
      </c>
      <c r="F1413" s="15"/>
      <c r="G1413" s="15"/>
      <c r="H1413" s="35"/>
      <c r="I1413" s="35">
        <f t="shared" si="74"/>
        <v>0</v>
      </c>
      <c r="J1413" s="35"/>
      <c r="K1413" s="35">
        <v>0</v>
      </c>
      <c r="L1413" s="36">
        <f t="shared" si="75"/>
        <v>0</v>
      </c>
    </row>
    <row r="1414" spans="1:12" x14ac:dyDescent="0.25">
      <c r="A1414" s="21" t="s">
        <v>1123</v>
      </c>
      <c r="B1414" s="30" t="s">
        <v>1123</v>
      </c>
      <c r="C1414" s="21" t="s">
        <v>1132</v>
      </c>
      <c r="D1414" s="21" t="s">
        <v>65</v>
      </c>
      <c r="E1414" s="21" t="s">
        <v>82</v>
      </c>
      <c r="F1414" s="31">
        <v>3</v>
      </c>
      <c r="G1414" s="31">
        <v>5</v>
      </c>
      <c r="H1414" s="32"/>
      <c r="I1414" s="32">
        <f t="shared" si="74"/>
        <v>0</v>
      </c>
      <c r="J1414" s="32"/>
      <c r="K1414" s="32">
        <v>0</v>
      </c>
      <c r="L1414" s="33">
        <f t="shared" si="75"/>
        <v>5</v>
      </c>
    </row>
    <row r="1415" spans="1:12" x14ac:dyDescent="0.25">
      <c r="A1415" s="15" t="s">
        <v>1123</v>
      </c>
      <c r="B1415" s="14" t="s">
        <v>1123</v>
      </c>
      <c r="C1415" s="15" t="s">
        <v>1133</v>
      </c>
      <c r="D1415" s="15" t="s">
        <v>47</v>
      </c>
      <c r="E1415" s="15" t="s">
        <v>79</v>
      </c>
      <c r="F1415" s="15"/>
      <c r="G1415" s="15"/>
      <c r="H1415" s="35"/>
      <c r="I1415" s="35">
        <f t="shared" si="74"/>
        <v>0</v>
      </c>
      <c r="J1415" s="35"/>
      <c r="K1415" s="35">
        <v>0</v>
      </c>
      <c r="L1415" s="36">
        <f t="shared" si="75"/>
        <v>0</v>
      </c>
    </row>
    <row r="1416" spans="1:12" x14ac:dyDescent="0.25">
      <c r="A1416" s="21" t="s">
        <v>1123</v>
      </c>
      <c r="B1416" s="30" t="s">
        <v>1123</v>
      </c>
      <c r="C1416" s="21" t="s">
        <v>1134</v>
      </c>
      <c r="D1416" s="21" t="s">
        <v>65</v>
      </c>
      <c r="E1416" s="21" t="s">
        <v>82</v>
      </c>
      <c r="F1416" s="31">
        <v>3</v>
      </c>
      <c r="G1416" s="31">
        <v>5</v>
      </c>
      <c r="H1416" s="32"/>
      <c r="I1416" s="32">
        <f t="shared" si="74"/>
        <v>0</v>
      </c>
      <c r="J1416" s="32"/>
      <c r="K1416" s="32">
        <v>0</v>
      </c>
      <c r="L1416" s="33">
        <f t="shared" si="75"/>
        <v>5</v>
      </c>
    </row>
    <row r="1417" spans="1:12" x14ac:dyDescent="0.25">
      <c r="A1417" s="21" t="s">
        <v>1136</v>
      </c>
      <c r="B1417" s="30" t="s">
        <v>1136</v>
      </c>
      <c r="C1417" s="21" t="s">
        <v>1137</v>
      </c>
      <c r="D1417" s="21" t="s">
        <v>47</v>
      </c>
      <c r="E1417" s="21" t="s">
        <v>79</v>
      </c>
      <c r="F1417" s="31">
        <v>3</v>
      </c>
      <c r="G1417" s="31">
        <v>5</v>
      </c>
      <c r="H1417" s="32"/>
      <c r="I1417" s="32">
        <f t="shared" si="74"/>
        <v>0</v>
      </c>
      <c r="J1417" s="32"/>
      <c r="K1417" s="32">
        <v>0</v>
      </c>
      <c r="L1417" s="33">
        <f t="shared" si="75"/>
        <v>5</v>
      </c>
    </row>
    <row r="1418" spans="1:12" x14ac:dyDescent="0.25">
      <c r="A1418" s="15" t="s">
        <v>1136</v>
      </c>
      <c r="B1418" s="14" t="s">
        <v>1136</v>
      </c>
      <c r="C1418" s="15" t="s">
        <v>1138</v>
      </c>
      <c r="D1418" s="15" t="s">
        <v>67</v>
      </c>
      <c r="E1418" s="15" t="s">
        <v>93</v>
      </c>
      <c r="F1418" s="15"/>
      <c r="G1418" s="15"/>
      <c r="H1418" s="35"/>
      <c r="I1418" s="35">
        <f t="shared" si="74"/>
        <v>0</v>
      </c>
      <c r="J1418" s="35"/>
      <c r="K1418" s="35">
        <v>0</v>
      </c>
      <c r="L1418" s="36">
        <f t="shared" si="75"/>
        <v>0</v>
      </c>
    </row>
    <row r="1419" spans="1:12" x14ac:dyDescent="0.25">
      <c r="A1419" s="21" t="s">
        <v>1136</v>
      </c>
      <c r="B1419" s="30" t="s">
        <v>1136</v>
      </c>
      <c r="C1419" s="21" t="s">
        <v>1139</v>
      </c>
      <c r="D1419" s="21" t="s">
        <v>67</v>
      </c>
      <c r="E1419" s="21" t="s">
        <v>93</v>
      </c>
      <c r="F1419" s="21"/>
      <c r="G1419" s="21"/>
      <c r="H1419" s="32"/>
      <c r="I1419" s="32">
        <f t="shared" si="74"/>
        <v>0</v>
      </c>
      <c r="J1419" s="32"/>
      <c r="K1419" s="32">
        <v>0</v>
      </c>
      <c r="L1419" s="33">
        <f t="shared" si="75"/>
        <v>0</v>
      </c>
    </row>
    <row r="1420" spans="1:12" x14ac:dyDescent="0.25">
      <c r="A1420" s="15" t="s">
        <v>1136</v>
      </c>
      <c r="B1420" s="14" t="s">
        <v>1136</v>
      </c>
      <c r="C1420" s="15" t="s">
        <v>1140</v>
      </c>
      <c r="D1420" s="15" t="s">
        <v>67</v>
      </c>
      <c r="E1420" s="15" t="s">
        <v>93</v>
      </c>
      <c r="F1420" s="15"/>
      <c r="G1420" s="15"/>
      <c r="H1420" s="35"/>
      <c r="I1420" s="35">
        <f t="shared" si="74"/>
        <v>0</v>
      </c>
      <c r="J1420" s="35"/>
      <c r="K1420" s="35">
        <v>0</v>
      </c>
      <c r="L1420" s="36">
        <f t="shared" si="75"/>
        <v>0</v>
      </c>
    </row>
    <row r="1421" spans="1:12" x14ac:dyDescent="0.25">
      <c r="A1421" s="21" t="s">
        <v>1136</v>
      </c>
      <c r="B1421" s="30" t="s">
        <v>1136</v>
      </c>
      <c r="C1421" s="21" t="s">
        <v>1141</v>
      </c>
      <c r="D1421" s="21" t="s">
        <v>67</v>
      </c>
      <c r="E1421" s="21" t="s">
        <v>93</v>
      </c>
      <c r="F1421" s="21"/>
      <c r="G1421" s="21"/>
      <c r="H1421" s="32"/>
      <c r="I1421" s="32">
        <f t="shared" si="74"/>
        <v>0</v>
      </c>
      <c r="J1421" s="32"/>
      <c r="K1421" s="32">
        <v>0</v>
      </c>
      <c r="L1421" s="33">
        <f t="shared" si="75"/>
        <v>0</v>
      </c>
    </row>
    <row r="1422" spans="1:12" x14ac:dyDescent="0.25">
      <c r="A1422" s="15" t="s">
        <v>1136</v>
      </c>
      <c r="B1422" s="14" t="s">
        <v>1136</v>
      </c>
      <c r="C1422" s="15" t="s">
        <v>1142</v>
      </c>
      <c r="D1422" s="15" t="s">
        <v>67</v>
      </c>
      <c r="E1422" s="15" t="s">
        <v>93</v>
      </c>
      <c r="F1422" s="15"/>
      <c r="G1422" s="15"/>
      <c r="H1422" s="35"/>
      <c r="I1422" s="35">
        <f t="shared" si="74"/>
        <v>0</v>
      </c>
      <c r="J1422" s="35"/>
      <c r="K1422" s="35">
        <v>0</v>
      </c>
      <c r="L1422" s="36">
        <f t="shared" si="75"/>
        <v>0</v>
      </c>
    </row>
    <row r="1423" spans="1:12" x14ac:dyDescent="0.25">
      <c r="A1423" s="21" t="s">
        <v>1136</v>
      </c>
      <c r="B1423" s="30" t="s">
        <v>1136</v>
      </c>
      <c r="C1423" s="21" t="s">
        <v>1143</v>
      </c>
      <c r="D1423" s="21" t="s">
        <v>67</v>
      </c>
      <c r="E1423" s="21" t="s">
        <v>93</v>
      </c>
      <c r="F1423" s="21"/>
      <c r="G1423" s="21"/>
      <c r="H1423" s="32"/>
      <c r="I1423" s="32">
        <f t="shared" si="74"/>
        <v>0</v>
      </c>
      <c r="J1423" s="32"/>
      <c r="K1423" s="32">
        <v>0</v>
      </c>
      <c r="L1423" s="33">
        <f t="shared" si="75"/>
        <v>0</v>
      </c>
    </row>
    <row r="1424" spans="1:12" x14ac:dyDescent="0.25">
      <c r="A1424" s="15" t="s">
        <v>1136</v>
      </c>
      <c r="B1424" s="14" t="s">
        <v>1136</v>
      </c>
      <c r="C1424" s="15" t="s">
        <v>1144</v>
      </c>
      <c r="D1424" s="15" t="s">
        <v>67</v>
      </c>
      <c r="E1424" s="15" t="s">
        <v>93</v>
      </c>
      <c r="F1424" s="15"/>
      <c r="G1424" s="15"/>
      <c r="H1424" s="35"/>
      <c r="I1424" s="35">
        <f t="shared" si="74"/>
        <v>0</v>
      </c>
      <c r="J1424" s="35"/>
      <c r="K1424" s="35">
        <v>0</v>
      </c>
      <c r="L1424" s="36">
        <f t="shared" si="75"/>
        <v>0</v>
      </c>
    </row>
    <row r="1425" spans="1:12" x14ac:dyDescent="0.25">
      <c r="A1425" s="21" t="s">
        <v>1136</v>
      </c>
      <c r="B1425" s="30" t="s">
        <v>1136</v>
      </c>
      <c r="C1425" s="21" t="s">
        <v>1145</v>
      </c>
      <c r="D1425" s="21" t="s">
        <v>67</v>
      </c>
      <c r="E1425" s="21" t="s">
        <v>93</v>
      </c>
      <c r="F1425" s="21"/>
      <c r="G1425" s="21"/>
      <c r="H1425" s="32"/>
      <c r="I1425" s="32">
        <f t="shared" si="74"/>
        <v>0</v>
      </c>
      <c r="J1425" s="32"/>
      <c r="K1425" s="32">
        <v>0</v>
      </c>
      <c r="L1425" s="33">
        <f t="shared" si="75"/>
        <v>0</v>
      </c>
    </row>
    <row r="1426" spans="1:12" x14ac:dyDescent="0.25">
      <c r="A1426" s="15" t="s">
        <v>1136</v>
      </c>
      <c r="B1426" s="14" t="s">
        <v>1136</v>
      </c>
      <c r="C1426" s="15" t="s">
        <v>1146</v>
      </c>
      <c r="D1426" s="15" t="s">
        <v>67</v>
      </c>
      <c r="E1426" s="15" t="s">
        <v>93</v>
      </c>
      <c r="F1426" s="15"/>
      <c r="G1426" s="15"/>
      <c r="H1426" s="35"/>
      <c r="I1426" s="35">
        <f t="shared" si="74"/>
        <v>0</v>
      </c>
      <c r="J1426" s="35"/>
      <c r="K1426" s="35">
        <v>0</v>
      </c>
      <c r="L1426" s="36">
        <f t="shared" si="75"/>
        <v>0</v>
      </c>
    </row>
    <row r="1427" spans="1:12" x14ac:dyDescent="0.25">
      <c r="A1427" s="21" t="s">
        <v>1136</v>
      </c>
      <c r="B1427" s="30" t="s">
        <v>1136</v>
      </c>
      <c r="C1427" s="21" t="s">
        <v>1147</v>
      </c>
      <c r="D1427" s="21" t="s">
        <v>67</v>
      </c>
      <c r="E1427" s="21" t="s">
        <v>93</v>
      </c>
      <c r="F1427" s="21"/>
      <c r="G1427" s="21"/>
      <c r="H1427" s="32"/>
      <c r="I1427" s="32">
        <f t="shared" si="74"/>
        <v>0</v>
      </c>
      <c r="J1427" s="32"/>
      <c r="K1427" s="32">
        <v>0</v>
      </c>
      <c r="L1427" s="33">
        <f t="shared" si="75"/>
        <v>0</v>
      </c>
    </row>
    <row r="1428" spans="1:12" x14ac:dyDescent="0.25">
      <c r="A1428" s="15" t="s">
        <v>1136</v>
      </c>
      <c r="B1428" s="14" t="s">
        <v>1136</v>
      </c>
      <c r="C1428" s="15" t="s">
        <v>1148</v>
      </c>
      <c r="D1428" s="15" t="s">
        <v>67</v>
      </c>
      <c r="E1428" s="15" t="s">
        <v>93</v>
      </c>
      <c r="F1428" s="15"/>
      <c r="G1428" s="15"/>
      <c r="H1428" s="35"/>
      <c r="I1428" s="35">
        <f t="shared" si="74"/>
        <v>0</v>
      </c>
      <c r="J1428" s="35"/>
      <c r="K1428" s="35">
        <v>0</v>
      </c>
      <c r="L1428" s="36">
        <f t="shared" si="75"/>
        <v>0</v>
      </c>
    </row>
    <row r="1429" spans="1:12" x14ac:dyDescent="0.25">
      <c r="A1429" s="21" t="s">
        <v>1136</v>
      </c>
      <c r="B1429" s="30" t="s">
        <v>1136</v>
      </c>
      <c r="C1429" s="21" t="s">
        <v>1149</v>
      </c>
      <c r="D1429" s="21" t="s">
        <v>69</v>
      </c>
      <c r="E1429" s="21" t="s">
        <v>90</v>
      </c>
      <c r="F1429" s="21"/>
      <c r="G1429" s="21"/>
      <c r="H1429" s="32"/>
      <c r="I1429" s="32">
        <f t="shared" si="74"/>
        <v>0</v>
      </c>
      <c r="J1429" s="32"/>
      <c r="K1429" s="32">
        <v>0</v>
      </c>
      <c r="L1429" s="33">
        <f t="shared" si="75"/>
        <v>0</v>
      </c>
    </row>
    <row r="1430" spans="1:12" x14ac:dyDescent="0.25">
      <c r="A1430" s="15" t="s">
        <v>1136</v>
      </c>
      <c r="B1430" s="14" t="s">
        <v>1136</v>
      </c>
      <c r="C1430" s="15" t="s">
        <v>1137</v>
      </c>
      <c r="D1430" s="15" t="s">
        <v>47</v>
      </c>
      <c r="E1430" s="15" t="s">
        <v>79</v>
      </c>
      <c r="F1430" s="15"/>
      <c r="G1430" s="15"/>
      <c r="H1430" s="35"/>
      <c r="I1430" s="35">
        <f t="shared" si="74"/>
        <v>0</v>
      </c>
      <c r="J1430" s="35"/>
      <c r="K1430" s="35">
        <v>0</v>
      </c>
      <c r="L1430" s="36">
        <f t="shared" si="75"/>
        <v>0</v>
      </c>
    </row>
    <row r="1431" spans="1:12" x14ac:dyDescent="0.25">
      <c r="A1431" s="21" t="s">
        <v>1136</v>
      </c>
      <c r="B1431" s="30" t="s">
        <v>1136</v>
      </c>
      <c r="C1431" s="21" t="s">
        <v>1138</v>
      </c>
      <c r="D1431" s="21" t="s">
        <v>67</v>
      </c>
      <c r="E1431" s="21" t="s">
        <v>93</v>
      </c>
      <c r="F1431" s="31">
        <v>10</v>
      </c>
      <c r="G1431" s="31">
        <v>20</v>
      </c>
      <c r="H1431" s="32"/>
      <c r="I1431" s="32">
        <f t="shared" si="74"/>
        <v>0</v>
      </c>
      <c r="J1431" s="32"/>
      <c r="K1431" s="32">
        <v>0</v>
      </c>
      <c r="L1431" s="33">
        <f t="shared" si="75"/>
        <v>20</v>
      </c>
    </row>
    <row r="1432" spans="1:12" x14ac:dyDescent="0.25">
      <c r="A1432" s="15" t="s">
        <v>1136</v>
      </c>
      <c r="B1432" s="14" t="s">
        <v>1136</v>
      </c>
      <c r="C1432" s="15" t="s">
        <v>1139</v>
      </c>
      <c r="D1432" s="15" t="s">
        <v>67</v>
      </c>
      <c r="E1432" s="15" t="s">
        <v>93</v>
      </c>
      <c r="F1432" s="34">
        <v>5</v>
      </c>
      <c r="G1432" s="34">
        <v>10</v>
      </c>
      <c r="H1432" s="35"/>
      <c r="I1432" s="35">
        <f t="shared" si="74"/>
        <v>0</v>
      </c>
      <c r="J1432" s="35"/>
      <c r="K1432" s="35">
        <v>0</v>
      </c>
      <c r="L1432" s="36">
        <f t="shared" si="75"/>
        <v>10</v>
      </c>
    </row>
    <row r="1433" spans="1:12" x14ac:dyDescent="0.25">
      <c r="A1433" s="21" t="s">
        <v>1136</v>
      </c>
      <c r="B1433" s="30" t="s">
        <v>1136</v>
      </c>
      <c r="C1433" s="21" t="s">
        <v>1140</v>
      </c>
      <c r="D1433" s="21" t="s">
        <v>67</v>
      </c>
      <c r="E1433" s="21" t="s">
        <v>93</v>
      </c>
      <c r="F1433" s="21"/>
      <c r="G1433" s="21"/>
      <c r="H1433" s="32"/>
      <c r="I1433" s="32">
        <f t="shared" si="74"/>
        <v>0</v>
      </c>
      <c r="J1433" s="32"/>
      <c r="K1433" s="32">
        <v>0</v>
      </c>
      <c r="L1433" s="33">
        <f t="shared" si="75"/>
        <v>0</v>
      </c>
    </row>
    <row r="1434" spans="1:12" x14ac:dyDescent="0.25">
      <c r="A1434" s="15" t="s">
        <v>1136</v>
      </c>
      <c r="B1434" s="14" t="s">
        <v>1136</v>
      </c>
      <c r="C1434" s="15" t="s">
        <v>1141</v>
      </c>
      <c r="D1434" s="15" t="s">
        <v>67</v>
      </c>
      <c r="E1434" s="15" t="s">
        <v>93</v>
      </c>
      <c r="F1434" s="15"/>
      <c r="G1434" s="15"/>
      <c r="H1434" s="35"/>
      <c r="I1434" s="35">
        <f t="shared" si="74"/>
        <v>0</v>
      </c>
      <c r="J1434" s="35"/>
      <c r="K1434" s="35">
        <v>0</v>
      </c>
      <c r="L1434" s="36">
        <f t="shared" si="75"/>
        <v>0</v>
      </c>
    </row>
    <row r="1435" spans="1:12" x14ac:dyDescent="0.25">
      <c r="A1435" s="21" t="s">
        <v>1136</v>
      </c>
      <c r="B1435" s="30" t="s">
        <v>1136</v>
      </c>
      <c r="C1435" s="21" t="s">
        <v>1142</v>
      </c>
      <c r="D1435" s="21" t="s">
        <v>67</v>
      </c>
      <c r="E1435" s="21" t="s">
        <v>93</v>
      </c>
      <c r="F1435" s="31">
        <v>0.5</v>
      </c>
      <c r="G1435" s="31">
        <v>10</v>
      </c>
      <c r="H1435" s="32"/>
      <c r="I1435" s="32">
        <f t="shared" si="74"/>
        <v>0</v>
      </c>
      <c r="J1435" s="32"/>
      <c r="K1435" s="32">
        <v>0</v>
      </c>
      <c r="L1435" s="33">
        <f t="shared" si="75"/>
        <v>10</v>
      </c>
    </row>
    <row r="1436" spans="1:12" x14ac:dyDescent="0.25">
      <c r="A1436" s="15" t="s">
        <v>1136</v>
      </c>
      <c r="B1436" s="14" t="s">
        <v>1136</v>
      </c>
      <c r="C1436" s="15" t="s">
        <v>1143</v>
      </c>
      <c r="D1436" s="15" t="s">
        <v>67</v>
      </c>
      <c r="E1436" s="15" t="s">
        <v>93</v>
      </c>
      <c r="F1436" s="15"/>
      <c r="G1436" s="15"/>
      <c r="H1436" s="35"/>
      <c r="I1436" s="35">
        <f t="shared" si="74"/>
        <v>0</v>
      </c>
      <c r="J1436" s="35"/>
      <c r="K1436" s="35">
        <v>0</v>
      </c>
      <c r="L1436" s="36">
        <f t="shared" si="75"/>
        <v>0</v>
      </c>
    </row>
    <row r="1437" spans="1:12" x14ac:dyDescent="0.25">
      <c r="A1437" s="21" t="s">
        <v>1136</v>
      </c>
      <c r="B1437" s="30" t="s">
        <v>1136</v>
      </c>
      <c r="C1437" s="21" t="s">
        <v>1144</v>
      </c>
      <c r="D1437" s="21" t="s">
        <v>67</v>
      </c>
      <c r="E1437" s="21" t="s">
        <v>93</v>
      </c>
      <c r="F1437" s="31">
        <v>1</v>
      </c>
      <c r="G1437" s="31">
        <v>2</v>
      </c>
      <c r="H1437" s="32"/>
      <c r="I1437" s="32">
        <f t="shared" si="74"/>
        <v>0</v>
      </c>
      <c r="J1437" s="32"/>
      <c r="K1437" s="32">
        <v>0</v>
      </c>
      <c r="L1437" s="33">
        <f t="shared" si="75"/>
        <v>2</v>
      </c>
    </row>
    <row r="1438" spans="1:12" x14ac:dyDescent="0.25">
      <c r="A1438" s="15" t="s">
        <v>1136</v>
      </c>
      <c r="B1438" s="14" t="s">
        <v>1136</v>
      </c>
      <c r="C1438" s="15" t="s">
        <v>1145</v>
      </c>
      <c r="D1438" s="15" t="s">
        <v>67</v>
      </c>
      <c r="E1438" s="15" t="s">
        <v>93</v>
      </c>
      <c r="F1438" s="34">
        <v>2</v>
      </c>
      <c r="G1438" s="34">
        <v>3</v>
      </c>
      <c r="H1438" s="35"/>
      <c r="I1438" s="35">
        <f t="shared" si="74"/>
        <v>0</v>
      </c>
      <c r="J1438" s="35"/>
      <c r="K1438" s="35">
        <v>0</v>
      </c>
      <c r="L1438" s="36">
        <f t="shared" si="75"/>
        <v>3</v>
      </c>
    </row>
    <row r="1439" spans="1:12" x14ac:dyDescent="0.25">
      <c r="A1439" s="21" t="s">
        <v>1136</v>
      </c>
      <c r="B1439" s="30" t="s">
        <v>1136</v>
      </c>
      <c r="C1439" s="21" t="s">
        <v>1147</v>
      </c>
      <c r="D1439" s="21" t="s">
        <v>67</v>
      </c>
      <c r="E1439" s="21" t="s">
        <v>93</v>
      </c>
      <c r="F1439" s="31">
        <v>2</v>
      </c>
      <c r="G1439" s="31">
        <v>3</v>
      </c>
      <c r="H1439" s="32"/>
      <c r="I1439" s="32">
        <f t="shared" si="74"/>
        <v>0</v>
      </c>
      <c r="J1439" s="32"/>
      <c r="K1439" s="32">
        <v>0</v>
      </c>
      <c r="L1439" s="33">
        <f t="shared" si="75"/>
        <v>3</v>
      </c>
    </row>
    <row r="1440" spans="1:12" x14ac:dyDescent="0.25">
      <c r="A1440" s="15" t="s">
        <v>1136</v>
      </c>
      <c r="B1440" s="14" t="s">
        <v>1136</v>
      </c>
      <c r="C1440" s="15" t="s">
        <v>1148</v>
      </c>
      <c r="D1440" s="15" t="s">
        <v>67</v>
      </c>
      <c r="E1440" s="15" t="s">
        <v>93</v>
      </c>
      <c r="F1440" s="34">
        <v>2</v>
      </c>
      <c r="G1440" s="34">
        <v>3</v>
      </c>
      <c r="H1440" s="35"/>
      <c r="I1440" s="35">
        <f t="shared" si="74"/>
        <v>0</v>
      </c>
      <c r="J1440" s="35"/>
      <c r="K1440" s="35">
        <v>0</v>
      </c>
      <c r="L1440" s="36">
        <f t="shared" si="75"/>
        <v>3</v>
      </c>
    </row>
    <row r="1441" spans="1:12" x14ac:dyDescent="0.25">
      <c r="A1441" s="21" t="s">
        <v>1136</v>
      </c>
      <c r="B1441" s="30" t="s">
        <v>1136</v>
      </c>
      <c r="C1441" s="21" t="s">
        <v>1148</v>
      </c>
      <c r="D1441" s="21" t="s">
        <v>65</v>
      </c>
      <c r="E1441" s="21" t="s">
        <v>82</v>
      </c>
      <c r="F1441" s="31">
        <v>2</v>
      </c>
      <c r="G1441" s="31">
        <v>3</v>
      </c>
      <c r="H1441" s="32"/>
      <c r="I1441" s="32">
        <f t="shared" si="74"/>
        <v>0</v>
      </c>
      <c r="J1441" s="32"/>
      <c r="K1441" s="32">
        <v>0</v>
      </c>
      <c r="L1441" s="33">
        <f t="shared" si="75"/>
        <v>3</v>
      </c>
    </row>
    <row r="1442" spans="1:12" x14ac:dyDescent="0.25">
      <c r="A1442" s="15" t="s">
        <v>1136</v>
      </c>
      <c r="B1442" s="14" t="s">
        <v>1136</v>
      </c>
      <c r="C1442" s="15" t="s">
        <v>1146</v>
      </c>
      <c r="D1442" s="15" t="s">
        <v>67</v>
      </c>
      <c r="E1442" s="15" t="s">
        <v>93</v>
      </c>
      <c r="F1442" s="15"/>
      <c r="G1442" s="15"/>
      <c r="H1442" s="35"/>
      <c r="I1442" s="35">
        <f t="shared" si="74"/>
        <v>0</v>
      </c>
      <c r="J1442" s="35"/>
      <c r="K1442" s="35">
        <v>0</v>
      </c>
      <c r="L1442" s="36">
        <f t="shared" si="75"/>
        <v>0</v>
      </c>
    </row>
    <row r="1443" spans="1:12" x14ac:dyDescent="0.25">
      <c r="A1443" s="21" t="s">
        <v>1136</v>
      </c>
      <c r="B1443" s="30" t="s">
        <v>1136</v>
      </c>
      <c r="C1443" s="21" t="s">
        <v>1146</v>
      </c>
      <c r="D1443" s="21" t="s">
        <v>65</v>
      </c>
      <c r="E1443" s="21" t="s">
        <v>82</v>
      </c>
      <c r="F1443" s="31">
        <v>3</v>
      </c>
      <c r="G1443" s="31">
        <v>4</v>
      </c>
      <c r="H1443" s="32"/>
      <c r="I1443" s="32">
        <f t="shared" si="74"/>
        <v>0</v>
      </c>
      <c r="J1443" s="32"/>
      <c r="K1443" s="32">
        <v>0</v>
      </c>
      <c r="L1443" s="33">
        <f t="shared" si="75"/>
        <v>4</v>
      </c>
    </row>
    <row r="1444" spans="1:12" x14ac:dyDescent="0.25">
      <c r="A1444" s="15" t="s">
        <v>1136</v>
      </c>
      <c r="B1444" s="14" t="s">
        <v>1136</v>
      </c>
      <c r="C1444" s="15" t="s">
        <v>1150</v>
      </c>
      <c r="D1444" s="15" t="s">
        <v>67</v>
      </c>
      <c r="E1444" s="15" t="s">
        <v>93</v>
      </c>
      <c r="F1444" s="34">
        <v>3</v>
      </c>
      <c r="G1444" s="34">
        <v>4</v>
      </c>
      <c r="H1444" s="35"/>
      <c r="I1444" s="35">
        <f t="shared" si="74"/>
        <v>0</v>
      </c>
      <c r="J1444" s="35"/>
      <c r="K1444" s="35">
        <v>0</v>
      </c>
      <c r="L1444" s="36">
        <f t="shared" si="75"/>
        <v>4</v>
      </c>
    </row>
    <row r="1445" spans="1:12" x14ac:dyDescent="0.25">
      <c r="A1445" s="21" t="s">
        <v>1136</v>
      </c>
      <c r="B1445" s="30" t="s">
        <v>1136</v>
      </c>
      <c r="C1445" s="21" t="s">
        <v>1151</v>
      </c>
      <c r="D1445" s="21" t="s">
        <v>67</v>
      </c>
      <c r="E1445" s="21" t="s">
        <v>93</v>
      </c>
      <c r="F1445" s="31">
        <v>3</v>
      </c>
      <c r="G1445" s="31">
        <v>4</v>
      </c>
      <c r="H1445" s="32"/>
      <c r="I1445" s="32">
        <f t="shared" si="74"/>
        <v>0</v>
      </c>
      <c r="J1445" s="32"/>
      <c r="K1445" s="32">
        <v>0</v>
      </c>
      <c r="L1445" s="33">
        <f t="shared" si="75"/>
        <v>4</v>
      </c>
    </row>
    <row r="1446" spans="1:12" x14ac:dyDescent="0.25">
      <c r="A1446" s="15" t="s">
        <v>1136</v>
      </c>
      <c r="B1446" s="14" t="s">
        <v>1136</v>
      </c>
      <c r="C1446" s="15" t="s">
        <v>1152</v>
      </c>
      <c r="D1446" s="15" t="s">
        <v>65</v>
      </c>
      <c r="E1446" s="15" t="s">
        <v>82</v>
      </c>
      <c r="F1446" s="34">
        <v>3</v>
      </c>
      <c r="G1446" s="34">
        <v>4</v>
      </c>
      <c r="H1446" s="35"/>
      <c r="I1446" s="35">
        <f t="shared" si="74"/>
        <v>0</v>
      </c>
      <c r="J1446" s="35"/>
      <c r="K1446" s="35">
        <v>0</v>
      </c>
      <c r="L1446" s="36">
        <f t="shared" si="75"/>
        <v>4</v>
      </c>
    </row>
    <row r="1447" spans="1:12" x14ac:dyDescent="0.25">
      <c r="A1447" s="21" t="s">
        <v>1136</v>
      </c>
      <c r="B1447" s="30" t="s">
        <v>1136</v>
      </c>
      <c r="C1447" s="21" t="s">
        <v>1153</v>
      </c>
      <c r="D1447" s="21" t="s">
        <v>67</v>
      </c>
      <c r="E1447" s="21" t="s">
        <v>93</v>
      </c>
      <c r="F1447" s="31">
        <v>3</v>
      </c>
      <c r="G1447" s="31">
        <v>4</v>
      </c>
      <c r="H1447" s="32"/>
      <c r="I1447" s="32">
        <f t="shared" si="74"/>
        <v>0</v>
      </c>
      <c r="J1447" s="32"/>
      <c r="K1447" s="32">
        <v>0</v>
      </c>
      <c r="L1447" s="33">
        <f t="shared" si="75"/>
        <v>4</v>
      </c>
    </row>
    <row r="1448" spans="1:12" x14ac:dyDescent="0.25">
      <c r="A1448" s="15" t="s">
        <v>1136</v>
      </c>
      <c r="B1448" s="14" t="s">
        <v>1136</v>
      </c>
      <c r="C1448" s="15" t="s">
        <v>1154</v>
      </c>
      <c r="D1448" s="15" t="s">
        <v>65</v>
      </c>
      <c r="E1448" s="15" t="s">
        <v>82</v>
      </c>
      <c r="F1448" s="34">
        <v>3</v>
      </c>
      <c r="G1448" s="34">
        <v>4</v>
      </c>
      <c r="H1448" s="35"/>
      <c r="I1448" s="35">
        <f t="shared" si="74"/>
        <v>0</v>
      </c>
      <c r="J1448" s="35"/>
      <c r="K1448" s="35">
        <v>0</v>
      </c>
      <c r="L1448" s="36">
        <f t="shared" si="75"/>
        <v>4</v>
      </c>
    </row>
    <row r="1449" spans="1:12" x14ac:dyDescent="0.25">
      <c r="A1449" s="21" t="s">
        <v>1136</v>
      </c>
      <c r="B1449" s="30" t="s">
        <v>1136</v>
      </c>
      <c r="C1449" s="21" t="s">
        <v>1149</v>
      </c>
      <c r="D1449" s="21" t="s">
        <v>69</v>
      </c>
      <c r="E1449" s="21" t="s">
        <v>90</v>
      </c>
      <c r="F1449" s="21"/>
      <c r="G1449" s="21"/>
      <c r="H1449" s="32"/>
      <c r="I1449" s="32">
        <f t="shared" si="74"/>
        <v>0</v>
      </c>
      <c r="J1449" s="32"/>
      <c r="K1449" s="32">
        <v>0</v>
      </c>
      <c r="L1449" s="33">
        <f t="shared" si="75"/>
        <v>0</v>
      </c>
    </row>
    <row r="1450" spans="1:12" x14ac:dyDescent="0.25">
      <c r="A1450" s="58" t="s">
        <v>1158</v>
      </c>
      <c r="B1450" s="58"/>
      <c r="C1450" s="58"/>
      <c r="D1450" s="58"/>
      <c r="E1450" s="58"/>
      <c r="F1450" s="58"/>
      <c r="G1450" s="58"/>
      <c r="H1450" s="58"/>
      <c r="I1450" s="58"/>
      <c r="J1450" s="58"/>
      <c r="K1450" s="58"/>
      <c r="L1450" s="58"/>
    </row>
    <row r="1451" spans="1:12" x14ac:dyDescent="0.25">
      <c r="A1451" s="58" t="s">
        <v>1166</v>
      </c>
      <c r="B1451" s="58"/>
      <c r="C1451" s="58"/>
      <c r="D1451" s="58"/>
      <c r="E1451" s="58"/>
      <c r="F1451" s="58"/>
      <c r="G1451" s="58"/>
      <c r="H1451" s="58"/>
      <c r="I1451" s="58"/>
      <c r="J1451" s="58"/>
      <c r="K1451" s="58"/>
      <c r="L1451" s="58"/>
    </row>
    <row r="1452" spans="1:12" x14ac:dyDescent="0.25">
      <c r="A1452" s="58" t="s">
        <v>1174</v>
      </c>
      <c r="B1452" s="58"/>
      <c r="C1452" s="58"/>
      <c r="D1452" s="58"/>
      <c r="E1452" s="58"/>
      <c r="F1452" s="58"/>
      <c r="G1452" s="58"/>
      <c r="H1452" s="58"/>
      <c r="I1452" s="58"/>
      <c r="J1452" s="58"/>
      <c r="K1452" s="58"/>
      <c r="L1452" s="58"/>
    </row>
    <row r="1453" spans="1:12" x14ac:dyDescent="0.25">
      <c r="A1453" s="21" t="s">
        <v>1176</v>
      </c>
      <c r="B1453" s="30" t="s">
        <v>1176</v>
      </c>
      <c r="C1453" s="21" t="s">
        <v>1177</v>
      </c>
      <c r="D1453" s="21" t="s">
        <v>65</v>
      </c>
      <c r="E1453" s="21" t="s">
        <v>82</v>
      </c>
      <c r="F1453" s="31">
        <v>3</v>
      </c>
      <c r="G1453" s="31">
        <v>4</v>
      </c>
      <c r="H1453" s="32"/>
      <c r="I1453" s="32">
        <f t="shared" ref="I1453:I1461" si="76">IF(H1453="",0,G1453)</f>
        <v>0</v>
      </c>
      <c r="J1453" s="32"/>
      <c r="K1453" s="32">
        <v>0</v>
      </c>
      <c r="L1453" s="33">
        <f t="shared" ref="L1453:L1461" si="77">G1453-I1453-K1453</f>
        <v>4</v>
      </c>
    </row>
    <row r="1454" spans="1:12" x14ac:dyDescent="0.25">
      <c r="A1454" s="15" t="s">
        <v>1176</v>
      </c>
      <c r="B1454" s="14" t="s">
        <v>1176</v>
      </c>
      <c r="C1454" s="15" t="s">
        <v>1178</v>
      </c>
      <c r="D1454" s="15" t="s">
        <v>65</v>
      </c>
      <c r="E1454" s="15" t="s">
        <v>82</v>
      </c>
      <c r="F1454" s="34">
        <v>3</v>
      </c>
      <c r="G1454" s="34">
        <v>4</v>
      </c>
      <c r="H1454" s="35"/>
      <c r="I1454" s="35">
        <f t="shared" si="76"/>
        <v>0</v>
      </c>
      <c r="J1454" s="35"/>
      <c r="K1454" s="35">
        <v>0</v>
      </c>
      <c r="L1454" s="36">
        <f t="shared" si="77"/>
        <v>4</v>
      </c>
    </row>
    <row r="1455" spans="1:12" x14ac:dyDescent="0.25">
      <c r="A1455" s="21" t="s">
        <v>1176</v>
      </c>
      <c r="B1455" s="30" t="s">
        <v>1176</v>
      </c>
      <c r="C1455" s="21" t="s">
        <v>1179</v>
      </c>
      <c r="D1455" s="21" t="s">
        <v>65</v>
      </c>
      <c r="E1455" s="21" t="s">
        <v>82</v>
      </c>
      <c r="F1455" s="31">
        <v>1</v>
      </c>
      <c r="G1455" s="31">
        <v>2</v>
      </c>
      <c r="H1455" s="32"/>
      <c r="I1455" s="32">
        <f t="shared" si="76"/>
        <v>0</v>
      </c>
      <c r="J1455" s="32"/>
      <c r="K1455" s="32">
        <v>0</v>
      </c>
      <c r="L1455" s="33">
        <f t="shared" si="77"/>
        <v>2</v>
      </c>
    </row>
    <row r="1456" spans="1:12" x14ac:dyDescent="0.25">
      <c r="A1456" s="15" t="s">
        <v>1176</v>
      </c>
      <c r="B1456" s="14" t="s">
        <v>1176</v>
      </c>
      <c r="C1456" s="15" t="s">
        <v>1180</v>
      </c>
      <c r="D1456" s="15" t="s">
        <v>65</v>
      </c>
      <c r="E1456" s="15" t="s">
        <v>82</v>
      </c>
      <c r="F1456" s="34">
        <v>1</v>
      </c>
      <c r="G1456" s="34">
        <v>2</v>
      </c>
      <c r="H1456" s="35"/>
      <c r="I1456" s="35">
        <f t="shared" si="76"/>
        <v>0</v>
      </c>
      <c r="J1456" s="35"/>
      <c r="K1456" s="35">
        <v>0</v>
      </c>
      <c r="L1456" s="36">
        <f t="shared" si="77"/>
        <v>2</v>
      </c>
    </row>
    <row r="1457" spans="1:12" x14ac:dyDescent="0.25">
      <c r="A1457" s="21" t="s">
        <v>1176</v>
      </c>
      <c r="B1457" s="30" t="s">
        <v>1176</v>
      </c>
      <c r="C1457" s="21" t="s">
        <v>1181</v>
      </c>
      <c r="D1457" s="21" t="s">
        <v>54</v>
      </c>
      <c r="E1457" s="21" t="s">
        <v>84</v>
      </c>
      <c r="F1457" s="21"/>
      <c r="G1457" s="21"/>
      <c r="H1457" s="32"/>
      <c r="I1457" s="32">
        <f t="shared" si="76"/>
        <v>0</v>
      </c>
      <c r="J1457" s="32"/>
      <c r="K1457" s="32">
        <v>0</v>
      </c>
      <c r="L1457" s="33">
        <f t="shared" si="77"/>
        <v>0</v>
      </c>
    </row>
    <row r="1458" spans="1:12" x14ac:dyDescent="0.25">
      <c r="A1458" s="15" t="s">
        <v>1176</v>
      </c>
      <c r="B1458" s="14" t="s">
        <v>1176</v>
      </c>
      <c r="C1458" s="15" t="s">
        <v>1182</v>
      </c>
      <c r="D1458" s="15" t="s">
        <v>67</v>
      </c>
      <c r="E1458" s="15" t="s">
        <v>93</v>
      </c>
      <c r="F1458" s="34">
        <v>2</v>
      </c>
      <c r="G1458" s="34">
        <v>3</v>
      </c>
      <c r="H1458" s="35"/>
      <c r="I1458" s="35">
        <f t="shared" si="76"/>
        <v>0</v>
      </c>
      <c r="J1458" s="35"/>
      <c r="K1458" s="35">
        <v>0</v>
      </c>
      <c r="L1458" s="36">
        <f t="shared" si="77"/>
        <v>3</v>
      </c>
    </row>
    <row r="1459" spans="1:12" x14ac:dyDescent="0.25">
      <c r="A1459" s="21" t="s">
        <v>1176</v>
      </c>
      <c r="B1459" s="30" t="s">
        <v>1176</v>
      </c>
      <c r="C1459" s="21" t="s">
        <v>1183</v>
      </c>
      <c r="D1459" s="21" t="s">
        <v>67</v>
      </c>
      <c r="E1459" s="21" t="s">
        <v>93</v>
      </c>
      <c r="F1459" s="31">
        <v>1</v>
      </c>
      <c r="G1459" s="31">
        <v>2</v>
      </c>
      <c r="H1459" s="32"/>
      <c r="I1459" s="32">
        <f t="shared" si="76"/>
        <v>0</v>
      </c>
      <c r="J1459" s="32"/>
      <c r="K1459" s="32">
        <v>0</v>
      </c>
      <c r="L1459" s="33">
        <f t="shared" si="77"/>
        <v>2</v>
      </c>
    </row>
    <row r="1460" spans="1:12" x14ac:dyDescent="0.25">
      <c r="A1460" s="15" t="s">
        <v>1176</v>
      </c>
      <c r="B1460" s="14" t="s">
        <v>1176</v>
      </c>
      <c r="C1460" s="15" t="s">
        <v>1184</v>
      </c>
      <c r="D1460" s="15" t="s">
        <v>67</v>
      </c>
      <c r="E1460" s="15" t="s">
        <v>93</v>
      </c>
      <c r="F1460" s="34">
        <v>2</v>
      </c>
      <c r="G1460" s="34">
        <v>3</v>
      </c>
      <c r="H1460" s="35"/>
      <c r="I1460" s="35">
        <f t="shared" si="76"/>
        <v>0</v>
      </c>
      <c r="J1460" s="35"/>
      <c r="K1460" s="35">
        <v>0</v>
      </c>
      <c r="L1460" s="36">
        <f t="shared" si="77"/>
        <v>3</v>
      </c>
    </row>
    <row r="1461" spans="1:12" x14ac:dyDescent="0.25">
      <c r="A1461" s="21" t="s">
        <v>1176</v>
      </c>
      <c r="B1461" s="30" t="s">
        <v>1176</v>
      </c>
      <c r="C1461" s="21" t="s">
        <v>1185</v>
      </c>
      <c r="D1461" s="21" t="s">
        <v>67</v>
      </c>
      <c r="E1461" s="21" t="s">
        <v>93</v>
      </c>
      <c r="F1461" s="31">
        <v>3</v>
      </c>
      <c r="G1461" s="31">
        <v>5</v>
      </c>
      <c r="H1461" s="32"/>
      <c r="I1461" s="32">
        <f t="shared" si="76"/>
        <v>0</v>
      </c>
      <c r="J1461" s="32"/>
      <c r="K1461" s="32">
        <v>0</v>
      </c>
      <c r="L1461" s="33">
        <f t="shared" si="77"/>
        <v>5</v>
      </c>
    </row>
  </sheetData>
  <autoFilter ref="A1:L1461" xr:uid="{00000000-0009-0000-0000-000008000000}"/>
  <mergeCells count="13">
    <mergeCell ref="A1450:L1450"/>
    <mergeCell ref="A1451:L1451"/>
    <mergeCell ref="A1452:L1452"/>
    <mergeCell ref="A1060:L1060"/>
    <mergeCell ref="A1134:L1134"/>
    <mergeCell ref="A1249:L1249"/>
    <mergeCell ref="A1395:L1395"/>
    <mergeCell ref="A1405:L1405"/>
    <mergeCell ref="A2:L2"/>
    <mergeCell ref="A159:L159"/>
    <mergeCell ref="A571:L571"/>
    <mergeCell ref="A894:L894"/>
    <mergeCell ref="A976:L976"/>
  </mergeCells>
  <conditionalFormatting sqref="L2:L1461">
    <cfRule type="expression" dxfId="0" priority="1">
      <formula>AND(L2&gt;0,H2&lt;&gt;"")</formula>
    </cfRule>
  </conditionalFormatting>
  <dataValidations count="5">
    <dataValidation type="list" allowBlank="1" showInputMessage="1" showErrorMessage="1" error="Select staff from Design department" sqref="J1430 H1430 J1417 H1417 J1415 H1415 J1316:J1317 H1316:H1317 J1296 H1296 J1292 H1292 J1285 H1285 J1245 H1245 J1238 H1238 J1235:J1236 H1235:H1236 J1201:J1224 H1201:H1224 J1193:J1194 H1193:H1194 J1190 H1190 J1186 H1186 J1170 H1170 J1168 H1168 J1162 H1162 J1155:J1156 H1155:H1156 J1149:J1150 H1149:H1150 J1143:J1144 H1143:H1144 J1140:J1141 H1140:H1141 J1135 H1135 J1132 H1132 J1130 H1130 J1127 H1127 J1110 H1110 J1103 H1103 J1061:J1062 H1061:H1062 J1038 H1038 J1019 H1019 J1000 H1000 J994 H994 J991 H991 J986 H986 J983 H983 J977 H977 J936 H936 J911 H911 J909 H909 J900 H900 J898 H898 J895 H895 J890:J892 H890:H892 J867 H867 J857 H857 J839 H839 J832 H832 J830 H830 J823 H823 J813:J815 H813:H815 J795 H795 J793 H793 J779 H779 J773 H773 J770:J771 H770:H771 J767 H767 J740 H740 J730 H730 J719 H719 J705 H705 J692 H692 J680 H680 J669:J670 H669:H670 J658:J660 H658:H660 J647:J648 H647:H648 J636:J637 H636:H637 J624:J625 H624:H625 J612:J613 H612:H613 J608:J609 H608:H609 J582 H582 J572:J574 H572:H574 J562 H562 J552:J553 H552:H553 J545:J548 H545:H548 J536:J537 H536:H537 J529:J530 H529:H530 J515:J516 H515:H516 J507:J508 H507:H508 J484:J485 H484:H485 J476:J477 H476:H477 J468:J469 H468:H469 J460:J461 H460:H461 J452:J453 H452:H453 J443:J444 H443:H444 J430:J431 H430:H431 J421 H421 J416:J417 H416:H417 J407 H407 J397:J398 H397:H398 J386:J388 H386:H388 J380:J383 H380:H383 J332 H332 J292 H292 J283 H283 J273 H273 J265 H265 J248 H248 J245:J246 H245:H246 J241:J242 H241:H242 J239 H239 J221 H221 J201:J202 H201:H202 J189 H189 J184 H184 J175:J176 H175:H176 J172 H172 J166 H166 J162 H162 J160 H160 J137 H137 J127:J128 H127:H128 J116:J117 H116:H117 J109 H109 J99 H99 J91 H91 J82 H82 J79 H79 J74 H74 J70 H70 J67:J68 H67:H68 J63 H63 J59 H59 J55 H55 J38 H38 J35 H35 J33 H33 J28 H28 J20 H20 J12:J13 H12:H13 J9 H9 J7 H7 H3:H4 J3:J4" xr:uid="{00000000-0002-0000-0800-000000000000}">
      <formula1>Design_Staff</formula1>
    </dataValidation>
    <dataValidation type="list" allowBlank="1" showInputMessage="1" showErrorMessage="1" error="Select staff from Engineering department" sqref="H5 J1458:J1461 H1458:H1461 J1453:J1456 H1453:H1456 J1431:J1448 H1431:H1448 J1418:J1428 H1418:H1428 J1416 H1416 J1406:J1414 H1406:H1414 J1379:J1394 H1379:H1394 J1363:J1373 H1363:H1373 J1356 H1356 J1329:J1354 H1329:H1354 J1325:J1327 H1325:H1327 J1322:J1323 H1322:H1323 J1320 H1320 J1318 H1318 J1315 H1315 J1310 H1310 J1308 H1308 J1298:J1301 H1298:H1301 J1295 H1295 J1286 H1286 J1281:J1284 H1281:H1284 J1250:J1277 H1250:H1277 J1246:J1247 H1246:H1247 J1240:J1243 H1240:H1243 J1237 H1237 J1225:J1233 H1225:H1233 J1197 H1197 J1195 H1195 J1187:J1189 H1187:H1189 J1183 H1183 J1173:J1180 H1173:H1180 J1169 H1169 J1165 H1165 J1160 H1160 J1158 H1158 J1147 H1147 J1145 H1145 J1111:J1125 H1111:H1125 J1107 H1107 J1101 H1101 J1085:J1099 H1085:H1099 J1083 H1083 J1080 H1080 J1070 H1070 J1046:J1047 H1046:H1047 J1043:J1044 H1043:H1044 J1022:J1036 H1022:H1036 J1020 H1020 J1007:J1018 H1007:H1018 J1005 H1005 J992 H992 J960:J974 H960:H974 J958 H958 J952 H952 J916:J929 H916:H929 J902:J903 H902:H903 J885:J888 H885:H888 J878:J883 H878:H883 J876 H876 J870:J874 H870:H874 J868 H868 J858:J864 H858:H864 J856 H856 J854 H854 J849:J852 H849:H852 J840:J843 H840:H843 J833 H833 J825:J826 H825:H826 J819 H819 J803:J812 H803:H812 J792 H792 J780:J790 H780:H790 J768:J769 H768:H769 J750:J751 H750:H751 J736:J737 H736:H737 J726:J727 H726:H727 J715:J716 H715:H716 J701:J702 H701:H702 J688:J689 H688:H689 J676 H676 J654 H654 J643 H643 J631 H631 J619 H619 J592:J607 H592:H607 J587:J588 H587:H588 J578 H578 J448:J449 H448:H449 J445 H445 J435 H435 J422 H422 J418:J419 H418:H419 J408:J415 H408:H415 J402 H402 J389 H389 J384 H384 J339:J378 H339:H378 J333:J337 H333:H337 J321:J327 H321:H327 J319 H319 J314:J317 H314:H317 J311 H311 J305:J309 H305:H309 J303 H303 J296:J301 H296:H301 J294 H294 J290 H290 J288 H288 J286 H286 J282 H282 J280 H280 J278 H278 J276 H276 J264 H264 J262 H262 J256:J257 H256:H257 J247 H247 J238 H238 J232 H232 J223:J228 H223:H228 J215:J220 H215:H220 J204:J208 H204:H208 J194:J197 H194:H197 J191 H191 J178:J179 H178:H179 J168 H168 J143 H143 J138:J139 H138:H139 J134 H134 J129 H129 J108 H108 J101 H101 J84 H84 J39:J54 H39:H54 J34 H34 J21:J27 H21:H27 J14:J18 H14:H18 J8 H8 J5" xr:uid="{00000000-0002-0000-0800-000004000000}">
      <formula1>Engineering_Staff</formula1>
    </dataValidation>
    <dataValidation type="list" allowBlank="1" showInputMessage="1" showErrorMessage="1" error="Select staff from Art department" sqref="H6 J1457 H1457 J1396:J1404 H1396:H1404 J1378 H1378 J1376 H1376 J1374 H1374 J1362 H1362 J1359:J1360 H1359:H1360 J1355 H1355 J1324 H1324 J1319 H1319 J1312:J1314 H1312:H1314 J1309 H1309 J1302:J1307 H1302:H1307 J1293:J1294 H1293:H1294 J1287:J1291 H1287:H1291 J1278:J1280 H1278:H1280 J1199:J1200 H1199:H1200 J1192 H1192 J1184 H1184 J1181 H1181 J1171:J1172 H1171:H1172 J1166 H1166 J1163:J1164 H1163:H1164 J1159 H1159 J1152:J1154 H1152:H1154 J1146 H1146 J1137:J1139 H1137:H1139 J1126 H1126 J1104:J1106 H1104:H1106 J1100 H1100 J1081:J1082 H1081:H1082 J1071:J1079 H1071:H1079 J1063:J1069 H1063:H1069 J1059 H1059 J1057 H1057 J1055 H1055 J1048:J1053 H1048:H1053 J1039:J1042 H1039:H1042 J1001:J1004 H1001:H1004 J995:J998 H995:H998 J987:J990 H987:H990 J984:J985 H984:H985 J978:J981 H978:H981 J953:J957 H953:H957 J941:J951 H941:H951 J937:J939 H937:H939 J935 H935 J933 H933 J930:J931 H930:H931 J912:J914 H912:H914 J910 H910 J907 H907 J901 H901 J899 H899 J896 H896 J889 H889 J884 H884 J875 H875 J865 H865 J853 H853 J847 H847 J844:J845 H844:H845 J837 H837 J834:J835 H834:H835 J831 H831 J827 H827 J824 H824 J820 H820 J816:J818 H816:H818 J801:J802 H801:H802 J796:J798 H796:H798 J794 H794 J791 H791 J774:J776 H774:H776 J772 H772 J754:J766 H754:H766 J752 H752 J741:J749 H741:H749 J738 H738 J731:J735 H731:H735 J728 H728 J720:J725 H720:H725 J717 H717 J706:J714 H706:H714 J703 H703 J693:J700 H693:H700 J690 H690 J681:J687 H681:H687 J677 H677 J671:J675 H671:H675 J661:J666 H661:H666 J655 H655 J649:J653 H649:H653 J644 H644 J638:J642 H638:H642 J635 H635 J632 H632 J626:J630 H626:H630 J623 H623 J620 H620 J614:J618 H614:H618 J610:J611 H610:H611 J589:J590 H589:H590 J583:J586 H583:H586 J579:J580 H579:H580 J575:J577 H575:H577 J568:J570 H568:H570 J563:J566 H563:H566 J559:J561 H559:H561 J554:J557 H554:H557 J549:J551 H549:H551 J544 H544 J538:J541 H538:H541 J531:J533 H531:H533 J523:J528 H523:H528 J517:J520 H517:H520 J509:J512 H509:H512 J492:J506 H492:H506 J486:J489 H486:H489 J478:J481 H478:H481 J470:J473 H470:H473 J462:J465 H462:H465 J454:J457 H454:H457 J450:J451 H450:H451 J446:J447 H446:H447 J440:J442 H440:H442 J437:J438 H437:H438 J432:J434 H432:H434 J423:J429 H423:H429 J404:J405 H404:H405 J399:J401 H399:H401 J390:J396 H390:H396 J329:J331 H329:H331 J320 H320 J312:J313 H312:H313 J304 H304 J295 H295 J293 H293 J289 H289 J284:J285 H284:H285 J277 H277 J275 H275 J271:J272 H271:H272 J266:J268 H266:H268 J258:J260 H258:H260 J254:J255 H254:H255 J249:J251 H249:H251 J235:J236 H235:H236 J233 H233 J230:J231 H230:H231 J213:J214 H213:H214 J209:J210 H209:H210 J203 H203 J198 H198 J192:J193 H192:H193 J190 H190 J185:J187 H185:H187 J180:J181 H180:H181 J177 H177 J169:J171 H169:H171 J167 H167 J163:J164 H163:H164 J161 H161 J152:J158 H152:H158 J144:J149 H144:H149 J140:J142 H140:H142 J130:J132 H130:H132 J118:J126 H118:H126 J110:J113 H110:H113 J102:J106 H102:H106 J100 H100 J97 H97 J92:J95 H92:H95 J85:J89 H85:H89 J83 H83 J78 H78 J75:J76 H75:H76 J71:J72 H71:H72 J64:J66 H64:H66 J60:J61 H60:H61 J58 H58 J56 H56 J36 H36 J29 H29 J19 H19 J10 H10 J6" xr:uid="{00000000-0002-0000-0800-000006000000}">
      <formula1>Art_Staff</formula1>
    </dataValidation>
    <dataValidation type="list" allowBlank="1" showInputMessage="1" showErrorMessage="1" error="Select staff from QA department" sqref="H11 J1449 H1449 J1429 H1429 J1377 H1377 J1358 H1358 J1328 H1328 J1321 H1321 J1311 H1311 J1297 H1297 J1248 H1248 J1244 H1244 J1239 H1239 J1234 H1234 J1198 H1198 J1196 H1196 J1185 H1185 J1167 H1167 J1161 H1161 J1157 H1157 J1151 H1151 J1148 H1148 J1142 H1142 J1136 H1136 J1133 H1133 J1131 H1131 J1129 H1129 J1109 H1109 J1102 H1102 J1084 H1084 J1058 H1058 J1056 H1056 J1054 H1054 J1045 H1045 J1037 H1037 J1021 H1021 J1006 H1006 J999 H999 J993 H993 J982 H982 J975 H975 J959 H959 J940 H940 J934 H934 J915 H915 J908 H908 J893 H893 J877 H877 J869 H869 J855 H855 J848 H848 J838 H838 J828 H828 J821 H821 J800 H800 J778 H778 J753 H753 J739 H739 J729 H729 J718 H718 J704 H704 J691 H691 J679 H679 J668 H668 J657 H657 J646 H646 J634 H634 J622 H622 J591 H591 J581 H581 J567 H567 J558 H558 J543 H543 J535 H535 J522 H522 J514 H514 J491 H491 J483 H483 J475 H475 J467 H467 J459 H459 J439 H439 J420 H420 J406 H406 J385 H385 J379 H379 J338 H338 J328 H328 J318 H318 J310 H310 J302 H302 J291 H291 J287 H287 J281 H281 J279 H279 J270 H270 J263 H263 J261 H261 J253 H253 J244 H244 J237 H237 J229 H229 J222 H222 J212 H212 J200 H200 J188 H188 J183 H183 J174 H174 J165 H165 J150:J151 H150:H151 J135:J136 H135:H136 J115 H115 J107 H107 J98 H98 J90 H90 J77 H77 J69 H69 J57 H57 J37 H37 J30 H30 J11" xr:uid="{00000000-0002-0000-0800-000010000000}">
      <formula1>QA_Staff</formula1>
    </dataValidation>
    <dataValidation type="list" allowBlank="1" showInputMessage="1" showErrorMessage="1" error="Select staff from Audio department" sqref="J1375 H1375 J1361 H1361 J1357 H1357 J1191 H1191 J1182 H1182 J1128 H1128 J1108 H1108 J932 H932 J904:J906 H904:H906 J897 H897 J866 H866 J846 H846 J836 H836 J829 H829 J822 H822 J799 H799 J777 H777 J678 H678 J667 H667 J656 H656 J645 H645 J633 H633 J621 H621 J542 H542 J534 H534 J521 H521 J513 H513 J490 H490 J482 H482 J474 H474 J466 H466 J458 H458 J436 H436 J403 H403 J274 H274 J269 H269 J252 H252 J243 H243 J240 H240 J234 H234 J211 H211 J199 H199 J182 H182 J173 H173 J133 H133 J114 H114 J96 H96 J80:J81 H80:H81 J73 H73 J62 H62 H31:H32 J31:J32" xr:uid="{00000000-0002-0000-0800-000038000000}">
      <formula1>Audio_Staff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7"/>
  <sheetViews>
    <sheetView zoomScale="160" zoomScaleNormal="160" workbookViewId="0">
      <pane xSplit="1" ySplit="1" topLeftCell="B2" activePane="bottomRight" state="frozen"/>
      <selection pane="topRight" activeCell="B1" sqref="B1"/>
      <selection pane="bottomLeft" activeCell="A2" sqref="A2"/>
      <selection pane="bottomRight" activeCell="I2" sqref="I2"/>
    </sheetView>
  </sheetViews>
  <sheetFormatPr defaultRowHeight="15" x14ac:dyDescent="0.25"/>
  <cols>
    <col min="1" max="2" width="22.7109375" customWidth="1"/>
    <col min="3" max="7" width="14.7109375" customWidth="1"/>
    <col min="8" max="8" width="12.7109375" customWidth="1"/>
    <col min="9" max="9" width="14.7109375" customWidth="1"/>
    <col min="10" max="11" width="12.7109375" customWidth="1"/>
  </cols>
  <sheetData>
    <row r="1" spans="1:11" x14ac:dyDescent="0.25">
      <c r="A1" s="37" t="s">
        <v>1428</v>
      </c>
      <c r="B1" s="37" t="s">
        <v>1192</v>
      </c>
      <c r="C1" s="37" t="s">
        <v>1193</v>
      </c>
      <c r="D1" s="37" t="s">
        <v>1429</v>
      </c>
      <c r="E1" s="37" t="s">
        <v>1424</v>
      </c>
      <c r="F1" s="37" t="s">
        <v>1430</v>
      </c>
      <c r="G1" s="37" t="s">
        <v>1426</v>
      </c>
      <c r="H1" s="37" t="s">
        <v>1431</v>
      </c>
      <c r="I1" s="37" t="s">
        <v>1432</v>
      </c>
      <c r="J1" s="37" t="s">
        <v>1433</v>
      </c>
      <c r="K1" s="37" t="s">
        <v>1434</v>
      </c>
    </row>
    <row r="2" spans="1:11" x14ac:dyDescent="0.25">
      <c r="A2" s="21" t="s">
        <v>1194</v>
      </c>
      <c r="B2" s="21" t="s">
        <v>63</v>
      </c>
      <c r="C2" s="21" t="s">
        <v>1195</v>
      </c>
      <c r="D2" s="38">
        <f>COUNTIF('Resource Planner'!H:H,"Mustafa Sibai")</f>
        <v>0</v>
      </c>
      <c r="E2" s="38">
        <f>SUMPRODUCT(('Resource Planner'!H$2:H$9999="Mustafa Sibai")*'Resource Planner'!I$2:I$9999)</f>
        <v>0</v>
      </c>
      <c r="F2" s="38">
        <f>COUNTIF('Resource Planner'!J:J,"Mustafa Sibai")</f>
        <v>0</v>
      </c>
      <c r="G2" s="38">
        <f>SUMPRODUCT(('Resource Planner'!J$2:J$9999="Mustafa Sibai")*'Resource Planner'!K$2:K$9999)</f>
        <v>0</v>
      </c>
      <c r="H2" s="38">
        <f t="shared" ref="H2:H47" si="0">E2+G2</f>
        <v>0</v>
      </c>
      <c r="I2" s="39">
        <v>0</v>
      </c>
      <c r="J2" s="40">
        <f t="shared" ref="J2:J47" si="1">IF(I2=0,0,H2/I2)</f>
        <v>0</v>
      </c>
      <c r="K2" s="41" t="str">
        <f t="shared" ref="K2:K47" si="2">IF(J2&gt;1,"YES","")</f>
        <v/>
      </c>
    </row>
    <row r="3" spans="1:11" x14ac:dyDescent="0.25">
      <c r="A3" s="21" t="s">
        <v>1196</v>
      </c>
      <c r="B3" s="21" t="s">
        <v>66</v>
      </c>
      <c r="C3" s="21" t="s">
        <v>1195</v>
      </c>
      <c r="D3" s="38">
        <f>COUNTIF('Resource Planner'!H:H,"Daniel Negri")</f>
        <v>0</v>
      </c>
      <c r="E3" s="38">
        <f>SUMPRODUCT(('Resource Planner'!H$2:H$9999="Daniel Negri")*'Resource Planner'!I$2:I$9999)</f>
        <v>0</v>
      </c>
      <c r="F3" s="38">
        <f>COUNTIF('Resource Planner'!J:J,"Daniel Negri")</f>
        <v>0</v>
      </c>
      <c r="G3" s="38">
        <f>SUMPRODUCT(('Resource Planner'!J$2:J$9999="Daniel Negri")*'Resource Planner'!K$2:K$9999)</f>
        <v>0</v>
      </c>
      <c r="H3" s="38">
        <f t="shared" si="0"/>
        <v>0</v>
      </c>
      <c r="I3" s="39">
        <v>0</v>
      </c>
      <c r="J3" s="40">
        <f t="shared" si="1"/>
        <v>0</v>
      </c>
      <c r="K3" s="41" t="str">
        <f t="shared" si="2"/>
        <v/>
      </c>
    </row>
    <row r="4" spans="1:11" x14ac:dyDescent="0.25">
      <c r="A4" s="21" t="s">
        <v>1198</v>
      </c>
      <c r="B4" s="21" t="s">
        <v>66</v>
      </c>
      <c r="C4" s="21" t="s">
        <v>1195</v>
      </c>
      <c r="D4" s="38">
        <f>COUNTIF('Resource Planner'!H:H,"Nikos Gerontakis")</f>
        <v>0</v>
      </c>
      <c r="E4" s="38">
        <f>SUMPRODUCT(('Resource Planner'!H$2:H$9999="Nikos Gerontakis")*'Resource Planner'!I$2:I$9999)</f>
        <v>0</v>
      </c>
      <c r="F4" s="38">
        <f>COUNTIF('Resource Planner'!J:J,"Nikos Gerontakis")</f>
        <v>0</v>
      </c>
      <c r="G4" s="38">
        <f>SUMPRODUCT(('Resource Planner'!J$2:J$9999="Nikos Gerontakis")*'Resource Planner'!K$2:K$9999)</f>
        <v>0</v>
      </c>
      <c r="H4" s="38">
        <f t="shared" si="0"/>
        <v>0</v>
      </c>
      <c r="I4" s="39">
        <v>0</v>
      </c>
      <c r="J4" s="40">
        <f t="shared" si="1"/>
        <v>0</v>
      </c>
      <c r="K4" s="41" t="str">
        <f t="shared" si="2"/>
        <v/>
      </c>
    </row>
    <row r="5" spans="1:11" x14ac:dyDescent="0.25">
      <c r="A5" s="21" t="s">
        <v>1199</v>
      </c>
      <c r="B5" s="21" t="s">
        <v>67</v>
      </c>
      <c r="C5" s="21" t="s">
        <v>1195</v>
      </c>
      <c r="D5" s="38">
        <f>COUNTIF('Resource Planner'!H:H,"Samer Balushi")</f>
        <v>0</v>
      </c>
      <c r="E5" s="38">
        <f>SUMPRODUCT(('Resource Planner'!H$2:H$9999="Samer Balushi")*'Resource Planner'!I$2:I$9999)</f>
        <v>0</v>
      </c>
      <c r="F5" s="38">
        <f>COUNTIF('Resource Planner'!J:J,"Samer Balushi")</f>
        <v>0</v>
      </c>
      <c r="G5" s="38">
        <f>SUMPRODUCT(('Resource Planner'!J$2:J$9999="Samer Balushi")*'Resource Planner'!K$2:K$9999)</f>
        <v>0</v>
      </c>
      <c r="H5" s="38">
        <f t="shared" si="0"/>
        <v>0</v>
      </c>
      <c r="I5" s="39">
        <v>0</v>
      </c>
      <c r="J5" s="40">
        <f t="shared" si="1"/>
        <v>0</v>
      </c>
      <c r="K5" s="41" t="str">
        <f t="shared" si="2"/>
        <v/>
      </c>
    </row>
    <row r="6" spans="1:11" x14ac:dyDescent="0.25">
      <c r="A6" s="21" t="s">
        <v>1200</v>
      </c>
      <c r="B6" s="21" t="s">
        <v>65</v>
      </c>
      <c r="C6" s="21" t="s">
        <v>1195</v>
      </c>
      <c r="D6" s="38">
        <f>COUNTIF('Resource Planner'!H:H,"Raynor D'Souza")</f>
        <v>0</v>
      </c>
      <c r="E6" s="38">
        <f>SUMPRODUCT(('Resource Planner'!H$2:H$9999="Raynor D'Souza")*'Resource Planner'!I$2:I$9999)</f>
        <v>0</v>
      </c>
      <c r="F6" s="38">
        <f>COUNTIF('Resource Planner'!J:J,"Raynor D'Souza")</f>
        <v>0</v>
      </c>
      <c r="G6" s="38">
        <f>SUMPRODUCT(('Resource Planner'!J$2:J$9999="Raynor D'Souza")*'Resource Planner'!K$2:K$9999)</f>
        <v>0</v>
      </c>
      <c r="H6" s="38">
        <f t="shared" si="0"/>
        <v>0</v>
      </c>
      <c r="I6" s="39">
        <v>0</v>
      </c>
      <c r="J6" s="40">
        <f t="shared" si="1"/>
        <v>0</v>
      </c>
      <c r="K6" s="41" t="str">
        <f t="shared" si="2"/>
        <v/>
      </c>
    </row>
    <row r="7" spans="1:11" x14ac:dyDescent="0.25">
      <c r="A7" s="21" t="s">
        <v>1202</v>
      </c>
      <c r="B7" s="21" t="s">
        <v>65</v>
      </c>
      <c r="C7" s="21" t="s">
        <v>1195</v>
      </c>
      <c r="D7" s="38">
        <f>COUNTIF('Resource Planner'!H:H,"Ilya Achmetov")</f>
        <v>0</v>
      </c>
      <c r="E7" s="38">
        <f>SUMPRODUCT(('Resource Planner'!H$2:H$9999="Ilya Achmetov")*'Resource Planner'!I$2:I$9999)</f>
        <v>0</v>
      </c>
      <c r="F7" s="38">
        <f>COUNTIF('Resource Planner'!J:J,"Ilya Achmetov")</f>
        <v>0</v>
      </c>
      <c r="G7" s="38">
        <f>SUMPRODUCT(('Resource Planner'!J$2:J$9999="Ilya Achmetov")*'Resource Planner'!K$2:K$9999)</f>
        <v>0</v>
      </c>
      <c r="H7" s="38">
        <f t="shared" si="0"/>
        <v>0</v>
      </c>
      <c r="I7" s="39">
        <v>0</v>
      </c>
      <c r="J7" s="40">
        <f t="shared" si="1"/>
        <v>0</v>
      </c>
      <c r="K7" s="41" t="str">
        <f t="shared" si="2"/>
        <v/>
      </c>
    </row>
    <row r="8" spans="1:11" x14ac:dyDescent="0.25">
      <c r="A8" s="21" t="s">
        <v>1203</v>
      </c>
      <c r="B8" s="21" t="s">
        <v>65</v>
      </c>
      <c r="C8" s="21" t="s">
        <v>1195</v>
      </c>
      <c r="D8" s="38">
        <f>COUNTIF('Resource Planner'!H:H,"Leon Huang")</f>
        <v>0</v>
      </c>
      <c r="E8" s="38">
        <f>SUMPRODUCT(('Resource Planner'!H$2:H$9999="Leon Huang")*'Resource Planner'!I$2:I$9999)</f>
        <v>0</v>
      </c>
      <c r="F8" s="38">
        <f>COUNTIF('Resource Planner'!J:J,"Leon Huang")</f>
        <v>0</v>
      </c>
      <c r="G8" s="38">
        <f>SUMPRODUCT(('Resource Planner'!J$2:J$9999="Leon Huang")*'Resource Planner'!K$2:K$9999)</f>
        <v>0</v>
      </c>
      <c r="H8" s="38">
        <f t="shared" si="0"/>
        <v>0</v>
      </c>
      <c r="I8" s="39">
        <v>0</v>
      </c>
      <c r="J8" s="40">
        <f t="shared" si="1"/>
        <v>0</v>
      </c>
      <c r="K8" s="41" t="str">
        <f t="shared" si="2"/>
        <v/>
      </c>
    </row>
    <row r="9" spans="1:11" x14ac:dyDescent="0.25">
      <c r="A9" s="21" t="s">
        <v>1204</v>
      </c>
      <c r="B9" s="21" t="s">
        <v>65</v>
      </c>
      <c r="C9" s="21" t="s">
        <v>1195</v>
      </c>
      <c r="D9" s="38">
        <f>COUNTIF('Resource Planner'!H:H,"Ignasi Ezpeleta")</f>
        <v>0</v>
      </c>
      <c r="E9" s="38">
        <f>SUMPRODUCT(('Resource Planner'!H$2:H$9999="Ignasi Ezpeleta")*'Resource Planner'!I$2:I$9999)</f>
        <v>0</v>
      </c>
      <c r="F9" s="38">
        <f>COUNTIF('Resource Planner'!J:J,"Ignasi Ezpeleta")</f>
        <v>0</v>
      </c>
      <c r="G9" s="38">
        <f>SUMPRODUCT(('Resource Planner'!J$2:J$9999="Ignasi Ezpeleta")*'Resource Planner'!K$2:K$9999)</f>
        <v>0</v>
      </c>
      <c r="H9" s="38">
        <f t="shared" si="0"/>
        <v>0</v>
      </c>
      <c r="I9" s="39">
        <v>0</v>
      </c>
      <c r="J9" s="40">
        <f t="shared" si="1"/>
        <v>0</v>
      </c>
      <c r="K9" s="41" t="str">
        <f t="shared" si="2"/>
        <v/>
      </c>
    </row>
    <row r="10" spans="1:11" x14ac:dyDescent="0.25">
      <c r="A10" s="21" t="s">
        <v>1205</v>
      </c>
      <c r="B10" s="21" t="s">
        <v>65</v>
      </c>
      <c r="C10" s="21" t="s">
        <v>1195</v>
      </c>
      <c r="D10" s="38">
        <f>COUNTIF('Resource Planner'!H:H,"Roberto")</f>
        <v>0</v>
      </c>
      <c r="E10" s="38">
        <f>SUMPRODUCT(('Resource Planner'!H$2:H$9999="Roberto")*'Resource Planner'!I$2:I$9999)</f>
        <v>0</v>
      </c>
      <c r="F10" s="38">
        <f>COUNTIF('Resource Planner'!J:J,"Roberto")</f>
        <v>0</v>
      </c>
      <c r="G10" s="38">
        <f>SUMPRODUCT(('Resource Planner'!J$2:J$9999="Roberto")*'Resource Planner'!K$2:K$9999)</f>
        <v>0</v>
      </c>
      <c r="H10" s="38">
        <f t="shared" si="0"/>
        <v>0</v>
      </c>
      <c r="I10" s="39">
        <v>0</v>
      </c>
      <c r="J10" s="40">
        <f t="shared" si="1"/>
        <v>0</v>
      </c>
      <c r="K10" s="41" t="str">
        <f t="shared" si="2"/>
        <v/>
      </c>
    </row>
    <row r="11" spans="1:11" x14ac:dyDescent="0.25">
      <c r="A11" s="21" t="s">
        <v>1206</v>
      </c>
      <c r="B11" s="21" t="s">
        <v>59</v>
      </c>
      <c r="C11" s="21" t="s">
        <v>1195</v>
      </c>
      <c r="D11" s="38">
        <f>COUNTIF('Resource Planner'!H:H,"Matt")</f>
        <v>0</v>
      </c>
      <c r="E11" s="38">
        <f>SUMPRODUCT(('Resource Planner'!H$2:H$9999="Matt")*'Resource Planner'!I$2:I$9999)</f>
        <v>0</v>
      </c>
      <c r="F11" s="38">
        <f>COUNTIF('Resource Planner'!J:J,"Matt")</f>
        <v>0</v>
      </c>
      <c r="G11" s="38">
        <f>SUMPRODUCT(('Resource Planner'!J$2:J$9999="Matt")*'Resource Planner'!K$2:K$9999)</f>
        <v>0</v>
      </c>
      <c r="H11" s="38">
        <f t="shared" si="0"/>
        <v>0</v>
      </c>
      <c r="I11" s="39">
        <v>0</v>
      </c>
      <c r="J11" s="40">
        <f t="shared" si="1"/>
        <v>0</v>
      </c>
      <c r="K11" s="41" t="str">
        <f t="shared" si="2"/>
        <v/>
      </c>
    </row>
    <row r="12" spans="1:11" x14ac:dyDescent="0.25">
      <c r="A12" s="21" t="s">
        <v>1207</v>
      </c>
      <c r="B12" s="21" t="s">
        <v>52</v>
      </c>
      <c r="C12" s="21" t="s">
        <v>1209</v>
      </c>
      <c r="D12" s="38">
        <f>COUNTIF('Resource Planner'!H:H,"David Luong")</f>
        <v>0</v>
      </c>
      <c r="E12" s="38">
        <f>SUMPRODUCT(('Resource Planner'!H$2:H$9999="David Luong")*'Resource Planner'!I$2:I$9999)</f>
        <v>0</v>
      </c>
      <c r="F12" s="38">
        <f>COUNTIF('Resource Planner'!J:J,"David Luong")</f>
        <v>0</v>
      </c>
      <c r="G12" s="38">
        <f>SUMPRODUCT(('Resource Planner'!J$2:J$9999="David Luong")*'Resource Planner'!K$2:K$9999)</f>
        <v>0</v>
      </c>
      <c r="H12" s="38">
        <f t="shared" si="0"/>
        <v>0</v>
      </c>
      <c r="I12" s="39">
        <v>0</v>
      </c>
      <c r="J12" s="40">
        <f t="shared" si="1"/>
        <v>0</v>
      </c>
      <c r="K12" s="41" t="str">
        <f t="shared" si="2"/>
        <v/>
      </c>
    </row>
    <row r="13" spans="1:11" x14ac:dyDescent="0.25">
      <c r="A13" s="21" t="s">
        <v>1210</v>
      </c>
      <c r="B13" s="21" t="s">
        <v>61</v>
      </c>
      <c r="C13" s="21" t="s">
        <v>1209</v>
      </c>
      <c r="D13" s="38">
        <f>COUNTIF('Resource Planner'!H:H,"Wojciech Szon")</f>
        <v>0</v>
      </c>
      <c r="E13" s="38">
        <f>SUMPRODUCT(('Resource Planner'!H$2:H$9999="Wojciech Szon")*'Resource Planner'!I$2:I$9999)</f>
        <v>0</v>
      </c>
      <c r="F13" s="38">
        <f>COUNTIF('Resource Planner'!J:J,"Wojciech Szon")</f>
        <v>0</v>
      </c>
      <c r="G13" s="38">
        <f>SUMPRODUCT(('Resource Planner'!J$2:J$9999="Wojciech Szon")*'Resource Planner'!K$2:K$9999)</f>
        <v>0</v>
      </c>
      <c r="H13" s="38">
        <f t="shared" si="0"/>
        <v>0</v>
      </c>
      <c r="I13" s="39">
        <v>0</v>
      </c>
      <c r="J13" s="40">
        <f t="shared" si="1"/>
        <v>0</v>
      </c>
      <c r="K13" s="41" t="str">
        <f t="shared" si="2"/>
        <v/>
      </c>
    </row>
    <row r="14" spans="1:11" x14ac:dyDescent="0.25">
      <c r="A14" s="21" t="s">
        <v>1211</v>
      </c>
      <c r="B14" s="21" t="s">
        <v>61</v>
      </c>
      <c r="C14" s="21" t="s">
        <v>1209</v>
      </c>
      <c r="D14" s="38">
        <f>COUNTIF('Resource Planner'!H:H,"Conor McLean")</f>
        <v>0</v>
      </c>
      <c r="E14" s="38">
        <f>SUMPRODUCT(('Resource Planner'!H$2:H$9999="Conor McLean")*'Resource Planner'!I$2:I$9999)</f>
        <v>0</v>
      </c>
      <c r="F14" s="38">
        <f>COUNTIF('Resource Planner'!J:J,"Conor McLean")</f>
        <v>0</v>
      </c>
      <c r="G14" s="38">
        <f>SUMPRODUCT(('Resource Planner'!J$2:J$9999="Conor McLean")*'Resource Planner'!K$2:K$9999)</f>
        <v>0</v>
      </c>
      <c r="H14" s="38">
        <f t="shared" si="0"/>
        <v>0</v>
      </c>
      <c r="I14" s="39">
        <v>0</v>
      </c>
      <c r="J14" s="40">
        <f t="shared" si="1"/>
        <v>0</v>
      </c>
      <c r="K14" s="41" t="str">
        <f t="shared" si="2"/>
        <v/>
      </c>
    </row>
    <row r="15" spans="1:11" x14ac:dyDescent="0.25">
      <c r="A15" s="21" t="s">
        <v>1212</v>
      </c>
      <c r="B15" s="21" t="s">
        <v>61</v>
      </c>
      <c r="C15" s="21" t="s">
        <v>1209</v>
      </c>
      <c r="D15" s="38">
        <f>COUNTIF('Resource Planner'!H:H,"Michail Velissaris")</f>
        <v>0</v>
      </c>
      <c r="E15" s="38">
        <f>SUMPRODUCT(('Resource Planner'!H$2:H$9999="Michail Velissaris")*'Resource Planner'!I$2:I$9999)</f>
        <v>0</v>
      </c>
      <c r="F15" s="38">
        <f>COUNTIF('Resource Planner'!J:J,"Michail Velissaris")</f>
        <v>0</v>
      </c>
      <c r="G15" s="38">
        <f>SUMPRODUCT(('Resource Planner'!J$2:J$9999="Michail Velissaris")*'Resource Planner'!K$2:K$9999)</f>
        <v>0</v>
      </c>
      <c r="H15" s="38">
        <f t="shared" si="0"/>
        <v>0</v>
      </c>
      <c r="I15" s="39">
        <v>0</v>
      </c>
      <c r="J15" s="40">
        <f t="shared" si="1"/>
        <v>0</v>
      </c>
      <c r="K15" s="41" t="str">
        <f t="shared" si="2"/>
        <v/>
      </c>
    </row>
    <row r="16" spans="1:11" x14ac:dyDescent="0.25">
      <c r="A16" s="21" t="s">
        <v>1213</v>
      </c>
      <c r="B16" s="21" t="s">
        <v>62</v>
      </c>
      <c r="C16" s="21" t="s">
        <v>1209</v>
      </c>
      <c r="D16" s="38">
        <f>COUNTIF('Resource Planner'!H:H,"Stefano Vietina")</f>
        <v>0</v>
      </c>
      <c r="E16" s="38">
        <f>SUMPRODUCT(('Resource Planner'!H$2:H$9999="Stefano Vietina")*'Resource Planner'!I$2:I$9999)</f>
        <v>0</v>
      </c>
      <c r="F16" s="38">
        <f>COUNTIF('Resource Planner'!J:J,"Stefano Vietina")</f>
        <v>0</v>
      </c>
      <c r="G16" s="38">
        <f>SUMPRODUCT(('Resource Planner'!J$2:J$9999="Stefano Vietina")*'Resource Planner'!K$2:K$9999)</f>
        <v>0</v>
      </c>
      <c r="H16" s="38">
        <f t="shared" si="0"/>
        <v>0</v>
      </c>
      <c r="I16" s="39">
        <v>0</v>
      </c>
      <c r="J16" s="40">
        <f t="shared" si="1"/>
        <v>0</v>
      </c>
      <c r="K16" s="41" t="str">
        <f t="shared" si="2"/>
        <v/>
      </c>
    </row>
    <row r="17" spans="1:11" x14ac:dyDescent="0.25">
      <c r="A17" s="21" t="s">
        <v>1215</v>
      </c>
      <c r="B17" s="21" t="s">
        <v>62</v>
      </c>
      <c r="C17" s="21" t="s">
        <v>1209</v>
      </c>
      <c r="D17" s="38">
        <f>COUNTIF('Resource Planner'!H:H,"Samuele Piazzi")</f>
        <v>0</v>
      </c>
      <c r="E17" s="38">
        <f>SUMPRODUCT(('Resource Planner'!H$2:H$9999="Samuele Piazzi")*'Resource Planner'!I$2:I$9999)</f>
        <v>0</v>
      </c>
      <c r="F17" s="38">
        <f>COUNTIF('Resource Planner'!J:J,"Samuele Piazzi")</f>
        <v>0</v>
      </c>
      <c r="G17" s="38">
        <f>SUMPRODUCT(('Resource Planner'!J$2:J$9999="Samuele Piazzi")*'Resource Planner'!K$2:K$9999)</f>
        <v>0</v>
      </c>
      <c r="H17" s="38">
        <f t="shared" si="0"/>
        <v>0</v>
      </c>
      <c r="I17" s="39">
        <v>0</v>
      </c>
      <c r="J17" s="40">
        <f t="shared" si="1"/>
        <v>0</v>
      </c>
      <c r="K17" s="41" t="str">
        <f t="shared" si="2"/>
        <v/>
      </c>
    </row>
    <row r="18" spans="1:11" x14ac:dyDescent="0.25">
      <c r="A18" s="21" t="s">
        <v>1216</v>
      </c>
      <c r="B18" s="21" t="s">
        <v>62</v>
      </c>
      <c r="C18" s="21" t="s">
        <v>1209</v>
      </c>
      <c r="D18" s="38">
        <f>COUNTIF('Resource Planner'!H:H,"Andrea Rottini")</f>
        <v>0</v>
      </c>
      <c r="E18" s="38">
        <f>SUMPRODUCT(('Resource Planner'!H$2:H$9999="Andrea Rottini")*'Resource Planner'!I$2:I$9999)</f>
        <v>0</v>
      </c>
      <c r="F18" s="38">
        <f>COUNTIF('Resource Planner'!J:J,"Andrea Rottini")</f>
        <v>0</v>
      </c>
      <c r="G18" s="38">
        <f>SUMPRODUCT(('Resource Planner'!J$2:J$9999="Andrea Rottini")*'Resource Planner'!K$2:K$9999)</f>
        <v>0</v>
      </c>
      <c r="H18" s="38">
        <f t="shared" si="0"/>
        <v>0</v>
      </c>
      <c r="I18" s="39">
        <v>0</v>
      </c>
      <c r="J18" s="40">
        <f t="shared" si="1"/>
        <v>0</v>
      </c>
      <c r="K18" s="41" t="str">
        <f t="shared" si="2"/>
        <v/>
      </c>
    </row>
    <row r="19" spans="1:11" x14ac:dyDescent="0.25">
      <c r="A19" s="21" t="s">
        <v>1217</v>
      </c>
      <c r="B19" s="21" t="s">
        <v>53</v>
      </c>
      <c r="C19" s="21" t="s">
        <v>1209</v>
      </c>
      <c r="D19" s="38">
        <f>COUNTIF('Resource Planner'!H:H,"Niko Gesell")</f>
        <v>0</v>
      </c>
      <c r="E19" s="38">
        <f>SUMPRODUCT(('Resource Planner'!H$2:H$9999="Niko Gesell")*'Resource Planner'!I$2:I$9999)</f>
        <v>0</v>
      </c>
      <c r="F19" s="38">
        <f>COUNTIF('Resource Planner'!J:J,"Niko Gesell")</f>
        <v>0</v>
      </c>
      <c r="G19" s="38">
        <f>SUMPRODUCT(('Resource Planner'!J$2:J$9999="Niko Gesell")*'Resource Planner'!K$2:K$9999)</f>
        <v>0</v>
      </c>
      <c r="H19" s="38">
        <f t="shared" si="0"/>
        <v>0</v>
      </c>
      <c r="I19" s="39">
        <v>0</v>
      </c>
      <c r="J19" s="40">
        <f t="shared" si="1"/>
        <v>0</v>
      </c>
      <c r="K19" s="41" t="str">
        <f t="shared" si="2"/>
        <v/>
      </c>
    </row>
    <row r="20" spans="1:11" x14ac:dyDescent="0.25">
      <c r="A20" s="21" t="s">
        <v>1219</v>
      </c>
      <c r="B20" s="21" t="s">
        <v>53</v>
      </c>
      <c r="C20" s="21" t="s">
        <v>1209</v>
      </c>
      <c r="D20" s="38">
        <f>COUNTIF('Resource Planner'!H:H,"Kerim Turay")</f>
        <v>0</v>
      </c>
      <c r="E20" s="38">
        <f>SUMPRODUCT(('Resource Planner'!H$2:H$9999="Kerim Turay")*'Resource Planner'!I$2:I$9999)</f>
        <v>0</v>
      </c>
      <c r="F20" s="38">
        <f>COUNTIF('Resource Planner'!J:J,"Kerim Turay")</f>
        <v>0</v>
      </c>
      <c r="G20" s="38">
        <f>SUMPRODUCT(('Resource Planner'!J$2:J$9999="Kerim Turay")*'Resource Planner'!K$2:K$9999)</f>
        <v>0</v>
      </c>
      <c r="H20" s="38">
        <f t="shared" si="0"/>
        <v>0</v>
      </c>
      <c r="I20" s="39">
        <v>0</v>
      </c>
      <c r="J20" s="40">
        <f t="shared" si="1"/>
        <v>0</v>
      </c>
      <c r="K20" s="41" t="str">
        <f t="shared" si="2"/>
        <v/>
      </c>
    </row>
    <row r="21" spans="1:11" x14ac:dyDescent="0.25">
      <c r="A21" s="21" t="s">
        <v>1220</v>
      </c>
      <c r="B21" s="21" t="s">
        <v>53</v>
      </c>
      <c r="C21" s="21" t="s">
        <v>1209</v>
      </c>
      <c r="D21" s="38">
        <f>COUNTIF('Resource Planner'!H:H,"Gerard Vicen")</f>
        <v>0</v>
      </c>
      <c r="E21" s="38">
        <f>SUMPRODUCT(('Resource Planner'!H$2:H$9999="Gerard Vicen")*'Resource Planner'!I$2:I$9999)</f>
        <v>0</v>
      </c>
      <c r="F21" s="38">
        <f>COUNTIF('Resource Planner'!J:J,"Gerard Vicen")</f>
        <v>0</v>
      </c>
      <c r="G21" s="38">
        <f>SUMPRODUCT(('Resource Planner'!J$2:J$9999="Gerard Vicen")*'Resource Planner'!K$2:K$9999)</f>
        <v>0</v>
      </c>
      <c r="H21" s="38">
        <f t="shared" si="0"/>
        <v>0</v>
      </c>
      <c r="I21" s="39">
        <v>0</v>
      </c>
      <c r="J21" s="40">
        <f t="shared" si="1"/>
        <v>0</v>
      </c>
      <c r="K21" s="41" t="str">
        <f t="shared" si="2"/>
        <v/>
      </c>
    </row>
    <row r="22" spans="1:11" x14ac:dyDescent="0.25">
      <c r="A22" s="21" t="s">
        <v>1221</v>
      </c>
      <c r="B22" s="21" t="s">
        <v>53</v>
      </c>
      <c r="C22" s="21" t="s">
        <v>1209</v>
      </c>
      <c r="D22" s="38">
        <f>COUNTIF('Resource Planner'!H:H,"Julian Hartinger")</f>
        <v>0</v>
      </c>
      <c r="E22" s="38">
        <f>SUMPRODUCT(('Resource Planner'!H$2:H$9999="Julian Hartinger")*'Resource Planner'!I$2:I$9999)</f>
        <v>0</v>
      </c>
      <c r="F22" s="38">
        <f>COUNTIF('Resource Planner'!J:J,"Julian Hartinger")</f>
        <v>0</v>
      </c>
      <c r="G22" s="38">
        <f>SUMPRODUCT(('Resource Planner'!J$2:J$9999="Julian Hartinger")*'Resource Planner'!K$2:K$9999)</f>
        <v>0</v>
      </c>
      <c r="H22" s="38">
        <f t="shared" si="0"/>
        <v>0</v>
      </c>
      <c r="I22" s="39">
        <v>0</v>
      </c>
      <c r="J22" s="40">
        <f t="shared" si="1"/>
        <v>0</v>
      </c>
      <c r="K22" s="41" t="str">
        <f t="shared" si="2"/>
        <v/>
      </c>
    </row>
    <row r="23" spans="1:11" x14ac:dyDescent="0.25">
      <c r="A23" s="21" t="s">
        <v>1222</v>
      </c>
      <c r="B23" s="21" t="s">
        <v>54</v>
      </c>
      <c r="C23" s="21" t="s">
        <v>1209</v>
      </c>
      <c r="D23" s="38">
        <f>COUNTIF('Resource Planner'!H:H,"Gianluca Perusi")</f>
        <v>0</v>
      </c>
      <c r="E23" s="38">
        <f>SUMPRODUCT(('Resource Planner'!H$2:H$9999="Gianluca Perusi")*'Resource Planner'!I$2:I$9999)</f>
        <v>0</v>
      </c>
      <c r="F23" s="38">
        <f>COUNTIF('Resource Planner'!J:J,"Gianluca Perusi")</f>
        <v>0</v>
      </c>
      <c r="G23" s="38">
        <f>SUMPRODUCT(('Resource Planner'!J$2:J$9999="Gianluca Perusi")*'Resource Planner'!K$2:K$9999)</f>
        <v>0</v>
      </c>
      <c r="H23" s="38">
        <f t="shared" si="0"/>
        <v>0</v>
      </c>
      <c r="I23" s="39">
        <v>0</v>
      </c>
      <c r="J23" s="40">
        <f t="shared" si="1"/>
        <v>0</v>
      </c>
      <c r="K23" s="41" t="str">
        <f t="shared" si="2"/>
        <v/>
      </c>
    </row>
    <row r="24" spans="1:11" x14ac:dyDescent="0.25">
      <c r="A24" s="21" t="s">
        <v>1223</v>
      </c>
      <c r="B24" s="21" t="s">
        <v>55</v>
      </c>
      <c r="C24" s="21" t="s">
        <v>1209</v>
      </c>
      <c r="D24" s="38">
        <f>COUNTIF('Resource Planner'!H:H,"Larisa Logofatu")</f>
        <v>0</v>
      </c>
      <c r="E24" s="38">
        <f>SUMPRODUCT(('Resource Planner'!H$2:H$9999="Larisa Logofatu")*'Resource Planner'!I$2:I$9999)</f>
        <v>0</v>
      </c>
      <c r="F24" s="38">
        <f>COUNTIF('Resource Planner'!J:J,"Larisa Logofatu")</f>
        <v>0</v>
      </c>
      <c r="G24" s="38">
        <f>SUMPRODUCT(('Resource Planner'!J$2:J$9999="Larisa Logofatu")*'Resource Planner'!K$2:K$9999)</f>
        <v>0</v>
      </c>
      <c r="H24" s="38">
        <f t="shared" si="0"/>
        <v>0</v>
      </c>
      <c r="I24" s="39">
        <v>0</v>
      </c>
      <c r="J24" s="40">
        <f t="shared" si="1"/>
        <v>0</v>
      </c>
      <c r="K24" s="41" t="str">
        <f t="shared" si="2"/>
        <v/>
      </c>
    </row>
    <row r="25" spans="1:11" x14ac:dyDescent="0.25">
      <c r="A25" s="21" t="s">
        <v>1224</v>
      </c>
      <c r="B25" s="21" t="s">
        <v>59</v>
      </c>
      <c r="C25" s="21" t="s">
        <v>1209</v>
      </c>
      <c r="D25" s="38">
        <f>COUNTIF('Resource Planner'!H:H,"Alon")</f>
        <v>0</v>
      </c>
      <c r="E25" s="38">
        <f>SUMPRODUCT(('Resource Planner'!H$2:H$9999="Alon")*'Resource Planner'!I$2:I$9999)</f>
        <v>0</v>
      </c>
      <c r="F25" s="38">
        <f>COUNTIF('Resource Planner'!J:J,"Alon")</f>
        <v>0</v>
      </c>
      <c r="G25" s="38">
        <f>SUMPRODUCT(('Resource Planner'!J$2:J$9999="Alon")*'Resource Planner'!K$2:K$9999)</f>
        <v>0</v>
      </c>
      <c r="H25" s="38">
        <f t="shared" si="0"/>
        <v>0</v>
      </c>
      <c r="I25" s="39">
        <v>0</v>
      </c>
      <c r="J25" s="40">
        <f t="shared" si="1"/>
        <v>0</v>
      </c>
      <c r="K25" s="41" t="str">
        <f t="shared" si="2"/>
        <v/>
      </c>
    </row>
    <row r="26" spans="1:11" x14ac:dyDescent="0.25">
      <c r="A26" s="21" t="s">
        <v>1226</v>
      </c>
      <c r="B26" s="21" t="s">
        <v>59</v>
      </c>
      <c r="C26" s="21" t="s">
        <v>1209</v>
      </c>
      <c r="D26" s="38">
        <f>COUNTIF('Resource Planner'!H:H,"Kunjal Asher")</f>
        <v>0</v>
      </c>
      <c r="E26" s="38">
        <f>SUMPRODUCT(('Resource Planner'!H$2:H$9999="Kunjal Asher")*'Resource Planner'!I$2:I$9999)</f>
        <v>0</v>
      </c>
      <c r="F26" s="38">
        <f>COUNTIF('Resource Planner'!J:J,"Kunjal Asher")</f>
        <v>0</v>
      </c>
      <c r="G26" s="38">
        <f>SUMPRODUCT(('Resource Planner'!J$2:J$9999="Kunjal Asher")*'Resource Planner'!K$2:K$9999)</f>
        <v>0</v>
      </c>
      <c r="H26" s="38">
        <f t="shared" si="0"/>
        <v>0</v>
      </c>
      <c r="I26" s="39">
        <v>0</v>
      </c>
      <c r="J26" s="40">
        <f t="shared" si="1"/>
        <v>0</v>
      </c>
      <c r="K26" s="41" t="str">
        <f t="shared" si="2"/>
        <v/>
      </c>
    </row>
    <row r="27" spans="1:11" x14ac:dyDescent="0.25">
      <c r="A27" s="21" t="s">
        <v>1227</v>
      </c>
      <c r="B27" s="21" t="s">
        <v>60</v>
      </c>
      <c r="C27" s="21" t="s">
        <v>1209</v>
      </c>
      <c r="D27" s="38">
        <f>COUNTIF('Resource Planner'!H:H,"Maddalena Morello")</f>
        <v>0</v>
      </c>
      <c r="E27" s="38">
        <f>SUMPRODUCT(('Resource Planner'!H$2:H$9999="Maddalena Morello")*'Resource Planner'!I$2:I$9999)</f>
        <v>0</v>
      </c>
      <c r="F27" s="38">
        <f>COUNTIF('Resource Planner'!J:J,"Maddalena Morello")</f>
        <v>0</v>
      </c>
      <c r="G27" s="38">
        <f>SUMPRODUCT(('Resource Planner'!J$2:J$9999="Maddalena Morello")*'Resource Planner'!K$2:K$9999)</f>
        <v>0</v>
      </c>
      <c r="H27" s="38">
        <f t="shared" si="0"/>
        <v>0</v>
      </c>
      <c r="I27" s="39">
        <v>0</v>
      </c>
      <c r="J27" s="40">
        <f t="shared" si="1"/>
        <v>0</v>
      </c>
      <c r="K27" s="41" t="str">
        <f t="shared" si="2"/>
        <v/>
      </c>
    </row>
    <row r="28" spans="1:11" x14ac:dyDescent="0.25">
      <c r="A28" s="21" t="s">
        <v>1228</v>
      </c>
      <c r="B28" s="21" t="s">
        <v>56</v>
      </c>
      <c r="C28" s="21" t="s">
        <v>1209</v>
      </c>
      <c r="D28" s="38">
        <f>COUNTIF('Resource Planner'!H:H,"Sasha Krieger")</f>
        <v>0</v>
      </c>
      <c r="E28" s="38">
        <f>SUMPRODUCT(('Resource Planner'!H$2:H$9999="Sasha Krieger")*'Resource Planner'!I$2:I$9999)</f>
        <v>0</v>
      </c>
      <c r="F28" s="38">
        <f>COUNTIF('Resource Planner'!J:J,"Sasha Krieger")</f>
        <v>0</v>
      </c>
      <c r="G28" s="38">
        <f>SUMPRODUCT(('Resource Planner'!J$2:J$9999="Sasha Krieger")*'Resource Planner'!K$2:K$9999)</f>
        <v>0</v>
      </c>
      <c r="H28" s="38">
        <f t="shared" si="0"/>
        <v>0</v>
      </c>
      <c r="I28" s="39">
        <v>0</v>
      </c>
      <c r="J28" s="40">
        <f t="shared" si="1"/>
        <v>0</v>
      </c>
      <c r="K28" s="41" t="str">
        <f t="shared" si="2"/>
        <v/>
      </c>
    </row>
    <row r="29" spans="1:11" x14ac:dyDescent="0.25">
      <c r="A29" s="21" t="s">
        <v>1230</v>
      </c>
      <c r="B29" s="21" t="s">
        <v>56</v>
      </c>
      <c r="C29" s="21" t="s">
        <v>1209</v>
      </c>
      <c r="D29" s="38">
        <f>COUNTIF('Resource Planner'!H:H,"Dimitris Chrysanthakopoulos")</f>
        <v>0</v>
      </c>
      <c r="E29" s="38">
        <f>SUMPRODUCT(('Resource Planner'!H$2:H$9999="Dimitris Chrysanthakopoulos")*'Resource Planner'!I$2:I$9999)</f>
        <v>0</v>
      </c>
      <c r="F29" s="38">
        <f>COUNTIF('Resource Planner'!J:J,"Dimitris Chrysanthakopoulos")</f>
        <v>0</v>
      </c>
      <c r="G29" s="38">
        <f>SUMPRODUCT(('Resource Planner'!J$2:J$9999="Dimitris Chrysanthakopoulos")*'Resource Planner'!K$2:K$9999)</f>
        <v>0</v>
      </c>
      <c r="H29" s="38">
        <f t="shared" si="0"/>
        <v>0</v>
      </c>
      <c r="I29" s="39">
        <v>0</v>
      </c>
      <c r="J29" s="40">
        <f t="shared" si="1"/>
        <v>0</v>
      </c>
      <c r="K29" s="41" t="str">
        <f t="shared" si="2"/>
        <v/>
      </c>
    </row>
    <row r="30" spans="1:11" x14ac:dyDescent="0.25">
      <c r="A30" s="21" t="s">
        <v>1231</v>
      </c>
      <c r="B30" s="21" t="s">
        <v>56</v>
      </c>
      <c r="C30" s="21" t="s">
        <v>1209</v>
      </c>
      <c r="D30" s="38">
        <f>COUNTIF('Resource Planner'!H:H,"Rebecca Tomasoni")</f>
        <v>0</v>
      </c>
      <c r="E30" s="38">
        <f>SUMPRODUCT(('Resource Planner'!H$2:H$9999="Rebecca Tomasoni")*'Resource Planner'!I$2:I$9999)</f>
        <v>0</v>
      </c>
      <c r="F30" s="38">
        <f>COUNTIF('Resource Planner'!J:J,"Rebecca Tomasoni")</f>
        <v>0</v>
      </c>
      <c r="G30" s="38">
        <f>SUMPRODUCT(('Resource Planner'!J$2:J$9999="Rebecca Tomasoni")*'Resource Planner'!K$2:K$9999)</f>
        <v>0</v>
      </c>
      <c r="H30" s="38">
        <f t="shared" si="0"/>
        <v>0</v>
      </c>
      <c r="I30" s="39">
        <v>0</v>
      </c>
      <c r="J30" s="40">
        <f t="shared" si="1"/>
        <v>0</v>
      </c>
      <c r="K30" s="41" t="str">
        <f t="shared" si="2"/>
        <v/>
      </c>
    </row>
    <row r="31" spans="1:11" x14ac:dyDescent="0.25">
      <c r="A31" s="21" t="s">
        <v>1232</v>
      </c>
      <c r="B31" s="21" t="s">
        <v>57</v>
      </c>
      <c r="C31" s="21" t="s">
        <v>1209</v>
      </c>
      <c r="D31" s="38">
        <f>COUNTIF('Resource Planner'!H:H,"Michael Dunnam")</f>
        <v>0</v>
      </c>
      <c r="E31" s="38">
        <f>SUMPRODUCT(('Resource Planner'!H$2:H$9999="Michael Dunnam")*'Resource Planner'!I$2:I$9999)</f>
        <v>0</v>
      </c>
      <c r="F31" s="38">
        <f>COUNTIF('Resource Planner'!J:J,"Michael Dunnam")</f>
        <v>0</v>
      </c>
      <c r="G31" s="38">
        <f>SUMPRODUCT(('Resource Planner'!J$2:J$9999="Michael Dunnam")*'Resource Planner'!K$2:K$9999)</f>
        <v>0</v>
      </c>
      <c r="H31" s="38">
        <f t="shared" si="0"/>
        <v>0</v>
      </c>
      <c r="I31" s="39">
        <v>0</v>
      </c>
      <c r="J31" s="40">
        <f t="shared" si="1"/>
        <v>0</v>
      </c>
      <c r="K31" s="41" t="str">
        <f t="shared" si="2"/>
        <v/>
      </c>
    </row>
    <row r="32" spans="1:11" x14ac:dyDescent="0.25">
      <c r="A32" s="21" t="s">
        <v>1234</v>
      </c>
      <c r="B32" s="21" t="s">
        <v>57</v>
      </c>
      <c r="C32" s="21" t="s">
        <v>1209</v>
      </c>
      <c r="D32" s="38">
        <f>COUNTIF('Resource Planner'!H:H,"Ella Amatooni")</f>
        <v>0</v>
      </c>
      <c r="E32" s="38">
        <f>SUMPRODUCT(('Resource Planner'!H$2:H$9999="Ella Amatooni")*'Resource Planner'!I$2:I$9999)</f>
        <v>0</v>
      </c>
      <c r="F32" s="38">
        <f>COUNTIF('Resource Planner'!J:J,"Ella Amatooni")</f>
        <v>0</v>
      </c>
      <c r="G32" s="38">
        <f>SUMPRODUCT(('Resource Planner'!J$2:J$9999="Ella Amatooni")*'Resource Planner'!K$2:K$9999)</f>
        <v>0</v>
      </c>
      <c r="H32" s="38">
        <f t="shared" si="0"/>
        <v>0</v>
      </c>
      <c r="I32" s="39">
        <v>0</v>
      </c>
      <c r="J32" s="40">
        <f t="shared" si="1"/>
        <v>0</v>
      </c>
      <c r="K32" s="41" t="str">
        <f t="shared" si="2"/>
        <v/>
      </c>
    </row>
    <row r="33" spans="1:11" x14ac:dyDescent="0.25">
      <c r="A33" s="21" t="s">
        <v>1235</v>
      </c>
      <c r="B33" s="21" t="s">
        <v>57</v>
      </c>
      <c r="C33" s="21" t="s">
        <v>1209</v>
      </c>
      <c r="D33" s="38">
        <f>COUNTIF('Resource Planner'!H:H,"Marc Vives")</f>
        <v>0</v>
      </c>
      <c r="E33" s="38">
        <f>SUMPRODUCT(('Resource Planner'!H$2:H$9999="Marc Vives")*'Resource Planner'!I$2:I$9999)</f>
        <v>0</v>
      </c>
      <c r="F33" s="38">
        <f>COUNTIF('Resource Planner'!J:J,"Marc Vives")</f>
        <v>0</v>
      </c>
      <c r="G33" s="38">
        <f>SUMPRODUCT(('Resource Planner'!J$2:J$9999="Marc Vives")*'Resource Planner'!K$2:K$9999)</f>
        <v>0</v>
      </c>
      <c r="H33" s="38">
        <f t="shared" si="0"/>
        <v>0</v>
      </c>
      <c r="I33" s="39">
        <v>0</v>
      </c>
      <c r="J33" s="40">
        <f t="shared" si="1"/>
        <v>0</v>
      </c>
      <c r="K33" s="41" t="str">
        <f t="shared" si="2"/>
        <v/>
      </c>
    </row>
    <row r="34" spans="1:11" x14ac:dyDescent="0.25">
      <c r="A34" s="21" t="s">
        <v>1236</v>
      </c>
      <c r="B34" s="21" t="s">
        <v>57</v>
      </c>
      <c r="C34" s="21" t="s">
        <v>1209</v>
      </c>
      <c r="D34" s="38">
        <f>COUNTIF('Resource Planner'!H:H,"Iosif Alexiou")</f>
        <v>0</v>
      </c>
      <c r="E34" s="38">
        <f>SUMPRODUCT(('Resource Planner'!H$2:H$9999="Iosif Alexiou")*'Resource Planner'!I$2:I$9999)</f>
        <v>0</v>
      </c>
      <c r="F34" s="38">
        <f>COUNTIF('Resource Planner'!J:J,"Iosif Alexiou")</f>
        <v>0</v>
      </c>
      <c r="G34" s="38">
        <f>SUMPRODUCT(('Resource Planner'!J$2:J$9999="Iosif Alexiou")*'Resource Planner'!K$2:K$9999)</f>
        <v>0</v>
      </c>
      <c r="H34" s="38">
        <f t="shared" si="0"/>
        <v>0</v>
      </c>
      <c r="I34" s="39">
        <v>0</v>
      </c>
      <c r="J34" s="40">
        <f t="shared" si="1"/>
        <v>0</v>
      </c>
      <c r="K34" s="41" t="str">
        <f t="shared" si="2"/>
        <v/>
      </c>
    </row>
    <row r="35" spans="1:11" x14ac:dyDescent="0.25">
      <c r="A35" s="21" t="s">
        <v>1237</v>
      </c>
      <c r="B35" s="21" t="s">
        <v>58</v>
      </c>
      <c r="C35" s="21" t="s">
        <v>1209</v>
      </c>
      <c r="D35" s="38">
        <f>COUNTIF('Resource Planner'!H:H,"Nick Chrysanthakopoulos")</f>
        <v>0</v>
      </c>
      <c r="E35" s="38">
        <f>SUMPRODUCT(('Resource Planner'!H$2:H$9999="Nick Chrysanthakopoulos")*'Resource Planner'!I$2:I$9999)</f>
        <v>0</v>
      </c>
      <c r="F35" s="38">
        <f>COUNTIF('Resource Planner'!J:J,"Nick Chrysanthakopoulos")</f>
        <v>0</v>
      </c>
      <c r="G35" s="38">
        <f>SUMPRODUCT(('Resource Planner'!J$2:J$9999="Nick Chrysanthakopoulos")*'Resource Planner'!K$2:K$9999)</f>
        <v>0</v>
      </c>
      <c r="H35" s="38">
        <f t="shared" si="0"/>
        <v>0</v>
      </c>
      <c r="I35" s="39">
        <v>0</v>
      </c>
      <c r="J35" s="40">
        <f t="shared" si="1"/>
        <v>0</v>
      </c>
      <c r="K35" s="41" t="str">
        <f t="shared" si="2"/>
        <v/>
      </c>
    </row>
    <row r="36" spans="1:11" x14ac:dyDescent="0.25">
      <c r="A36" s="21" t="s">
        <v>1238</v>
      </c>
      <c r="B36" s="21" t="s">
        <v>57</v>
      </c>
      <c r="C36" s="21" t="s">
        <v>1209</v>
      </c>
      <c r="D36" s="38">
        <f>COUNTIF('Resource Planner'!H:H,"Chris Brough")</f>
        <v>0</v>
      </c>
      <c r="E36" s="38">
        <f>SUMPRODUCT(('Resource Planner'!H$2:H$9999="Chris Brough")*'Resource Planner'!I$2:I$9999)</f>
        <v>0</v>
      </c>
      <c r="F36" s="38">
        <f>COUNTIF('Resource Planner'!J:J,"Chris Brough")</f>
        <v>0</v>
      </c>
      <c r="G36" s="38">
        <f>SUMPRODUCT(('Resource Planner'!J$2:J$9999="Chris Brough")*'Resource Planner'!K$2:K$9999)</f>
        <v>0</v>
      </c>
      <c r="H36" s="38">
        <f t="shared" si="0"/>
        <v>0</v>
      </c>
      <c r="I36" s="39">
        <v>0</v>
      </c>
      <c r="J36" s="40">
        <f t="shared" si="1"/>
        <v>0</v>
      </c>
      <c r="K36" s="41" t="str">
        <f t="shared" si="2"/>
        <v/>
      </c>
    </row>
    <row r="37" spans="1:11" x14ac:dyDescent="0.25">
      <c r="A37" s="21" t="s">
        <v>1239</v>
      </c>
      <c r="B37" s="21" t="s">
        <v>44</v>
      </c>
      <c r="C37" s="21" t="s">
        <v>559</v>
      </c>
      <c r="D37" s="38">
        <f>COUNTIF('Resource Planner'!H:H,"Robin Jubber")</f>
        <v>0</v>
      </c>
      <c r="E37" s="38">
        <f>SUMPRODUCT(('Resource Planner'!H$2:H$9999="Robin Jubber")*'Resource Planner'!I$2:I$9999)</f>
        <v>0</v>
      </c>
      <c r="F37" s="38">
        <f>COUNTIF('Resource Planner'!J:J,"Robin Jubber")</f>
        <v>0</v>
      </c>
      <c r="G37" s="38">
        <f>SUMPRODUCT(('Resource Planner'!J$2:J$9999="Robin Jubber")*'Resource Planner'!K$2:K$9999)</f>
        <v>0</v>
      </c>
      <c r="H37" s="38">
        <f t="shared" si="0"/>
        <v>0</v>
      </c>
      <c r="I37" s="39">
        <v>0</v>
      </c>
      <c r="J37" s="40">
        <f t="shared" si="1"/>
        <v>0</v>
      </c>
      <c r="K37" s="41" t="str">
        <f t="shared" si="2"/>
        <v/>
      </c>
    </row>
    <row r="38" spans="1:11" x14ac:dyDescent="0.25">
      <c r="A38" s="21" t="s">
        <v>1241</v>
      </c>
      <c r="B38" s="21" t="s">
        <v>47</v>
      </c>
      <c r="C38" s="21" t="s">
        <v>559</v>
      </c>
      <c r="D38" s="38">
        <f>COUNTIF('Resource Planner'!H:H,"Yorgos Dritsas")</f>
        <v>0</v>
      </c>
      <c r="E38" s="38">
        <f>SUMPRODUCT(('Resource Planner'!H$2:H$9999="Yorgos Dritsas")*'Resource Planner'!I$2:I$9999)</f>
        <v>0</v>
      </c>
      <c r="F38" s="38">
        <f>COUNTIF('Resource Planner'!J:J,"Yorgos Dritsas")</f>
        <v>0</v>
      </c>
      <c r="G38" s="38">
        <f>SUMPRODUCT(('Resource Planner'!J$2:J$9999="Yorgos Dritsas")*'Resource Planner'!K$2:K$9999)</f>
        <v>0</v>
      </c>
      <c r="H38" s="38">
        <f t="shared" si="0"/>
        <v>0</v>
      </c>
      <c r="I38" s="39">
        <v>0</v>
      </c>
      <c r="J38" s="40">
        <f t="shared" si="1"/>
        <v>0</v>
      </c>
      <c r="K38" s="41" t="str">
        <f t="shared" si="2"/>
        <v/>
      </c>
    </row>
    <row r="39" spans="1:11" x14ac:dyDescent="0.25">
      <c r="A39" s="21" t="s">
        <v>1243</v>
      </c>
      <c r="B39" s="21" t="s">
        <v>48</v>
      </c>
      <c r="C39" s="21" t="s">
        <v>559</v>
      </c>
      <c r="D39" s="38">
        <f>COUNTIF('Resource Planner'!H:H,"Nadir Latif")</f>
        <v>0</v>
      </c>
      <c r="E39" s="38">
        <f>SUMPRODUCT(('Resource Planner'!H$2:H$9999="Nadir Latif")*'Resource Planner'!I$2:I$9999)</f>
        <v>0</v>
      </c>
      <c r="F39" s="38">
        <f>COUNTIF('Resource Planner'!J:J,"Nadir Latif")</f>
        <v>0</v>
      </c>
      <c r="G39" s="38">
        <f>SUMPRODUCT(('Resource Planner'!J$2:J$9999="Nadir Latif")*'Resource Planner'!K$2:K$9999)</f>
        <v>0</v>
      </c>
      <c r="H39" s="38">
        <f t="shared" si="0"/>
        <v>0</v>
      </c>
      <c r="I39" s="39">
        <v>0</v>
      </c>
      <c r="J39" s="40">
        <f t="shared" si="1"/>
        <v>0</v>
      </c>
      <c r="K39" s="41" t="str">
        <f t="shared" si="2"/>
        <v/>
      </c>
    </row>
    <row r="40" spans="1:11" x14ac:dyDescent="0.25">
      <c r="A40" s="21" t="s">
        <v>1244</v>
      </c>
      <c r="B40" s="21" t="s">
        <v>50</v>
      </c>
      <c r="C40" s="21" t="s">
        <v>559</v>
      </c>
      <c r="D40" s="38">
        <f>COUNTIF('Resource Planner'!H:H,"Kieron Naylor")</f>
        <v>0</v>
      </c>
      <c r="E40" s="38">
        <f>SUMPRODUCT(('Resource Planner'!H$2:H$9999="Kieron Naylor")*'Resource Planner'!I$2:I$9999)</f>
        <v>0</v>
      </c>
      <c r="F40" s="38">
        <f>COUNTIF('Resource Planner'!J:J,"Kieron Naylor")</f>
        <v>0</v>
      </c>
      <c r="G40" s="38">
        <f>SUMPRODUCT(('Resource Planner'!J$2:J$9999="Kieron Naylor")*'Resource Planner'!K$2:K$9999)</f>
        <v>0</v>
      </c>
      <c r="H40" s="38">
        <f t="shared" si="0"/>
        <v>0</v>
      </c>
      <c r="I40" s="39">
        <v>0</v>
      </c>
      <c r="J40" s="40">
        <f t="shared" si="1"/>
        <v>0</v>
      </c>
      <c r="K40" s="41" t="str">
        <f t="shared" si="2"/>
        <v/>
      </c>
    </row>
    <row r="41" spans="1:11" x14ac:dyDescent="0.25">
      <c r="A41" s="21" t="s">
        <v>1245</v>
      </c>
      <c r="B41" s="21" t="s">
        <v>49</v>
      </c>
      <c r="C41" s="21" t="s">
        <v>559</v>
      </c>
      <c r="D41" s="38">
        <f>COUNTIF('Resource Planner'!H:H,"Nikolas Tziotis")</f>
        <v>0</v>
      </c>
      <c r="E41" s="38">
        <f>SUMPRODUCT(('Resource Planner'!H$2:H$9999="Nikolas Tziotis")*'Resource Planner'!I$2:I$9999)</f>
        <v>0</v>
      </c>
      <c r="F41" s="38">
        <f>COUNTIF('Resource Planner'!J:J,"Nikolas Tziotis")</f>
        <v>0</v>
      </c>
      <c r="G41" s="38">
        <f>SUMPRODUCT(('Resource Planner'!J$2:J$9999="Nikolas Tziotis")*'Resource Planner'!K$2:K$9999)</f>
        <v>0</v>
      </c>
      <c r="H41" s="38">
        <f t="shared" si="0"/>
        <v>0</v>
      </c>
      <c r="I41" s="39">
        <v>0</v>
      </c>
      <c r="J41" s="40">
        <f t="shared" si="1"/>
        <v>0</v>
      </c>
      <c r="K41" s="41" t="str">
        <f t="shared" si="2"/>
        <v/>
      </c>
    </row>
    <row r="42" spans="1:11" x14ac:dyDescent="0.25">
      <c r="A42" s="21" t="s">
        <v>1247</v>
      </c>
      <c r="B42" s="21" t="s">
        <v>49</v>
      </c>
      <c r="C42" s="21" t="s">
        <v>559</v>
      </c>
      <c r="D42" s="38">
        <f>COUNTIF('Resource Planner'!H:H,"Seth Dahl")</f>
        <v>0</v>
      </c>
      <c r="E42" s="38">
        <f>SUMPRODUCT(('Resource Planner'!H$2:H$9999="Seth Dahl")*'Resource Planner'!I$2:I$9999)</f>
        <v>0</v>
      </c>
      <c r="F42" s="38">
        <f>COUNTIF('Resource Planner'!J:J,"Seth Dahl")</f>
        <v>0</v>
      </c>
      <c r="G42" s="38">
        <f>SUMPRODUCT(('Resource Planner'!J$2:J$9999="Seth Dahl")*'Resource Planner'!K$2:K$9999)</f>
        <v>0</v>
      </c>
      <c r="H42" s="38">
        <f t="shared" si="0"/>
        <v>0</v>
      </c>
      <c r="I42" s="39">
        <v>0</v>
      </c>
      <c r="J42" s="40">
        <f t="shared" si="1"/>
        <v>0</v>
      </c>
      <c r="K42" s="41" t="str">
        <f t="shared" si="2"/>
        <v/>
      </c>
    </row>
    <row r="43" spans="1:11" x14ac:dyDescent="0.25">
      <c r="A43" s="21" t="s">
        <v>1248</v>
      </c>
      <c r="B43" s="21" t="s">
        <v>49</v>
      </c>
      <c r="C43" s="21" t="s">
        <v>559</v>
      </c>
      <c r="D43" s="38">
        <f>COUNTIF('Resource Planner'!H:H,"Panos Andriopoulos")</f>
        <v>0</v>
      </c>
      <c r="E43" s="38">
        <f>SUMPRODUCT(('Resource Planner'!H$2:H$9999="Panos Andriopoulos")*'Resource Planner'!I$2:I$9999)</f>
        <v>0</v>
      </c>
      <c r="F43" s="38">
        <f>COUNTIF('Resource Planner'!J:J,"Panos Andriopoulos")</f>
        <v>0</v>
      </c>
      <c r="G43" s="38">
        <f>SUMPRODUCT(('Resource Planner'!J$2:J$9999="Panos Andriopoulos")*'Resource Planner'!K$2:K$9999)</f>
        <v>0</v>
      </c>
      <c r="H43" s="38">
        <f t="shared" si="0"/>
        <v>0</v>
      </c>
      <c r="I43" s="39">
        <v>0</v>
      </c>
      <c r="J43" s="40">
        <f t="shared" si="1"/>
        <v>0</v>
      </c>
      <c r="K43" s="41" t="str">
        <f t="shared" si="2"/>
        <v/>
      </c>
    </row>
    <row r="44" spans="1:11" x14ac:dyDescent="0.25">
      <c r="A44" s="21" t="s">
        <v>1249</v>
      </c>
      <c r="B44" s="21" t="s">
        <v>51</v>
      </c>
      <c r="C44" s="21" t="s">
        <v>559</v>
      </c>
      <c r="D44" s="38">
        <f>COUNTIF('Resource Planner'!H:H,"Maria Cibej")</f>
        <v>0</v>
      </c>
      <c r="E44" s="38">
        <f>SUMPRODUCT(('Resource Planner'!H$2:H$9999="Maria Cibej")*'Resource Planner'!I$2:I$9999)</f>
        <v>0</v>
      </c>
      <c r="F44" s="38">
        <f>COUNTIF('Resource Planner'!J:J,"Maria Cibej")</f>
        <v>0</v>
      </c>
      <c r="G44" s="38">
        <f>SUMPRODUCT(('Resource Planner'!J$2:J$9999="Maria Cibej")*'Resource Planner'!K$2:K$9999)</f>
        <v>0</v>
      </c>
      <c r="H44" s="38">
        <f t="shared" si="0"/>
        <v>0</v>
      </c>
      <c r="I44" s="39">
        <v>0</v>
      </c>
      <c r="J44" s="40">
        <f t="shared" si="1"/>
        <v>0</v>
      </c>
      <c r="K44" s="41" t="str">
        <f t="shared" si="2"/>
        <v/>
      </c>
    </row>
    <row r="45" spans="1:11" x14ac:dyDescent="0.25">
      <c r="A45" s="21" t="s">
        <v>1251</v>
      </c>
      <c r="B45" s="21" t="s">
        <v>70</v>
      </c>
      <c r="C45" s="21" t="s">
        <v>408</v>
      </c>
      <c r="D45" s="38">
        <f>COUNTIF('Resource Planner'!H:H,"Dragan Vuckovic")</f>
        <v>0</v>
      </c>
      <c r="E45" s="38">
        <f>SUMPRODUCT(('Resource Planner'!H$2:H$9999="Dragan Vuckovic")*'Resource Planner'!I$2:I$9999)</f>
        <v>0</v>
      </c>
      <c r="F45" s="38">
        <f>COUNTIF('Resource Planner'!J:J,"Dragan Vuckovic")</f>
        <v>0</v>
      </c>
      <c r="G45" s="38">
        <f>SUMPRODUCT(('Resource Planner'!J$2:J$9999="Dragan Vuckovic")*'Resource Planner'!K$2:K$9999)</f>
        <v>0</v>
      </c>
      <c r="H45" s="38">
        <f t="shared" si="0"/>
        <v>0</v>
      </c>
      <c r="I45" s="39">
        <v>0</v>
      </c>
      <c r="J45" s="40">
        <f t="shared" si="1"/>
        <v>0</v>
      </c>
      <c r="K45" s="41" t="str">
        <f t="shared" si="2"/>
        <v/>
      </c>
    </row>
    <row r="46" spans="1:11" x14ac:dyDescent="0.25">
      <c r="A46" s="21" t="s">
        <v>1253</v>
      </c>
      <c r="B46" s="21" t="s">
        <v>70</v>
      </c>
      <c r="C46" s="21" t="s">
        <v>408</v>
      </c>
      <c r="D46" s="38">
        <f>COUNTIF('Resource Planner'!H:H,"Aggeliki Peroutsea")</f>
        <v>0</v>
      </c>
      <c r="E46" s="38">
        <f>SUMPRODUCT(('Resource Planner'!H$2:H$9999="Aggeliki Peroutsea")*'Resource Planner'!I$2:I$9999)</f>
        <v>0</v>
      </c>
      <c r="F46" s="38">
        <f>COUNTIF('Resource Planner'!J:J,"Aggeliki Peroutsea")</f>
        <v>0</v>
      </c>
      <c r="G46" s="38">
        <f>SUMPRODUCT(('Resource Planner'!J$2:J$9999="Aggeliki Peroutsea")*'Resource Planner'!K$2:K$9999)</f>
        <v>0</v>
      </c>
      <c r="H46" s="38">
        <f t="shared" si="0"/>
        <v>0</v>
      </c>
      <c r="I46" s="39">
        <v>0</v>
      </c>
      <c r="J46" s="40">
        <f t="shared" si="1"/>
        <v>0</v>
      </c>
      <c r="K46" s="41" t="str">
        <f t="shared" si="2"/>
        <v/>
      </c>
    </row>
    <row r="47" spans="1:11" x14ac:dyDescent="0.25">
      <c r="A47" s="21" t="s">
        <v>1254</v>
      </c>
      <c r="B47" s="21" t="s">
        <v>69</v>
      </c>
      <c r="C47" s="21" t="s">
        <v>69</v>
      </c>
      <c r="D47" s="38">
        <f>COUNTIF('Resource Planner'!H:H,"Hannah Pickard")</f>
        <v>0</v>
      </c>
      <c r="E47" s="38">
        <f>SUMPRODUCT(('Resource Planner'!H$2:H$9999="Hannah Pickard")*'Resource Planner'!I$2:I$9999)</f>
        <v>0</v>
      </c>
      <c r="F47" s="38">
        <f>COUNTIF('Resource Planner'!J:J,"Hannah Pickard")</f>
        <v>0</v>
      </c>
      <c r="G47" s="38">
        <f>SUMPRODUCT(('Resource Planner'!J$2:J$9999="Hannah Pickard")*'Resource Planner'!K$2:K$9999)</f>
        <v>0</v>
      </c>
      <c r="H47" s="38">
        <f t="shared" si="0"/>
        <v>0</v>
      </c>
      <c r="I47" s="39">
        <v>0</v>
      </c>
      <c r="J47" s="40">
        <f t="shared" si="1"/>
        <v>0</v>
      </c>
      <c r="K47" s="41" t="str">
        <f t="shared" si="2"/>
        <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2"/>
  <sheetViews>
    <sheetView zoomScale="115" zoomScaleNormal="115" workbookViewId="0">
      <pane xSplit="2" ySplit="1" topLeftCell="C29" activePane="bottomRight" state="frozen"/>
      <selection pane="topRight" activeCell="C1" sqref="C1"/>
      <selection pane="bottomLeft" activeCell="A2" sqref="A2"/>
      <selection pane="bottomRight" activeCell="B26" sqref="B26"/>
    </sheetView>
  </sheetViews>
  <sheetFormatPr defaultRowHeight="15" x14ac:dyDescent="0.25"/>
  <cols>
    <col min="1" max="1" width="20.7109375" customWidth="1"/>
    <col min="2" max="2" width="55.7109375" customWidth="1"/>
    <col min="3" max="3" width="12.7109375" customWidth="1"/>
    <col min="4" max="4" width="14.7109375" customWidth="1"/>
    <col min="5" max="5" width="50.7109375" customWidth="1"/>
  </cols>
  <sheetData>
    <row r="1" spans="1:5" x14ac:dyDescent="0.25">
      <c r="A1" s="37" t="s">
        <v>27</v>
      </c>
      <c r="B1" s="37" t="s">
        <v>28</v>
      </c>
      <c r="C1" s="37" t="s">
        <v>1435</v>
      </c>
      <c r="D1" s="37" t="s">
        <v>1436</v>
      </c>
      <c r="E1" s="37" t="s">
        <v>1437</v>
      </c>
    </row>
    <row r="2" spans="1:5" x14ac:dyDescent="0.25">
      <c r="A2" s="24" t="s">
        <v>72</v>
      </c>
    </row>
    <row r="3" spans="1:5" x14ac:dyDescent="0.25">
      <c r="A3" s="21" t="s">
        <v>72</v>
      </c>
      <c r="B3" s="21" t="s">
        <v>75</v>
      </c>
      <c r="C3" s="38">
        <v>28</v>
      </c>
      <c r="D3" s="38">
        <v>109</v>
      </c>
      <c r="E3" s="21" t="s">
        <v>1438</v>
      </c>
    </row>
    <row r="4" spans="1:5" x14ac:dyDescent="0.25">
      <c r="A4" s="21" t="s">
        <v>72</v>
      </c>
      <c r="B4" s="21" t="s">
        <v>102</v>
      </c>
      <c r="C4" s="38">
        <v>27</v>
      </c>
      <c r="D4" s="38">
        <v>90</v>
      </c>
      <c r="E4" s="21" t="s">
        <v>1439</v>
      </c>
    </row>
    <row r="5" spans="1:5" x14ac:dyDescent="0.25">
      <c r="A5" s="21" t="s">
        <v>72</v>
      </c>
      <c r="B5" s="21" t="s">
        <v>126</v>
      </c>
      <c r="C5" s="38">
        <v>1</v>
      </c>
      <c r="D5" s="38">
        <v>0</v>
      </c>
      <c r="E5" s="21" t="s">
        <v>53</v>
      </c>
    </row>
    <row r="6" spans="1:5" x14ac:dyDescent="0.25">
      <c r="A6" s="21" t="s">
        <v>72</v>
      </c>
      <c r="B6" s="21" t="s">
        <v>131</v>
      </c>
      <c r="C6" s="38">
        <v>20</v>
      </c>
      <c r="D6" s="38">
        <v>65</v>
      </c>
      <c r="E6" s="21" t="s">
        <v>1440</v>
      </c>
    </row>
    <row r="7" spans="1:5" x14ac:dyDescent="0.25">
      <c r="A7" s="21" t="s">
        <v>72</v>
      </c>
      <c r="B7" s="21" t="s">
        <v>149</v>
      </c>
      <c r="C7" s="38">
        <v>39</v>
      </c>
      <c r="D7" s="38">
        <v>39</v>
      </c>
      <c r="E7" s="21" t="s">
        <v>1441</v>
      </c>
    </row>
    <row r="8" spans="1:5" x14ac:dyDescent="0.25">
      <c r="A8" s="21" t="s">
        <v>72</v>
      </c>
      <c r="B8" s="21" t="s">
        <v>178</v>
      </c>
      <c r="C8" s="38">
        <v>9</v>
      </c>
      <c r="D8" s="38">
        <v>0</v>
      </c>
      <c r="E8" s="21" t="s">
        <v>1442</v>
      </c>
    </row>
    <row r="9" spans="1:5" x14ac:dyDescent="0.25">
      <c r="A9" s="21" t="s">
        <v>72</v>
      </c>
      <c r="B9" s="21" t="s">
        <v>188</v>
      </c>
      <c r="C9" s="38">
        <v>32</v>
      </c>
      <c r="D9" s="38">
        <v>74</v>
      </c>
      <c r="E9" s="21" t="s">
        <v>1443</v>
      </c>
    </row>
    <row r="10" spans="1:5" x14ac:dyDescent="0.25">
      <c r="A10" s="24" t="s">
        <v>218</v>
      </c>
    </row>
    <row r="11" spans="1:5" x14ac:dyDescent="0.25">
      <c r="A11" s="21" t="s">
        <v>218</v>
      </c>
      <c r="B11" s="21" t="s">
        <v>219</v>
      </c>
      <c r="C11" s="38">
        <v>55</v>
      </c>
      <c r="D11" s="38">
        <v>50</v>
      </c>
      <c r="E11" s="21" t="s">
        <v>1444</v>
      </c>
    </row>
    <row r="12" spans="1:5" x14ac:dyDescent="0.25">
      <c r="A12" s="21" t="s">
        <v>218</v>
      </c>
      <c r="B12" s="21" t="s">
        <v>262</v>
      </c>
      <c r="C12" s="38">
        <v>15</v>
      </c>
      <c r="D12" s="38">
        <v>10</v>
      </c>
      <c r="E12" s="21" t="s">
        <v>1445</v>
      </c>
    </row>
    <row r="13" spans="1:5" x14ac:dyDescent="0.25">
      <c r="A13" s="21" t="s">
        <v>218</v>
      </c>
      <c r="B13" s="21" t="s">
        <v>271</v>
      </c>
      <c r="C13" s="38">
        <v>43</v>
      </c>
      <c r="D13" s="38">
        <v>46</v>
      </c>
      <c r="E13" s="21" t="s">
        <v>1446</v>
      </c>
    </row>
    <row r="14" spans="1:5" x14ac:dyDescent="0.25">
      <c r="A14" s="21" t="s">
        <v>218</v>
      </c>
      <c r="B14" s="21" t="s">
        <v>301</v>
      </c>
      <c r="C14" s="38">
        <v>59</v>
      </c>
      <c r="D14" s="38">
        <v>113</v>
      </c>
      <c r="E14" s="21" t="s">
        <v>1447</v>
      </c>
    </row>
    <row r="15" spans="1:5" x14ac:dyDescent="0.25">
      <c r="A15" s="21" t="s">
        <v>218</v>
      </c>
      <c r="B15" s="21" t="s">
        <v>345</v>
      </c>
      <c r="C15" s="38">
        <v>48</v>
      </c>
      <c r="D15" s="38">
        <v>90</v>
      </c>
      <c r="E15" s="21" t="s">
        <v>1448</v>
      </c>
    </row>
    <row r="16" spans="1:5" x14ac:dyDescent="0.25">
      <c r="A16" s="21" t="s">
        <v>218</v>
      </c>
      <c r="B16" s="21" t="s">
        <v>385</v>
      </c>
      <c r="C16" s="38">
        <v>62</v>
      </c>
      <c r="D16" s="38">
        <v>123.1</v>
      </c>
      <c r="E16" s="21" t="s">
        <v>1449</v>
      </c>
    </row>
    <row r="17" spans="1:5" x14ac:dyDescent="0.25">
      <c r="A17" s="21" t="s">
        <v>218</v>
      </c>
      <c r="B17" s="21" t="s">
        <v>422</v>
      </c>
      <c r="C17" s="38">
        <v>1</v>
      </c>
      <c r="D17" s="38">
        <v>68.599999999999994</v>
      </c>
      <c r="E17" s="21" t="s">
        <v>57</v>
      </c>
    </row>
    <row r="18" spans="1:5" x14ac:dyDescent="0.25">
      <c r="A18" s="21" t="s">
        <v>218</v>
      </c>
      <c r="B18" s="21" t="s">
        <v>424</v>
      </c>
      <c r="C18" s="38">
        <v>9</v>
      </c>
      <c r="D18" s="38">
        <v>27</v>
      </c>
      <c r="E18" s="21" t="s">
        <v>1450</v>
      </c>
    </row>
    <row r="19" spans="1:5" x14ac:dyDescent="0.25">
      <c r="A19" s="21" t="s">
        <v>218</v>
      </c>
      <c r="B19" s="21" t="s">
        <v>432</v>
      </c>
      <c r="C19" s="38">
        <v>55</v>
      </c>
      <c r="D19" s="38">
        <v>665.8</v>
      </c>
      <c r="E19" s="21" t="s">
        <v>1451</v>
      </c>
    </row>
    <row r="20" spans="1:5" x14ac:dyDescent="0.25">
      <c r="A20" s="21" t="s">
        <v>218</v>
      </c>
      <c r="B20" s="21" t="s">
        <v>472</v>
      </c>
      <c r="C20" s="38">
        <v>17</v>
      </c>
      <c r="D20" s="38">
        <v>115.4</v>
      </c>
      <c r="E20" s="21" t="s">
        <v>1451</v>
      </c>
    </row>
    <row r="21" spans="1:5" x14ac:dyDescent="0.25">
      <c r="A21" s="21" t="s">
        <v>218</v>
      </c>
      <c r="B21" s="21" t="s">
        <v>482</v>
      </c>
      <c r="C21" s="38">
        <v>4</v>
      </c>
      <c r="D21" s="38">
        <v>195.4</v>
      </c>
      <c r="E21" s="21" t="s">
        <v>57</v>
      </c>
    </row>
    <row r="22" spans="1:5" x14ac:dyDescent="0.25">
      <c r="A22" s="21" t="s">
        <v>218</v>
      </c>
      <c r="B22" s="21" t="s">
        <v>488</v>
      </c>
      <c r="C22" s="38">
        <v>17</v>
      </c>
      <c r="D22" s="38">
        <v>26.1</v>
      </c>
      <c r="E22" s="21" t="s">
        <v>1451</v>
      </c>
    </row>
    <row r="23" spans="1:5" x14ac:dyDescent="0.25">
      <c r="A23" s="21" t="s">
        <v>218</v>
      </c>
      <c r="B23" s="21" t="s">
        <v>501</v>
      </c>
      <c r="C23" s="38">
        <v>26</v>
      </c>
      <c r="D23" s="38">
        <v>195.4</v>
      </c>
      <c r="E23" s="21" t="s">
        <v>1452</v>
      </c>
    </row>
    <row r="24" spans="1:5" x14ac:dyDescent="0.25">
      <c r="A24" s="24" t="s">
        <v>519</v>
      </c>
    </row>
    <row r="25" spans="1:5" x14ac:dyDescent="0.25">
      <c r="A25" s="21" t="s">
        <v>519</v>
      </c>
      <c r="B25" s="21" t="s">
        <v>520</v>
      </c>
      <c r="C25" s="38">
        <v>36</v>
      </c>
      <c r="D25" s="38">
        <v>153</v>
      </c>
      <c r="E25" s="21" t="s">
        <v>1453</v>
      </c>
    </row>
    <row r="26" spans="1:5" x14ac:dyDescent="0.25">
      <c r="A26" s="21" t="s">
        <v>519</v>
      </c>
      <c r="B26" s="21" t="s">
        <v>551</v>
      </c>
      <c r="C26" s="38">
        <v>3</v>
      </c>
      <c r="D26" s="38">
        <v>9</v>
      </c>
      <c r="E26" s="21" t="s">
        <v>1454</v>
      </c>
    </row>
    <row r="27" spans="1:5" x14ac:dyDescent="0.25">
      <c r="A27" s="21" t="s">
        <v>519</v>
      </c>
      <c r="B27" s="21" t="s">
        <v>556</v>
      </c>
      <c r="C27" s="38">
        <v>156</v>
      </c>
      <c r="D27" s="38">
        <v>242</v>
      </c>
      <c r="E27" s="21" t="s">
        <v>1455</v>
      </c>
    </row>
    <row r="28" spans="1:5" x14ac:dyDescent="0.25">
      <c r="A28" s="21" t="s">
        <v>519</v>
      </c>
      <c r="B28" s="21" t="s">
        <v>598</v>
      </c>
      <c r="C28" s="38">
        <v>36</v>
      </c>
      <c r="D28" s="38">
        <v>286.7</v>
      </c>
      <c r="E28" s="21" t="s">
        <v>1456</v>
      </c>
    </row>
    <row r="29" spans="1:5" x14ac:dyDescent="0.25">
      <c r="A29" s="21" t="s">
        <v>519</v>
      </c>
      <c r="B29" s="21" t="s">
        <v>624</v>
      </c>
      <c r="C29" s="38">
        <v>10</v>
      </c>
      <c r="D29" s="38">
        <v>25</v>
      </c>
      <c r="E29" s="21" t="s">
        <v>1457</v>
      </c>
    </row>
    <row r="30" spans="1:5" x14ac:dyDescent="0.25">
      <c r="A30" s="21" t="s">
        <v>519</v>
      </c>
      <c r="B30" s="21" t="s">
        <v>635</v>
      </c>
      <c r="C30" s="38">
        <v>17</v>
      </c>
      <c r="D30" s="38">
        <v>88</v>
      </c>
      <c r="E30" s="21" t="s">
        <v>1458</v>
      </c>
    </row>
    <row r="31" spans="1:5" x14ac:dyDescent="0.25">
      <c r="A31" s="21" t="s">
        <v>519</v>
      </c>
      <c r="B31" s="21" t="s">
        <v>649</v>
      </c>
      <c r="C31" s="38">
        <v>19</v>
      </c>
      <c r="D31" s="38">
        <v>47</v>
      </c>
      <c r="E31" s="21" t="s">
        <v>1459</v>
      </c>
    </row>
    <row r="32" spans="1:5" x14ac:dyDescent="0.25">
      <c r="A32" s="21" t="s">
        <v>519</v>
      </c>
      <c r="B32" s="21" t="s">
        <v>664</v>
      </c>
      <c r="C32" s="38">
        <v>45</v>
      </c>
      <c r="D32" s="38">
        <v>42</v>
      </c>
      <c r="E32" s="21" t="s">
        <v>1460</v>
      </c>
    </row>
    <row r="33" spans="1:5" x14ac:dyDescent="0.25">
      <c r="A33" s="24" t="s">
        <v>692</v>
      </c>
    </row>
    <row r="34" spans="1:5" x14ac:dyDescent="0.25">
      <c r="A34" s="21" t="s">
        <v>692</v>
      </c>
      <c r="B34" s="21" t="s">
        <v>693</v>
      </c>
      <c r="C34" s="38">
        <v>49</v>
      </c>
      <c r="D34" s="38">
        <v>266.39999999999998</v>
      </c>
      <c r="E34" s="21" t="s">
        <v>1461</v>
      </c>
    </row>
    <row r="35" spans="1:5" x14ac:dyDescent="0.25">
      <c r="A35" s="21" t="s">
        <v>692</v>
      </c>
      <c r="B35" s="21" t="s">
        <v>732</v>
      </c>
      <c r="C35" s="38">
        <v>11</v>
      </c>
      <c r="D35" s="38">
        <v>51.400000000000013</v>
      </c>
      <c r="E35" s="21" t="s">
        <v>1462</v>
      </c>
    </row>
    <row r="36" spans="1:5" x14ac:dyDescent="0.25">
      <c r="A36" s="21" t="s">
        <v>692</v>
      </c>
      <c r="B36" s="21" t="s">
        <v>742</v>
      </c>
      <c r="C36" s="38">
        <v>3</v>
      </c>
      <c r="D36" s="38">
        <v>182.9</v>
      </c>
      <c r="E36" s="21" t="s">
        <v>57</v>
      </c>
    </row>
    <row r="37" spans="1:5" x14ac:dyDescent="0.25">
      <c r="A37" s="21" t="s">
        <v>692</v>
      </c>
      <c r="B37" s="21" t="s">
        <v>749</v>
      </c>
      <c r="C37" s="38">
        <v>18</v>
      </c>
      <c r="D37" s="38">
        <v>34</v>
      </c>
      <c r="E37" s="21" t="s">
        <v>1463</v>
      </c>
    </row>
    <row r="38" spans="1:5" x14ac:dyDescent="0.25">
      <c r="A38" s="24" t="s">
        <v>766</v>
      </c>
    </row>
    <row r="39" spans="1:5" x14ac:dyDescent="0.25">
      <c r="A39" s="21" t="s">
        <v>766</v>
      </c>
      <c r="B39" s="21" t="s">
        <v>767</v>
      </c>
      <c r="C39" s="38">
        <v>30</v>
      </c>
      <c r="D39" s="38">
        <v>24</v>
      </c>
      <c r="E39" s="21" t="s">
        <v>1464</v>
      </c>
    </row>
    <row r="40" spans="1:5" x14ac:dyDescent="0.25">
      <c r="A40" s="21" t="s">
        <v>766</v>
      </c>
      <c r="B40" s="21" t="s">
        <v>783</v>
      </c>
      <c r="C40" s="38">
        <v>12</v>
      </c>
      <c r="D40" s="38">
        <v>30</v>
      </c>
      <c r="E40" s="21" t="s">
        <v>1457</v>
      </c>
    </row>
    <row r="41" spans="1:5" x14ac:dyDescent="0.25">
      <c r="A41" s="21" t="s">
        <v>766</v>
      </c>
      <c r="B41" s="21" t="s">
        <v>796</v>
      </c>
      <c r="C41" s="38">
        <v>19</v>
      </c>
      <c r="D41" s="38">
        <v>44</v>
      </c>
      <c r="E41" s="21" t="s">
        <v>1448</v>
      </c>
    </row>
    <row r="42" spans="1:5" x14ac:dyDescent="0.25">
      <c r="A42" s="21" t="s">
        <v>766</v>
      </c>
      <c r="B42" s="21" t="s">
        <v>814</v>
      </c>
      <c r="C42" s="38">
        <v>18</v>
      </c>
      <c r="D42" s="38">
        <v>12</v>
      </c>
      <c r="E42" s="21" t="s">
        <v>1465</v>
      </c>
    </row>
    <row r="43" spans="1:5" x14ac:dyDescent="0.25">
      <c r="A43" s="21" t="s">
        <v>766</v>
      </c>
      <c r="B43" s="21" t="s">
        <v>830</v>
      </c>
      <c r="C43" s="38">
        <v>4</v>
      </c>
      <c r="D43" s="38">
        <v>1</v>
      </c>
      <c r="E43" s="21" t="s">
        <v>1466</v>
      </c>
    </row>
    <row r="44" spans="1:5" x14ac:dyDescent="0.25">
      <c r="A44" s="24" t="s">
        <v>835</v>
      </c>
    </row>
    <row r="45" spans="1:5" x14ac:dyDescent="0.25">
      <c r="A45" s="21" t="s">
        <v>835</v>
      </c>
      <c r="B45" s="21" t="s">
        <v>836</v>
      </c>
      <c r="C45" s="38">
        <v>39</v>
      </c>
      <c r="D45" s="38">
        <v>77</v>
      </c>
      <c r="E45" s="21" t="s">
        <v>1467</v>
      </c>
    </row>
    <row r="46" spans="1:5" x14ac:dyDescent="0.25">
      <c r="A46" s="21" t="s">
        <v>835</v>
      </c>
      <c r="B46" s="21" t="s">
        <v>866</v>
      </c>
      <c r="C46" s="38">
        <v>1</v>
      </c>
      <c r="D46" s="38">
        <v>0</v>
      </c>
      <c r="E46" s="21" t="s">
        <v>53</v>
      </c>
    </row>
    <row r="47" spans="1:5" x14ac:dyDescent="0.25">
      <c r="A47" s="21" t="s">
        <v>835</v>
      </c>
      <c r="B47" s="21" t="s">
        <v>868</v>
      </c>
      <c r="C47" s="38">
        <v>2</v>
      </c>
      <c r="D47" s="38">
        <v>0</v>
      </c>
      <c r="E47" s="21" t="s">
        <v>1468</v>
      </c>
    </row>
    <row r="48" spans="1:5" x14ac:dyDescent="0.25">
      <c r="A48" s="21" t="s">
        <v>835</v>
      </c>
      <c r="B48" s="21" t="s">
        <v>869</v>
      </c>
      <c r="C48" s="38">
        <v>27</v>
      </c>
      <c r="D48" s="38">
        <v>59</v>
      </c>
      <c r="E48" s="21" t="s">
        <v>1439</v>
      </c>
    </row>
    <row r="49" spans="1:5" x14ac:dyDescent="0.25">
      <c r="A49" s="21" t="s">
        <v>835</v>
      </c>
      <c r="B49" s="21" t="s">
        <v>895</v>
      </c>
      <c r="C49" s="38">
        <v>4</v>
      </c>
      <c r="D49" s="38">
        <v>5</v>
      </c>
      <c r="E49" s="21" t="s">
        <v>1469</v>
      </c>
    </row>
    <row r="50" spans="1:5" x14ac:dyDescent="0.25">
      <c r="A50" s="24" t="s">
        <v>900</v>
      </c>
    </row>
    <row r="51" spans="1:5" x14ac:dyDescent="0.25">
      <c r="A51" s="21" t="s">
        <v>900</v>
      </c>
      <c r="B51" s="21" t="s">
        <v>901</v>
      </c>
      <c r="C51" s="38">
        <v>27</v>
      </c>
      <c r="D51" s="38">
        <v>36</v>
      </c>
      <c r="E51" s="21" t="s">
        <v>1470</v>
      </c>
    </row>
    <row r="52" spans="1:5" x14ac:dyDescent="0.25">
      <c r="A52" s="21" t="s">
        <v>900</v>
      </c>
      <c r="B52" s="21" t="s">
        <v>917</v>
      </c>
      <c r="C52" s="38">
        <v>29</v>
      </c>
      <c r="D52" s="38">
        <v>79.5</v>
      </c>
      <c r="E52" s="21" t="s">
        <v>1471</v>
      </c>
    </row>
    <row r="53" spans="1:5" x14ac:dyDescent="0.25">
      <c r="A53" s="21" t="s">
        <v>900</v>
      </c>
      <c r="B53" s="21" t="s">
        <v>938</v>
      </c>
      <c r="C53" s="38">
        <v>10</v>
      </c>
      <c r="D53" s="38">
        <v>10</v>
      </c>
      <c r="E53" s="21" t="s">
        <v>1472</v>
      </c>
    </row>
    <row r="54" spans="1:5" x14ac:dyDescent="0.25">
      <c r="A54" s="21" t="s">
        <v>900</v>
      </c>
      <c r="B54" s="21" t="s">
        <v>948</v>
      </c>
      <c r="C54" s="38">
        <v>24</v>
      </c>
      <c r="D54" s="38">
        <v>99</v>
      </c>
      <c r="E54" s="21" t="s">
        <v>1473</v>
      </c>
    </row>
    <row r="55" spans="1:5" x14ac:dyDescent="0.25">
      <c r="A55" s="21" t="s">
        <v>900</v>
      </c>
      <c r="B55" s="21" t="s">
        <v>956</v>
      </c>
      <c r="C55" s="38">
        <v>24</v>
      </c>
      <c r="D55" s="38">
        <v>31</v>
      </c>
      <c r="E55" s="21" t="s">
        <v>1474</v>
      </c>
    </row>
    <row r="56" spans="1:5" x14ac:dyDescent="0.25">
      <c r="A56" s="24" t="s">
        <v>978</v>
      </c>
    </row>
    <row r="57" spans="1:5" x14ac:dyDescent="0.25">
      <c r="A57" s="21" t="s">
        <v>978</v>
      </c>
      <c r="B57" s="21" t="s">
        <v>979</v>
      </c>
      <c r="C57" s="38">
        <v>35</v>
      </c>
      <c r="D57" s="38">
        <v>75</v>
      </c>
      <c r="E57" s="21" t="s">
        <v>1475</v>
      </c>
    </row>
    <row r="58" spans="1:5" x14ac:dyDescent="0.25">
      <c r="A58" s="21" t="s">
        <v>978</v>
      </c>
      <c r="B58" s="21" t="s">
        <v>1016</v>
      </c>
      <c r="C58" s="38">
        <v>30</v>
      </c>
      <c r="D58" s="38">
        <v>313.3</v>
      </c>
      <c r="E58" s="21" t="s">
        <v>1476</v>
      </c>
    </row>
    <row r="59" spans="1:5" x14ac:dyDescent="0.25">
      <c r="A59" s="21" t="s">
        <v>978</v>
      </c>
      <c r="B59" s="21" t="s">
        <v>1037</v>
      </c>
      <c r="C59" s="38">
        <v>39</v>
      </c>
      <c r="D59" s="38">
        <v>72</v>
      </c>
      <c r="E59" s="21" t="s">
        <v>1438</v>
      </c>
    </row>
    <row r="60" spans="1:5" x14ac:dyDescent="0.25">
      <c r="A60" s="21" t="s">
        <v>978</v>
      </c>
      <c r="B60" s="21" t="s">
        <v>1056</v>
      </c>
      <c r="C60" s="38">
        <v>24</v>
      </c>
      <c r="D60" s="38">
        <v>36</v>
      </c>
      <c r="E60" s="21" t="s">
        <v>1477</v>
      </c>
    </row>
    <row r="61" spans="1:5" x14ac:dyDescent="0.25">
      <c r="A61" s="21" t="s">
        <v>978</v>
      </c>
      <c r="B61" s="21" t="s">
        <v>1077</v>
      </c>
      <c r="C61" s="38">
        <v>17</v>
      </c>
      <c r="D61" s="38">
        <v>44</v>
      </c>
      <c r="E61" s="21" t="s">
        <v>1475</v>
      </c>
    </row>
    <row r="62" spans="1:5" x14ac:dyDescent="0.25">
      <c r="A62" s="24" t="s">
        <v>1092</v>
      </c>
    </row>
    <row r="63" spans="1:5" x14ac:dyDescent="0.25">
      <c r="A63" s="21" t="s">
        <v>1092</v>
      </c>
      <c r="B63" s="21" t="s">
        <v>1093</v>
      </c>
      <c r="C63" s="38">
        <v>1</v>
      </c>
      <c r="D63" s="38">
        <v>0</v>
      </c>
      <c r="E63" s="21" t="s">
        <v>54</v>
      </c>
    </row>
    <row r="64" spans="1:5" x14ac:dyDescent="0.25">
      <c r="A64" s="21" t="s">
        <v>1092</v>
      </c>
      <c r="B64" s="21" t="s">
        <v>1096</v>
      </c>
      <c r="C64" s="38">
        <v>3</v>
      </c>
      <c r="D64" s="38">
        <v>0</v>
      </c>
      <c r="E64" s="21" t="s">
        <v>53</v>
      </c>
    </row>
    <row r="65" spans="1:5" x14ac:dyDescent="0.25">
      <c r="A65" s="21" t="s">
        <v>1092</v>
      </c>
      <c r="B65" s="21" t="s">
        <v>1100</v>
      </c>
      <c r="C65" s="38">
        <v>5</v>
      </c>
      <c r="D65" s="38">
        <v>0</v>
      </c>
      <c r="E65" s="21" t="s">
        <v>1478</v>
      </c>
    </row>
    <row r="66" spans="1:5" x14ac:dyDescent="0.25">
      <c r="A66" s="24" t="s">
        <v>1109</v>
      </c>
    </row>
    <row r="67" spans="1:5" x14ac:dyDescent="0.25">
      <c r="A67" s="21" t="s">
        <v>1109</v>
      </c>
      <c r="B67" s="21" t="s">
        <v>1123</v>
      </c>
      <c r="C67" s="38">
        <v>11</v>
      </c>
      <c r="D67" s="38">
        <v>30</v>
      </c>
      <c r="E67" s="21" t="s">
        <v>1479</v>
      </c>
    </row>
    <row r="68" spans="1:5" x14ac:dyDescent="0.25">
      <c r="A68" s="21" t="s">
        <v>1109</v>
      </c>
      <c r="B68" s="21" t="s">
        <v>1136</v>
      </c>
      <c r="C68" s="38">
        <v>33</v>
      </c>
      <c r="D68" s="38">
        <v>73</v>
      </c>
      <c r="E68" s="21" t="s">
        <v>1448</v>
      </c>
    </row>
    <row r="69" spans="1:5" x14ac:dyDescent="0.25">
      <c r="A69" s="24" t="s">
        <v>1158</v>
      </c>
    </row>
    <row r="70" spans="1:5" x14ac:dyDescent="0.25">
      <c r="A70" s="24" t="s">
        <v>1166</v>
      </c>
    </row>
    <row r="71" spans="1:5" x14ac:dyDescent="0.25">
      <c r="A71" s="24" t="s">
        <v>1174</v>
      </c>
    </row>
    <row r="72" spans="1:5" x14ac:dyDescent="0.25">
      <c r="A72" s="21" t="s">
        <v>1174</v>
      </c>
      <c r="B72" s="21" t="s">
        <v>1176</v>
      </c>
      <c r="C72" s="38">
        <v>9</v>
      </c>
      <c r="D72" s="38">
        <v>25</v>
      </c>
      <c r="E72" s="21" t="s">
        <v>1475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Plan</vt:lpstr>
      <vt:lpstr>Staff</vt:lpstr>
      <vt:lpstr>Roles</vt:lpstr>
      <vt:lpstr>Gates</vt:lpstr>
      <vt:lpstr>Tiers</vt:lpstr>
      <vt:lpstr>Legend</vt:lpstr>
      <vt:lpstr>Summary</vt:lpstr>
      <vt:lpstr>Epics &amp; Features</vt:lpstr>
      <vt:lpstr>Resource Planner</vt:lpstr>
      <vt:lpstr>Person Dashboard</vt:lpstr>
      <vt:lpstr>Feature Timeline</vt:lpstr>
      <vt:lpstr>All_Staff</vt:lpstr>
      <vt:lpstr>Art_Staff</vt:lpstr>
      <vt:lpstr>Audio_Staff</vt:lpstr>
      <vt:lpstr>Design_Staff</vt:lpstr>
      <vt:lpstr>Engineering_Staff</vt:lpstr>
      <vt:lpstr>QA_Staff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Glen P</cp:lastModifiedBy>
  <dcterms:created xsi:type="dcterms:W3CDTF">2026-05-13T03:26:40Z</dcterms:created>
  <dcterms:modified xsi:type="dcterms:W3CDTF">2026-05-13T12:10:00Z</dcterms:modified>
</cp:coreProperties>
</file>